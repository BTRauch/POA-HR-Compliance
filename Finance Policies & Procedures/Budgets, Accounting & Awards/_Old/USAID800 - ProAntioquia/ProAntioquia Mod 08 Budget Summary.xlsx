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dmart\Downloads\"/>
    </mc:Choice>
  </mc:AlternateContent>
  <xr:revisionPtr revIDLastSave="0" documentId="13_ncr:1_{73F07F79-D749-4D4D-8CC6-4F0DD71D3510}" xr6:coauthVersionLast="47" xr6:coauthVersionMax="47" xr10:uidLastSave="{00000000-0000-0000-0000-000000000000}"/>
  <bookViews>
    <workbookView xWindow="-96" yWindow="-96" windowWidth="23232" windowHeight="12552" xr2:uid="{F3330C9B-E8ED-485A-BA51-A76A708FEB4A}"/>
  </bookViews>
  <sheets>
    <sheet name="Budget Summary Detailed" sheetId="1" r:id="rId1"/>
  </sheets>
  <definedNames>
    <definedName name="\a">#REF!</definedName>
    <definedName name="\c">#REF!</definedName>
    <definedName name="\i">#REF!</definedName>
    <definedName name="\P">#REF!</definedName>
    <definedName name="\r">#REF!</definedName>
    <definedName name="__pd1">#REF!</definedName>
    <definedName name="__pd6">#REF!</definedName>
    <definedName name="__tix1">#REF!</definedName>
    <definedName name="__tix2">#REF!</definedName>
    <definedName name="__tix6">#REF!</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xlnm._FilterDatabase" localSheetId="0" hidden="1">'Budget Summary Detailed'!$A$10:$CA$65</definedName>
    <definedName name="_fmi1">#REF!</definedName>
    <definedName name="_fmi2">#REF!</definedName>
    <definedName name="_fmi3">#REF!</definedName>
    <definedName name="_fmi4">#REF!</definedName>
    <definedName name="_Order1" hidden="1">255</definedName>
    <definedName name="_Order2" hidden="1">255</definedName>
    <definedName name="_PIB01">#REF!</definedName>
    <definedName name="_PIB02">#REF!</definedName>
    <definedName name="_PIB95">#REF!</definedName>
    <definedName name="_PIB96">#REF!</definedName>
    <definedName name="_PIB97">#REF!</definedName>
    <definedName name="_PIB98">#REF!</definedName>
    <definedName name="_PIB99">#REF!</definedName>
    <definedName name="_RES9397">#REF!</definedName>
    <definedName name="_rez2">#REF!</definedName>
    <definedName name="_rez3">#REF!</definedName>
    <definedName name="_rez4">#REF!</definedName>
    <definedName name="_Table1_Out" hidden="1">#REF!</definedName>
    <definedName name="_Table2_In2" hidden="1">#REF!</definedName>
    <definedName name="_Table2_Out" hidden="1">#REF!</definedName>
    <definedName name="a">#REF!</definedName>
    <definedName name="A_2002">#REF!</definedName>
    <definedName name="A_CAPITAL">#REF!</definedName>
    <definedName name="A_DEPTOS">#REF!</definedName>
    <definedName name="A_impresión_IM">#REF!</definedName>
    <definedName name="A_MUNPIOS">#REF!</definedName>
    <definedName name="AAA">#REF!</definedName>
    <definedName name="AEFormar">#REF!</definedName>
    <definedName name="Ajustado">#REF!</definedName>
    <definedName name="almuerzo">#REF!</definedName>
    <definedName name="alquilertableta">#REF!</definedName>
    <definedName name="ANEXO_No.">#REF!</definedName>
    <definedName name="ANEXO_No._5">#REF!</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#REF!</definedName>
    <definedName name="aprnac">#REF!</definedName>
    <definedName name="APROPIACIONES_PAC_Y_REZAGO_1999___2000">#REF!</definedName>
    <definedName name="aprprp">#REF!</definedName>
    <definedName name="asigbas">#REF!</definedName>
    <definedName name="asigbasempu">#REF!</definedName>
    <definedName name="asigbasisten">#REF!</definedName>
    <definedName name="asigmen">#REF!</definedName>
    <definedName name="auxalm">#REF!</definedName>
    <definedName name="B">#REF!</definedName>
    <definedName name="BASE" hidden="1">#REF!</definedName>
    <definedName name="basnac">#REF!</definedName>
    <definedName name="basprp">#REF!</definedName>
    <definedName name="Board">#REF!</definedName>
    <definedName name="bonser">#REF!</definedName>
    <definedName name="cantidadtabletamatricula">#REF!</definedName>
    <definedName name="CARBOCRECIM">#REF!</definedName>
    <definedName name="CARBOPESOS">#REF!</definedName>
    <definedName name="CARBOPIB">#REF!</definedName>
    <definedName name="castigocuadro2">#REF!</definedName>
    <definedName name="CAT_00">#REF!</definedName>
    <definedName name="CAT_01">#REF!</definedName>
    <definedName name="CAT_02">#REF!</definedName>
    <definedName name="CAT_94">#REF!</definedName>
    <definedName name="CAT_95">#REF!</definedName>
    <definedName name="CAT_96">#REF!</definedName>
    <definedName name="CAT_97">#REF!</definedName>
    <definedName name="CAT_98">#REF!</definedName>
    <definedName name="CAT_99">#REF!</definedName>
    <definedName name="CEE_Consult">#REF!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#REF!</definedName>
    <definedName name="Confis">#REF!</definedName>
    <definedName name="Consultants">#REF!</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#REF!</definedName>
    <definedName name="CUADRO_No._1">#REF!</definedName>
    <definedName name="CUADRO_No._10">#REF!</definedName>
    <definedName name="CUADRO_No._12">#REF!</definedName>
    <definedName name="CUADRO_No._13">#REF!</definedName>
    <definedName name="Cuadro_No._1a">#REF!</definedName>
    <definedName name="Cuadro_No._1b">#REF!</definedName>
    <definedName name="Cuadro_No._1C">#REF!</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#REF!</definedName>
    <definedName name="CUAINGRE">#REF!</definedName>
    <definedName name="Cwvu.ComparEneMar9697." hidden="1">#REF!,#REF!,#REF!,#REF!,#REF!,#REF!</definedName>
    <definedName name="Cwvu.EneFeb." hidden="1">#REF!,#REF!</definedName>
    <definedName name="Cwvu.EneMar." hidden="1">#REF!,#REF!,#REF!,#REF!</definedName>
    <definedName name="Cwvu.Formato._.Corto." hidden="1">#REF!,#REF!,#REF!,#REF!,#REF!,#REF!,#REF!,#REF!,#REF!,#REF!,#REF!,#REF!</definedName>
    <definedName name="Cwvu.Formato._.Total." hidden="1">#REF!,#REF!,#REF!</definedName>
    <definedName name="d">#REF!</definedName>
    <definedName name="dasdasd">#REF!</definedName>
    <definedName name="_xlnm.Database">#REF!</definedName>
    <definedName name="DBALANCEFMI2">#REF!</definedName>
    <definedName name="DboREGISTRO_LEY_617">#REF!</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#REF!</definedName>
    <definedName name="DEPAR_DEP">#REF!</definedName>
    <definedName name="DEPAR_MUN">#REF!</definedName>
    <definedName name="DEPENDENCIA">#REF!</definedName>
    <definedName name="DEPTO">#REF!</definedName>
    <definedName name="DEPTO_2002">#REF!</definedName>
    <definedName name="DETALLE_DE_LA_COMPOSICION_DEL_PRESUPUESTO_DE_RENTAS_DE_LA_NACION">#REF!</definedName>
    <definedName name="DETALLE1996">#REF!</definedName>
    <definedName name="DETALLE1997">#REF!</definedName>
    <definedName name="deuda">#REF!</definedName>
    <definedName name="DEUDA_FLOTANTE_1990_1998">#REF!</definedName>
    <definedName name="diames">#REF!</definedName>
    <definedName name="DIFERCOLUM00">#REF!</definedName>
    <definedName name="DIFERCOLUM01">#REF!</definedName>
    <definedName name="DIFERCOLUM02">#REF!</definedName>
    <definedName name="DIFERCOLUM99">#REF!</definedName>
    <definedName name="digitador">#REF!</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#REF!</definedName>
    <definedName name="eje">#REF!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#REF!</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#REF!</definedName>
    <definedName name="FEBREROP">#REF!</definedName>
    <definedName name="FEBRERORN">#REF!</definedName>
    <definedName name="FEBRERORP">#REF!</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#REF!</definedName>
    <definedName name="FNCCRECIM">#REF!</definedName>
    <definedName name="FNCPESOS">#REF!</definedName>
    <definedName name="FNCPIB">#REF!</definedName>
    <definedName name="FONDO">#REF!</definedName>
    <definedName name="FONDOS">#REF!</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#REF!</definedName>
    <definedName name="FORZ_01_RESERVA">#REF!</definedName>
    <definedName name="FORZ_94">#REF!</definedName>
    <definedName name="FORZ_95">#REF!</definedName>
    <definedName name="FORZ_96">#REF!</definedName>
    <definedName name="FORZ_97">#REF!</definedName>
    <definedName name="FORZ_98">#REF!</definedName>
    <definedName name="FORZ_99">#REF!</definedName>
    <definedName name="FORZ_PG_02">#REF!</definedName>
    <definedName name="fsfsf">#REF!</definedName>
    <definedName name="fun">#REF!</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#REF!</definedName>
    <definedName name="futprp">#REF!</definedName>
    <definedName name="GASOLINA_REGULAR">#REF!</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#REF!</definedName>
    <definedName name="horext">#REF!</definedName>
    <definedName name="Housing">#REF!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#REF!</definedName>
    <definedName name="Inflation">#REF!</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#REF!</definedName>
    <definedName name="INTYCOM00_">#REF!</definedName>
    <definedName name="INTYCOM94_">#REF!</definedName>
    <definedName name="INTYCOM95_">#REF!</definedName>
    <definedName name="INTYCOM96_">#REF!</definedName>
    <definedName name="INTYCOM97_">#REF!</definedName>
    <definedName name="INTYCOM98_">#REF!</definedName>
    <definedName name="INTYCOM99_">#REF!</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#REF!</definedName>
    <definedName name="KBALANCEVSFMI">#REF!</definedName>
    <definedName name="kkkk">#REF!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#REF!</definedName>
    <definedName name="LIN">#REF!</definedName>
    <definedName name="liqui">#REF!</definedName>
    <definedName name="liquidacion97">#REF!</definedName>
    <definedName name="llamadasdiarias">#REF!</definedName>
    <definedName name="Local_Hire">#REF!</definedName>
    <definedName name="Local_Hires">#REF!</definedName>
    <definedName name="LPORTADASECTOR">#REF!</definedName>
    <definedName name="M">#REF!</definedName>
    <definedName name="MACRO">#REF!</definedName>
    <definedName name="MARZON">#REF!</definedName>
    <definedName name="MARZOP">#REF!</definedName>
    <definedName name="MARZORN">#REF!</definedName>
    <definedName name="MARZORP">#REF!</definedName>
    <definedName name="Merit">#REF!</definedName>
    <definedName name="METAAFPDCC">#REF!</definedName>
    <definedName name="METAPDCC">#REF!</definedName>
    <definedName name="METASAFPDCC">#REF!</definedName>
    <definedName name="METASAFPDM">#REF!</definedName>
    <definedName name="METASPDCC">#REF!</definedName>
    <definedName name="METASPDM">#REF!</definedName>
    <definedName name="METROCRECIM">#REF!</definedName>
    <definedName name="METROPESOS">#REF!</definedName>
    <definedName name="METROPIB">#REF!</definedName>
    <definedName name="mincelular">#REF!</definedName>
    <definedName name="MINISTRO">#REF!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#REF!</definedName>
    <definedName name="opetesore00">#REF!</definedName>
    <definedName name="opetesore98">#REF!</definedName>
    <definedName name="opetesore99">#REF!</definedName>
    <definedName name="P">#REF!</definedName>
    <definedName name="padf01">#REF!</definedName>
    <definedName name="padf02">#REF!</definedName>
    <definedName name="padf03">#REF!</definedName>
    <definedName name="padf04">#REF!</definedName>
    <definedName name="padf05">#REF!</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#REF!</definedName>
    <definedName name="PARTMUN00_">#REF!</definedName>
    <definedName name="PARTMUN93_">#REF!</definedName>
    <definedName name="PARTMUN94_">#REF!</definedName>
    <definedName name="PARTMUN95_">#REF!</definedName>
    <definedName name="PARTMUN96_">#REF!</definedName>
    <definedName name="PARTMUN97_">#REF!</definedName>
    <definedName name="PARTMUN98_">#REF!</definedName>
    <definedName name="PARTMUN99_">#REF!</definedName>
    <definedName name="Pcpta_00">#REF!</definedName>
    <definedName name="Pcpta_01">#REF!</definedName>
    <definedName name="Pcpta_02">#REF!</definedName>
    <definedName name="Pcpta_99">#REF!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#REF!</definedName>
    <definedName name="PIB00_">#REF!</definedName>
    <definedName name="PIB93_">#REF!</definedName>
    <definedName name="PIB94_">#REF!</definedName>
    <definedName name="PIB95_">#REF!</definedName>
    <definedName name="PIB96_">#REF!</definedName>
    <definedName name="PIB97_">#REF!</definedName>
    <definedName name="PIB98_">#REF!</definedName>
    <definedName name="PIB99_">#REF!</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#REF!</definedName>
    <definedName name="PORC_LIBRE_00">#REF!</definedName>
    <definedName name="PORC_LIBRE_01">#REF!</definedName>
    <definedName name="PORC_LIBRE_02">#REF!</definedName>
    <definedName name="PORC_LIBRE_94">#REF!</definedName>
    <definedName name="PORC_LIBRE_95">#REF!</definedName>
    <definedName name="PORC_LIBRE_96">#REF!</definedName>
    <definedName name="PORC_LIBRE_97">#REF!</definedName>
    <definedName name="PORC_LIBRE_98">#REF!</definedName>
    <definedName name="PORC_LIBRE_99">#REF!</definedName>
    <definedName name="POSPRE">#REF!</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#REF!</definedName>
    <definedName name="postdif02">#REF!</definedName>
    <definedName name="PPTO97">#REF!</definedName>
    <definedName name="PRESUPUESTO__1998">#REF!</definedName>
    <definedName name="prgnac">#REF!</definedName>
    <definedName name="prgprp">#REF!</definedName>
    <definedName name="primant">#REF!</definedName>
    <definedName name="primnav">#REF!</definedName>
    <definedName name="primser">#REF!</definedName>
    <definedName name="primtec">#REF!</definedName>
    <definedName name="primvac">#REF!</definedName>
    <definedName name="_xlnm.Print_Area" localSheetId="0">'Budget Summary Detailed'!$B$8:$AK$61</definedName>
    <definedName name="Print_Titles_MI" localSheetId="0">#REF!</definedName>
    <definedName name="Print_Titles_MI">#REF!</definedName>
    <definedName name="PRIO">#REF!</definedName>
    <definedName name="PROPIOS">#REF!</definedName>
    <definedName name="prynac">#REF!</definedName>
    <definedName name="pryprp">#REF!</definedName>
    <definedName name="pyd">#REF!</definedName>
    <definedName name="rango1">#REF!</definedName>
    <definedName name="RDPTO">#REF!</definedName>
    <definedName name="re">#REF!</definedName>
    <definedName name="RECALCULO">#REF!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#REF!</definedName>
    <definedName name="recprp">#REF!</definedName>
    <definedName name="refrigerio">#REF!</definedName>
    <definedName name="reg">#REF!</definedName>
    <definedName name="REGALIAS00_">#REF!</definedName>
    <definedName name="REGALIAS93_">#REF!</definedName>
    <definedName name="REGALIAS94_">#REF!</definedName>
    <definedName name="REGALIAS95_">#REF!</definedName>
    <definedName name="REGALIAS96_">#REF!</definedName>
    <definedName name="REGALIAS97_">#REF!</definedName>
    <definedName name="REGALIAS98_">#REF!</definedName>
    <definedName name="REGALIAS99_">#REF!</definedName>
    <definedName name="REGIONALCRECIM">#REF!</definedName>
    <definedName name="REGIONALPESOS">#REF!</definedName>
    <definedName name="REGIONALPIB">#REF!</definedName>
    <definedName name="Rep_ing_02">#REF!</definedName>
    <definedName name="REQUERIDOS">#REF!</definedName>
    <definedName name="reservasalon">#REF!</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#REF!,#REF!</definedName>
    <definedName name="Rwvu.EneFeb." hidden="1">#REF!,#REF!</definedName>
    <definedName name="Rwvu.Formato._.Corto." hidden="1">#REF!,#REF!,#REF!,#REF!,#REF!,#REF!</definedName>
    <definedName name="Rwvu.OPEF._.96." hidden="1">#REF!,#REF!</definedName>
    <definedName name="Rwvu.OPEF._.97." hidden="1">#REF!,#REF!,#REF!</definedName>
    <definedName name="SALIR">#REF!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#REF!</definedName>
    <definedName name="Servicios_personales">#REF!</definedName>
    <definedName name="SGP_PG_02">#REF!</definedName>
    <definedName name="SITFID95_">#REF!</definedName>
    <definedName name="SITFIS00_">#REF!</definedName>
    <definedName name="SITFIS93_">#REF!</definedName>
    <definedName name="SITFIS94_">#REF!</definedName>
    <definedName name="SITFIS95_">#REF!</definedName>
    <definedName name="SITFIS96_">#REF!</definedName>
    <definedName name="SITFIS97_">#REF!</definedName>
    <definedName name="SITFIS98_">#REF!</definedName>
    <definedName name="SITFIS99_">#REF!</definedName>
    <definedName name="solnac">#REF!</definedName>
    <definedName name="solprp">#REF!</definedName>
    <definedName name="SORTEADO">#REF!</definedName>
    <definedName name="subtrn">#REF!</definedName>
    <definedName name="talleristas">#REF!</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#REF!</definedName>
    <definedName name="TRANSTOT00_">#REF!</definedName>
    <definedName name="TRANSTOT93_">#REF!</definedName>
    <definedName name="TRANSTOT94_">#REF!</definedName>
    <definedName name="TRANSTOT95_">#REF!</definedName>
    <definedName name="TRANSTOT96_">#REF!</definedName>
    <definedName name="TRANSTOT97_">#REF!</definedName>
    <definedName name="TRANSTOT98_">#REF!</definedName>
    <definedName name="TRANSTOT99_">#REF!</definedName>
    <definedName name="Travel_Regional" localSheetId="0">#REF!</definedName>
    <definedName name="Travel_Regional">#REF!</definedName>
    <definedName name="Travel_WDC">#REF!</definedName>
    <definedName name="uno">#REF!</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#REF!</definedName>
    <definedName name="valorpuntoIng">#REF!</definedName>
    <definedName name="VARIACIONES">#REF!</definedName>
    <definedName name="VARPIB00_">#REF!</definedName>
    <definedName name="VARPIB93_">#REF!</definedName>
    <definedName name="VARPIB94_">#REF!</definedName>
    <definedName name="VARPIB95_">#REF!</definedName>
    <definedName name="VARPIB96_">#REF!</definedName>
    <definedName name="VARPIB97_">#REF!</definedName>
    <definedName name="VARPIB98_">#REF!</definedName>
    <definedName name="VARPIB99_">#REF!</definedName>
    <definedName name="VIGENCIA">#REF!</definedName>
    <definedName name="Vigencia_1999">#REF!</definedName>
    <definedName name="Vigencia_2000">#REF!</definedName>
    <definedName name="Vigencia_2001">#REF!</definedName>
    <definedName name="Vigencia_2002">#REF!</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#REF!</definedName>
    <definedName name="Z_91E95AE5_DCC2_11D0_8DF1_00805F2A002D_.wvu.Cols" hidden="1">#REF!,#REF!</definedName>
    <definedName name="Z_91E95AE6_DCC2_11D0_8DF1_00805F2A002D_.wvu.Cols" hidden="1">#REF!,#REF!</definedName>
    <definedName name="Z_91E95AE6_DCC2_11D0_8DF1_00805F2A002D_.wvu.Rows" hidden="1">#REF!,#REF!</definedName>
    <definedName name="Z_91E95AE7_DCC2_11D0_8DF1_00805F2A002D_.wvu.Cols" hidden="1">#REF!,#REF!,#REF!,#REF!,#REF!,#REF!,#REF!,#REF!</definedName>
    <definedName name="Z_91E95AE8_DCC2_11D0_8DF1_00805F2A002D_.wvu.Cols" hidden="1">#REF!,#REF!,#REF!,#REF!,#REF!</definedName>
    <definedName name="Z_91E95AE9_DCC2_11D0_8DF1_00805F2A002D_.wvu.Cols" hidden="1">#REF!,#REF!,#REF!,#REF!,#REF!,#REF!</definedName>
    <definedName name="Z_91E95AEB_DCC2_11D0_8DF1_00805F2A002D_.wvu.Cols" hidden="1">#REF!,#REF!</definedName>
    <definedName name="Z_91E95AEC_DCC2_11D0_8DF1_00805F2A002D_.wvu.Cols" hidden="1">#REF!,#REF!,#REF!,#REF!,#REF!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O13" i="1" l="1"/>
  <c r="AS62" i="1"/>
  <c r="AR62" i="1"/>
  <c r="AQ62" i="1"/>
  <c r="AP62" i="1"/>
  <c r="AK62" i="1"/>
  <c r="AQ61" i="1"/>
  <c r="AP61" i="1"/>
  <c r="AJ61" i="1"/>
  <c r="AI61" i="1"/>
  <c r="BV58" i="1"/>
  <c r="BR58" i="1"/>
  <c r="BT58" i="1" s="1"/>
  <c r="BL58" i="1"/>
  <c r="BF58" i="1"/>
  <c r="BH58" i="1" s="1"/>
  <c r="BA58" i="1"/>
  <c r="AQ58" i="1"/>
  <c r="AN58" i="1"/>
  <c r="AP58" i="1" s="1"/>
  <c r="AJ58" i="1"/>
  <c r="AD58" i="1"/>
  <c r="AF58" i="1" s="1"/>
  <c r="AH58" i="1" s="1"/>
  <c r="X58" i="1"/>
  <c r="Z58" i="1" s="1"/>
  <c r="AB58" i="1" s="1"/>
  <c r="R58" i="1"/>
  <c r="T58" i="1" s="1"/>
  <c r="V58" i="1" s="1"/>
  <c r="L58" i="1"/>
  <c r="N58" i="1" s="1"/>
  <c r="P58" i="1" s="1"/>
  <c r="H58" i="1"/>
  <c r="J58" i="1" s="1"/>
  <c r="BV57" i="1"/>
  <c r="BR57" i="1"/>
  <c r="BT57" i="1" s="1"/>
  <c r="BL57" i="1"/>
  <c r="BF57" i="1"/>
  <c r="BH57" i="1" s="1"/>
  <c r="BA57" i="1"/>
  <c r="AQ57" i="1"/>
  <c r="AN57" i="1"/>
  <c r="AL57" i="1"/>
  <c r="AP57" i="1" s="1"/>
  <c r="AJ57" i="1"/>
  <c r="AD57" i="1"/>
  <c r="AF57" i="1" s="1"/>
  <c r="AH57" i="1" s="1"/>
  <c r="X57" i="1"/>
  <c r="Z57" i="1" s="1"/>
  <c r="AB57" i="1" s="1"/>
  <c r="R57" i="1"/>
  <c r="T57" i="1" s="1"/>
  <c r="V57" i="1" s="1"/>
  <c r="L57" i="1"/>
  <c r="N57" i="1" s="1"/>
  <c r="H57" i="1"/>
  <c r="J57" i="1" s="1"/>
  <c r="BV56" i="1"/>
  <c r="BR56" i="1"/>
  <c r="BT56" i="1" s="1"/>
  <c r="BL56" i="1"/>
  <c r="BF56" i="1"/>
  <c r="BH56" i="1" s="1"/>
  <c r="AY56" i="1"/>
  <c r="BA56" i="1" s="1"/>
  <c r="AQ56" i="1"/>
  <c r="AN56" i="1"/>
  <c r="AP56" i="1" s="1"/>
  <c r="AJ56" i="1"/>
  <c r="AD56" i="1"/>
  <c r="AF56" i="1" s="1"/>
  <c r="AH56" i="1" s="1"/>
  <c r="X56" i="1"/>
  <c r="Z56" i="1" s="1"/>
  <c r="AB56" i="1" s="1"/>
  <c r="R56" i="1"/>
  <c r="T56" i="1" s="1"/>
  <c r="V56" i="1" s="1"/>
  <c r="L56" i="1"/>
  <c r="N56" i="1" s="1"/>
  <c r="P56" i="1" s="1"/>
  <c r="H56" i="1"/>
  <c r="BR55" i="1"/>
  <c r="BT55" i="1" s="1"/>
  <c r="BL55" i="1"/>
  <c r="BF55" i="1"/>
  <c r="BH55" i="1" s="1"/>
  <c r="AQ55" i="1"/>
  <c r="AJ55" i="1"/>
  <c r="AD55" i="1"/>
  <c r="AF55" i="1" s="1"/>
  <c r="AH55" i="1" s="1"/>
  <c r="X55" i="1"/>
  <c r="Z55" i="1" s="1"/>
  <c r="AB55" i="1" s="1"/>
  <c r="R55" i="1"/>
  <c r="T55" i="1" s="1"/>
  <c r="V55" i="1" s="1"/>
  <c r="L55" i="1"/>
  <c r="N55" i="1" s="1"/>
  <c r="P55" i="1" s="1"/>
  <c r="H55" i="1"/>
  <c r="AZ55" i="1"/>
  <c r="BV55" i="1" s="1"/>
  <c r="BR53" i="1"/>
  <c r="BT53" i="1" s="1"/>
  <c r="BL53" i="1"/>
  <c r="BN53" i="1" s="1"/>
  <c r="BF53" i="1"/>
  <c r="BH53" i="1" s="1"/>
  <c r="AZ53" i="1"/>
  <c r="BV53" i="1" s="1"/>
  <c r="AQ53" i="1"/>
  <c r="AN53" i="1"/>
  <c r="AP53" i="1" s="1"/>
  <c r="AJ53" i="1"/>
  <c r="AD53" i="1"/>
  <c r="AF53" i="1" s="1"/>
  <c r="AH53" i="1" s="1"/>
  <c r="X53" i="1"/>
  <c r="Z53" i="1" s="1"/>
  <c r="AB53" i="1" s="1"/>
  <c r="R53" i="1"/>
  <c r="T53" i="1" s="1"/>
  <c r="V53" i="1" s="1"/>
  <c r="L53" i="1"/>
  <c r="N53" i="1" s="1"/>
  <c r="H53" i="1"/>
  <c r="J53" i="1" s="1"/>
  <c r="BV52" i="1"/>
  <c r="BR52" i="1"/>
  <c r="BT52" i="1" s="1"/>
  <c r="BL52" i="1"/>
  <c r="BF52" i="1"/>
  <c r="BH52" i="1" s="1"/>
  <c r="AY52" i="1"/>
  <c r="BA52" i="1" s="1"/>
  <c r="AQ52" i="1"/>
  <c r="AL52" i="1"/>
  <c r="AP52" i="1" s="1"/>
  <c r="AJ52" i="1"/>
  <c r="AD52" i="1"/>
  <c r="AF52" i="1" s="1"/>
  <c r="AH52" i="1" s="1"/>
  <c r="X52" i="1"/>
  <c r="Z52" i="1" s="1"/>
  <c r="AB52" i="1" s="1"/>
  <c r="R52" i="1"/>
  <c r="T52" i="1" s="1"/>
  <c r="V52" i="1" s="1"/>
  <c r="L52" i="1"/>
  <c r="N52" i="1" s="1"/>
  <c r="P52" i="1" s="1"/>
  <c r="H52" i="1"/>
  <c r="J52" i="1" s="1"/>
  <c r="BV50" i="1"/>
  <c r="BR50" i="1"/>
  <c r="BT50" i="1" s="1"/>
  <c r="BJ50" i="1"/>
  <c r="BL50" i="1" s="1"/>
  <c r="BF50" i="1"/>
  <c r="BH50" i="1" s="1"/>
  <c r="AY50" i="1"/>
  <c r="BA50" i="1" s="1"/>
  <c r="AQ50" i="1"/>
  <c r="AP50" i="1"/>
  <c r="BV49" i="1"/>
  <c r="BR49" i="1"/>
  <c r="BT49" i="1" s="1"/>
  <c r="BL49" i="1"/>
  <c r="BH49" i="1"/>
  <c r="AY49" i="1"/>
  <c r="BA49" i="1" s="1"/>
  <c r="AQ49" i="1"/>
  <c r="AN49" i="1"/>
  <c r="AP49" i="1" s="1"/>
  <c r="AJ49" i="1"/>
  <c r="AD49" i="1"/>
  <c r="AF49" i="1" s="1"/>
  <c r="AH49" i="1" s="1"/>
  <c r="X49" i="1"/>
  <c r="Z49" i="1" s="1"/>
  <c r="AB49" i="1" s="1"/>
  <c r="R49" i="1"/>
  <c r="T49" i="1" s="1"/>
  <c r="V49" i="1" s="1"/>
  <c r="L49" i="1"/>
  <c r="N49" i="1" s="1"/>
  <c r="P49" i="1" s="1"/>
  <c r="H49" i="1"/>
  <c r="BV48" i="1"/>
  <c r="BR48" i="1"/>
  <c r="BT48" i="1" s="1"/>
  <c r="BL48" i="1"/>
  <c r="BN48" i="1" s="1"/>
  <c r="BF48" i="1"/>
  <c r="AY48" i="1"/>
  <c r="BA48" i="1" s="1"/>
  <c r="AQ48" i="1"/>
  <c r="AN48" i="1"/>
  <c r="AP48" i="1" s="1"/>
  <c r="AJ48" i="1"/>
  <c r="AD48" i="1"/>
  <c r="AF48" i="1" s="1"/>
  <c r="AH48" i="1" s="1"/>
  <c r="X48" i="1"/>
  <c r="Z48" i="1" s="1"/>
  <c r="AB48" i="1" s="1"/>
  <c r="R48" i="1"/>
  <c r="T48" i="1" s="1"/>
  <c r="V48" i="1" s="1"/>
  <c r="L48" i="1"/>
  <c r="N48" i="1" s="1"/>
  <c r="P48" i="1" s="1"/>
  <c r="H48" i="1"/>
  <c r="J48" i="1" s="1"/>
  <c r="BR47" i="1"/>
  <c r="BT47" i="1" s="1"/>
  <c r="BL47" i="1"/>
  <c r="BN47" i="1" s="1"/>
  <c r="AY47" i="1"/>
  <c r="BA47" i="1" s="1"/>
  <c r="AQ47" i="1"/>
  <c r="AN47" i="1"/>
  <c r="AP47" i="1" s="1"/>
  <c r="AJ47" i="1"/>
  <c r="AD47" i="1"/>
  <c r="AF47" i="1" s="1"/>
  <c r="AH47" i="1" s="1"/>
  <c r="X47" i="1"/>
  <c r="Z47" i="1" s="1"/>
  <c r="AB47" i="1" s="1"/>
  <c r="R47" i="1"/>
  <c r="T47" i="1" s="1"/>
  <c r="V47" i="1" s="1"/>
  <c r="L47" i="1"/>
  <c r="N47" i="1" s="1"/>
  <c r="H47" i="1"/>
  <c r="J47" i="1" s="1"/>
  <c r="BV46" i="1"/>
  <c r="BR46" i="1"/>
  <c r="BT46" i="1" s="1"/>
  <c r="BL46" i="1"/>
  <c r="BN46" i="1" s="1"/>
  <c r="BF46" i="1"/>
  <c r="BH46" i="1" s="1"/>
  <c r="AY46" i="1"/>
  <c r="BA46" i="1" s="1"/>
  <c r="AQ46" i="1"/>
  <c r="AN46" i="1"/>
  <c r="AL46" i="1"/>
  <c r="AJ46" i="1"/>
  <c r="AD46" i="1"/>
  <c r="AF46" i="1" s="1"/>
  <c r="AH46" i="1" s="1"/>
  <c r="X46" i="1"/>
  <c r="Z46" i="1" s="1"/>
  <c r="AB46" i="1" s="1"/>
  <c r="R46" i="1"/>
  <c r="T46" i="1" s="1"/>
  <c r="V46" i="1" s="1"/>
  <c r="L46" i="1"/>
  <c r="N46" i="1" s="1"/>
  <c r="H46" i="1"/>
  <c r="J46" i="1" s="1"/>
  <c r="BV45" i="1"/>
  <c r="BR45" i="1"/>
  <c r="BT45" i="1" s="1"/>
  <c r="BL45" i="1"/>
  <c r="BF45" i="1"/>
  <c r="BH45" i="1" s="1"/>
  <c r="AY45" i="1"/>
  <c r="BA45" i="1" s="1"/>
  <c r="AQ45" i="1"/>
  <c r="AN45" i="1"/>
  <c r="AL45" i="1"/>
  <c r="AJ45" i="1"/>
  <c r="AD45" i="1"/>
  <c r="AF45" i="1" s="1"/>
  <c r="AH45" i="1" s="1"/>
  <c r="X45" i="1"/>
  <c r="Z45" i="1" s="1"/>
  <c r="AB45" i="1" s="1"/>
  <c r="R45" i="1"/>
  <c r="T45" i="1" s="1"/>
  <c r="V45" i="1" s="1"/>
  <c r="L45" i="1"/>
  <c r="N45" i="1" s="1"/>
  <c r="P45" i="1" s="1"/>
  <c r="H45" i="1"/>
  <c r="J45" i="1" s="1"/>
  <c r="BV44" i="1"/>
  <c r="BR44" i="1"/>
  <c r="BT44" i="1" s="1"/>
  <c r="BL44" i="1"/>
  <c r="BN44" i="1" s="1"/>
  <c r="BF44" i="1"/>
  <c r="BH44" i="1" s="1"/>
  <c r="AY44" i="1"/>
  <c r="AQ44" i="1"/>
  <c r="AN44" i="1"/>
  <c r="AP44" i="1" s="1"/>
  <c r="AJ44" i="1"/>
  <c r="AD44" i="1"/>
  <c r="AF44" i="1" s="1"/>
  <c r="AH44" i="1" s="1"/>
  <c r="X44" i="1"/>
  <c r="Z44" i="1" s="1"/>
  <c r="R44" i="1"/>
  <c r="T44" i="1" s="1"/>
  <c r="V44" i="1" s="1"/>
  <c r="L44" i="1"/>
  <c r="N44" i="1" s="1"/>
  <c r="P44" i="1" s="1"/>
  <c r="H44" i="1"/>
  <c r="J44" i="1" s="1"/>
  <c r="BV42" i="1"/>
  <c r="BR42" i="1"/>
  <c r="BT42" i="1" s="1"/>
  <c r="BD42" i="1"/>
  <c r="BF42" i="1" s="1"/>
  <c r="BH42" i="1" s="1"/>
  <c r="AY42" i="1"/>
  <c r="BA42" i="1" s="1"/>
  <c r="AQ42" i="1"/>
  <c r="AN42" i="1"/>
  <c r="AL42" i="1"/>
  <c r="AJ42" i="1"/>
  <c r="AD42" i="1"/>
  <c r="AF42" i="1" s="1"/>
  <c r="AH42" i="1" s="1"/>
  <c r="X42" i="1"/>
  <c r="Z42" i="1" s="1"/>
  <c r="AB42" i="1" s="1"/>
  <c r="R42" i="1"/>
  <c r="T42" i="1" s="1"/>
  <c r="V42" i="1" s="1"/>
  <c r="L42" i="1"/>
  <c r="N42" i="1" s="1"/>
  <c r="P42" i="1" s="1"/>
  <c r="H42" i="1"/>
  <c r="J42" i="1" s="1"/>
  <c r="BV41" i="1"/>
  <c r="BR41" i="1"/>
  <c r="BL41" i="1"/>
  <c r="BN41" i="1" s="1"/>
  <c r="BF41" i="1"/>
  <c r="AY41" i="1"/>
  <c r="BA41" i="1" s="1"/>
  <c r="AQ41" i="1"/>
  <c r="AN41" i="1"/>
  <c r="AP41" i="1" s="1"/>
  <c r="AJ41" i="1"/>
  <c r="AD41" i="1"/>
  <c r="AF41" i="1" s="1"/>
  <c r="AH41" i="1" s="1"/>
  <c r="X41" i="1"/>
  <c r="Z41" i="1" s="1"/>
  <c r="AB41" i="1" s="1"/>
  <c r="R41" i="1"/>
  <c r="T41" i="1" s="1"/>
  <c r="L41" i="1"/>
  <c r="N41" i="1" s="1"/>
  <c r="P41" i="1" s="1"/>
  <c r="H41" i="1"/>
  <c r="J41" i="1" s="1"/>
  <c r="BV40" i="1"/>
  <c r="BR40" i="1"/>
  <c r="BT40" i="1" s="1"/>
  <c r="BL40" i="1"/>
  <c r="BF40" i="1"/>
  <c r="BH40" i="1" s="1"/>
  <c r="AY40" i="1"/>
  <c r="AQ40" i="1"/>
  <c r="AN40" i="1"/>
  <c r="AP40" i="1" s="1"/>
  <c r="AJ40" i="1"/>
  <c r="AD40" i="1"/>
  <c r="AF40" i="1" s="1"/>
  <c r="X40" i="1"/>
  <c r="Z40" i="1" s="1"/>
  <c r="R40" i="1"/>
  <c r="T40" i="1" s="1"/>
  <c r="L40" i="1"/>
  <c r="N40" i="1" s="1"/>
  <c r="H40" i="1"/>
  <c r="BM59" i="1"/>
  <c r="AM59" i="1"/>
  <c r="BV39" i="1"/>
  <c r="BD39" i="1"/>
  <c r="BJ39" i="1" s="1"/>
  <c r="BP39" i="1" s="1"/>
  <c r="BR39" i="1" s="1"/>
  <c r="BT39" i="1" s="1"/>
  <c r="AY39" i="1"/>
  <c r="BA39" i="1" s="1"/>
  <c r="AQ39" i="1"/>
  <c r="AR39" i="1" s="1"/>
  <c r="AS39" i="1" s="1"/>
  <c r="AU39" i="1" s="1"/>
  <c r="BV38" i="1"/>
  <c r="BU38" i="1"/>
  <c r="BH38" i="1"/>
  <c r="BA38" i="1"/>
  <c r="AQ38" i="1"/>
  <c r="AP38" i="1"/>
  <c r="AJ38" i="1"/>
  <c r="AI38" i="1"/>
  <c r="BV37" i="1"/>
  <c r="BR37" i="1"/>
  <c r="BJ37" i="1"/>
  <c r="BF37" i="1"/>
  <c r="BH37" i="1" s="1"/>
  <c r="BA37" i="1"/>
  <c r="AQ37" i="1"/>
  <c r="AN37" i="1"/>
  <c r="AJ37" i="1"/>
  <c r="AD37" i="1"/>
  <c r="AF37" i="1" s="1"/>
  <c r="X37" i="1"/>
  <c r="Z37" i="1" s="1"/>
  <c r="R37" i="1"/>
  <c r="T37" i="1" s="1"/>
  <c r="V37" i="1" s="1"/>
  <c r="L37" i="1"/>
  <c r="N37" i="1" s="1"/>
  <c r="H37" i="1"/>
  <c r="BV34" i="1"/>
  <c r="BR34" i="1"/>
  <c r="BT34" i="1" s="1"/>
  <c r="BL34" i="1"/>
  <c r="BF34" i="1"/>
  <c r="BH34" i="1" s="1"/>
  <c r="AY34" i="1"/>
  <c r="BA34" i="1" s="1"/>
  <c r="AQ34" i="1"/>
  <c r="AN34" i="1"/>
  <c r="AJ34" i="1"/>
  <c r="AD34" i="1"/>
  <c r="AF34" i="1" s="1"/>
  <c r="X34" i="1"/>
  <c r="Z34" i="1" s="1"/>
  <c r="R34" i="1"/>
  <c r="T34" i="1" s="1"/>
  <c r="L34" i="1"/>
  <c r="N34" i="1" s="1"/>
  <c r="P34" i="1" s="1"/>
  <c r="H34" i="1"/>
  <c r="J34" i="1" s="1"/>
  <c r="BS35" i="1"/>
  <c r="BM35" i="1"/>
  <c r="AZ35" i="1"/>
  <c r="AW35" i="1"/>
  <c r="BV33" i="1"/>
  <c r="BR33" i="1"/>
  <c r="BT33" i="1" s="1"/>
  <c r="BL33" i="1"/>
  <c r="BF33" i="1"/>
  <c r="BH33" i="1" s="1"/>
  <c r="AY33" i="1"/>
  <c r="BA33" i="1" s="1"/>
  <c r="AT33" i="1"/>
  <c r="AQ33" i="1"/>
  <c r="AP33" i="1"/>
  <c r="BV32" i="1"/>
  <c r="BR32" i="1"/>
  <c r="BT32" i="1" s="1"/>
  <c r="BL32" i="1"/>
  <c r="BF32" i="1"/>
  <c r="BH32" i="1" s="1"/>
  <c r="AY32" i="1"/>
  <c r="BA32" i="1" s="1"/>
  <c r="AQ32" i="1"/>
  <c r="AN32" i="1"/>
  <c r="AJ32" i="1"/>
  <c r="AD32" i="1"/>
  <c r="AF32" i="1" s="1"/>
  <c r="AH32" i="1" s="1"/>
  <c r="X32" i="1"/>
  <c r="Z32" i="1" s="1"/>
  <c r="AB32" i="1" s="1"/>
  <c r="R32" i="1"/>
  <c r="T32" i="1" s="1"/>
  <c r="V32" i="1" s="1"/>
  <c r="L32" i="1"/>
  <c r="N32" i="1" s="1"/>
  <c r="H32" i="1"/>
  <c r="J32" i="1" s="1"/>
  <c r="BV28" i="1"/>
  <c r="BH28" i="1"/>
  <c r="AY28" i="1"/>
  <c r="AQ28" i="1"/>
  <c r="AN28" i="1"/>
  <c r="AP28" i="1" s="1"/>
  <c r="AJ28" i="1"/>
  <c r="AD28" i="1"/>
  <c r="AF28" i="1" s="1"/>
  <c r="AH28" i="1" s="1"/>
  <c r="X28" i="1"/>
  <c r="Z28" i="1" s="1"/>
  <c r="AB28" i="1" s="1"/>
  <c r="R28" i="1"/>
  <c r="T28" i="1" s="1"/>
  <c r="V28" i="1" s="1"/>
  <c r="L28" i="1"/>
  <c r="N28" i="1" s="1"/>
  <c r="P28" i="1" s="1"/>
  <c r="H28" i="1"/>
  <c r="J28" i="1" s="1"/>
  <c r="BV27" i="1"/>
  <c r="BH27" i="1"/>
  <c r="AY27" i="1"/>
  <c r="BA27" i="1" s="1"/>
  <c r="AQ27" i="1"/>
  <c r="AN27" i="1"/>
  <c r="AL27" i="1"/>
  <c r="AJ27" i="1"/>
  <c r="AD27" i="1"/>
  <c r="X27" i="1"/>
  <c r="R27" i="1"/>
  <c r="L27" i="1"/>
  <c r="N27" i="1" s="1"/>
  <c r="P27" i="1" s="1"/>
  <c r="H27" i="1"/>
  <c r="BS29" i="1"/>
  <c r="BT26" i="1"/>
  <c r="BM26" i="1"/>
  <c r="BV26" i="1" s="1"/>
  <c r="BL26" i="1"/>
  <c r="BF26" i="1"/>
  <c r="BH26" i="1" s="1"/>
  <c r="AY26" i="1"/>
  <c r="BA26" i="1" s="1"/>
  <c r="AP26" i="1"/>
  <c r="AO26" i="1"/>
  <c r="AM26" i="1"/>
  <c r="AI26" i="1"/>
  <c r="AD26" i="1"/>
  <c r="AG26" i="1" s="1"/>
  <c r="AH26" i="1" s="1"/>
  <c r="X26" i="1"/>
  <c r="AA26" i="1" s="1"/>
  <c r="R26" i="1"/>
  <c r="U26" i="1" s="1"/>
  <c r="L26" i="1"/>
  <c r="O26" i="1" s="1"/>
  <c r="I26" i="1"/>
  <c r="J26" i="1" s="1"/>
  <c r="BV25" i="1"/>
  <c r="BU25" i="1"/>
  <c r="BT25" i="1"/>
  <c r="BH25" i="1"/>
  <c r="BA25" i="1"/>
  <c r="AQ25" i="1"/>
  <c r="AN25" i="1"/>
  <c r="AP25" i="1" s="1"/>
  <c r="AJ25" i="1"/>
  <c r="AD25" i="1"/>
  <c r="X25" i="1"/>
  <c r="R25" i="1"/>
  <c r="L25" i="1"/>
  <c r="N25" i="1" s="1"/>
  <c r="H25" i="1"/>
  <c r="J25" i="1" s="1"/>
  <c r="AZ29" i="1"/>
  <c r="BV24" i="1"/>
  <c r="BR24" i="1"/>
  <c r="BD24" i="1"/>
  <c r="BJ24" i="1" s="1"/>
  <c r="AY24" i="1"/>
  <c r="AU24" i="1"/>
  <c r="BV21" i="1"/>
  <c r="BU20" i="1"/>
  <c r="BS20" i="1"/>
  <c r="BM20" i="1"/>
  <c r="BG20" i="1"/>
  <c r="BH20" i="1" s="1"/>
  <c r="AZ20" i="1"/>
  <c r="BA20" i="1" s="1"/>
  <c r="AQ20" i="1"/>
  <c r="AN20" i="1"/>
  <c r="AL20" i="1"/>
  <c r="AJ20" i="1"/>
  <c r="AD20" i="1"/>
  <c r="AF20" i="1" s="1"/>
  <c r="AH20" i="1" s="1"/>
  <c r="X20" i="1"/>
  <c r="Z20" i="1" s="1"/>
  <c r="AB20" i="1" s="1"/>
  <c r="R20" i="1"/>
  <c r="T20" i="1" s="1"/>
  <c r="V20" i="1" s="1"/>
  <c r="L20" i="1"/>
  <c r="N20" i="1" s="1"/>
  <c r="H20" i="1"/>
  <c r="J20" i="1" s="1"/>
  <c r="BU19" i="1"/>
  <c r="BS19" i="1"/>
  <c r="BM19" i="1"/>
  <c r="BG19" i="1"/>
  <c r="BH19" i="1" s="1"/>
  <c r="AZ19" i="1"/>
  <c r="BA19" i="1" s="1"/>
  <c r="AQ19" i="1"/>
  <c r="AP19" i="1"/>
  <c r="AJ19" i="1"/>
  <c r="AD19" i="1"/>
  <c r="AF19" i="1" s="1"/>
  <c r="X19" i="1"/>
  <c r="Z19" i="1" s="1"/>
  <c r="AB19" i="1" s="1"/>
  <c r="R19" i="1"/>
  <c r="T19" i="1" s="1"/>
  <c r="L19" i="1"/>
  <c r="N19" i="1" s="1"/>
  <c r="H19" i="1"/>
  <c r="AW21" i="1"/>
  <c r="BR18" i="1"/>
  <c r="BT18" i="1" s="1"/>
  <c r="BL18" i="1"/>
  <c r="BD18" i="1"/>
  <c r="AZ18" i="1"/>
  <c r="AY18" i="1"/>
  <c r="AQ18" i="1"/>
  <c r="BP16" i="1"/>
  <c r="BJ16" i="1"/>
  <c r="BD16" i="1"/>
  <c r="AY16" i="1"/>
  <c r="AW16" i="1"/>
  <c r="AO16" i="1"/>
  <c r="BV15" i="1"/>
  <c r="BU15" i="1"/>
  <c r="BN15" i="1"/>
  <c r="BH15" i="1"/>
  <c r="BA15" i="1"/>
  <c r="AQ15" i="1"/>
  <c r="AN15" i="1"/>
  <c r="AP15" i="1" s="1"/>
  <c r="AC15" i="1"/>
  <c r="W15" i="1"/>
  <c r="Q15" i="1"/>
  <c r="K15" i="1"/>
  <c r="BD12" i="1"/>
  <c r="AZ12" i="1"/>
  <c r="BV12" i="1" s="1"/>
  <c r="AY12" i="1"/>
  <c r="AQ12" i="1"/>
  <c r="AN12" i="1"/>
  <c r="AJ12" i="1"/>
  <c r="Q12" i="1"/>
  <c r="W12" i="1" s="1"/>
  <c r="K12" i="1"/>
  <c r="E12" i="1"/>
  <c r="H12" i="1" s="1"/>
  <c r="D2" i="1"/>
  <c r="AR15" i="1" l="1"/>
  <c r="AP46" i="1"/>
  <c r="AR46" i="1" s="1"/>
  <c r="AZ13" i="1"/>
  <c r="BM13" i="1"/>
  <c r="AN13" i="1"/>
  <c r="AP12" i="1"/>
  <c r="AR12" i="1" s="1"/>
  <c r="AP13" i="1"/>
  <c r="I13" i="1"/>
  <c r="AM13" i="1"/>
  <c r="BF12" i="1"/>
  <c r="BH12" i="1" s="1"/>
  <c r="AL13" i="1"/>
  <c r="BG13" i="1"/>
  <c r="U13" i="1"/>
  <c r="BV20" i="1"/>
  <c r="BW20" i="1" s="1"/>
  <c r="I59" i="1"/>
  <c r="BA53" i="1"/>
  <c r="BW53" i="1" s="1"/>
  <c r="O35" i="1"/>
  <c r="I35" i="1"/>
  <c r="AP27" i="1"/>
  <c r="AJ35" i="1"/>
  <c r="BW25" i="1"/>
  <c r="AR19" i="1"/>
  <c r="BA55" i="1"/>
  <c r="BW55" i="1" s="1"/>
  <c r="BG29" i="1"/>
  <c r="BW38" i="1"/>
  <c r="BU45" i="1"/>
  <c r="AR49" i="1"/>
  <c r="AK61" i="1"/>
  <c r="BJ12" i="1"/>
  <c r="BP12" i="1" s="1"/>
  <c r="AL21" i="1"/>
  <c r="AA21" i="1"/>
  <c r="AL29" i="1"/>
  <c r="AR33" i="1"/>
  <c r="AS33" i="1" s="1"/>
  <c r="AU33" i="1" s="1"/>
  <c r="BF39" i="1"/>
  <c r="BH39" i="1" s="1"/>
  <c r="AA59" i="1"/>
  <c r="BN45" i="1"/>
  <c r="BW45" i="1" s="1"/>
  <c r="L12" i="1"/>
  <c r="N12" i="1" s="1"/>
  <c r="O15" i="1"/>
  <c r="AP42" i="1"/>
  <c r="AR42" i="1" s="1"/>
  <c r="BR21" i="1"/>
  <c r="BT21" i="1" s="1"/>
  <c r="AO35" i="1"/>
  <c r="AL55" i="1"/>
  <c r="AP55" i="1" s="1"/>
  <c r="AR55" i="1" s="1"/>
  <c r="O59" i="1"/>
  <c r="BW58" i="1"/>
  <c r="AR50" i="1"/>
  <c r="AS50" i="1" s="1"/>
  <c r="AU50" i="1" s="1"/>
  <c r="X12" i="1"/>
  <c r="Z12" i="1" s="1"/>
  <c r="AP32" i="1"/>
  <c r="AR32" i="1" s="1"/>
  <c r="AK38" i="1"/>
  <c r="AT38" i="1" s="1"/>
  <c r="AR52" i="1"/>
  <c r="AR58" i="1"/>
  <c r="P46" i="1"/>
  <c r="AI46" i="1"/>
  <c r="AK46" i="1" s="1"/>
  <c r="AT46" i="1" s="1"/>
  <c r="Q27" i="1"/>
  <c r="T27" i="1" s="1"/>
  <c r="BA24" i="1"/>
  <c r="BA12" i="1"/>
  <c r="BW27" i="1"/>
  <c r="BA28" i="1"/>
  <c r="BW28" i="1" s="1"/>
  <c r="BU28" i="1"/>
  <c r="AG35" i="1"/>
  <c r="BA18" i="1"/>
  <c r="BV18" i="1"/>
  <c r="BL24" i="1"/>
  <c r="BW56" i="1"/>
  <c r="BF24" i="1"/>
  <c r="I15" i="1"/>
  <c r="BU40" i="1"/>
  <c r="BN40" i="1"/>
  <c r="AJ26" i="1"/>
  <c r="AK26" i="1" s="1"/>
  <c r="BU37" i="1"/>
  <c r="AA15" i="1"/>
  <c r="AA16" i="1" s="1"/>
  <c r="AA35" i="1"/>
  <c r="V34" i="1"/>
  <c r="BU49" i="1"/>
  <c r="BW49" i="1" s="1"/>
  <c r="BN49" i="1"/>
  <c r="AR61" i="1"/>
  <c r="BU27" i="1"/>
  <c r="AR47" i="1"/>
  <c r="AO59" i="1"/>
  <c r="BF18" i="1"/>
  <c r="BU18" i="1" s="1"/>
  <c r="BU58" i="1"/>
  <c r="AY21" i="1"/>
  <c r="BA21" i="1" s="1"/>
  <c r="AG21" i="1"/>
  <c r="AM29" i="1"/>
  <c r="AQ26" i="1"/>
  <c r="AR28" i="1"/>
  <c r="BF47" i="1"/>
  <c r="BH47" i="1" s="1"/>
  <c r="AR56" i="1"/>
  <c r="AR57" i="1"/>
  <c r="BW57" i="1"/>
  <c r="BG16" i="1"/>
  <c r="AL35" i="1"/>
  <c r="AR41" i="1"/>
  <c r="BJ42" i="1"/>
  <c r="BL42" i="1" s="1"/>
  <c r="BN42" i="1" s="1"/>
  <c r="BV47" i="1"/>
  <c r="BU56" i="1"/>
  <c r="AR38" i="1"/>
  <c r="BS59" i="1"/>
  <c r="J19" i="1"/>
  <c r="BV19" i="1"/>
  <c r="BW19" i="1" s="1"/>
  <c r="O21" i="1"/>
  <c r="AW29" i="1"/>
  <c r="AY35" i="1"/>
  <c r="BA35" i="1" s="1"/>
  <c r="U35" i="1"/>
  <c r="BW37" i="1"/>
  <c r="AR44" i="1"/>
  <c r="AR48" i="1"/>
  <c r="AG59" i="1"/>
  <c r="AC12" i="1"/>
  <c r="AI19" i="1"/>
  <c r="AI20" i="1"/>
  <c r="AK20" i="1" s="1"/>
  <c r="P19" i="1"/>
  <c r="P20" i="1"/>
  <c r="V19" i="1"/>
  <c r="J35" i="1"/>
  <c r="BW15" i="1"/>
  <c r="AL16" i="1"/>
  <c r="J12" i="1"/>
  <c r="P47" i="1"/>
  <c r="AI47" i="1"/>
  <c r="AK47" i="1" s="1"/>
  <c r="V41" i="1"/>
  <c r="AI41" i="1"/>
  <c r="AK41" i="1" s="1"/>
  <c r="AR18" i="1"/>
  <c r="AH19" i="1"/>
  <c r="BR29" i="1"/>
  <c r="BT29" i="1" s="1"/>
  <c r="BT24" i="1"/>
  <c r="AQ16" i="1"/>
  <c r="AI32" i="1"/>
  <c r="AK32" i="1" s="1"/>
  <c r="P32" i="1"/>
  <c r="P35" i="1" s="1"/>
  <c r="H15" i="1"/>
  <c r="AN16" i="1"/>
  <c r="BN18" i="1"/>
  <c r="AB26" i="1"/>
  <c r="AB34" i="1"/>
  <c r="AN21" i="1"/>
  <c r="AP20" i="1"/>
  <c r="AR20" i="1" s="1"/>
  <c r="AI48" i="1"/>
  <c r="AK48" i="1" s="1"/>
  <c r="P26" i="1"/>
  <c r="R12" i="1"/>
  <c r="T12" i="1" s="1"/>
  <c r="AD12" i="1"/>
  <c r="AM16" i="1"/>
  <c r="J27" i="1"/>
  <c r="AQ35" i="1"/>
  <c r="BU34" i="1"/>
  <c r="BN34" i="1"/>
  <c r="BW34" i="1" s="1"/>
  <c r="BL21" i="1"/>
  <c r="BN21" i="1" s="1"/>
  <c r="AH37" i="1"/>
  <c r="J40" i="1"/>
  <c r="AI40" i="1"/>
  <c r="BU50" i="1"/>
  <c r="BW50" i="1" s="1"/>
  <c r="BN50" i="1"/>
  <c r="U59" i="1"/>
  <c r="BF35" i="1"/>
  <c r="BG35" i="1"/>
  <c r="BV35" i="1"/>
  <c r="AI34" i="1"/>
  <c r="AN35" i="1"/>
  <c r="AP34" i="1"/>
  <c r="AI37" i="1"/>
  <c r="J37" i="1"/>
  <c r="BT41" i="1"/>
  <c r="BU41" i="1"/>
  <c r="AR53" i="1"/>
  <c r="I21" i="1"/>
  <c r="V40" i="1"/>
  <c r="AB44" i="1"/>
  <c r="AI44" i="1"/>
  <c r="AK44" i="1" s="1"/>
  <c r="P53" i="1"/>
  <c r="AI53" i="1"/>
  <c r="AK53" i="1" s="1"/>
  <c r="BU55" i="1"/>
  <c r="P25" i="1"/>
  <c r="V26" i="1"/>
  <c r="BU26" i="1"/>
  <c r="AO29" i="1"/>
  <c r="BR35" i="1"/>
  <c r="BT35" i="1" s="1"/>
  <c r="AB40" i="1"/>
  <c r="AI55" i="1"/>
  <c r="AK55" i="1" s="1"/>
  <c r="J55" i="1"/>
  <c r="AR25" i="1"/>
  <c r="BN26" i="1"/>
  <c r="AH34" i="1"/>
  <c r="AB37" i="1"/>
  <c r="BU52" i="1"/>
  <c r="BN52" i="1"/>
  <c r="BW52" i="1" s="1"/>
  <c r="BU32" i="1"/>
  <c r="BN32" i="1"/>
  <c r="BW32" i="1" s="1"/>
  <c r="BH48" i="1"/>
  <c r="BU48" i="1"/>
  <c r="BW48" i="1" s="1"/>
  <c r="P57" i="1"/>
  <c r="AI57" i="1"/>
  <c r="AK57" i="1" s="1"/>
  <c r="AI28" i="1"/>
  <c r="AK28" i="1" s="1"/>
  <c r="BU33" i="1"/>
  <c r="BL39" i="1"/>
  <c r="AI42" i="1"/>
  <c r="AK42" i="1" s="1"/>
  <c r="AI45" i="1"/>
  <c r="AK45" i="1" s="1"/>
  <c r="U21" i="1"/>
  <c r="BN33" i="1"/>
  <c r="BW33" i="1" s="1"/>
  <c r="P37" i="1"/>
  <c r="AH40" i="1"/>
  <c r="AP37" i="1"/>
  <c r="BA44" i="1"/>
  <c r="BU44" i="1"/>
  <c r="BA40" i="1"/>
  <c r="BW46" i="1"/>
  <c r="J56" i="1"/>
  <c r="AI56" i="1"/>
  <c r="AK56" i="1" s="1"/>
  <c r="AI58" i="1"/>
  <c r="AK58" i="1" s="1"/>
  <c r="AI52" i="1"/>
  <c r="AK52" i="1" s="1"/>
  <c r="P40" i="1"/>
  <c r="AI49" i="1"/>
  <c r="AK49" i="1" s="1"/>
  <c r="AZ59" i="1"/>
  <c r="BV59" i="1" s="1"/>
  <c r="BT37" i="1"/>
  <c r="J49" i="1"/>
  <c r="BU57" i="1"/>
  <c r="AP45" i="1"/>
  <c r="AR45" i="1" s="1"/>
  <c r="BU46" i="1"/>
  <c r="BU53" i="1"/>
  <c r="BH41" i="1"/>
  <c r="BW41" i="1" s="1"/>
  <c r="AR40" i="1"/>
  <c r="N59" i="1" l="1"/>
  <c r="H35" i="1"/>
  <c r="P12" i="1"/>
  <c r="AA13" i="1"/>
  <c r="BS13" i="1"/>
  <c r="P13" i="1"/>
  <c r="AG13" i="1"/>
  <c r="BP13" i="1"/>
  <c r="BV13" i="1"/>
  <c r="AY13" i="1"/>
  <c r="BA13" i="1" s="1"/>
  <c r="V13" i="1"/>
  <c r="T13" i="1"/>
  <c r="J13" i="1"/>
  <c r="H13" i="1"/>
  <c r="BL12" i="1"/>
  <c r="AQ13" i="1"/>
  <c r="AR13" i="1"/>
  <c r="O13" i="1"/>
  <c r="AL59" i="1"/>
  <c r="AL60" i="1" s="1"/>
  <c r="AL62" i="1" s="1"/>
  <c r="AQ29" i="1"/>
  <c r="BM29" i="1"/>
  <c r="BV29" i="1" s="1"/>
  <c r="T59" i="1"/>
  <c r="AO60" i="1"/>
  <c r="AO62" i="1" s="1"/>
  <c r="AN29" i="1"/>
  <c r="AR27" i="1"/>
  <c r="AS61" i="1"/>
  <c r="AH21" i="1"/>
  <c r="AT61" i="1"/>
  <c r="T35" i="1"/>
  <c r="AS46" i="1"/>
  <c r="AU46" i="1" s="1"/>
  <c r="AB21" i="1"/>
  <c r="AJ21" i="1"/>
  <c r="AF21" i="1"/>
  <c r="O16" i="1"/>
  <c r="N21" i="1"/>
  <c r="AB59" i="1"/>
  <c r="AR26" i="1"/>
  <c r="AS26" i="1" s="1"/>
  <c r="AM60" i="1"/>
  <c r="AM62" i="1" s="1"/>
  <c r="AS38" i="1"/>
  <c r="AU38" i="1" s="1"/>
  <c r="AG15" i="1"/>
  <c r="AG16" i="1" s="1"/>
  <c r="V35" i="1"/>
  <c r="AT26" i="1"/>
  <c r="BH18" i="1"/>
  <c r="BU42" i="1"/>
  <c r="BW42" i="1" s="1"/>
  <c r="BU47" i="1"/>
  <c r="BW47" i="1" s="1"/>
  <c r="BF29" i="1"/>
  <c r="BH29" i="1" s="1"/>
  <c r="BH24" i="1"/>
  <c r="BG60" i="1"/>
  <c r="BG61" i="1" s="1"/>
  <c r="BG62" i="1" s="1"/>
  <c r="AR16" i="1"/>
  <c r="AN59" i="1"/>
  <c r="AH35" i="1"/>
  <c r="BN24" i="1"/>
  <c r="BH35" i="1"/>
  <c r="AJ59" i="1"/>
  <c r="AP29" i="1"/>
  <c r="V21" i="1"/>
  <c r="T21" i="1"/>
  <c r="AY29" i="1"/>
  <c r="BA29" i="1" s="1"/>
  <c r="V27" i="1"/>
  <c r="P59" i="1"/>
  <c r="AF59" i="1"/>
  <c r="BU24" i="1"/>
  <c r="I16" i="1"/>
  <c r="BW26" i="1"/>
  <c r="AY59" i="1"/>
  <c r="AS45" i="1"/>
  <c r="AT45" i="1"/>
  <c r="AT53" i="1"/>
  <c r="AS53" i="1"/>
  <c r="AS42" i="1"/>
  <c r="AT42" i="1"/>
  <c r="AK40" i="1"/>
  <c r="AS58" i="1"/>
  <c r="AT58" i="1"/>
  <c r="AT28" i="1"/>
  <c r="AS28" i="1"/>
  <c r="AF35" i="1"/>
  <c r="AT55" i="1"/>
  <c r="AS55" i="1"/>
  <c r="AK34" i="1"/>
  <c r="AQ59" i="1"/>
  <c r="U15" i="1"/>
  <c r="U16" i="1" s="1"/>
  <c r="Z35" i="1"/>
  <c r="AS18" i="1"/>
  <c r="AF12" i="1"/>
  <c r="BL29" i="1"/>
  <c r="AT20" i="1"/>
  <c r="AS20" i="1"/>
  <c r="AT52" i="1"/>
  <c r="AS52" i="1"/>
  <c r="AR34" i="1"/>
  <c r="AT32" i="1"/>
  <c r="AS32" i="1"/>
  <c r="AR37" i="1"/>
  <c r="BL35" i="1"/>
  <c r="BN35" i="1" s="1"/>
  <c r="AT56" i="1"/>
  <c r="AS56" i="1"/>
  <c r="Z59" i="1"/>
  <c r="BW40" i="1"/>
  <c r="N35" i="1"/>
  <c r="AS48" i="1"/>
  <c r="AT48" i="1"/>
  <c r="AB35" i="1"/>
  <c r="AB12" i="1"/>
  <c r="V59" i="1"/>
  <c r="H21" i="1"/>
  <c r="T15" i="1"/>
  <c r="V12" i="1"/>
  <c r="BR12" i="1"/>
  <c r="AK19" i="1"/>
  <c r="BU39" i="1"/>
  <c r="BN39" i="1"/>
  <c r="AT57" i="1"/>
  <c r="AS57" i="1"/>
  <c r="J21" i="1"/>
  <c r="AS44" i="1"/>
  <c r="AT44" i="1"/>
  <c r="Q25" i="1"/>
  <c r="T25" i="1" s="1"/>
  <c r="AP16" i="1"/>
  <c r="AH59" i="1"/>
  <c r="H59" i="1"/>
  <c r="J15" i="1"/>
  <c r="BW18" i="1"/>
  <c r="AT49" i="1"/>
  <c r="AS49" i="1"/>
  <c r="AK37" i="1"/>
  <c r="Z21" i="1"/>
  <c r="AT41" i="1"/>
  <c r="AS41" i="1"/>
  <c r="BM16" i="1"/>
  <c r="AS47" i="1"/>
  <c r="AT47" i="1"/>
  <c r="N15" i="1"/>
  <c r="AI12" i="1" l="1"/>
  <c r="AK12" i="1" s="1"/>
  <c r="Z13" i="1"/>
  <c r="AF13" i="1"/>
  <c r="N13" i="1"/>
  <c r="BT13" i="1"/>
  <c r="BR13" i="1"/>
  <c r="AJ13" i="1"/>
  <c r="BN12" i="1"/>
  <c r="AB13" i="1"/>
  <c r="AU56" i="1"/>
  <c r="BM60" i="1"/>
  <c r="BM61" i="1" s="1"/>
  <c r="BM62" i="1" s="1"/>
  <c r="AU61" i="1"/>
  <c r="AP59" i="1"/>
  <c r="P21" i="1"/>
  <c r="AU49" i="1"/>
  <c r="AN60" i="1"/>
  <c r="AN62" i="1" s="1"/>
  <c r="AT62" i="1" s="1"/>
  <c r="AZ16" i="1"/>
  <c r="BA16" i="1" s="1"/>
  <c r="AR29" i="1"/>
  <c r="AR35" i="1"/>
  <c r="AJ15" i="1"/>
  <c r="AJ16" i="1" s="1"/>
  <c r="AP35" i="1"/>
  <c r="H16" i="1"/>
  <c r="AU52" i="1"/>
  <c r="AU55" i="1"/>
  <c r="AU26" i="1"/>
  <c r="BL59" i="1"/>
  <c r="BN59" i="1" s="1"/>
  <c r="BF21" i="1"/>
  <c r="BH21" i="1" s="1"/>
  <c r="BW21" i="1" s="1"/>
  <c r="BS16" i="1"/>
  <c r="AU57" i="1"/>
  <c r="AU44" i="1"/>
  <c r="AU58" i="1"/>
  <c r="AI35" i="1"/>
  <c r="AU53" i="1"/>
  <c r="BW24" i="1"/>
  <c r="AU42" i="1"/>
  <c r="BA59" i="1"/>
  <c r="AR59" i="1"/>
  <c r="AU48" i="1"/>
  <c r="AI59" i="1"/>
  <c r="W27" i="1"/>
  <c r="Z27" i="1" s="1"/>
  <c r="AS37" i="1"/>
  <c r="AT37" i="1"/>
  <c r="AU41" i="1"/>
  <c r="J16" i="1"/>
  <c r="AU32" i="1"/>
  <c r="AY60" i="1"/>
  <c r="AU47" i="1"/>
  <c r="V25" i="1"/>
  <c r="W25" i="1" s="1"/>
  <c r="Z25" i="1" s="1"/>
  <c r="BW39" i="1"/>
  <c r="AT19" i="1"/>
  <c r="AS19" i="1"/>
  <c r="BN29" i="1"/>
  <c r="BW29" i="1" s="1"/>
  <c r="BU29" i="1"/>
  <c r="AF15" i="1"/>
  <c r="AH12" i="1"/>
  <c r="AH13" i="1" s="1"/>
  <c r="AU18" i="1"/>
  <c r="J59" i="1"/>
  <c r="AS40" i="1"/>
  <c r="AT40" i="1"/>
  <c r="BT12" i="1"/>
  <c r="BU12" i="1"/>
  <c r="AU45" i="1"/>
  <c r="P15" i="1"/>
  <c r="P16" i="1" s="1"/>
  <c r="N16" i="1"/>
  <c r="V15" i="1"/>
  <c r="BU35" i="1"/>
  <c r="BW35" i="1"/>
  <c r="BR59" i="1"/>
  <c r="Z15" i="1"/>
  <c r="BD59" i="1"/>
  <c r="AU20" i="1"/>
  <c r="AT34" i="1"/>
  <c r="AS34" i="1"/>
  <c r="AU28" i="1"/>
  <c r="AI13" i="1" l="1"/>
  <c r="BD13" i="1"/>
  <c r="AZ60" i="1"/>
  <c r="AZ61" i="1" s="1"/>
  <c r="BA61" i="1" s="1"/>
  <c r="AI21" i="1"/>
  <c r="BU21" i="1"/>
  <c r="AK35" i="1"/>
  <c r="AB27" i="1"/>
  <c r="BR16" i="1"/>
  <c r="BR60" i="1" s="1"/>
  <c r="BT16" i="1"/>
  <c r="AB25" i="1"/>
  <c r="AS12" i="1"/>
  <c r="AT12" i="1"/>
  <c r="T16" i="1"/>
  <c r="BW12" i="1"/>
  <c r="AU34" i="1"/>
  <c r="AB15" i="1"/>
  <c r="AB16" i="1" s="1"/>
  <c r="Z16" i="1"/>
  <c r="V16" i="1"/>
  <c r="AK21" i="1"/>
  <c r="AT21" i="1" s="1"/>
  <c r="BF59" i="1"/>
  <c r="AY62" i="1"/>
  <c r="BA60" i="1"/>
  <c r="AF16" i="1"/>
  <c r="AH15" i="1"/>
  <c r="AI15" i="1"/>
  <c r="AU19" i="1"/>
  <c r="AU37" i="1"/>
  <c r="AK59" i="1"/>
  <c r="AT59" i="1" s="1"/>
  <c r="BT59" i="1"/>
  <c r="AU40" i="1"/>
  <c r="BV16" i="1"/>
  <c r="BS60" i="1"/>
  <c r="AK13" i="1" l="1"/>
  <c r="AT13" i="1" s="1"/>
  <c r="BJ13" i="1"/>
  <c r="AS13" i="1"/>
  <c r="AU12" i="1"/>
  <c r="AC27" i="1"/>
  <c r="AF27" i="1" s="1"/>
  <c r="AH27" i="1" s="1"/>
  <c r="BA62" i="1"/>
  <c r="AH16" i="1"/>
  <c r="AS35" i="1"/>
  <c r="BT60" i="1"/>
  <c r="BR61" i="1"/>
  <c r="BR62" i="1" s="1"/>
  <c r="BH59" i="1"/>
  <c r="BW59" i="1" s="1"/>
  <c r="BU59" i="1"/>
  <c r="BS61" i="1"/>
  <c r="BV61" i="1" s="1"/>
  <c r="BV60" i="1"/>
  <c r="AI16" i="1"/>
  <c r="AK16" i="1" s="1"/>
  <c r="AT16" i="1" s="1"/>
  <c r="AK15" i="1"/>
  <c r="AC25" i="1"/>
  <c r="AF25" i="1" s="1"/>
  <c r="AS59" i="1"/>
  <c r="AZ62" i="1"/>
  <c r="BF13" i="1" l="1"/>
  <c r="BH13" i="1" s="1"/>
  <c r="BS62" i="1"/>
  <c r="BV62" i="1"/>
  <c r="AI27" i="1"/>
  <c r="BT61" i="1"/>
  <c r="BT62" i="1" s="1"/>
  <c r="AH25" i="1"/>
  <c r="AI25" i="1"/>
  <c r="AS15" i="1"/>
  <c r="AT15" i="1"/>
  <c r="BL13" i="1" l="1"/>
  <c r="BN13" i="1" s="1"/>
  <c r="BW13" i="1"/>
  <c r="BU13" i="1"/>
  <c r="AK27" i="1"/>
  <c r="AT27" i="1" s="1"/>
  <c r="AK25" i="1"/>
  <c r="AU15" i="1"/>
  <c r="AS16" i="1"/>
  <c r="AS27" i="1" l="1"/>
  <c r="AU27" i="1" s="1"/>
  <c r="BF16" i="1"/>
  <c r="AS25" i="1"/>
  <c r="AT25" i="1"/>
  <c r="AU25" i="1" l="1"/>
  <c r="BL16" i="1"/>
  <c r="BH16" i="1"/>
  <c r="BF60" i="1"/>
  <c r="AS29" i="1" l="1"/>
  <c r="BU16" i="1"/>
  <c r="BU60" i="1" s="1"/>
  <c r="BN16" i="1"/>
  <c r="BW16" i="1" s="1"/>
  <c r="BL60" i="1"/>
  <c r="BF61" i="1"/>
  <c r="BH61" i="1" s="1"/>
  <c r="BH60" i="1"/>
  <c r="BH62" i="1" l="1"/>
  <c r="BF62" i="1"/>
  <c r="BN60" i="1"/>
  <c r="BL61" i="1"/>
  <c r="BW60" i="1" l="1"/>
  <c r="BU61" i="1"/>
  <c r="BU62" i="1" s="1"/>
  <c r="BN61" i="1"/>
  <c r="BW61" i="1" s="1"/>
  <c r="BL62" i="1"/>
  <c r="BW62" i="1" l="1"/>
  <c r="BN62" i="1"/>
  <c r="AT35" i="1" l="1"/>
  <c r="H29" i="1"/>
  <c r="AJ29" i="1"/>
  <c r="AJ60" i="1" s="1"/>
  <c r="AK60" i="1" s="1"/>
  <c r="AT60" i="1" s="1"/>
  <c r="AB29" i="1"/>
  <c r="AB60" i="1" s="1"/>
  <c r="J29" i="1"/>
  <c r="P29" i="1"/>
  <c r="AK29" i="1"/>
  <c r="AT29" i="1" s="1"/>
  <c r="N29" i="1"/>
  <c r="N60" i="1" s="1"/>
  <c r="P60" i="1" s="1"/>
  <c r="AH29" i="1"/>
  <c r="AH60" i="1" s="1"/>
  <c r="O29" i="1"/>
  <c r="O60" i="1" s="1"/>
  <c r="T29" i="1"/>
  <c r="T60" i="1" s="1"/>
  <c r="AG29" i="1"/>
  <c r="AG60" i="1" s="1"/>
  <c r="Z29" i="1"/>
  <c r="Z60" i="1" s="1"/>
  <c r="U29" i="1"/>
  <c r="U60" i="1" s="1"/>
  <c r="AF29" i="1"/>
  <c r="AF60" i="1" s="1"/>
  <c r="I29" i="1"/>
  <c r="V29" i="1"/>
  <c r="V60" i="1" s="1"/>
  <c r="AI29" i="1"/>
  <c r="AA29" i="1"/>
  <c r="AA60" i="1"/>
</calcChain>
</file>

<file path=xl/sharedStrings.xml><?xml version="1.0" encoding="utf-8"?>
<sst xmlns="http://schemas.openxmlformats.org/spreadsheetml/2006/main" count="258" uniqueCount="168">
  <si>
    <t>USAID Juntos Aprendemos</t>
  </si>
  <si>
    <t>Subaward Budget</t>
  </si>
  <si>
    <t>Country: Colombia</t>
  </si>
  <si>
    <t>Budget Assumptions</t>
  </si>
  <si>
    <t>Inflation - Locally Purchased Goods/Services - 6%</t>
  </si>
  <si>
    <t>*Key Personnel</t>
  </si>
  <si>
    <t>Original Budget</t>
  </si>
  <si>
    <t>Actuals/Estimates Year 1 and 2</t>
  </si>
  <si>
    <t>Projections for Year 3 -5</t>
  </si>
  <si>
    <t>New Proposed Budget Total 06</t>
  </si>
  <si>
    <t>Line Items</t>
  </si>
  <si>
    <t>Year 1</t>
  </si>
  <si>
    <t>Year 2</t>
  </si>
  <si>
    <t>Year 3</t>
  </si>
  <si>
    <t>Year 4</t>
  </si>
  <si>
    <t>Year 5</t>
  </si>
  <si>
    <t>Total</t>
  </si>
  <si>
    <t xml:space="preserve">Total </t>
  </si>
  <si>
    <t xml:space="preserve">Grand </t>
  </si>
  <si>
    <t>Year 6</t>
  </si>
  <si>
    <t>Year 3- 6</t>
  </si>
  <si>
    <t>LINE NUMBER</t>
  </si>
  <si>
    <t>Sub Budget Code</t>
  </si>
  <si>
    <t>Unit</t>
  </si>
  <si>
    <t>Cost</t>
  </si>
  <si>
    <t>Duration</t>
  </si>
  <si>
    <t>Type</t>
  </si>
  <si>
    <t>USAID</t>
  </si>
  <si>
    <t>Leverage</t>
  </si>
  <si>
    <t>USAID Year 1 -Actuals August 16, 2021 - December 31, 2021</t>
  </si>
  <si>
    <t>Leverage Year 1 -Actuals August 16, 2021 - December 31, 2021</t>
  </si>
  <si>
    <t xml:space="preserve">USAID Year 2 -Actuals/Estimate January 1, 2022 - December 31, 2022 </t>
  </si>
  <si>
    <t xml:space="preserve">Leverage Year 2 -Actuals/Estimate January 1, 2022 - December 31, 2022 </t>
  </si>
  <si>
    <t>USAID EXECUTED</t>
  </si>
  <si>
    <t>LEVERAGE EXECUTED</t>
  </si>
  <si>
    <t>TOTAL EXECUTED</t>
  </si>
  <si>
    <t>Balance remaining</t>
  </si>
  <si>
    <t>Balance Remaining</t>
  </si>
  <si>
    <t>Control</t>
  </si>
  <si>
    <t>NOTAS</t>
  </si>
  <si>
    <t>Total USAID</t>
  </si>
  <si>
    <t>Total Leverage</t>
  </si>
  <si>
    <t>Grand Total</t>
  </si>
  <si>
    <t>TOTAL</t>
  </si>
  <si>
    <t>PERSONNEL</t>
  </si>
  <si>
    <t>PAPERSNL</t>
  </si>
  <si>
    <t>/months</t>
  </si>
  <si>
    <t>Key Personnel responsable de liderar la implementación de procesos y actividades de formalización de Alianzas. Se contrata la nueva persona en este rol el 8 de mayo de 2023 por el tiempo del proyecto.</t>
  </si>
  <si>
    <t>Personnel Total</t>
  </si>
  <si>
    <t>FRINGE BENEFITS</t>
  </si>
  <si>
    <t>PAFRINGE</t>
  </si>
  <si>
    <t>Seguridad social (sobre $2,600), se dejará todo en una sola línea dado que el calculo porcentual a cargar es el mismo para todo el personal</t>
  </si>
  <si>
    <t>Fringe Benefits Total</t>
  </si>
  <si>
    <t>TRAVEL</t>
  </si>
  <si>
    <t>Local Transportation (Airfare, Taxis, &amp; Rental Car/Driver)</t>
  </si>
  <si>
    <t>PAHQTRVL</t>
  </si>
  <si>
    <t>/trip</t>
  </si>
  <si>
    <t>Este valor comprende transporte aéreo y terrestre vinculados a la operación del proyecto. Se estiman 137 viajes relacionados con S+M (esto comprende la operación en 3 ciudades que son Santa Marta, Cali y Riohacha para el desarrollo de 5 sesiones vinculadas a actividades de formación a docentes en un total de 47 sedes educativas) este despliegue requiere transporte aéreo ida y vuelta  a las ciudades seleccionadas, transporte terrestre hacia los aeropuertos y desplazamiento en campo (adjunto programación) se estima que se realice un viaje por sesión y que en promedio los formadores y personal de apoyo estén 2 días en territorio. De manera adicional, para el desarrollo de las plenarias docentes se requiere que asistan a territorio además del formador, un apoyo para la recolección de datos, 28 viajes relacionados con la subactividad Directivos Docentes, 2 para asuntos generales del proyecto que puede incluir actividades relacionadas con monitoreo y evaluación o actividades GESI y 2 para Alianzas para un total de 169 viajes. según la experiencia en este tipo de actividades.</t>
  </si>
  <si>
    <t>Local Transportation (Airfare, Taxis, &amp; Rental Car/Driver) for Directors</t>
  </si>
  <si>
    <t>Transporte local para que los directores viajen a las diferentes áreas de implementación para supervisar las actividades del proyecto, incluidas las actividades de formación de docentes. Esta linea no se requiere.</t>
  </si>
  <si>
    <t>Local Transportation (Airfare, Taxis, &amp; Rental Car/Driver) for Site Visits and M&amp;E</t>
  </si>
  <si>
    <t>PAT1TRVL</t>
  </si>
  <si>
    <t>Transporte local, incluidos pasajes aéreos, taxis y alquiler de automóviles/conductor, presupuestado para que el personal de campo viaje para llevar a cabo actividades de monitoreo y evaluación, incluida la recopilación y verificación de datos. Esta linea no se requiere.</t>
  </si>
  <si>
    <t>/month</t>
  </si>
  <si>
    <t>Travel Total</t>
  </si>
  <si>
    <t>/unit</t>
  </si>
  <si>
    <t>Supplies - Under $5,000 USD</t>
  </si>
  <si>
    <t>Supplies</t>
  </si>
  <si>
    <t>Office supplies &amp; stationery</t>
  </si>
  <si>
    <t>PASUPPLIES</t>
  </si>
  <si>
    <t>Recursos requeridos para la compra de materiales de apoyo a los talleres e insumos menores para el desarrollo de las funciones del equipo, tales como papelería, elementos de oficina como impresora, tintas para impresión, tablero, elementos de apoyo audiovisual.</t>
  </si>
  <si>
    <t>Laptops and software</t>
  </si>
  <si>
    <t>PAHQLAPTOP</t>
  </si>
  <si>
    <t xml:space="preserve">El presupuesto original incluía la compra de (1) computadora portátil según las cotizaciones locales. </t>
  </si>
  <si>
    <t>Workspaces (Space, furniture, internet access, telephone and meeting room)</t>
  </si>
  <si>
    <t>PAHQWORK</t>
  </si>
  <si>
    <t>Espacios de oficina del programa cargado al 100% y alquiler de la bodega donde se almacenan los materiales, libros y otros elementos asociados a la ejecución de la subactividad Ser+Maestro.</t>
  </si>
  <si>
    <t>Desktop computers, laptops and software</t>
  </si>
  <si>
    <t>PAFODESKTP</t>
  </si>
  <si>
    <t>Rubro para la compra de equipos de cómputo (estimado en USD 750) y software (se estima 1 desarrollo para mejorar el proceso de recolección de datos estimado en USD 563,33) y/o licencias (se estiman 2 licencias de power bi anual por valor de USD 220) para el trabajo de los profesionales del proyecto además de costos de mantenimiento de los ya adquiridos según necesidades de la operación (según experiencia de Proantioquia se estima en USD 300).</t>
  </si>
  <si>
    <t>Personal Protective Equipment (Gloves, Masks, Hand Sanitizer, Antibacterial Wipes etc.)</t>
  </si>
  <si>
    <t>PAPPE</t>
  </si>
  <si>
    <t>Rubro para la compra y disposición de elementos de cuidado de la bioseguridad en campo en procesos de formación y eventos que se realicen desde la operación de Proantioquia en JA. SE suspende este requisito en mayo 2023.</t>
  </si>
  <si>
    <t>Supplies Total</t>
  </si>
  <si>
    <t>Contractual</t>
  </si>
  <si>
    <t>Consultants</t>
  </si>
  <si>
    <t>Consultant for technical advice for advocacy on public policy</t>
  </si>
  <si>
    <t>PACONTECH</t>
  </si>
  <si>
    <t>El presupuesto original incluía un consultor de asesoría técnica local al 50% LOE durante 20 meses para apoyar en la incidencia en políticas públicas. Se sugiere agrupar las consultorias en una sola línea aparte.</t>
  </si>
  <si>
    <t>Consultants – Technical Assistance for Activity Programming</t>
  </si>
  <si>
    <t>PACONTAP</t>
  </si>
  <si>
    <t>Recurso solicitado para la contratación de personal que brinde apoyo profesional en temas específicos al proyecto. Este recurso se requiere para  apoyos de bajo costo para diligenciamiento de datos (se estima en 2 momentos para un valor de USD 1155,35) además de Costos asociados a la búsqueda y selección de la persona que asumirá la dirección de alianzas para el programa Juntos Aprendemos en calidad de headhunter ($5.603,75).</t>
  </si>
  <si>
    <t>Local Office Security Contractor (Local Hire)</t>
  </si>
  <si>
    <t>PASECURITY</t>
  </si>
  <si>
    <t>El presupuesto original incluía la contratación de un contratista de seguridad local para llevar a cabo el detalle de seguridad de la oficina del proyecto para garantizar que el personal, los participantes y las partes interesadas estén equipados con los protocolos de seguridad necesarios para llevar a cabo las actividades del proyecto de manera segura. Esta linea no se requiere.</t>
  </si>
  <si>
    <t>Contractual Total</t>
  </si>
  <si>
    <t>Other Direct Costs</t>
  </si>
  <si>
    <t>Prototypes and pilots of educational materials</t>
  </si>
  <si>
    <t>PAPROTYPE</t>
  </si>
  <si>
    <t>El presupuesto original incluía materiales educativos prototipo y piloto.</t>
  </si>
  <si>
    <t>Rapid response fund ODC Pool</t>
  </si>
  <si>
    <t>PARAPFUND</t>
  </si>
  <si>
    <t>Fondo de respuesta rapida solicitado por USAID para el 2023, por el 3% del monto obligado a sep.2023</t>
  </si>
  <si>
    <t>Food (snacks) for activities</t>
  </si>
  <si>
    <t>PASNACKS</t>
  </si>
  <si>
    <t>Este recurso incluye la alimentación que se requiere en el marco de los talleres de formación, eventos y reuniones estratégicas del programa.  Se estiman 6626 asistencias a las subactividades vinculadas con S+M y DD, de manera adicional Se estiman 155 sesiones de formación a docentes en el marco de operación de la subactividad Ser+Maestro, 32 vinculados a la subactividad Directivos Docentes y 10 para eventos vinculados a alianzas y comprende refrigerios para asistentes a los eventos de formación a docentes.</t>
  </si>
  <si>
    <t>Translation costs</t>
  </si>
  <si>
    <t>PATRANSL</t>
  </si>
  <si>
    <t>/year</t>
  </si>
  <si>
    <t>El presupuesto original incluía la traducción de los materiales del proyecto.</t>
  </si>
  <si>
    <t>Courier fees/services/postage</t>
  </si>
  <si>
    <t>PAPOSTAGE</t>
  </si>
  <si>
    <t>El presupuesto original incluía tarifas de mensajería, servicios y gastos postales relacionados con las actividades del proyecto.</t>
  </si>
  <si>
    <t xml:space="preserve">Banking and cash handling fees </t>
  </si>
  <si>
    <t>PABANKFEE</t>
  </si>
  <si>
    <t xml:space="preserve">Gastos bancarios, se estima un gasto menor de acuerdo con la experiencia. </t>
  </si>
  <si>
    <t>Objective 1: Improved quality of education for children and youth in receptor communities</t>
  </si>
  <si>
    <t>Development of teacher training books for Replica Workshops</t>
  </si>
  <si>
    <t>PADEVTEACH</t>
  </si>
  <si>
    <t>El presupuesto original incluía el desarrollo de libros para la formación de docentes durante los Talleres Réplica</t>
  </si>
  <si>
    <t>Graphic and operational design of digital courses</t>
  </si>
  <si>
    <t>PADESCOURS</t>
  </si>
  <si>
    <t>Diseño gráfico y desarrollo de cinco (5) cursos digitales.</t>
  </si>
  <si>
    <t>Development of digital network strategy for Parche Maestro</t>
  </si>
  <si>
    <t>PADIGNETWK</t>
  </si>
  <si>
    <t>El presupuesto original contemplaba el diseño y desarrollo de cuatro (4) estrategias digitales de formación docente</t>
  </si>
  <si>
    <t>Transport of books for teacher training Replica Workshops</t>
  </si>
  <si>
    <t>PATRANSREP</t>
  </si>
  <si>
    <t>El presupuesto original incluía el transporte de los libros de formación docente para los Talleres Réplica</t>
  </si>
  <si>
    <t>Graphic design of classroom guides</t>
  </si>
  <si>
    <t>PACLASGUID</t>
  </si>
  <si>
    <t xml:space="preserve">Proantioquia is budgeting for the graphic design of teacher training materials. The estimated cost is based on Proantioquia’s previous experience with similar designs </t>
  </si>
  <si>
    <t>Videos for teacher training</t>
  </si>
  <si>
    <t>PAVIDEOSTT</t>
  </si>
  <si>
    <t>El presupuesto original incluía la producción de tres (3) videos de capacitación docente</t>
  </si>
  <si>
    <t>Editorial production</t>
  </si>
  <si>
    <t>PAEDITPRO</t>
  </si>
  <si>
    <t>/kit</t>
  </si>
  <si>
    <t>Este recurso está asociado a la edición, impresión, diagramación y diseño de los libros pertenecientes al programa ser + maestro y otras actividades (4 libros y 1 bitacora, se proyecta la elaboración de 1000 kits)</t>
  </si>
  <si>
    <t>Objective 2: Increased access to quality education for children and youth in receptor communities</t>
  </si>
  <si>
    <t>Work sessions with interest stakeholders</t>
  </si>
  <si>
    <t>PAWORKSES</t>
  </si>
  <si>
    <t>/meeting</t>
  </si>
  <si>
    <t xml:space="preserve">Recurso solicitado por alianzas para la generación de eventos y encuentros que les permitan promover el trabajo con nuevos aliados, este rubro comprende toda la logística y desarrollo para estos encuentros, se estiman 3 encuentros importantes y 2 encuentros pequeños para un total de 5 en el año 2023. </t>
  </si>
  <si>
    <t>Printing of informational materials</t>
  </si>
  <si>
    <t>PAPRINTMAT</t>
  </si>
  <si>
    <t>El presupuesto original incluía la impresión de materiales informativos para 23 mesas redondas para brindar asistencia técnica al gobierno local y las organizaciones comunitarias para desarrollar su capacidad para apoyar la inscripción de niños y jóvenes en las escuelas.</t>
  </si>
  <si>
    <t>Monitoring, Evaluation, and Collection of Reliable Data</t>
  </si>
  <si>
    <t xml:space="preserve">M&amp;E Database Platform Access </t>
  </si>
  <si>
    <t>PAM&amp;EDATA</t>
  </si>
  <si>
    <t>Acceso a la plataforma de base de datos de M&amp;E para subir datos sobre el avance de sus actividades e indicadores a la base de datos Juntos Aprendemos</t>
  </si>
  <si>
    <t>Data Collection Tools</t>
  </si>
  <si>
    <t>PADATACOL</t>
  </si>
  <si>
    <t>Rubro para la impresión de instrumentos de recolección de información para los asistentes a los procesos de formación tanto de S+M como de DD para la obtención de datos relacionados tanto de la operación del programa Juntos Aprendemos como de información a reportar para la mesa de monitoreo y evaluación además de información adicional que pueda servir de insumo para la medición y comparación de resultados.</t>
  </si>
  <si>
    <t>On-going M&amp;E Training Workshops</t>
  </si>
  <si>
    <t>PAM&amp;ETRAIN</t>
  </si>
  <si>
    <t>/workshop</t>
  </si>
  <si>
    <t>Talleres continuos de capacitación en M&amp;E para desarrollar capacidades y reforzar los requisitos y lineamientos de M&amp;E dentro de su personal para la recopilación y el informe precisos de datos sobre las actividades del proyecto en función de los requisitos de USAID.</t>
  </si>
  <si>
    <t>On-going Training Workshops for Data Collection Staff</t>
  </si>
  <si>
    <t>PATRAINDCS</t>
  </si>
  <si>
    <t>Talleres continuos de capacitación en M&amp;E para reforzar los requisitos y lineamientos de M&amp;E dentro de su personal de recopilación de datos para la recopilación, el registro y la carga precisos de datos sobre las actividades del proyecto en función de los requisitos de USAID</t>
  </si>
  <si>
    <t>Other Direct Costs Total</t>
  </si>
  <si>
    <t>Total Direct Costs</t>
  </si>
  <si>
    <t xml:space="preserve">Total Indirect Costs (NICRA or De Minimis) </t>
  </si>
  <si>
    <t>PAIDC</t>
  </si>
  <si>
    <t>Solicitud de costos indirectos por el 9% de la ejecución a partir del mes de junio de 2023 según proyecciones.</t>
  </si>
  <si>
    <t>Fringe Benefits – Colombia HQ and Field Staff</t>
  </si>
  <si>
    <t>ProAntioquia Personnel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</si>
</sst>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4" formatCode="_(&quot;$&quot;* #,##0.00_);_(&quot;$&quot;* \(#,##0.00\);_(&quot;$&quot;* &quot;-&quot;??_);_(@_)"/>
    <numFmt numFmtId="43" formatCode="_(* #,##0.00_);_(* \(#,##0.00\);_(* &quot;-&quot;??_);_(@_)"/>
    <numFmt numFmtId="164" formatCode="_-* #,##0.00_-;\-* #,##0.00_-;_-* &quot;-&quot;??_-;_-@_-"/>
    <numFmt numFmtId="165" formatCode="0.000%"/>
    <numFmt numFmtId="166" formatCode="0.0%"/>
    <numFmt numFmtId="167" formatCode="#,##0.00000000"/>
    <numFmt numFmtId="168" formatCode="_(* #,##0_);_(* \(#,##0\);_(* &quot;-&quot;??_);_(@_)"/>
    <numFmt numFmtId="169" formatCode="_-&quot;$&quot;\ * #,##0.00_-;\-&quot;$&quot;\ * #,##0.00_-;_-&quot;$&quot;\ * &quot;-&quot;??_-;_-@_-"/>
  </numFmts>
  <fonts count="12" x14ac:knownFonts="1">
    <font>
      <sz val="10"/>
      <name val="Arial"/>
    </font>
    <font>
      <sz val="10"/>
      <name val="Times New Roman"/>
      <family val="1"/>
    </font>
    <font>
      <b/>
      <i/>
      <sz val="12"/>
      <name val="Times New Roman"/>
      <family val="1"/>
    </font>
    <font>
      <b/>
      <i/>
      <sz val="10"/>
      <name val="Times New Roman"/>
      <family val="1"/>
    </font>
    <font>
      <sz val="10"/>
      <name val="Arial"/>
      <family val="2"/>
    </font>
    <font>
      <i/>
      <sz val="10"/>
      <name val="Times New Roman"/>
      <family val="1"/>
    </font>
    <font>
      <b/>
      <sz val="12"/>
      <name val="Times New Roman"/>
      <family val="1"/>
    </font>
    <font>
      <b/>
      <i/>
      <sz val="10"/>
      <color theme="0"/>
      <name val="Times New Roman"/>
      <family val="1"/>
    </font>
    <font>
      <b/>
      <sz val="10"/>
      <name val="Times New Roman"/>
      <family val="1"/>
    </font>
    <font>
      <sz val="10"/>
      <color rgb="FF00B050"/>
      <name val="Times New Roman"/>
      <family val="1"/>
    </font>
    <font>
      <sz val="10"/>
      <color rgb="FFFF0000"/>
      <name val="Times New Roman"/>
      <family val="1"/>
    </font>
    <font>
      <b/>
      <sz val="10"/>
      <color rgb="FF00B050"/>
      <name val="Times New Roman"/>
      <family val="1"/>
    </font>
  </fonts>
  <fills count="16">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rgb="FFFFFFCC"/>
        <bgColor indexed="64"/>
      </patternFill>
    </fill>
    <fill>
      <patternFill patternType="solid">
        <fgColor theme="5" tint="0.39997558519241921"/>
        <bgColor indexed="64"/>
      </patternFill>
    </fill>
    <fill>
      <patternFill patternType="solid">
        <fgColor theme="1"/>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DDFC7"/>
        <bgColor indexed="64"/>
      </patternFill>
    </fill>
    <fill>
      <patternFill patternType="solid">
        <fgColor rgb="FFE7F0F9"/>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indexed="64"/>
      </left>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16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cellStyleXfs>
  <cellXfs count="295">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center" wrapText="1"/>
    </xf>
    <xf numFmtId="0" fontId="3" fillId="0" borderId="0" xfId="0" applyFont="1" applyAlignment="1">
      <alignment horizontal="center" vertical="top"/>
    </xf>
    <xf numFmtId="0" fontId="3" fillId="0" borderId="0" xfId="0" applyFont="1" applyAlignment="1">
      <alignment horizontal="center"/>
    </xf>
    <xf numFmtId="0" fontId="3" fillId="0" borderId="0" xfId="0" applyFont="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wrapText="1"/>
    </xf>
    <xf numFmtId="9" fontId="1" fillId="0" borderId="1" xfId="2" applyFont="1" applyBorder="1" applyAlignment="1">
      <alignment horizontal="center" wrapText="1"/>
    </xf>
    <xf numFmtId="0" fontId="1" fillId="0" borderId="0" xfId="0" applyFont="1" applyAlignment="1">
      <alignment wrapText="1"/>
    </xf>
    <xf numFmtId="3" fontId="1" fillId="0" borderId="0" xfId="0" applyNumberFormat="1" applyFont="1" applyAlignment="1">
      <alignment wrapText="1"/>
    </xf>
    <xf numFmtId="3" fontId="1" fillId="0" borderId="0" xfId="0" applyNumberFormat="1" applyFont="1"/>
    <xf numFmtId="3" fontId="1" fillId="0" borderId="0" xfId="0" applyNumberFormat="1" applyFont="1" applyAlignment="1">
      <alignment horizontal="center"/>
    </xf>
    <xf numFmtId="9" fontId="1" fillId="0" borderId="1" xfId="0" applyNumberFormat="1" applyFont="1" applyBorder="1" applyAlignment="1">
      <alignment wrapText="1"/>
    </xf>
    <xf numFmtId="43" fontId="5" fillId="0" borderId="0" xfId="0" applyNumberFormat="1" applyFont="1" applyAlignment="1">
      <alignment horizontal="left" vertical="top"/>
    </xf>
    <xf numFmtId="43" fontId="5" fillId="0" borderId="0" xfId="0" applyNumberFormat="1" applyFont="1" applyAlignment="1">
      <alignment horizontal="left"/>
    </xf>
    <xf numFmtId="0" fontId="6" fillId="4" borderId="0" xfId="0" applyFont="1" applyFill="1" applyAlignment="1">
      <alignment horizontal="center"/>
    </xf>
    <xf numFmtId="0" fontId="6" fillId="6" borderId="0" xfId="0" applyFont="1" applyFill="1" applyAlignment="1">
      <alignment horizontal="center"/>
    </xf>
    <xf numFmtId="0" fontId="1" fillId="0" borderId="1" xfId="0" applyFont="1" applyBorder="1"/>
    <xf numFmtId="0" fontId="7" fillId="8" borderId="1" xfId="0" applyFont="1" applyFill="1" applyBorder="1" applyAlignment="1">
      <alignment horizontal="right" vertical="top"/>
    </xf>
    <xf numFmtId="0" fontId="7" fillId="8" borderId="1" xfId="0" applyFont="1" applyFill="1" applyBorder="1" applyAlignment="1">
      <alignment horizontal="right"/>
    </xf>
    <xf numFmtId="0" fontId="7" fillId="8" borderId="4" xfId="0" applyFont="1" applyFill="1" applyBorder="1" applyAlignment="1">
      <alignment horizontal="center"/>
    </xf>
    <xf numFmtId="0" fontId="7" fillId="8" borderId="6" xfId="0" applyFont="1" applyFill="1" applyBorder="1" applyAlignment="1">
      <alignment horizontal="center"/>
    </xf>
    <xf numFmtId="0" fontId="7" fillId="8" borderId="1" xfId="0" applyFont="1" applyFill="1" applyBorder="1" applyAlignment="1">
      <alignment horizontal="center"/>
    </xf>
    <xf numFmtId="0" fontId="7" fillId="4" borderId="4" xfId="0" applyFont="1" applyFill="1" applyBorder="1" applyAlignment="1">
      <alignment horizontal="center"/>
    </xf>
    <xf numFmtId="0" fontId="7" fillId="8" borderId="7" xfId="0" applyFont="1" applyFill="1" applyBorder="1" applyAlignment="1">
      <alignment horizontal="center"/>
    </xf>
    <xf numFmtId="0" fontId="7" fillId="8" borderId="8" xfId="0" applyFont="1" applyFill="1" applyBorder="1" applyAlignment="1">
      <alignment horizontal="center"/>
    </xf>
    <xf numFmtId="0" fontId="7" fillId="8" borderId="11" xfId="0" applyFont="1" applyFill="1" applyBorder="1" applyAlignment="1">
      <alignment horizontal="center"/>
    </xf>
    <xf numFmtId="0" fontId="7" fillId="6" borderId="5" xfId="0" applyFont="1" applyFill="1" applyBorder="1" applyAlignment="1">
      <alignment horizontal="center"/>
    </xf>
    <xf numFmtId="0" fontId="7" fillId="8" borderId="1" xfId="0" applyFont="1" applyFill="1" applyBorder="1" applyAlignment="1">
      <alignment vertical="center" wrapText="1"/>
    </xf>
    <xf numFmtId="0" fontId="3" fillId="4" borderId="1" xfId="0" applyFont="1" applyFill="1" applyBorder="1" applyAlignment="1">
      <alignment vertical="center" wrapText="1"/>
    </xf>
    <xf numFmtId="0" fontId="3" fillId="4" borderId="4" xfId="0" applyFont="1" applyFill="1" applyBorder="1" applyAlignment="1">
      <alignment vertical="center" wrapText="1"/>
    </xf>
    <xf numFmtId="0" fontId="7" fillId="8" borderId="12" xfId="0" applyFont="1" applyFill="1" applyBorder="1" applyAlignment="1">
      <alignment horizontal="center"/>
    </xf>
    <xf numFmtId="0" fontId="7" fillId="8" borderId="4" xfId="0" applyFont="1" applyFill="1" applyBorder="1" applyAlignment="1">
      <alignment vertical="center" wrapText="1"/>
    </xf>
    <xf numFmtId="0" fontId="7" fillId="8" borderId="13" xfId="0" applyFont="1" applyFill="1" applyBorder="1" applyAlignment="1">
      <alignment horizontal="center"/>
    </xf>
    <xf numFmtId="0" fontId="7" fillId="8" borderId="14" xfId="0" applyFont="1" applyFill="1" applyBorder="1" applyAlignment="1">
      <alignment horizontal="center"/>
    </xf>
    <xf numFmtId="0" fontId="7" fillId="8" borderId="15" xfId="0" applyFont="1" applyFill="1" applyBorder="1" applyAlignment="1">
      <alignment horizontal="center"/>
    </xf>
    <xf numFmtId="0" fontId="8" fillId="0" borderId="1" xfId="0" applyFont="1" applyBorder="1"/>
    <xf numFmtId="43" fontId="8" fillId="9" borderId="1" xfId="0" applyNumberFormat="1" applyFont="1" applyFill="1" applyBorder="1" applyAlignment="1">
      <alignment vertical="top"/>
    </xf>
    <xf numFmtId="44" fontId="8" fillId="9" borderId="1" xfId="0" applyNumberFormat="1" applyFont="1" applyFill="1" applyBorder="1"/>
    <xf numFmtId="0" fontId="1" fillId="9" borderId="1" xfId="0" applyFont="1" applyFill="1" applyBorder="1"/>
    <xf numFmtId="0" fontId="1" fillId="9" borderId="4" xfId="0" applyFont="1" applyFill="1" applyBorder="1"/>
    <xf numFmtId="44" fontId="8" fillId="9" borderId="12" xfId="0" applyNumberFormat="1" applyFont="1" applyFill="1" applyBorder="1"/>
    <xf numFmtId="0" fontId="1" fillId="9" borderId="4" xfId="0" applyFont="1" applyFill="1" applyBorder="1" applyAlignment="1">
      <alignment vertical="center" wrapText="1"/>
    </xf>
    <xf numFmtId="0" fontId="1" fillId="9" borderId="13" xfId="0" applyFont="1" applyFill="1" applyBorder="1"/>
    <xf numFmtId="44" fontId="8" fillId="9" borderId="6" xfId="0" applyNumberFormat="1" applyFont="1" applyFill="1" applyBorder="1"/>
    <xf numFmtId="0" fontId="1" fillId="9" borderId="12" xfId="0" applyFont="1" applyFill="1" applyBorder="1"/>
    <xf numFmtId="0" fontId="1" fillId="6" borderId="5" xfId="0" applyFont="1" applyFill="1" applyBorder="1"/>
    <xf numFmtId="0" fontId="1" fillId="9" borderId="16" xfId="0" applyFont="1" applyFill="1" applyBorder="1"/>
    <xf numFmtId="0" fontId="1" fillId="9" borderId="17" xfId="0" applyFont="1" applyFill="1" applyBorder="1"/>
    <xf numFmtId="0" fontId="8" fillId="0" borderId="1" xfId="0" applyFont="1" applyBorder="1" applyAlignment="1">
      <alignment vertical="top"/>
    </xf>
    <xf numFmtId="10" fontId="1" fillId="0" borderId="1" xfId="0" applyNumberFormat="1" applyFont="1" applyBorder="1"/>
    <xf numFmtId="3" fontId="1" fillId="0" borderId="4" xfId="0" applyNumberFormat="1" applyFont="1" applyBorder="1" applyAlignment="1">
      <alignment vertical="center" wrapText="1"/>
    </xf>
    <xf numFmtId="0" fontId="1" fillId="0" borderId="1" xfId="0" applyFont="1" applyBorder="1" applyAlignment="1">
      <alignment vertical="center"/>
    </xf>
    <xf numFmtId="164" fontId="1" fillId="0" borderId="1" xfId="3" applyNumberFormat="1" applyFont="1" applyBorder="1" applyAlignment="1">
      <alignment vertical="top"/>
    </xf>
    <xf numFmtId="9" fontId="1" fillId="0" borderId="1" xfId="2" applyFont="1" applyFill="1" applyBorder="1" applyAlignment="1">
      <alignment vertical="center"/>
    </xf>
    <xf numFmtId="3" fontId="1" fillId="0" borderId="1" xfId="0" applyNumberFormat="1" applyFont="1" applyBorder="1" applyAlignment="1">
      <alignment vertical="center"/>
    </xf>
    <xf numFmtId="0" fontId="1" fillId="0" borderId="1" xfId="3" applyFont="1" applyBorder="1" applyAlignment="1">
      <alignment vertical="center"/>
    </xf>
    <xf numFmtId="3" fontId="1" fillId="0" borderId="4" xfId="0" applyNumberFormat="1" applyFont="1" applyBorder="1" applyAlignment="1">
      <alignment vertical="center"/>
    </xf>
    <xf numFmtId="9" fontId="1" fillId="0" borderId="12" xfId="2" applyFont="1" applyFill="1" applyBorder="1" applyAlignment="1">
      <alignment vertical="center"/>
    </xf>
    <xf numFmtId="4" fontId="1" fillId="0" borderId="1" xfId="0" applyNumberFormat="1" applyFont="1" applyBorder="1" applyAlignment="1">
      <alignment vertical="center"/>
    </xf>
    <xf numFmtId="4" fontId="1" fillId="0" borderId="4" xfId="0" applyNumberFormat="1" applyFont="1" applyBorder="1" applyAlignment="1">
      <alignment vertical="center" wrapText="1"/>
    </xf>
    <xf numFmtId="4" fontId="1" fillId="0" borderId="13" xfId="0" applyNumberFormat="1" applyFont="1" applyBorder="1" applyAlignment="1">
      <alignment vertical="center"/>
    </xf>
    <xf numFmtId="9" fontId="1" fillId="0" borderId="6" xfId="2" applyFont="1" applyFill="1" applyBorder="1" applyAlignment="1">
      <alignment vertical="center"/>
    </xf>
    <xf numFmtId="9" fontId="1" fillId="0" borderId="12" xfId="2" applyFont="1" applyBorder="1" applyAlignment="1">
      <alignment vertical="center"/>
    </xf>
    <xf numFmtId="4" fontId="1" fillId="0" borderId="12" xfId="0" applyNumberFormat="1" applyFont="1" applyBorder="1" applyAlignment="1">
      <alignment vertical="center"/>
    </xf>
    <xf numFmtId="3" fontId="1" fillId="6" borderId="5" xfId="0" applyNumberFormat="1" applyFont="1" applyFill="1" applyBorder="1" applyAlignment="1">
      <alignment vertical="center"/>
    </xf>
    <xf numFmtId="3" fontId="1" fillId="0" borderId="16" xfId="0" applyNumberFormat="1" applyFont="1" applyBorder="1" applyAlignment="1">
      <alignment vertical="center"/>
    </xf>
    <xf numFmtId="3" fontId="1" fillId="0" borderId="17" xfId="0" applyNumberFormat="1" applyFont="1" applyBorder="1" applyAlignment="1">
      <alignment vertical="center"/>
    </xf>
    <xf numFmtId="0" fontId="1" fillId="0" borderId="0" xfId="0" applyFont="1" applyAlignment="1">
      <alignment vertical="center"/>
    </xf>
    <xf numFmtId="0" fontId="8" fillId="0" borderId="1" xfId="0" applyFont="1" applyBorder="1" applyAlignment="1">
      <alignment vertical="center"/>
    </xf>
    <xf numFmtId="43" fontId="8" fillId="0" borderId="1" xfId="0" applyNumberFormat="1" applyFont="1" applyBorder="1" applyAlignment="1">
      <alignment vertical="top"/>
    </xf>
    <xf numFmtId="43" fontId="8" fillId="0" borderId="1" xfId="0" applyNumberFormat="1" applyFont="1" applyBorder="1" applyAlignment="1">
      <alignment vertical="center"/>
    </xf>
    <xf numFmtId="4" fontId="8" fillId="0" borderId="1" xfId="0" applyNumberFormat="1" applyFont="1" applyBorder="1" applyAlignment="1">
      <alignment vertical="center"/>
    </xf>
    <xf numFmtId="3" fontId="8" fillId="6" borderId="5" xfId="0" applyNumberFormat="1" applyFont="1" applyFill="1" applyBorder="1" applyAlignment="1">
      <alignment vertical="center"/>
    </xf>
    <xf numFmtId="0" fontId="8" fillId="0" borderId="0" xfId="0" applyFont="1" applyAlignment="1">
      <alignment vertical="center"/>
    </xf>
    <xf numFmtId="9" fontId="1" fillId="0" borderId="12" xfId="0" applyNumberFormat="1" applyFont="1" applyBorder="1" applyAlignment="1">
      <alignment vertical="center"/>
    </xf>
    <xf numFmtId="9" fontId="1" fillId="0" borderId="6" xfId="0" applyNumberFormat="1" applyFont="1" applyBorder="1" applyAlignment="1">
      <alignment vertical="center"/>
    </xf>
    <xf numFmtId="3" fontId="1" fillId="0" borderId="13" xfId="0" applyNumberFormat="1" applyFont="1" applyBorder="1" applyAlignment="1">
      <alignment vertical="center"/>
    </xf>
    <xf numFmtId="3" fontId="1" fillId="0" borderId="12" xfId="0" applyNumberFormat="1" applyFont="1" applyBorder="1" applyAlignment="1">
      <alignment vertical="center"/>
    </xf>
    <xf numFmtId="43" fontId="1" fillId="0" borderId="1" xfId="0" applyNumberFormat="1" applyFont="1" applyBorder="1" applyAlignment="1">
      <alignment vertical="center"/>
    </xf>
    <xf numFmtId="2" fontId="1" fillId="0" borderId="1" xfId="0" applyNumberFormat="1" applyFont="1" applyBorder="1" applyAlignment="1">
      <alignment vertical="center"/>
    </xf>
    <xf numFmtId="2" fontId="1" fillId="0" borderId="4" xfId="0" applyNumberFormat="1" applyFont="1" applyBorder="1" applyAlignment="1">
      <alignment vertical="center" wrapText="1"/>
    </xf>
    <xf numFmtId="43" fontId="1" fillId="0" borderId="1" xfId="0" applyNumberFormat="1" applyFont="1" applyBorder="1" applyAlignment="1">
      <alignment vertical="top"/>
    </xf>
    <xf numFmtId="1" fontId="1" fillId="0" borderId="1" xfId="0" applyNumberFormat="1" applyFont="1" applyBorder="1" applyAlignment="1">
      <alignment vertical="center"/>
    </xf>
    <xf numFmtId="43" fontId="8" fillId="12" borderId="1" xfId="0" applyNumberFormat="1" applyFont="1" applyFill="1" applyBorder="1" applyAlignment="1">
      <alignment vertical="top"/>
    </xf>
    <xf numFmtId="43" fontId="8" fillId="12" borderId="1" xfId="0" applyNumberFormat="1" applyFont="1" applyFill="1" applyBorder="1" applyAlignment="1">
      <alignment vertical="center"/>
    </xf>
    <xf numFmtId="3" fontId="8" fillId="12" borderId="1" xfId="0" applyNumberFormat="1" applyFont="1" applyFill="1" applyBorder="1" applyAlignment="1">
      <alignment vertical="center"/>
    </xf>
    <xf numFmtId="4" fontId="8" fillId="12" borderId="1" xfId="0" applyNumberFormat="1" applyFont="1" applyFill="1" applyBorder="1" applyAlignment="1">
      <alignment vertical="center"/>
    </xf>
    <xf numFmtId="4" fontId="8" fillId="12" borderId="4" xfId="0" applyNumberFormat="1" applyFont="1" applyFill="1" applyBorder="1" applyAlignment="1">
      <alignment vertical="center"/>
    </xf>
    <xf numFmtId="9" fontId="8" fillId="12" borderId="12" xfId="0" applyNumberFormat="1" applyFont="1" applyFill="1" applyBorder="1" applyAlignment="1">
      <alignment vertical="center"/>
    </xf>
    <xf numFmtId="0" fontId="8" fillId="12" borderId="1" xfId="0" applyFont="1" applyFill="1" applyBorder="1" applyAlignment="1">
      <alignment vertical="center"/>
    </xf>
    <xf numFmtId="4" fontId="8" fillId="12" borderId="4" xfId="0" applyNumberFormat="1" applyFont="1" applyFill="1" applyBorder="1" applyAlignment="1">
      <alignment vertical="center" wrapText="1"/>
    </xf>
    <xf numFmtId="4" fontId="8" fillId="12" borderId="13" xfId="0" applyNumberFormat="1" applyFont="1" applyFill="1" applyBorder="1" applyAlignment="1">
      <alignment vertical="center"/>
    </xf>
    <xf numFmtId="9" fontId="8" fillId="12" borderId="6" xfId="0" applyNumberFormat="1" applyFont="1" applyFill="1" applyBorder="1" applyAlignment="1">
      <alignment vertical="center"/>
    </xf>
    <xf numFmtId="4" fontId="8" fillId="12" borderId="12" xfId="0" applyNumberFormat="1" applyFont="1" applyFill="1" applyBorder="1" applyAlignment="1">
      <alignment vertical="center"/>
    </xf>
    <xf numFmtId="3" fontId="8" fillId="12" borderId="16" xfId="0" applyNumberFormat="1" applyFont="1" applyFill="1" applyBorder="1" applyAlignment="1">
      <alignment vertical="center"/>
    </xf>
    <xf numFmtId="3" fontId="8" fillId="12" borderId="17" xfId="0" applyNumberFormat="1" applyFont="1" applyFill="1" applyBorder="1" applyAlignment="1">
      <alignment vertical="center"/>
    </xf>
    <xf numFmtId="0" fontId="8" fillId="9" borderId="1" xfId="0" applyFont="1" applyFill="1" applyBorder="1"/>
    <xf numFmtId="43" fontId="8" fillId="9" borderId="1" xfId="0" applyNumberFormat="1" applyFont="1" applyFill="1" applyBorder="1" applyAlignment="1">
      <alignment vertical="center"/>
    </xf>
    <xf numFmtId="3" fontId="1" fillId="9" borderId="1" xfId="0" applyNumberFormat="1" applyFont="1" applyFill="1" applyBorder="1" applyAlignment="1">
      <alignment vertical="center"/>
    </xf>
    <xf numFmtId="3" fontId="1" fillId="9" borderId="4" xfId="0" applyNumberFormat="1" applyFont="1" applyFill="1" applyBorder="1" applyAlignment="1">
      <alignment vertical="center"/>
    </xf>
    <xf numFmtId="9" fontId="1" fillId="9" borderId="12" xfId="0" applyNumberFormat="1" applyFont="1" applyFill="1" applyBorder="1" applyAlignment="1">
      <alignment vertical="center"/>
    </xf>
    <xf numFmtId="0" fontId="1" fillId="9" borderId="1" xfId="0" applyFont="1" applyFill="1" applyBorder="1" applyAlignment="1">
      <alignment vertical="center"/>
    </xf>
    <xf numFmtId="3" fontId="1" fillId="9" borderId="4" xfId="0" applyNumberFormat="1" applyFont="1" applyFill="1" applyBorder="1" applyAlignment="1">
      <alignment vertical="center" wrapText="1"/>
    </xf>
    <xf numFmtId="4" fontId="1" fillId="9" borderId="1" xfId="0" applyNumberFormat="1" applyFont="1" applyFill="1" applyBorder="1" applyAlignment="1">
      <alignment vertical="center"/>
    </xf>
    <xf numFmtId="4" fontId="1" fillId="9" borderId="13" xfId="0" applyNumberFormat="1" applyFont="1" applyFill="1" applyBorder="1" applyAlignment="1">
      <alignment vertical="center"/>
    </xf>
    <xf numFmtId="9" fontId="1" fillId="9" borderId="6" xfId="0" applyNumberFormat="1" applyFont="1" applyFill="1" applyBorder="1" applyAlignment="1">
      <alignment vertical="center"/>
    </xf>
    <xf numFmtId="3" fontId="1" fillId="9" borderId="13" xfId="0" applyNumberFormat="1" applyFont="1" applyFill="1" applyBorder="1" applyAlignment="1">
      <alignment vertical="center"/>
    </xf>
    <xf numFmtId="3" fontId="1" fillId="9" borderId="12" xfId="0" applyNumberFormat="1" applyFont="1" applyFill="1" applyBorder="1" applyAlignment="1">
      <alignment vertical="center"/>
    </xf>
    <xf numFmtId="4" fontId="1" fillId="9" borderId="12" xfId="0" applyNumberFormat="1" applyFont="1" applyFill="1" applyBorder="1" applyAlignment="1">
      <alignment vertical="center"/>
    </xf>
    <xf numFmtId="3" fontId="8" fillId="9" borderId="16" xfId="0" applyNumberFormat="1" applyFont="1" applyFill="1" applyBorder="1" applyAlignment="1">
      <alignment vertical="center"/>
    </xf>
    <xf numFmtId="3" fontId="8" fillId="9" borderId="17" xfId="0" applyNumberFormat="1" applyFont="1" applyFill="1" applyBorder="1" applyAlignment="1">
      <alignment vertical="center"/>
    </xf>
    <xf numFmtId="43" fontId="1" fillId="0" borderId="1" xfId="4" applyNumberFormat="1" applyFont="1" applyBorder="1" applyAlignment="1">
      <alignment vertical="top"/>
    </xf>
    <xf numFmtId="10" fontId="1" fillId="0" borderId="0" xfId="0" applyNumberFormat="1" applyFont="1"/>
    <xf numFmtId="43" fontId="1" fillId="0" borderId="1" xfId="4" applyNumberFormat="1" applyFont="1" applyBorder="1" applyAlignment="1">
      <alignment vertical="center"/>
    </xf>
    <xf numFmtId="165" fontId="1" fillId="0" borderId="1" xfId="2" applyNumberFormat="1" applyFont="1" applyFill="1" applyBorder="1" applyAlignment="1">
      <alignment vertical="center"/>
    </xf>
    <xf numFmtId="166" fontId="1" fillId="0" borderId="12" xfId="0" applyNumberFormat="1" applyFont="1" applyBorder="1" applyAlignment="1">
      <alignment vertical="center"/>
    </xf>
    <xf numFmtId="166" fontId="1" fillId="0" borderId="6" xfId="0" applyNumberFormat="1" applyFont="1" applyBorder="1" applyAlignment="1">
      <alignment vertical="center"/>
    </xf>
    <xf numFmtId="43" fontId="8" fillId="13" borderId="1" xfId="0" applyNumberFormat="1" applyFont="1" applyFill="1" applyBorder="1" applyAlignment="1">
      <alignment vertical="top"/>
    </xf>
    <xf numFmtId="0" fontId="8" fillId="13" borderId="1" xfId="0" applyFont="1" applyFill="1" applyBorder="1"/>
    <xf numFmtId="43" fontId="8" fillId="13" borderId="1" xfId="0" applyNumberFormat="1" applyFont="1" applyFill="1" applyBorder="1" applyAlignment="1">
      <alignment vertical="center"/>
    </xf>
    <xf numFmtId="3" fontId="8" fillId="12" borderId="13" xfId="0" applyNumberFormat="1" applyFont="1" applyFill="1" applyBorder="1" applyAlignment="1">
      <alignment vertical="center"/>
    </xf>
    <xf numFmtId="3" fontId="8" fillId="12" borderId="12" xfId="0" applyNumberFormat="1" applyFont="1" applyFill="1" applyBorder="1" applyAlignment="1">
      <alignment vertical="center"/>
    </xf>
    <xf numFmtId="3" fontId="1" fillId="9" borderId="16" xfId="0" applyNumberFormat="1" applyFont="1" applyFill="1" applyBorder="1" applyAlignment="1">
      <alignment vertical="center"/>
    </xf>
    <xf numFmtId="3" fontId="1" fillId="9" borderId="17" xfId="0" applyNumberFormat="1" applyFont="1" applyFill="1" applyBorder="1" applyAlignment="1">
      <alignment vertical="center"/>
    </xf>
    <xf numFmtId="167" fontId="9" fillId="0" borderId="1" xfId="0" applyNumberFormat="1" applyFont="1" applyBorder="1" applyAlignment="1">
      <alignment vertical="top" wrapText="1"/>
    </xf>
    <xf numFmtId="1" fontId="1" fillId="0" borderId="12" xfId="0" applyNumberFormat="1" applyFont="1" applyBorder="1" applyAlignment="1">
      <alignment vertical="center"/>
    </xf>
    <xf numFmtId="167" fontId="1" fillId="0" borderId="4" xfId="0" applyNumberFormat="1" applyFont="1" applyBorder="1" applyAlignment="1">
      <alignment vertical="center" wrapText="1"/>
    </xf>
    <xf numFmtId="4" fontId="1" fillId="0" borderId="18" xfId="0" applyNumberFormat="1" applyFont="1" applyBorder="1" applyAlignment="1">
      <alignment vertical="center"/>
    </xf>
    <xf numFmtId="43" fontId="3" fillId="0" borderId="1" xfId="0" applyNumberFormat="1" applyFont="1" applyBorder="1" applyAlignment="1">
      <alignment vertical="center"/>
    </xf>
    <xf numFmtId="4" fontId="3" fillId="0" borderId="1" xfId="0" applyNumberFormat="1" applyFont="1" applyBorder="1" applyAlignment="1">
      <alignment vertical="center"/>
    </xf>
    <xf numFmtId="3" fontId="3" fillId="6" borderId="5" xfId="0" applyNumberFormat="1" applyFont="1" applyFill="1" applyBorder="1" applyAlignment="1">
      <alignment vertical="center"/>
    </xf>
    <xf numFmtId="0" fontId="1" fillId="0" borderId="1" xfId="0" applyFont="1" applyBorder="1" applyAlignment="1">
      <alignment vertical="top"/>
    </xf>
    <xf numFmtId="168" fontId="1" fillId="0" borderId="1" xfId="0" applyNumberFormat="1" applyFont="1" applyBorder="1" applyAlignment="1">
      <alignment vertical="center"/>
    </xf>
    <xf numFmtId="2" fontId="1" fillId="0" borderId="4" xfId="3" applyNumberFormat="1" applyFont="1" applyBorder="1" applyAlignment="1">
      <alignment vertical="center" wrapText="1"/>
    </xf>
    <xf numFmtId="1" fontId="1" fillId="0" borderId="6" xfId="0" applyNumberFormat="1" applyFont="1" applyBorder="1" applyAlignment="1">
      <alignment vertical="center"/>
    </xf>
    <xf numFmtId="43" fontId="8" fillId="0" borderId="12" xfId="0" applyNumberFormat="1" applyFont="1" applyBorder="1" applyAlignment="1">
      <alignment vertical="center"/>
    </xf>
    <xf numFmtId="43" fontId="8" fillId="0" borderId="6" xfId="0" applyNumberFormat="1" applyFont="1" applyBorder="1" applyAlignment="1">
      <alignment vertical="center"/>
    </xf>
    <xf numFmtId="0" fontId="1" fillId="0" borderId="1" xfId="0" applyFont="1" applyBorder="1" applyAlignment="1">
      <alignment vertical="center" wrapText="1"/>
    </xf>
    <xf numFmtId="43" fontId="1" fillId="0" borderId="12" xfId="0" applyNumberFormat="1" applyFont="1" applyBorder="1" applyAlignment="1">
      <alignment vertical="center"/>
    </xf>
    <xf numFmtId="43" fontId="1" fillId="0" borderId="6" xfId="0" applyNumberFormat="1" applyFont="1" applyBorder="1" applyAlignment="1">
      <alignment vertical="center"/>
    </xf>
    <xf numFmtId="168" fontId="3" fillId="0" borderId="12" xfId="0" applyNumberFormat="1" applyFont="1" applyBorder="1" applyAlignment="1">
      <alignment vertical="center"/>
    </xf>
    <xf numFmtId="168" fontId="3" fillId="0" borderId="6" xfId="0" applyNumberFormat="1" applyFont="1" applyBorder="1" applyAlignment="1">
      <alignment vertical="center"/>
    </xf>
    <xf numFmtId="1" fontId="8" fillId="12" borderId="12" xfId="0" applyNumberFormat="1" applyFont="1" applyFill="1" applyBorder="1" applyAlignment="1">
      <alignment vertical="center"/>
    </xf>
    <xf numFmtId="168" fontId="8" fillId="12" borderId="1" xfId="0" applyNumberFormat="1" applyFont="1" applyFill="1" applyBorder="1" applyAlignment="1">
      <alignment vertical="center"/>
    </xf>
    <xf numFmtId="3" fontId="8" fillId="12" borderId="4" xfId="0" applyNumberFormat="1" applyFont="1" applyFill="1" applyBorder="1" applyAlignment="1">
      <alignment vertical="center" wrapText="1"/>
    </xf>
    <xf numFmtId="1" fontId="8" fillId="12" borderId="6" xfId="0" applyNumberFormat="1" applyFont="1" applyFill="1" applyBorder="1" applyAlignment="1">
      <alignment vertical="center"/>
    </xf>
    <xf numFmtId="4" fontId="8" fillId="12" borderId="16" xfId="0" applyNumberFormat="1" applyFont="1" applyFill="1" applyBorder="1" applyAlignment="1">
      <alignment vertical="center"/>
    </xf>
    <xf numFmtId="4" fontId="8" fillId="12" borderId="19" xfId="0" applyNumberFormat="1" applyFont="1" applyFill="1" applyBorder="1" applyAlignment="1">
      <alignment vertical="center"/>
    </xf>
    <xf numFmtId="2" fontId="8" fillId="12" borderId="12" xfId="0" applyNumberFormat="1" applyFont="1" applyFill="1" applyBorder="1" applyAlignment="1">
      <alignment vertical="center"/>
    </xf>
    <xf numFmtId="2" fontId="8" fillId="12" borderId="1" xfId="0" applyNumberFormat="1" applyFont="1" applyFill="1" applyBorder="1" applyAlignment="1">
      <alignment vertical="center"/>
    </xf>
    <xf numFmtId="2" fontId="8" fillId="12" borderId="4" xfId="0" applyNumberFormat="1" applyFont="1" applyFill="1" applyBorder="1" applyAlignment="1">
      <alignment vertical="center" wrapText="1"/>
    </xf>
    <xf numFmtId="2" fontId="8" fillId="12" borderId="13" xfId="0" applyNumberFormat="1" applyFont="1" applyFill="1" applyBorder="1" applyAlignment="1">
      <alignment vertical="center"/>
    </xf>
    <xf numFmtId="1" fontId="1" fillId="9" borderId="12" xfId="0" applyNumberFormat="1" applyFont="1" applyFill="1" applyBorder="1" applyAlignment="1">
      <alignment vertical="center"/>
    </xf>
    <xf numFmtId="168" fontId="1" fillId="9" borderId="1" xfId="0" applyNumberFormat="1" applyFont="1" applyFill="1" applyBorder="1" applyAlignment="1">
      <alignment vertical="center"/>
    </xf>
    <xf numFmtId="1" fontId="1" fillId="9" borderId="6" xfId="0" applyNumberFormat="1" applyFont="1" applyFill="1" applyBorder="1" applyAlignment="1">
      <alignment vertical="center"/>
    </xf>
    <xf numFmtId="4" fontId="8" fillId="9" borderId="16" xfId="0" applyNumberFormat="1" applyFont="1" applyFill="1" applyBorder="1" applyAlignment="1">
      <alignment vertical="center"/>
    </xf>
    <xf numFmtId="4" fontId="8" fillId="9" borderId="17" xfId="0" applyNumberFormat="1" applyFont="1" applyFill="1" applyBorder="1" applyAlignment="1">
      <alignment vertical="center"/>
    </xf>
    <xf numFmtId="2" fontId="1" fillId="0" borderId="12" xfId="0" applyNumberFormat="1" applyFont="1" applyBorder="1" applyAlignment="1">
      <alignment vertical="center"/>
    </xf>
    <xf numFmtId="3" fontId="1" fillId="11" borderId="16" xfId="0" applyNumberFormat="1" applyFont="1" applyFill="1" applyBorder="1" applyAlignment="1">
      <alignment vertical="center"/>
    </xf>
    <xf numFmtId="0" fontId="1" fillId="0" borderId="12" xfId="0" applyFont="1" applyBorder="1" applyAlignment="1">
      <alignment vertical="center"/>
    </xf>
    <xf numFmtId="0" fontId="1" fillId="0" borderId="6" xfId="0" applyFont="1" applyBorder="1" applyAlignment="1">
      <alignment vertical="center"/>
    </xf>
    <xf numFmtId="2" fontId="1" fillId="14" borderId="1" xfId="0" applyNumberFormat="1" applyFont="1" applyFill="1" applyBorder="1" applyAlignment="1">
      <alignment vertical="center"/>
    </xf>
    <xf numFmtId="168" fontId="1" fillId="14" borderId="1" xfId="0" applyNumberFormat="1" applyFont="1" applyFill="1" applyBorder="1" applyAlignment="1">
      <alignment vertical="center"/>
    </xf>
    <xf numFmtId="4" fontId="1" fillId="14" borderId="1" xfId="0" applyNumberFormat="1" applyFont="1" applyFill="1" applyBorder="1" applyAlignment="1">
      <alignment vertical="center"/>
    </xf>
    <xf numFmtId="4" fontId="1" fillId="0" borderId="4" xfId="0" applyNumberFormat="1" applyFont="1" applyBorder="1" applyAlignment="1">
      <alignment vertical="center"/>
    </xf>
    <xf numFmtId="4" fontId="1" fillId="9" borderId="4" xfId="0" applyNumberFormat="1" applyFont="1" applyFill="1" applyBorder="1" applyAlignment="1">
      <alignment vertical="center"/>
    </xf>
    <xf numFmtId="2" fontId="1" fillId="9" borderId="1" xfId="0" applyNumberFormat="1" applyFont="1" applyFill="1" applyBorder="1" applyAlignment="1">
      <alignment vertical="center"/>
    </xf>
    <xf numFmtId="43" fontId="1" fillId="0" borderId="1" xfId="0" applyNumberFormat="1" applyFont="1" applyBorder="1" applyAlignment="1">
      <alignment vertical="top" wrapText="1"/>
    </xf>
    <xf numFmtId="43" fontId="1" fillId="0" borderId="1" xfId="0" applyNumberFormat="1" applyFont="1" applyBorder="1" applyAlignment="1">
      <alignment vertical="center" wrapText="1"/>
    </xf>
    <xf numFmtId="0" fontId="8" fillId="13" borderId="1" xfId="0" applyFont="1" applyFill="1" applyBorder="1" applyAlignment="1">
      <alignment vertical="top"/>
    </xf>
    <xf numFmtId="0" fontId="8" fillId="13" borderId="1" xfId="0" applyFont="1" applyFill="1" applyBorder="1" applyAlignment="1">
      <alignment vertical="center"/>
    </xf>
    <xf numFmtId="168" fontId="3" fillId="12" borderId="12" xfId="0" applyNumberFormat="1" applyFont="1" applyFill="1" applyBorder="1" applyAlignment="1">
      <alignment vertical="center"/>
    </xf>
    <xf numFmtId="43" fontId="3" fillId="12" borderId="1" xfId="0" applyNumberFormat="1" applyFont="1" applyFill="1" applyBorder="1" applyAlignment="1">
      <alignment vertical="center"/>
    </xf>
    <xf numFmtId="3" fontId="3" fillId="12" borderId="1" xfId="0" applyNumberFormat="1" applyFont="1" applyFill="1" applyBorder="1" applyAlignment="1">
      <alignment vertical="center"/>
    </xf>
    <xf numFmtId="3" fontId="3" fillId="12" borderId="4" xfId="0" applyNumberFormat="1" applyFont="1" applyFill="1" applyBorder="1" applyAlignment="1">
      <alignment vertical="center" wrapText="1"/>
    </xf>
    <xf numFmtId="4" fontId="3" fillId="12" borderId="1" xfId="0" applyNumberFormat="1" applyFont="1" applyFill="1" applyBorder="1" applyAlignment="1">
      <alignment vertical="center"/>
    </xf>
    <xf numFmtId="4" fontId="3" fillId="12" borderId="13" xfId="0" applyNumberFormat="1" applyFont="1" applyFill="1" applyBorder="1" applyAlignment="1">
      <alignment vertical="center"/>
    </xf>
    <xf numFmtId="168" fontId="3" fillId="12" borderId="6" xfId="0" applyNumberFormat="1" applyFont="1" applyFill="1" applyBorder="1" applyAlignment="1">
      <alignment vertical="center"/>
    </xf>
    <xf numFmtId="4" fontId="3" fillId="12" borderId="12" xfId="0" applyNumberFormat="1" applyFont="1" applyFill="1" applyBorder="1" applyAlignment="1">
      <alignment vertical="center"/>
    </xf>
    <xf numFmtId="4" fontId="8" fillId="12" borderId="17" xfId="0" applyNumberFormat="1" applyFont="1" applyFill="1" applyBorder="1" applyAlignment="1">
      <alignment vertical="center"/>
    </xf>
    <xf numFmtId="0" fontId="8" fillId="9" borderId="1" xfId="0" applyFont="1" applyFill="1" applyBorder="1" applyAlignment="1">
      <alignment vertical="top"/>
    </xf>
    <xf numFmtId="0" fontId="8" fillId="9" borderId="1" xfId="0" applyFont="1" applyFill="1" applyBorder="1" applyAlignment="1">
      <alignment vertical="center"/>
    </xf>
    <xf numFmtId="43" fontId="8" fillId="9" borderId="12" xfId="0" applyNumberFormat="1" applyFont="1" applyFill="1" applyBorder="1" applyAlignment="1">
      <alignment vertical="center"/>
    </xf>
    <xf numFmtId="3" fontId="8" fillId="9" borderId="1" xfId="0" applyNumberFormat="1" applyFont="1" applyFill="1" applyBorder="1" applyAlignment="1">
      <alignment vertical="center"/>
    </xf>
    <xf numFmtId="3" fontId="8" fillId="9" borderId="4" xfId="0" applyNumberFormat="1" applyFont="1" applyFill="1" applyBorder="1" applyAlignment="1">
      <alignment vertical="center" wrapText="1"/>
    </xf>
    <xf numFmtId="4" fontId="8" fillId="9" borderId="1" xfId="0" applyNumberFormat="1" applyFont="1" applyFill="1" applyBorder="1" applyAlignment="1">
      <alignment vertical="center"/>
    </xf>
    <xf numFmtId="4" fontId="8" fillId="9" borderId="13" xfId="0" applyNumberFormat="1" applyFont="1" applyFill="1" applyBorder="1" applyAlignment="1">
      <alignment vertical="center"/>
    </xf>
    <xf numFmtId="43" fontId="8" fillId="9" borderId="6" xfId="0" applyNumberFormat="1" applyFont="1" applyFill="1" applyBorder="1" applyAlignment="1">
      <alignment vertical="center"/>
    </xf>
    <xf numFmtId="3" fontId="8" fillId="9" borderId="13" xfId="0" applyNumberFormat="1" applyFont="1" applyFill="1" applyBorder="1" applyAlignment="1">
      <alignment vertical="center"/>
    </xf>
    <xf numFmtId="3" fontId="8" fillId="9" borderId="12" xfId="0" applyNumberFormat="1" applyFont="1" applyFill="1" applyBorder="1" applyAlignment="1">
      <alignment vertical="center"/>
    </xf>
    <xf numFmtId="0" fontId="9" fillId="0" borderId="1" xfId="0" applyFont="1" applyBorder="1" applyAlignment="1">
      <alignment vertical="top"/>
    </xf>
    <xf numFmtId="10" fontId="1" fillId="0" borderId="1" xfId="0" applyNumberFormat="1" applyFont="1" applyBorder="1" applyAlignment="1">
      <alignment vertical="center"/>
    </xf>
    <xf numFmtId="1" fontId="1" fillId="0" borderId="1" xfId="4" applyNumberFormat="1" applyFont="1" applyBorder="1" applyAlignment="1">
      <alignment vertical="center"/>
    </xf>
    <xf numFmtId="168" fontId="1" fillId="0" borderId="1" xfId="4" applyNumberFormat="1" applyFont="1" applyBorder="1" applyAlignment="1">
      <alignment vertical="center"/>
    </xf>
    <xf numFmtId="3" fontId="1" fillId="0" borderId="1" xfId="4" applyNumberFormat="1" applyFont="1" applyBorder="1" applyAlignment="1">
      <alignment vertical="center"/>
    </xf>
    <xf numFmtId="3" fontId="1" fillId="0" borderId="6" xfId="0" applyNumberFormat="1" applyFont="1" applyBorder="1" applyAlignment="1">
      <alignment vertical="center"/>
    </xf>
    <xf numFmtId="0" fontId="1" fillId="0" borderId="0" xfId="4" applyFont="1" applyAlignment="1">
      <alignment vertical="center"/>
    </xf>
    <xf numFmtId="43" fontId="8" fillId="15" borderId="1" xfId="0" applyNumberFormat="1" applyFont="1" applyFill="1" applyBorder="1" applyAlignment="1">
      <alignment vertical="top" wrapText="1"/>
    </xf>
    <xf numFmtId="43" fontId="8" fillId="15" borderId="1" xfId="0" applyNumberFormat="1" applyFont="1" applyFill="1" applyBorder="1" applyAlignment="1">
      <alignment vertical="center"/>
    </xf>
    <xf numFmtId="1" fontId="1" fillId="15" borderId="1" xfId="0" applyNumberFormat="1" applyFont="1" applyFill="1" applyBorder="1" applyAlignment="1">
      <alignment vertical="center"/>
    </xf>
    <xf numFmtId="168" fontId="1" fillId="15" borderId="1" xfId="0" applyNumberFormat="1" applyFont="1" applyFill="1" applyBorder="1" applyAlignment="1">
      <alignment vertical="center"/>
    </xf>
    <xf numFmtId="43" fontId="1" fillId="15" borderId="1" xfId="0" applyNumberFormat="1" applyFont="1" applyFill="1" applyBorder="1" applyAlignment="1">
      <alignment vertical="center"/>
    </xf>
    <xf numFmtId="3" fontId="1" fillId="15" borderId="1" xfId="0" applyNumberFormat="1" applyFont="1" applyFill="1" applyBorder="1" applyAlignment="1">
      <alignment vertical="center"/>
    </xf>
    <xf numFmtId="4" fontId="1" fillId="15" borderId="1" xfId="0" applyNumberFormat="1" applyFont="1" applyFill="1" applyBorder="1" applyAlignment="1">
      <alignment vertical="center"/>
    </xf>
    <xf numFmtId="4" fontId="1" fillId="15" borderId="4" xfId="0" applyNumberFormat="1" applyFont="1" applyFill="1" applyBorder="1" applyAlignment="1">
      <alignment vertical="center"/>
    </xf>
    <xf numFmtId="1" fontId="1" fillId="15" borderId="12" xfId="0" applyNumberFormat="1" applyFont="1" applyFill="1" applyBorder="1" applyAlignment="1">
      <alignment vertical="center"/>
    </xf>
    <xf numFmtId="3" fontId="1" fillId="15" borderId="4" xfId="0" applyNumberFormat="1" applyFont="1" applyFill="1" applyBorder="1" applyAlignment="1">
      <alignment vertical="center" wrapText="1"/>
    </xf>
    <xf numFmtId="3" fontId="1" fillId="15" borderId="12" xfId="0" applyNumberFormat="1" applyFont="1" applyFill="1" applyBorder="1" applyAlignment="1">
      <alignment vertical="center"/>
    </xf>
    <xf numFmtId="4" fontId="1" fillId="15" borderId="13" xfId="0" applyNumberFormat="1" applyFont="1" applyFill="1" applyBorder="1" applyAlignment="1">
      <alignment vertical="center"/>
    </xf>
    <xf numFmtId="3" fontId="1" fillId="15" borderId="6" xfId="0" applyNumberFormat="1" applyFont="1" applyFill="1" applyBorder="1" applyAlignment="1">
      <alignment vertical="center"/>
    </xf>
    <xf numFmtId="3" fontId="1" fillId="15" borderId="13" xfId="0" applyNumberFormat="1" applyFont="1" applyFill="1" applyBorder="1" applyAlignment="1">
      <alignment vertical="center"/>
    </xf>
    <xf numFmtId="4" fontId="1" fillId="15" borderId="12" xfId="0" applyNumberFormat="1" applyFont="1" applyFill="1" applyBorder="1" applyAlignment="1">
      <alignment vertical="center"/>
    </xf>
    <xf numFmtId="3" fontId="1" fillId="15" borderId="16" xfId="0" applyNumberFormat="1" applyFont="1" applyFill="1" applyBorder="1" applyAlignment="1">
      <alignment vertical="center"/>
    </xf>
    <xf numFmtId="3" fontId="1" fillId="15" borderId="17" xfId="0" applyNumberFormat="1" applyFont="1" applyFill="1" applyBorder="1" applyAlignment="1">
      <alignment vertical="center"/>
    </xf>
    <xf numFmtId="168" fontId="1" fillId="0" borderId="12" xfId="0" applyNumberFormat="1" applyFont="1" applyBorder="1" applyAlignment="1">
      <alignment vertical="center"/>
    </xf>
    <xf numFmtId="168" fontId="1" fillId="0" borderId="6" xfId="0" applyNumberFormat="1" applyFont="1" applyBorder="1" applyAlignment="1">
      <alignment vertical="center"/>
    </xf>
    <xf numFmtId="43" fontId="8" fillId="15" borderId="12" xfId="0" applyNumberFormat="1" applyFont="1" applyFill="1" applyBorder="1" applyAlignment="1">
      <alignment vertical="center"/>
    </xf>
    <xf numFmtId="43" fontId="8" fillId="15" borderId="6" xfId="0" applyNumberFormat="1" applyFont="1" applyFill="1" applyBorder="1" applyAlignment="1">
      <alignment vertical="center"/>
    </xf>
    <xf numFmtId="3" fontId="1" fillId="15" borderId="1" xfId="4" applyNumberFormat="1" applyFont="1" applyFill="1" applyBorder="1" applyAlignment="1">
      <alignment vertical="center"/>
    </xf>
    <xf numFmtId="0" fontId="8" fillId="0" borderId="12" xfId="0" applyFont="1" applyBorder="1" applyAlignment="1">
      <alignment vertical="center"/>
    </xf>
    <xf numFmtId="0" fontId="8" fillId="0" borderId="6" xfId="0" applyFont="1" applyBorder="1" applyAlignment="1">
      <alignment vertical="center"/>
    </xf>
    <xf numFmtId="0" fontId="8" fillId="10" borderId="1" xfId="0" applyFont="1" applyFill="1" applyBorder="1" applyAlignment="1">
      <alignment vertical="top"/>
    </xf>
    <xf numFmtId="0" fontId="8" fillId="10" borderId="1" xfId="0" applyFont="1" applyFill="1" applyBorder="1" applyAlignment="1">
      <alignment vertical="center"/>
    </xf>
    <xf numFmtId="43" fontId="8" fillId="10" borderId="1" xfId="0" applyNumberFormat="1" applyFont="1" applyFill="1" applyBorder="1" applyAlignment="1">
      <alignment vertical="center"/>
    </xf>
    <xf numFmtId="41" fontId="8" fillId="10" borderId="1" xfId="0" applyNumberFormat="1" applyFont="1" applyFill="1" applyBorder="1" applyAlignment="1">
      <alignment vertical="center"/>
    </xf>
    <xf numFmtId="3" fontId="8" fillId="10" borderId="1" xfId="0" applyNumberFormat="1" applyFont="1" applyFill="1" applyBorder="1" applyAlignment="1">
      <alignment vertical="center"/>
    </xf>
    <xf numFmtId="4" fontId="8" fillId="10" borderId="1" xfId="0" applyNumberFormat="1" applyFont="1" applyFill="1" applyBorder="1" applyAlignment="1">
      <alignment vertical="center"/>
    </xf>
    <xf numFmtId="4" fontId="8" fillId="10" borderId="4" xfId="0" applyNumberFormat="1" applyFont="1" applyFill="1" applyBorder="1" applyAlignment="1">
      <alignment vertical="center"/>
    </xf>
    <xf numFmtId="1" fontId="8" fillId="10" borderId="12" xfId="0" applyNumberFormat="1" applyFont="1" applyFill="1" applyBorder="1" applyAlignment="1">
      <alignment vertical="center"/>
    </xf>
    <xf numFmtId="168" fontId="8" fillId="10" borderId="1" xfId="0" applyNumberFormat="1" applyFont="1" applyFill="1" applyBorder="1" applyAlignment="1">
      <alignment vertical="center"/>
    </xf>
    <xf numFmtId="4" fontId="8" fillId="10" borderId="4" xfId="0" applyNumberFormat="1" applyFont="1" applyFill="1" applyBorder="1" applyAlignment="1">
      <alignment vertical="center" wrapText="1"/>
    </xf>
    <xf numFmtId="4" fontId="8" fillId="10" borderId="13" xfId="0" applyNumberFormat="1" applyFont="1" applyFill="1" applyBorder="1" applyAlignment="1">
      <alignment vertical="center"/>
    </xf>
    <xf numFmtId="1" fontId="8" fillId="10" borderId="6" xfId="0" applyNumberFormat="1" applyFont="1" applyFill="1" applyBorder="1" applyAlignment="1">
      <alignment vertical="center"/>
    </xf>
    <xf numFmtId="4" fontId="8" fillId="10" borderId="12" xfId="0" applyNumberFormat="1" applyFont="1" applyFill="1" applyBorder="1" applyAlignment="1">
      <alignment vertical="center"/>
    </xf>
    <xf numFmtId="4" fontId="8" fillId="10" borderId="16" xfId="0" applyNumberFormat="1" applyFont="1" applyFill="1" applyBorder="1" applyAlignment="1">
      <alignment vertical="center"/>
    </xf>
    <xf numFmtId="4" fontId="8" fillId="10" borderId="17" xfId="0" applyNumberFormat="1" applyFont="1" applyFill="1" applyBorder="1" applyAlignment="1">
      <alignment vertical="center"/>
    </xf>
    <xf numFmtId="0" fontId="9" fillId="10" borderId="15" xfId="0" applyFont="1" applyFill="1" applyBorder="1" applyAlignment="1">
      <alignment vertical="top"/>
    </xf>
    <xf numFmtId="0" fontId="10" fillId="10" borderId="15" xfId="0" applyFont="1" applyFill="1" applyBorder="1" applyAlignment="1">
      <alignment vertical="center"/>
    </xf>
    <xf numFmtId="10" fontId="1" fillId="10" borderId="15" xfId="0" applyNumberFormat="1" applyFont="1" applyFill="1" applyBorder="1" applyAlignment="1">
      <alignment vertical="center"/>
    </xf>
    <xf numFmtId="3" fontId="1" fillId="10" borderId="15" xfId="0" applyNumberFormat="1" applyFont="1" applyFill="1" applyBorder="1" applyAlignment="1">
      <alignment vertical="center"/>
    </xf>
    <xf numFmtId="4" fontId="1" fillId="10" borderId="15" xfId="0" applyNumberFormat="1" applyFont="1" applyFill="1" applyBorder="1" applyAlignment="1">
      <alignment vertical="center"/>
    </xf>
    <xf numFmtId="4" fontId="1" fillId="10" borderId="20" xfId="0" applyNumberFormat="1" applyFont="1" applyFill="1" applyBorder="1" applyAlignment="1">
      <alignment vertical="center"/>
    </xf>
    <xf numFmtId="1" fontId="1" fillId="10" borderId="21" xfId="0" applyNumberFormat="1" applyFont="1" applyFill="1" applyBorder="1" applyAlignment="1">
      <alignment vertical="center"/>
    </xf>
    <xf numFmtId="168" fontId="1" fillId="10" borderId="15" xfId="0" applyNumberFormat="1" applyFont="1" applyFill="1" applyBorder="1" applyAlignment="1">
      <alignment vertical="center"/>
    </xf>
    <xf numFmtId="4" fontId="1" fillId="10" borderId="20" xfId="0" applyNumberFormat="1" applyFont="1" applyFill="1" applyBorder="1" applyAlignment="1">
      <alignment vertical="center" wrapText="1"/>
    </xf>
    <xf numFmtId="4" fontId="1" fillId="10" borderId="22" xfId="0" applyNumberFormat="1" applyFont="1" applyFill="1" applyBorder="1" applyAlignment="1">
      <alignment vertical="center"/>
    </xf>
    <xf numFmtId="1" fontId="1" fillId="10" borderId="14" xfId="0" applyNumberFormat="1" applyFont="1" applyFill="1" applyBorder="1" applyAlignment="1">
      <alignment vertical="center"/>
    </xf>
    <xf numFmtId="4" fontId="1" fillId="10" borderId="21" xfId="0" applyNumberFormat="1" applyFont="1" applyFill="1" applyBorder="1" applyAlignment="1">
      <alignment vertical="center"/>
    </xf>
    <xf numFmtId="3" fontId="1" fillId="6" borderId="23" xfId="0" applyNumberFormat="1" applyFont="1" applyFill="1" applyBorder="1" applyAlignment="1">
      <alignment vertical="center"/>
    </xf>
    <xf numFmtId="3" fontId="1" fillId="10" borderId="23" xfId="0" applyNumberFormat="1" applyFont="1" applyFill="1" applyBorder="1" applyAlignment="1">
      <alignment vertical="center"/>
    </xf>
    <xf numFmtId="3" fontId="1" fillId="10" borderId="20" xfId="0" applyNumberFormat="1" applyFont="1" applyFill="1" applyBorder="1" applyAlignment="1">
      <alignment vertical="center"/>
    </xf>
    <xf numFmtId="0" fontId="10" fillId="0" borderId="4" xfId="0" applyFont="1" applyBorder="1"/>
    <xf numFmtId="0" fontId="8" fillId="10" borderId="24" xfId="0" applyFont="1" applyFill="1" applyBorder="1" applyAlignment="1">
      <alignment vertical="top"/>
    </xf>
    <xf numFmtId="0" fontId="8" fillId="10" borderId="25" xfId="0" applyFont="1" applyFill="1" applyBorder="1" applyAlignment="1">
      <alignment vertical="center"/>
    </xf>
    <xf numFmtId="43" fontId="8" fillId="10" borderId="25" xfId="0" applyNumberFormat="1" applyFont="1" applyFill="1" applyBorder="1" applyAlignment="1">
      <alignment vertical="center"/>
    </xf>
    <xf numFmtId="41" fontId="8" fillId="10" borderId="25" xfId="0" applyNumberFormat="1" applyFont="1" applyFill="1" applyBorder="1" applyAlignment="1">
      <alignment vertical="center"/>
    </xf>
    <xf numFmtId="3" fontId="8" fillId="10" borderId="25" xfId="0" applyNumberFormat="1" applyFont="1" applyFill="1" applyBorder="1" applyAlignment="1">
      <alignment vertical="center"/>
    </xf>
    <xf numFmtId="4" fontId="8" fillId="10" borderId="25" xfId="0" applyNumberFormat="1" applyFont="1" applyFill="1" applyBorder="1" applyAlignment="1">
      <alignment vertical="center"/>
    </xf>
    <xf numFmtId="4" fontId="8" fillId="10" borderId="26" xfId="0" applyNumberFormat="1" applyFont="1" applyFill="1" applyBorder="1" applyAlignment="1">
      <alignment vertical="center"/>
    </xf>
    <xf numFmtId="1" fontId="8" fillId="10" borderId="24" xfId="0" applyNumberFormat="1" applyFont="1" applyFill="1" applyBorder="1" applyAlignment="1">
      <alignment vertical="center"/>
    </xf>
    <xf numFmtId="168" fontId="8" fillId="10" borderId="25" xfId="0" applyNumberFormat="1" applyFont="1" applyFill="1" applyBorder="1" applyAlignment="1">
      <alignment vertical="center"/>
    </xf>
    <xf numFmtId="4" fontId="8" fillId="10" borderId="24" xfId="0" applyNumberFormat="1" applyFont="1" applyFill="1" applyBorder="1" applyAlignment="1">
      <alignment vertical="center"/>
    </xf>
    <xf numFmtId="4" fontId="8" fillId="10" borderId="27" xfId="0" applyNumberFormat="1" applyFont="1" applyFill="1" applyBorder="1" applyAlignment="1">
      <alignment vertical="center"/>
    </xf>
    <xf numFmtId="4" fontId="8" fillId="10" borderId="28" xfId="0" applyNumberFormat="1" applyFont="1" applyFill="1" applyBorder="1" applyAlignment="1">
      <alignment vertical="center"/>
    </xf>
    <xf numFmtId="4" fontId="8" fillId="6" borderId="25" xfId="0" applyNumberFormat="1" applyFont="1" applyFill="1" applyBorder="1" applyAlignment="1">
      <alignment vertical="center"/>
    </xf>
    <xf numFmtId="4" fontId="8" fillId="10" borderId="29" xfId="0" applyNumberFormat="1" applyFont="1" applyFill="1" applyBorder="1" applyAlignment="1">
      <alignment vertical="center"/>
    </xf>
    <xf numFmtId="0" fontId="11" fillId="0" borderId="0" xfId="0" applyFont="1" applyAlignment="1">
      <alignment vertical="top"/>
    </xf>
    <xf numFmtId="3" fontId="1" fillId="0" borderId="0" xfId="0" applyNumberFormat="1" applyFont="1" applyAlignment="1">
      <alignment vertical="center"/>
    </xf>
    <xf numFmtId="4" fontId="1" fillId="0" borderId="0" xfId="0" applyNumberFormat="1" applyFont="1" applyAlignment="1">
      <alignment vertical="center"/>
    </xf>
    <xf numFmtId="4" fontId="8" fillId="0" borderId="0" xfId="0" applyNumberFormat="1" applyFont="1" applyAlignment="1">
      <alignment vertical="center"/>
    </xf>
    <xf numFmtId="4" fontId="1" fillId="0" borderId="0" xfId="0" applyNumberFormat="1" applyFont="1"/>
    <xf numFmtId="3" fontId="1" fillId="0" borderId="0" xfId="0" applyNumberFormat="1" applyFont="1" applyAlignment="1">
      <alignment vertical="center" wrapText="1"/>
    </xf>
    <xf numFmtId="169" fontId="1" fillId="0" borderId="0" xfId="1" applyFont="1" applyBorder="1"/>
    <xf numFmtId="169" fontId="1" fillId="0" borderId="0" xfId="1" applyFont="1" applyFill="1" applyBorder="1" applyAlignment="1">
      <alignment vertical="center"/>
    </xf>
    <xf numFmtId="9" fontId="1" fillId="0" borderId="0" xfId="2" applyFont="1" applyFill="1" applyBorder="1" applyAlignment="1">
      <alignment vertical="center"/>
    </xf>
    <xf numFmtId="9" fontId="1" fillId="0" borderId="0" xfId="2" applyFont="1" applyBorder="1" applyAlignment="1">
      <alignment vertical="center"/>
    </xf>
    <xf numFmtId="0" fontId="7" fillId="8" borderId="7" xfId="0" applyFont="1" applyFill="1" applyBorder="1" applyAlignment="1">
      <alignment horizontal="center"/>
    </xf>
    <xf numFmtId="0" fontId="7" fillId="8" borderId="8" xfId="0" applyFont="1" applyFill="1" applyBorder="1" applyAlignment="1">
      <alignment horizontal="center"/>
    </xf>
    <xf numFmtId="0" fontId="7" fillId="8" borderId="9" xfId="0" applyFont="1" applyFill="1" applyBorder="1" applyAlignment="1">
      <alignment horizontal="center"/>
    </xf>
    <xf numFmtId="0" fontId="7" fillId="8" borderId="2" xfId="0" applyFont="1" applyFill="1" applyBorder="1" applyAlignment="1">
      <alignment horizontal="center"/>
    </xf>
    <xf numFmtId="0" fontId="7" fillId="8" borderId="3" xfId="0" applyFont="1" applyFill="1" applyBorder="1" applyAlignment="1">
      <alignment horizontal="center"/>
    </xf>
    <xf numFmtId="0" fontId="7" fillId="8" borderId="10" xfId="0" applyFont="1" applyFill="1" applyBorder="1" applyAlignment="1">
      <alignment horizontal="center"/>
    </xf>
    <xf numFmtId="0" fontId="6" fillId="5" borderId="0" xfId="0" applyFont="1" applyFill="1" applyAlignment="1">
      <alignment horizontal="center"/>
    </xf>
    <xf numFmtId="0" fontId="6" fillId="7" borderId="2" xfId="0" applyFont="1" applyFill="1" applyBorder="1" applyAlignment="1">
      <alignment horizontal="center"/>
    </xf>
    <xf numFmtId="0" fontId="6" fillId="7" borderId="3" xfId="0" applyFont="1" applyFill="1" applyBorder="1" applyAlignment="1">
      <alignment horizontal="center"/>
    </xf>
    <xf numFmtId="0" fontId="7" fillId="8" borderId="4" xfId="0" applyFont="1" applyFill="1" applyBorder="1" applyAlignment="1">
      <alignment horizontal="center"/>
    </xf>
    <xf numFmtId="0" fontId="7" fillId="8" borderId="5" xfId="0" applyFont="1" applyFill="1" applyBorder="1" applyAlignment="1">
      <alignment horizontal="center"/>
    </xf>
    <xf numFmtId="0" fontId="7" fillId="8" borderId="6" xfId="0" applyFont="1" applyFill="1" applyBorder="1" applyAlignment="1">
      <alignment horizontal="center"/>
    </xf>
    <xf numFmtId="0" fontId="7" fillId="8" borderId="1" xfId="0" applyFont="1" applyFill="1" applyBorder="1" applyAlignment="1">
      <alignment horizontal="center"/>
    </xf>
    <xf numFmtId="0" fontId="2" fillId="0" borderId="0" xfId="0" applyFont="1" applyAlignment="1">
      <alignment horizontal="center" vertical="center" wrapText="1"/>
    </xf>
    <xf numFmtId="3" fontId="6" fillId="2" borderId="0" xfId="0" applyNumberFormat="1" applyFont="1" applyFill="1" applyAlignment="1">
      <alignment horizontal="center"/>
    </xf>
    <xf numFmtId="0" fontId="6" fillId="3" borderId="0" xfId="0" applyFont="1" applyFill="1" applyAlignment="1">
      <alignment horizontal="center"/>
    </xf>
  </cellXfs>
  <cellStyles count="5">
    <cellStyle name="Currency" xfId="1" builtinId="4"/>
    <cellStyle name="Normal" xfId="0" builtinId="0"/>
    <cellStyle name="Normal 2" xfId="3" xr:uid="{CB0EF220-F725-4EF2-92D2-F149109A4F15}"/>
    <cellStyle name="Normal 3 2" xfId="4" xr:uid="{33DAD734-07C6-406C-A85E-EBD2C0C3FED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05B0-8A15-4A22-87B3-B01DBEE4F808}">
  <sheetPr>
    <pageSetUpPr fitToPage="1"/>
  </sheetPr>
  <dimension ref="A1:CA74"/>
  <sheetViews>
    <sheetView tabSelected="1" zoomScale="70" zoomScaleNormal="70" workbookViewId="0">
      <pane ySplit="8" topLeftCell="A14" activePane="bottomLeft" state="frozen"/>
      <selection activeCell="K24" sqref="K24"/>
      <selection pane="bottomLeft" activeCell="CE39" sqref="CE39"/>
    </sheetView>
  </sheetViews>
  <sheetFormatPr defaultColWidth="9.1640625" defaultRowHeight="11.5" customHeight="1" outlineLevelRow="1" outlineLevelCol="1" x14ac:dyDescent="0.45"/>
  <cols>
    <col min="1" max="1" width="5.83203125" style="1" customWidth="1"/>
    <col min="2" max="2" width="52.5546875" style="2" customWidth="1"/>
    <col min="3" max="3" width="21.27734375" style="1" customWidth="1"/>
    <col min="4" max="4" width="7.44140625" style="1" hidden="1" customWidth="1"/>
    <col min="5" max="5" width="7.27734375" style="1" hidden="1" customWidth="1"/>
    <col min="6" max="6" width="8.27734375" style="1" hidden="1" customWidth="1"/>
    <col min="7" max="7" width="10" style="1" hidden="1" customWidth="1"/>
    <col min="8" max="10" width="8.1640625" style="1" hidden="1" customWidth="1"/>
    <col min="11" max="11" width="8.83203125" style="1" hidden="1" customWidth="1"/>
    <col min="12" max="12" width="7.27734375" style="1" hidden="1" customWidth="1"/>
    <col min="13" max="13" width="8.27734375" style="1" hidden="1" customWidth="1"/>
    <col min="14" max="16" width="8.1640625" style="1" hidden="1" customWidth="1"/>
    <col min="17" max="17" width="7.44140625" style="1" hidden="1" customWidth="1"/>
    <col min="18" max="18" width="7.27734375" style="1" hidden="1" customWidth="1"/>
    <col min="19" max="19" width="8.27734375" style="1" hidden="1" customWidth="1"/>
    <col min="20" max="20" width="6.83203125" style="1" hidden="1" customWidth="1"/>
    <col min="21" max="21" width="8.1640625" style="1" hidden="1" customWidth="1"/>
    <col min="22" max="22" width="8" style="1" hidden="1" customWidth="1"/>
    <col min="23" max="23" width="7.44140625" style="1" hidden="1" customWidth="1"/>
    <col min="24" max="24" width="7.27734375" style="1" hidden="1" customWidth="1"/>
    <col min="25" max="25" width="8.27734375" style="1" hidden="1" customWidth="1"/>
    <col min="26" max="26" width="6.83203125" style="1" hidden="1" customWidth="1"/>
    <col min="27" max="27" width="8.1640625" style="1" hidden="1" customWidth="1"/>
    <col min="28" max="28" width="6.83203125" style="1" hidden="1" customWidth="1"/>
    <col min="29" max="29" width="7.44140625" style="1" hidden="1" customWidth="1"/>
    <col min="30" max="30" width="7.27734375" style="1" hidden="1" customWidth="1"/>
    <col min="31" max="31" width="8.27734375" style="1" hidden="1" customWidth="1"/>
    <col min="32" max="32" width="6.83203125" style="1" hidden="1" customWidth="1"/>
    <col min="33" max="33" width="8.1640625" style="1" hidden="1" customWidth="1"/>
    <col min="34" max="34" width="6.83203125" style="1" hidden="1" customWidth="1"/>
    <col min="35" max="35" width="13.1640625" style="1" hidden="1" customWidth="1"/>
    <col min="36" max="36" width="9.5546875" style="1" hidden="1" customWidth="1"/>
    <col min="37" max="37" width="12" style="1" hidden="1" customWidth="1"/>
    <col min="38" max="41" width="16.44140625" style="1" hidden="1" customWidth="1"/>
    <col min="42" max="44" width="14.27734375" style="1" hidden="1" customWidth="1"/>
    <col min="45" max="45" width="12.5546875" style="1" hidden="1" customWidth="1"/>
    <col min="46" max="46" width="19.71875" style="1" hidden="1" customWidth="1"/>
    <col min="47" max="47" width="10.27734375" style="1" hidden="1" customWidth="1"/>
    <col min="48" max="48" width="11.27734375" style="1" hidden="1" customWidth="1" outlineLevel="1"/>
    <col min="49" max="49" width="11" style="1" hidden="1" customWidth="1" outlineLevel="1"/>
    <col min="50" max="50" width="14.71875" style="1" hidden="1" customWidth="1" outlineLevel="1"/>
    <col min="51" max="51" width="13.1640625" style="1" hidden="1" customWidth="1" outlineLevel="1"/>
    <col min="52" max="52" width="14.5546875" style="1" hidden="1" customWidth="1" outlineLevel="1"/>
    <col min="53" max="53" width="12.44140625" style="1" hidden="1" customWidth="1" outlineLevel="1"/>
    <col min="54" max="54" width="57.27734375" style="3" hidden="1" customWidth="1" outlineLevel="1"/>
    <col min="55" max="55" width="11.27734375" style="1" hidden="1" customWidth="1" outlineLevel="1"/>
    <col min="56" max="56" width="11" style="1" hidden="1" customWidth="1" outlineLevel="1"/>
    <col min="57" max="57" width="14.71875" style="1" hidden="1" customWidth="1" outlineLevel="1"/>
    <col min="58" max="58" width="13.1640625" style="1" hidden="1" customWidth="1" outlineLevel="1"/>
    <col min="59" max="59" width="14.5546875" style="1" hidden="1" customWidth="1" outlineLevel="1"/>
    <col min="60" max="60" width="12.44140625" style="1" hidden="1" customWidth="1" outlineLevel="1"/>
    <col min="61" max="61" width="11.27734375" style="1" hidden="1" customWidth="1" outlineLevel="1"/>
    <col min="62" max="62" width="11" style="1" hidden="1" customWidth="1" outlineLevel="1"/>
    <col min="63" max="63" width="14.71875" style="1" hidden="1" customWidth="1" outlineLevel="1"/>
    <col min="64" max="64" width="13.1640625" style="1" hidden="1" customWidth="1" outlineLevel="1"/>
    <col min="65" max="65" width="14.5546875" style="1" hidden="1" customWidth="1" outlineLevel="1"/>
    <col min="66" max="66" width="12.44140625" style="1" hidden="1" customWidth="1" outlineLevel="1"/>
    <col min="67" max="67" width="11.27734375" style="1" hidden="1" customWidth="1" outlineLevel="1"/>
    <col min="68" max="68" width="11" style="1" hidden="1" customWidth="1" outlineLevel="1"/>
    <col min="69" max="69" width="14.71875" style="1" hidden="1" customWidth="1" outlineLevel="1"/>
    <col min="70" max="70" width="13.1640625" style="1" hidden="1" customWidth="1" outlineLevel="1"/>
    <col min="71" max="71" width="14.5546875" style="1" hidden="1" customWidth="1" outlineLevel="1"/>
    <col min="72" max="72" width="12.44140625" style="1" hidden="1" customWidth="1" outlineLevel="1"/>
    <col min="73" max="73" width="17.71875" style="1" hidden="1" customWidth="1" outlineLevel="1"/>
    <col min="74" max="74" width="19.1640625" style="1" hidden="1" customWidth="1" outlineLevel="1"/>
    <col min="75" max="75" width="17.27734375" style="1" hidden="1" customWidth="1" outlineLevel="1"/>
    <col min="76" max="76" width="9.1640625" style="1" hidden="1" customWidth="1" outlineLevel="1"/>
    <col min="77" max="77" width="12" style="1" customWidth="1" collapsed="1"/>
    <col min="78" max="79" width="12" style="1" hidden="1" customWidth="1"/>
    <col min="80" max="16384" width="9.1640625" style="1"/>
  </cols>
  <sheetData>
    <row r="1" spans="1:79" ht="11.5" hidden="1" customHeight="1" x14ac:dyDescent="0.45">
      <c r="D1" s="292" t="s">
        <v>0</v>
      </c>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row>
    <row r="2" spans="1:79" ht="11.5" hidden="1" customHeight="1" x14ac:dyDescent="0.45">
      <c r="D2" s="292" t="e">
        <f>+VLOOKUP(A2,'Budget Summary Detailed'!A12:BX61,100,0)</f>
        <v>#N/A</v>
      </c>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row>
    <row r="3" spans="1:79" ht="11.5" hidden="1" customHeight="1" x14ac:dyDescent="0.45">
      <c r="D3" s="292" t="s">
        <v>1</v>
      </c>
      <c r="E3" s="292"/>
      <c r="F3" s="292"/>
      <c r="G3" s="292"/>
      <c r="H3" s="292"/>
      <c r="I3" s="292"/>
      <c r="J3" s="292"/>
      <c r="K3" s="292"/>
      <c r="L3" s="292"/>
      <c r="M3" s="292"/>
      <c r="N3" s="292"/>
      <c r="O3" s="292"/>
      <c r="P3" s="292"/>
      <c r="Q3" s="292"/>
      <c r="R3" s="292"/>
      <c r="S3" s="292"/>
      <c r="T3" s="292"/>
      <c r="U3" s="292"/>
      <c r="V3" s="292"/>
      <c r="W3" s="292"/>
      <c r="X3" s="292"/>
      <c r="Y3" s="292"/>
      <c r="Z3" s="292"/>
      <c r="AA3" s="292"/>
      <c r="AB3" s="292"/>
      <c r="AC3" s="292"/>
      <c r="AD3" s="292"/>
      <c r="AE3" s="292"/>
      <c r="AF3" s="292"/>
      <c r="AG3" s="292"/>
      <c r="AH3" s="292"/>
      <c r="AI3" s="292"/>
      <c r="AJ3" s="292"/>
      <c r="AK3" s="292"/>
    </row>
    <row r="4" spans="1:79" ht="11.5" hidden="1" customHeight="1" x14ac:dyDescent="0.45">
      <c r="D4" s="292" t="s">
        <v>2</v>
      </c>
      <c r="E4" s="292"/>
      <c r="F4" s="292"/>
      <c r="G4" s="292"/>
      <c r="H4" s="292"/>
      <c r="I4" s="292"/>
      <c r="J4" s="292"/>
      <c r="K4" s="292"/>
      <c r="L4" s="292"/>
      <c r="M4" s="292"/>
      <c r="N4" s="292"/>
      <c r="O4" s="292"/>
      <c r="P4" s="292"/>
      <c r="Q4" s="292"/>
      <c r="R4" s="292"/>
      <c r="S4" s="292"/>
      <c r="T4" s="292"/>
      <c r="U4" s="292"/>
      <c r="V4" s="292"/>
      <c r="W4" s="292"/>
      <c r="X4" s="292"/>
      <c r="Y4" s="292"/>
      <c r="Z4" s="292"/>
      <c r="AA4" s="292"/>
      <c r="AB4" s="292"/>
      <c r="AC4" s="292"/>
      <c r="AD4" s="292"/>
      <c r="AE4" s="292"/>
      <c r="AF4" s="292"/>
      <c r="AG4" s="292"/>
      <c r="AH4" s="292"/>
      <c r="AI4" s="292"/>
      <c r="AJ4" s="292"/>
      <c r="AK4" s="292"/>
    </row>
    <row r="5" spans="1:79" ht="11.5" hidden="1" customHeight="1" x14ac:dyDescent="0.45">
      <c r="B5" s="4" t="s">
        <v>3</v>
      </c>
      <c r="C5" s="5"/>
      <c r="D5" s="6"/>
      <c r="E5" s="6"/>
      <c r="F5" s="6"/>
      <c r="G5" s="6"/>
      <c r="H5" s="6"/>
      <c r="I5" s="6"/>
      <c r="J5" s="6"/>
      <c r="K5" s="6"/>
      <c r="L5" s="6"/>
      <c r="M5" s="6"/>
      <c r="N5" s="6"/>
      <c r="O5" s="6"/>
      <c r="P5" s="6"/>
      <c r="Q5" s="6"/>
      <c r="R5" s="6"/>
      <c r="S5" s="6"/>
      <c r="T5" s="6"/>
      <c r="U5" s="6"/>
      <c r="V5" s="6"/>
      <c r="W5" s="6"/>
      <c r="X5" s="6"/>
    </row>
    <row r="6" spans="1:79" ht="11.5" hidden="1" customHeight="1" x14ac:dyDescent="0.45">
      <c r="B6" s="7" t="s">
        <v>4</v>
      </c>
      <c r="C6" s="8"/>
      <c r="D6" s="9">
        <v>1.03</v>
      </c>
      <c r="E6" s="10"/>
      <c r="F6" s="10"/>
      <c r="G6" s="10"/>
      <c r="H6" s="11"/>
      <c r="I6" s="12"/>
      <c r="J6" s="13"/>
      <c r="K6" s="12"/>
      <c r="L6" s="12"/>
      <c r="M6" s="13"/>
      <c r="N6" s="12"/>
      <c r="O6" s="12"/>
      <c r="P6" s="13"/>
      <c r="Q6" s="12"/>
      <c r="R6" s="12"/>
      <c r="S6" s="13"/>
      <c r="T6" s="12"/>
      <c r="U6" s="12"/>
      <c r="V6" s="12"/>
      <c r="W6" s="12"/>
      <c r="X6" s="12"/>
    </row>
    <row r="7" spans="1:79" ht="13.5" customHeight="1" thickBot="1" x14ac:dyDescent="0.5">
      <c r="A7" s="1">
        <v>1</v>
      </c>
      <c r="B7" s="7">
        <v>2</v>
      </c>
      <c r="C7" s="8">
        <v>3</v>
      </c>
      <c r="D7" s="14">
        <v>1.04</v>
      </c>
      <c r="E7" s="8">
        <v>7</v>
      </c>
      <c r="F7" s="8">
        <v>8</v>
      </c>
      <c r="G7" s="8">
        <v>9</v>
      </c>
      <c r="H7" s="8">
        <v>10</v>
      </c>
      <c r="I7" s="8">
        <v>11</v>
      </c>
      <c r="J7" s="8">
        <v>12</v>
      </c>
      <c r="K7" s="8">
        <v>13</v>
      </c>
      <c r="L7" s="8">
        <v>14</v>
      </c>
      <c r="M7" s="8">
        <v>15</v>
      </c>
      <c r="N7" s="8">
        <v>16</v>
      </c>
      <c r="O7" s="8">
        <v>17</v>
      </c>
      <c r="P7" s="8">
        <v>18</v>
      </c>
      <c r="Q7" s="8">
        <v>19</v>
      </c>
      <c r="R7" s="8">
        <v>20</v>
      </c>
      <c r="S7" s="8">
        <v>21</v>
      </c>
      <c r="T7" s="8">
        <v>22</v>
      </c>
      <c r="U7" s="8">
        <v>23</v>
      </c>
      <c r="V7" s="8">
        <v>24</v>
      </c>
      <c r="W7" s="8">
        <v>25</v>
      </c>
      <c r="X7" s="8">
        <v>26</v>
      </c>
      <c r="Y7" s="8">
        <v>27</v>
      </c>
      <c r="Z7" s="8">
        <v>28</v>
      </c>
      <c r="AA7" s="8">
        <v>29</v>
      </c>
      <c r="AB7" s="8">
        <v>30</v>
      </c>
      <c r="AC7" s="8">
        <v>31</v>
      </c>
      <c r="AD7" s="8">
        <v>32</v>
      </c>
      <c r="AE7" s="8">
        <v>33</v>
      </c>
      <c r="AF7" s="8">
        <v>34</v>
      </c>
      <c r="AG7" s="8">
        <v>35</v>
      </c>
      <c r="AH7" s="8">
        <v>36</v>
      </c>
      <c r="AI7" s="8">
        <v>37</v>
      </c>
      <c r="AJ7" s="8">
        <v>38</v>
      </c>
      <c r="AK7" s="8">
        <v>39</v>
      </c>
      <c r="AL7" s="8">
        <v>40</v>
      </c>
      <c r="AM7" s="8">
        <v>41</v>
      </c>
      <c r="AN7" s="8">
        <v>42</v>
      </c>
      <c r="AO7" s="8">
        <v>43</v>
      </c>
      <c r="AP7" s="8">
        <v>44</v>
      </c>
      <c r="AQ7" s="8">
        <v>45</v>
      </c>
      <c r="AR7" s="8">
        <v>46</v>
      </c>
      <c r="AS7" s="8">
        <v>47</v>
      </c>
      <c r="AT7" s="8">
        <v>48</v>
      </c>
      <c r="AU7" s="8">
        <v>49</v>
      </c>
      <c r="AV7" s="8">
        <v>50</v>
      </c>
      <c r="AW7" s="8">
        <v>51</v>
      </c>
      <c r="AX7" s="8">
        <v>52</v>
      </c>
      <c r="AY7" s="8">
        <v>53</v>
      </c>
      <c r="AZ7" s="8">
        <v>54</v>
      </c>
      <c r="BA7" s="8">
        <v>55</v>
      </c>
      <c r="BB7" s="8">
        <v>56</v>
      </c>
      <c r="BC7" s="8">
        <v>57</v>
      </c>
      <c r="BD7" s="8">
        <v>58</v>
      </c>
      <c r="BE7" s="8">
        <v>59</v>
      </c>
      <c r="BF7" s="8">
        <v>60</v>
      </c>
      <c r="BG7" s="8">
        <v>61</v>
      </c>
      <c r="BH7" s="8">
        <v>62</v>
      </c>
      <c r="BI7" s="8">
        <v>63</v>
      </c>
      <c r="BJ7" s="8">
        <v>64</v>
      </c>
      <c r="BK7" s="8">
        <v>65</v>
      </c>
      <c r="BL7" s="8">
        <v>66</v>
      </c>
      <c r="BM7" s="8">
        <v>67</v>
      </c>
      <c r="BN7" s="8">
        <v>68</v>
      </c>
      <c r="BO7" s="8">
        <v>69</v>
      </c>
      <c r="BP7" s="8">
        <v>70</v>
      </c>
      <c r="BQ7" s="8">
        <v>71</v>
      </c>
      <c r="BR7" s="8">
        <v>72</v>
      </c>
      <c r="BS7" s="8">
        <v>73</v>
      </c>
      <c r="BT7" s="8">
        <v>74</v>
      </c>
      <c r="BU7" s="8">
        <v>75</v>
      </c>
      <c r="BV7" s="8">
        <v>76</v>
      </c>
      <c r="BW7" s="8">
        <v>77</v>
      </c>
      <c r="BX7" s="8">
        <v>78</v>
      </c>
      <c r="BY7" s="8">
        <v>103</v>
      </c>
      <c r="BZ7" s="8">
        <v>104</v>
      </c>
      <c r="CA7" s="8">
        <v>105</v>
      </c>
    </row>
    <row r="8" spans="1:79" ht="14.25" customHeight="1" thickBot="1" x14ac:dyDescent="0.55000000000000004">
      <c r="B8" s="15" t="s">
        <v>5</v>
      </c>
      <c r="C8" s="16"/>
      <c r="D8" s="293" t="s">
        <v>6</v>
      </c>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3"/>
      <c r="AF8" s="293"/>
      <c r="AG8" s="293"/>
      <c r="AH8" s="293"/>
      <c r="AI8" s="293"/>
      <c r="AJ8" s="293"/>
      <c r="AK8" s="293"/>
      <c r="AL8" s="294" t="s">
        <v>7</v>
      </c>
      <c r="AM8" s="294"/>
      <c r="AN8" s="294"/>
      <c r="AO8" s="294"/>
      <c r="AP8" s="294"/>
      <c r="AQ8" s="294"/>
      <c r="AR8" s="294"/>
      <c r="AS8" s="294"/>
      <c r="AT8" s="294"/>
      <c r="AU8" s="17"/>
      <c r="AV8" s="285" t="s">
        <v>8</v>
      </c>
      <c r="AW8" s="285"/>
      <c r="AX8" s="285"/>
      <c r="AY8" s="285"/>
      <c r="AZ8" s="285"/>
      <c r="BA8" s="285"/>
      <c r="BB8" s="285"/>
      <c r="BC8" s="285"/>
      <c r="BD8" s="285"/>
      <c r="BE8" s="285"/>
      <c r="BF8" s="285"/>
      <c r="BG8" s="285"/>
      <c r="BH8" s="285"/>
      <c r="BI8" s="285"/>
      <c r="BJ8" s="285"/>
      <c r="BK8" s="285"/>
      <c r="BL8" s="285"/>
      <c r="BM8" s="285"/>
      <c r="BN8" s="285"/>
      <c r="BO8" s="285"/>
      <c r="BP8" s="285"/>
      <c r="BQ8" s="285"/>
      <c r="BR8" s="285"/>
      <c r="BS8" s="285"/>
      <c r="BT8" s="285"/>
      <c r="BU8" s="285"/>
      <c r="BV8" s="285"/>
      <c r="BW8" s="285"/>
      <c r="BX8" s="18"/>
      <c r="BY8" s="286" t="s">
        <v>9</v>
      </c>
      <c r="BZ8" s="287"/>
      <c r="CA8" s="287"/>
    </row>
    <row r="9" spans="1:79" ht="11.5" customHeight="1" x14ac:dyDescent="0.45">
      <c r="A9" s="19"/>
      <c r="B9" s="20" t="s">
        <v>10</v>
      </c>
      <c r="C9" s="21"/>
      <c r="D9" s="288" t="s">
        <v>11</v>
      </c>
      <c r="E9" s="289"/>
      <c r="F9" s="289"/>
      <c r="G9" s="289"/>
      <c r="H9" s="289"/>
      <c r="I9" s="289"/>
      <c r="J9" s="290"/>
      <c r="K9" s="288" t="s">
        <v>12</v>
      </c>
      <c r="L9" s="289"/>
      <c r="M9" s="289"/>
      <c r="N9" s="289"/>
      <c r="O9" s="289"/>
      <c r="P9" s="290"/>
      <c r="Q9" s="291" t="s">
        <v>13</v>
      </c>
      <c r="R9" s="291"/>
      <c r="S9" s="291"/>
      <c r="T9" s="291"/>
      <c r="U9" s="291"/>
      <c r="V9" s="291"/>
      <c r="W9" s="288" t="s">
        <v>14</v>
      </c>
      <c r="X9" s="289"/>
      <c r="Y9" s="289"/>
      <c r="Z9" s="289"/>
      <c r="AA9" s="289"/>
      <c r="AB9" s="290"/>
      <c r="AC9" s="288" t="s">
        <v>15</v>
      </c>
      <c r="AD9" s="289"/>
      <c r="AE9" s="289"/>
      <c r="AF9" s="289"/>
      <c r="AG9" s="289"/>
      <c r="AH9" s="290"/>
      <c r="AI9" s="24" t="s">
        <v>16</v>
      </c>
      <c r="AJ9" s="24" t="s">
        <v>17</v>
      </c>
      <c r="AK9" s="24" t="s">
        <v>18</v>
      </c>
      <c r="AL9" s="291" t="s">
        <v>11</v>
      </c>
      <c r="AM9" s="291"/>
      <c r="AN9" s="291" t="s">
        <v>12</v>
      </c>
      <c r="AO9" s="291"/>
      <c r="AP9" s="291" t="s">
        <v>16</v>
      </c>
      <c r="AQ9" s="291"/>
      <c r="AR9" s="291"/>
      <c r="AS9" s="291"/>
      <c r="AT9" s="291"/>
      <c r="AU9" s="25"/>
      <c r="AV9" s="279" t="s">
        <v>13</v>
      </c>
      <c r="AW9" s="280"/>
      <c r="AX9" s="280"/>
      <c r="AY9" s="280"/>
      <c r="AZ9" s="280"/>
      <c r="BA9" s="280"/>
      <c r="BB9" s="281"/>
      <c r="BC9" s="282" t="s">
        <v>14</v>
      </c>
      <c r="BD9" s="283"/>
      <c r="BE9" s="283"/>
      <c r="BF9" s="283"/>
      <c r="BG9" s="283"/>
      <c r="BH9" s="284"/>
      <c r="BI9" s="283" t="s">
        <v>15</v>
      </c>
      <c r="BJ9" s="283"/>
      <c r="BK9" s="283"/>
      <c r="BL9" s="283"/>
      <c r="BM9" s="283"/>
      <c r="BN9" s="284"/>
      <c r="BO9" s="282" t="s">
        <v>19</v>
      </c>
      <c r="BP9" s="283"/>
      <c r="BQ9" s="283"/>
      <c r="BR9" s="283"/>
      <c r="BS9" s="283"/>
      <c r="BT9" s="284"/>
      <c r="BU9" s="26" t="s">
        <v>20</v>
      </c>
      <c r="BV9" s="27" t="s">
        <v>20</v>
      </c>
      <c r="BW9" s="28" t="s">
        <v>20</v>
      </c>
      <c r="BX9" s="29"/>
      <c r="BY9" s="23" t="s">
        <v>16</v>
      </c>
      <c r="BZ9" s="24" t="s">
        <v>16</v>
      </c>
      <c r="CA9" s="22" t="s">
        <v>18</v>
      </c>
    </row>
    <row r="10" spans="1:79" ht="11.5" customHeight="1" x14ac:dyDescent="0.45">
      <c r="A10" s="19" t="s">
        <v>21</v>
      </c>
      <c r="B10" s="20" t="s">
        <v>10</v>
      </c>
      <c r="C10" s="21" t="s">
        <v>22</v>
      </c>
      <c r="D10" s="21" t="s">
        <v>23</v>
      </c>
      <c r="E10" s="21" t="s">
        <v>24</v>
      </c>
      <c r="F10" s="21" t="s">
        <v>25</v>
      </c>
      <c r="G10" s="21" t="s">
        <v>26</v>
      </c>
      <c r="H10" s="21" t="s">
        <v>27</v>
      </c>
      <c r="I10" s="21" t="s">
        <v>28</v>
      </c>
      <c r="J10" s="21" t="s">
        <v>17</v>
      </c>
      <c r="K10" s="21" t="s">
        <v>23</v>
      </c>
      <c r="L10" s="21" t="s">
        <v>24</v>
      </c>
      <c r="M10" s="21" t="s">
        <v>25</v>
      </c>
      <c r="N10" s="21" t="s">
        <v>27</v>
      </c>
      <c r="O10" s="21" t="s">
        <v>28</v>
      </c>
      <c r="P10" s="21" t="s">
        <v>17</v>
      </c>
      <c r="Q10" s="21" t="s">
        <v>23</v>
      </c>
      <c r="R10" s="21" t="s">
        <v>24</v>
      </c>
      <c r="S10" s="21" t="s">
        <v>25</v>
      </c>
      <c r="T10" s="21" t="s">
        <v>27</v>
      </c>
      <c r="U10" s="21" t="s">
        <v>28</v>
      </c>
      <c r="V10" s="21" t="s">
        <v>17</v>
      </c>
      <c r="W10" s="21" t="s">
        <v>23</v>
      </c>
      <c r="X10" s="21" t="s">
        <v>24</v>
      </c>
      <c r="Y10" s="21" t="s">
        <v>25</v>
      </c>
      <c r="Z10" s="21" t="s">
        <v>27</v>
      </c>
      <c r="AA10" s="21" t="s">
        <v>28</v>
      </c>
      <c r="AB10" s="21" t="s">
        <v>17</v>
      </c>
      <c r="AC10" s="21" t="s">
        <v>23</v>
      </c>
      <c r="AD10" s="21" t="s">
        <v>24</v>
      </c>
      <c r="AE10" s="21" t="s">
        <v>25</v>
      </c>
      <c r="AF10" s="21" t="s">
        <v>27</v>
      </c>
      <c r="AG10" s="21" t="s">
        <v>28</v>
      </c>
      <c r="AH10" s="21" t="s">
        <v>17</v>
      </c>
      <c r="AI10" s="24" t="s">
        <v>27</v>
      </c>
      <c r="AJ10" s="21" t="s">
        <v>28</v>
      </c>
      <c r="AK10" s="24" t="s">
        <v>16</v>
      </c>
      <c r="AL10" s="30" t="s">
        <v>29</v>
      </c>
      <c r="AM10" s="30" t="s">
        <v>30</v>
      </c>
      <c r="AN10" s="30" t="s">
        <v>31</v>
      </c>
      <c r="AO10" s="30" t="s">
        <v>32</v>
      </c>
      <c r="AP10" s="30" t="s">
        <v>33</v>
      </c>
      <c r="AQ10" s="30" t="s">
        <v>34</v>
      </c>
      <c r="AR10" s="30" t="s">
        <v>35</v>
      </c>
      <c r="AS10" s="31" t="s">
        <v>36</v>
      </c>
      <c r="AT10" s="30" t="s">
        <v>37</v>
      </c>
      <c r="AU10" s="32" t="s">
        <v>38</v>
      </c>
      <c r="AV10" s="33" t="s">
        <v>23</v>
      </c>
      <c r="AW10" s="24" t="s">
        <v>24</v>
      </c>
      <c r="AX10" s="24" t="s">
        <v>25</v>
      </c>
      <c r="AY10" s="24" t="s">
        <v>27</v>
      </c>
      <c r="AZ10" s="24" t="s">
        <v>28</v>
      </c>
      <c r="BA10" s="24" t="s">
        <v>17</v>
      </c>
      <c r="BB10" s="34" t="s">
        <v>39</v>
      </c>
      <c r="BC10" s="33" t="s">
        <v>23</v>
      </c>
      <c r="BD10" s="24" t="s">
        <v>24</v>
      </c>
      <c r="BE10" s="24" t="s">
        <v>25</v>
      </c>
      <c r="BF10" s="24" t="s">
        <v>27</v>
      </c>
      <c r="BG10" s="24" t="s">
        <v>28</v>
      </c>
      <c r="BH10" s="35" t="s">
        <v>17</v>
      </c>
      <c r="BI10" s="23" t="s">
        <v>23</v>
      </c>
      <c r="BJ10" s="24" t="s">
        <v>24</v>
      </c>
      <c r="BK10" s="24" t="s">
        <v>25</v>
      </c>
      <c r="BL10" s="24" t="s">
        <v>27</v>
      </c>
      <c r="BM10" s="24" t="s">
        <v>28</v>
      </c>
      <c r="BN10" s="35" t="s">
        <v>17</v>
      </c>
      <c r="BO10" s="33" t="s">
        <v>23</v>
      </c>
      <c r="BP10" s="24" t="s">
        <v>24</v>
      </c>
      <c r="BQ10" s="24" t="s">
        <v>25</v>
      </c>
      <c r="BR10" s="24" t="s">
        <v>27</v>
      </c>
      <c r="BS10" s="24" t="s">
        <v>28</v>
      </c>
      <c r="BT10" s="35" t="s">
        <v>17</v>
      </c>
      <c r="BU10" s="33" t="s">
        <v>40</v>
      </c>
      <c r="BV10" s="24" t="s">
        <v>41</v>
      </c>
      <c r="BW10" s="35" t="s">
        <v>42</v>
      </c>
      <c r="BX10" s="29"/>
      <c r="BY10" s="36" t="s">
        <v>27</v>
      </c>
      <c r="BZ10" s="37" t="s">
        <v>28</v>
      </c>
      <c r="CA10" s="37" t="s">
        <v>43</v>
      </c>
    </row>
    <row r="11" spans="1:79" ht="11.4" customHeight="1" outlineLevel="1" x14ac:dyDescent="0.45">
      <c r="A11" s="38">
        <v>1</v>
      </c>
      <c r="B11" s="39" t="s">
        <v>44</v>
      </c>
      <c r="C11" s="40"/>
      <c r="D11" s="40"/>
      <c r="E11" s="40"/>
      <c r="F11" s="40"/>
      <c r="G11" s="40"/>
      <c r="H11" s="41"/>
      <c r="I11" s="41"/>
      <c r="J11" s="41"/>
      <c r="K11" s="40"/>
      <c r="L11" s="40"/>
      <c r="M11" s="40"/>
      <c r="N11" s="41"/>
      <c r="O11" s="41"/>
      <c r="P11" s="41"/>
      <c r="Q11" s="40"/>
      <c r="R11" s="40"/>
      <c r="S11" s="40"/>
      <c r="T11" s="41"/>
      <c r="U11" s="41"/>
      <c r="V11" s="41"/>
      <c r="W11" s="40"/>
      <c r="X11" s="40"/>
      <c r="Y11" s="40"/>
      <c r="Z11" s="41"/>
      <c r="AA11" s="41"/>
      <c r="AB11" s="41"/>
      <c r="AC11" s="40"/>
      <c r="AD11" s="40"/>
      <c r="AE11" s="40"/>
      <c r="AF11" s="41"/>
      <c r="AG11" s="41"/>
      <c r="AH11" s="41"/>
      <c r="AI11" s="41"/>
      <c r="AJ11" s="41"/>
      <c r="AK11" s="41"/>
      <c r="AL11" s="41"/>
      <c r="AM11" s="41"/>
      <c r="AN11" s="41"/>
      <c r="AO11" s="41"/>
      <c r="AP11" s="41"/>
      <c r="AQ11" s="41"/>
      <c r="AR11" s="41"/>
      <c r="AS11" s="41"/>
      <c r="AT11" s="41"/>
      <c r="AU11" s="42"/>
      <c r="AV11" s="43"/>
      <c r="AW11" s="40"/>
      <c r="AX11" s="40"/>
      <c r="AY11" s="41"/>
      <c r="AZ11" s="41"/>
      <c r="BA11" s="41"/>
      <c r="BB11" s="44"/>
      <c r="BC11" s="43"/>
      <c r="BD11" s="40"/>
      <c r="BE11" s="40"/>
      <c r="BF11" s="41"/>
      <c r="BG11" s="41"/>
      <c r="BH11" s="45"/>
      <c r="BI11" s="46"/>
      <c r="BJ11" s="40"/>
      <c r="BK11" s="40"/>
      <c r="BL11" s="41"/>
      <c r="BM11" s="41"/>
      <c r="BN11" s="45"/>
      <c r="BO11" s="47"/>
      <c r="BP11" s="41"/>
      <c r="BQ11" s="41"/>
      <c r="BR11" s="41"/>
      <c r="BS11" s="41"/>
      <c r="BT11" s="45"/>
      <c r="BU11" s="47"/>
      <c r="BV11" s="41"/>
      <c r="BW11" s="45"/>
      <c r="BX11" s="48"/>
      <c r="BY11" s="49"/>
      <c r="BZ11" s="50"/>
      <c r="CA11" s="50"/>
    </row>
    <row r="12" spans="1:79" s="70" customFormat="1" ht="11.5" customHeight="1" outlineLevel="1" x14ac:dyDescent="0.45">
      <c r="A12" s="54">
        <v>4</v>
      </c>
      <c r="B12" s="55" t="s">
        <v>167</v>
      </c>
      <c r="C12" s="52" t="s">
        <v>45</v>
      </c>
      <c r="D12" s="56">
        <v>1</v>
      </c>
      <c r="E12" s="57">
        <f>52500/12</f>
        <v>4375</v>
      </c>
      <c r="F12" s="58">
        <v>11</v>
      </c>
      <c r="G12" s="54" t="s">
        <v>46</v>
      </c>
      <c r="H12" s="57">
        <f>F12*E12*D12</f>
        <v>48125</v>
      </c>
      <c r="I12" s="57">
        <v>0</v>
      </c>
      <c r="J12" s="57">
        <f>SUM(H12:I12)</f>
        <v>48125</v>
      </c>
      <c r="K12" s="56">
        <f>D12</f>
        <v>1</v>
      </c>
      <c r="L12" s="57">
        <f>E12*$D$7</f>
        <v>4550</v>
      </c>
      <c r="M12" s="54">
        <v>12</v>
      </c>
      <c r="N12" s="57">
        <f>K12*L12*M12</f>
        <v>54600</v>
      </c>
      <c r="O12" s="57">
        <v>0</v>
      </c>
      <c r="P12" s="57">
        <f>SUM(N12:O12)</f>
        <v>54600</v>
      </c>
      <c r="Q12" s="56">
        <f>D12</f>
        <v>1</v>
      </c>
      <c r="R12" s="57">
        <f>+E12*$D$7*$D$7</f>
        <v>4732</v>
      </c>
      <c r="S12" s="54">
        <v>12</v>
      </c>
      <c r="T12" s="57">
        <f>Q12*R12*S12</f>
        <v>56784</v>
      </c>
      <c r="U12" s="57">
        <v>0</v>
      </c>
      <c r="V12" s="57">
        <f>SUM(T12:U12)</f>
        <v>56784</v>
      </c>
      <c r="W12" s="56">
        <f>Q12</f>
        <v>1</v>
      </c>
      <c r="X12" s="57">
        <f>+E12*$D$7*$D$7*$D$7</f>
        <v>4921.28</v>
      </c>
      <c r="Y12" s="54">
        <v>12</v>
      </c>
      <c r="Z12" s="57">
        <f>W12*X12*Y12</f>
        <v>59055.360000000001</v>
      </c>
      <c r="AA12" s="57">
        <v>0</v>
      </c>
      <c r="AB12" s="57">
        <f>SUM(Z12:AA12)</f>
        <v>59055.360000000001</v>
      </c>
      <c r="AC12" s="56">
        <f>W12</f>
        <v>1</v>
      </c>
      <c r="AD12" s="57">
        <f>+E12*$D$7*$D$7*$D$7*$D$7</f>
        <v>5118.1311999999998</v>
      </c>
      <c r="AE12" s="54">
        <v>12</v>
      </c>
      <c r="AF12" s="57">
        <f>AC12*AD12*AE12</f>
        <v>61417.574399999998</v>
      </c>
      <c r="AG12" s="57">
        <v>0</v>
      </c>
      <c r="AH12" s="57">
        <f>SUM(AF12:AG12)</f>
        <v>61417.574399999998</v>
      </c>
      <c r="AI12" s="57">
        <f>H12+N12+T12+Z12+AF12</f>
        <v>279981.93439999997</v>
      </c>
      <c r="AJ12" s="57">
        <f>I12+O12+U12+AA12+AG12</f>
        <v>0</v>
      </c>
      <c r="AK12" s="57">
        <f>SUM(AI12:AJ12)</f>
        <v>279981.93439999997</v>
      </c>
      <c r="AL12" s="57">
        <v>0</v>
      </c>
      <c r="AM12" s="57">
        <v>0</v>
      </c>
      <c r="AN12" s="57">
        <f>3252.77+3817.03+3948.19+3962.6+3739.26+3813.47+3433.22+3475.34+3384.44+3177.56+3047.83+3137.35</f>
        <v>42189.06</v>
      </c>
      <c r="AO12" s="57">
        <v>0</v>
      </c>
      <c r="AP12" s="57">
        <f>AL12+AN12</f>
        <v>42189.06</v>
      </c>
      <c r="AQ12" s="57">
        <f>AM12+AO12</f>
        <v>0</v>
      </c>
      <c r="AR12" s="57">
        <f>AP12+AQ12</f>
        <v>42189.06</v>
      </c>
      <c r="AS12" s="57">
        <f>AK12-AR12</f>
        <v>237792.87439999997</v>
      </c>
      <c r="AT12" s="57">
        <f>AK12-AL12-AM12-AN12-AO12</f>
        <v>237792.87439999997</v>
      </c>
      <c r="AU12" s="59">
        <f>AS12-AT12</f>
        <v>0</v>
      </c>
      <c r="AV12" s="60">
        <v>1</v>
      </c>
      <c r="AW12" s="61">
        <v>2923.08</v>
      </c>
      <c r="AX12" s="58">
        <v>7.9482999999999997</v>
      </c>
      <c r="AY12" s="61">
        <f>AV12*AW12*AX12</f>
        <v>23233.516764</v>
      </c>
      <c r="AZ12" s="61">
        <f>U12</f>
        <v>0</v>
      </c>
      <c r="BA12" s="61">
        <f>SUM(AY12:AZ12)</f>
        <v>23233.516764</v>
      </c>
      <c r="BB12" s="62" t="s">
        <v>47</v>
      </c>
      <c r="BC12" s="60">
        <v>1</v>
      </c>
      <c r="BD12" s="61">
        <f>AW12*1.04</f>
        <v>3040.0032000000001</v>
      </c>
      <c r="BE12" s="58">
        <v>12</v>
      </c>
      <c r="BF12" s="61">
        <f>BC12*BD12*BE12</f>
        <v>36480.038400000005</v>
      </c>
      <c r="BG12" s="61">
        <v>0</v>
      </c>
      <c r="BH12" s="63">
        <f>SUM(BF12:BG12)</f>
        <v>36480.038400000005</v>
      </c>
      <c r="BI12" s="64">
        <v>1</v>
      </c>
      <c r="BJ12" s="61">
        <f>BD12*1.04</f>
        <v>3161.6033280000001</v>
      </c>
      <c r="BK12" s="58">
        <v>12</v>
      </c>
      <c r="BL12" s="61">
        <f>BI12*BJ12*BK12</f>
        <v>37939.239935999998</v>
      </c>
      <c r="BM12" s="61">
        <v>0</v>
      </c>
      <c r="BN12" s="63">
        <f>SUM(BL12:BM12)</f>
        <v>37939.239935999998</v>
      </c>
      <c r="BO12" s="65">
        <v>1</v>
      </c>
      <c r="BP12" s="61">
        <f>BJ12*1.04</f>
        <v>3288.0674611200002</v>
      </c>
      <c r="BQ12" s="61">
        <v>6</v>
      </c>
      <c r="BR12" s="61">
        <f>BQ12*BP12</f>
        <v>19728.404766719999</v>
      </c>
      <c r="BS12" s="61">
        <v>0</v>
      </c>
      <c r="BT12" s="63">
        <f>BS12+BR12</f>
        <v>19728.404766719999</v>
      </c>
      <c r="BU12" s="66">
        <f>BL12+BF12+AY12+BR12</f>
        <v>117381.19986672001</v>
      </c>
      <c r="BV12" s="61">
        <f>BS12+BM12+BG12+AZ12</f>
        <v>0</v>
      </c>
      <c r="BW12" s="63">
        <f>BU12+BV12</f>
        <v>117381.19986672001</v>
      </c>
      <c r="BX12" s="67"/>
      <c r="BY12" s="68">
        <v>977361.33604682388</v>
      </c>
      <c r="BZ12" s="69">
        <v>193112.52854071336</v>
      </c>
      <c r="CA12" s="69">
        <v>1170473.8645875372</v>
      </c>
    </row>
    <row r="13" spans="1:79" s="76" customFormat="1" ht="11.5" customHeight="1" x14ac:dyDescent="0.4">
      <c r="A13" s="54">
        <v>27</v>
      </c>
      <c r="B13" s="86" t="s">
        <v>48</v>
      </c>
      <c r="C13" s="87"/>
      <c r="D13" s="87"/>
      <c r="E13" s="87"/>
      <c r="F13" s="87"/>
      <c r="G13" s="87"/>
      <c r="H13" s="88" t="e">
        <f>#REF!+#REF!</f>
        <v>#REF!</v>
      </c>
      <c r="I13" s="88" t="e">
        <f>#REF!+#REF!</f>
        <v>#REF!</v>
      </c>
      <c r="J13" s="88" t="e">
        <f>#REF!+#REF!</f>
        <v>#REF!</v>
      </c>
      <c r="K13" s="87"/>
      <c r="L13" s="87"/>
      <c r="M13" s="87"/>
      <c r="N13" s="88" t="e">
        <f>#REF!+#REF!</f>
        <v>#REF!</v>
      </c>
      <c r="O13" s="88" t="e">
        <f>#REF!+#REF!</f>
        <v>#REF!</v>
      </c>
      <c r="P13" s="88" t="e">
        <f>#REF!+#REF!</f>
        <v>#REF!</v>
      </c>
      <c r="Q13" s="87"/>
      <c r="R13" s="87"/>
      <c r="S13" s="87"/>
      <c r="T13" s="88" t="e">
        <f>#REF!+#REF!</f>
        <v>#REF!</v>
      </c>
      <c r="U13" s="88" t="e">
        <f>#REF!+#REF!</f>
        <v>#REF!</v>
      </c>
      <c r="V13" s="88" t="e">
        <f>#REF!+#REF!</f>
        <v>#REF!</v>
      </c>
      <c r="W13" s="87"/>
      <c r="X13" s="87"/>
      <c r="Y13" s="87"/>
      <c r="Z13" s="88" t="e">
        <f>#REF!+#REF!</f>
        <v>#REF!</v>
      </c>
      <c r="AA13" s="88" t="e">
        <f>#REF!+#REF!</f>
        <v>#REF!</v>
      </c>
      <c r="AB13" s="88" t="e">
        <f>#REF!+#REF!</f>
        <v>#REF!</v>
      </c>
      <c r="AC13" s="88"/>
      <c r="AD13" s="87"/>
      <c r="AE13" s="87"/>
      <c r="AF13" s="88" t="e">
        <f>#REF!+#REF!</f>
        <v>#REF!</v>
      </c>
      <c r="AG13" s="88" t="e">
        <f>#REF!+#REF!</f>
        <v>#REF!</v>
      </c>
      <c r="AH13" s="88" t="e">
        <f>#REF!+#REF!</f>
        <v>#REF!</v>
      </c>
      <c r="AI13" s="88" t="e">
        <f>#REF!+#REF!</f>
        <v>#REF!</v>
      </c>
      <c r="AJ13" s="88" t="e">
        <f>#REF!+#REF!</f>
        <v>#REF!</v>
      </c>
      <c r="AK13" s="88" t="e">
        <f>#REF!+#REF!</f>
        <v>#REF!</v>
      </c>
      <c r="AL13" s="89" t="e">
        <f>#REF!+#REF!</f>
        <v>#REF!</v>
      </c>
      <c r="AM13" s="89" t="e">
        <f>#REF!+#REF!</f>
        <v>#REF!</v>
      </c>
      <c r="AN13" s="89" t="e">
        <f>#REF!+#REF!</f>
        <v>#REF!</v>
      </c>
      <c r="AO13" s="89" t="e">
        <f>#REF!+#REF!</f>
        <v>#REF!</v>
      </c>
      <c r="AP13" s="89" t="e">
        <f>#REF!+#REF!</f>
        <v>#REF!</v>
      </c>
      <c r="AQ13" s="89" t="e">
        <f>#REF!+#REF!</f>
        <v>#REF!</v>
      </c>
      <c r="AR13" s="89" t="e">
        <f>#REF!+#REF!</f>
        <v>#REF!</v>
      </c>
      <c r="AS13" s="89" t="e">
        <f>#REF!+#REF!</f>
        <v>#REF!</v>
      </c>
      <c r="AT13" s="89" t="e">
        <f t="shared" ref="AT13" si="0">AK13-AL13-AM13-AN13-AO13</f>
        <v>#REF!</v>
      </c>
      <c r="AU13" s="90"/>
      <c r="AV13" s="91"/>
      <c r="AW13" s="88"/>
      <c r="AX13" s="92"/>
      <c r="AY13" s="89" t="e">
        <f>#REF!+#REF!</f>
        <v>#REF!</v>
      </c>
      <c r="AZ13" s="89" t="e">
        <f>#REF!+#REF!</f>
        <v>#REF!</v>
      </c>
      <c r="BA13" s="89" t="e">
        <f t="shared" ref="BA13" si="1">SUM(AY13:AZ13)</f>
        <v>#REF!</v>
      </c>
      <c r="BB13" s="93"/>
      <c r="BC13" s="91"/>
      <c r="BD13" s="88" t="e">
        <f>#REF!+#REF!</f>
        <v>#REF!</v>
      </c>
      <c r="BE13" s="92"/>
      <c r="BF13" s="89" t="e">
        <f>#REF!+#REF!</f>
        <v>#REF!</v>
      </c>
      <c r="BG13" s="89" t="e">
        <f>#REF!+#REF!</f>
        <v>#REF!</v>
      </c>
      <c r="BH13" s="94" t="e">
        <f t="shared" ref="BH13" si="2">SUM(BF13:BG13)</f>
        <v>#REF!</v>
      </c>
      <c r="BI13" s="95"/>
      <c r="BJ13" s="89" t="e">
        <f>#REF!+#REF!</f>
        <v>#REF!</v>
      </c>
      <c r="BK13" s="92"/>
      <c r="BL13" s="89" t="e">
        <f>#REF!+#REF!</f>
        <v>#REF!</v>
      </c>
      <c r="BM13" s="89" t="e">
        <f>#REF!+#REF!</f>
        <v>#REF!</v>
      </c>
      <c r="BN13" s="94" t="e">
        <f t="shared" ref="BN13" si="3">SUM(BL13:BM13)</f>
        <v>#REF!</v>
      </c>
      <c r="BO13" s="96"/>
      <c r="BP13" s="89" t="e">
        <f>#REF!+#REF!</f>
        <v>#REF!</v>
      </c>
      <c r="BQ13" s="89"/>
      <c r="BR13" s="89" t="e">
        <f>#REF!+#REF!</f>
        <v>#REF!</v>
      </c>
      <c r="BS13" s="89" t="e">
        <f>#REF!+#REF!</f>
        <v>#REF!</v>
      </c>
      <c r="BT13" s="94" t="e">
        <f>#REF!+#REF!</f>
        <v>#REF!</v>
      </c>
      <c r="BU13" s="96" t="e">
        <f>#REF!+#REF!</f>
        <v>#REF!</v>
      </c>
      <c r="BV13" s="89" t="e">
        <f>#REF!+#REF!</f>
        <v>#REF!</v>
      </c>
      <c r="BW13" s="94" t="e">
        <f>#REF!+#REF!</f>
        <v>#REF!</v>
      </c>
      <c r="BX13" s="75"/>
      <c r="BY13" s="97">
        <v>977361.33604682388</v>
      </c>
      <c r="BZ13" s="98">
        <v>193112.52854071336</v>
      </c>
      <c r="CA13" s="98">
        <v>1170473.8645875372</v>
      </c>
    </row>
    <row r="14" spans="1:79" s="70" customFormat="1" ht="11.5" customHeight="1" outlineLevel="1" x14ac:dyDescent="0.4">
      <c r="A14" s="38">
        <v>28</v>
      </c>
      <c r="B14" s="39" t="s">
        <v>49</v>
      </c>
      <c r="C14" s="99"/>
      <c r="D14" s="100"/>
      <c r="E14" s="100"/>
      <c r="F14" s="100"/>
      <c r="G14" s="100"/>
      <c r="H14" s="101"/>
      <c r="I14" s="101"/>
      <c r="J14" s="101"/>
      <c r="K14" s="100"/>
      <c r="L14" s="100"/>
      <c r="M14" s="100"/>
      <c r="N14" s="101"/>
      <c r="O14" s="101"/>
      <c r="P14" s="101"/>
      <c r="Q14" s="100"/>
      <c r="R14" s="100"/>
      <c r="S14" s="100"/>
      <c r="T14" s="101"/>
      <c r="U14" s="101"/>
      <c r="V14" s="101"/>
      <c r="W14" s="100"/>
      <c r="X14" s="100"/>
      <c r="Y14" s="100"/>
      <c r="Z14" s="101"/>
      <c r="AA14" s="101"/>
      <c r="AB14" s="101"/>
      <c r="AC14" s="100"/>
      <c r="AD14" s="100"/>
      <c r="AE14" s="100"/>
      <c r="AF14" s="101"/>
      <c r="AG14" s="101"/>
      <c r="AH14" s="101"/>
      <c r="AI14" s="101"/>
      <c r="AJ14" s="101"/>
      <c r="AK14" s="101"/>
      <c r="AL14" s="101"/>
      <c r="AM14" s="101"/>
      <c r="AN14" s="101"/>
      <c r="AO14" s="101"/>
      <c r="AP14" s="101"/>
      <c r="AQ14" s="101"/>
      <c r="AR14" s="101"/>
      <c r="AS14" s="101"/>
      <c r="AT14" s="101"/>
      <c r="AU14" s="102"/>
      <c r="AV14" s="103"/>
      <c r="AW14" s="101"/>
      <c r="AX14" s="104"/>
      <c r="AY14" s="101"/>
      <c r="AZ14" s="101"/>
      <c r="BA14" s="101"/>
      <c r="BB14" s="105"/>
      <c r="BC14" s="103"/>
      <c r="BD14" s="101"/>
      <c r="BE14" s="104"/>
      <c r="BF14" s="101"/>
      <c r="BG14" s="106"/>
      <c r="BH14" s="107"/>
      <c r="BI14" s="108"/>
      <c r="BJ14" s="101"/>
      <c r="BK14" s="104"/>
      <c r="BL14" s="101"/>
      <c r="BM14" s="101"/>
      <c r="BN14" s="109"/>
      <c r="BO14" s="110"/>
      <c r="BP14" s="101"/>
      <c r="BQ14" s="101"/>
      <c r="BR14" s="101"/>
      <c r="BS14" s="101"/>
      <c r="BT14" s="109"/>
      <c r="BU14" s="111"/>
      <c r="BV14" s="106"/>
      <c r="BW14" s="107"/>
      <c r="BX14" s="67"/>
      <c r="BY14" s="112"/>
      <c r="BZ14" s="113"/>
      <c r="CA14" s="113"/>
    </row>
    <row r="15" spans="1:79" s="70" customFormat="1" ht="11.5" customHeight="1" outlineLevel="1" x14ac:dyDescent="0.45">
      <c r="A15" s="54">
        <v>29</v>
      </c>
      <c r="B15" s="114" t="s">
        <v>166</v>
      </c>
      <c r="C15" s="115" t="s">
        <v>50</v>
      </c>
      <c r="D15" s="117">
        <v>0.53864000000000001</v>
      </c>
      <c r="E15" s="57"/>
      <c r="F15" s="54"/>
      <c r="G15" s="54"/>
      <c r="H15" s="57" t="e">
        <f>$D$15*(H12+#REF!+#REF!)</f>
        <v>#REF!</v>
      </c>
      <c r="I15" s="57" t="e">
        <f>$D$15*(I12+#REF!+#REF!)</f>
        <v>#REF!</v>
      </c>
      <c r="J15" s="57" t="e">
        <f>SUM(H15:I15)</f>
        <v>#REF!</v>
      </c>
      <c r="K15" s="117">
        <f>D15</f>
        <v>0.53864000000000001</v>
      </c>
      <c r="L15" s="57"/>
      <c r="M15" s="54"/>
      <c r="N15" s="57" t="e">
        <f>$D$15*(N12+#REF!+#REF!)</f>
        <v>#REF!</v>
      </c>
      <c r="O15" s="57" t="e">
        <f>$D$15*(O12+#REF!+#REF!)</f>
        <v>#REF!</v>
      </c>
      <c r="P15" s="57" t="e">
        <f>+N15+O15</f>
        <v>#REF!</v>
      </c>
      <c r="Q15" s="117">
        <f>D15</f>
        <v>0.53864000000000001</v>
      </c>
      <c r="R15" s="57"/>
      <c r="S15" s="54"/>
      <c r="T15" s="57" t="e">
        <f>$D$15*(T12+#REF!+#REF!)</f>
        <v>#REF!</v>
      </c>
      <c r="U15" s="57" t="e">
        <f>$D$15*(U12+#REF!+#REF!)</f>
        <v>#REF!</v>
      </c>
      <c r="V15" s="57" t="e">
        <f>SUM(T15:U15)</f>
        <v>#REF!</v>
      </c>
      <c r="W15" s="117">
        <f>D15</f>
        <v>0.53864000000000001</v>
      </c>
      <c r="X15" s="57"/>
      <c r="Y15" s="54"/>
      <c r="Z15" s="57" t="e">
        <f>$D$15*(Z12+#REF!+#REF!)</f>
        <v>#REF!</v>
      </c>
      <c r="AA15" s="57" t="e">
        <f>$D$15*(AA12+#REF!+#REF!)</f>
        <v>#REF!</v>
      </c>
      <c r="AB15" s="57" t="e">
        <f>SUM(Z15:AA15)</f>
        <v>#REF!</v>
      </c>
      <c r="AC15" s="117">
        <f>D15</f>
        <v>0.53864000000000001</v>
      </c>
      <c r="AD15" s="57"/>
      <c r="AE15" s="54"/>
      <c r="AF15" s="57" t="e">
        <f>$D$15*(AF12+#REF!+#REF!)</f>
        <v>#REF!</v>
      </c>
      <c r="AG15" s="57" t="e">
        <f>$D$15*(AG12+#REF!+#REF!)</f>
        <v>#REF!</v>
      </c>
      <c r="AH15" s="57" t="e">
        <f>SUM(AF15:AG15)</f>
        <v>#REF!</v>
      </c>
      <c r="AI15" s="57" t="e">
        <f>+AF15+Z15+T15+N15+H15</f>
        <v>#REF!</v>
      </c>
      <c r="AJ15" s="57" t="e">
        <f>+AG15+AA15+U15+O15+I15</f>
        <v>#REF!</v>
      </c>
      <c r="AK15" s="57" t="e">
        <f>+SUM(AI15:AJ15)</f>
        <v>#REF!</v>
      </c>
      <c r="AL15" s="61">
        <v>0</v>
      </c>
      <c r="AM15" s="57">
        <v>0</v>
      </c>
      <c r="AN15" s="61">
        <f>(1146.22-152.83)+1165.72+1205.78+1210.18+1141.97+(1164.63+1864.79)+1048.51+1061.37+1033.6+970.42+930.8+(958.14+1602.38)+162.13</f>
        <v>16513.810000000001</v>
      </c>
      <c r="AO15" s="57">
        <v>0</v>
      </c>
      <c r="AP15" s="57">
        <f>AL15+AN15</f>
        <v>16513.810000000001</v>
      </c>
      <c r="AQ15" s="57">
        <f>AM15+AO15</f>
        <v>0</v>
      </c>
      <c r="AR15" s="57">
        <f>AP15+AQ15</f>
        <v>16513.810000000001</v>
      </c>
      <c r="AS15" s="57" t="e">
        <f>AK15-AR15</f>
        <v>#REF!</v>
      </c>
      <c r="AT15" s="61" t="e">
        <f>AK15-AL15-AM15-AN15-AO15</f>
        <v>#REF!</v>
      </c>
      <c r="AU15" s="59" t="e">
        <f>AS15-AT15</f>
        <v>#REF!</v>
      </c>
      <c r="AV15" s="118">
        <v>0</v>
      </c>
      <c r="AW15" s="61">
        <v>0</v>
      </c>
      <c r="AX15" s="82">
        <v>0</v>
      </c>
      <c r="AY15" s="61">
        <v>0</v>
      </c>
      <c r="AZ15" s="61">
        <v>0</v>
      </c>
      <c r="BA15" s="61">
        <f>SUM(AV15:AZ15)</f>
        <v>0</v>
      </c>
      <c r="BB15" s="62" t="s">
        <v>51</v>
      </c>
      <c r="BC15" s="118">
        <v>0</v>
      </c>
      <c r="BD15" s="61">
        <v>0</v>
      </c>
      <c r="BE15" s="54">
        <v>0</v>
      </c>
      <c r="BF15" s="61">
        <v>0</v>
      </c>
      <c r="BG15" s="61">
        <v>0</v>
      </c>
      <c r="BH15" s="63">
        <f>SUM(BC15:BG15)</f>
        <v>0</v>
      </c>
      <c r="BI15" s="119">
        <v>0</v>
      </c>
      <c r="BJ15" s="61">
        <v>0</v>
      </c>
      <c r="BK15" s="54">
        <v>0</v>
      </c>
      <c r="BL15" s="61">
        <v>0</v>
      </c>
      <c r="BM15" s="61">
        <v>0</v>
      </c>
      <c r="BN15" s="63">
        <f>SUM(BI15:BM15)</f>
        <v>0</v>
      </c>
      <c r="BO15" s="66"/>
      <c r="BP15" s="61"/>
      <c r="BQ15" s="61"/>
      <c r="BR15" s="61"/>
      <c r="BS15" s="61"/>
      <c r="BT15" s="63"/>
      <c r="BU15" s="66">
        <f>BL15+BF15+AY15</f>
        <v>0</v>
      </c>
      <c r="BV15" s="61">
        <f>BM15+BG15+AZ15</f>
        <v>0</v>
      </c>
      <c r="BW15" s="63">
        <f>BU15+BV15</f>
        <v>0</v>
      </c>
      <c r="BX15" s="67"/>
      <c r="BY15" s="68">
        <v>471980.87205836503</v>
      </c>
      <c r="BZ15" s="69">
        <v>0</v>
      </c>
      <c r="CA15" s="69">
        <v>16513.810000000001</v>
      </c>
    </row>
    <row r="16" spans="1:79" s="76" customFormat="1" ht="11.5" customHeight="1" x14ac:dyDescent="0.4">
      <c r="A16" s="54">
        <v>31</v>
      </c>
      <c r="B16" s="120" t="s">
        <v>52</v>
      </c>
      <c r="C16" s="121"/>
      <c r="D16" s="87"/>
      <c r="E16" s="87"/>
      <c r="F16" s="87"/>
      <c r="G16" s="87"/>
      <c r="H16" s="88" t="e">
        <f>SUM(H15:H15)</f>
        <v>#REF!</v>
      </c>
      <c r="I16" s="88" t="e">
        <f>SUM(I15:I15)</f>
        <v>#REF!</v>
      </c>
      <c r="J16" s="88" t="e">
        <f>SUM(J15:J15)</f>
        <v>#REF!</v>
      </c>
      <c r="K16" s="87"/>
      <c r="L16" s="87"/>
      <c r="M16" s="87"/>
      <c r="N16" s="88" t="e">
        <f>SUM(N15:N15)</f>
        <v>#REF!</v>
      </c>
      <c r="O16" s="88" t="e">
        <f>SUM(O15:O15)</f>
        <v>#REF!</v>
      </c>
      <c r="P16" s="88" t="e">
        <f>SUM(P15:P15)</f>
        <v>#REF!</v>
      </c>
      <c r="Q16" s="87"/>
      <c r="R16" s="87"/>
      <c r="S16" s="87"/>
      <c r="T16" s="88" t="e">
        <f>SUM(T15:T15)</f>
        <v>#REF!</v>
      </c>
      <c r="U16" s="88" t="e">
        <f>SUM(U15:U15)</f>
        <v>#REF!</v>
      </c>
      <c r="V16" s="88" t="e">
        <f>SUM(V15:V15)</f>
        <v>#REF!</v>
      </c>
      <c r="W16" s="87"/>
      <c r="X16" s="87"/>
      <c r="Y16" s="87"/>
      <c r="Z16" s="88" t="e">
        <f>SUM(Z15:Z15)</f>
        <v>#REF!</v>
      </c>
      <c r="AA16" s="88" t="e">
        <f>SUM(AA15:AA15)</f>
        <v>#REF!</v>
      </c>
      <c r="AB16" s="88" t="e">
        <f>SUM(AB15:AB15)</f>
        <v>#REF!</v>
      </c>
      <c r="AC16" s="87"/>
      <c r="AD16" s="87"/>
      <c r="AE16" s="87"/>
      <c r="AF16" s="88" t="e">
        <f>SUM(AF15:AF15)</f>
        <v>#REF!</v>
      </c>
      <c r="AG16" s="88" t="e">
        <f>SUM(AG15:AG15)</f>
        <v>#REF!</v>
      </c>
      <c r="AH16" s="88" t="e">
        <f>SUM(AH15:AH15)</f>
        <v>#REF!</v>
      </c>
      <c r="AI16" s="88" t="e">
        <f>SUM(AI15:AI15)</f>
        <v>#REF!</v>
      </c>
      <c r="AJ16" s="88" t="e">
        <f>SUM(AJ15:AJ15)</f>
        <v>#REF!</v>
      </c>
      <c r="AK16" s="88" t="e">
        <f>SUM(AI16:AJ16)</f>
        <v>#REF!</v>
      </c>
      <c r="AL16" s="89" t="e">
        <f>#REF!+AL15</f>
        <v>#REF!</v>
      </c>
      <c r="AM16" s="88" t="e">
        <f>#REF!+AM15</f>
        <v>#REF!</v>
      </c>
      <c r="AN16" s="88">
        <f>SUM(AN15:AN15)</f>
        <v>16513.810000000001</v>
      </c>
      <c r="AO16" s="88">
        <f>SUM(AO15:AO15)</f>
        <v>0</v>
      </c>
      <c r="AP16" s="88">
        <f>SUM(AP15:AP15)</f>
        <v>16513.810000000001</v>
      </c>
      <c r="AQ16" s="88">
        <f>SUM(AQ15:AQ15)</f>
        <v>0</v>
      </c>
      <c r="AR16" s="88">
        <f>SUM(AR15:AR15)</f>
        <v>16513.810000000001</v>
      </c>
      <c r="AS16" s="88" t="e">
        <f>SUM(AS15:AS15)</f>
        <v>#REF!</v>
      </c>
      <c r="AT16" s="89" t="e">
        <f>AK16-AL16-AM16-AN16-AO16</f>
        <v>#REF!</v>
      </c>
      <c r="AU16" s="90"/>
      <c r="AV16" s="91"/>
      <c r="AW16" s="88" t="e">
        <f>#REF!+AW15</f>
        <v>#REF!</v>
      </c>
      <c r="AX16" s="92">
        <v>0</v>
      </c>
      <c r="AY16" s="89">
        <f>SUM(AY15:AY15)</f>
        <v>0</v>
      </c>
      <c r="AZ16" s="89">
        <f>SUM(AZ15:AZ15)</f>
        <v>0</v>
      </c>
      <c r="BA16" s="89">
        <f>SUM(AY16:AZ16)</f>
        <v>0</v>
      </c>
      <c r="BB16" s="93"/>
      <c r="BC16" s="91"/>
      <c r="BD16" s="88" t="e">
        <f>#REF!+BD15</f>
        <v>#REF!</v>
      </c>
      <c r="BE16" s="92"/>
      <c r="BF16" s="89">
        <f>SUM(BF15:BF15)</f>
        <v>0</v>
      </c>
      <c r="BG16" s="89">
        <f>SUM(BG15:BG15)</f>
        <v>0</v>
      </c>
      <c r="BH16" s="94">
        <f>SUM(BF16:BG16)</f>
        <v>0</v>
      </c>
      <c r="BI16" s="95"/>
      <c r="BJ16" s="89" t="e">
        <f>#REF!+BJ15</f>
        <v>#REF!</v>
      </c>
      <c r="BK16" s="92"/>
      <c r="BL16" s="89">
        <f>SUM(BL15:BL15)</f>
        <v>0</v>
      </c>
      <c r="BM16" s="88" t="e">
        <f>#REF!+BM15</f>
        <v>#REF!</v>
      </c>
      <c r="BN16" s="123" t="e">
        <f>SUM(BL16:BM16)</f>
        <v>#REF!</v>
      </c>
      <c r="BO16" s="124"/>
      <c r="BP16" s="88" t="e">
        <f>#REF!</f>
        <v>#REF!</v>
      </c>
      <c r="BQ16" s="88"/>
      <c r="BR16" s="88" t="e">
        <f>#REF!</f>
        <v>#REF!</v>
      </c>
      <c r="BS16" s="88" t="e">
        <f>#REF!</f>
        <v>#REF!</v>
      </c>
      <c r="BT16" s="123" t="e">
        <f>#REF!</f>
        <v>#REF!</v>
      </c>
      <c r="BU16" s="96" t="e">
        <f>BL16+BF16+AY16+BR16</f>
        <v>#REF!</v>
      </c>
      <c r="BV16" s="89" t="e">
        <f>BS16+BM16+BG16+AZ16</f>
        <v>#REF!</v>
      </c>
      <c r="BW16" s="94" t="e">
        <f>BT16+BN16+BH16+BA16</f>
        <v>#REF!</v>
      </c>
      <c r="BX16" s="75"/>
      <c r="BY16" s="97">
        <v>471980.87205836503</v>
      </c>
      <c r="BZ16" s="98">
        <v>61320.389978846273</v>
      </c>
      <c r="CA16" s="98">
        <v>533301.26203721133</v>
      </c>
    </row>
    <row r="17" spans="1:79" s="70" customFormat="1" ht="11.5" customHeight="1" outlineLevel="1" x14ac:dyDescent="0.4">
      <c r="A17" s="38">
        <v>32</v>
      </c>
      <c r="B17" s="39" t="s">
        <v>53</v>
      </c>
      <c r="C17" s="100"/>
      <c r="D17" s="100"/>
      <c r="E17" s="100"/>
      <c r="F17" s="100"/>
      <c r="G17" s="100"/>
      <c r="H17" s="101"/>
      <c r="I17" s="101"/>
      <c r="J17" s="101"/>
      <c r="K17" s="100"/>
      <c r="L17" s="100"/>
      <c r="M17" s="100"/>
      <c r="N17" s="101"/>
      <c r="O17" s="101"/>
      <c r="P17" s="101"/>
      <c r="Q17" s="100"/>
      <c r="R17" s="100"/>
      <c r="S17" s="100"/>
      <c r="T17" s="101"/>
      <c r="U17" s="101"/>
      <c r="V17" s="101"/>
      <c r="W17" s="100"/>
      <c r="X17" s="100"/>
      <c r="Y17" s="100"/>
      <c r="Z17" s="101"/>
      <c r="AA17" s="101"/>
      <c r="AB17" s="101"/>
      <c r="AC17" s="100"/>
      <c r="AD17" s="100"/>
      <c r="AE17" s="100"/>
      <c r="AF17" s="101"/>
      <c r="AG17" s="101"/>
      <c r="AH17" s="101"/>
      <c r="AI17" s="101"/>
      <c r="AJ17" s="101"/>
      <c r="AK17" s="101"/>
      <c r="AL17" s="101"/>
      <c r="AM17" s="101"/>
      <c r="AN17" s="101"/>
      <c r="AO17" s="101"/>
      <c r="AP17" s="101"/>
      <c r="AQ17" s="101"/>
      <c r="AR17" s="101"/>
      <c r="AS17" s="101"/>
      <c r="AT17" s="101"/>
      <c r="AU17" s="102"/>
      <c r="AV17" s="103"/>
      <c r="AW17" s="101"/>
      <c r="AX17" s="104"/>
      <c r="AY17" s="101"/>
      <c r="AZ17" s="101"/>
      <c r="BA17" s="101"/>
      <c r="BB17" s="105"/>
      <c r="BC17" s="103"/>
      <c r="BD17" s="101"/>
      <c r="BE17" s="104"/>
      <c r="BF17" s="106"/>
      <c r="BG17" s="106"/>
      <c r="BH17" s="107"/>
      <c r="BI17" s="108"/>
      <c r="BJ17" s="101"/>
      <c r="BK17" s="104"/>
      <c r="BL17" s="101"/>
      <c r="BM17" s="101"/>
      <c r="BN17" s="109"/>
      <c r="BO17" s="110"/>
      <c r="BP17" s="101"/>
      <c r="BQ17" s="101"/>
      <c r="BR17" s="101"/>
      <c r="BS17" s="101"/>
      <c r="BT17" s="109"/>
      <c r="BU17" s="111"/>
      <c r="BV17" s="106"/>
      <c r="BW17" s="107"/>
      <c r="BX17" s="67"/>
      <c r="BY17" s="125"/>
      <c r="BZ17" s="126"/>
      <c r="CA17" s="126"/>
    </row>
    <row r="18" spans="1:79" s="70" customFormat="1" ht="11.5" customHeight="1" outlineLevel="1" x14ac:dyDescent="0.45">
      <c r="A18" s="38">
        <v>34</v>
      </c>
      <c r="B18" s="127" t="s">
        <v>54</v>
      </c>
      <c r="C18" s="52" t="s">
        <v>55</v>
      </c>
      <c r="D18" s="81"/>
      <c r="E18" s="81"/>
      <c r="F18" s="81"/>
      <c r="G18" s="81" t="s">
        <v>56</v>
      </c>
      <c r="H18" s="57"/>
      <c r="I18" s="57"/>
      <c r="J18" s="57"/>
      <c r="K18" s="81"/>
      <c r="L18" s="81"/>
      <c r="M18" s="81"/>
      <c r="N18" s="57"/>
      <c r="O18" s="57"/>
      <c r="P18" s="57"/>
      <c r="Q18" s="81"/>
      <c r="R18" s="81"/>
      <c r="S18" s="81"/>
      <c r="T18" s="57"/>
      <c r="U18" s="57"/>
      <c r="V18" s="57"/>
      <c r="W18" s="81"/>
      <c r="X18" s="81"/>
      <c r="Y18" s="81"/>
      <c r="Z18" s="57"/>
      <c r="AA18" s="57"/>
      <c r="AB18" s="57"/>
      <c r="AC18" s="81"/>
      <c r="AD18" s="81"/>
      <c r="AE18" s="81"/>
      <c r="AF18" s="57"/>
      <c r="AG18" s="57"/>
      <c r="AH18" s="57"/>
      <c r="AI18" s="57"/>
      <c r="AJ18" s="57"/>
      <c r="AK18" s="57"/>
      <c r="AL18" s="57">
        <v>0</v>
      </c>
      <c r="AM18" s="57">
        <v>0</v>
      </c>
      <c r="AN18" s="57">
        <v>0</v>
      </c>
      <c r="AO18" s="57">
        <v>0</v>
      </c>
      <c r="AP18" s="57">
        <v>0</v>
      </c>
      <c r="AQ18" s="57">
        <f>AM18+AO18</f>
        <v>0</v>
      </c>
      <c r="AR18" s="57">
        <f>AP18+AQ18</f>
        <v>0</v>
      </c>
      <c r="AS18" s="57">
        <f>AK18-AR18</f>
        <v>0</v>
      </c>
      <c r="AT18" s="57">
        <v>0</v>
      </c>
      <c r="AU18" s="59">
        <f>AS18-AT18</f>
        <v>0</v>
      </c>
      <c r="AV18" s="128">
        <v>169</v>
      </c>
      <c r="AW18" s="61">
        <v>212.7</v>
      </c>
      <c r="AX18" s="54"/>
      <c r="AY18" s="61">
        <f>AW18*AV18</f>
        <v>35946.299999999996</v>
      </c>
      <c r="AZ18" s="61">
        <f>U18</f>
        <v>0</v>
      </c>
      <c r="BA18" s="61">
        <f>SUM(AY18:AZ18)</f>
        <v>35946.299999999996</v>
      </c>
      <c r="BB18" s="129" t="s">
        <v>57</v>
      </c>
      <c r="BC18" s="77"/>
      <c r="BD18" s="57">
        <f>6510</f>
        <v>6510</v>
      </c>
      <c r="BE18" s="54"/>
      <c r="BF18" s="61">
        <f>BD18</f>
        <v>6510</v>
      </c>
      <c r="BG18" s="61">
        <v>0</v>
      </c>
      <c r="BH18" s="63">
        <f>SUM(BF18:BG18)</f>
        <v>6510</v>
      </c>
      <c r="BI18" s="78"/>
      <c r="BJ18" s="61">
        <v>17770</v>
      </c>
      <c r="BK18" s="54"/>
      <c r="BL18" s="61">
        <f>BJ18</f>
        <v>17770</v>
      </c>
      <c r="BM18" s="61">
        <v>0</v>
      </c>
      <c r="BN18" s="79">
        <f>BM18+BL18</f>
        <v>17770</v>
      </c>
      <c r="BO18" s="80"/>
      <c r="BP18" s="57">
        <v>15940</v>
      </c>
      <c r="BQ18" s="57"/>
      <c r="BR18" s="57">
        <f>BP18</f>
        <v>15940</v>
      </c>
      <c r="BS18" s="61">
        <v>0</v>
      </c>
      <c r="BT18" s="79">
        <f>BS18+BR18</f>
        <v>15940</v>
      </c>
      <c r="BU18" s="130">
        <f t="shared" ref="BU18:BV18" si="4">BL18+BF18+AY18+BR18</f>
        <v>76166.299999999988</v>
      </c>
      <c r="BV18" s="61">
        <f t="shared" si="4"/>
        <v>0</v>
      </c>
      <c r="BW18" s="63">
        <f>BU18+BV18</f>
        <v>76166.299999999988</v>
      </c>
      <c r="BX18" s="67"/>
      <c r="BY18" s="68">
        <v>55770.744792660429</v>
      </c>
      <c r="BZ18" s="69">
        <v>0</v>
      </c>
      <c r="CA18" s="69">
        <v>55770.744792660429</v>
      </c>
    </row>
    <row r="19" spans="1:79" s="70" customFormat="1" ht="11.5" customHeight="1" outlineLevel="1" x14ac:dyDescent="0.45">
      <c r="A19" s="54">
        <v>39</v>
      </c>
      <c r="B19" s="134" t="s">
        <v>58</v>
      </c>
      <c r="C19" s="52" t="s">
        <v>55</v>
      </c>
      <c r="D19" s="85">
        <v>2</v>
      </c>
      <c r="E19" s="57">
        <v>250</v>
      </c>
      <c r="F19" s="135">
        <v>1</v>
      </c>
      <c r="G19" s="81" t="s">
        <v>56</v>
      </c>
      <c r="H19" s="57">
        <f>F19*E19*D19</f>
        <v>500</v>
      </c>
      <c r="I19" s="57">
        <v>0</v>
      </c>
      <c r="J19" s="57">
        <f>SUM(H19:I19)</f>
        <v>500</v>
      </c>
      <c r="K19" s="85">
        <v>2</v>
      </c>
      <c r="L19" s="57">
        <f>E19*$D$6</f>
        <v>257.5</v>
      </c>
      <c r="M19" s="135">
        <v>1</v>
      </c>
      <c r="N19" s="57">
        <f>K19*L19*M19</f>
        <v>515</v>
      </c>
      <c r="O19" s="57">
        <v>0</v>
      </c>
      <c r="P19" s="57">
        <f>SUM(N19:O19)</f>
        <v>515</v>
      </c>
      <c r="Q19" s="85">
        <v>2</v>
      </c>
      <c r="R19" s="57">
        <f>E19*$D$6*$D$6</f>
        <v>265.22500000000002</v>
      </c>
      <c r="S19" s="135">
        <v>1</v>
      </c>
      <c r="T19" s="57">
        <f>Q19*R19*S19</f>
        <v>530.45000000000005</v>
      </c>
      <c r="U19" s="57">
        <v>0</v>
      </c>
      <c r="V19" s="57">
        <f>SUM(T19:U19)</f>
        <v>530.45000000000005</v>
      </c>
      <c r="W19" s="85">
        <v>2</v>
      </c>
      <c r="X19" s="57">
        <f>E19*$D$6*$D$6*$D$6</f>
        <v>273.18175000000002</v>
      </c>
      <c r="Y19" s="135">
        <v>1</v>
      </c>
      <c r="Z19" s="57">
        <f>W19*X19*Y19</f>
        <v>546.36350000000004</v>
      </c>
      <c r="AA19" s="57">
        <v>0</v>
      </c>
      <c r="AB19" s="57">
        <f>SUM(Z19:AA19)</f>
        <v>546.36350000000004</v>
      </c>
      <c r="AC19" s="85">
        <v>2</v>
      </c>
      <c r="AD19" s="57">
        <f>E19*$D$6*$D$6*$D$6*$D$6</f>
        <v>281.37720250000001</v>
      </c>
      <c r="AE19" s="135">
        <v>1</v>
      </c>
      <c r="AF19" s="57">
        <f>AC19*AD19*AE19</f>
        <v>562.75440500000002</v>
      </c>
      <c r="AG19" s="57">
        <v>0</v>
      </c>
      <c r="AH19" s="57">
        <f>SUM(AF19:AG19)</f>
        <v>562.75440500000002</v>
      </c>
      <c r="AI19" s="57">
        <f t="shared" ref="AI19:AJ19" si="5">H19+N19+T19+Z19+AF19</f>
        <v>2654.5679050000003</v>
      </c>
      <c r="AJ19" s="57">
        <f t="shared" si="5"/>
        <v>0</v>
      </c>
      <c r="AK19" s="57">
        <f>SUM(AI19:AJ19)</f>
        <v>2654.5679050000003</v>
      </c>
      <c r="AL19" s="61">
        <v>913.59</v>
      </c>
      <c r="AM19" s="57">
        <v>0</v>
      </c>
      <c r="AN19" s="61">
        <v>0</v>
      </c>
      <c r="AO19" s="57">
        <v>0</v>
      </c>
      <c r="AP19" s="57">
        <f t="shared" ref="AP19:AQ19" si="6">AL19+AN19</f>
        <v>913.59</v>
      </c>
      <c r="AQ19" s="57">
        <f t="shared" si="6"/>
        <v>0</v>
      </c>
      <c r="AR19" s="57">
        <f>AP19+AQ19</f>
        <v>913.59</v>
      </c>
      <c r="AS19" s="57">
        <f>AK19-AR19</f>
        <v>1740.9779050000002</v>
      </c>
      <c r="AT19" s="61">
        <f>AK19-AL19-AM19-AN19-AO19</f>
        <v>1740.9779050000002</v>
      </c>
      <c r="AU19" s="59">
        <f>AS19-AT19</f>
        <v>0</v>
      </c>
      <c r="AV19" s="128"/>
      <c r="AW19" s="61">
        <v>0</v>
      </c>
      <c r="AX19" s="61"/>
      <c r="AY19" s="61">
        <v>0</v>
      </c>
      <c r="AZ19" s="61">
        <f>U19</f>
        <v>0</v>
      </c>
      <c r="BA19" s="61">
        <f>SUM(AY19:AZ19)</f>
        <v>0</v>
      </c>
      <c r="BB19" s="136" t="s">
        <v>59</v>
      </c>
      <c r="BC19" s="128"/>
      <c r="BD19" s="61">
        <v>0</v>
      </c>
      <c r="BE19" s="61"/>
      <c r="BF19" s="61">
        <v>0</v>
      </c>
      <c r="BG19" s="61">
        <f>AA19</f>
        <v>0</v>
      </c>
      <c r="BH19" s="63">
        <f>SUM(BF19:BG19)</f>
        <v>0</v>
      </c>
      <c r="BI19" s="137"/>
      <c r="BJ19" s="61">
        <v>0</v>
      </c>
      <c r="BK19" s="61"/>
      <c r="BL19" s="61">
        <v>0</v>
      </c>
      <c r="BM19" s="61">
        <f>AG19</f>
        <v>0</v>
      </c>
      <c r="BN19" s="63">
        <v>0</v>
      </c>
      <c r="BO19" s="128"/>
      <c r="BP19" s="61">
        <v>0</v>
      </c>
      <c r="BQ19" s="61"/>
      <c r="BR19" s="61">
        <v>0</v>
      </c>
      <c r="BS19" s="61">
        <f>AM19</f>
        <v>0</v>
      </c>
      <c r="BT19" s="63">
        <v>0</v>
      </c>
      <c r="BU19" s="66">
        <f>BL19+BF19+AY19+BR19</f>
        <v>0</v>
      </c>
      <c r="BV19" s="61">
        <f t="shared" ref="BV19" si="7">BM19+BG19+AZ19</f>
        <v>0</v>
      </c>
      <c r="BW19" s="63">
        <f>BU19+BV19</f>
        <v>0</v>
      </c>
      <c r="BX19" s="133"/>
      <c r="BY19" s="68">
        <v>7364.3995700262903</v>
      </c>
      <c r="BZ19" s="69">
        <v>0</v>
      </c>
      <c r="CA19" s="69">
        <v>7364.3995700262903</v>
      </c>
    </row>
    <row r="20" spans="1:79" s="70" customFormat="1" ht="11.5" customHeight="1" outlineLevel="1" x14ac:dyDescent="0.45">
      <c r="A20" s="38">
        <v>46</v>
      </c>
      <c r="B20" s="7" t="s">
        <v>60</v>
      </c>
      <c r="C20" s="52" t="s">
        <v>61</v>
      </c>
      <c r="D20" s="85">
        <v>12</v>
      </c>
      <c r="E20" s="57">
        <v>250</v>
      </c>
      <c r="F20" s="135">
        <v>1</v>
      </c>
      <c r="G20" s="81" t="s">
        <v>56</v>
      </c>
      <c r="H20" s="57">
        <f>F20*E20*D20</f>
        <v>3000</v>
      </c>
      <c r="I20" s="57">
        <v>0</v>
      </c>
      <c r="J20" s="57">
        <f>SUM(H20:I20)</f>
        <v>3000</v>
      </c>
      <c r="K20" s="85">
        <v>12</v>
      </c>
      <c r="L20" s="57">
        <f>E20*$D$6</f>
        <v>257.5</v>
      </c>
      <c r="M20" s="135">
        <v>1</v>
      </c>
      <c r="N20" s="57">
        <f>K20*L20*M20</f>
        <v>3090</v>
      </c>
      <c r="O20" s="57">
        <v>0</v>
      </c>
      <c r="P20" s="57">
        <f>SUM(N20:O20)</f>
        <v>3090</v>
      </c>
      <c r="Q20" s="85">
        <v>12</v>
      </c>
      <c r="R20" s="57">
        <f>E20*$D$6*$D$6</f>
        <v>265.22500000000002</v>
      </c>
      <c r="S20" s="135">
        <v>1</v>
      </c>
      <c r="T20" s="57">
        <f>Q20*R20*S20</f>
        <v>3182.7000000000003</v>
      </c>
      <c r="U20" s="57">
        <v>0</v>
      </c>
      <c r="V20" s="57">
        <f>SUM(T20:U20)</f>
        <v>3182.7000000000003</v>
      </c>
      <c r="W20" s="85">
        <v>12</v>
      </c>
      <c r="X20" s="57">
        <f>E20*$D$6*$D$6*$D$6</f>
        <v>273.18175000000002</v>
      </c>
      <c r="Y20" s="135">
        <v>1</v>
      </c>
      <c r="Z20" s="57">
        <f>W20*X20*Y20</f>
        <v>3278.1810000000005</v>
      </c>
      <c r="AA20" s="57">
        <v>0</v>
      </c>
      <c r="AB20" s="57">
        <f>SUM(Z20:AA20)</f>
        <v>3278.1810000000005</v>
      </c>
      <c r="AC20" s="85">
        <v>12</v>
      </c>
      <c r="AD20" s="57">
        <f>E20*$D$6*$D$6*$D$6*$D$6</f>
        <v>281.37720250000001</v>
      </c>
      <c r="AE20" s="135">
        <v>1</v>
      </c>
      <c r="AF20" s="57">
        <f>AC20*AD20*AE20</f>
        <v>3376.5264299999999</v>
      </c>
      <c r="AG20" s="57">
        <v>0</v>
      </c>
      <c r="AH20" s="57">
        <f>SUM(AF20:AG20)</f>
        <v>3376.5264299999999</v>
      </c>
      <c r="AI20" s="57">
        <f t="shared" ref="AI20:AJ20" si="8">H20+N20+T20+Z20+AF20</f>
        <v>15927.407430000001</v>
      </c>
      <c r="AJ20" s="57">
        <f t="shared" si="8"/>
        <v>0</v>
      </c>
      <c r="AK20" s="57">
        <f>SUM(AI20:AJ20)</f>
        <v>15927.407430000001</v>
      </c>
      <c r="AL20" s="61">
        <f>1816.37+1589.97+1953.64+731.23</f>
        <v>6091.2100000000009</v>
      </c>
      <c r="AM20" s="57">
        <v>0</v>
      </c>
      <c r="AN20" s="61">
        <f>793.72+2634.66+10735.95+15047.83+5040.15+10019.69+6705+10952.62+14283.22+6989.35+2473.44+4128.24</f>
        <v>89803.870000000024</v>
      </c>
      <c r="AO20" s="57">
        <v>0</v>
      </c>
      <c r="AP20" s="57">
        <f t="shared" ref="AP20:AQ20" si="9">AL20+AN20</f>
        <v>95895.080000000031</v>
      </c>
      <c r="AQ20" s="57">
        <f t="shared" si="9"/>
        <v>0</v>
      </c>
      <c r="AR20" s="57">
        <f>AP20+AQ20</f>
        <v>95895.080000000031</v>
      </c>
      <c r="AS20" s="57">
        <f>AK20-AR20</f>
        <v>-79967.672570000024</v>
      </c>
      <c r="AT20" s="61">
        <f>AK20-AL20-AM20-AN20-AO20</f>
        <v>-79967.672570000024</v>
      </c>
      <c r="AU20" s="59">
        <f>AS20-AT20</f>
        <v>0</v>
      </c>
      <c r="AV20" s="128"/>
      <c r="AW20" s="61">
        <v>0</v>
      </c>
      <c r="AX20" s="61"/>
      <c r="AY20" s="61">
        <v>0</v>
      </c>
      <c r="AZ20" s="61">
        <f>U20</f>
        <v>0</v>
      </c>
      <c r="BA20" s="61">
        <f>SUM(AY20:AZ20)</f>
        <v>0</v>
      </c>
      <c r="BB20" s="136" t="s">
        <v>62</v>
      </c>
      <c r="BC20" s="128"/>
      <c r="BD20" s="61">
        <v>0</v>
      </c>
      <c r="BE20" s="61"/>
      <c r="BF20" s="61">
        <v>0</v>
      </c>
      <c r="BG20" s="61">
        <f>AA20</f>
        <v>0</v>
      </c>
      <c r="BH20" s="63">
        <f>SUM(BF20:BG20)</f>
        <v>0</v>
      </c>
      <c r="BI20" s="137"/>
      <c r="BJ20" s="61">
        <v>0</v>
      </c>
      <c r="BK20" s="61"/>
      <c r="BL20" s="61">
        <v>0</v>
      </c>
      <c r="BM20" s="61">
        <f>AG20</f>
        <v>0</v>
      </c>
      <c r="BN20" s="63">
        <v>0</v>
      </c>
      <c r="BO20" s="128"/>
      <c r="BP20" s="61">
        <v>0</v>
      </c>
      <c r="BQ20" s="61"/>
      <c r="BR20" s="61">
        <v>0</v>
      </c>
      <c r="BS20" s="61">
        <f>AM20</f>
        <v>0</v>
      </c>
      <c r="BT20" s="63">
        <v>0</v>
      </c>
      <c r="BU20" s="66">
        <f>BL20+BF20+AY20+BR20</f>
        <v>0</v>
      </c>
      <c r="BV20" s="61">
        <f t="shared" ref="BV20" si="10">BM20+BG20+AZ20</f>
        <v>0</v>
      </c>
      <c r="BW20" s="63">
        <f>BU20+BV20</f>
        <v>0</v>
      </c>
      <c r="BX20" s="67"/>
      <c r="BY20" s="68">
        <v>149020.34866704934</v>
      </c>
      <c r="BZ20" s="69">
        <v>0</v>
      </c>
      <c r="CA20" s="69">
        <v>149020.34866704934</v>
      </c>
    </row>
    <row r="21" spans="1:79" s="76" customFormat="1" ht="11.5" customHeight="1" x14ac:dyDescent="0.4">
      <c r="A21" s="54">
        <v>73</v>
      </c>
      <c r="B21" s="120" t="s">
        <v>64</v>
      </c>
      <c r="C21" s="122"/>
      <c r="D21" s="87"/>
      <c r="E21" s="87"/>
      <c r="F21" s="87"/>
      <c r="G21" s="87"/>
      <c r="H21" s="88" t="e">
        <f>#REF!+#REF!</f>
        <v>#REF!</v>
      </c>
      <c r="I21" s="88" t="e">
        <f>#REF!+#REF!</f>
        <v>#REF!</v>
      </c>
      <c r="J21" s="88" t="e">
        <f>#REF!+#REF!</f>
        <v>#REF!</v>
      </c>
      <c r="K21" s="87"/>
      <c r="L21" s="87"/>
      <c r="M21" s="87"/>
      <c r="N21" s="88" t="e">
        <f>#REF!+#REF!</f>
        <v>#REF!</v>
      </c>
      <c r="O21" s="88" t="e">
        <f>#REF!+#REF!</f>
        <v>#REF!</v>
      </c>
      <c r="P21" s="88" t="e">
        <f>#REF!+#REF!</f>
        <v>#REF!</v>
      </c>
      <c r="Q21" s="87"/>
      <c r="R21" s="87"/>
      <c r="S21" s="87"/>
      <c r="T21" s="88" t="e">
        <f>#REF!+#REF!</f>
        <v>#REF!</v>
      </c>
      <c r="U21" s="88" t="e">
        <f>#REF!+#REF!</f>
        <v>#REF!</v>
      </c>
      <c r="V21" s="88" t="e">
        <f>#REF!+#REF!</f>
        <v>#REF!</v>
      </c>
      <c r="W21" s="87"/>
      <c r="X21" s="87"/>
      <c r="Y21" s="87"/>
      <c r="Z21" s="88" t="e">
        <f>#REF!+#REF!</f>
        <v>#REF!</v>
      </c>
      <c r="AA21" s="88" t="e">
        <f>#REF!+#REF!</f>
        <v>#REF!</v>
      </c>
      <c r="AB21" s="88" t="e">
        <f>#REF!+#REF!</f>
        <v>#REF!</v>
      </c>
      <c r="AC21" s="87"/>
      <c r="AD21" s="87"/>
      <c r="AE21" s="87"/>
      <c r="AF21" s="88" t="e">
        <f>#REF!+#REF!</f>
        <v>#REF!</v>
      </c>
      <c r="AG21" s="88" t="e">
        <f>#REF!+#REF!</f>
        <v>#REF!</v>
      </c>
      <c r="AH21" s="88" t="e">
        <f>#REF!+#REF!</f>
        <v>#REF!</v>
      </c>
      <c r="AI21" s="88" t="e">
        <f>#REF!+#REF!</f>
        <v>#REF!</v>
      </c>
      <c r="AJ21" s="88" t="e">
        <f>#REF!+#REF!</f>
        <v>#REF!</v>
      </c>
      <c r="AK21" s="88" t="e">
        <f>#REF!+#REF!</f>
        <v>#REF!</v>
      </c>
      <c r="AL21" s="89" t="e">
        <f>#REF!+#REF!</f>
        <v>#REF!</v>
      </c>
      <c r="AM21" s="88">
        <v>0</v>
      </c>
      <c r="AN21" s="89" t="e">
        <f>#REF!+#REF!</f>
        <v>#REF!</v>
      </c>
      <c r="AO21" s="88">
        <v>0</v>
      </c>
      <c r="AP21" s="88">
        <v>0</v>
      </c>
      <c r="AQ21" s="88">
        <v>0</v>
      </c>
      <c r="AR21" s="88">
        <v>0</v>
      </c>
      <c r="AS21" s="88">
        <v>0</v>
      </c>
      <c r="AT21" s="89" t="e">
        <f t="shared" ref="AT21" si="11">AK21-AL21-AM21-AN21-AO21</f>
        <v>#REF!</v>
      </c>
      <c r="AU21" s="90"/>
      <c r="AV21" s="145"/>
      <c r="AW21" s="89" t="e">
        <f>+#REF!+#REF!+#REF!</f>
        <v>#REF!</v>
      </c>
      <c r="AX21" s="146"/>
      <c r="AY21" s="88" t="e">
        <f>#REF!+#REF!+#REF!</f>
        <v>#REF!</v>
      </c>
      <c r="AZ21" s="89">
        <v>0</v>
      </c>
      <c r="BA21" s="88" t="e">
        <f>SUM(AY21:AZ21)</f>
        <v>#REF!</v>
      </c>
      <c r="BB21" s="147"/>
      <c r="BC21" s="145"/>
      <c r="BD21" s="89">
        <v>0</v>
      </c>
      <c r="BE21" s="146"/>
      <c r="BF21" s="89" t="e">
        <f>#REF!+#REF!+#REF!</f>
        <v>#REF!</v>
      </c>
      <c r="BG21" s="89">
        <v>0</v>
      </c>
      <c r="BH21" s="94" t="e">
        <f>SUM(BF21:BG21)</f>
        <v>#REF!</v>
      </c>
      <c r="BI21" s="148"/>
      <c r="BJ21" s="89">
        <v>0</v>
      </c>
      <c r="BK21" s="146"/>
      <c r="BL21" s="88" t="e">
        <f>#REF!+#REF!+#REF!</f>
        <v>#REF!</v>
      </c>
      <c r="BM21" s="89">
        <v>0</v>
      </c>
      <c r="BN21" s="123" t="e">
        <f>SUM(BL21:BM21)</f>
        <v>#REF!</v>
      </c>
      <c r="BO21" s="124"/>
      <c r="BP21" s="89">
        <v>0</v>
      </c>
      <c r="BQ21" s="88"/>
      <c r="BR21" s="88" t="e">
        <f>#REF!+#REF!+#REF!</f>
        <v>#REF!</v>
      </c>
      <c r="BS21" s="89">
        <v>0</v>
      </c>
      <c r="BT21" s="123" t="e">
        <f>SUM(BR21:BS21)</f>
        <v>#REF!</v>
      </c>
      <c r="BU21" s="96" t="e">
        <f>BR21+BL21+BF21+AY21</f>
        <v>#REF!</v>
      </c>
      <c r="BV21" s="96">
        <f>BS21+BM21+BG21+AZ21</f>
        <v>0</v>
      </c>
      <c r="BW21" s="94" t="e">
        <f>BT21+BN21+BH21+BA21</f>
        <v>#REF!</v>
      </c>
      <c r="BX21" s="75"/>
      <c r="BY21" s="149">
        <v>212155.49302973607</v>
      </c>
      <c r="BZ21" s="150">
        <v>0</v>
      </c>
      <c r="CA21" s="150">
        <v>212155.49302973607</v>
      </c>
    </row>
    <row r="22" spans="1:79" s="70" customFormat="1" ht="11.5" customHeight="1" outlineLevel="1" x14ac:dyDescent="0.4">
      <c r="A22" s="54">
        <v>77</v>
      </c>
      <c r="B22" s="39" t="s">
        <v>66</v>
      </c>
      <c r="C22" s="100"/>
      <c r="D22" s="100"/>
      <c r="E22" s="100"/>
      <c r="F22" s="100"/>
      <c r="G22" s="100"/>
      <c r="H22" s="101"/>
      <c r="I22" s="101"/>
      <c r="J22" s="101"/>
      <c r="K22" s="100"/>
      <c r="L22" s="100"/>
      <c r="M22" s="100"/>
      <c r="N22" s="101"/>
      <c r="O22" s="101"/>
      <c r="P22" s="101"/>
      <c r="Q22" s="100"/>
      <c r="R22" s="100"/>
      <c r="S22" s="100"/>
      <c r="T22" s="101"/>
      <c r="U22" s="101"/>
      <c r="V22" s="101"/>
      <c r="W22" s="100"/>
      <c r="X22" s="100"/>
      <c r="Y22" s="100"/>
      <c r="Z22" s="101"/>
      <c r="AA22" s="101"/>
      <c r="AB22" s="101"/>
      <c r="AC22" s="100"/>
      <c r="AD22" s="100"/>
      <c r="AE22" s="100"/>
      <c r="AF22" s="101"/>
      <c r="AG22" s="101"/>
      <c r="AH22" s="101"/>
      <c r="AI22" s="101"/>
      <c r="AJ22" s="101"/>
      <c r="AK22" s="101"/>
      <c r="AL22" s="101"/>
      <c r="AM22" s="101"/>
      <c r="AN22" s="101"/>
      <c r="AO22" s="101"/>
      <c r="AP22" s="101"/>
      <c r="AQ22" s="101"/>
      <c r="AR22" s="101"/>
      <c r="AS22" s="101"/>
      <c r="AT22" s="101"/>
      <c r="AU22" s="102"/>
      <c r="AV22" s="155"/>
      <c r="AW22" s="101"/>
      <c r="AX22" s="156"/>
      <c r="AY22" s="101"/>
      <c r="AZ22" s="101"/>
      <c r="BA22" s="101"/>
      <c r="BB22" s="105"/>
      <c r="BC22" s="155"/>
      <c r="BD22" s="101"/>
      <c r="BE22" s="156"/>
      <c r="BF22" s="106"/>
      <c r="BG22" s="106"/>
      <c r="BH22" s="107"/>
      <c r="BI22" s="157"/>
      <c r="BJ22" s="101"/>
      <c r="BK22" s="156"/>
      <c r="BL22" s="101"/>
      <c r="BM22" s="101"/>
      <c r="BN22" s="109"/>
      <c r="BO22" s="110"/>
      <c r="BP22" s="101"/>
      <c r="BQ22" s="101"/>
      <c r="BR22" s="101"/>
      <c r="BS22" s="101"/>
      <c r="BT22" s="109"/>
      <c r="BU22" s="111"/>
      <c r="BV22" s="106"/>
      <c r="BW22" s="107"/>
      <c r="BX22" s="67"/>
      <c r="BY22" s="158"/>
      <c r="BZ22" s="159"/>
      <c r="CA22" s="159"/>
    </row>
    <row r="23" spans="1:79" s="70" customFormat="1" ht="11.5" customHeight="1" outlineLevel="1" x14ac:dyDescent="0.45">
      <c r="A23" s="38">
        <v>78</v>
      </c>
      <c r="B23" s="51" t="s">
        <v>67</v>
      </c>
      <c r="C23" s="52"/>
      <c r="D23" s="73"/>
      <c r="E23" s="73"/>
      <c r="F23" s="73"/>
      <c r="G23" s="73"/>
      <c r="H23" s="57"/>
      <c r="I23" s="57"/>
      <c r="J23" s="57"/>
      <c r="K23" s="73"/>
      <c r="L23" s="73"/>
      <c r="M23" s="73"/>
      <c r="N23" s="57"/>
      <c r="O23" s="57"/>
      <c r="P23" s="57"/>
      <c r="Q23" s="73"/>
      <c r="R23" s="73"/>
      <c r="S23" s="73"/>
      <c r="T23" s="57"/>
      <c r="U23" s="57"/>
      <c r="V23" s="57"/>
      <c r="W23" s="73"/>
      <c r="X23" s="73"/>
      <c r="Y23" s="73"/>
      <c r="Z23" s="57"/>
      <c r="AA23" s="57"/>
      <c r="AB23" s="57"/>
      <c r="AC23" s="73"/>
      <c r="AD23" s="73"/>
      <c r="AE23" s="73"/>
      <c r="AF23" s="57"/>
      <c r="AG23" s="57"/>
      <c r="AH23" s="57"/>
      <c r="AI23" s="57"/>
      <c r="AJ23" s="57"/>
      <c r="AK23" s="57"/>
      <c r="AL23" s="57"/>
      <c r="AM23" s="57"/>
      <c r="AN23" s="57"/>
      <c r="AO23" s="57"/>
      <c r="AP23" s="57"/>
      <c r="AQ23" s="57"/>
      <c r="AR23" s="57"/>
      <c r="AS23" s="57"/>
      <c r="AT23" s="57"/>
      <c r="AU23" s="59"/>
      <c r="AV23" s="128"/>
      <c r="AW23" s="57"/>
      <c r="AX23" s="135"/>
      <c r="AY23" s="57"/>
      <c r="AZ23" s="57"/>
      <c r="BA23" s="57"/>
      <c r="BB23" s="53"/>
      <c r="BC23" s="128"/>
      <c r="BD23" s="57"/>
      <c r="BE23" s="135"/>
      <c r="BF23" s="61"/>
      <c r="BG23" s="61"/>
      <c r="BH23" s="63"/>
      <c r="BI23" s="137"/>
      <c r="BJ23" s="57"/>
      <c r="BK23" s="135"/>
      <c r="BL23" s="57"/>
      <c r="BM23" s="57"/>
      <c r="BN23" s="79"/>
      <c r="BO23" s="80"/>
      <c r="BP23" s="57"/>
      <c r="BQ23" s="57"/>
      <c r="BR23" s="57"/>
      <c r="BS23" s="57"/>
      <c r="BT23" s="79"/>
      <c r="BU23" s="66"/>
      <c r="BV23" s="61"/>
      <c r="BW23" s="63"/>
      <c r="BX23" s="67"/>
      <c r="BY23" s="68"/>
      <c r="BZ23" s="69"/>
      <c r="CA23" s="69"/>
    </row>
    <row r="24" spans="1:79" s="70" customFormat="1" ht="11.5" customHeight="1" outlineLevel="1" x14ac:dyDescent="0.45">
      <c r="A24" s="54">
        <v>79</v>
      </c>
      <c r="B24" s="127" t="s">
        <v>68</v>
      </c>
      <c r="C24" s="52" t="s">
        <v>69</v>
      </c>
      <c r="D24" s="73"/>
      <c r="E24" s="73"/>
      <c r="F24" s="73"/>
      <c r="G24" s="81" t="s">
        <v>65</v>
      </c>
      <c r="H24" s="57"/>
      <c r="I24" s="57"/>
      <c r="J24" s="57"/>
      <c r="K24" s="73"/>
      <c r="L24" s="73"/>
      <c r="M24" s="73"/>
      <c r="N24" s="57"/>
      <c r="O24" s="57"/>
      <c r="P24" s="57"/>
      <c r="Q24" s="73"/>
      <c r="R24" s="73"/>
      <c r="S24" s="73"/>
      <c r="T24" s="57"/>
      <c r="U24" s="57"/>
      <c r="V24" s="57"/>
      <c r="W24" s="73"/>
      <c r="X24" s="73"/>
      <c r="Y24" s="73"/>
      <c r="Z24" s="57"/>
      <c r="AA24" s="57"/>
      <c r="AB24" s="57"/>
      <c r="AC24" s="73"/>
      <c r="AD24" s="73"/>
      <c r="AE24" s="73"/>
      <c r="AF24" s="57"/>
      <c r="AG24" s="57"/>
      <c r="AH24" s="57"/>
      <c r="AI24" s="57"/>
      <c r="AJ24" s="57"/>
      <c r="AK24" s="57"/>
      <c r="AL24" s="57">
        <v>0</v>
      </c>
      <c r="AM24" s="57">
        <v>0</v>
      </c>
      <c r="AN24" s="57">
        <v>0</v>
      </c>
      <c r="AO24" s="57">
        <v>0</v>
      </c>
      <c r="AP24" s="57">
        <v>0</v>
      </c>
      <c r="AQ24" s="57">
        <v>0</v>
      </c>
      <c r="AR24" s="57">
        <v>0</v>
      </c>
      <c r="AS24" s="57">
        <v>0</v>
      </c>
      <c r="AT24" s="57">
        <v>0</v>
      </c>
      <c r="AU24" s="59">
        <f>AS24-AT24</f>
        <v>0</v>
      </c>
      <c r="AV24" s="160">
        <v>12</v>
      </c>
      <c r="AW24" s="61">
        <v>188.55799999999999</v>
      </c>
      <c r="AX24" s="61"/>
      <c r="AY24" s="61">
        <f>AV24*AW24</f>
        <v>2262.6959999999999</v>
      </c>
      <c r="AZ24" s="61">
        <v>0</v>
      </c>
      <c r="BA24" s="61">
        <f>SUM(AY24:AZ24)</f>
        <v>2262.6959999999999</v>
      </c>
      <c r="BB24" s="129" t="s">
        <v>70</v>
      </c>
      <c r="BC24" s="128"/>
      <c r="BD24" s="61">
        <f>AW24*1.04</f>
        <v>196.10032000000001</v>
      </c>
      <c r="BE24" s="135"/>
      <c r="BF24" s="61">
        <f>BD24</f>
        <v>196.10032000000001</v>
      </c>
      <c r="BG24" s="61">
        <v>0</v>
      </c>
      <c r="BH24" s="63">
        <f>SUM(BF24:BG24)</f>
        <v>196.10032000000001</v>
      </c>
      <c r="BI24" s="137"/>
      <c r="BJ24" s="61">
        <f>BD24*1.04</f>
        <v>203.94433280000001</v>
      </c>
      <c r="BK24" s="135"/>
      <c r="BL24" s="61">
        <f>BJ24</f>
        <v>203.94433280000001</v>
      </c>
      <c r="BM24" s="61">
        <v>0</v>
      </c>
      <c r="BN24" s="63">
        <f>BM24+BL24</f>
        <v>203.94433280000001</v>
      </c>
      <c r="BO24" s="66"/>
      <c r="BP24" s="61">
        <v>35</v>
      </c>
      <c r="BQ24" s="61">
        <v>8</v>
      </c>
      <c r="BR24" s="61">
        <f>BQ24*BP24</f>
        <v>280</v>
      </c>
      <c r="BS24" s="61">
        <v>0</v>
      </c>
      <c r="BT24" s="63">
        <f>BS24+BR24</f>
        <v>280</v>
      </c>
      <c r="BU24" s="66">
        <f t="shared" ref="BU24:BW24" si="12">BL24+BF24+AY24+BR24</f>
        <v>2942.7406528000001</v>
      </c>
      <c r="BV24" s="66">
        <f t="shared" si="12"/>
        <v>0</v>
      </c>
      <c r="BW24" s="63">
        <f t="shared" si="12"/>
        <v>2942.7406528000001</v>
      </c>
      <c r="BX24" s="67"/>
      <c r="BY24" s="161">
        <v>1000</v>
      </c>
      <c r="BZ24" s="69">
        <v>0</v>
      </c>
      <c r="CA24" s="69">
        <v>1000</v>
      </c>
    </row>
    <row r="25" spans="1:79" s="70" customFormat="1" ht="11.5" customHeight="1" outlineLevel="1" x14ac:dyDescent="0.4">
      <c r="A25" s="38">
        <v>82</v>
      </c>
      <c r="B25" s="7" t="s">
        <v>71</v>
      </c>
      <c r="C25" s="140" t="s">
        <v>72</v>
      </c>
      <c r="D25" s="85">
        <v>1</v>
      </c>
      <c r="E25" s="57">
        <v>1204.99</v>
      </c>
      <c r="F25" s="135">
        <v>1</v>
      </c>
      <c r="G25" s="81" t="s">
        <v>65</v>
      </c>
      <c r="H25" s="57">
        <f>E25*D25</f>
        <v>1204.99</v>
      </c>
      <c r="I25" s="57">
        <v>0</v>
      </c>
      <c r="J25" s="57">
        <f>SUM(H25:I25)</f>
        <v>1204.99</v>
      </c>
      <c r="K25" s="85">
        <v>0</v>
      </c>
      <c r="L25" s="57">
        <f>E25*$D$6</f>
        <v>1241.1396999999999</v>
      </c>
      <c r="M25" s="135">
        <v>1</v>
      </c>
      <c r="N25" s="57">
        <f>K25*L25</f>
        <v>0</v>
      </c>
      <c r="O25" s="57">
        <v>0</v>
      </c>
      <c r="P25" s="57">
        <f>SUM(N25:O25)</f>
        <v>0</v>
      </c>
      <c r="Q25" s="57">
        <f>N25*O25*P25</f>
        <v>0</v>
      </c>
      <c r="R25" s="57">
        <f>E25*$D$6*$D$6</f>
        <v>1278.373891</v>
      </c>
      <c r="S25" s="135">
        <v>1</v>
      </c>
      <c r="T25" s="57">
        <f>R25*Q25</f>
        <v>0</v>
      </c>
      <c r="U25" s="57">
        <v>0</v>
      </c>
      <c r="V25" s="57">
        <f>SUM(T25:U25)</f>
        <v>0</v>
      </c>
      <c r="W25" s="57">
        <f>T25*U25*V25</f>
        <v>0</v>
      </c>
      <c r="X25" s="57">
        <f>E25*$D$6*$D$6*$D$6</f>
        <v>1316.72510773</v>
      </c>
      <c r="Y25" s="135">
        <v>1</v>
      </c>
      <c r="Z25" s="57">
        <f>X25*W25</f>
        <v>0</v>
      </c>
      <c r="AA25" s="57">
        <v>0</v>
      </c>
      <c r="AB25" s="57">
        <f>SUM(Z25:AA25)</f>
        <v>0</v>
      </c>
      <c r="AC25" s="57">
        <f>Z25*AA25*AB25</f>
        <v>0</v>
      </c>
      <c r="AD25" s="57">
        <f>E25*$D$6*$D$6*$D$6*$D$6</f>
        <v>1356.2268609619</v>
      </c>
      <c r="AE25" s="135">
        <v>1</v>
      </c>
      <c r="AF25" s="57">
        <f>AD25*AC25</f>
        <v>0</v>
      </c>
      <c r="AG25" s="57">
        <v>0</v>
      </c>
      <c r="AH25" s="57">
        <f>SUM(AF25:AG25)</f>
        <v>0</v>
      </c>
      <c r="AI25" s="57">
        <f>H25+N25+T25+Z25+AF25</f>
        <v>1204.99</v>
      </c>
      <c r="AJ25" s="57">
        <f>I25+O25+U25+AA25+AG25</f>
        <v>0</v>
      </c>
      <c r="AK25" s="57">
        <f>SUM(AI25:AJ25)</f>
        <v>1204.99</v>
      </c>
      <c r="AL25" s="61">
        <v>0</v>
      </c>
      <c r="AM25" s="57">
        <v>0</v>
      </c>
      <c r="AN25" s="61">
        <f>7255.99</f>
        <v>7255.99</v>
      </c>
      <c r="AO25" s="57">
        <v>0</v>
      </c>
      <c r="AP25" s="57">
        <f>AL25+AN25</f>
        <v>7255.99</v>
      </c>
      <c r="AQ25" s="57">
        <f>AM25+AO25</f>
        <v>0</v>
      </c>
      <c r="AR25" s="57">
        <f>AP25+AQ25</f>
        <v>7255.99</v>
      </c>
      <c r="AS25" s="57">
        <f>AK25-AR25</f>
        <v>-6051</v>
      </c>
      <c r="AT25" s="61">
        <f>AK25-AL25-AM25-AN25-AO25</f>
        <v>-6051</v>
      </c>
      <c r="AU25" s="59">
        <f>AS25-AT25</f>
        <v>0</v>
      </c>
      <c r="AV25" s="162"/>
      <c r="AW25" s="82">
        <v>0</v>
      </c>
      <c r="AX25" s="82"/>
      <c r="AY25" s="82">
        <v>0</v>
      </c>
      <c r="AZ25" s="82">
        <v>0</v>
      </c>
      <c r="BA25" s="61">
        <f>SUM(AY25:AZ25)</f>
        <v>0</v>
      </c>
      <c r="BB25" s="83" t="s">
        <v>73</v>
      </c>
      <c r="BC25" s="162"/>
      <c r="BD25" s="82">
        <v>0</v>
      </c>
      <c r="BE25" s="54"/>
      <c r="BF25" s="61">
        <v>0</v>
      </c>
      <c r="BG25" s="61">
        <v>0</v>
      </c>
      <c r="BH25" s="63">
        <f>SUM(BF25:BG25)</f>
        <v>0</v>
      </c>
      <c r="BI25" s="163"/>
      <c r="BJ25" s="61">
        <v>0</v>
      </c>
      <c r="BK25" s="54"/>
      <c r="BL25" s="61">
        <v>0</v>
      </c>
      <c r="BM25" s="61">
        <v>0</v>
      </c>
      <c r="BN25" s="63">
        <v>0</v>
      </c>
      <c r="BO25" s="162"/>
      <c r="BP25" s="61">
        <v>0</v>
      </c>
      <c r="BQ25" s="54"/>
      <c r="BR25" s="61">
        <v>0</v>
      </c>
      <c r="BS25" s="61">
        <v>0</v>
      </c>
      <c r="BT25" s="63">
        <f>BR25+BS25</f>
        <v>0</v>
      </c>
      <c r="BU25" s="66">
        <f>BL25+BF25+AY25+BR25</f>
        <v>0</v>
      </c>
      <c r="BV25" s="61">
        <f>BM25+BG25+AZ25</f>
        <v>0</v>
      </c>
      <c r="BW25" s="63">
        <f>BN25+BH25+BA25</f>
        <v>0</v>
      </c>
      <c r="BX25" s="67"/>
      <c r="BY25" s="68">
        <v>7255.99</v>
      </c>
      <c r="BZ25" s="69">
        <v>0</v>
      </c>
      <c r="CA25" s="69">
        <v>7255.99</v>
      </c>
    </row>
    <row r="26" spans="1:79" s="70" customFormat="1" ht="11.5" customHeight="1" outlineLevel="1" x14ac:dyDescent="0.4">
      <c r="A26" s="54">
        <v>83</v>
      </c>
      <c r="B26" s="7" t="s">
        <v>74</v>
      </c>
      <c r="C26" s="140" t="s">
        <v>75</v>
      </c>
      <c r="D26" s="85">
        <v>1</v>
      </c>
      <c r="E26" s="57">
        <v>278</v>
      </c>
      <c r="F26" s="85">
        <v>12</v>
      </c>
      <c r="G26" s="81" t="s">
        <v>63</v>
      </c>
      <c r="H26" s="57">
        <v>0</v>
      </c>
      <c r="I26" s="57">
        <f>+D26*E26*F26</f>
        <v>3336</v>
      </c>
      <c r="J26" s="57">
        <f>SUM(H26:I26)</f>
        <v>3336</v>
      </c>
      <c r="K26" s="85">
        <v>1.3</v>
      </c>
      <c r="L26" s="57">
        <f>E26*$D$6</f>
        <v>286.34000000000003</v>
      </c>
      <c r="M26" s="135">
        <v>12</v>
      </c>
      <c r="N26" s="57">
        <v>0</v>
      </c>
      <c r="O26" s="57">
        <f>+K26*L26*M26</f>
        <v>4466.9040000000005</v>
      </c>
      <c r="P26" s="57">
        <f>SUM(N26:O26)</f>
        <v>4466.9040000000005</v>
      </c>
      <c r="Q26" s="57">
        <v>1.3</v>
      </c>
      <c r="R26" s="57">
        <f>E26*$D$6*$D$6</f>
        <v>294.93020000000001</v>
      </c>
      <c r="S26" s="135">
        <v>12</v>
      </c>
      <c r="T26" s="57">
        <v>0</v>
      </c>
      <c r="U26" s="57">
        <f>+Q26*R26*S26</f>
        <v>4600.9111200000007</v>
      </c>
      <c r="V26" s="57">
        <f>SUM(T26:U26)</f>
        <v>4600.9111200000007</v>
      </c>
      <c r="W26" s="57">
        <v>1.3</v>
      </c>
      <c r="X26" s="57">
        <f>E26*$D$6*$D$6*$D$6</f>
        <v>303.77810600000004</v>
      </c>
      <c r="Y26" s="135">
        <v>12</v>
      </c>
      <c r="Z26" s="57">
        <v>0</v>
      </c>
      <c r="AA26" s="57">
        <f>+W26*X26*Y26</f>
        <v>4738.9384536000007</v>
      </c>
      <c r="AB26" s="57">
        <f>SUM(Z26:AA26)</f>
        <v>4738.9384536000007</v>
      </c>
      <c r="AC26" s="57">
        <v>1.3</v>
      </c>
      <c r="AD26" s="57">
        <f>E26*$D$6*$D$6*$D$6*$D$6</f>
        <v>312.89144918000005</v>
      </c>
      <c r="AE26" s="135">
        <v>12</v>
      </c>
      <c r="AF26" s="57">
        <v>0</v>
      </c>
      <c r="AG26" s="57">
        <f>+AC26*AD26*AE26</f>
        <v>4881.1066072080012</v>
      </c>
      <c r="AH26" s="57">
        <f>SUM(AF26:AG26)</f>
        <v>4881.1066072080012</v>
      </c>
      <c r="AI26" s="57">
        <f>H26+N26+T26+Z26+AF26</f>
        <v>0</v>
      </c>
      <c r="AJ26" s="57">
        <f>I26+O26+U26+AA26+AG26</f>
        <v>22023.860180808006</v>
      </c>
      <c r="AK26" s="57">
        <f>SUM(AI26:AJ26)</f>
        <v>22023.860180808006</v>
      </c>
      <c r="AL26" s="54">
        <v>0</v>
      </c>
      <c r="AM26" s="57">
        <f>293.32+73.87+337.4+91.55+176.01+278.28+192.72+28.27</f>
        <v>1471.4199999999998</v>
      </c>
      <c r="AN26" s="54">
        <v>0</v>
      </c>
      <c r="AO26" s="57">
        <f>170.36+288.97+80.91+30.58+156.82+361.78+170.93+34.75+214.14+331.78+227.69+35.16+179.42+262.04+139.34+30.88+170.7+267.4+140.36+29.14+243.9+378.48+230.88+41.15+319.06+425.62+517.84+46.27+336.01+428.62+272.56+46.6+374.89+428.62+318.66+46.6+289.37+385.99+321.4+41.96+300.81+397.33+535.73+43.19</f>
        <v>10094.69</v>
      </c>
      <c r="AP26" s="57">
        <f>AL26+AN26</f>
        <v>0</v>
      </c>
      <c r="AQ26" s="57">
        <f>AM26+AO26</f>
        <v>11566.11</v>
      </c>
      <c r="AR26" s="57">
        <f>AP26+AQ26</f>
        <v>11566.11</v>
      </c>
      <c r="AS26" s="57">
        <f>AK26-AR26</f>
        <v>10457.750180808005</v>
      </c>
      <c r="AT26" s="61">
        <f>AK26-AL26-AM26-AN26-AO26</f>
        <v>10457.750180808007</v>
      </c>
      <c r="AU26" s="59">
        <f>AS26-AT26</f>
        <v>0</v>
      </c>
      <c r="AV26" s="128">
        <v>12</v>
      </c>
      <c r="AW26" s="82">
        <v>780.27599999999995</v>
      </c>
      <c r="AX26" s="82"/>
      <c r="AY26" s="82">
        <f>AW26*AV26</f>
        <v>9363.3119999999999</v>
      </c>
      <c r="AZ26" s="82">
        <v>4232.96</v>
      </c>
      <c r="BA26" s="61">
        <f>SUM(AY26:AZ26)</f>
        <v>13596.272000000001</v>
      </c>
      <c r="BB26" s="129" t="s">
        <v>76</v>
      </c>
      <c r="BC26" s="128"/>
      <c r="BD26" s="164">
        <v>3830</v>
      </c>
      <c r="BE26" s="165"/>
      <c r="BF26" s="166">
        <f>BD26</f>
        <v>3830</v>
      </c>
      <c r="BG26" s="166">
        <v>17109.740000000002</v>
      </c>
      <c r="BH26" s="63">
        <f>SUM(BF26:BG26)</f>
        <v>20939.740000000002</v>
      </c>
      <c r="BI26" s="137"/>
      <c r="BJ26" s="61">
        <v>29953</v>
      </c>
      <c r="BK26" s="135"/>
      <c r="BL26" s="61">
        <f>BI26*BJ26*BK26</f>
        <v>0</v>
      </c>
      <c r="BM26" s="61">
        <f>BJ26</f>
        <v>29953</v>
      </c>
      <c r="BN26" s="63">
        <f>SUM(BL26:BM26)</f>
        <v>29953</v>
      </c>
      <c r="BO26" s="162"/>
      <c r="BP26" s="61">
        <v>0</v>
      </c>
      <c r="BQ26" s="54"/>
      <c r="BR26" s="61">
        <v>0</v>
      </c>
      <c r="BS26" s="61">
        <v>1119.8</v>
      </c>
      <c r="BT26" s="63">
        <f>BR26+BS26</f>
        <v>1119.8</v>
      </c>
      <c r="BU26" s="66">
        <f>BL26+BF26+AY26+BR26</f>
        <v>13193.312</v>
      </c>
      <c r="BV26" s="66">
        <f>BM26+BG26+AZ26+BS26</f>
        <v>52415.500000000007</v>
      </c>
      <c r="BW26" s="63">
        <f>BN26+BH26+BA26+BT26</f>
        <v>65608.812000000005</v>
      </c>
      <c r="BX26" s="67"/>
      <c r="BY26" s="68">
        <v>8087.3175484444446</v>
      </c>
      <c r="BZ26" s="69">
        <v>63982.354120581644</v>
      </c>
      <c r="CA26" s="69">
        <v>72069.671669026095</v>
      </c>
    </row>
    <row r="27" spans="1:79" s="70" customFormat="1" ht="11.5" customHeight="1" outlineLevel="1" x14ac:dyDescent="0.4">
      <c r="A27" s="38">
        <v>86</v>
      </c>
      <c r="B27" s="7" t="s">
        <v>77</v>
      </c>
      <c r="C27" s="140" t="s">
        <v>78</v>
      </c>
      <c r="D27" s="85">
        <v>8</v>
      </c>
      <c r="E27" s="57">
        <v>1204.99</v>
      </c>
      <c r="F27" s="135">
        <v>1</v>
      </c>
      <c r="G27" s="81" t="s">
        <v>65</v>
      </c>
      <c r="H27" s="57">
        <f>E27*D27</f>
        <v>9639.92</v>
      </c>
      <c r="I27" s="57">
        <v>0</v>
      </c>
      <c r="J27" s="57">
        <f>SUM(H27:I27)</f>
        <v>9639.92</v>
      </c>
      <c r="K27" s="85">
        <v>0</v>
      </c>
      <c r="L27" s="57">
        <f>E27*$D$6</f>
        <v>1241.1396999999999</v>
      </c>
      <c r="M27" s="135">
        <v>1</v>
      </c>
      <c r="N27" s="57">
        <f>K27*L27</f>
        <v>0</v>
      </c>
      <c r="O27" s="57">
        <v>0</v>
      </c>
      <c r="P27" s="57">
        <f>SUM(N27:O27)</f>
        <v>0</v>
      </c>
      <c r="Q27" s="57">
        <f>N27*O27*P27</f>
        <v>0</v>
      </c>
      <c r="R27" s="57">
        <f>E27*$D$6*$D$6</f>
        <v>1278.373891</v>
      </c>
      <c r="S27" s="135">
        <v>1</v>
      </c>
      <c r="T27" s="57">
        <f>R27*Q27</f>
        <v>0</v>
      </c>
      <c r="U27" s="57">
        <v>0</v>
      </c>
      <c r="V27" s="57">
        <f>SUM(T27:U27)</f>
        <v>0</v>
      </c>
      <c r="W27" s="57">
        <f>T27*U27*V27</f>
        <v>0</v>
      </c>
      <c r="X27" s="57">
        <f>E27*$D$6*$D$6*$D$6</f>
        <v>1316.72510773</v>
      </c>
      <c r="Y27" s="135">
        <v>1</v>
      </c>
      <c r="Z27" s="57">
        <f>X27*W27</f>
        <v>0</v>
      </c>
      <c r="AA27" s="57">
        <v>0</v>
      </c>
      <c r="AB27" s="57">
        <f>SUM(Z27:AA27)</f>
        <v>0</v>
      </c>
      <c r="AC27" s="57">
        <f>Z27*AA27*AB27</f>
        <v>0</v>
      </c>
      <c r="AD27" s="57">
        <f>E27*$D$6*$D$6*$D$6*$D$6</f>
        <v>1356.2268609619</v>
      </c>
      <c r="AE27" s="135">
        <v>1</v>
      </c>
      <c r="AF27" s="57">
        <f>AD27*AC27</f>
        <v>0</v>
      </c>
      <c r="AG27" s="57">
        <v>0</v>
      </c>
      <c r="AH27" s="57">
        <f>SUM(AF27:AG27)</f>
        <v>0</v>
      </c>
      <c r="AI27" s="57">
        <f>H27+N27+T27+Z27+AF27</f>
        <v>9639.92</v>
      </c>
      <c r="AJ27" s="57">
        <f>I27+O27+U27+AA27+AG27</f>
        <v>0</v>
      </c>
      <c r="AK27" s="57">
        <f>SUM(AI27:AJ27)</f>
        <v>9639.92</v>
      </c>
      <c r="AL27" s="61">
        <f>7038.54</f>
        <v>7038.54</v>
      </c>
      <c r="AM27" s="57">
        <v>0</v>
      </c>
      <c r="AN27" s="61">
        <f>1551.32+246.45+170.87+74.91+229.99+184.84</f>
        <v>2458.38</v>
      </c>
      <c r="AO27" s="57">
        <v>0</v>
      </c>
      <c r="AP27" s="57">
        <f>AL27+AN27</f>
        <v>9496.92</v>
      </c>
      <c r="AQ27" s="57">
        <f>AM27+AO27</f>
        <v>0</v>
      </c>
      <c r="AR27" s="57">
        <f>AP27+AQ27</f>
        <v>9496.92</v>
      </c>
      <c r="AS27" s="57">
        <f>AK27-AR27</f>
        <v>143</v>
      </c>
      <c r="AT27" s="61">
        <f>AK27-AL27-AM27-AN27-AO27</f>
        <v>143</v>
      </c>
      <c r="AU27" s="59">
        <f>AS27-AT27</f>
        <v>0</v>
      </c>
      <c r="AV27" s="128">
        <v>1</v>
      </c>
      <c r="AW27" s="61">
        <v>1208.79</v>
      </c>
      <c r="AX27" s="61"/>
      <c r="AY27" s="61">
        <f>AW27</f>
        <v>1208.79</v>
      </c>
      <c r="AZ27" s="61">
        <v>0</v>
      </c>
      <c r="BA27" s="61">
        <f>SUM(AY27:AZ27)</f>
        <v>1208.79</v>
      </c>
      <c r="BB27" s="129" t="s">
        <v>79</v>
      </c>
      <c r="BC27" s="128"/>
      <c r="BD27" s="82">
        <v>0</v>
      </c>
      <c r="BE27" s="135"/>
      <c r="BF27" s="61">
        <v>0</v>
      </c>
      <c r="BG27" s="61">
        <v>0</v>
      </c>
      <c r="BH27" s="63">
        <f>SUM(BF27:BG27)</f>
        <v>0</v>
      </c>
      <c r="BI27" s="137"/>
      <c r="BJ27" s="61">
        <v>0</v>
      </c>
      <c r="BK27" s="135"/>
      <c r="BL27" s="61">
        <v>0</v>
      </c>
      <c r="BM27" s="61">
        <v>0</v>
      </c>
      <c r="BN27" s="63">
        <v>0</v>
      </c>
      <c r="BO27" s="128"/>
      <c r="BP27" s="61">
        <v>0</v>
      </c>
      <c r="BQ27" s="135"/>
      <c r="BR27" s="61">
        <v>0</v>
      </c>
      <c r="BS27" s="61">
        <v>0</v>
      </c>
      <c r="BT27" s="63">
        <v>0</v>
      </c>
      <c r="BU27" s="66">
        <f>BL27+BF27+AY27+BR27</f>
        <v>1208.79</v>
      </c>
      <c r="BV27" s="61">
        <f>BM27+BG27+AZ27</f>
        <v>0</v>
      </c>
      <c r="BW27" s="63">
        <f>BN27+BH27+BA27</f>
        <v>1208.79</v>
      </c>
      <c r="BX27" s="67"/>
      <c r="BY27" s="161">
        <v>10705.71</v>
      </c>
      <c r="BZ27" s="69">
        <v>0</v>
      </c>
      <c r="CA27" s="69">
        <v>10705.71</v>
      </c>
    </row>
    <row r="28" spans="1:79" s="70" customFormat="1" ht="11.5" customHeight="1" outlineLevel="1" x14ac:dyDescent="0.4">
      <c r="A28" s="54">
        <v>87</v>
      </c>
      <c r="B28" s="7" t="s">
        <v>80</v>
      </c>
      <c r="C28" s="140" t="s">
        <v>81</v>
      </c>
      <c r="D28" s="85">
        <v>1</v>
      </c>
      <c r="E28" s="57">
        <v>750</v>
      </c>
      <c r="F28" s="135">
        <v>6</v>
      </c>
      <c r="G28" s="81" t="s">
        <v>63</v>
      </c>
      <c r="H28" s="57">
        <f>F28*E28*D28</f>
        <v>4500</v>
      </c>
      <c r="I28" s="57">
        <v>0</v>
      </c>
      <c r="J28" s="57">
        <f>SUM(H28:I28)</f>
        <v>4500</v>
      </c>
      <c r="K28" s="85">
        <v>1</v>
      </c>
      <c r="L28" s="57">
        <f>E28*$D$6</f>
        <v>772.5</v>
      </c>
      <c r="M28" s="135">
        <v>12</v>
      </c>
      <c r="N28" s="57">
        <f>M28*K28*L28</f>
        <v>9270</v>
      </c>
      <c r="O28" s="57">
        <v>0</v>
      </c>
      <c r="P28" s="57">
        <f>SUM(N28:O28)</f>
        <v>9270</v>
      </c>
      <c r="Q28" s="57">
        <v>1</v>
      </c>
      <c r="R28" s="57">
        <f>E28*$D$6*$D$6</f>
        <v>795.67500000000007</v>
      </c>
      <c r="S28" s="135">
        <v>12</v>
      </c>
      <c r="T28" s="57">
        <f>R28*S28*Q28</f>
        <v>9548.1</v>
      </c>
      <c r="U28" s="57">
        <v>0</v>
      </c>
      <c r="V28" s="57">
        <f>SUM(T28:U28)</f>
        <v>9548.1</v>
      </c>
      <c r="W28" s="57">
        <v>1</v>
      </c>
      <c r="X28" s="57">
        <f>E28*$D$6*$D$6*$D$6*0.5</f>
        <v>409.77262500000006</v>
      </c>
      <c r="Y28" s="135">
        <v>12</v>
      </c>
      <c r="Z28" s="57">
        <f>X28*W28*Y28</f>
        <v>4917.2715000000007</v>
      </c>
      <c r="AA28" s="57">
        <v>0</v>
      </c>
      <c r="AB28" s="57">
        <f>SUM(Z28:AA28)</f>
        <v>4917.2715000000007</v>
      </c>
      <c r="AC28" s="57">
        <v>1</v>
      </c>
      <c r="AD28" s="57">
        <f>E28*$D$6*$D$6*$D$6*$D$6*0.5</f>
        <v>422.0658037500001</v>
      </c>
      <c r="AE28" s="135">
        <v>9</v>
      </c>
      <c r="AF28" s="57">
        <f>AD28*AC28*AE28</f>
        <v>3798.592233750001</v>
      </c>
      <c r="AG28" s="57">
        <v>0</v>
      </c>
      <c r="AH28" s="57">
        <f>SUM(AF28:AG28)</f>
        <v>3798.592233750001</v>
      </c>
      <c r="AI28" s="57">
        <f>H28+N28+T28+Z28+AF28</f>
        <v>32033.963733750003</v>
      </c>
      <c r="AJ28" s="57">
        <f>I28+O28+U28+AA28+AG28</f>
        <v>0</v>
      </c>
      <c r="AK28" s="57">
        <f>SUM(AI28:AJ28)</f>
        <v>32033.963733750003</v>
      </c>
      <c r="AL28" s="61">
        <v>0</v>
      </c>
      <c r="AM28" s="57">
        <v>0</v>
      </c>
      <c r="AN28" s="61">
        <f>24.99+36.51</f>
        <v>61.5</v>
      </c>
      <c r="AO28" s="57">
        <v>0</v>
      </c>
      <c r="AP28" s="57">
        <f>AL28+AN28</f>
        <v>61.5</v>
      </c>
      <c r="AQ28" s="57">
        <f>AM28+AO28</f>
        <v>0</v>
      </c>
      <c r="AR28" s="57">
        <f>AP28+AQ28</f>
        <v>61.5</v>
      </c>
      <c r="AS28" s="57">
        <f>AK28-AR28</f>
        <v>31972.463733750003</v>
      </c>
      <c r="AT28" s="61">
        <f>AK28-AL28-AM28-AN28-AO28</f>
        <v>31972.463733750003</v>
      </c>
      <c r="AU28" s="59">
        <f>AS28-AT28</f>
        <v>0</v>
      </c>
      <c r="AV28" s="160">
        <v>1</v>
      </c>
      <c r="AW28" s="61">
        <v>43.96</v>
      </c>
      <c r="AX28" s="61"/>
      <c r="AY28" s="61">
        <f>AW28*AV28</f>
        <v>43.96</v>
      </c>
      <c r="AZ28" s="61">
        <v>0</v>
      </c>
      <c r="BA28" s="61">
        <f>SUM(AY28:AZ28)</f>
        <v>43.96</v>
      </c>
      <c r="BB28" s="129" t="s">
        <v>82</v>
      </c>
      <c r="BC28" s="162"/>
      <c r="BD28" s="82">
        <v>0</v>
      </c>
      <c r="BE28" s="54"/>
      <c r="BF28" s="61">
        <v>0</v>
      </c>
      <c r="BG28" s="61">
        <v>0</v>
      </c>
      <c r="BH28" s="63">
        <f>SUM(BF28:BG28)</f>
        <v>0</v>
      </c>
      <c r="BI28" s="163"/>
      <c r="BJ28" s="61">
        <v>0</v>
      </c>
      <c r="BK28" s="54"/>
      <c r="BL28" s="61">
        <v>0</v>
      </c>
      <c r="BM28" s="61">
        <v>0</v>
      </c>
      <c r="BN28" s="63">
        <v>0</v>
      </c>
      <c r="BO28" s="162"/>
      <c r="BP28" s="61">
        <v>0</v>
      </c>
      <c r="BQ28" s="54"/>
      <c r="BR28" s="61">
        <v>0</v>
      </c>
      <c r="BS28" s="61">
        <v>0</v>
      </c>
      <c r="BT28" s="63">
        <v>0</v>
      </c>
      <c r="BU28" s="66">
        <f>BL28+BF28+AY28+BR28</f>
        <v>43.96</v>
      </c>
      <c r="BV28" s="61">
        <f>BM28+BG28+AZ28</f>
        <v>0</v>
      </c>
      <c r="BW28" s="63">
        <f>BN28+BH28+BA28</f>
        <v>43.96</v>
      </c>
      <c r="BX28" s="67"/>
      <c r="BY28" s="68">
        <v>132.07</v>
      </c>
      <c r="BZ28" s="69">
        <v>0</v>
      </c>
      <c r="CA28" s="69">
        <v>132.07</v>
      </c>
    </row>
    <row r="29" spans="1:79" s="76" customFormat="1" ht="11.5" customHeight="1" x14ac:dyDescent="0.4">
      <c r="A29" s="54">
        <v>89</v>
      </c>
      <c r="B29" s="120" t="s">
        <v>83</v>
      </c>
      <c r="C29" s="122"/>
      <c r="D29" s="87"/>
      <c r="E29" s="87"/>
      <c r="F29" s="87"/>
      <c r="G29" s="87"/>
      <c r="H29" s="88" t="e">
        <f>#REF!+#REF!</f>
        <v>#REF!</v>
      </c>
      <c r="I29" s="88" t="e">
        <f>#REF!+#REF!</f>
        <v>#REF!</v>
      </c>
      <c r="J29" s="88" t="e">
        <f>#REF!+#REF!</f>
        <v>#REF!</v>
      </c>
      <c r="K29" s="87"/>
      <c r="L29" s="87"/>
      <c r="M29" s="87"/>
      <c r="N29" s="88" t="e">
        <f>#REF!+#REF!</f>
        <v>#REF!</v>
      </c>
      <c r="O29" s="88" t="e">
        <f>#REF!+#REF!</f>
        <v>#REF!</v>
      </c>
      <c r="P29" s="88" t="e">
        <f>#REF!+#REF!</f>
        <v>#REF!</v>
      </c>
      <c r="Q29" s="87"/>
      <c r="R29" s="87"/>
      <c r="S29" s="87"/>
      <c r="T29" s="88" t="e">
        <f>#REF!+#REF!</f>
        <v>#REF!</v>
      </c>
      <c r="U29" s="88" t="e">
        <f>#REF!+#REF!</f>
        <v>#REF!</v>
      </c>
      <c r="V29" s="88" t="e">
        <f>#REF!+#REF!</f>
        <v>#REF!</v>
      </c>
      <c r="W29" s="87"/>
      <c r="X29" s="87"/>
      <c r="Y29" s="87"/>
      <c r="Z29" s="88" t="e">
        <f>#REF!+#REF!</f>
        <v>#REF!</v>
      </c>
      <c r="AA29" s="88" t="e">
        <f>#REF!+#REF!</f>
        <v>#REF!</v>
      </c>
      <c r="AB29" s="88" t="e">
        <f>#REF!+#REF!</f>
        <v>#REF!</v>
      </c>
      <c r="AC29" s="87"/>
      <c r="AD29" s="87"/>
      <c r="AE29" s="87"/>
      <c r="AF29" s="88" t="e">
        <f>#REF!+#REF!</f>
        <v>#REF!</v>
      </c>
      <c r="AG29" s="88" t="e">
        <f>#REF!+#REF!</f>
        <v>#REF!</v>
      </c>
      <c r="AH29" s="88" t="e">
        <f>#REF!+#REF!</f>
        <v>#REF!</v>
      </c>
      <c r="AI29" s="88" t="e">
        <f>#REF!+#REF!</f>
        <v>#REF!</v>
      </c>
      <c r="AJ29" s="88" t="e">
        <f>#REF!+#REF!</f>
        <v>#REF!</v>
      </c>
      <c r="AK29" s="88" t="e">
        <f>#REF!+#REF!</f>
        <v>#REF!</v>
      </c>
      <c r="AL29" s="89" t="e">
        <f>#REF!+#REF!</f>
        <v>#REF!</v>
      </c>
      <c r="AM29" s="89" t="e">
        <f>#REF!+#REF!</f>
        <v>#REF!</v>
      </c>
      <c r="AN29" s="89" t="e">
        <f>#REF!+#REF!</f>
        <v>#REF!</v>
      </c>
      <c r="AO29" s="89" t="e">
        <f>#REF!+#REF!</f>
        <v>#REF!</v>
      </c>
      <c r="AP29" s="89" t="e">
        <f>#REF!+#REF!</f>
        <v>#REF!</v>
      </c>
      <c r="AQ29" s="89" t="e">
        <f>#REF!+#REF!</f>
        <v>#REF!</v>
      </c>
      <c r="AR29" s="89" t="e">
        <f>#REF!+#REF!</f>
        <v>#REF!</v>
      </c>
      <c r="AS29" s="89" t="e">
        <f>#REF!+#REF!</f>
        <v>#REF!</v>
      </c>
      <c r="AT29" s="89" t="e">
        <f>AK29-AL29-AM29-AN29-AO29</f>
        <v>#REF!</v>
      </c>
      <c r="AU29" s="90"/>
      <c r="AV29" s="151"/>
      <c r="AW29" s="89" t="e">
        <f>+#REF!+#REF!+#REF!</f>
        <v>#REF!</v>
      </c>
      <c r="AX29" s="152"/>
      <c r="AY29" s="89" t="e">
        <f>#REF!+#REF!+#REF!</f>
        <v>#REF!</v>
      </c>
      <c r="AZ29" s="89" t="e">
        <f>+#REF!+#REF!+#REF!</f>
        <v>#REF!</v>
      </c>
      <c r="BA29" s="89" t="e">
        <f>AY29+AZ29</f>
        <v>#REF!</v>
      </c>
      <c r="BB29" s="153"/>
      <c r="BC29" s="145"/>
      <c r="BD29" s="152"/>
      <c r="BE29" s="146"/>
      <c r="BF29" s="89" t="e">
        <f>#REF!+#REF!+#REF!</f>
        <v>#REF!</v>
      </c>
      <c r="BG29" s="89" t="e">
        <f>#REF!+#REF!+#REF!</f>
        <v>#REF!</v>
      </c>
      <c r="BH29" s="94" t="e">
        <f>BF29+BG29</f>
        <v>#REF!</v>
      </c>
      <c r="BI29" s="148"/>
      <c r="BJ29" s="152">
        <v>0</v>
      </c>
      <c r="BK29" s="146"/>
      <c r="BL29" s="152" t="e">
        <f>#REF!+#REF!+#REF!</f>
        <v>#REF!</v>
      </c>
      <c r="BM29" s="152" t="e">
        <f>#REF!+#REF!+#REF!</f>
        <v>#REF!</v>
      </c>
      <c r="BN29" s="154" t="e">
        <f>BL29+BM29</f>
        <v>#REF!</v>
      </c>
      <c r="BO29" s="145"/>
      <c r="BP29" s="152">
        <v>0</v>
      </c>
      <c r="BQ29" s="146"/>
      <c r="BR29" s="152" t="e">
        <f>#REF!+#REF!+#REF!</f>
        <v>#REF!</v>
      </c>
      <c r="BS29" s="152" t="e">
        <f>#REF!+#REF!</f>
        <v>#REF!</v>
      </c>
      <c r="BT29" s="154" t="e">
        <f>BR29+BS29</f>
        <v>#REF!</v>
      </c>
      <c r="BU29" s="96" t="e">
        <f>BL29+BF29+AY29+BR29</f>
        <v>#REF!</v>
      </c>
      <c r="BV29" s="89" t="e">
        <f>BM29+BG29+AZ29</f>
        <v>#REF!</v>
      </c>
      <c r="BW29" s="94" t="e">
        <f>BT29+BN29+BH29+BA29</f>
        <v>#REF!</v>
      </c>
      <c r="BX29" s="75"/>
      <c r="BY29" s="149">
        <v>27181.087548444444</v>
      </c>
      <c r="BZ29" s="150">
        <v>63982.354120581644</v>
      </c>
      <c r="CA29" s="150">
        <v>91163.441669026099</v>
      </c>
    </row>
    <row r="30" spans="1:79" s="70" customFormat="1" ht="11.5" customHeight="1" outlineLevel="1" x14ac:dyDescent="0.4">
      <c r="A30" s="38">
        <v>90</v>
      </c>
      <c r="B30" s="39" t="s">
        <v>84</v>
      </c>
      <c r="C30" s="100"/>
      <c r="D30" s="100"/>
      <c r="E30" s="100"/>
      <c r="F30" s="100"/>
      <c r="G30" s="100"/>
      <c r="H30" s="101"/>
      <c r="I30" s="101"/>
      <c r="J30" s="101"/>
      <c r="K30" s="100"/>
      <c r="L30" s="100"/>
      <c r="M30" s="100"/>
      <c r="N30" s="101"/>
      <c r="O30" s="101"/>
      <c r="P30" s="101"/>
      <c r="Q30" s="100"/>
      <c r="R30" s="100"/>
      <c r="S30" s="100"/>
      <c r="T30" s="101"/>
      <c r="U30" s="101"/>
      <c r="V30" s="101"/>
      <c r="W30" s="100"/>
      <c r="X30" s="100"/>
      <c r="Y30" s="100"/>
      <c r="Z30" s="101"/>
      <c r="AA30" s="101"/>
      <c r="AB30" s="101"/>
      <c r="AC30" s="100"/>
      <c r="AD30" s="100"/>
      <c r="AE30" s="100"/>
      <c r="AF30" s="101"/>
      <c r="AG30" s="101"/>
      <c r="AH30" s="101"/>
      <c r="AI30" s="101"/>
      <c r="AJ30" s="101"/>
      <c r="AK30" s="101"/>
      <c r="AL30" s="101"/>
      <c r="AM30" s="101"/>
      <c r="AN30" s="101"/>
      <c r="AO30" s="101"/>
      <c r="AP30" s="101"/>
      <c r="AQ30" s="101"/>
      <c r="AR30" s="101"/>
      <c r="AS30" s="101"/>
      <c r="AT30" s="106"/>
      <c r="AU30" s="168"/>
      <c r="AV30" s="155"/>
      <c r="AW30" s="101"/>
      <c r="AX30" s="156"/>
      <c r="AY30" s="101"/>
      <c r="AZ30" s="101"/>
      <c r="BA30" s="101"/>
      <c r="BB30" s="105"/>
      <c r="BC30" s="155"/>
      <c r="BD30" s="169"/>
      <c r="BE30" s="156"/>
      <c r="BF30" s="106"/>
      <c r="BG30" s="106"/>
      <c r="BH30" s="107"/>
      <c r="BI30" s="157"/>
      <c r="BJ30" s="101"/>
      <c r="BK30" s="156"/>
      <c r="BL30" s="101"/>
      <c r="BM30" s="101"/>
      <c r="BN30" s="109"/>
      <c r="BO30" s="110"/>
      <c r="BP30" s="101"/>
      <c r="BQ30" s="101"/>
      <c r="BR30" s="101"/>
      <c r="BS30" s="101"/>
      <c r="BT30" s="109"/>
      <c r="BU30" s="111"/>
      <c r="BV30" s="106"/>
      <c r="BW30" s="107"/>
      <c r="BX30" s="67"/>
      <c r="BY30" s="158"/>
      <c r="BZ30" s="159"/>
      <c r="CA30" s="159"/>
    </row>
    <row r="31" spans="1:79" s="70" customFormat="1" ht="11.5" customHeight="1" outlineLevel="1" x14ac:dyDescent="0.4">
      <c r="A31" s="54">
        <v>91</v>
      </c>
      <c r="B31" s="72" t="s">
        <v>85</v>
      </c>
      <c r="C31" s="73"/>
      <c r="D31" s="73"/>
      <c r="E31" s="73"/>
      <c r="F31" s="73"/>
      <c r="G31" s="73"/>
      <c r="H31" s="57"/>
      <c r="I31" s="57"/>
      <c r="J31" s="57"/>
      <c r="K31" s="73"/>
      <c r="L31" s="73"/>
      <c r="M31" s="73"/>
      <c r="N31" s="57"/>
      <c r="O31" s="57"/>
      <c r="P31" s="57"/>
      <c r="Q31" s="73"/>
      <c r="R31" s="73"/>
      <c r="S31" s="73"/>
      <c r="T31" s="57"/>
      <c r="U31" s="57"/>
      <c r="V31" s="57"/>
      <c r="W31" s="73"/>
      <c r="X31" s="73"/>
      <c r="Y31" s="73"/>
      <c r="Z31" s="57"/>
      <c r="AA31" s="57"/>
      <c r="AB31" s="57"/>
      <c r="AC31" s="73"/>
      <c r="AD31" s="73"/>
      <c r="AE31" s="73"/>
      <c r="AF31" s="57"/>
      <c r="AG31" s="57"/>
      <c r="AH31" s="57"/>
      <c r="AI31" s="57"/>
      <c r="AJ31" s="57"/>
      <c r="AK31" s="57"/>
      <c r="AL31" s="57"/>
      <c r="AM31" s="57"/>
      <c r="AN31" s="57"/>
      <c r="AO31" s="57"/>
      <c r="AP31" s="57"/>
      <c r="AQ31" s="57"/>
      <c r="AR31" s="57"/>
      <c r="AS31" s="57"/>
      <c r="AT31" s="61"/>
      <c r="AU31" s="167"/>
      <c r="AV31" s="128"/>
      <c r="AW31" s="57"/>
      <c r="AX31" s="135"/>
      <c r="AY31" s="57"/>
      <c r="AZ31" s="57"/>
      <c r="BA31" s="57"/>
      <c r="BB31" s="53"/>
      <c r="BC31" s="128"/>
      <c r="BD31" s="82"/>
      <c r="BE31" s="135"/>
      <c r="BF31" s="61"/>
      <c r="BG31" s="61"/>
      <c r="BH31" s="63"/>
      <c r="BI31" s="137"/>
      <c r="BJ31" s="57"/>
      <c r="BK31" s="135"/>
      <c r="BL31" s="57"/>
      <c r="BM31" s="57"/>
      <c r="BN31" s="79"/>
      <c r="BO31" s="80"/>
      <c r="BP31" s="57"/>
      <c r="BQ31" s="57"/>
      <c r="BR31" s="57"/>
      <c r="BS31" s="57"/>
      <c r="BT31" s="79"/>
      <c r="BU31" s="66"/>
      <c r="BV31" s="61"/>
      <c r="BW31" s="63"/>
      <c r="BX31" s="67"/>
      <c r="BY31" s="68"/>
      <c r="BZ31" s="69"/>
      <c r="CA31" s="69"/>
    </row>
    <row r="32" spans="1:79" s="70" customFormat="1" ht="11.5" customHeight="1" outlineLevel="1" x14ac:dyDescent="0.45">
      <c r="A32" s="54">
        <v>93</v>
      </c>
      <c r="B32" s="170" t="s">
        <v>86</v>
      </c>
      <c r="C32" s="115" t="s">
        <v>87</v>
      </c>
      <c r="D32" s="54">
        <v>1</v>
      </c>
      <c r="E32" s="135">
        <v>1950</v>
      </c>
      <c r="F32" s="54">
        <v>4</v>
      </c>
      <c r="G32" s="54" t="s">
        <v>63</v>
      </c>
      <c r="H32" s="57">
        <f>E32*D32*F32</f>
        <v>7800</v>
      </c>
      <c r="I32" s="57">
        <v>0</v>
      </c>
      <c r="J32" s="57">
        <f>SUM(H32:I32)</f>
        <v>7800</v>
      </c>
      <c r="K32" s="54">
        <v>1</v>
      </c>
      <c r="L32" s="135">
        <f>E32</f>
        <v>1950</v>
      </c>
      <c r="M32" s="54">
        <v>4</v>
      </c>
      <c r="N32" s="57">
        <f>L32*K32*M32</f>
        <v>7800</v>
      </c>
      <c r="O32" s="57">
        <v>0</v>
      </c>
      <c r="P32" s="57">
        <f>SUM(N32:O32)</f>
        <v>7800</v>
      </c>
      <c r="Q32" s="54">
        <v>1</v>
      </c>
      <c r="R32" s="135">
        <f>E32</f>
        <v>1950</v>
      </c>
      <c r="S32" s="54">
        <v>4</v>
      </c>
      <c r="T32" s="57">
        <f>Q32*R32*S32</f>
        <v>7800</v>
      </c>
      <c r="U32" s="57">
        <v>0</v>
      </c>
      <c r="V32" s="57">
        <f>SUM(T32:U32)</f>
        <v>7800</v>
      </c>
      <c r="W32" s="54">
        <v>1</v>
      </c>
      <c r="X32" s="135">
        <f>E32</f>
        <v>1950</v>
      </c>
      <c r="Y32" s="54">
        <v>4</v>
      </c>
      <c r="Z32" s="57">
        <f>X32*W32*Y32</f>
        <v>7800</v>
      </c>
      <c r="AA32" s="57">
        <v>0</v>
      </c>
      <c r="AB32" s="57">
        <f>SUM(Z32:AA32)</f>
        <v>7800</v>
      </c>
      <c r="AC32" s="54">
        <v>1</v>
      </c>
      <c r="AD32" s="135">
        <f>E32</f>
        <v>1950</v>
      </c>
      <c r="AE32" s="54">
        <v>4</v>
      </c>
      <c r="AF32" s="57">
        <f>AD32*AC32*AE32</f>
        <v>7800</v>
      </c>
      <c r="AG32" s="57">
        <v>0</v>
      </c>
      <c r="AH32" s="57">
        <f>SUM(AF32:AG32)</f>
        <v>7800</v>
      </c>
      <c r="AI32" s="57">
        <f t="shared" ref="AI32:AJ32" si="13">H32+N32+T32+Z32+AF32</f>
        <v>39000</v>
      </c>
      <c r="AJ32" s="57">
        <f t="shared" si="13"/>
        <v>0</v>
      </c>
      <c r="AK32" s="57">
        <f>+AI32+AJ32</f>
        <v>39000</v>
      </c>
      <c r="AL32" s="61">
        <v>0</v>
      </c>
      <c r="AM32" s="57">
        <v>0</v>
      </c>
      <c r="AN32" s="61">
        <f>7722.31+6192.43+1192.19</f>
        <v>15106.930000000002</v>
      </c>
      <c r="AO32" s="57">
        <v>0</v>
      </c>
      <c r="AP32" s="57">
        <f t="shared" ref="AP32:AQ33" si="14">AL32+AN32</f>
        <v>15106.930000000002</v>
      </c>
      <c r="AQ32" s="57">
        <f t="shared" si="14"/>
        <v>0</v>
      </c>
      <c r="AR32" s="57">
        <f>AP32+AQ32</f>
        <v>15106.930000000002</v>
      </c>
      <c r="AS32" s="57">
        <f>AK32-AR32</f>
        <v>23893.07</v>
      </c>
      <c r="AT32" s="61">
        <f>AK32-AL32-AM32-AN32-AO32</f>
        <v>23893.07</v>
      </c>
      <c r="AU32" s="59">
        <f>AS32-AT32</f>
        <v>0</v>
      </c>
      <c r="AV32" s="128"/>
      <c r="AW32" s="61">
        <v>0</v>
      </c>
      <c r="AX32" s="135"/>
      <c r="AY32" s="61">
        <f>AV32*AW32*AX32</f>
        <v>0</v>
      </c>
      <c r="AZ32" s="61">
        <v>0</v>
      </c>
      <c r="BA32" s="61">
        <f>SUM(AY32:AZ32)</f>
        <v>0</v>
      </c>
      <c r="BB32" s="83" t="s">
        <v>88</v>
      </c>
      <c r="BC32" s="128"/>
      <c r="BD32" s="82">
        <v>0</v>
      </c>
      <c r="BE32" s="135"/>
      <c r="BF32" s="61">
        <f>BC32*BD32*BE32</f>
        <v>0</v>
      </c>
      <c r="BG32" s="61">
        <v>0</v>
      </c>
      <c r="BH32" s="63">
        <f>SUM(BF32:BG32)</f>
        <v>0</v>
      </c>
      <c r="BI32" s="137"/>
      <c r="BJ32" s="61">
        <v>0</v>
      </c>
      <c r="BK32" s="135"/>
      <c r="BL32" s="61">
        <f>BI32*BJ32*BK32</f>
        <v>0</v>
      </c>
      <c r="BM32" s="61">
        <v>0</v>
      </c>
      <c r="BN32" s="63">
        <f>SUM(BL32:BM32)</f>
        <v>0</v>
      </c>
      <c r="BO32" s="128"/>
      <c r="BP32" s="61">
        <v>0</v>
      </c>
      <c r="BQ32" s="135"/>
      <c r="BR32" s="61">
        <f>BO32*BP32*BQ32</f>
        <v>0</v>
      </c>
      <c r="BS32" s="61">
        <v>0</v>
      </c>
      <c r="BT32" s="63">
        <f>SUM(BR32:BS32)</f>
        <v>0</v>
      </c>
      <c r="BU32" s="66">
        <f t="shared" ref="BU32:BU33" si="15">BL32+BF32+AY32+BR32</f>
        <v>0</v>
      </c>
      <c r="BV32" s="61">
        <f t="shared" ref="BV32:BW32" si="16">BM32+BG32+AZ32</f>
        <v>0</v>
      </c>
      <c r="BW32" s="63">
        <f t="shared" si="16"/>
        <v>0</v>
      </c>
      <c r="BX32" s="67"/>
      <c r="BY32" s="68">
        <v>20778.940000000002</v>
      </c>
      <c r="BZ32" s="69">
        <v>0</v>
      </c>
      <c r="CA32" s="69">
        <v>20778.940000000002</v>
      </c>
    </row>
    <row r="33" spans="1:79" s="70" customFormat="1" ht="11.5" customHeight="1" outlineLevel="1" x14ac:dyDescent="0.45">
      <c r="A33" s="54">
        <v>95</v>
      </c>
      <c r="B33" s="127" t="s">
        <v>89</v>
      </c>
      <c r="C33" s="115" t="s">
        <v>90</v>
      </c>
      <c r="D33" s="54"/>
      <c r="E33" s="135"/>
      <c r="F33" s="54"/>
      <c r="G33" s="54" t="s">
        <v>65</v>
      </c>
      <c r="H33" s="57"/>
      <c r="I33" s="57"/>
      <c r="J33" s="57"/>
      <c r="K33" s="54"/>
      <c r="L33" s="135"/>
      <c r="M33" s="54"/>
      <c r="N33" s="57"/>
      <c r="O33" s="57"/>
      <c r="P33" s="57"/>
      <c r="Q33" s="54"/>
      <c r="R33" s="135"/>
      <c r="S33" s="54"/>
      <c r="T33" s="57"/>
      <c r="U33" s="57"/>
      <c r="V33" s="57"/>
      <c r="W33" s="54"/>
      <c r="X33" s="135"/>
      <c r="Y33" s="54"/>
      <c r="Z33" s="57"/>
      <c r="AA33" s="57"/>
      <c r="AB33" s="57"/>
      <c r="AC33" s="54"/>
      <c r="AD33" s="135"/>
      <c r="AE33" s="54"/>
      <c r="AF33" s="57"/>
      <c r="AG33" s="57"/>
      <c r="AH33" s="57"/>
      <c r="AI33" s="57"/>
      <c r="AJ33" s="57"/>
      <c r="AK33" s="57"/>
      <c r="AL33" s="57">
        <v>0</v>
      </c>
      <c r="AM33" s="57">
        <v>0</v>
      </c>
      <c r="AN33" s="57">
        <v>0</v>
      </c>
      <c r="AO33" s="57">
        <v>0</v>
      </c>
      <c r="AP33" s="57">
        <f t="shared" si="14"/>
        <v>0</v>
      </c>
      <c r="AQ33" s="57">
        <f t="shared" si="14"/>
        <v>0</v>
      </c>
      <c r="AR33" s="57">
        <f>AP33+AQ33</f>
        <v>0</v>
      </c>
      <c r="AS33" s="57">
        <f>AK33-AR33</f>
        <v>0</v>
      </c>
      <c r="AT33" s="61">
        <f>AK33-AL33-AM33-AN33-AO33</f>
        <v>0</v>
      </c>
      <c r="AU33" s="59">
        <f>AS33-AT33</f>
        <v>0</v>
      </c>
      <c r="AV33" s="128">
        <v>1</v>
      </c>
      <c r="AW33" s="61">
        <v>6795.1</v>
      </c>
      <c r="AX33" s="135"/>
      <c r="AY33" s="61">
        <f>AW33</f>
        <v>6795.1</v>
      </c>
      <c r="AZ33" s="61">
        <v>0</v>
      </c>
      <c r="BA33" s="61">
        <f>SUM(AY33:AZ33)</f>
        <v>6795.1</v>
      </c>
      <c r="BB33" s="129" t="s">
        <v>91</v>
      </c>
      <c r="BC33" s="128"/>
      <c r="BD33" s="82">
        <v>0</v>
      </c>
      <c r="BE33" s="135"/>
      <c r="BF33" s="61">
        <f>BD33</f>
        <v>0</v>
      </c>
      <c r="BG33" s="61">
        <v>0</v>
      </c>
      <c r="BH33" s="63">
        <f>SUM(BF33:BG33)</f>
        <v>0</v>
      </c>
      <c r="BI33" s="137"/>
      <c r="BJ33" s="61">
        <v>4350</v>
      </c>
      <c r="BK33" s="135"/>
      <c r="BL33" s="61">
        <f>BJ33</f>
        <v>4350</v>
      </c>
      <c r="BM33" s="61">
        <v>0</v>
      </c>
      <c r="BN33" s="63">
        <f>BM33+BL33</f>
        <v>4350</v>
      </c>
      <c r="BO33" s="128"/>
      <c r="BP33" s="61">
        <v>7662.41</v>
      </c>
      <c r="BQ33" s="135"/>
      <c r="BR33" s="61">
        <f>BP33</f>
        <v>7662.41</v>
      </c>
      <c r="BS33" s="61">
        <v>0</v>
      </c>
      <c r="BT33" s="63">
        <f>SUM(BR33:BS33)</f>
        <v>7662.41</v>
      </c>
      <c r="BU33" s="66">
        <f t="shared" si="15"/>
        <v>18807.510000000002</v>
      </c>
      <c r="BV33" s="61">
        <f>BM33+BG33+AZ33</f>
        <v>0</v>
      </c>
      <c r="BW33" s="63">
        <f>BT33+BN33+BH33+BA33</f>
        <v>18807.510000000002</v>
      </c>
      <c r="BX33" s="67"/>
      <c r="BY33" s="68">
        <v>22925.111608037994</v>
      </c>
      <c r="BZ33" s="69">
        <v>0</v>
      </c>
      <c r="CA33" s="69">
        <v>22925.111608037994</v>
      </c>
    </row>
    <row r="34" spans="1:79" s="70" customFormat="1" ht="11.5" customHeight="1" outlineLevel="1" x14ac:dyDescent="0.45">
      <c r="A34" s="54">
        <v>99</v>
      </c>
      <c r="B34" s="84" t="s">
        <v>92</v>
      </c>
      <c r="C34" s="115" t="s">
        <v>93</v>
      </c>
      <c r="D34" s="54">
        <v>1</v>
      </c>
      <c r="E34" s="135">
        <v>700</v>
      </c>
      <c r="F34" s="54">
        <v>6</v>
      </c>
      <c r="G34" s="54" t="s">
        <v>63</v>
      </c>
      <c r="H34" s="57">
        <f>F34*E34*D34</f>
        <v>4200</v>
      </c>
      <c r="I34" s="57">
        <v>0</v>
      </c>
      <c r="J34" s="57">
        <f>SUM(H34:I34)</f>
        <v>4200</v>
      </c>
      <c r="K34" s="54">
        <v>1</v>
      </c>
      <c r="L34" s="57">
        <f>E34</f>
        <v>700</v>
      </c>
      <c r="M34" s="54">
        <v>12</v>
      </c>
      <c r="N34" s="57">
        <f>M34*L34*K34</f>
        <v>8400</v>
      </c>
      <c r="O34" s="57">
        <v>0</v>
      </c>
      <c r="P34" s="57">
        <f>SUM(N34:O34)</f>
        <v>8400</v>
      </c>
      <c r="Q34" s="54">
        <v>1</v>
      </c>
      <c r="R34" s="57">
        <f>E34</f>
        <v>700</v>
      </c>
      <c r="S34" s="54">
        <v>12</v>
      </c>
      <c r="T34" s="57">
        <f>S34*R34*Q34</f>
        <v>8400</v>
      </c>
      <c r="U34" s="57">
        <v>0</v>
      </c>
      <c r="V34" s="57">
        <f>SUM(T34:U34)</f>
        <v>8400</v>
      </c>
      <c r="W34" s="54">
        <v>1</v>
      </c>
      <c r="X34" s="57">
        <f>E34</f>
        <v>700</v>
      </c>
      <c r="Y34" s="54">
        <v>12</v>
      </c>
      <c r="Z34" s="57">
        <f>Y34*X34*W34</f>
        <v>8400</v>
      </c>
      <c r="AA34" s="57">
        <v>0</v>
      </c>
      <c r="AB34" s="57">
        <f>SUM(Z34:AA34)</f>
        <v>8400</v>
      </c>
      <c r="AC34" s="54">
        <v>1</v>
      </c>
      <c r="AD34" s="57">
        <f>E34</f>
        <v>700</v>
      </c>
      <c r="AE34" s="54">
        <v>9</v>
      </c>
      <c r="AF34" s="57">
        <f>AE34*AC34*AD34</f>
        <v>6300</v>
      </c>
      <c r="AG34" s="57">
        <v>0</v>
      </c>
      <c r="AH34" s="57">
        <f>SUM(AF34:AG34)</f>
        <v>6300</v>
      </c>
      <c r="AI34" s="57">
        <f>H34+N34+T34+Z34+AF34</f>
        <v>35700</v>
      </c>
      <c r="AJ34" s="57">
        <f>I34+O34+U34+AA34+AG34</f>
        <v>0</v>
      </c>
      <c r="AK34" s="57">
        <f>SUM(AI34:AJ34)</f>
        <v>35700</v>
      </c>
      <c r="AL34" s="61">
        <v>0</v>
      </c>
      <c r="AM34" s="57">
        <v>0</v>
      </c>
      <c r="AN34" s="61">
        <f>12.82+1015.33</f>
        <v>1028.1500000000001</v>
      </c>
      <c r="AO34" s="57">
        <v>0</v>
      </c>
      <c r="AP34" s="57">
        <f>AL34+AN34</f>
        <v>1028.1500000000001</v>
      </c>
      <c r="AQ34" s="57">
        <f>AM34+AO34</f>
        <v>0</v>
      </c>
      <c r="AR34" s="57">
        <f>AP34+AQ34</f>
        <v>1028.1500000000001</v>
      </c>
      <c r="AS34" s="57">
        <f>AK34-AR34</f>
        <v>34671.85</v>
      </c>
      <c r="AT34" s="61">
        <f>AK34-AL34-AM34-AN34-AO34</f>
        <v>34671.85</v>
      </c>
      <c r="AU34" s="59">
        <f>AS34-AT34</f>
        <v>0</v>
      </c>
      <c r="AV34" s="66"/>
      <c r="AW34" s="61">
        <v>0</v>
      </c>
      <c r="AX34" s="57"/>
      <c r="AY34" s="61">
        <f>AV34*AW34*AX34</f>
        <v>0</v>
      </c>
      <c r="AZ34" s="61">
        <v>0</v>
      </c>
      <c r="BA34" s="61">
        <f>SUM(AY34:AZ34)</f>
        <v>0</v>
      </c>
      <c r="BB34" s="62" t="s">
        <v>94</v>
      </c>
      <c r="BC34" s="128"/>
      <c r="BD34" s="57">
        <v>0</v>
      </c>
      <c r="BE34" s="135"/>
      <c r="BF34" s="61">
        <f>BC34*BD34*BE34</f>
        <v>0</v>
      </c>
      <c r="BG34" s="61">
        <v>0</v>
      </c>
      <c r="BH34" s="63">
        <f>SUM(BF34:BG34)</f>
        <v>0</v>
      </c>
      <c r="BI34" s="137"/>
      <c r="BJ34" s="61">
        <v>0</v>
      </c>
      <c r="BK34" s="135"/>
      <c r="BL34" s="61">
        <f>BI34*BJ34*BK34</f>
        <v>0</v>
      </c>
      <c r="BM34" s="61">
        <v>0</v>
      </c>
      <c r="BN34" s="63">
        <f>SUM(BL34:BM34)</f>
        <v>0</v>
      </c>
      <c r="BO34" s="128"/>
      <c r="BP34" s="61">
        <v>0</v>
      </c>
      <c r="BQ34" s="135"/>
      <c r="BR34" s="61">
        <f>BO34*BP34*BQ34</f>
        <v>0</v>
      </c>
      <c r="BS34" s="61">
        <v>0</v>
      </c>
      <c r="BT34" s="63">
        <f>SUM(BR34:BS34)</f>
        <v>0</v>
      </c>
      <c r="BU34" s="66">
        <f>BL34+BF34+AY34+BR34</f>
        <v>0</v>
      </c>
      <c r="BV34" s="61">
        <f>BM34+BG34+AZ34</f>
        <v>0</v>
      </c>
      <c r="BW34" s="63">
        <f>BN34+BH34+BA34</f>
        <v>0</v>
      </c>
      <c r="BX34" s="67"/>
      <c r="BY34" s="68">
        <v>1028.1500000000001</v>
      </c>
      <c r="BZ34" s="69">
        <v>0</v>
      </c>
      <c r="CA34" s="69">
        <v>1028.1500000000001</v>
      </c>
    </row>
    <row r="35" spans="1:79" s="76" customFormat="1" ht="11.5" customHeight="1" x14ac:dyDescent="0.4">
      <c r="A35" s="54">
        <v>101</v>
      </c>
      <c r="B35" s="172" t="s">
        <v>95</v>
      </c>
      <c r="C35" s="173"/>
      <c r="D35" s="92"/>
      <c r="E35" s="92"/>
      <c r="F35" s="92"/>
      <c r="G35" s="92"/>
      <c r="H35" s="88" t="e">
        <f>#REF!+#REF!</f>
        <v>#REF!</v>
      </c>
      <c r="I35" s="88" t="e">
        <f>#REF!+#REF!</f>
        <v>#REF!</v>
      </c>
      <c r="J35" s="88" t="e">
        <f>#REF!+#REF!</f>
        <v>#REF!</v>
      </c>
      <c r="K35" s="92"/>
      <c r="L35" s="92"/>
      <c r="M35" s="92"/>
      <c r="N35" s="88" t="e">
        <f>#REF!+#REF!</f>
        <v>#REF!</v>
      </c>
      <c r="O35" s="88" t="e">
        <f>#REF!+#REF!</f>
        <v>#REF!</v>
      </c>
      <c r="P35" s="88" t="e">
        <f>#REF!+#REF!</f>
        <v>#REF!</v>
      </c>
      <c r="Q35" s="92"/>
      <c r="R35" s="92"/>
      <c r="S35" s="92"/>
      <c r="T35" s="88" t="e">
        <f>#REF!+#REF!</f>
        <v>#REF!</v>
      </c>
      <c r="U35" s="88" t="e">
        <f>#REF!+#REF!</f>
        <v>#REF!</v>
      </c>
      <c r="V35" s="88" t="e">
        <f>#REF!+#REF!</f>
        <v>#REF!</v>
      </c>
      <c r="W35" s="92"/>
      <c r="X35" s="92"/>
      <c r="Y35" s="92"/>
      <c r="Z35" s="88" t="e">
        <f>#REF!+#REF!</f>
        <v>#REF!</v>
      </c>
      <c r="AA35" s="88" t="e">
        <f>#REF!+#REF!</f>
        <v>#REF!</v>
      </c>
      <c r="AB35" s="88" t="e">
        <f>#REF!+#REF!</f>
        <v>#REF!</v>
      </c>
      <c r="AC35" s="92"/>
      <c r="AD35" s="92"/>
      <c r="AE35" s="92"/>
      <c r="AF35" s="88" t="e">
        <f>#REF!+#REF!</f>
        <v>#REF!</v>
      </c>
      <c r="AG35" s="88" t="e">
        <f>#REF!+#REF!</f>
        <v>#REF!</v>
      </c>
      <c r="AH35" s="88" t="e">
        <f>#REF!+#REF!</f>
        <v>#REF!</v>
      </c>
      <c r="AI35" s="88" t="e">
        <f>#REF!+#REF!</f>
        <v>#REF!</v>
      </c>
      <c r="AJ35" s="88" t="e">
        <f>#REF!+#REF!</f>
        <v>#REF!</v>
      </c>
      <c r="AK35" s="88" t="e">
        <f>#REF!+#REF!</f>
        <v>#REF!</v>
      </c>
      <c r="AL35" s="89" t="e">
        <f>#REF!+#REF!</f>
        <v>#REF!</v>
      </c>
      <c r="AM35" s="88">
        <v>0</v>
      </c>
      <c r="AN35" s="89" t="e">
        <f>#REF!+#REF!</f>
        <v>#REF!</v>
      </c>
      <c r="AO35" s="89" t="e">
        <f>#REF!+#REF!</f>
        <v>#REF!</v>
      </c>
      <c r="AP35" s="89" t="e">
        <f>#REF!+#REF!</f>
        <v>#REF!</v>
      </c>
      <c r="AQ35" s="89" t="e">
        <f>#REF!+#REF!</f>
        <v>#REF!</v>
      </c>
      <c r="AR35" s="89" t="e">
        <f>#REF!+#REF!</f>
        <v>#REF!</v>
      </c>
      <c r="AS35" s="89" t="e">
        <f>#REF!+#REF!</f>
        <v>#REF!</v>
      </c>
      <c r="AT35" s="89" t="e">
        <f>SUM(AT21:AT34)</f>
        <v>#REF!</v>
      </c>
      <c r="AU35" s="90"/>
      <c r="AV35" s="174"/>
      <c r="AW35" s="175" t="e">
        <f>+#REF!</f>
        <v>#REF!</v>
      </c>
      <c r="AX35" s="175"/>
      <c r="AY35" s="176" t="e">
        <f>#REF!+#REF!</f>
        <v>#REF!</v>
      </c>
      <c r="AZ35" s="176">
        <f>SUM(AZ31:AZ34)</f>
        <v>0</v>
      </c>
      <c r="BA35" s="176" t="e">
        <f>AY35+AZ35</f>
        <v>#REF!</v>
      </c>
      <c r="BB35" s="177"/>
      <c r="BC35" s="174"/>
      <c r="BD35" s="175"/>
      <c r="BE35" s="175"/>
      <c r="BF35" s="178" t="e">
        <f>#REF!+#REF!</f>
        <v>#REF!</v>
      </c>
      <c r="BG35" s="178" t="e">
        <f>#REF!+#REF!</f>
        <v>#REF!</v>
      </c>
      <c r="BH35" s="179" t="e">
        <f>BF35+BG35</f>
        <v>#REF!</v>
      </c>
      <c r="BI35" s="180"/>
      <c r="BJ35" s="175"/>
      <c r="BK35" s="175"/>
      <c r="BL35" s="178" t="e">
        <f>#REF!+#REF!</f>
        <v>#REF!</v>
      </c>
      <c r="BM35" s="178" t="e">
        <f>#REF!+#REF!</f>
        <v>#REF!</v>
      </c>
      <c r="BN35" s="179" t="e">
        <f>BL35+BM35</f>
        <v>#REF!</v>
      </c>
      <c r="BO35" s="174"/>
      <c r="BP35" s="175"/>
      <c r="BQ35" s="175"/>
      <c r="BR35" s="178" t="e">
        <f>#REF!+#REF!</f>
        <v>#REF!</v>
      </c>
      <c r="BS35" s="178" t="e">
        <f>#REF!+#REF!</f>
        <v>#REF!</v>
      </c>
      <c r="BT35" s="179" t="e">
        <f>BR35+BS35</f>
        <v>#REF!</v>
      </c>
      <c r="BU35" s="181" t="e">
        <f>#REF!+#REF!</f>
        <v>#REF!</v>
      </c>
      <c r="BV35" s="181" t="e">
        <f>#REF!+#REF!</f>
        <v>#REF!</v>
      </c>
      <c r="BW35" s="179" t="e">
        <f>#REF!+#REF!</f>
        <v>#REF!</v>
      </c>
      <c r="BX35" s="133"/>
      <c r="BY35" s="149">
        <v>44732.201608037998</v>
      </c>
      <c r="BZ35" s="182">
        <v>0</v>
      </c>
      <c r="CA35" s="182">
        <v>44732.201608037998</v>
      </c>
    </row>
    <row r="36" spans="1:79" s="70" customFormat="1" ht="13.5" customHeight="1" x14ac:dyDescent="0.4">
      <c r="A36" s="38">
        <v>102</v>
      </c>
      <c r="B36" s="183" t="s">
        <v>96</v>
      </c>
      <c r="C36" s="184"/>
      <c r="D36" s="184"/>
      <c r="E36" s="184"/>
      <c r="F36" s="184"/>
      <c r="G36" s="184"/>
      <c r="H36" s="101"/>
      <c r="I36" s="101"/>
      <c r="J36" s="101"/>
      <c r="K36" s="184"/>
      <c r="L36" s="184"/>
      <c r="M36" s="184"/>
      <c r="N36" s="101"/>
      <c r="O36" s="101"/>
      <c r="P36" s="101"/>
      <c r="Q36" s="184"/>
      <c r="R36" s="184"/>
      <c r="S36" s="184"/>
      <c r="T36" s="101"/>
      <c r="U36" s="101"/>
      <c r="V36" s="101"/>
      <c r="W36" s="184"/>
      <c r="X36" s="184"/>
      <c r="Y36" s="184"/>
      <c r="Z36" s="101"/>
      <c r="AA36" s="101"/>
      <c r="AB36" s="101"/>
      <c r="AC36" s="184"/>
      <c r="AD36" s="184"/>
      <c r="AE36" s="184"/>
      <c r="AF36" s="101"/>
      <c r="AG36" s="101"/>
      <c r="AH36" s="101"/>
      <c r="AI36" s="101"/>
      <c r="AJ36" s="101"/>
      <c r="AK36" s="101"/>
      <c r="AL36" s="101"/>
      <c r="AM36" s="101"/>
      <c r="AN36" s="101"/>
      <c r="AO36" s="101"/>
      <c r="AP36" s="101"/>
      <c r="AQ36" s="101"/>
      <c r="AR36" s="101"/>
      <c r="AS36" s="101"/>
      <c r="AT36" s="106"/>
      <c r="AU36" s="168"/>
      <c r="AV36" s="185"/>
      <c r="AW36" s="100"/>
      <c r="AX36" s="100"/>
      <c r="AY36" s="186"/>
      <c r="AZ36" s="186"/>
      <c r="BA36" s="186"/>
      <c r="BB36" s="187"/>
      <c r="BC36" s="185"/>
      <c r="BD36" s="100"/>
      <c r="BE36" s="100"/>
      <c r="BF36" s="188"/>
      <c r="BG36" s="188"/>
      <c r="BH36" s="189"/>
      <c r="BI36" s="190"/>
      <c r="BJ36" s="100"/>
      <c r="BK36" s="100"/>
      <c r="BL36" s="186"/>
      <c r="BM36" s="186"/>
      <c r="BN36" s="191"/>
      <c r="BO36" s="192"/>
      <c r="BP36" s="186"/>
      <c r="BQ36" s="186"/>
      <c r="BR36" s="186"/>
      <c r="BS36" s="186"/>
      <c r="BT36" s="191"/>
      <c r="BU36" s="192"/>
      <c r="BV36" s="188"/>
      <c r="BW36" s="189"/>
      <c r="BX36" s="75"/>
      <c r="BY36" s="158"/>
      <c r="BZ36" s="159"/>
      <c r="CA36" s="159"/>
    </row>
    <row r="37" spans="1:79" s="70" customFormat="1" ht="11.5" customHeight="1" outlineLevel="1" x14ac:dyDescent="0.45">
      <c r="A37" s="38">
        <v>104</v>
      </c>
      <c r="B37" s="170" t="s">
        <v>97</v>
      </c>
      <c r="C37" s="115" t="s">
        <v>98</v>
      </c>
      <c r="D37" s="85">
        <v>1</v>
      </c>
      <c r="E37" s="135">
        <v>5556</v>
      </c>
      <c r="F37" s="135">
        <v>1</v>
      </c>
      <c r="G37" s="81" t="s">
        <v>65</v>
      </c>
      <c r="H37" s="57">
        <f>F37*E37*D37</f>
        <v>5556</v>
      </c>
      <c r="I37" s="57">
        <v>0</v>
      </c>
      <c r="J37" s="57">
        <f>SUM(H37:I37)</f>
        <v>5556</v>
      </c>
      <c r="K37" s="85">
        <v>1</v>
      </c>
      <c r="L37" s="57">
        <f>E37*$D$6</f>
        <v>5722.68</v>
      </c>
      <c r="M37" s="135">
        <v>1</v>
      </c>
      <c r="N37" s="57">
        <f>K37*L37*M37</f>
        <v>5722.68</v>
      </c>
      <c r="O37" s="57">
        <v>0</v>
      </c>
      <c r="P37" s="57">
        <f>SUM(N37:O37)</f>
        <v>5722.68</v>
      </c>
      <c r="Q37" s="85">
        <v>0</v>
      </c>
      <c r="R37" s="57">
        <f>E37*$D$6*$D$6</f>
        <v>5894.3604000000005</v>
      </c>
      <c r="S37" s="135">
        <v>1</v>
      </c>
      <c r="T37" s="57">
        <f>Q37*R37*S37</f>
        <v>0</v>
      </c>
      <c r="U37" s="57">
        <v>0</v>
      </c>
      <c r="V37" s="57">
        <f>SUM(T37:U37)</f>
        <v>0</v>
      </c>
      <c r="W37" s="85">
        <v>0</v>
      </c>
      <c r="X37" s="57">
        <f>E37*$D$6*$D$6*$D$6</f>
        <v>6071.1912120000006</v>
      </c>
      <c r="Y37" s="135">
        <v>1</v>
      </c>
      <c r="Z37" s="57">
        <f>W37*X37*Y37</f>
        <v>0</v>
      </c>
      <c r="AA37" s="57">
        <v>0</v>
      </c>
      <c r="AB37" s="57">
        <f>SUM(Z37:AA37)</f>
        <v>0</v>
      </c>
      <c r="AC37" s="85">
        <v>0</v>
      </c>
      <c r="AD37" s="57">
        <f>E37*$D$6*$D$6*$D$6*$D$6</f>
        <v>6253.3269483600006</v>
      </c>
      <c r="AE37" s="135">
        <v>0</v>
      </c>
      <c r="AF37" s="57">
        <f>AC37*AD37*AE37</f>
        <v>0</v>
      </c>
      <c r="AG37" s="57">
        <v>0</v>
      </c>
      <c r="AH37" s="57">
        <f>SUM(AF37:AG37)</f>
        <v>0</v>
      </c>
      <c r="AI37" s="57">
        <f t="shared" ref="AI37:AJ37" si="17">H37+N37+T37+Z37+AF37</f>
        <v>11278.68</v>
      </c>
      <c r="AJ37" s="57">
        <f t="shared" si="17"/>
        <v>0</v>
      </c>
      <c r="AK37" s="57">
        <f>SUM(AI37:AJ37)</f>
        <v>11278.68</v>
      </c>
      <c r="AL37" s="61">
        <v>0</v>
      </c>
      <c r="AM37" s="57">
        <v>0</v>
      </c>
      <c r="AN37" s="61">
        <f>2774.15</f>
        <v>2774.15</v>
      </c>
      <c r="AO37" s="57">
        <v>0</v>
      </c>
      <c r="AP37" s="57">
        <f t="shared" ref="AP37:AQ38" si="18">AL37+AN37</f>
        <v>2774.15</v>
      </c>
      <c r="AQ37" s="57">
        <f t="shared" si="18"/>
        <v>0</v>
      </c>
      <c r="AR37" s="57">
        <f t="shared" ref="AR37:AR39" si="19">AP37+AQ37</f>
        <v>2774.15</v>
      </c>
      <c r="AS37" s="57">
        <f t="shared" ref="AS37:AS39" si="20">AK37-AR37</f>
        <v>8504.5300000000007</v>
      </c>
      <c r="AT37" s="61">
        <f>AK37-AL37-AM37-AN37-AO37</f>
        <v>8504.5300000000007</v>
      </c>
      <c r="AU37" s="59">
        <f t="shared" ref="AU37:AU39" si="21">AS37-AT37</f>
        <v>0</v>
      </c>
      <c r="AV37" s="66"/>
      <c r="AW37" s="61">
        <v>0</v>
      </c>
      <c r="AX37" s="61"/>
      <c r="AY37" s="61">
        <v>0</v>
      </c>
      <c r="AZ37" s="61">
        <v>0</v>
      </c>
      <c r="BA37" s="61">
        <f t="shared" ref="BA37:BA39" si="22">SUM(AY37:AZ37)</f>
        <v>0</v>
      </c>
      <c r="BB37" s="62" t="s">
        <v>99</v>
      </c>
      <c r="BC37" s="138"/>
      <c r="BD37" s="61">
        <v>0</v>
      </c>
      <c r="BE37" s="73"/>
      <c r="BF37" s="61">
        <f>BC37*BD37</f>
        <v>0</v>
      </c>
      <c r="BG37" s="61">
        <v>0</v>
      </c>
      <c r="BH37" s="63">
        <f t="shared" ref="BH37:BH39" si="23">SUM(BF37:BG37)</f>
        <v>0</v>
      </c>
      <c r="BI37" s="139"/>
      <c r="BJ37" s="61">
        <f>AC37</f>
        <v>0</v>
      </c>
      <c r="BK37" s="73"/>
      <c r="BL37" s="61">
        <v>0</v>
      </c>
      <c r="BM37" s="61">
        <v>0</v>
      </c>
      <c r="BN37" s="63"/>
      <c r="BO37" s="128"/>
      <c r="BP37" s="61">
        <v>0</v>
      </c>
      <c r="BQ37" s="73"/>
      <c r="BR37" s="61">
        <f>BP37*BO37</f>
        <v>0</v>
      </c>
      <c r="BS37" s="61">
        <v>0</v>
      </c>
      <c r="BT37" s="63">
        <f>SUM(BR37:BS37)</f>
        <v>0</v>
      </c>
      <c r="BU37" s="66">
        <f t="shared" ref="BU37:BU39" si="24">BL37+BF37+AY37+BR37</f>
        <v>0</v>
      </c>
      <c r="BV37" s="61">
        <f t="shared" ref="BV37:BW38" si="25">BM37+BG37+AZ37</f>
        <v>0</v>
      </c>
      <c r="BW37" s="63">
        <f t="shared" si="25"/>
        <v>0</v>
      </c>
      <c r="BX37" s="67"/>
      <c r="BY37" s="68">
        <v>2774.15</v>
      </c>
      <c r="BZ37" s="69">
        <v>0</v>
      </c>
      <c r="CA37" s="69">
        <v>2774.15</v>
      </c>
    </row>
    <row r="38" spans="1:79" s="76" customFormat="1" ht="11.5" customHeight="1" outlineLevel="1" x14ac:dyDescent="0.45">
      <c r="A38" s="54">
        <v>107</v>
      </c>
      <c r="B38" s="193" t="s">
        <v>100</v>
      </c>
      <c r="C38" s="115" t="s">
        <v>101</v>
      </c>
      <c r="D38" s="194"/>
      <c r="E38" s="194"/>
      <c r="F38" s="194"/>
      <c r="G38" s="194"/>
      <c r="H38" s="57"/>
      <c r="I38" s="57"/>
      <c r="J38" s="57"/>
      <c r="K38" s="194"/>
      <c r="L38" s="194"/>
      <c r="M38" s="194"/>
      <c r="N38" s="57"/>
      <c r="O38" s="57"/>
      <c r="P38" s="57"/>
      <c r="Q38" s="194"/>
      <c r="R38" s="194"/>
      <c r="S38" s="194"/>
      <c r="T38" s="57"/>
      <c r="U38" s="57"/>
      <c r="V38" s="57"/>
      <c r="W38" s="194"/>
      <c r="X38" s="194"/>
      <c r="Y38" s="194"/>
      <c r="Z38" s="57"/>
      <c r="AA38" s="57"/>
      <c r="AB38" s="57"/>
      <c r="AC38" s="194"/>
      <c r="AD38" s="194"/>
      <c r="AE38" s="194"/>
      <c r="AF38" s="57"/>
      <c r="AG38" s="57"/>
      <c r="AH38" s="57"/>
      <c r="AI38" s="57">
        <f>SUM(H38,N38,T38,Z38,AF38)</f>
        <v>0</v>
      </c>
      <c r="AJ38" s="57">
        <f>SUM(I38,O38,U38,AA38,AG38)</f>
        <v>0</v>
      </c>
      <c r="AK38" s="57">
        <f>SUM(AI38:AJ38)</f>
        <v>0</v>
      </c>
      <c r="AL38" s="61">
        <v>0</v>
      </c>
      <c r="AM38" s="57">
        <v>0</v>
      </c>
      <c r="AN38" s="61">
        <v>0</v>
      </c>
      <c r="AO38" s="57">
        <v>0</v>
      </c>
      <c r="AP38" s="57">
        <f t="shared" si="18"/>
        <v>0</v>
      </c>
      <c r="AQ38" s="57">
        <f t="shared" si="18"/>
        <v>0</v>
      </c>
      <c r="AR38" s="57">
        <f t="shared" si="19"/>
        <v>0</v>
      </c>
      <c r="AS38" s="57">
        <f t="shared" si="20"/>
        <v>0</v>
      </c>
      <c r="AT38" s="61">
        <f>AK38-AL38-AM38-AN38-AO38</f>
        <v>0</v>
      </c>
      <c r="AU38" s="167">
        <f t="shared" si="21"/>
        <v>0</v>
      </c>
      <c r="AV38" s="128"/>
      <c r="AW38" s="57"/>
      <c r="AX38" s="135"/>
      <c r="AY38" s="61">
        <v>3000</v>
      </c>
      <c r="AZ38" s="61"/>
      <c r="BA38" s="61">
        <f t="shared" si="22"/>
        <v>3000</v>
      </c>
      <c r="BB38" s="62" t="s">
        <v>102</v>
      </c>
      <c r="BC38" s="128"/>
      <c r="BD38" s="57"/>
      <c r="BE38" s="135"/>
      <c r="BF38" s="61"/>
      <c r="BG38" s="61"/>
      <c r="BH38" s="63">
        <f t="shared" si="23"/>
        <v>0</v>
      </c>
      <c r="BI38" s="137"/>
      <c r="BJ38" s="61"/>
      <c r="BK38" s="135"/>
      <c r="BL38" s="61"/>
      <c r="BM38" s="61"/>
      <c r="BN38" s="63"/>
      <c r="BO38" s="128"/>
      <c r="BP38" s="57"/>
      <c r="BQ38" s="135"/>
      <c r="BR38" s="61"/>
      <c r="BS38" s="61"/>
      <c r="BT38" s="63"/>
      <c r="BU38" s="66">
        <f t="shared" si="24"/>
        <v>3000</v>
      </c>
      <c r="BV38" s="61">
        <f t="shared" si="25"/>
        <v>0</v>
      </c>
      <c r="BW38" s="63">
        <f>BT38+BN38+BH38+BA38</f>
        <v>3000</v>
      </c>
      <c r="BX38" s="67"/>
      <c r="BY38" s="161">
        <v>10978.057949645123</v>
      </c>
      <c r="BZ38" s="69">
        <v>0</v>
      </c>
      <c r="CA38" s="69">
        <v>10978.057949645123</v>
      </c>
    </row>
    <row r="39" spans="1:79" s="70" customFormat="1" ht="11.5" customHeight="1" outlineLevel="1" x14ac:dyDescent="0.45">
      <c r="A39" s="38">
        <v>108</v>
      </c>
      <c r="B39" s="127" t="s">
        <v>103</v>
      </c>
      <c r="C39" s="115" t="s">
        <v>104</v>
      </c>
      <c r="D39" s="85"/>
      <c r="E39" s="135"/>
      <c r="F39" s="135"/>
      <c r="G39" s="81" t="s">
        <v>65</v>
      </c>
      <c r="H39" s="57"/>
      <c r="I39" s="57"/>
      <c r="J39" s="57"/>
      <c r="K39" s="85"/>
      <c r="L39" s="57"/>
      <c r="M39" s="135"/>
      <c r="N39" s="57"/>
      <c r="O39" s="57"/>
      <c r="P39" s="57"/>
      <c r="Q39" s="85"/>
      <c r="R39" s="57"/>
      <c r="S39" s="135"/>
      <c r="T39" s="57"/>
      <c r="U39" s="57"/>
      <c r="V39" s="57"/>
      <c r="W39" s="85"/>
      <c r="X39" s="57"/>
      <c r="Y39" s="135"/>
      <c r="Z39" s="57"/>
      <c r="AA39" s="57"/>
      <c r="AB39" s="57"/>
      <c r="AC39" s="85"/>
      <c r="AD39" s="57"/>
      <c r="AE39" s="135"/>
      <c r="AF39" s="57"/>
      <c r="AG39" s="57"/>
      <c r="AH39" s="57"/>
      <c r="AI39" s="57"/>
      <c r="AJ39" s="57"/>
      <c r="AK39" s="57"/>
      <c r="AL39" s="57">
        <v>0</v>
      </c>
      <c r="AM39" s="57">
        <v>0</v>
      </c>
      <c r="AN39" s="57">
        <v>0</v>
      </c>
      <c r="AO39" s="57">
        <v>0</v>
      </c>
      <c r="AP39" s="57">
        <v>0</v>
      </c>
      <c r="AQ39" s="57">
        <f>AM39+AO39</f>
        <v>0</v>
      </c>
      <c r="AR39" s="57">
        <f t="shared" si="19"/>
        <v>0</v>
      </c>
      <c r="AS39" s="57">
        <f t="shared" si="20"/>
        <v>0</v>
      </c>
      <c r="AT39" s="61"/>
      <c r="AU39" s="59">
        <f t="shared" si="21"/>
        <v>0</v>
      </c>
      <c r="AV39" s="66">
        <v>5350</v>
      </c>
      <c r="AW39" s="61">
        <v>2.6564999999999999</v>
      </c>
      <c r="AX39" s="61"/>
      <c r="AY39" s="61">
        <f>AW39*AV39</f>
        <v>14212.275</v>
      </c>
      <c r="AZ39" s="61">
        <v>0</v>
      </c>
      <c r="BA39" s="61">
        <f t="shared" si="22"/>
        <v>14212.275</v>
      </c>
      <c r="BB39" s="129" t="s">
        <v>105</v>
      </c>
      <c r="BC39" s="141">
        <v>930</v>
      </c>
      <c r="BD39" s="81">
        <f>AW39*1.04</f>
        <v>2.7627600000000001</v>
      </c>
      <c r="BE39" s="73"/>
      <c r="BF39" s="61">
        <f>BD39*BC39</f>
        <v>2569.3668000000002</v>
      </c>
      <c r="BG39" s="61">
        <v>0</v>
      </c>
      <c r="BH39" s="63">
        <f t="shared" si="23"/>
        <v>2569.3668000000002</v>
      </c>
      <c r="BI39" s="142">
        <v>1300</v>
      </c>
      <c r="BJ39" s="81">
        <f>BD39*1.04</f>
        <v>2.8732704</v>
      </c>
      <c r="BK39" s="73"/>
      <c r="BL39" s="61">
        <f>BJ39*BI39</f>
        <v>3735.2515199999998</v>
      </c>
      <c r="BM39" s="61">
        <v>0</v>
      </c>
      <c r="BN39" s="63">
        <f>BM39+BL39</f>
        <v>3735.2515199999998</v>
      </c>
      <c r="BO39" s="128">
        <v>600</v>
      </c>
      <c r="BP39" s="61">
        <f>BJ39*1.04</f>
        <v>2.9882012160000002</v>
      </c>
      <c r="BQ39" s="73"/>
      <c r="BR39" s="61">
        <f>BP39*BO39</f>
        <v>1792.9207296000002</v>
      </c>
      <c r="BS39" s="61">
        <v>0</v>
      </c>
      <c r="BT39" s="63">
        <f>SUM(BR39:BS39)</f>
        <v>1792.9207296000002</v>
      </c>
      <c r="BU39" s="66">
        <f t="shared" si="24"/>
        <v>22309.814049599998</v>
      </c>
      <c r="BV39" s="61">
        <f>BM39+BG39+AZ39</f>
        <v>0</v>
      </c>
      <c r="BW39" s="63">
        <f>BT39+BN39+BH39+BA39</f>
        <v>22309.814049599998</v>
      </c>
      <c r="BX39" s="67"/>
      <c r="BY39" s="68">
        <v>24120.397283950617</v>
      </c>
      <c r="BZ39" s="69">
        <v>0</v>
      </c>
      <c r="CA39" s="69">
        <v>24120.397283950617</v>
      </c>
    </row>
    <row r="40" spans="1:79" s="70" customFormat="1" ht="11.5" customHeight="1" outlineLevel="1" x14ac:dyDescent="0.4">
      <c r="A40" s="38">
        <v>112</v>
      </c>
      <c r="B40" s="84" t="s">
        <v>106</v>
      </c>
      <c r="C40" s="81" t="s">
        <v>107</v>
      </c>
      <c r="D40" s="85">
        <v>1</v>
      </c>
      <c r="E40" s="135">
        <v>2000</v>
      </c>
      <c r="F40" s="135">
        <v>1</v>
      </c>
      <c r="G40" s="81" t="s">
        <v>108</v>
      </c>
      <c r="H40" s="57">
        <f>F40*E40*D40</f>
        <v>2000</v>
      </c>
      <c r="I40" s="57">
        <v>0</v>
      </c>
      <c r="J40" s="57">
        <f>SUM(H40:I40)</f>
        <v>2000</v>
      </c>
      <c r="K40" s="85">
        <v>1</v>
      </c>
      <c r="L40" s="57">
        <f>E40*$D$6</f>
        <v>2060</v>
      </c>
      <c r="M40" s="135">
        <v>1</v>
      </c>
      <c r="N40" s="57">
        <f>K40*L40*M40</f>
        <v>2060</v>
      </c>
      <c r="O40" s="57">
        <v>0</v>
      </c>
      <c r="P40" s="57">
        <f>SUM(N40:O40)</f>
        <v>2060</v>
      </c>
      <c r="Q40" s="85">
        <v>1</v>
      </c>
      <c r="R40" s="57">
        <f>E40*$D$6*$D$6</f>
        <v>2121.8000000000002</v>
      </c>
      <c r="S40" s="135">
        <v>1</v>
      </c>
      <c r="T40" s="57">
        <f>Q40*R40*S40</f>
        <v>2121.8000000000002</v>
      </c>
      <c r="U40" s="57">
        <v>0</v>
      </c>
      <c r="V40" s="57">
        <f>SUM(T40:U40)</f>
        <v>2121.8000000000002</v>
      </c>
      <c r="W40" s="85">
        <v>1</v>
      </c>
      <c r="X40" s="57">
        <f>E40*$D$6*$D$6*$D$6</f>
        <v>2185.4540000000002</v>
      </c>
      <c r="Y40" s="135">
        <v>1</v>
      </c>
      <c r="Z40" s="57">
        <f>W40*X40*Y40</f>
        <v>2185.4540000000002</v>
      </c>
      <c r="AA40" s="57">
        <v>0</v>
      </c>
      <c r="AB40" s="57">
        <f>SUM(Z40:AA40)</f>
        <v>2185.4540000000002</v>
      </c>
      <c r="AC40" s="85">
        <v>1</v>
      </c>
      <c r="AD40" s="57">
        <f>E40*$D$6*$D$6*$D$6*$D$6</f>
        <v>2251.0176200000001</v>
      </c>
      <c r="AE40" s="135">
        <v>1</v>
      </c>
      <c r="AF40" s="57">
        <f>AC40*AD40*AE40</f>
        <v>2251.0176200000001</v>
      </c>
      <c r="AG40" s="57">
        <v>0</v>
      </c>
      <c r="AH40" s="57">
        <f>SUM(AF40:AG40)</f>
        <v>2251.0176200000001</v>
      </c>
      <c r="AI40" s="57">
        <f t="shared" ref="AI40:AJ42" si="26">H40+N40+T40+Z40+AF40</f>
        <v>10618.271620000001</v>
      </c>
      <c r="AJ40" s="57">
        <f t="shared" si="26"/>
        <v>0</v>
      </c>
      <c r="AK40" s="57">
        <f>SUM(AI40:AJ40)</f>
        <v>10618.271620000001</v>
      </c>
      <c r="AL40" s="61">
        <v>0</v>
      </c>
      <c r="AM40" s="57">
        <v>0</v>
      </c>
      <c r="AN40" s="61">
        <f>1504.41+3471.41+1398.49+746.27+1109.27</f>
        <v>8229.85</v>
      </c>
      <c r="AO40" s="57">
        <v>0</v>
      </c>
      <c r="AP40" s="57">
        <f t="shared" ref="AP40:AQ42" si="27">AL40+AN40</f>
        <v>8229.85</v>
      </c>
      <c r="AQ40" s="57">
        <f t="shared" si="27"/>
        <v>0</v>
      </c>
      <c r="AR40" s="57">
        <f>AP40+AQ40</f>
        <v>8229.85</v>
      </c>
      <c r="AS40" s="57">
        <f>AK40-AR40</f>
        <v>2388.421620000001</v>
      </c>
      <c r="AT40" s="61">
        <f>AK40-AL40-AM40-AN40-AO40</f>
        <v>2388.421620000001</v>
      </c>
      <c r="AU40" s="59">
        <f>AS40-AT40</f>
        <v>0</v>
      </c>
      <c r="AV40" s="128"/>
      <c r="AW40" s="61">
        <v>0</v>
      </c>
      <c r="AX40" s="135"/>
      <c r="AY40" s="61">
        <f>AW40*AV40</f>
        <v>0</v>
      </c>
      <c r="AZ40" s="61">
        <v>0</v>
      </c>
      <c r="BA40" s="61">
        <f>SUM(AY40:AZ40)</f>
        <v>0</v>
      </c>
      <c r="BB40" s="62" t="s">
        <v>109</v>
      </c>
      <c r="BC40" s="138"/>
      <c r="BD40" s="61">
        <v>0</v>
      </c>
      <c r="BE40" s="73"/>
      <c r="BF40" s="61">
        <f>BD40*BC40</f>
        <v>0</v>
      </c>
      <c r="BG40" s="61">
        <v>0</v>
      </c>
      <c r="BH40" s="63">
        <f>SUM(BF40:BG40)</f>
        <v>0</v>
      </c>
      <c r="BI40" s="139"/>
      <c r="BJ40" s="61">
        <v>0</v>
      </c>
      <c r="BK40" s="73"/>
      <c r="BL40" s="61">
        <f>BJ40*BI40</f>
        <v>0</v>
      </c>
      <c r="BM40" s="61">
        <v>0</v>
      </c>
      <c r="BN40" s="63">
        <f>SUM(BL40:BM40)</f>
        <v>0</v>
      </c>
      <c r="BO40" s="138"/>
      <c r="BP40" s="61">
        <v>0</v>
      </c>
      <c r="BQ40" s="73"/>
      <c r="BR40" s="61">
        <f>BP40*BO40</f>
        <v>0</v>
      </c>
      <c r="BS40" s="61">
        <v>0</v>
      </c>
      <c r="BT40" s="63">
        <f>SUM(BR40:BS40)</f>
        <v>0</v>
      </c>
      <c r="BU40" s="66">
        <f>BL40+BF40+AY40+BR40</f>
        <v>0</v>
      </c>
      <c r="BV40" s="61">
        <f>BM40+BG40+AZ40</f>
        <v>0</v>
      </c>
      <c r="BW40" s="63">
        <f>BN40+BH40+BA40</f>
        <v>0</v>
      </c>
      <c r="BX40" s="67"/>
      <c r="BY40" s="68">
        <v>9048.6673888589412</v>
      </c>
      <c r="BZ40" s="69">
        <v>0</v>
      </c>
      <c r="CA40" s="69">
        <v>9048.6673888589412</v>
      </c>
    </row>
    <row r="41" spans="1:79" s="70" customFormat="1" ht="11.5" customHeight="1" outlineLevel="1" x14ac:dyDescent="0.4">
      <c r="A41" s="54">
        <v>113</v>
      </c>
      <c r="B41" s="84" t="s">
        <v>110</v>
      </c>
      <c r="C41" s="81" t="s">
        <v>111</v>
      </c>
      <c r="D41" s="85">
        <v>1</v>
      </c>
      <c r="E41" s="135">
        <v>25</v>
      </c>
      <c r="F41" s="135">
        <v>6</v>
      </c>
      <c r="G41" s="81" t="s">
        <v>63</v>
      </c>
      <c r="H41" s="57">
        <f>F41*E41*D41</f>
        <v>150</v>
      </c>
      <c r="I41" s="57">
        <v>0</v>
      </c>
      <c r="J41" s="57">
        <f>SUM(H41:I41)</f>
        <v>150</v>
      </c>
      <c r="K41" s="85">
        <v>1</v>
      </c>
      <c r="L41" s="57">
        <f>E41*$D$6</f>
        <v>25.75</v>
      </c>
      <c r="M41" s="135">
        <v>12</v>
      </c>
      <c r="N41" s="57">
        <f>K41*L41*M41</f>
        <v>309</v>
      </c>
      <c r="O41" s="57">
        <v>0</v>
      </c>
      <c r="P41" s="57">
        <f>SUM(N41:O41)</f>
        <v>309</v>
      </c>
      <c r="Q41" s="85">
        <v>1</v>
      </c>
      <c r="R41" s="57">
        <f>E41*$D$6*$D$6</f>
        <v>26.522500000000001</v>
      </c>
      <c r="S41" s="135">
        <v>12</v>
      </c>
      <c r="T41" s="57">
        <f>S41*R41*Q41</f>
        <v>318.27</v>
      </c>
      <c r="U41" s="57">
        <v>0</v>
      </c>
      <c r="V41" s="57">
        <f>SUM(T41:U41)</f>
        <v>318.27</v>
      </c>
      <c r="W41" s="85">
        <v>1</v>
      </c>
      <c r="X41" s="57">
        <f>E41*$D$6*$D$6*$D$6</f>
        <v>27.318175</v>
      </c>
      <c r="Y41" s="135">
        <v>12</v>
      </c>
      <c r="Z41" s="57">
        <f>Y41*X41*W41</f>
        <v>327.81810000000002</v>
      </c>
      <c r="AA41" s="57">
        <v>0</v>
      </c>
      <c r="AB41" s="57">
        <f>SUM(Z41:AA41)</f>
        <v>327.81810000000002</v>
      </c>
      <c r="AC41" s="85">
        <v>1</v>
      </c>
      <c r="AD41" s="57">
        <f>E41*$D$6*$D$6*$D$6*$D$6</f>
        <v>28.137720250000001</v>
      </c>
      <c r="AE41" s="135">
        <v>9</v>
      </c>
      <c r="AF41" s="57">
        <f>AE41*AD41*AC41</f>
        <v>253.23948225000001</v>
      </c>
      <c r="AG41" s="57">
        <v>0</v>
      </c>
      <c r="AH41" s="57">
        <f>SUM(AF41:AG41)</f>
        <v>253.23948225000001</v>
      </c>
      <c r="AI41" s="57">
        <f t="shared" si="26"/>
        <v>1358.32758225</v>
      </c>
      <c r="AJ41" s="57">
        <f t="shared" si="26"/>
        <v>0</v>
      </c>
      <c r="AK41" s="57">
        <f>SUM(AI41:AJ41)</f>
        <v>1358.32758225</v>
      </c>
      <c r="AL41" s="61">
        <v>0</v>
      </c>
      <c r="AM41" s="57">
        <v>0</v>
      </c>
      <c r="AN41" s="61">
        <f>35.4+13.18+16.47+762.01</f>
        <v>827.06</v>
      </c>
      <c r="AO41" s="57">
        <v>0</v>
      </c>
      <c r="AP41" s="57">
        <f t="shared" si="27"/>
        <v>827.06</v>
      </c>
      <c r="AQ41" s="57">
        <f t="shared" si="27"/>
        <v>0</v>
      </c>
      <c r="AR41" s="57">
        <f>AP41+AQ41</f>
        <v>827.06</v>
      </c>
      <c r="AS41" s="57">
        <f>AK41-AR41</f>
        <v>531.26758225000003</v>
      </c>
      <c r="AT41" s="61">
        <f>AK41-AL41-AM41-AN41-AO41</f>
        <v>531.26758225000003</v>
      </c>
      <c r="AU41" s="59">
        <f>AS41-AT41</f>
        <v>0</v>
      </c>
      <c r="AV41" s="128"/>
      <c r="AW41" s="61">
        <v>0</v>
      </c>
      <c r="AX41" s="135"/>
      <c r="AY41" s="61">
        <f>AW41*AV41</f>
        <v>0</v>
      </c>
      <c r="AZ41" s="61">
        <v>0</v>
      </c>
      <c r="BA41" s="61">
        <f>SUM(AY41:AZ41)</f>
        <v>0</v>
      </c>
      <c r="BB41" s="62" t="s">
        <v>112</v>
      </c>
      <c r="BC41" s="128"/>
      <c r="BD41" s="61">
        <v>0</v>
      </c>
      <c r="BE41" s="135"/>
      <c r="BF41" s="61">
        <f>BD41*BC41</f>
        <v>0</v>
      </c>
      <c r="BG41" s="61">
        <v>0</v>
      </c>
      <c r="BH41" s="63">
        <f>SUM(BF41:BG41)</f>
        <v>0</v>
      </c>
      <c r="BI41" s="137"/>
      <c r="BJ41" s="61">
        <v>0</v>
      </c>
      <c r="BK41" s="135"/>
      <c r="BL41" s="61">
        <f>BJ41*BI41</f>
        <v>0</v>
      </c>
      <c r="BM41" s="61">
        <v>0</v>
      </c>
      <c r="BN41" s="63">
        <f>SUM(BL41:BM41)</f>
        <v>0</v>
      </c>
      <c r="BO41" s="138"/>
      <c r="BP41" s="61">
        <v>0</v>
      </c>
      <c r="BQ41" s="73"/>
      <c r="BR41" s="61">
        <f>BP41*BO41</f>
        <v>0</v>
      </c>
      <c r="BS41" s="61">
        <v>0</v>
      </c>
      <c r="BT41" s="63">
        <f>SUM(BR41:BS41)</f>
        <v>0</v>
      </c>
      <c r="BU41" s="66">
        <f>BL41+BF41+AY41+BR41</f>
        <v>0</v>
      </c>
      <c r="BV41" s="61">
        <f>BM41+BG41+AZ41</f>
        <v>0</v>
      </c>
      <c r="BW41" s="63">
        <f>BN41+BH41+BA41</f>
        <v>0</v>
      </c>
      <c r="BX41" s="67"/>
      <c r="BY41" s="161">
        <v>1489.2891935070788</v>
      </c>
      <c r="BZ41" s="69">
        <v>0</v>
      </c>
      <c r="CA41" s="69">
        <v>1489.2891935070788</v>
      </c>
    </row>
    <row r="42" spans="1:79" s="199" customFormat="1" ht="11.5" customHeight="1" outlineLevel="1" x14ac:dyDescent="0.4">
      <c r="A42" s="38">
        <v>114</v>
      </c>
      <c r="B42" s="114" t="s">
        <v>113</v>
      </c>
      <c r="C42" s="116" t="s">
        <v>114</v>
      </c>
      <c r="D42" s="195">
        <v>1</v>
      </c>
      <c r="E42" s="196">
        <v>300</v>
      </c>
      <c r="F42" s="196">
        <v>6</v>
      </c>
      <c r="G42" s="116" t="s">
        <v>63</v>
      </c>
      <c r="H42" s="197">
        <f>F42*E42*D42</f>
        <v>1800</v>
      </c>
      <c r="I42" s="197">
        <v>0</v>
      </c>
      <c r="J42" s="197">
        <f>SUM(H42:I42)</f>
        <v>1800</v>
      </c>
      <c r="K42" s="195">
        <v>1</v>
      </c>
      <c r="L42" s="197">
        <f>E42*$D$6</f>
        <v>309</v>
      </c>
      <c r="M42" s="196">
        <v>12</v>
      </c>
      <c r="N42" s="197">
        <f>K42*L42*M42</f>
        <v>3708</v>
      </c>
      <c r="O42" s="197">
        <v>0</v>
      </c>
      <c r="P42" s="197">
        <f>SUM(N42:O42)</f>
        <v>3708</v>
      </c>
      <c r="Q42" s="195">
        <v>1</v>
      </c>
      <c r="R42" s="197">
        <f>E42*$D$6*$D$6</f>
        <v>318.27</v>
      </c>
      <c r="S42" s="196">
        <v>12</v>
      </c>
      <c r="T42" s="197">
        <f>S42*R42*Q42</f>
        <v>3819.24</v>
      </c>
      <c r="U42" s="197">
        <v>0</v>
      </c>
      <c r="V42" s="197">
        <f>SUM(T42:U42)</f>
        <v>3819.24</v>
      </c>
      <c r="W42" s="195">
        <v>1</v>
      </c>
      <c r="X42" s="197">
        <f>E42*$D$6*$D$6*$D$6</f>
        <v>327.81810000000002</v>
      </c>
      <c r="Y42" s="196">
        <v>12</v>
      </c>
      <c r="Z42" s="197">
        <f>Y42*X42*W42</f>
        <v>3933.8172000000004</v>
      </c>
      <c r="AA42" s="197">
        <v>0</v>
      </c>
      <c r="AB42" s="197">
        <f>SUM(Z42:AA42)</f>
        <v>3933.8172000000004</v>
      </c>
      <c r="AC42" s="195">
        <v>1</v>
      </c>
      <c r="AD42" s="197">
        <f>E42*$D$6*$D$6*$D$6*$D$6</f>
        <v>337.65264300000001</v>
      </c>
      <c r="AE42" s="196">
        <v>9</v>
      </c>
      <c r="AF42" s="197">
        <f>AE42*AD42*AC42</f>
        <v>3038.873787</v>
      </c>
      <c r="AG42" s="197">
        <v>0</v>
      </c>
      <c r="AH42" s="197">
        <f>SUM(AF42:AG42)</f>
        <v>3038.873787</v>
      </c>
      <c r="AI42" s="197">
        <f t="shared" si="26"/>
        <v>16299.930987</v>
      </c>
      <c r="AJ42" s="197">
        <f t="shared" si="26"/>
        <v>0</v>
      </c>
      <c r="AK42" s="197">
        <f>SUM(AI42:AJ42)</f>
        <v>16299.930987</v>
      </c>
      <c r="AL42" s="61">
        <f>64.31+89.15+19.74</f>
        <v>173.20000000000002</v>
      </c>
      <c r="AM42" s="57">
        <v>0</v>
      </c>
      <c r="AN42" s="61">
        <f>12.92+25.13+243.03+190.26+139.9+124.99+155.54+271.84+139.39+159.52+126.7+74.18</f>
        <v>1663.4</v>
      </c>
      <c r="AO42" s="57">
        <v>0</v>
      </c>
      <c r="AP42" s="57">
        <f t="shared" si="27"/>
        <v>1836.6000000000001</v>
      </c>
      <c r="AQ42" s="57">
        <f t="shared" si="27"/>
        <v>0</v>
      </c>
      <c r="AR42" s="57">
        <f>AP42+AQ42</f>
        <v>1836.6000000000001</v>
      </c>
      <c r="AS42" s="57">
        <f>AK42-AR42</f>
        <v>14463.330986999999</v>
      </c>
      <c r="AT42" s="61">
        <f>AK42-AL42-AM42-AN42-AO42</f>
        <v>14463.330986999999</v>
      </c>
      <c r="AU42" s="59">
        <f>AS42-AT42</f>
        <v>0</v>
      </c>
      <c r="AV42" s="128">
        <v>12</v>
      </c>
      <c r="AW42" s="61">
        <v>90.78</v>
      </c>
      <c r="AX42" s="135"/>
      <c r="AY42" s="61">
        <f>AW42*AV42</f>
        <v>1089.3600000000001</v>
      </c>
      <c r="AZ42" s="61">
        <v>0</v>
      </c>
      <c r="BA42" s="61">
        <f>SUM(AY42:AZ42)</f>
        <v>1089.3600000000001</v>
      </c>
      <c r="BB42" s="62" t="s">
        <v>115</v>
      </c>
      <c r="BC42" s="80"/>
      <c r="BD42" s="61">
        <f>AW42*1.04</f>
        <v>94.411200000000008</v>
      </c>
      <c r="BE42" s="135"/>
      <c r="BF42" s="61">
        <f>BD42</f>
        <v>94.411200000000008</v>
      </c>
      <c r="BG42" s="61">
        <v>0</v>
      </c>
      <c r="BH42" s="63">
        <f>SUM(BF42:BG42)</f>
        <v>94.411200000000008</v>
      </c>
      <c r="BI42" s="198">
        <v>1</v>
      </c>
      <c r="BJ42" s="61">
        <f>BD42*1.04</f>
        <v>98.18764800000001</v>
      </c>
      <c r="BK42" s="61"/>
      <c r="BL42" s="61">
        <f>BJ42*BI42</f>
        <v>98.18764800000001</v>
      </c>
      <c r="BM42" s="61">
        <v>0</v>
      </c>
      <c r="BN42" s="63">
        <f>SUM(BL42:BM42)</f>
        <v>98.18764800000001</v>
      </c>
      <c r="BO42" s="66">
        <v>1</v>
      </c>
      <c r="BP42" s="61">
        <v>28</v>
      </c>
      <c r="BQ42" s="61">
        <v>8</v>
      </c>
      <c r="BR42" s="61">
        <f>BP42*BO42*BQ42</f>
        <v>224</v>
      </c>
      <c r="BS42" s="61">
        <v>0</v>
      </c>
      <c r="BT42" s="63">
        <f>BS42+BR42</f>
        <v>224</v>
      </c>
      <c r="BU42" s="66">
        <f>BL42+BF42+AY42+BR42</f>
        <v>1505.9588480000002</v>
      </c>
      <c r="BV42" s="61">
        <f>BM42+BG42+AZ42</f>
        <v>0</v>
      </c>
      <c r="BW42" s="63">
        <f>BU42+BV42</f>
        <v>1505.9588480000002</v>
      </c>
      <c r="BX42" s="67"/>
      <c r="BY42" s="68">
        <v>7273.5594505629952</v>
      </c>
      <c r="BZ42" s="69">
        <v>0</v>
      </c>
      <c r="CA42" s="69">
        <v>7273.5594505629952</v>
      </c>
    </row>
    <row r="43" spans="1:79" s="70" customFormat="1" ht="11.5" customHeight="1" outlineLevel="1" x14ac:dyDescent="0.4">
      <c r="A43" s="38">
        <v>116</v>
      </c>
      <c r="B43" s="200" t="s">
        <v>116</v>
      </c>
      <c r="C43" s="201"/>
      <c r="D43" s="202"/>
      <c r="E43" s="203"/>
      <c r="F43" s="203"/>
      <c r="G43" s="204"/>
      <c r="H43" s="205"/>
      <c r="I43" s="205"/>
      <c r="J43" s="205"/>
      <c r="K43" s="202"/>
      <c r="L43" s="205"/>
      <c r="M43" s="203"/>
      <c r="N43" s="205"/>
      <c r="O43" s="205"/>
      <c r="P43" s="205"/>
      <c r="Q43" s="202"/>
      <c r="R43" s="205"/>
      <c r="S43" s="203"/>
      <c r="T43" s="205"/>
      <c r="U43" s="205"/>
      <c r="V43" s="205"/>
      <c r="W43" s="202"/>
      <c r="X43" s="205"/>
      <c r="Y43" s="203"/>
      <c r="Z43" s="205"/>
      <c r="AA43" s="205"/>
      <c r="AB43" s="205"/>
      <c r="AC43" s="202"/>
      <c r="AD43" s="205"/>
      <c r="AE43" s="203"/>
      <c r="AF43" s="205"/>
      <c r="AG43" s="205"/>
      <c r="AH43" s="205"/>
      <c r="AI43" s="205"/>
      <c r="AJ43" s="205"/>
      <c r="AK43" s="205"/>
      <c r="AL43" s="205"/>
      <c r="AM43" s="205"/>
      <c r="AN43" s="205"/>
      <c r="AO43" s="205"/>
      <c r="AP43" s="205"/>
      <c r="AQ43" s="205"/>
      <c r="AR43" s="205"/>
      <c r="AS43" s="205"/>
      <c r="AT43" s="206"/>
      <c r="AU43" s="207"/>
      <c r="AV43" s="208"/>
      <c r="AW43" s="205"/>
      <c r="AX43" s="203"/>
      <c r="AY43" s="206"/>
      <c r="AZ43" s="205"/>
      <c r="BA43" s="205"/>
      <c r="BB43" s="209"/>
      <c r="BC43" s="210"/>
      <c r="BD43" s="205"/>
      <c r="BE43" s="203"/>
      <c r="BF43" s="206"/>
      <c r="BG43" s="206"/>
      <c r="BH43" s="211"/>
      <c r="BI43" s="212"/>
      <c r="BJ43" s="205"/>
      <c r="BK43" s="203"/>
      <c r="BL43" s="205"/>
      <c r="BM43" s="205"/>
      <c r="BN43" s="213"/>
      <c r="BO43" s="210"/>
      <c r="BP43" s="205"/>
      <c r="BQ43" s="205"/>
      <c r="BR43" s="205"/>
      <c r="BS43" s="205"/>
      <c r="BT43" s="213"/>
      <c r="BU43" s="214"/>
      <c r="BV43" s="206"/>
      <c r="BW43" s="211"/>
      <c r="BX43" s="67"/>
      <c r="BY43" s="215"/>
      <c r="BZ43" s="216"/>
      <c r="CA43" s="216"/>
    </row>
    <row r="44" spans="1:79" s="70" customFormat="1" ht="11.4" customHeight="1" outlineLevel="1" x14ac:dyDescent="0.4">
      <c r="A44" s="54">
        <v>117</v>
      </c>
      <c r="B44" s="84" t="s">
        <v>117</v>
      </c>
      <c r="C44" s="81" t="s">
        <v>118</v>
      </c>
      <c r="D44" s="85">
        <v>1000</v>
      </c>
      <c r="E44" s="135">
        <v>25</v>
      </c>
      <c r="F44" s="135">
        <v>1</v>
      </c>
      <c r="G44" s="81" t="s">
        <v>65</v>
      </c>
      <c r="H44" s="57">
        <f t="shared" ref="H44:H49" si="28">F44*E44*D44</f>
        <v>25000</v>
      </c>
      <c r="I44" s="57">
        <v>0</v>
      </c>
      <c r="J44" s="57">
        <f t="shared" ref="J44:J49" si="29">SUM(H44:I44)</f>
        <v>25000</v>
      </c>
      <c r="K44" s="85">
        <v>1000</v>
      </c>
      <c r="L44" s="57">
        <f t="shared" ref="L44:L49" si="30">E44*$D$6</f>
        <v>25.75</v>
      </c>
      <c r="M44" s="135">
        <v>1</v>
      </c>
      <c r="N44" s="57">
        <f>K44*L44*M44</f>
        <v>25750</v>
      </c>
      <c r="O44" s="57">
        <v>0</v>
      </c>
      <c r="P44" s="57">
        <f t="shared" ref="P44:P49" si="31">SUM(N44:O44)</f>
        <v>25750</v>
      </c>
      <c r="Q44" s="85">
        <v>1000</v>
      </c>
      <c r="R44" s="57">
        <f t="shared" ref="R44:R49" si="32">E44*$D$6*$D$6</f>
        <v>26.522500000000001</v>
      </c>
      <c r="S44" s="135">
        <v>1</v>
      </c>
      <c r="T44" s="57">
        <f t="shared" ref="T44:T49" si="33">S44*R44*Q44</f>
        <v>26522.5</v>
      </c>
      <c r="U44" s="57">
        <v>0</v>
      </c>
      <c r="V44" s="57">
        <f t="shared" ref="V44:V49" si="34">SUM(T44:U44)</f>
        <v>26522.5</v>
      </c>
      <c r="W44" s="85">
        <v>1000</v>
      </c>
      <c r="X44" s="57">
        <f t="shared" ref="X44:X49" si="35">E44*$D$6*$D$6*$D$6</f>
        <v>27.318175</v>
      </c>
      <c r="Y44" s="135">
        <v>1</v>
      </c>
      <c r="Z44" s="57">
        <f t="shared" ref="Z44:Z49" si="36">Y44*X44*W44</f>
        <v>27318.174999999999</v>
      </c>
      <c r="AA44" s="57">
        <v>0</v>
      </c>
      <c r="AB44" s="57">
        <f t="shared" ref="AB44:AB49" si="37">SUM(Z44:AA44)</f>
        <v>27318.174999999999</v>
      </c>
      <c r="AC44" s="85">
        <v>0</v>
      </c>
      <c r="AD44" s="57">
        <f t="shared" ref="AD44:AD49" si="38">E44*$D$6*$D$6*$D$6*$D$6</f>
        <v>28.137720250000001</v>
      </c>
      <c r="AE44" s="135">
        <v>0</v>
      </c>
      <c r="AF44" s="57">
        <f t="shared" ref="AF44:AF49" si="39">AE44*AD44*AC44</f>
        <v>0</v>
      </c>
      <c r="AG44" s="57">
        <v>0</v>
      </c>
      <c r="AH44" s="57">
        <f t="shared" ref="AH44:AH49" si="40">SUM(AF44:AG44)</f>
        <v>0</v>
      </c>
      <c r="AI44" s="57">
        <f t="shared" ref="AI44:AJ49" si="41">H44+N44+T44+Z44+AF44</f>
        <v>104590.675</v>
      </c>
      <c r="AJ44" s="57">
        <f t="shared" si="41"/>
        <v>0</v>
      </c>
      <c r="AK44" s="57">
        <f t="shared" ref="AK44:AK49" si="42">SUM(AI44:AJ44)</f>
        <v>104590.675</v>
      </c>
      <c r="AL44" s="61">
        <v>0</v>
      </c>
      <c r="AM44" s="57">
        <v>0</v>
      </c>
      <c r="AN44" s="61">
        <f>2791.01+8908.49+10106.98+2062.08+5160.98+2246.94+15444.39-124.14+136.83</f>
        <v>46733.56</v>
      </c>
      <c r="AO44" s="57">
        <v>0</v>
      </c>
      <c r="AP44" s="57">
        <f t="shared" ref="AP44:AQ50" si="43">AL44+AN44</f>
        <v>46733.56</v>
      </c>
      <c r="AQ44" s="57">
        <f t="shared" si="43"/>
        <v>0</v>
      </c>
      <c r="AR44" s="57">
        <f t="shared" ref="AR44:AR50" si="44">AP44+AQ44</f>
        <v>46733.56</v>
      </c>
      <c r="AS44" s="57">
        <f t="shared" ref="AS44:AS50" si="45">AK44-AR44</f>
        <v>57857.115000000005</v>
      </c>
      <c r="AT44" s="61">
        <f t="shared" ref="AT44:AT49" si="46">AK44-AL44-AM44-AN44-AO44</f>
        <v>57857.115000000005</v>
      </c>
      <c r="AU44" s="59">
        <f t="shared" ref="AU44:AU50" si="47">AS44-AT44</f>
        <v>0</v>
      </c>
      <c r="AV44" s="80"/>
      <c r="AW44" s="61">
        <v>0</v>
      </c>
      <c r="AX44" s="135"/>
      <c r="AY44" s="61">
        <f>AW44*AV44</f>
        <v>0</v>
      </c>
      <c r="AZ44" s="61">
        <v>0</v>
      </c>
      <c r="BA44" s="61">
        <f t="shared" ref="BA44:BA50" si="48">SUM(AY44:AZ44)</f>
        <v>0</v>
      </c>
      <c r="BB44" s="62" t="s">
        <v>119</v>
      </c>
      <c r="BC44" s="80"/>
      <c r="BD44" s="61">
        <v>0</v>
      </c>
      <c r="BE44" s="73"/>
      <c r="BF44" s="61">
        <f>BD44*BC44</f>
        <v>0</v>
      </c>
      <c r="BG44" s="61">
        <v>0</v>
      </c>
      <c r="BH44" s="63">
        <f t="shared" ref="BH44:BH50" si="49">SUM(BF44:BG44)</f>
        <v>0</v>
      </c>
      <c r="BI44" s="198"/>
      <c r="BJ44" s="61">
        <v>0</v>
      </c>
      <c r="BK44" s="73"/>
      <c r="BL44" s="61">
        <f t="shared" ref="BL44:BL50" si="50">BJ44</f>
        <v>0</v>
      </c>
      <c r="BM44" s="61">
        <v>0</v>
      </c>
      <c r="BN44" s="63">
        <f t="shared" ref="BN44:BN50" si="51">BM44+BL44</f>
        <v>0</v>
      </c>
      <c r="BO44" s="80"/>
      <c r="BP44" s="61">
        <v>0</v>
      </c>
      <c r="BQ44" s="73"/>
      <c r="BR44" s="61">
        <f t="shared" ref="BR44:BR50" si="52">BP44</f>
        <v>0</v>
      </c>
      <c r="BS44" s="61">
        <v>0</v>
      </c>
      <c r="BT44" s="63">
        <f t="shared" ref="BT44:BT50" si="53">BS44+BR44</f>
        <v>0</v>
      </c>
      <c r="BU44" s="66">
        <f t="shared" ref="BU44:BU50" si="54">BL44+BF44+AY44+BR44</f>
        <v>0</v>
      </c>
      <c r="BV44" s="61">
        <f>BM44+BG44+AZ44</f>
        <v>0</v>
      </c>
      <c r="BW44" s="63"/>
      <c r="BX44" s="67"/>
      <c r="BY44" s="68">
        <v>89091.011856364334</v>
      </c>
      <c r="BZ44" s="69">
        <v>0</v>
      </c>
      <c r="CA44" s="69">
        <v>89091.011856364334</v>
      </c>
    </row>
    <row r="45" spans="1:79" s="70" customFormat="1" ht="11.5" customHeight="1" outlineLevel="1" x14ac:dyDescent="0.4">
      <c r="A45" s="38">
        <v>118</v>
      </c>
      <c r="B45" s="170" t="s">
        <v>120</v>
      </c>
      <c r="C45" s="171" t="s">
        <v>121</v>
      </c>
      <c r="D45" s="85">
        <v>3</v>
      </c>
      <c r="E45" s="135">
        <v>8000</v>
      </c>
      <c r="F45" s="135">
        <v>1</v>
      </c>
      <c r="G45" s="81" t="s">
        <v>65</v>
      </c>
      <c r="H45" s="57">
        <f t="shared" si="28"/>
        <v>24000</v>
      </c>
      <c r="I45" s="57">
        <v>0</v>
      </c>
      <c r="J45" s="57">
        <f t="shared" si="29"/>
        <v>24000</v>
      </c>
      <c r="K45" s="85">
        <v>2</v>
      </c>
      <c r="L45" s="57">
        <f t="shared" si="30"/>
        <v>8240</v>
      </c>
      <c r="M45" s="135">
        <v>1</v>
      </c>
      <c r="N45" s="57">
        <f>K45*L45*M45</f>
        <v>16480</v>
      </c>
      <c r="O45" s="57">
        <v>0</v>
      </c>
      <c r="P45" s="57">
        <f t="shared" si="31"/>
        <v>16480</v>
      </c>
      <c r="Q45" s="85">
        <v>0</v>
      </c>
      <c r="R45" s="57">
        <f t="shared" si="32"/>
        <v>8487.2000000000007</v>
      </c>
      <c r="S45" s="135">
        <v>0</v>
      </c>
      <c r="T45" s="57">
        <f t="shared" si="33"/>
        <v>0</v>
      </c>
      <c r="U45" s="57">
        <v>0</v>
      </c>
      <c r="V45" s="57">
        <f t="shared" si="34"/>
        <v>0</v>
      </c>
      <c r="W45" s="85">
        <v>0</v>
      </c>
      <c r="X45" s="57">
        <f t="shared" si="35"/>
        <v>8741.8160000000007</v>
      </c>
      <c r="Y45" s="135">
        <v>0</v>
      </c>
      <c r="Z45" s="57">
        <f t="shared" si="36"/>
        <v>0</v>
      </c>
      <c r="AA45" s="57">
        <v>0</v>
      </c>
      <c r="AB45" s="57">
        <f t="shared" si="37"/>
        <v>0</v>
      </c>
      <c r="AC45" s="85">
        <v>0</v>
      </c>
      <c r="AD45" s="57">
        <f t="shared" si="38"/>
        <v>9004.0704800000003</v>
      </c>
      <c r="AE45" s="135">
        <v>0</v>
      </c>
      <c r="AF45" s="57">
        <f t="shared" si="39"/>
        <v>0</v>
      </c>
      <c r="AG45" s="57">
        <v>0</v>
      </c>
      <c r="AH45" s="57">
        <f t="shared" si="40"/>
        <v>0</v>
      </c>
      <c r="AI45" s="57">
        <f t="shared" si="41"/>
        <v>40480</v>
      </c>
      <c r="AJ45" s="57">
        <f t="shared" si="41"/>
        <v>0</v>
      </c>
      <c r="AK45" s="57">
        <f t="shared" si="42"/>
        <v>40480</v>
      </c>
      <c r="AL45" s="61">
        <f>8938.73</f>
        <v>8938.73</v>
      </c>
      <c r="AM45" s="57">
        <v>0</v>
      </c>
      <c r="AN45" s="61">
        <f>145.12</f>
        <v>145.12</v>
      </c>
      <c r="AO45" s="57">
        <v>0</v>
      </c>
      <c r="AP45" s="57">
        <f t="shared" si="43"/>
        <v>9083.85</v>
      </c>
      <c r="AQ45" s="57">
        <f t="shared" si="43"/>
        <v>0</v>
      </c>
      <c r="AR45" s="57">
        <f t="shared" si="44"/>
        <v>9083.85</v>
      </c>
      <c r="AS45" s="57">
        <f t="shared" si="45"/>
        <v>31396.15</v>
      </c>
      <c r="AT45" s="61">
        <f t="shared" si="46"/>
        <v>31396.15</v>
      </c>
      <c r="AU45" s="59">
        <f t="shared" si="47"/>
        <v>0</v>
      </c>
      <c r="AV45" s="80"/>
      <c r="AW45" s="61">
        <v>0</v>
      </c>
      <c r="AX45" s="135"/>
      <c r="AY45" s="61">
        <f>AW45*AV45</f>
        <v>0</v>
      </c>
      <c r="AZ45" s="61">
        <v>0</v>
      </c>
      <c r="BA45" s="61">
        <f t="shared" si="48"/>
        <v>0</v>
      </c>
      <c r="BB45" s="62" t="s">
        <v>122</v>
      </c>
      <c r="BC45" s="80"/>
      <c r="BD45" s="61">
        <v>0</v>
      </c>
      <c r="BE45" s="135"/>
      <c r="BF45" s="61">
        <f>BD45*BC45</f>
        <v>0</v>
      </c>
      <c r="BG45" s="61">
        <v>0</v>
      </c>
      <c r="BH45" s="63">
        <f t="shared" si="49"/>
        <v>0</v>
      </c>
      <c r="BI45" s="198"/>
      <c r="BJ45" s="61">
        <v>0</v>
      </c>
      <c r="BK45" s="135">
        <v>0</v>
      </c>
      <c r="BL45" s="61">
        <f t="shared" si="50"/>
        <v>0</v>
      </c>
      <c r="BM45" s="61">
        <v>0</v>
      </c>
      <c r="BN45" s="63">
        <f t="shared" si="51"/>
        <v>0</v>
      </c>
      <c r="BO45" s="80"/>
      <c r="BP45" s="61">
        <v>0</v>
      </c>
      <c r="BQ45" s="135">
        <v>0</v>
      </c>
      <c r="BR45" s="61">
        <f t="shared" si="52"/>
        <v>0</v>
      </c>
      <c r="BS45" s="61">
        <v>0</v>
      </c>
      <c r="BT45" s="63">
        <f t="shared" si="53"/>
        <v>0</v>
      </c>
      <c r="BU45" s="66">
        <f t="shared" si="54"/>
        <v>0</v>
      </c>
      <c r="BV45" s="61">
        <f>BM45+BG45+AZ45</f>
        <v>0</v>
      </c>
      <c r="BW45" s="63">
        <f>BN45+BH45+BA45</f>
        <v>0</v>
      </c>
      <c r="BX45" s="67"/>
      <c r="BY45" s="68">
        <v>11057.492010943844</v>
      </c>
      <c r="BZ45" s="69">
        <v>0</v>
      </c>
      <c r="CA45" s="69">
        <v>11057.492010943844</v>
      </c>
    </row>
    <row r="46" spans="1:79" s="70" customFormat="1" ht="11.5" customHeight="1" outlineLevel="1" x14ac:dyDescent="0.4">
      <c r="A46" s="38">
        <v>120</v>
      </c>
      <c r="B46" s="84" t="s">
        <v>123</v>
      </c>
      <c r="C46" s="81" t="s">
        <v>124</v>
      </c>
      <c r="D46" s="85">
        <v>1</v>
      </c>
      <c r="E46" s="135">
        <v>12000</v>
      </c>
      <c r="F46" s="135">
        <v>1</v>
      </c>
      <c r="G46" s="81" t="s">
        <v>65</v>
      </c>
      <c r="H46" s="57">
        <f t="shared" si="28"/>
        <v>12000</v>
      </c>
      <c r="I46" s="57">
        <v>0</v>
      </c>
      <c r="J46" s="57">
        <f t="shared" si="29"/>
        <v>12000</v>
      </c>
      <c r="K46" s="85">
        <v>1</v>
      </c>
      <c r="L46" s="57">
        <f t="shared" si="30"/>
        <v>12360</v>
      </c>
      <c r="M46" s="135">
        <v>1</v>
      </c>
      <c r="N46" s="57">
        <f t="shared" ref="N46:N49" si="55">K46*L46*M46</f>
        <v>12360</v>
      </c>
      <c r="O46" s="57">
        <v>0</v>
      </c>
      <c r="P46" s="57">
        <f t="shared" si="31"/>
        <v>12360</v>
      </c>
      <c r="Q46" s="85">
        <v>1</v>
      </c>
      <c r="R46" s="57">
        <f t="shared" si="32"/>
        <v>12730.800000000001</v>
      </c>
      <c r="S46" s="135">
        <v>1</v>
      </c>
      <c r="T46" s="57">
        <f t="shared" si="33"/>
        <v>12730.800000000001</v>
      </c>
      <c r="U46" s="57">
        <v>0</v>
      </c>
      <c r="V46" s="57">
        <f t="shared" si="34"/>
        <v>12730.800000000001</v>
      </c>
      <c r="W46" s="85">
        <v>1</v>
      </c>
      <c r="X46" s="57">
        <f t="shared" si="35"/>
        <v>13112.724000000002</v>
      </c>
      <c r="Y46" s="135">
        <v>1</v>
      </c>
      <c r="Z46" s="57">
        <f t="shared" si="36"/>
        <v>13112.724000000002</v>
      </c>
      <c r="AA46" s="57">
        <v>0</v>
      </c>
      <c r="AB46" s="57">
        <f t="shared" si="37"/>
        <v>13112.724000000002</v>
      </c>
      <c r="AC46" s="85">
        <v>0</v>
      </c>
      <c r="AD46" s="57">
        <f t="shared" si="38"/>
        <v>13506.105720000003</v>
      </c>
      <c r="AE46" s="135">
        <v>0</v>
      </c>
      <c r="AF46" s="57">
        <f t="shared" si="39"/>
        <v>0</v>
      </c>
      <c r="AG46" s="57">
        <v>0</v>
      </c>
      <c r="AH46" s="57">
        <f t="shared" si="40"/>
        <v>0</v>
      </c>
      <c r="AI46" s="57">
        <f t="shared" si="41"/>
        <v>50203.524000000005</v>
      </c>
      <c r="AJ46" s="57">
        <f t="shared" si="41"/>
        <v>0</v>
      </c>
      <c r="AK46" s="57">
        <f t="shared" si="42"/>
        <v>50203.524000000005</v>
      </c>
      <c r="AL46" s="61">
        <f>1453.74+7050.87+2212.39+398.89</f>
        <v>11115.89</v>
      </c>
      <c r="AM46" s="57">
        <v>0</v>
      </c>
      <c r="AN46" s="61">
        <f>3158.55+10662.34+3044.12+26239.82+1389.88+6552.71+173.6</f>
        <v>51221.02</v>
      </c>
      <c r="AO46" s="57">
        <v>0</v>
      </c>
      <c r="AP46" s="57">
        <f t="shared" si="43"/>
        <v>62336.909999999996</v>
      </c>
      <c r="AQ46" s="57">
        <f t="shared" si="43"/>
        <v>0</v>
      </c>
      <c r="AR46" s="57">
        <f t="shared" si="44"/>
        <v>62336.909999999996</v>
      </c>
      <c r="AS46" s="57">
        <f t="shared" si="45"/>
        <v>-12133.385999999991</v>
      </c>
      <c r="AT46" s="61">
        <f t="shared" si="46"/>
        <v>-12133.385999999991</v>
      </c>
      <c r="AU46" s="59">
        <f t="shared" si="47"/>
        <v>0</v>
      </c>
      <c r="AV46" s="80"/>
      <c r="AW46" s="61">
        <v>0</v>
      </c>
      <c r="AX46" s="135"/>
      <c r="AY46" s="61">
        <f>AW46*AX46*AV46</f>
        <v>0</v>
      </c>
      <c r="AZ46" s="61">
        <v>0</v>
      </c>
      <c r="BA46" s="61">
        <f t="shared" si="48"/>
        <v>0</v>
      </c>
      <c r="BB46" s="62" t="s">
        <v>125</v>
      </c>
      <c r="BC46" s="80"/>
      <c r="BD46" s="61">
        <v>0</v>
      </c>
      <c r="BE46" s="135"/>
      <c r="BF46" s="61">
        <f>BD46*BC46*BE46</f>
        <v>0</v>
      </c>
      <c r="BG46" s="61">
        <v>0</v>
      </c>
      <c r="BH46" s="63">
        <f t="shared" si="49"/>
        <v>0</v>
      </c>
      <c r="BI46" s="198"/>
      <c r="BJ46" s="61">
        <v>0</v>
      </c>
      <c r="BK46" s="135">
        <v>0</v>
      </c>
      <c r="BL46" s="61">
        <f t="shared" si="50"/>
        <v>0</v>
      </c>
      <c r="BM46" s="61">
        <v>0</v>
      </c>
      <c r="BN46" s="63">
        <f t="shared" si="51"/>
        <v>0</v>
      </c>
      <c r="BO46" s="80"/>
      <c r="BP46" s="61">
        <v>0</v>
      </c>
      <c r="BQ46" s="135">
        <v>0</v>
      </c>
      <c r="BR46" s="61">
        <f t="shared" si="52"/>
        <v>0</v>
      </c>
      <c r="BS46" s="61">
        <v>0</v>
      </c>
      <c r="BT46" s="63">
        <f t="shared" si="53"/>
        <v>0</v>
      </c>
      <c r="BU46" s="66">
        <f t="shared" si="54"/>
        <v>0</v>
      </c>
      <c r="BV46" s="61">
        <f>BM46+BG46+AZ46</f>
        <v>0</v>
      </c>
      <c r="BW46" s="63">
        <f>BN46+BH46+BA46</f>
        <v>0</v>
      </c>
      <c r="BX46" s="67"/>
      <c r="BY46" s="68">
        <v>62336.909999999996</v>
      </c>
      <c r="BZ46" s="69">
        <v>0</v>
      </c>
      <c r="CA46" s="69">
        <v>62336.909999999996</v>
      </c>
    </row>
    <row r="47" spans="1:79" s="70" customFormat="1" ht="11.5" customHeight="1" outlineLevel="1" x14ac:dyDescent="0.4">
      <c r="A47" s="54">
        <v>121</v>
      </c>
      <c r="B47" s="84" t="s">
        <v>126</v>
      </c>
      <c r="C47" s="81" t="s">
        <v>127</v>
      </c>
      <c r="D47" s="85">
        <v>30</v>
      </c>
      <c r="E47" s="135">
        <v>42</v>
      </c>
      <c r="F47" s="135">
        <v>1</v>
      </c>
      <c r="G47" s="81" t="s">
        <v>65</v>
      </c>
      <c r="H47" s="57">
        <f t="shared" si="28"/>
        <v>1260</v>
      </c>
      <c r="I47" s="57">
        <v>0</v>
      </c>
      <c r="J47" s="57">
        <f t="shared" si="29"/>
        <v>1260</v>
      </c>
      <c r="K47" s="85">
        <v>30</v>
      </c>
      <c r="L47" s="57">
        <f t="shared" si="30"/>
        <v>43.26</v>
      </c>
      <c r="M47" s="135">
        <v>1</v>
      </c>
      <c r="N47" s="57">
        <f t="shared" si="55"/>
        <v>1297.8</v>
      </c>
      <c r="O47" s="57">
        <v>0</v>
      </c>
      <c r="P47" s="57">
        <f t="shared" si="31"/>
        <v>1297.8</v>
      </c>
      <c r="Q47" s="85">
        <v>30</v>
      </c>
      <c r="R47" s="57">
        <f t="shared" si="32"/>
        <v>44.5578</v>
      </c>
      <c r="S47" s="135">
        <v>1</v>
      </c>
      <c r="T47" s="57">
        <f t="shared" si="33"/>
        <v>1336.7339999999999</v>
      </c>
      <c r="U47" s="57">
        <v>0</v>
      </c>
      <c r="V47" s="57">
        <f t="shared" si="34"/>
        <v>1336.7339999999999</v>
      </c>
      <c r="W47" s="85">
        <v>30</v>
      </c>
      <c r="X47" s="57">
        <f t="shared" si="35"/>
        <v>45.894534</v>
      </c>
      <c r="Y47" s="135">
        <v>1</v>
      </c>
      <c r="Z47" s="57">
        <f t="shared" si="36"/>
        <v>1376.83602</v>
      </c>
      <c r="AA47" s="57">
        <v>0</v>
      </c>
      <c r="AB47" s="57">
        <f t="shared" si="37"/>
        <v>1376.83602</v>
      </c>
      <c r="AC47" s="85">
        <v>0</v>
      </c>
      <c r="AD47" s="57">
        <f t="shared" si="38"/>
        <v>47.271370019999999</v>
      </c>
      <c r="AE47" s="135">
        <v>0</v>
      </c>
      <c r="AF47" s="57">
        <f t="shared" si="39"/>
        <v>0</v>
      </c>
      <c r="AG47" s="57">
        <v>0</v>
      </c>
      <c r="AH47" s="57">
        <f t="shared" si="40"/>
        <v>0</v>
      </c>
      <c r="AI47" s="57">
        <f t="shared" si="41"/>
        <v>5271.3700200000003</v>
      </c>
      <c r="AJ47" s="57">
        <f t="shared" si="41"/>
        <v>0</v>
      </c>
      <c r="AK47" s="57">
        <f t="shared" si="42"/>
        <v>5271.3700200000003</v>
      </c>
      <c r="AL47" s="61">
        <v>0</v>
      </c>
      <c r="AM47" s="57">
        <v>0</v>
      </c>
      <c r="AN47" s="61">
        <f>27651.1+50.85+5382.39+9145.94+4139.54+5569.21+1264.44+2797.07</f>
        <v>56000.54</v>
      </c>
      <c r="AO47" s="57">
        <v>0</v>
      </c>
      <c r="AP47" s="57">
        <f t="shared" si="43"/>
        <v>56000.54</v>
      </c>
      <c r="AQ47" s="57">
        <f t="shared" si="43"/>
        <v>0</v>
      </c>
      <c r="AR47" s="57">
        <f t="shared" si="44"/>
        <v>56000.54</v>
      </c>
      <c r="AS47" s="57">
        <f t="shared" si="45"/>
        <v>-50729.169979999999</v>
      </c>
      <c r="AT47" s="61">
        <f t="shared" si="46"/>
        <v>-50729.169979999999</v>
      </c>
      <c r="AU47" s="59">
        <f t="shared" si="47"/>
        <v>0</v>
      </c>
      <c r="AV47" s="141">
        <v>1</v>
      </c>
      <c r="AW47" s="61">
        <v>23.08</v>
      </c>
      <c r="AX47" s="81"/>
      <c r="AY47" s="61">
        <f>AW47</f>
        <v>23.08</v>
      </c>
      <c r="AZ47" s="61">
        <v>0</v>
      </c>
      <c r="BA47" s="61">
        <f t="shared" si="48"/>
        <v>23.08</v>
      </c>
      <c r="BB47" s="129" t="s">
        <v>128</v>
      </c>
      <c r="BC47" s="217"/>
      <c r="BD47" s="61">
        <v>0</v>
      </c>
      <c r="BE47" s="81"/>
      <c r="BF47" s="61">
        <f>SUM(BF45:BF46)</f>
        <v>0</v>
      </c>
      <c r="BG47" s="61">
        <v>0</v>
      </c>
      <c r="BH47" s="63">
        <f t="shared" si="49"/>
        <v>0</v>
      </c>
      <c r="BI47" s="218"/>
      <c r="BJ47" s="61">
        <v>0</v>
      </c>
      <c r="BK47" s="81"/>
      <c r="BL47" s="61">
        <f t="shared" si="50"/>
        <v>0</v>
      </c>
      <c r="BM47" s="61">
        <v>0</v>
      </c>
      <c r="BN47" s="63">
        <f t="shared" si="51"/>
        <v>0</v>
      </c>
      <c r="BO47" s="217"/>
      <c r="BP47" s="61">
        <v>0</v>
      </c>
      <c r="BQ47" s="81"/>
      <c r="BR47" s="61">
        <f t="shared" si="52"/>
        <v>0</v>
      </c>
      <c r="BS47" s="61">
        <v>0</v>
      </c>
      <c r="BT47" s="63">
        <f t="shared" si="53"/>
        <v>0</v>
      </c>
      <c r="BU47" s="66">
        <f t="shared" si="54"/>
        <v>23.08</v>
      </c>
      <c r="BV47" s="61">
        <f>SUM(BV44:BV46)</f>
        <v>0</v>
      </c>
      <c r="BW47" s="63">
        <f>BU47+BV47</f>
        <v>23.08</v>
      </c>
      <c r="BX47" s="67"/>
      <c r="BY47" s="68">
        <v>93465.351028477366</v>
      </c>
      <c r="BZ47" s="69">
        <v>0</v>
      </c>
      <c r="CA47" s="69">
        <v>93465.351028477366</v>
      </c>
    </row>
    <row r="48" spans="1:79" s="70" customFormat="1" ht="11.5" customHeight="1" outlineLevel="1" x14ac:dyDescent="0.4">
      <c r="A48" s="54">
        <v>123</v>
      </c>
      <c r="B48" s="84" t="s">
        <v>129</v>
      </c>
      <c r="C48" s="81" t="s">
        <v>130</v>
      </c>
      <c r="D48" s="85">
        <v>1</v>
      </c>
      <c r="E48" s="135">
        <v>5000</v>
      </c>
      <c r="F48" s="135">
        <v>1</v>
      </c>
      <c r="G48" s="81" t="s">
        <v>65</v>
      </c>
      <c r="H48" s="57">
        <f t="shared" si="28"/>
        <v>5000</v>
      </c>
      <c r="I48" s="57">
        <v>0</v>
      </c>
      <c r="J48" s="57">
        <f t="shared" si="29"/>
        <v>5000</v>
      </c>
      <c r="K48" s="85">
        <v>0</v>
      </c>
      <c r="L48" s="57">
        <f t="shared" si="30"/>
        <v>5150</v>
      </c>
      <c r="M48" s="135">
        <v>0</v>
      </c>
      <c r="N48" s="57">
        <f t="shared" si="55"/>
        <v>0</v>
      </c>
      <c r="O48" s="57">
        <v>0</v>
      </c>
      <c r="P48" s="57">
        <f t="shared" si="31"/>
        <v>0</v>
      </c>
      <c r="Q48" s="85">
        <v>0</v>
      </c>
      <c r="R48" s="57">
        <f t="shared" si="32"/>
        <v>5304.5</v>
      </c>
      <c r="S48" s="135">
        <v>0</v>
      </c>
      <c r="T48" s="57">
        <f t="shared" si="33"/>
        <v>0</v>
      </c>
      <c r="U48" s="57">
        <v>0</v>
      </c>
      <c r="V48" s="57">
        <f t="shared" si="34"/>
        <v>0</v>
      </c>
      <c r="W48" s="85">
        <v>0</v>
      </c>
      <c r="X48" s="57">
        <f t="shared" si="35"/>
        <v>5463.6350000000002</v>
      </c>
      <c r="Y48" s="135">
        <v>0</v>
      </c>
      <c r="Z48" s="57">
        <f t="shared" si="36"/>
        <v>0</v>
      </c>
      <c r="AA48" s="57">
        <v>0</v>
      </c>
      <c r="AB48" s="57">
        <f t="shared" si="37"/>
        <v>0</v>
      </c>
      <c r="AC48" s="85">
        <v>0</v>
      </c>
      <c r="AD48" s="57">
        <f t="shared" si="38"/>
        <v>5627.5440500000004</v>
      </c>
      <c r="AE48" s="135">
        <v>0</v>
      </c>
      <c r="AF48" s="57">
        <f t="shared" si="39"/>
        <v>0</v>
      </c>
      <c r="AG48" s="57">
        <v>0</v>
      </c>
      <c r="AH48" s="57">
        <f t="shared" si="40"/>
        <v>0</v>
      </c>
      <c r="AI48" s="57">
        <f t="shared" si="41"/>
        <v>5000</v>
      </c>
      <c r="AJ48" s="57">
        <f t="shared" si="41"/>
        <v>0</v>
      </c>
      <c r="AK48" s="57">
        <f t="shared" si="42"/>
        <v>5000</v>
      </c>
      <c r="AL48" s="61">
        <v>0</v>
      </c>
      <c r="AM48" s="57">
        <v>0</v>
      </c>
      <c r="AN48" s="61">
        <f>4000.83</f>
        <v>4000.83</v>
      </c>
      <c r="AO48" s="57">
        <v>0</v>
      </c>
      <c r="AP48" s="57">
        <f t="shared" si="43"/>
        <v>4000.83</v>
      </c>
      <c r="AQ48" s="57">
        <f t="shared" si="43"/>
        <v>0</v>
      </c>
      <c r="AR48" s="57">
        <f t="shared" si="44"/>
        <v>4000.83</v>
      </c>
      <c r="AS48" s="57">
        <f t="shared" si="45"/>
        <v>999.17000000000007</v>
      </c>
      <c r="AT48" s="61">
        <f t="shared" si="46"/>
        <v>999.17000000000007</v>
      </c>
      <c r="AU48" s="59">
        <f t="shared" si="47"/>
        <v>0</v>
      </c>
      <c r="AV48" s="141">
        <v>1</v>
      </c>
      <c r="AW48" s="61">
        <v>8213.5</v>
      </c>
      <c r="AX48" s="73"/>
      <c r="AY48" s="61">
        <f>AW48*AV48</f>
        <v>8213.5</v>
      </c>
      <c r="AZ48" s="61">
        <v>0</v>
      </c>
      <c r="BA48" s="61">
        <f t="shared" si="48"/>
        <v>8213.5</v>
      </c>
      <c r="BB48" s="129" t="s">
        <v>131</v>
      </c>
      <c r="BC48" s="138"/>
      <c r="BD48" s="61">
        <v>3300</v>
      </c>
      <c r="BE48" s="73"/>
      <c r="BF48" s="61">
        <f>BD48</f>
        <v>3300</v>
      </c>
      <c r="BG48" s="61">
        <v>0</v>
      </c>
      <c r="BH48" s="63">
        <f t="shared" si="49"/>
        <v>3300</v>
      </c>
      <c r="BI48" s="139"/>
      <c r="BJ48" s="61">
        <v>4300</v>
      </c>
      <c r="BK48" s="73"/>
      <c r="BL48" s="61">
        <f t="shared" si="50"/>
        <v>4300</v>
      </c>
      <c r="BM48" s="61">
        <v>0</v>
      </c>
      <c r="BN48" s="63">
        <f t="shared" si="51"/>
        <v>4300</v>
      </c>
      <c r="BO48" s="138"/>
      <c r="BP48" s="61">
        <v>0</v>
      </c>
      <c r="BQ48" s="73"/>
      <c r="BR48" s="61">
        <f t="shared" si="52"/>
        <v>0</v>
      </c>
      <c r="BS48" s="61">
        <v>0</v>
      </c>
      <c r="BT48" s="63">
        <f t="shared" si="53"/>
        <v>0</v>
      </c>
      <c r="BU48" s="66">
        <f t="shared" si="54"/>
        <v>15813.5</v>
      </c>
      <c r="BV48" s="61">
        <f>BM48+BG48+AZ48</f>
        <v>0</v>
      </c>
      <c r="BW48" s="63">
        <f t="shared" ref="BW48:BW50" si="56">BU48+BV48</f>
        <v>15813.5</v>
      </c>
      <c r="BX48" s="75"/>
      <c r="BY48" s="161">
        <v>13633.237252882787</v>
      </c>
      <c r="BZ48" s="69">
        <v>0</v>
      </c>
      <c r="CA48" s="69">
        <v>13633.237252882787</v>
      </c>
    </row>
    <row r="49" spans="1:79" s="70" customFormat="1" ht="11.5" customHeight="1" outlineLevel="1" x14ac:dyDescent="0.4">
      <c r="A49" s="54">
        <v>125</v>
      </c>
      <c r="B49" s="84" t="s">
        <v>132</v>
      </c>
      <c r="C49" s="81" t="s">
        <v>133</v>
      </c>
      <c r="D49" s="85">
        <v>2</v>
      </c>
      <c r="E49" s="135">
        <v>4000</v>
      </c>
      <c r="F49" s="135">
        <v>1</v>
      </c>
      <c r="G49" s="81" t="s">
        <v>65</v>
      </c>
      <c r="H49" s="57">
        <f t="shared" si="28"/>
        <v>8000</v>
      </c>
      <c r="I49" s="57">
        <v>0</v>
      </c>
      <c r="J49" s="57">
        <f t="shared" si="29"/>
        <v>8000</v>
      </c>
      <c r="K49" s="85">
        <v>1</v>
      </c>
      <c r="L49" s="57">
        <f t="shared" si="30"/>
        <v>4120</v>
      </c>
      <c r="M49" s="135">
        <v>1</v>
      </c>
      <c r="N49" s="57">
        <f t="shared" si="55"/>
        <v>4120</v>
      </c>
      <c r="O49" s="57">
        <v>0</v>
      </c>
      <c r="P49" s="57">
        <f t="shared" si="31"/>
        <v>4120</v>
      </c>
      <c r="Q49" s="85">
        <v>0</v>
      </c>
      <c r="R49" s="57">
        <f t="shared" si="32"/>
        <v>4243.6000000000004</v>
      </c>
      <c r="S49" s="135"/>
      <c r="T49" s="57">
        <f t="shared" si="33"/>
        <v>0</v>
      </c>
      <c r="U49" s="57">
        <v>0</v>
      </c>
      <c r="V49" s="57">
        <f t="shared" si="34"/>
        <v>0</v>
      </c>
      <c r="W49" s="85">
        <v>0</v>
      </c>
      <c r="X49" s="57">
        <f t="shared" si="35"/>
        <v>4370.9080000000004</v>
      </c>
      <c r="Y49" s="135">
        <v>0</v>
      </c>
      <c r="Z49" s="57">
        <f t="shared" si="36"/>
        <v>0</v>
      </c>
      <c r="AA49" s="57">
        <v>0</v>
      </c>
      <c r="AB49" s="57">
        <f t="shared" si="37"/>
        <v>0</v>
      </c>
      <c r="AC49" s="85">
        <v>0</v>
      </c>
      <c r="AD49" s="57">
        <f t="shared" si="38"/>
        <v>4502.0352400000002</v>
      </c>
      <c r="AE49" s="135">
        <v>0</v>
      </c>
      <c r="AF49" s="57">
        <f t="shared" si="39"/>
        <v>0</v>
      </c>
      <c r="AG49" s="57">
        <v>0</v>
      </c>
      <c r="AH49" s="57">
        <f t="shared" si="40"/>
        <v>0</v>
      </c>
      <c r="AI49" s="57">
        <f t="shared" si="41"/>
        <v>12120</v>
      </c>
      <c r="AJ49" s="57">
        <f t="shared" si="41"/>
        <v>0</v>
      </c>
      <c r="AK49" s="57">
        <f t="shared" si="42"/>
        <v>12120</v>
      </c>
      <c r="AL49" s="61">
        <v>0</v>
      </c>
      <c r="AM49" s="57">
        <v>0</v>
      </c>
      <c r="AN49" s="61">
        <f>997.14</f>
        <v>997.14</v>
      </c>
      <c r="AO49" s="57">
        <v>0</v>
      </c>
      <c r="AP49" s="57">
        <f t="shared" si="43"/>
        <v>997.14</v>
      </c>
      <c r="AQ49" s="57">
        <f t="shared" si="43"/>
        <v>0</v>
      </c>
      <c r="AR49" s="57">
        <f t="shared" si="44"/>
        <v>997.14</v>
      </c>
      <c r="AS49" s="57">
        <f t="shared" si="45"/>
        <v>11122.86</v>
      </c>
      <c r="AT49" s="61">
        <f t="shared" si="46"/>
        <v>11122.86</v>
      </c>
      <c r="AU49" s="59">
        <f t="shared" si="47"/>
        <v>0</v>
      </c>
      <c r="AV49" s="141">
        <v>0</v>
      </c>
      <c r="AW49" s="61">
        <v>0</v>
      </c>
      <c r="AX49" s="73"/>
      <c r="AY49" s="61">
        <f>AW49*AV49</f>
        <v>0</v>
      </c>
      <c r="AZ49" s="61">
        <v>0</v>
      </c>
      <c r="BA49" s="61">
        <f t="shared" si="48"/>
        <v>0</v>
      </c>
      <c r="BB49" s="62" t="s">
        <v>134</v>
      </c>
      <c r="BC49" s="138"/>
      <c r="BD49" s="61">
        <v>0</v>
      </c>
      <c r="BE49" s="73"/>
      <c r="BF49" s="61">
        <v>0</v>
      </c>
      <c r="BG49" s="61">
        <v>0</v>
      </c>
      <c r="BH49" s="63">
        <f t="shared" si="49"/>
        <v>0</v>
      </c>
      <c r="BI49" s="139"/>
      <c r="BJ49" s="61">
        <v>0</v>
      </c>
      <c r="BK49" s="73"/>
      <c r="BL49" s="61">
        <f t="shared" si="50"/>
        <v>0</v>
      </c>
      <c r="BM49" s="61">
        <v>0</v>
      </c>
      <c r="BN49" s="63">
        <f t="shared" si="51"/>
        <v>0</v>
      </c>
      <c r="BO49" s="138"/>
      <c r="BP49" s="61">
        <v>2600</v>
      </c>
      <c r="BQ49" s="73"/>
      <c r="BR49" s="61">
        <f t="shared" si="52"/>
        <v>2600</v>
      </c>
      <c r="BS49" s="61">
        <v>0</v>
      </c>
      <c r="BT49" s="63">
        <f t="shared" si="53"/>
        <v>2600</v>
      </c>
      <c r="BU49" s="66">
        <f t="shared" si="54"/>
        <v>2600</v>
      </c>
      <c r="BV49" s="61">
        <f>BM49+BG49+AZ49</f>
        <v>0</v>
      </c>
      <c r="BW49" s="63">
        <f t="shared" si="56"/>
        <v>2600</v>
      </c>
      <c r="BX49" s="67"/>
      <c r="BY49" s="68">
        <v>997.14</v>
      </c>
      <c r="BZ49" s="69">
        <v>0</v>
      </c>
      <c r="CA49" s="69">
        <v>997.14</v>
      </c>
    </row>
    <row r="50" spans="1:79" s="70" customFormat="1" ht="11.5" customHeight="1" outlineLevel="1" x14ac:dyDescent="0.4">
      <c r="A50" s="54">
        <v>127</v>
      </c>
      <c r="B50" s="127" t="s">
        <v>135</v>
      </c>
      <c r="C50" s="81" t="s">
        <v>136</v>
      </c>
      <c r="D50" s="85"/>
      <c r="E50" s="135"/>
      <c r="F50" s="135"/>
      <c r="G50" s="81" t="s">
        <v>137</v>
      </c>
      <c r="H50" s="57"/>
      <c r="I50" s="57"/>
      <c r="J50" s="57"/>
      <c r="K50" s="85"/>
      <c r="L50" s="57"/>
      <c r="M50" s="135"/>
      <c r="N50" s="57"/>
      <c r="O50" s="57"/>
      <c r="P50" s="57"/>
      <c r="Q50" s="85"/>
      <c r="R50" s="57"/>
      <c r="S50" s="135"/>
      <c r="T50" s="57"/>
      <c r="U50" s="57"/>
      <c r="V50" s="57"/>
      <c r="W50" s="85"/>
      <c r="X50" s="57"/>
      <c r="Y50" s="135"/>
      <c r="Z50" s="57"/>
      <c r="AA50" s="57"/>
      <c r="AB50" s="57"/>
      <c r="AC50" s="85"/>
      <c r="AD50" s="57"/>
      <c r="AE50" s="135"/>
      <c r="AF50" s="57"/>
      <c r="AG50" s="57"/>
      <c r="AH50" s="57"/>
      <c r="AI50" s="57"/>
      <c r="AJ50" s="57"/>
      <c r="AK50" s="57"/>
      <c r="AL50" s="57">
        <v>0</v>
      </c>
      <c r="AM50" s="57">
        <v>0</v>
      </c>
      <c r="AN50" s="57">
        <v>0</v>
      </c>
      <c r="AO50" s="57">
        <v>0</v>
      </c>
      <c r="AP50" s="57">
        <f t="shared" si="43"/>
        <v>0</v>
      </c>
      <c r="AQ50" s="57">
        <f t="shared" si="43"/>
        <v>0</v>
      </c>
      <c r="AR50" s="57">
        <f t="shared" si="44"/>
        <v>0</v>
      </c>
      <c r="AS50" s="57">
        <f t="shared" si="45"/>
        <v>0</v>
      </c>
      <c r="AT50" s="61"/>
      <c r="AU50" s="59">
        <f t="shared" si="47"/>
        <v>0</v>
      </c>
      <c r="AV50" s="141">
        <v>4000</v>
      </c>
      <c r="AW50" s="61">
        <v>5.7071269999999998</v>
      </c>
      <c r="AX50" s="73"/>
      <c r="AY50" s="61">
        <f>AW50*AV50</f>
        <v>22828.507999999998</v>
      </c>
      <c r="AZ50" s="61">
        <v>0</v>
      </c>
      <c r="BA50" s="61">
        <f t="shared" si="48"/>
        <v>22828.507999999998</v>
      </c>
      <c r="BB50" s="129" t="s">
        <v>138</v>
      </c>
      <c r="BC50" s="138"/>
      <c r="BD50" s="61">
        <v>4050</v>
      </c>
      <c r="BE50" s="73"/>
      <c r="BF50" s="61">
        <f>BD50</f>
        <v>4050</v>
      </c>
      <c r="BG50" s="61">
        <v>0</v>
      </c>
      <c r="BH50" s="63">
        <f t="shared" si="49"/>
        <v>4050</v>
      </c>
      <c r="BI50" s="139"/>
      <c r="BJ50" s="61">
        <f>14375.74-4300</f>
        <v>10075.74</v>
      </c>
      <c r="BK50" s="73"/>
      <c r="BL50" s="61">
        <f t="shared" si="50"/>
        <v>10075.74</v>
      </c>
      <c r="BM50" s="61">
        <v>0</v>
      </c>
      <c r="BN50" s="63">
        <f t="shared" si="51"/>
        <v>10075.74</v>
      </c>
      <c r="BO50" s="138"/>
      <c r="BP50" s="61">
        <v>3139.5</v>
      </c>
      <c r="BQ50" s="73"/>
      <c r="BR50" s="61">
        <f t="shared" si="52"/>
        <v>3139.5</v>
      </c>
      <c r="BS50" s="61">
        <v>0</v>
      </c>
      <c r="BT50" s="63">
        <f t="shared" si="53"/>
        <v>3139.5</v>
      </c>
      <c r="BU50" s="66">
        <f t="shared" si="54"/>
        <v>40093.748</v>
      </c>
      <c r="BV50" s="61">
        <f>BM50+BG50+AZ50</f>
        <v>0</v>
      </c>
      <c r="BW50" s="63">
        <f t="shared" si="56"/>
        <v>40093.748</v>
      </c>
      <c r="BX50" s="67"/>
      <c r="BY50" s="161">
        <v>10000</v>
      </c>
      <c r="BZ50" s="69">
        <v>0</v>
      </c>
      <c r="CA50" s="69">
        <v>10000</v>
      </c>
    </row>
    <row r="51" spans="1:79" s="70" customFormat="1" ht="11.5" customHeight="1" outlineLevel="1" x14ac:dyDescent="0.4">
      <c r="A51" s="38">
        <v>128</v>
      </c>
      <c r="B51" s="200" t="s">
        <v>139</v>
      </c>
      <c r="C51" s="201"/>
      <c r="D51" s="202"/>
      <c r="E51" s="203"/>
      <c r="F51" s="203"/>
      <c r="G51" s="204"/>
      <c r="H51" s="205"/>
      <c r="I51" s="205"/>
      <c r="J51" s="205"/>
      <c r="K51" s="202"/>
      <c r="L51" s="205"/>
      <c r="M51" s="203"/>
      <c r="N51" s="205"/>
      <c r="O51" s="205"/>
      <c r="P51" s="205"/>
      <c r="Q51" s="202"/>
      <c r="R51" s="205"/>
      <c r="S51" s="203"/>
      <c r="T51" s="205"/>
      <c r="U51" s="205"/>
      <c r="V51" s="205"/>
      <c r="W51" s="202"/>
      <c r="X51" s="205"/>
      <c r="Y51" s="203"/>
      <c r="Z51" s="205"/>
      <c r="AA51" s="205"/>
      <c r="AB51" s="205"/>
      <c r="AC51" s="202"/>
      <c r="AD51" s="205"/>
      <c r="AE51" s="203"/>
      <c r="AF51" s="205"/>
      <c r="AG51" s="205"/>
      <c r="AH51" s="205"/>
      <c r="AI51" s="205"/>
      <c r="AJ51" s="205"/>
      <c r="AK51" s="205"/>
      <c r="AL51" s="205"/>
      <c r="AM51" s="205"/>
      <c r="AN51" s="205"/>
      <c r="AO51" s="205"/>
      <c r="AP51" s="205"/>
      <c r="AQ51" s="205"/>
      <c r="AR51" s="205"/>
      <c r="AS51" s="205"/>
      <c r="AT51" s="206"/>
      <c r="AU51" s="207"/>
      <c r="AV51" s="219"/>
      <c r="AW51" s="204"/>
      <c r="AX51" s="201"/>
      <c r="AY51" s="206"/>
      <c r="AZ51" s="205"/>
      <c r="BA51" s="205"/>
      <c r="BB51" s="209"/>
      <c r="BC51" s="219"/>
      <c r="BD51" s="201"/>
      <c r="BE51" s="201"/>
      <c r="BF51" s="206"/>
      <c r="BG51" s="206"/>
      <c r="BH51" s="211"/>
      <c r="BI51" s="220"/>
      <c r="BJ51" s="201"/>
      <c r="BK51" s="201"/>
      <c r="BL51" s="205"/>
      <c r="BM51" s="205"/>
      <c r="BN51" s="213"/>
      <c r="BO51" s="210"/>
      <c r="BP51" s="205"/>
      <c r="BQ51" s="205"/>
      <c r="BR51" s="205"/>
      <c r="BS51" s="205"/>
      <c r="BT51" s="213"/>
      <c r="BU51" s="214"/>
      <c r="BV51" s="206"/>
      <c r="BW51" s="211"/>
      <c r="BX51" s="67"/>
      <c r="BY51" s="215"/>
      <c r="BZ51" s="216"/>
      <c r="CA51" s="216"/>
    </row>
    <row r="52" spans="1:79" s="70" customFormat="1" ht="11.5" customHeight="1" outlineLevel="1" x14ac:dyDescent="0.4">
      <c r="A52" s="38">
        <v>130</v>
      </c>
      <c r="B52" s="127" t="s">
        <v>140</v>
      </c>
      <c r="C52" s="140" t="s">
        <v>141</v>
      </c>
      <c r="D52" s="85">
        <v>0</v>
      </c>
      <c r="E52" s="135">
        <v>400</v>
      </c>
      <c r="F52" s="135">
        <v>0</v>
      </c>
      <c r="G52" s="81" t="s">
        <v>142</v>
      </c>
      <c r="H52" s="57">
        <f>F52*E52*D52</f>
        <v>0</v>
      </c>
      <c r="I52" s="57">
        <v>0</v>
      </c>
      <c r="J52" s="57">
        <f>SUM(H52:I52)</f>
        <v>0</v>
      </c>
      <c r="K52" s="85">
        <v>10</v>
      </c>
      <c r="L52" s="57">
        <f>E52*$D$6</f>
        <v>412</v>
      </c>
      <c r="M52" s="135">
        <v>1</v>
      </c>
      <c r="N52" s="57">
        <f>K52*L52*M52</f>
        <v>4120</v>
      </c>
      <c r="O52" s="57">
        <v>0</v>
      </c>
      <c r="P52" s="57">
        <f>SUM(N52:O52)</f>
        <v>4120</v>
      </c>
      <c r="Q52" s="85">
        <v>9</v>
      </c>
      <c r="R52" s="57">
        <f>E52*$D$6*$D$6</f>
        <v>424.36</v>
      </c>
      <c r="S52" s="135">
        <v>1</v>
      </c>
      <c r="T52" s="57">
        <f>S52*R52*Q52</f>
        <v>3819.2400000000002</v>
      </c>
      <c r="U52" s="57">
        <v>0</v>
      </c>
      <c r="V52" s="57">
        <f>SUM(T52:U52)</f>
        <v>3819.2400000000002</v>
      </c>
      <c r="W52" s="85">
        <v>4</v>
      </c>
      <c r="X52" s="57">
        <f>E52*$D$6*$D$6*$D$6</f>
        <v>437.0908</v>
      </c>
      <c r="Y52" s="135">
        <v>1</v>
      </c>
      <c r="Z52" s="57">
        <f>Y52*X52*W52</f>
        <v>1748.3632</v>
      </c>
      <c r="AA52" s="57">
        <v>0</v>
      </c>
      <c r="AB52" s="57">
        <f>SUM(Z52:AA52)</f>
        <v>1748.3632</v>
      </c>
      <c r="AC52" s="85">
        <v>0</v>
      </c>
      <c r="AD52" s="57">
        <f>E52*$D$6*$D$6*$D$6*$D$6</f>
        <v>450.20352400000002</v>
      </c>
      <c r="AE52" s="135">
        <v>0</v>
      </c>
      <c r="AF52" s="57">
        <f>AE52*AD52*AC52</f>
        <v>0</v>
      </c>
      <c r="AG52" s="57">
        <v>0</v>
      </c>
      <c r="AH52" s="57">
        <f>SUM(AF52:AG52)</f>
        <v>0</v>
      </c>
      <c r="AI52" s="57">
        <f>H52+N52+T52+Z52+AF52</f>
        <v>9687.6031999999996</v>
      </c>
      <c r="AJ52" s="57">
        <f>I52+O52+U52+AA52+AG52</f>
        <v>0</v>
      </c>
      <c r="AK52" s="57">
        <f>SUM(AI52:AJ52)</f>
        <v>9687.6031999999996</v>
      </c>
      <c r="AL52" s="61">
        <f>SUM(AL49:AL51)</f>
        <v>0</v>
      </c>
      <c r="AM52" s="57">
        <v>0</v>
      </c>
      <c r="AN52" s="61">
        <v>0</v>
      </c>
      <c r="AO52" s="57">
        <v>0</v>
      </c>
      <c r="AP52" s="57">
        <f>AL52+AN52</f>
        <v>0</v>
      </c>
      <c r="AQ52" s="57">
        <f>AM52+AO52</f>
        <v>0</v>
      </c>
      <c r="AR52" s="57">
        <f>AP52+AQ52</f>
        <v>0</v>
      </c>
      <c r="AS52" s="57">
        <f>AK52-AR52</f>
        <v>9687.6031999999996</v>
      </c>
      <c r="AT52" s="61">
        <f>AK52-AL52-AM52-AN52-AO52</f>
        <v>9687.6031999999996</v>
      </c>
      <c r="AU52" s="59">
        <f>AS52-AT52</f>
        <v>0</v>
      </c>
      <c r="AV52" s="217">
        <v>0</v>
      </c>
      <c r="AW52" s="61">
        <v>0</v>
      </c>
      <c r="AX52" s="81"/>
      <c r="AY52" s="61">
        <f>AV52*AW52</f>
        <v>0</v>
      </c>
      <c r="AZ52" s="61">
        <v>0</v>
      </c>
      <c r="BA52" s="61">
        <f>SUM(AY52:AZ52)</f>
        <v>0</v>
      </c>
      <c r="BB52" s="129" t="s">
        <v>143</v>
      </c>
      <c r="BC52" s="217"/>
      <c r="BD52" s="61">
        <v>2003</v>
      </c>
      <c r="BE52" s="81"/>
      <c r="BF52" s="61">
        <f>BD52</f>
        <v>2003</v>
      </c>
      <c r="BG52" s="61">
        <v>0</v>
      </c>
      <c r="BH52" s="63">
        <f>SUM(BF52:BG52)</f>
        <v>2003</v>
      </c>
      <c r="BI52" s="218"/>
      <c r="BJ52" s="61">
        <v>6373</v>
      </c>
      <c r="BK52" s="81"/>
      <c r="BL52" s="61">
        <f>BJ52</f>
        <v>6373</v>
      </c>
      <c r="BM52" s="61">
        <v>0</v>
      </c>
      <c r="BN52" s="63">
        <f>BM52+BL52</f>
        <v>6373</v>
      </c>
      <c r="BO52" s="138"/>
      <c r="BP52" s="61">
        <v>3700</v>
      </c>
      <c r="BQ52" s="73"/>
      <c r="BR52" s="61">
        <f>BP52</f>
        <v>3700</v>
      </c>
      <c r="BS52" s="61">
        <v>0</v>
      </c>
      <c r="BT52" s="63">
        <f>BS52+BR52</f>
        <v>3700</v>
      </c>
      <c r="BU52" s="66">
        <f>BL52+BF52+AY52+BR52</f>
        <v>12076</v>
      </c>
      <c r="BV52" s="61">
        <f>BM52+BG52+AZ52</f>
        <v>0</v>
      </c>
      <c r="BW52" s="63">
        <f>BN52+BH52+BA52</f>
        <v>8376</v>
      </c>
      <c r="BX52" s="67"/>
      <c r="BY52" s="68">
        <v>440</v>
      </c>
      <c r="BZ52" s="69">
        <v>0</v>
      </c>
      <c r="CA52" s="69">
        <v>440</v>
      </c>
    </row>
    <row r="53" spans="1:79" s="70" customFormat="1" ht="11.5" customHeight="1" outlineLevel="1" x14ac:dyDescent="0.4">
      <c r="A53" s="54">
        <v>131</v>
      </c>
      <c r="B53" s="7" t="s">
        <v>144</v>
      </c>
      <c r="C53" s="140" t="s">
        <v>145</v>
      </c>
      <c r="D53" s="85">
        <v>0</v>
      </c>
      <c r="E53" s="135">
        <v>1000</v>
      </c>
      <c r="F53" s="135">
        <v>0</v>
      </c>
      <c r="G53" s="81" t="s">
        <v>142</v>
      </c>
      <c r="H53" s="57">
        <f>F53*E53*D53</f>
        <v>0</v>
      </c>
      <c r="I53" s="57">
        <v>0</v>
      </c>
      <c r="J53" s="57">
        <f>SUM(H53:I53)</f>
        <v>0</v>
      </c>
      <c r="K53" s="85">
        <v>10</v>
      </c>
      <c r="L53" s="57">
        <f>E53*$D$6</f>
        <v>1030</v>
      </c>
      <c r="M53" s="135">
        <v>1</v>
      </c>
      <c r="N53" s="57">
        <f>K53*L53*M53</f>
        <v>10300</v>
      </c>
      <c r="O53" s="57">
        <v>0</v>
      </c>
      <c r="P53" s="57">
        <f>SUM(N53:O53)</f>
        <v>10300</v>
      </c>
      <c r="Q53" s="85">
        <v>9</v>
      </c>
      <c r="R53" s="57">
        <f>E53*$D$6*$D$6</f>
        <v>1060.9000000000001</v>
      </c>
      <c r="S53" s="135">
        <v>1</v>
      </c>
      <c r="T53" s="57">
        <f>S53*R53*Q53</f>
        <v>9548.1</v>
      </c>
      <c r="U53" s="57">
        <v>0</v>
      </c>
      <c r="V53" s="57">
        <f>SUM(T53:U53)</f>
        <v>9548.1</v>
      </c>
      <c r="W53" s="85">
        <v>4</v>
      </c>
      <c r="X53" s="57">
        <f>E53*$D$6*$D$6*$D$6</f>
        <v>1092.7270000000001</v>
      </c>
      <c r="Y53" s="135">
        <v>1</v>
      </c>
      <c r="Z53" s="57">
        <f>Y53*X53*W53</f>
        <v>4370.9080000000004</v>
      </c>
      <c r="AA53" s="57">
        <v>0</v>
      </c>
      <c r="AB53" s="57">
        <f>SUM(Z53:AA53)</f>
        <v>4370.9080000000004</v>
      </c>
      <c r="AC53" s="85">
        <v>0</v>
      </c>
      <c r="AD53" s="57">
        <f>E53*$D$6*$D$6*$D$6*$D$6</f>
        <v>1125.50881</v>
      </c>
      <c r="AE53" s="135">
        <v>0</v>
      </c>
      <c r="AF53" s="57">
        <f>AE53*AD53*AC53</f>
        <v>0</v>
      </c>
      <c r="AG53" s="57">
        <v>0</v>
      </c>
      <c r="AH53" s="57">
        <f>SUM(AF53:AG53)</f>
        <v>0</v>
      </c>
      <c r="AI53" s="57">
        <f>H53+N53+T53+Z53+AF53</f>
        <v>24219.007999999998</v>
      </c>
      <c r="AJ53" s="57">
        <f>I53+O53+U53+AA53+AG53</f>
        <v>0</v>
      </c>
      <c r="AK53" s="57">
        <f>SUM(AI53:AJ53)</f>
        <v>24219.007999999998</v>
      </c>
      <c r="AL53" s="61">
        <v>0</v>
      </c>
      <c r="AM53" s="57">
        <v>0</v>
      </c>
      <c r="AN53" s="61">
        <f>122.96+146.75+348.9+25.61</f>
        <v>644.21999999999991</v>
      </c>
      <c r="AO53" s="57">
        <v>0</v>
      </c>
      <c r="AP53" s="57">
        <f>AL53+AN53</f>
        <v>644.21999999999991</v>
      </c>
      <c r="AQ53" s="57">
        <f>AM53+AO53</f>
        <v>0</v>
      </c>
      <c r="AR53" s="57">
        <f>AP53+AQ53</f>
        <v>644.21999999999991</v>
      </c>
      <c r="AS53" s="57">
        <f>AK53-AR53</f>
        <v>23574.787999999997</v>
      </c>
      <c r="AT53" s="61">
        <f>AK53-AL53-AM53-AN53-AO53</f>
        <v>23574.787999999997</v>
      </c>
      <c r="AU53" s="59">
        <f>AS53-AT53</f>
        <v>0</v>
      </c>
      <c r="AV53" s="143"/>
      <c r="AW53" s="61">
        <v>0</v>
      </c>
      <c r="AX53" s="131"/>
      <c r="AY53" s="61">
        <v>0</v>
      </c>
      <c r="AZ53" s="61">
        <f>SUM(AZ52:AZ52)</f>
        <v>0</v>
      </c>
      <c r="BA53" s="61">
        <f>SUM(AY53:AZ53)</f>
        <v>0</v>
      </c>
      <c r="BB53" s="62" t="s">
        <v>146</v>
      </c>
      <c r="BC53" s="143"/>
      <c r="BD53" s="61">
        <v>0</v>
      </c>
      <c r="BE53" s="131"/>
      <c r="BF53" s="132">
        <f>BD53</f>
        <v>0</v>
      </c>
      <c r="BG53" s="132">
        <v>0</v>
      </c>
      <c r="BH53" s="63">
        <f>SUM(BF53:BG53)</f>
        <v>0</v>
      </c>
      <c r="BI53" s="144"/>
      <c r="BJ53" s="61">
        <v>0</v>
      </c>
      <c r="BK53" s="131"/>
      <c r="BL53" s="61">
        <f>BJ53</f>
        <v>0</v>
      </c>
      <c r="BM53" s="61">
        <v>0</v>
      </c>
      <c r="BN53" s="63">
        <f>BM53+BL53</f>
        <v>0</v>
      </c>
      <c r="BO53" s="138"/>
      <c r="BP53" s="61">
        <v>0</v>
      </c>
      <c r="BQ53" s="73"/>
      <c r="BR53" s="61">
        <f>BP53</f>
        <v>0</v>
      </c>
      <c r="BS53" s="61">
        <v>0</v>
      </c>
      <c r="BT53" s="63">
        <f>BS53+BR53</f>
        <v>0</v>
      </c>
      <c r="BU53" s="66">
        <f>BL53+BF53+AY53+BR53</f>
        <v>0</v>
      </c>
      <c r="BV53" s="61">
        <f>BM53+BG53+AZ53</f>
        <v>0</v>
      </c>
      <c r="BW53" s="63">
        <f>BN53+BH53+BA53</f>
        <v>0</v>
      </c>
      <c r="BX53" s="133"/>
      <c r="BY53" s="68">
        <v>644.21999999999991</v>
      </c>
      <c r="BZ53" s="69">
        <v>0</v>
      </c>
      <c r="CA53" s="69">
        <v>644.21999999999991</v>
      </c>
    </row>
    <row r="54" spans="1:79" s="70" customFormat="1" ht="11.5" customHeight="1" outlineLevel="1" x14ac:dyDescent="0.4">
      <c r="A54" s="54">
        <v>135</v>
      </c>
      <c r="B54" s="200" t="s">
        <v>147</v>
      </c>
      <c r="C54" s="201"/>
      <c r="D54" s="202"/>
      <c r="E54" s="203"/>
      <c r="F54" s="203"/>
      <c r="G54" s="204"/>
      <c r="H54" s="205"/>
      <c r="I54" s="205"/>
      <c r="J54" s="205"/>
      <c r="K54" s="202"/>
      <c r="L54" s="202"/>
      <c r="M54" s="203"/>
      <c r="N54" s="205"/>
      <c r="O54" s="205"/>
      <c r="P54" s="205"/>
      <c r="Q54" s="202"/>
      <c r="R54" s="202"/>
      <c r="S54" s="203"/>
      <c r="T54" s="205"/>
      <c r="U54" s="205"/>
      <c r="V54" s="205"/>
      <c r="W54" s="202"/>
      <c r="X54" s="221"/>
      <c r="Y54" s="203"/>
      <c r="Z54" s="205"/>
      <c r="AA54" s="205"/>
      <c r="AB54" s="205"/>
      <c r="AC54" s="202"/>
      <c r="AD54" s="205"/>
      <c r="AE54" s="203"/>
      <c r="AF54" s="205"/>
      <c r="AG54" s="205"/>
      <c r="AH54" s="205"/>
      <c r="AI54" s="205"/>
      <c r="AJ54" s="205"/>
      <c r="AK54" s="205"/>
      <c r="AL54" s="205"/>
      <c r="AM54" s="205"/>
      <c r="AN54" s="205"/>
      <c r="AO54" s="205"/>
      <c r="AP54" s="205"/>
      <c r="AQ54" s="205"/>
      <c r="AR54" s="205"/>
      <c r="AS54" s="205"/>
      <c r="AT54" s="206"/>
      <c r="AU54" s="207"/>
      <c r="AV54" s="219"/>
      <c r="AW54" s="204"/>
      <c r="AX54" s="201"/>
      <c r="AY54" s="205"/>
      <c r="AZ54" s="206"/>
      <c r="BA54" s="205"/>
      <c r="BB54" s="209"/>
      <c r="BC54" s="219"/>
      <c r="BD54" s="201"/>
      <c r="BE54" s="201"/>
      <c r="BF54" s="206"/>
      <c r="BG54" s="206"/>
      <c r="BH54" s="211"/>
      <c r="BI54" s="220"/>
      <c r="BJ54" s="201"/>
      <c r="BK54" s="201"/>
      <c r="BL54" s="205"/>
      <c r="BM54" s="205"/>
      <c r="BN54" s="213"/>
      <c r="BO54" s="210"/>
      <c r="BP54" s="205"/>
      <c r="BQ54" s="205"/>
      <c r="BR54" s="205"/>
      <c r="BS54" s="205"/>
      <c r="BT54" s="213"/>
      <c r="BU54" s="210"/>
      <c r="BV54" s="205"/>
      <c r="BW54" s="213"/>
      <c r="BX54" s="67"/>
      <c r="BY54" s="215"/>
      <c r="BZ54" s="216"/>
      <c r="CA54" s="216"/>
    </row>
    <row r="55" spans="1:79" s="70" customFormat="1" ht="11.5" customHeight="1" outlineLevel="1" x14ac:dyDescent="0.4">
      <c r="A55" s="38">
        <v>136</v>
      </c>
      <c r="B55" s="84" t="s">
        <v>148</v>
      </c>
      <c r="C55" s="81" t="s">
        <v>149</v>
      </c>
      <c r="D55" s="54">
        <v>1</v>
      </c>
      <c r="E55" s="57">
        <v>2500</v>
      </c>
      <c r="F55" s="135">
        <v>1</v>
      </c>
      <c r="G55" s="81" t="s">
        <v>108</v>
      </c>
      <c r="H55" s="57">
        <f>F55*E55*D55</f>
        <v>2500</v>
      </c>
      <c r="I55" s="57">
        <v>0</v>
      </c>
      <c r="J55" s="57">
        <f>SUM(H55:I55)</f>
        <v>2500</v>
      </c>
      <c r="K55" s="54">
        <v>1</v>
      </c>
      <c r="L55" s="197">
        <f>E55*$D$6</f>
        <v>2575</v>
      </c>
      <c r="M55" s="135">
        <v>1</v>
      </c>
      <c r="N55" s="57">
        <f>M55*L55*K55</f>
        <v>2575</v>
      </c>
      <c r="O55" s="57">
        <v>0</v>
      </c>
      <c r="P55" s="57">
        <f>SUM(N55:O55)</f>
        <v>2575</v>
      </c>
      <c r="Q55" s="54">
        <v>1</v>
      </c>
      <c r="R55" s="197">
        <f>E55*$D$6*$D$6</f>
        <v>2652.25</v>
      </c>
      <c r="S55" s="135">
        <v>1</v>
      </c>
      <c r="T55" s="57">
        <f>S55*R55*Q55</f>
        <v>2652.25</v>
      </c>
      <c r="U55" s="57">
        <v>0</v>
      </c>
      <c r="V55" s="57">
        <f>SUM(T55:T55)</f>
        <v>2652.25</v>
      </c>
      <c r="W55" s="54">
        <v>1</v>
      </c>
      <c r="X55" s="197">
        <f>E55*$D$6*$D$6*$D$6</f>
        <v>2731.8175000000001</v>
      </c>
      <c r="Y55" s="135">
        <v>1</v>
      </c>
      <c r="Z55" s="57">
        <f>Y55*X55*W55</f>
        <v>2731.8175000000001</v>
      </c>
      <c r="AA55" s="57">
        <v>0</v>
      </c>
      <c r="AB55" s="57">
        <f>SUM(Z55:AA55)</f>
        <v>2731.8175000000001</v>
      </c>
      <c r="AC55" s="54">
        <v>1</v>
      </c>
      <c r="AD55" s="197">
        <f>E55*$D$6*$D$6*$D$6*$D$6</f>
        <v>2813.7720250000002</v>
      </c>
      <c r="AE55" s="135">
        <v>1</v>
      </c>
      <c r="AF55" s="57">
        <f>AE55*AD55*AC55</f>
        <v>2813.7720250000002</v>
      </c>
      <c r="AG55" s="57">
        <v>0</v>
      </c>
      <c r="AH55" s="57">
        <f>SUM(AF55:AG55)</f>
        <v>2813.7720250000002</v>
      </c>
      <c r="AI55" s="57">
        <f t="shared" ref="AI55:AJ58" si="57">H55+N55+T55+Z55+AF55</f>
        <v>13272.839525000001</v>
      </c>
      <c r="AJ55" s="57">
        <f t="shared" si="57"/>
        <v>0</v>
      </c>
      <c r="AK55" s="57">
        <f>SUM(AI55:AJ55)</f>
        <v>13272.839525000001</v>
      </c>
      <c r="AL55" s="61" t="e">
        <f>#REF!+AL52</f>
        <v>#REF!</v>
      </c>
      <c r="AM55" s="57">
        <v>0</v>
      </c>
      <c r="AN55" s="61">
        <v>0</v>
      </c>
      <c r="AO55" s="57">
        <v>0</v>
      </c>
      <c r="AP55" s="57" t="e">
        <f t="shared" ref="AP55:AQ58" si="58">AL55+AN55</f>
        <v>#REF!</v>
      </c>
      <c r="AQ55" s="57">
        <f t="shared" si="58"/>
        <v>0</v>
      </c>
      <c r="AR55" s="57" t="e">
        <f>AP55+AQ55</f>
        <v>#REF!</v>
      </c>
      <c r="AS55" s="57" t="e">
        <f>AK55-AR55</f>
        <v>#REF!</v>
      </c>
      <c r="AT55" s="61" t="e">
        <f t="shared" ref="AT55:AT62" si="59">AK55-AL55-AM55-AN55-AO55</f>
        <v>#REF!</v>
      </c>
      <c r="AU55" s="59" t="e">
        <f>AS55-AT55</f>
        <v>#REF!</v>
      </c>
      <c r="AV55" s="141"/>
      <c r="AW55" s="61">
        <v>0</v>
      </c>
      <c r="AX55" s="81"/>
      <c r="AY55" s="61">
        <v>0</v>
      </c>
      <c r="AZ55" s="61" t="e">
        <f>#REF!+AZ52</f>
        <v>#REF!</v>
      </c>
      <c r="BA55" s="61" t="e">
        <f>SUM(AY55:AZ55)</f>
        <v>#REF!</v>
      </c>
      <c r="BB55" s="62" t="s">
        <v>150</v>
      </c>
      <c r="BC55" s="141"/>
      <c r="BD55" s="61">
        <v>5000</v>
      </c>
      <c r="BE55" s="81"/>
      <c r="BF55" s="61">
        <f>BD55</f>
        <v>5000</v>
      </c>
      <c r="BG55" s="61">
        <v>0</v>
      </c>
      <c r="BH55" s="63">
        <f>SUM(BF55:BG55)</f>
        <v>5000</v>
      </c>
      <c r="BI55" s="142"/>
      <c r="BJ55" s="61">
        <v>0</v>
      </c>
      <c r="BK55" s="81"/>
      <c r="BL55" s="61">
        <f>BJ55</f>
        <v>0</v>
      </c>
      <c r="BM55" s="61">
        <v>0</v>
      </c>
      <c r="BN55" s="63">
        <v>0</v>
      </c>
      <c r="BO55" s="138"/>
      <c r="BP55" s="61">
        <v>0</v>
      </c>
      <c r="BQ55" s="73"/>
      <c r="BR55" s="61">
        <f>BP55</f>
        <v>0</v>
      </c>
      <c r="BS55" s="61">
        <v>0</v>
      </c>
      <c r="BT55" s="63">
        <f>BS55+BR55</f>
        <v>0</v>
      </c>
      <c r="BU55" s="66">
        <f>BL55+BF55+AY55+BR55</f>
        <v>5000</v>
      </c>
      <c r="BV55" s="61" t="e">
        <f t="shared" ref="BV55:BW58" si="60">BM55+BG55+AZ55</f>
        <v>#REF!</v>
      </c>
      <c r="BW55" s="63" t="e">
        <f t="shared" si="60"/>
        <v>#REF!</v>
      </c>
      <c r="BX55" s="67"/>
      <c r="BY55" s="68">
        <v>5000</v>
      </c>
      <c r="BZ55" s="69">
        <v>0</v>
      </c>
      <c r="CA55" s="69">
        <v>5000</v>
      </c>
    </row>
    <row r="56" spans="1:79" s="70" customFormat="1" ht="11.5" customHeight="1" outlineLevel="1" x14ac:dyDescent="0.4">
      <c r="A56" s="54">
        <v>137</v>
      </c>
      <c r="B56" s="84" t="s">
        <v>151</v>
      </c>
      <c r="C56" s="81" t="s">
        <v>152</v>
      </c>
      <c r="D56" s="57">
        <v>1</v>
      </c>
      <c r="E56" s="57">
        <v>7500</v>
      </c>
      <c r="F56" s="135">
        <v>1</v>
      </c>
      <c r="G56" s="81" t="s">
        <v>65</v>
      </c>
      <c r="H56" s="57">
        <f>E56*D56</f>
        <v>7500</v>
      </c>
      <c r="I56" s="57">
        <v>0</v>
      </c>
      <c r="J56" s="57">
        <f>SUM(H56:I56)</f>
        <v>7500</v>
      </c>
      <c r="K56" s="85">
        <v>0</v>
      </c>
      <c r="L56" s="197">
        <f>E56*$D$6</f>
        <v>7725</v>
      </c>
      <c r="M56" s="135">
        <v>1</v>
      </c>
      <c r="N56" s="57">
        <f>K56*L56</f>
        <v>0</v>
      </c>
      <c r="O56" s="57">
        <v>0</v>
      </c>
      <c r="P56" s="57">
        <f>SUM(N56:O56)</f>
        <v>0</v>
      </c>
      <c r="Q56" s="57">
        <v>0</v>
      </c>
      <c r="R56" s="197">
        <f>E56*$D$6*$D$6</f>
        <v>7956.75</v>
      </c>
      <c r="S56" s="135">
        <v>1</v>
      </c>
      <c r="T56" s="57">
        <f>R56*Q56</f>
        <v>0</v>
      </c>
      <c r="U56" s="57">
        <v>0</v>
      </c>
      <c r="V56" s="57">
        <f>SUM(T56:U56)</f>
        <v>0</v>
      </c>
      <c r="W56" s="57">
        <v>0</v>
      </c>
      <c r="X56" s="197">
        <f>E56*$D$6*$D$6*$D$6</f>
        <v>8195.4524999999994</v>
      </c>
      <c r="Y56" s="135">
        <v>1</v>
      </c>
      <c r="Z56" s="57">
        <f>X56*W56</f>
        <v>0</v>
      </c>
      <c r="AA56" s="57">
        <v>0</v>
      </c>
      <c r="AB56" s="57">
        <f>SUM(Z56:AA56)</f>
        <v>0</v>
      </c>
      <c r="AC56" s="57">
        <v>0</v>
      </c>
      <c r="AD56" s="197">
        <f>E56*$D$6*$D$6*$D$6*$D$6</f>
        <v>8441.3160749999988</v>
      </c>
      <c r="AE56" s="135">
        <v>1</v>
      </c>
      <c r="AF56" s="57">
        <f>AD56*AC56</f>
        <v>0</v>
      </c>
      <c r="AG56" s="57">
        <v>0</v>
      </c>
      <c r="AH56" s="57">
        <f>SUM(AF56:AG56)</f>
        <v>0</v>
      </c>
      <c r="AI56" s="57">
        <f t="shared" si="57"/>
        <v>7500</v>
      </c>
      <c r="AJ56" s="57">
        <f t="shared" si="57"/>
        <v>0</v>
      </c>
      <c r="AK56" s="57">
        <f>SUM(AI56:AJ56)</f>
        <v>7500</v>
      </c>
      <c r="AL56" s="61">
        <v>0</v>
      </c>
      <c r="AM56" s="57">
        <v>0</v>
      </c>
      <c r="AN56" s="61">
        <f>121.61+1370.02+205.92+9.29+107.8</f>
        <v>1814.6399999999999</v>
      </c>
      <c r="AO56" s="57">
        <v>0</v>
      </c>
      <c r="AP56" s="57">
        <f t="shared" si="58"/>
        <v>1814.6399999999999</v>
      </c>
      <c r="AQ56" s="57">
        <f t="shared" si="58"/>
        <v>0</v>
      </c>
      <c r="AR56" s="57">
        <f>AP56+AQ56</f>
        <v>1814.6399999999999</v>
      </c>
      <c r="AS56" s="57">
        <f>AK56-AR56</f>
        <v>5685.3600000000006</v>
      </c>
      <c r="AT56" s="61">
        <f t="shared" si="59"/>
        <v>5685.3600000000006</v>
      </c>
      <c r="AU56" s="59">
        <f>AS56-AT56</f>
        <v>0</v>
      </c>
      <c r="AV56" s="162">
        <v>400</v>
      </c>
      <c r="AW56" s="54">
        <v>0.54944999999999999</v>
      </c>
      <c r="AX56" s="71"/>
      <c r="AY56" s="61">
        <f>AW56*AV56</f>
        <v>219.78</v>
      </c>
      <c r="AZ56" s="61">
        <v>0</v>
      </c>
      <c r="BA56" s="61">
        <f>SUM(AY56:AZ56)</f>
        <v>219.78</v>
      </c>
      <c r="BB56" s="129" t="s">
        <v>153</v>
      </c>
      <c r="BC56" s="222"/>
      <c r="BD56" s="61">
        <v>0</v>
      </c>
      <c r="BE56" s="71"/>
      <c r="BF56" s="61">
        <f>BD56</f>
        <v>0</v>
      </c>
      <c r="BG56" s="74">
        <v>0</v>
      </c>
      <c r="BH56" s="63">
        <f>SUM(BF56:BG56)</f>
        <v>0</v>
      </c>
      <c r="BI56" s="223"/>
      <c r="BJ56" s="61">
        <v>0</v>
      </c>
      <c r="BK56" s="71"/>
      <c r="BL56" s="61">
        <f>BJ56</f>
        <v>0</v>
      </c>
      <c r="BM56" s="61">
        <v>0</v>
      </c>
      <c r="BN56" s="63">
        <v>0</v>
      </c>
      <c r="BO56" s="138"/>
      <c r="BP56" s="61">
        <v>300</v>
      </c>
      <c r="BQ56" s="73"/>
      <c r="BR56" s="61">
        <f>BP56</f>
        <v>300</v>
      </c>
      <c r="BS56" s="61">
        <v>0</v>
      </c>
      <c r="BT56" s="63">
        <f>BS56+BR56</f>
        <v>300</v>
      </c>
      <c r="BU56" s="66">
        <f>BL56+BF56+AY56+BR56</f>
        <v>519.78</v>
      </c>
      <c r="BV56" s="61">
        <f t="shared" si="60"/>
        <v>0</v>
      </c>
      <c r="BW56" s="63">
        <f t="shared" si="60"/>
        <v>219.78</v>
      </c>
      <c r="BX56" s="75"/>
      <c r="BY56" s="68">
        <v>1814.6399999999999</v>
      </c>
      <c r="BZ56" s="69">
        <v>0</v>
      </c>
      <c r="CA56" s="69">
        <v>1814.6399999999999</v>
      </c>
    </row>
    <row r="57" spans="1:79" s="70" customFormat="1" ht="11.5" customHeight="1" outlineLevel="1" x14ac:dyDescent="0.4">
      <c r="A57" s="38">
        <v>138</v>
      </c>
      <c r="B57" s="84" t="s">
        <v>154</v>
      </c>
      <c r="C57" s="81" t="s">
        <v>155</v>
      </c>
      <c r="D57" s="85">
        <v>2</v>
      </c>
      <c r="E57" s="57">
        <v>250</v>
      </c>
      <c r="F57" s="135">
        <v>1</v>
      </c>
      <c r="G57" s="81" t="s">
        <v>156</v>
      </c>
      <c r="H57" s="57">
        <f>E57*D57</f>
        <v>500</v>
      </c>
      <c r="I57" s="57">
        <v>0</v>
      </c>
      <c r="J57" s="57">
        <f>SUM(H57:I57)</f>
        <v>500</v>
      </c>
      <c r="K57" s="85">
        <v>2</v>
      </c>
      <c r="L57" s="197">
        <f>E57*$D$6</f>
        <v>257.5</v>
      </c>
      <c r="M57" s="135">
        <v>1</v>
      </c>
      <c r="N57" s="57">
        <f>K57*L57</f>
        <v>515</v>
      </c>
      <c r="O57" s="57">
        <v>0</v>
      </c>
      <c r="P57" s="57">
        <f>SUM(N57:O57)</f>
        <v>515</v>
      </c>
      <c r="Q57" s="57">
        <v>2</v>
      </c>
      <c r="R57" s="197">
        <f>E57*$D$6*$D$6</f>
        <v>265.22500000000002</v>
      </c>
      <c r="S57" s="135">
        <v>1</v>
      </c>
      <c r="T57" s="57">
        <f>R57*Q57</f>
        <v>530.45000000000005</v>
      </c>
      <c r="U57" s="57">
        <v>0</v>
      </c>
      <c r="V57" s="57">
        <f>SUM(T57:U57)</f>
        <v>530.45000000000005</v>
      </c>
      <c r="W57" s="57">
        <v>2</v>
      </c>
      <c r="X57" s="197">
        <f>E57*$D$6*$D$6*$D$6</f>
        <v>273.18175000000002</v>
      </c>
      <c r="Y57" s="135">
        <v>1</v>
      </c>
      <c r="Z57" s="57">
        <f>X57*W57</f>
        <v>546.36350000000004</v>
      </c>
      <c r="AA57" s="57">
        <v>0</v>
      </c>
      <c r="AB57" s="57">
        <f>SUM(Z57:AA57)</f>
        <v>546.36350000000004</v>
      </c>
      <c r="AC57" s="57">
        <v>2</v>
      </c>
      <c r="AD57" s="197">
        <f>E57*$D$6*$D$6*$D$6*$D$6</f>
        <v>281.37720250000001</v>
      </c>
      <c r="AE57" s="135">
        <v>1</v>
      </c>
      <c r="AF57" s="57">
        <f>AD57*AC57</f>
        <v>562.75440500000002</v>
      </c>
      <c r="AG57" s="57">
        <v>0</v>
      </c>
      <c r="AH57" s="57">
        <f>SUM(AF57:AG57)</f>
        <v>562.75440500000002</v>
      </c>
      <c r="AI57" s="57">
        <f t="shared" si="57"/>
        <v>2654.5679050000003</v>
      </c>
      <c r="AJ57" s="57">
        <f t="shared" si="57"/>
        <v>0</v>
      </c>
      <c r="AK57" s="57">
        <f>SUM(AI57:AJ57)</f>
        <v>2654.5679050000003</v>
      </c>
      <c r="AL57" s="61">
        <f>103.25</f>
        <v>103.25</v>
      </c>
      <c r="AM57" s="57">
        <v>0</v>
      </c>
      <c r="AN57" s="61">
        <f>442.36+888.06+512.73+2240.5+572.59+463.27+476.88</f>
        <v>5596.39</v>
      </c>
      <c r="AO57" s="57">
        <v>0</v>
      </c>
      <c r="AP57" s="57">
        <f t="shared" si="58"/>
        <v>5699.64</v>
      </c>
      <c r="AQ57" s="57">
        <f t="shared" si="58"/>
        <v>0</v>
      </c>
      <c r="AR57" s="57">
        <f>AP57+AQ57</f>
        <v>5699.64</v>
      </c>
      <c r="AS57" s="57">
        <f>AK57-AR57</f>
        <v>-3045.072095</v>
      </c>
      <c r="AT57" s="61">
        <f t="shared" si="59"/>
        <v>-3045.072095</v>
      </c>
      <c r="AU57" s="59">
        <f>AS57-AT57</f>
        <v>0</v>
      </c>
      <c r="AV57" s="222"/>
      <c r="AW57" s="61">
        <v>0</v>
      </c>
      <c r="AX57" s="71"/>
      <c r="AY57" s="61">
        <v>0</v>
      </c>
      <c r="AZ57" s="61">
        <v>0</v>
      </c>
      <c r="BA57" s="61">
        <f>SUM(AY57:AZ57)</f>
        <v>0</v>
      </c>
      <c r="BB57" s="62" t="s">
        <v>157</v>
      </c>
      <c r="BC57" s="222"/>
      <c r="BD57" s="61">
        <v>0</v>
      </c>
      <c r="BE57" s="71"/>
      <c r="BF57" s="61">
        <f>BD57</f>
        <v>0</v>
      </c>
      <c r="BG57" s="61">
        <v>0</v>
      </c>
      <c r="BH57" s="63">
        <f>SUM(BF57:BG57)</f>
        <v>0</v>
      </c>
      <c r="BI57" s="223"/>
      <c r="BJ57" s="61">
        <v>0</v>
      </c>
      <c r="BK57" s="71"/>
      <c r="BL57" s="61">
        <f>BJ57</f>
        <v>0</v>
      </c>
      <c r="BM57" s="61">
        <v>0</v>
      </c>
      <c r="BN57" s="63">
        <v>0</v>
      </c>
      <c r="BO57" s="138"/>
      <c r="BP57" s="61">
        <v>0</v>
      </c>
      <c r="BQ57" s="73"/>
      <c r="BR57" s="61">
        <f>BP57</f>
        <v>0</v>
      </c>
      <c r="BS57" s="61">
        <v>0</v>
      </c>
      <c r="BT57" s="63">
        <f>BS57+BR57</f>
        <v>0</v>
      </c>
      <c r="BU57" s="66">
        <f>BL57+BF57+AY57+BR57</f>
        <v>0</v>
      </c>
      <c r="BV57" s="61">
        <f t="shared" si="60"/>
        <v>0</v>
      </c>
      <c r="BW57" s="63">
        <f t="shared" si="60"/>
        <v>0</v>
      </c>
      <c r="BX57" s="67"/>
      <c r="BY57" s="68">
        <v>6821.6342589119949</v>
      </c>
      <c r="BZ57" s="69">
        <v>0</v>
      </c>
      <c r="CA57" s="69">
        <v>6821.6342589119949</v>
      </c>
    </row>
    <row r="58" spans="1:79" s="70" customFormat="1" ht="11.4" customHeight="1" outlineLevel="1" x14ac:dyDescent="0.4">
      <c r="A58" s="54">
        <v>139</v>
      </c>
      <c r="B58" s="84" t="s">
        <v>158</v>
      </c>
      <c r="C58" s="81" t="s">
        <v>159</v>
      </c>
      <c r="D58" s="85">
        <v>2</v>
      </c>
      <c r="E58" s="57">
        <v>250</v>
      </c>
      <c r="F58" s="135">
        <v>1</v>
      </c>
      <c r="G58" s="81" t="s">
        <v>156</v>
      </c>
      <c r="H58" s="57">
        <f>E58*D58</f>
        <v>500</v>
      </c>
      <c r="I58" s="57">
        <v>0</v>
      </c>
      <c r="J58" s="57">
        <f>SUM(H58:I58)</f>
        <v>500</v>
      </c>
      <c r="K58" s="85">
        <v>2</v>
      </c>
      <c r="L58" s="197">
        <f>E58*$D$6</f>
        <v>257.5</v>
      </c>
      <c r="M58" s="135">
        <v>1</v>
      </c>
      <c r="N58" s="57">
        <f>K58*L58</f>
        <v>515</v>
      </c>
      <c r="O58" s="57">
        <v>0</v>
      </c>
      <c r="P58" s="57">
        <f>SUM(N58:O58)</f>
        <v>515</v>
      </c>
      <c r="Q58" s="57">
        <v>2</v>
      </c>
      <c r="R58" s="197">
        <f>E58*$D$6*$D$6</f>
        <v>265.22500000000002</v>
      </c>
      <c r="S58" s="135">
        <v>1</v>
      </c>
      <c r="T58" s="57">
        <f>R58*Q58</f>
        <v>530.45000000000005</v>
      </c>
      <c r="U58" s="57">
        <v>0</v>
      </c>
      <c r="V58" s="57">
        <f>SUM(T58:U58)</f>
        <v>530.45000000000005</v>
      </c>
      <c r="W58" s="57">
        <v>2</v>
      </c>
      <c r="X58" s="197">
        <f>E58*$D$6*$D$6*$D$6</f>
        <v>273.18175000000002</v>
      </c>
      <c r="Y58" s="135">
        <v>1</v>
      </c>
      <c r="Z58" s="57">
        <f>X58*W58</f>
        <v>546.36350000000004</v>
      </c>
      <c r="AA58" s="57">
        <v>0</v>
      </c>
      <c r="AB58" s="57">
        <f>SUM(Z58:AA58)</f>
        <v>546.36350000000004</v>
      </c>
      <c r="AC58" s="57">
        <v>2</v>
      </c>
      <c r="AD58" s="197">
        <f>E58*$D$6*$D$6*$D$6*$D$6</f>
        <v>281.37720250000001</v>
      </c>
      <c r="AE58" s="135">
        <v>1</v>
      </c>
      <c r="AF58" s="57">
        <f>AD58*AC58</f>
        <v>562.75440500000002</v>
      </c>
      <c r="AG58" s="57">
        <v>0</v>
      </c>
      <c r="AH58" s="57">
        <f>SUM(AF58:AG58)</f>
        <v>562.75440500000002</v>
      </c>
      <c r="AI58" s="57">
        <f t="shared" si="57"/>
        <v>2654.5679050000003</v>
      </c>
      <c r="AJ58" s="57">
        <f t="shared" si="57"/>
        <v>0</v>
      </c>
      <c r="AK58" s="57">
        <f>SUM(AI58:AJ58)</f>
        <v>2654.5679050000003</v>
      </c>
      <c r="AL58" s="61">
        <v>0</v>
      </c>
      <c r="AM58" s="57">
        <v>0</v>
      </c>
      <c r="AN58" s="61">
        <f>234.33</f>
        <v>234.33</v>
      </c>
      <c r="AO58" s="57">
        <v>0</v>
      </c>
      <c r="AP58" s="57">
        <f t="shared" si="58"/>
        <v>234.33</v>
      </c>
      <c r="AQ58" s="57">
        <f t="shared" si="58"/>
        <v>0</v>
      </c>
      <c r="AR58" s="57">
        <f>AP58+AQ58</f>
        <v>234.33</v>
      </c>
      <c r="AS58" s="57">
        <f>AK58-AR58</f>
        <v>2420.2379050000004</v>
      </c>
      <c r="AT58" s="61">
        <f t="shared" si="59"/>
        <v>2420.2379050000004</v>
      </c>
      <c r="AU58" s="59">
        <f>AS58-AT58</f>
        <v>0</v>
      </c>
      <c r="AV58" s="138"/>
      <c r="AW58" s="61">
        <v>0</v>
      </c>
      <c r="AX58" s="73"/>
      <c r="AY58" s="61">
        <v>0</v>
      </c>
      <c r="AZ58" s="61">
        <v>0</v>
      </c>
      <c r="BA58" s="61">
        <f>SUM(AY58:AZ58)</f>
        <v>0</v>
      </c>
      <c r="BB58" s="62" t="s">
        <v>160</v>
      </c>
      <c r="BC58" s="138"/>
      <c r="BD58" s="61">
        <v>0</v>
      </c>
      <c r="BE58" s="73"/>
      <c r="BF58" s="61">
        <f>BD58</f>
        <v>0</v>
      </c>
      <c r="BG58" s="61">
        <v>0</v>
      </c>
      <c r="BH58" s="63">
        <f>SUM(BF58:BG58)</f>
        <v>0</v>
      </c>
      <c r="BI58" s="139"/>
      <c r="BJ58" s="61">
        <v>0</v>
      </c>
      <c r="BK58" s="73"/>
      <c r="BL58" s="61">
        <f>BJ58</f>
        <v>0</v>
      </c>
      <c r="BM58" s="61">
        <v>0</v>
      </c>
      <c r="BN58" s="63">
        <v>0</v>
      </c>
      <c r="BO58" s="138"/>
      <c r="BP58" s="61">
        <v>0</v>
      </c>
      <c r="BQ58" s="73"/>
      <c r="BR58" s="61">
        <f>BP58</f>
        <v>0</v>
      </c>
      <c r="BS58" s="61">
        <v>0</v>
      </c>
      <c r="BT58" s="63">
        <f>BS58+BR58</f>
        <v>0</v>
      </c>
      <c r="BU58" s="66">
        <f>BL58+BF58+AY58+BR58</f>
        <v>0</v>
      </c>
      <c r="BV58" s="61">
        <f t="shared" si="60"/>
        <v>0</v>
      </c>
      <c r="BW58" s="63">
        <f t="shared" si="60"/>
        <v>0</v>
      </c>
      <c r="BX58" s="67"/>
      <c r="BY58" s="68">
        <v>234.33</v>
      </c>
      <c r="BZ58" s="69">
        <v>0</v>
      </c>
      <c r="CA58" s="69">
        <v>234.33</v>
      </c>
    </row>
    <row r="59" spans="1:79" s="76" customFormat="1" ht="11.5" customHeight="1" x14ac:dyDescent="0.4">
      <c r="A59" s="54">
        <v>141</v>
      </c>
      <c r="B59" s="172" t="s">
        <v>161</v>
      </c>
      <c r="C59" s="173"/>
      <c r="D59" s="92"/>
      <c r="E59" s="92"/>
      <c r="F59" s="92"/>
      <c r="G59" s="92"/>
      <c r="H59" s="88" t="e">
        <f>#REF!+#REF!</f>
        <v>#REF!</v>
      </c>
      <c r="I59" s="88" t="e">
        <f>#REF!+#REF!</f>
        <v>#REF!</v>
      </c>
      <c r="J59" s="88" t="e">
        <f>#REF!+#REF!</f>
        <v>#REF!</v>
      </c>
      <c r="K59" s="92"/>
      <c r="L59" s="92"/>
      <c r="M59" s="92"/>
      <c r="N59" s="88" t="e">
        <f>#REF!+#REF!</f>
        <v>#REF!</v>
      </c>
      <c r="O59" s="88" t="e">
        <f>#REF!+#REF!</f>
        <v>#REF!</v>
      </c>
      <c r="P59" s="88" t="e">
        <f>#REF!+#REF!</f>
        <v>#REF!</v>
      </c>
      <c r="Q59" s="92"/>
      <c r="R59" s="92"/>
      <c r="S59" s="92"/>
      <c r="T59" s="88" t="e">
        <f>#REF!+#REF!</f>
        <v>#REF!</v>
      </c>
      <c r="U59" s="88" t="e">
        <f>#REF!+#REF!</f>
        <v>#REF!</v>
      </c>
      <c r="V59" s="88" t="e">
        <f>#REF!+#REF!</f>
        <v>#REF!</v>
      </c>
      <c r="W59" s="92"/>
      <c r="X59" s="92"/>
      <c r="Y59" s="92"/>
      <c r="Z59" s="88" t="e">
        <f>#REF!+#REF!</f>
        <v>#REF!</v>
      </c>
      <c r="AA59" s="88" t="e">
        <f>#REF!+#REF!</f>
        <v>#REF!</v>
      </c>
      <c r="AB59" s="88" t="e">
        <f>#REF!+#REF!</f>
        <v>#REF!</v>
      </c>
      <c r="AC59" s="92"/>
      <c r="AD59" s="92"/>
      <c r="AE59" s="92"/>
      <c r="AF59" s="88" t="e">
        <f>#REF!+#REF!</f>
        <v>#REF!</v>
      </c>
      <c r="AG59" s="88" t="e">
        <f>#REF!+#REF!</f>
        <v>#REF!</v>
      </c>
      <c r="AH59" s="88" t="e">
        <f>#REF!+#REF!</f>
        <v>#REF!</v>
      </c>
      <c r="AI59" s="88" t="e">
        <f>#REF!+#REF!</f>
        <v>#REF!</v>
      </c>
      <c r="AJ59" s="88" t="e">
        <f>#REF!+#REF!</f>
        <v>#REF!</v>
      </c>
      <c r="AK59" s="88" t="e">
        <f>#REF!+#REF!</f>
        <v>#REF!</v>
      </c>
      <c r="AL59" s="89" t="e">
        <f>#REF!+#REF!</f>
        <v>#REF!</v>
      </c>
      <c r="AM59" s="89" t="e">
        <f>SUM(#REF!)</f>
        <v>#REF!</v>
      </c>
      <c r="AN59" s="89" t="e">
        <f>#REF!+#REF!</f>
        <v>#REF!</v>
      </c>
      <c r="AO59" s="89" t="e">
        <f>#REF!+#REF!</f>
        <v>#REF!</v>
      </c>
      <c r="AP59" s="89" t="e">
        <f>#REF!+#REF!</f>
        <v>#REF!</v>
      </c>
      <c r="AQ59" s="89" t="e">
        <f>#REF!+#REF!</f>
        <v>#REF!</v>
      </c>
      <c r="AR59" s="89" t="e">
        <f>#REF!+#REF!</f>
        <v>#REF!</v>
      </c>
      <c r="AS59" s="89" t="e">
        <f>#REF!+#REF!</f>
        <v>#REF!</v>
      </c>
      <c r="AT59" s="89" t="e">
        <f t="shared" si="59"/>
        <v>#REF!</v>
      </c>
      <c r="AU59" s="90"/>
      <c r="AV59" s="145"/>
      <c r="AW59" s="89"/>
      <c r="AX59" s="146"/>
      <c r="AY59" s="89" t="e">
        <f>+#REF!+#REF!</f>
        <v>#REF!</v>
      </c>
      <c r="AZ59" s="89" t="e">
        <f>+#REF!+#REF!</f>
        <v>#REF!</v>
      </c>
      <c r="BA59" s="89" t="e">
        <f>+#REF!+#REF!</f>
        <v>#REF!</v>
      </c>
      <c r="BB59" s="93"/>
      <c r="BC59" s="145"/>
      <c r="BD59" s="89" t="e">
        <f>#REF!+#REF!</f>
        <v>#REF!</v>
      </c>
      <c r="BE59" s="146"/>
      <c r="BF59" s="89" t="e">
        <f>#REF!+#REF!</f>
        <v>#REF!</v>
      </c>
      <c r="BG59" s="89">
        <v>0</v>
      </c>
      <c r="BH59" s="94" t="e">
        <f>SUM(BF59,BG59)</f>
        <v>#REF!</v>
      </c>
      <c r="BI59" s="148"/>
      <c r="BJ59" s="89"/>
      <c r="BK59" s="146"/>
      <c r="BL59" s="89" t="e">
        <f>#REF!+#REF!</f>
        <v>#REF!</v>
      </c>
      <c r="BM59" s="89" t="e">
        <f>#REF!+#REF!</f>
        <v>#REF!</v>
      </c>
      <c r="BN59" s="94" t="e">
        <f>SUM(BL59,BM59)</f>
        <v>#REF!</v>
      </c>
      <c r="BO59" s="145"/>
      <c r="BP59" s="89"/>
      <c r="BQ59" s="146"/>
      <c r="BR59" s="89" t="e">
        <f>#REF!+#REF!</f>
        <v>#REF!</v>
      </c>
      <c r="BS59" s="89" t="e">
        <f>#REF!+#REF!</f>
        <v>#REF!</v>
      </c>
      <c r="BT59" s="94" t="e">
        <f>SUM(BR59:BS59)</f>
        <v>#REF!</v>
      </c>
      <c r="BU59" s="96" t="e">
        <f>SUM(BL59,BF59,AY59,BR59)</f>
        <v>#REF!</v>
      </c>
      <c r="BV59" s="89" t="e">
        <f>BM59+BG59+AZ59</f>
        <v>#REF!</v>
      </c>
      <c r="BW59" s="94" t="e">
        <f>BT59+BN59+BH59+BA59</f>
        <v>#REF!</v>
      </c>
      <c r="BX59" s="75"/>
      <c r="BY59" s="149">
        <v>351220.08767410507</v>
      </c>
      <c r="BZ59" s="182">
        <v>0</v>
      </c>
      <c r="CA59" s="182">
        <v>351220.08767410507</v>
      </c>
    </row>
    <row r="60" spans="1:79" s="76" customFormat="1" ht="11.5" customHeight="1" x14ac:dyDescent="0.4">
      <c r="A60" s="38">
        <v>142</v>
      </c>
      <c r="B60" s="224" t="s">
        <v>162</v>
      </c>
      <c r="C60" s="225"/>
      <c r="D60" s="226"/>
      <c r="E60" s="226"/>
      <c r="F60" s="226"/>
      <c r="G60" s="226"/>
      <c r="H60" s="227">
        <v>447655</v>
      </c>
      <c r="I60" s="227">
        <v>79869</v>
      </c>
      <c r="J60" s="227">
        <v>527524</v>
      </c>
      <c r="K60" s="227"/>
      <c r="L60" s="226"/>
      <c r="M60" s="226"/>
      <c r="N60" s="227" t="e">
        <f>N59+N35+N29+#REF!+N21+N16+N13</f>
        <v>#REF!</v>
      </c>
      <c r="O60" s="227" t="e">
        <f>O59+O35+O29+#REF!+O21+O16+O13</f>
        <v>#REF!</v>
      </c>
      <c r="P60" s="227" t="e">
        <f>SUM(N60:O60)</f>
        <v>#REF!</v>
      </c>
      <c r="Q60" s="226"/>
      <c r="R60" s="226"/>
      <c r="S60" s="226"/>
      <c r="T60" s="228" t="e">
        <f>T59+T35+T29+#REF!+T21+T16+T13</f>
        <v>#REF!</v>
      </c>
      <c r="U60" s="228" t="e">
        <f>U59+U35+U29+#REF!+U21+U16+U13</f>
        <v>#REF!</v>
      </c>
      <c r="V60" s="228" t="e">
        <f>V59+V35+V29+#REF!+V21+V16+V13</f>
        <v>#REF!</v>
      </c>
      <c r="W60" s="226"/>
      <c r="X60" s="226"/>
      <c r="Y60" s="226"/>
      <c r="Z60" s="228" t="e">
        <f>Z59+Z35+Z29+#REF!+Z21+Z16+Z13</f>
        <v>#REF!</v>
      </c>
      <c r="AA60" s="228" t="e">
        <f>AA59+AA35+AA29+#REF!+AA21+AA16+AA13</f>
        <v>#REF!</v>
      </c>
      <c r="AB60" s="228" t="e">
        <f>AB59+AB35+AB29+#REF!+AB21+AB16+AB13</f>
        <v>#REF!</v>
      </c>
      <c r="AC60" s="226"/>
      <c r="AD60" s="226"/>
      <c r="AE60" s="226"/>
      <c r="AF60" s="228" t="e">
        <f>AF59+AF35+AF29+#REF!+AF21+AF16+AF13</f>
        <v>#REF!</v>
      </c>
      <c r="AG60" s="228" t="e">
        <f>AG59+AG35+AG29+#REF!+AG21+AG16+AG13</f>
        <v>#REF!</v>
      </c>
      <c r="AH60" s="228" t="e">
        <f>AH59+AH35+AH29+#REF!+AH21+AH16+AH13</f>
        <v>#REF!</v>
      </c>
      <c r="AI60" s="228"/>
      <c r="AJ60" s="228" t="e">
        <f>+AJ13+AJ16+AJ21+#REF!+AJ29+AJ35+AJ59</f>
        <v>#REF!</v>
      </c>
      <c r="AK60" s="228" t="e">
        <f>SUM(AI60:AJ60)</f>
        <v>#REF!</v>
      </c>
      <c r="AL60" s="229" t="e">
        <f>AL59+AL35+AL29+AL21+AL16+AL13</f>
        <v>#REF!</v>
      </c>
      <c r="AM60" s="229" t="e">
        <f>AM59+AM35+AM29+AM21+AM16+AM13</f>
        <v>#REF!</v>
      </c>
      <c r="AN60" s="229" t="e">
        <f>AN59+AN35+AN29+AN21+AN16+AN13</f>
        <v>#REF!</v>
      </c>
      <c r="AO60" s="228" t="e">
        <f>AO13+AO16+AO21+#REF!+AO29+AO35+AO59</f>
        <v>#REF!</v>
      </c>
      <c r="AP60" s="228"/>
      <c r="AQ60" s="228"/>
      <c r="AR60" s="228"/>
      <c r="AS60" s="228"/>
      <c r="AT60" s="229" t="e">
        <f t="shared" si="59"/>
        <v>#REF!</v>
      </c>
      <c r="AU60" s="230"/>
      <c r="AV60" s="231"/>
      <c r="AW60" s="229"/>
      <c r="AX60" s="232"/>
      <c r="AY60" s="229" t="e">
        <f>AY59+AY35+AY29+#REF!+AY21+AY16+AY13</f>
        <v>#REF!</v>
      </c>
      <c r="AZ60" s="229" t="e">
        <f>AZ59+AZ35+AZ29+#REF!+AZ21+AZ16+AZ13</f>
        <v>#REF!</v>
      </c>
      <c r="BA60" s="229" t="e">
        <f>SUM(AY60:AZ60)</f>
        <v>#REF!</v>
      </c>
      <c r="BB60" s="233"/>
      <c r="BC60" s="231"/>
      <c r="BD60" s="228"/>
      <c r="BE60" s="232"/>
      <c r="BF60" s="229" t="e">
        <f>BF59+BF35+BF29+#REF!+BF21+BF16+BF13</f>
        <v>#REF!</v>
      </c>
      <c r="BG60" s="229" t="e">
        <f>BG59+BG35+BG29+#REF!+BG21+BG16+BG13</f>
        <v>#REF!</v>
      </c>
      <c r="BH60" s="234" t="e">
        <f>SUM(BF60:BG60)</f>
        <v>#REF!</v>
      </c>
      <c r="BI60" s="235"/>
      <c r="BJ60" s="228"/>
      <c r="BK60" s="232"/>
      <c r="BL60" s="229" t="e">
        <f>BL59+BL35+BL29+#REF!+BL21+BL16+BL13</f>
        <v>#REF!</v>
      </c>
      <c r="BM60" s="229" t="e">
        <f>BM59+BM35+BM29+#REF!+BM21+BM16+BM13</f>
        <v>#REF!</v>
      </c>
      <c r="BN60" s="234" t="e">
        <f>SUM(BL60:BM60)</f>
        <v>#REF!</v>
      </c>
      <c r="BO60" s="231"/>
      <c r="BP60" s="228"/>
      <c r="BQ60" s="232"/>
      <c r="BR60" s="229" t="e">
        <f>BR59+BR35+BR29+#REF!+BR21+BR16+BR13</f>
        <v>#REF!</v>
      </c>
      <c r="BS60" s="229" t="e">
        <f>BS59+BS35+BS29+#REF!+BS21+BS16+BS13</f>
        <v>#REF!</v>
      </c>
      <c r="BT60" s="234" t="e">
        <f>SUM(BR60:BS60)</f>
        <v>#REF!</v>
      </c>
      <c r="BU60" s="236" t="e">
        <f>BU59+BU35+BU29+#REF!+BU21+BU16+BU13</f>
        <v>#REF!</v>
      </c>
      <c r="BV60" s="229" t="e">
        <f>BM60+BG60+AZ60+BS60</f>
        <v>#REF!</v>
      </c>
      <c r="BW60" s="234" t="e">
        <f>BT60+BN60+BH60+BA60</f>
        <v>#REF!</v>
      </c>
      <c r="BX60" s="75"/>
      <c r="BY60" s="237">
        <v>2084631.0779655124</v>
      </c>
      <c r="BZ60" s="238">
        <v>318415.27264014131</v>
      </c>
      <c r="CA60" s="238">
        <v>2403046.3506056536</v>
      </c>
    </row>
    <row r="61" spans="1:79" ht="11.5" customHeight="1" thickBot="1" x14ac:dyDescent="0.5">
      <c r="A61" s="54">
        <v>143</v>
      </c>
      <c r="B61" s="239" t="s">
        <v>163</v>
      </c>
      <c r="C61" s="240" t="s">
        <v>164</v>
      </c>
      <c r="D61" s="241">
        <v>0</v>
      </c>
      <c r="E61" s="241"/>
      <c r="F61" s="241"/>
      <c r="G61" s="241"/>
      <c r="H61" s="242"/>
      <c r="I61" s="242"/>
      <c r="J61" s="242"/>
      <c r="K61" s="241"/>
      <c r="L61" s="241"/>
      <c r="M61" s="241"/>
      <c r="N61" s="242"/>
      <c r="O61" s="242"/>
      <c r="P61" s="242"/>
      <c r="Q61" s="241"/>
      <c r="R61" s="241"/>
      <c r="S61" s="241"/>
      <c r="T61" s="242"/>
      <c r="U61" s="242"/>
      <c r="V61" s="242"/>
      <c r="W61" s="241"/>
      <c r="X61" s="241"/>
      <c r="Y61" s="241"/>
      <c r="Z61" s="242"/>
      <c r="AA61" s="242"/>
      <c r="AB61" s="242"/>
      <c r="AC61" s="241"/>
      <c r="AD61" s="241"/>
      <c r="AE61" s="241"/>
      <c r="AF61" s="242"/>
      <c r="AG61" s="242"/>
      <c r="AH61" s="242"/>
      <c r="AI61" s="242">
        <f>SUM(H61,N61,T61,Z61,AF61)</f>
        <v>0</v>
      </c>
      <c r="AJ61" s="242">
        <f>SUM(I61,O61,U61,AA61,AG61)</f>
        <v>0</v>
      </c>
      <c r="AK61" s="242">
        <f>SUM(AI61:AJ61)</f>
        <v>0</v>
      </c>
      <c r="AL61" s="243">
        <v>0</v>
      </c>
      <c r="AM61" s="242">
        <v>0</v>
      </c>
      <c r="AN61" s="243">
        <v>0</v>
      </c>
      <c r="AO61" s="242">
        <v>0</v>
      </c>
      <c r="AP61" s="242">
        <f>AL61+AN61</f>
        <v>0</v>
      </c>
      <c r="AQ61" s="242">
        <f>AM61+AO61</f>
        <v>0</v>
      </c>
      <c r="AR61" s="242">
        <f>AP61+AQ61</f>
        <v>0</v>
      </c>
      <c r="AS61" s="242">
        <f>AK61-AR61</f>
        <v>0</v>
      </c>
      <c r="AT61" s="243">
        <f t="shared" si="59"/>
        <v>0</v>
      </c>
      <c r="AU61" s="244">
        <f>AS61-AT61</f>
        <v>0</v>
      </c>
      <c r="AV61" s="245"/>
      <c r="AW61" s="242"/>
      <c r="AX61" s="246"/>
      <c r="AY61" s="243">
        <v>13343.36</v>
      </c>
      <c r="AZ61" s="243" t="e">
        <f>AZ60*0.0869564</f>
        <v>#REF!</v>
      </c>
      <c r="BA61" s="243" t="e">
        <f>SUM(AY61:AZ61)</f>
        <v>#REF!</v>
      </c>
      <c r="BB61" s="247" t="s">
        <v>165</v>
      </c>
      <c r="BC61" s="245"/>
      <c r="BD61" s="242"/>
      <c r="BE61" s="246"/>
      <c r="BF61" s="243" t="e">
        <f>BF60*0.09</f>
        <v>#REF!</v>
      </c>
      <c r="BG61" s="243" t="e">
        <f>BG60*0.09</f>
        <v>#REF!</v>
      </c>
      <c r="BH61" s="248" t="e">
        <f>SUM(BF61:BG61)</f>
        <v>#REF!</v>
      </c>
      <c r="BI61" s="249"/>
      <c r="BJ61" s="242"/>
      <c r="BK61" s="246"/>
      <c r="BL61" s="243" t="e">
        <f>BL60*0.09</f>
        <v>#REF!</v>
      </c>
      <c r="BM61" s="243" t="e">
        <f>BM60*0.09</f>
        <v>#REF!</v>
      </c>
      <c r="BN61" s="248" t="e">
        <f>SUM(BL61:BM61)</f>
        <v>#REF!</v>
      </c>
      <c r="BO61" s="245"/>
      <c r="BP61" s="242"/>
      <c r="BQ61" s="246"/>
      <c r="BR61" s="243" t="e">
        <f>BR60*0.09</f>
        <v>#REF!</v>
      </c>
      <c r="BS61" s="243" t="e">
        <f>BS60*0.09</f>
        <v>#REF!</v>
      </c>
      <c r="BT61" s="248" t="e">
        <f>SUM(BR61:BS61)</f>
        <v>#REF!</v>
      </c>
      <c r="BU61" s="250" t="e">
        <f>BL61+BF61+AY61+BR61</f>
        <v>#REF!</v>
      </c>
      <c r="BV61" s="243" t="e">
        <f>BM61+BG61+AZ61+BS61</f>
        <v>#REF!</v>
      </c>
      <c r="BW61" s="248" t="e">
        <f>BT61+BN61+BH61+BA61</f>
        <v>#REF!</v>
      </c>
      <c r="BX61" s="251"/>
      <c r="BY61" s="252">
        <v>104347.7150541561</v>
      </c>
      <c r="BZ61" s="253">
        <v>20309.727359858702</v>
      </c>
      <c r="CA61" s="253"/>
    </row>
    <row r="62" spans="1:79" s="76" customFormat="1" ht="11.5" customHeight="1" thickBot="1" x14ac:dyDescent="0.5">
      <c r="A62" s="254"/>
      <c r="B62" s="255" t="s">
        <v>17</v>
      </c>
      <c r="C62" s="256"/>
      <c r="D62" s="257"/>
      <c r="E62" s="257"/>
      <c r="F62" s="257"/>
      <c r="G62" s="257"/>
      <c r="H62" s="258"/>
      <c r="I62" s="258"/>
      <c r="J62" s="258"/>
      <c r="K62" s="257"/>
      <c r="L62" s="257"/>
      <c r="M62" s="257"/>
      <c r="N62" s="258"/>
      <c r="O62" s="258"/>
      <c r="P62" s="258"/>
      <c r="Q62" s="257"/>
      <c r="R62" s="257"/>
      <c r="S62" s="257"/>
      <c r="T62" s="259"/>
      <c r="U62" s="259"/>
      <c r="V62" s="259"/>
      <c r="W62" s="257"/>
      <c r="X62" s="257"/>
      <c r="Y62" s="257"/>
      <c r="Z62" s="259"/>
      <c r="AA62" s="259"/>
      <c r="AB62" s="259"/>
      <c r="AC62" s="257"/>
      <c r="AD62" s="257"/>
      <c r="AE62" s="257"/>
      <c r="AF62" s="259"/>
      <c r="AG62" s="259"/>
      <c r="AH62" s="259"/>
      <c r="AI62" s="260">
        <v>2133978.73</v>
      </c>
      <c r="AJ62" s="259">
        <v>300806</v>
      </c>
      <c r="AK62" s="259">
        <f>SUM(AI62:AJ62)</f>
        <v>2434784.73</v>
      </c>
      <c r="AL62" s="260" t="e">
        <f t="shared" ref="AL62:AS62" si="61">AL60</f>
        <v>#REF!</v>
      </c>
      <c r="AM62" s="260" t="e">
        <f t="shared" si="61"/>
        <v>#REF!</v>
      </c>
      <c r="AN62" s="260" t="e">
        <f t="shared" si="61"/>
        <v>#REF!</v>
      </c>
      <c r="AO62" s="260" t="e">
        <f t="shared" si="61"/>
        <v>#REF!</v>
      </c>
      <c r="AP62" s="260">
        <f t="shared" si="61"/>
        <v>0</v>
      </c>
      <c r="AQ62" s="260">
        <f t="shared" si="61"/>
        <v>0</v>
      </c>
      <c r="AR62" s="260">
        <f t="shared" si="61"/>
        <v>0</v>
      </c>
      <c r="AS62" s="260">
        <f t="shared" si="61"/>
        <v>0</v>
      </c>
      <c r="AT62" s="260" t="e">
        <f t="shared" si="59"/>
        <v>#REF!</v>
      </c>
      <c r="AU62" s="261"/>
      <c r="AV62" s="262"/>
      <c r="AW62" s="260"/>
      <c r="AX62" s="263"/>
      <c r="AY62" s="260" t="e">
        <f>SUM(AY60:AY61)</f>
        <v>#REF!</v>
      </c>
      <c r="AZ62" s="260" t="e">
        <f>SUM(AZ60:AZ61)</f>
        <v>#REF!</v>
      </c>
      <c r="BA62" s="260" t="e">
        <f>SUM(BA60:BA61)</f>
        <v>#REF!</v>
      </c>
      <c r="BB62" s="261"/>
      <c r="BC62" s="264"/>
      <c r="BD62" s="260"/>
      <c r="BE62" s="260"/>
      <c r="BF62" s="260" t="e">
        <f>SUM(BF60:BF61)</f>
        <v>#REF!</v>
      </c>
      <c r="BG62" s="260" t="e">
        <f>SUM(BG60:BG61)</f>
        <v>#REF!</v>
      </c>
      <c r="BH62" s="265" t="e">
        <f>SUM(BH60:BH61)</f>
        <v>#REF!</v>
      </c>
      <c r="BI62" s="266"/>
      <c r="BJ62" s="260"/>
      <c r="BK62" s="260"/>
      <c r="BL62" s="260" t="e">
        <f>SUM(BL60:BL61)</f>
        <v>#REF!</v>
      </c>
      <c r="BM62" s="260" t="e">
        <f>SUM(BM60:BM61)</f>
        <v>#REF!</v>
      </c>
      <c r="BN62" s="260" t="e">
        <f>SUM(BN60:BN61)</f>
        <v>#REF!</v>
      </c>
      <c r="BO62" s="260"/>
      <c r="BP62" s="260"/>
      <c r="BQ62" s="260"/>
      <c r="BR62" s="260" t="e">
        <f t="shared" ref="BR62:BW62" si="62">SUM(BR60:BR61)</f>
        <v>#REF!</v>
      </c>
      <c r="BS62" s="260" t="e">
        <f t="shared" si="62"/>
        <v>#REF!</v>
      </c>
      <c r="BT62" s="260" t="e">
        <f t="shared" si="62"/>
        <v>#REF!</v>
      </c>
      <c r="BU62" s="260" t="e">
        <f t="shared" si="62"/>
        <v>#REF!</v>
      </c>
      <c r="BV62" s="260" t="e">
        <f t="shared" si="62"/>
        <v>#REF!</v>
      </c>
      <c r="BW62" s="260" t="e">
        <f t="shared" si="62"/>
        <v>#REF!</v>
      </c>
      <c r="BX62" s="267"/>
      <c r="BY62" s="268">
        <v>2188978.7930196687</v>
      </c>
      <c r="BZ62" s="261">
        <v>338725</v>
      </c>
      <c r="CA62" s="261">
        <v>2403046.3506056536</v>
      </c>
    </row>
    <row r="63" spans="1:79" s="70" customFormat="1" ht="11.5" customHeight="1" x14ac:dyDescent="0.4">
      <c r="B63" s="2"/>
      <c r="BB63" s="3"/>
    </row>
    <row r="64" spans="1:79" s="70" customFormat="1" ht="11.5" customHeight="1" x14ac:dyDescent="0.45">
      <c r="A64" s="1"/>
      <c r="B64" s="269"/>
      <c r="C64" s="1"/>
      <c r="AO64" s="270"/>
      <c r="AP64" s="270"/>
      <c r="AQ64" s="270"/>
      <c r="AR64" s="270"/>
      <c r="AS64" s="270"/>
      <c r="AT64" s="271"/>
      <c r="AU64" s="271"/>
      <c r="AY64" s="271"/>
      <c r="BB64" s="3"/>
      <c r="BF64" s="271"/>
      <c r="BL64" s="271"/>
      <c r="BR64" s="271"/>
      <c r="BW64" s="271"/>
      <c r="BY64" s="270"/>
      <c r="BZ64" s="270"/>
      <c r="CA64" s="270"/>
    </row>
    <row r="65" spans="1:79" s="70" customFormat="1" ht="11.5" customHeight="1" x14ac:dyDescent="0.45">
      <c r="A65" s="1"/>
      <c r="B65" s="2"/>
      <c r="C65" s="1"/>
      <c r="AN65" s="271"/>
      <c r="AX65" s="76"/>
      <c r="AY65" s="272"/>
      <c r="BB65" s="3"/>
      <c r="BE65" s="270"/>
      <c r="BJ65" s="270"/>
      <c r="BK65" s="271"/>
      <c r="BW65" s="270"/>
      <c r="BY65" s="270"/>
      <c r="BZ65" s="270"/>
      <c r="CA65" s="270"/>
    </row>
    <row r="66" spans="1:79" ht="11.5" customHeight="1" x14ac:dyDescent="0.45">
      <c r="AN66" s="273"/>
      <c r="AY66" s="273"/>
      <c r="BA66" s="12"/>
      <c r="BB66" s="274"/>
      <c r="BF66" s="273"/>
      <c r="BR66" s="12"/>
      <c r="BU66" s="273"/>
      <c r="BV66" s="273"/>
      <c r="BY66" s="273"/>
      <c r="BZ66" s="273"/>
      <c r="CA66" s="273"/>
    </row>
    <row r="67" spans="1:79" ht="11.5" customHeight="1" x14ac:dyDescent="0.45">
      <c r="AI67" s="275"/>
      <c r="BF67" s="273"/>
      <c r="BH67" s="273"/>
      <c r="BK67" s="273"/>
      <c r="BL67" s="273"/>
      <c r="BR67" s="273"/>
      <c r="BY67" s="12"/>
    </row>
    <row r="68" spans="1:79" ht="11.5" customHeight="1" x14ac:dyDescent="0.45">
      <c r="AI68" s="275"/>
      <c r="AM68" s="273"/>
      <c r="AN68" s="273"/>
      <c r="AY68" s="273"/>
      <c r="BL68" s="273"/>
      <c r="BR68" s="273"/>
      <c r="BU68" s="12"/>
      <c r="BV68" s="12"/>
      <c r="BX68" s="12"/>
      <c r="BY68" s="276"/>
      <c r="BZ68" s="277"/>
      <c r="CA68" s="278"/>
    </row>
    <row r="69" spans="1:79" ht="11.5" customHeight="1" x14ac:dyDescent="0.45">
      <c r="AI69" s="275"/>
      <c r="BM69" s="12"/>
    </row>
    <row r="74" spans="1:79" ht="11.5" customHeight="1" x14ac:dyDescent="0.45">
      <c r="AN74" s="273"/>
    </row>
  </sheetData>
  <autoFilter ref="A10:CA65" xr:uid="{CE37C3F3-C2D5-4D69-9A46-209DB97C3441}"/>
  <mergeCells count="20">
    <mergeCell ref="D1:AK1"/>
    <mergeCell ref="D2:AK2"/>
    <mergeCell ref="D3:AK3"/>
    <mergeCell ref="D4:AK4"/>
    <mergeCell ref="D8:AK8"/>
    <mergeCell ref="BY8:CA8"/>
    <mergeCell ref="D9:J9"/>
    <mergeCell ref="K9:P9"/>
    <mergeCell ref="Q9:V9"/>
    <mergeCell ref="W9:AB9"/>
    <mergeCell ref="AC9:AH9"/>
    <mergeCell ref="AL9:AM9"/>
    <mergeCell ref="AN9:AO9"/>
    <mergeCell ref="AP9:AT9"/>
    <mergeCell ref="AL8:AT8"/>
    <mergeCell ref="AV9:BB9"/>
    <mergeCell ref="BC9:BH9"/>
    <mergeCell ref="BI9:BN9"/>
    <mergeCell ref="BO9:BT9"/>
    <mergeCell ref="AV8:BW8"/>
  </mergeCells>
  <pageMargins left="0.5" right="0.34" top="0.63" bottom="0.41" header="0.5" footer="0.5"/>
  <pageSetup paperSize="17" scale="44" fitToHeight="2" orientation="landscape" r:id="rId1"/>
  <headerFooter alignWithMargins="0"/>
  <rowBreaks count="1" manualBreakCount="1">
    <brk id="49" min="1" max="3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A21EF6-675F-4285-A4D5-5749FD2ACEE6}"/>
</file>

<file path=customXml/itemProps2.xml><?xml version="1.0" encoding="utf-8"?>
<ds:datastoreItem xmlns:ds="http://schemas.openxmlformats.org/officeDocument/2006/customXml" ds:itemID="{D53576B8-989A-4348-9E2D-7EAB4BFBD6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Budget Summary Detailed</vt:lpstr>
      <vt:lpstr>'Budget Summary Detailed'!Print_Area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Martin</dc:creator>
  <cp:lastModifiedBy>Danielle Martin</cp:lastModifiedBy>
  <dcterms:created xsi:type="dcterms:W3CDTF">2024-07-10T06:14:08Z</dcterms:created>
  <dcterms:modified xsi:type="dcterms:W3CDTF">2024-07-10T06:20:42Z</dcterms:modified>
</cp:coreProperties>
</file>