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A3EB9480-0F11-4FAC-868E-F31BBB3E4FB4}" xr6:coauthVersionLast="47" xr6:coauthVersionMax="47" xr10:uidLastSave="{00000000-0000-0000-0000-000000000000}"/>
  <bookViews>
    <workbookView xWindow="-96" yWindow="-96" windowWidth="23232" windowHeight="12552" xr2:uid="{814A9752-F4BE-4F32-BC7F-BCD8EF71F8C7}"/>
  </bookViews>
  <sheets>
    <sheet name="DOL422-Mod 02" sheetId="1" r:id="rId1"/>
  </sheets>
  <externalReferences>
    <externalReference r:id="rId2"/>
    <externalReference r:id="rId3"/>
  </externalReferences>
  <definedNames>
    <definedName name="_xlnm._FilterDatabase" localSheetId="0" hidden="1">'DOL422-Mod 02'!$A$13:$AF$258</definedName>
    <definedName name="avrent">[1]Assumptions!$D$93</definedName>
    <definedName name="Category" localSheetId="0">'DOL422-Mod 02'!$E$16:$E$256</definedName>
    <definedName name="Category">#REF!</definedName>
    <definedName name="coffee">[1]Assumptions!$D$90</definedName>
    <definedName name="DL_Country" localSheetId="0">'DOL422-Mod 02'!#REF!</definedName>
    <definedName name="DL_Country">#REF!</definedName>
    <definedName name="DL_TotalDOL" localSheetId="0">'DOL422-Mod 02'!$R$15:$R$36</definedName>
    <definedName name="DL_TotalDOL">#REF!</definedName>
    <definedName name="EQ_Country" localSheetId="0">'DOL422-Mod 02'!#REF!</definedName>
    <definedName name="EQ_Country">#REF!</definedName>
    <definedName name="EQ_TotalDOL" localSheetId="0">'DOL422-Mod 02'!#REF!</definedName>
    <definedName name="EQ_TotalDOL">#REF!</definedName>
    <definedName name="er">[1]Assumptions!$B$13</definedName>
    <definedName name="inf">#REF!</definedName>
    <definedName name="intcalls">[1]Assumptions!#REF!</definedName>
    <definedName name="JEA_Country">#REF!</definedName>
    <definedName name="JEA_Year1">#REF!</definedName>
    <definedName name="livingq">[1]Assumptions!#REF!</definedName>
    <definedName name="Local_transport_part">[2]Assumptions!$B$10:$D$10</definedName>
    <definedName name="localairfare">[1]Assumptions!$D$69</definedName>
    <definedName name="localcons">[1]Assumptions!$D$75</definedName>
    <definedName name="lunch">[1]Assumptions!$D$91</definedName>
    <definedName name="mats">[1]Assumptions!$D$94</definedName>
    <definedName name="ME_Country" localSheetId="0">'DOL422-Mod 02'!#REF!</definedName>
    <definedName name="ME_Country">#REF!</definedName>
    <definedName name="ME_TotalDOL" localSheetId="0">'DOL422-Mod 02'!$R$234:$R$247</definedName>
    <definedName name="ME_TotalDOL">#REF!</definedName>
    <definedName name="meetcost">[1]Assumptions!$D$90+[1]Assumptions!$D$91</definedName>
    <definedName name="mileage">[1]Assumptions!#REF!</definedName>
    <definedName name="natcalls">[1]Assumptions!#REF!</definedName>
    <definedName name="O1_Country" localSheetId="0">'DOL422-Mod 02'!#REF!</definedName>
    <definedName name="O1_Country">#REF!</definedName>
    <definedName name="O1_TotalDOL" localSheetId="0">'DOL422-Mod 02'!$R$93:$R$93</definedName>
    <definedName name="O1_TotalDOL">#REF!</definedName>
    <definedName name="O2_Country" localSheetId="0">'DOL422-Mod 02'!#REF!</definedName>
    <definedName name="O2_Country">#REF!</definedName>
    <definedName name="O2_TotalDOL" localSheetId="0">'DOL422-Mod 02'!#REF!</definedName>
    <definedName name="O2_TotalDOL">#REF!</definedName>
    <definedName name="partground">[1]Assumptions!$D$84</definedName>
    <definedName name="partlodg">[1]Assumptions!$D$85</definedName>
    <definedName name="partmeals">[1]Assumptions!$D$86</definedName>
    <definedName name="partmisc">[1]Assumptions!$D$88</definedName>
    <definedName name="parttransp">[1]Assumptions!$D$82</definedName>
    <definedName name="print">[1]Assumptions!$D$96</definedName>
    <definedName name="_xlnm.Print_Area" localSheetId="0">'DOL422-Mod 02'!$D$1:$T$258</definedName>
    <definedName name="roomrent">[1]Assumptions!$D$92</definedName>
    <definedName name="SU_Country" localSheetId="0">'DOL422-Mod 02'!#REF!</definedName>
    <definedName name="SU_Country">#REF!</definedName>
    <definedName name="SU_TotalDOL" localSheetId="0">'DOL422-Mod 02'!$R$86:$R$87</definedName>
    <definedName name="SU_TotalDOL">#REF!</definedName>
    <definedName name="TotalDOL" localSheetId="0">'DOL422-Mod 02'!$R$16:$R$256</definedName>
    <definedName name="TotalDOL">#REF!</definedName>
    <definedName name="TR_Country" localSheetId="0">'DOL422-Mod 02'!#REF!</definedName>
    <definedName name="TR_Country">#REF!</definedName>
    <definedName name="TR_TotalDOL" localSheetId="0">'DOL422-Mod 02'!$R$43:$R$59</definedName>
    <definedName name="TR_TotalDOL">#REF!</definedName>
    <definedName name="travmisc">[1]Assumptions!$D$53+[1]Assumptions!$D$56+[1]Assumptions!$D$51</definedName>
    <definedName name="usaidperd">[1]Assumptions!$D$50+[1]Assumptions!$D$49</definedName>
    <definedName name="uspost">[1]Assumptions!#REF!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121" i="1" l="1"/>
  <c r="Q121" i="1"/>
  <c r="O121" i="1"/>
  <c r="M121" i="1"/>
  <c r="K121" i="1"/>
  <c r="I121" i="1"/>
  <c r="S252" i="1"/>
  <c r="S251" i="1"/>
  <c r="Q251" i="1"/>
  <c r="O251" i="1"/>
  <c r="M251" i="1"/>
  <c r="K251" i="1"/>
  <c r="I251" i="1"/>
  <c r="R249" i="1"/>
  <c r="T249" i="1" s="1"/>
  <c r="R247" i="1"/>
  <c r="T247" i="1" s="1"/>
  <c r="R245" i="1"/>
  <c r="T245" i="1" s="1"/>
  <c r="R244" i="1"/>
  <c r="T244" i="1" s="1"/>
  <c r="R242" i="1"/>
  <c r="T242" i="1" s="1"/>
  <c r="R240" i="1"/>
  <c r="T240" i="1" s="1"/>
  <c r="R239" i="1"/>
  <c r="T239" i="1" s="1"/>
  <c r="R237" i="1"/>
  <c r="T237" i="1" s="1"/>
  <c r="R236" i="1"/>
  <c r="T236" i="1" s="1"/>
  <c r="R234" i="1"/>
  <c r="T234" i="1" s="1"/>
  <c r="S230" i="1"/>
  <c r="Q230" i="1"/>
  <c r="O230" i="1"/>
  <c r="M230" i="1"/>
  <c r="K230" i="1"/>
  <c r="I230" i="1"/>
  <c r="R228" i="1"/>
  <c r="T228" i="1" s="1"/>
  <c r="R227" i="1"/>
  <c r="T227" i="1" s="1"/>
  <c r="R226" i="1"/>
  <c r="T226" i="1" s="1"/>
  <c r="R224" i="1"/>
  <c r="T224" i="1" s="1"/>
  <c r="R223" i="1"/>
  <c r="T223" i="1" s="1"/>
  <c r="R222" i="1"/>
  <c r="T222" i="1" s="1"/>
  <c r="R221" i="1"/>
  <c r="T221" i="1" s="1"/>
  <c r="R219" i="1"/>
  <c r="T219" i="1" s="1"/>
  <c r="R218" i="1"/>
  <c r="T218" i="1" s="1"/>
  <c r="R217" i="1"/>
  <c r="T217" i="1" s="1"/>
  <c r="R216" i="1"/>
  <c r="T216" i="1" s="1"/>
  <c r="R215" i="1"/>
  <c r="T215" i="1" s="1"/>
  <c r="R214" i="1"/>
  <c r="T214" i="1" s="1"/>
  <c r="R213" i="1"/>
  <c r="T213" i="1" s="1"/>
  <c r="R212" i="1"/>
  <c r="T212" i="1" s="1"/>
  <c r="R211" i="1"/>
  <c r="T211" i="1" s="1"/>
  <c r="R210" i="1"/>
  <c r="T210" i="1" s="1"/>
  <c r="R208" i="1"/>
  <c r="T208" i="1" s="1"/>
  <c r="R207" i="1"/>
  <c r="T207" i="1" s="1"/>
  <c r="R206" i="1"/>
  <c r="T206" i="1" s="1"/>
  <c r="R205" i="1"/>
  <c r="T205" i="1" s="1"/>
  <c r="S200" i="1"/>
  <c r="Q200" i="1"/>
  <c r="O200" i="1"/>
  <c r="M200" i="1"/>
  <c r="K200" i="1"/>
  <c r="I200" i="1"/>
  <c r="R198" i="1"/>
  <c r="T198" i="1" s="1"/>
  <c r="R196" i="1"/>
  <c r="T196" i="1" s="1"/>
  <c r="R195" i="1"/>
  <c r="T195" i="1" s="1"/>
  <c r="R193" i="1"/>
  <c r="T193" i="1" s="1"/>
  <c r="R191" i="1"/>
  <c r="T191" i="1" s="1"/>
  <c r="R189" i="1"/>
  <c r="T189" i="1" s="1"/>
  <c r="S185" i="1"/>
  <c r="Q185" i="1"/>
  <c r="O185" i="1"/>
  <c r="M185" i="1"/>
  <c r="K185" i="1"/>
  <c r="I185" i="1"/>
  <c r="R183" i="1"/>
  <c r="T183" i="1" s="1"/>
  <c r="R182" i="1"/>
  <c r="T182" i="1" s="1"/>
  <c r="R181" i="1"/>
  <c r="T181" i="1" s="1"/>
  <c r="R179" i="1"/>
  <c r="T179" i="1" s="1"/>
  <c r="R178" i="1"/>
  <c r="T178" i="1" s="1"/>
  <c r="R177" i="1"/>
  <c r="T177" i="1" s="1"/>
  <c r="R176" i="1"/>
  <c r="T176" i="1" s="1"/>
  <c r="R175" i="1"/>
  <c r="T175" i="1" s="1"/>
  <c r="R174" i="1"/>
  <c r="T174" i="1" s="1"/>
  <c r="R172" i="1"/>
  <c r="T172" i="1" s="1"/>
  <c r="R171" i="1"/>
  <c r="T171" i="1" s="1"/>
  <c r="R169" i="1"/>
  <c r="T169" i="1" s="1"/>
  <c r="R168" i="1"/>
  <c r="T168" i="1" s="1"/>
  <c r="R166" i="1"/>
  <c r="T166" i="1" s="1"/>
  <c r="R164" i="1"/>
  <c r="T164" i="1" s="1"/>
  <c r="R163" i="1"/>
  <c r="T163" i="1" s="1"/>
  <c r="R161" i="1"/>
  <c r="T161" i="1" s="1"/>
  <c r="R160" i="1"/>
  <c r="T160" i="1" s="1"/>
  <c r="R158" i="1"/>
  <c r="T158" i="1" s="1"/>
  <c r="R157" i="1"/>
  <c r="T157" i="1" s="1"/>
  <c r="R155" i="1"/>
  <c r="T155" i="1" s="1"/>
  <c r="R154" i="1"/>
  <c r="T154" i="1" s="1"/>
  <c r="R153" i="1"/>
  <c r="T153" i="1" s="1"/>
  <c r="S149" i="1"/>
  <c r="Q149" i="1"/>
  <c r="O149" i="1"/>
  <c r="M149" i="1"/>
  <c r="K149" i="1"/>
  <c r="I149" i="1"/>
  <c r="R148" i="1"/>
  <c r="T148" i="1" s="1"/>
  <c r="R147" i="1"/>
  <c r="T147" i="1" s="1"/>
  <c r="R146" i="1"/>
  <c r="T146" i="1" s="1"/>
  <c r="H146" i="1"/>
  <c r="R145" i="1"/>
  <c r="T145" i="1" s="1"/>
  <c r="R144" i="1"/>
  <c r="T144" i="1" s="1"/>
  <c r="R142" i="1"/>
  <c r="T142" i="1" s="1"/>
  <c r="R141" i="1"/>
  <c r="T141" i="1" s="1"/>
  <c r="R140" i="1"/>
  <c r="T140" i="1" s="1"/>
  <c r="S135" i="1"/>
  <c r="Q135" i="1"/>
  <c r="O135" i="1"/>
  <c r="M135" i="1"/>
  <c r="K135" i="1"/>
  <c r="I135" i="1"/>
  <c r="R134" i="1"/>
  <c r="T134" i="1" s="1"/>
  <c r="H134" i="1"/>
  <c r="R133" i="1"/>
  <c r="T133" i="1" s="1"/>
  <c r="R132" i="1"/>
  <c r="T132" i="1" s="1"/>
  <c r="R131" i="1"/>
  <c r="T131" i="1" s="1"/>
  <c r="R130" i="1"/>
  <c r="T130" i="1" s="1"/>
  <c r="R129" i="1"/>
  <c r="T129" i="1" s="1"/>
  <c r="R128" i="1"/>
  <c r="T128" i="1" s="1"/>
  <c r="R127" i="1"/>
  <c r="T127" i="1" s="1"/>
  <c r="R126" i="1"/>
  <c r="T126" i="1" s="1"/>
  <c r="R125" i="1"/>
  <c r="T125" i="1" s="1"/>
  <c r="S117" i="1"/>
  <c r="Q117" i="1"/>
  <c r="O117" i="1"/>
  <c r="M117" i="1"/>
  <c r="K117" i="1"/>
  <c r="I117" i="1"/>
  <c r="R116" i="1"/>
  <c r="T116" i="1" s="1"/>
  <c r="R115" i="1"/>
  <c r="T115" i="1" s="1"/>
  <c r="R114" i="1"/>
  <c r="T114" i="1" s="1"/>
  <c r="R112" i="1"/>
  <c r="T112" i="1" s="1"/>
  <c r="R110" i="1"/>
  <c r="T110" i="1" s="1"/>
  <c r="R109" i="1"/>
  <c r="T109" i="1" s="1"/>
  <c r="R108" i="1"/>
  <c r="T108" i="1" s="1"/>
  <c r="R106" i="1"/>
  <c r="T106" i="1" s="1"/>
  <c r="R105" i="1"/>
  <c r="T105" i="1" s="1"/>
  <c r="R103" i="1"/>
  <c r="T103" i="1" s="1"/>
  <c r="R102" i="1"/>
  <c r="T102" i="1" s="1"/>
  <c r="R101" i="1"/>
  <c r="T101" i="1" s="1"/>
  <c r="R95" i="1"/>
  <c r="T95" i="1" s="1"/>
  <c r="R94" i="1"/>
  <c r="T94" i="1" s="1"/>
  <c r="R93" i="1"/>
  <c r="T93" i="1" s="1"/>
  <c r="S89" i="1"/>
  <c r="Q89" i="1"/>
  <c r="O89" i="1"/>
  <c r="M89" i="1"/>
  <c r="K89" i="1"/>
  <c r="I89" i="1"/>
  <c r="R87" i="1"/>
  <c r="T87" i="1" s="1"/>
  <c r="R86" i="1"/>
  <c r="T86" i="1" s="1"/>
  <c r="R85" i="1"/>
  <c r="T85" i="1" s="1"/>
  <c r="S81" i="1"/>
  <c r="Q81" i="1"/>
  <c r="O81" i="1"/>
  <c r="M81" i="1"/>
  <c r="K81" i="1"/>
  <c r="I81" i="1"/>
  <c r="S77" i="1"/>
  <c r="Q77" i="1"/>
  <c r="O77" i="1"/>
  <c r="M77" i="1"/>
  <c r="K77" i="1"/>
  <c r="I77" i="1"/>
  <c r="R75" i="1"/>
  <c r="T75" i="1" s="1"/>
  <c r="R74" i="1"/>
  <c r="T74" i="1" s="1"/>
  <c r="H74" i="1"/>
  <c r="R73" i="1"/>
  <c r="T73" i="1" s="1"/>
  <c r="H73" i="1"/>
  <c r="R72" i="1"/>
  <c r="T72" i="1" s="1"/>
  <c r="H72" i="1"/>
  <c r="R69" i="1"/>
  <c r="T69" i="1" s="1"/>
  <c r="R68" i="1"/>
  <c r="T68" i="1" s="1"/>
  <c r="R67" i="1"/>
  <c r="T67" i="1" s="1"/>
  <c r="R66" i="1"/>
  <c r="T66" i="1" s="1"/>
  <c r="R65" i="1"/>
  <c r="T65" i="1" s="1"/>
  <c r="R64" i="1"/>
  <c r="T64" i="1" s="1"/>
  <c r="R63" i="1"/>
  <c r="T63" i="1" s="1"/>
  <c r="R62" i="1"/>
  <c r="T62" i="1" s="1"/>
  <c r="R60" i="1"/>
  <c r="T60" i="1" s="1"/>
  <c r="H60" i="1"/>
  <c r="R59" i="1"/>
  <c r="T59" i="1" s="1"/>
  <c r="H59" i="1"/>
  <c r="R58" i="1"/>
  <c r="T58" i="1" s="1"/>
  <c r="H58" i="1"/>
  <c r="R57" i="1"/>
  <c r="T57" i="1" s="1"/>
  <c r="H57" i="1"/>
  <c r="R56" i="1"/>
  <c r="T56" i="1" s="1"/>
  <c r="H56" i="1"/>
  <c r="R54" i="1"/>
  <c r="T54" i="1" s="1"/>
  <c r="L54" i="1"/>
  <c r="J54" i="1"/>
  <c r="R53" i="1"/>
  <c r="T53" i="1" s="1"/>
  <c r="L53" i="1"/>
  <c r="J53" i="1"/>
  <c r="H53" i="1"/>
  <c r="R52" i="1"/>
  <c r="T52" i="1" s="1"/>
  <c r="R50" i="1"/>
  <c r="T50" i="1" s="1"/>
  <c r="R49" i="1"/>
  <c r="T49" i="1" s="1"/>
  <c r="H49" i="1"/>
  <c r="R48" i="1"/>
  <c r="T48" i="1" s="1"/>
  <c r="R46" i="1"/>
  <c r="T46" i="1" s="1"/>
  <c r="R45" i="1"/>
  <c r="T45" i="1" s="1"/>
  <c r="R44" i="1"/>
  <c r="T44" i="1" s="1"/>
  <c r="H44" i="1"/>
  <c r="G44" i="1"/>
  <c r="R43" i="1"/>
  <c r="T43" i="1" s="1"/>
  <c r="S39" i="1"/>
  <c r="Q37" i="1"/>
  <c r="O37" i="1"/>
  <c r="Q36" i="1"/>
  <c r="O36" i="1"/>
  <c r="M36" i="1"/>
  <c r="M39" i="1" s="1"/>
  <c r="K36" i="1"/>
  <c r="I36" i="1"/>
  <c r="I39" i="1" s="1"/>
  <c r="R35" i="1"/>
  <c r="T35" i="1" s="1"/>
  <c r="R34" i="1"/>
  <c r="T34" i="1" s="1"/>
  <c r="Q31" i="1"/>
  <c r="O31" i="1"/>
  <c r="M31" i="1"/>
  <c r="K31" i="1"/>
  <c r="I31" i="1"/>
  <c r="R29" i="1"/>
  <c r="T29" i="1" s="1"/>
  <c r="H29" i="1"/>
  <c r="R28" i="1"/>
  <c r="T28" i="1" s="1"/>
  <c r="H28" i="1"/>
  <c r="R25" i="1"/>
  <c r="T25" i="1" s="1"/>
  <c r="R24" i="1"/>
  <c r="T24" i="1" s="1"/>
  <c r="R23" i="1"/>
  <c r="T23" i="1" s="1"/>
  <c r="R22" i="1"/>
  <c r="T22" i="1" s="1"/>
  <c r="R21" i="1"/>
  <c r="T21" i="1" s="1"/>
  <c r="H21" i="1"/>
  <c r="R20" i="1"/>
  <c r="T20" i="1" s="1"/>
  <c r="R17" i="1"/>
  <c r="T17" i="1" s="1"/>
  <c r="R16" i="1"/>
  <c r="T16" i="1" s="1"/>
  <c r="H16" i="1"/>
  <c r="R121" i="1" l="1"/>
  <c r="T121" i="1" s="1"/>
  <c r="I252" i="1"/>
  <c r="I254" i="1" s="1"/>
  <c r="R37" i="1"/>
  <c r="T37" i="1" s="1"/>
  <c r="R117" i="1"/>
  <c r="T117" i="1" s="1"/>
  <c r="R135" i="1"/>
  <c r="T135" i="1" s="1"/>
  <c r="R36" i="1"/>
  <c r="T36" i="1" s="1"/>
  <c r="O39" i="1"/>
  <c r="R200" i="1"/>
  <c r="T200" i="1" s="1"/>
  <c r="Q39" i="1"/>
  <c r="R31" i="1"/>
  <c r="T31" i="1" s="1"/>
  <c r="K39" i="1"/>
  <c r="R77" i="1"/>
  <c r="T77" i="1" s="1"/>
  <c r="Q252" i="1"/>
  <c r="R251" i="1"/>
  <c r="T251" i="1" s="1"/>
  <c r="O252" i="1"/>
  <c r="R89" i="1"/>
  <c r="T89" i="1" s="1"/>
  <c r="K252" i="1"/>
  <c r="R81" i="1"/>
  <c r="T81" i="1" s="1"/>
  <c r="M252" i="1"/>
  <c r="M254" i="1" s="1"/>
  <c r="R149" i="1"/>
  <c r="T149" i="1" s="1"/>
  <c r="S254" i="1"/>
  <c r="S258" i="1" s="1"/>
  <c r="R185" i="1"/>
  <c r="T185" i="1" s="1"/>
  <c r="R230" i="1"/>
  <c r="T230" i="1" s="1"/>
  <c r="K254" i="1" l="1"/>
  <c r="K256" i="1" s="1"/>
  <c r="K258" i="1" s="1"/>
  <c r="O254" i="1"/>
  <c r="O256" i="1" s="1"/>
  <c r="O258" i="1" s="1"/>
  <c r="Q254" i="1"/>
  <c r="R39" i="1"/>
  <c r="T39" i="1" s="1"/>
  <c r="R252" i="1"/>
  <c r="T252" i="1" s="1"/>
  <c r="M256" i="1"/>
  <c r="M258" i="1" s="1"/>
  <c r="R254" i="1" l="1"/>
  <c r="Q256" i="1"/>
  <c r="Q258" i="1" s="1"/>
  <c r="I256" i="1"/>
  <c r="R256" i="1" l="1"/>
  <c r="T256" i="1" s="1"/>
  <c r="I258" i="1"/>
  <c r="T254" i="1"/>
  <c r="R258" i="1" l="1"/>
  <c r="T25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tc={83F05424-8479-4B85-866C-E3DACECD3F29}</author>
    <author>tc={BCD8194D-2575-44F5-817D-AE2FCA5F7DC7}</author>
    <author>tc={05174443-C57E-4EA9-97E2-B0DBA827E7E3}</author>
    <author>POA4</author>
  </authors>
  <commentList>
    <comment ref="A24" authorId="0" shapeId="0" xr:uid="{83F05424-8479-4B85-866C-E3DACECD3F2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title of this code</t>
      </text>
    </comment>
    <comment ref="A56" authorId="1" shapeId="0" xr:uid="{BCD8194D-2575-44F5-817D-AE2FCA5F7DC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title of this code</t>
      </text>
    </comment>
    <comment ref="A58" authorId="2" shapeId="0" xr:uid="{05174443-C57E-4EA9-97E2-B0DBA827E7E3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title of this code</t>
      </text>
    </comment>
    <comment ref="D73" authorId="3" shapeId="0" xr:uid="{E5507D17-086D-40C1-9BD9-107220EED089}">
      <text>
        <r>
          <rPr>
            <b/>
            <sz val="9"/>
            <color indexed="81"/>
            <rFont val="Tahoma"/>
            <family val="2"/>
          </rPr>
          <t>POA4:</t>
        </r>
        <r>
          <rPr>
            <sz val="9"/>
            <color indexed="81"/>
            <rFont val="Tahoma"/>
            <family val="2"/>
          </rPr>
          <t xml:space="preserve">
Cambio de Cartagena a Barranquilla</t>
        </r>
      </text>
    </comment>
  </commentList>
</comments>
</file>

<file path=xl/sharedStrings.xml><?xml version="1.0" encoding="utf-8"?>
<sst xmlns="http://schemas.openxmlformats.org/spreadsheetml/2006/main" count="896" uniqueCount="360">
  <si>
    <t>Equal Access to Quality Jobs for Women and Girls in Agriculture (EQUAL)</t>
  </si>
  <si>
    <t>FOA-ILAB-19-02</t>
  </si>
  <si>
    <t>Advancing Labor Compliance in Colombia’s Port Sector</t>
  </si>
  <si>
    <t>Partners of the Americas</t>
  </si>
  <si>
    <t>NOFO: FOA-ILAB-20-09</t>
  </si>
  <si>
    <t>Duration: 4.5 Years</t>
  </si>
  <si>
    <t>Country: Colombia</t>
  </si>
  <si>
    <t>Budget Assumptions:</t>
  </si>
  <si>
    <t>Inflation - US Based Goods/Services</t>
  </si>
  <si>
    <t>Inflation - Locally Purchased Goods/Services</t>
  </si>
  <si>
    <t>Merit Based Increases for HQ &amp; Field Staff</t>
  </si>
  <si>
    <t>BUDGET ITEM</t>
  </si>
  <si>
    <t>CATEGORY</t>
  </si>
  <si>
    <t>UNIT</t>
  </si>
  <si>
    <t># of Units</t>
  </si>
  <si>
    <t>RATE / UNIT</t>
  </si>
  <si>
    <t>YEAR 1</t>
  </si>
  <si>
    <t>YEAR 2</t>
  </si>
  <si>
    <t>YEAR 3</t>
  </si>
  <si>
    <t>YEAR 4</t>
  </si>
  <si>
    <t>YEAR 5</t>
  </si>
  <si>
    <t>TOTAL DOL</t>
  </si>
  <si>
    <t>TOTAL COST 
SHARING</t>
  </si>
  <si>
    <t>PROJECT GRAND TOTAL</t>
  </si>
  <si>
    <t>-</t>
  </si>
  <si>
    <t>Direct Labor</t>
  </si>
  <si>
    <t>Key Personnel</t>
  </si>
  <si>
    <t>Project Director (100%)</t>
  </si>
  <si>
    <t>Salaries</t>
  </si>
  <si>
    <t>Month</t>
  </si>
  <si>
    <t>Monitoring and Evaluation (M&amp;E) Officer (100%)</t>
  </si>
  <si>
    <t>Other Professional Personnel</t>
  </si>
  <si>
    <t>Deputy Project Director (100%)</t>
  </si>
  <si>
    <t>Communications Officer (100%)</t>
  </si>
  <si>
    <t>Technical Support (100%)</t>
  </si>
  <si>
    <t>Stakeholder Engagement and Partnership Officer in Buenaventura/Cali (100%)</t>
  </si>
  <si>
    <t>Stakeholder Engagement and Partnership Officer in Barranquilla (100%)</t>
  </si>
  <si>
    <t>Finance and Administration Manager (100%)</t>
  </si>
  <si>
    <t>Home Office Support</t>
  </si>
  <si>
    <t>Project Manager (40%)</t>
  </si>
  <si>
    <t>2 Program Officers (30%)</t>
  </si>
  <si>
    <t>Subtotal Personnel</t>
  </si>
  <si>
    <t>Fringe Benefits</t>
  </si>
  <si>
    <t xml:space="preserve">Fringe Benefits CCN - Colombia (above $3,204 monthly) </t>
  </si>
  <si>
    <t>Fringe Benefits CCN - Colombia (below $3,204 monthly)</t>
  </si>
  <si>
    <r>
      <t xml:space="preserve">Fringe benefits - Home Office Support </t>
    </r>
    <r>
      <rPr>
        <sz val="8"/>
        <color rgb="FFFF0000"/>
        <rFont val="Arial"/>
        <family val="2"/>
      </rPr>
      <t>(Program Officers)</t>
    </r>
  </si>
  <si>
    <t>Fringe benefits - Home Office Support (Program Manager - Paraguay-based)</t>
  </si>
  <si>
    <t>Subtotal Fringe Benefits</t>
  </si>
  <si>
    <t>Travel</t>
  </si>
  <si>
    <t>T1: Post-award Meeting with ILAB</t>
  </si>
  <si>
    <t xml:space="preserve">Airfare - Colombia-DC </t>
  </si>
  <si>
    <t>Trip</t>
  </si>
  <si>
    <t>Lodging and M&amp;IE in DC</t>
  </si>
  <si>
    <t>Day</t>
  </si>
  <si>
    <t>Local transportation in DC</t>
  </si>
  <si>
    <t xml:space="preserve">U.S. Visa Fees </t>
  </si>
  <si>
    <t>T2: Field Personnel Annual Visits with ILAB</t>
  </si>
  <si>
    <t>T3: Project Management Travel to Field</t>
  </si>
  <si>
    <t>Airfare - DC-Colombia</t>
  </si>
  <si>
    <t xml:space="preserve">Lodging and M&amp;IE </t>
  </si>
  <si>
    <t xml:space="preserve">Local transportation </t>
  </si>
  <si>
    <t xml:space="preserve">T.4 Field-based Travel for Non-M&amp;E Activities </t>
  </si>
  <si>
    <r>
      <t>Lodging and M&amp;IE Buenaventura</t>
    </r>
    <r>
      <rPr>
        <b/>
        <sz val="8"/>
        <color theme="1"/>
        <rFont val="Arial"/>
        <family val="2"/>
      </rPr>
      <t xml:space="preserve"> - VALLE DEL CAUCA</t>
    </r>
  </si>
  <si>
    <t>Lodging and M&amp;IE Cartagena</t>
  </si>
  <si>
    <r>
      <t>Lodging and M&amp;IE Santa Marta</t>
    </r>
    <r>
      <rPr>
        <b/>
        <sz val="8"/>
        <color theme="1"/>
        <rFont val="Arial"/>
        <family val="2"/>
      </rPr>
      <t xml:space="preserve"> - ATLANTICO</t>
    </r>
  </si>
  <si>
    <t>Local transportation (ground transportation)</t>
  </si>
  <si>
    <t>Local transportation (airfare)</t>
  </si>
  <si>
    <t>T.5 Interventions</t>
  </si>
  <si>
    <t>Lodging and M&amp;IE Intervention 1</t>
  </si>
  <si>
    <t>Local transportation and Airfare Intervention 1</t>
  </si>
  <si>
    <t>Lodging and M&amp;IE Intervention 2</t>
  </si>
  <si>
    <t>Local transportation and Airfare Intervention 2</t>
  </si>
  <si>
    <t>Lodging and M&amp;IE Intervention 3</t>
  </si>
  <si>
    <t>Local transportation and Airfare Intervention 3</t>
  </si>
  <si>
    <t>Lodging and M&amp;IE Communications Strategy</t>
  </si>
  <si>
    <t>Local transportation and Airfare Communications Strategy</t>
  </si>
  <si>
    <t>M&amp;E Travel</t>
  </si>
  <si>
    <t>5.7 Collection of Reliable Data and Processing of Monitoring Data</t>
  </si>
  <si>
    <t xml:space="preserve">Lodging and M&amp;IE Buenaventura </t>
  </si>
  <si>
    <t>Lodging and M&amp;IE Santa Marta ATLANTICO</t>
  </si>
  <si>
    <t>Local transportation - Field verification and data collection visits</t>
  </si>
  <si>
    <t>M&amp;E</t>
  </si>
  <si>
    <t>Subtotal Travel</t>
  </si>
  <si>
    <t>Equipment</t>
  </si>
  <si>
    <t>Subtotal Equipment</t>
  </si>
  <si>
    <t>Supplies</t>
  </si>
  <si>
    <t>Project Office</t>
  </si>
  <si>
    <t xml:space="preserve">Laptop computers &amp; software  </t>
  </si>
  <si>
    <t>Unit</t>
  </si>
  <si>
    <t>Office supplies</t>
  </si>
  <si>
    <t>Biosecurity kits for staff</t>
  </si>
  <si>
    <t>Subtotal Supplies</t>
  </si>
  <si>
    <t>Contractual</t>
  </si>
  <si>
    <t>1.1 Sub Awards</t>
  </si>
  <si>
    <t>1.1.1 Contractual: Sub-award to Universidad Javeriana</t>
  </si>
  <si>
    <t>1.1.2 Contractual: Sub-award to Social Accountability International</t>
  </si>
  <si>
    <t>1.1.3 Contractual: Sub-award to Universidad Nacional</t>
  </si>
  <si>
    <t xml:space="preserve">2.1 Sub Awards </t>
  </si>
  <si>
    <t xml:space="preserve">2.1.1 Contractual: Sub-award to SAI </t>
  </si>
  <si>
    <t xml:space="preserve">2.1.2 Contractual: Sub-award to Universidad Nacional </t>
  </si>
  <si>
    <t xml:space="preserve">2.1.3 Contractual: Sub-award to Fundación Carvajal </t>
  </si>
  <si>
    <t>3.1 Sub Awards</t>
  </si>
  <si>
    <t>3.1.1 Contractual: Sub-award to Social Accountability International</t>
  </si>
  <si>
    <t>3.1.2 Contractual: Sub-award to Fundación Carvajal</t>
  </si>
  <si>
    <t>3.1.3 Contractual: Sub-award to Universidad Javeriana</t>
  </si>
  <si>
    <r>
      <rPr>
        <u/>
        <sz val="8"/>
        <rFont val="Arial"/>
        <family val="2"/>
      </rPr>
      <t xml:space="preserve">4.1 </t>
    </r>
    <r>
      <rPr>
        <i/>
        <u/>
        <sz val="8"/>
        <rFont val="Arial"/>
        <family val="2"/>
      </rPr>
      <t>Sub Awards</t>
    </r>
  </si>
  <si>
    <t>4.1.1 Contractual: Sub-award to Universidad Javeriana</t>
  </si>
  <si>
    <t>4.1.2 Contractual: Sub-award to Fundación Carvajal</t>
  </si>
  <si>
    <t>5.8 Sub-awards</t>
  </si>
  <si>
    <t xml:space="preserve">5.8.1 Contractual: Sub-award with Social Accountability International </t>
  </si>
  <si>
    <t>5.8.2 Contractual: Sub-award with Fundación Carvajal</t>
  </si>
  <si>
    <t>5.8.3 Contractual: Sub-award with Universidad Javeriana</t>
  </si>
  <si>
    <t>2.1Contracts</t>
  </si>
  <si>
    <t>PO with Corporación Escuela Nacional Sindical-Antioquia (ENS)</t>
  </si>
  <si>
    <t>Other</t>
  </si>
  <si>
    <t>2.2 Consultancy and Professional Services</t>
  </si>
  <si>
    <t>Intervention 1: Consultancy and Professional Services</t>
  </si>
  <si>
    <t>Intervention 2: Consultancy and Professional Services</t>
  </si>
  <si>
    <t>Intervention 3: Consultancy and Professional Services</t>
  </si>
  <si>
    <t>Subtotal Contractual</t>
  </si>
  <si>
    <t>Construction</t>
  </si>
  <si>
    <t>Subtotal Construction</t>
  </si>
  <si>
    <t>Other Direct Costs</t>
  </si>
  <si>
    <t>Banking and cash handling fees</t>
  </si>
  <si>
    <t xml:space="preserve">Courier fees/services </t>
  </si>
  <si>
    <t>Year</t>
  </si>
  <si>
    <t xml:space="preserve">Recruitment/Procurement Advertising </t>
  </si>
  <si>
    <t>Office space</t>
  </si>
  <si>
    <t>Property and liability insurance</t>
  </si>
  <si>
    <t>Legal fees</t>
  </si>
  <si>
    <t>Security Plan expenses</t>
  </si>
  <si>
    <t>Audit costs (A-133)</t>
  </si>
  <si>
    <t>Attestation Engagement</t>
  </si>
  <si>
    <t>Timekeeping and expense reporting platform</t>
  </si>
  <si>
    <t>Subtotal Project Office</t>
  </si>
  <si>
    <t>Activities/Costs</t>
  </si>
  <si>
    <t>Outcome 1: Increased understanding of barriers to compliance with national laws related to internationally recognized labor rights in Colombia’s port sector</t>
  </si>
  <si>
    <t>1.2 Develop Initial Findings and Conclusions of Assessment Findings</t>
  </si>
  <si>
    <t>Work seminars with key stakeholders to validate conclusions</t>
  </si>
  <si>
    <t>Seminars</t>
  </si>
  <si>
    <t>Consultancy to develop final document of assessment</t>
  </si>
  <si>
    <t>Document translation</t>
  </si>
  <si>
    <t>Document</t>
  </si>
  <si>
    <t>1.3 Present Assessment Findings to Relevant Stakeholders</t>
  </si>
  <si>
    <t>Individual meetings to present assessment findings</t>
  </si>
  <si>
    <t>Meeting</t>
  </si>
  <si>
    <t>Tailored stakeholder presentations of assessment findings</t>
  </si>
  <si>
    <t>Lodging and M&amp;IE for field staff to present assessment findings</t>
  </si>
  <si>
    <t>Local transportation for field staff to present assessment findings</t>
  </si>
  <si>
    <t>Development of materials for social media</t>
  </si>
  <si>
    <t>Campaign</t>
  </si>
  <si>
    <t>Subtotal Outcome 1</t>
  </si>
  <si>
    <t>Outcome 2: Development of approaches to support compliance with internationally recognized labor standards in Colombia’s port sector</t>
  </si>
  <si>
    <t>Interventions</t>
  </si>
  <si>
    <t>Intervention 1</t>
  </si>
  <si>
    <t>Intervention 2</t>
  </si>
  <si>
    <t>Intervention 3</t>
  </si>
  <si>
    <t>Intervention 1 - Understanding labor intermediation and outsourcing regulations</t>
  </si>
  <si>
    <t xml:space="preserve">Workshops </t>
  </si>
  <si>
    <t xml:space="preserve">Communications support </t>
  </si>
  <si>
    <t>Intervention 2 - Promoting Social Dialogue in the port sector</t>
  </si>
  <si>
    <t>Intervention 3 -  Strengthening Workers´ Organizations' capacity to advocate for the rights of workers</t>
  </si>
  <si>
    <t>Rutraport</t>
  </si>
  <si>
    <t>2.2 Refinement of Proposed Activities to the Local Context</t>
  </si>
  <si>
    <t>"Do No Harm" Analysis</t>
  </si>
  <si>
    <t>Security/Risk Plan Analysis</t>
  </si>
  <si>
    <t>2.3 Adapt and Prioritize Proposed Interventions with Stakeholders</t>
  </si>
  <si>
    <t>Workshop to adapt and prioritize interventions with stakeholders</t>
  </si>
  <si>
    <t>Workshop</t>
  </si>
  <si>
    <t>Material development/printing for workshop</t>
  </si>
  <si>
    <t>2.4 Development of Policy and Legal Based approaches</t>
  </si>
  <si>
    <t>Develop monitoring plan with government actors to monitor risks</t>
  </si>
  <si>
    <t xml:space="preserve">Trainings for inspectors on risk factors </t>
  </si>
  <si>
    <t>Training</t>
  </si>
  <si>
    <t>Development and printing of materials for trainings</t>
  </si>
  <si>
    <t xml:space="preserve">Other </t>
  </si>
  <si>
    <t>Meetings with government actors to develop policies and procedures to enforce fines and penalties</t>
  </si>
  <si>
    <t>Meetings with government actors to address gaps identified in assessment</t>
  </si>
  <si>
    <t>Local transportation for meetings with stakeholders</t>
  </si>
  <si>
    <t>2.5 Development of Financial and Market Based approaches</t>
  </si>
  <si>
    <t>Workshop to conduct cost benefit analysis with relevant companies</t>
  </si>
  <si>
    <t>Trainings with businesses to raise awareness of business case for compliance and improve knowledge of market incentives</t>
  </si>
  <si>
    <t>Subtotal Outcome 2</t>
  </si>
  <si>
    <t>Outcome 3: Demonstrated effectiveness of approaches to support compliance with national laws related to internationally recognized labor rights in Colombia’s port sector</t>
  </si>
  <si>
    <t>3.2 Pilot approaches in Buenaventura</t>
  </si>
  <si>
    <t>Implement chosen approaches in port of Buenaventura</t>
  </si>
  <si>
    <t>Lump sum</t>
  </si>
  <si>
    <t>3.3 Pilot approaches in Cartagena</t>
  </si>
  <si>
    <t>Implement chosen approaches in port of Cartagena</t>
  </si>
  <si>
    <t>3.3 Pilot approaches in Santa Marta</t>
  </si>
  <si>
    <t>Implement chosen approaches in port of Santa Marta</t>
  </si>
  <si>
    <t>3.4 Evaluate positive outcomes and replicate activities</t>
  </si>
  <si>
    <t>Committee meetings to determine positive outcomes</t>
  </si>
  <si>
    <t xml:space="preserve">Working seminars with relevant stakeholders to adapt pilots to other ports </t>
  </si>
  <si>
    <t>3.5 Strategic Grant Fund</t>
  </si>
  <si>
    <t>Strategic Grant Fund</t>
  </si>
  <si>
    <t>Subtotal Outcome 3</t>
  </si>
  <si>
    <t xml:space="preserve">Outcome 4: Increased awareness and adoption of approaches to support compliance with national laws related to internationally recognized labor rights in Colombia’s port sector </t>
  </si>
  <si>
    <t>4.2 Study tours/exchanges</t>
  </si>
  <si>
    <t xml:space="preserve">Coordination and planning meetings </t>
  </si>
  <si>
    <t xml:space="preserve">Contractual: planning consultant fees </t>
  </si>
  <si>
    <t>Study tour and workshop hosting</t>
  </si>
  <si>
    <t>Tour</t>
  </si>
  <si>
    <t>Travel: stipends for relevant actors from port sector</t>
  </si>
  <si>
    <t>Participant</t>
  </si>
  <si>
    <t>4.3 Project-wide communications strategy</t>
  </si>
  <si>
    <t>Development of digital press kit</t>
  </si>
  <si>
    <t>Development of toolkit</t>
  </si>
  <si>
    <r>
      <t xml:space="preserve">Consultancy: graphic design and material development </t>
    </r>
    <r>
      <rPr>
        <sz val="8"/>
        <color rgb="FFFF0000"/>
        <rFont val="Arial"/>
        <family val="2"/>
      </rPr>
      <t>(Graphic design and material development)</t>
    </r>
  </si>
  <si>
    <t>International Worker's Day, World Day Against Child Labor and Children's Day activities</t>
  </si>
  <si>
    <t>Campaign focused on afro-Colombian community</t>
  </si>
  <si>
    <t>Trainings on internationally recognized labor rights in port sector</t>
  </si>
  <si>
    <t>Trainings</t>
  </si>
  <si>
    <t>Trainings on ethnic issues and labor rights</t>
  </si>
  <si>
    <t>Consultancy: specialist on ethnic issues to implement training</t>
  </si>
  <si>
    <t>Material design and printing for trainings</t>
  </si>
  <si>
    <t>Transportation costs</t>
  </si>
  <si>
    <t>4.4 Dissemination of the assessment of Colombia's port sector (Outcome 1)</t>
  </si>
  <si>
    <t>Awareness raising campaign</t>
  </si>
  <si>
    <t>Material development, design and printing</t>
  </si>
  <si>
    <t>Forum with panel of experts and key actors</t>
  </si>
  <si>
    <t>Forum</t>
  </si>
  <si>
    <t>Meetings with local and national governments to disseminate assessment results</t>
  </si>
  <si>
    <t>Meetings</t>
  </si>
  <si>
    <t>4.5 Participate in development of Municipal Development Plans</t>
  </si>
  <si>
    <t>Meetings with incoming local authorities</t>
  </si>
  <si>
    <t>Meetings for the development of municipal plans</t>
  </si>
  <si>
    <t xml:space="preserve">Forum with incoming local authorities </t>
  </si>
  <si>
    <t>Subtotal Outcome 4</t>
  </si>
  <si>
    <t>5: Monitoring, Evaluation, and Collection of Reliable Data</t>
  </si>
  <si>
    <t xml:space="preserve">5.1 Database Development </t>
  </si>
  <si>
    <r>
      <t xml:space="preserve">Consultant fees </t>
    </r>
    <r>
      <rPr>
        <sz val="8"/>
        <color rgb="FFFF0000"/>
        <rFont val="Arial"/>
        <family val="2"/>
      </rPr>
      <t>(Database Development)</t>
    </r>
  </si>
  <si>
    <r>
      <t xml:space="preserve">5.2 Monitoring Guidelines Development </t>
    </r>
    <r>
      <rPr>
        <u/>
        <sz val="8"/>
        <color rgb="FFFF0000"/>
        <rFont val="Arial"/>
        <family val="2"/>
      </rPr>
      <t>(MEL Reports Development)</t>
    </r>
  </si>
  <si>
    <r>
      <t xml:space="preserve">Monitoring guidelines production and printing </t>
    </r>
    <r>
      <rPr>
        <sz val="8"/>
        <color rgb="FFFF0000"/>
        <rFont val="Arial"/>
        <family val="2"/>
      </rPr>
      <t>(MEL Reports production and printing)</t>
    </r>
  </si>
  <si>
    <t xml:space="preserve">Document </t>
  </si>
  <si>
    <r>
      <t xml:space="preserve">Monitoring guidelines training workshop </t>
    </r>
    <r>
      <rPr>
        <sz val="8"/>
        <color rgb="FFFF0000"/>
        <rFont val="Arial"/>
        <family val="2"/>
      </rPr>
      <t>(MEL Reports socialization events)</t>
    </r>
  </si>
  <si>
    <t>5.3 Development of Performance Monitoring Plan</t>
  </si>
  <si>
    <t>Workshops</t>
  </si>
  <si>
    <t>5.4 On-going M&amp;E Training</t>
  </si>
  <si>
    <t>On-going M&amp;E training workshops</t>
  </si>
  <si>
    <t>5.5 External Evaluations</t>
  </si>
  <si>
    <t>Interim Performance Evaluation</t>
  </si>
  <si>
    <t>Evaluation</t>
  </si>
  <si>
    <t>Final Performance Evaluation</t>
  </si>
  <si>
    <t>5.6 On-going Training for Data Collection Staff</t>
  </si>
  <si>
    <t>On-going training workshops for Data Collection Staff</t>
  </si>
  <si>
    <t>Data collection materials and printing</t>
  </si>
  <si>
    <t>Subtotal Monitoring, Evaluation, and Collection of Reliable Data</t>
  </si>
  <si>
    <t>Subtotal Other Direct Costs</t>
  </si>
  <si>
    <t>Total Direct Costs</t>
  </si>
  <si>
    <t xml:space="preserve">Total Indirect Costs (NICRA) </t>
  </si>
  <si>
    <t>Indirect Charges</t>
  </si>
  <si>
    <t>TOTAL COSTS</t>
  </si>
  <si>
    <t>Conventions</t>
  </si>
  <si>
    <t>Lines to be renamed</t>
  </si>
  <si>
    <t>Text in red</t>
  </si>
  <si>
    <t>Lines to delete</t>
  </si>
  <si>
    <t>New lines</t>
  </si>
  <si>
    <t>Lines with differences between current approved allocation and new proposed allocation</t>
  </si>
  <si>
    <t>Entity:</t>
  </si>
  <si>
    <t>P</t>
  </si>
  <si>
    <t>Program-Dept.:</t>
  </si>
  <si>
    <t>Funder-Grant:</t>
  </si>
  <si>
    <t>DOL422</t>
  </si>
  <si>
    <t>Sage Activity</t>
  </si>
  <si>
    <t>Sage Object Code/ Line Item</t>
  </si>
  <si>
    <t>Country Code (DC=0 or CO)</t>
  </si>
  <si>
    <t>PERSNL-PD</t>
  </si>
  <si>
    <t>Timesheets</t>
  </si>
  <si>
    <t>USA</t>
  </si>
  <si>
    <t>PERSNL-M&amp;E</t>
  </si>
  <si>
    <t>COL2</t>
  </si>
  <si>
    <t>PERSNL-COM</t>
  </si>
  <si>
    <t>PERSNL-POB</t>
  </si>
  <si>
    <t>PERSNL-POC</t>
  </si>
  <si>
    <t>PERSNL-F&amp;A</t>
  </si>
  <si>
    <t>PERSNL-PM</t>
  </si>
  <si>
    <t>PERSNL-PO</t>
  </si>
  <si>
    <t>FRINGE-CO</t>
  </si>
  <si>
    <t>FRINGE</t>
  </si>
  <si>
    <t>FRINGE-PY</t>
  </si>
  <si>
    <t>PERSNL-TS</t>
  </si>
  <si>
    <t>None</t>
  </si>
  <si>
    <t>CP.T1.B</t>
  </si>
  <si>
    <t>86030 (Lodging)/ 86050 (M&amp;IE)</t>
  </si>
  <si>
    <t>CP.T2.A</t>
  </si>
  <si>
    <t>CP.T2.B</t>
  </si>
  <si>
    <t>CP.T2.C</t>
  </si>
  <si>
    <t>CP.T3.A</t>
  </si>
  <si>
    <t>CP.T3.B</t>
  </si>
  <si>
    <t>CP.T3.C</t>
  </si>
  <si>
    <t>CP.T4.A</t>
  </si>
  <si>
    <t>CP.T4.B</t>
  </si>
  <si>
    <t>CP.T4.C</t>
  </si>
  <si>
    <t>CP.T4.D</t>
  </si>
  <si>
    <t>CP.T4.E</t>
  </si>
  <si>
    <t>LAPTOP</t>
  </si>
  <si>
    <t>COL2/USA</t>
  </si>
  <si>
    <t>SUPPLIES</t>
  </si>
  <si>
    <t>IDC</t>
  </si>
  <si>
    <t>CP.5.1.A</t>
  </si>
  <si>
    <t>CP.5.2.A</t>
  </si>
  <si>
    <t>82420 (Matl)/ 85300 (Print.)</t>
  </si>
  <si>
    <t>CP.5.2.B</t>
  </si>
  <si>
    <t>CP.5.3.A</t>
  </si>
  <si>
    <t>CP.5.4.A</t>
  </si>
  <si>
    <t>CP.5.5.A</t>
  </si>
  <si>
    <t>CP.5.5.B</t>
  </si>
  <si>
    <t>CP.5.6.A</t>
  </si>
  <si>
    <t>CP.5.7.E</t>
  </si>
  <si>
    <t>CP.4.3.C</t>
  </si>
  <si>
    <t>CP.4.3.I</t>
  </si>
  <si>
    <t>CP.2.2.B</t>
  </si>
  <si>
    <t>CP.2.3.A</t>
  </si>
  <si>
    <t>CP.2.3.B</t>
  </si>
  <si>
    <t>CP.2.6.A</t>
  </si>
  <si>
    <t>CP.2.6.B</t>
  </si>
  <si>
    <t>CP.2.6.C</t>
  </si>
  <si>
    <t>See chart of accounts</t>
  </si>
  <si>
    <t>CP.2.7.A</t>
  </si>
  <si>
    <t>CP.2.7.B</t>
  </si>
  <si>
    <t>CP.2.8.A</t>
  </si>
  <si>
    <t>CP.2.8.B</t>
  </si>
  <si>
    <t>CP.2.9.A</t>
  </si>
  <si>
    <t>CP.2.9.B</t>
  </si>
  <si>
    <t>CP.2.10.A</t>
  </si>
  <si>
    <t>CP.1.3.A</t>
  </si>
  <si>
    <t>CP.1.3.B</t>
  </si>
  <si>
    <t>CP.1.3.C</t>
  </si>
  <si>
    <t>CP.1.3.D</t>
  </si>
  <si>
    <t>CP.1.3.E</t>
  </si>
  <si>
    <t>CP.1.2.A</t>
  </si>
  <si>
    <t>CP.1.2.B</t>
  </si>
  <si>
    <t>SUBSCRIPT</t>
  </si>
  <si>
    <t>AUDIT</t>
  </si>
  <si>
    <t>LEGAL</t>
  </si>
  <si>
    <t>SECURITY</t>
  </si>
  <si>
    <t>BANK FEES</t>
  </si>
  <si>
    <t>COURIER</t>
  </si>
  <si>
    <t>RECRUIT</t>
  </si>
  <si>
    <t>RENT &amp; UT</t>
  </si>
  <si>
    <t>CP.1.1.A</t>
  </si>
  <si>
    <t>CP.1.1.B</t>
  </si>
  <si>
    <t>CP.5.7.A</t>
  </si>
  <si>
    <t>CP.5.7.B</t>
  </si>
  <si>
    <t>CP.5.7.C</t>
  </si>
  <si>
    <t>CP.5.7.D</t>
  </si>
  <si>
    <t>CP.T5.A</t>
  </si>
  <si>
    <t>CP.T5.C</t>
  </si>
  <si>
    <t>CP.T5.B</t>
  </si>
  <si>
    <t>CP.T5.D</t>
  </si>
  <si>
    <t>CP.T5.E</t>
  </si>
  <si>
    <t>CP.T5.F</t>
  </si>
  <si>
    <t>CP.T5.G</t>
  </si>
  <si>
    <t>CP.T5.H</t>
  </si>
  <si>
    <t>CP.2.11.A</t>
  </si>
  <si>
    <t>CP.2.12.A</t>
  </si>
  <si>
    <t>81000 (Consulting)/ 81010 (Professional Fee)</t>
  </si>
  <si>
    <t>CP.2.12.B</t>
  </si>
  <si>
    <t>CP.2.12.C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</si>
</sst>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\ _B_s_-;\-* #,##0\ _B_s_-;_-* &quot;-&quot;??\ _B_s_-;_-@_-"/>
    <numFmt numFmtId="167" formatCode="0.0%"/>
    <numFmt numFmtId="168" formatCode="_-* #,##0.00\ _B_s_-;\-* #,##0.00\ _B_s_-;_-* &quot;-&quot;??\ _B_s_-;_-@_-"/>
    <numFmt numFmtId="169" formatCode="_(* #,##0_);_(* \(#,##0\);_(* &quot;-&quot;??_);_(@_)"/>
    <numFmt numFmtId="170" formatCode="_([$$-409]* #,##0_);_([$$-409]* \(#,##0\);_([$$-409]* &quot;-&quot;??_);_(@_)"/>
    <numFmt numFmtId="171" formatCode="_([$$-409]* #,##0.00_);_([$$-409]* \(#,##0.00\);_([$$-409]* &quot;-&quot;??_);_(@_)"/>
    <numFmt numFmtId="172" formatCode="_(&quot;$&quot;* #,##0_);_(&quot;$&quot;* \(#,##0\);_(&quot;$&quot;* &quot;-&quot;??_);_(@_)"/>
    <numFmt numFmtId="173" formatCode="_-* #,##0.00\ &quot;Bs&quot;_-;\-* #,##0.00\ &quot;Bs&quot;_-;_-* &quot;-&quot;??\ &quot;Bs&quot;_-;_-@_-"/>
    <numFmt numFmtId="174" formatCode="_-* #,##0\ _B_s_-;\-* #,##0\ _B_s_-;_-* &quot;-&quot;??\ _B_s_-;_-@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Times New Roman"/>
      <family val="1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u/>
      <sz val="8"/>
      <name val="Arial"/>
      <family val="2"/>
    </font>
    <font>
      <u/>
      <sz val="8"/>
      <color rgb="FFFF0000"/>
      <name val="Arial"/>
      <family val="2"/>
    </font>
    <font>
      <b/>
      <u/>
      <sz val="8"/>
      <name val="Arial"/>
      <family val="2"/>
    </font>
    <font>
      <i/>
      <u/>
      <sz val="8"/>
      <name val="Arial"/>
      <family val="2"/>
    </font>
    <font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name val="Arial"/>
      <family val="2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</cellStyleXfs>
  <cellXfs count="179">
    <xf numFmtId="0" fontId="0" fillId="0" borderId="0" xfId="0"/>
    <xf numFmtId="0" fontId="3" fillId="0" borderId="0" xfId="3" applyFont="1"/>
    <xf numFmtId="0" fontId="3" fillId="0" borderId="0" xfId="3" applyFont="1" applyAlignment="1">
      <alignment horizontal="left"/>
    </xf>
    <xf numFmtId="0" fontId="4" fillId="0" borderId="0" xfId="3" applyFont="1"/>
    <xf numFmtId="0" fontId="2" fillId="0" borderId="0" xfId="3"/>
    <xf numFmtId="0" fontId="6" fillId="0" borderId="0" xfId="3" applyFont="1"/>
    <xf numFmtId="0" fontId="7" fillId="0" borderId="0" xfId="3" applyFont="1"/>
    <xf numFmtId="0" fontId="9" fillId="0" borderId="0" xfId="3" applyFont="1" applyAlignment="1">
      <alignment horizontal="center" vertical="center" wrapText="1"/>
    </xf>
    <xf numFmtId="0" fontId="7" fillId="0" borderId="1" xfId="3" applyFont="1" applyBorder="1" applyAlignment="1">
      <alignment wrapText="1"/>
    </xf>
    <xf numFmtId="9" fontId="7" fillId="0" borderId="1" xfId="4" applyFont="1" applyBorder="1" applyAlignment="1">
      <alignment horizontal="center" wrapText="1"/>
    </xf>
    <xf numFmtId="166" fontId="9" fillId="0" borderId="0" xfId="3" applyNumberFormat="1" applyFont="1" applyAlignment="1">
      <alignment horizontal="center" vertical="center" wrapText="1"/>
    </xf>
    <xf numFmtId="0" fontId="7" fillId="0" borderId="0" xfId="3" applyFont="1" applyAlignment="1">
      <alignment wrapText="1"/>
    </xf>
    <xf numFmtId="3" fontId="7" fillId="0" borderId="0" xfId="3" applyNumberFormat="1" applyFont="1" applyAlignment="1">
      <alignment wrapText="1"/>
    </xf>
    <xf numFmtId="3" fontId="7" fillId="0" borderId="0" xfId="3" applyNumberFormat="1" applyFont="1"/>
    <xf numFmtId="3" fontId="7" fillId="0" borderId="0" xfId="3" applyNumberFormat="1" applyFont="1" applyAlignment="1">
      <alignment horizontal="center"/>
    </xf>
    <xf numFmtId="167" fontId="7" fillId="0" borderId="1" xfId="4" applyNumberFormat="1" applyFont="1" applyBorder="1" applyAlignment="1">
      <alignment horizontal="center" wrapText="1"/>
    </xf>
    <xf numFmtId="0" fontId="3" fillId="0" borderId="0" xfId="3" applyFont="1" applyAlignment="1">
      <alignment horizontal="center" vertical="center"/>
    </xf>
    <xf numFmtId="0" fontId="4" fillId="0" borderId="3" xfId="3" applyFont="1" applyBorder="1" applyAlignment="1">
      <alignment horizontal="center" vertical="center" wrapText="1"/>
    </xf>
    <xf numFmtId="3" fontId="4" fillId="0" borderId="3" xfId="3" applyNumberFormat="1" applyFont="1" applyBorder="1" applyAlignment="1">
      <alignment horizontal="center" vertical="center"/>
    </xf>
    <xf numFmtId="3" fontId="4" fillId="0" borderId="3" xfId="3" applyNumberFormat="1" applyFont="1" applyBorder="1" applyAlignment="1">
      <alignment horizontal="center" vertical="center" wrapText="1"/>
    </xf>
    <xf numFmtId="0" fontId="4" fillId="3" borderId="0" xfId="3" applyFont="1" applyFill="1" applyAlignment="1">
      <alignment vertical="center" wrapText="1"/>
    </xf>
    <xf numFmtId="0" fontId="4" fillId="3" borderId="0" xfId="3" applyFont="1" applyFill="1" applyAlignment="1">
      <alignment wrapText="1"/>
    </xf>
    <xf numFmtId="3" fontId="4" fillId="3" borderId="0" xfId="3" applyNumberFormat="1" applyFont="1" applyFill="1" applyAlignment="1">
      <alignment wrapText="1"/>
    </xf>
    <xf numFmtId="3" fontId="3" fillId="3" borderId="0" xfId="3" applyNumberFormat="1" applyFont="1" applyFill="1"/>
    <xf numFmtId="3" fontId="3" fillId="3" borderId="0" xfId="3" applyNumberFormat="1" applyFont="1" applyFill="1" applyAlignment="1">
      <alignment horizontal="right" wrapText="1"/>
    </xf>
    <xf numFmtId="0" fontId="4" fillId="4" borderId="0" xfId="3" applyFont="1" applyFill="1" applyAlignment="1">
      <alignment horizontal="left" wrapText="1"/>
    </xf>
    <xf numFmtId="0" fontId="4" fillId="4" borderId="0" xfId="3" applyFont="1" applyFill="1" applyAlignment="1">
      <alignment horizontal="left"/>
    </xf>
    <xf numFmtId="0" fontId="4" fillId="4" borderId="0" xfId="3" applyFont="1" applyFill="1" applyAlignment="1">
      <alignment horizontal="right" wrapText="1"/>
    </xf>
    <xf numFmtId="3" fontId="4" fillId="4" borderId="0" xfId="3" applyNumberFormat="1" applyFont="1" applyFill="1" applyAlignment="1">
      <alignment horizontal="right" wrapText="1"/>
    </xf>
    <xf numFmtId="3" fontId="3" fillId="4" borderId="0" xfId="3" applyNumberFormat="1" applyFont="1" applyFill="1" applyAlignment="1">
      <alignment horizontal="right" wrapText="1"/>
    </xf>
    <xf numFmtId="165" fontId="3" fillId="0" borderId="0" xfId="1" applyFont="1"/>
    <xf numFmtId="166" fontId="3" fillId="0" borderId="0" xfId="3" applyNumberFormat="1" applyFont="1" applyAlignment="1">
      <alignment horizontal="right"/>
    </xf>
    <xf numFmtId="43" fontId="3" fillId="0" borderId="0" xfId="5" applyNumberFormat="1" applyFont="1" applyFill="1" applyBorder="1" applyAlignment="1"/>
    <xf numFmtId="165" fontId="3" fillId="0" borderId="0" xfId="3" applyNumberFormat="1" applyFont="1"/>
    <xf numFmtId="166" fontId="3" fillId="0" borderId="0" xfId="5" applyNumberFormat="1" applyFont="1" applyFill="1" applyBorder="1" applyAlignment="1"/>
    <xf numFmtId="0" fontId="3" fillId="0" borderId="0" xfId="3" applyFont="1" applyAlignment="1">
      <alignment horizontal="left" wrapText="1"/>
    </xf>
    <xf numFmtId="166" fontId="3" fillId="0" borderId="0" xfId="3" applyNumberFormat="1" applyFont="1" applyAlignment="1">
      <alignment horizontal="right" wrapText="1"/>
    </xf>
    <xf numFmtId="0" fontId="3" fillId="4" borderId="0" xfId="3" applyFont="1" applyFill="1" applyAlignment="1">
      <alignment horizontal="left"/>
    </xf>
    <xf numFmtId="166" fontId="3" fillId="4" borderId="0" xfId="3" applyNumberFormat="1" applyFont="1" applyFill="1" applyAlignment="1">
      <alignment horizontal="right" wrapText="1"/>
    </xf>
    <xf numFmtId="0" fontId="3" fillId="5" borderId="0" xfId="3" applyFont="1" applyFill="1" applyAlignment="1">
      <alignment horizontal="left"/>
    </xf>
    <xf numFmtId="0" fontId="3" fillId="4" borderId="0" xfId="3" applyFont="1" applyFill="1" applyAlignment="1">
      <alignment horizontal="left" wrapText="1"/>
    </xf>
    <xf numFmtId="166" fontId="4" fillId="4" borderId="0" xfId="3" applyNumberFormat="1" applyFont="1" applyFill="1" applyAlignment="1">
      <alignment horizontal="right" wrapText="1"/>
    </xf>
    <xf numFmtId="164" fontId="4" fillId="4" borderId="0" xfId="2" applyFont="1" applyFill="1" applyAlignment="1">
      <alignment horizontal="right" wrapText="1"/>
    </xf>
    <xf numFmtId="0" fontId="4" fillId="0" borderId="0" xfId="3" applyFont="1" applyAlignment="1">
      <alignment horizontal="left" wrapText="1"/>
    </xf>
    <xf numFmtId="0" fontId="4" fillId="0" borderId="0" xfId="3" applyFont="1" applyAlignment="1">
      <alignment horizontal="left"/>
    </xf>
    <xf numFmtId="166" fontId="4" fillId="0" borderId="0" xfId="3" applyNumberFormat="1" applyFont="1" applyAlignment="1">
      <alignment horizontal="right" wrapText="1"/>
    </xf>
    <xf numFmtId="0" fontId="10" fillId="0" borderId="0" xfId="3" applyFont="1" applyAlignment="1">
      <alignment horizontal="left"/>
    </xf>
    <xf numFmtId="10" fontId="3" fillId="0" borderId="0" xfId="3" applyNumberFormat="1" applyFont="1" applyAlignment="1">
      <alignment horizontal="right"/>
    </xf>
    <xf numFmtId="169" fontId="3" fillId="0" borderId="0" xfId="3" applyNumberFormat="1" applyFont="1" applyAlignment="1">
      <alignment horizontal="right"/>
    </xf>
    <xf numFmtId="0" fontId="11" fillId="0" borderId="0" xfId="3" applyFont="1"/>
    <xf numFmtId="10" fontId="3" fillId="0" borderId="0" xfId="4" applyNumberFormat="1" applyFont="1" applyFill="1" applyAlignment="1">
      <alignment horizontal="right"/>
    </xf>
    <xf numFmtId="0" fontId="3" fillId="0" borderId="0" xfId="3" applyFont="1" applyAlignment="1">
      <alignment wrapText="1"/>
    </xf>
    <xf numFmtId="0" fontId="3" fillId="0" borderId="0" xfId="3" applyFont="1" applyAlignment="1">
      <alignment horizontal="left" vertical="top"/>
    </xf>
    <xf numFmtId="0" fontId="3" fillId="0" borderId="0" xfId="3" applyFont="1" applyAlignment="1">
      <alignment horizontal="right" wrapText="1"/>
    </xf>
    <xf numFmtId="3" fontId="3" fillId="0" borderId="0" xfId="3" applyNumberFormat="1" applyFont="1" applyAlignment="1">
      <alignment horizontal="right" wrapText="1"/>
    </xf>
    <xf numFmtId="0" fontId="4" fillId="4" borderId="3" xfId="3" applyFont="1" applyFill="1" applyBorder="1" applyAlignment="1">
      <alignment horizontal="left" wrapText="1"/>
    </xf>
    <xf numFmtId="0" fontId="4" fillId="4" borderId="3" xfId="3" applyFont="1" applyFill="1" applyBorder="1" applyAlignment="1">
      <alignment wrapText="1"/>
    </xf>
    <xf numFmtId="0" fontId="4" fillId="4" borderId="3" xfId="3" applyFont="1" applyFill="1" applyBorder="1" applyAlignment="1">
      <alignment horizontal="right" wrapText="1"/>
    </xf>
    <xf numFmtId="3" fontId="4" fillId="4" borderId="3" xfId="3" applyNumberFormat="1" applyFont="1" applyFill="1" applyBorder="1" applyAlignment="1">
      <alignment horizontal="right" wrapText="1"/>
    </xf>
    <xf numFmtId="170" fontId="4" fillId="4" borderId="3" xfId="3" applyNumberFormat="1" applyFont="1" applyFill="1" applyBorder="1" applyAlignment="1">
      <alignment horizontal="right" wrapText="1"/>
    </xf>
    <xf numFmtId="171" fontId="4" fillId="4" borderId="3" xfId="3" applyNumberFormat="1" applyFont="1" applyFill="1" applyBorder="1" applyAlignment="1">
      <alignment horizontal="right" wrapText="1"/>
    </xf>
    <xf numFmtId="172" fontId="4" fillId="4" borderId="3" xfId="3" applyNumberFormat="1" applyFont="1" applyFill="1" applyBorder="1" applyAlignment="1">
      <alignment horizontal="right" wrapText="1"/>
    </xf>
    <xf numFmtId="0" fontId="4" fillId="0" borderId="0" xfId="3" applyFont="1" applyAlignment="1">
      <alignment wrapText="1"/>
    </xf>
    <xf numFmtId="0" fontId="4" fillId="0" borderId="0" xfId="3" applyFont="1" applyAlignment="1">
      <alignment horizontal="right" wrapText="1"/>
    </xf>
    <xf numFmtId="3" fontId="4" fillId="0" borderId="0" xfId="3" applyNumberFormat="1" applyFont="1" applyAlignment="1">
      <alignment horizontal="right" wrapText="1"/>
    </xf>
    <xf numFmtId="170" fontId="4" fillId="0" borderId="0" xfId="3" applyNumberFormat="1" applyFont="1" applyAlignment="1">
      <alignment horizontal="right" wrapText="1"/>
    </xf>
    <xf numFmtId="172" fontId="4" fillId="0" borderId="0" xfId="3" applyNumberFormat="1" applyFont="1" applyAlignment="1">
      <alignment horizontal="right" wrapText="1"/>
    </xf>
    <xf numFmtId="0" fontId="4" fillId="6" borderId="0" xfId="3" applyFont="1" applyFill="1" applyAlignment="1">
      <alignment wrapText="1"/>
    </xf>
    <xf numFmtId="0" fontId="4" fillId="6" borderId="0" xfId="3" applyFont="1" applyFill="1" applyAlignment="1">
      <alignment horizontal="right" wrapText="1"/>
    </xf>
    <xf numFmtId="3" fontId="4" fillId="6" borderId="0" xfId="3" applyNumberFormat="1" applyFont="1" applyFill="1" applyAlignment="1">
      <alignment horizontal="right" wrapText="1"/>
    </xf>
    <xf numFmtId="170" fontId="4" fillId="6" borderId="0" xfId="3" applyNumberFormat="1" applyFont="1" applyFill="1" applyAlignment="1">
      <alignment horizontal="right" wrapText="1"/>
    </xf>
    <xf numFmtId="172" fontId="4" fillId="6" borderId="0" xfId="3" applyNumberFormat="1" applyFont="1" applyFill="1" applyAlignment="1">
      <alignment horizontal="right" wrapText="1"/>
    </xf>
    <xf numFmtId="0" fontId="12" fillId="4" borderId="0" xfId="3" applyFont="1" applyFill="1" applyAlignment="1">
      <alignment horizontal="left" wrapText="1"/>
    </xf>
    <xf numFmtId="0" fontId="12" fillId="4" borderId="0" xfId="3" applyFont="1" applyFill="1" applyAlignment="1">
      <alignment wrapText="1"/>
    </xf>
    <xf numFmtId="170" fontId="4" fillId="4" borderId="0" xfId="3" applyNumberFormat="1" applyFont="1" applyFill="1" applyAlignment="1">
      <alignment horizontal="right" wrapText="1"/>
    </xf>
    <xf numFmtId="172" fontId="4" fillId="4" borderId="0" xfId="3" applyNumberFormat="1" applyFont="1" applyFill="1" applyAlignment="1">
      <alignment horizontal="right" wrapText="1"/>
    </xf>
    <xf numFmtId="0" fontId="3" fillId="4" borderId="0" xfId="3" applyFont="1" applyFill="1" applyAlignment="1">
      <alignment horizontal="left" vertical="top" wrapText="1"/>
    </xf>
    <xf numFmtId="0" fontId="12" fillId="4" borderId="0" xfId="6" applyFont="1" applyFill="1" applyAlignment="1">
      <alignment horizontal="left" wrapText="1"/>
    </xf>
    <xf numFmtId="0" fontId="3" fillId="4" borderId="0" xfId="3" applyFont="1" applyFill="1" applyAlignment="1">
      <alignment wrapText="1"/>
    </xf>
    <xf numFmtId="0" fontId="14" fillId="4" borderId="0" xfId="3" applyFont="1" applyFill="1" applyAlignment="1">
      <alignment wrapText="1"/>
    </xf>
    <xf numFmtId="0" fontId="3" fillId="0" borderId="0" xfId="6" applyFont="1" applyAlignment="1">
      <alignment horizontal="left"/>
    </xf>
    <xf numFmtId="0" fontId="3" fillId="0" borderId="0" xfId="3" applyFont="1" applyAlignment="1">
      <alignment horizontal="left" vertical="top" wrapText="1"/>
    </xf>
    <xf numFmtId="0" fontId="4" fillId="4" borderId="0" xfId="3" applyFont="1" applyFill="1" applyAlignment="1">
      <alignment wrapText="1"/>
    </xf>
    <xf numFmtId="3" fontId="4" fillId="4" borderId="0" xfId="3" applyNumberFormat="1" applyFont="1" applyFill="1" applyAlignment="1">
      <alignment wrapText="1"/>
    </xf>
    <xf numFmtId="3" fontId="3" fillId="4" borderId="0" xfId="3" applyNumberFormat="1" applyFont="1" applyFill="1"/>
    <xf numFmtId="3" fontId="3" fillId="0" borderId="0" xfId="3" applyNumberFormat="1" applyFont="1" applyAlignment="1">
      <alignment wrapText="1"/>
    </xf>
    <xf numFmtId="3" fontId="3" fillId="0" borderId="0" xfId="3" applyNumberFormat="1" applyFont="1"/>
    <xf numFmtId="3" fontId="4" fillId="4" borderId="3" xfId="3" applyNumberFormat="1" applyFont="1" applyFill="1" applyBorder="1" applyAlignment="1">
      <alignment wrapText="1"/>
    </xf>
    <xf numFmtId="170" fontId="4" fillId="4" borderId="3" xfId="7" applyNumberFormat="1" applyFont="1" applyFill="1" applyBorder="1" applyAlignment="1">
      <alignment horizontal="right" wrapText="1"/>
    </xf>
    <xf numFmtId="171" fontId="4" fillId="4" borderId="3" xfId="7" applyNumberFormat="1" applyFont="1" applyFill="1" applyBorder="1" applyAlignment="1">
      <alignment horizontal="right" wrapText="1"/>
    </xf>
    <xf numFmtId="0" fontId="14" fillId="3" borderId="4" xfId="3" applyFont="1" applyFill="1" applyBorder="1" applyAlignment="1">
      <alignment vertical="top"/>
    </xf>
    <xf numFmtId="0" fontId="4" fillId="3" borderId="4" xfId="3" applyFont="1" applyFill="1" applyBorder="1" applyAlignment="1">
      <alignment vertical="top"/>
    </xf>
    <xf numFmtId="0" fontId="4" fillId="3" borderId="4" xfId="3" applyFont="1" applyFill="1" applyBorder="1" applyAlignment="1">
      <alignment horizontal="right" vertical="top" wrapText="1"/>
    </xf>
    <xf numFmtId="0" fontId="4" fillId="4" borderId="0" xfId="3" applyFont="1" applyFill="1" applyAlignment="1">
      <alignment horizontal="left" vertical="top"/>
    </xf>
    <xf numFmtId="0" fontId="15" fillId="4" borderId="0" xfId="3" applyFont="1" applyFill="1" applyAlignment="1">
      <alignment horizontal="left" wrapText="1"/>
    </xf>
    <xf numFmtId="0" fontId="11" fillId="4" borderId="0" xfId="3" applyFont="1" applyFill="1"/>
    <xf numFmtId="166" fontId="3" fillId="0" borderId="0" xfId="3" applyNumberFormat="1" applyFont="1"/>
    <xf numFmtId="166" fontId="4" fillId="4" borderId="3" xfId="3" applyNumberFormat="1" applyFont="1" applyFill="1" applyBorder="1" applyAlignment="1">
      <alignment horizontal="right" wrapText="1"/>
    </xf>
    <xf numFmtId="0" fontId="4" fillId="8" borderId="0" xfId="3" applyFont="1" applyFill="1" applyAlignment="1">
      <alignment horizontal="left" wrapText="1"/>
    </xf>
    <xf numFmtId="0" fontId="4" fillId="8" borderId="0" xfId="3" applyFont="1" applyFill="1" applyAlignment="1">
      <alignment horizontal="left" vertical="top"/>
    </xf>
    <xf numFmtId="166" fontId="4" fillId="8" borderId="0" xfId="3" applyNumberFormat="1" applyFont="1" applyFill="1" applyAlignment="1">
      <alignment horizontal="right" wrapText="1"/>
    </xf>
    <xf numFmtId="0" fontId="3" fillId="4" borderId="0" xfId="3" applyFont="1" applyFill="1"/>
    <xf numFmtId="166" fontId="11" fillId="4" borderId="0" xfId="3" applyNumberFormat="1" applyFont="1" applyFill="1" applyAlignment="1">
      <alignment horizontal="right" wrapText="1"/>
    </xf>
    <xf numFmtId="0" fontId="4" fillId="3" borderId="4" xfId="3" applyFont="1" applyFill="1" applyBorder="1" applyAlignment="1">
      <alignment horizontal="left" vertical="top"/>
    </xf>
    <xf numFmtId="0" fontId="12" fillId="4" borderId="0" xfId="3" applyFont="1" applyFill="1" applyAlignment="1">
      <alignment horizontal="left"/>
    </xf>
    <xf numFmtId="0" fontId="3" fillId="4" borderId="0" xfId="8" applyFont="1" applyFill="1" applyAlignment="1">
      <alignment horizontal="left" wrapText="1"/>
    </xf>
    <xf numFmtId="174" fontId="3" fillId="4" borderId="0" xfId="3" applyNumberFormat="1" applyFont="1" applyFill="1" applyAlignment="1">
      <alignment horizontal="right" vertical="top" wrapText="1"/>
    </xf>
    <xf numFmtId="0" fontId="3" fillId="0" borderId="0" xfId="8" applyFont="1" applyAlignment="1">
      <alignment horizontal="left"/>
    </xf>
    <xf numFmtId="174" fontId="3" fillId="0" borderId="0" xfId="3" applyNumberFormat="1" applyFont="1" applyAlignment="1">
      <alignment horizontal="right" vertical="top"/>
    </xf>
    <xf numFmtId="0" fontId="3" fillId="0" borderId="0" xfId="8" applyFont="1" applyAlignment="1">
      <alignment horizontal="left" wrapText="1"/>
    </xf>
    <xf numFmtId="174" fontId="3" fillId="0" borderId="0" xfId="3" applyNumberFormat="1" applyFont="1" applyAlignment="1">
      <alignment horizontal="right" vertical="top" wrapText="1"/>
    </xf>
    <xf numFmtId="166" fontId="11" fillId="0" borderId="0" xfId="3" applyNumberFormat="1" applyFont="1" applyAlignment="1">
      <alignment horizontal="right" wrapText="1"/>
    </xf>
    <xf numFmtId="0" fontId="4" fillId="6" borderId="4" xfId="3" applyFont="1" applyFill="1" applyBorder="1" applyAlignment="1">
      <alignment vertical="center"/>
    </xf>
    <xf numFmtId="0" fontId="4" fillId="6" borderId="4" xfId="3" applyFont="1" applyFill="1" applyBorder="1" applyAlignment="1">
      <alignment horizontal="right" vertical="center" wrapText="1"/>
    </xf>
    <xf numFmtId="0" fontId="4" fillId="8" borderId="0" xfId="3" applyFont="1" applyFill="1" applyAlignment="1">
      <alignment wrapText="1"/>
    </xf>
    <xf numFmtId="166" fontId="3" fillId="8" borderId="0" xfId="3" applyNumberFormat="1" applyFont="1" applyFill="1" applyAlignment="1">
      <alignment horizontal="right" wrapText="1"/>
    </xf>
    <xf numFmtId="0" fontId="12" fillId="0" borderId="0" xfId="3" applyFont="1" applyAlignment="1">
      <alignment wrapText="1"/>
    </xf>
    <xf numFmtId="3" fontId="3" fillId="4" borderId="0" xfId="3" applyNumberFormat="1" applyFont="1" applyFill="1" applyAlignment="1">
      <alignment wrapText="1"/>
    </xf>
    <xf numFmtId="172" fontId="3" fillId="0" borderId="0" xfId="3" applyNumberFormat="1" applyFont="1"/>
    <xf numFmtId="0" fontId="4" fillId="9" borderId="3" xfId="3" applyFont="1" applyFill="1" applyBorder="1" applyAlignment="1">
      <alignment wrapText="1"/>
    </xf>
    <xf numFmtId="3" fontId="4" fillId="9" borderId="3" xfId="3" applyNumberFormat="1" applyFont="1" applyFill="1" applyBorder="1" applyAlignment="1">
      <alignment horizontal="right" wrapText="1"/>
    </xf>
    <xf numFmtId="170" fontId="4" fillId="9" borderId="3" xfId="3" applyNumberFormat="1" applyFont="1" applyFill="1" applyBorder="1" applyAlignment="1">
      <alignment horizontal="right" wrapText="1"/>
    </xf>
    <xf numFmtId="172" fontId="3" fillId="0" borderId="0" xfId="3" applyNumberFormat="1" applyFont="1" applyAlignment="1">
      <alignment horizontal="right" wrapText="1"/>
    </xf>
    <xf numFmtId="0" fontId="12" fillId="0" borderId="0" xfId="3" applyFont="1"/>
    <xf numFmtId="172" fontId="3" fillId="0" borderId="0" xfId="3" applyNumberFormat="1" applyFont="1" applyAlignment="1">
      <alignment horizontal="right"/>
    </xf>
    <xf numFmtId="10" fontId="4" fillId="0" borderId="0" xfId="3" applyNumberFormat="1" applyFont="1"/>
    <xf numFmtId="170" fontId="3" fillId="0" borderId="0" xfId="3" applyNumberFormat="1" applyFont="1" applyAlignment="1">
      <alignment horizontal="right" wrapText="1"/>
    </xf>
    <xf numFmtId="0" fontId="4" fillId="9" borderId="5" xfId="3" applyFont="1" applyFill="1" applyBorder="1" applyAlignment="1">
      <alignment wrapText="1"/>
    </xf>
    <xf numFmtId="3" fontId="4" fillId="9" borderId="5" xfId="3" applyNumberFormat="1" applyFont="1" applyFill="1" applyBorder="1" applyAlignment="1">
      <alignment horizontal="right" wrapText="1"/>
    </xf>
    <xf numFmtId="170" fontId="4" fillId="9" borderId="5" xfId="7" applyNumberFormat="1" applyFont="1" applyFill="1" applyBorder="1" applyAlignment="1">
      <alignment horizontal="right" wrapText="1"/>
    </xf>
    <xf numFmtId="10" fontId="3" fillId="0" borderId="0" xfId="4" applyNumberFormat="1" applyFont="1"/>
    <xf numFmtId="0" fontId="16" fillId="0" borderId="0" xfId="3" applyFont="1" applyAlignment="1">
      <alignment wrapText="1"/>
    </xf>
    <xf numFmtId="166" fontId="3" fillId="0" borderId="0" xfId="3" applyNumberFormat="1" applyFont="1" applyAlignment="1">
      <alignment wrapText="1"/>
    </xf>
    <xf numFmtId="166" fontId="3" fillId="0" borderId="0" xfId="5" applyNumberFormat="1" applyFont="1" applyAlignment="1">
      <alignment wrapText="1"/>
    </xf>
    <xf numFmtId="166" fontId="3" fillId="10" borderId="0" xfId="3" applyNumberFormat="1" applyFont="1" applyFill="1" applyAlignment="1">
      <alignment horizontal="right"/>
    </xf>
    <xf numFmtId="0" fontId="4" fillId="0" borderId="0" xfId="3" applyFont="1" applyAlignment="1">
      <alignment horizontal="left" vertical="top"/>
    </xf>
    <xf numFmtId="0" fontId="19" fillId="4" borderId="0" xfId="3" applyFont="1" applyFill="1" applyAlignment="1">
      <alignment horizontal="left" wrapText="1"/>
    </xf>
    <xf numFmtId="0" fontId="20" fillId="7" borderId="0" xfId="3" applyFont="1" applyFill="1" applyAlignment="1">
      <alignment horizontal="left"/>
    </xf>
    <xf numFmtId="0" fontId="19" fillId="4" borderId="0" xfId="3" applyFont="1" applyFill="1" applyAlignment="1">
      <alignment horizontal="left"/>
    </xf>
    <xf numFmtId="0" fontId="11" fillId="0" borderId="0" xfId="0" applyFont="1" applyAlignment="1">
      <alignment horizontal="left" wrapText="1"/>
    </xf>
    <xf numFmtId="164" fontId="4" fillId="10" borderId="0" xfId="2" applyFont="1" applyFill="1" applyAlignment="1">
      <alignment horizontal="right" wrapText="1"/>
    </xf>
    <xf numFmtId="172" fontId="4" fillId="10" borderId="3" xfId="3" applyNumberFormat="1" applyFont="1" applyFill="1" applyBorder="1" applyAlignment="1">
      <alignment horizontal="right" wrapText="1"/>
    </xf>
    <xf numFmtId="0" fontId="19" fillId="4" borderId="0" xfId="3" applyFont="1" applyFill="1" applyAlignment="1">
      <alignment wrapText="1"/>
    </xf>
    <xf numFmtId="0" fontId="20" fillId="7" borderId="0" xfId="6" applyFont="1" applyFill="1" applyAlignment="1">
      <alignment horizontal="left"/>
    </xf>
    <xf numFmtId="0" fontId="20" fillId="0" borderId="0" xfId="3" applyFont="1" applyAlignment="1">
      <alignment horizontal="left"/>
    </xf>
    <xf numFmtId="0" fontId="14" fillId="3" borderId="4" xfId="3" applyFont="1" applyFill="1" applyBorder="1" applyAlignment="1">
      <alignment vertical="top" wrapText="1"/>
    </xf>
    <xf numFmtId="0" fontId="14" fillId="3" borderId="4" xfId="3" applyFont="1" applyFill="1" applyBorder="1" applyAlignment="1">
      <alignment horizontal="left" vertical="top" wrapText="1"/>
    </xf>
    <xf numFmtId="174" fontId="3" fillId="10" borderId="0" xfId="3" applyNumberFormat="1" applyFont="1" applyFill="1" applyAlignment="1">
      <alignment horizontal="right" vertical="top"/>
    </xf>
    <xf numFmtId="174" fontId="3" fillId="10" borderId="0" xfId="3" applyNumberFormat="1" applyFont="1" applyFill="1" applyAlignment="1">
      <alignment horizontal="right" vertical="top" wrapText="1"/>
    </xf>
    <xf numFmtId="170" fontId="4" fillId="10" borderId="3" xfId="3" applyNumberFormat="1" applyFont="1" applyFill="1" applyBorder="1" applyAlignment="1">
      <alignment horizontal="right" wrapText="1"/>
    </xf>
    <xf numFmtId="172" fontId="3" fillId="10" borderId="0" xfId="3" applyNumberFormat="1" applyFont="1" applyFill="1" applyAlignment="1">
      <alignment horizontal="right"/>
    </xf>
    <xf numFmtId="0" fontId="4" fillId="0" borderId="1" xfId="3" applyFont="1" applyBorder="1" applyAlignment="1">
      <alignment horizontal="left" wrapText="1"/>
    </xf>
    <xf numFmtId="0" fontId="3" fillId="0" borderId="1" xfId="3" applyFont="1" applyBorder="1" applyAlignment="1">
      <alignment wrapText="1"/>
    </xf>
    <xf numFmtId="0" fontId="16" fillId="7" borderId="1" xfId="3" applyFont="1" applyFill="1" applyBorder="1" applyAlignment="1">
      <alignment wrapText="1"/>
    </xf>
    <xf numFmtId="0" fontId="3" fillId="5" borderId="1" xfId="3" applyFont="1" applyFill="1" applyBorder="1" applyAlignment="1">
      <alignment wrapText="1"/>
    </xf>
    <xf numFmtId="0" fontId="3" fillId="0" borderId="1" xfId="3" applyFont="1" applyBorder="1" applyAlignment="1">
      <alignment horizontal="left" wrapText="1"/>
    </xf>
    <xf numFmtId="0" fontId="11" fillId="0" borderId="1" xfId="3" applyFont="1" applyBorder="1" applyAlignment="1">
      <alignment wrapText="1"/>
    </xf>
    <xf numFmtId="0" fontId="3" fillId="10" borderId="1" xfId="3" applyFont="1" applyFill="1" applyBorder="1" applyAlignment="1">
      <alignment wrapText="1"/>
    </xf>
    <xf numFmtId="0" fontId="20" fillId="0" borderId="1" xfId="3" applyFont="1" applyBorder="1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22" fillId="0" borderId="3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11" borderId="0" xfId="0" applyFont="1" applyFill="1" applyAlignment="1">
      <alignment horizontal="left" wrapText="1"/>
    </xf>
    <xf numFmtId="0" fontId="12" fillId="4" borderId="0" xfId="0" applyFont="1" applyFill="1" applyAlignment="1">
      <alignment horizontal="left" wrapText="1"/>
    </xf>
    <xf numFmtId="0" fontId="12" fillId="0" borderId="0" xfId="0" applyFont="1" applyAlignment="1">
      <alignment horizontal="left" wrapText="1"/>
    </xf>
    <xf numFmtId="0" fontId="3" fillId="4" borderId="0" xfId="0" applyFont="1" applyFill="1" applyAlignment="1">
      <alignment horizontal="left" wrapText="1"/>
    </xf>
    <xf numFmtId="0" fontId="3" fillId="4" borderId="0" xfId="0" applyFont="1" applyFill="1" applyAlignment="1">
      <alignment horizontal="left"/>
    </xf>
    <xf numFmtId="165" fontId="3" fillId="4" borderId="0" xfId="1" applyFont="1" applyFill="1"/>
    <xf numFmtId="165" fontId="3" fillId="4" borderId="0" xfId="3" applyNumberFormat="1" applyFont="1" applyFill="1"/>
    <xf numFmtId="0" fontId="3" fillId="5" borderId="0" xfId="0" applyFont="1" applyFill="1" applyAlignment="1">
      <alignment horizontal="left" wrapText="1"/>
    </xf>
    <xf numFmtId="0" fontId="3" fillId="0" borderId="0" xfId="6" applyFont="1" applyAlignment="1">
      <alignment horizontal="left" wrapText="1"/>
    </xf>
    <xf numFmtId="0" fontId="8" fillId="2" borderId="1" xfId="3" applyFont="1" applyFill="1" applyBorder="1" applyAlignment="1">
      <alignment horizontal="center" vertical="center" wrapText="1"/>
    </xf>
    <xf numFmtId="0" fontId="8" fillId="0" borderId="2" xfId="3" applyFont="1" applyBorder="1" applyAlignment="1">
      <alignment horizontal="center" wrapText="1"/>
    </xf>
    <xf numFmtId="3" fontId="4" fillId="0" borderId="0" xfId="3" applyNumberFormat="1" applyFont="1" applyAlignment="1">
      <alignment horizontal="center" vertical="center" wrapText="1"/>
    </xf>
    <xf numFmtId="0" fontId="4" fillId="0" borderId="0" xfId="3" applyFont="1" applyAlignment="1">
      <alignment horizontal="center" wrapText="1"/>
    </xf>
    <xf numFmtId="0" fontId="4" fillId="0" borderId="0" xfId="3" applyFont="1" applyAlignment="1">
      <alignment horizontal="center" vertical="center" wrapText="1"/>
    </xf>
    <xf numFmtId="0" fontId="5" fillId="0" borderId="0" xfId="3" applyFont="1" applyAlignment="1">
      <alignment horizontal="center"/>
    </xf>
  </cellXfs>
  <cellStyles count="9">
    <cellStyle name="Comma" xfId="1" builtinId="3"/>
    <cellStyle name="Currency" xfId="2" builtinId="4"/>
    <cellStyle name="Millares 2" xfId="5" xr:uid="{B146021C-55FA-47DF-B661-8E3743240577}"/>
    <cellStyle name="Moneda 2" xfId="7" xr:uid="{893B25C6-E142-4A48-BD3D-0191D28EADC5}"/>
    <cellStyle name="Normal" xfId="0" builtinId="0"/>
    <cellStyle name="Normal 2" xfId="3" xr:uid="{82C15C1E-E3B5-4AD7-B6A8-890D757B6CBB}"/>
    <cellStyle name="Normal 2 2" xfId="8" xr:uid="{5C056D06-8A6A-4C7E-BC40-2FD634691EE0}"/>
    <cellStyle name="Normal 7" xfId="6" xr:uid="{A4D7833B-1368-4B5E-8D47-EA5A55C35F2A}"/>
    <cellStyle name="Porcentaje 2" xfId="4" xr:uid="{A777BA0D-AA6B-430F-9C3A-3A0A3EAE2A2F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sites/FA/Organizational%20FA/Finance%20Policies%20&amp;%20Procedures/Budgets,%20Accounting%20&amp;%20Awards/DOL427/DOL427%20Ecuador%20Budget%202024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hpiego-my.sharepoint.com/personal/kwest_jhpiego_org/Documents/Desktop/Templates/E/Ecuad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udget Summary"/>
      <sheetName val="Line-Item Budget"/>
      <sheetName val="US &amp; Local Summaries"/>
      <sheetName val="TA Summary"/>
      <sheetName val="Funding By Partner"/>
      <sheetName val="LOE Table"/>
      <sheetName val="Total Budget by Sponsored Class"/>
      <sheetName val="US Costs by Sponsored Class"/>
      <sheetName val="Incountry Costs by GL USD"/>
      <sheetName val="IC by GL in LC"/>
      <sheetName val="Office Budget"/>
      <sheetName val=" Activities Detail"/>
      <sheetName val="INDES Sub Budget Summary"/>
      <sheetName val="INDES Sub Line-Item Budget"/>
      <sheetName val="INDES Sub Activities Detail"/>
      <sheetName val="Travel"/>
      <sheetName val="HO LOE"/>
      <sheetName val="SF424"/>
      <sheetName val="SF424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 (2)"/>
      <sheetName val="Activities"/>
      <sheetName val="Assumptions"/>
      <sheetName val="Budget Summary"/>
      <sheetName val="Line-Item Budget"/>
      <sheetName val="Travel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nielle Martin" id="{89556BF9-2EA0-4D78-A607-366006FB662D}" userId="Danielle Martin" providerId="Non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4" dT="2025-05-14T04:51:17.70" personId="{89556BF9-2EA0-4D78-A607-366006FB662D}" id="{83F05424-8479-4B85-866C-E3DACECD3F29}">
    <text>Update title of this code</text>
  </threadedComment>
  <threadedComment ref="A56" dT="2025-05-14T04:55:53.44" personId="{89556BF9-2EA0-4D78-A607-366006FB662D}" id="{BCD8194D-2575-44F5-817D-AE2FCA5F7DC7}">
    <text>Update title of this code</text>
  </threadedComment>
  <threadedComment ref="A58" dT="2025-05-14T04:55:43.71" personId="{89556BF9-2EA0-4D78-A607-366006FB662D}" id="{05174443-C57E-4EA9-97E2-B0DBA827E7E3}">
    <text>Update title of this code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17DD-863C-4F74-B7E4-33BD79542B20}">
  <sheetPr>
    <tabColor rgb="FFFF0000"/>
    <pageSetUpPr fitToPage="1"/>
  </sheetPr>
  <dimension ref="A1:W291"/>
  <sheetViews>
    <sheetView tabSelected="1" topLeftCell="A4" zoomScale="140" zoomScaleNormal="100" zoomScaleSheetLayoutView="90" workbookViewId="0">
      <pane xSplit="4" ySplit="10" topLeftCell="E246" activePane="bottomRight" state="frozen"/>
      <selection pane="topRight" activeCell="H4" sqref="H4"/>
      <selection pane="bottomLeft" activeCell="A14" sqref="A14"/>
      <selection pane="bottomRight" activeCell="D255" sqref="D255"/>
    </sheetView>
  </sheetViews>
  <sheetFormatPr defaultColWidth="11.42578125" defaultRowHeight="12" customHeight="1"/>
  <cols>
    <col min="1" max="2" width="14.90234375" style="51" customWidth="1"/>
    <col min="3" max="3" width="8.234375" style="51" customWidth="1"/>
    <col min="4" max="4" width="45.6171875" style="51" customWidth="1"/>
    <col min="5" max="5" width="10.5703125" style="51" customWidth="1"/>
    <col min="6" max="6" width="9.42578125" style="51" customWidth="1"/>
    <col min="7" max="7" width="6.42578125" style="51" customWidth="1"/>
    <col min="8" max="8" width="11.42578125" style="85" customWidth="1"/>
    <col min="9" max="9" width="11.42578125" style="86" customWidth="1"/>
    <col min="10" max="10" width="7" style="86" customWidth="1"/>
    <col min="11" max="11" width="12.5703125" style="86" customWidth="1"/>
    <col min="12" max="12" width="6.42578125" style="86" customWidth="1"/>
    <col min="13" max="13" width="12.42578125" style="86" customWidth="1"/>
    <col min="14" max="14" width="6.5703125" style="86" customWidth="1"/>
    <col min="15" max="15" width="12" style="86" customWidth="1"/>
    <col min="16" max="16" width="6.140625" style="86" customWidth="1"/>
    <col min="17" max="17" width="12" style="86" customWidth="1"/>
    <col min="18" max="18" width="14.42578125" style="54" customWidth="1"/>
    <col min="19" max="19" width="9.5703125" style="86" customWidth="1"/>
    <col min="20" max="20" width="13.140625" style="54" customWidth="1"/>
    <col min="21" max="21" width="11.5703125" style="1" customWidth="1"/>
    <col min="22" max="16384" width="11.42578125" style="1"/>
  </cols>
  <sheetData>
    <row r="1" spans="1:23" ht="10.5">
      <c r="A1" s="1"/>
      <c r="B1" s="1"/>
      <c r="C1" s="1"/>
      <c r="D1" s="176" t="s">
        <v>0</v>
      </c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3"/>
    </row>
    <row r="2" spans="1:23" ht="10.5">
      <c r="A2" s="1"/>
      <c r="B2" s="1"/>
      <c r="C2" s="1"/>
      <c r="D2" s="177" t="s">
        <v>1</v>
      </c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</row>
    <row r="3" spans="1:23" s="4" customFormat="1" ht="12.75" customHeight="1">
      <c r="E3" s="178" t="s">
        <v>2</v>
      </c>
      <c r="F3" s="178"/>
      <c r="G3" s="178"/>
      <c r="H3" s="178"/>
      <c r="I3" s="5"/>
      <c r="J3" s="5"/>
      <c r="K3" s="5"/>
      <c r="L3" s="5"/>
      <c r="M3" s="5"/>
      <c r="N3" s="5"/>
      <c r="O3" s="5"/>
      <c r="P3" s="5"/>
      <c r="Q3" s="5"/>
      <c r="R3" s="5"/>
    </row>
    <row r="4" spans="1:23" s="6" customFormat="1" ht="13.8">
      <c r="A4" s="159"/>
      <c r="B4" s="159"/>
      <c r="D4" s="173" t="s">
        <v>3</v>
      </c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</row>
    <row r="5" spans="1:23" s="6" customFormat="1" ht="13.8">
      <c r="A5" s="160" t="s">
        <v>259</v>
      </c>
      <c r="B5" s="160" t="s">
        <v>260</v>
      </c>
      <c r="D5" s="173" t="s">
        <v>4</v>
      </c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</row>
    <row r="6" spans="1:23" s="6" customFormat="1" ht="13.8">
      <c r="A6" s="160" t="s">
        <v>261</v>
      </c>
      <c r="B6" s="160">
        <v>20200</v>
      </c>
      <c r="D6" s="173" t="s">
        <v>5</v>
      </c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</row>
    <row r="7" spans="1:23" s="6" customFormat="1" ht="13.8">
      <c r="A7" s="160" t="s">
        <v>262</v>
      </c>
      <c r="B7" s="160" t="s">
        <v>263</v>
      </c>
      <c r="D7" s="173" t="s">
        <v>6</v>
      </c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</row>
    <row r="8" spans="1:23" s="6" customFormat="1" ht="13.8" hidden="1">
      <c r="D8" s="174" t="s">
        <v>7</v>
      </c>
      <c r="E8" s="17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3" s="6" customFormat="1" ht="12.6" hidden="1">
      <c r="A9" s="8"/>
      <c r="B9" s="8"/>
      <c r="C9" s="8"/>
      <c r="D9" s="8" t="s">
        <v>8</v>
      </c>
      <c r="E9" s="9">
        <v>1.03</v>
      </c>
      <c r="F9" s="7"/>
      <c r="G9" s="7"/>
      <c r="H9" s="7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3" s="6" customFormat="1" ht="12.6" hidden="1">
      <c r="A10" s="8"/>
      <c r="B10" s="8"/>
      <c r="C10" s="8"/>
      <c r="D10" s="8" t="s">
        <v>9</v>
      </c>
      <c r="E10" s="9">
        <v>1.05</v>
      </c>
      <c r="F10" s="11"/>
      <c r="G10" s="11"/>
      <c r="H10" s="12"/>
      <c r="I10" s="13"/>
      <c r="J10" s="14"/>
      <c r="K10" s="13"/>
      <c r="L10" s="13"/>
      <c r="M10" s="14"/>
      <c r="N10" s="13"/>
      <c r="O10" s="13"/>
      <c r="P10" s="13"/>
      <c r="Q10" s="13"/>
      <c r="R10" s="13"/>
      <c r="S10" s="14"/>
      <c r="T10" s="13"/>
      <c r="U10" s="13"/>
    </row>
    <row r="11" spans="1:23" s="6" customFormat="1" ht="12.6" hidden="1">
      <c r="A11" s="8"/>
      <c r="B11" s="8"/>
      <c r="C11" s="8"/>
      <c r="D11" s="8" t="s">
        <v>10</v>
      </c>
      <c r="E11" s="15">
        <v>1.0349999999999999</v>
      </c>
      <c r="F11" s="11"/>
      <c r="G11" s="11"/>
      <c r="H11" s="12"/>
      <c r="I11" s="13"/>
      <c r="J11" s="14"/>
      <c r="K11" s="13"/>
      <c r="L11" s="13"/>
      <c r="M11" s="14"/>
      <c r="N11" s="13"/>
      <c r="O11" s="13"/>
      <c r="P11" s="13"/>
      <c r="Q11" s="13"/>
      <c r="R11" s="13"/>
      <c r="S11" s="14"/>
      <c r="T11" s="13"/>
      <c r="U11" s="13"/>
    </row>
    <row r="12" spans="1:23" ht="10.5" hidden="1">
      <c r="A12" s="1"/>
      <c r="B12" s="1"/>
      <c r="C12" s="1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</row>
    <row r="13" spans="1:23" s="16" customFormat="1" ht="45.9" thickBot="1">
      <c r="A13" s="161" t="s">
        <v>264</v>
      </c>
      <c r="B13" s="161" t="s">
        <v>265</v>
      </c>
      <c r="C13" s="161" t="s">
        <v>266</v>
      </c>
      <c r="D13" s="17" t="s">
        <v>11</v>
      </c>
      <c r="E13" s="17" t="s">
        <v>12</v>
      </c>
      <c r="F13" s="17" t="s">
        <v>13</v>
      </c>
      <c r="G13" s="17" t="s">
        <v>14</v>
      </c>
      <c r="H13" s="18" t="s">
        <v>15</v>
      </c>
      <c r="I13" s="18" t="s">
        <v>16</v>
      </c>
      <c r="J13" s="17" t="s">
        <v>14</v>
      </c>
      <c r="K13" s="18" t="s">
        <v>17</v>
      </c>
      <c r="L13" s="17" t="s">
        <v>14</v>
      </c>
      <c r="M13" s="18" t="s">
        <v>18</v>
      </c>
      <c r="N13" s="17" t="s">
        <v>14</v>
      </c>
      <c r="O13" s="18" t="s">
        <v>19</v>
      </c>
      <c r="P13" s="17" t="s">
        <v>14</v>
      </c>
      <c r="Q13" s="18" t="s">
        <v>20</v>
      </c>
      <c r="R13" s="19" t="s">
        <v>21</v>
      </c>
      <c r="S13" s="19" t="s">
        <v>22</v>
      </c>
      <c r="T13" s="19" t="s">
        <v>23</v>
      </c>
    </row>
    <row r="14" spans="1:23" ht="10.5">
      <c r="A14" s="20"/>
      <c r="B14" s="20"/>
      <c r="C14" s="20"/>
      <c r="D14" s="20" t="s">
        <v>25</v>
      </c>
      <c r="E14" s="20"/>
      <c r="F14" s="21"/>
      <c r="G14" s="21"/>
      <c r="H14" s="22"/>
      <c r="I14" s="23"/>
      <c r="J14" s="23"/>
      <c r="K14" s="23"/>
      <c r="L14" s="23"/>
      <c r="M14" s="23"/>
      <c r="N14" s="23"/>
      <c r="O14" s="23"/>
      <c r="P14" s="23"/>
      <c r="Q14" s="23"/>
      <c r="R14" s="24"/>
      <c r="S14" s="23"/>
      <c r="T14" s="24"/>
    </row>
    <row r="15" spans="1:23" ht="10.5">
      <c r="A15" s="25"/>
      <c r="B15" s="25"/>
      <c r="C15" s="25"/>
      <c r="D15" s="25" t="s">
        <v>26</v>
      </c>
      <c r="E15" s="25"/>
      <c r="F15" s="26"/>
      <c r="G15" s="27"/>
      <c r="H15" s="28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V15" s="30"/>
    </row>
    <row r="16" spans="1:23" ht="10.199999999999999">
      <c r="A16" s="162" t="s">
        <v>267</v>
      </c>
      <c r="B16" s="162" t="s">
        <v>268</v>
      </c>
      <c r="C16" s="162" t="s">
        <v>269</v>
      </c>
      <c r="D16" s="2" t="s">
        <v>27</v>
      </c>
      <c r="E16" s="2" t="s">
        <v>28</v>
      </c>
      <c r="F16" s="2" t="s">
        <v>29</v>
      </c>
      <c r="G16" s="31">
        <v>12</v>
      </c>
      <c r="H16" s="31">
        <f>5630*0.9</f>
        <v>5067</v>
      </c>
      <c r="I16" s="31">
        <v>116628.39</v>
      </c>
      <c r="J16" s="31">
        <v>12</v>
      </c>
      <c r="K16" s="31">
        <v>138855</v>
      </c>
      <c r="L16" s="31">
        <v>12</v>
      </c>
      <c r="M16" s="31">
        <v>158005.32</v>
      </c>
      <c r="N16" s="31">
        <v>12</v>
      </c>
      <c r="O16" s="31">
        <v>141137.95800000001</v>
      </c>
      <c r="P16" s="31">
        <v>12</v>
      </c>
      <c r="Q16" s="31">
        <v>74211.415424999999</v>
      </c>
      <c r="R16" s="31">
        <f>SUM(I16+K16+M16+O16+Q16)</f>
        <v>628838.08342500008</v>
      </c>
      <c r="S16" s="31">
        <v>0</v>
      </c>
      <c r="T16" s="134">
        <f>SUM(R16:S16)</f>
        <v>628838.08342500008</v>
      </c>
      <c r="U16" s="32"/>
      <c r="V16" s="30"/>
      <c r="W16" s="33"/>
    </row>
    <row r="17" spans="1:23" ht="10.199999999999999">
      <c r="A17" s="163" t="s">
        <v>270</v>
      </c>
      <c r="B17" s="163">
        <v>70000</v>
      </c>
      <c r="C17" s="163" t="s">
        <v>271</v>
      </c>
      <c r="D17" s="2" t="s">
        <v>30</v>
      </c>
      <c r="E17" s="2" t="s">
        <v>28</v>
      </c>
      <c r="F17" s="2" t="s">
        <v>29</v>
      </c>
      <c r="G17" s="31">
        <v>11</v>
      </c>
      <c r="H17" s="31">
        <v>3300</v>
      </c>
      <c r="I17" s="31">
        <v>20917.100000000002</v>
      </c>
      <c r="J17" s="31">
        <v>12</v>
      </c>
      <c r="K17" s="31">
        <v>69476.44</v>
      </c>
      <c r="L17" s="31">
        <v>12</v>
      </c>
      <c r="M17" s="31">
        <v>74209.72</v>
      </c>
      <c r="N17" s="31">
        <v>12</v>
      </c>
      <c r="O17" s="31">
        <v>40400.416000000005</v>
      </c>
      <c r="P17" s="31">
        <v>12</v>
      </c>
      <c r="Q17" s="31">
        <v>19357.109100000001</v>
      </c>
      <c r="R17" s="31">
        <f>SUM(I17+K17+M17+O17+Q17)</f>
        <v>224360.78510000001</v>
      </c>
      <c r="S17" s="31">
        <v>0</v>
      </c>
      <c r="T17" s="134">
        <f>SUM(R17:S17)</f>
        <v>224360.78510000001</v>
      </c>
      <c r="U17" s="34"/>
      <c r="V17" s="30"/>
      <c r="W17" s="33"/>
    </row>
    <row r="18" spans="1:23" ht="10.199999999999999">
      <c r="A18" s="35"/>
      <c r="B18" s="35"/>
      <c r="C18" s="35"/>
      <c r="D18" s="35"/>
      <c r="E18" s="35"/>
      <c r="F18" s="2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4"/>
      <c r="V18" s="30"/>
      <c r="W18" s="33"/>
    </row>
    <row r="19" spans="1:23" ht="10.5">
      <c r="A19" s="25"/>
      <c r="B19" s="25"/>
      <c r="C19" s="25"/>
      <c r="D19" s="25" t="s">
        <v>31</v>
      </c>
      <c r="E19" s="25"/>
      <c r="F19" s="37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4"/>
      <c r="V19" s="30"/>
      <c r="W19" s="33"/>
    </row>
    <row r="20" spans="1:23" ht="10.199999999999999" hidden="1">
      <c r="A20" s="162" t="s">
        <v>282</v>
      </c>
      <c r="B20" s="162" t="s">
        <v>282</v>
      </c>
      <c r="C20" s="162" t="s">
        <v>282</v>
      </c>
      <c r="D20" s="2" t="s">
        <v>32</v>
      </c>
      <c r="E20" s="2" t="s">
        <v>28</v>
      </c>
      <c r="F20" s="2" t="s">
        <v>29</v>
      </c>
      <c r="G20" s="31">
        <v>10</v>
      </c>
      <c r="H20" s="31">
        <v>3500</v>
      </c>
      <c r="I20" s="31">
        <v>0</v>
      </c>
      <c r="J20" s="31">
        <v>12</v>
      </c>
      <c r="K20" s="31">
        <v>0</v>
      </c>
      <c r="L20" s="31">
        <v>12</v>
      </c>
      <c r="M20" s="31">
        <v>0</v>
      </c>
      <c r="N20" s="31">
        <v>10</v>
      </c>
      <c r="O20" s="31">
        <v>0</v>
      </c>
      <c r="P20" s="31">
        <v>10</v>
      </c>
      <c r="Q20" s="31">
        <v>0</v>
      </c>
      <c r="R20" s="31">
        <f t="shared" ref="R20:R25" si="0">SUM(I20+K20+M20+O20+Q20)</f>
        <v>0</v>
      </c>
      <c r="S20" s="31">
        <v>0</v>
      </c>
      <c r="T20" s="31">
        <f t="shared" ref="T20:T25" si="1">SUM(R20:S20)</f>
        <v>0</v>
      </c>
      <c r="V20" s="30"/>
      <c r="W20" s="33"/>
    </row>
    <row r="21" spans="1:23" ht="10.199999999999999">
      <c r="A21" s="162" t="s">
        <v>272</v>
      </c>
      <c r="B21" s="163">
        <v>70000</v>
      </c>
      <c r="C21" s="163" t="s">
        <v>271</v>
      </c>
      <c r="D21" s="2" t="s">
        <v>33</v>
      </c>
      <c r="E21" s="2" t="s">
        <v>28</v>
      </c>
      <c r="F21" s="2" t="s">
        <v>29</v>
      </c>
      <c r="G21" s="31">
        <v>10</v>
      </c>
      <c r="H21" s="31">
        <f>2600*0.5</f>
        <v>1300</v>
      </c>
      <c r="I21" s="31">
        <v>0</v>
      </c>
      <c r="J21" s="31">
        <v>12</v>
      </c>
      <c r="K21" s="31">
        <v>667.26</v>
      </c>
      <c r="L21" s="31">
        <v>12</v>
      </c>
      <c r="M21" s="31">
        <v>18337.21</v>
      </c>
      <c r="N21" s="31">
        <v>9</v>
      </c>
      <c r="O21" s="31">
        <v>26023.95</v>
      </c>
      <c r="P21" s="31">
        <v>9</v>
      </c>
      <c r="Q21" s="31">
        <v>13125</v>
      </c>
      <c r="R21" s="31">
        <f t="shared" si="0"/>
        <v>58153.42</v>
      </c>
      <c r="S21" s="31">
        <v>0</v>
      </c>
      <c r="T21" s="134">
        <f t="shared" si="1"/>
        <v>58153.42</v>
      </c>
      <c r="V21" s="30"/>
      <c r="W21" s="33"/>
    </row>
    <row r="22" spans="1:23" ht="10.199999999999999">
      <c r="A22" s="39" t="s">
        <v>281</v>
      </c>
      <c r="B22" s="163">
        <v>70000</v>
      </c>
      <c r="C22" s="163" t="s">
        <v>271</v>
      </c>
      <c r="D22" s="2" t="s">
        <v>34</v>
      </c>
      <c r="E22" s="2" t="s">
        <v>28</v>
      </c>
      <c r="F22" s="2" t="s">
        <v>29</v>
      </c>
      <c r="G22" s="31"/>
      <c r="H22" s="31"/>
      <c r="I22" s="31">
        <v>5561.9</v>
      </c>
      <c r="J22" s="31"/>
      <c r="K22" s="31">
        <v>0</v>
      </c>
      <c r="L22" s="31"/>
      <c r="M22" s="31">
        <v>31355.939999999995</v>
      </c>
      <c r="N22" s="31"/>
      <c r="O22" s="31">
        <v>83612.673999999999</v>
      </c>
      <c r="P22" s="31"/>
      <c r="Q22" s="31">
        <v>38660.129812500003</v>
      </c>
      <c r="R22" s="31">
        <f t="shared" si="0"/>
        <v>159190.6438125</v>
      </c>
      <c r="S22" s="31">
        <v>0</v>
      </c>
      <c r="T22" s="134">
        <f t="shared" si="1"/>
        <v>159190.6438125</v>
      </c>
      <c r="V22" s="30"/>
      <c r="W22" s="33"/>
    </row>
    <row r="23" spans="1:23" ht="10.199999999999999">
      <c r="A23" s="162" t="s">
        <v>273</v>
      </c>
      <c r="B23" s="163">
        <v>70000</v>
      </c>
      <c r="C23" s="163" t="s">
        <v>271</v>
      </c>
      <c r="D23" s="2" t="s">
        <v>35</v>
      </c>
      <c r="E23" s="2" t="s">
        <v>28</v>
      </c>
      <c r="F23" s="2" t="s">
        <v>29</v>
      </c>
      <c r="G23" s="31">
        <v>10</v>
      </c>
      <c r="H23" s="31">
        <v>3400</v>
      </c>
      <c r="I23" s="31">
        <v>5839.11</v>
      </c>
      <c r="J23" s="31">
        <v>12</v>
      </c>
      <c r="K23" s="31">
        <v>21412.26</v>
      </c>
      <c r="L23" s="31">
        <v>12</v>
      </c>
      <c r="M23" s="31">
        <v>25496.679999999997</v>
      </c>
      <c r="N23" s="31">
        <v>9</v>
      </c>
      <c r="O23" s="31">
        <v>30081.645999999997</v>
      </c>
      <c r="P23" s="31">
        <v>9</v>
      </c>
      <c r="Q23" s="31">
        <v>13054.069875000001</v>
      </c>
      <c r="R23" s="31">
        <f t="shared" si="0"/>
        <v>95883.765874999997</v>
      </c>
      <c r="S23" s="31">
        <v>0</v>
      </c>
      <c r="T23" s="134">
        <f t="shared" si="1"/>
        <v>95883.765874999997</v>
      </c>
      <c r="V23" s="30"/>
      <c r="W23" s="33"/>
    </row>
    <row r="24" spans="1:23" ht="10.199999999999999">
      <c r="A24" s="164" t="s">
        <v>274</v>
      </c>
      <c r="B24" s="163">
        <v>70000</v>
      </c>
      <c r="C24" s="163" t="s">
        <v>271</v>
      </c>
      <c r="D24" s="2" t="s">
        <v>36</v>
      </c>
      <c r="E24" s="2" t="s">
        <v>28</v>
      </c>
      <c r="F24" s="2" t="s">
        <v>29</v>
      </c>
      <c r="G24" s="31">
        <v>0</v>
      </c>
      <c r="H24" s="31">
        <v>3000</v>
      </c>
      <c r="I24" s="31">
        <v>0</v>
      </c>
      <c r="J24" s="31">
        <v>12</v>
      </c>
      <c r="K24" s="31">
        <v>0</v>
      </c>
      <c r="L24" s="31">
        <v>12</v>
      </c>
      <c r="M24" s="31">
        <v>15388.89</v>
      </c>
      <c r="N24" s="31">
        <v>9</v>
      </c>
      <c r="O24" s="31">
        <v>0</v>
      </c>
      <c r="P24" s="31">
        <v>9</v>
      </c>
      <c r="Q24" s="31">
        <v>0</v>
      </c>
      <c r="R24" s="31">
        <f t="shared" si="0"/>
        <v>15388.89</v>
      </c>
      <c r="S24" s="31">
        <v>0</v>
      </c>
      <c r="T24" s="134">
        <f t="shared" si="1"/>
        <v>15388.89</v>
      </c>
      <c r="V24" s="30"/>
      <c r="W24" s="33"/>
    </row>
    <row r="25" spans="1:23" ht="10.199999999999999">
      <c r="A25" s="162" t="s">
        <v>275</v>
      </c>
      <c r="B25" s="163">
        <v>70000</v>
      </c>
      <c r="C25" s="163" t="s">
        <v>271</v>
      </c>
      <c r="D25" s="2" t="s">
        <v>37</v>
      </c>
      <c r="E25" s="2" t="s">
        <v>28</v>
      </c>
      <c r="F25" s="2" t="s">
        <v>29</v>
      </c>
      <c r="G25" s="31">
        <v>11</v>
      </c>
      <c r="H25" s="31">
        <v>2000</v>
      </c>
      <c r="I25" s="31">
        <v>15982.94</v>
      </c>
      <c r="J25" s="31">
        <v>12</v>
      </c>
      <c r="K25" s="31">
        <v>25772.21</v>
      </c>
      <c r="L25" s="31">
        <v>12</v>
      </c>
      <c r="M25" s="31">
        <v>32699.139999999996</v>
      </c>
      <c r="N25" s="31">
        <v>12</v>
      </c>
      <c r="O25" s="31">
        <v>41497.349099999999</v>
      </c>
      <c r="P25" s="31">
        <v>12</v>
      </c>
      <c r="Q25" s="31">
        <v>35841.971025000006</v>
      </c>
      <c r="R25" s="31">
        <f t="shared" si="0"/>
        <v>151793.61012500001</v>
      </c>
      <c r="S25" s="31">
        <v>0</v>
      </c>
      <c r="T25" s="134">
        <f t="shared" si="1"/>
        <v>151793.61012500001</v>
      </c>
      <c r="V25" s="30"/>
      <c r="W25" s="33"/>
    </row>
    <row r="26" spans="1:23" ht="10.199999999999999">
      <c r="A26" s="35"/>
      <c r="B26" s="35"/>
      <c r="C26" s="35"/>
      <c r="D26" s="35"/>
      <c r="E26" s="35"/>
      <c r="F26" s="2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V26" s="30"/>
      <c r="W26" s="33"/>
    </row>
    <row r="27" spans="1:23" ht="10.5">
      <c r="A27" s="25"/>
      <c r="B27" s="25"/>
      <c r="C27" s="25"/>
      <c r="D27" s="25" t="s">
        <v>38</v>
      </c>
      <c r="E27" s="40"/>
      <c r="F27" s="37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V27" s="30"/>
      <c r="W27" s="33"/>
    </row>
    <row r="28" spans="1:23" ht="10.199999999999999">
      <c r="A28" s="162" t="s">
        <v>276</v>
      </c>
      <c r="B28" s="162" t="s">
        <v>268</v>
      </c>
      <c r="C28" s="162" t="s">
        <v>269</v>
      </c>
      <c r="D28" s="2" t="s">
        <v>39</v>
      </c>
      <c r="E28" s="2" t="s">
        <v>28</v>
      </c>
      <c r="F28" s="2" t="s">
        <v>29</v>
      </c>
      <c r="G28" s="31">
        <v>12</v>
      </c>
      <c r="H28" s="31">
        <f>9334*0.1</f>
        <v>933.40000000000009</v>
      </c>
      <c r="I28" s="31">
        <v>22729.4</v>
      </c>
      <c r="J28" s="31">
        <v>12</v>
      </c>
      <c r="K28" s="31">
        <v>30178.49</v>
      </c>
      <c r="L28" s="31">
        <v>12</v>
      </c>
      <c r="M28" s="31">
        <v>47603.159999999996</v>
      </c>
      <c r="N28" s="31">
        <v>12</v>
      </c>
      <c r="O28" s="31">
        <v>66749.290000000008</v>
      </c>
      <c r="P28" s="31">
        <v>12</v>
      </c>
      <c r="Q28" s="31">
        <v>29484</v>
      </c>
      <c r="R28" s="31">
        <f t="shared" ref="R28:R29" si="2">SUM(I28+K28+M28+O28+Q28)</f>
        <v>196744.34</v>
      </c>
      <c r="S28" s="31">
        <v>0</v>
      </c>
      <c r="T28" s="134">
        <f>SUM(R28:S28)</f>
        <v>196744.34</v>
      </c>
      <c r="V28" s="30"/>
      <c r="W28" s="33"/>
    </row>
    <row r="29" spans="1:23" ht="10.199999999999999">
      <c r="A29" s="162" t="s">
        <v>277</v>
      </c>
      <c r="B29" s="162" t="s">
        <v>268</v>
      </c>
      <c r="C29" s="162" t="s">
        <v>269</v>
      </c>
      <c r="D29" s="2" t="s">
        <v>40</v>
      </c>
      <c r="E29" s="2" t="s">
        <v>28</v>
      </c>
      <c r="F29" s="2" t="s">
        <v>29</v>
      </c>
      <c r="G29" s="31">
        <v>12</v>
      </c>
      <c r="H29" s="31">
        <f>5200*0.4</f>
        <v>2080</v>
      </c>
      <c r="I29" s="31">
        <v>32036.239999999998</v>
      </c>
      <c r="J29" s="31">
        <v>12</v>
      </c>
      <c r="K29" s="31">
        <v>48457.599999999999</v>
      </c>
      <c r="L29" s="31">
        <v>12</v>
      </c>
      <c r="M29" s="31">
        <v>115070.56</v>
      </c>
      <c r="N29" s="31">
        <v>12</v>
      </c>
      <c r="O29" s="31">
        <v>39152.430000000008</v>
      </c>
      <c r="P29" s="31">
        <v>12</v>
      </c>
      <c r="Q29" s="31">
        <v>19098.954000000002</v>
      </c>
      <c r="R29" s="31">
        <f t="shared" si="2"/>
        <v>253815.78400000001</v>
      </c>
      <c r="S29" s="31">
        <v>0</v>
      </c>
      <c r="T29" s="134">
        <f>SUM(R29:S29)</f>
        <v>253815.78400000001</v>
      </c>
      <c r="V29" s="30"/>
      <c r="W29" s="33"/>
    </row>
    <row r="30" spans="1:23" ht="10.199999999999999">
      <c r="A30" s="35"/>
      <c r="B30" s="35"/>
      <c r="C30" s="35"/>
      <c r="D30" s="35"/>
      <c r="E30" s="35"/>
      <c r="F30" s="2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V30" s="30"/>
      <c r="W30" s="33"/>
    </row>
    <row r="31" spans="1:23" ht="10.5">
      <c r="A31" s="25"/>
      <c r="B31" s="25"/>
      <c r="C31" s="25"/>
      <c r="D31" s="25" t="s">
        <v>41</v>
      </c>
      <c r="E31" s="25"/>
      <c r="F31" s="26"/>
      <c r="G31" s="41"/>
      <c r="H31" s="41"/>
      <c r="I31" s="42">
        <f>SUM(I16:I29)</f>
        <v>219695.07999999996</v>
      </c>
      <c r="J31" s="42"/>
      <c r="K31" s="42">
        <f>SUM(K16:K29)</f>
        <v>334819.26</v>
      </c>
      <c r="L31" s="42"/>
      <c r="M31" s="42">
        <f>SUM(M16:M29)</f>
        <v>518166.62</v>
      </c>
      <c r="N31" s="42"/>
      <c r="O31" s="42">
        <f>SUM(O16:O29)</f>
        <v>468655.71309999999</v>
      </c>
      <c r="P31" s="42"/>
      <c r="Q31" s="42">
        <f>SUM(Q16:Q29)</f>
        <v>242832.64923749998</v>
      </c>
      <c r="R31" s="42">
        <f>SUM(I31+K31+M31+O31+Q31)</f>
        <v>1784169.3223375001</v>
      </c>
      <c r="S31" s="42">
        <v>0</v>
      </c>
      <c r="T31" s="140">
        <f>SUM(R31:S31)</f>
        <v>1784169.3223375001</v>
      </c>
      <c r="V31" s="30"/>
      <c r="W31" s="33"/>
    </row>
    <row r="32" spans="1:23" ht="10.5">
      <c r="A32" s="43"/>
      <c r="B32" s="43"/>
      <c r="C32" s="43"/>
      <c r="D32" s="43"/>
      <c r="E32" s="43"/>
      <c r="F32" s="44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V32" s="30"/>
      <c r="W32" s="33"/>
    </row>
    <row r="33" spans="1:23" ht="10.5">
      <c r="A33" s="25"/>
      <c r="B33" s="25"/>
      <c r="C33" s="25"/>
      <c r="D33" s="25" t="s">
        <v>42</v>
      </c>
      <c r="E33" s="25"/>
      <c r="F33" s="26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V33" s="30"/>
      <c r="W33" s="33"/>
    </row>
    <row r="34" spans="1:23" ht="10.199999999999999">
      <c r="A34" s="162" t="s">
        <v>278</v>
      </c>
      <c r="B34" s="162">
        <v>70015</v>
      </c>
      <c r="C34" s="163" t="s">
        <v>271</v>
      </c>
      <c r="D34" s="46" t="s">
        <v>43</v>
      </c>
      <c r="E34" s="2" t="s">
        <v>42</v>
      </c>
      <c r="F34" s="2"/>
      <c r="G34" s="31"/>
      <c r="H34" s="47">
        <v>0.53864000000000001</v>
      </c>
      <c r="I34" s="48">
        <v>21997.809999999998</v>
      </c>
      <c r="J34" s="48"/>
      <c r="K34" s="48">
        <v>53479.3</v>
      </c>
      <c r="L34" s="48"/>
      <c r="M34" s="48">
        <v>99017.419999999984</v>
      </c>
      <c r="N34" s="48"/>
      <c r="O34" s="48">
        <v>111645.92354306519</v>
      </c>
      <c r="P34" s="48"/>
      <c r="Q34" s="48">
        <v>61093.32410491944</v>
      </c>
      <c r="R34" s="31">
        <f t="shared" ref="R34:R37" si="3">SUM(I34+K34+M34+O34+Q34)</f>
        <v>347233.77764798462</v>
      </c>
      <c r="S34" s="31">
        <v>0</v>
      </c>
      <c r="T34" s="134">
        <f>SUM(R34:S34)</f>
        <v>347233.77764798462</v>
      </c>
      <c r="U34" s="49"/>
      <c r="V34" s="30"/>
      <c r="W34" s="33"/>
    </row>
    <row r="35" spans="1:23" ht="10.199999999999999">
      <c r="A35" s="162" t="s">
        <v>278</v>
      </c>
      <c r="B35" s="162">
        <v>70015</v>
      </c>
      <c r="C35" s="163" t="s">
        <v>271</v>
      </c>
      <c r="D35" s="2" t="s">
        <v>44</v>
      </c>
      <c r="E35" s="2" t="s">
        <v>42</v>
      </c>
      <c r="F35" s="2"/>
      <c r="G35" s="31"/>
      <c r="H35" s="50">
        <v>0.40364</v>
      </c>
      <c r="I35" s="48">
        <v>0</v>
      </c>
      <c r="J35" s="48"/>
      <c r="K35" s="48">
        <v>0</v>
      </c>
      <c r="L35" s="48"/>
      <c r="M35" s="48">
        <v>0</v>
      </c>
      <c r="N35" s="48"/>
      <c r="O35" s="48">
        <v>71372.864426447399</v>
      </c>
      <c r="P35" s="48"/>
      <c r="Q35" s="48">
        <v>39452.562136071341</v>
      </c>
      <c r="R35" s="31">
        <f t="shared" si="3"/>
        <v>110825.42656251874</v>
      </c>
      <c r="S35" s="31">
        <v>0</v>
      </c>
      <c r="T35" s="134">
        <f>SUM(R35:S35)</f>
        <v>110825.42656251874</v>
      </c>
      <c r="U35" s="49"/>
      <c r="V35" s="30"/>
      <c r="W35" s="33"/>
    </row>
    <row r="36" spans="1:23" ht="10.199999999999999">
      <c r="A36" s="162" t="s">
        <v>279</v>
      </c>
      <c r="B36" s="162">
        <v>50900</v>
      </c>
      <c r="C36" s="162" t="s">
        <v>269</v>
      </c>
      <c r="D36" s="2" t="s">
        <v>45</v>
      </c>
      <c r="E36" s="2" t="s">
        <v>42</v>
      </c>
      <c r="F36" s="2"/>
      <c r="G36" s="31"/>
      <c r="H36" s="47">
        <v>0.23469999999999999</v>
      </c>
      <c r="I36" s="48">
        <f>(I28+I29)*23.47%</f>
        <v>12853.495707999999</v>
      </c>
      <c r="J36" s="48"/>
      <c r="K36" s="48">
        <f>(K28+K29)*23.47%</f>
        <v>18455.890323</v>
      </c>
      <c r="L36" s="48"/>
      <c r="M36" s="48">
        <f>(M28+M29)*23.47%</f>
        <v>38179.522083999997</v>
      </c>
      <c r="N36" s="31"/>
      <c r="O36" s="48">
        <f>(O29)*23.47%</f>
        <v>9189.0753210000021</v>
      </c>
      <c r="P36" s="31"/>
      <c r="Q36" s="48">
        <f>(Q29)*23.47%</f>
        <v>4482.5245038000003</v>
      </c>
      <c r="R36" s="31">
        <f t="shared" si="3"/>
        <v>83160.507939799994</v>
      </c>
      <c r="S36" s="31">
        <v>0</v>
      </c>
      <c r="T36" s="134">
        <f>SUM(R36:S36)</f>
        <v>83160.507939799994</v>
      </c>
      <c r="V36" s="30"/>
      <c r="W36" s="33"/>
    </row>
    <row r="37" spans="1:23" ht="10.199999999999999">
      <c r="A37" s="162" t="s">
        <v>280</v>
      </c>
      <c r="B37" s="162">
        <v>70015</v>
      </c>
      <c r="C37" s="163" t="s">
        <v>269</v>
      </c>
      <c r="D37" s="144" t="s">
        <v>46</v>
      </c>
      <c r="E37" s="2"/>
      <c r="F37" s="2"/>
      <c r="G37" s="31"/>
      <c r="H37" s="47">
        <v>0.41610000000000003</v>
      </c>
      <c r="I37" s="48">
        <v>0</v>
      </c>
      <c r="J37" s="48"/>
      <c r="K37" s="48">
        <v>0</v>
      </c>
      <c r="L37" s="48"/>
      <c r="M37" s="48">
        <v>0</v>
      </c>
      <c r="N37" s="31"/>
      <c r="O37" s="48">
        <f>+O28*41.61%</f>
        <v>27774.379569000001</v>
      </c>
      <c r="P37" s="31"/>
      <c r="Q37" s="48">
        <f>+Q28*41.61%</f>
        <v>12268.292399999998</v>
      </c>
      <c r="R37" s="31">
        <f t="shared" si="3"/>
        <v>40042.671969000003</v>
      </c>
      <c r="S37" s="31">
        <v>0</v>
      </c>
      <c r="T37" s="134">
        <f>SUM(R37:S37)</f>
        <v>40042.671969000003</v>
      </c>
      <c r="V37" s="30"/>
      <c r="W37" s="33"/>
    </row>
    <row r="38" spans="1:23" ht="10.199999999999999">
      <c r="F38" s="52"/>
      <c r="G38" s="53"/>
      <c r="H38" s="54"/>
      <c r="I38" s="54"/>
      <c r="J38" s="54"/>
      <c r="K38" s="54"/>
      <c r="L38" s="54"/>
      <c r="M38" s="54"/>
      <c r="N38" s="54"/>
      <c r="O38" s="54"/>
      <c r="P38" s="54"/>
      <c r="Q38" s="54"/>
      <c r="S38" s="36"/>
      <c r="V38" s="30"/>
      <c r="W38" s="33"/>
    </row>
    <row r="39" spans="1:23" ht="10.8" thickBot="1">
      <c r="A39" s="56"/>
      <c r="B39" s="56"/>
      <c r="C39" s="56"/>
      <c r="D39" s="56" t="s">
        <v>47</v>
      </c>
      <c r="E39" s="56"/>
      <c r="F39" s="57"/>
      <c r="G39" s="57"/>
      <c r="H39" s="58"/>
      <c r="I39" s="59">
        <f>SUM(I34:I37)</f>
        <v>34851.305708</v>
      </c>
      <c r="J39" s="59"/>
      <c r="K39" s="59">
        <f>SUM(K34:K37)</f>
        <v>71935.190323000003</v>
      </c>
      <c r="L39" s="59"/>
      <c r="M39" s="59">
        <f>SUM(M34:M37)</f>
        <v>137196.94208399998</v>
      </c>
      <c r="N39" s="59"/>
      <c r="O39" s="59">
        <f>SUM(O34:O37)</f>
        <v>219982.2428595126</v>
      </c>
      <c r="P39" s="59"/>
      <c r="Q39" s="60">
        <f>SUM(Q34:Q37)</f>
        <v>117296.70314479078</v>
      </c>
      <c r="R39" s="59">
        <f>SUM(I39+K39+M39+O39+Q39)</f>
        <v>581262.38411930343</v>
      </c>
      <c r="S39" s="59">
        <f>SUM(S34:S37)</f>
        <v>0</v>
      </c>
      <c r="T39" s="141">
        <f>SUM(R39:S39)</f>
        <v>581262.38411930343</v>
      </c>
      <c r="U39" s="49"/>
      <c r="V39" s="30"/>
      <c r="W39" s="33"/>
    </row>
    <row r="40" spans="1:23" ht="10.5">
      <c r="A40" s="62"/>
      <c r="B40" s="62"/>
      <c r="C40" s="62"/>
      <c r="D40" s="62"/>
      <c r="E40" s="62"/>
      <c r="F40" s="63"/>
      <c r="G40" s="63"/>
      <c r="H40" s="64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  <c r="U40" s="49"/>
      <c r="V40" s="30"/>
      <c r="W40" s="33"/>
    </row>
    <row r="41" spans="1:23" ht="10.5">
      <c r="A41" s="67"/>
      <c r="B41" s="67"/>
      <c r="C41" s="67"/>
      <c r="D41" s="67" t="s">
        <v>48</v>
      </c>
      <c r="E41" s="67"/>
      <c r="F41" s="68"/>
      <c r="G41" s="68"/>
      <c r="H41" s="69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1"/>
      <c r="V41" s="30"/>
      <c r="W41" s="33"/>
    </row>
    <row r="42" spans="1:23" ht="10.5">
      <c r="A42" s="73"/>
      <c r="B42" s="73"/>
      <c r="C42" s="73"/>
      <c r="D42" s="73" t="s">
        <v>49</v>
      </c>
      <c r="E42" s="73"/>
      <c r="F42" s="27"/>
      <c r="G42" s="27"/>
      <c r="H42" s="28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5"/>
      <c r="V42" s="30"/>
      <c r="W42" s="33"/>
    </row>
    <row r="43" spans="1:23" ht="10.199999999999999" hidden="1">
      <c r="A43" s="162" t="s">
        <v>282</v>
      </c>
      <c r="B43" s="162" t="s">
        <v>282</v>
      </c>
      <c r="C43" s="162" t="s">
        <v>282</v>
      </c>
      <c r="D43" s="1" t="s">
        <v>50</v>
      </c>
      <c r="E43" s="1" t="s">
        <v>48</v>
      </c>
      <c r="F43" s="52" t="s">
        <v>51</v>
      </c>
      <c r="G43" s="31">
        <v>2</v>
      </c>
      <c r="H43" s="31">
        <v>750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f t="shared" ref="R43:R46" si="4">SUM(I43+K43+M43+O43+Q43)</f>
        <v>0</v>
      </c>
      <c r="S43" s="31" t="s">
        <v>24</v>
      </c>
      <c r="T43" s="134">
        <f>SUM(R43:S43)</f>
        <v>0</v>
      </c>
      <c r="V43" s="30"/>
      <c r="W43" s="33"/>
    </row>
    <row r="44" spans="1:23" ht="20.399999999999999">
      <c r="A44" s="162" t="s">
        <v>283</v>
      </c>
      <c r="B44" s="162" t="s">
        <v>284</v>
      </c>
      <c r="C44" s="163" t="s">
        <v>271</v>
      </c>
      <c r="D44" s="1" t="s">
        <v>52</v>
      </c>
      <c r="E44" s="1" t="s">
        <v>48</v>
      </c>
      <c r="F44" s="52" t="s">
        <v>53</v>
      </c>
      <c r="G44" s="31">
        <f>5*2</f>
        <v>10</v>
      </c>
      <c r="H44" s="31">
        <f>68.4+210</f>
        <v>278.39999999999998</v>
      </c>
      <c r="I44" s="31">
        <v>0</v>
      </c>
      <c r="J44" s="31">
        <v>0</v>
      </c>
      <c r="K44" s="31">
        <v>2517.9400000000005</v>
      </c>
      <c r="L44" s="31">
        <v>0</v>
      </c>
      <c r="M44" s="31">
        <v>504</v>
      </c>
      <c r="N44" s="31">
        <v>0</v>
      </c>
      <c r="O44" s="31">
        <v>0</v>
      </c>
      <c r="P44" s="31">
        <v>0</v>
      </c>
      <c r="Q44" s="31">
        <v>0</v>
      </c>
      <c r="R44" s="31">
        <f t="shared" si="4"/>
        <v>3021.9400000000005</v>
      </c>
      <c r="S44" s="31" t="s">
        <v>24</v>
      </c>
      <c r="T44" s="134">
        <f>SUM(R44:S44)</f>
        <v>3021.9400000000005</v>
      </c>
      <c r="V44" s="30"/>
      <c r="W44" s="33"/>
    </row>
    <row r="45" spans="1:23" ht="10.199999999999999" hidden="1">
      <c r="A45" s="162" t="s">
        <v>282</v>
      </c>
      <c r="B45" s="162" t="s">
        <v>282</v>
      </c>
      <c r="C45" s="162" t="s">
        <v>282</v>
      </c>
      <c r="D45" s="1" t="s">
        <v>54</v>
      </c>
      <c r="E45" s="1" t="s">
        <v>48</v>
      </c>
      <c r="F45" s="52" t="s">
        <v>53</v>
      </c>
      <c r="G45" s="31">
        <v>5</v>
      </c>
      <c r="H45" s="31">
        <v>25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f t="shared" si="4"/>
        <v>0</v>
      </c>
      <c r="S45" s="31" t="s">
        <v>24</v>
      </c>
      <c r="T45" s="134">
        <f>SUM(R45:S45)</f>
        <v>0</v>
      </c>
      <c r="V45" s="30"/>
      <c r="W45" s="33"/>
    </row>
    <row r="46" spans="1:23" ht="10.199999999999999" hidden="1">
      <c r="A46" s="162" t="s">
        <v>282</v>
      </c>
      <c r="B46" s="162" t="s">
        <v>282</v>
      </c>
      <c r="C46" s="162" t="s">
        <v>282</v>
      </c>
      <c r="D46" s="1" t="s">
        <v>55</v>
      </c>
      <c r="E46" s="1" t="s">
        <v>48</v>
      </c>
      <c r="F46" s="52" t="s">
        <v>51</v>
      </c>
      <c r="G46" s="31">
        <v>2</v>
      </c>
      <c r="H46" s="31">
        <v>160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f t="shared" si="4"/>
        <v>0</v>
      </c>
      <c r="S46" s="31" t="s">
        <v>24</v>
      </c>
      <c r="T46" s="134">
        <f>SUM(R46:S46)</f>
        <v>0</v>
      </c>
      <c r="V46" s="30"/>
      <c r="W46" s="33"/>
    </row>
    <row r="47" spans="1:23" ht="10.199999999999999">
      <c r="A47" s="73"/>
      <c r="B47" s="73"/>
      <c r="C47" s="73"/>
      <c r="D47" s="73" t="s">
        <v>56</v>
      </c>
      <c r="E47" s="73"/>
      <c r="F47" s="76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V47" s="30"/>
      <c r="W47" s="33"/>
    </row>
    <row r="48" spans="1:23" ht="10.199999999999999">
      <c r="A48" s="162" t="s">
        <v>285</v>
      </c>
      <c r="B48" s="162">
        <v>86040</v>
      </c>
      <c r="C48" s="163" t="s">
        <v>271</v>
      </c>
      <c r="D48" s="1" t="s">
        <v>50</v>
      </c>
      <c r="E48" s="1" t="s">
        <v>48</v>
      </c>
      <c r="F48" s="52" t="s">
        <v>51</v>
      </c>
      <c r="G48" s="31">
        <v>0</v>
      </c>
      <c r="H48" s="31">
        <v>750</v>
      </c>
      <c r="I48" s="31">
        <v>0</v>
      </c>
      <c r="J48" s="31">
        <v>1</v>
      </c>
      <c r="K48" s="31">
        <v>565.72</v>
      </c>
      <c r="L48" s="31">
        <v>2</v>
      </c>
      <c r="M48" s="31">
        <v>0</v>
      </c>
      <c r="N48" s="31">
        <v>1</v>
      </c>
      <c r="O48" s="31">
        <v>381.8</v>
      </c>
      <c r="P48" s="31">
        <v>1</v>
      </c>
      <c r="Q48" s="31">
        <v>0</v>
      </c>
      <c r="R48" s="31">
        <f t="shared" ref="R48:R50" si="5">SUM(I48+K48+M48+O48+Q48)</f>
        <v>947.52</v>
      </c>
      <c r="S48" s="31" t="s">
        <v>24</v>
      </c>
      <c r="T48" s="134">
        <f>SUM(R48:S48)</f>
        <v>947.52</v>
      </c>
      <c r="U48" s="49"/>
      <c r="V48" s="30"/>
      <c r="W48" s="33"/>
    </row>
    <row r="49" spans="1:23" ht="20.399999999999999">
      <c r="A49" s="162" t="s">
        <v>286</v>
      </c>
      <c r="B49" s="162" t="s">
        <v>284</v>
      </c>
      <c r="C49" s="163" t="s">
        <v>271</v>
      </c>
      <c r="D49" s="1" t="s">
        <v>52</v>
      </c>
      <c r="E49" s="1" t="s">
        <v>48</v>
      </c>
      <c r="F49" s="52" t="s">
        <v>53</v>
      </c>
      <c r="G49" s="31">
        <v>0</v>
      </c>
      <c r="H49" s="31">
        <f>68.4+210</f>
        <v>278.39999999999998</v>
      </c>
      <c r="I49" s="31">
        <v>0</v>
      </c>
      <c r="J49" s="31">
        <v>7</v>
      </c>
      <c r="K49" s="31">
        <v>410.86</v>
      </c>
      <c r="L49" s="31">
        <v>14</v>
      </c>
      <c r="M49" s="31">
        <v>0</v>
      </c>
      <c r="N49" s="31">
        <v>7</v>
      </c>
      <c r="O49" s="31">
        <v>220.81</v>
      </c>
      <c r="P49" s="31">
        <v>7</v>
      </c>
      <c r="Q49" s="31">
        <v>0</v>
      </c>
      <c r="R49" s="31">
        <f t="shared" si="5"/>
        <v>631.67000000000007</v>
      </c>
      <c r="S49" s="31" t="s">
        <v>24</v>
      </c>
      <c r="T49" s="134">
        <f>SUM(R49:S49)</f>
        <v>631.67000000000007</v>
      </c>
      <c r="V49" s="30"/>
      <c r="W49" s="33"/>
    </row>
    <row r="50" spans="1:23" ht="10.199999999999999">
      <c r="A50" s="162" t="s">
        <v>287</v>
      </c>
      <c r="B50" s="162">
        <v>86000</v>
      </c>
      <c r="C50" s="163" t="s">
        <v>271</v>
      </c>
      <c r="D50" s="1" t="s">
        <v>54</v>
      </c>
      <c r="E50" s="1" t="s">
        <v>48</v>
      </c>
      <c r="F50" s="52" t="s">
        <v>53</v>
      </c>
      <c r="G50" s="31">
        <v>0</v>
      </c>
      <c r="H50" s="31">
        <v>25</v>
      </c>
      <c r="I50" s="31">
        <v>0</v>
      </c>
      <c r="J50" s="31">
        <v>7</v>
      </c>
      <c r="K50" s="31">
        <v>104.71999999999998</v>
      </c>
      <c r="L50" s="31">
        <v>7</v>
      </c>
      <c r="M50" s="31">
        <v>0</v>
      </c>
      <c r="N50" s="31">
        <v>7</v>
      </c>
      <c r="O50" s="31">
        <v>0</v>
      </c>
      <c r="P50" s="31">
        <v>7</v>
      </c>
      <c r="Q50" s="31">
        <v>0</v>
      </c>
      <c r="R50" s="31">
        <f t="shared" si="5"/>
        <v>104.71999999999998</v>
      </c>
      <c r="S50" s="31" t="s">
        <v>24</v>
      </c>
      <c r="T50" s="134">
        <f>SUM(R50:S50)</f>
        <v>104.71999999999998</v>
      </c>
      <c r="V50" s="30"/>
      <c r="W50" s="33"/>
    </row>
    <row r="51" spans="1:23" ht="10.199999999999999">
      <c r="A51" s="165"/>
      <c r="B51" s="165"/>
      <c r="C51" s="165"/>
      <c r="D51" s="73" t="s">
        <v>57</v>
      </c>
      <c r="E51" s="73"/>
      <c r="F51" s="76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V51" s="30"/>
      <c r="W51" s="33"/>
    </row>
    <row r="52" spans="1:23" ht="10.199999999999999">
      <c r="A52" s="162" t="s">
        <v>288</v>
      </c>
      <c r="B52" s="162">
        <v>86040</v>
      </c>
      <c r="C52" s="162" t="s">
        <v>269</v>
      </c>
      <c r="D52" s="1" t="s">
        <v>58</v>
      </c>
      <c r="E52" s="1" t="s">
        <v>48</v>
      </c>
      <c r="F52" s="52" t="s">
        <v>51</v>
      </c>
      <c r="G52" s="31">
        <v>1</v>
      </c>
      <c r="H52" s="31">
        <v>750</v>
      </c>
      <c r="I52" s="31">
        <v>708.97</v>
      </c>
      <c r="J52" s="31">
        <v>1</v>
      </c>
      <c r="K52" s="31">
        <v>5881.98</v>
      </c>
      <c r="L52" s="31">
        <v>1</v>
      </c>
      <c r="M52" s="31">
        <v>11242.070000000002</v>
      </c>
      <c r="N52" s="31">
        <v>1</v>
      </c>
      <c r="O52" s="31">
        <v>820</v>
      </c>
      <c r="P52" s="31">
        <v>1</v>
      </c>
      <c r="Q52" s="31">
        <v>1640</v>
      </c>
      <c r="R52" s="31">
        <f t="shared" ref="R52:R54" si="6">SUM(I52+K52+M52+O52+Q52)</f>
        <v>20293.02</v>
      </c>
      <c r="S52" s="31" t="s">
        <v>24</v>
      </c>
      <c r="T52" s="134">
        <f>SUM(R52:S52)</f>
        <v>20293.02</v>
      </c>
      <c r="U52" s="49"/>
      <c r="V52" s="30"/>
      <c r="W52" s="33"/>
    </row>
    <row r="53" spans="1:23" ht="20.399999999999999">
      <c r="A53" s="162" t="s">
        <v>289</v>
      </c>
      <c r="B53" s="162" t="s">
        <v>284</v>
      </c>
      <c r="C53" s="162" t="s">
        <v>269</v>
      </c>
      <c r="D53" s="1" t="s">
        <v>59</v>
      </c>
      <c r="E53" s="1" t="s">
        <v>48</v>
      </c>
      <c r="F53" s="52" t="s">
        <v>53</v>
      </c>
      <c r="G53" s="31">
        <v>5</v>
      </c>
      <c r="H53" s="31">
        <f>89+210</f>
        <v>299</v>
      </c>
      <c r="I53" s="31">
        <v>931.61</v>
      </c>
      <c r="J53" s="31">
        <f>5*1</f>
        <v>5</v>
      </c>
      <c r="K53" s="31">
        <v>3867.14</v>
      </c>
      <c r="L53" s="31">
        <f>5*1</f>
        <v>5</v>
      </c>
      <c r="M53" s="31">
        <v>13773.72</v>
      </c>
      <c r="N53" s="31">
        <v>5</v>
      </c>
      <c r="O53" s="31">
        <v>2090.0100000000002</v>
      </c>
      <c r="P53" s="31">
        <v>5</v>
      </c>
      <c r="Q53" s="31">
        <v>1730</v>
      </c>
      <c r="R53" s="31">
        <f t="shared" si="6"/>
        <v>22392.480000000003</v>
      </c>
      <c r="S53" s="31" t="s">
        <v>24</v>
      </c>
      <c r="T53" s="134">
        <f>SUM(R53:S53)</f>
        <v>22392.480000000003</v>
      </c>
      <c r="V53" s="30"/>
      <c r="W53" s="33"/>
    </row>
    <row r="54" spans="1:23" ht="9.6" customHeight="1">
      <c r="A54" s="162" t="s">
        <v>290</v>
      </c>
      <c r="B54" s="162">
        <v>86000</v>
      </c>
      <c r="C54" s="162" t="s">
        <v>269</v>
      </c>
      <c r="D54" s="1" t="s">
        <v>60</v>
      </c>
      <c r="E54" s="1" t="s">
        <v>48</v>
      </c>
      <c r="F54" s="52" t="s">
        <v>53</v>
      </c>
      <c r="G54" s="31">
        <v>5</v>
      </c>
      <c r="H54" s="31">
        <v>25</v>
      </c>
      <c r="I54" s="31">
        <v>41.260000000000005</v>
      </c>
      <c r="J54" s="31">
        <f>5*1</f>
        <v>5</v>
      </c>
      <c r="K54" s="31">
        <v>242.20999999999998</v>
      </c>
      <c r="L54" s="31">
        <f>5*1</f>
        <v>5</v>
      </c>
      <c r="M54" s="31">
        <v>1276.7299999999998</v>
      </c>
      <c r="N54" s="31">
        <v>5</v>
      </c>
      <c r="O54" s="31">
        <v>2993.5699999999997</v>
      </c>
      <c r="P54" s="31">
        <v>5</v>
      </c>
      <c r="Q54" s="31">
        <v>3990</v>
      </c>
      <c r="R54" s="31">
        <f t="shared" si="6"/>
        <v>8543.77</v>
      </c>
      <c r="S54" s="31" t="s">
        <v>24</v>
      </c>
      <c r="T54" s="134">
        <f>SUM(R54:S54)</f>
        <v>8543.77</v>
      </c>
      <c r="V54" s="30"/>
      <c r="W54" s="33"/>
    </row>
    <row r="55" spans="1:23" ht="10.199999999999999">
      <c r="A55" s="73"/>
      <c r="B55" s="73"/>
      <c r="C55" s="73"/>
      <c r="D55" s="73" t="s">
        <v>61</v>
      </c>
      <c r="E55" s="73"/>
      <c r="F55" s="76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V55" s="30"/>
      <c r="W55" s="33"/>
    </row>
    <row r="56" spans="1:23" ht="20.7">
      <c r="A56" s="164" t="s">
        <v>291</v>
      </c>
      <c r="B56" s="162" t="s">
        <v>284</v>
      </c>
      <c r="C56" s="163" t="s">
        <v>271</v>
      </c>
      <c r="D56" s="144" t="s">
        <v>62</v>
      </c>
      <c r="E56" s="1" t="s">
        <v>48</v>
      </c>
      <c r="F56" s="52" t="s">
        <v>29</v>
      </c>
      <c r="G56" s="31">
        <v>5</v>
      </c>
      <c r="H56" s="31">
        <f>(96+30.5)*3</f>
        <v>379.5</v>
      </c>
      <c r="I56" s="31">
        <v>2437.4899999999998</v>
      </c>
      <c r="J56" s="31">
        <v>7</v>
      </c>
      <c r="K56" s="31">
        <v>5348.26</v>
      </c>
      <c r="L56" s="31">
        <v>7</v>
      </c>
      <c r="M56" s="31">
        <v>11492.85</v>
      </c>
      <c r="N56" s="31">
        <v>5</v>
      </c>
      <c r="O56" s="31">
        <v>210.44</v>
      </c>
      <c r="P56" s="31">
        <v>5</v>
      </c>
      <c r="Q56" s="31">
        <v>0</v>
      </c>
      <c r="R56" s="31">
        <f t="shared" ref="R56:R69" si="7">SUM(I56+K56+M56+O56+Q56)</f>
        <v>19489.039999999997</v>
      </c>
      <c r="S56" s="31">
        <v>0</v>
      </c>
      <c r="T56" s="134">
        <f>SUM(R56:S56)</f>
        <v>19489.039999999997</v>
      </c>
      <c r="U56" s="49"/>
      <c r="V56" s="30"/>
      <c r="W56" s="33"/>
    </row>
    <row r="57" spans="1:23" ht="20.399999999999999">
      <c r="A57" s="162" t="s">
        <v>292</v>
      </c>
      <c r="B57" s="162" t="s">
        <v>284</v>
      </c>
      <c r="C57" s="163" t="s">
        <v>271</v>
      </c>
      <c r="D57" s="2" t="s">
        <v>63</v>
      </c>
      <c r="E57" s="1" t="s">
        <v>48</v>
      </c>
      <c r="F57" s="52" t="s">
        <v>29</v>
      </c>
      <c r="G57" s="31">
        <v>5</v>
      </c>
      <c r="H57" s="31">
        <f>(180+55)*3</f>
        <v>705</v>
      </c>
      <c r="I57" s="31">
        <v>0</v>
      </c>
      <c r="J57" s="31">
        <v>7</v>
      </c>
      <c r="K57" s="31">
        <v>0</v>
      </c>
      <c r="L57" s="31">
        <v>7</v>
      </c>
      <c r="M57" s="31">
        <v>468.61</v>
      </c>
      <c r="N57" s="31">
        <v>5</v>
      </c>
      <c r="O57" s="31">
        <v>80.75</v>
      </c>
      <c r="P57" s="31">
        <v>5</v>
      </c>
      <c r="Q57" s="31">
        <v>0</v>
      </c>
      <c r="R57" s="31">
        <f t="shared" si="7"/>
        <v>549.36</v>
      </c>
      <c r="S57" s="31">
        <v>0</v>
      </c>
      <c r="T57" s="134">
        <f>SUM(R57:S57)</f>
        <v>549.36</v>
      </c>
      <c r="V57" s="30"/>
      <c r="W57" s="33"/>
    </row>
    <row r="58" spans="1:23" ht="20.7">
      <c r="A58" s="164" t="s">
        <v>293</v>
      </c>
      <c r="B58" s="162" t="s">
        <v>284</v>
      </c>
      <c r="C58" s="163" t="s">
        <v>271</v>
      </c>
      <c r="D58" s="144" t="s">
        <v>64</v>
      </c>
      <c r="E58" s="1" t="s">
        <v>48</v>
      </c>
      <c r="F58" s="52" t="s">
        <v>29</v>
      </c>
      <c r="G58" s="31">
        <v>4</v>
      </c>
      <c r="H58" s="31">
        <f>(100+35.5)*3</f>
        <v>406.5</v>
      </c>
      <c r="I58" s="31">
        <v>290.77999999999997</v>
      </c>
      <c r="J58" s="31">
        <v>5</v>
      </c>
      <c r="K58" s="31">
        <v>429.49000000000007</v>
      </c>
      <c r="L58" s="31">
        <v>5</v>
      </c>
      <c r="M58" s="31">
        <v>5107.8500000000004</v>
      </c>
      <c r="N58" s="31">
        <v>4</v>
      </c>
      <c r="O58" s="31">
        <v>974.93</v>
      </c>
      <c r="P58" s="31">
        <v>4</v>
      </c>
      <c r="Q58" s="31">
        <v>0</v>
      </c>
      <c r="R58" s="31">
        <f t="shared" si="7"/>
        <v>6803.0500000000011</v>
      </c>
      <c r="S58" s="31">
        <v>0</v>
      </c>
      <c r="T58" s="134">
        <f>SUM(R58:S58)</f>
        <v>6803.0500000000011</v>
      </c>
      <c r="V58" s="30"/>
      <c r="W58" s="33"/>
    </row>
    <row r="59" spans="1:23" ht="10.199999999999999">
      <c r="A59" s="162" t="s">
        <v>294</v>
      </c>
      <c r="B59" s="162">
        <v>86000</v>
      </c>
      <c r="C59" s="163" t="s">
        <v>271</v>
      </c>
      <c r="D59" s="2" t="s">
        <v>65</v>
      </c>
      <c r="E59" s="1" t="s">
        <v>48</v>
      </c>
      <c r="F59" s="52" t="s">
        <v>29</v>
      </c>
      <c r="G59" s="31">
        <v>6</v>
      </c>
      <c r="H59" s="31">
        <f>25*3</f>
        <v>75</v>
      </c>
      <c r="I59" s="31">
        <v>1139.96</v>
      </c>
      <c r="J59" s="31">
        <v>12</v>
      </c>
      <c r="K59" s="31">
        <v>1703.5099999999998</v>
      </c>
      <c r="L59" s="31">
        <v>12</v>
      </c>
      <c r="M59" s="31">
        <v>9687.1200000000026</v>
      </c>
      <c r="N59" s="31">
        <v>6</v>
      </c>
      <c r="O59" s="31">
        <v>14445.130000000001</v>
      </c>
      <c r="P59" s="31">
        <v>6</v>
      </c>
      <c r="Q59" s="31">
        <v>0</v>
      </c>
      <c r="R59" s="31">
        <f t="shared" si="7"/>
        <v>26975.72</v>
      </c>
      <c r="S59" s="31">
        <v>0</v>
      </c>
      <c r="T59" s="134">
        <f>SUM(R59:S59)</f>
        <v>26975.72</v>
      </c>
      <c r="V59" s="30"/>
      <c r="W59" s="33"/>
    </row>
    <row r="60" spans="1:23" ht="10.199999999999999">
      <c r="A60" s="162" t="s">
        <v>295</v>
      </c>
      <c r="B60" s="162">
        <v>86040</v>
      </c>
      <c r="C60" s="163" t="s">
        <v>271</v>
      </c>
      <c r="D60" s="2" t="s">
        <v>66</v>
      </c>
      <c r="E60" s="1" t="s">
        <v>48</v>
      </c>
      <c r="F60" s="52" t="s">
        <v>29</v>
      </c>
      <c r="G60" s="31">
        <v>6</v>
      </c>
      <c r="H60" s="31">
        <f>150</f>
        <v>150</v>
      </c>
      <c r="I60" s="31">
        <v>886.04000000000008</v>
      </c>
      <c r="J60" s="31">
        <v>12</v>
      </c>
      <c r="K60" s="31">
        <v>2800.66</v>
      </c>
      <c r="L60" s="31">
        <v>12</v>
      </c>
      <c r="M60" s="31">
        <v>18725.16</v>
      </c>
      <c r="N60" s="31">
        <v>6</v>
      </c>
      <c r="O60" s="31">
        <v>17488.629999999997</v>
      </c>
      <c r="P60" s="31">
        <v>6</v>
      </c>
      <c r="Q60" s="31">
        <v>0</v>
      </c>
      <c r="R60" s="31">
        <f t="shared" si="7"/>
        <v>39900.49</v>
      </c>
      <c r="S60" s="31">
        <v>0</v>
      </c>
      <c r="T60" s="134">
        <f>SUM(R60:S60)</f>
        <v>39900.49</v>
      </c>
      <c r="V60" s="30"/>
      <c r="W60" s="33"/>
    </row>
    <row r="61" spans="1:23" s="49" customFormat="1" ht="10.199999999999999">
      <c r="A61" s="142"/>
      <c r="B61" s="142"/>
      <c r="C61" s="142"/>
      <c r="D61" s="142" t="s">
        <v>67</v>
      </c>
      <c r="E61" s="78"/>
      <c r="F61" s="76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V61" s="30"/>
      <c r="W61" s="33"/>
    </row>
    <row r="62" spans="1:23" s="49" customFormat="1" ht="20.399999999999999">
      <c r="A62" s="171" t="s">
        <v>347</v>
      </c>
      <c r="B62" s="162" t="s">
        <v>284</v>
      </c>
      <c r="C62" s="163" t="s">
        <v>271</v>
      </c>
      <c r="D62" s="143" t="s">
        <v>68</v>
      </c>
      <c r="E62" s="1" t="s">
        <v>48</v>
      </c>
      <c r="F62" s="52" t="s">
        <v>29</v>
      </c>
      <c r="G62" s="31"/>
      <c r="H62" s="31"/>
      <c r="I62" s="31">
        <v>0</v>
      </c>
      <c r="J62" s="31"/>
      <c r="K62" s="31">
        <v>0</v>
      </c>
      <c r="L62" s="31"/>
      <c r="M62" s="31">
        <v>0</v>
      </c>
      <c r="N62" s="31"/>
      <c r="O62" s="31">
        <v>3567</v>
      </c>
      <c r="P62" s="31"/>
      <c r="Q62" s="31">
        <v>1172</v>
      </c>
      <c r="R62" s="31">
        <f t="shared" si="7"/>
        <v>4739</v>
      </c>
      <c r="S62" s="31">
        <v>0</v>
      </c>
      <c r="T62" s="134">
        <f t="shared" ref="T62:T69" si="8">SUM(R62:S62)</f>
        <v>4739</v>
      </c>
      <c r="V62" s="30"/>
      <c r="W62" s="33"/>
    </row>
    <row r="63" spans="1:23" s="49" customFormat="1" ht="10.199999999999999">
      <c r="A63" s="171" t="s">
        <v>349</v>
      </c>
      <c r="B63" s="172">
        <v>86000</v>
      </c>
      <c r="C63" s="163" t="s">
        <v>271</v>
      </c>
      <c r="D63" s="143" t="s">
        <v>69</v>
      </c>
      <c r="E63" s="1" t="s">
        <v>48</v>
      </c>
      <c r="F63" s="52" t="s">
        <v>29</v>
      </c>
      <c r="G63" s="31"/>
      <c r="H63" s="31"/>
      <c r="I63" s="31">
        <v>0</v>
      </c>
      <c r="J63" s="31"/>
      <c r="K63" s="31">
        <v>0</v>
      </c>
      <c r="L63" s="31"/>
      <c r="M63" s="31">
        <v>0</v>
      </c>
      <c r="N63" s="31"/>
      <c r="O63" s="31">
        <v>3200</v>
      </c>
      <c r="P63" s="31"/>
      <c r="Q63" s="31">
        <v>920</v>
      </c>
      <c r="R63" s="31">
        <f t="shared" si="7"/>
        <v>4120</v>
      </c>
      <c r="S63" s="31">
        <v>0</v>
      </c>
      <c r="T63" s="134">
        <f t="shared" si="8"/>
        <v>4120</v>
      </c>
      <c r="V63" s="30"/>
      <c r="W63" s="33"/>
    </row>
    <row r="64" spans="1:23" s="49" customFormat="1" ht="20.399999999999999">
      <c r="A64" s="171" t="s">
        <v>348</v>
      </c>
      <c r="B64" s="162" t="s">
        <v>284</v>
      </c>
      <c r="C64" s="163" t="s">
        <v>271</v>
      </c>
      <c r="D64" s="143" t="s">
        <v>70</v>
      </c>
      <c r="E64" s="1" t="s">
        <v>48</v>
      </c>
      <c r="F64" s="52" t="s">
        <v>29</v>
      </c>
      <c r="G64" s="31"/>
      <c r="H64" s="31"/>
      <c r="I64" s="31">
        <v>0</v>
      </c>
      <c r="J64" s="31"/>
      <c r="K64" s="31">
        <v>0</v>
      </c>
      <c r="L64" s="31"/>
      <c r="M64" s="31">
        <v>0</v>
      </c>
      <c r="N64" s="31"/>
      <c r="O64" s="31">
        <v>16843.5</v>
      </c>
      <c r="P64" s="31"/>
      <c r="Q64" s="31">
        <v>8865.5</v>
      </c>
      <c r="R64" s="31">
        <f t="shared" si="7"/>
        <v>25709</v>
      </c>
      <c r="S64" s="31">
        <v>0</v>
      </c>
      <c r="T64" s="134">
        <f t="shared" si="8"/>
        <v>25709</v>
      </c>
      <c r="V64" s="30"/>
      <c r="W64" s="33"/>
    </row>
    <row r="65" spans="1:23" s="49" customFormat="1" ht="10.199999999999999">
      <c r="A65" s="171" t="s">
        <v>350</v>
      </c>
      <c r="B65" s="172">
        <v>86000</v>
      </c>
      <c r="C65" s="163" t="s">
        <v>271</v>
      </c>
      <c r="D65" s="143" t="s">
        <v>71</v>
      </c>
      <c r="E65" s="1" t="s">
        <v>48</v>
      </c>
      <c r="F65" s="52" t="s">
        <v>29</v>
      </c>
      <c r="G65" s="31"/>
      <c r="H65" s="31"/>
      <c r="I65" s="31">
        <v>0</v>
      </c>
      <c r="J65" s="31"/>
      <c r="K65" s="31">
        <v>0</v>
      </c>
      <c r="L65" s="31"/>
      <c r="M65" s="31">
        <v>0</v>
      </c>
      <c r="N65" s="31"/>
      <c r="O65" s="31">
        <v>12200</v>
      </c>
      <c r="P65" s="31"/>
      <c r="Q65" s="31">
        <v>7500</v>
      </c>
      <c r="R65" s="31">
        <f t="shared" si="7"/>
        <v>19700</v>
      </c>
      <c r="S65" s="31">
        <v>0</v>
      </c>
      <c r="T65" s="134">
        <f t="shared" si="8"/>
        <v>19700</v>
      </c>
      <c r="V65" s="30"/>
      <c r="W65" s="33"/>
    </row>
    <row r="66" spans="1:23" s="49" customFormat="1" ht="20.399999999999999">
      <c r="A66" s="171" t="s">
        <v>351</v>
      </c>
      <c r="B66" s="162" t="s">
        <v>284</v>
      </c>
      <c r="C66" s="163" t="s">
        <v>271</v>
      </c>
      <c r="D66" s="143" t="s">
        <v>72</v>
      </c>
      <c r="E66" s="1" t="s">
        <v>48</v>
      </c>
      <c r="F66" s="52" t="s">
        <v>29</v>
      </c>
      <c r="G66" s="31"/>
      <c r="H66" s="31"/>
      <c r="I66" s="31">
        <v>0</v>
      </c>
      <c r="J66" s="31"/>
      <c r="K66" s="31">
        <v>0</v>
      </c>
      <c r="L66" s="31"/>
      <c r="M66" s="31">
        <v>0</v>
      </c>
      <c r="N66" s="31"/>
      <c r="O66" s="31">
        <v>9017</v>
      </c>
      <c r="P66" s="31"/>
      <c r="Q66" s="31">
        <v>0</v>
      </c>
      <c r="R66" s="31">
        <f t="shared" si="7"/>
        <v>9017</v>
      </c>
      <c r="S66" s="31">
        <v>0</v>
      </c>
      <c r="T66" s="134">
        <f t="shared" si="8"/>
        <v>9017</v>
      </c>
      <c r="V66" s="30"/>
      <c r="W66" s="33"/>
    </row>
    <row r="67" spans="1:23" s="49" customFormat="1" ht="10.199999999999999">
      <c r="A67" s="171" t="s">
        <v>352</v>
      </c>
      <c r="B67" s="172">
        <v>86000</v>
      </c>
      <c r="C67" s="163" t="s">
        <v>271</v>
      </c>
      <c r="D67" s="143" t="s">
        <v>73</v>
      </c>
      <c r="E67" s="1" t="s">
        <v>48</v>
      </c>
      <c r="F67" s="52" t="s">
        <v>29</v>
      </c>
      <c r="G67" s="31"/>
      <c r="H67" s="31"/>
      <c r="I67" s="31">
        <v>0</v>
      </c>
      <c r="J67" s="31"/>
      <c r="K67" s="31">
        <v>0</v>
      </c>
      <c r="L67" s="31"/>
      <c r="M67" s="31">
        <v>0</v>
      </c>
      <c r="N67" s="31"/>
      <c r="O67" s="31">
        <v>14350</v>
      </c>
      <c r="P67" s="31"/>
      <c r="Q67" s="31">
        <v>5600</v>
      </c>
      <c r="R67" s="31">
        <f t="shared" si="7"/>
        <v>19950</v>
      </c>
      <c r="S67" s="31">
        <v>0</v>
      </c>
      <c r="T67" s="134">
        <f t="shared" si="8"/>
        <v>19950</v>
      </c>
      <c r="V67" s="30"/>
      <c r="W67" s="33"/>
    </row>
    <row r="68" spans="1:23" s="49" customFormat="1" ht="20.399999999999999">
      <c r="A68" s="171" t="s">
        <v>353</v>
      </c>
      <c r="B68" s="162" t="s">
        <v>284</v>
      </c>
      <c r="C68" s="163" t="s">
        <v>271</v>
      </c>
      <c r="D68" s="143" t="s">
        <v>74</v>
      </c>
      <c r="E68" s="1" t="s">
        <v>48</v>
      </c>
      <c r="F68" s="52" t="s">
        <v>29</v>
      </c>
      <c r="G68" s="31"/>
      <c r="H68" s="31"/>
      <c r="I68" s="31">
        <v>0</v>
      </c>
      <c r="J68" s="31"/>
      <c r="K68" s="31">
        <v>0</v>
      </c>
      <c r="L68" s="31"/>
      <c r="M68" s="31">
        <v>0</v>
      </c>
      <c r="N68" s="31"/>
      <c r="O68" s="31">
        <v>1816</v>
      </c>
      <c r="P68" s="31"/>
      <c r="Q68" s="31">
        <v>0</v>
      </c>
      <c r="R68" s="31">
        <f t="shared" si="7"/>
        <v>1816</v>
      </c>
      <c r="S68" s="31">
        <v>0</v>
      </c>
      <c r="T68" s="134">
        <f t="shared" si="8"/>
        <v>1816</v>
      </c>
      <c r="V68" s="30"/>
      <c r="W68" s="33"/>
    </row>
    <row r="69" spans="1:23" s="49" customFormat="1" ht="10.199999999999999">
      <c r="A69" s="171" t="s">
        <v>354</v>
      </c>
      <c r="B69" s="172">
        <v>86000</v>
      </c>
      <c r="C69" s="163" t="s">
        <v>271</v>
      </c>
      <c r="D69" s="143" t="s">
        <v>75</v>
      </c>
      <c r="E69" s="1" t="s">
        <v>48</v>
      </c>
      <c r="F69" s="52" t="s">
        <v>29</v>
      </c>
      <c r="G69" s="31"/>
      <c r="H69" s="31"/>
      <c r="I69" s="31">
        <v>0</v>
      </c>
      <c r="J69" s="31"/>
      <c r="K69" s="31">
        <v>0</v>
      </c>
      <c r="L69" s="31"/>
      <c r="M69" s="31">
        <v>0</v>
      </c>
      <c r="N69" s="31"/>
      <c r="O69" s="31">
        <v>1480</v>
      </c>
      <c r="P69" s="31"/>
      <c r="Q69" s="31">
        <v>0</v>
      </c>
      <c r="R69" s="31">
        <f t="shared" si="7"/>
        <v>1480</v>
      </c>
      <c r="S69" s="31">
        <v>0</v>
      </c>
      <c r="T69" s="134">
        <f t="shared" si="8"/>
        <v>1480</v>
      </c>
      <c r="V69" s="30"/>
      <c r="W69" s="33"/>
    </row>
    <row r="70" spans="1:23" s="49" customFormat="1" ht="10.5">
      <c r="A70" s="79"/>
      <c r="B70" s="79"/>
      <c r="C70" s="79"/>
      <c r="D70" s="79" t="s">
        <v>76</v>
      </c>
      <c r="E70" s="1"/>
      <c r="F70" s="52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V70" s="30"/>
      <c r="W70" s="33"/>
    </row>
    <row r="71" spans="1:23" s="49" customFormat="1" ht="10.199999999999999">
      <c r="A71" s="77"/>
      <c r="B71" s="77"/>
      <c r="C71" s="77"/>
      <c r="D71" s="77" t="s">
        <v>77</v>
      </c>
      <c r="E71" s="1"/>
      <c r="F71" s="52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V71" s="30"/>
      <c r="W71" s="33"/>
    </row>
    <row r="72" spans="1:23" s="49" customFormat="1" ht="20.399999999999999">
      <c r="A72" s="162" t="s">
        <v>343</v>
      </c>
      <c r="B72" s="162" t="s">
        <v>284</v>
      </c>
      <c r="C72" s="163" t="s">
        <v>271</v>
      </c>
      <c r="D72" s="80" t="s">
        <v>78</v>
      </c>
      <c r="E72" s="1" t="s">
        <v>48</v>
      </c>
      <c r="F72" s="52" t="s">
        <v>29</v>
      </c>
      <c r="G72" s="31">
        <v>10</v>
      </c>
      <c r="H72" s="31">
        <f>(96+30.5)</f>
        <v>126.5</v>
      </c>
      <c r="I72" s="31">
        <v>0</v>
      </c>
      <c r="J72" s="31">
        <v>10</v>
      </c>
      <c r="K72" s="31">
        <v>221.89</v>
      </c>
      <c r="L72" s="31">
        <v>10</v>
      </c>
      <c r="M72" s="31">
        <v>1237.95</v>
      </c>
      <c r="N72" s="31">
        <v>10</v>
      </c>
      <c r="O72" s="31">
        <v>9656.41</v>
      </c>
      <c r="P72" s="31">
        <v>10</v>
      </c>
      <c r="Q72" s="31">
        <v>7771.5790056027045</v>
      </c>
      <c r="R72" s="31">
        <f>SUM(I72+K72+M72+O72+Q72)</f>
        <v>18887.829005602704</v>
      </c>
      <c r="S72" s="31">
        <v>0</v>
      </c>
      <c r="T72" s="134">
        <f>SUM(R72:S72)</f>
        <v>18887.829005602704</v>
      </c>
      <c r="V72" s="30"/>
      <c r="W72" s="33"/>
    </row>
    <row r="73" spans="1:23" s="49" customFormat="1" ht="20.399999999999999">
      <c r="A73" s="162" t="s">
        <v>344</v>
      </c>
      <c r="B73" s="162" t="s">
        <v>284</v>
      </c>
      <c r="C73" s="163" t="s">
        <v>271</v>
      </c>
      <c r="D73" s="80" t="s">
        <v>63</v>
      </c>
      <c r="E73" s="1" t="s">
        <v>48</v>
      </c>
      <c r="F73" s="52" t="s">
        <v>29</v>
      </c>
      <c r="G73" s="31">
        <v>10</v>
      </c>
      <c r="H73" s="31">
        <f>(180+55)</f>
        <v>235</v>
      </c>
      <c r="I73" s="31">
        <v>0</v>
      </c>
      <c r="J73" s="31">
        <v>10</v>
      </c>
      <c r="K73" s="31">
        <v>0</v>
      </c>
      <c r="L73" s="31">
        <v>10</v>
      </c>
      <c r="M73" s="31">
        <v>331.64</v>
      </c>
      <c r="N73" s="31">
        <v>10</v>
      </c>
      <c r="O73" s="31">
        <v>3047.45</v>
      </c>
      <c r="P73" s="31">
        <v>10</v>
      </c>
      <c r="Q73" s="31">
        <v>0</v>
      </c>
      <c r="R73" s="31">
        <f>SUM(I73+K73+M73+O73+Q73)</f>
        <v>3379.0899999999997</v>
      </c>
      <c r="S73" s="31">
        <v>0</v>
      </c>
      <c r="T73" s="134">
        <f>SUM(R73:S73)</f>
        <v>3379.0899999999997</v>
      </c>
      <c r="V73" s="30"/>
      <c r="W73" s="33"/>
    </row>
    <row r="74" spans="1:23" s="49" customFormat="1" ht="20.399999999999999">
      <c r="A74" s="162" t="s">
        <v>345</v>
      </c>
      <c r="B74" s="162" t="s">
        <v>284</v>
      </c>
      <c r="C74" s="163" t="s">
        <v>271</v>
      </c>
      <c r="D74" s="80" t="s">
        <v>79</v>
      </c>
      <c r="E74" s="1" t="s">
        <v>48</v>
      </c>
      <c r="F74" s="52" t="s">
        <v>29</v>
      </c>
      <c r="G74" s="31">
        <v>8</v>
      </c>
      <c r="H74" s="31">
        <f>(100+35.5)</f>
        <v>135.5</v>
      </c>
      <c r="I74" s="31">
        <v>0</v>
      </c>
      <c r="J74" s="31">
        <v>8</v>
      </c>
      <c r="K74" s="31">
        <v>0</v>
      </c>
      <c r="L74" s="31">
        <v>8</v>
      </c>
      <c r="M74" s="31">
        <v>2457.1200000000003</v>
      </c>
      <c r="N74" s="31">
        <v>8</v>
      </c>
      <c r="O74" s="31">
        <v>3429.74</v>
      </c>
      <c r="P74" s="31">
        <v>8</v>
      </c>
      <c r="Q74" s="31">
        <v>0</v>
      </c>
      <c r="R74" s="31">
        <f>SUM(I74+K74+M74+O74+Q74)</f>
        <v>5886.8600000000006</v>
      </c>
      <c r="S74" s="31">
        <v>0</v>
      </c>
      <c r="T74" s="134">
        <f>SUM(R74:S74)</f>
        <v>5886.8600000000006</v>
      </c>
      <c r="V74" s="30"/>
      <c r="W74" s="33"/>
    </row>
    <row r="75" spans="1:23" s="49" customFormat="1" ht="10.199999999999999">
      <c r="A75" s="162" t="s">
        <v>346</v>
      </c>
      <c r="B75" s="172">
        <v>86000</v>
      </c>
      <c r="C75" s="163" t="s">
        <v>271</v>
      </c>
      <c r="D75" s="80" t="s">
        <v>80</v>
      </c>
      <c r="E75" s="1" t="s">
        <v>81</v>
      </c>
      <c r="F75" s="52" t="s">
        <v>51</v>
      </c>
      <c r="G75" s="31">
        <v>28</v>
      </c>
      <c r="H75" s="31">
        <v>46</v>
      </c>
      <c r="I75" s="31">
        <v>0</v>
      </c>
      <c r="J75" s="31">
        <v>28</v>
      </c>
      <c r="K75" s="31">
        <v>607.19000000000005</v>
      </c>
      <c r="L75" s="31">
        <v>28</v>
      </c>
      <c r="M75" s="31">
        <v>5386.7199999999993</v>
      </c>
      <c r="N75" s="31">
        <v>28</v>
      </c>
      <c r="O75" s="31">
        <v>3839.22</v>
      </c>
      <c r="P75" s="31">
        <v>28</v>
      </c>
      <c r="Q75" s="31">
        <v>0</v>
      </c>
      <c r="R75" s="31">
        <f>SUM(I75+K75+M75+O75+Q75)</f>
        <v>9833.1299999999992</v>
      </c>
      <c r="S75" s="31">
        <v>0</v>
      </c>
      <c r="T75" s="134">
        <f>SUM(R75:S75)</f>
        <v>9833.1299999999992</v>
      </c>
      <c r="V75" s="30"/>
      <c r="W75" s="33"/>
    </row>
    <row r="76" spans="1:23" s="49" customFormat="1" ht="10.199999999999999">
      <c r="A76" s="80"/>
      <c r="B76" s="80"/>
      <c r="C76" s="80"/>
      <c r="D76" s="80"/>
      <c r="E76" s="1"/>
      <c r="F76" s="52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V76" s="30"/>
      <c r="W76" s="33"/>
    </row>
    <row r="77" spans="1:23" ht="10.8" thickBot="1">
      <c r="A77" s="56"/>
      <c r="B77" s="56"/>
      <c r="C77" s="56"/>
      <c r="D77" s="56" t="s">
        <v>82</v>
      </c>
      <c r="E77" s="56"/>
      <c r="F77" s="57"/>
      <c r="G77" s="57"/>
      <c r="H77" s="58"/>
      <c r="I77" s="59">
        <f>SUM(I43:I76)</f>
        <v>6436.11</v>
      </c>
      <c r="J77" s="59"/>
      <c r="K77" s="59">
        <f>SUM(K43:K76)</f>
        <v>24701.57</v>
      </c>
      <c r="L77" s="59"/>
      <c r="M77" s="59">
        <f>SUM(M43:M76)</f>
        <v>81691.539999999994</v>
      </c>
      <c r="N77" s="59"/>
      <c r="O77" s="59">
        <f>SUM(O43:O76)</f>
        <v>122152.39000000001</v>
      </c>
      <c r="P77" s="59"/>
      <c r="Q77" s="60">
        <f>SUM(Q43:Q76)</f>
        <v>39189.079005602704</v>
      </c>
      <c r="R77" s="59">
        <f>SUM(I77+K77+M77+O77+Q77)</f>
        <v>274170.68900560273</v>
      </c>
      <c r="S77" s="59">
        <f>SUM(S43:S59)</f>
        <v>0</v>
      </c>
      <c r="T77" s="141">
        <f>SUM(R77:S77)</f>
        <v>274170.68900560273</v>
      </c>
      <c r="V77" s="30"/>
      <c r="W77" s="33"/>
    </row>
    <row r="78" spans="1:23" ht="10.199999999999999">
      <c r="F78" s="81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V78" s="30"/>
      <c r="W78" s="33"/>
    </row>
    <row r="79" spans="1:23" ht="10.5">
      <c r="A79" s="21"/>
      <c r="B79" s="21"/>
      <c r="C79" s="21"/>
      <c r="D79" s="21" t="s">
        <v>83</v>
      </c>
      <c r="E79" s="21"/>
      <c r="F79" s="21"/>
      <c r="G79" s="21"/>
      <c r="H79" s="22"/>
      <c r="I79" s="23"/>
      <c r="J79" s="23"/>
      <c r="K79" s="23"/>
      <c r="L79" s="23"/>
      <c r="M79" s="23"/>
      <c r="N79" s="23"/>
      <c r="O79" s="23"/>
      <c r="P79" s="23"/>
      <c r="Q79" s="23"/>
      <c r="R79" s="24"/>
      <c r="S79" s="23"/>
      <c r="T79" s="24"/>
      <c r="V79" s="30"/>
      <c r="W79" s="33"/>
    </row>
    <row r="80" spans="1:23" ht="10.199999999999999">
      <c r="F80" s="81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V80" s="30"/>
      <c r="W80" s="33"/>
    </row>
    <row r="81" spans="1:23" ht="10.8" thickBot="1">
      <c r="A81" s="56"/>
      <c r="B81" s="56"/>
      <c r="C81" s="56"/>
      <c r="D81" s="56" t="s">
        <v>84</v>
      </c>
      <c r="E81" s="56"/>
      <c r="F81" s="57"/>
      <c r="G81" s="57"/>
      <c r="H81" s="58"/>
      <c r="I81" s="59">
        <f>I80</f>
        <v>0</v>
      </c>
      <c r="J81" s="59"/>
      <c r="K81" s="59">
        <f>K80</f>
        <v>0</v>
      </c>
      <c r="L81" s="59"/>
      <c r="M81" s="59">
        <f>M80</f>
        <v>0</v>
      </c>
      <c r="N81" s="59"/>
      <c r="O81" s="59">
        <f>O80</f>
        <v>0</v>
      </c>
      <c r="P81" s="59"/>
      <c r="Q81" s="59">
        <f>Q80</f>
        <v>0</v>
      </c>
      <c r="R81" s="59">
        <f>SUM(I81+K81+M81+O81+Q81)</f>
        <v>0</v>
      </c>
      <c r="S81" s="59">
        <f>S80</f>
        <v>0</v>
      </c>
      <c r="T81" s="61">
        <f>SUM(R81:S81)</f>
        <v>0</v>
      </c>
      <c r="V81" s="30"/>
      <c r="W81" s="33"/>
    </row>
    <row r="82" spans="1:23" ht="10.199999999999999">
      <c r="F82" s="81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V82" s="30"/>
      <c r="W82" s="33"/>
    </row>
    <row r="83" spans="1:23" ht="10.5">
      <c r="A83" s="21"/>
      <c r="B83" s="21"/>
      <c r="C83" s="21"/>
      <c r="D83" s="21" t="s">
        <v>85</v>
      </c>
      <c r="E83" s="21"/>
      <c r="F83" s="21"/>
      <c r="G83" s="21"/>
      <c r="H83" s="22"/>
      <c r="I83" s="23"/>
      <c r="J83" s="23"/>
      <c r="K83" s="23"/>
      <c r="L83" s="23"/>
      <c r="M83" s="23"/>
      <c r="N83" s="23"/>
      <c r="O83" s="23"/>
      <c r="P83" s="23"/>
      <c r="Q83" s="23"/>
      <c r="R83" s="24"/>
      <c r="S83" s="23"/>
      <c r="T83" s="24"/>
      <c r="V83" s="30"/>
      <c r="W83" s="33"/>
    </row>
    <row r="84" spans="1:23" ht="10.5">
      <c r="A84" s="73"/>
      <c r="B84" s="73"/>
      <c r="C84" s="73"/>
      <c r="D84" s="73" t="s">
        <v>86</v>
      </c>
      <c r="E84" s="82"/>
      <c r="F84" s="82"/>
      <c r="G84" s="82"/>
      <c r="H84" s="83"/>
      <c r="I84" s="84"/>
      <c r="J84" s="84"/>
      <c r="K84" s="84"/>
      <c r="L84" s="84"/>
      <c r="M84" s="84"/>
      <c r="N84" s="84"/>
      <c r="O84" s="84"/>
      <c r="P84" s="84"/>
      <c r="Q84" s="84"/>
      <c r="R84" s="29"/>
      <c r="S84" s="84"/>
      <c r="T84" s="29"/>
      <c r="V84" s="30"/>
      <c r="W84" s="33"/>
    </row>
    <row r="85" spans="1:23" ht="10.199999999999999">
      <c r="A85" s="162" t="s">
        <v>296</v>
      </c>
      <c r="B85" s="162">
        <v>82401</v>
      </c>
      <c r="C85" s="162" t="s">
        <v>297</v>
      </c>
      <c r="D85" s="2" t="s">
        <v>87</v>
      </c>
      <c r="E85" s="2" t="s">
        <v>85</v>
      </c>
      <c r="F85" s="52" t="s">
        <v>88</v>
      </c>
      <c r="G85" s="31">
        <v>7</v>
      </c>
      <c r="H85" s="31">
        <v>750</v>
      </c>
      <c r="I85" s="31">
        <v>9755.4100000000035</v>
      </c>
      <c r="J85" s="31">
        <v>0</v>
      </c>
      <c r="K85" s="31">
        <v>4238.82</v>
      </c>
      <c r="L85" s="31">
        <v>0</v>
      </c>
      <c r="M85" s="31">
        <v>9290.99</v>
      </c>
      <c r="N85" s="31">
        <v>0</v>
      </c>
      <c r="O85" s="31">
        <v>4932.7299999999996</v>
      </c>
      <c r="P85" s="31">
        <v>0</v>
      </c>
      <c r="Q85" s="31">
        <v>3403.9688931319515</v>
      </c>
      <c r="R85" s="31">
        <f t="shared" ref="R85:R87" si="9">SUM(I85+K85+M85+O85+Q85)</f>
        <v>31621.918893131951</v>
      </c>
      <c r="S85" s="31">
        <v>0</v>
      </c>
      <c r="T85" s="134">
        <f t="shared" ref="T85:T86" si="10">SUM(R85:S85)</f>
        <v>31621.918893131951</v>
      </c>
      <c r="V85" s="30"/>
      <c r="W85" s="33"/>
    </row>
    <row r="86" spans="1:23" ht="10.199999999999999">
      <c r="A86" s="162" t="s">
        <v>298</v>
      </c>
      <c r="B86" s="162">
        <v>82401</v>
      </c>
      <c r="C86" s="163" t="s">
        <v>271</v>
      </c>
      <c r="D86" s="2" t="s">
        <v>89</v>
      </c>
      <c r="E86" s="2" t="s">
        <v>85</v>
      </c>
      <c r="F86" s="52" t="s">
        <v>29</v>
      </c>
      <c r="G86" s="31">
        <v>11</v>
      </c>
      <c r="H86" s="31">
        <v>105</v>
      </c>
      <c r="I86" s="31">
        <v>357.41999999999996</v>
      </c>
      <c r="J86" s="31">
        <v>12</v>
      </c>
      <c r="K86" s="31">
        <v>548.52</v>
      </c>
      <c r="L86" s="31">
        <v>12</v>
      </c>
      <c r="M86" s="31">
        <v>1729.5700000000002</v>
      </c>
      <c r="N86" s="31">
        <v>10</v>
      </c>
      <c r="O86" s="31">
        <v>639.94000000000005</v>
      </c>
      <c r="P86" s="31">
        <v>10</v>
      </c>
      <c r="Q86" s="31">
        <v>165.375</v>
      </c>
      <c r="R86" s="31">
        <f t="shared" si="9"/>
        <v>3440.8250000000003</v>
      </c>
      <c r="S86" s="31">
        <v>0</v>
      </c>
      <c r="T86" s="134">
        <f t="shared" si="10"/>
        <v>3440.8250000000003</v>
      </c>
      <c r="V86" s="30"/>
      <c r="W86" s="33"/>
    </row>
    <row r="87" spans="1:23" ht="10.199999999999999" hidden="1">
      <c r="A87" s="162" t="s">
        <v>282</v>
      </c>
      <c r="B87" s="162" t="s">
        <v>282</v>
      </c>
      <c r="C87" s="162" t="s">
        <v>282</v>
      </c>
      <c r="D87" s="2" t="s">
        <v>90</v>
      </c>
      <c r="E87" s="2" t="s">
        <v>85</v>
      </c>
      <c r="F87" s="52" t="s">
        <v>29</v>
      </c>
      <c r="G87" s="31">
        <v>11</v>
      </c>
      <c r="H87" s="31">
        <v>40</v>
      </c>
      <c r="I87" s="31">
        <v>0</v>
      </c>
      <c r="J87" s="31">
        <v>12</v>
      </c>
      <c r="K87" s="31">
        <v>0</v>
      </c>
      <c r="L87" s="31">
        <v>12</v>
      </c>
      <c r="M87" s="31">
        <v>0</v>
      </c>
      <c r="N87" s="31">
        <v>12</v>
      </c>
      <c r="O87" s="31">
        <v>0</v>
      </c>
      <c r="P87" s="31">
        <v>12</v>
      </c>
      <c r="Q87" s="31">
        <v>0</v>
      </c>
      <c r="R87" s="31">
        <f t="shared" si="9"/>
        <v>0</v>
      </c>
      <c r="S87" s="31">
        <v>0</v>
      </c>
      <c r="T87" s="134">
        <f>SUM(R87:S87)</f>
        <v>0</v>
      </c>
      <c r="V87" s="30"/>
      <c r="W87" s="33"/>
    </row>
    <row r="88" spans="1:23" ht="10.199999999999999">
      <c r="A88" s="35"/>
      <c r="B88" s="35"/>
      <c r="C88" s="35"/>
      <c r="D88" s="35"/>
      <c r="E88" s="35"/>
      <c r="F88" s="81"/>
      <c r="V88" s="30"/>
      <c r="W88" s="33"/>
    </row>
    <row r="89" spans="1:23" ht="10.8" thickBot="1">
      <c r="A89" s="55"/>
      <c r="B89" s="55"/>
      <c r="C89" s="55"/>
      <c r="D89" s="55" t="s">
        <v>91</v>
      </c>
      <c r="E89" s="55"/>
      <c r="F89" s="56"/>
      <c r="G89" s="56"/>
      <c r="H89" s="87"/>
      <c r="I89" s="88">
        <f>SUM(I85:I87)</f>
        <v>10112.830000000004</v>
      </c>
      <c r="J89" s="88"/>
      <c r="K89" s="88">
        <f>SUM(K85:K87)</f>
        <v>4787.34</v>
      </c>
      <c r="L89" s="88"/>
      <c r="M89" s="88">
        <f>SUM(M85:M87)</f>
        <v>11020.56</v>
      </c>
      <c r="N89" s="88"/>
      <c r="O89" s="88">
        <f>SUM(O85:O87)</f>
        <v>5572.67</v>
      </c>
      <c r="P89" s="88"/>
      <c r="Q89" s="89">
        <f>SUM(Q85:Q87)</f>
        <v>3569.3438931319515</v>
      </c>
      <c r="R89" s="59">
        <f>SUM(I89+K89+M89+O89+Q89)</f>
        <v>35062.743893131956</v>
      </c>
      <c r="S89" s="88">
        <f>SUM(S85:S88)</f>
        <v>0</v>
      </c>
      <c r="T89" s="141">
        <f>SUM(R89:S89)</f>
        <v>35062.743893131956</v>
      </c>
      <c r="V89" s="30"/>
      <c r="W89" s="33"/>
    </row>
    <row r="90" spans="1:23" ht="10.5" thickBot="1">
      <c r="A90" s="35"/>
      <c r="B90" s="35"/>
      <c r="C90" s="35"/>
      <c r="D90" s="35"/>
      <c r="E90" s="35"/>
      <c r="F90" s="81"/>
      <c r="V90" s="30"/>
      <c r="W90" s="33"/>
    </row>
    <row r="91" spans="1:23" ht="10.5">
      <c r="A91" s="90"/>
      <c r="B91" s="90"/>
      <c r="C91" s="90"/>
      <c r="D91" s="90" t="s">
        <v>92</v>
      </c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2"/>
      <c r="S91" s="91"/>
      <c r="T91" s="92"/>
      <c r="V91" s="30"/>
      <c r="W91" s="33"/>
    </row>
    <row r="92" spans="1:23" ht="10.5">
      <c r="A92" s="72"/>
      <c r="B92" s="72"/>
      <c r="C92" s="72"/>
      <c r="D92" s="72" t="s">
        <v>93</v>
      </c>
      <c r="E92" s="25"/>
      <c r="F92" s="93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V92" s="30"/>
      <c r="W92" s="33"/>
    </row>
    <row r="93" spans="1:23" ht="10.199999999999999">
      <c r="A93" s="139" t="s">
        <v>341</v>
      </c>
      <c r="B93" s="139">
        <v>89050</v>
      </c>
      <c r="C93" s="139" t="s">
        <v>271</v>
      </c>
      <c r="D93" s="2" t="s">
        <v>94</v>
      </c>
      <c r="E93" s="2" t="s">
        <v>92</v>
      </c>
      <c r="F93" s="2" t="s">
        <v>88</v>
      </c>
      <c r="G93" s="31"/>
      <c r="H93" s="31"/>
      <c r="I93" s="31">
        <v>24900</v>
      </c>
      <c r="J93" s="31"/>
      <c r="K93" s="31">
        <v>140176.19</v>
      </c>
      <c r="L93" s="31"/>
      <c r="M93" s="31">
        <v>148398.63</v>
      </c>
      <c r="N93" s="31"/>
      <c r="O93" s="31">
        <v>0</v>
      </c>
      <c r="P93" s="31"/>
      <c r="Q93" s="31">
        <v>0</v>
      </c>
      <c r="R93" s="31">
        <f>SUM(I93+K93+M93+O93+Q93)</f>
        <v>313474.82</v>
      </c>
      <c r="S93" s="31">
        <v>0</v>
      </c>
      <c r="T93" s="134">
        <f>R93+S93</f>
        <v>313474.82</v>
      </c>
      <c r="V93" s="30"/>
      <c r="W93" s="33"/>
    </row>
    <row r="94" spans="1:23" ht="10.199999999999999">
      <c r="A94" s="139" t="s">
        <v>342</v>
      </c>
      <c r="B94" s="139">
        <v>89050</v>
      </c>
      <c r="C94" s="139" t="s">
        <v>269</v>
      </c>
      <c r="D94" s="2" t="s">
        <v>95</v>
      </c>
      <c r="E94" s="2" t="s">
        <v>92</v>
      </c>
      <c r="F94" s="2" t="s">
        <v>88</v>
      </c>
      <c r="G94" s="31"/>
      <c r="H94" s="31"/>
      <c r="I94" s="31">
        <v>18451.03</v>
      </c>
      <c r="J94" s="31"/>
      <c r="K94" s="31">
        <v>18451.03</v>
      </c>
      <c r="L94" s="31"/>
      <c r="M94" s="31">
        <v>36902.06</v>
      </c>
      <c r="N94" s="31"/>
      <c r="O94" s="31">
        <v>0</v>
      </c>
      <c r="P94" s="31"/>
      <c r="Q94" s="31">
        <v>0</v>
      </c>
      <c r="R94" s="31">
        <f>SUM(I94+K94+M94+O94+Q94)</f>
        <v>73804.12</v>
      </c>
      <c r="S94" s="31">
        <v>0</v>
      </c>
      <c r="T94" s="134">
        <f>R94+S94</f>
        <v>73804.12</v>
      </c>
      <c r="V94" s="30"/>
      <c r="W94" s="33"/>
    </row>
    <row r="95" spans="1:23" ht="10.199999999999999" hidden="1">
      <c r="A95" s="162" t="s">
        <v>282</v>
      </c>
      <c r="B95" s="162" t="s">
        <v>282</v>
      </c>
      <c r="C95" s="162" t="s">
        <v>282</v>
      </c>
      <c r="D95" s="2" t="s">
        <v>96</v>
      </c>
      <c r="E95" s="2" t="s">
        <v>92</v>
      </c>
      <c r="F95" s="2" t="s">
        <v>88</v>
      </c>
      <c r="G95" s="31"/>
      <c r="H95" s="31"/>
      <c r="I95" s="31">
        <v>0</v>
      </c>
      <c r="J95" s="31"/>
      <c r="K95" s="31">
        <v>0</v>
      </c>
      <c r="L95" s="31"/>
      <c r="M95" s="31">
        <v>0</v>
      </c>
      <c r="N95" s="31"/>
      <c r="O95" s="31">
        <v>0</v>
      </c>
      <c r="P95" s="31"/>
      <c r="Q95" s="31">
        <v>0</v>
      </c>
      <c r="R95" s="31">
        <f>SUM(I95+K95+M95+O95+Q95)</f>
        <v>0</v>
      </c>
      <c r="S95" s="31">
        <v>0</v>
      </c>
      <c r="T95" s="31">
        <f>R95+S95</f>
        <v>0</v>
      </c>
      <c r="V95" s="30"/>
      <c r="W95" s="33"/>
    </row>
    <row r="96" spans="1:23" ht="10.5" hidden="1">
      <c r="A96" s="167"/>
      <c r="B96" s="167"/>
      <c r="C96" s="167"/>
      <c r="D96" s="72" t="s">
        <v>97</v>
      </c>
      <c r="E96" s="43"/>
      <c r="F96" s="13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31"/>
      <c r="T96" s="134"/>
      <c r="V96" s="30"/>
      <c r="W96" s="33"/>
    </row>
    <row r="97" spans="1:23" ht="10.5" hidden="1">
      <c r="A97" s="162" t="s">
        <v>282</v>
      </c>
      <c r="B97" s="162" t="s">
        <v>282</v>
      </c>
      <c r="C97" s="162" t="s">
        <v>282</v>
      </c>
      <c r="D97" s="2" t="s">
        <v>98</v>
      </c>
      <c r="E97" s="43"/>
      <c r="F97" s="13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31"/>
      <c r="T97" s="134"/>
      <c r="V97" s="30"/>
      <c r="W97" s="33"/>
    </row>
    <row r="98" spans="1:23" ht="10.5" hidden="1">
      <c r="A98" s="162" t="s">
        <v>282</v>
      </c>
      <c r="B98" s="162" t="s">
        <v>282</v>
      </c>
      <c r="C98" s="162" t="s">
        <v>282</v>
      </c>
      <c r="D98" s="2" t="s">
        <v>99</v>
      </c>
      <c r="E98" s="43"/>
      <c r="F98" s="13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31"/>
      <c r="T98" s="134"/>
      <c r="V98" s="30"/>
      <c r="W98" s="33"/>
    </row>
    <row r="99" spans="1:23" ht="10.5" hidden="1">
      <c r="A99" s="162" t="s">
        <v>282</v>
      </c>
      <c r="B99" s="162" t="s">
        <v>282</v>
      </c>
      <c r="C99" s="162" t="s">
        <v>282</v>
      </c>
      <c r="D99" s="2" t="s">
        <v>100</v>
      </c>
      <c r="E99" s="43"/>
      <c r="F99" s="13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31"/>
      <c r="T99" s="134"/>
      <c r="V99" s="30"/>
      <c r="W99" s="33"/>
    </row>
    <row r="100" spans="1:23" s="49" customFormat="1" ht="10.5" hidden="1">
      <c r="A100" s="72"/>
      <c r="B100" s="72"/>
      <c r="C100" s="72"/>
      <c r="D100" s="72" t="s">
        <v>101</v>
      </c>
      <c r="E100" s="25"/>
      <c r="F100" s="93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V100" s="30"/>
      <c r="W100" s="33"/>
    </row>
    <row r="101" spans="1:23" ht="10.199999999999999" hidden="1">
      <c r="A101" s="162" t="s">
        <v>282</v>
      </c>
      <c r="B101" s="162" t="s">
        <v>282</v>
      </c>
      <c r="C101" s="162" t="s">
        <v>282</v>
      </c>
      <c r="D101" s="2" t="s">
        <v>102</v>
      </c>
      <c r="E101" s="2" t="s">
        <v>92</v>
      </c>
      <c r="F101" s="2" t="s">
        <v>88</v>
      </c>
      <c r="G101" s="31"/>
      <c r="H101" s="31"/>
      <c r="I101" s="31">
        <v>0</v>
      </c>
      <c r="J101" s="31"/>
      <c r="K101" s="31">
        <v>0</v>
      </c>
      <c r="L101" s="31"/>
      <c r="M101" s="31">
        <v>0</v>
      </c>
      <c r="N101" s="31"/>
      <c r="O101" s="31">
        <v>0</v>
      </c>
      <c r="P101" s="31"/>
      <c r="Q101" s="31">
        <v>0</v>
      </c>
      <c r="R101" s="31">
        <f t="shared" ref="R101:R112" si="11">SUM(I101+K101+M101+O101+Q101)</f>
        <v>0</v>
      </c>
      <c r="S101" s="31">
        <v>0</v>
      </c>
      <c r="T101" s="134">
        <f>R101+S101</f>
        <v>0</v>
      </c>
      <c r="V101" s="30"/>
      <c r="W101" s="33"/>
    </row>
    <row r="102" spans="1:23" ht="10.199999999999999" hidden="1">
      <c r="A102" s="162" t="s">
        <v>282</v>
      </c>
      <c r="B102" s="162" t="s">
        <v>282</v>
      </c>
      <c r="C102" s="162" t="s">
        <v>282</v>
      </c>
      <c r="D102" s="2" t="s">
        <v>103</v>
      </c>
      <c r="E102" s="2" t="s">
        <v>92</v>
      </c>
      <c r="F102" s="2" t="s">
        <v>88</v>
      </c>
      <c r="G102" s="31"/>
      <c r="H102" s="31"/>
      <c r="I102" s="31">
        <v>0</v>
      </c>
      <c r="J102" s="31"/>
      <c r="K102" s="31">
        <v>0</v>
      </c>
      <c r="L102" s="31"/>
      <c r="M102" s="31">
        <v>0</v>
      </c>
      <c r="N102" s="31"/>
      <c r="O102" s="31">
        <v>0</v>
      </c>
      <c r="P102" s="31"/>
      <c r="Q102" s="31">
        <v>0</v>
      </c>
      <c r="R102" s="31">
        <f t="shared" si="11"/>
        <v>0</v>
      </c>
      <c r="S102" s="31">
        <v>0</v>
      </c>
      <c r="T102" s="134">
        <f>R102+S102</f>
        <v>0</v>
      </c>
      <c r="V102" s="30"/>
      <c r="W102" s="33"/>
    </row>
    <row r="103" spans="1:23" ht="10.199999999999999" hidden="1">
      <c r="A103" s="162" t="s">
        <v>282</v>
      </c>
      <c r="B103" s="162" t="s">
        <v>282</v>
      </c>
      <c r="C103" s="162" t="s">
        <v>282</v>
      </c>
      <c r="D103" s="2" t="s">
        <v>104</v>
      </c>
      <c r="E103" s="2" t="s">
        <v>92</v>
      </c>
      <c r="F103" s="2" t="s">
        <v>88</v>
      </c>
      <c r="G103" s="31"/>
      <c r="H103" s="31"/>
      <c r="I103" s="31">
        <v>0</v>
      </c>
      <c r="J103" s="31"/>
      <c r="K103" s="31">
        <v>0</v>
      </c>
      <c r="L103" s="31"/>
      <c r="M103" s="31">
        <v>0</v>
      </c>
      <c r="N103" s="31"/>
      <c r="O103" s="31">
        <v>0</v>
      </c>
      <c r="P103" s="31"/>
      <c r="Q103" s="31">
        <v>0</v>
      </c>
      <c r="R103" s="31">
        <f t="shared" si="11"/>
        <v>0</v>
      </c>
      <c r="S103" s="31">
        <v>0</v>
      </c>
      <c r="T103" s="134">
        <f>R103+S103</f>
        <v>0</v>
      </c>
      <c r="V103" s="30"/>
      <c r="W103" s="33"/>
    </row>
    <row r="104" spans="1:23" s="49" customFormat="1" ht="10.5" hidden="1">
      <c r="A104" s="94"/>
      <c r="B104" s="94"/>
      <c r="C104" s="94"/>
      <c r="D104" s="94" t="s">
        <v>105</v>
      </c>
      <c r="E104" s="25"/>
      <c r="F104" s="93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V104" s="30"/>
      <c r="W104" s="33"/>
    </row>
    <row r="105" spans="1:23" ht="10.199999999999999" hidden="1">
      <c r="A105" s="162" t="s">
        <v>282</v>
      </c>
      <c r="B105" s="162" t="s">
        <v>282</v>
      </c>
      <c r="C105" s="162" t="s">
        <v>282</v>
      </c>
      <c r="D105" s="2" t="s">
        <v>106</v>
      </c>
      <c r="E105" s="2" t="s">
        <v>92</v>
      </c>
      <c r="F105" s="2" t="s">
        <v>88</v>
      </c>
      <c r="G105" s="31"/>
      <c r="H105" s="31"/>
      <c r="I105" s="31">
        <v>0</v>
      </c>
      <c r="J105" s="31"/>
      <c r="K105" s="31">
        <v>0</v>
      </c>
      <c r="L105" s="31"/>
      <c r="M105" s="31">
        <v>0</v>
      </c>
      <c r="N105" s="31"/>
      <c r="O105" s="31">
        <v>0</v>
      </c>
      <c r="P105" s="31"/>
      <c r="Q105" s="31">
        <v>0</v>
      </c>
      <c r="R105" s="31">
        <f t="shared" si="11"/>
        <v>0</v>
      </c>
      <c r="S105" s="31">
        <v>0</v>
      </c>
      <c r="T105" s="134">
        <f>R105+S105</f>
        <v>0</v>
      </c>
      <c r="V105" s="30"/>
      <c r="W105" s="33"/>
    </row>
    <row r="106" spans="1:23" ht="10.199999999999999" hidden="1">
      <c r="A106" s="162" t="s">
        <v>282</v>
      </c>
      <c r="B106" s="162" t="s">
        <v>282</v>
      </c>
      <c r="C106" s="162" t="s">
        <v>282</v>
      </c>
      <c r="D106" s="2" t="s">
        <v>107</v>
      </c>
      <c r="E106" s="2" t="s">
        <v>92</v>
      </c>
      <c r="F106" s="2" t="s">
        <v>88</v>
      </c>
      <c r="G106" s="31"/>
      <c r="H106" s="31"/>
      <c r="I106" s="31">
        <v>0</v>
      </c>
      <c r="J106" s="31"/>
      <c r="K106" s="31">
        <v>0</v>
      </c>
      <c r="L106" s="31"/>
      <c r="M106" s="31">
        <v>0</v>
      </c>
      <c r="N106" s="31"/>
      <c r="O106" s="31">
        <v>0</v>
      </c>
      <c r="P106" s="31"/>
      <c r="Q106" s="31">
        <v>0</v>
      </c>
      <c r="R106" s="31">
        <f t="shared" si="11"/>
        <v>0</v>
      </c>
      <c r="S106" s="31">
        <v>0</v>
      </c>
      <c r="T106" s="134">
        <f>R106+S106</f>
        <v>0</v>
      </c>
      <c r="V106" s="30"/>
      <c r="W106" s="33"/>
    </row>
    <row r="107" spans="1:23" ht="10.199999999999999" hidden="1">
      <c r="A107" s="73"/>
      <c r="B107" s="73"/>
      <c r="C107" s="73"/>
      <c r="D107" s="73" t="s">
        <v>108</v>
      </c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38"/>
      <c r="S107" s="95"/>
      <c r="T107" s="95"/>
      <c r="V107" s="30"/>
      <c r="W107" s="33"/>
    </row>
    <row r="108" spans="1:23" ht="10.199999999999999" hidden="1">
      <c r="A108" s="162" t="s">
        <v>282</v>
      </c>
      <c r="B108" s="162" t="s">
        <v>282</v>
      </c>
      <c r="C108" s="162" t="s">
        <v>282</v>
      </c>
      <c r="D108" s="2" t="s">
        <v>109</v>
      </c>
      <c r="E108" s="1" t="s">
        <v>92</v>
      </c>
      <c r="F108" s="1" t="s">
        <v>88</v>
      </c>
      <c r="G108" s="31"/>
      <c r="H108" s="31"/>
      <c r="I108" s="31">
        <v>0</v>
      </c>
      <c r="J108" s="31"/>
      <c r="K108" s="31">
        <v>0</v>
      </c>
      <c r="L108" s="31"/>
      <c r="M108" s="31">
        <v>0</v>
      </c>
      <c r="N108" s="31"/>
      <c r="O108" s="31">
        <v>0</v>
      </c>
      <c r="P108" s="31"/>
      <c r="Q108" s="31">
        <v>0</v>
      </c>
      <c r="R108" s="31">
        <f t="shared" si="11"/>
        <v>0</v>
      </c>
      <c r="S108" s="31">
        <v>0</v>
      </c>
      <c r="T108" s="134">
        <f>SUM(R108:S108)</f>
        <v>0</v>
      </c>
      <c r="V108" s="30"/>
      <c r="W108" s="33"/>
    </row>
    <row r="109" spans="1:23" ht="10.199999999999999" hidden="1">
      <c r="A109" s="162" t="s">
        <v>282</v>
      </c>
      <c r="B109" s="162" t="s">
        <v>282</v>
      </c>
      <c r="C109" s="162" t="s">
        <v>282</v>
      </c>
      <c r="D109" s="2" t="s">
        <v>110</v>
      </c>
      <c r="E109" s="1" t="s">
        <v>92</v>
      </c>
      <c r="F109" s="1" t="s">
        <v>88</v>
      </c>
      <c r="G109" s="31"/>
      <c r="H109" s="31"/>
      <c r="I109" s="31">
        <v>0</v>
      </c>
      <c r="J109" s="31"/>
      <c r="K109" s="31">
        <v>0</v>
      </c>
      <c r="L109" s="31"/>
      <c r="M109" s="31">
        <v>0</v>
      </c>
      <c r="N109" s="31"/>
      <c r="O109" s="31">
        <v>0</v>
      </c>
      <c r="P109" s="31"/>
      <c r="Q109" s="31">
        <v>0</v>
      </c>
      <c r="R109" s="31">
        <f t="shared" si="11"/>
        <v>0</v>
      </c>
      <c r="S109" s="31">
        <v>0</v>
      </c>
      <c r="T109" s="134">
        <f>SUM(R109:S109)</f>
        <v>0</v>
      </c>
      <c r="V109" s="30"/>
      <c r="W109" s="33"/>
    </row>
    <row r="110" spans="1:23" ht="10.199999999999999" hidden="1">
      <c r="A110" s="162" t="s">
        <v>282</v>
      </c>
      <c r="B110" s="162" t="s">
        <v>282</v>
      </c>
      <c r="C110" s="162" t="s">
        <v>282</v>
      </c>
      <c r="D110" s="2" t="s">
        <v>111</v>
      </c>
      <c r="E110" s="1" t="s">
        <v>92</v>
      </c>
      <c r="F110" s="1" t="s">
        <v>88</v>
      </c>
      <c r="G110" s="31"/>
      <c r="H110" s="31"/>
      <c r="I110" s="31">
        <v>0</v>
      </c>
      <c r="J110" s="31"/>
      <c r="K110" s="31">
        <v>0</v>
      </c>
      <c r="L110" s="31"/>
      <c r="M110" s="31">
        <v>0</v>
      </c>
      <c r="N110" s="31"/>
      <c r="O110" s="31">
        <v>0</v>
      </c>
      <c r="P110" s="31"/>
      <c r="Q110" s="31">
        <v>0</v>
      </c>
      <c r="R110" s="31">
        <f t="shared" si="11"/>
        <v>0</v>
      </c>
      <c r="S110" s="31">
        <v>0</v>
      </c>
      <c r="T110" s="134">
        <f>SUM(R110:S110)</f>
        <v>0</v>
      </c>
      <c r="V110" s="30"/>
      <c r="W110" s="33"/>
    </row>
    <row r="111" spans="1:23" ht="10.199999999999999">
      <c r="A111" s="142"/>
      <c r="B111" s="142"/>
      <c r="C111" s="142"/>
      <c r="D111" s="142" t="s">
        <v>112</v>
      </c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38"/>
      <c r="S111" s="95"/>
      <c r="T111" s="95"/>
      <c r="V111" s="30"/>
      <c r="W111" s="33"/>
    </row>
    <row r="112" spans="1:23" ht="10.199999999999999">
      <c r="A112" s="171" t="s">
        <v>355</v>
      </c>
      <c r="B112" s="162">
        <v>81010</v>
      </c>
      <c r="C112" s="163" t="s">
        <v>271</v>
      </c>
      <c r="D112" s="137" t="s">
        <v>113</v>
      </c>
      <c r="E112" s="2" t="s">
        <v>114</v>
      </c>
      <c r="F112" s="2" t="s">
        <v>88</v>
      </c>
      <c r="G112" s="31"/>
      <c r="H112" s="31"/>
      <c r="I112" s="31">
        <v>0</v>
      </c>
      <c r="J112" s="31"/>
      <c r="K112" s="31">
        <v>0</v>
      </c>
      <c r="L112" s="31"/>
      <c r="M112" s="31">
        <v>0</v>
      </c>
      <c r="N112" s="31"/>
      <c r="O112" s="31">
        <v>21246.6</v>
      </c>
      <c r="P112" s="31"/>
      <c r="Q112" s="31">
        <v>0</v>
      </c>
      <c r="R112" s="31">
        <f t="shared" si="11"/>
        <v>21246.6</v>
      </c>
      <c r="S112" s="31">
        <v>0</v>
      </c>
      <c r="T112" s="134">
        <f>SUM(R112:S112)</f>
        <v>21246.6</v>
      </c>
      <c r="V112" s="30"/>
      <c r="W112" s="33"/>
    </row>
    <row r="113" spans="1:23" ht="10.199999999999999">
      <c r="A113" s="142"/>
      <c r="B113" s="142"/>
      <c r="C113" s="142"/>
      <c r="D113" s="142" t="s">
        <v>115</v>
      </c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38"/>
      <c r="S113" s="95"/>
      <c r="T113" s="95"/>
      <c r="V113" s="30"/>
      <c r="W113" s="33"/>
    </row>
    <row r="114" spans="1:23" ht="30.6">
      <c r="A114" s="171" t="s">
        <v>356</v>
      </c>
      <c r="B114" s="162" t="s">
        <v>357</v>
      </c>
      <c r="C114" s="163" t="s">
        <v>271</v>
      </c>
      <c r="D114" s="137" t="s">
        <v>116</v>
      </c>
      <c r="E114" s="2" t="s">
        <v>114</v>
      </c>
      <c r="F114" s="2" t="s">
        <v>88</v>
      </c>
      <c r="G114" s="31"/>
      <c r="H114" s="31"/>
      <c r="I114" s="31">
        <v>0</v>
      </c>
      <c r="J114" s="31"/>
      <c r="K114" s="31">
        <v>0</v>
      </c>
      <c r="L114" s="31"/>
      <c r="M114" s="31">
        <v>0</v>
      </c>
      <c r="N114" s="31"/>
      <c r="O114" s="31">
        <v>3519.99</v>
      </c>
      <c r="P114" s="31"/>
      <c r="Q114" s="31">
        <v>3851</v>
      </c>
      <c r="R114" s="31">
        <f t="shared" ref="R114:R116" si="12">SUM(I114+K114+M114+O114+Q114)</f>
        <v>7370.99</v>
      </c>
      <c r="S114" s="31">
        <v>0</v>
      </c>
      <c r="T114" s="134">
        <f t="shared" ref="T114:T116" si="13">SUM(R114:S114)</f>
        <v>7370.99</v>
      </c>
      <c r="U114" s="96"/>
      <c r="V114" s="30"/>
      <c r="W114" s="33"/>
    </row>
    <row r="115" spans="1:23" ht="30.6">
      <c r="A115" s="171" t="s">
        <v>358</v>
      </c>
      <c r="B115" s="162" t="s">
        <v>357</v>
      </c>
      <c r="C115" s="163" t="s">
        <v>271</v>
      </c>
      <c r="D115" s="137" t="s">
        <v>117</v>
      </c>
      <c r="E115" s="2" t="s">
        <v>114</v>
      </c>
      <c r="F115" s="2" t="s">
        <v>88</v>
      </c>
      <c r="G115" s="31"/>
      <c r="H115" s="31"/>
      <c r="I115" s="31">
        <v>0</v>
      </c>
      <c r="J115" s="31"/>
      <c r="K115" s="31">
        <v>0</v>
      </c>
      <c r="L115" s="31"/>
      <c r="M115" s="31">
        <v>0</v>
      </c>
      <c r="N115" s="31"/>
      <c r="O115" s="31">
        <v>9768</v>
      </c>
      <c r="P115" s="31"/>
      <c r="Q115" s="31">
        <v>1760</v>
      </c>
      <c r="R115" s="31">
        <f t="shared" si="12"/>
        <v>11528</v>
      </c>
      <c r="S115" s="31">
        <v>0</v>
      </c>
      <c r="T115" s="134">
        <f t="shared" si="13"/>
        <v>11528</v>
      </c>
      <c r="U115" s="96"/>
      <c r="V115" s="30"/>
      <c r="W115" s="33"/>
    </row>
    <row r="116" spans="1:23" ht="30.6">
      <c r="A116" s="171" t="s">
        <v>359</v>
      </c>
      <c r="B116" s="162" t="s">
        <v>357</v>
      </c>
      <c r="C116" s="163" t="s">
        <v>271</v>
      </c>
      <c r="D116" s="137" t="s">
        <v>118</v>
      </c>
      <c r="E116" s="2" t="s">
        <v>114</v>
      </c>
      <c r="F116" s="2" t="s">
        <v>88</v>
      </c>
      <c r="G116" s="31"/>
      <c r="H116" s="31"/>
      <c r="I116" s="31">
        <v>0</v>
      </c>
      <c r="J116" s="31"/>
      <c r="K116" s="31">
        <v>0</v>
      </c>
      <c r="L116" s="31"/>
      <c r="M116" s="31">
        <v>0</v>
      </c>
      <c r="N116" s="31"/>
      <c r="O116" s="31">
        <v>11347.4</v>
      </c>
      <c r="P116" s="31"/>
      <c r="Q116" s="31">
        <v>3520</v>
      </c>
      <c r="R116" s="31">
        <f t="shared" si="12"/>
        <v>14867.4</v>
      </c>
      <c r="S116" s="31">
        <v>0</v>
      </c>
      <c r="T116" s="134">
        <f t="shared" si="13"/>
        <v>14867.4</v>
      </c>
      <c r="U116" s="96"/>
      <c r="V116" s="30"/>
      <c r="W116" s="33"/>
    </row>
    <row r="117" spans="1:23" ht="10.8" thickBot="1">
      <c r="A117" s="56"/>
      <c r="B117" s="56"/>
      <c r="C117" s="56"/>
      <c r="D117" s="56" t="s">
        <v>119</v>
      </c>
      <c r="E117" s="56"/>
      <c r="F117" s="56"/>
      <c r="G117" s="97"/>
      <c r="H117" s="97"/>
      <c r="I117" s="61">
        <f>SUM(I93:I116)</f>
        <v>43351.03</v>
      </c>
      <c r="J117" s="61"/>
      <c r="K117" s="61">
        <f>SUM(K93:K116)</f>
        <v>158627.22</v>
      </c>
      <c r="L117" s="61"/>
      <c r="M117" s="61">
        <f>SUM(M93:M116)</f>
        <v>185300.69</v>
      </c>
      <c r="N117" s="61"/>
      <c r="O117" s="61">
        <f>SUM(O93:O116)</f>
        <v>45881.99</v>
      </c>
      <c r="P117" s="61"/>
      <c r="Q117" s="61">
        <f>SUM(Q93:Q116)</f>
        <v>9131</v>
      </c>
      <c r="R117" s="61">
        <f>SUM(I117+K117+M117+O117+Q117)</f>
        <v>442291.93</v>
      </c>
      <c r="S117" s="61">
        <f>SUM(S93:S110)</f>
        <v>0</v>
      </c>
      <c r="T117" s="141">
        <f>SUM(R117:S117)</f>
        <v>442291.93</v>
      </c>
      <c r="V117" s="30"/>
      <c r="W117" s="33"/>
    </row>
    <row r="118" spans="1:23" ht="10.199999999999999">
      <c r="A118" s="2"/>
      <c r="B118" s="2"/>
      <c r="C118" s="2"/>
      <c r="D118" s="2"/>
      <c r="E118" s="1"/>
      <c r="F118" s="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V118" s="30"/>
      <c r="W118" s="33"/>
    </row>
    <row r="119" spans="1:23" ht="10.5">
      <c r="A119" s="21"/>
      <c r="B119" s="21"/>
      <c r="C119" s="21"/>
      <c r="D119" s="21" t="s">
        <v>120</v>
      </c>
      <c r="E119" s="21"/>
      <c r="F119" s="21"/>
      <c r="G119" s="21"/>
      <c r="H119" s="22"/>
      <c r="I119" s="23"/>
      <c r="J119" s="23"/>
      <c r="K119" s="23"/>
      <c r="L119" s="23"/>
      <c r="M119" s="23"/>
      <c r="N119" s="23"/>
      <c r="O119" s="23"/>
      <c r="P119" s="23"/>
      <c r="Q119" s="23"/>
      <c r="R119" s="24"/>
      <c r="S119" s="23"/>
      <c r="T119" s="24"/>
      <c r="V119" s="30"/>
      <c r="W119" s="33"/>
    </row>
    <row r="120" spans="1:23" ht="10.199999999999999">
      <c r="A120" s="2"/>
      <c r="B120" s="2"/>
      <c r="C120" s="2"/>
      <c r="D120" s="2"/>
      <c r="E120" s="1"/>
      <c r="F120" s="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V120" s="30"/>
      <c r="W120" s="33"/>
    </row>
    <row r="121" spans="1:23" ht="15.75" customHeight="1" thickBot="1">
      <c r="A121" s="56"/>
      <c r="B121" s="56"/>
      <c r="C121" s="56"/>
      <c r="D121" s="56" t="s">
        <v>121</v>
      </c>
      <c r="E121" s="56"/>
      <c r="F121" s="57"/>
      <c r="G121" s="57"/>
      <c r="H121" s="58"/>
      <c r="I121" s="59">
        <f>I120</f>
        <v>0</v>
      </c>
      <c r="J121" s="59"/>
      <c r="K121" s="59">
        <f>K120</f>
        <v>0</v>
      </c>
      <c r="L121" s="59"/>
      <c r="M121" s="59">
        <f>M120</f>
        <v>0</v>
      </c>
      <c r="N121" s="59"/>
      <c r="O121" s="59">
        <f>O120</f>
        <v>0</v>
      </c>
      <c r="P121" s="59"/>
      <c r="Q121" s="59">
        <f>Q120</f>
        <v>0</v>
      </c>
      <c r="R121" s="59">
        <f>SUM(I121+K121+M121+O121+Q121)</f>
        <v>0</v>
      </c>
      <c r="S121" s="59">
        <f>S120</f>
        <v>0</v>
      </c>
      <c r="T121" s="61">
        <f>SUM(R121:S121)</f>
        <v>0</v>
      </c>
      <c r="V121" s="30"/>
      <c r="W121" s="33"/>
    </row>
    <row r="122" spans="1:23" ht="10.199999999999999">
      <c r="A122" s="2"/>
      <c r="B122" s="2"/>
      <c r="C122" s="2"/>
      <c r="D122" s="2"/>
      <c r="E122" s="1"/>
      <c r="F122" s="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V122" s="30"/>
      <c r="W122" s="33"/>
    </row>
    <row r="123" spans="1:23" ht="10.5">
      <c r="A123" s="21"/>
      <c r="B123" s="21"/>
      <c r="C123" s="21"/>
      <c r="D123" s="21" t="s">
        <v>122</v>
      </c>
      <c r="E123" s="21"/>
      <c r="F123" s="21"/>
      <c r="G123" s="21"/>
      <c r="H123" s="22"/>
      <c r="I123" s="23"/>
      <c r="J123" s="23"/>
      <c r="K123" s="23"/>
      <c r="L123" s="23"/>
      <c r="M123" s="23"/>
      <c r="N123" s="23"/>
      <c r="O123" s="23"/>
      <c r="P123" s="23"/>
      <c r="Q123" s="23"/>
      <c r="R123" s="24"/>
      <c r="S123" s="23"/>
      <c r="T123" s="24"/>
      <c r="V123" s="30"/>
      <c r="W123" s="33"/>
    </row>
    <row r="124" spans="1:23" ht="10.5">
      <c r="A124" s="73"/>
      <c r="B124" s="73"/>
      <c r="C124" s="73"/>
      <c r="D124" s="73" t="s">
        <v>86</v>
      </c>
      <c r="E124" s="82"/>
      <c r="F124" s="82"/>
      <c r="G124" s="82"/>
      <c r="H124" s="83"/>
      <c r="I124" s="84"/>
      <c r="J124" s="84"/>
      <c r="K124" s="84"/>
      <c r="L124" s="84"/>
      <c r="M124" s="84"/>
      <c r="N124" s="84"/>
      <c r="O124" s="84"/>
      <c r="P124" s="84"/>
      <c r="Q124" s="84"/>
      <c r="R124" s="29"/>
      <c r="S124" s="84"/>
      <c r="T124" s="29"/>
      <c r="V124" s="30"/>
      <c r="W124" s="33"/>
    </row>
    <row r="125" spans="1:23" ht="10.199999999999999">
      <c r="A125" s="162" t="s">
        <v>337</v>
      </c>
      <c r="B125" s="162">
        <v>90900</v>
      </c>
      <c r="C125" s="163" t="s">
        <v>271</v>
      </c>
      <c r="D125" s="2" t="s">
        <v>123</v>
      </c>
      <c r="E125" s="2" t="s">
        <v>85</v>
      </c>
      <c r="F125" s="52" t="s">
        <v>29</v>
      </c>
      <c r="G125" s="31">
        <v>11</v>
      </c>
      <c r="H125" s="31">
        <v>35.700000000000003</v>
      </c>
      <c r="I125" s="31">
        <v>392.7</v>
      </c>
      <c r="J125" s="31">
        <v>12</v>
      </c>
      <c r="K125" s="31">
        <v>17455.350000000002</v>
      </c>
      <c r="L125" s="31">
        <v>12</v>
      </c>
      <c r="M125" s="31">
        <v>-13.859999999998081</v>
      </c>
      <c r="N125" s="31">
        <v>11</v>
      </c>
      <c r="O125" s="31">
        <v>826.33000000000015</v>
      </c>
      <c r="P125" s="31">
        <v>11</v>
      </c>
      <c r="Q125" s="31">
        <v>264.60000000000002</v>
      </c>
      <c r="R125" s="31">
        <f t="shared" ref="R125:R134" si="14">SUM(I125+K125+M125+O125+Q125)</f>
        <v>18925.120000000006</v>
      </c>
      <c r="S125" s="31">
        <v>0</v>
      </c>
      <c r="T125" s="134">
        <f t="shared" ref="T125:T131" si="15">SUM(R125:S125)</f>
        <v>18925.120000000006</v>
      </c>
      <c r="V125" s="30"/>
      <c r="W125" s="33"/>
    </row>
    <row r="126" spans="1:23" ht="10.199999999999999">
      <c r="A126" s="162" t="s">
        <v>338</v>
      </c>
      <c r="B126" s="162">
        <v>82350</v>
      </c>
      <c r="C126" s="163" t="s">
        <v>271</v>
      </c>
      <c r="D126" s="2" t="s">
        <v>124</v>
      </c>
      <c r="E126" s="2" t="s">
        <v>85</v>
      </c>
      <c r="F126" s="52" t="s">
        <v>125</v>
      </c>
      <c r="G126" s="31">
        <v>1</v>
      </c>
      <c r="H126" s="31">
        <v>60</v>
      </c>
      <c r="I126" s="31">
        <v>2074.7999999999997</v>
      </c>
      <c r="J126" s="31">
        <v>1</v>
      </c>
      <c r="K126" s="31">
        <v>1102.9199999999998</v>
      </c>
      <c r="L126" s="31">
        <v>1</v>
      </c>
      <c r="M126" s="31">
        <v>28</v>
      </c>
      <c r="N126" s="31">
        <v>1</v>
      </c>
      <c r="O126" s="31">
        <v>882.25200000000018</v>
      </c>
      <c r="P126" s="31">
        <v>1</v>
      </c>
      <c r="Q126" s="31">
        <v>694.77345000000003</v>
      </c>
      <c r="R126" s="31">
        <f t="shared" si="14"/>
        <v>4782.7454499999994</v>
      </c>
      <c r="S126" s="31">
        <v>0</v>
      </c>
      <c r="T126" s="134">
        <f t="shared" si="15"/>
        <v>4782.7454499999994</v>
      </c>
      <c r="V126" s="30"/>
      <c r="W126" s="33"/>
    </row>
    <row r="127" spans="1:23" ht="10.199999999999999">
      <c r="A127" s="162" t="s">
        <v>339</v>
      </c>
      <c r="B127" s="162">
        <v>90450</v>
      </c>
      <c r="C127" s="163" t="s">
        <v>271</v>
      </c>
      <c r="D127" s="2" t="s">
        <v>126</v>
      </c>
      <c r="E127" s="2" t="s">
        <v>85</v>
      </c>
      <c r="F127" s="52" t="s">
        <v>125</v>
      </c>
      <c r="G127" s="31">
        <v>1</v>
      </c>
      <c r="H127" s="31">
        <v>300</v>
      </c>
      <c r="I127" s="31">
        <v>0</v>
      </c>
      <c r="J127" s="31">
        <v>1</v>
      </c>
      <c r="K127" s="31">
        <v>0</v>
      </c>
      <c r="L127" s="31">
        <v>1</v>
      </c>
      <c r="M127" s="31">
        <v>3922.5999999999995</v>
      </c>
      <c r="N127" s="31">
        <v>1</v>
      </c>
      <c r="O127" s="31">
        <v>0</v>
      </c>
      <c r="P127" s="31">
        <v>1</v>
      </c>
      <c r="Q127" s="31">
        <v>0</v>
      </c>
      <c r="R127" s="31">
        <f t="shared" si="14"/>
        <v>3922.5999999999995</v>
      </c>
      <c r="S127" s="31">
        <v>0</v>
      </c>
      <c r="T127" s="134">
        <f t="shared" si="15"/>
        <v>3922.5999999999995</v>
      </c>
      <c r="V127" s="30"/>
      <c r="W127" s="33"/>
    </row>
    <row r="128" spans="1:23" ht="10.199999999999999">
      <c r="A128" s="162" t="s">
        <v>340</v>
      </c>
      <c r="B128" s="162">
        <v>85180</v>
      </c>
      <c r="C128" s="163" t="s">
        <v>271</v>
      </c>
      <c r="D128" s="2" t="s">
        <v>127</v>
      </c>
      <c r="E128" s="2" t="s">
        <v>85</v>
      </c>
      <c r="F128" s="52" t="s">
        <v>29</v>
      </c>
      <c r="G128" s="31">
        <v>11</v>
      </c>
      <c r="H128" s="31">
        <v>700</v>
      </c>
      <c r="I128" s="31">
        <v>2592.52</v>
      </c>
      <c r="J128" s="31">
        <v>12</v>
      </c>
      <c r="K128" s="31">
        <v>6006.5099999999993</v>
      </c>
      <c r="L128" s="31">
        <v>12</v>
      </c>
      <c r="M128" s="31">
        <v>16256.83</v>
      </c>
      <c r="N128" s="31">
        <v>11</v>
      </c>
      <c r="O128" s="31">
        <v>25278.438000000002</v>
      </c>
      <c r="P128" s="31">
        <v>11</v>
      </c>
      <c r="Q128" s="31">
        <v>13162.895550000003</v>
      </c>
      <c r="R128" s="31">
        <f t="shared" si="14"/>
        <v>63297.193550000004</v>
      </c>
      <c r="S128" s="31">
        <v>0</v>
      </c>
      <c r="T128" s="134">
        <f t="shared" si="15"/>
        <v>63297.193550000004</v>
      </c>
      <c r="V128" s="30"/>
      <c r="W128" s="33"/>
    </row>
    <row r="129" spans="1:23" ht="10.199999999999999" hidden="1">
      <c r="A129" s="162" t="s">
        <v>282</v>
      </c>
      <c r="B129" s="162" t="s">
        <v>282</v>
      </c>
      <c r="C129" s="162" t="s">
        <v>282</v>
      </c>
      <c r="D129" s="2" t="s">
        <v>128</v>
      </c>
      <c r="E129" s="2" t="s">
        <v>85</v>
      </c>
      <c r="F129" s="52" t="s">
        <v>125</v>
      </c>
      <c r="G129" s="31">
        <v>1</v>
      </c>
      <c r="H129" s="31">
        <v>400</v>
      </c>
      <c r="I129" s="31">
        <v>0</v>
      </c>
      <c r="J129" s="31">
        <v>1</v>
      </c>
      <c r="K129" s="31">
        <v>0</v>
      </c>
      <c r="L129" s="31">
        <v>1</v>
      </c>
      <c r="M129" s="31">
        <v>0</v>
      </c>
      <c r="N129" s="31">
        <v>1</v>
      </c>
      <c r="O129" s="31">
        <v>0</v>
      </c>
      <c r="P129" s="31">
        <v>1</v>
      </c>
      <c r="Q129" s="31">
        <v>0</v>
      </c>
      <c r="R129" s="31">
        <f t="shared" si="14"/>
        <v>0</v>
      </c>
      <c r="S129" s="31">
        <v>0</v>
      </c>
      <c r="T129" s="134">
        <f t="shared" si="15"/>
        <v>0</v>
      </c>
      <c r="V129" s="30"/>
      <c r="W129" s="33"/>
    </row>
    <row r="130" spans="1:23" ht="10.199999999999999">
      <c r="A130" s="162" t="s">
        <v>335</v>
      </c>
      <c r="B130" s="162">
        <v>81010</v>
      </c>
      <c r="C130" s="163" t="s">
        <v>271</v>
      </c>
      <c r="D130" s="2" t="s">
        <v>129</v>
      </c>
      <c r="E130" s="2" t="s">
        <v>85</v>
      </c>
      <c r="F130" s="52" t="s">
        <v>125</v>
      </c>
      <c r="G130" s="31">
        <v>1</v>
      </c>
      <c r="H130" s="31">
        <v>1000</v>
      </c>
      <c r="I130" s="31">
        <v>693.87</v>
      </c>
      <c r="J130" s="31">
        <v>1</v>
      </c>
      <c r="K130" s="31">
        <v>1451.6299999999997</v>
      </c>
      <c r="L130" s="31">
        <v>1</v>
      </c>
      <c r="M130" s="31">
        <v>625.93999999999994</v>
      </c>
      <c r="N130" s="31">
        <v>1</v>
      </c>
      <c r="O130" s="31">
        <v>874.45</v>
      </c>
      <c r="P130" s="31">
        <v>1</v>
      </c>
      <c r="Q130" s="31">
        <v>661.5</v>
      </c>
      <c r="R130" s="31">
        <f t="shared" si="14"/>
        <v>4307.3899999999994</v>
      </c>
      <c r="S130" s="31">
        <v>0</v>
      </c>
      <c r="T130" s="134">
        <f t="shared" si="15"/>
        <v>4307.3899999999994</v>
      </c>
      <c r="V130" s="30"/>
      <c r="W130" s="33"/>
    </row>
    <row r="131" spans="1:23" ht="10.199999999999999">
      <c r="A131" s="162" t="s">
        <v>336</v>
      </c>
      <c r="B131" s="162">
        <v>86110</v>
      </c>
      <c r="C131" s="162" t="s">
        <v>297</v>
      </c>
      <c r="D131" s="2" t="s">
        <v>130</v>
      </c>
      <c r="E131" s="2" t="s">
        <v>85</v>
      </c>
      <c r="F131" s="52" t="s">
        <v>29</v>
      </c>
      <c r="G131" s="31">
        <v>11</v>
      </c>
      <c r="H131" s="31">
        <v>2000</v>
      </c>
      <c r="I131" s="31">
        <v>187.69</v>
      </c>
      <c r="J131" s="31">
        <v>12</v>
      </c>
      <c r="K131" s="31">
        <v>797.25</v>
      </c>
      <c r="L131" s="31">
        <v>12</v>
      </c>
      <c r="M131" s="31">
        <v>3630.97</v>
      </c>
      <c r="N131" s="31">
        <v>11</v>
      </c>
      <c r="O131" s="31">
        <v>3993.9360869565207</v>
      </c>
      <c r="P131" s="31">
        <v>11</v>
      </c>
      <c r="Q131" s="31">
        <v>2415.9130434782596</v>
      </c>
      <c r="R131" s="31">
        <f t="shared" si="14"/>
        <v>11025.759130434781</v>
      </c>
      <c r="S131" s="31">
        <v>0</v>
      </c>
      <c r="T131" s="134">
        <f t="shared" si="15"/>
        <v>11025.759130434781</v>
      </c>
      <c r="V131" s="30"/>
      <c r="W131" s="33"/>
    </row>
    <row r="132" spans="1:23" ht="10.199999999999999">
      <c r="A132" s="162" t="s">
        <v>334</v>
      </c>
      <c r="B132" s="162">
        <v>82100</v>
      </c>
      <c r="C132" s="163" t="s">
        <v>271</v>
      </c>
      <c r="D132" s="2" t="s">
        <v>131</v>
      </c>
      <c r="E132" s="2" t="s">
        <v>85</v>
      </c>
      <c r="F132" s="52" t="s">
        <v>125</v>
      </c>
      <c r="G132" s="31">
        <v>1</v>
      </c>
      <c r="H132" s="31">
        <v>5000</v>
      </c>
      <c r="I132" s="31">
        <v>0</v>
      </c>
      <c r="J132" s="31">
        <v>1</v>
      </c>
      <c r="K132" s="31">
        <v>223.48999999999998</v>
      </c>
      <c r="L132" s="31">
        <v>1</v>
      </c>
      <c r="M132" s="31">
        <v>2024.7599999999998</v>
      </c>
      <c r="N132" s="31">
        <v>1</v>
      </c>
      <c r="O132" s="31">
        <v>5356.4310000000014</v>
      </c>
      <c r="P132" s="31">
        <v>1</v>
      </c>
      <c r="Q132" s="31">
        <v>4327.9960500000007</v>
      </c>
      <c r="R132" s="31">
        <f t="shared" si="14"/>
        <v>11932.677050000002</v>
      </c>
      <c r="S132" s="31">
        <v>0</v>
      </c>
      <c r="T132" s="134">
        <f>SUM(R132:S132)</f>
        <v>11932.677050000002</v>
      </c>
      <c r="V132" s="30"/>
      <c r="W132" s="33"/>
    </row>
    <row r="133" spans="1:23" ht="10.199999999999999" hidden="1">
      <c r="A133" s="162" t="s">
        <v>282</v>
      </c>
      <c r="B133" s="162" t="s">
        <v>282</v>
      </c>
      <c r="C133" s="162" t="s">
        <v>282</v>
      </c>
      <c r="D133" s="2" t="s">
        <v>132</v>
      </c>
      <c r="E133" s="2" t="s">
        <v>85</v>
      </c>
      <c r="F133" s="52" t="s">
        <v>125</v>
      </c>
      <c r="G133" s="31">
        <v>0</v>
      </c>
      <c r="H133" s="31">
        <v>0</v>
      </c>
      <c r="I133" s="31">
        <v>0</v>
      </c>
      <c r="J133" s="31">
        <v>0</v>
      </c>
      <c r="K133" s="31">
        <v>0</v>
      </c>
      <c r="L133" s="31">
        <v>1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f t="shared" si="14"/>
        <v>0</v>
      </c>
      <c r="S133" s="31">
        <v>0</v>
      </c>
      <c r="T133" s="134">
        <f>SUM(R133:S133)</f>
        <v>0</v>
      </c>
      <c r="V133" s="30"/>
      <c r="W133" s="33"/>
    </row>
    <row r="134" spans="1:23" ht="10.199999999999999">
      <c r="A134" s="162" t="s">
        <v>333</v>
      </c>
      <c r="B134" s="162">
        <v>89400</v>
      </c>
      <c r="C134" s="162" t="s">
        <v>297</v>
      </c>
      <c r="D134" s="2" t="s">
        <v>133</v>
      </c>
      <c r="E134" s="2" t="s">
        <v>85</v>
      </c>
      <c r="F134" s="52" t="s">
        <v>29</v>
      </c>
      <c r="G134" s="31">
        <v>12</v>
      </c>
      <c r="H134" s="31">
        <f>6*9</f>
        <v>54</v>
      </c>
      <c r="I134" s="31">
        <v>207.07000000000002</v>
      </c>
      <c r="J134" s="31">
        <v>12</v>
      </c>
      <c r="K134" s="31">
        <v>1792.92</v>
      </c>
      <c r="L134" s="31">
        <v>12</v>
      </c>
      <c r="M134" s="31">
        <v>3148.5499999999997</v>
      </c>
      <c r="N134" s="31">
        <v>12</v>
      </c>
      <c r="O134" s="31">
        <v>1798.66</v>
      </c>
      <c r="P134" s="31">
        <v>12</v>
      </c>
      <c r="Q134" s="31">
        <v>66.150000000000006</v>
      </c>
      <c r="R134" s="31">
        <f t="shared" si="14"/>
        <v>7013.3499999999995</v>
      </c>
      <c r="S134" s="31">
        <v>0</v>
      </c>
      <c r="T134" s="134">
        <f>SUM(R134:S134)</f>
        <v>7013.3499999999995</v>
      </c>
      <c r="U134" s="49"/>
      <c r="V134" s="30"/>
      <c r="W134" s="33"/>
    </row>
    <row r="135" spans="1:23" ht="10.8" thickBot="1">
      <c r="A135" s="55"/>
      <c r="B135" s="55"/>
      <c r="C135" s="55"/>
      <c r="D135" s="55" t="s">
        <v>134</v>
      </c>
      <c r="E135" s="55"/>
      <c r="F135" s="56"/>
      <c r="G135" s="56"/>
      <c r="H135" s="87"/>
      <c r="I135" s="88">
        <f>SUM(I125:I134)</f>
        <v>6148.6499999999987</v>
      </c>
      <c r="J135" s="88"/>
      <c r="K135" s="88">
        <f>SUM(K125:K134)</f>
        <v>28830.07</v>
      </c>
      <c r="L135" s="88"/>
      <c r="M135" s="88">
        <f>SUM(M125:M134)</f>
        <v>29623.789999999997</v>
      </c>
      <c r="N135" s="88"/>
      <c r="O135" s="88">
        <f>SUM(O125:O134)</f>
        <v>39010.49708695653</v>
      </c>
      <c r="P135" s="88"/>
      <c r="Q135" s="88">
        <f>SUM(Q125:Q134)</f>
        <v>21593.828093478267</v>
      </c>
      <c r="R135" s="59">
        <f>SUM(I135+K135+M135+O135+Q135)</f>
        <v>125206.83518043479</v>
      </c>
      <c r="S135" s="88">
        <f>SUM(S125:S134)</f>
        <v>0</v>
      </c>
      <c r="T135" s="141">
        <f>SUM(R135:S135)</f>
        <v>125206.83518043479</v>
      </c>
      <c r="V135" s="30"/>
      <c r="W135" s="33"/>
    </row>
    <row r="136" spans="1:23" ht="10.199999999999999">
      <c r="A136" s="2"/>
      <c r="B136" s="2"/>
      <c r="C136" s="2"/>
      <c r="D136" s="2"/>
      <c r="E136" s="1"/>
      <c r="F136" s="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V136" s="30"/>
      <c r="W136" s="33"/>
    </row>
    <row r="137" spans="1:23" ht="10.8" thickBot="1">
      <c r="A137" s="98"/>
      <c r="B137" s="98"/>
      <c r="C137" s="98"/>
      <c r="D137" s="98" t="s">
        <v>135</v>
      </c>
      <c r="E137" s="98"/>
      <c r="F137" s="99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V137" s="30"/>
      <c r="W137" s="33"/>
    </row>
    <row r="138" spans="1:23" ht="31.5">
      <c r="A138" s="145"/>
      <c r="B138" s="145"/>
      <c r="C138" s="145"/>
      <c r="D138" s="145" t="s">
        <v>136</v>
      </c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2"/>
      <c r="S138" s="91"/>
      <c r="T138" s="92"/>
      <c r="V138" s="30"/>
      <c r="W138" s="33"/>
    </row>
    <row r="139" spans="1:23" ht="12" customHeight="1">
      <c r="A139" s="72"/>
      <c r="B139" s="72"/>
      <c r="C139" s="72"/>
      <c r="D139" s="72" t="s">
        <v>137</v>
      </c>
      <c r="E139" s="101"/>
      <c r="F139" s="101"/>
      <c r="G139" s="101"/>
      <c r="H139" s="101"/>
      <c r="I139" s="101"/>
      <c r="J139" s="38"/>
      <c r="K139" s="38"/>
      <c r="L139" s="38"/>
      <c r="M139" s="38"/>
      <c r="N139" s="38"/>
      <c r="O139" s="38"/>
      <c r="P139" s="38"/>
      <c r="Q139" s="38"/>
      <c r="R139" s="102"/>
      <c r="S139" s="38"/>
      <c r="T139" s="38"/>
      <c r="U139" s="49"/>
      <c r="V139" s="30"/>
      <c r="W139" s="33"/>
    </row>
    <row r="140" spans="1:23" ht="10.199999999999999">
      <c r="A140" s="162" t="s">
        <v>331</v>
      </c>
      <c r="B140" s="162">
        <v>87000</v>
      </c>
      <c r="C140" s="163" t="s">
        <v>271</v>
      </c>
      <c r="D140" s="2" t="s">
        <v>138</v>
      </c>
      <c r="E140" s="2" t="s">
        <v>114</v>
      </c>
      <c r="F140" s="2" t="s">
        <v>139</v>
      </c>
      <c r="G140" s="1">
        <v>4</v>
      </c>
      <c r="H140" s="1">
        <v>300</v>
      </c>
      <c r="I140" s="86">
        <v>1072.68</v>
      </c>
      <c r="J140" s="31">
        <v>0</v>
      </c>
      <c r="K140" s="31">
        <v>4096.51</v>
      </c>
      <c r="L140" s="31">
        <v>0</v>
      </c>
      <c r="M140" s="31">
        <v>1650.49</v>
      </c>
      <c r="N140" s="31">
        <v>0</v>
      </c>
      <c r="O140" s="31">
        <v>7324.5999999999995</v>
      </c>
      <c r="P140" s="31">
        <v>0</v>
      </c>
      <c r="Q140" s="31">
        <v>0</v>
      </c>
      <c r="R140" s="31">
        <f t="shared" ref="R140:R148" si="16">SUM(I140+K140+M140+O140+Q140)</f>
        <v>14144.279999999999</v>
      </c>
      <c r="S140" s="31">
        <v>0</v>
      </c>
      <c r="T140" s="134">
        <f>SUM(R140:S140)</f>
        <v>14144.279999999999</v>
      </c>
      <c r="U140" s="49"/>
      <c r="V140" s="30"/>
      <c r="W140" s="33"/>
    </row>
    <row r="141" spans="1:23" ht="10.199999999999999">
      <c r="A141" s="162" t="s">
        <v>332</v>
      </c>
      <c r="B141" s="162">
        <v>81999</v>
      </c>
      <c r="C141" s="163" t="s">
        <v>271</v>
      </c>
      <c r="D141" s="2" t="s">
        <v>140</v>
      </c>
      <c r="E141" s="2" t="s">
        <v>92</v>
      </c>
      <c r="F141" s="2" t="s">
        <v>29</v>
      </c>
      <c r="G141" s="1">
        <v>1</v>
      </c>
      <c r="H141" s="1">
        <v>1500</v>
      </c>
      <c r="I141" s="86">
        <v>24982.65</v>
      </c>
      <c r="J141" s="31">
        <v>0</v>
      </c>
      <c r="K141" s="31">
        <v>50257.72</v>
      </c>
      <c r="L141" s="31"/>
      <c r="M141" s="31">
        <v>54865.729999999996</v>
      </c>
      <c r="N141" s="31">
        <v>0</v>
      </c>
      <c r="O141" s="31">
        <v>0</v>
      </c>
      <c r="P141" s="31">
        <v>0</v>
      </c>
      <c r="Q141" s="31">
        <v>0</v>
      </c>
      <c r="R141" s="31">
        <f t="shared" si="16"/>
        <v>130106.09999999999</v>
      </c>
      <c r="S141" s="31">
        <v>0</v>
      </c>
      <c r="T141" s="134">
        <f>SUM(R141:S141)</f>
        <v>130106.09999999999</v>
      </c>
      <c r="U141" s="49"/>
      <c r="V141" s="30"/>
      <c r="W141" s="33"/>
    </row>
    <row r="142" spans="1:23" ht="10.199999999999999" hidden="1">
      <c r="A142" s="162" t="s">
        <v>282</v>
      </c>
      <c r="B142" s="162" t="s">
        <v>282</v>
      </c>
      <c r="C142" s="162" t="s">
        <v>282</v>
      </c>
      <c r="D142" s="2" t="s">
        <v>141</v>
      </c>
      <c r="E142" s="1" t="s">
        <v>114</v>
      </c>
      <c r="F142" s="1" t="s">
        <v>142</v>
      </c>
      <c r="G142" s="1">
        <v>1</v>
      </c>
      <c r="H142" s="1">
        <v>1200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f t="shared" si="16"/>
        <v>0</v>
      </c>
      <c r="S142" s="31">
        <v>0</v>
      </c>
      <c r="T142" s="31">
        <f>SUM(R142:S142)</f>
        <v>0</v>
      </c>
      <c r="U142" s="49"/>
      <c r="V142" s="30"/>
      <c r="W142" s="33"/>
    </row>
    <row r="143" spans="1:23" ht="10.199999999999999">
      <c r="A143" s="72"/>
      <c r="B143" s="72"/>
      <c r="C143" s="72"/>
      <c r="D143" s="72" t="s">
        <v>143</v>
      </c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2"/>
      <c r="S143" s="101"/>
      <c r="T143" s="101"/>
      <c r="V143" s="30"/>
      <c r="W143" s="33"/>
    </row>
    <row r="144" spans="1:23" ht="10.199999999999999">
      <c r="A144" s="162" t="s">
        <v>326</v>
      </c>
      <c r="B144" s="162">
        <v>87010</v>
      </c>
      <c r="C144" s="163" t="s">
        <v>271</v>
      </c>
      <c r="D144" s="2" t="s">
        <v>144</v>
      </c>
      <c r="E144" s="1" t="s">
        <v>114</v>
      </c>
      <c r="F144" s="1" t="s">
        <v>145</v>
      </c>
      <c r="G144" s="1">
        <v>2</v>
      </c>
      <c r="H144" s="1">
        <v>75</v>
      </c>
      <c r="I144" s="31">
        <v>0</v>
      </c>
      <c r="J144" s="31">
        <v>8</v>
      </c>
      <c r="K144" s="31">
        <v>129.28</v>
      </c>
      <c r="L144" s="31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f t="shared" si="16"/>
        <v>129.28</v>
      </c>
      <c r="S144" s="31">
        <v>0</v>
      </c>
      <c r="T144" s="134">
        <f t="shared" ref="T144:T149" si="17">SUM(R144:S144)</f>
        <v>129.28</v>
      </c>
      <c r="U144" s="49"/>
      <c r="V144" s="30"/>
      <c r="W144" s="33"/>
    </row>
    <row r="145" spans="1:23" ht="10.199999999999999">
      <c r="A145" s="162" t="s">
        <v>327</v>
      </c>
      <c r="B145" s="162">
        <v>86030</v>
      </c>
      <c r="C145" s="163" t="s">
        <v>271</v>
      </c>
      <c r="D145" s="2" t="s">
        <v>146</v>
      </c>
      <c r="E145" s="1" t="s">
        <v>114</v>
      </c>
      <c r="F145" s="1" t="s">
        <v>145</v>
      </c>
      <c r="G145" s="31">
        <v>2</v>
      </c>
      <c r="H145" s="31">
        <v>125</v>
      </c>
      <c r="I145" s="31">
        <v>0</v>
      </c>
      <c r="J145" s="31">
        <v>6</v>
      </c>
      <c r="K145" s="31">
        <v>2400.73</v>
      </c>
      <c r="L145" s="31">
        <v>0</v>
      </c>
      <c r="M145" s="31">
        <v>239.94</v>
      </c>
      <c r="N145" s="31">
        <v>0</v>
      </c>
      <c r="O145" s="31">
        <v>0</v>
      </c>
      <c r="P145" s="31">
        <v>0</v>
      </c>
      <c r="Q145" s="31">
        <v>0</v>
      </c>
      <c r="R145" s="31">
        <f t="shared" si="16"/>
        <v>2640.67</v>
      </c>
      <c r="S145" s="31">
        <v>0</v>
      </c>
      <c r="T145" s="134">
        <f t="shared" si="17"/>
        <v>2640.67</v>
      </c>
      <c r="V145" s="30"/>
      <c r="W145" s="33"/>
    </row>
    <row r="146" spans="1:23" ht="20.399999999999999">
      <c r="A146" s="162" t="s">
        <v>328</v>
      </c>
      <c r="B146" s="162" t="s">
        <v>284</v>
      </c>
      <c r="C146" s="163" t="s">
        <v>271</v>
      </c>
      <c r="D146" s="2" t="s">
        <v>147</v>
      </c>
      <c r="E146" s="1" t="s">
        <v>48</v>
      </c>
      <c r="F146" s="1" t="s">
        <v>53</v>
      </c>
      <c r="G146" s="31">
        <v>6</v>
      </c>
      <c r="H146" s="31">
        <f>150+43</f>
        <v>193</v>
      </c>
      <c r="I146" s="31">
        <v>0</v>
      </c>
      <c r="J146" s="31">
        <v>12</v>
      </c>
      <c r="K146" s="31">
        <v>4159.2699999999995</v>
      </c>
      <c r="L146" s="31">
        <v>0</v>
      </c>
      <c r="M146" s="31">
        <v>414.1</v>
      </c>
      <c r="N146" s="31">
        <v>0</v>
      </c>
      <c r="O146" s="31">
        <v>0</v>
      </c>
      <c r="P146" s="31">
        <v>0</v>
      </c>
      <c r="Q146" s="31">
        <v>0</v>
      </c>
      <c r="R146" s="31">
        <f t="shared" si="16"/>
        <v>4573.37</v>
      </c>
      <c r="S146" s="31">
        <v>0</v>
      </c>
      <c r="T146" s="134">
        <f t="shared" si="17"/>
        <v>4573.37</v>
      </c>
      <c r="U146" s="49"/>
      <c r="V146" s="30"/>
      <c r="W146" s="33"/>
    </row>
    <row r="147" spans="1:23" ht="10.199999999999999">
      <c r="A147" s="162" t="s">
        <v>329</v>
      </c>
      <c r="B147" s="162">
        <v>86000</v>
      </c>
      <c r="C147" s="163" t="s">
        <v>271</v>
      </c>
      <c r="D147" s="2" t="s">
        <v>148</v>
      </c>
      <c r="E147" s="1" t="s">
        <v>48</v>
      </c>
      <c r="F147" s="1" t="s">
        <v>51</v>
      </c>
      <c r="G147" s="31">
        <v>3</v>
      </c>
      <c r="H147" s="31">
        <v>150</v>
      </c>
      <c r="I147" s="31">
        <v>0</v>
      </c>
      <c r="J147" s="31">
        <v>6</v>
      </c>
      <c r="K147" s="31">
        <v>3514.119999999999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f t="shared" si="16"/>
        <v>3514.119999999999</v>
      </c>
      <c r="S147" s="31">
        <v>0</v>
      </c>
      <c r="T147" s="134">
        <f t="shared" si="17"/>
        <v>3514.119999999999</v>
      </c>
      <c r="U147" s="49"/>
      <c r="V147" s="30"/>
      <c r="W147" s="33"/>
    </row>
    <row r="148" spans="1:23" ht="10.199999999999999">
      <c r="A148" s="162" t="s">
        <v>330</v>
      </c>
      <c r="B148" s="162">
        <v>82420</v>
      </c>
      <c r="C148" s="163" t="s">
        <v>271</v>
      </c>
      <c r="D148" s="2" t="s">
        <v>149</v>
      </c>
      <c r="E148" s="1" t="s">
        <v>114</v>
      </c>
      <c r="F148" s="1" t="s">
        <v>150</v>
      </c>
      <c r="G148" s="31">
        <v>1</v>
      </c>
      <c r="H148" s="31">
        <v>300</v>
      </c>
      <c r="I148" s="31">
        <v>0</v>
      </c>
      <c r="J148" s="31">
        <v>2</v>
      </c>
      <c r="K148" s="31">
        <v>1033.17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f t="shared" si="16"/>
        <v>1033.17</v>
      </c>
      <c r="S148" s="31">
        <v>0</v>
      </c>
      <c r="T148" s="134">
        <f t="shared" si="17"/>
        <v>1033.17</v>
      </c>
      <c r="V148" s="30"/>
      <c r="W148" s="33"/>
    </row>
    <row r="149" spans="1:23" ht="10.8" thickBot="1">
      <c r="A149" s="56"/>
      <c r="B149" s="56"/>
      <c r="C149" s="56"/>
      <c r="D149" s="56" t="s">
        <v>151</v>
      </c>
      <c r="E149" s="56"/>
      <c r="F149" s="56"/>
      <c r="G149" s="97"/>
      <c r="H149" s="97"/>
      <c r="I149" s="61">
        <f>SUM(I139:I148)</f>
        <v>26055.33</v>
      </c>
      <c r="J149" s="61"/>
      <c r="K149" s="61">
        <f>SUM(K139:K148)</f>
        <v>65590.8</v>
      </c>
      <c r="L149" s="61"/>
      <c r="M149" s="61">
        <f>SUM(M139:M148)</f>
        <v>57170.259999999995</v>
      </c>
      <c r="N149" s="61"/>
      <c r="O149" s="61">
        <f>SUM(O139:O148)</f>
        <v>7324.5999999999995</v>
      </c>
      <c r="P149" s="61"/>
      <c r="Q149" s="61">
        <f>SUM(Q139:Q148)</f>
        <v>0</v>
      </c>
      <c r="R149" s="61">
        <f>SUM(I149+K149+M149+O149+Q149)</f>
        <v>156140.99000000002</v>
      </c>
      <c r="S149" s="61">
        <f>SUM(S139:S148)</f>
        <v>0</v>
      </c>
      <c r="T149" s="141">
        <f t="shared" si="17"/>
        <v>156140.99000000002</v>
      </c>
      <c r="V149" s="30"/>
      <c r="W149" s="33"/>
    </row>
    <row r="150" spans="1:23" ht="21">
      <c r="A150" s="146"/>
      <c r="B150" s="146"/>
      <c r="C150" s="146"/>
      <c r="D150" s="146" t="s">
        <v>152</v>
      </c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92"/>
      <c r="S150" s="103"/>
      <c r="T150" s="92"/>
      <c r="V150" s="30"/>
      <c r="W150" s="33"/>
    </row>
    <row r="151" spans="1:23" ht="10.5">
      <c r="A151" s="98"/>
      <c r="B151" s="98"/>
      <c r="C151" s="98"/>
      <c r="D151" s="98" t="s">
        <v>135</v>
      </c>
      <c r="E151" s="98"/>
      <c r="F151" s="99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V151" s="30"/>
      <c r="W151" s="33"/>
    </row>
    <row r="152" spans="1:23" s="95" customFormat="1" ht="10.5">
      <c r="A152" s="167"/>
      <c r="B152" s="167"/>
      <c r="C152" s="168"/>
      <c r="D152" s="136" t="s">
        <v>153</v>
      </c>
      <c r="E152" s="25"/>
      <c r="F152" s="93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V152" s="169"/>
      <c r="W152" s="170"/>
    </row>
    <row r="153" spans="1:23" ht="10.199999999999999">
      <c r="A153" s="171" t="s">
        <v>315</v>
      </c>
      <c r="B153" s="162" t="s">
        <v>318</v>
      </c>
      <c r="C153" s="163" t="s">
        <v>271</v>
      </c>
      <c r="D153" s="137" t="s">
        <v>154</v>
      </c>
      <c r="E153" s="2"/>
      <c r="F153" s="2"/>
      <c r="G153" s="31"/>
      <c r="H153" s="31"/>
      <c r="I153" s="31">
        <v>0</v>
      </c>
      <c r="J153" s="31"/>
      <c r="K153" s="31">
        <v>0</v>
      </c>
      <c r="L153" s="31"/>
      <c r="M153" s="31">
        <v>2355.9</v>
      </c>
      <c r="N153" s="31"/>
      <c r="O153" s="31">
        <v>0</v>
      </c>
      <c r="P153" s="31"/>
      <c r="Q153" s="31">
        <v>0</v>
      </c>
      <c r="R153" s="31">
        <f t="shared" ref="R153:R183" si="18">SUM(I153+K153+M153+O153+Q153)</f>
        <v>2355.9</v>
      </c>
      <c r="S153" s="31">
        <v>0</v>
      </c>
      <c r="T153" s="134">
        <f>R153+S153</f>
        <v>2355.9</v>
      </c>
      <c r="U153" s="96"/>
      <c r="V153" s="30"/>
      <c r="W153" s="33"/>
    </row>
    <row r="154" spans="1:23" ht="10.199999999999999">
      <c r="A154" s="171" t="s">
        <v>316</v>
      </c>
      <c r="B154" s="162" t="s">
        <v>318</v>
      </c>
      <c r="C154" s="163" t="s">
        <v>271</v>
      </c>
      <c r="D154" s="137" t="s">
        <v>155</v>
      </c>
      <c r="E154" s="2"/>
      <c r="F154" s="2"/>
      <c r="G154" s="31"/>
      <c r="H154" s="31"/>
      <c r="I154" s="31">
        <v>0</v>
      </c>
      <c r="J154" s="31"/>
      <c r="K154" s="31">
        <v>0</v>
      </c>
      <c r="L154" s="31"/>
      <c r="M154" s="31">
        <v>77042.06</v>
      </c>
      <c r="N154" s="31"/>
      <c r="O154" s="31">
        <v>64424.507750000004</v>
      </c>
      <c r="P154" s="31"/>
      <c r="Q154" s="31">
        <v>0</v>
      </c>
      <c r="R154" s="31">
        <f t="shared" si="18"/>
        <v>141466.56774999999</v>
      </c>
      <c r="S154" s="31">
        <v>0</v>
      </c>
      <c r="T154" s="134">
        <f>R154+S154</f>
        <v>141466.56774999999</v>
      </c>
      <c r="U154" s="96"/>
      <c r="V154" s="30"/>
      <c r="W154" s="33"/>
    </row>
    <row r="155" spans="1:23" ht="10.199999999999999">
      <c r="A155" s="171" t="s">
        <v>317</v>
      </c>
      <c r="B155" s="162" t="s">
        <v>318</v>
      </c>
      <c r="C155" s="163" t="s">
        <v>271</v>
      </c>
      <c r="D155" s="137" t="s">
        <v>156</v>
      </c>
      <c r="E155" s="2"/>
      <c r="F155" s="2"/>
      <c r="G155" s="31"/>
      <c r="H155" s="31"/>
      <c r="I155" s="31">
        <v>0</v>
      </c>
      <c r="J155" s="31"/>
      <c r="K155" s="31">
        <v>0</v>
      </c>
      <c r="L155" s="31"/>
      <c r="M155" s="31">
        <v>42980</v>
      </c>
      <c r="N155" s="31"/>
      <c r="O155" s="31">
        <v>3920</v>
      </c>
      <c r="P155" s="31"/>
      <c r="Q155" s="31">
        <v>0</v>
      </c>
      <c r="R155" s="31">
        <f t="shared" si="18"/>
        <v>46900</v>
      </c>
      <c r="S155" s="31">
        <v>0</v>
      </c>
      <c r="T155" s="134">
        <f>R155+S155</f>
        <v>46900</v>
      </c>
      <c r="U155" s="96"/>
      <c r="V155" s="30"/>
      <c r="W155" s="33"/>
    </row>
    <row r="156" spans="1:23" ht="10.199999999999999">
      <c r="A156" s="138"/>
      <c r="B156" s="138"/>
      <c r="C156" s="138"/>
      <c r="D156" s="138" t="s">
        <v>157</v>
      </c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96"/>
      <c r="V156" s="30"/>
      <c r="W156" s="33"/>
    </row>
    <row r="157" spans="1:23" ht="10.199999999999999">
      <c r="A157" s="171" t="s">
        <v>319</v>
      </c>
      <c r="B157" s="162">
        <v>87000</v>
      </c>
      <c r="C157" s="163" t="s">
        <v>271</v>
      </c>
      <c r="D157" s="137" t="s">
        <v>158</v>
      </c>
      <c r="E157" s="2"/>
      <c r="F157" s="2"/>
      <c r="G157" s="31"/>
      <c r="H157" s="31"/>
      <c r="I157" s="31">
        <v>0</v>
      </c>
      <c r="J157" s="31"/>
      <c r="K157" s="31">
        <v>0</v>
      </c>
      <c r="L157" s="31"/>
      <c r="M157" s="31">
        <v>0</v>
      </c>
      <c r="N157" s="31"/>
      <c r="O157" s="31">
        <v>5100</v>
      </c>
      <c r="P157" s="31"/>
      <c r="Q157" s="31">
        <v>2100</v>
      </c>
      <c r="R157" s="31">
        <f t="shared" si="18"/>
        <v>7200</v>
      </c>
      <c r="S157" s="31">
        <v>0</v>
      </c>
      <c r="T157" s="134">
        <f t="shared" ref="T157:T166" si="19">R157+S157</f>
        <v>7200</v>
      </c>
      <c r="U157" s="96"/>
      <c r="V157" s="30"/>
      <c r="W157" s="33"/>
    </row>
    <row r="158" spans="1:23" ht="10.199999999999999">
      <c r="A158" s="171" t="s">
        <v>320</v>
      </c>
      <c r="B158" s="162">
        <v>81010</v>
      </c>
      <c r="C158" s="163" t="s">
        <v>271</v>
      </c>
      <c r="D158" s="137" t="s">
        <v>159</v>
      </c>
      <c r="E158" s="2"/>
      <c r="F158" s="2"/>
      <c r="G158" s="31"/>
      <c r="H158" s="31"/>
      <c r="I158" s="31">
        <v>0</v>
      </c>
      <c r="J158" s="31"/>
      <c r="K158" s="31">
        <v>0</v>
      </c>
      <c r="L158" s="31"/>
      <c r="M158" s="31">
        <v>0</v>
      </c>
      <c r="N158" s="31"/>
      <c r="O158" s="31">
        <v>27807</v>
      </c>
      <c r="P158" s="31"/>
      <c r="Q158" s="31">
        <v>3000</v>
      </c>
      <c r="R158" s="31">
        <f t="shared" si="18"/>
        <v>30807</v>
      </c>
      <c r="S158" s="31">
        <v>0</v>
      </c>
      <c r="T158" s="134">
        <f t="shared" si="19"/>
        <v>30807</v>
      </c>
      <c r="U158" s="96"/>
      <c r="V158" s="30"/>
      <c r="W158" s="33"/>
    </row>
    <row r="159" spans="1:23" ht="10.199999999999999">
      <c r="A159" s="138"/>
      <c r="B159" s="138"/>
      <c r="C159" s="138"/>
      <c r="D159" s="138" t="s">
        <v>160</v>
      </c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96"/>
      <c r="V159" s="30"/>
      <c r="W159" s="33"/>
    </row>
    <row r="160" spans="1:23" ht="10.199999999999999">
      <c r="A160" s="171" t="s">
        <v>321</v>
      </c>
      <c r="B160" s="162">
        <v>87000</v>
      </c>
      <c r="C160" s="163" t="s">
        <v>271</v>
      </c>
      <c r="D160" s="137" t="s">
        <v>158</v>
      </c>
      <c r="E160" s="2"/>
      <c r="F160" s="2"/>
      <c r="G160" s="31"/>
      <c r="H160" s="31"/>
      <c r="I160" s="31">
        <v>0</v>
      </c>
      <c r="J160" s="31"/>
      <c r="K160" s="31">
        <v>0</v>
      </c>
      <c r="L160" s="31"/>
      <c r="M160" s="31">
        <v>0</v>
      </c>
      <c r="N160" s="31"/>
      <c r="O160" s="31">
        <v>10318</v>
      </c>
      <c r="P160" s="31"/>
      <c r="Q160" s="31">
        <v>1230</v>
      </c>
      <c r="R160" s="31">
        <f t="shared" si="18"/>
        <v>11548</v>
      </c>
      <c r="S160" s="31">
        <v>0</v>
      </c>
      <c r="T160" s="134">
        <f t="shared" si="19"/>
        <v>11548</v>
      </c>
      <c r="U160" s="96"/>
      <c r="V160" s="30"/>
      <c r="W160" s="33"/>
    </row>
    <row r="161" spans="1:23" ht="10.199999999999999">
      <c r="A161" s="171" t="s">
        <v>322</v>
      </c>
      <c r="B161" s="162">
        <v>81010</v>
      </c>
      <c r="C161" s="163" t="s">
        <v>271</v>
      </c>
      <c r="D161" s="137" t="s">
        <v>159</v>
      </c>
      <c r="E161" s="2"/>
      <c r="F161" s="2"/>
      <c r="G161" s="31"/>
      <c r="H161" s="31"/>
      <c r="I161" s="31">
        <v>0</v>
      </c>
      <c r="J161" s="31"/>
      <c r="K161" s="31">
        <v>0</v>
      </c>
      <c r="L161" s="31"/>
      <c r="M161" s="31">
        <v>0</v>
      </c>
      <c r="N161" s="31"/>
      <c r="O161" s="31">
        <v>6713.3700000000008</v>
      </c>
      <c r="P161" s="31"/>
      <c r="Q161" s="31">
        <v>0</v>
      </c>
      <c r="R161" s="31">
        <f t="shared" si="18"/>
        <v>6713.3700000000008</v>
      </c>
      <c r="S161" s="31">
        <v>0</v>
      </c>
      <c r="T161" s="134">
        <f t="shared" si="19"/>
        <v>6713.3700000000008</v>
      </c>
      <c r="U161" s="96"/>
      <c r="V161" s="30"/>
      <c r="W161" s="33"/>
    </row>
    <row r="162" spans="1:23" ht="20.399999999999999">
      <c r="A162" s="136"/>
      <c r="B162" s="136"/>
      <c r="C162" s="136"/>
      <c r="D162" s="136" t="s">
        <v>161</v>
      </c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96"/>
      <c r="V162" s="30"/>
      <c r="W162" s="33"/>
    </row>
    <row r="163" spans="1:23" ht="10.199999999999999">
      <c r="A163" s="171" t="s">
        <v>323</v>
      </c>
      <c r="B163" s="162">
        <v>87000</v>
      </c>
      <c r="C163" s="163" t="s">
        <v>271</v>
      </c>
      <c r="D163" s="137" t="s">
        <v>158</v>
      </c>
      <c r="E163" s="2"/>
      <c r="F163" s="2"/>
      <c r="G163" s="31"/>
      <c r="H163" s="31"/>
      <c r="I163" s="31">
        <v>0</v>
      </c>
      <c r="J163" s="31"/>
      <c r="K163" s="31">
        <v>0</v>
      </c>
      <c r="L163" s="31"/>
      <c r="M163" s="31">
        <v>0</v>
      </c>
      <c r="N163" s="31"/>
      <c r="O163" s="31">
        <v>29525</v>
      </c>
      <c r="P163" s="31"/>
      <c r="Q163" s="31">
        <v>1400</v>
      </c>
      <c r="R163" s="31">
        <f t="shared" si="18"/>
        <v>30925</v>
      </c>
      <c r="S163" s="31">
        <v>0</v>
      </c>
      <c r="T163" s="134">
        <f t="shared" si="19"/>
        <v>30925</v>
      </c>
      <c r="U163" s="96"/>
      <c r="V163" s="30"/>
      <c r="W163" s="33"/>
    </row>
    <row r="164" spans="1:23" ht="10.199999999999999">
      <c r="A164" s="171" t="s">
        <v>324</v>
      </c>
      <c r="B164" s="162">
        <v>81010</v>
      </c>
      <c r="C164" s="163" t="s">
        <v>271</v>
      </c>
      <c r="D164" s="137" t="s">
        <v>159</v>
      </c>
      <c r="E164" s="2"/>
      <c r="F164" s="2"/>
      <c r="G164" s="31"/>
      <c r="H164" s="31"/>
      <c r="I164" s="31">
        <v>0</v>
      </c>
      <c r="J164" s="31"/>
      <c r="K164" s="31">
        <v>0</v>
      </c>
      <c r="L164" s="31"/>
      <c r="M164" s="31">
        <v>0</v>
      </c>
      <c r="N164" s="31"/>
      <c r="O164" s="31">
        <v>4601.0000000001637</v>
      </c>
      <c r="P164" s="31"/>
      <c r="Q164" s="31">
        <v>6225.0000000001637</v>
      </c>
      <c r="R164" s="31">
        <f t="shared" si="18"/>
        <v>10826.000000000327</v>
      </c>
      <c r="S164" s="31">
        <v>0</v>
      </c>
      <c r="T164" s="134">
        <f t="shared" si="19"/>
        <v>10826.000000000327</v>
      </c>
      <c r="U164" s="96"/>
      <c r="V164" s="30"/>
      <c r="W164" s="33"/>
    </row>
    <row r="165" spans="1:23" ht="10.199999999999999">
      <c r="A165" s="138"/>
      <c r="B165" s="138"/>
      <c r="C165" s="138"/>
      <c r="D165" s="138" t="s">
        <v>162</v>
      </c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96"/>
      <c r="V165" s="30"/>
      <c r="W165" s="33"/>
    </row>
    <row r="166" spans="1:23" ht="10.199999999999999">
      <c r="A166" s="171" t="s">
        <v>325</v>
      </c>
      <c r="B166" s="162" t="s">
        <v>318</v>
      </c>
      <c r="C166" s="163" t="s">
        <v>271</v>
      </c>
      <c r="D166" s="137" t="s">
        <v>162</v>
      </c>
      <c r="E166" s="2"/>
      <c r="F166" s="2"/>
      <c r="G166" s="31"/>
      <c r="H166" s="31"/>
      <c r="I166" s="31">
        <v>0</v>
      </c>
      <c r="J166" s="31"/>
      <c r="K166" s="31">
        <v>0</v>
      </c>
      <c r="L166" s="31"/>
      <c r="M166" s="31">
        <v>0</v>
      </c>
      <c r="N166" s="31"/>
      <c r="O166" s="31">
        <v>20000</v>
      </c>
      <c r="P166" s="31"/>
      <c r="Q166" s="31">
        <v>0</v>
      </c>
      <c r="R166" s="31">
        <f t="shared" si="18"/>
        <v>20000</v>
      </c>
      <c r="S166" s="31">
        <v>0</v>
      </c>
      <c r="T166" s="134">
        <f t="shared" si="19"/>
        <v>20000</v>
      </c>
      <c r="U166" s="96"/>
      <c r="V166" s="30"/>
      <c r="W166" s="33"/>
    </row>
    <row r="167" spans="1:23" ht="10.199999999999999">
      <c r="A167" s="72"/>
      <c r="B167" s="72"/>
      <c r="C167" s="72"/>
      <c r="D167" s="72" t="s">
        <v>163</v>
      </c>
      <c r="E167" s="105"/>
      <c r="F167" s="105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2"/>
      <c r="S167" s="106"/>
      <c r="T167" s="106"/>
      <c r="V167" s="30"/>
      <c r="W167" s="33"/>
    </row>
    <row r="168" spans="1:23" ht="10.199999999999999" hidden="1">
      <c r="A168" s="162" t="s">
        <v>282</v>
      </c>
      <c r="B168" s="162" t="s">
        <v>282</v>
      </c>
      <c r="C168" s="162" t="s">
        <v>282</v>
      </c>
      <c r="D168" s="2" t="s">
        <v>164</v>
      </c>
      <c r="E168" s="107" t="s">
        <v>114</v>
      </c>
      <c r="F168" s="107" t="s">
        <v>142</v>
      </c>
      <c r="G168" s="108">
        <v>0</v>
      </c>
      <c r="H168" s="108">
        <v>3000</v>
      </c>
      <c r="I168" s="108">
        <v>0</v>
      </c>
      <c r="J168" s="108">
        <v>1</v>
      </c>
      <c r="K168" s="108">
        <v>0</v>
      </c>
      <c r="L168" s="108">
        <v>0</v>
      </c>
      <c r="M168" s="31">
        <v>0</v>
      </c>
      <c r="N168" s="108">
        <v>0</v>
      </c>
      <c r="O168" s="108">
        <v>0</v>
      </c>
      <c r="P168" s="108">
        <v>0</v>
      </c>
      <c r="Q168" s="108">
        <v>0</v>
      </c>
      <c r="R168" s="31">
        <f t="shared" si="18"/>
        <v>0</v>
      </c>
      <c r="S168" s="108">
        <v>0</v>
      </c>
      <c r="T168" s="108">
        <f>SUM(R168:S168)</f>
        <v>0</v>
      </c>
      <c r="V168" s="30"/>
      <c r="W168" s="33"/>
    </row>
    <row r="169" spans="1:23" ht="10.199999999999999">
      <c r="A169" s="162" t="s">
        <v>312</v>
      </c>
      <c r="B169" s="162">
        <v>81010</v>
      </c>
      <c r="C169" s="163" t="s">
        <v>271</v>
      </c>
      <c r="D169" s="2" t="s">
        <v>165</v>
      </c>
      <c r="E169" s="107" t="s">
        <v>114</v>
      </c>
      <c r="F169" s="107" t="s">
        <v>142</v>
      </c>
      <c r="G169" s="108">
        <v>1</v>
      </c>
      <c r="H169" s="108">
        <v>5000</v>
      </c>
      <c r="I169" s="108">
        <v>1144.49</v>
      </c>
      <c r="J169" s="108">
        <v>0</v>
      </c>
      <c r="K169" s="108">
        <v>3760.869999999999</v>
      </c>
      <c r="L169" s="108">
        <v>0</v>
      </c>
      <c r="M169" s="31">
        <v>128.12</v>
      </c>
      <c r="N169" s="108">
        <v>0</v>
      </c>
      <c r="O169" s="108">
        <v>0</v>
      </c>
      <c r="P169" s="108">
        <v>0</v>
      </c>
      <c r="Q169" s="108">
        <v>0</v>
      </c>
      <c r="R169" s="31">
        <f t="shared" si="18"/>
        <v>5033.4799999999987</v>
      </c>
      <c r="S169" s="108">
        <v>0</v>
      </c>
      <c r="T169" s="147">
        <f>SUM(R169:S169)</f>
        <v>5033.4799999999987</v>
      </c>
      <c r="V169" s="30"/>
      <c r="W169" s="33"/>
    </row>
    <row r="170" spans="1:23" ht="10.199999999999999">
      <c r="A170" s="104"/>
      <c r="B170" s="104"/>
      <c r="C170" s="104"/>
      <c r="D170" s="104" t="s">
        <v>166</v>
      </c>
      <c r="E170" s="105"/>
      <c r="F170" s="105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38"/>
      <c r="S170" s="106"/>
      <c r="T170" s="106"/>
      <c r="V170" s="30"/>
      <c r="W170" s="33"/>
    </row>
    <row r="171" spans="1:23" ht="10.199999999999999">
      <c r="A171" s="162" t="s">
        <v>313</v>
      </c>
      <c r="B171" s="162">
        <v>87000</v>
      </c>
      <c r="C171" s="163" t="s">
        <v>271</v>
      </c>
      <c r="D171" s="2" t="s">
        <v>167</v>
      </c>
      <c r="E171" s="107" t="s">
        <v>114</v>
      </c>
      <c r="F171" s="107" t="s">
        <v>168</v>
      </c>
      <c r="G171" s="108">
        <v>0</v>
      </c>
      <c r="H171" s="108">
        <v>300</v>
      </c>
      <c r="I171" s="108">
        <v>0</v>
      </c>
      <c r="J171" s="108">
        <v>2</v>
      </c>
      <c r="K171" s="108">
        <v>949.08999999999992</v>
      </c>
      <c r="L171" s="108">
        <v>0</v>
      </c>
      <c r="M171" s="108">
        <v>199.67999999999998</v>
      </c>
      <c r="N171" s="108">
        <v>0</v>
      </c>
      <c r="O171" s="108">
        <v>20124.82</v>
      </c>
      <c r="P171" s="108">
        <v>0</v>
      </c>
      <c r="Q171" s="108">
        <v>0</v>
      </c>
      <c r="R171" s="31">
        <f t="shared" si="18"/>
        <v>21273.59</v>
      </c>
      <c r="S171" s="108">
        <v>0</v>
      </c>
      <c r="T171" s="147">
        <f>SUM(R171:S171)</f>
        <v>21273.59</v>
      </c>
      <c r="V171" s="30"/>
      <c r="W171" s="33"/>
    </row>
    <row r="172" spans="1:23" ht="20.399999999999999">
      <c r="A172" s="162" t="s">
        <v>314</v>
      </c>
      <c r="B172" s="162" t="s">
        <v>302</v>
      </c>
      <c r="C172" s="163" t="s">
        <v>271</v>
      </c>
      <c r="D172" s="2" t="s">
        <v>169</v>
      </c>
      <c r="E172" s="1" t="s">
        <v>114</v>
      </c>
      <c r="F172" s="1" t="s">
        <v>125</v>
      </c>
      <c r="G172" s="31">
        <v>0</v>
      </c>
      <c r="H172" s="31">
        <v>200</v>
      </c>
      <c r="I172" s="108">
        <v>0</v>
      </c>
      <c r="J172" s="108">
        <v>1</v>
      </c>
      <c r="K172" s="108">
        <v>0</v>
      </c>
      <c r="L172" s="108">
        <v>0</v>
      </c>
      <c r="M172" s="108">
        <v>1993.3300000000002</v>
      </c>
      <c r="N172" s="108">
        <v>0</v>
      </c>
      <c r="O172" s="108">
        <v>0</v>
      </c>
      <c r="P172" s="108">
        <v>0</v>
      </c>
      <c r="Q172" s="108">
        <v>0</v>
      </c>
      <c r="R172" s="31">
        <f t="shared" si="18"/>
        <v>1993.3300000000002</v>
      </c>
      <c r="S172" s="108">
        <v>0</v>
      </c>
      <c r="T172" s="147">
        <f>SUM(R172:S172)</f>
        <v>1993.3300000000002</v>
      </c>
      <c r="V172" s="30"/>
      <c r="W172" s="33"/>
    </row>
    <row r="173" spans="1:23" ht="10.199999999999999" hidden="1">
      <c r="A173" s="72"/>
      <c r="B173" s="72"/>
      <c r="C173" s="72"/>
      <c r="D173" s="72" t="s">
        <v>170</v>
      </c>
      <c r="E173" s="101"/>
      <c r="F173" s="101"/>
      <c r="G173" s="38"/>
      <c r="H173" s="38"/>
      <c r="I173" s="106"/>
      <c r="J173" s="106"/>
      <c r="K173" s="106"/>
      <c r="L173" s="106"/>
      <c r="M173" s="106"/>
      <c r="N173" s="106"/>
      <c r="O173" s="106"/>
      <c r="P173" s="106"/>
      <c r="Q173" s="106"/>
      <c r="R173" s="38"/>
      <c r="S173" s="106"/>
      <c r="T173" s="106"/>
      <c r="U173" s="49"/>
      <c r="V173" s="30"/>
      <c r="W173" s="33"/>
    </row>
    <row r="174" spans="1:23" ht="10.199999999999999" hidden="1">
      <c r="A174" s="162" t="s">
        <v>282</v>
      </c>
      <c r="B174" s="162" t="s">
        <v>282</v>
      </c>
      <c r="C174" s="162" t="s">
        <v>282</v>
      </c>
      <c r="D174" s="2" t="s">
        <v>171</v>
      </c>
      <c r="E174" s="1" t="s">
        <v>114</v>
      </c>
      <c r="F174" s="1" t="s">
        <v>168</v>
      </c>
      <c r="G174" s="31">
        <v>0</v>
      </c>
      <c r="H174" s="31">
        <v>300</v>
      </c>
      <c r="I174" s="108">
        <v>0</v>
      </c>
      <c r="J174" s="108">
        <v>1</v>
      </c>
      <c r="K174" s="108">
        <v>0</v>
      </c>
      <c r="L174" s="108">
        <v>0</v>
      </c>
      <c r="M174" s="108">
        <v>0</v>
      </c>
      <c r="N174" s="108">
        <v>0</v>
      </c>
      <c r="O174" s="108">
        <v>0</v>
      </c>
      <c r="P174" s="108">
        <v>0</v>
      </c>
      <c r="Q174" s="108">
        <v>0</v>
      </c>
      <c r="R174" s="31">
        <f t="shared" si="18"/>
        <v>0</v>
      </c>
      <c r="S174" s="108">
        <v>0</v>
      </c>
      <c r="T174" s="147">
        <f t="shared" ref="T174:T179" si="20">SUM(R174:S174)</f>
        <v>0</v>
      </c>
      <c r="V174" s="30"/>
      <c r="W174" s="33"/>
    </row>
    <row r="175" spans="1:23" ht="10.199999999999999" hidden="1">
      <c r="A175" s="162" t="s">
        <v>282</v>
      </c>
      <c r="B175" s="162" t="s">
        <v>282</v>
      </c>
      <c r="C175" s="162" t="s">
        <v>282</v>
      </c>
      <c r="D175" s="2" t="s">
        <v>172</v>
      </c>
      <c r="E175" s="1" t="s">
        <v>114</v>
      </c>
      <c r="F175" s="1" t="s">
        <v>173</v>
      </c>
      <c r="G175" s="31">
        <v>0</v>
      </c>
      <c r="H175" s="31">
        <v>250</v>
      </c>
      <c r="I175" s="108">
        <v>0</v>
      </c>
      <c r="J175" s="108">
        <v>4</v>
      </c>
      <c r="K175" s="108">
        <v>0</v>
      </c>
      <c r="L175" s="108">
        <v>2</v>
      </c>
      <c r="M175" s="108">
        <v>0</v>
      </c>
      <c r="N175" s="108">
        <v>0</v>
      </c>
      <c r="O175" s="108">
        <v>0</v>
      </c>
      <c r="P175" s="108">
        <v>0</v>
      </c>
      <c r="Q175" s="108">
        <v>0</v>
      </c>
      <c r="R175" s="31">
        <f t="shared" si="18"/>
        <v>0</v>
      </c>
      <c r="S175" s="108">
        <v>0</v>
      </c>
      <c r="T175" s="147">
        <f>SUM(R175:S175)</f>
        <v>0</v>
      </c>
      <c r="V175" s="30"/>
      <c r="W175" s="33"/>
    </row>
    <row r="176" spans="1:23" ht="10.199999999999999" hidden="1">
      <c r="A176" s="162" t="s">
        <v>282</v>
      </c>
      <c r="B176" s="162" t="s">
        <v>282</v>
      </c>
      <c r="C176" s="162" t="s">
        <v>282</v>
      </c>
      <c r="D176" s="2" t="s">
        <v>174</v>
      </c>
      <c r="E176" s="1" t="s">
        <v>175</v>
      </c>
      <c r="F176" s="1" t="s">
        <v>173</v>
      </c>
      <c r="G176" s="31">
        <v>0</v>
      </c>
      <c r="H176" s="31">
        <v>200</v>
      </c>
      <c r="I176" s="108">
        <v>0</v>
      </c>
      <c r="J176" s="108">
        <v>4</v>
      </c>
      <c r="K176" s="108">
        <v>0</v>
      </c>
      <c r="L176" s="108">
        <v>2</v>
      </c>
      <c r="M176" s="108">
        <v>0</v>
      </c>
      <c r="N176" s="108">
        <v>0</v>
      </c>
      <c r="O176" s="108">
        <v>0</v>
      </c>
      <c r="P176" s="108">
        <v>0</v>
      </c>
      <c r="Q176" s="108">
        <v>0</v>
      </c>
      <c r="R176" s="31">
        <f t="shared" si="18"/>
        <v>0</v>
      </c>
      <c r="S176" s="108">
        <v>0</v>
      </c>
      <c r="T176" s="147">
        <f t="shared" si="20"/>
        <v>0</v>
      </c>
      <c r="V176" s="30"/>
      <c r="W176" s="33"/>
    </row>
    <row r="177" spans="1:23" ht="10.199999999999999" hidden="1">
      <c r="A177" s="162" t="s">
        <v>282</v>
      </c>
      <c r="B177" s="162" t="s">
        <v>282</v>
      </c>
      <c r="C177" s="162" t="s">
        <v>282</v>
      </c>
      <c r="D177" s="2" t="s">
        <v>176</v>
      </c>
      <c r="E177" s="1" t="s">
        <v>114</v>
      </c>
      <c r="F177" s="1" t="s">
        <v>145</v>
      </c>
      <c r="G177" s="31">
        <v>0</v>
      </c>
      <c r="H177" s="31">
        <v>75</v>
      </c>
      <c r="I177" s="108">
        <v>0</v>
      </c>
      <c r="J177" s="108">
        <v>3</v>
      </c>
      <c r="K177" s="108">
        <v>0</v>
      </c>
      <c r="L177" s="108">
        <v>0</v>
      </c>
      <c r="M177" s="108">
        <v>0</v>
      </c>
      <c r="N177" s="108">
        <v>0</v>
      </c>
      <c r="O177" s="108">
        <v>0</v>
      </c>
      <c r="P177" s="108">
        <v>0</v>
      </c>
      <c r="Q177" s="108">
        <v>0</v>
      </c>
      <c r="R177" s="31">
        <f t="shared" si="18"/>
        <v>0</v>
      </c>
      <c r="S177" s="108">
        <v>0</v>
      </c>
      <c r="T177" s="147">
        <f t="shared" si="20"/>
        <v>0</v>
      </c>
      <c r="V177" s="30"/>
      <c r="W177" s="33"/>
    </row>
    <row r="178" spans="1:23" ht="10.199999999999999" hidden="1">
      <c r="A178" s="162" t="s">
        <v>282</v>
      </c>
      <c r="B178" s="162" t="s">
        <v>282</v>
      </c>
      <c r="C178" s="162" t="s">
        <v>282</v>
      </c>
      <c r="D178" s="2" t="s">
        <v>177</v>
      </c>
      <c r="E178" s="1" t="s">
        <v>114</v>
      </c>
      <c r="F178" s="1" t="s">
        <v>145</v>
      </c>
      <c r="G178" s="31">
        <v>0</v>
      </c>
      <c r="H178" s="31">
        <v>75</v>
      </c>
      <c r="I178" s="108">
        <v>0</v>
      </c>
      <c r="J178" s="108">
        <v>3</v>
      </c>
      <c r="K178" s="108">
        <v>0</v>
      </c>
      <c r="L178" s="108">
        <v>0</v>
      </c>
      <c r="M178" s="108">
        <v>0</v>
      </c>
      <c r="N178" s="108">
        <v>0</v>
      </c>
      <c r="O178" s="108">
        <v>0</v>
      </c>
      <c r="P178" s="108">
        <v>0</v>
      </c>
      <c r="Q178" s="108">
        <v>0</v>
      </c>
      <c r="R178" s="31">
        <f t="shared" si="18"/>
        <v>0</v>
      </c>
      <c r="S178" s="108">
        <v>0</v>
      </c>
      <c r="T178" s="147">
        <f t="shared" si="20"/>
        <v>0</v>
      </c>
      <c r="V178" s="30"/>
      <c r="W178" s="33"/>
    </row>
    <row r="179" spans="1:23" ht="10.199999999999999" hidden="1">
      <c r="A179" s="162" t="s">
        <v>282</v>
      </c>
      <c r="B179" s="162" t="s">
        <v>282</v>
      </c>
      <c r="C179" s="162" t="s">
        <v>282</v>
      </c>
      <c r="D179" s="2" t="s">
        <v>178</v>
      </c>
      <c r="E179" s="1" t="s">
        <v>48</v>
      </c>
      <c r="F179" s="1" t="s">
        <v>145</v>
      </c>
      <c r="G179" s="31">
        <v>0</v>
      </c>
      <c r="H179" s="31">
        <v>25</v>
      </c>
      <c r="I179" s="108">
        <v>0</v>
      </c>
      <c r="J179" s="108">
        <v>6</v>
      </c>
      <c r="K179" s="108">
        <v>0</v>
      </c>
      <c r="L179" s="108">
        <v>0</v>
      </c>
      <c r="M179" s="108">
        <v>0</v>
      </c>
      <c r="N179" s="108">
        <v>0</v>
      </c>
      <c r="O179" s="108">
        <v>0</v>
      </c>
      <c r="P179" s="108">
        <v>0</v>
      </c>
      <c r="Q179" s="108">
        <v>0</v>
      </c>
      <c r="R179" s="31">
        <f t="shared" si="18"/>
        <v>0</v>
      </c>
      <c r="S179" s="108">
        <v>0</v>
      </c>
      <c r="T179" s="147">
        <f t="shared" si="20"/>
        <v>0</v>
      </c>
      <c r="V179" s="30"/>
      <c r="W179" s="33"/>
    </row>
    <row r="180" spans="1:23" ht="10.199999999999999" hidden="1">
      <c r="A180" s="72"/>
      <c r="B180" s="72"/>
      <c r="C180" s="72"/>
      <c r="D180" s="72" t="s">
        <v>179</v>
      </c>
      <c r="E180" s="101"/>
      <c r="F180" s="101"/>
      <c r="G180" s="38"/>
      <c r="H180" s="38"/>
      <c r="I180" s="106"/>
      <c r="J180" s="106"/>
      <c r="K180" s="106"/>
      <c r="L180" s="106"/>
      <c r="M180" s="106"/>
      <c r="N180" s="106"/>
      <c r="O180" s="106"/>
      <c r="P180" s="106"/>
      <c r="Q180" s="106"/>
      <c r="R180" s="38"/>
      <c r="S180" s="106"/>
      <c r="T180" s="106"/>
      <c r="V180" s="30"/>
      <c r="W180" s="33"/>
    </row>
    <row r="181" spans="1:23" ht="10.199999999999999" hidden="1">
      <c r="A181" s="162" t="s">
        <v>282</v>
      </c>
      <c r="B181" s="162" t="s">
        <v>282</v>
      </c>
      <c r="C181" s="162" t="s">
        <v>282</v>
      </c>
      <c r="D181" s="2" t="s">
        <v>180</v>
      </c>
      <c r="E181" s="1" t="s">
        <v>114</v>
      </c>
      <c r="F181" s="1" t="s">
        <v>168</v>
      </c>
      <c r="G181" s="31">
        <v>0</v>
      </c>
      <c r="H181" s="31">
        <v>300</v>
      </c>
      <c r="I181" s="108">
        <v>0</v>
      </c>
      <c r="J181" s="108">
        <v>1</v>
      </c>
      <c r="K181" s="108">
        <v>0</v>
      </c>
      <c r="L181" s="108">
        <v>2</v>
      </c>
      <c r="M181" s="108">
        <v>0</v>
      </c>
      <c r="N181" s="108">
        <v>0</v>
      </c>
      <c r="O181" s="108">
        <v>0</v>
      </c>
      <c r="P181" s="108">
        <v>0</v>
      </c>
      <c r="Q181" s="108">
        <v>0</v>
      </c>
      <c r="R181" s="31">
        <f t="shared" si="18"/>
        <v>0</v>
      </c>
      <c r="S181" s="108">
        <v>0</v>
      </c>
      <c r="T181" s="147">
        <f>SUM(R181:S181)</f>
        <v>0</v>
      </c>
      <c r="V181" s="30"/>
      <c r="W181" s="33"/>
    </row>
    <row r="182" spans="1:23" ht="10.5" hidden="1" customHeight="1">
      <c r="A182" s="162" t="s">
        <v>282</v>
      </c>
      <c r="B182" s="162" t="s">
        <v>282</v>
      </c>
      <c r="C182" s="162" t="s">
        <v>282</v>
      </c>
      <c r="D182" s="2" t="s">
        <v>181</v>
      </c>
      <c r="E182" s="1" t="s">
        <v>114</v>
      </c>
      <c r="F182" s="1" t="s">
        <v>173</v>
      </c>
      <c r="G182" s="31">
        <v>0</v>
      </c>
      <c r="H182" s="31">
        <v>250</v>
      </c>
      <c r="I182" s="108">
        <v>0</v>
      </c>
      <c r="J182" s="108">
        <v>3</v>
      </c>
      <c r="K182" s="108">
        <v>0</v>
      </c>
      <c r="L182" s="108">
        <v>3</v>
      </c>
      <c r="M182" s="108">
        <v>0</v>
      </c>
      <c r="N182" s="108">
        <v>0</v>
      </c>
      <c r="O182" s="108">
        <v>0</v>
      </c>
      <c r="P182" s="108">
        <v>0</v>
      </c>
      <c r="Q182" s="108">
        <v>0</v>
      </c>
      <c r="R182" s="31">
        <f t="shared" si="18"/>
        <v>0</v>
      </c>
      <c r="S182" s="108">
        <v>0</v>
      </c>
      <c r="T182" s="147">
        <f>SUM(R182:S182)</f>
        <v>0</v>
      </c>
      <c r="V182" s="30"/>
      <c r="W182" s="33"/>
    </row>
    <row r="183" spans="1:23" ht="10.199999999999999" hidden="1">
      <c r="A183" s="162" t="s">
        <v>282</v>
      </c>
      <c r="B183" s="162" t="s">
        <v>282</v>
      </c>
      <c r="C183" s="162" t="s">
        <v>282</v>
      </c>
      <c r="D183" s="2" t="s">
        <v>174</v>
      </c>
      <c r="E183" s="1" t="s">
        <v>175</v>
      </c>
      <c r="F183" s="1" t="s">
        <v>173</v>
      </c>
      <c r="G183" s="31">
        <v>0</v>
      </c>
      <c r="H183" s="31">
        <v>200</v>
      </c>
      <c r="I183" s="108">
        <v>0</v>
      </c>
      <c r="J183" s="108">
        <v>1</v>
      </c>
      <c r="K183" s="108">
        <v>0</v>
      </c>
      <c r="L183" s="108">
        <v>0</v>
      </c>
      <c r="M183" s="108">
        <v>0</v>
      </c>
      <c r="N183" s="108">
        <v>0</v>
      </c>
      <c r="O183" s="108">
        <v>0</v>
      </c>
      <c r="P183" s="108">
        <v>0</v>
      </c>
      <c r="Q183" s="108">
        <v>0</v>
      </c>
      <c r="R183" s="31">
        <f t="shared" si="18"/>
        <v>0</v>
      </c>
      <c r="S183" s="108">
        <v>0</v>
      </c>
      <c r="T183" s="147">
        <f>SUM(R183:S183)</f>
        <v>0</v>
      </c>
      <c r="V183" s="30"/>
      <c r="W183" s="33"/>
    </row>
    <row r="184" spans="1:23" ht="10.199999999999999">
      <c r="A184" s="35"/>
      <c r="B184" s="35"/>
      <c r="C184" s="35"/>
      <c r="D184" s="35"/>
      <c r="E184" s="109"/>
      <c r="F184" s="109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48"/>
      <c r="V184" s="30"/>
      <c r="W184" s="33"/>
    </row>
    <row r="185" spans="1:23" ht="10.8" thickBot="1">
      <c r="A185" s="56"/>
      <c r="B185" s="56"/>
      <c r="C185" s="56"/>
      <c r="D185" s="56" t="s">
        <v>182</v>
      </c>
      <c r="E185" s="56"/>
      <c r="F185" s="56"/>
      <c r="G185" s="97"/>
      <c r="H185" s="97"/>
      <c r="I185" s="61">
        <f>SUM(I153:I183)</f>
        <v>1144.49</v>
      </c>
      <c r="J185" s="61"/>
      <c r="K185" s="61">
        <f>SUM(K153:K183)</f>
        <v>4709.9599999999991</v>
      </c>
      <c r="L185" s="61"/>
      <c r="M185" s="61">
        <f>SUM(M153:M183)</f>
        <v>124699.08999999998</v>
      </c>
      <c r="N185" s="61"/>
      <c r="O185" s="61">
        <f>SUM(O153:O183)</f>
        <v>192533.69775000017</v>
      </c>
      <c r="P185" s="61"/>
      <c r="Q185" s="61">
        <f>SUM(Q153:Q183)</f>
        <v>13955.000000000164</v>
      </c>
      <c r="R185" s="61">
        <f>SUM(I185+K185+M185+O185+Q185)</f>
        <v>337042.23775000032</v>
      </c>
      <c r="S185" s="61">
        <f>SUM(S153:S183)</f>
        <v>0</v>
      </c>
      <c r="T185" s="141">
        <f>SUM(R185:S185)</f>
        <v>337042.23775000032</v>
      </c>
      <c r="V185" s="30"/>
      <c r="W185" s="33"/>
    </row>
    <row r="186" spans="1:23" s="49" customFormat="1" ht="10.5">
      <c r="A186" s="90"/>
      <c r="B186" s="90"/>
      <c r="C186" s="90"/>
      <c r="D186" s="90" t="s">
        <v>183</v>
      </c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2"/>
      <c r="S186" s="91"/>
      <c r="T186" s="92"/>
      <c r="V186" s="30"/>
      <c r="W186" s="33"/>
    </row>
    <row r="187" spans="1:23" s="49" customFormat="1" ht="10.5">
      <c r="A187" s="98"/>
      <c r="B187" s="98"/>
      <c r="C187" s="98"/>
      <c r="D187" s="98" t="s">
        <v>135</v>
      </c>
      <c r="E187" s="98"/>
      <c r="F187" s="99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V187" s="30"/>
      <c r="W187" s="33"/>
    </row>
    <row r="188" spans="1:23" ht="10.199999999999999" hidden="1">
      <c r="A188" s="72"/>
      <c r="B188" s="72"/>
      <c r="C188" s="72"/>
      <c r="D188" s="72" t="s">
        <v>184</v>
      </c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102"/>
      <c r="S188" s="95"/>
      <c r="T188" s="95"/>
      <c r="V188" s="30"/>
      <c r="W188" s="33"/>
    </row>
    <row r="189" spans="1:23" ht="10.199999999999999" hidden="1">
      <c r="A189" s="162" t="s">
        <v>282</v>
      </c>
      <c r="B189" s="162" t="s">
        <v>282</v>
      </c>
      <c r="C189" s="162" t="s">
        <v>282</v>
      </c>
      <c r="D189" s="2" t="s">
        <v>185</v>
      </c>
      <c r="E189" s="2" t="s">
        <v>114</v>
      </c>
      <c r="F189" s="2" t="s">
        <v>186</v>
      </c>
      <c r="G189" s="31">
        <v>0</v>
      </c>
      <c r="H189" s="31">
        <v>30000</v>
      </c>
      <c r="I189" s="31">
        <v>0</v>
      </c>
      <c r="J189" s="31">
        <v>0</v>
      </c>
      <c r="K189" s="31">
        <v>0</v>
      </c>
      <c r="L189" s="31">
        <v>1</v>
      </c>
      <c r="M189" s="31">
        <v>0</v>
      </c>
      <c r="N189" s="31">
        <v>1</v>
      </c>
      <c r="O189" s="31">
        <v>0</v>
      </c>
      <c r="P189" s="31">
        <v>1</v>
      </c>
      <c r="Q189" s="31">
        <v>0</v>
      </c>
      <c r="R189" s="31">
        <f t="shared" ref="R189" si="21">SUM(I189+K189+M189+O189+Q189)</f>
        <v>0</v>
      </c>
      <c r="S189" s="31">
        <v>0</v>
      </c>
      <c r="T189" s="134">
        <f>SUM(R189:S189)</f>
        <v>0</v>
      </c>
      <c r="V189" s="30"/>
      <c r="W189" s="33"/>
    </row>
    <row r="190" spans="1:23" ht="10.199999999999999" hidden="1">
      <c r="A190" s="72"/>
      <c r="B190" s="72"/>
      <c r="C190" s="72"/>
      <c r="D190" s="72" t="s">
        <v>187</v>
      </c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38"/>
      <c r="S190" s="101"/>
      <c r="T190" s="101"/>
      <c r="V190" s="30"/>
      <c r="W190" s="33"/>
    </row>
    <row r="191" spans="1:23" ht="10.199999999999999" hidden="1">
      <c r="A191" s="162" t="s">
        <v>282</v>
      </c>
      <c r="B191" s="162" t="s">
        <v>282</v>
      </c>
      <c r="C191" s="162" t="s">
        <v>282</v>
      </c>
      <c r="D191" s="2" t="s">
        <v>188</v>
      </c>
      <c r="E191" s="2" t="s">
        <v>114</v>
      </c>
      <c r="F191" s="2" t="s">
        <v>186</v>
      </c>
      <c r="G191" s="31">
        <v>0</v>
      </c>
      <c r="H191" s="31">
        <v>30000</v>
      </c>
      <c r="I191" s="31">
        <v>0</v>
      </c>
      <c r="J191" s="31">
        <v>0</v>
      </c>
      <c r="K191" s="31">
        <v>0</v>
      </c>
      <c r="L191" s="31">
        <v>1</v>
      </c>
      <c r="M191" s="31">
        <v>0</v>
      </c>
      <c r="N191" s="31">
        <v>1</v>
      </c>
      <c r="O191" s="31">
        <v>0</v>
      </c>
      <c r="P191" s="31">
        <v>1</v>
      </c>
      <c r="Q191" s="31">
        <v>0</v>
      </c>
      <c r="R191" s="31">
        <f t="shared" ref="R191" si="22">SUM(I191+K191+M191+O191+Q191)</f>
        <v>0</v>
      </c>
      <c r="S191" s="31">
        <v>0</v>
      </c>
      <c r="T191" s="134">
        <f>SUM(R191:S191)</f>
        <v>0</v>
      </c>
      <c r="V191" s="30"/>
      <c r="W191" s="33"/>
    </row>
    <row r="192" spans="1:23" ht="10.199999999999999" hidden="1">
      <c r="A192" s="72"/>
      <c r="B192" s="72"/>
      <c r="C192" s="72"/>
      <c r="D192" s="72" t="s">
        <v>189</v>
      </c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38"/>
      <c r="S192" s="101"/>
      <c r="T192" s="101"/>
      <c r="V192" s="30"/>
      <c r="W192" s="33"/>
    </row>
    <row r="193" spans="1:23" ht="10.199999999999999" hidden="1">
      <c r="A193" s="162" t="s">
        <v>282</v>
      </c>
      <c r="B193" s="162" t="s">
        <v>282</v>
      </c>
      <c r="C193" s="162" t="s">
        <v>282</v>
      </c>
      <c r="D193" s="2" t="s">
        <v>190</v>
      </c>
      <c r="E193" s="2" t="s">
        <v>114</v>
      </c>
      <c r="F193" s="2" t="s">
        <v>186</v>
      </c>
      <c r="G193" s="31">
        <v>0</v>
      </c>
      <c r="H193" s="31">
        <v>30000</v>
      </c>
      <c r="I193" s="31">
        <v>0</v>
      </c>
      <c r="J193" s="31">
        <v>0</v>
      </c>
      <c r="K193" s="31">
        <v>0</v>
      </c>
      <c r="L193" s="31">
        <v>1</v>
      </c>
      <c r="M193" s="31">
        <v>0</v>
      </c>
      <c r="N193" s="31">
        <v>1</v>
      </c>
      <c r="O193" s="31">
        <v>0</v>
      </c>
      <c r="P193" s="31">
        <v>1</v>
      </c>
      <c r="Q193" s="31">
        <v>0</v>
      </c>
      <c r="R193" s="31">
        <f>SUM(I193+K193+M193+O193+Q193)</f>
        <v>0</v>
      </c>
      <c r="S193" s="31">
        <v>0</v>
      </c>
      <c r="T193" s="134">
        <f>SUM(R193:S193)</f>
        <v>0</v>
      </c>
      <c r="V193" s="30"/>
      <c r="W193" s="33"/>
    </row>
    <row r="194" spans="1:23" ht="10.199999999999999" hidden="1">
      <c r="A194" s="72"/>
      <c r="B194" s="72"/>
      <c r="C194" s="72"/>
      <c r="D194" s="72" t="s">
        <v>191</v>
      </c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38"/>
      <c r="S194" s="101"/>
      <c r="T194" s="101"/>
      <c r="V194" s="30"/>
      <c r="W194" s="33"/>
    </row>
    <row r="195" spans="1:23" ht="10.199999999999999" hidden="1">
      <c r="A195" s="162" t="s">
        <v>282</v>
      </c>
      <c r="B195" s="162" t="s">
        <v>282</v>
      </c>
      <c r="C195" s="162" t="s">
        <v>282</v>
      </c>
      <c r="D195" s="2" t="s">
        <v>192</v>
      </c>
      <c r="E195" s="2" t="s">
        <v>114</v>
      </c>
      <c r="F195" s="2" t="s">
        <v>145</v>
      </c>
      <c r="G195" s="31">
        <v>0</v>
      </c>
      <c r="H195" s="31">
        <v>75</v>
      </c>
      <c r="I195" s="31">
        <v>0</v>
      </c>
      <c r="J195" s="31">
        <v>2</v>
      </c>
      <c r="K195" s="31">
        <v>0</v>
      </c>
      <c r="L195" s="31">
        <v>3</v>
      </c>
      <c r="M195" s="31">
        <v>0</v>
      </c>
      <c r="N195" s="31">
        <v>4</v>
      </c>
      <c r="O195" s="31">
        <v>0</v>
      </c>
      <c r="P195" s="31">
        <v>4</v>
      </c>
      <c r="Q195" s="31">
        <v>0</v>
      </c>
      <c r="R195" s="31">
        <f t="shared" ref="R195:R196" si="23">SUM(I195+K195+M195+O195+Q195)</f>
        <v>0</v>
      </c>
      <c r="S195" s="31">
        <v>0</v>
      </c>
      <c r="T195" s="134">
        <f>SUM(R195:S195)</f>
        <v>0</v>
      </c>
      <c r="V195" s="30"/>
      <c r="W195" s="33"/>
    </row>
    <row r="196" spans="1:23" ht="10.199999999999999" hidden="1">
      <c r="A196" s="162" t="s">
        <v>282</v>
      </c>
      <c r="B196" s="162" t="s">
        <v>282</v>
      </c>
      <c r="C196" s="162" t="s">
        <v>282</v>
      </c>
      <c r="D196" s="2" t="s">
        <v>193</v>
      </c>
      <c r="E196" s="1" t="s">
        <v>114</v>
      </c>
      <c r="F196" s="1" t="s">
        <v>168</v>
      </c>
      <c r="G196" s="31">
        <v>0</v>
      </c>
      <c r="H196" s="31">
        <v>300</v>
      </c>
      <c r="I196" s="31">
        <v>0</v>
      </c>
      <c r="J196" s="31">
        <v>1</v>
      </c>
      <c r="K196" s="31">
        <v>0</v>
      </c>
      <c r="L196" s="31">
        <v>1</v>
      </c>
      <c r="M196" s="31">
        <v>0</v>
      </c>
      <c r="N196" s="31">
        <v>1</v>
      </c>
      <c r="O196" s="31">
        <v>0</v>
      </c>
      <c r="P196" s="31">
        <v>1</v>
      </c>
      <c r="Q196" s="31">
        <v>0</v>
      </c>
      <c r="R196" s="31">
        <f t="shared" si="23"/>
        <v>0</v>
      </c>
      <c r="S196" s="31">
        <v>0</v>
      </c>
      <c r="T196" s="134">
        <f>SUM(R196:S196)</f>
        <v>0</v>
      </c>
      <c r="V196" s="30"/>
      <c r="W196" s="33"/>
    </row>
    <row r="197" spans="1:23" ht="10.199999999999999" hidden="1">
      <c r="A197" s="40"/>
      <c r="B197" s="40"/>
      <c r="C197" s="40"/>
      <c r="D197" s="40" t="s">
        <v>194</v>
      </c>
      <c r="E197" s="101"/>
      <c r="F197" s="101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102"/>
      <c r="S197" s="38"/>
      <c r="T197" s="38"/>
      <c r="V197" s="30"/>
      <c r="W197" s="33"/>
    </row>
    <row r="198" spans="1:23" ht="10.199999999999999" hidden="1">
      <c r="A198" s="162" t="s">
        <v>282</v>
      </c>
      <c r="B198" s="162" t="s">
        <v>282</v>
      </c>
      <c r="C198" s="162" t="s">
        <v>282</v>
      </c>
      <c r="D198" s="2" t="s">
        <v>195</v>
      </c>
      <c r="E198" s="1" t="s">
        <v>92</v>
      </c>
      <c r="F198" s="1" t="s">
        <v>88</v>
      </c>
      <c r="G198" s="31"/>
      <c r="H198" s="31"/>
      <c r="I198" s="31">
        <v>0</v>
      </c>
      <c r="J198" s="31"/>
      <c r="K198" s="31">
        <v>0</v>
      </c>
      <c r="L198" s="31"/>
      <c r="M198" s="31">
        <v>0</v>
      </c>
      <c r="N198" s="31"/>
      <c r="O198" s="31">
        <v>0</v>
      </c>
      <c r="P198" s="31"/>
      <c r="Q198" s="31">
        <v>0</v>
      </c>
      <c r="R198" s="31">
        <f t="shared" ref="R198" si="24">SUM(I198+K198+M198+O198+Q198)</f>
        <v>0</v>
      </c>
      <c r="S198" s="31">
        <v>0</v>
      </c>
      <c r="T198" s="134">
        <f>SUM(R198:S198)</f>
        <v>0</v>
      </c>
      <c r="U198" s="49"/>
      <c r="V198" s="30"/>
      <c r="W198" s="33"/>
    </row>
    <row r="199" spans="1:23" ht="10.199999999999999">
      <c r="A199" s="35"/>
      <c r="B199" s="35"/>
      <c r="C199" s="35"/>
      <c r="D199" s="35"/>
      <c r="E199" s="1"/>
      <c r="F199" s="1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111"/>
      <c r="S199" s="36"/>
      <c r="T199" s="36"/>
      <c r="V199" s="30"/>
      <c r="W199" s="33"/>
    </row>
    <row r="200" spans="1:23" ht="10.8" thickBot="1">
      <c r="A200" s="56"/>
      <c r="B200" s="56"/>
      <c r="C200" s="56"/>
      <c r="D200" s="56" t="s">
        <v>196</v>
      </c>
      <c r="E200" s="56"/>
      <c r="F200" s="56"/>
      <c r="G200" s="97"/>
      <c r="H200" s="97"/>
      <c r="I200" s="61">
        <f>SUM(I188:I198)</f>
        <v>0</v>
      </c>
      <c r="J200" s="61"/>
      <c r="K200" s="61">
        <f>SUM(K188:K198)</f>
        <v>0</v>
      </c>
      <c r="L200" s="61"/>
      <c r="M200" s="61">
        <f>SUM(M188:M198)</f>
        <v>0</v>
      </c>
      <c r="N200" s="61"/>
      <c r="O200" s="61">
        <f>SUM(O188:O198)</f>
        <v>0</v>
      </c>
      <c r="P200" s="61"/>
      <c r="Q200" s="61">
        <f>SUM(Q188:Q198)</f>
        <v>0</v>
      </c>
      <c r="R200" s="61">
        <f>SUM(I200+K200+M200+O200+Q200)</f>
        <v>0</v>
      </c>
      <c r="S200" s="61">
        <f>SUM(S188:S198)</f>
        <v>0</v>
      </c>
      <c r="T200" s="149">
        <f>SUM(R200+S200)</f>
        <v>0</v>
      </c>
      <c r="V200" s="30"/>
      <c r="W200" s="33"/>
    </row>
    <row r="201" spans="1:23" ht="10.8" thickBot="1">
      <c r="A201" s="82"/>
      <c r="B201" s="82"/>
      <c r="C201" s="82"/>
      <c r="D201" s="82"/>
      <c r="E201" s="82"/>
      <c r="F201" s="82"/>
      <c r="G201" s="41"/>
      <c r="H201" s="41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4"/>
      <c r="V201" s="30"/>
      <c r="W201" s="33"/>
    </row>
    <row r="202" spans="1:23" s="49" customFormat="1" ht="10.5">
      <c r="A202" s="90"/>
      <c r="B202" s="90"/>
      <c r="C202" s="90"/>
      <c r="D202" s="90" t="s">
        <v>197</v>
      </c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2"/>
      <c r="S202" s="91"/>
      <c r="T202" s="92"/>
      <c r="V202" s="30"/>
      <c r="W202" s="33"/>
    </row>
    <row r="203" spans="1:23" s="49" customFormat="1" ht="10.5">
      <c r="A203" s="98"/>
      <c r="B203" s="98"/>
      <c r="C203" s="98"/>
      <c r="D203" s="98" t="s">
        <v>135</v>
      </c>
      <c r="E203" s="98"/>
      <c r="F203" s="99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V203" s="30"/>
      <c r="W203" s="33"/>
    </row>
    <row r="204" spans="1:23" s="49" customFormat="1" ht="10.199999999999999" hidden="1">
      <c r="A204" s="72"/>
      <c r="B204" s="72"/>
      <c r="C204" s="72"/>
      <c r="D204" s="72" t="s">
        <v>198</v>
      </c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102"/>
      <c r="S204" s="40"/>
      <c r="T204" s="40"/>
      <c r="V204" s="30"/>
      <c r="W204" s="33"/>
    </row>
    <row r="205" spans="1:23" s="49" customFormat="1" ht="10.199999999999999" hidden="1">
      <c r="A205" s="162" t="s">
        <v>282</v>
      </c>
      <c r="B205" s="162" t="s">
        <v>282</v>
      </c>
      <c r="C205" s="162" t="s">
        <v>282</v>
      </c>
      <c r="D205" s="2" t="s">
        <v>199</v>
      </c>
      <c r="E205" s="2" t="s">
        <v>114</v>
      </c>
      <c r="F205" s="2" t="s">
        <v>145</v>
      </c>
      <c r="G205" s="31">
        <v>0</v>
      </c>
      <c r="H205" s="31">
        <v>75</v>
      </c>
      <c r="I205" s="31">
        <v>0</v>
      </c>
      <c r="J205" s="31">
        <v>0</v>
      </c>
      <c r="K205" s="31">
        <v>0</v>
      </c>
      <c r="L205" s="31">
        <v>0</v>
      </c>
      <c r="M205" s="31">
        <v>0</v>
      </c>
      <c r="N205" s="31">
        <v>3</v>
      </c>
      <c r="O205" s="31">
        <v>0</v>
      </c>
      <c r="P205" s="31">
        <v>3</v>
      </c>
      <c r="Q205" s="31">
        <v>0</v>
      </c>
      <c r="R205" s="31">
        <f t="shared" ref="R205:R228" si="25">SUM(I205+K205+M205+O205+Q205)</f>
        <v>0</v>
      </c>
      <c r="S205" s="31">
        <v>0</v>
      </c>
      <c r="T205" s="134">
        <f>SUM(R205:S205)</f>
        <v>0</v>
      </c>
      <c r="V205" s="30"/>
      <c r="W205" s="33"/>
    </row>
    <row r="206" spans="1:23" ht="10.199999999999999" hidden="1">
      <c r="A206" s="162" t="s">
        <v>282</v>
      </c>
      <c r="B206" s="162" t="s">
        <v>282</v>
      </c>
      <c r="C206" s="162" t="s">
        <v>282</v>
      </c>
      <c r="D206" s="2" t="s">
        <v>200</v>
      </c>
      <c r="E206" s="2" t="s">
        <v>92</v>
      </c>
      <c r="F206" s="2" t="s">
        <v>29</v>
      </c>
      <c r="G206" s="31">
        <v>0</v>
      </c>
      <c r="H206" s="31">
        <v>500</v>
      </c>
      <c r="I206" s="31">
        <v>0</v>
      </c>
      <c r="J206" s="31">
        <v>0</v>
      </c>
      <c r="K206" s="31">
        <v>0</v>
      </c>
      <c r="L206" s="31">
        <v>0</v>
      </c>
      <c r="M206" s="31">
        <v>0</v>
      </c>
      <c r="N206" s="31">
        <v>1</v>
      </c>
      <c r="O206" s="31">
        <v>0</v>
      </c>
      <c r="P206" s="31">
        <v>1</v>
      </c>
      <c r="Q206" s="31">
        <v>0</v>
      </c>
      <c r="R206" s="31">
        <f t="shared" si="25"/>
        <v>0</v>
      </c>
      <c r="S206" s="31">
        <v>0</v>
      </c>
      <c r="T206" s="134">
        <f>SUM(R206:S206)</f>
        <v>0</v>
      </c>
      <c r="V206" s="30"/>
      <c r="W206" s="33"/>
    </row>
    <row r="207" spans="1:23" ht="10.199999999999999" hidden="1">
      <c r="A207" s="162" t="s">
        <v>282</v>
      </c>
      <c r="B207" s="162" t="s">
        <v>282</v>
      </c>
      <c r="C207" s="162" t="s">
        <v>282</v>
      </c>
      <c r="D207" s="2" t="s">
        <v>201</v>
      </c>
      <c r="E207" s="2" t="s">
        <v>114</v>
      </c>
      <c r="F207" s="2" t="s">
        <v>202</v>
      </c>
      <c r="G207" s="31">
        <v>0</v>
      </c>
      <c r="H207" s="31">
        <v>1500</v>
      </c>
      <c r="I207" s="31">
        <v>0</v>
      </c>
      <c r="J207" s="31">
        <v>0</v>
      </c>
      <c r="K207" s="31">
        <v>0</v>
      </c>
      <c r="L207" s="31">
        <v>0</v>
      </c>
      <c r="M207" s="31">
        <v>0</v>
      </c>
      <c r="N207" s="31">
        <v>1</v>
      </c>
      <c r="O207" s="31">
        <v>0</v>
      </c>
      <c r="P207" s="31">
        <v>1</v>
      </c>
      <c r="Q207" s="31">
        <v>0</v>
      </c>
      <c r="R207" s="31">
        <f t="shared" si="25"/>
        <v>0</v>
      </c>
      <c r="S207" s="31">
        <v>0</v>
      </c>
      <c r="T207" s="134">
        <f>SUM(R207:S207)</f>
        <v>0</v>
      </c>
      <c r="V207" s="30"/>
      <c r="W207" s="33"/>
    </row>
    <row r="208" spans="1:23" ht="10.199999999999999" hidden="1">
      <c r="A208" s="162" t="s">
        <v>282</v>
      </c>
      <c r="B208" s="162" t="s">
        <v>282</v>
      </c>
      <c r="C208" s="162" t="s">
        <v>282</v>
      </c>
      <c r="D208" s="2" t="s">
        <v>203</v>
      </c>
      <c r="E208" s="2" t="s">
        <v>48</v>
      </c>
      <c r="F208" s="2" t="s">
        <v>204</v>
      </c>
      <c r="G208" s="31">
        <v>0</v>
      </c>
      <c r="H208" s="31">
        <v>1000</v>
      </c>
      <c r="I208" s="31">
        <v>0</v>
      </c>
      <c r="J208" s="31">
        <v>0</v>
      </c>
      <c r="K208" s="31">
        <v>0</v>
      </c>
      <c r="L208" s="31">
        <v>0</v>
      </c>
      <c r="M208" s="31">
        <v>0</v>
      </c>
      <c r="N208" s="31">
        <v>7</v>
      </c>
      <c r="O208" s="31">
        <v>0</v>
      </c>
      <c r="P208" s="31">
        <v>7</v>
      </c>
      <c r="Q208" s="31">
        <v>0</v>
      </c>
      <c r="R208" s="31">
        <f t="shared" si="25"/>
        <v>0</v>
      </c>
      <c r="S208" s="31">
        <v>0</v>
      </c>
      <c r="T208" s="134">
        <f>SUM(R208:S208)</f>
        <v>0</v>
      </c>
      <c r="V208" s="30"/>
      <c r="W208" s="33"/>
    </row>
    <row r="209" spans="1:23" s="49" customFormat="1" ht="10.199999999999999">
      <c r="A209" s="72"/>
      <c r="B209" s="72"/>
      <c r="C209" s="72"/>
      <c r="D209" s="72" t="s">
        <v>205</v>
      </c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102"/>
      <c r="S209" s="40"/>
      <c r="T209" s="40"/>
      <c r="V209" s="30"/>
      <c r="W209" s="33"/>
    </row>
    <row r="210" spans="1:23" s="49" customFormat="1" ht="10.199999999999999" hidden="1">
      <c r="A210" s="162" t="s">
        <v>282</v>
      </c>
      <c r="B210" s="162" t="s">
        <v>282</v>
      </c>
      <c r="C210" s="162" t="s">
        <v>282</v>
      </c>
      <c r="D210" s="2" t="s">
        <v>206</v>
      </c>
      <c r="E210" s="2" t="s">
        <v>114</v>
      </c>
      <c r="F210" s="2" t="s">
        <v>142</v>
      </c>
      <c r="G210" s="31">
        <v>0</v>
      </c>
      <c r="H210" s="31">
        <v>2000</v>
      </c>
      <c r="I210" s="31">
        <v>0</v>
      </c>
      <c r="J210" s="31">
        <v>0</v>
      </c>
      <c r="K210" s="31">
        <v>0</v>
      </c>
      <c r="L210" s="31">
        <v>0</v>
      </c>
      <c r="M210" s="31">
        <v>0</v>
      </c>
      <c r="N210" s="31">
        <v>1</v>
      </c>
      <c r="O210" s="31">
        <v>0</v>
      </c>
      <c r="P210" s="31">
        <v>1</v>
      </c>
      <c r="Q210" s="31">
        <v>0</v>
      </c>
      <c r="R210" s="31">
        <f t="shared" si="25"/>
        <v>0</v>
      </c>
      <c r="S210" s="31">
        <v>0</v>
      </c>
      <c r="T210" s="134">
        <f t="shared" ref="T210:T219" si="26">SUM(R210:S210)</f>
        <v>0</v>
      </c>
      <c r="V210" s="30"/>
      <c r="W210" s="33"/>
    </row>
    <row r="211" spans="1:23" ht="10.199999999999999" hidden="1">
      <c r="A211" s="162" t="s">
        <v>282</v>
      </c>
      <c r="B211" s="162" t="s">
        <v>282</v>
      </c>
      <c r="C211" s="162" t="s">
        <v>282</v>
      </c>
      <c r="D211" s="2" t="s">
        <v>207</v>
      </c>
      <c r="E211" s="2" t="s">
        <v>114</v>
      </c>
      <c r="F211" s="2" t="s">
        <v>142</v>
      </c>
      <c r="G211" s="31">
        <v>0</v>
      </c>
      <c r="H211" s="31">
        <v>6000</v>
      </c>
      <c r="I211" s="31">
        <v>0</v>
      </c>
      <c r="J211" s="31">
        <v>0</v>
      </c>
      <c r="K211" s="31">
        <v>0</v>
      </c>
      <c r="L211" s="31">
        <v>0</v>
      </c>
      <c r="M211" s="31">
        <v>0</v>
      </c>
      <c r="N211" s="31">
        <v>1</v>
      </c>
      <c r="O211" s="31">
        <v>0</v>
      </c>
      <c r="P211" s="31">
        <v>1</v>
      </c>
      <c r="Q211" s="31">
        <v>0</v>
      </c>
      <c r="R211" s="31">
        <f t="shared" si="25"/>
        <v>0</v>
      </c>
      <c r="S211" s="31">
        <v>0</v>
      </c>
      <c r="T211" s="134">
        <f t="shared" si="26"/>
        <v>0</v>
      </c>
      <c r="V211" s="30"/>
      <c r="W211" s="33"/>
    </row>
    <row r="212" spans="1:23" ht="20.399999999999999">
      <c r="A212" s="162" t="s">
        <v>310</v>
      </c>
      <c r="B212" s="162">
        <v>81000</v>
      </c>
      <c r="C212" s="163" t="s">
        <v>271</v>
      </c>
      <c r="D212" s="35" t="s">
        <v>208</v>
      </c>
      <c r="E212" s="2" t="s">
        <v>92</v>
      </c>
      <c r="F212" s="2" t="s">
        <v>29</v>
      </c>
      <c r="G212" s="31">
        <v>0</v>
      </c>
      <c r="H212" s="31">
        <v>1250</v>
      </c>
      <c r="I212" s="31">
        <v>0</v>
      </c>
      <c r="J212" s="31">
        <v>1</v>
      </c>
      <c r="K212" s="31">
        <v>0</v>
      </c>
      <c r="L212" s="31">
        <v>1</v>
      </c>
      <c r="M212" s="31">
        <v>61.55</v>
      </c>
      <c r="N212" s="31">
        <v>1</v>
      </c>
      <c r="O212" s="31">
        <v>0</v>
      </c>
      <c r="P212" s="31">
        <v>1</v>
      </c>
      <c r="Q212" s="31">
        <v>0</v>
      </c>
      <c r="R212" s="31">
        <f t="shared" si="25"/>
        <v>61.55</v>
      </c>
      <c r="S212" s="31">
        <v>0</v>
      </c>
      <c r="T212" s="134">
        <f t="shared" si="26"/>
        <v>61.55</v>
      </c>
      <c r="V212" s="30"/>
      <c r="W212" s="33"/>
    </row>
    <row r="213" spans="1:23" ht="10.199999999999999" hidden="1">
      <c r="A213" s="162" t="s">
        <v>282</v>
      </c>
      <c r="B213" s="162" t="s">
        <v>282</v>
      </c>
      <c r="C213" s="162" t="s">
        <v>282</v>
      </c>
      <c r="D213" s="2" t="s">
        <v>209</v>
      </c>
      <c r="E213" s="2" t="s">
        <v>114</v>
      </c>
      <c r="F213" s="2" t="s">
        <v>150</v>
      </c>
      <c r="G213" s="31">
        <v>1</v>
      </c>
      <c r="H213" s="31">
        <v>600</v>
      </c>
      <c r="I213" s="31">
        <v>0</v>
      </c>
      <c r="J213" s="31">
        <v>1</v>
      </c>
      <c r="K213" s="31">
        <v>0</v>
      </c>
      <c r="L213" s="31">
        <v>1</v>
      </c>
      <c r="M213" s="31">
        <v>0</v>
      </c>
      <c r="N213" s="31">
        <v>1</v>
      </c>
      <c r="O213" s="31">
        <v>0</v>
      </c>
      <c r="P213" s="31">
        <v>1</v>
      </c>
      <c r="Q213" s="31">
        <v>0</v>
      </c>
      <c r="R213" s="31">
        <f t="shared" si="25"/>
        <v>0</v>
      </c>
      <c r="S213" s="31">
        <v>0</v>
      </c>
      <c r="T213" s="134">
        <f t="shared" si="26"/>
        <v>0</v>
      </c>
      <c r="U213" s="49"/>
      <c r="V213" s="30"/>
      <c r="W213" s="33"/>
    </row>
    <row r="214" spans="1:23" ht="10.199999999999999" hidden="1">
      <c r="A214" s="162" t="s">
        <v>282</v>
      </c>
      <c r="B214" s="162" t="s">
        <v>282</v>
      </c>
      <c r="C214" s="162" t="s">
        <v>282</v>
      </c>
      <c r="D214" s="2" t="s">
        <v>210</v>
      </c>
      <c r="E214" s="2" t="s">
        <v>114</v>
      </c>
      <c r="F214" s="2" t="s">
        <v>150</v>
      </c>
      <c r="G214" s="31">
        <v>0</v>
      </c>
      <c r="H214" s="31">
        <v>600</v>
      </c>
      <c r="I214" s="31">
        <v>0</v>
      </c>
      <c r="J214" s="31">
        <v>1</v>
      </c>
      <c r="K214" s="31">
        <v>0</v>
      </c>
      <c r="L214" s="31">
        <v>1</v>
      </c>
      <c r="M214" s="31">
        <v>0</v>
      </c>
      <c r="N214" s="31">
        <v>1</v>
      </c>
      <c r="O214" s="31">
        <v>0</v>
      </c>
      <c r="P214" s="31">
        <v>1</v>
      </c>
      <c r="Q214" s="31">
        <v>0</v>
      </c>
      <c r="R214" s="31">
        <f t="shared" si="25"/>
        <v>0</v>
      </c>
      <c r="S214" s="31">
        <v>0</v>
      </c>
      <c r="T214" s="134">
        <f t="shared" si="26"/>
        <v>0</v>
      </c>
      <c r="U214" s="49"/>
      <c r="V214" s="30"/>
      <c r="W214" s="33"/>
    </row>
    <row r="215" spans="1:23" ht="10.199999999999999" hidden="1">
      <c r="A215" s="162" t="s">
        <v>282</v>
      </c>
      <c r="B215" s="162" t="s">
        <v>282</v>
      </c>
      <c r="C215" s="162" t="s">
        <v>282</v>
      </c>
      <c r="D215" s="2" t="s">
        <v>211</v>
      </c>
      <c r="E215" s="1" t="s">
        <v>114</v>
      </c>
      <c r="F215" s="1" t="s">
        <v>212</v>
      </c>
      <c r="G215" s="31">
        <v>0</v>
      </c>
      <c r="H215" s="31">
        <v>250</v>
      </c>
      <c r="I215" s="31">
        <v>0</v>
      </c>
      <c r="J215" s="31">
        <v>4</v>
      </c>
      <c r="K215" s="31">
        <v>0</v>
      </c>
      <c r="L215" s="31">
        <v>4</v>
      </c>
      <c r="M215" s="31">
        <v>0</v>
      </c>
      <c r="N215" s="31">
        <v>4</v>
      </c>
      <c r="O215" s="31">
        <v>0</v>
      </c>
      <c r="P215" s="31">
        <v>4</v>
      </c>
      <c r="Q215" s="31">
        <v>0</v>
      </c>
      <c r="R215" s="31">
        <f t="shared" si="25"/>
        <v>0</v>
      </c>
      <c r="S215" s="31">
        <v>0</v>
      </c>
      <c r="T215" s="134">
        <f t="shared" si="26"/>
        <v>0</v>
      </c>
      <c r="V215" s="30"/>
      <c r="W215" s="33"/>
    </row>
    <row r="216" spans="1:23" ht="10.199999999999999" hidden="1">
      <c r="A216" s="162" t="s">
        <v>282</v>
      </c>
      <c r="B216" s="162" t="s">
        <v>282</v>
      </c>
      <c r="C216" s="162" t="s">
        <v>282</v>
      </c>
      <c r="D216" s="2" t="s">
        <v>213</v>
      </c>
      <c r="E216" s="1" t="s">
        <v>114</v>
      </c>
      <c r="F216" s="1" t="s">
        <v>212</v>
      </c>
      <c r="G216" s="31">
        <v>0</v>
      </c>
      <c r="H216" s="31">
        <v>250</v>
      </c>
      <c r="I216" s="31">
        <v>0</v>
      </c>
      <c r="J216" s="31">
        <v>4</v>
      </c>
      <c r="K216" s="31">
        <v>0</v>
      </c>
      <c r="L216" s="31">
        <v>4</v>
      </c>
      <c r="M216" s="31">
        <v>0</v>
      </c>
      <c r="N216" s="31">
        <v>4</v>
      </c>
      <c r="O216" s="31">
        <v>0</v>
      </c>
      <c r="P216" s="31">
        <v>4</v>
      </c>
      <c r="Q216" s="31">
        <v>0</v>
      </c>
      <c r="R216" s="31">
        <f t="shared" si="25"/>
        <v>0</v>
      </c>
      <c r="S216" s="31">
        <v>0</v>
      </c>
      <c r="T216" s="134">
        <f t="shared" si="26"/>
        <v>0</v>
      </c>
      <c r="V216" s="30"/>
      <c r="W216" s="33"/>
    </row>
    <row r="217" spans="1:23" ht="10.199999999999999" hidden="1">
      <c r="A217" s="162" t="s">
        <v>282</v>
      </c>
      <c r="B217" s="162" t="s">
        <v>282</v>
      </c>
      <c r="C217" s="162" t="s">
        <v>282</v>
      </c>
      <c r="D217" s="2" t="s">
        <v>214</v>
      </c>
      <c r="E217" s="1" t="s">
        <v>92</v>
      </c>
      <c r="F217" s="1" t="s">
        <v>29</v>
      </c>
      <c r="G217" s="31">
        <v>0</v>
      </c>
      <c r="H217" s="31">
        <v>900</v>
      </c>
      <c r="I217" s="31">
        <v>0</v>
      </c>
      <c r="J217" s="31">
        <v>1</v>
      </c>
      <c r="K217" s="31">
        <v>0</v>
      </c>
      <c r="L217" s="31">
        <v>1</v>
      </c>
      <c r="M217" s="31">
        <v>0</v>
      </c>
      <c r="N217" s="31">
        <v>1</v>
      </c>
      <c r="O217" s="31">
        <v>0</v>
      </c>
      <c r="P217" s="31">
        <v>1</v>
      </c>
      <c r="Q217" s="31">
        <v>0</v>
      </c>
      <c r="R217" s="31">
        <f t="shared" si="25"/>
        <v>0</v>
      </c>
      <c r="S217" s="31">
        <v>0</v>
      </c>
      <c r="T217" s="134">
        <f t="shared" si="26"/>
        <v>0</v>
      </c>
      <c r="V217" s="30"/>
      <c r="W217" s="33"/>
    </row>
    <row r="218" spans="1:23" ht="20.399999999999999">
      <c r="A218" s="162" t="s">
        <v>311</v>
      </c>
      <c r="B218" s="162" t="s">
        <v>302</v>
      </c>
      <c r="C218" s="163" t="s">
        <v>271</v>
      </c>
      <c r="D218" s="2" t="s">
        <v>215</v>
      </c>
      <c r="E218" s="1" t="s">
        <v>114</v>
      </c>
      <c r="F218" s="1" t="s">
        <v>212</v>
      </c>
      <c r="G218" s="31">
        <v>0</v>
      </c>
      <c r="H218" s="31">
        <v>255</v>
      </c>
      <c r="I218" s="31">
        <v>0</v>
      </c>
      <c r="J218" s="31">
        <v>8</v>
      </c>
      <c r="K218" s="31">
        <v>0</v>
      </c>
      <c r="L218" s="31">
        <v>8</v>
      </c>
      <c r="M218" s="31">
        <v>2243.33</v>
      </c>
      <c r="N218" s="31">
        <v>8</v>
      </c>
      <c r="O218" s="31">
        <v>0</v>
      </c>
      <c r="P218" s="31">
        <v>8</v>
      </c>
      <c r="Q218" s="31">
        <v>0</v>
      </c>
      <c r="R218" s="31">
        <f t="shared" si="25"/>
        <v>2243.33</v>
      </c>
      <c r="S218" s="31">
        <v>0</v>
      </c>
      <c r="T218" s="134">
        <f t="shared" si="26"/>
        <v>2243.33</v>
      </c>
      <c r="V218" s="30"/>
      <c r="W218" s="33"/>
    </row>
    <row r="219" spans="1:23" ht="10.199999999999999" hidden="1">
      <c r="A219" s="162" t="s">
        <v>282</v>
      </c>
      <c r="B219" s="162" t="s">
        <v>282</v>
      </c>
      <c r="C219" s="162" t="s">
        <v>282</v>
      </c>
      <c r="D219" s="2" t="s">
        <v>216</v>
      </c>
      <c r="E219" s="1" t="s">
        <v>114</v>
      </c>
      <c r="F219" s="1" t="s">
        <v>51</v>
      </c>
      <c r="G219" s="31">
        <v>0</v>
      </c>
      <c r="H219" s="31">
        <v>25</v>
      </c>
      <c r="I219" s="31">
        <v>0</v>
      </c>
      <c r="J219" s="31">
        <v>16</v>
      </c>
      <c r="K219" s="31">
        <v>0</v>
      </c>
      <c r="L219" s="31">
        <v>16</v>
      </c>
      <c r="M219" s="31">
        <v>0</v>
      </c>
      <c r="N219" s="31">
        <v>16</v>
      </c>
      <c r="O219" s="31">
        <v>0</v>
      </c>
      <c r="P219" s="31">
        <v>16</v>
      </c>
      <c r="Q219" s="31">
        <v>0</v>
      </c>
      <c r="R219" s="31">
        <f t="shared" si="25"/>
        <v>0</v>
      </c>
      <c r="S219" s="31">
        <v>0</v>
      </c>
      <c r="T219" s="134">
        <f t="shared" si="26"/>
        <v>0</v>
      </c>
      <c r="V219" s="30"/>
      <c r="W219" s="33"/>
    </row>
    <row r="220" spans="1:23" ht="10.199999999999999" hidden="1">
      <c r="A220" s="72"/>
      <c r="B220" s="72"/>
      <c r="C220" s="72"/>
      <c r="D220" s="72" t="s">
        <v>217</v>
      </c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102"/>
      <c r="S220" s="95"/>
      <c r="T220" s="95"/>
      <c r="V220" s="30"/>
      <c r="W220" s="33"/>
    </row>
    <row r="221" spans="1:23" ht="10.199999999999999" hidden="1">
      <c r="A221" s="162" t="s">
        <v>282</v>
      </c>
      <c r="B221" s="162" t="s">
        <v>282</v>
      </c>
      <c r="C221" s="162" t="s">
        <v>282</v>
      </c>
      <c r="D221" s="2" t="s">
        <v>218</v>
      </c>
      <c r="E221" s="2" t="s">
        <v>114</v>
      </c>
      <c r="F221" s="2" t="s">
        <v>150</v>
      </c>
      <c r="G221" s="31">
        <v>1</v>
      </c>
      <c r="H221" s="31">
        <v>600</v>
      </c>
      <c r="I221" s="31">
        <v>0</v>
      </c>
      <c r="J221" s="31">
        <v>1</v>
      </c>
      <c r="K221" s="31">
        <v>0</v>
      </c>
      <c r="L221" s="31">
        <v>1</v>
      </c>
      <c r="M221" s="31">
        <v>0</v>
      </c>
      <c r="N221" s="31">
        <v>1</v>
      </c>
      <c r="O221" s="31">
        <v>0</v>
      </c>
      <c r="P221" s="31">
        <v>1</v>
      </c>
      <c r="Q221" s="31">
        <v>0</v>
      </c>
      <c r="R221" s="31">
        <f t="shared" si="25"/>
        <v>0</v>
      </c>
      <c r="S221" s="31">
        <v>0</v>
      </c>
      <c r="T221" s="134">
        <f>SUM(R221:S221)</f>
        <v>0</v>
      </c>
      <c r="V221" s="30"/>
      <c r="W221" s="33"/>
    </row>
    <row r="222" spans="1:23" ht="10.199999999999999" hidden="1">
      <c r="A222" s="162" t="s">
        <v>282</v>
      </c>
      <c r="B222" s="162" t="s">
        <v>282</v>
      </c>
      <c r="C222" s="162" t="s">
        <v>282</v>
      </c>
      <c r="D222" s="2" t="s">
        <v>219</v>
      </c>
      <c r="E222" s="2" t="s">
        <v>114</v>
      </c>
      <c r="F222" s="2" t="s">
        <v>150</v>
      </c>
      <c r="G222" s="31">
        <v>1</v>
      </c>
      <c r="H222" s="31">
        <v>250</v>
      </c>
      <c r="I222" s="31">
        <v>0</v>
      </c>
      <c r="J222" s="31">
        <v>1</v>
      </c>
      <c r="K222" s="31">
        <v>0</v>
      </c>
      <c r="L222" s="31">
        <v>1</v>
      </c>
      <c r="M222" s="31">
        <v>0</v>
      </c>
      <c r="N222" s="31">
        <v>1</v>
      </c>
      <c r="O222" s="31">
        <v>0</v>
      </c>
      <c r="P222" s="31">
        <v>1</v>
      </c>
      <c r="Q222" s="31">
        <v>0</v>
      </c>
      <c r="R222" s="31">
        <f t="shared" si="25"/>
        <v>0</v>
      </c>
      <c r="S222" s="31">
        <v>0</v>
      </c>
      <c r="T222" s="134">
        <f>SUM(R222:S222)</f>
        <v>0</v>
      </c>
      <c r="U222" s="49"/>
      <c r="V222" s="30"/>
      <c r="W222" s="33"/>
    </row>
    <row r="223" spans="1:23" ht="10.199999999999999" hidden="1">
      <c r="A223" s="162" t="s">
        <v>282</v>
      </c>
      <c r="B223" s="162" t="s">
        <v>282</v>
      </c>
      <c r="C223" s="162" t="s">
        <v>282</v>
      </c>
      <c r="D223" s="2" t="s">
        <v>220</v>
      </c>
      <c r="E223" s="2" t="s">
        <v>114</v>
      </c>
      <c r="F223" s="2" t="s">
        <v>221</v>
      </c>
      <c r="G223" s="31">
        <v>1</v>
      </c>
      <c r="H223" s="31">
        <v>250</v>
      </c>
      <c r="I223" s="31">
        <v>0</v>
      </c>
      <c r="J223" s="31">
        <v>2</v>
      </c>
      <c r="K223" s="31">
        <v>0</v>
      </c>
      <c r="L223" s="31">
        <v>2</v>
      </c>
      <c r="M223" s="31">
        <v>0</v>
      </c>
      <c r="N223" s="31">
        <v>2</v>
      </c>
      <c r="O223" s="31">
        <v>0</v>
      </c>
      <c r="P223" s="31">
        <v>2</v>
      </c>
      <c r="Q223" s="31">
        <v>0</v>
      </c>
      <c r="R223" s="31">
        <f t="shared" si="25"/>
        <v>0</v>
      </c>
      <c r="S223" s="31">
        <v>0</v>
      </c>
      <c r="T223" s="134">
        <f>SUM(R223:S223)</f>
        <v>0</v>
      </c>
      <c r="V223" s="30"/>
      <c r="W223" s="33"/>
    </row>
    <row r="224" spans="1:23" ht="10.199999999999999" hidden="1">
      <c r="A224" s="162" t="s">
        <v>282</v>
      </c>
      <c r="B224" s="162" t="s">
        <v>282</v>
      </c>
      <c r="C224" s="162" t="s">
        <v>282</v>
      </c>
      <c r="D224" s="2" t="s">
        <v>222</v>
      </c>
      <c r="E224" s="2" t="s">
        <v>114</v>
      </c>
      <c r="F224" s="2" t="s">
        <v>223</v>
      </c>
      <c r="G224" s="31">
        <v>0</v>
      </c>
      <c r="H224" s="31">
        <v>75</v>
      </c>
      <c r="I224" s="31">
        <v>0</v>
      </c>
      <c r="J224" s="31">
        <v>3</v>
      </c>
      <c r="K224" s="31">
        <v>0</v>
      </c>
      <c r="L224" s="31">
        <v>3</v>
      </c>
      <c r="M224" s="31">
        <v>0</v>
      </c>
      <c r="N224" s="31">
        <v>3</v>
      </c>
      <c r="O224" s="31">
        <v>0</v>
      </c>
      <c r="P224" s="31">
        <v>3</v>
      </c>
      <c r="Q224" s="31">
        <v>0</v>
      </c>
      <c r="R224" s="31">
        <f t="shared" si="25"/>
        <v>0</v>
      </c>
      <c r="S224" s="31">
        <v>0</v>
      </c>
      <c r="T224" s="134">
        <f>SUM(R224:S224)</f>
        <v>0</v>
      </c>
      <c r="V224" s="30"/>
      <c r="W224" s="33"/>
    </row>
    <row r="225" spans="1:23" ht="10.199999999999999" hidden="1">
      <c r="A225" s="72"/>
      <c r="B225" s="72"/>
      <c r="C225" s="72"/>
      <c r="D225" s="72" t="s">
        <v>224</v>
      </c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38"/>
      <c r="S225" s="72"/>
      <c r="T225" s="72"/>
      <c r="V225" s="30"/>
      <c r="W225" s="33"/>
    </row>
    <row r="226" spans="1:23" ht="10.199999999999999" hidden="1">
      <c r="A226" s="162" t="s">
        <v>282</v>
      </c>
      <c r="B226" s="162" t="s">
        <v>282</v>
      </c>
      <c r="C226" s="162" t="s">
        <v>282</v>
      </c>
      <c r="D226" s="2" t="s">
        <v>225</v>
      </c>
      <c r="E226" s="1" t="s">
        <v>114</v>
      </c>
      <c r="F226" s="1" t="s">
        <v>145</v>
      </c>
      <c r="G226" s="31">
        <v>0</v>
      </c>
      <c r="H226" s="31">
        <v>75</v>
      </c>
      <c r="I226" s="31">
        <v>0</v>
      </c>
      <c r="J226" s="31">
        <v>0</v>
      </c>
      <c r="K226" s="31">
        <v>0</v>
      </c>
      <c r="L226" s="31">
        <v>0</v>
      </c>
      <c r="M226" s="31">
        <v>0</v>
      </c>
      <c r="N226" s="31">
        <v>6</v>
      </c>
      <c r="O226" s="31">
        <v>0</v>
      </c>
      <c r="P226" s="31">
        <v>6</v>
      </c>
      <c r="Q226" s="31">
        <v>0</v>
      </c>
      <c r="R226" s="31">
        <f t="shared" si="25"/>
        <v>0</v>
      </c>
      <c r="S226" s="31">
        <v>0</v>
      </c>
      <c r="T226" s="134">
        <f>SUM(R226:S226)</f>
        <v>0</v>
      </c>
      <c r="V226" s="30"/>
      <c r="W226" s="33"/>
    </row>
    <row r="227" spans="1:23" ht="10.199999999999999" hidden="1">
      <c r="A227" s="162" t="s">
        <v>282</v>
      </c>
      <c r="B227" s="162" t="s">
        <v>282</v>
      </c>
      <c r="C227" s="162" t="s">
        <v>282</v>
      </c>
      <c r="D227" s="2" t="s">
        <v>226</v>
      </c>
      <c r="E227" s="1" t="s">
        <v>114</v>
      </c>
      <c r="F227" s="1" t="s">
        <v>145</v>
      </c>
      <c r="G227" s="31">
        <v>0</v>
      </c>
      <c r="H227" s="31">
        <v>75</v>
      </c>
      <c r="I227" s="31">
        <v>0</v>
      </c>
      <c r="J227" s="31">
        <v>0</v>
      </c>
      <c r="K227" s="31">
        <v>0</v>
      </c>
      <c r="L227" s="31">
        <v>0</v>
      </c>
      <c r="M227" s="31">
        <v>0</v>
      </c>
      <c r="N227" s="31">
        <v>3</v>
      </c>
      <c r="O227" s="31">
        <v>0</v>
      </c>
      <c r="P227" s="31">
        <v>3</v>
      </c>
      <c r="Q227" s="31">
        <v>0</v>
      </c>
      <c r="R227" s="31">
        <f t="shared" si="25"/>
        <v>0</v>
      </c>
      <c r="S227" s="31">
        <v>0</v>
      </c>
      <c r="T227" s="134">
        <f>SUM(R227:S227)</f>
        <v>0</v>
      </c>
      <c r="V227" s="30"/>
      <c r="W227" s="33"/>
    </row>
    <row r="228" spans="1:23" ht="10.199999999999999" hidden="1">
      <c r="A228" s="162" t="s">
        <v>282</v>
      </c>
      <c r="B228" s="162" t="s">
        <v>282</v>
      </c>
      <c r="C228" s="162" t="s">
        <v>282</v>
      </c>
      <c r="D228" s="2" t="s">
        <v>227</v>
      </c>
      <c r="E228" s="1" t="s">
        <v>114</v>
      </c>
      <c r="F228" s="1" t="s">
        <v>168</v>
      </c>
      <c r="G228" s="31">
        <v>0</v>
      </c>
      <c r="H228" s="31">
        <v>388.5</v>
      </c>
      <c r="I228" s="31">
        <v>0</v>
      </c>
      <c r="J228" s="31">
        <v>0</v>
      </c>
      <c r="K228" s="31">
        <v>0</v>
      </c>
      <c r="L228" s="31">
        <v>0</v>
      </c>
      <c r="M228" s="31">
        <v>0</v>
      </c>
      <c r="N228" s="31">
        <v>1</v>
      </c>
      <c r="O228" s="31">
        <v>0</v>
      </c>
      <c r="P228" s="31">
        <v>1</v>
      </c>
      <c r="Q228" s="31">
        <v>0</v>
      </c>
      <c r="R228" s="31">
        <f t="shared" si="25"/>
        <v>0</v>
      </c>
      <c r="S228" s="31">
        <v>0</v>
      </c>
      <c r="T228" s="134">
        <f>SUM(R228:S228)</f>
        <v>0</v>
      </c>
      <c r="V228" s="30"/>
      <c r="W228" s="33"/>
    </row>
    <row r="229" spans="1:23" ht="10.199999999999999">
      <c r="A229" s="35"/>
      <c r="B229" s="35"/>
      <c r="C229" s="35"/>
      <c r="D229" s="35"/>
      <c r="E229" s="1"/>
      <c r="F229" s="1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V229" s="30"/>
      <c r="W229" s="33"/>
    </row>
    <row r="230" spans="1:23" ht="10.8" thickBot="1">
      <c r="A230" s="56"/>
      <c r="B230" s="56"/>
      <c r="C230" s="56"/>
      <c r="D230" s="56" t="s">
        <v>228</v>
      </c>
      <c r="E230" s="56"/>
      <c r="F230" s="56"/>
      <c r="G230" s="97"/>
      <c r="H230" s="97"/>
      <c r="I230" s="61">
        <f>SUM(I205:I228)</f>
        <v>0</v>
      </c>
      <c r="J230" s="61"/>
      <c r="K230" s="61">
        <f>SUM(K205:K228)</f>
        <v>0</v>
      </c>
      <c r="L230" s="61"/>
      <c r="M230" s="61">
        <f>SUM(M205:M228)</f>
        <v>2304.88</v>
      </c>
      <c r="N230" s="61"/>
      <c r="O230" s="61">
        <f>SUM(O205:O228)</f>
        <v>0</v>
      </c>
      <c r="P230" s="61"/>
      <c r="Q230" s="61">
        <f>SUM(Q205:Q228)</f>
        <v>0</v>
      </c>
      <c r="R230" s="61">
        <f>SUM(I230+K230+M230+O230+Q230)</f>
        <v>2304.88</v>
      </c>
      <c r="S230" s="61">
        <f>SUM(S204:S228)</f>
        <v>0</v>
      </c>
      <c r="T230" s="59">
        <f>SUM(R230+S230)</f>
        <v>2304.88</v>
      </c>
      <c r="U230" s="49"/>
      <c r="V230" s="30"/>
      <c r="W230" s="33"/>
    </row>
    <row r="231" spans="1:23" ht="10.5">
      <c r="A231" s="112"/>
      <c r="B231" s="112"/>
      <c r="C231" s="112"/>
      <c r="D231" s="112" t="s">
        <v>229</v>
      </c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3"/>
      <c r="S231" s="112"/>
      <c r="T231" s="113"/>
      <c r="V231" s="30"/>
      <c r="W231" s="33"/>
    </row>
    <row r="232" spans="1:23" ht="10.5">
      <c r="A232" s="114"/>
      <c r="B232" s="114"/>
      <c r="C232" s="114"/>
      <c r="D232" s="114" t="s">
        <v>135</v>
      </c>
      <c r="E232" s="114"/>
      <c r="F232" s="114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15"/>
      <c r="T232" s="100"/>
      <c r="V232" s="30"/>
      <c r="W232" s="33"/>
    </row>
    <row r="233" spans="1:23" ht="10.5">
      <c r="A233" s="73"/>
      <c r="B233" s="73"/>
      <c r="C233" s="73"/>
      <c r="D233" s="73" t="s">
        <v>230</v>
      </c>
      <c r="E233" s="73"/>
      <c r="F233" s="82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38"/>
      <c r="T233" s="41"/>
      <c r="V233" s="30"/>
      <c r="W233" s="33"/>
    </row>
    <row r="234" spans="1:23" ht="10.199999999999999">
      <c r="A234" s="162" t="s">
        <v>300</v>
      </c>
      <c r="B234" s="162">
        <v>81000</v>
      </c>
      <c r="C234" s="163" t="s">
        <v>271</v>
      </c>
      <c r="D234" s="1" t="s">
        <v>231</v>
      </c>
      <c r="E234" s="1" t="s">
        <v>114</v>
      </c>
      <c r="F234" s="52" t="s">
        <v>53</v>
      </c>
      <c r="G234" s="31">
        <v>30</v>
      </c>
      <c r="H234" s="31">
        <v>244</v>
      </c>
      <c r="I234" s="31">
        <v>0</v>
      </c>
      <c r="J234" s="31">
        <v>0</v>
      </c>
      <c r="K234" s="31">
        <v>3031.88</v>
      </c>
      <c r="L234" s="31">
        <v>0</v>
      </c>
      <c r="M234" s="31">
        <v>1211.17</v>
      </c>
      <c r="N234" s="31">
        <v>0</v>
      </c>
      <c r="O234" s="31">
        <v>17840</v>
      </c>
      <c r="P234" s="31">
        <v>0</v>
      </c>
      <c r="Q234" s="31">
        <v>13040</v>
      </c>
      <c r="R234" s="31">
        <f t="shared" ref="R234" si="27">SUM(I234+K234+M234+O234+Q234)</f>
        <v>35123.050000000003</v>
      </c>
      <c r="S234" s="31">
        <v>0</v>
      </c>
      <c r="T234" s="134">
        <f>SUM(R234:S234)</f>
        <v>35123.050000000003</v>
      </c>
      <c r="V234" s="30"/>
      <c r="W234" s="33"/>
    </row>
    <row r="235" spans="1:23" ht="10.199999999999999">
      <c r="A235" s="165"/>
      <c r="B235" s="165"/>
      <c r="C235" s="165"/>
      <c r="D235" s="72" t="s">
        <v>232</v>
      </c>
      <c r="E235" s="72"/>
      <c r="F235" s="76"/>
      <c r="G235" s="78"/>
      <c r="H235" s="117"/>
      <c r="I235" s="38"/>
      <c r="J235" s="84"/>
      <c r="K235" s="38"/>
      <c r="L235" s="84"/>
      <c r="M235" s="38"/>
      <c r="N235" s="38"/>
      <c r="O235" s="38"/>
      <c r="P235" s="38"/>
      <c r="Q235" s="38"/>
      <c r="R235" s="38"/>
      <c r="S235" s="38"/>
      <c r="T235" s="29"/>
      <c r="V235" s="30"/>
      <c r="W235" s="33"/>
    </row>
    <row r="236" spans="1:23" ht="20.399999999999999">
      <c r="A236" s="162" t="s">
        <v>301</v>
      </c>
      <c r="B236" s="162" t="s">
        <v>302</v>
      </c>
      <c r="C236" s="163" t="s">
        <v>271</v>
      </c>
      <c r="D236" s="2" t="s">
        <v>233</v>
      </c>
      <c r="E236" s="2" t="s">
        <v>114</v>
      </c>
      <c r="F236" s="52" t="s">
        <v>234</v>
      </c>
      <c r="G236" s="31">
        <v>1</v>
      </c>
      <c r="H236" s="31">
        <v>300</v>
      </c>
      <c r="I236" s="31">
        <v>0</v>
      </c>
      <c r="J236" s="31">
        <v>0</v>
      </c>
      <c r="K236" s="31">
        <v>0</v>
      </c>
      <c r="L236" s="31">
        <v>0</v>
      </c>
      <c r="M236" s="31">
        <v>848.54</v>
      </c>
      <c r="N236" s="31">
        <v>0</v>
      </c>
      <c r="O236" s="31">
        <v>14857.412499999999</v>
      </c>
      <c r="P236" s="31">
        <v>0</v>
      </c>
      <c r="Q236" s="31">
        <v>24953.047789855365</v>
      </c>
      <c r="R236" s="31">
        <f t="shared" ref="R236:R237" si="28">SUM(I236+K236+M236+O236+Q236)</f>
        <v>40659.000289855365</v>
      </c>
      <c r="S236" s="31" t="s">
        <v>24</v>
      </c>
      <c r="T236" s="134">
        <f>SUM(R236:S236)</f>
        <v>40659.000289855365</v>
      </c>
      <c r="V236" s="30"/>
      <c r="W236" s="33"/>
    </row>
    <row r="237" spans="1:23" ht="10.199999999999999">
      <c r="A237" s="162" t="s">
        <v>303</v>
      </c>
      <c r="B237" s="162">
        <v>87000</v>
      </c>
      <c r="C237" s="163" t="s">
        <v>271</v>
      </c>
      <c r="D237" s="2" t="s">
        <v>235</v>
      </c>
      <c r="E237" s="2" t="s">
        <v>114</v>
      </c>
      <c r="F237" s="52" t="s">
        <v>168</v>
      </c>
      <c r="G237" s="31">
        <v>1</v>
      </c>
      <c r="H237" s="31">
        <v>300</v>
      </c>
      <c r="I237" s="31">
        <v>0</v>
      </c>
      <c r="J237" s="31">
        <v>0</v>
      </c>
      <c r="K237" s="31">
        <v>0</v>
      </c>
      <c r="L237" s="31">
        <v>0</v>
      </c>
      <c r="M237" s="31">
        <v>0</v>
      </c>
      <c r="N237" s="31">
        <v>0</v>
      </c>
      <c r="O237" s="31">
        <v>17805</v>
      </c>
      <c r="P237" s="31">
        <v>0</v>
      </c>
      <c r="Q237" s="31">
        <v>2350.87</v>
      </c>
      <c r="R237" s="31">
        <f t="shared" si="28"/>
        <v>20155.87</v>
      </c>
      <c r="S237" s="31" t="s">
        <v>24</v>
      </c>
      <c r="T237" s="134">
        <f>SUM(R237:S237)</f>
        <v>20155.87</v>
      </c>
      <c r="V237" s="30"/>
      <c r="W237" s="33"/>
    </row>
    <row r="238" spans="1:23" ht="10.199999999999999">
      <c r="A238" s="165"/>
      <c r="B238" s="165"/>
      <c r="C238" s="165"/>
      <c r="D238" s="72" t="s">
        <v>236</v>
      </c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38"/>
      <c r="S238" s="72"/>
      <c r="T238" s="72"/>
      <c r="V238" s="30"/>
      <c r="W238" s="33"/>
    </row>
    <row r="239" spans="1:23" ht="10.199999999999999">
      <c r="A239" s="162" t="s">
        <v>304</v>
      </c>
      <c r="B239" s="162">
        <v>87000</v>
      </c>
      <c r="C239" s="163" t="s">
        <v>271</v>
      </c>
      <c r="D239" s="2" t="s">
        <v>237</v>
      </c>
      <c r="E239" s="2" t="s">
        <v>114</v>
      </c>
      <c r="F239" s="52" t="s">
        <v>168</v>
      </c>
      <c r="G239" s="31">
        <v>1</v>
      </c>
      <c r="H239" s="31">
        <v>300</v>
      </c>
      <c r="I239" s="31">
        <v>0</v>
      </c>
      <c r="J239" s="31">
        <v>0</v>
      </c>
      <c r="K239" s="31">
        <v>0</v>
      </c>
      <c r="L239" s="31">
        <v>0</v>
      </c>
      <c r="M239" s="31">
        <v>718.6</v>
      </c>
      <c r="N239" s="31">
        <v>0</v>
      </c>
      <c r="O239" s="31">
        <v>0</v>
      </c>
      <c r="P239" s="31">
        <v>0</v>
      </c>
      <c r="Q239" s="31">
        <v>0</v>
      </c>
      <c r="R239" s="31">
        <f t="shared" ref="R239:R240" si="29">SUM(I239+K239+M239+O239+Q239)</f>
        <v>718.6</v>
      </c>
      <c r="S239" s="31">
        <v>0</v>
      </c>
      <c r="T239" s="134">
        <f>SUM(R239:S239)</f>
        <v>718.6</v>
      </c>
      <c r="V239" s="30"/>
      <c r="W239" s="33"/>
    </row>
    <row r="240" spans="1:23" ht="9.6" hidden="1" customHeight="1">
      <c r="A240" s="162" t="s">
        <v>282</v>
      </c>
      <c r="B240" s="162" t="s">
        <v>282</v>
      </c>
      <c r="C240" s="162" t="s">
        <v>282</v>
      </c>
      <c r="D240" s="2" t="s">
        <v>141</v>
      </c>
      <c r="E240" s="2" t="s">
        <v>114</v>
      </c>
      <c r="F240" s="52" t="s">
        <v>234</v>
      </c>
      <c r="G240" s="31">
        <v>1</v>
      </c>
      <c r="H240" s="31">
        <v>2000</v>
      </c>
      <c r="I240" s="31">
        <v>0</v>
      </c>
      <c r="J240" s="31">
        <v>0</v>
      </c>
      <c r="K240" s="31">
        <v>0</v>
      </c>
      <c r="L240" s="31">
        <v>0</v>
      </c>
      <c r="M240" s="31">
        <v>0</v>
      </c>
      <c r="N240" s="31">
        <v>0</v>
      </c>
      <c r="O240" s="31">
        <v>0</v>
      </c>
      <c r="P240" s="31">
        <v>0</v>
      </c>
      <c r="Q240" s="31">
        <v>0</v>
      </c>
      <c r="R240" s="31">
        <f t="shared" si="29"/>
        <v>0</v>
      </c>
      <c r="S240" s="31" t="s">
        <v>24</v>
      </c>
      <c r="T240" s="31">
        <f>SUM(R240:S240)</f>
        <v>0</v>
      </c>
      <c r="V240" s="30"/>
      <c r="W240" s="33"/>
    </row>
    <row r="241" spans="1:23" ht="10.199999999999999">
      <c r="A241" s="72"/>
      <c r="B241" s="72"/>
      <c r="C241" s="72"/>
      <c r="D241" s="72" t="s">
        <v>238</v>
      </c>
      <c r="E241" s="72"/>
      <c r="F241" s="76"/>
      <c r="G241" s="78"/>
      <c r="H241" s="117"/>
      <c r="I241" s="117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V241" s="30"/>
      <c r="W241" s="33"/>
    </row>
    <row r="242" spans="1:23" ht="10.199999999999999">
      <c r="A242" s="162" t="s">
        <v>305</v>
      </c>
      <c r="B242" s="162">
        <v>87000</v>
      </c>
      <c r="C242" s="163" t="s">
        <v>271</v>
      </c>
      <c r="D242" s="1" t="s">
        <v>239</v>
      </c>
      <c r="E242" s="1" t="s">
        <v>114</v>
      </c>
      <c r="F242" s="52" t="s">
        <v>168</v>
      </c>
      <c r="G242" s="31">
        <v>2</v>
      </c>
      <c r="H242" s="31">
        <v>250</v>
      </c>
      <c r="I242" s="31">
        <v>0</v>
      </c>
      <c r="J242" s="31">
        <v>3</v>
      </c>
      <c r="K242" s="31">
        <v>0</v>
      </c>
      <c r="L242" s="31">
        <v>3</v>
      </c>
      <c r="M242" s="31">
        <v>0</v>
      </c>
      <c r="N242" s="31">
        <v>3</v>
      </c>
      <c r="O242" s="31">
        <v>13070.900000000001</v>
      </c>
      <c r="P242" s="31">
        <v>3</v>
      </c>
      <c r="Q242" s="31">
        <v>27668.666666666668</v>
      </c>
      <c r="R242" s="31">
        <f t="shared" ref="R242" si="30">SUM(I242+K242+M242+O242+Q242)</f>
        <v>40739.566666666666</v>
      </c>
      <c r="S242" s="31" t="s">
        <v>24</v>
      </c>
      <c r="T242" s="134">
        <f>SUM(R242:S242)</f>
        <v>40739.566666666666</v>
      </c>
      <c r="V242" s="30"/>
      <c r="W242" s="33"/>
    </row>
    <row r="243" spans="1:23" ht="10.199999999999999">
      <c r="A243" s="165"/>
      <c r="B243" s="165"/>
      <c r="C243" s="165"/>
      <c r="D243" s="73" t="s">
        <v>240</v>
      </c>
      <c r="E243" s="73"/>
      <c r="F243" s="76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V243" s="30"/>
      <c r="W243" s="33"/>
    </row>
    <row r="244" spans="1:23" ht="10.199999999999999">
      <c r="A244" s="162" t="s">
        <v>306</v>
      </c>
      <c r="B244" s="162">
        <v>81010</v>
      </c>
      <c r="C244" s="163" t="s">
        <v>271</v>
      </c>
      <c r="D244" s="1" t="s">
        <v>241</v>
      </c>
      <c r="E244" s="1" t="s">
        <v>114</v>
      </c>
      <c r="F244" s="52" t="s">
        <v>242</v>
      </c>
      <c r="G244" s="31">
        <v>0</v>
      </c>
      <c r="H244" s="31">
        <v>30000</v>
      </c>
      <c r="I244" s="31">
        <v>0</v>
      </c>
      <c r="J244" s="31">
        <v>1</v>
      </c>
      <c r="K244" s="31">
        <v>0</v>
      </c>
      <c r="L244" s="31">
        <v>0</v>
      </c>
      <c r="M244" s="31">
        <v>11951.859999999997</v>
      </c>
      <c r="N244" s="31">
        <v>0</v>
      </c>
      <c r="O244" s="31">
        <v>0</v>
      </c>
      <c r="P244" s="31">
        <v>0</v>
      </c>
      <c r="Q244" s="31">
        <v>0</v>
      </c>
      <c r="R244" s="31">
        <f t="shared" ref="R244:R245" si="31">SUM(I244+K244+M244+O244+Q244)</f>
        <v>11951.859999999997</v>
      </c>
      <c r="S244" s="31" t="s">
        <v>24</v>
      </c>
      <c r="T244" s="134">
        <f>SUM(R244:S244)</f>
        <v>11951.859999999997</v>
      </c>
      <c r="V244" s="30"/>
      <c r="W244" s="33"/>
    </row>
    <row r="245" spans="1:23" ht="10.199999999999999">
      <c r="A245" s="162" t="s">
        <v>307</v>
      </c>
      <c r="B245" s="162">
        <v>81010</v>
      </c>
      <c r="C245" s="163" t="s">
        <v>271</v>
      </c>
      <c r="D245" s="1" t="s">
        <v>243</v>
      </c>
      <c r="E245" s="1" t="s">
        <v>114</v>
      </c>
      <c r="F245" s="52" t="s">
        <v>242</v>
      </c>
      <c r="G245" s="31">
        <v>0</v>
      </c>
      <c r="H245" s="31">
        <v>30000</v>
      </c>
      <c r="I245" s="31">
        <v>0</v>
      </c>
      <c r="J245" s="31">
        <v>0</v>
      </c>
      <c r="K245" s="31">
        <v>0</v>
      </c>
      <c r="L245" s="31">
        <v>0</v>
      </c>
      <c r="M245" s="31">
        <v>74.099999999999994</v>
      </c>
      <c r="N245" s="31">
        <v>1</v>
      </c>
      <c r="O245" s="31">
        <v>0</v>
      </c>
      <c r="P245" s="31">
        <v>1</v>
      </c>
      <c r="Q245" s="31">
        <v>5000</v>
      </c>
      <c r="R245" s="31">
        <f t="shared" si="31"/>
        <v>5074.1000000000004</v>
      </c>
      <c r="S245" s="31" t="s">
        <v>24</v>
      </c>
      <c r="T245" s="134">
        <f>SUM(R245:S245)</f>
        <v>5074.1000000000004</v>
      </c>
      <c r="V245" s="30"/>
      <c r="W245" s="33"/>
    </row>
    <row r="246" spans="1:23" ht="10.199999999999999">
      <c r="A246" s="165"/>
      <c r="B246" s="165"/>
      <c r="C246" s="165"/>
      <c r="D246" s="72" t="s">
        <v>244</v>
      </c>
      <c r="E246" s="72"/>
      <c r="F246" s="76"/>
      <c r="G246" s="78"/>
      <c r="H246" s="117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V246" s="30"/>
      <c r="W246" s="33"/>
    </row>
    <row r="247" spans="1:23" s="49" customFormat="1" ht="10.199999999999999">
      <c r="A247" s="162" t="s">
        <v>308</v>
      </c>
      <c r="B247" s="162">
        <v>87000</v>
      </c>
      <c r="C247" s="163" t="s">
        <v>271</v>
      </c>
      <c r="D247" s="1" t="s">
        <v>245</v>
      </c>
      <c r="E247" s="1" t="s">
        <v>114</v>
      </c>
      <c r="F247" s="52" t="s">
        <v>168</v>
      </c>
      <c r="G247" s="31">
        <v>3</v>
      </c>
      <c r="H247" s="31">
        <v>250</v>
      </c>
      <c r="I247" s="31">
        <v>0</v>
      </c>
      <c r="J247" s="31">
        <v>5</v>
      </c>
      <c r="K247" s="31">
        <v>0</v>
      </c>
      <c r="L247" s="31">
        <v>5</v>
      </c>
      <c r="M247" s="31">
        <v>242.36</v>
      </c>
      <c r="N247" s="31">
        <v>5</v>
      </c>
      <c r="O247" s="31">
        <v>1018.71</v>
      </c>
      <c r="P247" s="31">
        <v>5</v>
      </c>
      <c r="Q247" s="31">
        <v>1000</v>
      </c>
      <c r="R247" s="31">
        <f t="shared" ref="R247" si="32">SUM(I247+K247+M247+O247+Q247)</f>
        <v>2261.0700000000002</v>
      </c>
      <c r="S247" s="31" t="s">
        <v>24</v>
      </c>
      <c r="T247" s="134">
        <f>SUM(R247:S247)</f>
        <v>2261.0700000000002</v>
      </c>
      <c r="V247" s="30"/>
      <c r="W247" s="33"/>
    </row>
    <row r="248" spans="1:23" s="49" customFormat="1" ht="10.199999999999999">
      <c r="A248" s="77"/>
      <c r="B248" s="77"/>
      <c r="C248" s="77"/>
      <c r="D248" s="77" t="s">
        <v>77</v>
      </c>
      <c r="E248" s="78"/>
      <c r="F248" s="76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V248" s="30"/>
      <c r="W248" s="33"/>
    </row>
    <row r="249" spans="1:23" s="49" customFormat="1" ht="20.399999999999999">
      <c r="A249" s="162" t="s">
        <v>309</v>
      </c>
      <c r="B249" s="162" t="s">
        <v>302</v>
      </c>
      <c r="C249" s="163" t="s">
        <v>271</v>
      </c>
      <c r="D249" s="80" t="s">
        <v>246</v>
      </c>
      <c r="E249" s="1" t="s">
        <v>81</v>
      </c>
      <c r="F249" s="52" t="s">
        <v>51</v>
      </c>
      <c r="G249" s="31">
        <v>28</v>
      </c>
      <c r="H249" s="31">
        <v>150</v>
      </c>
      <c r="I249" s="31">
        <v>0</v>
      </c>
      <c r="J249" s="31">
        <v>28</v>
      </c>
      <c r="K249" s="31">
        <v>0</v>
      </c>
      <c r="L249" s="31">
        <v>28</v>
      </c>
      <c r="M249" s="31">
        <v>0</v>
      </c>
      <c r="N249" s="31">
        <v>28</v>
      </c>
      <c r="O249" s="31">
        <v>49.19</v>
      </c>
      <c r="P249" s="31">
        <v>28</v>
      </c>
      <c r="Q249" s="31">
        <v>0</v>
      </c>
      <c r="R249" s="31">
        <f t="shared" ref="R249" si="33">SUM(I249+K249+M249+O249+Q249)</f>
        <v>49.19</v>
      </c>
      <c r="S249" s="31">
        <v>0</v>
      </c>
      <c r="T249" s="134">
        <f>SUM(R249:S249)</f>
        <v>49.19</v>
      </c>
      <c r="V249" s="30"/>
      <c r="W249" s="33"/>
    </row>
    <row r="250" spans="1:23" ht="10.199999999999999"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111"/>
      <c r="S250" s="36"/>
      <c r="T250" s="36"/>
      <c r="V250" s="30"/>
      <c r="W250" s="33"/>
    </row>
    <row r="251" spans="1:23" ht="10.8" thickBot="1">
      <c r="A251" s="56"/>
      <c r="B251" s="56"/>
      <c r="C251" s="56"/>
      <c r="D251" s="56" t="s">
        <v>247</v>
      </c>
      <c r="E251" s="56"/>
      <c r="F251" s="56"/>
      <c r="G251" s="97"/>
      <c r="H251" s="97"/>
      <c r="I251" s="61">
        <f>SUM(I234:I250)</f>
        <v>0</v>
      </c>
      <c r="J251" s="61"/>
      <c r="K251" s="61">
        <f>SUM(K234:K250)</f>
        <v>3031.88</v>
      </c>
      <c r="L251" s="61"/>
      <c r="M251" s="61">
        <f>SUM(M234:M250)</f>
        <v>15046.629999999997</v>
      </c>
      <c r="N251" s="61"/>
      <c r="O251" s="61">
        <f>SUM(O234:O250)</f>
        <v>64641.212500000001</v>
      </c>
      <c r="P251" s="61"/>
      <c r="Q251" s="61">
        <f>SUM(Q234:Q250)</f>
        <v>74012.584456522032</v>
      </c>
      <c r="R251" s="61">
        <f>SUM(I251+K251+M251+O251+Q251)</f>
        <v>156732.30695652205</v>
      </c>
      <c r="S251" s="61">
        <f>SUM(S234:S247)</f>
        <v>0</v>
      </c>
      <c r="T251" s="141">
        <f>SUM(R251:S251)</f>
        <v>156732.30695652205</v>
      </c>
      <c r="U251" s="118"/>
      <c r="V251" s="30"/>
      <c r="W251" s="33"/>
    </row>
    <row r="252" spans="1:23" ht="10.8" thickBot="1">
      <c r="A252" s="119"/>
      <c r="B252" s="119"/>
      <c r="C252" s="119"/>
      <c r="D252" s="119" t="s">
        <v>248</v>
      </c>
      <c r="E252" s="119"/>
      <c r="F252" s="119"/>
      <c r="G252" s="119"/>
      <c r="H252" s="120"/>
      <c r="I252" s="121">
        <f>SUM(I135+I149+I185+I200+I230+I251)</f>
        <v>33348.47</v>
      </c>
      <c r="J252" s="121"/>
      <c r="K252" s="121">
        <f>SUM(K135+K149+K185+K200+K230+K251)</f>
        <v>102162.70999999999</v>
      </c>
      <c r="L252" s="121"/>
      <c r="M252" s="121">
        <f>SUM(M135+M149+M185+M200+M230+M251)</f>
        <v>228844.64999999997</v>
      </c>
      <c r="N252" s="121"/>
      <c r="O252" s="121">
        <f>SUM(O135+O149+O185+O200+O230+O251)</f>
        <v>303510.00733695668</v>
      </c>
      <c r="P252" s="121"/>
      <c r="Q252" s="121">
        <f>SUM(Q135+Q149+Q185+Q200+Q230+Q251)</f>
        <v>109561.41255000046</v>
      </c>
      <c r="R252" s="121">
        <f>SUM(I252+K252+M252+O252+Q252)</f>
        <v>777427.24988695711</v>
      </c>
      <c r="S252" s="121">
        <f>SUM(S249+S228+S198+S183+S110+S87+S79+S36)</f>
        <v>0</v>
      </c>
      <c r="T252" s="149">
        <f>SUM(R252:S252)</f>
        <v>777427.24988695711</v>
      </c>
      <c r="U252" s="96"/>
      <c r="V252" s="30"/>
      <c r="W252" s="33"/>
    </row>
    <row r="253" spans="1:23" ht="10.5">
      <c r="A253" s="62"/>
      <c r="B253" s="62"/>
      <c r="C253" s="62"/>
      <c r="D253" s="62"/>
      <c r="E253" s="62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S253" s="36"/>
      <c r="U253" s="96"/>
      <c r="V253" s="30"/>
      <c r="W253" s="33"/>
    </row>
    <row r="254" spans="1:23" ht="10.8" thickBot="1">
      <c r="A254" s="119"/>
      <c r="B254" s="119"/>
      <c r="C254" s="119"/>
      <c r="D254" s="119" t="s">
        <v>249</v>
      </c>
      <c r="E254" s="119"/>
      <c r="F254" s="119"/>
      <c r="G254" s="119"/>
      <c r="H254" s="120"/>
      <c r="I254" s="121">
        <f>+I31+I39+I77+I81+I89+I117+ I121 + I252</f>
        <v>347794.82570799987</v>
      </c>
      <c r="J254" s="121"/>
      <c r="K254" s="121">
        <f>+K31+K39+K77+K81+K89+K117+ K121 + K252</f>
        <v>697033.29032300005</v>
      </c>
      <c r="L254" s="121"/>
      <c r="M254" s="121">
        <f>+M31+M39+M77+M81+M89+M117+M121+M252</f>
        <v>1162221.002084</v>
      </c>
      <c r="N254" s="121"/>
      <c r="O254" s="121">
        <f>+O31+O39+O77+O81+O89+O117+O121+O252</f>
        <v>1165755.0132964693</v>
      </c>
      <c r="P254" s="121"/>
      <c r="Q254" s="121">
        <f>+Q31+Q39+Q77+Q81+Q89+Q117+Q121+Q252</f>
        <v>521580.18783102586</v>
      </c>
      <c r="R254" s="121">
        <f>SUM(I254+K254+M254+O254+Q254)</f>
        <v>3894384.3192424956</v>
      </c>
      <c r="S254" s="121">
        <f>SUM(S251+S230+S200+S185+S117+S89+S81+S77+S39)</f>
        <v>0</v>
      </c>
      <c r="T254" s="149">
        <f>SUM(R254:S254)</f>
        <v>3894384.3192424956</v>
      </c>
      <c r="U254" s="96"/>
      <c r="V254" s="30"/>
      <c r="W254" s="33"/>
    </row>
    <row r="255" spans="1:23" ht="10.199999999999999">
      <c r="A255" s="116"/>
      <c r="B255" s="116"/>
      <c r="C255" s="116"/>
      <c r="D255" s="116"/>
      <c r="E255" s="116"/>
      <c r="H255" s="54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V255" s="30"/>
      <c r="W255" s="33"/>
    </row>
    <row r="256" spans="1:23" ht="10.5">
      <c r="A256" s="166" t="s">
        <v>299</v>
      </c>
      <c r="B256" s="166">
        <v>94050</v>
      </c>
      <c r="C256" s="166" t="s">
        <v>269</v>
      </c>
      <c r="D256" s="123" t="s">
        <v>250</v>
      </c>
      <c r="E256" s="1" t="s">
        <v>251</v>
      </c>
      <c r="F256" s="3"/>
      <c r="G256" s="3"/>
      <c r="H256" s="47">
        <v>0.2828</v>
      </c>
      <c r="I256" s="124">
        <f>I254*28.69%</f>
        <v>99782.335495625157</v>
      </c>
      <c r="J256" s="124"/>
      <c r="K256" s="124">
        <f>+K254*28.69%</f>
        <v>199978.85099366872</v>
      </c>
      <c r="L256" s="124"/>
      <c r="M256" s="124">
        <f>+M254*28.28%</f>
        <v>328676.09938935522</v>
      </c>
      <c r="O256" s="124">
        <f>+O254*28.28%</f>
        <v>329675.51776024152</v>
      </c>
      <c r="Q256" s="124">
        <f>+Q254*28.28%</f>
        <v>147502.87711861412</v>
      </c>
      <c r="R256" s="124">
        <f t="shared" ref="R256" si="34">SUM(I256+K256+M256+O256+Q256)</f>
        <v>1105615.6807575047</v>
      </c>
      <c r="S256" s="124">
        <v>0</v>
      </c>
      <c r="T256" s="150">
        <f>SUM(R256:S256)</f>
        <v>1105615.6807575047</v>
      </c>
      <c r="V256" s="30"/>
      <c r="W256" s="33"/>
    </row>
    <row r="257" spans="1:23" ht="10.5">
      <c r="A257" s="49"/>
      <c r="B257" s="49"/>
      <c r="C257" s="49"/>
      <c r="D257" s="49"/>
      <c r="E257" s="49"/>
      <c r="F257" s="125"/>
      <c r="G257" s="3"/>
      <c r="H257" s="64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V257" s="30"/>
      <c r="W257" s="33"/>
    </row>
    <row r="258" spans="1:23" ht="10.8" thickBot="1">
      <c r="A258" s="127"/>
      <c r="B258" s="127"/>
      <c r="C258" s="127"/>
      <c r="D258" s="127" t="s">
        <v>252</v>
      </c>
      <c r="E258" s="127"/>
      <c r="F258" s="127"/>
      <c r="G258" s="127"/>
      <c r="H258" s="128"/>
      <c r="I258" s="129">
        <f>I254+I256</f>
        <v>447577.16120362503</v>
      </c>
      <c r="J258" s="129"/>
      <c r="K258" s="129">
        <f>K254+K256</f>
        <v>897012.14131666883</v>
      </c>
      <c r="L258" s="129"/>
      <c r="M258" s="129">
        <f>M254+M256</f>
        <v>1490897.1014733552</v>
      </c>
      <c r="N258" s="129"/>
      <c r="O258" s="129">
        <f>O254+O256</f>
        <v>1495430.531056711</v>
      </c>
      <c r="P258" s="129"/>
      <c r="Q258" s="129">
        <f>Q254+Q256</f>
        <v>669083.06494963996</v>
      </c>
      <c r="R258" s="129">
        <f>R254+R256</f>
        <v>5000000</v>
      </c>
      <c r="S258" s="129">
        <f>S254+S256</f>
        <v>0</v>
      </c>
      <c r="T258" s="129">
        <f>SUM(R258:S258)</f>
        <v>5000000</v>
      </c>
      <c r="V258" s="30"/>
      <c r="W258" s="33"/>
    </row>
    <row r="259" spans="1:23" ht="10.5" thickTop="1">
      <c r="V259" s="30"/>
    </row>
    <row r="260" spans="1:23" ht="10.5">
      <c r="A260" s="151"/>
      <c r="B260" s="151"/>
      <c r="C260" s="151"/>
      <c r="D260" s="151" t="s">
        <v>253</v>
      </c>
      <c r="E260" s="152"/>
      <c r="T260" s="1"/>
      <c r="V260" s="30"/>
    </row>
    <row r="261" spans="1:23" ht="10.199999999999999">
      <c r="A261" s="152"/>
      <c r="B261" s="152"/>
      <c r="C261" s="152"/>
      <c r="D261" s="152" t="s">
        <v>254</v>
      </c>
      <c r="E261" s="156" t="s">
        <v>255</v>
      </c>
      <c r="I261" s="30"/>
      <c r="J261" s="30"/>
      <c r="K261" s="30"/>
      <c r="L261" s="30"/>
      <c r="M261" s="30"/>
      <c r="N261" s="30"/>
      <c r="O261" s="139"/>
      <c r="P261" s="30"/>
      <c r="Q261" s="30"/>
      <c r="R261" s="30"/>
      <c r="V261" s="30"/>
    </row>
    <row r="262" spans="1:23" ht="10.199999999999999">
      <c r="A262" s="155"/>
      <c r="B262" s="155"/>
      <c r="C262" s="155"/>
      <c r="D262" s="155" t="s">
        <v>256</v>
      </c>
      <c r="E262" s="154"/>
      <c r="H262" s="1"/>
      <c r="I262" s="30"/>
      <c r="J262" s="30"/>
      <c r="K262" s="30"/>
      <c r="L262" s="30"/>
      <c r="M262" s="30"/>
      <c r="N262" s="30"/>
      <c r="O262" s="35"/>
      <c r="P262" s="30"/>
      <c r="Q262" s="30"/>
      <c r="R262" s="30"/>
      <c r="S262" s="130"/>
    </row>
    <row r="263" spans="1:23" ht="10.199999999999999">
      <c r="A263" s="158"/>
      <c r="B263" s="158"/>
      <c r="C263" s="158"/>
      <c r="D263" s="158" t="s">
        <v>257</v>
      </c>
      <c r="E263" s="153"/>
      <c r="F263" s="132"/>
      <c r="O263" s="35"/>
    </row>
    <row r="264" spans="1:23" ht="20.100000000000001" customHeight="1">
      <c r="A264" s="152"/>
      <c r="B264" s="152"/>
      <c r="C264" s="152"/>
      <c r="D264" s="152" t="s">
        <v>258</v>
      </c>
      <c r="E264" s="157"/>
      <c r="O264" s="35"/>
    </row>
    <row r="265" spans="1:23" ht="10.199999999999999">
      <c r="A265" s="131"/>
      <c r="B265" s="131"/>
      <c r="C265" s="131"/>
      <c r="D265" s="131"/>
      <c r="E265" s="131"/>
      <c r="F265" s="132"/>
    </row>
    <row r="266" spans="1:23" ht="10.199999999999999">
      <c r="A266" s="131"/>
      <c r="B266" s="131"/>
      <c r="C266" s="131"/>
      <c r="D266" s="131"/>
      <c r="E266" s="131"/>
      <c r="F266" s="133"/>
    </row>
    <row r="267" spans="1:23" ht="10.199999999999999"/>
    <row r="268" spans="1:23" ht="10.199999999999999"/>
    <row r="269" spans="1:23" ht="10.199999999999999"/>
    <row r="270" spans="1:23" ht="10.199999999999999"/>
    <row r="271" spans="1:23" ht="10.199999999999999"/>
    <row r="272" spans="1:23" ht="10.199999999999999"/>
    <row r="273" ht="10.199999999999999"/>
    <row r="274" ht="10.199999999999999"/>
    <row r="275" ht="10.199999999999999"/>
    <row r="276" ht="10.199999999999999"/>
    <row r="277" ht="10.199999999999999"/>
    <row r="278" ht="10.199999999999999"/>
    <row r="279" ht="10.199999999999999"/>
    <row r="280" ht="10.199999999999999"/>
    <row r="281" ht="10.199999999999999"/>
    <row r="282" ht="10.199999999999999"/>
    <row r="283" ht="10.199999999999999"/>
    <row r="284" ht="10.199999999999999"/>
    <row r="285" ht="10.199999999999999"/>
    <row r="286" ht="10.199999999999999"/>
    <row r="287" ht="10.199999999999999"/>
    <row r="288" ht="10.199999999999999"/>
    <row r="289" ht="10.199999999999999"/>
    <row r="290" ht="10.199999999999999"/>
    <row r="291" ht="10.199999999999999"/>
  </sheetData>
  <autoFilter ref="A13:AF258" xr:uid="{2E99AA1B-A3AE-4D22-BCC9-737B91043A8A}"/>
  <mergeCells count="9">
    <mergeCell ref="D7:U7"/>
    <mergeCell ref="D8:E8"/>
    <mergeCell ref="D12:T12"/>
    <mergeCell ref="D1:T1"/>
    <mergeCell ref="D2:T2"/>
    <mergeCell ref="E3:H3"/>
    <mergeCell ref="D4:U4"/>
    <mergeCell ref="D5:U5"/>
    <mergeCell ref="D6:U6"/>
  </mergeCells>
  <phoneticPr fontId="23" type="noConversion"/>
  <pageMargins left="0.7" right="0.7" top="0.75" bottom="0.75" header="0.3" footer="0.3"/>
  <pageSetup paperSize="17" fitToHeight="0" orientation="landscape" r:id="rId1"/>
  <headerFooter alignWithMargins="0"/>
  <rowBreaks count="2" manualBreakCount="2">
    <brk id="90" min="3" max="14" man="1"/>
    <brk id="230" min="3" max="14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73D668-9D09-4458-9268-6A09637A20CC}">
  <ds:schemaRefs>
    <ds:schemaRef ds:uri="http://schemas.microsoft.com/office/2006/metadata/properties"/>
    <ds:schemaRef ds:uri="http://schemas.microsoft.com/office/infopath/2007/PartnerControls"/>
    <ds:schemaRef ds:uri="3a684b84-d35d-4ed0-9b62-b4a83786fd0e"/>
    <ds:schemaRef ds:uri="dc808d36-874f-4b27-aec2-2fd649817929"/>
  </ds:schemaRefs>
</ds:datastoreItem>
</file>

<file path=customXml/itemProps2.xml><?xml version="1.0" encoding="utf-8"?>
<ds:datastoreItem xmlns:ds="http://schemas.openxmlformats.org/officeDocument/2006/customXml" ds:itemID="{8959E22D-B5EE-4515-B055-B2D9D6BF0FE6}"/>
</file>

<file path=customXml/itemProps3.xml><?xml version="1.0" encoding="utf-8"?>
<ds:datastoreItem xmlns:ds="http://schemas.openxmlformats.org/officeDocument/2006/customXml" ds:itemID="{9E5A7149-E468-4D2D-BA43-E0A6DF533F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DOL422-Mod 02</vt:lpstr>
      <vt:lpstr>'DOL422-Mod 02'!Category</vt:lpstr>
      <vt:lpstr>'DOL422-Mod 02'!DL_TotalDOL</vt:lpstr>
      <vt:lpstr>'DOL422-Mod 02'!ME_TotalDOL</vt:lpstr>
      <vt:lpstr>'DOL422-Mod 02'!O1_TotalDOL</vt:lpstr>
      <vt:lpstr>'DOL422-Mod 02'!Print_Area</vt:lpstr>
      <vt:lpstr>'DOL422-Mod 02'!SU_TotalDOL</vt:lpstr>
      <vt:lpstr>'DOL422-Mod 02'!TotalDOL</vt:lpstr>
      <vt:lpstr>'DOL422-Mod 02'!TR_TotalDOL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Daira Milena Sánchez Guerrero</dc:creator>
  <cp:keywords/>
  <dc:description/>
  <cp:lastModifiedBy>Danielle Martin</cp:lastModifiedBy>
  <cp:revision/>
  <dcterms:created xsi:type="dcterms:W3CDTF">2024-08-14T17:54:44Z</dcterms:created>
  <dcterms:modified xsi:type="dcterms:W3CDTF">2025-05-22T23:53:23Z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