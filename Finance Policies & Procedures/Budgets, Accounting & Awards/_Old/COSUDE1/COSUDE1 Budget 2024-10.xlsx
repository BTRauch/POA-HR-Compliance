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partnersnet107.sharepoint.com/sites/FA/Finance  Operational/Direct Awards/Awards FY 2024 Foundation/POAF Colombia/COSUDE/"/>
    </mc:Choice>
  </mc:AlternateContent>
  <xr:revisionPtr revIDLastSave="178" documentId="8_{657638E7-C428-414C-828C-32F5152FE958}" xr6:coauthVersionLast="47" xr6:coauthVersionMax="47" xr10:uidLastSave="{221F54A0-CDFA-4633-86BF-FCA62931F2FF}"/>
  <bookViews>
    <workbookView xWindow="-96" yWindow="-96" windowWidth="23232" windowHeight="12552" activeTab="1" xr2:uid="{00000000-000D-0000-FFFF-FFFF00000000}"/>
  </bookViews>
  <sheets>
    <sheet name="Instrucciones" sheetId="4" r:id="rId1"/>
    <sheet name="Presupuesto original" sheetId="9" r:id="rId2"/>
    <sheet name="Cuadro desembolsos" sheetId="11" r:id="rId3"/>
    <sheet name="Modif. presupuesto" sheetId="10" r:id="rId4"/>
    <sheet name="Nuevo presupuesto" sheetId="5" r:id="rId5"/>
    <sheet name="Informe Financiero" sheetId="1" r:id="rId6"/>
    <sheet name="Estado de Resultados" sheetId="3" r:id="rId7"/>
    <sheet name="Balance" sheetId="2" r:id="rId8"/>
    <sheet name="Informe Financiero (Ejemplo)" sheetId="7" r:id="rId9"/>
    <sheet name="Estado de Resultados (Ejemplo)" sheetId="6" r:id="rId10"/>
    <sheet name="Balance (Ejemplo)" sheetId="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60" i="9" l="1"/>
  <c r="AE54" i="9"/>
  <c r="AE55" i="9"/>
  <c r="AE56" i="9"/>
  <c r="AE57" i="9"/>
  <c r="AE58" i="9"/>
  <c r="AE59" i="9"/>
  <c r="AE53" i="9"/>
  <c r="AE47" i="9"/>
  <c r="AE48" i="9"/>
  <c r="AE49" i="9"/>
  <c r="AE50" i="9"/>
  <c r="AE51" i="9"/>
  <c r="AE46" i="9"/>
  <c r="AE44" i="9"/>
  <c r="AE43" i="9"/>
  <c r="AE39" i="9"/>
  <c r="AE38" i="9" s="1"/>
  <c r="AE34" i="9"/>
  <c r="AE33" i="9" s="1"/>
  <c r="AE30" i="9"/>
  <c r="AE31" i="9"/>
  <c r="AE29" i="9"/>
  <c r="AE25" i="9"/>
  <c r="AE24" i="9"/>
  <c r="AE19" i="9"/>
  <c r="AE17" i="9" s="1"/>
  <c r="AE21" i="9"/>
  <c r="AE18" i="9"/>
  <c r="AE52" i="9"/>
  <c r="AE35" i="9"/>
  <c r="AE26" i="9"/>
  <c r="AE42" i="9" l="1"/>
  <c r="AE40" i="9" s="1"/>
  <c r="AE28" i="9"/>
  <c r="AE23" i="9"/>
  <c r="V38" i="9"/>
  <c r="AE15" i="9" l="1"/>
  <c r="AE62" i="9" s="1"/>
  <c r="X52" i="9"/>
  <c r="T52" i="9"/>
  <c r="X38" i="9"/>
  <c r="V35" i="9"/>
  <c r="X33" i="9"/>
  <c r="P33" i="9"/>
  <c r="N33" i="9"/>
  <c r="X28" i="9"/>
  <c r="P28" i="9"/>
  <c r="N28" i="9"/>
  <c r="F18" i="9"/>
  <c r="K18" i="9" s="1"/>
  <c r="K59" i="9"/>
  <c r="F25" i="9"/>
  <c r="K25" i="9" s="1"/>
  <c r="T25" i="9" s="1"/>
  <c r="F26" i="9"/>
  <c r="K26" i="9" s="1"/>
  <c r="T26" i="9" s="1"/>
  <c r="F22" i="9"/>
  <c r="K22" i="9" s="1"/>
  <c r="R22" i="9" s="1"/>
  <c r="X22" i="9" s="1"/>
  <c r="F20" i="9"/>
  <c r="K20" i="9" s="1"/>
  <c r="K51" i="9"/>
  <c r="K36" i="9"/>
  <c r="T36" i="9" s="1"/>
  <c r="K37" i="9"/>
  <c r="T37" i="9" s="1"/>
  <c r="K43" i="9"/>
  <c r="F19" i="9"/>
  <c r="K19" i="9" s="1"/>
  <c r="K50" i="9"/>
  <c r="L40" i="9"/>
  <c r="H56" i="9"/>
  <c r="H55" i="9"/>
  <c r="H54" i="9"/>
  <c r="K31" i="9"/>
  <c r="F57" i="9"/>
  <c r="K57" i="9" s="1"/>
  <c r="F56" i="9"/>
  <c r="K45" i="9"/>
  <c r="F48" i="9"/>
  <c r="K48" i="9" s="1"/>
  <c r="F49" i="9"/>
  <c r="K49" i="9" s="1"/>
  <c r="K34" i="9"/>
  <c r="K33" i="9" s="1"/>
  <c r="F24" i="9"/>
  <c r="K24" i="9" s="1"/>
  <c r="P24" i="9" s="1"/>
  <c r="K39" i="9"/>
  <c r="K38" i="9" s="1"/>
  <c r="C43" i="7"/>
  <c r="K47" i="9"/>
  <c r="K46" i="9"/>
  <c r="K44" i="9"/>
  <c r="K30" i="9"/>
  <c r="K58" i="9"/>
  <c r="F55" i="9"/>
  <c r="F54" i="9"/>
  <c r="F53" i="9"/>
  <c r="K53" i="9" s="1"/>
  <c r="K29" i="9"/>
  <c r="F21" i="9"/>
  <c r="K21" i="9" s="1"/>
  <c r="R33" i="10"/>
  <c r="AE61" i="9" l="1"/>
  <c r="AE41" i="9"/>
  <c r="T35" i="9"/>
  <c r="Y38" i="9"/>
  <c r="Q33" i="9"/>
  <c r="Y33" i="9"/>
  <c r="O33" i="9"/>
  <c r="K17" i="9"/>
  <c r="P25" i="9"/>
  <c r="K28" i="9"/>
  <c r="O28" i="9" s="1"/>
  <c r="N37" i="9"/>
  <c r="K42" i="9"/>
  <c r="N36" i="9"/>
  <c r="K35" i="9"/>
  <c r="U35" i="9" s="1"/>
  <c r="K23" i="9"/>
  <c r="R24" i="9"/>
  <c r="P36" i="9"/>
  <c r="R26" i="9"/>
  <c r="P37" i="9"/>
  <c r="N24" i="9"/>
  <c r="R25" i="9"/>
  <c r="R36" i="9"/>
  <c r="N26" i="9"/>
  <c r="T24" i="9"/>
  <c r="T23" i="9" s="1"/>
  <c r="R37" i="9"/>
  <c r="P26" i="9"/>
  <c r="N25" i="9"/>
  <c r="V59" i="9"/>
  <c r="V21" i="9"/>
  <c r="V29" i="9"/>
  <c r="V53" i="9"/>
  <c r="V58" i="9"/>
  <c r="V30" i="9"/>
  <c r="V46" i="9"/>
  <c r="V47" i="9"/>
  <c r="V34" i="9"/>
  <c r="V33" i="9" s="1"/>
  <c r="W33" i="9" s="1"/>
  <c r="V49" i="9"/>
  <c r="V48" i="9"/>
  <c r="V57" i="9"/>
  <c r="V31" i="9"/>
  <c r="V50" i="9"/>
  <c r="V19" i="9"/>
  <c r="X37" i="9"/>
  <c r="V26" i="9"/>
  <c r="V43" i="9"/>
  <c r="P43" i="9"/>
  <c r="K54" i="9"/>
  <c r="K55" i="9"/>
  <c r="X20" i="9"/>
  <c r="P20" i="9"/>
  <c r="P44" i="9"/>
  <c r="V44" i="9"/>
  <c r="P39" i="9"/>
  <c r="P38" i="9" s="1"/>
  <c r="Q38" i="9" s="1"/>
  <c r="R39" i="9"/>
  <c r="R38" i="9" s="1"/>
  <c r="S38" i="9" s="1"/>
  <c r="V39" i="9"/>
  <c r="W38" i="9" s="1"/>
  <c r="T39" i="9"/>
  <c r="T38" i="9" s="1"/>
  <c r="U38" i="9" s="1"/>
  <c r="P45" i="9"/>
  <c r="X45" i="9"/>
  <c r="X42" i="9" s="1"/>
  <c r="X36" i="9"/>
  <c r="V51" i="9"/>
  <c r="N51" i="9"/>
  <c r="N42" i="9" s="1"/>
  <c r="X26" i="9"/>
  <c r="V25" i="9"/>
  <c r="X25" i="9"/>
  <c r="X18" i="9"/>
  <c r="V18" i="9"/>
  <c r="X24" i="9"/>
  <c r="V24" i="9"/>
  <c r="T21" i="9"/>
  <c r="R21" i="9"/>
  <c r="T18" i="9"/>
  <c r="R18" i="9"/>
  <c r="P18" i="9"/>
  <c r="T19" i="9"/>
  <c r="R19" i="9"/>
  <c r="P19" i="9"/>
  <c r="R29" i="9"/>
  <c r="T29" i="9"/>
  <c r="P48" i="9"/>
  <c r="R49" i="9"/>
  <c r="P53" i="9"/>
  <c r="P52" i="9" s="1"/>
  <c r="R50" i="9"/>
  <c r="R31" i="9"/>
  <c r="T31" i="9"/>
  <c r="N58" i="9"/>
  <c r="N59" i="9"/>
  <c r="R30" i="9"/>
  <c r="T30" i="9"/>
  <c r="N39" i="9"/>
  <c r="N38" i="9" s="1"/>
  <c r="O38" i="9" s="1"/>
  <c r="T34" i="9"/>
  <c r="T33" i="9" s="1"/>
  <c r="U33" i="9" s="1"/>
  <c r="R34" i="9"/>
  <c r="R33" i="9" s="1"/>
  <c r="S33" i="9" s="1"/>
  <c r="R57" i="9"/>
  <c r="P46" i="9"/>
  <c r="T47" i="9"/>
  <c r="K56" i="9"/>
  <c r="B57" i="6"/>
  <c r="B48" i="6"/>
  <c r="B29" i="6"/>
  <c r="B14" i="6"/>
  <c r="D42" i="7"/>
  <c r="X34" i="7"/>
  <c r="X33" i="7"/>
  <c r="O33" i="7"/>
  <c r="W32" i="7"/>
  <c r="W30" i="7" s="1"/>
  <c r="V32" i="7"/>
  <c r="V30" i="7" s="1"/>
  <c r="R32" i="7"/>
  <c r="T34" i="7"/>
  <c r="T33" i="7"/>
  <c r="T32" i="7" s="1"/>
  <c r="Q33" i="7"/>
  <c r="O34" i="7"/>
  <c r="O32" i="7" s="1"/>
  <c r="M34" i="7"/>
  <c r="M33" i="7"/>
  <c r="L34" i="7"/>
  <c r="L33" i="7"/>
  <c r="N34" i="7"/>
  <c r="I34" i="7"/>
  <c r="J34" i="7"/>
  <c r="J33" i="7"/>
  <c r="I33" i="7"/>
  <c r="S30" i="7"/>
  <c r="S43" i="7" s="1"/>
  <c r="P35" i="7"/>
  <c r="Y28" i="9" l="1"/>
  <c r="Q28" i="9"/>
  <c r="P23" i="9"/>
  <c r="N35" i="9"/>
  <c r="O35" i="9" s="1"/>
  <c r="W35" i="9"/>
  <c r="P35" i="9"/>
  <c r="Q35" i="9" s="1"/>
  <c r="Q23" i="9"/>
  <c r="N52" i="9"/>
  <c r="N40" i="9" s="1"/>
  <c r="O42" i="9"/>
  <c r="U23" i="9"/>
  <c r="K52" i="9"/>
  <c r="X35" i="9"/>
  <c r="Y35" i="9" s="1"/>
  <c r="X40" i="9"/>
  <c r="Y42" i="9"/>
  <c r="V23" i="9"/>
  <c r="W23" i="9" s="1"/>
  <c r="K15" i="9"/>
  <c r="R17" i="9"/>
  <c r="P17" i="9"/>
  <c r="T17" i="9"/>
  <c r="V17" i="9"/>
  <c r="R35" i="9"/>
  <c r="S35" i="9" s="1"/>
  <c r="X23" i="9"/>
  <c r="Y23" i="9" s="1"/>
  <c r="X17" i="9"/>
  <c r="V28" i="9"/>
  <c r="W28" i="9" s="1"/>
  <c r="R42" i="9"/>
  <c r="N23" i="9"/>
  <c r="O23" i="9" s="1"/>
  <c r="T42" i="9"/>
  <c r="P42" i="9"/>
  <c r="T28" i="9"/>
  <c r="U28" i="9" s="1"/>
  <c r="V42" i="9"/>
  <c r="R28" i="9"/>
  <c r="S28" i="9" s="1"/>
  <c r="R23" i="9"/>
  <c r="V56" i="9"/>
  <c r="V55" i="9"/>
  <c r="V54" i="9"/>
  <c r="R55" i="9"/>
  <c r="R54" i="9"/>
  <c r="R56" i="9"/>
  <c r="U33" i="7"/>
  <c r="Q34" i="7"/>
  <c r="U34" i="7" s="1"/>
  <c r="X30" i="7"/>
  <c r="N33" i="7"/>
  <c r="X32" i="7"/>
  <c r="Q32" i="7"/>
  <c r="L32" i="7"/>
  <c r="M32" i="7"/>
  <c r="G41" i="7"/>
  <c r="F41" i="7"/>
  <c r="P30" i="7"/>
  <c r="G30" i="7"/>
  <c r="F30" i="7"/>
  <c r="I32" i="7"/>
  <c r="J32" i="7"/>
  <c r="J30" i="7" s="1"/>
  <c r="W22" i="7"/>
  <c r="V22" i="7"/>
  <c r="X22" i="7" s="1"/>
  <c r="W15" i="7"/>
  <c r="V15" i="7"/>
  <c r="O15" i="7"/>
  <c r="O13" i="7" s="1"/>
  <c r="P15" i="7"/>
  <c r="R15" i="7"/>
  <c r="R22" i="7"/>
  <c r="P22" i="7"/>
  <c r="O22" i="7"/>
  <c r="L18" i="7"/>
  <c r="J18" i="7"/>
  <c r="I18" i="7"/>
  <c r="K34" i="7"/>
  <c r="K33" i="7"/>
  <c r="M36" i="7"/>
  <c r="R36" i="7" s="1"/>
  <c r="L36" i="7"/>
  <c r="O36" i="7" s="1"/>
  <c r="E41" i="7"/>
  <c r="E33" i="1"/>
  <c r="Q33" i="1"/>
  <c r="D32" i="7"/>
  <c r="E32" i="7" s="1"/>
  <c r="C32" i="7"/>
  <c r="D35" i="7"/>
  <c r="C35" i="7"/>
  <c r="E36" i="7"/>
  <c r="E34" i="7"/>
  <c r="E33" i="7"/>
  <c r="D22" i="7"/>
  <c r="C22" i="7"/>
  <c r="D18" i="7"/>
  <c r="C18" i="7"/>
  <c r="D15" i="7"/>
  <c r="C15" i="7"/>
  <c r="X24" i="7"/>
  <c r="X23" i="7"/>
  <c r="T24" i="7"/>
  <c r="U24" i="7" s="1"/>
  <c r="T23" i="7"/>
  <c r="T22" i="7" s="1"/>
  <c r="Q24" i="7"/>
  <c r="Q23" i="7"/>
  <c r="Q22" i="7" s="1"/>
  <c r="L24" i="7"/>
  <c r="M24" i="7"/>
  <c r="M23" i="7"/>
  <c r="M22" i="7" s="1"/>
  <c r="L23" i="7"/>
  <c r="J24" i="7"/>
  <c r="J23" i="7"/>
  <c r="J22" i="7" s="1"/>
  <c r="I24" i="7"/>
  <c r="I23" i="7"/>
  <c r="E24" i="7"/>
  <c r="E23" i="7"/>
  <c r="V20" i="7"/>
  <c r="W20" i="7"/>
  <c r="W19" i="7"/>
  <c r="W18" i="7" s="1"/>
  <c r="V19" i="7"/>
  <c r="X19" i="7" s="1"/>
  <c r="X17" i="7"/>
  <c r="X16" i="7"/>
  <c r="U16" i="7"/>
  <c r="T17" i="7"/>
  <c r="T16" i="7"/>
  <c r="T15" i="7" s="1"/>
  <c r="Q17" i="7"/>
  <c r="Q16" i="7"/>
  <c r="Q15" i="7" s="1"/>
  <c r="M17" i="7"/>
  <c r="J17" i="7"/>
  <c r="J16" i="7"/>
  <c r="J15" i="7" s="1"/>
  <c r="L17" i="7"/>
  <c r="L16" i="7"/>
  <c r="M16" i="7" s="1"/>
  <c r="N16" i="7" s="1"/>
  <c r="F20" i="7"/>
  <c r="G20" i="7"/>
  <c r="G19" i="7"/>
  <c r="G18" i="7" s="1"/>
  <c r="G13" i="7" s="1"/>
  <c r="G43" i="7" s="1"/>
  <c r="F19" i="7"/>
  <c r="F18" i="7" s="1"/>
  <c r="F13" i="7" s="1"/>
  <c r="F43" i="7" s="1"/>
  <c r="I17" i="7"/>
  <c r="I16" i="7"/>
  <c r="K16" i="7" s="1"/>
  <c r="E20" i="7"/>
  <c r="H20" i="7" s="1"/>
  <c r="E19" i="7"/>
  <c r="H19" i="7" s="1"/>
  <c r="E17" i="7"/>
  <c r="E16" i="7"/>
  <c r="C55" i="7"/>
  <c r="D14" i="1"/>
  <c r="D25" i="1"/>
  <c r="V52" i="9" l="1"/>
  <c r="W52" i="9" s="1"/>
  <c r="S42" i="9"/>
  <c r="Y17" i="9"/>
  <c r="X15" i="9"/>
  <c r="X61" i="9" s="1"/>
  <c r="K40" i="9"/>
  <c r="K61" i="9" s="1"/>
  <c r="Y52" i="9"/>
  <c r="U52" i="9"/>
  <c r="S23" i="9"/>
  <c r="W17" i="9"/>
  <c r="V15" i="9"/>
  <c r="W15" i="9" s="1"/>
  <c r="U17" i="9"/>
  <c r="T15" i="9"/>
  <c r="W42" i="9"/>
  <c r="P15" i="9"/>
  <c r="Q17" i="9"/>
  <c r="O40" i="9"/>
  <c r="S17" i="9"/>
  <c r="R15" i="9"/>
  <c r="O52" i="9"/>
  <c r="P40" i="9"/>
  <c r="Q42" i="9"/>
  <c r="R52" i="9"/>
  <c r="S52" i="9" s="1"/>
  <c r="U42" i="9"/>
  <c r="T40" i="9"/>
  <c r="Q52" i="9"/>
  <c r="T68" i="9"/>
  <c r="P68" i="9"/>
  <c r="R68" i="9"/>
  <c r="N68" i="9"/>
  <c r="E35" i="7"/>
  <c r="M15" i="7"/>
  <c r="W13" i="7"/>
  <c r="W43" i="7" s="1"/>
  <c r="I22" i="7"/>
  <c r="K22" i="7" s="1"/>
  <c r="N36" i="7"/>
  <c r="X15" i="7"/>
  <c r="D30" i="7"/>
  <c r="L22" i="7"/>
  <c r="R13" i="7"/>
  <c r="V18" i="7"/>
  <c r="X18" i="7" s="1"/>
  <c r="U15" i="7"/>
  <c r="X20" i="7"/>
  <c r="P13" i="7"/>
  <c r="P43" i="7" s="1"/>
  <c r="U17" i="7"/>
  <c r="N24" i="7"/>
  <c r="E15" i="7"/>
  <c r="N22" i="7"/>
  <c r="J13" i="7"/>
  <c r="J43" i="7" s="1"/>
  <c r="K50" i="7" s="1"/>
  <c r="U22" i="7"/>
  <c r="M13" i="7"/>
  <c r="Q13" i="7"/>
  <c r="T36" i="7"/>
  <c r="R35" i="7"/>
  <c r="R30" i="7" s="1"/>
  <c r="R43" i="7" s="1"/>
  <c r="K17" i="7"/>
  <c r="K23" i="7"/>
  <c r="D13" i="7"/>
  <c r="H18" i="7"/>
  <c r="L15" i="7"/>
  <c r="L13" i="7" s="1"/>
  <c r="N13" i="7" s="1"/>
  <c r="N17" i="7"/>
  <c r="E18" i="7"/>
  <c r="I15" i="7"/>
  <c r="K24" i="7"/>
  <c r="E22" i="7"/>
  <c r="L35" i="7"/>
  <c r="L30" i="7" s="1"/>
  <c r="M49" i="7"/>
  <c r="K49" i="7"/>
  <c r="C30" i="7"/>
  <c r="M35" i="7"/>
  <c r="M30" i="7" s="1"/>
  <c r="N23" i="7"/>
  <c r="Q36" i="7"/>
  <c r="Q35" i="7" s="1"/>
  <c r="Q30" i="7" s="1"/>
  <c r="O35" i="7"/>
  <c r="O30" i="7" s="1"/>
  <c r="O43" i="7" s="1"/>
  <c r="U32" i="7"/>
  <c r="T13" i="7"/>
  <c r="U13" i="7" s="1"/>
  <c r="U23" i="7"/>
  <c r="N32" i="7"/>
  <c r="K32" i="7"/>
  <c r="I30" i="7"/>
  <c r="C13" i="7"/>
  <c r="B19" i="8"/>
  <c r="B20" i="8"/>
  <c r="B16" i="8"/>
  <c r="B38" i="6"/>
  <c r="B38" i="8"/>
  <c r="B39" i="8" s="1"/>
  <c r="AD13" i="7"/>
  <c r="AA13" i="7"/>
  <c r="H13" i="7"/>
  <c r="B60" i="6"/>
  <c r="B31" i="6"/>
  <c r="B27" i="6"/>
  <c r="X62" i="9" l="1"/>
  <c r="X41" i="9" s="1"/>
  <c r="V40" i="9"/>
  <c r="K60" i="9" s="1"/>
  <c r="S15" i="9"/>
  <c r="P61" i="9"/>
  <c r="Q15" i="9"/>
  <c r="U40" i="9"/>
  <c r="T62" i="9"/>
  <c r="E9" i="9" s="1"/>
  <c r="T61" i="9"/>
  <c r="U15" i="9"/>
  <c r="Y15" i="9"/>
  <c r="Y40" i="9"/>
  <c r="Q40" i="9"/>
  <c r="P62" i="9"/>
  <c r="E7" i="9" s="1"/>
  <c r="R40" i="9"/>
  <c r="X16" i="9"/>
  <c r="L43" i="7"/>
  <c r="D43" i="7"/>
  <c r="E43" i="7" s="1"/>
  <c r="N30" i="7"/>
  <c r="I13" i="7"/>
  <c r="K13" i="7" s="1"/>
  <c r="N15" i="7"/>
  <c r="V13" i="7"/>
  <c r="V43" i="7" s="1"/>
  <c r="X43" i="7" s="1"/>
  <c r="E30" i="7"/>
  <c r="M43" i="7"/>
  <c r="M50" i="7" s="1"/>
  <c r="N35" i="7"/>
  <c r="D14" i="7"/>
  <c r="D31" i="7"/>
  <c r="K51" i="7"/>
  <c r="K15" i="7"/>
  <c r="T43" i="7"/>
  <c r="C56" i="7" s="1"/>
  <c r="M51" i="7"/>
  <c r="U36" i="7"/>
  <c r="U35" i="7" s="1"/>
  <c r="T35" i="7"/>
  <c r="T30" i="7" s="1"/>
  <c r="Q43" i="7"/>
  <c r="U30" i="7"/>
  <c r="K30" i="7"/>
  <c r="I43" i="7"/>
  <c r="B21" i="8"/>
  <c r="B27" i="8"/>
  <c r="B20" i="6"/>
  <c r="B33" i="6" s="1"/>
  <c r="AF13" i="1"/>
  <c r="AC13" i="1"/>
  <c r="Z13" i="1"/>
  <c r="W13" i="1"/>
  <c r="N13" i="1"/>
  <c r="K13" i="1"/>
  <c r="H13" i="1"/>
  <c r="L33" i="5"/>
  <c r="W40" i="9" l="1"/>
  <c r="V61" i="9"/>
  <c r="L60" i="9"/>
  <c r="L62" i="9" s="1"/>
  <c r="S40" i="9"/>
  <c r="R62" i="9"/>
  <c r="R41" i="9" s="1"/>
  <c r="R61" i="9"/>
  <c r="T16" i="9"/>
  <c r="T41" i="9"/>
  <c r="P16" i="9"/>
  <c r="P41" i="9"/>
  <c r="T69" i="9"/>
  <c r="T70" i="9" s="1"/>
  <c r="P69" i="9"/>
  <c r="P70" i="9" s="1"/>
  <c r="V60" i="9"/>
  <c r="V62" i="9" s="1"/>
  <c r="V41" i="9" s="1"/>
  <c r="K62" i="9"/>
  <c r="AE63" i="9" s="1"/>
  <c r="X13" i="7"/>
  <c r="B36" i="6"/>
  <c r="B40" i="6" s="1"/>
  <c r="B42" i="6" s="1"/>
  <c r="D56" i="7"/>
  <c r="C57" i="7"/>
  <c r="D57" i="7" s="1"/>
  <c r="Q14" i="7"/>
  <c r="Q42" i="7"/>
  <c r="U43" i="7"/>
  <c r="E8" i="9" l="1"/>
  <c r="R16" i="9"/>
  <c r="R69" i="9"/>
  <c r="R70" i="9" s="1"/>
  <c r="V16" i="9"/>
  <c r="Y62" i="9"/>
  <c r="W62" i="9"/>
  <c r="V63" i="9"/>
  <c r="D5" i="11"/>
  <c r="D3" i="11"/>
  <c r="K41" i="9"/>
  <c r="R63" i="9"/>
  <c r="K63" i="9"/>
  <c r="P63" i="9"/>
  <c r="X63" i="9"/>
  <c r="T63" i="9"/>
  <c r="K16" i="9"/>
  <c r="Q25" i="1"/>
  <c r="Q14" i="1"/>
  <c r="D6" i="11" l="1"/>
  <c r="B19" i="2"/>
  <c r="B21" i="2" s="1"/>
  <c r="B38" i="2"/>
  <c r="B37" i="2"/>
  <c r="B27" i="3"/>
  <c r="B19" i="3"/>
  <c r="B17" i="3"/>
  <c r="B16" i="3"/>
  <c r="B15" i="3"/>
  <c r="B31" i="3"/>
  <c r="B15" i="2"/>
  <c r="B16" i="2" s="1"/>
  <c r="B60" i="3"/>
  <c r="C48" i="1"/>
  <c r="C47" i="1"/>
  <c r="C49" i="1" s="1"/>
  <c r="D48" i="1" l="1"/>
  <c r="B27" i="2"/>
  <c r="B39" i="2"/>
  <c r="B40" i="3"/>
  <c r="B20" i="3"/>
  <c r="B33" i="3" s="1"/>
  <c r="B33" i="2"/>
  <c r="B42" i="3" l="1"/>
  <c r="B34" i="8"/>
  <c r="B41" i="8" s="1"/>
  <c r="D49" i="1"/>
  <c r="B32" i="2"/>
  <c r="B34" i="2" s="1"/>
  <c r="B41" i="2" s="1"/>
  <c r="N20" i="9"/>
  <c r="N19" i="9"/>
  <c r="N18" i="9"/>
  <c r="N17" i="9" l="1"/>
  <c r="O17" i="9" s="1"/>
  <c r="N15" i="9" l="1"/>
  <c r="N62" i="9" s="1"/>
  <c r="E6" i="9" s="1"/>
  <c r="O15" i="9" l="1"/>
  <c r="N61" i="9"/>
  <c r="N63" i="9"/>
  <c r="N69" i="9"/>
  <c r="N41" i="9"/>
  <c r="N16" i="9"/>
  <c r="N70" i="9" l="1"/>
</calcChain>
</file>

<file path=xl/sharedStrings.xml><?xml version="1.0" encoding="utf-8"?>
<sst xmlns="http://schemas.openxmlformats.org/spreadsheetml/2006/main" count="936" uniqueCount="426">
  <si>
    <t>Presupuesto</t>
  </si>
  <si>
    <t>Composición vertical</t>
  </si>
  <si>
    <t>Verticalmente se encuentran las siguientes seis (6) grupos presupuestales de un dígito que van del 1 al 6. El 1 y 2 siempre serán requeridos, aunque del 3 a la 6 deberán ser consultadas antes con COSUDE. Su orden o denominación no podrán ser modificados. Cada uno de estos grupo incluye partidas (2 dígitos o 1 decimal), los cuales a su vez incluyen subpartidas (3 dígitos o 2 decimales). Se debe calcular al final el total a nivel de grupo presupuestal y de partida.</t>
  </si>
  <si>
    <t>GRUPOS PRESUPUESTALES</t>
  </si>
  <si>
    <r>
      <t xml:space="preserve">1. </t>
    </r>
    <r>
      <rPr>
        <u/>
        <sz val="10"/>
        <rFont val="Arial"/>
        <family val="2"/>
      </rPr>
      <t>Gestión del proyecto</t>
    </r>
    <r>
      <rPr>
        <sz val="10"/>
        <rFont val="Arial"/>
        <family val="2"/>
      </rPr>
      <t>: Incluye los rubros del personal del proyecto, tanto las personas que están directamente involucradas directamente en implementar el proyecto (Oficial, asistente, tutores de protección, personal MERA) y personal que da soporte administrativo, financiero, logístico y demás a la operación sin incluir ningún personal expatriado.
De igual manera incluye los gastos de viaje (alojamiento, transporte, alimentación, viáticos) del personal que realizan seguimiento técnico y actividades transversales y complementarias, capacitaciones al personal material pedagógico, locación, hospedaje, transporte, refrigerios, visibilidad (camiseta, pegatina, valla, pendón, espacio radial, fotografía, vídeo, cuaderno, afiche, publicación, estudios de caso y gestión de partes interesadas Advocacy), seguimiento – evaluación – sistematización, compra de equipos para la oficina del proyecto (Celulares, radios, equipo de computador), funcionamiento de la oficina (teléfonos, celulares, arriendo material de oficina y sistema de seguridad) para las personas en los lugares de implementación.</t>
    </r>
  </si>
  <si>
    <r>
      <t xml:space="preserve">2. </t>
    </r>
    <r>
      <rPr>
        <u/>
        <sz val="10"/>
        <rFont val="Arial"/>
        <family val="2"/>
      </rPr>
      <t>Inversiones</t>
    </r>
    <r>
      <rPr>
        <sz val="10"/>
        <rFont val="Arial"/>
        <family val="2"/>
      </rPr>
      <t>: Inversiones del proyecto: Incluye los rubros de capacitaciones/actividades a la población meta los cuales comprenden un costo en desplazamiento importante a las distancias y material pedagógico, hospedaje, transporte, refrigerios); así mismo, infraestructura destinada a la población meta (adecuaciones, instalaciones, dotaciones, rehabilitaciones, mantenimiento, herramientas, terreno, arriendo espacios comunitario), componente nutricional en cada una de las actividades, componente lúdico - cultural (materiales de actividad recreativa, actividad deportiva, actividad cultural), estudios y/o recolección de datos (sectores salud, vivienda y/o educación). Visitas de seguimiento y gestión de casos (transportes de seguimiento, transportes de atención a casos urgentes de requerimiento de protección y materiales o cualquier tipo de recurso relaciona a atender la población meta. Intercambio en eventos de discusión e iniciativas de inversión especifica generadas por la población meta y sus intereses.</t>
    </r>
  </si>
  <si>
    <r>
      <t xml:space="preserve">3. </t>
    </r>
    <r>
      <rPr>
        <u/>
        <sz val="10"/>
        <rFont val="Arial"/>
        <family val="2"/>
      </rPr>
      <t>No aplica:</t>
    </r>
    <r>
      <rPr>
        <sz val="10"/>
        <rFont val="Arial"/>
        <family val="2"/>
      </rPr>
      <t xml:space="preserve"> Debe dejarse vacío. Se puede ocultar o eliminar sin cambiar la numeración de los siguientes</t>
    </r>
  </si>
  <si>
    <r>
      <t xml:space="preserve">4. </t>
    </r>
    <r>
      <rPr>
        <u/>
        <sz val="10"/>
        <rFont val="Arial"/>
        <family val="2"/>
      </rPr>
      <t>Auditoría</t>
    </r>
    <r>
      <rPr>
        <sz val="10"/>
        <rFont val="Arial"/>
        <family val="2"/>
      </rPr>
      <t>: indica el valor para ejecutar una auditoría externa al proyecto. COSUDE anunciará si es necesaria según las condiciones del proyecto.</t>
    </r>
  </si>
  <si>
    <r>
      <t xml:space="preserve">5. </t>
    </r>
    <r>
      <rPr>
        <u/>
        <sz val="10"/>
        <rFont val="Arial"/>
        <family val="2"/>
      </rPr>
      <t>Monitoreo y seguimiento</t>
    </r>
    <r>
      <rPr>
        <sz val="10"/>
        <rFont val="Arial"/>
        <family val="2"/>
      </rPr>
      <t>: Incluye los rubros de evaluación externa y sistematización (si se considera pertinente para el proyecto).</t>
    </r>
  </si>
  <si>
    <t>Partidas o Rubros (2 dígitos o un decimal)</t>
  </si>
  <si>
    <t xml:space="preserve">Las partidas permiten clasificar mejor los gastos de inversiones y gestiones principalmente, por lo que no suelen usarse en otros grupos presupuestales. Existen unas categorías ya propuestas que podrían ser empleadas según la conveniencia y pertinencia para el proyecto en cuestión o modificadas al momento de construir el presupuesto, en cuyo caso deben ser enviadas a aprobación de COSUDE. Llevan 2 dígitos separados de un punto medio, por lo que también se habla de un decimal. (Ej: 1.1, 1.2, 2.1, etc.), aunque en casos excepcionales después del punto podría llegar a haber 2 dígitos (Ej: 1.10, 2.12, etc.) El primer dígito debe coincidir con el grupo presupuestal al que pertence. Los cambios en los montos asignados a este nivel que excedan el 10% del valor vigente deben ser consultados necesariamente con COSUDE. </t>
  </si>
  <si>
    <t>Sub-partidas o Sub-rubros (3 dígitos o dos decimales)</t>
  </si>
  <si>
    <t>Las sub-partidas o sub-rubros son el nivel más amplio de detalle en el presupuesto, por lo que deben especificar muy bien el ítem prespuestado. Un ejemplo es el cargo de personal, el destino del gasto de viaje, el tipo de gasto de funcionamiento cargado o el tipo de ayuda a ser distribuido a la población meta, tal como "kits alimenticios" o "kits de aseo personal". Llevan 3 dígitos separados de dos puntos medio, por lo que también se habla de dos decimales. (Ej: 1.1.3, 1.2.5, 2.2.1, etc.), aunque en casos excepcionales después del punto podría llegar a haber 2 dígitos (Ej: 1.10.8, 2.12.7, etc.) Deben construirse a partir de las partidas a las que pertenezcan. Los cambios en montos a este nivel que excedan el 10% del valor vigente pueden ser consultados con COSUDE si la organización así lo prefiere, aunque deben tener en cuenta que no puede exceder el total aprobado.</t>
  </si>
  <si>
    <t>TOTAL GENERAL</t>
  </si>
  <si>
    <t>Debe ser la suma de los grupos presupuestales. Estos, a su vez, deben ser la suma de las partidas, y estas deben ser la suma de las sub-partidas.</t>
  </si>
  <si>
    <t>Composición Horizontal</t>
  </si>
  <si>
    <t>Costos Totales</t>
  </si>
  <si>
    <t>Horizontalmente, el presupuesto deben mostrar el costo unitario, las cantidades requeridas, una descripción de estas y un total de las mismas. Luego este total debe verse distribuido de 2 formas distintas: a nivel de efectos y a nivel de contribuyentes.</t>
  </si>
  <si>
    <t>Costo unitario (columna C): Es el valor de una unidad del ítem presupuestado. Debe llenarse a nivel de sub-partida, que es el nivel más específico.</t>
  </si>
  <si>
    <t>Unidad (Columna D): Debe mostrar la unidad de medición a la que hace referencia el costo unitario. Ej: Director, asistente, viaje, kit de autocuidado, taller, etc.</t>
  </si>
  <si>
    <t>Cantidad (Columna E): Es el número de cantidades requeridas de las unidades de medición y debe expresarse en número. Ej: 200 kits.</t>
  </si>
  <si>
    <t>Unidad de duración (Columna F): Es la unidad de tiempo con la que se medirán las repeticiones en que se incurrirá en el gasto. Ej: meses, semanas.</t>
  </si>
  <si>
    <t>Cantidad de la duración (Columna G): Es el número de repeticiones en que se incurrirá en el gasto y debe ir expresado en un valor</t>
  </si>
  <si>
    <t>Costo Total (H): Es el costo total del grupo presupuestal, la partida o sub-partida. Se obtiene multiplicando el costo unitario por la cantidad de unidaes y por la cantidad de repeticiones. Ej: el pago a una coordinadora que trabaja por 6 meses sería calculado su salario*1 coordinadora * 6 meses. (C*E*G)</t>
  </si>
  <si>
    <t>Costos por Efectos</t>
  </si>
  <si>
    <t xml:space="preserve">Una vez se tienen los costos totales, deben distribuirse entre los efectos planteados en la propuesta del proyecto (ProDoc) y entre costos o gastos administrativos. De esta manera, se puede ver qué tanta financiación están recibiendo cada una de las acciones. Se pueden ocultar o ampliar los efectos, según sea el caso del proyecto en cuestión. Estos cálculos debe hacerse a nivel de grupos presupuestales, de partidas y sub-partidas. Al sumar los costos o gastos distribuidos entre los diferentes efectos y los costos o gastos administrativos, el valor debe coincidir con el total aprobado.  </t>
  </si>
  <si>
    <t>Costos cargados a COSUDE y a la cofinanciación</t>
  </si>
  <si>
    <t>Los costos totales también deben distribuirse entre los contribuyentes del proyecto. Es decir: COSUDE y otros cofinanciadores. Estos cálculos deben hacerse a nivel de grupos presupuestales, de partidas y sub-partidas. Ej: un gasto de impresión de folletos para visibilidad puede ser asumido un 50% por COSUDE y un 50% por la ONG implementadora. Si el costo total (columna H) es de COP 5'000'000, COP 2'500'000 van a cargo de COSUDE y COP 2'500'000 van a cargo de la ONG.</t>
  </si>
  <si>
    <t>Asignación de los gastos administrativos a efectos</t>
  </si>
  <si>
    <t xml:space="preserve">Cuando los gastos administrativos no han sido repartidos horizontalmente se deben repartir entre los diferentes efectos. Algunas maneras de efectuar esta repartición son el prorrateo, un porcentaje fijo asignado a cada efecto, ley de pareto, etc. Hay rubros que siempre deberían ser catalogados como gastos administrativos y no distribuirse entre efectos, pues son necesarios para la gestión integral del ciclo de proyectos, como es el caso de la auditoría en cuyos proyectos haya lugar a esta. </t>
  </si>
  <si>
    <t>En caso de modificaciones al presupuesto</t>
  </si>
  <si>
    <t xml:space="preserve">Se debe diligenciar la pestaña "Modif. Presupuesto" con el nuevo presupuesto, como si se elaborara de cero. Se sugiere resaltar con otros colores los sub-rubros modificados. Luego, se debe diligenciar la pestaña "Modif. Presupuesto" en donde se debe poder contrastar el presupuesto anterior con el nuevo. Para ello es clave llenar la columna de "Nuevo costo total", de </t>
  </si>
  <si>
    <t>Ajustes Fecha "XX.XX.XXXX" (Debe incluirse la fecha en el título si hubo ajustes aprobados).</t>
  </si>
  <si>
    <t>En caso de haber ajustes aprobados por COSUDE, allí debe aparecer la diferencia entre el valor inicial y el nuevo valor. Esta debe aparecer como un valor positivo si el valor es superior al aprobado inicialmente, o como un valor negativo si este es inferior. De igual manera, debe poder verse en los sub-totales de partidas y grupos prespupuestales si los montos se incrementaron o decrecieron. Si hay ajustes más de una vez, deben adicionarse nuevas columnas donde se haga una operación frente a los últimos montos aprobados y deberán ocultarse, aunque no eliminarse, las columnas con las aprobaciones anteriores.</t>
  </si>
  <si>
    <t>Nuevo Aprobado Total</t>
  </si>
  <si>
    <t>Es el resultado entre la suma del aprobado total y los valores ajustados. Ej: Si el valor aprobado para gastos de viaje eran de COP 12'000'000, pero luego se acordó que se reducirían COP 3'000'000, la suma sería entre COP 12'000'000 y -COP 3'000'000, por lo que el nuevo aprobado sería COP 9'000'000. La operación debe replicarse a nivel de todas las sub-partidas, partidas, grupos prespupuestales y el total general.</t>
  </si>
  <si>
    <t>Informe Financiero</t>
  </si>
  <si>
    <t>Verticalmente la hoja de informe financiero debe respetar el mismo orden del presupuesto. No pueden incluirse nuevos grupos presupuestales, partidas o sub-partidas, renombrar o hacer cambios en el concepto de estos a menos que sea autorizado por COSUDE. A nivel vertical deben hacerse las sumas por sub-partidas y luego en las partidas deben formularse para sumar el total de las sub-partidas. Los grupos presupuestales deberán ser la suma de las partidas. Ej: La suma del grupo "1. GESTIONES" deben ser la suma de las partidas que componen el presupuesto como 1.1, 1.2, 1.3... Y estas deben ser la suma de sus respectivas sub-partidas. Por ejemplo, la 1.1 será la suma de 1.1.1, 1.1.2, 1.1.3...</t>
  </si>
  <si>
    <t>Total General Ejecutado, Ejecutado por Efectos, Total Ejecutado COSUDE y Total Ejecutado Cofinanciación</t>
  </si>
  <si>
    <t>Horizontalmente, el presupuesto debe respetar los valores en las columnas donde se ve el monto aprobado a nivel total, por efectos y en gastos cargados a COSUDE y a la cofinanciación. El propósito principal es mostrar una comparación entre dichos valores aprobados y la ejecución real, así como un porcentaje de ejecución a nivel total, de efectos y de gastos cargados a COSUDE y a la cofinanciación. Es necesario ver la ejecución en todos estos niveles. Ej: Si el valor total aprobado total para una compra de kits es COP 15'000'000, pero a la fecha del informe se han comprado la mitad, por un valor de COP 7'500'000, este es el valor que debe aparecer en el total. Si esta actividad va cargada al Efecto 1, en el acumulado de este efecto debería aparecer el mismo valor. Si dicha actividad va financiada en un 50% por COSUDE y en un 50% por la Organización Ejecutora, y los pagos de estos kits se han hecho siguiendo esta proporción, en Total Ejecutado COSUDE debería aparecer COP 3'750'000, igual que en Total Ejecutado Cofinanciación. El Total General Ejecutado debe coincidir con el Total Ejecutado por Efectos más los Gastos Administrativos, al igual que debe coincidir con el Total Ejecutado COSUDE y el Total Ejecutado de la Cofinanciación. Dichos valores deben coincidir en todas las sumas horizontales que se hagan a nivel de sub-partidas, partidas, grupos presupuestales y en el Total General.</t>
  </si>
  <si>
    <t>%Total General Ejecutado, %Ejecutado por Efectos, %Total Ejecutado COSUDE y %Total Ejecutado Cofinanciación</t>
  </si>
  <si>
    <t>En este caso debe aparecer un porcentaje al lado derecho de las columnas de Total General Ejecutado, Ejecutado por Efectos, Total Ejecutado COSUDE y Total Ejecutado Cofinanciación, en las que se compare la proporción a la que equivale el valor ejecutado frente al valor aprobado. La operación debe replicarse a nivel de todas las sub-partidas, partidas, grupos prespupuestales y el total general.</t>
  </si>
  <si>
    <t>Ejecutado "X Periodo" (Deben incluirse las fechas que comprende el periodo entre el último informe y el nuevo. Si es el primero, debe incluirse las fechas de inicio a las del último informe)</t>
  </si>
  <si>
    <t xml:space="preserve">Mientras que en las columnas de total acumulado, va el valor total desde el inicio del proyecto, aquí deben aparecer los montos entre el periodo entre el último informe y el nuevo. La suma del Total Ejecutado COSUDE debe coinicidir con la suma de todas las ejecuciones por cortes. Por esllo, si es el primer informe, el valor debe ser igual al acumulado total con gastos de COSUDE. </t>
  </si>
  <si>
    <t>Estado de Resultados o Conciliación de Saldo</t>
  </si>
  <si>
    <t>En este anexo al informe la idea es conocer el saldo del proyecto al restar los ingresos y los gastos, y hacer una comparación frente al saldo de los activos (caja, bancos y cuentas por cobrar) una vez se restan las cuentas por pagar. Los ingresos deben incluir los desembolsos a la fecha del informe (no los pactados a futuro), al igual que otros ingresos, si es el caso, al igual que rendimientos financieros obtenidos. Los gastos acumulados con fondos de COSUDE, junto con los de la cofinanciación. 
El saldo en bancos debe coincidir con el del extracto bancario para la cuenta del proyecto, mientras que el saldo en caja debe coincidir con un arqueo de caja firmado por representate legal y jefe de contabilidad. En ese último caso debe explicarse por qué el dinero no está en bancos, y se espera que sea un monto menor.
Las cuentas por pagar deben estar causadas y reportadas en el informe financiero. La organización deberá suministrar más información de por qué aún están pendientes de pago. En el caso de un informe final no debería haber cuentas por pagar, salvo que haya una razón legal por la que el pago no se ha hecho, por ejemplo, debido a un calendario tributario o de cesantías.</t>
  </si>
  <si>
    <t>Balance</t>
  </si>
  <si>
    <t>El propósito de este anexo es ver la composición de los activos y de los pasivos, según su tipo de liquidez.  No se incluye patrimonio, pues cualquier sobrante o saldo no ejecutado debe ser devuelto a COSUDE. Dicho esto, el objetivo del balance es ver si el saldo en banco, cajas o cuentas por cobrar es debido a un sobrante en el proyecto -en cuyo caso, el monto debe coincidir con saldo de ingresos recibidos-, o si este será destinado a cuentas por pagar que hayan sido causadas. Debe tenerse en cuenta que para informes finales, no debería haber gastos causados pero no pagados.</t>
  </si>
  <si>
    <t>Anexo 1.  Formato COSUDE Bogotá para la presentación del presupuesto de un proyecto.</t>
  </si>
  <si>
    <t>Nombre de la entidad ejecutora: Fundación Partners of the Americas</t>
  </si>
  <si>
    <t>Nombre del proyecto: PEP TUTOR</t>
  </si>
  <si>
    <t>Período que cubre el proyecto: 15/11/2024 al 15/12/2025</t>
  </si>
  <si>
    <t>Total período en meses: 13</t>
  </si>
  <si>
    <t>Presupesto en COP (Pesos Colombianos)</t>
  </si>
  <si>
    <t>COSTOS TOTALES</t>
  </si>
  <si>
    <t>COSTOS INDIRECTOS Y POR EFECTOS (DIRECTOS)</t>
  </si>
  <si>
    <t>COSUDE</t>
  </si>
  <si>
    <t>ONG solic.</t>
  </si>
  <si>
    <t>Otros</t>
  </si>
  <si>
    <t>Comunidad</t>
  </si>
  <si>
    <t>No.</t>
  </si>
  <si>
    <t>RUBROS PRESUPUESTALES</t>
  </si>
  <si>
    <t>Costo Unitario</t>
  </si>
  <si>
    <t>Unidad</t>
  </si>
  <si>
    <t>Cantidad</t>
  </si>
  <si>
    <t>Duración</t>
  </si>
  <si>
    <t>Costo Total</t>
  </si>
  <si>
    <t>C. Ad.</t>
  </si>
  <si>
    <t>%              C. Ad.</t>
  </si>
  <si>
    <t>Efecto 1</t>
  </si>
  <si>
    <t>%        Efecto 1</t>
  </si>
  <si>
    <t>Efecto 2</t>
  </si>
  <si>
    <t>%                             Efecto 2</t>
  </si>
  <si>
    <t>Efecto 3</t>
  </si>
  <si>
    <t>%                             Efecto 3</t>
  </si>
  <si>
    <t>Efecto 4</t>
  </si>
  <si>
    <t>% Efecto 4</t>
  </si>
  <si>
    <t xml:space="preserve">Total COSUDE </t>
  </si>
  <si>
    <t>% 
COSUDE</t>
  </si>
  <si>
    <t xml:space="preserve">%       
ONG </t>
  </si>
  <si>
    <t>%      
Otros</t>
  </si>
  <si>
    <t>% 
Comun.</t>
  </si>
  <si>
    <t xml:space="preserve">GESTIONES / TOTAL </t>
  </si>
  <si>
    <t xml:space="preserve">Porcentaje </t>
  </si>
  <si>
    <t>1.1</t>
  </si>
  <si>
    <t xml:space="preserve">Personal operativo </t>
  </si>
  <si>
    <t>1.1.1</t>
  </si>
  <si>
    <t>Director Tecnico (Dedicación 30%)</t>
  </si>
  <si>
    <t>Director</t>
  </si>
  <si>
    <t xml:space="preserve">Mes </t>
  </si>
  <si>
    <t>1.1.2</t>
  </si>
  <si>
    <t>Coordinador tecnico nacional (Dedicación 100%)</t>
  </si>
  <si>
    <t xml:space="preserve">Coordinador </t>
  </si>
  <si>
    <t>1.1.3</t>
  </si>
  <si>
    <t>Asesor tecnico (dedicación 15%)</t>
  </si>
  <si>
    <t xml:space="preserve">Asesor </t>
  </si>
  <si>
    <t>1.1.4</t>
  </si>
  <si>
    <t>Gestores territoriales (Dedicación 100%)</t>
  </si>
  <si>
    <t>Gestores</t>
  </si>
  <si>
    <t>1.1.5</t>
  </si>
  <si>
    <t>Oficial territorial  Cartagena (Dedicación 20%)</t>
  </si>
  <si>
    <t>Oficial</t>
  </si>
  <si>
    <t>1.2</t>
  </si>
  <si>
    <t xml:space="preserve">Personal administrativo </t>
  </si>
  <si>
    <t>1.2.1</t>
  </si>
  <si>
    <t>Asistente Administrativo (Dedicación 30%)</t>
  </si>
  <si>
    <t>Asistente</t>
  </si>
  <si>
    <t>1.2.2</t>
  </si>
  <si>
    <t>Coordinador Financiero y de Operaciones (Dedicación 15%)</t>
  </si>
  <si>
    <t>1.2.3</t>
  </si>
  <si>
    <t>Oficial RR HH (Dedicación 20%)</t>
  </si>
  <si>
    <t>1.3</t>
  </si>
  <si>
    <t>Consultores</t>
  </si>
  <si>
    <t>1.4</t>
  </si>
  <si>
    <t xml:space="preserve">Gastos viaje del personal + consultores  </t>
  </si>
  <si>
    <t>1.4.1</t>
  </si>
  <si>
    <t>Tiquetes aéreos</t>
  </si>
  <si>
    <t>Viaje</t>
  </si>
  <si>
    <t>1.4.2</t>
  </si>
  <si>
    <t>Dietas, transporte y hospedaje</t>
  </si>
  <si>
    <t>1.4.3</t>
  </si>
  <si>
    <t>Desplazamiento local implementación para gestores territoriales</t>
  </si>
  <si>
    <t>1.5</t>
  </si>
  <si>
    <t xml:space="preserve">Capacitaciones al personal </t>
  </si>
  <si>
    <t>1.6</t>
  </si>
  <si>
    <t xml:space="preserve">Visibilidad </t>
  </si>
  <si>
    <t>1.6.2</t>
  </si>
  <si>
    <t>Material POP (visibilidad personal operativo)</t>
  </si>
  <si>
    <t>1.7</t>
  </si>
  <si>
    <t>Funcionamiento de la Oficina</t>
  </si>
  <si>
    <t>1.7.1</t>
  </si>
  <si>
    <t>1.7.2</t>
  </si>
  <si>
    <t>Alquiler de equipos de computo (para el uso de los 4 Gestores territoriales y Coordinador Tecnico Nacional)</t>
  </si>
  <si>
    <t>unidad</t>
  </si>
  <si>
    <t>Persona</t>
  </si>
  <si>
    <t>1.8</t>
  </si>
  <si>
    <t xml:space="preserve">Seguimiento, evaluación, sistematización </t>
  </si>
  <si>
    <t>1.8.1</t>
  </si>
  <si>
    <t>Diagramación e impresión documento de buenas práctias y barreras (DOC a COSUDE)</t>
  </si>
  <si>
    <t>Producto</t>
  </si>
  <si>
    <t>INVERSIONES / TOTAL</t>
  </si>
  <si>
    <t>Porcentaje</t>
  </si>
  <si>
    <t>2.1</t>
  </si>
  <si>
    <t>Infraestructura destinada a la pobl. meta</t>
  </si>
  <si>
    <t>2.1.1</t>
  </si>
  <si>
    <t>Habilitación de canal de difusión - WhatsApp</t>
  </si>
  <si>
    <t xml:space="preserve">Difusión </t>
  </si>
  <si>
    <t>2.1.2</t>
  </si>
  <si>
    <t>Diseño de caja de herramientas (Tres instrumentos gráficos y pancartas)</t>
  </si>
  <si>
    <t>Global</t>
  </si>
  <si>
    <t>2.1.3</t>
  </si>
  <si>
    <t>Diseño de caja de herramientas - Producción y edición de Video</t>
  </si>
  <si>
    <t>2.1.4</t>
  </si>
  <si>
    <t xml:space="preserve">Impresión caja de herramientas </t>
  </si>
  <si>
    <t>2.1.5</t>
  </si>
  <si>
    <t xml:space="preserve">Gastos - tramites apoyo a las familias </t>
  </si>
  <si>
    <t>Familia</t>
  </si>
  <si>
    <t>2.1.6</t>
  </si>
  <si>
    <t>Envío caja de herramientas a 294 destinos</t>
  </si>
  <si>
    <t>2.1.7</t>
  </si>
  <si>
    <t xml:space="preserve">Materiales para talleres </t>
  </si>
  <si>
    <t>2.1.8</t>
  </si>
  <si>
    <t>Alquiler espacios para talleres</t>
  </si>
  <si>
    <t>2.1.9</t>
  </si>
  <si>
    <t>Diagramación e impresión documento de buenas práctias y barreras para entrega al Gobierno Nacionall</t>
  </si>
  <si>
    <t>2.2</t>
  </si>
  <si>
    <t xml:space="preserve">Capacitaciones destinadas a la pobl. meta </t>
  </si>
  <si>
    <t>2.2.1</t>
  </si>
  <si>
    <t>Grupo focal para pilotear caja de herramientas</t>
  </si>
  <si>
    <t>Participantes</t>
  </si>
  <si>
    <t>2.2.2</t>
  </si>
  <si>
    <t>Talleres con familias (20 personas en 6 ciudades)</t>
  </si>
  <si>
    <t>2.2.3</t>
  </si>
  <si>
    <t>Talleres psicorientadores de colegios (10 personas en 6 ciudades)</t>
  </si>
  <si>
    <t>2.2.4</t>
  </si>
  <si>
    <t>Talleres con funcionarios públicos (12 personas en 6 ciudades)</t>
  </si>
  <si>
    <t>2.2.5</t>
  </si>
  <si>
    <t>Talleres con funcionarios públicos (5 personas OSC en 6 ciudades)</t>
  </si>
  <si>
    <t>2.2.6</t>
  </si>
  <si>
    <t>Reuniones preparatorias y se seguimiento con gobierno nacional</t>
  </si>
  <si>
    <t>Reunión</t>
  </si>
  <si>
    <t>Semanas</t>
  </si>
  <si>
    <t>2.2.7</t>
  </si>
  <si>
    <t>Dialogo de incidencia con gobierno nacional (25 personas) - almuerzo</t>
  </si>
  <si>
    <t>OVERHEAD</t>
  </si>
  <si>
    <t>Porcentaje (sobre suma TOTAL 1 y 2)</t>
  </si>
  <si>
    <t>Porcentajes sobre el TOTAL GENERAL</t>
  </si>
  <si>
    <t>Asignación de los costos administrativos a los efectos</t>
  </si>
  <si>
    <t>% Admin./Efecto</t>
  </si>
  <si>
    <t>Costo Admin./Efec.</t>
  </si>
  <si>
    <t>Costo Efectos</t>
  </si>
  <si>
    <t>Total Costo Efectos*</t>
  </si>
  <si>
    <t>* (costos admin. y efecto)</t>
  </si>
  <si>
    <t>Pago</t>
  </si>
  <si>
    <t>Fecha máxima de entrega de informes</t>
  </si>
  <si>
    <t>Fecha tentativa del pago</t>
  </si>
  <si>
    <t>Valor (Moneda)</t>
  </si>
  <si>
    <t>Condiciones</t>
  </si>
  <si>
    <t>Período informes (Desde - Hasta)</t>
  </si>
  <si>
    <t>% del total</t>
  </si>
  <si>
    <t>1. Desembolso</t>
  </si>
  <si>
    <t>N/A</t>
  </si>
  <si>
    <t xml:space="preserve">Tras la firma del contrato, bajo la modalidad de anticipo. </t>
  </si>
  <si>
    <t>No aplica</t>
  </si>
  <si>
    <t>2. Desembolso</t>
  </si>
  <si>
    <t xml:space="preserve">Tras recepción y aprobación por parte de la COSUDE de:
•	Informe financiero final (IF).
•	Informe operativo finl(IO.
</t>
  </si>
  <si>
    <t>TOTAL</t>
  </si>
  <si>
    <t/>
  </si>
  <si>
    <t>*Los desembolsos se autorizan cuando se supera el 70% de ejecución, en el informe aprobado.</t>
  </si>
  <si>
    <t>** IF = Informe Financiero, IO = Informe Operativo, IA = Informe de Auditoria</t>
  </si>
  <si>
    <t xml:space="preserve">*** El informe de auditoria se debe presentar dentro de los siguientes 45 días de la fecha de entrega de informes Operativo y Financiero. </t>
  </si>
  <si>
    <t>Nombre de la entidad ejecutora:</t>
  </si>
  <si>
    <t>Nombre del proyecto:</t>
  </si>
  <si>
    <t>Período que cubre el proyecto:</t>
  </si>
  <si>
    <t>Total período en meses:</t>
  </si>
  <si>
    <t>Efecto 1:</t>
  </si>
  <si>
    <t xml:space="preserve">Efecto 2: </t>
  </si>
  <si>
    <t xml:space="preserve">Efecto 3: </t>
  </si>
  <si>
    <t>Nuevo Costo Unitario</t>
  </si>
  <si>
    <t>Nueva Cantidad</t>
  </si>
  <si>
    <t>Nueva Duración</t>
  </si>
  <si>
    <t>Nuevo Costo Total</t>
  </si>
  <si>
    <t>Nuevo costo Total</t>
  </si>
  <si>
    <t>Costos Indirectos</t>
  </si>
  <si>
    <t>Ajustes Fecha XX.XX.XX</t>
  </si>
  <si>
    <t>Nuevo total ONG</t>
  </si>
  <si>
    <t>…</t>
  </si>
  <si>
    <t>2.3</t>
  </si>
  <si>
    <t>Generación de Ingresos</t>
  </si>
  <si>
    <t>2.4</t>
  </si>
  <si>
    <t>Levantamiento de la Línea Base</t>
  </si>
  <si>
    <t>4</t>
  </si>
  <si>
    <t>AUDITORIA EXTERNA / TOTAL</t>
  </si>
  <si>
    <t>Costos directos</t>
  </si>
  <si>
    <t>Costos indirectos</t>
  </si>
  <si>
    <t xml:space="preserve"> </t>
  </si>
  <si>
    <t xml:space="preserve">Total COSUDE anterior </t>
  </si>
  <si>
    <t>Anexo 2.  Formato COSUDE Bogotá para la presentación de  los informes financieros de un proyecto.</t>
  </si>
  <si>
    <t>Período que cubre el informe:</t>
  </si>
  <si>
    <t>Efecto 2:</t>
  </si>
  <si>
    <t>en COP (Pesos Colombianos)</t>
  </si>
  <si>
    <t>Totales</t>
  </si>
  <si>
    <t>Total General Aprobado</t>
  </si>
  <si>
    <t>Total General Ejecutado</t>
  </si>
  <si>
    <t>%Ejec. Total</t>
  </si>
  <si>
    <t>Aprobado Total Admin.</t>
  </si>
  <si>
    <t>Ejecutado Acumulado   Admin.</t>
  </si>
  <si>
    <t>%Ejec. Admin.</t>
  </si>
  <si>
    <t xml:space="preserve">Aprobado Total           Efecto 1 </t>
  </si>
  <si>
    <t xml:space="preserve">Ejecutado Acumulado Efecto 1 </t>
  </si>
  <si>
    <t>%Ejec. Acum. Efecto 1</t>
  </si>
  <si>
    <t xml:space="preserve">Aprobado Total           Efecto 2 </t>
  </si>
  <si>
    <t xml:space="preserve">Ejecutado Acumulado     Efecto 2 </t>
  </si>
  <si>
    <t>% Ejec. Acum. Efecto 2</t>
  </si>
  <si>
    <t>Aprobado                Total</t>
  </si>
  <si>
    <t>Ajustes       Fecha…</t>
  </si>
  <si>
    <t xml:space="preserve">Ejecutado 1. período </t>
  </si>
  <si>
    <t xml:space="preserve">Ejecutado 2. período </t>
  </si>
  <si>
    <t xml:space="preserve">Ejecutado 3. período </t>
  </si>
  <si>
    <t xml:space="preserve">Ejecutado 4. período </t>
  </si>
  <si>
    <t>Ejecutado Acumulado</t>
  </si>
  <si>
    <t>% Ejec. Acum.</t>
  </si>
  <si>
    <t>Aprobado Total</t>
  </si>
  <si>
    <t>Porcentaje sobre el total general</t>
  </si>
  <si>
    <t>Porcentaje ( % sobre suma TOTAL 1 y 2)</t>
  </si>
  <si>
    <t>Porcentaje (sobre el Total General)</t>
  </si>
  <si>
    <t xml:space="preserve">Resumen Fondos COSUDE </t>
  </si>
  <si>
    <t>Asignación de los gastos administrativos a los efectos</t>
  </si>
  <si>
    <t>en COP</t>
  </si>
  <si>
    <t>%</t>
  </si>
  <si>
    <t xml:space="preserve">                   Pagos recibidos:</t>
  </si>
  <si>
    <t>Fecha...:</t>
  </si>
  <si>
    <t>Gasto Admin./Efec.</t>
  </si>
  <si>
    <t>Gastos Efectos</t>
  </si>
  <si>
    <t>Total Gastos Efectos*</t>
  </si>
  <si>
    <t>* (gastos admin. y efecto)</t>
  </si>
  <si>
    <t>Otros ingresos:</t>
  </si>
  <si>
    <t>Rendimientos Financieros:</t>
  </si>
  <si>
    <t>Total ingresos:</t>
  </si>
  <si>
    <t>Gastos acumulados reportados:</t>
  </si>
  <si>
    <t>Saldo de fondos al….:</t>
  </si>
  <si>
    <t>Aprobaciones</t>
  </si>
  <si>
    <t>Nombre</t>
  </si>
  <si>
    <t>Firma</t>
  </si>
  <si>
    <t>Representante Legal</t>
  </si>
  <si>
    <t>Contador o Revisor Fiscal</t>
  </si>
  <si>
    <t>ESTADO DE RESULTADOS / CONCILIACION SALDOS</t>
  </si>
  <si>
    <t>Organización:</t>
  </si>
  <si>
    <t>Proyecto:</t>
  </si>
  <si>
    <t>No. 7F- COSUDE:</t>
  </si>
  <si>
    <t>Período:</t>
  </si>
  <si>
    <t>Moneda: Pesos Colombianos (COP)</t>
  </si>
  <si>
    <t>INGRESOS</t>
  </si>
  <si>
    <t>Aportes COSUDE a la fecha:</t>
  </si>
  <si>
    <t>3. Desembolso</t>
  </si>
  <si>
    <t>4. Desembolso</t>
  </si>
  <si>
    <t>etc.</t>
  </si>
  <si>
    <t>Otros Ingresos</t>
  </si>
  <si>
    <t>Total Aportes COSUDE a la fecha</t>
  </si>
  <si>
    <t>Aportes Cofinanciación a la fecha:</t>
  </si>
  <si>
    <t>Cofinanciador 1</t>
  </si>
  <si>
    <t>Cofinanciador 2</t>
  </si>
  <si>
    <t>Cofinanciador 3</t>
  </si>
  <si>
    <t>Total Aportes Cofinanciación a la fecha</t>
  </si>
  <si>
    <t>Rendimientos Financieros COSUDE</t>
  </si>
  <si>
    <t>Rendimientos Financieros Confinanciación</t>
  </si>
  <si>
    <t>Total Rendimientos Financieros a la fecha</t>
  </si>
  <si>
    <t>TOTAL INGRESOS</t>
  </si>
  <si>
    <t>EGRESOS</t>
  </si>
  <si>
    <t>Gastos con aportes COSUDE</t>
  </si>
  <si>
    <t>Gastos con aportes Cofinanciación</t>
  </si>
  <si>
    <t>TOTAL EGRESOS</t>
  </si>
  <si>
    <t>SALDO DEL PROYECTO</t>
  </si>
  <si>
    <t>CONCILIACION SALDO</t>
  </si>
  <si>
    <t>Efectivo en Bancos y Caja:</t>
  </si>
  <si>
    <t>Efectivo en Caja COSUDE</t>
  </si>
  <si>
    <t>Efectivo en Banco COSUDE</t>
  </si>
  <si>
    <t>Efectivo en Caja Cofinanciación</t>
  </si>
  <si>
    <t>Efectivo en Banco Confinanciación</t>
  </si>
  <si>
    <t>Cuentas por cobrar:</t>
  </si>
  <si>
    <t>a ser cargadas a COSUDE</t>
  </si>
  <si>
    <t>a ser cargadas a la Cofinanciación</t>
  </si>
  <si>
    <t>Cuentas por pagar:</t>
  </si>
  <si>
    <t>cargadas a COSUDE</t>
  </si>
  <si>
    <t>cargadas a la Cofinanciación</t>
  </si>
  <si>
    <t>SALDO CONCILIADO</t>
  </si>
  <si>
    <t>BALANCE</t>
  </si>
  <si>
    <t xml:space="preserve">Balance al: </t>
  </si>
  <si>
    <t>ACTIVOS</t>
  </si>
  <si>
    <t>COSUDE:</t>
  </si>
  <si>
    <t>Caja</t>
  </si>
  <si>
    <t>Banco XXX Cta.</t>
  </si>
  <si>
    <t>TOTAL EFECTIVO COSUDE</t>
  </si>
  <si>
    <t>Cofinanciación:</t>
  </si>
  <si>
    <t>Bancos</t>
  </si>
  <si>
    <t>TOTAL EFECTIVO COFINANCIACION</t>
  </si>
  <si>
    <t>Cuentas por Cobrar:</t>
  </si>
  <si>
    <t>TOTAL ACTIVOS</t>
  </si>
  <si>
    <t>PASIVOS</t>
  </si>
  <si>
    <t>Saldo ingresos recibidos por:</t>
  </si>
  <si>
    <t>Cofinanciación</t>
  </si>
  <si>
    <t>TOTAL SALDO INGRESOS RECIBIDOS</t>
  </si>
  <si>
    <t>Cuentas por Pagar:</t>
  </si>
  <si>
    <t>TOTAL CUENTAS POR PAGAR</t>
  </si>
  <si>
    <t>TOTAL PASIVOS</t>
  </si>
  <si>
    <t>Nombre de la entidad ejecutora: Fundación P</t>
  </si>
  <si>
    <t>Nombre del proyecto: Asistencia Humanitaria</t>
  </si>
  <si>
    <t>Período que cubre el proyecto: 01.10.2021 - 31.03.2022</t>
  </si>
  <si>
    <t>Período que cubre el informe: 01.20.2021 - 31.12.2021</t>
  </si>
  <si>
    <t>Fundación P</t>
  </si>
  <si>
    <t>Ajustes       Fecha 01.11.2021</t>
  </si>
  <si>
    <t>Ejecutado 1. período (09.12.201-31.03.2022)</t>
  </si>
  <si>
    <t>Ejecutado 2. período  (01.04.2022-30.11.2022)</t>
  </si>
  <si>
    <t>Coordinador de proyecto (Dedicación 100%)</t>
  </si>
  <si>
    <t>Asistente operacional (Dedicación 50%)</t>
  </si>
  <si>
    <t>Coordinadora administrativa y financiera (Dedicación 100%)</t>
  </si>
  <si>
    <t>Contadora (Dedicación 40%)</t>
  </si>
  <si>
    <t>Tiquetes aéreos a terreno</t>
  </si>
  <si>
    <t>Dietas y hospedaje</t>
  </si>
  <si>
    <t>Kits de primera necesidad</t>
  </si>
  <si>
    <t>Transporte y entrega de kits</t>
  </si>
  <si>
    <t>Jornadas de autoprotección y defensa del territorio</t>
  </si>
  <si>
    <t>Fecha: 01.10.2021</t>
  </si>
  <si>
    <t>Organización: Fundación P</t>
  </si>
  <si>
    <t>Proyecto: Asistencia Humanitaria</t>
  </si>
  <si>
    <t>No. 7F- COSUDE: 7F-55555.01.01</t>
  </si>
  <si>
    <t>Período: 01.09.2021-31.12.2021</t>
  </si>
  <si>
    <t xml:space="preserve">No desembolso </t>
  </si>
  <si>
    <t>No pago</t>
  </si>
  <si>
    <t>Tras la recepción y aprobación por parte de COSUDE de: 
*Informe financiero parcial (IF)
Informe operacional parcial</t>
  </si>
  <si>
    <t xml:space="preserve">No pago </t>
  </si>
  <si>
    <t>Partners of the Americas</t>
  </si>
  <si>
    <t>Alquiler Puesto de trabajo (Coordinador Tecnico Nacional)</t>
  </si>
  <si>
    <t xml:space="preserve">IF: 10.15.2024 - 05/15/2025                   
IO: 10.15.2024 - 05/15/2025   </t>
  </si>
  <si>
    <t xml:space="preserve">IF: 10.15.2024 - 11/14/2025                   
IO: 10.15.2024 - 11/14/2025             </t>
  </si>
  <si>
    <t xml:space="preserve">Efecto 1:  </t>
  </si>
  <si>
    <t xml:space="preserve">Efecto 2:  </t>
  </si>
  <si>
    <t xml:space="preserve">Efecto 3:  </t>
  </si>
  <si>
    <t xml:space="preserve">Efecto 4:  </t>
  </si>
  <si>
    <t>Country Code</t>
  </si>
  <si>
    <t>Program Dept.:</t>
  </si>
  <si>
    <t>Funder-Grant:</t>
  </si>
  <si>
    <t>COSUDE1</t>
  </si>
  <si>
    <t>COL2</t>
  </si>
  <si>
    <t>Account Code</t>
  </si>
  <si>
    <t>Budget Code</t>
  </si>
  <si>
    <t>PERSNL-TEC</t>
  </si>
  <si>
    <t>PERSNL-COR</t>
  </si>
  <si>
    <t>PERSNL-GES</t>
  </si>
  <si>
    <t>70000</t>
  </si>
  <si>
    <t>IN-KIND</t>
  </si>
  <si>
    <t>96000</t>
  </si>
  <si>
    <t>PERSNL-AST</t>
  </si>
  <si>
    <t>PERSNL-F&amp;A</t>
  </si>
  <si>
    <t>86040</t>
  </si>
  <si>
    <t>86050</t>
  </si>
  <si>
    <t>86000</t>
  </si>
  <si>
    <t>STFTRAVEL</t>
  </si>
  <si>
    <t>STFCN DIEM</t>
  </si>
  <si>
    <t>LOCAL TRVL</t>
  </si>
  <si>
    <t>86050 (M&amp;IE)/ 86030 (Lodging)/ 86000 (Transport)</t>
  </si>
  <si>
    <t>MATL</t>
  </si>
  <si>
    <t>DIAGRAM</t>
  </si>
  <si>
    <t>85300</t>
  </si>
  <si>
    <t>DIFUSION</t>
  </si>
  <si>
    <t>90450</t>
  </si>
  <si>
    <t>POSTAGE</t>
  </si>
  <si>
    <t>82350</t>
  </si>
  <si>
    <t>82420</t>
  </si>
  <si>
    <t>87000</t>
  </si>
  <si>
    <t>RENTWORK</t>
  </si>
  <si>
    <t>DOCPRACT</t>
  </si>
  <si>
    <t>SUPPORTFAM</t>
  </si>
  <si>
    <t>PRINTTOOL</t>
  </si>
  <si>
    <t>DESIGNTOOL</t>
  </si>
  <si>
    <t>IDC</t>
  </si>
  <si>
    <t>87010</t>
  </si>
  <si>
    <t>FOCALGROUP</t>
  </si>
  <si>
    <t>WORKSHPFAM</t>
  </si>
  <si>
    <t>WORKSHPGOV</t>
  </si>
  <si>
    <t>WORKSHPSYO</t>
  </si>
  <si>
    <t>PREPGOVMET</t>
  </si>
  <si>
    <t>DIALOGGOV</t>
  </si>
  <si>
    <t>Total COSUDE in COP</t>
  </si>
  <si>
    <t>Total COSUDE in USD</t>
  </si>
  <si>
    <t>Exchange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</si>
</sst>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_-;\-* #,##0_-;_-* &quot;-&quot;_-;_-@_-"/>
    <numFmt numFmtId="165" formatCode="_ * #,##0_ ;_ * \-#,##0_ ;_ * &quot;-&quot;_ ;_ @_ "/>
    <numFmt numFmtId="166" formatCode="_ &quot;Fr.&quot;\ * #,##0.00_ ;_ &quot;Fr.&quot;\ * \-#,##0.00_ ;_ &quot;Fr.&quot;\ * &quot;-&quot;??_ ;_ @_ "/>
    <numFmt numFmtId="167" formatCode="_ * #,##0.00_ ;_ * \-#,##0.00_ ;_ * &quot;-&quot;??_ ;_ @_ "/>
    <numFmt numFmtId="168" formatCode="0.0%"/>
    <numFmt numFmtId="169" formatCode="_ * #,##0_ ;_ * \-#,##0_ ;_ * &quot;-&quot;??_ ;_ @_ "/>
    <numFmt numFmtId="170" formatCode="_ * #,##0.0_ ;_ * \-#,##0.0_ ;_ * &quot;-&quot;??_ ;_ @_ "/>
    <numFmt numFmtId="171" formatCode="_ * #,##0.0_ ;_ * \-#,##0.0_ ;_ * &quot;-&quot;?_ ;_ @_ "/>
    <numFmt numFmtId="172" formatCode="_(* #,##0_);_(* \(#,##0\);_(* &quot;-&quot;??_);_(@_)"/>
    <numFmt numFmtId="173" formatCode="#,##0_ ;\-#,##0\ "/>
  </numFmts>
  <fonts count="26" x14ac:knownFonts="1">
    <font>
      <sz val="10"/>
      <color theme="1"/>
      <name val="Arial"/>
      <family val="2"/>
    </font>
    <font>
      <sz val="11"/>
      <color theme="1"/>
      <name val="Calibri"/>
      <family val="2"/>
      <scheme val="minor"/>
    </font>
    <font>
      <sz val="10"/>
      <name val="Arial"/>
      <family val="2"/>
    </font>
    <font>
      <sz val="8"/>
      <name val="Arial"/>
      <family val="2"/>
    </font>
    <font>
      <sz val="10"/>
      <name val="Arial"/>
      <family val="2"/>
    </font>
    <font>
      <b/>
      <sz val="9"/>
      <name val="Arial"/>
      <family val="2"/>
    </font>
    <font>
      <sz val="7"/>
      <name val="Arial"/>
      <family val="2"/>
    </font>
    <font>
      <b/>
      <sz val="8"/>
      <name val="Arial"/>
      <family val="2"/>
    </font>
    <font>
      <b/>
      <sz val="7"/>
      <name val="Arial"/>
      <family val="2"/>
    </font>
    <font>
      <b/>
      <sz val="10"/>
      <name val="Arial"/>
      <family val="2"/>
    </font>
    <font>
      <b/>
      <sz val="9"/>
      <color theme="1"/>
      <name val="Arial"/>
      <family val="2"/>
    </font>
    <font>
      <b/>
      <sz val="11"/>
      <color theme="1"/>
      <name val="Arial"/>
      <family val="2"/>
    </font>
    <font>
      <sz val="11"/>
      <color theme="1"/>
      <name val="Arial"/>
      <family val="2"/>
    </font>
    <font>
      <b/>
      <i/>
      <sz val="11"/>
      <color theme="1"/>
      <name val="Arial"/>
      <family val="2"/>
    </font>
    <font>
      <sz val="10"/>
      <color theme="1"/>
      <name val="Arial"/>
      <family val="2"/>
    </font>
    <font>
      <i/>
      <sz val="10"/>
      <name val="Arial"/>
      <family val="2"/>
    </font>
    <font>
      <u/>
      <sz val="10"/>
      <name val="Arial"/>
      <family val="2"/>
    </font>
    <font>
      <sz val="10"/>
      <name val="Arial"/>
      <family val="2"/>
    </font>
    <font>
      <i/>
      <sz val="7"/>
      <name val="Arial"/>
      <family val="2"/>
    </font>
    <font>
      <b/>
      <sz val="11"/>
      <color rgb="FF242424"/>
      <name val="Aptos Narrow"/>
    </font>
    <font>
      <b/>
      <sz val="11"/>
      <name val="Calibri"/>
      <family val="2"/>
      <scheme val="minor"/>
    </font>
    <font>
      <b/>
      <sz val="10"/>
      <name val="Calibri"/>
      <family val="2"/>
      <scheme val="minor"/>
    </font>
    <font>
      <sz val="10"/>
      <name val="Calibri"/>
      <family val="2"/>
      <scheme val="minor"/>
    </font>
    <font>
      <sz val="9"/>
      <name val="Calibri"/>
      <family val="2"/>
      <scheme val="minor"/>
    </font>
    <font>
      <sz val="7"/>
      <name val="Calibri"/>
      <family val="2"/>
      <scheme val="minor"/>
    </font>
    <font>
      <b/>
      <sz val="12"/>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1"/>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0" tint="-0.14999847407452621"/>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style="double">
        <color indexed="64"/>
      </bottom>
      <diagonal/>
    </border>
    <border>
      <left/>
      <right style="thick">
        <color indexed="64"/>
      </right>
      <top style="thin">
        <color indexed="64"/>
      </top>
      <bottom style="double">
        <color indexed="64"/>
      </bottom>
      <diagonal/>
    </border>
    <border>
      <left style="thick">
        <color indexed="64"/>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ck">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thin">
        <color indexed="64"/>
      </left>
      <right style="thick">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thin">
        <color indexed="64"/>
      </top>
      <bottom style="medium">
        <color indexed="64"/>
      </bottom>
      <diagonal/>
    </border>
    <border>
      <left style="thick">
        <color indexed="64"/>
      </left>
      <right/>
      <top style="double">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2">
    <xf numFmtId="0" fontId="0" fillId="0" borderId="0"/>
    <xf numFmtId="0" fontId="2"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0" fontId="4" fillId="0" borderId="0"/>
    <xf numFmtId="167" fontId="14" fillId="0" borderId="0" applyFont="0" applyFill="0" applyBorder="0" applyAlignment="0" applyProtection="0"/>
    <xf numFmtId="9" fontId="14" fillId="0" borderId="0" applyFont="0" applyFill="0" applyBorder="0" applyAlignment="0" applyProtection="0"/>
    <xf numFmtId="0" fontId="2" fillId="0" borderId="0"/>
    <xf numFmtId="0" fontId="17" fillId="0" borderId="0"/>
    <xf numFmtId="9" fontId="2" fillId="0" borderId="0" applyFont="0" applyFill="0" applyBorder="0" applyAlignment="0" applyProtection="0"/>
    <xf numFmtId="167"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44" fontId="14" fillId="0" borderId="0" applyFont="0" applyFill="0" applyBorder="0" applyAlignment="0" applyProtection="0"/>
    <xf numFmtId="0" fontId="1" fillId="0" borderId="0"/>
    <xf numFmtId="0" fontId="2" fillId="0" borderId="0"/>
    <xf numFmtId="44" fontId="1" fillId="0" borderId="0" applyFont="0" applyFill="0" applyBorder="0" applyAlignment="0" applyProtection="0"/>
  </cellStyleXfs>
  <cellXfs count="727">
    <xf numFmtId="0" fontId="0" fillId="0" borderId="0" xfId="0"/>
    <xf numFmtId="0" fontId="2" fillId="0" borderId="0" xfId="1"/>
    <xf numFmtId="0" fontId="3" fillId="0" borderId="0" xfId="2" applyFont="1"/>
    <xf numFmtId="0" fontId="5" fillId="0" borderId="0" xfId="2" applyFont="1"/>
    <xf numFmtId="0" fontId="6" fillId="0" borderId="0" xfId="1" applyFont="1"/>
    <xf numFmtId="0" fontId="2" fillId="2" borderId="0" xfId="1" applyFill="1"/>
    <xf numFmtId="0" fontId="6" fillId="2" borderId="0" xfId="2" applyFont="1" applyFill="1"/>
    <xf numFmtId="0" fontId="6" fillId="2" borderId="0" xfId="1" applyFont="1" applyFill="1"/>
    <xf numFmtId="0" fontId="5" fillId="4" borderId="0" xfId="2" applyFont="1" applyFill="1"/>
    <xf numFmtId="0" fontId="7" fillId="0" borderId="0" xfId="2" applyFont="1"/>
    <xf numFmtId="0" fontId="7" fillId="5" borderId="1" xfId="2" applyFont="1" applyFill="1" applyBorder="1" applyAlignment="1">
      <alignment horizontal="center" vertical="center" wrapText="1"/>
    </xf>
    <xf numFmtId="0" fontId="7" fillId="5" borderId="3" xfId="2" applyFont="1" applyFill="1" applyBorder="1" applyAlignment="1">
      <alignment horizontal="center" vertical="center" wrapText="1"/>
    </xf>
    <xf numFmtId="0" fontId="7" fillId="5" borderId="6" xfId="2" applyFont="1" applyFill="1" applyBorder="1" applyAlignment="1">
      <alignment horizontal="center" vertical="center" wrapText="1"/>
    </xf>
    <xf numFmtId="0" fontId="7" fillId="2" borderId="0" xfId="2" applyFont="1" applyFill="1"/>
    <xf numFmtId="0" fontId="5" fillId="2" borderId="0" xfId="2" applyFont="1" applyFill="1"/>
    <xf numFmtId="9" fontId="2" fillId="0" borderId="0" xfId="4" applyFont="1" applyBorder="1"/>
    <xf numFmtId="9" fontId="5" fillId="4" borderId="0" xfId="4" applyFont="1" applyFill="1" applyBorder="1" applyAlignment="1">
      <alignment horizontal="left"/>
    </xf>
    <xf numFmtId="9" fontId="5" fillId="2" borderId="0" xfId="4" applyFont="1" applyFill="1" applyBorder="1"/>
    <xf numFmtId="9" fontId="6" fillId="2" borderId="0" xfId="4" applyFont="1" applyFill="1"/>
    <xf numFmtId="9" fontId="7" fillId="5" borderId="1" xfId="4" applyFont="1" applyFill="1" applyBorder="1" applyAlignment="1">
      <alignment horizontal="center" vertical="center" wrapText="1"/>
    </xf>
    <xf numFmtId="0" fontId="7" fillId="3" borderId="4" xfId="1" applyFont="1" applyFill="1" applyBorder="1"/>
    <xf numFmtId="167" fontId="7" fillId="3" borderId="4" xfId="5" applyFont="1" applyFill="1" applyBorder="1"/>
    <xf numFmtId="0" fontId="7" fillId="3" borderId="3" xfId="1" applyFont="1" applyFill="1" applyBorder="1"/>
    <xf numFmtId="0" fontId="7" fillId="3" borderId="5" xfId="1" applyFont="1" applyFill="1" applyBorder="1"/>
    <xf numFmtId="0" fontId="7" fillId="3" borderId="6" xfId="1" applyFont="1" applyFill="1" applyBorder="1"/>
    <xf numFmtId="0" fontId="3" fillId="0" borderId="0" xfId="1" applyFont="1"/>
    <xf numFmtId="9" fontId="7" fillId="3" borderId="4" xfId="4" applyFont="1" applyFill="1" applyBorder="1"/>
    <xf numFmtId="0" fontId="3" fillId="4" borderId="1" xfId="1" applyFont="1" applyFill="1" applyBorder="1"/>
    <xf numFmtId="0" fontId="3" fillId="2" borderId="3" xfId="1" applyFont="1" applyFill="1" applyBorder="1"/>
    <xf numFmtId="0" fontId="3" fillId="2" borderId="5" xfId="1" applyFont="1" applyFill="1" applyBorder="1"/>
    <xf numFmtId="0" fontId="3" fillId="2" borderId="4" xfId="1" applyFont="1" applyFill="1" applyBorder="1"/>
    <xf numFmtId="0" fontId="3" fillId="2" borderId="6" xfId="1" applyFont="1" applyFill="1" applyBorder="1"/>
    <xf numFmtId="0" fontId="3" fillId="2" borderId="1" xfId="1" applyFont="1" applyFill="1" applyBorder="1"/>
    <xf numFmtId="0" fontId="3" fillId="2" borderId="0" xfId="1" applyFont="1" applyFill="1"/>
    <xf numFmtId="0" fontId="3" fillId="4" borderId="5" xfId="1" applyFont="1" applyFill="1" applyBorder="1"/>
    <xf numFmtId="0" fontId="7" fillId="5" borderId="5" xfId="2" applyFont="1" applyFill="1" applyBorder="1" applyAlignment="1">
      <alignment horizontal="center" vertical="center" wrapText="1"/>
    </xf>
    <xf numFmtId="0" fontId="7" fillId="5" borderId="4" xfId="2" applyFont="1" applyFill="1" applyBorder="1" applyAlignment="1">
      <alignment horizontal="center" vertical="center"/>
    </xf>
    <xf numFmtId="0" fontId="7" fillId="3" borderId="4" xfId="2" applyFont="1" applyFill="1" applyBorder="1"/>
    <xf numFmtId="0" fontId="7" fillId="2" borderId="4" xfId="2" applyFont="1" applyFill="1" applyBorder="1"/>
    <xf numFmtId="9" fontId="6" fillId="2" borderId="0" xfId="4" applyFont="1" applyFill="1" applyBorder="1"/>
    <xf numFmtId="169" fontId="6" fillId="2" borderId="4" xfId="5" applyNumberFormat="1" applyFont="1" applyFill="1" applyBorder="1"/>
    <xf numFmtId="9" fontId="7" fillId="3" borderId="4" xfId="4" applyFont="1" applyFill="1" applyBorder="1" applyAlignment="1">
      <alignment horizontal="center"/>
    </xf>
    <xf numFmtId="0" fontId="7" fillId="3" borderId="16" xfId="2" applyFont="1" applyFill="1" applyBorder="1"/>
    <xf numFmtId="0" fontId="7" fillId="3" borderId="15" xfId="1" applyFont="1" applyFill="1" applyBorder="1"/>
    <xf numFmtId="168" fontId="7" fillId="3" borderId="15" xfId="4" applyNumberFormat="1" applyFont="1" applyFill="1" applyBorder="1" applyAlignment="1">
      <alignment horizontal="center"/>
    </xf>
    <xf numFmtId="0" fontId="7" fillId="3" borderId="18" xfId="1" applyFont="1" applyFill="1" applyBorder="1"/>
    <xf numFmtId="0" fontId="7" fillId="3" borderId="19" xfId="1" applyFont="1" applyFill="1" applyBorder="1"/>
    <xf numFmtId="0" fontId="7" fillId="3" borderId="16" xfId="1" applyFont="1" applyFill="1" applyBorder="1"/>
    <xf numFmtId="168" fontId="7" fillId="3" borderId="16" xfId="4" applyNumberFormat="1" applyFont="1" applyFill="1" applyBorder="1" applyAlignment="1">
      <alignment horizontal="center"/>
    </xf>
    <xf numFmtId="169" fontId="7" fillId="3" borderId="5" xfId="1" applyNumberFormat="1" applyFont="1" applyFill="1" applyBorder="1"/>
    <xf numFmtId="169" fontId="3" fillId="4" borderId="5" xfId="5" applyNumberFormat="1" applyFont="1" applyFill="1" applyBorder="1"/>
    <xf numFmtId="9" fontId="7" fillId="5" borderId="5" xfId="4" applyFont="1" applyFill="1" applyBorder="1" applyAlignment="1">
      <alignment horizontal="center" vertical="center" wrapText="1"/>
    </xf>
    <xf numFmtId="9" fontId="7" fillId="3" borderId="5" xfId="4" applyFont="1" applyFill="1" applyBorder="1" applyAlignment="1">
      <alignment horizontal="center"/>
    </xf>
    <xf numFmtId="169" fontId="6" fillId="2" borderId="1" xfId="4" applyNumberFormat="1" applyFont="1" applyFill="1" applyBorder="1"/>
    <xf numFmtId="9" fontId="6" fillId="2" borderId="0" xfId="4" applyFont="1" applyFill="1" applyBorder="1" applyAlignment="1">
      <alignment horizontal="center"/>
    </xf>
    <xf numFmtId="9" fontId="7" fillId="3" borderId="6" xfId="4" applyFont="1" applyFill="1" applyBorder="1"/>
    <xf numFmtId="9" fontId="7" fillId="3" borderId="6" xfId="4" applyFont="1" applyFill="1" applyBorder="1" applyAlignment="1">
      <alignment horizontal="center"/>
    </xf>
    <xf numFmtId="9" fontId="7" fillId="5" borderId="6" xfId="4" applyFont="1" applyFill="1" applyBorder="1" applyAlignment="1">
      <alignment horizontal="center" vertical="center" wrapText="1"/>
    </xf>
    <xf numFmtId="9" fontId="6" fillId="2" borderId="1" xfId="4" applyFont="1" applyFill="1" applyBorder="1" applyAlignment="1">
      <alignment horizontal="center"/>
    </xf>
    <xf numFmtId="9" fontId="8" fillId="8" borderId="1" xfId="4" applyFont="1" applyFill="1" applyBorder="1" applyAlignment="1">
      <alignment horizontal="center" vertical="center"/>
    </xf>
    <xf numFmtId="0" fontId="5" fillId="4" borderId="0" xfId="2" applyFont="1" applyFill="1" applyAlignment="1">
      <alignment horizontal="left"/>
    </xf>
    <xf numFmtId="0" fontId="6" fillId="2" borderId="0" xfId="1" applyFont="1" applyFill="1" applyAlignment="1">
      <alignment horizontal="center"/>
    </xf>
    <xf numFmtId="0" fontId="8" fillId="2" borderId="0" xfId="1" applyFont="1" applyFill="1" applyAlignment="1">
      <alignment horizontal="center"/>
    </xf>
    <xf numFmtId="9" fontId="8" fillId="2" borderId="0" xfId="4" applyFont="1" applyFill="1" applyBorder="1" applyAlignment="1">
      <alignment horizontal="center"/>
    </xf>
    <xf numFmtId="0" fontId="10" fillId="9" borderId="24" xfId="2" applyFont="1" applyFill="1" applyBorder="1" applyAlignment="1">
      <alignment horizontal="left"/>
    </xf>
    <xf numFmtId="0" fontId="10" fillId="9" borderId="0" xfId="2" applyFont="1" applyFill="1" applyAlignment="1">
      <alignment horizontal="left"/>
    </xf>
    <xf numFmtId="0" fontId="10" fillId="9" borderId="25" xfId="2" applyFont="1" applyFill="1" applyBorder="1" applyAlignment="1">
      <alignment horizontal="left"/>
    </xf>
    <xf numFmtId="0" fontId="10" fillId="2" borderId="0" xfId="2" applyFont="1" applyFill="1" applyAlignment="1">
      <alignment horizontal="left"/>
    </xf>
    <xf numFmtId="0" fontId="5" fillId="4" borderId="0" xfId="2" applyFont="1" applyFill="1" applyAlignment="1">
      <alignment horizontal="center"/>
    </xf>
    <xf numFmtId="0" fontId="9" fillId="5" borderId="2" xfId="1" applyFont="1" applyFill="1" applyBorder="1" applyAlignment="1">
      <alignment horizontal="center" vertical="center"/>
    </xf>
    <xf numFmtId="0" fontId="7" fillId="5" borderId="1" xfId="2" applyFont="1" applyFill="1" applyBorder="1" applyAlignment="1">
      <alignment horizontal="center" vertical="center"/>
    </xf>
    <xf numFmtId="9" fontId="7" fillId="5" borderId="4" xfId="4" applyFont="1" applyFill="1" applyBorder="1" applyAlignment="1">
      <alignment horizontal="center" vertical="center" wrapText="1"/>
    </xf>
    <xf numFmtId="49" fontId="7" fillId="3" borderId="1" xfId="2" applyNumberFormat="1" applyFont="1" applyFill="1" applyBorder="1" applyAlignment="1">
      <alignment horizontal="left"/>
    </xf>
    <xf numFmtId="169" fontId="7" fillId="3" borderId="9" xfId="1" applyNumberFormat="1" applyFont="1" applyFill="1" applyBorder="1"/>
    <xf numFmtId="167" fontId="7" fillId="3" borderId="6" xfId="5" applyFont="1" applyFill="1" applyBorder="1"/>
    <xf numFmtId="165" fontId="7" fillId="3" borderId="3" xfId="3" applyNumberFormat="1" applyFont="1" applyFill="1" applyBorder="1"/>
    <xf numFmtId="165" fontId="7" fillId="3" borderId="1" xfId="3" applyNumberFormat="1" applyFont="1" applyFill="1" applyBorder="1"/>
    <xf numFmtId="0" fontId="7" fillId="3" borderId="2" xfId="1" applyFont="1" applyFill="1" applyBorder="1"/>
    <xf numFmtId="0" fontId="7" fillId="3" borderId="7" xfId="1" applyFont="1" applyFill="1" applyBorder="1"/>
    <xf numFmtId="9" fontId="7" fillId="3" borderId="9" xfId="4" applyFont="1" applyFill="1" applyBorder="1" applyAlignment="1">
      <alignment horizontal="center"/>
    </xf>
    <xf numFmtId="9" fontId="7" fillId="3" borderId="1" xfId="4" applyFont="1" applyFill="1" applyBorder="1"/>
    <xf numFmtId="9" fontId="7" fillId="3" borderId="5" xfId="4" applyFont="1" applyFill="1" applyBorder="1"/>
    <xf numFmtId="9" fontId="7" fillId="3" borderId="3" xfId="4" applyFont="1" applyFill="1" applyBorder="1" applyAlignment="1">
      <alignment horizontal="center"/>
    </xf>
    <xf numFmtId="9" fontId="7" fillId="3" borderId="1" xfId="4" applyFont="1" applyFill="1" applyBorder="1" applyAlignment="1">
      <alignment horizontal="center"/>
    </xf>
    <xf numFmtId="49" fontId="7" fillId="2" borderId="1" xfId="2" applyNumberFormat="1" applyFont="1" applyFill="1" applyBorder="1"/>
    <xf numFmtId="169" fontId="3" fillId="4" borderId="9" xfId="5" applyNumberFormat="1" applyFont="1" applyFill="1" applyBorder="1"/>
    <xf numFmtId="169" fontId="3" fillId="4" borderId="6" xfId="5" applyNumberFormat="1" applyFont="1" applyFill="1" applyBorder="1"/>
    <xf numFmtId="169" fontId="3" fillId="4" borderId="4" xfId="5" applyNumberFormat="1" applyFont="1" applyFill="1" applyBorder="1"/>
    <xf numFmtId="169" fontId="3" fillId="4" borderId="1" xfId="5" applyNumberFormat="1" applyFont="1" applyFill="1" applyBorder="1"/>
    <xf numFmtId="9" fontId="3" fillId="4" borderId="6" xfId="4" applyFont="1" applyFill="1" applyBorder="1"/>
    <xf numFmtId="9" fontId="3" fillId="4" borderId="4" xfId="4" applyFont="1" applyFill="1" applyBorder="1"/>
    <xf numFmtId="9" fontId="3" fillId="4" borderId="5" xfId="4" applyFont="1" applyFill="1" applyBorder="1"/>
    <xf numFmtId="165" fontId="3" fillId="4" borderId="3" xfId="1" applyNumberFormat="1" applyFont="1" applyFill="1" applyBorder="1"/>
    <xf numFmtId="165" fontId="3" fillId="4" borderId="1" xfId="1" applyNumberFormat="1" applyFont="1" applyFill="1" applyBorder="1"/>
    <xf numFmtId="165" fontId="3" fillId="4" borderId="5" xfId="1" applyNumberFormat="1" applyFont="1" applyFill="1" applyBorder="1"/>
    <xf numFmtId="0" fontId="3" fillId="2" borderId="2" xfId="1" applyFont="1" applyFill="1" applyBorder="1"/>
    <xf numFmtId="0" fontId="3" fillId="2" borderId="7" xfId="1" applyFont="1" applyFill="1" applyBorder="1"/>
    <xf numFmtId="49" fontId="7" fillId="2" borderId="1" xfId="2" applyNumberFormat="1" applyFont="1" applyFill="1" applyBorder="1" applyAlignment="1">
      <alignment horizontal="left"/>
    </xf>
    <xf numFmtId="0" fontId="3" fillId="4" borderId="3" xfId="1" applyFont="1" applyFill="1" applyBorder="1"/>
    <xf numFmtId="165" fontId="7" fillId="3" borderId="4" xfId="3" applyNumberFormat="1" applyFont="1" applyFill="1" applyBorder="1"/>
    <xf numFmtId="9" fontId="3" fillId="2" borderId="6" xfId="4" applyFont="1" applyFill="1" applyBorder="1"/>
    <xf numFmtId="9" fontId="3" fillId="2" borderId="4" xfId="4" applyFont="1" applyFill="1" applyBorder="1"/>
    <xf numFmtId="9" fontId="3" fillId="2" borderId="1" xfId="4" applyFont="1" applyFill="1" applyBorder="1"/>
    <xf numFmtId="9" fontId="3" fillId="2" borderId="5" xfId="4" applyFont="1" applyFill="1" applyBorder="1"/>
    <xf numFmtId="49" fontId="7" fillId="3" borderId="1" xfId="2" applyNumberFormat="1" applyFont="1" applyFill="1" applyBorder="1"/>
    <xf numFmtId="49" fontId="7" fillId="3" borderId="17" xfId="2" applyNumberFormat="1" applyFont="1" applyFill="1" applyBorder="1"/>
    <xf numFmtId="9" fontId="7" fillId="3" borderId="15" xfId="4" applyFont="1" applyFill="1" applyBorder="1"/>
    <xf numFmtId="9" fontId="7" fillId="3" borderId="16" xfId="4" applyFont="1" applyFill="1" applyBorder="1"/>
    <xf numFmtId="9" fontId="7" fillId="3" borderId="18" xfId="4" applyFont="1" applyFill="1" applyBorder="1"/>
    <xf numFmtId="168" fontId="7" fillId="3" borderId="19" xfId="4" applyNumberFormat="1" applyFont="1" applyFill="1" applyBorder="1" applyAlignment="1">
      <alignment horizontal="center"/>
    </xf>
    <xf numFmtId="168" fontId="7" fillId="3" borderId="17" xfId="4" applyNumberFormat="1" applyFont="1" applyFill="1" applyBorder="1" applyAlignment="1">
      <alignment horizontal="center"/>
    </xf>
    <xf numFmtId="0" fontId="7" fillId="3" borderId="30" xfId="1" applyFont="1" applyFill="1" applyBorder="1"/>
    <xf numFmtId="0" fontId="7" fillId="3" borderId="31" xfId="1" applyFont="1" applyFill="1" applyBorder="1"/>
    <xf numFmtId="0" fontId="6" fillId="0" borderId="0" xfId="2" applyFont="1"/>
    <xf numFmtId="49" fontId="7" fillId="9" borderId="10" xfId="2" applyNumberFormat="1" applyFont="1" applyFill="1" applyBorder="1"/>
    <xf numFmtId="0" fontId="7" fillId="9" borderId="11" xfId="2" applyFont="1" applyFill="1" applyBorder="1"/>
    <xf numFmtId="169" fontId="7" fillId="9" borderId="12" xfId="5" applyNumberFormat="1" applyFont="1" applyFill="1" applyBorder="1"/>
    <xf numFmtId="169" fontId="7" fillId="9" borderId="11" xfId="5" applyNumberFormat="1" applyFont="1" applyFill="1" applyBorder="1"/>
    <xf numFmtId="169" fontId="7" fillId="9" borderId="10" xfId="5" applyNumberFormat="1" applyFont="1" applyFill="1" applyBorder="1"/>
    <xf numFmtId="169" fontId="7" fillId="9" borderId="13" xfId="5" applyNumberFormat="1" applyFont="1" applyFill="1" applyBorder="1"/>
    <xf numFmtId="165" fontId="7" fillId="9" borderId="14" xfId="2" applyNumberFormat="1" applyFont="1" applyFill="1" applyBorder="1"/>
    <xf numFmtId="165" fontId="7" fillId="9" borderId="10" xfId="2" applyNumberFormat="1" applyFont="1" applyFill="1" applyBorder="1"/>
    <xf numFmtId="165" fontId="7" fillId="9" borderId="11" xfId="2" applyNumberFormat="1" applyFont="1" applyFill="1" applyBorder="1"/>
    <xf numFmtId="0" fontId="7" fillId="9" borderId="32" xfId="2" applyFont="1" applyFill="1" applyBorder="1"/>
    <xf numFmtId="0" fontId="7" fillId="9" borderId="33" xfId="2" applyFont="1" applyFill="1" applyBorder="1"/>
    <xf numFmtId="0" fontId="7" fillId="9" borderId="34" xfId="2" applyFont="1" applyFill="1" applyBorder="1"/>
    <xf numFmtId="0" fontId="7" fillId="9" borderId="12" xfId="2" applyFont="1" applyFill="1" applyBorder="1"/>
    <xf numFmtId="0" fontId="7" fillId="9" borderId="29" xfId="2" applyFont="1" applyFill="1" applyBorder="1"/>
    <xf numFmtId="0" fontId="7" fillId="9" borderId="14" xfId="2" applyFont="1" applyFill="1" applyBorder="1"/>
    <xf numFmtId="0" fontId="7" fillId="9" borderId="35" xfId="2" applyFont="1" applyFill="1" applyBorder="1"/>
    <xf numFmtId="0" fontId="9" fillId="0" borderId="0" xfId="2" applyFont="1" applyAlignment="1">
      <alignment horizontal="center" vertical="center"/>
    </xf>
    <xf numFmtId="0" fontId="7" fillId="9" borderId="1" xfId="2" applyFont="1" applyFill="1" applyBorder="1"/>
    <xf numFmtId="0" fontId="7" fillId="9" borderId="4" xfId="2" applyFont="1" applyFill="1" applyBorder="1"/>
    <xf numFmtId="9" fontId="7" fillId="9" borderId="6" xfId="4" applyFont="1" applyFill="1" applyBorder="1" applyAlignment="1">
      <alignment horizontal="center"/>
    </xf>
    <xf numFmtId="9" fontId="7" fillId="9" borderId="4" xfId="4" applyFont="1" applyFill="1" applyBorder="1" applyAlignment="1">
      <alignment horizontal="center"/>
    </xf>
    <xf numFmtId="9" fontId="7" fillId="9" borderId="1" xfId="4" applyFont="1" applyFill="1" applyBorder="1" applyAlignment="1">
      <alignment horizontal="center"/>
    </xf>
    <xf numFmtId="9" fontId="7" fillId="9" borderId="5" xfId="4" applyFont="1" applyFill="1" applyBorder="1" applyAlignment="1">
      <alignment horizontal="center"/>
    </xf>
    <xf numFmtId="9" fontId="7" fillId="9" borderId="3" xfId="4" applyFont="1" applyFill="1" applyBorder="1" applyAlignment="1">
      <alignment horizontal="center"/>
    </xf>
    <xf numFmtId="9" fontId="7" fillId="9" borderId="2" xfId="4" applyFont="1" applyFill="1" applyBorder="1" applyAlignment="1">
      <alignment horizontal="center"/>
    </xf>
    <xf numFmtId="9" fontId="7" fillId="9" borderId="7" xfId="4" applyFont="1" applyFill="1" applyBorder="1" applyAlignment="1">
      <alignment horizontal="center"/>
    </xf>
    <xf numFmtId="169" fontId="5" fillId="2" borderId="0" xfId="5" applyNumberFormat="1" applyFont="1" applyFill="1" applyBorder="1"/>
    <xf numFmtId="169" fontId="5" fillId="2" borderId="0" xfId="5" applyNumberFormat="1" applyFont="1" applyFill="1" applyBorder="1" applyAlignment="1">
      <alignment horizontal="center" wrapText="1"/>
    </xf>
    <xf numFmtId="0" fontId="5" fillId="2" borderId="0" xfId="2" applyFont="1" applyFill="1" applyAlignment="1">
      <alignment horizontal="center" vertical="center" wrapText="1"/>
    </xf>
    <xf numFmtId="0" fontId="3" fillId="2" borderId="1" xfId="2" applyFont="1" applyFill="1" applyBorder="1" applyAlignment="1">
      <alignment horizontal="right"/>
    </xf>
    <xf numFmtId="0" fontId="7" fillId="2" borderId="1" xfId="1" applyFont="1" applyFill="1" applyBorder="1" applyAlignment="1">
      <alignment horizontal="right"/>
    </xf>
    <xf numFmtId="0" fontId="3" fillId="2" borderId="0" xfId="1" applyFont="1" applyFill="1" applyAlignment="1">
      <alignment horizontal="right"/>
    </xf>
    <xf numFmtId="9" fontId="2" fillId="2" borderId="0" xfId="4" applyFont="1" applyFill="1" applyBorder="1"/>
    <xf numFmtId="0" fontId="7" fillId="10" borderId="1" xfId="1" applyFont="1" applyFill="1" applyBorder="1" applyAlignment="1">
      <alignment horizontal="right"/>
    </xf>
    <xf numFmtId="169" fontId="6" fillId="2" borderId="0" xfId="4" applyNumberFormat="1" applyFont="1" applyFill="1" applyBorder="1" applyAlignment="1"/>
    <xf numFmtId="169" fontId="6" fillId="2" borderId="0" xfId="4" applyNumberFormat="1" applyFont="1" applyFill="1" applyBorder="1" applyAlignment="1">
      <alignment horizontal="center" vertical="center"/>
    </xf>
    <xf numFmtId="9" fontId="6" fillId="2" borderId="0" xfId="4" applyFont="1" applyFill="1" applyBorder="1" applyAlignment="1">
      <alignment horizontal="center" vertical="center"/>
    </xf>
    <xf numFmtId="0" fontId="9" fillId="2" borderId="0" xfId="1" applyFont="1" applyFill="1" applyAlignment="1">
      <alignment horizontal="center"/>
    </xf>
    <xf numFmtId="0" fontId="7" fillId="9" borderId="1" xfId="1" applyFont="1" applyFill="1" applyBorder="1" applyAlignment="1">
      <alignment horizontal="right"/>
    </xf>
    <xf numFmtId="9" fontId="6" fillId="2" borderId="0" xfId="4" applyFont="1" applyFill="1" applyBorder="1" applyAlignment="1"/>
    <xf numFmtId="0" fontId="7" fillId="7" borderId="1" xfId="1" applyFont="1" applyFill="1" applyBorder="1" applyAlignment="1">
      <alignment horizontal="right"/>
    </xf>
    <xf numFmtId="0" fontId="7" fillId="2" borderId="0" xfId="1" applyFont="1" applyFill="1" applyAlignment="1">
      <alignment horizontal="right"/>
    </xf>
    <xf numFmtId="4" fontId="7" fillId="2" borderId="0" xfId="3" applyNumberFormat="1" applyFont="1" applyFill="1" applyBorder="1"/>
    <xf numFmtId="0" fontId="2" fillId="0" borderId="4" xfId="1" applyBorder="1" applyAlignment="1">
      <alignment horizontal="center"/>
    </xf>
    <xf numFmtId="0" fontId="2" fillId="0" borderId="3" xfId="1" applyBorder="1" applyAlignment="1">
      <alignment horizontal="center"/>
    </xf>
    <xf numFmtId="9" fontId="8" fillId="8" borderId="40" xfId="4" applyFont="1" applyFill="1" applyBorder="1" applyAlignment="1">
      <alignment horizontal="center" vertical="center"/>
    </xf>
    <xf numFmtId="9" fontId="6" fillId="2" borderId="40" xfId="4" applyFont="1" applyFill="1" applyBorder="1" applyAlignment="1">
      <alignment horizontal="center"/>
    </xf>
    <xf numFmtId="169" fontId="6" fillId="2" borderId="40" xfId="1" applyNumberFormat="1" applyFont="1" applyFill="1" applyBorder="1"/>
    <xf numFmtId="169" fontId="8" fillId="6" borderId="42" xfId="4" applyNumberFormat="1" applyFont="1" applyFill="1" applyBorder="1"/>
    <xf numFmtId="169" fontId="8" fillId="6" borderId="44" xfId="1" applyNumberFormat="1" applyFont="1" applyFill="1" applyBorder="1"/>
    <xf numFmtId="9" fontId="7" fillId="3" borderId="7" xfId="4" applyFont="1" applyFill="1" applyBorder="1" applyAlignment="1">
      <alignment horizontal="center"/>
    </xf>
    <xf numFmtId="169" fontId="3" fillId="4" borderId="7" xfId="5" applyNumberFormat="1" applyFont="1" applyFill="1" applyBorder="1"/>
    <xf numFmtId="169" fontId="7" fillId="3" borderId="1" xfId="1" applyNumberFormat="1" applyFont="1" applyFill="1" applyBorder="1"/>
    <xf numFmtId="0" fontId="7" fillId="5" borderId="9" xfId="2" applyFont="1" applyFill="1" applyBorder="1" applyAlignment="1">
      <alignment horizontal="center" vertical="center" wrapText="1"/>
    </xf>
    <xf numFmtId="169" fontId="7" fillId="3" borderId="6" xfId="1" applyNumberFormat="1" applyFont="1" applyFill="1" applyBorder="1"/>
    <xf numFmtId="3" fontId="7" fillId="3" borderId="6" xfId="1" applyNumberFormat="1" applyFont="1" applyFill="1" applyBorder="1"/>
    <xf numFmtId="3" fontId="7" fillId="3" borderId="5" xfId="1" applyNumberFormat="1" applyFont="1" applyFill="1" applyBorder="1"/>
    <xf numFmtId="168" fontId="7" fillId="3" borderId="18" xfId="4" applyNumberFormat="1" applyFont="1" applyFill="1" applyBorder="1" applyAlignment="1">
      <alignment horizontal="center"/>
    </xf>
    <xf numFmtId="169" fontId="7" fillId="9" borderId="32" xfId="2" applyNumberFormat="1" applyFont="1" applyFill="1" applyBorder="1"/>
    <xf numFmtId="169" fontId="7" fillId="9" borderId="34" xfId="2" applyNumberFormat="1" applyFont="1" applyFill="1" applyBorder="1"/>
    <xf numFmtId="3" fontId="7" fillId="3" borderId="1" xfId="1" applyNumberFormat="1" applyFont="1" applyFill="1" applyBorder="1"/>
    <xf numFmtId="169" fontId="7" fillId="9" borderId="12" xfId="2" applyNumberFormat="1" applyFont="1" applyFill="1" applyBorder="1"/>
    <xf numFmtId="169" fontId="7" fillId="9" borderId="10" xfId="2" applyNumberFormat="1" applyFont="1" applyFill="1" applyBorder="1"/>
    <xf numFmtId="169" fontId="7" fillId="9" borderId="13" xfId="2" applyNumberFormat="1" applyFont="1" applyFill="1" applyBorder="1"/>
    <xf numFmtId="9" fontId="7" fillId="5" borderId="7" xfId="4" applyFont="1" applyFill="1" applyBorder="1" applyAlignment="1">
      <alignment horizontal="center" vertical="center" wrapText="1"/>
    </xf>
    <xf numFmtId="0" fontId="3" fillId="2" borderId="1" xfId="1" applyFont="1" applyFill="1" applyBorder="1" applyAlignment="1">
      <alignment horizontal="center"/>
    </xf>
    <xf numFmtId="0" fontId="3" fillId="2" borderId="4" xfId="2" applyFont="1" applyFill="1" applyBorder="1" applyAlignment="1">
      <alignment horizontal="center"/>
    </xf>
    <xf numFmtId="0" fontId="12" fillId="0" borderId="0" xfId="0" applyFont="1"/>
    <xf numFmtId="0" fontId="11" fillId="0" borderId="0" xfId="0" applyFont="1" applyAlignment="1">
      <alignment horizontal="center"/>
    </xf>
    <xf numFmtId="0" fontId="12" fillId="0" borderId="0" xfId="0" applyFont="1" applyAlignment="1">
      <alignment horizontal="left"/>
    </xf>
    <xf numFmtId="0" fontId="11" fillId="2" borderId="4" xfId="0" applyFont="1" applyFill="1" applyBorder="1" applyAlignment="1">
      <alignment horizontal="left"/>
    </xf>
    <xf numFmtId="0" fontId="11" fillId="2" borderId="3" xfId="0" applyFont="1" applyFill="1" applyBorder="1" applyAlignment="1">
      <alignment horizontal="left"/>
    </xf>
    <xf numFmtId="0" fontId="12" fillId="2" borderId="1" xfId="0" applyFont="1" applyFill="1" applyBorder="1"/>
    <xf numFmtId="0" fontId="12" fillId="2" borderId="1" xfId="0" applyFont="1" applyFill="1" applyBorder="1" applyAlignment="1">
      <alignment horizontal="center"/>
    </xf>
    <xf numFmtId="0" fontId="11" fillId="2" borderId="1" xfId="0" applyFont="1" applyFill="1" applyBorder="1"/>
    <xf numFmtId="0" fontId="11" fillId="8" borderId="1" xfId="0" applyFont="1" applyFill="1" applyBorder="1"/>
    <xf numFmtId="0" fontId="11" fillId="0" borderId="4" xfId="0" applyFont="1" applyBorder="1" applyAlignment="1">
      <alignment horizontal="left"/>
    </xf>
    <xf numFmtId="0" fontId="11" fillId="0" borderId="3" xfId="0" applyFont="1" applyBorder="1" applyAlignment="1">
      <alignment horizontal="left"/>
    </xf>
    <xf numFmtId="0" fontId="12" fillId="0" borderId="1" xfId="0" applyFont="1" applyBorder="1"/>
    <xf numFmtId="0" fontId="11" fillId="0" borderId="1" xfId="0" applyFont="1" applyBorder="1"/>
    <xf numFmtId="0" fontId="11" fillId="4" borderId="4" xfId="0" applyFont="1" applyFill="1" applyBorder="1" applyAlignment="1">
      <alignment horizontal="left"/>
    </xf>
    <xf numFmtId="0" fontId="11" fillId="4" borderId="3" xfId="0" applyFont="1" applyFill="1" applyBorder="1" applyAlignment="1">
      <alignment horizontal="left"/>
    </xf>
    <xf numFmtId="0" fontId="13" fillId="2" borderId="3" xfId="0" applyFont="1" applyFill="1" applyBorder="1" applyAlignment="1">
      <alignment horizontal="center"/>
    </xf>
    <xf numFmtId="0" fontId="11" fillId="0" borderId="0" xfId="0" applyFont="1"/>
    <xf numFmtId="0" fontId="7" fillId="11" borderId="3" xfId="2" applyFont="1" applyFill="1" applyBorder="1" applyAlignment="1">
      <alignment horizontal="center" vertical="center" wrapText="1"/>
    </xf>
    <xf numFmtId="0" fontId="7" fillId="11" borderId="1" xfId="2" applyFont="1" applyFill="1" applyBorder="1" applyAlignment="1">
      <alignment horizontal="center" vertical="center" wrapText="1"/>
    </xf>
    <xf numFmtId="0" fontId="12" fillId="0" borderId="0" xfId="0" applyFont="1" applyAlignment="1">
      <alignment horizontal="center"/>
    </xf>
    <xf numFmtId="4" fontId="3" fillId="14" borderId="1" xfId="3" applyNumberFormat="1" applyFont="1" applyFill="1" applyBorder="1"/>
    <xf numFmtId="167" fontId="7" fillId="10" borderId="4" xfId="10" applyFont="1" applyFill="1" applyBorder="1" applyAlignment="1">
      <alignment horizontal="right"/>
    </xf>
    <xf numFmtId="167" fontId="7" fillId="10" borderId="16" xfId="10" applyFont="1" applyFill="1" applyBorder="1" applyAlignment="1">
      <alignment horizontal="right"/>
    </xf>
    <xf numFmtId="167" fontId="7" fillId="9" borderId="11" xfId="10" applyFont="1" applyFill="1" applyBorder="1" applyAlignment="1">
      <alignment horizontal="right"/>
    </xf>
    <xf numFmtId="167" fontId="7" fillId="9" borderId="16" xfId="10" applyFont="1" applyFill="1" applyBorder="1" applyAlignment="1">
      <alignment horizontal="right"/>
    </xf>
    <xf numFmtId="167" fontId="7" fillId="7" borderId="11" xfId="10" applyFont="1" applyFill="1" applyBorder="1" applyAlignment="1">
      <alignment horizontal="right"/>
    </xf>
    <xf numFmtId="167" fontId="7" fillId="2" borderId="4" xfId="10" applyFont="1" applyFill="1" applyBorder="1" applyAlignment="1">
      <alignment horizontal="right"/>
    </xf>
    <xf numFmtId="9" fontId="7" fillId="9" borderId="17" xfId="11" applyFont="1" applyFill="1" applyBorder="1" applyAlignment="1">
      <alignment horizontal="center"/>
    </xf>
    <xf numFmtId="9" fontId="7" fillId="7" borderId="10" xfId="11" applyFont="1" applyFill="1" applyBorder="1" applyAlignment="1">
      <alignment horizontal="center"/>
    </xf>
    <xf numFmtId="4" fontId="3" fillId="14" borderId="17" xfId="3" applyNumberFormat="1" applyFont="1" applyFill="1" applyBorder="1"/>
    <xf numFmtId="10" fontId="3" fillId="14" borderId="8" xfId="11" applyNumberFormat="1" applyFont="1" applyFill="1" applyBorder="1" applyAlignment="1"/>
    <xf numFmtId="10" fontId="3" fillId="14" borderId="20" xfId="11" applyNumberFormat="1" applyFont="1" applyFill="1" applyBorder="1" applyAlignment="1"/>
    <xf numFmtId="10" fontId="3" fillId="14" borderId="10" xfId="11" applyNumberFormat="1" applyFont="1" applyFill="1" applyBorder="1" applyAlignment="1"/>
    <xf numFmtId="9" fontId="7" fillId="9" borderId="10" xfId="11" applyFont="1" applyFill="1" applyBorder="1" applyAlignment="1">
      <alignment horizontal="center"/>
    </xf>
    <xf numFmtId="167" fontId="11" fillId="0" borderId="1" xfId="0" applyNumberFormat="1" applyFont="1" applyBorder="1"/>
    <xf numFmtId="167" fontId="12" fillId="2" borderId="1" xfId="0" applyNumberFormat="1" applyFont="1" applyFill="1" applyBorder="1"/>
    <xf numFmtId="167" fontId="11" fillId="2" borderId="1" xfId="0" applyNumberFormat="1" applyFont="1" applyFill="1" applyBorder="1"/>
    <xf numFmtId="167" fontId="11" fillId="8" borderId="1" xfId="10" applyFont="1" applyFill="1" applyBorder="1"/>
    <xf numFmtId="167" fontId="11" fillId="8" borderId="1" xfId="0" applyNumberFormat="1" applyFont="1" applyFill="1" applyBorder="1"/>
    <xf numFmtId="0" fontId="9" fillId="0" borderId="0" xfId="1" applyFont="1"/>
    <xf numFmtId="0" fontId="15" fillId="15" borderId="0" xfId="1" applyFont="1" applyFill="1"/>
    <xf numFmtId="0" fontId="7" fillId="6" borderId="11" xfId="2" applyFont="1" applyFill="1" applyBorder="1"/>
    <xf numFmtId="0" fontId="15" fillId="16" borderId="0" xfId="1" applyFont="1" applyFill="1" applyAlignment="1">
      <alignment wrapText="1"/>
    </xf>
    <xf numFmtId="0" fontId="15" fillId="17" borderId="0" xfId="1" applyFont="1" applyFill="1" applyAlignment="1">
      <alignment wrapText="1"/>
    </xf>
    <xf numFmtId="0" fontId="2" fillId="0" borderId="0" xfId="1" applyAlignment="1">
      <alignment wrapText="1"/>
    </xf>
    <xf numFmtId="0" fontId="2" fillId="0" borderId="0" xfId="1" applyAlignment="1">
      <alignment horizontal="left" wrapText="1" indent="2"/>
    </xf>
    <xf numFmtId="167" fontId="12" fillId="2" borderId="1" xfId="0" applyNumberFormat="1" applyFont="1" applyFill="1" applyBorder="1" applyAlignment="1">
      <alignment horizontal="center"/>
    </xf>
    <xf numFmtId="167" fontId="12" fillId="2" borderId="1" xfId="10" applyFont="1" applyFill="1" applyBorder="1" applyAlignment="1">
      <alignment horizontal="center"/>
    </xf>
    <xf numFmtId="0" fontId="17" fillId="0" borderId="0" xfId="13"/>
    <xf numFmtId="0" fontId="7" fillId="0" borderId="0" xfId="12" applyFont="1"/>
    <xf numFmtId="0" fontId="3" fillId="0" borderId="0" xfId="12" applyFont="1"/>
    <xf numFmtId="9" fontId="0" fillId="0" borderId="0" xfId="14" applyFont="1" applyBorder="1"/>
    <xf numFmtId="0" fontId="5" fillId="4" borderId="0" xfId="12" applyFont="1" applyFill="1" applyAlignment="1">
      <alignment horizontal="left"/>
    </xf>
    <xf numFmtId="0" fontId="5" fillId="0" borderId="0" xfId="12" applyFont="1"/>
    <xf numFmtId="0" fontId="5" fillId="4" borderId="0" xfId="12" applyFont="1" applyFill="1"/>
    <xf numFmtId="9" fontId="5" fillId="4" borderId="0" xfId="14" applyFont="1" applyFill="1" applyBorder="1" applyAlignment="1">
      <alignment horizontal="left"/>
    </xf>
    <xf numFmtId="49" fontId="7" fillId="3" borderId="6" xfId="12" applyNumberFormat="1" applyFont="1" applyFill="1" applyBorder="1" applyAlignment="1">
      <alignment horizontal="left"/>
    </xf>
    <xf numFmtId="0" fontId="7" fillId="3" borderId="4" xfId="12" applyFont="1" applyFill="1" applyBorder="1"/>
    <xf numFmtId="0" fontId="7" fillId="3" borderId="39" xfId="13" applyFont="1" applyFill="1" applyBorder="1"/>
    <xf numFmtId="0" fontId="7" fillId="3" borderId="1" xfId="13" applyFont="1" applyFill="1" applyBorder="1"/>
    <xf numFmtId="0" fontId="7" fillId="3" borderId="4" xfId="13" applyFont="1" applyFill="1" applyBorder="1"/>
    <xf numFmtId="169" fontId="7" fillId="3" borderId="40" xfId="13" applyNumberFormat="1" applyFont="1" applyFill="1" applyBorder="1"/>
    <xf numFmtId="167" fontId="7" fillId="3" borderId="2" xfId="15" applyFont="1" applyFill="1" applyBorder="1"/>
    <xf numFmtId="167" fontId="7" fillId="3" borderId="4" xfId="15" applyFont="1" applyFill="1" applyBorder="1"/>
    <xf numFmtId="165" fontId="7" fillId="3" borderId="39" xfId="16" applyNumberFormat="1" applyFont="1" applyFill="1" applyBorder="1"/>
    <xf numFmtId="0" fontId="7" fillId="3" borderId="40" xfId="13" applyFont="1" applyFill="1" applyBorder="1"/>
    <xf numFmtId="0" fontId="7" fillId="3" borderId="3" xfId="13" applyFont="1" applyFill="1" applyBorder="1"/>
    <xf numFmtId="0" fontId="7" fillId="3" borderId="40" xfId="12" applyFont="1" applyFill="1" applyBorder="1"/>
    <xf numFmtId="9" fontId="7" fillId="3" borderId="2" xfId="14" applyFont="1" applyFill="1" applyBorder="1" applyAlignment="1">
      <alignment horizontal="center"/>
    </xf>
    <xf numFmtId="9" fontId="7" fillId="3" borderId="4" xfId="14" applyFont="1" applyFill="1" applyBorder="1" applyAlignment="1">
      <alignment horizontal="center"/>
    </xf>
    <xf numFmtId="9" fontId="7" fillId="3" borderId="39" xfId="14" applyFont="1" applyFill="1" applyBorder="1" applyAlignment="1">
      <alignment horizontal="center"/>
    </xf>
    <xf numFmtId="49" fontId="7" fillId="2" borderId="6" xfId="12" applyNumberFormat="1" applyFont="1" applyFill="1" applyBorder="1"/>
    <xf numFmtId="0" fontId="7" fillId="2" borderId="4" xfId="12" applyFont="1" applyFill="1" applyBorder="1"/>
    <xf numFmtId="165" fontId="3" fillId="4" borderId="39" xfId="16" applyNumberFormat="1" applyFont="1" applyFill="1" applyBorder="1"/>
    <xf numFmtId="0" fontId="3" fillId="4" borderId="1" xfId="13" applyFont="1" applyFill="1" applyBorder="1"/>
    <xf numFmtId="0" fontId="3" fillId="4" borderId="4" xfId="13" applyFont="1" applyFill="1" applyBorder="1"/>
    <xf numFmtId="169" fontId="3" fillId="4" borderId="40" xfId="15" applyNumberFormat="1" applyFont="1" applyFill="1" applyBorder="1"/>
    <xf numFmtId="9" fontId="3" fillId="4" borderId="2" xfId="14" applyFont="1" applyFill="1" applyBorder="1" applyAlignment="1">
      <alignment horizontal="center"/>
    </xf>
    <xf numFmtId="9" fontId="3" fillId="4" borderId="4" xfId="14" applyFont="1" applyFill="1" applyBorder="1" applyAlignment="1">
      <alignment horizontal="center"/>
    </xf>
    <xf numFmtId="165" fontId="3" fillId="4" borderId="39" xfId="13" applyNumberFormat="1" applyFont="1" applyFill="1" applyBorder="1"/>
    <xf numFmtId="167" fontId="3" fillId="4" borderId="40" xfId="13" applyNumberFormat="1" applyFont="1" applyFill="1" applyBorder="1"/>
    <xf numFmtId="0" fontId="3" fillId="2" borderId="3" xfId="13" applyFont="1" applyFill="1" applyBorder="1"/>
    <xf numFmtId="0" fontId="3" fillId="2" borderId="4" xfId="13" applyFont="1" applyFill="1" applyBorder="1"/>
    <xf numFmtId="0" fontId="3" fillId="2" borderId="39" xfId="13" applyFont="1" applyFill="1" applyBorder="1"/>
    <xf numFmtId="0" fontId="3" fillId="2" borderId="40" xfId="13" applyFont="1" applyFill="1" applyBorder="1"/>
    <xf numFmtId="49" fontId="3" fillId="2" borderId="6" xfId="12" applyNumberFormat="1" applyFont="1" applyFill="1" applyBorder="1" applyAlignment="1">
      <alignment horizontal="left"/>
    </xf>
    <xf numFmtId="0" fontId="3" fillId="2" borderId="4" xfId="12" applyFont="1" applyFill="1" applyBorder="1"/>
    <xf numFmtId="49" fontId="7" fillId="4" borderId="6" xfId="12" applyNumberFormat="1" applyFont="1" applyFill="1" applyBorder="1" applyAlignment="1">
      <alignment horizontal="left"/>
    </xf>
    <xf numFmtId="0" fontId="7" fillId="4" borderId="4" xfId="12" applyFont="1" applyFill="1" applyBorder="1"/>
    <xf numFmtId="0" fontId="3" fillId="4" borderId="39" xfId="13" applyFont="1" applyFill="1" applyBorder="1"/>
    <xf numFmtId="3" fontId="3" fillId="4" borderId="2" xfId="14" applyNumberFormat="1" applyFont="1" applyFill="1" applyBorder="1" applyAlignment="1">
      <alignment horizontal="center"/>
    </xf>
    <xf numFmtId="0" fontId="3" fillId="4" borderId="40" xfId="13" applyFont="1" applyFill="1" applyBorder="1"/>
    <xf numFmtId="49" fontId="7" fillId="4" borderId="6" xfId="12" applyNumberFormat="1" applyFont="1" applyFill="1" applyBorder="1"/>
    <xf numFmtId="9" fontId="7" fillId="3" borderId="3" xfId="14" applyFont="1" applyFill="1" applyBorder="1"/>
    <xf numFmtId="9" fontId="7" fillId="3" borderId="4" xfId="14" applyFont="1" applyFill="1" applyBorder="1"/>
    <xf numFmtId="9" fontId="7" fillId="3" borderId="3" xfId="14" applyFont="1" applyFill="1" applyBorder="1" applyAlignment="1">
      <alignment horizontal="center"/>
    </xf>
    <xf numFmtId="0" fontId="3" fillId="2" borderId="1" xfId="13" applyFont="1" applyFill="1" applyBorder="1"/>
    <xf numFmtId="9" fontId="3" fillId="2" borderId="3" xfId="14" applyFont="1" applyFill="1" applyBorder="1" applyAlignment="1">
      <alignment horizontal="center"/>
    </xf>
    <xf numFmtId="9" fontId="3" fillId="2" borderId="4" xfId="14" applyFont="1" applyFill="1" applyBorder="1" applyAlignment="1">
      <alignment horizontal="center"/>
    </xf>
    <xf numFmtId="49" fontId="7" fillId="3" borderId="6" xfId="12" applyNumberFormat="1" applyFont="1" applyFill="1" applyBorder="1"/>
    <xf numFmtId="49" fontId="7" fillId="3" borderId="15" xfId="12" applyNumberFormat="1" applyFont="1" applyFill="1" applyBorder="1"/>
    <xf numFmtId="0" fontId="7" fillId="3" borderId="16" xfId="12" applyFont="1" applyFill="1" applyBorder="1"/>
    <xf numFmtId="168" fontId="7" fillId="3" borderId="53" xfId="14" applyNumberFormat="1" applyFont="1" applyFill="1" applyBorder="1" applyAlignment="1">
      <alignment horizontal="center"/>
    </xf>
    <xf numFmtId="0" fontId="7" fillId="3" borderId="17" xfId="13" applyFont="1" applyFill="1" applyBorder="1"/>
    <xf numFmtId="0" fontId="7" fillId="3" borderId="16" xfId="13" applyFont="1" applyFill="1" applyBorder="1"/>
    <xf numFmtId="168" fontId="7" fillId="3" borderId="54" xfId="14" applyNumberFormat="1" applyFont="1" applyFill="1" applyBorder="1" applyAlignment="1">
      <alignment horizontal="center"/>
    </xf>
    <xf numFmtId="9" fontId="7" fillId="3" borderId="19" xfId="14" applyFont="1" applyFill="1" applyBorder="1" applyAlignment="1">
      <alignment horizontal="center"/>
    </xf>
    <xf numFmtId="9" fontId="7" fillId="3" borderId="16" xfId="14" applyFont="1" applyFill="1" applyBorder="1" applyAlignment="1">
      <alignment horizontal="center"/>
    </xf>
    <xf numFmtId="0" fontId="7" fillId="3" borderId="54" xfId="13" applyFont="1" applyFill="1" applyBorder="1"/>
    <xf numFmtId="0" fontId="7" fillId="3" borderId="19" xfId="13" applyFont="1" applyFill="1" applyBorder="1"/>
    <xf numFmtId="0" fontId="7" fillId="3" borderId="53" xfId="13" applyFont="1" applyFill="1" applyBorder="1"/>
    <xf numFmtId="49" fontId="7" fillId="6" borderId="12" xfId="12" applyNumberFormat="1" applyFont="1" applyFill="1" applyBorder="1"/>
    <xf numFmtId="0" fontId="7" fillId="6" borderId="11" xfId="12" applyFont="1" applyFill="1" applyBorder="1"/>
    <xf numFmtId="0" fontId="7" fillId="6" borderId="55" xfId="12" applyFont="1" applyFill="1" applyBorder="1"/>
    <xf numFmtId="0" fontId="7" fillId="6" borderId="10" xfId="12" applyFont="1" applyFill="1" applyBorder="1"/>
    <xf numFmtId="169" fontId="7" fillId="6" borderId="56" xfId="12" applyNumberFormat="1" applyFont="1" applyFill="1" applyBorder="1"/>
    <xf numFmtId="3" fontId="7" fillId="6" borderId="14" xfId="14" applyNumberFormat="1" applyFont="1" applyFill="1" applyBorder="1"/>
    <xf numFmtId="3" fontId="7" fillId="6" borderId="11" xfId="14" applyNumberFormat="1" applyFont="1" applyFill="1" applyBorder="1"/>
    <xf numFmtId="169" fontId="7" fillId="6" borderId="11" xfId="15" applyNumberFormat="1" applyFont="1" applyFill="1" applyBorder="1"/>
    <xf numFmtId="165" fontId="7" fillId="6" borderId="55" xfId="12" applyNumberFormat="1" applyFont="1" applyFill="1" applyBorder="1"/>
    <xf numFmtId="0" fontId="7" fillId="6" borderId="56" xfId="12" applyFont="1" applyFill="1" applyBorder="1"/>
    <xf numFmtId="0" fontId="7" fillId="6" borderId="14" xfId="12" applyFont="1" applyFill="1" applyBorder="1"/>
    <xf numFmtId="0" fontId="7" fillId="6" borderId="57" xfId="12" applyFont="1" applyFill="1" applyBorder="1"/>
    <xf numFmtId="0" fontId="7" fillId="6" borderId="58" xfId="12" applyFont="1" applyFill="1" applyBorder="1"/>
    <xf numFmtId="0" fontId="7" fillId="6" borderId="41" xfId="12" applyFont="1" applyFill="1" applyBorder="1"/>
    <xf numFmtId="0" fontId="7" fillId="6" borderId="42" xfId="12" applyFont="1" applyFill="1" applyBorder="1"/>
    <xf numFmtId="0" fontId="7" fillId="6" borderId="59" xfId="12" applyFont="1" applyFill="1" applyBorder="1"/>
    <xf numFmtId="9" fontId="7" fillId="6" borderId="44" xfId="14" applyFont="1" applyFill="1" applyBorder="1" applyAlignment="1">
      <alignment horizontal="center"/>
    </xf>
    <xf numFmtId="9" fontId="7" fillId="6" borderId="60" xfId="14" applyFont="1" applyFill="1" applyBorder="1" applyAlignment="1">
      <alignment horizontal="center"/>
    </xf>
    <xf numFmtId="9" fontId="7" fillId="6" borderId="59" xfId="14" applyFont="1" applyFill="1" applyBorder="1" applyAlignment="1">
      <alignment horizontal="center"/>
    </xf>
    <xf numFmtId="0" fontId="7" fillId="6" borderId="44" xfId="12" applyFont="1" applyFill="1" applyBorder="1"/>
    <xf numFmtId="0" fontId="7" fillId="6" borderId="60" xfId="12" applyFont="1" applyFill="1" applyBorder="1"/>
    <xf numFmtId="0" fontId="7" fillId="2" borderId="0" xfId="12" applyFont="1" applyFill="1"/>
    <xf numFmtId="0" fontId="5" fillId="2" borderId="0" xfId="12" applyFont="1" applyFill="1"/>
    <xf numFmtId="9" fontId="5" fillId="2" borderId="0" xfId="14" applyFont="1" applyFill="1" applyBorder="1"/>
    <xf numFmtId="49" fontId="6" fillId="2" borderId="0" xfId="13" applyNumberFormat="1" applyFont="1" applyFill="1"/>
    <xf numFmtId="0" fontId="6" fillId="2" borderId="0" xfId="12" applyFont="1" applyFill="1"/>
    <xf numFmtId="0" fontId="6" fillId="0" borderId="0" xfId="12" applyFont="1"/>
    <xf numFmtId="169" fontId="8" fillId="2" borderId="0" xfId="15" applyNumberFormat="1" applyFont="1" applyFill="1" applyBorder="1" applyAlignment="1">
      <alignment horizontal="center" vertical="center"/>
    </xf>
    <xf numFmtId="9" fontId="8" fillId="8" borderId="1" xfId="14" applyFont="1" applyFill="1" applyBorder="1" applyAlignment="1">
      <alignment horizontal="center" vertical="center"/>
    </xf>
    <xf numFmtId="9" fontId="8" fillId="8" borderId="40" xfId="14" applyFont="1" applyFill="1" applyBorder="1" applyAlignment="1">
      <alignment horizontal="center" vertical="center"/>
    </xf>
    <xf numFmtId="9" fontId="8" fillId="3" borderId="46" xfId="14" applyFont="1" applyFill="1" applyBorder="1" applyAlignment="1">
      <alignment horizontal="center" vertical="center"/>
    </xf>
    <xf numFmtId="169" fontId="6" fillId="2" borderId="0" xfId="13" applyNumberFormat="1" applyFont="1" applyFill="1"/>
    <xf numFmtId="0" fontId="6" fillId="2" borderId="0" xfId="13" applyFont="1" applyFill="1"/>
    <xf numFmtId="169" fontId="6" fillId="2" borderId="0" xfId="15" applyNumberFormat="1" applyFont="1" applyFill="1" applyBorder="1" applyAlignment="1">
      <alignment horizontal="left"/>
    </xf>
    <xf numFmtId="169" fontId="6" fillId="2" borderId="0" xfId="15" applyNumberFormat="1" applyFont="1" applyFill="1" applyBorder="1"/>
    <xf numFmtId="9" fontId="6" fillId="2" borderId="1" xfId="14" applyFont="1" applyFill="1" applyBorder="1" applyAlignment="1">
      <alignment horizontal="center"/>
    </xf>
    <xf numFmtId="9" fontId="6" fillId="2" borderId="40" xfId="14" applyFont="1" applyFill="1" applyBorder="1" applyAlignment="1">
      <alignment horizontal="center"/>
    </xf>
    <xf numFmtId="9" fontId="8" fillId="3" borderId="48" xfId="14" applyFont="1" applyFill="1" applyBorder="1" applyAlignment="1">
      <alignment horizontal="center" vertical="center"/>
    </xf>
    <xf numFmtId="0" fontId="18" fillId="2" borderId="0" xfId="13" applyFont="1" applyFill="1"/>
    <xf numFmtId="169" fontId="6" fillId="2" borderId="4" xfId="15" applyNumberFormat="1" applyFont="1" applyFill="1" applyBorder="1"/>
    <xf numFmtId="169" fontId="6" fillId="2" borderId="40" xfId="13" applyNumberFormat="1" applyFont="1" applyFill="1" applyBorder="1"/>
    <xf numFmtId="169" fontId="6" fillId="2" borderId="1" xfId="14" applyNumberFormat="1" applyFont="1" applyFill="1" applyBorder="1"/>
    <xf numFmtId="169" fontId="8" fillId="2" borderId="0" xfId="13" applyNumberFormat="1" applyFont="1" applyFill="1"/>
    <xf numFmtId="169" fontId="8" fillId="6" borderId="42" xfId="14" applyNumberFormat="1" applyFont="1" applyFill="1" applyBorder="1"/>
    <xf numFmtId="169" fontId="8" fillId="6" borderId="44" xfId="13" applyNumberFormat="1" applyFont="1" applyFill="1" applyBorder="1"/>
    <xf numFmtId="9" fontId="8" fillId="3" borderId="61" xfId="14" applyFont="1" applyFill="1" applyBorder="1" applyAlignment="1">
      <alignment horizontal="center" vertical="center"/>
    </xf>
    <xf numFmtId="9" fontId="6" fillId="2" borderId="0" xfId="14" applyFont="1" applyFill="1"/>
    <xf numFmtId="9" fontId="7" fillId="3" borderId="7" xfId="11" applyFont="1" applyFill="1" applyBorder="1"/>
    <xf numFmtId="0" fontId="3" fillId="2" borderId="4" xfId="2" applyFont="1" applyFill="1" applyBorder="1"/>
    <xf numFmtId="49" fontId="3" fillId="2" borderId="1" xfId="2" applyNumberFormat="1" applyFont="1" applyFill="1" applyBorder="1"/>
    <xf numFmtId="169" fontId="7" fillId="3" borderId="2" xfId="1" applyNumberFormat="1" applyFont="1" applyFill="1" applyBorder="1"/>
    <xf numFmtId="9" fontId="7" fillId="3" borderId="2" xfId="4" applyFont="1" applyFill="1" applyBorder="1" applyAlignment="1">
      <alignment horizontal="center"/>
    </xf>
    <xf numFmtId="169" fontId="3" fillId="4" borderId="2" xfId="5" applyNumberFormat="1" applyFont="1" applyFill="1" applyBorder="1"/>
    <xf numFmtId="3" fontId="7" fillId="3" borderId="2" xfId="1" applyNumberFormat="1" applyFont="1" applyFill="1" applyBorder="1"/>
    <xf numFmtId="168" fontId="7" fillId="3" borderId="30" xfId="4" applyNumberFormat="1" applyFont="1" applyFill="1" applyBorder="1" applyAlignment="1">
      <alignment horizontal="center"/>
    </xf>
    <xf numFmtId="169" fontId="7" fillId="9" borderId="33" xfId="2" applyNumberFormat="1" applyFont="1" applyFill="1" applyBorder="1"/>
    <xf numFmtId="0" fontId="9" fillId="7" borderId="1" xfId="1" applyFont="1" applyFill="1" applyBorder="1"/>
    <xf numFmtId="0" fontId="7" fillId="13" borderId="4" xfId="1" applyFont="1" applyFill="1" applyBorder="1"/>
    <xf numFmtId="0" fontId="7" fillId="13" borderId="2" xfId="1" applyFont="1" applyFill="1" applyBorder="1"/>
    <xf numFmtId="10" fontId="3" fillId="4" borderId="2" xfId="11" applyNumberFormat="1" applyFont="1" applyFill="1" applyBorder="1"/>
    <xf numFmtId="49" fontId="3" fillId="2" borderId="1" xfId="2" applyNumberFormat="1" applyFont="1" applyFill="1" applyBorder="1" applyAlignment="1">
      <alignment horizontal="left"/>
    </xf>
    <xf numFmtId="10" fontId="3" fillId="4" borderId="7" xfId="11" applyNumberFormat="1" applyFont="1" applyFill="1" applyBorder="1"/>
    <xf numFmtId="9" fontId="3" fillId="4" borderId="1" xfId="11" applyFont="1" applyFill="1" applyBorder="1"/>
    <xf numFmtId="170" fontId="3" fillId="2" borderId="3" xfId="10" applyNumberFormat="1" applyFont="1" applyFill="1" applyBorder="1"/>
    <xf numFmtId="170" fontId="3" fillId="2" borderId="2" xfId="10" applyNumberFormat="1" applyFont="1" applyFill="1" applyBorder="1"/>
    <xf numFmtId="10" fontId="3" fillId="2" borderId="4" xfId="11" applyNumberFormat="1" applyFont="1" applyFill="1" applyBorder="1"/>
    <xf numFmtId="168" fontId="3" fillId="4" borderId="1" xfId="11" applyNumberFormat="1" applyFont="1" applyFill="1" applyBorder="1"/>
    <xf numFmtId="169" fontId="3" fillId="4" borderId="4" xfId="4" applyNumberFormat="1" applyFont="1" applyFill="1" applyBorder="1"/>
    <xf numFmtId="169" fontId="7" fillId="4" borderId="9" xfId="5" applyNumberFormat="1" applyFont="1" applyFill="1" applyBorder="1"/>
    <xf numFmtId="10" fontId="7" fillId="4" borderId="2" xfId="11" applyNumberFormat="1" applyFont="1" applyFill="1" applyBorder="1"/>
    <xf numFmtId="0" fontId="7" fillId="5" borderId="63" xfId="2" applyFont="1" applyFill="1" applyBorder="1" applyAlignment="1">
      <alignment horizontal="center" vertical="center" wrapText="1"/>
    </xf>
    <xf numFmtId="169" fontId="7" fillId="4" borderId="1" xfId="5" applyNumberFormat="1" applyFont="1" applyFill="1" applyBorder="1"/>
    <xf numFmtId="169" fontId="7" fillId="4" borderId="6" xfId="5" applyNumberFormat="1" applyFont="1" applyFill="1" applyBorder="1"/>
    <xf numFmtId="10" fontId="7" fillId="3" borderId="2" xfId="11" applyNumberFormat="1" applyFont="1" applyFill="1" applyBorder="1"/>
    <xf numFmtId="10" fontId="7" fillId="9" borderId="29" xfId="11" applyNumberFormat="1" applyFont="1" applyFill="1" applyBorder="1"/>
    <xf numFmtId="169" fontId="3" fillId="2" borderId="6" xfId="4" applyNumberFormat="1" applyFont="1" applyFill="1" applyBorder="1"/>
    <xf numFmtId="169" fontId="3" fillId="2" borderId="4" xfId="4" applyNumberFormat="1" applyFont="1" applyFill="1" applyBorder="1"/>
    <xf numFmtId="9" fontId="7" fillId="4" borderId="1" xfId="11" applyFont="1" applyFill="1" applyBorder="1"/>
    <xf numFmtId="171" fontId="7" fillId="2" borderId="3" xfId="1" applyNumberFormat="1" applyFont="1" applyFill="1" applyBorder="1"/>
    <xf numFmtId="171" fontId="7" fillId="2" borderId="2" xfId="1" applyNumberFormat="1" applyFont="1" applyFill="1" applyBorder="1"/>
    <xf numFmtId="10" fontId="7" fillId="3" borderId="4" xfId="11" applyNumberFormat="1" applyFont="1" applyFill="1" applyBorder="1"/>
    <xf numFmtId="9" fontId="7" fillId="2" borderId="1" xfId="4" applyFont="1" applyFill="1" applyBorder="1"/>
    <xf numFmtId="9" fontId="7" fillId="2" borderId="5" xfId="4" applyFont="1" applyFill="1" applyBorder="1"/>
    <xf numFmtId="169" fontId="3" fillId="2" borderId="3" xfId="1" applyNumberFormat="1" applyFont="1" applyFill="1" applyBorder="1"/>
    <xf numFmtId="169" fontId="3" fillId="2" borderId="1" xfId="1" applyNumberFormat="1" applyFont="1" applyFill="1" applyBorder="1"/>
    <xf numFmtId="168" fontId="3" fillId="2" borderId="4" xfId="11" applyNumberFormat="1" applyFont="1" applyFill="1" applyBorder="1"/>
    <xf numFmtId="169" fontId="7" fillId="2" borderId="3" xfId="1" applyNumberFormat="1" applyFont="1" applyFill="1" applyBorder="1"/>
    <xf numFmtId="0" fontId="7" fillId="2" borderId="3" xfId="1" applyFont="1" applyFill="1" applyBorder="1"/>
    <xf numFmtId="10" fontId="7" fillId="2" borderId="4" xfId="1" applyNumberFormat="1" applyFont="1" applyFill="1" applyBorder="1"/>
    <xf numFmtId="169" fontId="7" fillId="2" borderId="1" xfId="1" applyNumberFormat="1" applyFont="1" applyFill="1" applyBorder="1"/>
    <xf numFmtId="0" fontId="7" fillId="3" borderId="1" xfId="1" applyFont="1" applyFill="1" applyBorder="1"/>
    <xf numFmtId="0" fontId="7" fillId="5" borderId="4" xfId="2" applyFont="1" applyFill="1" applyBorder="1" applyAlignment="1">
      <alignment horizontal="center" vertical="center" wrapText="1"/>
    </xf>
    <xf numFmtId="10" fontId="7" fillId="4" borderId="4" xfId="11" applyNumberFormat="1" applyFont="1" applyFill="1" applyBorder="1"/>
    <xf numFmtId="9" fontId="3" fillId="4" borderId="4" xfId="11" applyFont="1" applyFill="1" applyBorder="1"/>
    <xf numFmtId="0" fontId="3" fillId="4" borderId="4" xfId="1" applyFont="1" applyFill="1" applyBorder="1"/>
    <xf numFmtId="10" fontId="3" fillId="4" borderId="4" xfId="11" applyNumberFormat="1" applyFont="1" applyFill="1" applyBorder="1"/>
    <xf numFmtId="0" fontId="7" fillId="5" borderId="39" xfId="2" applyFont="1" applyFill="1" applyBorder="1" applyAlignment="1">
      <alignment horizontal="center" vertical="center" wrapText="1"/>
    </xf>
    <xf numFmtId="0" fontId="7" fillId="5" borderId="40" xfId="2" applyFont="1" applyFill="1" applyBorder="1" applyAlignment="1">
      <alignment horizontal="center" vertical="center" wrapText="1"/>
    </xf>
    <xf numFmtId="169" fontId="7" fillId="3" borderId="45" xfId="1" applyNumberFormat="1" applyFont="1" applyFill="1" applyBorder="1"/>
    <xf numFmtId="10" fontId="7" fillId="3" borderId="40" xfId="11" applyNumberFormat="1" applyFont="1" applyFill="1" applyBorder="1"/>
    <xf numFmtId="0" fontId="7" fillId="3" borderId="39" xfId="1" applyFont="1" applyFill="1" applyBorder="1"/>
    <xf numFmtId="0" fontId="7" fillId="3" borderId="40" xfId="1" applyFont="1" applyFill="1" applyBorder="1"/>
    <xf numFmtId="171" fontId="7" fillId="2" borderId="39" xfId="1" applyNumberFormat="1" applyFont="1" applyFill="1" applyBorder="1"/>
    <xf numFmtId="168" fontId="7" fillId="2" borderId="40" xfId="11" applyNumberFormat="1" applyFont="1" applyFill="1" applyBorder="1"/>
    <xf numFmtId="170" fontId="3" fillId="2" borderId="39" xfId="10" applyNumberFormat="1" applyFont="1" applyFill="1" applyBorder="1"/>
    <xf numFmtId="10" fontId="3" fillId="2" borderId="40" xfId="11" applyNumberFormat="1" applyFont="1" applyFill="1" applyBorder="1"/>
    <xf numFmtId="170" fontId="7" fillId="2" borderId="39" xfId="10" applyNumberFormat="1" applyFont="1" applyFill="1" applyBorder="1"/>
    <xf numFmtId="0" fontId="3" fillId="2" borderId="40" xfId="1" applyFont="1" applyFill="1" applyBorder="1"/>
    <xf numFmtId="170" fontId="3" fillId="2" borderId="41" xfId="10" applyNumberFormat="1" applyFont="1" applyFill="1" applyBorder="1"/>
    <xf numFmtId="170" fontId="3" fillId="2" borderId="65" xfId="10" applyNumberFormat="1" applyFont="1" applyFill="1" applyBorder="1"/>
    <xf numFmtId="0" fontId="3" fillId="2" borderId="44" xfId="1" applyFont="1" applyFill="1" applyBorder="1"/>
    <xf numFmtId="169" fontId="7" fillId="9" borderId="66" xfId="2" applyNumberFormat="1" applyFont="1" applyFill="1" applyBorder="1"/>
    <xf numFmtId="169" fontId="7" fillId="9" borderId="35" xfId="5" applyNumberFormat="1" applyFont="1" applyFill="1" applyBorder="1"/>
    <xf numFmtId="169" fontId="7" fillId="9" borderId="14" xfId="5" applyNumberFormat="1" applyFont="1" applyFill="1" applyBorder="1"/>
    <xf numFmtId="9" fontId="7" fillId="3" borderId="46" xfId="4" applyFont="1" applyFill="1" applyBorder="1"/>
    <xf numFmtId="168" fontId="7" fillId="3" borderId="47" xfId="4" applyNumberFormat="1" applyFont="1" applyFill="1" applyBorder="1" applyAlignment="1">
      <alignment horizontal="center"/>
    </xf>
    <xf numFmtId="9" fontId="7" fillId="3" borderId="47" xfId="4" applyFont="1" applyFill="1" applyBorder="1" applyAlignment="1">
      <alignment horizontal="center"/>
    </xf>
    <xf numFmtId="9" fontId="7" fillId="9" borderId="11" xfId="4" applyFont="1" applyFill="1" applyBorder="1" applyAlignment="1">
      <alignment horizontal="center"/>
    </xf>
    <xf numFmtId="9" fontId="7" fillId="9" borderId="14" xfId="4" applyFont="1" applyFill="1" applyBorder="1" applyAlignment="1">
      <alignment horizontal="center"/>
    </xf>
    <xf numFmtId="169" fontId="7" fillId="9" borderId="1" xfId="2" applyNumberFormat="1" applyFont="1" applyFill="1" applyBorder="1"/>
    <xf numFmtId="10" fontId="7" fillId="9" borderId="11" xfId="11" applyNumberFormat="1" applyFont="1" applyFill="1" applyBorder="1"/>
    <xf numFmtId="10" fontId="7" fillId="9" borderId="34" xfId="11" applyNumberFormat="1" applyFont="1" applyFill="1" applyBorder="1"/>
    <xf numFmtId="171" fontId="3" fillId="2" borderId="3" xfId="1" applyNumberFormat="1" applyFont="1" applyFill="1" applyBorder="1"/>
    <xf numFmtId="171" fontId="3" fillId="2" borderId="1" xfId="1" applyNumberFormat="1" applyFont="1" applyFill="1" applyBorder="1"/>
    <xf numFmtId="169" fontId="3" fillId="2" borderId="6" xfId="10" applyNumberFormat="1" applyFont="1" applyFill="1" applyBorder="1"/>
    <xf numFmtId="10" fontId="3" fillId="2" borderId="5" xfId="11" applyNumberFormat="1" applyFont="1" applyFill="1" applyBorder="1"/>
    <xf numFmtId="10" fontId="7" fillId="2" borderId="5" xfId="11" applyNumberFormat="1" applyFont="1" applyFill="1" applyBorder="1"/>
    <xf numFmtId="0" fontId="7" fillId="3" borderId="9" xfId="1" applyFont="1" applyFill="1" applyBorder="1"/>
    <xf numFmtId="10" fontId="7" fillId="3" borderId="5" xfId="11" applyNumberFormat="1" applyFont="1" applyFill="1" applyBorder="1"/>
    <xf numFmtId="170" fontId="7" fillId="7" borderId="11" xfId="10" applyNumberFormat="1" applyFont="1" applyFill="1" applyBorder="1" applyAlignment="1">
      <alignment horizontal="right"/>
    </xf>
    <xf numFmtId="167" fontId="12" fillId="2" borderId="1" xfId="10" applyFont="1" applyFill="1" applyBorder="1"/>
    <xf numFmtId="169" fontId="12" fillId="2" borderId="1" xfId="10" applyNumberFormat="1" applyFont="1" applyFill="1" applyBorder="1"/>
    <xf numFmtId="169" fontId="11" fillId="2" borderId="1" xfId="10" applyNumberFormat="1" applyFont="1" applyFill="1" applyBorder="1"/>
    <xf numFmtId="169" fontId="11" fillId="0" borderId="1" xfId="10" applyNumberFormat="1" applyFont="1" applyBorder="1"/>
    <xf numFmtId="0" fontId="9" fillId="0" borderId="4" xfId="2" applyFont="1" applyBorder="1" applyAlignment="1">
      <alignment vertical="center"/>
    </xf>
    <xf numFmtId="0" fontId="6" fillId="0" borderId="4" xfId="2" applyFont="1" applyBorder="1"/>
    <xf numFmtId="0" fontId="9" fillId="0" borderId="1" xfId="1" applyFont="1" applyBorder="1" applyAlignment="1">
      <alignment horizontal="center" vertical="center"/>
    </xf>
    <xf numFmtId="0" fontId="2" fillId="0" borderId="1" xfId="1" applyBorder="1" applyAlignment="1">
      <alignment horizontal="center"/>
    </xf>
    <xf numFmtId="0" fontId="7" fillId="5" borderId="7" xfId="2" applyFont="1" applyFill="1" applyBorder="1" applyAlignment="1">
      <alignment horizontal="center" vertical="center" wrapText="1"/>
    </xf>
    <xf numFmtId="169" fontId="7" fillId="3" borderId="7" xfId="1" applyNumberFormat="1" applyFont="1" applyFill="1" applyBorder="1"/>
    <xf numFmtId="0" fontId="7" fillId="5" borderId="1" xfId="12" applyFont="1" applyFill="1" applyBorder="1" applyAlignment="1">
      <alignment horizontal="center" vertical="center" wrapText="1"/>
    </xf>
    <xf numFmtId="0" fontId="6" fillId="2" borderId="0" xfId="13" applyFont="1" applyFill="1" applyAlignment="1">
      <alignment horizontal="center"/>
    </xf>
    <xf numFmtId="0" fontId="8" fillId="2" borderId="0" xfId="13" applyFont="1" applyFill="1" applyAlignment="1">
      <alignment horizontal="left"/>
    </xf>
    <xf numFmtId="0" fontId="7" fillId="3" borderId="2" xfId="13" applyFont="1" applyFill="1" applyBorder="1"/>
    <xf numFmtId="0" fontId="3" fillId="2" borderId="2" xfId="13" applyFont="1" applyFill="1" applyBorder="1"/>
    <xf numFmtId="0" fontId="7" fillId="3" borderId="30" xfId="13" applyFont="1" applyFill="1" applyBorder="1"/>
    <xf numFmtId="0" fontId="7" fillId="6" borderId="29" xfId="12" applyFont="1" applyFill="1" applyBorder="1"/>
    <xf numFmtId="0" fontId="7" fillId="6" borderId="65" xfId="12" applyFont="1" applyFill="1" applyBorder="1"/>
    <xf numFmtId="0" fontId="9" fillId="5" borderId="1" xfId="12" applyFont="1" applyFill="1" applyBorder="1" applyAlignment="1">
      <alignment horizontal="center" vertical="center" wrapText="1"/>
    </xf>
    <xf numFmtId="0" fontId="9" fillId="0" borderId="0" xfId="1" applyFont="1" applyAlignment="1">
      <alignment horizontal="left" wrapText="1" indent="2"/>
    </xf>
    <xf numFmtId="0" fontId="15" fillId="0" borderId="2" xfId="1" applyFont="1" applyBorder="1" applyAlignment="1">
      <alignment horizontal="left" wrapText="1" indent="2"/>
    </xf>
    <xf numFmtId="0" fontId="2" fillId="0" borderId="0" xfId="1" applyAlignment="1">
      <alignment horizontal="left" indent="2"/>
    </xf>
    <xf numFmtId="0" fontId="2" fillId="0" borderId="50" xfId="1" applyBorder="1"/>
    <xf numFmtId="0" fontId="2" fillId="0" borderId="1" xfId="1" applyBorder="1" applyAlignment="1">
      <alignment wrapText="1"/>
    </xf>
    <xf numFmtId="0" fontId="2" fillId="0" borderId="2" xfId="1" applyBorder="1" applyAlignment="1">
      <alignment wrapText="1"/>
    </xf>
    <xf numFmtId="165" fontId="3" fillId="0" borderId="39" xfId="16" applyNumberFormat="1" applyFont="1" applyFill="1" applyBorder="1"/>
    <xf numFmtId="0" fontId="3" fillId="0" borderId="1" xfId="13" applyFont="1" applyBorder="1"/>
    <xf numFmtId="0" fontId="3" fillId="0" borderId="4" xfId="13" applyFont="1" applyBorder="1"/>
    <xf numFmtId="169" fontId="3" fillId="0" borderId="40" xfId="15" applyNumberFormat="1" applyFont="1" applyFill="1" applyBorder="1"/>
    <xf numFmtId="0" fontId="3" fillId="0" borderId="4" xfId="12" applyFont="1" applyBorder="1"/>
    <xf numFmtId="43" fontId="5" fillId="2" borderId="0" xfId="12" applyNumberFormat="1" applyFont="1" applyFill="1"/>
    <xf numFmtId="43" fontId="6" fillId="2" borderId="0" xfId="13" applyNumberFormat="1" applyFont="1" applyFill="1" applyAlignment="1">
      <alignment horizontal="center"/>
    </xf>
    <xf numFmtId="169" fontId="7" fillId="6" borderId="11" xfId="12" applyNumberFormat="1" applyFont="1" applyFill="1" applyBorder="1"/>
    <xf numFmtId="9" fontId="7" fillId="3" borderId="40" xfId="13" applyNumberFormat="1" applyFont="1" applyFill="1" applyBorder="1"/>
    <xf numFmtId="43" fontId="3" fillId="0" borderId="39" xfId="13" applyNumberFormat="1" applyFont="1" applyBorder="1"/>
    <xf numFmtId="169" fontId="3" fillId="4" borderId="4" xfId="14" applyNumberFormat="1" applyFont="1" applyFill="1" applyBorder="1" applyAlignment="1">
      <alignment horizontal="center"/>
    </xf>
    <xf numFmtId="9" fontId="7" fillId="3" borderId="30" xfId="14" applyFont="1" applyFill="1" applyBorder="1" applyAlignment="1">
      <alignment horizontal="center"/>
    </xf>
    <xf numFmtId="169" fontId="7" fillId="6" borderId="29" xfId="15" applyNumberFormat="1" applyFont="1" applyFill="1" applyBorder="1"/>
    <xf numFmtId="9" fontId="7" fillId="6" borderId="65" xfId="14" applyFont="1" applyFill="1" applyBorder="1" applyAlignment="1">
      <alignment horizontal="center"/>
    </xf>
    <xf numFmtId="43" fontId="3" fillId="4" borderId="4" xfId="14" applyNumberFormat="1" applyFont="1" applyFill="1" applyBorder="1" applyAlignment="1">
      <alignment horizontal="center"/>
    </xf>
    <xf numFmtId="169" fontId="5" fillId="2" borderId="0" xfId="14" applyNumberFormat="1" applyFont="1" applyFill="1" applyBorder="1"/>
    <xf numFmtId="43" fontId="3" fillId="2" borderId="4" xfId="14" applyNumberFormat="1" applyFont="1" applyFill="1" applyBorder="1" applyAlignment="1">
      <alignment horizontal="center"/>
    </xf>
    <xf numFmtId="9" fontId="3" fillId="2" borderId="40" xfId="13" applyNumberFormat="1" applyFont="1" applyFill="1" applyBorder="1"/>
    <xf numFmtId="43" fontId="3" fillId="2" borderId="3" xfId="13" applyNumberFormat="1" applyFont="1" applyFill="1" applyBorder="1"/>
    <xf numFmtId="9" fontId="3" fillId="4" borderId="40" xfId="13" applyNumberFormat="1" applyFont="1" applyFill="1" applyBorder="1"/>
    <xf numFmtId="169" fontId="7" fillId="3" borderId="16" xfId="13" applyNumberFormat="1" applyFont="1" applyFill="1" applyBorder="1"/>
    <xf numFmtId="9" fontId="3" fillId="2" borderId="40" xfId="11" applyFont="1" applyFill="1" applyBorder="1"/>
    <xf numFmtId="9" fontId="17" fillId="0" borderId="0" xfId="13" applyNumberFormat="1"/>
    <xf numFmtId="43" fontId="17" fillId="0" borderId="0" xfId="13" applyNumberFormat="1"/>
    <xf numFmtId="43" fontId="6" fillId="2" borderId="0" xfId="13" applyNumberFormat="1" applyFont="1" applyFill="1"/>
    <xf numFmtId="0" fontId="3" fillId="2" borderId="4" xfId="12" applyFont="1" applyFill="1" applyBorder="1" applyAlignment="1">
      <alignment wrapText="1"/>
    </xf>
    <xf numFmtId="169" fontId="17" fillId="0" borderId="0" xfId="13" applyNumberFormat="1"/>
    <xf numFmtId="165" fontId="6" fillId="0" borderId="0" xfId="12" applyNumberFormat="1" applyFont="1"/>
    <xf numFmtId="0" fontId="20" fillId="5" borderId="68" xfId="12" applyFont="1" applyFill="1" applyBorder="1" applyAlignment="1">
      <alignment horizontal="left" vertical="center"/>
    </xf>
    <xf numFmtId="0" fontId="20" fillId="5" borderId="69" xfId="12" applyFont="1" applyFill="1" applyBorder="1" applyAlignment="1">
      <alignment horizontal="left" vertical="center" wrapText="1"/>
    </xf>
    <xf numFmtId="164" fontId="20" fillId="5" borderId="69" xfId="17" applyFont="1" applyFill="1" applyBorder="1" applyAlignment="1">
      <alignment horizontal="left" vertical="center"/>
    </xf>
    <xf numFmtId="0" fontId="20" fillId="5" borderId="69" xfId="12" applyFont="1" applyFill="1" applyBorder="1" applyAlignment="1">
      <alignment horizontal="center" vertical="center"/>
    </xf>
    <xf numFmtId="0" fontId="20" fillId="5" borderId="69" xfId="12" applyFont="1" applyFill="1" applyBorder="1" applyAlignment="1">
      <alignment horizontal="center" vertical="center" wrapText="1"/>
    </xf>
    <xf numFmtId="0" fontId="20" fillId="5" borderId="70" xfId="12" applyFont="1" applyFill="1" applyBorder="1" applyAlignment="1">
      <alignment horizontal="center" vertical="center" wrapText="1"/>
    </xf>
    <xf numFmtId="0" fontId="21" fillId="2" borderId="55" xfId="12" applyFont="1" applyFill="1" applyBorder="1" applyAlignment="1">
      <alignment horizontal="left" vertical="center"/>
    </xf>
    <xf numFmtId="14" fontId="22" fillId="2" borderId="10" xfId="12" applyNumberFormat="1" applyFont="1" applyFill="1" applyBorder="1" applyAlignment="1">
      <alignment horizontal="center" vertical="center" wrapText="1"/>
    </xf>
    <xf numFmtId="164" fontId="22" fillId="2" borderId="10" xfId="17" applyFont="1" applyFill="1" applyBorder="1" applyAlignment="1">
      <alignment horizontal="left" vertical="center" wrapText="1"/>
    </xf>
    <xf numFmtId="0" fontId="22" fillId="2" borderId="10" xfId="12" applyFont="1" applyFill="1" applyBorder="1" applyAlignment="1">
      <alignment horizontal="left" vertical="center" wrapText="1"/>
    </xf>
    <xf numFmtId="0" fontId="22" fillId="0" borderId="10" xfId="12" applyFont="1" applyBorder="1" applyAlignment="1">
      <alignment horizontal="left" vertical="center" wrapText="1"/>
    </xf>
    <xf numFmtId="9" fontId="22" fillId="0" borderId="56" xfId="11" applyFont="1" applyFill="1" applyBorder="1" applyAlignment="1">
      <alignment horizontal="center" vertical="center" wrapText="1"/>
    </xf>
    <xf numFmtId="0" fontId="21" fillId="2" borderId="39" xfId="12" applyFont="1" applyFill="1" applyBorder="1" applyAlignment="1">
      <alignment horizontal="left" vertical="center"/>
    </xf>
    <xf numFmtId="164" fontId="22" fillId="2" borderId="1" xfId="17" applyFont="1" applyFill="1" applyBorder="1" applyAlignment="1">
      <alignment horizontal="left" vertical="center" wrapText="1"/>
    </xf>
    <xf numFmtId="0" fontId="22" fillId="0" borderId="1" xfId="12" applyFont="1" applyBorder="1" applyAlignment="1">
      <alignment horizontal="left" vertical="center" wrapText="1"/>
    </xf>
    <xf numFmtId="9" fontId="22" fillId="0" borderId="40" xfId="11" applyFont="1" applyFill="1" applyBorder="1" applyAlignment="1">
      <alignment horizontal="center" vertical="center" wrapText="1"/>
    </xf>
    <xf numFmtId="0" fontId="23" fillId="0" borderId="26" xfId="12" applyFont="1" applyBorder="1" applyAlignment="1">
      <alignment horizontal="left"/>
    </xf>
    <xf numFmtId="0" fontId="23" fillId="0" borderId="27" xfId="12" applyFont="1" applyBorder="1" applyAlignment="1">
      <alignment horizontal="left"/>
    </xf>
    <xf numFmtId="0" fontId="24" fillId="0" borderId="27" xfId="12" applyFont="1" applyBorder="1" applyAlignment="1">
      <alignment horizontal="left"/>
    </xf>
    <xf numFmtId="164" fontId="21" fillId="0" borderId="65" xfId="17" applyFont="1" applyFill="1" applyBorder="1" applyAlignment="1">
      <alignment horizontal="left"/>
    </xf>
    <xf numFmtId="0" fontId="22" fillId="0" borderId="27" xfId="12" applyFont="1" applyBorder="1"/>
    <xf numFmtId="0" fontId="22" fillId="0" borderId="42" xfId="12" applyFont="1" applyBorder="1" applyAlignment="1">
      <alignment horizontal="left" vertical="center" wrapText="1"/>
    </xf>
    <xf numFmtId="9" fontId="22" fillId="0" borderId="44" xfId="11" applyFont="1" applyFill="1" applyBorder="1" applyAlignment="1">
      <alignment horizontal="center" vertical="center" wrapText="1"/>
    </xf>
    <xf numFmtId="0" fontId="23" fillId="0" borderId="0" xfId="12" applyFont="1" applyAlignment="1">
      <alignment horizontal="left"/>
    </xf>
    <xf numFmtId="0" fontId="24" fillId="0" borderId="0" xfId="12" applyFont="1" applyAlignment="1">
      <alignment horizontal="left"/>
    </xf>
    <xf numFmtId="164" fontId="21" fillId="0" borderId="0" xfId="17" applyFont="1" applyFill="1" applyBorder="1" applyAlignment="1">
      <alignment horizontal="left"/>
    </xf>
    <xf numFmtId="0" fontId="22" fillId="0" borderId="0" xfId="12" applyFont="1"/>
    <xf numFmtId="0" fontId="22" fillId="0" borderId="0" xfId="12" applyFont="1" applyAlignment="1">
      <alignment horizontal="left" vertical="center" wrapText="1"/>
    </xf>
    <xf numFmtId="9" fontId="22" fillId="0" borderId="0" xfId="11" applyFont="1" applyFill="1" applyBorder="1" applyAlignment="1">
      <alignment horizontal="center" vertical="center" wrapText="1"/>
    </xf>
    <xf numFmtId="169" fontId="22" fillId="0" borderId="0" xfId="12" applyNumberFormat="1" applyFont="1" applyAlignment="1">
      <alignment horizontal="left"/>
    </xf>
    <xf numFmtId="9" fontId="22" fillId="0" borderId="0" xfId="11" applyFont="1" applyAlignment="1">
      <alignment horizontal="left"/>
    </xf>
    <xf numFmtId="0" fontId="22" fillId="0" borderId="0" xfId="12" applyFont="1" applyAlignment="1">
      <alignment horizontal="left"/>
    </xf>
    <xf numFmtId="0" fontId="25" fillId="0" borderId="0" xfId="12" applyFont="1" applyAlignment="1">
      <alignment horizontal="left"/>
    </xf>
    <xf numFmtId="164" fontId="22" fillId="0" borderId="0" xfId="17" applyFont="1" applyAlignment="1">
      <alignment horizontal="left"/>
    </xf>
    <xf numFmtId="14" fontId="22" fillId="0" borderId="1" xfId="12" applyNumberFormat="1" applyFont="1" applyBorder="1" applyAlignment="1">
      <alignment horizontal="center" vertical="center" wrapText="1"/>
    </xf>
    <xf numFmtId="14" fontId="22" fillId="0" borderId="10" xfId="12" applyNumberFormat="1" applyFont="1" applyBorder="1" applyAlignment="1">
      <alignment horizontal="center" vertical="center" wrapText="1"/>
    </xf>
    <xf numFmtId="0" fontId="8" fillId="6" borderId="41" xfId="13" applyFont="1" applyFill="1" applyBorder="1" applyAlignment="1">
      <alignment horizontal="left"/>
    </xf>
    <xf numFmtId="0" fontId="6" fillId="2" borderId="39" xfId="13" applyFont="1" applyFill="1" applyBorder="1" applyAlignment="1">
      <alignment horizontal="center"/>
    </xf>
    <xf numFmtId="172" fontId="3" fillId="4" borderId="4" xfId="14" applyNumberFormat="1" applyFont="1" applyFill="1" applyBorder="1" applyAlignment="1">
      <alignment horizontal="center"/>
    </xf>
    <xf numFmtId="169" fontId="7" fillId="3" borderId="53" xfId="10" applyNumberFormat="1" applyFont="1" applyFill="1" applyBorder="1" applyAlignment="1">
      <alignment horizontal="center"/>
    </xf>
    <xf numFmtId="172" fontId="3" fillId="2" borderId="3" xfId="13" applyNumberFormat="1" applyFont="1" applyFill="1" applyBorder="1"/>
    <xf numFmtId="9" fontId="7" fillId="6" borderId="56" xfId="11" applyFont="1" applyFill="1" applyBorder="1"/>
    <xf numFmtId="0" fontId="7" fillId="18" borderId="4" xfId="12" applyFont="1" applyFill="1" applyBorder="1"/>
    <xf numFmtId="165" fontId="3" fillId="18" borderId="39" xfId="16" applyNumberFormat="1" applyFont="1" applyFill="1" applyBorder="1"/>
    <xf numFmtId="0" fontId="3" fillId="18" borderId="1" xfId="13" applyFont="1" applyFill="1" applyBorder="1"/>
    <xf numFmtId="0" fontId="3" fillId="18" borderId="4" xfId="13" applyFont="1" applyFill="1" applyBorder="1"/>
    <xf numFmtId="169" fontId="7" fillId="18" borderId="40" xfId="15" applyNumberFormat="1" applyFont="1" applyFill="1" applyBorder="1"/>
    <xf numFmtId="9" fontId="3" fillId="18" borderId="4" xfId="14" applyFont="1" applyFill="1" applyBorder="1" applyAlignment="1">
      <alignment horizontal="center"/>
    </xf>
    <xf numFmtId="0" fontId="3" fillId="18" borderId="39" xfId="13" applyFont="1" applyFill="1" applyBorder="1"/>
    <xf numFmtId="0" fontId="3" fillId="18" borderId="40" xfId="13" applyFont="1" applyFill="1" applyBorder="1"/>
    <xf numFmtId="49" fontId="7" fillId="3" borderId="39" xfId="12" applyNumberFormat="1" applyFont="1" applyFill="1" applyBorder="1" applyAlignment="1">
      <alignment horizontal="left"/>
    </xf>
    <xf numFmtId="49" fontId="7" fillId="18" borderId="39" xfId="12" applyNumberFormat="1" applyFont="1" applyFill="1" applyBorder="1"/>
    <xf numFmtId="49" fontId="3" fillId="2" borderId="39" xfId="12" applyNumberFormat="1" applyFont="1" applyFill="1" applyBorder="1" applyAlignment="1">
      <alignment horizontal="left"/>
    </xf>
    <xf numFmtId="49" fontId="7" fillId="3" borderId="53" xfId="12" applyNumberFormat="1" applyFont="1" applyFill="1" applyBorder="1"/>
    <xf numFmtId="49" fontId="7" fillId="6" borderId="55" xfId="12" applyNumberFormat="1" applyFont="1" applyFill="1" applyBorder="1"/>
    <xf numFmtId="9" fontId="3" fillId="0" borderId="4" xfId="14" applyFont="1" applyFill="1" applyBorder="1" applyAlignment="1">
      <alignment horizontal="center"/>
    </xf>
    <xf numFmtId="169" fontId="3" fillId="0" borderId="4" xfId="14" applyNumberFormat="1" applyFont="1" applyFill="1" applyBorder="1" applyAlignment="1">
      <alignment horizontal="center"/>
    </xf>
    <xf numFmtId="169" fontId="3" fillId="2" borderId="4" xfId="14" applyNumberFormat="1" applyFont="1" applyFill="1" applyBorder="1" applyAlignment="1">
      <alignment horizontal="center"/>
    </xf>
    <xf numFmtId="172" fontId="3" fillId="2" borderId="4" xfId="14" applyNumberFormat="1" applyFont="1" applyFill="1" applyBorder="1" applyAlignment="1">
      <alignment horizontal="center"/>
    </xf>
    <xf numFmtId="9" fontId="7" fillId="18" borderId="4" xfId="11" applyFont="1" applyFill="1" applyBorder="1" applyAlignment="1">
      <alignment horizontal="right" indent="1"/>
    </xf>
    <xf numFmtId="169" fontId="7" fillId="3" borderId="30" xfId="14" applyNumberFormat="1" applyFont="1" applyFill="1" applyBorder="1" applyAlignment="1">
      <alignment horizontal="center"/>
    </xf>
    <xf numFmtId="43" fontId="7" fillId="3" borderId="3" xfId="13" applyNumberFormat="1" applyFont="1" applyFill="1" applyBorder="1"/>
    <xf numFmtId="9" fontId="3" fillId="18" borderId="2" xfId="14" applyFont="1" applyFill="1" applyBorder="1" applyAlignment="1">
      <alignment horizontal="center"/>
    </xf>
    <xf numFmtId="43" fontId="3" fillId="4" borderId="2" xfId="14" applyNumberFormat="1" applyFont="1" applyFill="1" applyBorder="1" applyAlignment="1">
      <alignment horizontal="center"/>
    </xf>
    <xf numFmtId="169" fontId="7" fillId="3" borderId="62" xfId="13" applyNumberFormat="1" applyFont="1" applyFill="1" applyBorder="1"/>
    <xf numFmtId="9" fontId="3" fillId="0" borderId="2" xfId="14" applyFont="1" applyFill="1" applyBorder="1" applyAlignment="1">
      <alignment horizontal="center"/>
    </xf>
    <xf numFmtId="9" fontId="3" fillId="2" borderId="2" xfId="14" applyFont="1" applyFill="1" applyBorder="1" applyAlignment="1">
      <alignment horizontal="center"/>
    </xf>
    <xf numFmtId="169" fontId="7" fillId="6" borderId="29" xfId="12" applyNumberFormat="1" applyFont="1" applyFill="1" applyBorder="1"/>
    <xf numFmtId="169" fontId="7" fillId="3" borderId="54" xfId="13" applyNumberFormat="1" applyFont="1" applyFill="1" applyBorder="1"/>
    <xf numFmtId="9" fontId="7" fillId="3" borderId="10" xfId="11" applyFont="1" applyFill="1" applyBorder="1" applyAlignment="1">
      <alignment horizontal="center"/>
    </xf>
    <xf numFmtId="9" fontId="7" fillId="3" borderId="56" xfId="11" applyFont="1" applyFill="1" applyBorder="1" applyAlignment="1">
      <alignment horizontal="center"/>
    </xf>
    <xf numFmtId="9" fontId="7" fillId="3" borderId="40" xfId="13" applyNumberFormat="1" applyFont="1" applyFill="1" applyBorder="1" applyAlignment="1">
      <alignment horizontal="center"/>
    </xf>
    <xf numFmtId="9" fontId="7" fillId="18" borderId="40" xfId="11" applyFont="1" applyFill="1" applyBorder="1" applyAlignment="1">
      <alignment horizontal="right" indent="1"/>
    </xf>
    <xf numFmtId="0" fontId="5" fillId="9" borderId="0" xfId="12" applyFont="1" applyFill="1"/>
    <xf numFmtId="169" fontId="5" fillId="9" borderId="0" xfId="10" applyNumberFormat="1" applyFont="1" applyFill="1" applyAlignment="1">
      <alignment horizontal="left"/>
    </xf>
    <xf numFmtId="0" fontId="5" fillId="9" borderId="0" xfId="12" applyFont="1" applyFill="1" applyAlignment="1">
      <alignment horizontal="left"/>
    </xf>
    <xf numFmtId="169" fontId="6" fillId="2" borderId="40" xfId="15" applyNumberFormat="1" applyFont="1" applyFill="1" applyBorder="1"/>
    <xf numFmtId="169" fontId="6" fillId="2" borderId="40" xfId="14" applyNumberFormat="1" applyFont="1" applyFill="1" applyBorder="1"/>
    <xf numFmtId="0" fontId="17" fillId="0" borderId="1" xfId="13" applyBorder="1"/>
    <xf numFmtId="0" fontId="17" fillId="3" borderId="1" xfId="13" applyFill="1" applyBorder="1"/>
    <xf numFmtId="169" fontId="6" fillId="2" borderId="1" xfId="15" applyNumberFormat="1" applyFont="1" applyFill="1" applyBorder="1"/>
    <xf numFmtId="169" fontId="6" fillId="2" borderId="39" xfId="15" applyNumberFormat="1" applyFont="1" applyFill="1" applyBorder="1" applyAlignment="1">
      <alignment horizontal="left"/>
    </xf>
    <xf numFmtId="0" fontId="17" fillId="3" borderId="42" xfId="13" applyFill="1" applyBorder="1"/>
    <xf numFmtId="169" fontId="8" fillId="6" borderId="42" xfId="13" applyNumberFormat="1" applyFont="1" applyFill="1" applyBorder="1"/>
    <xf numFmtId="0" fontId="17" fillId="6" borderId="42" xfId="13" applyFill="1" applyBorder="1"/>
    <xf numFmtId="173" fontId="5" fillId="9" borderId="0" xfId="10" applyNumberFormat="1" applyFont="1" applyFill="1" applyAlignment="1">
      <alignment horizontal="left" readingOrder="1"/>
    </xf>
    <xf numFmtId="0" fontId="7" fillId="5" borderId="72" xfId="12" applyFont="1" applyFill="1" applyBorder="1" applyAlignment="1">
      <alignment horizontal="center" vertical="center" wrapText="1"/>
    </xf>
    <xf numFmtId="0" fontId="7" fillId="5" borderId="55" xfId="12" applyFont="1" applyFill="1" applyBorder="1" applyAlignment="1">
      <alignment horizontal="center" vertical="center" wrapText="1"/>
    </xf>
    <xf numFmtId="0" fontId="7" fillId="5" borderId="71" xfId="12" applyFont="1" applyFill="1" applyBorder="1" applyAlignment="1">
      <alignment horizontal="center" vertical="center" wrapText="1"/>
    </xf>
    <xf numFmtId="0" fontId="7" fillId="5" borderId="56" xfId="12" applyFont="1" applyFill="1" applyBorder="1" applyAlignment="1">
      <alignment horizontal="center" vertical="center" wrapText="1"/>
    </xf>
    <xf numFmtId="0" fontId="7" fillId="5" borderId="76" xfId="12" applyFont="1" applyFill="1" applyBorder="1" applyAlignment="1">
      <alignment horizontal="center" vertical="center" wrapText="1"/>
    </xf>
    <xf numFmtId="0" fontId="7" fillId="5" borderId="3" xfId="12" applyFont="1" applyFill="1" applyBorder="1" applyAlignment="1">
      <alignment horizontal="center" vertical="center" wrapText="1"/>
    </xf>
    <xf numFmtId="0" fontId="9" fillId="5" borderId="73" xfId="13" applyFont="1" applyFill="1" applyBorder="1" applyAlignment="1">
      <alignment horizontal="center" vertical="center"/>
    </xf>
    <xf numFmtId="0" fontId="9" fillId="5" borderId="74" xfId="13" applyFont="1" applyFill="1" applyBorder="1" applyAlignment="1">
      <alignment horizontal="center" vertical="center"/>
    </xf>
    <xf numFmtId="0" fontId="9" fillId="5" borderId="22" xfId="13" applyFont="1" applyFill="1" applyBorder="1" applyAlignment="1">
      <alignment horizontal="center" vertical="center"/>
    </xf>
    <xf numFmtId="0" fontId="9" fillId="5" borderId="36" xfId="13" applyFont="1" applyFill="1" applyBorder="1" applyAlignment="1">
      <alignment horizontal="center" vertical="center"/>
    </xf>
    <xf numFmtId="0" fontId="9" fillId="5" borderId="38" xfId="13" applyFont="1" applyFill="1" applyBorder="1" applyAlignment="1">
      <alignment horizontal="center" vertical="center"/>
    </xf>
    <xf numFmtId="0" fontId="7" fillId="5" borderId="52" xfId="12" applyFont="1" applyFill="1" applyBorder="1" applyAlignment="1">
      <alignment horizontal="center" vertical="center" wrapText="1"/>
    </xf>
    <xf numFmtId="0" fontId="7" fillId="5" borderId="40" xfId="12" applyFont="1" applyFill="1" applyBorder="1" applyAlignment="1">
      <alignment horizontal="center" vertical="center" wrapText="1"/>
    </xf>
    <xf numFmtId="0" fontId="9" fillId="5" borderId="78" xfId="12" applyFont="1" applyFill="1" applyBorder="1" applyAlignment="1">
      <alignment horizontal="center" vertical="center" wrapText="1"/>
    </xf>
    <xf numFmtId="0" fontId="9" fillId="5" borderId="79" xfId="12" applyFont="1" applyFill="1" applyBorder="1" applyAlignment="1">
      <alignment horizontal="center" vertical="center" wrapText="1"/>
    </xf>
    <xf numFmtId="0" fontId="9" fillId="5" borderId="80" xfId="12" applyFont="1" applyFill="1" applyBorder="1" applyAlignment="1">
      <alignment horizontal="center" vertical="center" wrapText="1"/>
    </xf>
    <xf numFmtId="0" fontId="9" fillId="5" borderId="21" xfId="12" applyFont="1" applyFill="1" applyBorder="1" applyAlignment="1">
      <alignment horizontal="center" vertical="center" wrapText="1"/>
    </xf>
    <xf numFmtId="0" fontId="9" fillId="5" borderId="22" xfId="12" applyFont="1" applyFill="1" applyBorder="1" applyAlignment="1">
      <alignment horizontal="center" vertical="center" wrapText="1"/>
    </xf>
    <xf numFmtId="0" fontId="7" fillId="5" borderId="51" xfId="12" applyFont="1" applyFill="1" applyBorder="1" applyAlignment="1">
      <alignment horizontal="center" vertical="center"/>
    </xf>
    <xf numFmtId="0" fontId="7" fillId="5" borderId="39" xfId="12" applyFont="1" applyFill="1" applyBorder="1" applyAlignment="1">
      <alignment horizontal="center" vertical="center"/>
    </xf>
    <xf numFmtId="0" fontId="7" fillId="5" borderId="75" xfId="12" applyFont="1" applyFill="1" applyBorder="1" applyAlignment="1">
      <alignment horizontal="center" vertical="center"/>
    </xf>
    <xf numFmtId="0" fontId="7" fillId="5" borderId="4" xfId="12" applyFont="1" applyFill="1" applyBorder="1" applyAlignment="1">
      <alignment horizontal="center" vertical="center"/>
    </xf>
    <xf numFmtId="0" fontId="7" fillId="5" borderId="51" xfId="12" applyFont="1" applyFill="1" applyBorder="1" applyAlignment="1">
      <alignment horizontal="center" vertical="center" wrapText="1"/>
    </xf>
    <xf numFmtId="0" fontId="7" fillId="5" borderId="39" xfId="12" applyFont="1" applyFill="1" applyBorder="1" applyAlignment="1">
      <alignment horizontal="center" vertical="center" wrapText="1"/>
    </xf>
    <xf numFmtId="0" fontId="7" fillId="5" borderId="64" xfId="12" applyFont="1" applyFill="1" applyBorder="1" applyAlignment="1">
      <alignment horizontal="center" vertical="center" wrapText="1"/>
    </xf>
    <xf numFmtId="0" fontId="7" fillId="5" borderId="1" xfId="12" applyFont="1" applyFill="1" applyBorder="1" applyAlignment="1">
      <alignment horizontal="center" vertical="center" wrapText="1"/>
    </xf>
    <xf numFmtId="9" fontId="7" fillId="5" borderId="77" xfId="14" applyFont="1" applyFill="1" applyBorder="1" applyAlignment="1">
      <alignment horizontal="center" vertical="center" wrapText="1"/>
    </xf>
    <xf numFmtId="9" fontId="7" fillId="5" borderId="67" xfId="14" applyFont="1" applyFill="1" applyBorder="1" applyAlignment="1">
      <alignment horizontal="center" vertical="center" wrapText="1"/>
    </xf>
    <xf numFmtId="0" fontId="8" fillId="2" borderId="0" xfId="13" applyFont="1" applyFill="1" applyAlignment="1">
      <alignment horizontal="left"/>
    </xf>
    <xf numFmtId="9" fontId="7" fillId="5" borderId="64" xfId="14" applyFont="1" applyFill="1" applyBorder="1" applyAlignment="1">
      <alignment horizontal="center" vertical="center" wrapText="1"/>
    </xf>
    <xf numFmtId="9" fontId="7" fillId="5" borderId="1" xfId="14" applyFont="1" applyFill="1" applyBorder="1" applyAlignment="1">
      <alignment horizontal="center" vertical="center" wrapText="1"/>
    </xf>
    <xf numFmtId="0" fontId="7" fillId="5" borderId="75" xfId="12" applyFont="1" applyFill="1" applyBorder="1" applyAlignment="1">
      <alignment horizontal="center" vertical="center" wrapText="1"/>
    </xf>
    <xf numFmtId="9" fontId="19" fillId="5" borderId="76" xfId="14" applyFont="1" applyFill="1" applyBorder="1" applyAlignment="1">
      <alignment horizontal="center" vertical="center" wrapText="1"/>
    </xf>
    <xf numFmtId="9" fontId="7" fillId="5" borderId="3" xfId="14" applyFont="1" applyFill="1" applyBorder="1" applyAlignment="1">
      <alignment horizontal="center" vertical="center" wrapText="1"/>
    </xf>
    <xf numFmtId="0" fontId="6" fillId="2" borderId="0" xfId="13" applyFont="1" applyFill="1" applyAlignment="1">
      <alignment horizontal="center"/>
    </xf>
    <xf numFmtId="9" fontId="5" fillId="7" borderId="51" xfId="14" applyFont="1" applyFill="1" applyBorder="1" applyAlignment="1">
      <alignment horizontal="center"/>
    </xf>
    <xf numFmtId="9" fontId="5" fillId="7" borderId="64" xfId="14" applyFont="1" applyFill="1" applyBorder="1" applyAlignment="1">
      <alignment horizontal="center"/>
    </xf>
    <xf numFmtId="9" fontId="5" fillId="7" borderId="52" xfId="14" applyFont="1" applyFill="1" applyBorder="1" applyAlignment="1">
      <alignment horizontal="center"/>
    </xf>
    <xf numFmtId="9" fontId="7" fillId="5" borderId="75" xfId="14" applyFont="1" applyFill="1" applyBorder="1" applyAlignment="1">
      <alignment horizontal="center" vertical="center" wrapText="1"/>
    </xf>
    <xf numFmtId="9" fontId="7" fillId="5" borderId="4" xfId="14" applyFont="1" applyFill="1" applyBorder="1" applyAlignment="1">
      <alignment horizontal="center" vertical="center" wrapText="1"/>
    </xf>
    <xf numFmtId="0" fontId="5" fillId="4" borderId="0" xfId="12" applyFont="1" applyFill="1" applyAlignment="1">
      <alignment horizontal="left"/>
    </xf>
    <xf numFmtId="0" fontId="5" fillId="0" borderId="0" xfId="12" applyFont="1" applyAlignment="1">
      <alignment horizontal="left"/>
    </xf>
    <xf numFmtId="0" fontId="9" fillId="5" borderId="36" xfId="12" applyFont="1" applyFill="1" applyBorder="1" applyAlignment="1">
      <alignment horizontal="center" vertical="center" wrapText="1"/>
    </xf>
    <xf numFmtId="0" fontId="9" fillId="5" borderId="37" xfId="12" applyFont="1" applyFill="1" applyBorder="1" applyAlignment="1">
      <alignment horizontal="center" vertical="center" wrapText="1"/>
    </xf>
    <xf numFmtId="0" fontId="9" fillId="5" borderId="38" xfId="12" applyFont="1" applyFill="1" applyBorder="1" applyAlignment="1">
      <alignment horizontal="center" vertical="center" wrapText="1"/>
    </xf>
    <xf numFmtId="0" fontId="9" fillId="11" borderId="37" xfId="12" applyFont="1" applyFill="1" applyBorder="1" applyAlignment="1">
      <alignment horizontal="center" vertical="center" wrapText="1"/>
    </xf>
    <xf numFmtId="0" fontId="9" fillId="5" borderId="51" xfId="13" applyFont="1" applyFill="1" applyBorder="1" applyAlignment="1">
      <alignment horizontal="center" vertical="center"/>
    </xf>
    <xf numFmtId="0" fontId="9" fillId="5" borderId="52" xfId="13" applyFont="1" applyFill="1" applyBorder="1" applyAlignment="1">
      <alignment horizontal="center" vertical="center"/>
    </xf>
    <xf numFmtId="0" fontId="9" fillId="5" borderId="37" xfId="13" applyFont="1" applyFill="1" applyBorder="1" applyAlignment="1">
      <alignment horizontal="center" vertical="center"/>
    </xf>
    <xf numFmtId="0" fontId="7" fillId="5" borderId="1" xfId="12" applyFont="1" applyFill="1" applyBorder="1" applyAlignment="1">
      <alignment horizontal="center" vertical="center"/>
    </xf>
    <xf numFmtId="0" fontId="7" fillId="5" borderId="4" xfId="12" applyFont="1" applyFill="1" applyBorder="1" applyAlignment="1">
      <alignment horizontal="center" vertical="center" wrapText="1"/>
    </xf>
    <xf numFmtId="9" fontId="7" fillId="11" borderId="3" xfId="14" applyFont="1" applyFill="1" applyBorder="1" applyAlignment="1">
      <alignment horizontal="center" vertical="center" wrapText="1"/>
    </xf>
    <xf numFmtId="0" fontId="8" fillId="6" borderId="41" xfId="13" applyFont="1" applyFill="1" applyBorder="1" applyAlignment="1">
      <alignment horizontal="left"/>
    </xf>
    <xf numFmtId="0" fontId="8" fillId="6" borderId="42" xfId="13" applyFont="1" applyFill="1" applyBorder="1" applyAlignment="1">
      <alignment horizontal="left"/>
    </xf>
    <xf numFmtId="0" fontId="7" fillId="3" borderId="45" xfId="13" applyFont="1" applyFill="1" applyBorder="1" applyAlignment="1">
      <alignment horizontal="center"/>
    </xf>
    <xf numFmtId="0" fontId="7" fillId="3" borderId="2" xfId="13" applyFont="1" applyFill="1" applyBorder="1" applyAlignment="1">
      <alignment horizontal="center"/>
    </xf>
    <xf numFmtId="0" fontId="7" fillId="3" borderId="62" xfId="13" applyFont="1" applyFill="1" applyBorder="1" applyAlignment="1">
      <alignment horizontal="center"/>
    </xf>
    <xf numFmtId="9" fontId="5" fillId="7" borderId="36" xfId="14" applyFont="1" applyFill="1" applyBorder="1" applyAlignment="1">
      <alignment horizontal="center"/>
    </xf>
    <xf numFmtId="9" fontId="5" fillId="7" borderId="37" xfId="14" applyFont="1" applyFill="1" applyBorder="1" applyAlignment="1">
      <alignment horizontal="center"/>
    </xf>
    <xf numFmtId="9" fontId="5" fillId="7" borderId="38" xfId="14" applyFont="1" applyFill="1" applyBorder="1" applyAlignment="1">
      <alignment horizontal="center"/>
    </xf>
    <xf numFmtId="0" fontId="6" fillId="2" borderId="39" xfId="13" applyFont="1" applyFill="1" applyBorder="1" applyAlignment="1">
      <alignment horizontal="center"/>
    </xf>
    <xf numFmtId="0" fontId="6" fillId="2" borderId="1" xfId="13" applyFont="1" applyFill="1" applyBorder="1" applyAlignment="1">
      <alignment horizontal="center"/>
    </xf>
    <xf numFmtId="9" fontId="8" fillId="3" borderId="8" xfId="14" applyFont="1" applyFill="1" applyBorder="1" applyAlignment="1">
      <alignment horizontal="center" vertical="center"/>
    </xf>
    <xf numFmtId="9" fontId="8" fillId="3" borderId="20" xfId="14" applyFont="1" applyFill="1" applyBorder="1" applyAlignment="1">
      <alignment horizontal="center" vertical="center"/>
    </xf>
    <xf numFmtId="9" fontId="8" fillId="3" borderId="43" xfId="14" applyFont="1" applyFill="1" applyBorder="1" applyAlignment="1">
      <alignment horizontal="center" vertical="center"/>
    </xf>
    <xf numFmtId="169" fontId="6" fillId="2" borderId="45" xfId="15" applyNumberFormat="1" applyFont="1" applyFill="1" applyBorder="1" applyAlignment="1">
      <alignment horizontal="left"/>
    </xf>
    <xf numFmtId="169" fontId="6" fillId="2" borderId="3" xfId="15" applyNumberFormat="1" applyFont="1" applyFill="1" applyBorder="1" applyAlignment="1">
      <alignment horizontal="left"/>
    </xf>
    <xf numFmtId="0" fontId="9" fillId="0" borderId="4" xfId="2" applyFont="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6" fillId="0" borderId="4" xfId="2" applyFont="1" applyBorder="1" applyAlignment="1">
      <alignment horizontal="center"/>
    </xf>
    <xf numFmtId="0" fontId="6" fillId="0" borderId="2" xfId="2" applyFont="1" applyBorder="1" applyAlignment="1">
      <alignment horizontal="center"/>
    </xf>
    <xf numFmtId="0" fontId="6" fillId="0" borderId="3" xfId="2" applyFont="1" applyBorder="1" applyAlignment="1">
      <alignment horizontal="center"/>
    </xf>
    <xf numFmtId="0" fontId="2" fillId="0" borderId="0" xfId="1" applyAlignment="1">
      <alignment horizont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9" fillId="0" borderId="4" xfId="1" applyFont="1" applyBorder="1" applyAlignment="1">
      <alignment horizontal="center" vertical="center"/>
    </xf>
    <xf numFmtId="0" fontId="9" fillId="0" borderId="3" xfId="1" applyFont="1" applyBorder="1" applyAlignment="1">
      <alignment horizontal="center" vertical="center"/>
    </xf>
    <xf numFmtId="0" fontId="9" fillId="2" borderId="0" xfId="1" applyFont="1" applyFill="1" applyAlignment="1">
      <alignment horizontal="center" vertical="center"/>
    </xf>
    <xf numFmtId="0" fontId="9" fillId="0" borderId="0" xfId="1" applyFont="1" applyAlignment="1">
      <alignment horizontal="center" vertical="center"/>
    </xf>
    <xf numFmtId="0" fontId="9" fillId="5" borderId="9" xfId="1" applyFont="1" applyFill="1" applyBorder="1" applyAlignment="1">
      <alignment horizontal="center" vertical="center"/>
    </xf>
    <xf numFmtId="0" fontId="9" fillId="5" borderId="2" xfId="1" applyFont="1" applyFill="1" applyBorder="1" applyAlignment="1">
      <alignment horizontal="center" vertical="center"/>
    </xf>
    <xf numFmtId="0" fontId="9" fillId="5" borderId="7" xfId="1" applyFont="1" applyFill="1" applyBorder="1" applyAlignment="1">
      <alignment horizontal="center" vertical="center"/>
    </xf>
    <xf numFmtId="0" fontId="9" fillId="5" borderId="6" xfId="1" applyFont="1" applyFill="1" applyBorder="1" applyAlignment="1">
      <alignment horizontal="center" vertical="center"/>
    </xf>
    <xf numFmtId="0" fontId="9" fillId="5" borderId="1" xfId="1" applyFont="1" applyFill="1" applyBorder="1" applyAlignment="1">
      <alignment horizontal="center" vertical="center"/>
    </xf>
    <xf numFmtId="0" fontId="9" fillId="5" borderId="5" xfId="1" applyFont="1" applyFill="1" applyBorder="1" applyAlignment="1">
      <alignment horizontal="center" vertical="center"/>
    </xf>
    <xf numFmtId="0" fontId="5" fillId="0" borderId="0" xfId="2" applyFont="1" applyAlignment="1">
      <alignment horizontal="left"/>
    </xf>
    <xf numFmtId="0" fontId="10" fillId="9" borderId="21" xfId="2" applyFont="1" applyFill="1" applyBorder="1" applyAlignment="1">
      <alignment horizontal="left"/>
    </xf>
    <xf numFmtId="0" fontId="10" fillId="9" borderId="22" xfId="2" applyFont="1" applyFill="1" applyBorder="1" applyAlignment="1">
      <alignment horizontal="left"/>
    </xf>
    <xf numFmtId="0" fontId="10" fillId="9" borderId="23" xfId="2" applyFont="1" applyFill="1" applyBorder="1" applyAlignment="1">
      <alignment horizontal="left"/>
    </xf>
    <xf numFmtId="0" fontId="10" fillId="9" borderId="24" xfId="2" applyFont="1" applyFill="1" applyBorder="1" applyAlignment="1">
      <alignment horizontal="left"/>
    </xf>
    <xf numFmtId="0" fontId="10" fillId="9" borderId="0" xfId="2" applyFont="1" applyFill="1" applyAlignment="1">
      <alignment horizontal="left"/>
    </xf>
    <xf numFmtId="0" fontId="10" fillId="9" borderId="25" xfId="2" applyFont="1" applyFill="1" applyBorder="1" applyAlignment="1">
      <alignment horizontal="left"/>
    </xf>
    <xf numFmtId="0" fontId="10" fillId="9" borderId="26" xfId="2" applyFont="1" applyFill="1" applyBorder="1" applyAlignment="1">
      <alignment horizontal="left"/>
    </xf>
    <xf numFmtId="0" fontId="10" fillId="9" borderId="27" xfId="2" applyFont="1" applyFill="1" applyBorder="1" applyAlignment="1">
      <alignment horizontal="left"/>
    </xf>
    <xf numFmtId="0" fontId="10" fillId="9" borderId="28" xfId="2" applyFont="1" applyFill="1" applyBorder="1" applyAlignment="1">
      <alignment horizontal="left"/>
    </xf>
    <xf numFmtId="0" fontId="9" fillId="5" borderId="4" xfId="1" applyFont="1" applyFill="1" applyBorder="1" applyAlignment="1">
      <alignment horizontal="center" vertical="center"/>
    </xf>
    <xf numFmtId="0" fontId="9" fillId="5" borderId="3" xfId="1" applyFont="1" applyFill="1" applyBorder="1" applyAlignment="1">
      <alignment horizontal="center" vertical="center"/>
    </xf>
    <xf numFmtId="49" fontId="7" fillId="2" borderId="4" xfId="2" applyNumberFormat="1" applyFont="1" applyFill="1" applyBorder="1" applyAlignment="1">
      <alignment horizontal="center"/>
    </xf>
    <xf numFmtId="49" fontId="7" fillId="2" borderId="2" xfId="2" applyNumberFormat="1" applyFont="1" applyFill="1" applyBorder="1" applyAlignment="1">
      <alignment horizontal="center"/>
    </xf>
    <xf numFmtId="49" fontId="7" fillId="2" borderId="29" xfId="2" applyNumberFormat="1" applyFont="1" applyFill="1" applyBorder="1" applyAlignment="1">
      <alignment horizontal="center"/>
    </xf>
    <xf numFmtId="49" fontId="7" fillId="2" borderId="0" xfId="2" applyNumberFormat="1" applyFont="1" applyFill="1" applyAlignment="1">
      <alignment horizontal="center"/>
    </xf>
    <xf numFmtId="9" fontId="5" fillId="7" borderId="36" xfId="4" applyFont="1" applyFill="1" applyBorder="1" applyAlignment="1">
      <alignment horizontal="center"/>
    </xf>
    <xf numFmtId="9" fontId="5" fillId="7" borderId="37" xfId="4" applyFont="1" applyFill="1" applyBorder="1" applyAlignment="1">
      <alignment horizontal="center"/>
    </xf>
    <xf numFmtId="9" fontId="5" fillId="7" borderId="38" xfId="4" applyFont="1" applyFill="1" applyBorder="1" applyAlignment="1">
      <alignment horizontal="center"/>
    </xf>
    <xf numFmtId="0" fontId="6" fillId="2" borderId="39" xfId="1" applyFont="1" applyFill="1" applyBorder="1" applyAlignment="1">
      <alignment horizontal="center"/>
    </xf>
    <xf numFmtId="0" fontId="6" fillId="2" borderId="1" xfId="1" applyFont="1" applyFill="1" applyBorder="1" applyAlignment="1">
      <alignment horizontal="center"/>
    </xf>
    <xf numFmtId="9" fontId="8" fillId="3" borderId="8" xfId="4" applyFont="1" applyFill="1" applyBorder="1" applyAlignment="1">
      <alignment horizontal="center" vertical="center"/>
    </xf>
    <xf numFmtId="9" fontId="8" fillId="3" borderId="20" xfId="4" applyFont="1" applyFill="1" applyBorder="1" applyAlignment="1">
      <alignment horizontal="center" vertical="center"/>
    </xf>
    <xf numFmtId="9" fontId="8" fillId="3" borderId="43" xfId="4" applyFont="1" applyFill="1" applyBorder="1" applyAlignment="1">
      <alignment horizontal="center" vertical="center"/>
    </xf>
    <xf numFmtId="169" fontId="6" fillId="2" borderId="45" xfId="5" applyNumberFormat="1" applyFont="1" applyFill="1" applyBorder="1" applyAlignment="1">
      <alignment horizontal="left"/>
    </xf>
    <xf numFmtId="169" fontId="6" fillId="2" borderId="3" xfId="5" applyNumberFormat="1" applyFont="1" applyFill="1" applyBorder="1" applyAlignment="1">
      <alignment horizontal="left"/>
    </xf>
    <xf numFmtId="0" fontId="8" fillId="6" borderId="41" xfId="1" applyFont="1" applyFill="1" applyBorder="1" applyAlignment="1">
      <alignment horizontal="left"/>
    </xf>
    <xf numFmtId="0" fontId="8" fillId="6" borderId="42" xfId="1" applyFont="1" applyFill="1" applyBorder="1" applyAlignment="1">
      <alignment horizontal="left"/>
    </xf>
    <xf numFmtId="0" fontId="12" fillId="0" borderId="11" xfId="0" applyFont="1" applyBorder="1" applyAlignment="1">
      <alignment horizontal="left"/>
    </xf>
    <xf numFmtId="0" fontId="12" fillId="0" borderId="14" xfId="0" applyFont="1" applyBorder="1" applyAlignment="1">
      <alignment horizontal="left"/>
    </xf>
    <xf numFmtId="0" fontId="11" fillId="0" borderId="0" xfId="0" applyFont="1" applyAlignment="1">
      <alignment horizontal="center"/>
    </xf>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left"/>
    </xf>
    <xf numFmtId="0" fontId="12" fillId="0" borderId="49" xfId="0" applyFont="1" applyBorder="1" applyAlignment="1">
      <alignment horizontal="left"/>
    </xf>
    <xf numFmtId="0" fontId="11" fillId="4" borderId="4" xfId="0" applyFont="1" applyFill="1" applyBorder="1" applyAlignment="1">
      <alignment horizontal="left"/>
    </xf>
    <xf numFmtId="0" fontId="11" fillId="4" borderId="3" xfId="0" applyFont="1" applyFill="1" applyBorder="1" applyAlignment="1">
      <alignment horizontal="left"/>
    </xf>
    <xf numFmtId="0" fontId="13" fillId="2" borderId="4" xfId="0" applyFont="1" applyFill="1" applyBorder="1" applyAlignment="1">
      <alignment horizontal="center"/>
    </xf>
    <xf numFmtId="0" fontId="13" fillId="2" borderId="3" xfId="0" applyFont="1" applyFill="1" applyBorder="1" applyAlignment="1">
      <alignment horizontal="center"/>
    </xf>
    <xf numFmtId="0" fontId="11" fillId="2" borderId="4" xfId="0" applyFont="1" applyFill="1" applyBorder="1" applyAlignment="1">
      <alignment horizontal="center"/>
    </xf>
    <xf numFmtId="0" fontId="11" fillId="2" borderId="3" xfId="0" applyFont="1" applyFill="1" applyBorder="1" applyAlignment="1">
      <alignment horizontal="center"/>
    </xf>
    <xf numFmtId="0" fontId="12" fillId="2" borderId="2" xfId="0" applyFont="1" applyFill="1" applyBorder="1" applyAlignment="1">
      <alignment horizontal="center"/>
    </xf>
    <xf numFmtId="0" fontId="9" fillId="2" borderId="1" xfId="1" applyFont="1" applyFill="1" applyBorder="1" applyAlignment="1">
      <alignment horizontal="center" vertical="center"/>
    </xf>
    <xf numFmtId="0" fontId="12" fillId="2" borderId="4" xfId="0" applyFont="1" applyFill="1" applyBorder="1" applyAlignment="1">
      <alignment horizontal="center"/>
    </xf>
    <xf numFmtId="0" fontId="12" fillId="2" borderId="3" xfId="0" applyFont="1" applyFill="1" applyBorder="1" applyAlignment="1">
      <alignment horizontal="center"/>
    </xf>
    <xf numFmtId="0" fontId="11" fillId="12" borderId="4" xfId="0" applyFont="1" applyFill="1" applyBorder="1" applyAlignment="1">
      <alignment horizontal="left"/>
    </xf>
    <xf numFmtId="0" fontId="11" fillId="12" borderId="3" xfId="0" applyFont="1" applyFill="1" applyBorder="1" applyAlignment="1">
      <alignment horizontal="left"/>
    </xf>
    <xf numFmtId="0" fontId="13" fillId="12" borderId="4" xfId="0" applyFont="1" applyFill="1" applyBorder="1" applyAlignment="1">
      <alignment horizontal="left"/>
    </xf>
    <xf numFmtId="0" fontId="13" fillId="12" borderId="3" xfId="0" applyFont="1" applyFill="1" applyBorder="1" applyAlignment="1">
      <alignment horizontal="left"/>
    </xf>
    <xf numFmtId="0" fontId="11" fillId="2" borderId="2" xfId="0" applyFont="1" applyFill="1" applyBorder="1" applyAlignment="1">
      <alignment horizontal="center"/>
    </xf>
    <xf numFmtId="0" fontId="11" fillId="2" borderId="4" xfId="0" applyFont="1" applyFill="1" applyBorder="1" applyAlignment="1">
      <alignment horizontal="left"/>
    </xf>
    <xf numFmtId="0" fontId="11" fillId="2" borderId="3" xfId="0" applyFont="1" applyFill="1" applyBorder="1" applyAlignment="1">
      <alignment horizontal="left"/>
    </xf>
    <xf numFmtId="0" fontId="11" fillId="0" borderId="2" xfId="0" applyFont="1" applyBorder="1" applyAlignment="1">
      <alignment horizontal="center"/>
    </xf>
    <xf numFmtId="0" fontId="11" fillId="0" borderId="4"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3" xfId="0" applyFont="1" applyBorder="1" applyAlignment="1">
      <alignment horizontal="left"/>
    </xf>
    <xf numFmtId="0" fontId="9" fillId="5" borderId="51" xfId="1" applyFont="1" applyFill="1" applyBorder="1" applyAlignment="1">
      <alignment horizontal="center" vertical="center"/>
    </xf>
    <xf numFmtId="0" fontId="9" fillId="5" borderId="64" xfId="1" applyFont="1" applyFill="1" applyBorder="1" applyAlignment="1">
      <alignment horizontal="center" vertical="center"/>
    </xf>
    <xf numFmtId="0" fontId="9" fillId="5" borderId="52" xfId="1" applyFont="1" applyFill="1" applyBorder="1" applyAlignment="1">
      <alignment horizontal="center" vertical="center"/>
    </xf>
    <xf numFmtId="0" fontId="9" fillId="0" borderId="0" xfId="13" applyFont="1"/>
    <xf numFmtId="49" fontId="7" fillId="3" borderId="39" xfId="12" quotePrefix="1" applyNumberFormat="1" applyFont="1" applyFill="1" applyBorder="1" applyAlignment="1">
      <alignment horizontal="left"/>
    </xf>
    <xf numFmtId="44" fontId="7" fillId="5" borderId="3" xfId="18" applyFont="1" applyFill="1" applyBorder="1" applyAlignment="1">
      <alignment horizontal="center" vertical="center" wrapText="1"/>
    </xf>
    <xf numFmtId="44" fontId="5" fillId="9" borderId="0" xfId="18" applyFont="1" applyFill="1" applyAlignment="1">
      <alignment horizontal="left"/>
    </xf>
    <xf numFmtId="44" fontId="5" fillId="9" borderId="0" xfId="18" applyFont="1" applyFill="1"/>
    <xf numFmtId="44" fontId="17" fillId="0" borderId="0" xfId="18" applyFont="1"/>
    <xf numFmtId="44" fontId="7" fillId="5" borderId="76" xfId="18" applyFont="1" applyFill="1" applyBorder="1" applyAlignment="1">
      <alignment horizontal="center" vertical="center" wrapText="1"/>
    </xf>
    <xf numFmtId="0" fontId="9" fillId="0" borderId="0" xfId="20" applyFont="1"/>
    <xf numFmtId="44" fontId="7" fillId="3" borderId="40" xfId="18" applyFont="1" applyFill="1" applyBorder="1"/>
    <xf numFmtId="44" fontId="7" fillId="18" borderId="40" xfId="18" applyFont="1" applyFill="1" applyBorder="1"/>
    <xf numFmtId="44" fontId="3" fillId="4" borderId="39" xfId="18" applyFont="1" applyFill="1" applyBorder="1"/>
    <xf numFmtId="44" fontId="3" fillId="2" borderId="39" xfId="18" applyFont="1" applyFill="1" applyBorder="1"/>
    <xf numFmtId="44" fontId="7" fillId="3" borderId="53" xfId="18" applyFont="1" applyFill="1" applyBorder="1" applyAlignment="1">
      <alignment horizontal="center"/>
    </xf>
    <xf numFmtId="44" fontId="7" fillId="3" borderId="16" xfId="18" applyFont="1" applyFill="1" applyBorder="1"/>
    <xf numFmtId="44" fontId="7" fillId="6" borderId="11" xfId="18" applyFont="1" applyFill="1" applyBorder="1"/>
    <xf numFmtId="44" fontId="7" fillId="6" borderId="59" xfId="18" applyFont="1" applyFill="1" applyBorder="1" applyAlignment="1">
      <alignment horizontal="center"/>
    </xf>
    <xf numFmtId="44" fontId="5" fillId="2" borderId="0" xfId="18" applyFont="1" applyFill="1" applyBorder="1"/>
    <xf numFmtId="44" fontId="5" fillId="2" borderId="0" xfId="18" applyFont="1" applyFill="1"/>
    <xf numFmtId="44" fontId="6" fillId="2" borderId="0" xfId="18" applyFont="1" applyFill="1"/>
  </cellXfs>
  <cellStyles count="22">
    <cellStyle name="Comma" xfId="10" builtinId="3"/>
    <cellStyle name="Comma [0] 2" xfId="17" xr:uid="{EBAC630A-E135-4B6F-A2A3-64FD02903114}"/>
    <cellStyle name="Comma 2" xfId="6" xr:uid="{00000000-0005-0000-0000-000001000000}"/>
    <cellStyle name="Comma 3" xfId="5" xr:uid="{00000000-0005-0000-0000-000002000000}"/>
    <cellStyle name="Comma 4" xfId="15" xr:uid="{00000000-0005-0000-0000-000003000000}"/>
    <cellStyle name="Currency" xfId="18" builtinId="4"/>
    <cellStyle name="Currency 2" xfId="8" xr:uid="{00000000-0005-0000-0000-000004000000}"/>
    <cellStyle name="Currency 3" xfId="3" xr:uid="{00000000-0005-0000-0000-000005000000}"/>
    <cellStyle name="Currency 4" xfId="16" xr:uid="{00000000-0005-0000-0000-000006000000}"/>
    <cellStyle name="Currency 5" xfId="21" xr:uid="{E1B0C8F0-41E9-45B5-A17E-7C0507461771}"/>
    <cellStyle name="Normal" xfId="0" builtinId="0"/>
    <cellStyle name="Normal 2" xfId="9" xr:uid="{00000000-0005-0000-0000-000008000000}"/>
    <cellStyle name="Normal 3" xfId="2" xr:uid="{00000000-0005-0000-0000-000009000000}"/>
    <cellStyle name="Normal 3 2" xfId="12" xr:uid="{00000000-0005-0000-0000-00000A000000}"/>
    <cellStyle name="Normal 4" xfId="1" xr:uid="{00000000-0005-0000-0000-00000B000000}"/>
    <cellStyle name="Normal 5" xfId="13" xr:uid="{00000000-0005-0000-0000-00000C000000}"/>
    <cellStyle name="Normal 5 2" xfId="20" xr:uid="{54BA94B3-164A-4A0A-A379-9D42A8CB398B}"/>
    <cellStyle name="Normal 6" xfId="19" xr:uid="{63C1EA58-7F0B-4BD4-9540-420DB80C0D53}"/>
    <cellStyle name="Percent" xfId="11" builtinId="5"/>
    <cellStyle name="Percent 2" xfId="7" xr:uid="{00000000-0005-0000-0000-00000E000000}"/>
    <cellStyle name="Percent 3" xfId="4" xr:uid="{00000000-0005-0000-0000-00000F000000}"/>
    <cellStyle name="Percent 4" xfId="14"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3:B64"/>
  <sheetViews>
    <sheetView topLeftCell="B25" zoomScale="110" zoomScaleNormal="110" zoomScaleSheetLayoutView="30" workbookViewId="0">
      <selection activeCell="B34" sqref="B34"/>
    </sheetView>
  </sheetViews>
  <sheetFormatPr defaultColWidth="9.5" defaultRowHeight="12.3" x14ac:dyDescent="0.4"/>
  <cols>
    <col min="1" max="1" width="9.5" style="1"/>
    <col min="2" max="2" width="85.5" style="1" customWidth="1"/>
    <col min="3" max="16384" width="9.5" style="1"/>
  </cols>
  <sheetData>
    <row r="3" spans="2:2" x14ac:dyDescent="0.4">
      <c r="B3" s="220" t="s">
        <v>0</v>
      </c>
    </row>
    <row r="4" spans="2:2" ht="12.6" x14ac:dyDescent="0.45">
      <c r="B4" s="221" t="s">
        <v>1</v>
      </c>
    </row>
    <row r="5" spans="2:2" ht="67" customHeight="1" x14ac:dyDescent="0.4">
      <c r="B5" s="225" t="s">
        <v>2</v>
      </c>
    </row>
    <row r="6" spans="2:2" ht="20.25" customHeight="1" x14ac:dyDescent="0.4">
      <c r="B6" s="37" t="s">
        <v>3</v>
      </c>
    </row>
    <row r="7" spans="2:2" ht="162" customHeight="1" x14ac:dyDescent="0.4">
      <c r="B7" s="225" t="s">
        <v>4</v>
      </c>
    </row>
    <row r="8" spans="2:2" ht="123" x14ac:dyDescent="0.4">
      <c r="B8" s="225" t="s">
        <v>5</v>
      </c>
    </row>
    <row r="9" spans="2:2" ht="38.25" customHeight="1" x14ac:dyDescent="0.4">
      <c r="B9" s="225" t="s">
        <v>6</v>
      </c>
    </row>
    <row r="10" spans="2:2" ht="24.6" x14ac:dyDescent="0.4">
      <c r="B10" s="225" t="s">
        <v>7</v>
      </c>
    </row>
    <row r="11" spans="2:2" ht="24.9" thickBot="1" x14ac:dyDescent="0.45">
      <c r="B11" s="225" t="s">
        <v>8</v>
      </c>
    </row>
    <row r="12" spans="2:2" ht="12.6" thickBot="1" x14ac:dyDescent="0.45">
      <c r="B12" s="444" t="s">
        <v>9</v>
      </c>
    </row>
    <row r="13" spans="2:2" ht="110.7" x14ac:dyDescent="0.4">
      <c r="B13" s="226" t="s">
        <v>10</v>
      </c>
    </row>
    <row r="14" spans="2:2" x14ac:dyDescent="0.4">
      <c r="B14" s="445" t="s">
        <v>11</v>
      </c>
    </row>
    <row r="15" spans="2:2" ht="110.7" x14ac:dyDescent="0.4">
      <c r="B15" s="226" t="s">
        <v>12</v>
      </c>
    </row>
    <row r="16" spans="2:2" x14ac:dyDescent="0.4">
      <c r="B16" s="222" t="s">
        <v>13</v>
      </c>
    </row>
    <row r="17" spans="2:2" ht="24.6" x14ac:dyDescent="0.4">
      <c r="B17" s="226" t="s">
        <v>14</v>
      </c>
    </row>
    <row r="19" spans="2:2" ht="12.6" x14ac:dyDescent="0.45">
      <c r="B19" s="223" t="s">
        <v>15</v>
      </c>
    </row>
    <row r="20" spans="2:2" x14ac:dyDescent="0.4">
      <c r="B20" s="446" t="s">
        <v>16</v>
      </c>
    </row>
    <row r="21" spans="2:2" ht="36.9" x14ac:dyDescent="0.4">
      <c r="B21" s="226" t="s">
        <v>17</v>
      </c>
    </row>
    <row r="22" spans="2:2" ht="24.6" x14ac:dyDescent="0.4">
      <c r="B22" s="226" t="s">
        <v>18</v>
      </c>
    </row>
    <row r="23" spans="2:2" ht="24.6" x14ac:dyDescent="0.4">
      <c r="B23" s="226" t="s">
        <v>19</v>
      </c>
    </row>
    <row r="24" spans="2:2" ht="24.6" x14ac:dyDescent="0.4">
      <c r="B24" s="226" t="s">
        <v>20</v>
      </c>
    </row>
    <row r="25" spans="2:2" ht="24.6" x14ac:dyDescent="0.4">
      <c r="B25" s="226" t="s">
        <v>21</v>
      </c>
    </row>
    <row r="26" spans="2:2" ht="24.6" x14ac:dyDescent="0.4">
      <c r="B26" s="226" t="s">
        <v>22</v>
      </c>
    </row>
    <row r="27" spans="2:2" ht="49.2" x14ac:dyDescent="0.4">
      <c r="B27" s="226" t="s">
        <v>23</v>
      </c>
    </row>
    <row r="28" spans="2:2" x14ac:dyDescent="0.4">
      <c r="B28" s="446" t="s">
        <v>24</v>
      </c>
    </row>
    <row r="29" spans="2:2" ht="73.8" x14ac:dyDescent="0.4">
      <c r="B29" s="226" t="s">
        <v>25</v>
      </c>
    </row>
    <row r="30" spans="2:2" x14ac:dyDescent="0.4">
      <c r="B30" s="446" t="s">
        <v>26</v>
      </c>
    </row>
    <row r="31" spans="2:2" ht="87.75" customHeight="1" x14ac:dyDescent="0.4">
      <c r="B31" s="226" t="s">
        <v>27</v>
      </c>
    </row>
    <row r="32" spans="2:2" ht="17.25" customHeight="1" x14ac:dyDescent="0.4">
      <c r="B32" s="226"/>
    </row>
    <row r="33" spans="2:2" ht="12.6" x14ac:dyDescent="0.45">
      <c r="B33" s="224" t="s">
        <v>28</v>
      </c>
    </row>
    <row r="34" spans="2:2" ht="99.75" customHeight="1" x14ac:dyDescent="0.4">
      <c r="B34" s="226" t="s">
        <v>29</v>
      </c>
    </row>
    <row r="35" spans="2:2" x14ac:dyDescent="0.4">
      <c r="B35" s="441" t="s">
        <v>30</v>
      </c>
    </row>
    <row r="36" spans="2:2" ht="49.2" x14ac:dyDescent="0.4">
      <c r="B36" s="226" t="s">
        <v>31</v>
      </c>
    </row>
    <row r="37" spans="2:2" ht="12.6" x14ac:dyDescent="0.45">
      <c r="B37" s="442" t="s">
        <v>32</v>
      </c>
    </row>
    <row r="38" spans="2:2" ht="86.1" x14ac:dyDescent="0.4">
      <c r="B38" s="226" t="s">
        <v>33</v>
      </c>
    </row>
    <row r="39" spans="2:2" x14ac:dyDescent="0.4">
      <c r="B39" s="443" t="s">
        <v>34</v>
      </c>
    </row>
    <row r="40" spans="2:2" ht="61.5" x14ac:dyDescent="0.4">
      <c r="B40" s="226" t="s">
        <v>35</v>
      </c>
    </row>
    <row r="41" spans="2:2" x14ac:dyDescent="0.4">
      <c r="B41" s="226"/>
    </row>
    <row r="42" spans="2:2" x14ac:dyDescent="0.4">
      <c r="B42" s="220" t="s">
        <v>36</v>
      </c>
    </row>
    <row r="43" spans="2:2" ht="12.6" x14ac:dyDescent="0.45">
      <c r="B43" s="221" t="s">
        <v>1</v>
      </c>
    </row>
    <row r="44" spans="2:2" ht="86.1" x14ac:dyDescent="0.4">
      <c r="B44" s="225" t="s">
        <v>37</v>
      </c>
    </row>
    <row r="45" spans="2:2" x14ac:dyDescent="0.4">
      <c r="B45" s="222" t="s">
        <v>13</v>
      </c>
    </row>
    <row r="46" spans="2:2" ht="24.6" x14ac:dyDescent="0.4">
      <c r="B46" s="226" t="s">
        <v>14</v>
      </c>
    </row>
    <row r="47" spans="2:2" ht="12.6" x14ac:dyDescent="0.45">
      <c r="B47" s="223" t="s">
        <v>15</v>
      </c>
    </row>
    <row r="48" spans="2:2" ht="24.6" x14ac:dyDescent="0.4">
      <c r="B48" s="446" t="s">
        <v>38</v>
      </c>
    </row>
    <row r="49" spans="2:2" ht="197.25" customHeight="1" x14ac:dyDescent="0.4">
      <c r="B49" s="226" t="s">
        <v>39</v>
      </c>
    </row>
    <row r="50" spans="2:2" ht="24.6" x14ac:dyDescent="0.4">
      <c r="B50" s="446" t="s">
        <v>40</v>
      </c>
    </row>
    <row r="51" spans="2:2" ht="63" customHeight="1" x14ac:dyDescent="0.4">
      <c r="B51" s="226" t="s">
        <v>41</v>
      </c>
    </row>
    <row r="52" spans="2:2" x14ac:dyDescent="0.4">
      <c r="B52" s="446" t="s">
        <v>32</v>
      </c>
    </row>
    <row r="53" spans="2:2" ht="86.1" x14ac:dyDescent="0.4">
      <c r="B53" s="226" t="s">
        <v>33</v>
      </c>
    </row>
    <row r="54" spans="2:2" x14ac:dyDescent="0.4">
      <c r="B54" s="1" t="s">
        <v>34</v>
      </c>
    </row>
    <row r="55" spans="2:2" ht="61.5" x14ac:dyDescent="0.4">
      <c r="B55" s="226" t="s">
        <v>35</v>
      </c>
    </row>
    <row r="56" spans="2:2" ht="38.25" customHeight="1" x14ac:dyDescent="0.4">
      <c r="B56" s="225" t="s">
        <v>42</v>
      </c>
    </row>
    <row r="57" spans="2:2" ht="49.2" x14ac:dyDescent="0.4">
      <c r="B57" s="226" t="s">
        <v>43</v>
      </c>
    </row>
    <row r="59" spans="2:2" x14ac:dyDescent="0.4">
      <c r="B59" s="220" t="s">
        <v>44</v>
      </c>
    </row>
    <row r="60" spans="2:2" ht="185.25" customHeight="1" x14ac:dyDescent="0.4">
      <c r="B60" s="225" t="s">
        <v>45</v>
      </c>
    </row>
    <row r="62" spans="2:2" x14ac:dyDescent="0.4">
      <c r="B62" s="220" t="s">
        <v>46</v>
      </c>
    </row>
    <row r="64" spans="2:2" ht="73.8" x14ac:dyDescent="0.4">
      <c r="B64" s="225" t="s">
        <v>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75"/>
  <sheetViews>
    <sheetView tabSelected="1" zoomScale="112" zoomScaleNormal="90" workbookViewId="0">
      <selection activeCell="AE62" sqref="AE62"/>
    </sheetView>
  </sheetViews>
  <sheetFormatPr defaultColWidth="8.5" defaultRowHeight="12.3" x14ac:dyDescent="0.4"/>
  <cols>
    <col min="1" max="1" width="13.1640625" style="229" bestFit="1" customWidth="1"/>
    <col min="2" max="2" width="9.71875" style="229" bestFit="1" customWidth="1"/>
    <col min="3" max="3" width="10.77734375" style="229" bestFit="1" customWidth="1"/>
    <col min="4" max="4" width="8.83203125" style="229" customWidth="1"/>
    <col min="5" max="5" width="63.5" style="229" bestFit="1" customWidth="1"/>
    <col min="6" max="6" width="12.5" style="229" hidden="1" customWidth="1"/>
    <col min="7" max="7" width="10.5" style="229" hidden="1" customWidth="1"/>
    <col min="8" max="8" width="7.1640625" style="229" hidden="1" customWidth="1"/>
    <col min="9" max="9" width="9.1640625" style="229" hidden="1" customWidth="1"/>
    <col min="10" max="10" width="7.1640625" style="229" hidden="1" customWidth="1"/>
    <col min="11" max="11" width="12.1640625" style="229" hidden="1" customWidth="1"/>
    <col min="12" max="12" width="10.33203125" style="229" hidden="1" customWidth="1"/>
    <col min="13" max="13" width="5.33203125" style="229" hidden="1" customWidth="1"/>
    <col min="14" max="14" width="9.83203125" style="229" hidden="1" customWidth="1"/>
    <col min="15" max="15" width="7.6640625" style="229" hidden="1" customWidth="1"/>
    <col min="16" max="16" width="9.6640625" style="229" hidden="1" customWidth="1"/>
    <col min="17" max="17" width="7.83203125" style="229" hidden="1" customWidth="1"/>
    <col min="18" max="18" width="10.5" style="229" hidden="1" customWidth="1"/>
    <col min="19" max="19" width="7.83203125" style="229" hidden="1" customWidth="1"/>
    <col min="20" max="20" width="10.83203125" style="229" hidden="1" customWidth="1"/>
    <col min="21" max="21" width="7.6640625" style="229" hidden="1" customWidth="1"/>
    <col min="22" max="22" width="12.1640625" style="229" bestFit="1" customWidth="1"/>
    <col min="23" max="23" width="7.6640625" style="229" customWidth="1"/>
    <col min="24" max="24" width="12.1640625" style="229" hidden="1" customWidth="1"/>
    <col min="25" max="25" width="7.6640625" style="229" hidden="1" customWidth="1"/>
    <col min="26" max="27" width="4.5" style="229" hidden="1" customWidth="1"/>
    <col min="28" max="28" width="8.83203125" style="229" hidden="1" customWidth="1"/>
    <col min="29" max="29" width="6.5" style="229" hidden="1" customWidth="1"/>
    <col min="30" max="30" width="7.1640625" style="229" hidden="1" customWidth="1"/>
    <col min="31" max="31" width="12.1640625" style="713" bestFit="1" customWidth="1"/>
    <col min="32" max="32" width="14.1640625" style="229" bestFit="1" customWidth="1"/>
    <col min="33" max="16362" width="8.5" style="229"/>
    <col min="16363" max="16384" width="8.5" style="229" bestFit="1" customWidth="1"/>
  </cols>
  <sheetData>
    <row r="1" spans="1:33" x14ac:dyDescent="0.4">
      <c r="D1" s="548" t="s">
        <v>48</v>
      </c>
      <c r="E1" s="548"/>
      <c r="F1" s="548"/>
      <c r="G1" s="548"/>
      <c r="H1" s="548"/>
      <c r="I1" s="548"/>
      <c r="J1" s="548"/>
      <c r="K1" s="548"/>
      <c r="L1" s="548"/>
      <c r="M1" s="548"/>
      <c r="N1" s="548"/>
      <c r="O1" s="548"/>
      <c r="P1" s="548"/>
      <c r="Q1" s="548"/>
      <c r="R1" s="548"/>
      <c r="S1" s="548"/>
      <c r="T1" s="548"/>
      <c r="U1" s="548"/>
      <c r="V1" s="548"/>
      <c r="W1" s="548"/>
      <c r="X1" s="548"/>
      <c r="Y1" s="548"/>
      <c r="Z1" s="548"/>
      <c r="AA1" s="548"/>
      <c r="AB1" s="548"/>
      <c r="AC1" s="548"/>
      <c r="AD1" s="548"/>
      <c r="AE1" s="712"/>
    </row>
    <row r="2" spans="1:33" x14ac:dyDescent="0.4">
      <c r="D2" s="548" t="s">
        <v>49</v>
      </c>
      <c r="E2" s="548"/>
      <c r="F2" s="548"/>
      <c r="G2" s="548"/>
      <c r="H2" s="548"/>
      <c r="I2" s="548"/>
      <c r="J2" s="548"/>
      <c r="K2" s="548"/>
      <c r="L2" s="548"/>
      <c r="M2" s="548"/>
      <c r="N2" s="548"/>
      <c r="O2" s="548"/>
      <c r="P2" s="548"/>
      <c r="Q2" s="548"/>
      <c r="R2" s="548"/>
      <c r="S2" s="548"/>
      <c r="T2" s="548"/>
      <c r="U2" s="548"/>
      <c r="V2" s="548"/>
      <c r="W2" s="548"/>
      <c r="X2" s="548"/>
      <c r="Y2" s="548"/>
      <c r="Z2" s="548"/>
      <c r="AA2" s="548"/>
      <c r="AB2" s="548"/>
      <c r="AC2" s="548"/>
      <c r="AD2" s="548"/>
      <c r="AE2" s="712"/>
    </row>
    <row r="3" spans="1:33" x14ac:dyDescent="0.4">
      <c r="D3" s="548" t="s">
        <v>50</v>
      </c>
      <c r="E3" s="548"/>
      <c r="F3" s="548"/>
      <c r="G3" s="548"/>
      <c r="H3" s="548"/>
      <c r="I3" s="548"/>
      <c r="J3" s="548"/>
      <c r="K3" s="548"/>
      <c r="L3" s="548"/>
      <c r="M3" s="548"/>
      <c r="N3" s="548"/>
      <c r="O3" s="548"/>
      <c r="P3" s="548"/>
      <c r="Q3" s="548"/>
      <c r="R3" s="548"/>
      <c r="S3" s="548"/>
      <c r="T3" s="548"/>
      <c r="U3" s="548"/>
      <c r="V3" s="548"/>
      <c r="W3" s="548"/>
      <c r="X3" s="548"/>
      <c r="Y3" s="548"/>
      <c r="Z3" s="548"/>
      <c r="AA3" s="548"/>
      <c r="AB3" s="548"/>
      <c r="AC3" s="548"/>
      <c r="AD3" s="548"/>
      <c r="AE3" s="712"/>
    </row>
    <row r="4" spans="1:33" x14ac:dyDescent="0.4">
      <c r="D4" s="548" t="s">
        <v>51</v>
      </c>
      <c r="E4" s="548"/>
      <c r="F4" s="548"/>
      <c r="G4" s="548"/>
      <c r="H4" s="548"/>
      <c r="I4" s="548"/>
      <c r="J4" s="548"/>
      <c r="K4" s="548"/>
      <c r="L4" s="548"/>
      <c r="M4" s="548"/>
      <c r="N4" s="548"/>
      <c r="O4" s="548"/>
      <c r="P4" s="548"/>
      <c r="Q4" s="548"/>
      <c r="R4" s="548"/>
      <c r="S4" s="548"/>
      <c r="T4" s="548"/>
      <c r="U4" s="548"/>
      <c r="V4" s="548"/>
      <c r="W4" s="548"/>
      <c r="X4" s="548"/>
      <c r="Y4" s="548"/>
      <c r="Z4" s="548"/>
      <c r="AA4" s="548"/>
      <c r="AB4" s="548"/>
      <c r="AC4" s="548"/>
      <c r="AD4" s="548"/>
      <c r="AE4" s="712"/>
    </row>
    <row r="5" spans="1:33" x14ac:dyDescent="0.4">
      <c r="D5" s="548" t="s">
        <v>52</v>
      </c>
      <c r="E5" s="548"/>
      <c r="F5" s="548"/>
      <c r="G5" s="548"/>
      <c r="H5" s="548"/>
      <c r="I5" s="548"/>
      <c r="J5" s="548"/>
      <c r="K5" s="548"/>
      <c r="L5" s="548"/>
      <c r="M5" s="548"/>
      <c r="N5" s="548"/>
      <c r="O5" s="548"/>
      <c r="P5" s="548"/>
      <c r="Q5" s="548"/>
      <c r="R5" s="548"/>
      <c r="S5" s="548"/>
      <c r="T5" s="548"/>
      <c r="U5" s="548"/>
      <c r="V5" s="548"/>
      <c r="W5" s="548"/>
      <c r="X5" s="548"/>
      <c r="Y5" s="548"/>
      <c r="Z5" s="548"/>
      <c r="AA5" s="548"/>
      <c r="AB5" s="548"/>
      <c r="AC5" s="548"/>
      <c r="AD5" s="548"/>
      <c r="AE5" s="712"/>
    </row>
    <row r="6" spans="1:33" x14ac:dyDescent="0.4">
      <c r="D6" s="548" t="s">
        <v>375</v>
      </c>
      <c r="E6" s="560">
        <f>+N62</f>
        <v>88043307.472000003</v>
      </c>
      <c r="F6" s="548"/>
      <c r="G6" s="548"/>
      <c r="H6" s="548"/>
      <c r="I6" s="548"/>
      <c r="J6" s="548"/>
      <c r="K6" s="548"/>
      <c r="L6" s="548"/>
      <c r="M6" s="548"/>
      <c r="N6" s="548"/>
      <c r="O6" s="548"/>
      <c r="P6" s="548"/>
      <c r="Q6" s="548"/>
      <c r="R6" s="548"/>
      <c r="S6" s="548"/>
      <c r="T6" s="548"/>
      <c r="U6" s="548"/>
      <c r="V6" s="548"/>
      <c r="W6" s="548"/>
      <c r="X6" s="548"/>
      <c r="Y6" s="548"/>
      <c r="Z6" s="548"/>
      <c r="AA6" s="548"/>
      <c r="AB6" s="548"/>
      <c r="AC6" s="548"/>
      <c r="AD6" s="548"/>
      <c r="AE6" s="712"/>
    </row>
    <row r="7" spans="1:33" x14ac:dyDescent="0.4">
      <c r="A7" s="708" t="s">
        <v>380</v>
      </c>
      <c r="B7" s="708">
        <v>19400</v>
      </c>
      <c r="D7" s="548" t="s">
        <v>376</v>
      </c>
      <c r="E7" s="560">
        <f>+P62</f>
        <v>91678671.472000003</v>
      </c>
      <c r="F7" s="548"/>
      <c r="G7" s="548"/>
      <c r="H7" s="548"/>
      <c r="I7" s="548"/>
      <c r="J7" s="548"/>
      <c r="K7" s="548"/>
      <c r="L7" s="548"/>
      <c r="M7" s="548"/>
      <c r="N7" s="548"/>
      <c r="O7" s="548"/>
      <c r="P7" s="548"/>
      <c r="Q7" s="548"/>
      <c r="R7" s="548"/>
      <c r="S7" s="548"/>
      <c r="T7" s="548"/>
      <c r="U7" s="548"/>
      <c r="V7" s="548"/>
      <c r="W7" s="548"/>
      <c r="X7" s="548"/>
      <c r="Y7" s="548"/>
      <c r="Z7" s="548"/>
      <c r="AA7" s="548"/>
      <c r="AB7" s="548"/>
      <c r="AC7" s="548"/>
      <c r="AD7" s="548"/>
      <c r="AE7" s="712"/>
    </row>
    <row r="8" spans="1:33" x14ac:dyDescent="0.4">
      <c r="A8" s="708" t="s">
        <v>381</v>
      </c>
      <c r="B8" s="708" t="s">
        <v>382</v>
      </c>
      <c r="D8" s="548" t="s">
        <v>377</v>
      </c>
      <c r="E8" s="560">
        <f>+R62</f>
        <v>153947667.03299999</v>
      </c>
      <c r="F8" s="548"/>
      <c r="G8" s="548"/>
      <c r="H8" s="548"/>
      <c r="I8" s="548"/>
      <c r="J8" s="548"/>
      <c r="K8" s="548"/>
      <c r="L8" s="548"/>
      <c r="M8" s="548"/>
      <c r="N8" s="548"/>
      <c r="O8" s="548"/>
      <c r="P8" s="548"/>
      <c r="Q8" s="548"/>
      <c r="R8" s="548"/>
      <c r="S8" s="548"/>
      <c r="T8" s="548"/>
      <c r="U8" s="548"/>
      <c r="V8" s="548"/>
      <c r="W8" s="548"/>
      <c r="X8" s="548"/>
      <c r="Y8" s="548"/>
      <c r="Z8" s="548"/>
      <c r="AA8" s="548"/>
      <c r="AB8" s="548"/>
      <c r="AC8" s="548"/>
      <c r="AD8" s="548"/>
      <c r="AE8" s="712"/>
    </row>
    <row r="9" spans="1:33" x14ac:dyDescent="0.4">
      <c r="D9" s="550" t="s">
        <v>378</v>
      </c>
      <c r="E9" s="560">
        <f>+T62</f>
        <v>133997000.633</v>
      </c>
      <c r="F9" s="550"/>
      <c r="G9" s="550"/>
      <c r="H9" s="550"/>
      <c r="I9" s="550"/>
      <c r="J9" s="550"/>
      <c r="K9" s="550"/>
      <c r="L9" s="550"/>
      <c r="M9" s="550"/>
      <c r="N9" s="550"/>
      <c r="O9" s="550"/>
      <c r="P9" s="550"/>
      <c r="Q9" s="550"/>
      <c r="R9" s="550"/>
      <c r="S9" s="550"/>
      <c r="T9" s="550"/>
      <c r="U9" s="550"/>
      <c r="V9" s="550"/>
      <c r="W9" s="550"/>
      <c r="X9" s="550"/>
      <c r="Y9" s="550"/>
      <c r="Z9" s="550"/>
      <c r="AA9" s="550"/>
      <c r="AB9" s="550"/>
      <c r="AC9" s="550"/>
      <c r="AD9" s="550"/>
      <c r="AE9" s="711"/>
    </row>
    <row r="10" spans="1:33" ht="2.25" customHeight="1" x14ac:dyDescent="0.4">
      <c r="D10" s="550"/>
      <c r="E10" s="549"/>
      <c r="F10" s="550"/>
      <c r="G10" s="550"/>
      <c r="H10" s="550"/>
      <c r="I10" s="550"/>
      <c r="J10" s="550"/>
      <c r="K10" s="550"/>
      <c r="L10" s="550"/>
      <c r="M10" s="550"/>
      <c r="N10" s="550"/>
      <c r="O10" s="550"/>
      <c r="P10" s="550"/>
      <c r="Q10" s="550"/>
      <c r="R10" s="550"/>
      <c r="S10" s="550"/>
      <c r="T10" s="550"/>
      <c r="U10" s="550"/>
      <c r="V10" s="550"/>
      <c r="W10" s="550"/>
      <c r="X10" s="550"/>
      <c r="Y10" s="550"/>
      <c r="Z10" s="550"/>
      <c r="AA10" s="550"/>
      <c r="AB10" s="550"/>
      <c r="AC10" s="550"/>
      <c r="AD10" s="550"/>
      <c r="AE10" s="711"/>
    </row>
    <row r="11" spans="1:33" ht="12.6" thickBot="1" x14ac:dyDescent="0.45">
      <c r="D11" s="550" t="s">
        <v>53</v>
      </c>
      <c r="E11" s="549"/>
      <c r="F11" s="550"/>
      <c r="G11" s="550"/>
      <c r="H11" s="550"/>
      <c r="I11" s="550"/>
      <c r="J11" s="550"/>
      <c r="K11" s="550"/>
      <c r="L11" s="550"/>
      <c r="M11" s="550"/>
      <c r="N11" s="550"/>
      <c r="O11" s="550"/>
      <c r="P11" s="550"/>
      <c r="Q11" s="550"/>
      <c r="R11" s="550"/>
      <c r="S11" s="550"/>
      <c r="T11" s="550"/>
      <c r="U11" s="550"/>
      <c r="V11" s="550"/>
      <c r="W11" s="550"/>
      <c r="X11" s="550"/>
      <c r="Y11" s="550"/>
      <c r="Z11" s="550"/>
      <c r="AA11" s="550"/>
      <c r="AB11" s="550"/>
      <c r="AC11" s="550"/>
      <c r="AD11" s="550"/>
      <c r="AE11" s="711"/>
    </row>
    <row r="12" spans="1:33" ht="13" customHeight="1" thickBot="1" x14ac:dyDescent="0.45">
      <c r="A12" s="234"/>
      <c r="B12" s="234"/>
      <c r="C12" s="234"/>
      <c r="D12" s="234"/>
      <c r="E12" s="235"/>
      <c r="F12" s="577" t="s">
        <v>54</v>
      </c>
      <c r="G12" s="578"/>
      <c r="H12" s="578"/>
      <c r="I12" s="578"/>
      <c r="J12" s="578"/>
      <c r="K12" s="578"/>
      <c r="L12" s="574" t="s">
        <v>55</v>
      </c>
      <c r="M12" s="575"/>
      <c r="N12" s="575"/>
      <c r="O12" s="575"/>
      <c r="P12" s="575"/>
      <c r="Q12" s="575"/>
      <c r="R12" s="575"/>
      <c r="S12" s="575"/>
      <c r="T12" s="575"/>
      <c r="U12" s="576"/>
      <c r="V12" s="567" t="s">
        <v>56</v>
      </c>
      <c r="W12" s="568"/>
      <c r="X12" s="569" t="s">
        <v>371</v>
      </c>
      <c r="Y12" s="569"/>
      <c r="Z12" s="570" t="s">
        <v>58</v>
      </c>
      <c r="AA12" s="571"/>
      <c r="AB12" s="570" t="s">
        <v>59</v>
      </c>
      <c r="AC12" s="571"/>
      <c r="AF12" s="715" t="s">
        <v>425</v>
      </c>
      <c r="AG12" s="715">
        <v>4179.7700000000004</v>
      </c>
    </row>
    <row r="13" spans="1:33" x14ac:dyDescent="0.4">
      <c r="A13" s="583" t="s">
        <v>385</v>
      </c>
      <c r="B13" s="583" t="s">
        <v>384</v>
      </c>
      <c r="C13" s="583" t="s">
        <v>379</v>
      </c>
      <c r="D13" s="579" t="s">
        <v>60</v>
      </c>
      <c r="E13" s="581" t="s">
        <v>61</v>
      </c>
      <c r="F13" s="583" t="s">
        <v>62</v>
      </c>
      <c r="G13" s="585" t="s">
        <v>63</v>
      </c>
      <c r="H13" s="585" t="s">
        <v>64</v>
      </c>
      <c r="I13" s="592" t="s">
        <v>65</v>
      </c>
      <c r="J13" s="565"/>
      <c r="K13" s="572" t="s">
        <v>66</v>
      </c>
      <c r="L13" s="593" t="s">
        <v>67</v>
      </c>
      <c r="M13" s="590" t="s">
        <v>68</v>
      </c>
      <c r="N13" s="590" t="s">
        <v>69</v>
      </c>
      <c r="O13" s="590" t="s">
        <v>70</v>
      </c>
      <c r="P13" s="590" t="s">
        <v>71</v>
      </c>
      <c r="Q13" s="599" t="s">
        <v>72</v>
      </c>
      <c r="R13" s="599" t="s">
        <v>73</v>
      </c>
      <c r="S13" s="587" t="s">
        <v>74</v>
      </c>
      <c r="T13" s="587" t="s">
        <v>75</v>
      </c>
      <c r="U13" s="587" t="s">
        <v>76</v>
      </c>
      <c r="V13" s="565" t="s">
        <v>423</v>
      </c>
      <c r="W13" s="572" t="s">
        <v>78</v>
      </c>
      <c r="X13" s="565" t="s">
        <v>57</v>
      </c>
      <c r="Y13" s="572" t="s">
        <v>79</v>
      </c>
      <c r="Z13" s="561" t="s">
        <v>58</v>
      </c>
      <c r="AA13" s="563" t="s">
        <v>80</v>
      </c>
      <c r="AB13" s="561" t="s">
        <v>59</v>
      </c>
      <c r="AC13" s="563" t="s">
        <v>81</v>
      </c>
      <c r="AE13" s="714" t="s">
        <v>424</v>
      </c>
    </row>
    <row r="14" spans="1:33" x14ac:dyDescent="0.4">
      <c r="A14" s="584"/>
      <c r="B14" s="584"/>
      <c r="C14" s="584"/>
      <c r="D14" s="580"/>
      <c r="E14" s="582"/>
      <c r="F14" s="584"/>
      <c r="G14" s="586"/>
      <c r="H14" s="586"/>
      <c r="I14" s="432" t="s">
        <v>63</v>
      </c>
      <c r="J14" s="432" t="s">
        <v>64</v>
      </c>
      <c r="K14" s="573"/>
      <c r="L14" s="594"/>
      <c r="M14" s="591"/>
      <c r="N14" s="591"/>
      <c r="O14" s="591"/>
      <c r="P14" s="591"/>
      <c r="Q14" s="600"/>
      <c r="R14" s="600"/>
      <c r="S14" s="588"/>
      <c r="T14" s="588"/>
      <c r="U14" s="588"/>
      <c r="V14" s="566"/>
      <c r="W14" s="573"/>
      <c r="X14" s="566"/>
      <c r="Y14" s="573"/>
      <c r="Z14" s="562"/>
      <c r="AA14" s="564"/>
      <c r="AB14" s="562"/>
      <c r="AC14" s="564"/>
      <c r="AE14" s="710"/>
    </row>
    <row r="15" spans="1:33" x14ac:dyDescent="0.4">
      <c r="A15" s="709" t="s">
        <v>207</v>
      </c>
      <c r="B15" s="525"/>
      <c r="C15" s="525"/>
      <c r="D15" s="525">
        <v>1</v>
      </c>
      <c r="E15" s="238" t="s">
        <v>82</v>
      </c>
      <c r="F15" s="239"/>
      <c r="G15" s="240"/>
      <c r="H15" s="240"/>
      <c r="I15" s="240"/>
      <c r="J15" s="241"/>
      <c r="K15" s="242">
        <f>K17+K23+K27+K32+K33+K35+K38+K28</f>
        <v>418864646.61000001</v>
      </c>
      <c r="L15" s="536">
        <v>0</v>
      </c>
      <c r="M15" s="240"/>
      <c r="N15" s="242">
        <f>N17+N23+N27+N32+N33+N35+N38+N28</f>
        <v>80973307.472000003</v>
      </c>
      <c r="O15" s="544">
        <f>N15/$K$15</f>
        <v>0.19331616580043651</v>
      </c>
      <c r="P15" s="242">
        <f>P17+P23+P27+P32+P33+P35+P38+P28</f>
        <v>74408671.472000003</v>
      </c>
      <c r="Q15" s="544">
        <f>P15/$K$15</f>
        <v>0.17764371396395515</v>
      </c>
      <c r="R15" s="242">
        <f>R17+R23+R27+R32+R33+R35+R38+R28</f>
        <v>133985667.03300001</v>
      </c>
      <c r="S15" s="544">
        <f>R15/$K$15</f>
        <v>0.31987819482352375</v>
      </c>
      <c r="T15" s="242">
        <f>T17+T23+T27+T32+T33+T35+T38+T28</f>
        <v>129497000.633</v>
      </c>
      <c r="U15" s="544">
        <f>T15/$K$15</f>
        <v>0.30916192541208459</v>
      </c>
      <c r="V15" s="242">
        <f>V17+V23+V27+V32+V33+V35+V38+V28</f>
        <v>316743625.88999999</v>
      </c>
      <c r="W15" s="544">
        <f>V15/$K$15</f>
        <v>0.75619565521583942</v>
      </c>
      <c r="X15" s="242">
        <f>X17+X23+X27+X32+X33+X35+X38+X28</f>
        <v>102121020.72000001</v>
      </c>
      <c r="Y15" s="545">
        <f>X15/$K$15</f>
        <v>0.24380434478416055</v>
      </c>
      <c r="Z15" s="239"/>
      <c r="AA15" s="246"/>
      <c r="AB15" s="239"/>
      <c r="AC15" s="248"/>
      <c r="AE15" s="716">
        <f>AE17+AE23+AE27+AE32+AE33+AE35+AE38+AE28</f>
        <v>75780.156776569027</v>
      </c>
    </row>
    <row r="16" spans="1:33" x14ac:dyDescent="0.4">
      <c r="A16" s="525"/>
      <c r="B16" s="525"/>
      <c r="C16" s="525"/>
      <c r="D16" s="525"/>
      <c r="E16" s="238" t="s">
        <v>83</v>
      </c>
      <c r="F16" s="239"/>
      <c r="G16" s="240"/>
      <c r="H16" s="240"/>
      <c r="I16" s="240"/>
      <c r="J16" s="241"/>
      <c r="K16" s="455">
        <f>+K15/K62</f>
        <v>0.84942616257764081</v>
      </c>
      <c r="L16" s="247"/>
      <c r="M16" s="240"/>
      <c r="N16" s="455">
        <f>+N15/N62</f>
        <v>0.91969860966151873</v>
      </c>
      <c r="O16" s="240"/>
      <c r="P16" s="455">
        <f>+P15/P62</f>
        <v>0.81162466991818805</v>
      </c>
      <c r="Q16" s="240"/>
      <c r="R16" s="455">
        <f>+R15/R62</f>
        <v>0.87033255920844221</v>
      </c>
      <c r="S16" s="240"/>
      <c r="T16" s="455">
        <f>+T15/T62</f>
        <v>0.96641715875174772</v>
      </c>
      <c r="U16" s="240"/>
      <c r="V16" s="455">
        <f>+V15/V62</f>
        <v>0.81426390304197205</v>
      </c>
      <c r="W16" s="246"/>
      <c r="X16" s="455">
        <f>+X15/X62</f>
        <v>0.98079158285070644</v>
      </c>
      <c r="Y16" s="246"/>
      <c r="Z16" s="239"/>
      <c r="AA16" s="246"/>
      <c r="AB16" s="239"/>
      <c r="AC16" s="248"/>
      <c r="AE16" s="716"/>
    </row>
    <row r="17" spans="1:31" x14ac:dyDescent="0.4">
      <c r="A17" s="526"/>
      <c r="B17" s="526"/>
      <c r="C17" s="526"/>
      <c r="D17" s="526" t="s">
        <v>84</v>
      </c>
      <c r="E17" s="517" t="s">
        <v>85</v>
      </c>
      <c r="F17" s="518"/>
      <c r="G17" s="519"/>
      <c r="H17" s="519"/>
      <c r="I17" s="519"/>
      <c r="J17" s="520"/>
      <c r="K17" s="521">
        <f>SUM(K18:K22)</f>
        <v>363749504.71799999</v>
      </c>
      <c r="L17" s="537"/>
      <c r="M17" s="522"/>
      <c r="N17" s="521">
        <f>SUM(N18:N22)</f>
        <v>72421521.998999998</v>
      </c>
      <c r="O17" s="534">
        <f>+N17/$K17</f>
        <v>0.1990972387856457</v>
      </c>
      <c r="P17" s="521">
        <f>SUM(P18:P22)</f>
        <v>65856885.998999998</v>
      </c>
      <c r="Q17" s="534">
        <f>+P17/$K17</f>
        <v>0.18105010493431772</v>
      </c>
      <c r="R17" s="521">
        <f>SUM(R18:R22)</f>
        <v>114979881.56</v>
      </c>
      <c r="S17" s="534">
        <f>+R17/$K17</f>
        <v>0.31609632471977983</v>
      </c>
      <c r="T17" s="521">
        <f>SUM(T18:T22)</f>
        <v>110491215.16</v>
      </c>
      <c r="U17" s="534">
        <f>+T17/$K17</f>
        <v>0.30375633156025678</v>
      </c>
      <c r="V17" s="521">
        <f>SUM(V18:V22)</f>
        <v>284861536.63999999</v>
      </c>
      <c r="W17" s="534">
        <f>+V17/$K17</f>
        <v>0.78312556565772207</v>
      </c>
      <c r="X17" s="521">
        <f>SUM(X18:X22)</f>
        <v>78887968.078000009</v>
      </c>
      <c r="Y17" s="547">
        <f>+X17/$K17</f>
        <v>0.21687443434227793</v>
      </c>
      <c r="Z17" s="523"/>
      <c r="AA17" s="524"/>
      <c r="AB17" s="523"/>
      <c r="AC17" s="524"/>
      <c r="AE17" s="717">
        <f>SUM(AE18:AE22)</f>
        <v>68152.442990882264</v>
      </c>
    </row>
    <row r="18" spans="1:31" x14ac:dyDescent="0.4">
      <c r="A18" s="527" t="s">
        <v>386</v>
      </c>
      <c r="B18" s="527" t="s">
        <v>389</v>
      </c>
      <c r="C18" s="527" t="s">
        <v>383</v>
      </c>
      <c r="D18" s="527" t="s">
        <v>86</v>
      </c>
      <c r="E18" s="267" t="s">
        <v>87</v>
      </c>
      <c r="F18" s="447">
        <f>(12000000+4832400)*30%</f>
        <v>5049720</v>
      </c>
      <c r="G18" s="448" t="s">
        <v>88</v>
      </c>
      <c r="H18" s="448">
        <v>1</v>
      </c>
      <c r="I18" s="448" t="s">
        <v>89</v>
      </c>
      <c r="J18" s="449">
        <v>13</v>
      </c>
      <c r="K18" s="450">
        <f>F18*H18*J18</f>
        <v>65646360</v>
      </c>
      <c r="L18" s="258"/>
      <c r="M18" s="259"/>
      <c r="N18" s="457">
        <f>+K18*O18</f>
        <v>26258544</v>
      </c>
      <c r="O18" s="259">
        <v>0.4</v>
      </c>
      <c r="P18" s="513">
        <f>+K18*Q18</f>
        <v>19693908</v>
      </c>
      <c r="Q18" s="259">
        <v>0.3</v>
      </c>
      <c r="R18" s="513">
        <f>+K18*S18</f>
        <v>9846954</v>
      </c>
      <c r="S18" s="259">
        <v>0.15</v>
      </c>
      <c r="T18" s="461">
        <f>+K18*U18</f>
        <v>9846954</v>
      </c>
      <c r="U18" s="259">
        <v>0.15</v>
      </c>
      <c r="V18" s="260">
        <f>+K18*W18</f>
        <v>39387816</v>
      </c>
      <c r="W18" s="466">
        <v>0.6</v>
      </c>
      <c r="X18" s="515">
        <f>+K18*Y18</f>
        <v>26258544</v>
      </c>
      <c r="Y18" s="464">
        <v>0.4</v>
      </c>
      <c r="Z18" s="264"/>
      <c r="AA18" s="265"/>
      <c r="AB18" s="264"/>
      <c r="AC18" s="265"/>
      <c r="AE18" s="718">
        <f>V18/$AG$12</f>
        <v>9423.4410027345984</v>
      </c>
    </row>
    <row r="19" spans="1:31" x14ac:dyDescent="0.4">
      <c r="A19" s="527" t="s">
        <v>387</v>
      </c>
      <c r="B19" s="527" t="s">
        <v>389</v>
      </c>
      <c r="C19" s="527" t="s">
        <v>383</v>
      </c>
      <c r="D19" s="527" t="s">
        <v>90</v>
      </c>
      <c r="E19" s="267" t="s">
        <v>91</v>
      </c>
      <c r="F19" s="447">
        <f>7000000+2818932.96</f>
        <v>9818932.9600000009</v>
      </c>
      <c r="G19" s="448" t="s">
        <v>92</v>
      </c>
      <c r="H19" s="448">
        <v>1</v>
      </c>
      <c r="I19" s="448" t="s">
        <v>89</v>
      </c>
      <c r="J19" s="449">
        <v>9</v>
      </c>
      <c r="K19" s="450">
        <f>F19*H19*J19</f>
        <v>88370396.640000015</v>
      </c>
      <c r="L19" s="258"/>
      <c r="M19" s="259"/>
      <c r="N19" s="457">
        <f>+K19*O19</f>
        <v>22092599.160000004</v>
      </c>
      <c r="O19" s="259">
        <v>0.25</v>
      </c>
      <c r="P19" s="513">
        <f>+K19*Q19</f>
        <v>22092599.160000004</v>
      </c>
      <c r="Q19" s="259">
        <v>0.25</v>
      </c>
      <c r="R19" s="513">
        <f>+K19*S19</f>
        <v>22092599.160000004</v>
      </c>
      <c r="S19" s="259">
        <v>0.25</v>
      </c>
      <c r="T19" s="513">
        <f>+K19*U19</f>
        <v>22092599.160000004</v>
      </c>
      <c r="U19" s="259">
        <v>0.25</v>
      </c>
      <c r="V19" s="260">
        <f>+K19*W19</f>
        <v>88370396.640000015</v>
      </c>
      <c r="W19" s="466">
        <v>1</v>
      </c>
      <c r="X19" s="515"/>
      <c r="Y19" s="464"/>
      <c r="Z19" s="264"/>
      <c r="AA19" s="265"/>
      <c r="AB19" s="264"/>
      <c r="AC19" s="265"/>
      <c r="AE19" s="718">
        <f t="shared" ref="AE19:AE21" si="0">V19/$AG$12</f>
        <v>21142.406553470646</v>
      </c>
    </row>
    <row r="20" spans="1:31" x14ac:dyDescent="0.4">
      <c r="A20" s="527" t="s">
        <v>390</v>
      </c>
      <c r="B20" s="527" t="s">
        <v>391</v>
      </c>
      <c r="C20" s="527" t="s">
        <v>383</v>
      </c>
      <c r="D20" s="527" t="s">
        <v>93</v>
      </c>
      <c r="E20" s="267" t="s">
        <v>94</v>
      </c>
      <c r="F20" s="447">
        <f>(17600000+7087568.04)*15%</f>
        <v>3703135.2059999998</v>
      </c>
      <c r="G20" s="448" t="s">
        <v>95</v>
      </c>
      <c r="H20" s="448">
        <v>1</v>
      </c>
      <c r="I20" s="448" t="s">
        <v>89</v>
      </c>
      <c r="J20" s="449">
        <v>13</v>
      </c>
      <c r="K20" s="450">
        <f>F20*H20*J20</f>
        <v>48140757.677999996</v>
      </c>
      <c r="L20" s="258"/>
      <c r="M20" s="259"/>
      <c r="N20" s="457">
        <f>+K20*O20</f>
        <v>24070378.838999998</v>
      </c>
      <c r="O20" s="259">
        <v>0.5</v>
      </c>
      <c r="P20" s="513">
        <f>+K20*Q20</f>
        <v>24070378.838999998</v>
      </c>
      <c r="Q20" s="259">
        <v>0.5</v>
      </c>
      <c r="R20" s="513"/>
      <c r="S20" s="259"/>
      <c r="T20" s="513"/>
      <c r="U20" s="259"/>
      <c r="V20" s="260"/>
      <c r="W20" s="466"/>
      <c r="X20" s="515">
        <f>+K20*Y20</f>
        <v>48140757.677999996</v>
      </c>
      <c r="Y20" s="464">
        <v>1</v>
      </c>
      <c r="Z20" s="264"/>
      <c r="AA20" s="265"/>
      <c r="AB20" s="264"/>
      <c r="AC20" s="265"/>
      <c r="AE20" s="718"/>
    </row>
    <row r="21" spans="1:31" x14ac:dyDescent="0.4">
      <c r="A21" s="527" t="s">
        <v>388</v>
      </c>
      <c r="B21" s="527" t="s">
        <v>389</v>
      </c>
      <c r="C21" s="527" t="s">
        <v>383</v>
      </c>
      <c r="D21" s="527" t="s">
        <v>96</v>
      </c>
      <c r="E21" s="267" t="s">
        <v>97</v>
      </c>
      <c r="F21" s="447">
        <f>4000000+1610833</f>
        <v>5610833</v>
      </c>
      <c r="G21" s="448" t="s">
        <v>98</v>
      </c>
      <c r="H21" s="448">
        <v>4</v>
      </c>
      <c r="I21" s="448" t="s">
        <v>89</v>
      </c>
      <c r="J21" s="449">
        <v>7</v>
      </c>
      <c r="K21" s="450">
        <f>F21*H21*J21</f>
        <v>157103324</v>
      </c>
      <c r="L21" s="258"/>
      <c r="M21" s="259"/>
      <c r="N21" s="259"/>
      <c r="O21" s="259"/>
      <c r="P21" s="513"/>
      <c r="Q21" s="259"/>
      <c r="R21" s="513">
        <f>+K21*S21</f>
        <v>78551662</v>
      </c>
      <c r="S21" s="259">
        <v>0.5</v>
      </c>
      <c r="T21" s="513">
        <f>+K21*U21</f>
        <v>78551662</v>
      </c>
      <c r="U21" s="259">
        <v>0.5</v>
      </c>
      <c r="V21" s="260">
        <f>+K21*W21</f>
        <v>157103324</v>
      </c>
      <c r="W21" s="466">
        <v>1</v>
      </c>
      <c r="X21" s="515"/>
      <c r="Y21" s="464"/>
      <c r="Z21" s="264"/>
      <c r="AA21" s="265"/>
      <c r="AB21" s="264"/>
      <c r="AC21" s="265"/>
      <c r="AE21" s="718">
        <f t="shared" si="0"/>
        <v>37586.595434677023</v>
      </c>
    </row>
    <row r="22" spans="1:31" x14ac:dyDescent="0.4">
      <c r="A22" s="527" t="s">
        <v>390</v>
      </c>
      <c r="B22" s="527" t="s">
        <v>391</v>
      </c>
      <c r="C22" s="527" t="s">
        <v>383</v>
      </c>
      <c r="D22" s="527" t="s">
        <v>99</v>
      </c>
      <c r="E22" s="267" t="s">
        <v>100</v>
      </c>
      <c r="F22" s="447">
        <f>(4000000+1610833)*20%</f>
        <v>1122166.6000000001</v>
      </c>
      <c r="G22" s="448" t="s">
        <v>101</v>
      </c>
      <c r="H22" s="448">
        <v>1</v>
      </c>
      <c r="I22" s="448" t="s">
        <v>89</v>
      </c>
      <c r="J22" s="449">
        <v>4</v>
      </c>
      <c r="K22" s="450">
        <f>F22*H22*J22</f>
        <v>4488666.4000000004</v>
      </c>
      <c r="L22" s="258"/>
      <c r="M22" s="259"/>
      <c r="N22" s="259"/>
      <c r="O22" s="259"/>
      <c r="P22" s="513"/>
      <c r="Q22" s="259"/>
      <c r="R22" s="513">
        <f>K22</f>
        <v>4488666.4000000004</v>
      </c>
      <c r="S22" s="259">
        <v>1</v>
      </c>
      <c r="T22" s="513"/>
      <c r="U22" s="259"/>
      <c r="V22" s="260"/>
      <c r="W22" s="466"/>
      <c r="X22" s="515">
        <f>R22</f>
        <v>4488666.4000000004</v>
      </c>
      <c r="Y22" s="464">
        <v>1</v>
      </c>
      <c r="Z22" s="264"/>
      <c r="AA22" s="265"/>
      <c r="AB22" s="264"/>
      <c r="AC22" s="265"/>
      <c r="AE22" s="718"/>
    </row>
    <row r="23" spans="1:31" x14ac:dyDescent="0.4">
      <c r="A23" s="526"/>
      <c r="B23" s="526"/>
      <c r="C23" s="526"/>
      <c r="D23" s="526" t="s">
        <v>102</v>
      </c>
      <c r="E23" s="517" t="s">
        <v>103</v>
      </c>
      <c r="F23" s="518"/>
      <c r="G23" s="519"/>
      <c r="H23" s="519"/>
      <c r="I23" s="519"/>
      <c r="J23" s="520"/>
      <c r="K23" s="521">
        <f>SUM(K24:K26)</f>
        <v>23307141.892000001</v>
      </c>
      <c r="L23" s="537"/>
      <c r="M23" s="522"/>
      <c r="N23" s="521">
        <f>SUM(N24:N26)</f>
        <v>5826785.4730000002</v>
      </c>
      <c r="O23" s="534">
        <f>+N23/$K23</f>
        <v>0.25</v>
      </c>
      <c r="P23" s="521">
        <f>SUM(P24:P26)</f>
        <v>5826785.4730000002</v>
      </c>
      <c r="Q23" s="534">
        <f>+P23/$K23</f>
        <v>0.25</v>
      </c>
      <c r="R23" s="521">
        <f>SUM(R24:R26)</f>
        <v>5826785.4730000002</v>
      </c>
      <c r="S23" s="534">
        <f>+R23/$K23</f>
        <v>0.25</v>
      </c>
      <c r="T23" s="521">
        <f>SUM(T24:T26)</f>
        <v>5826785.4730000002</v>
      </c>
      <c r="U23" s="534">
        <f>+T23/$K23</f>
        <v>0.25</v>
      </c>
      <c r="V23" s="521">
        <f>SUM(V24:V26)</f>
        <v>9624089.25</v>
      </c>
      <c r="W23" s="534">
        <f>+V23/$K23</f>
        <v>0.41292447158883067</v>
      </c>
      <c r="X23" s="521">
        <f>SUM(X24:X26)</f>
        <v>13683052.642000001</v>
      </c>
      <c r="Y23" s="547">
        <f>+X23/$K23</f>
        <v>0.58707552841116928</v>
      </c>
      <c r="Z23" s="523"/>
      <c r="AA23" s="524"/>
      <c r="AB23" s="523"/>
      <c r="AC23" s="524"/>
      <c r="AE23" s="717">
        <f>SUM(AE24:AE26)</f>
        <v>2302.5403909784504</v>
      </c>
    </row>
    <row r="24" spans="1:31" x14ac:dyDescent="0.4">
      <c r="A24" s="527" t="s">
        <v>392</v>
      </c>
      <c r="B24" s="527" t="s">
        <v>389</v>
      </c>
      <c r="C24" s="527" t="s">
        <v>383</v>
      </c>
      <c r="D24" s="527" t="s">
        <v>104</v>
      </c>
      <c r="E24" s="267" t="s">
        <v>105</v>
      </c>
      <c r="F24" s="447">
        <f>(2311000+1006733)*30%</f>
        <v>995319.89999999991</v>
      </c>
      <c r="G24" s="448" t="s">
        <v>106</v>
      </c>
      <c r="H24" s="448">
        <v>1</v>
      </c>
      <c r="I24" s="448" t="s">
        <v>89</v>
      </c>
      <c r="J24" s="449">
        <v>13</v>
      </c>
      <c r="K24" s="450">
        <f>F24*H24*J24</f>
        <v>12939158.699999999</v>
      </c>
      <c r="L24" s="538"/>
      <c r="M24" s="259"/>
      <c r="N24" s="457">
        <f>+K24*O24</f>
        <v>3234789.6749999998</v>
      </c>
      <c r="O24" s="259">
        <v>0.25</v>
      </c>
      <c r="P24" s="513">
        <f>+K24*Q24</f>
        <v>3234789.6749999998</v>
      </c>
      <c r="Q24" s="259">
        <v>0.25</v>
      </c>
      <c r="R24" s="513">
        <f>+K24*S24</f>
        <v>3234789.6749999998</v>
      </c>
      <c r="S24" s="259">
        <v>0.25</v>
      </c>
      <c r="T24" s="513">
        <f>K24*U24</f>
        <v>3234789.6749999998</v>
      </c>
      <c r="U24" s="259">
        <v>0.25</v>
      </c>
      <c r="V24" s="260">
        <f>+K24*W24</f>
        <v>6469579.3499999996</v>
      </c>
      <c r="W24" s="466">
        <v>0.5</v>
      </c>
      <c r="X24" s="515">
        <f>+K24*Y24</f>
        <v>6469579.3499999996</v>
      </c>
      <c r="Y24" s="464">
        <v>0.5</v>
      </c>
      <c r="Z24" s="264"/>
      <c r="AA24" s="265"/>
      <c r="AB24" s="264"/>
      <c r="AC24" s="265"/>
      <c r="AE24" s="718">
        <f t="shared" ref="AE24:AE25" si="1">V24/$AG$12</f>
        <v>1547.8314237386264</v>
      </c>
    </row>
    <row r="25" spans="1:31" x14ac:dyDescent="0.4">
      <c r="A25" s="527" t="s">
        <v>393</v>
      </c>
      <c r="B25" s="527" t="s">
        <v>389</v>
      </c>
      <c r="C25" s="527" t="s">
        <v>383</v>
      </c>
      <c r="D25" s="527" t="s">
        <v>107</v>
      </c>
      <c r="E25" s="267" t="s">
        <v>108</v>
      </c>
      <c r="F25" s="447">
        <f>+(7600000+2915033)*15%</f>
        <v>1577254.95</v>
      </c>
      <c r="G25" s="448" t="s">
        <v>92</v>
      </c>
      <c r="H25" s="448">
        <v>1</v>
      </c>
      <c r="I25" s="448" t="s">
        <v>89</v>
      </c>
      <c r="J25" s="449">
        <v>4</v>
      </c>
      <c r="K25" s="450">
        <f>F25*H25*J25</f>
        <v>6309019.7999999998</v>
      </c>
      <c r="L25" s="538"/>
      <c r="M25" s="259"/>
      <c r="N25" s="457">
        <f t="shared" ref="N25:N26" si="2">+K25*O25</f>
        <v>1577254.95</v>
      </c>
      <c r="O25" s="259">
        <v>0.25</v>
      </c>
      <c r="P25" s="513">
        <f t="shared" ref="P25:P26" si="3">+K25*Q25</f>
        <v>1577254.95</v>
      </c>
      <c r="Q25" s="259">
        <v>0.25</v>
      </c>
      <c r="R25" s="513">
        <f t="shared" ref="R25:R26" si="4">+K25*S25</f>
        <v>1577254.95</v>
      </c>
      <c r="S25" s="259">
        <v>0.25</v>
      </c>
      <c r="T25" s="513">
        <f t="shared" ref="T25:T26" si="5">K25*U25</f>
        <v>1577254.95</v>
      </c>
      <c r="U25" s="259">
        <v>0.25</v>
      </c>
      <c r="V25" s="260">
        <f>+K25*W25</f>
        <v>3154509.9</v>
      </c>
      <c r="W25" s="466">
        <v>0.5</v>
      </c>
      <c r="X25" s="515">
        <f>+K25*Y25</f>
        <v>3154509.9</v>
      </c>
      <c r="Y25" s="464">
        <v>0.5</v>
      </c>
      <c r="Z25" s="264"/>
      <c r="AA25" s="265"/>
      <c r="AB25" s="264"/>
      <c r="AC25" s="265"/>
      <c r="AE25" s="718">
        <f t="shared" si="1"/>
        <v>754.70896723982412</v>
      </c>
    </row>
    <row r="26" spans="1:31" x14ac:dyDescent="0.4">
      <c r="A26" s="527" t="s">
        <v>390</v>
      </c>
      <c r="B26" s="527" t="s">
        <v>391</v>
      </c>
      <c r="C26" s="527" t="s">
        <v>383</v>
      </c>
      <c r="D26" s="527" t="s">
        <v>109</v>
      </c>
      <c r="E26" s="267" t="s">
        <v>110</v>
      </c>
      <c r="F26" s="447">
        <f>+(3617124+1456580.24)*20%</f>
        <v>1014740.8480000001</v>
      </c>
      <c r="G26" s="448" t="s">
        <v>101</v>
      </c>
      <c r="H26" s="448">
        <v>1</v>
      </c>
      <c r="I26" s="448" t="s">
        <v>89</v>
      </c>
      <c r="J26" s="449">
        <v>4</v>
      </c>
      <c r="K26" s="450">
        <f>F26*H26*J26</f>
        <v>4058963.3920000005</v>
      </c>
      <c r="L26" s="538"/>
      <c r="M26" s="259"/>
      <c r="N26" s="457">
        <f t="shared" si="2"/>
        <v>1014740.8480000001</v>
      </c>
      <c r="O26" s="259">
        <v>0.25</v>
      </c>
      <c r="P26" s="513">
        <f t="shared" si="3"/>
        <v>1014740.8480000001</v>
      </c>
      <c r="Q26" s="259">
        <v>0.25</v>
      </c>
      <c r="R26" s="513">
        <f t="shared" si="4"/>
        <v>1014740.8480000001</v>
      </c>
      <c r="S26" s="259">
        <v>0.25</v>
      </c>
      <c r="T26" s="513">
        <f t="shared" si="5"/>
        <v>1014740.8480000001</v>
      </c>
      <c r="U26" s="259">
        <v>0.25</v>
      </c>
      <c r="V26" s="260">
        <f>+K26*W26</f>
        <v>0</v>
      </c>
      <c r="W26" s="466"/>
      <c r="X26" s="515">
        <f>+K26*Y26</f>
        <v>4058963.3920000005</v>
      </c>
      <c r="Y26" s="464">
        <v>1</v>
      </c>
      <c r="Z26" s="264"/>
      <c r="AA26" s="265"/>
      <c r="AB26" s="264"/>
      <c r="AC26" s="265"/>
      <c r="AE26" s="718">
        <f>+T26*AF26</f>
        <v>0</v>
      </c>
    </row>
    <row r="27" spans="1:31" x14ac:dyDescent="0.4">
      <c r="A27" s="526"/>
      <c r="B27" s="526"/>
      <c r="C27" s="526"/>
      <c r="D27" s="526" t="s">
        <v>111</v>
      </c>
      <c r="E27" s="517" t="s">
        <v>112</v>
      </c>
      <c r="F27" s="518"/>
      <c r="G27" s="519"/>
      <c r="H27" s="519"/>
      <c r="I27" s="519"/>
      <c r="J27" s="520"/>
      <c r="K27" s="521">
        <v>0</v>
      </c>
      <c r="L27" s="537"/>
      <c r="M27" s="522"/>
      <c r="N27" s="521">
        <v>0</v>
      </c>
      <c r="O27" s="534">
        <v>0</v>
      </c>
      <c r="P27" s="521">
        <v>0</v>
      </c>
      <c r="Q27" s="534">
        <v>0</v>
      </c>
      <c r="R27" s="521">
        <v>0</v>
      </c>
      <c r="S27" s="534">
        <v>0</v>
      </c>
      <c r="T27" s="521">
        <v>0</v>
      </c>
      <c r="U27" s="534">
        <v>0</v>
      </c>
      <c r="V27" s="521">
        <v>0</v>
      </c>
      <c r="W27" s="534">
        <v>0</v>
      </c>
      <c r="X27" s="521">
        <v>0</v>
      </c>
      <c r="Y27" s="547">
        <v>0</v>
      </c>
      <c r="Z27" s="523"/>
      <c r="AA27" s="524"/>
      <c r="AB27" s="523"/>
      <c r="AC27" s="524"/>
      <c r="AE27" s="717">
        <v>0</v>
      </c>
    </row>
    <row r="28" spans="1:31" x14ac:dyDescent="0.4">
      <c r="A28" s="526"/>
      <c r="B28" s="526"/>
      <c r="C28" s="526"/>
      <c r="D28" s="526" t="s">
        <v>113</v>
      </c>
      <c r="E28" s="517" t="s">
        <v>114</v>
      </c>
      <c r="F28" s="518"/>
      <c r="G28" s="519"/>
      <c r="H28" s="519"/>
      <c r="I28" s="519"/>
      <c r="J28" s="520"/>
      <c r="K28" s="521">
        <f>SUM(K29:K31)</f>
        <v>20608000</v>
      </c>
      <c r="L28" s="537"/>
      <c r="M28" s="522"/>
      <c r="N28" s="521">
        <f>SUM(N29:N31)</f>
        <v>0</v>
      </c>
      <c r="O28" s="534">
        <f t="shared" ref="O28:Q28" si="6">+N28/$K28</f>
        <v>0</v>
      </c>
      <c r="P28" s="521">
        <f>SUM(P29:P31)</f>
        <v>0</v>
      </c>
      <c r="Q28" s="534">
        <f t="shared" si="6"/>
        <v>0</v>
      </c>
      <c r="R28" s="521">
        <f>SUM(R29:R31)</f>
        <v>10304000</v>
      </c>
      <c r="S28" s="534">
        <f t="shared" ref="S28" si="7">+R28/$K28</f>
        <v>0.5</v>
      </c>
      <c r="T28" s="521">
        <f>SUM(T29:T31)</f>
        <v>10304000</v>
      </c>
      <c r="U28" s="534">
        <f t="shared" ref="U28" si="8">+T28/$K28</f>
        <v>0.5</v>
      </c>
      <c r="V28" s="521">
        <f>SUM(V29:V31)</f>
        <v>20608000</v>
      </c>
      <c r="W28" s="534">
        <f t="shared" ref="W28" si="9">+V28/$K28</f>
        <v>1</v>
      </c>
      <c r="X28" s="521">
        <f>SUM(X29:X31)</f>
        <v>0</v>
      </c>
      <c r="Y28" s="547">
        <f t="shared" ref="Y28" si="10">+X28/$K28</f>
        <v>0</v>
      </c>
      <c r="Z28" s="523"/>
      <c r="AA28" s="524"/>
      <c r="AB28" s="523"/>
      <c r="AC28" s="524"/>
      <c r="AE28" s="717">
        <f>SUM(AE29:AE31)</f>
        <v>4930.4148314380927</v>
      </c>
    </row>
    <row r="29" spans="1:31" x14ac:dyDescent="0.4">
      <c r="A29" s="527" t="s">
        <v>397</v>
      </c>
      <c r="B29" s="527" t="s">
        <v>394</v>
      </c>
      <c r="C29" s="527" t="s">
        <v>383</v>
      </c>
      <c r="D29" s="527" t="s">
        <v>115</v>
      </c>
      <c r="E29" s="451" t="s">
        <v>116</v>
      </c>
      <c r="F29" s="447">
        <v>850000</v>
      </c>
      <c r="G29" s="448" t="s">
        <v>117</v>
      </c>
      <c r="H29" s="448">
        <v>1</v>
      </c>
      <c r="I29" s="448" t="s">
        <v>117</v>
      </c>
      <c r="J29" s="449">
        <v>8</v>
      </c>
      <c r="K29" s="450">
        <f>F29*H29*J29</f>
        <v>6800000</v>
      </c>
      <c r="L29" s="258"/>
      <c r="M29" s="259"/>
      <c r="N29" s="259"/>
      <c r="O29" s="259"/>
      <c r="P29" s="259"/>
      <c r="Q29" s="259"/>
      <c r="R29" s="513">
        <f>+K29*S29</f>
        <v>3400000</v>
      </c>
      <c r="S29" s="259">
        <v>0.5</v>
      </c>
      <c r="T29" s="513">
        <f>+K29*U29</f>
        <v>3400000</v>
      </c>
      <c r="U29" s="259">
        <v>0.5</v>
      </c>
      <c r="V29" s="260">
        <f>+K29*W29</f>
        <v>6800000</v>
      </c>
      <c r="W29" s="466">
        <v>1</v>
      </c>
      <c r="X29" s="515"/>
      <c r="Y29" s="464"/>
      <c r="Z29" s="264"/>
      <c r="AA29" s="265"/>
      <c r="AB29" s="264"/>
      <c r="AC29" s="265"/>
      <c r="AE29" s="718">
        <f t="shared" ref="AE29:AE31" si="11">V29/$AG$12</f>
        <v>1626.8837759015446</v>
      </c>
    </row>
    <row r="30" spans="1:31" x14ac:dyDescent="0.4">
      <c r="A30" s="527" t="s">
        <v>398</v>
      </c>
      <c r="B30" s="527" t="s">
        <v>400</v>
      </c>
      <c r="C30" s="527" t="s">
        <v>383</v>
      </c>
      <c r="D30" s="527" t="s">
        <v>118</v>
      </c>
      <c r="E30" s="451" t="s">
        <v>119</v>
      </c>
      <c r="F30" s="447">
        <v>826000</v>
      </c>
      <c r="G30" s="448" t="s">
        <v>117</v>
      </c>
      <c r="H30" s="448">
        <v>1</v>
      </c>
      <c r="I30" s="448" t="s">
        <v>117</v>
      </c>
      <c r="J30" s="449">
        <v>8</v>
      </c>
      <c r="K30" s="450">
        <f>F30*H30*J30</f>
        <v>6608000</v>
      </c>
      <c r="L30" s="258"/>
      <c r="M30" s="259"/>
      <c r="N30" s="259"/>
      <c r="O30" s="259"/>
      <c r="P30" s="259"/>
      <c r="Q30" s="259"/>
      <c r="R30" s="513">
        <f>+K30*S30</f>
        <v>3304000</v>
      </c>
      <c r="S30" s="259">
        <v>0.5</v>
      </c>
      <c r="T30" s="513">
        <f>+K30*U30</f>
        <v>3304000</v>
      </c>
      <c r="U30" s="259">
        <v>0.5</v>
      </c>
      <c r="V30" s="260">
        <f>+K30*W30</f>
        <v>6608000</v>
      </c>
      <c r="W30" s="466">
        <v>1</v>
      </c>
      <c r="X30" s="515"/>
      <c r="Y30" s="464"/>
      <c r="Z30" s="264"/>
      <c r="AA30" s="265"/>
      <c r="AB30" s="264"/>
      <c r="AC30" s="265"/>
      <c r="AE30" s="718">
        <f t="shared" si="11"/>
        <v>1580.9482339937363</v>
      </c>
    </row>
    <row r="31" spans="1:31" x14ac:dyDescent="0.4">
      <c r="A31" s="527" t="s">
        <v>399</v>
      </c>
      <c r="B31" s="527" t="s">
        <v>396</v>
      </c>
      <c r="C31" s="527" t="s">
        <v>383</v>
      </c>
      <c r="D31" s="527" t="s">
        <v>120</v>
      </c>
      <c r="E31" s="451" t="s">
        <v>121</v>
      </c>
      <c r="F31" s="447">
        <v>300000</v>
      </c>
      <c r="G31" s="448" t="s">
        <v>117</v>
      </c>
      <c r="H31" s="448">
        <v>4</v>
      </c>
      <c r="I31" s="448" t="s">
        <v>117</v>
      </c>
      <c r="J31" s="449">
        <v>6</v>
      </c>
      <c r="K31" s="450">
        <f>F31*H31*J31</f>
        <v>7200000</v>
      </c>
      <c r="L31" s="258"/>
      <c r="M31" s="259"/>
      <c r="N31" s="259"/>
      <c r="O31" s="259"/>
      <c r="P31" s="259"/>
      <c r="Q31" s="259"/>
      <c r="R31" s="513">
        <f>+K31*S31</f>
        <v>3600000</v>
      </c>
      <c r="S31" s="259">
        <v>0.5</v>
      </c>
      <c r="T31" s="513">
        <f>+K31*U31</f>
        <v>3600000</v>
      </c>
      <c r="U31" s="259">
        <v>0.5</v>
      </c>
      <c r="V31" s="260">
        <f>+K31*W31</f>
        <v>7200000</v>
      </c>
      <c r="W31" s="466">
        <v>1</v>
      </c>
      <c r="X31" s="515"/>
      <c r="Y31" s="464"/>
      <c r="Z31" s="264"/>
      <c r="AA31" s="265"/>
      <c r="AB31" s="264"/>
      <c r="AC31" s="265"/>
      <c r="AE31" s="718">
        <f t="shared" si="11"/>
        <v>1722.5828215428119</v>
      </c>
    </row>
    <row r="32" spans="1:31" x14ac:dyDescent="0.4">
      <c r="A32" s="526"/>
      <c r="B32" s="526"/>
      <c r="C32" s="526"/>
      <c r="D32" s="526" t="s">
        <v>122</v>
      </c>
      <c r="E32" s="517" t="s">
        <v>123</v>
      </c>
      <c r="F32" s="518"/>
      <c r="G32" s="519"/>
      <c r="H32" s="519"/>
      <c r="I32" s="519"/>
      <c r="J32" s="520"/>
      <c r="K32" s="521">
        <v>0</v>
      </c>
      <c r="L32" s="537"/>
      <c r="M32" s="522"/>
      <c r="N32" s="521">
        <v>0</v>
      </c>
      <c r="O32" s="534">
        <v>0</v>
      </c>
      <c r="P32" s="521">
        <v>0</v>
      </c>
      <c r="Q32" s="534">
        <v>0</v>
      </c>
      <c r="R32" s="521">
        <v>0</v>
      </c>
      <c r="S32" s="534">
        <v>0</v>
      </c>
      <c r="T32" s="521">
        <v>0</v>
      </c>
      <c r="U32" s="534">
        <v>0</v>
      </c>
      <c r="V32" s="521">
        <v>0</v>
      </c>
      <c r="W32" s="534">
        <v>0</v>
      </c>
      <c r="X32" s="521">
        <v>0</v>
      </c>
      <c r="Y32" s="547">
        <v>0</v>
      </c>
      <c r="Z32" s="523"/>
      <c r="AA32" s="524"/>
      <c r="AB32" s="523"/>
      <c r="AC32" s="524"/>
      <c r="AE32" s="717">
        <v>0</v>
      </c>
    </row>
    <row r="33" spans="1:31" x14ac:dyDescent="0.4">
      <c r="A33" s="526"/>
      <c r="B33" s="526"/>
      <c r="C33" s="526"/>
      <c r="D33" s="526" t="s">
        <v>124</v>
      </c>
      <c r="E33" s="517" t="s">
        <v>125</v>
      </c>
      <c r="F33" s="518"/>
      <c r="G33" s="519"/>
      <c r="H33" s="519"/>
      <c r="I33" s="519"/>
      <c r="J33" s="520"/>
      <c r="K33" s="521">
        <f>SUM(K34)</f>
        <v>300000</v>
      </c>
      <c r="L33" s="537"/>
      <c r="M33" s="522"/>
      <c r="N33" s="521">
        <f>SUM(N34)</f>
        <v>0</v>
      </c>
      <c r="O33" s="534">
        <f t="shared" ref="O33:Y35" si="12">+N33/$K33</f>
        <v>0</v>
      </c>
      <c r="P33" s="521">
        <f>SUM(P34)</f>
        <v>0</v>
      </c>
      <c r="Q33" s="534">
        <f t="shared" si="12"/>
        <v>0</v>
      </c>
      <c r="R33" s="521">
        <f>SUM(R34)</f>
        <v>150000</v>
      </c>
      <c r="S33" s="534">
        <f t="shared" ref="S33" si="13">+R33/$K33</f>
        <v>0.5</v>
      </c>
      <c r="T33" s="521">
        <f>SUM(T34)</f>
        <v>150000</v>
      </c>
      <c r="U33" s="534">
        <f t="shared" ref="U33" si="14">+T33/$K33</f>
        <v>0.5</v>
      </c>
      <c r="V33" s="521">
        <f>SUM(V34)</f>
        <v>300000</v>
      </c>
      <c r="W33" s="534">
        <f t="shared" ref="W33" si="15">+V33/$K33</f>
        <v>1</v>
      </c>
      <c r="X33" s="521">
        <f>SUM(X34)</f>
        <v>0</v>
      </c>
      <c r="Y33" s="547">
        <f t="shared" ref="Y33" si="16">+X33/$K33</f>
        <v>0</v>
      </c>
      <c r="Z33" s="523"/>
      <c r="AA33" s="524"/>
      <c r="AB33" s="523"/>
      <c r="AC33" s="524"/>
      <c r="AE33" s="717">
        <f>SUM(AE34)</f>
        <v>71.774284230950499</v>
      </c>
    </row>
    <row r="34" spans="1:31" x14ac:dyDescent="0.4">
      <c r="A34" s="527" t="s">
        <v>401</v>
      </c>
      <c r="B34" s="527">
        <v>82420</v>
      </c>
      <c r="C34" s="527" t="s">
        <v>383</v>
      </c>
      <c r="D34" s="527" t="s">
        <v>126</v>
      </c>
      <c r="E34" s="267" t="s">
        <v>127</v>
      </c>
      <c r="F34" s="447">
        <v>50000</v>
      </c>
      <c r="G34" s="448" t="s">
        <v>63</v>
      </c>
      <c r="H34" s="448">
        <v>6</v>
      </c>
      <c r="I34" s="448" t="s">
        <v>63</v>
      </c>
      <c r="J34" s="449">
        <v>1</v>
      </c>
      <c r="K34" s="450">
        <f>F34*H34*J34</f>
        <v>300000</v>
      </c>
      <c r="L34" s="258"/>
      <c r="M34" s="259"/>
      <c r="N34" s="259"/>
      <c r="O34" s="259"/>
      <c r="P34" s="259"/>
      <c r="Q34" s="259"/>
      <c r="R34" s="513">
        <f>+K34*S34</f>
        <v>150000</v>
      </c>
      <c r="S34" s="259">
        <v>0.5</v>
      </c>
      <c r="T34" s="513">
        <f>+K34*U34</f>
        <v>150000</v>
      </c>
      <c r="U34" s="259">
        <v>0.5</v>
      </c>
      <c r="V34" s="260">
        <f>+K34*W34</f>
        <v>300000</v>
      </c>
      <c r="W34" s="466">
        <v>1</v>
      </c>
      <c r="X34" s="515"/>
      <c r="Y34" s="464"/>
      <c r="Z34" s="264"/>
      <c r="AA34" s="265"/>
      <c r="AB34" s="264"/>
      <c r="AC34" s="265"/>
      <c r="AE34" s="718">
        <f t="shared" ref="AE34" si="17">V34/$AG$12</f>
        <v>71.774284230950499</v>
      </c>
    </row>
    <row r="35" spans="1:31" x14ac:dyDescent="0.4">
      <c r="A35" s="526"/>
      <c r="B35" s="526"/>
      <c r="C35" s="526"/>
      <c r="D35" s="526" t="s">
        <v>128</v>
      </c>
      <c r="E35" s="517" t="s">
        <v>129</v>
      </c>
      <c r="F35" s="518"/>
      <c r="G35" s="519"/>
      <c r="H35" s="519"/>
      <c r="I35" s="519"/>
      <c r="J35" s="520"/>
      <c r="K35" s="521">
        <f>SUM(K36:K37)</f>
        <v>9550000</v>
      </c>
      <c r="L35" s="537"/>
      <c r="M35" s="522"/>
      <c r="N35" s="521">
        <f>SUM(N36:N37)</f>
        <v>2387500</v>
      </c>
      <c r="O35" s="534">
        <f t="shared" si="12"/>
        <v>0.25</v>
      </c>
      <c r="P35" s="521">
        <f>SUM(P36:P37)</f>
        <v>2387500</v>
      </c>
      <c r="Q35" s="534">
        <f t="shared" si="12"/>
        <v>0.25</v>
      </c>
      <c r="R35" s="521">
        <f>SUM(R36:R37)</f>
        <v>2387500</v>
      </c>
      <c r="S35" s="534">
        <f t="shared" si="12"/>
        <v>0.25</v>
      </c>
      <c r="T35" s="521">
        <f>SUM(T36:T37)</f>
        <v>2387500</v>
      </c>
      <c r="U35" s="534">
        <f t="shared" si="12"/>
        <v>0.25</v>
      </c>
      <c r="V35" s="521">
        <f>SUM(V36:V37)</f>
        <v>0</v>
      </c>
      <c r="W35" s="534">
        <f t="shared" si="12"/>
        <v>0</v>
      </c>
      <c r="X35" s="521">
        <f>SUM(X36:X37)</f>
        <v>9550000</v>
      </c>
      <c r="Y35" s="547">
        <f t="shared" si="12"/>
        <v>1</v>
      </c>
      <c r="Z35" s="523"/>
      <c r="AA35" s="524"/>
      <c r="AB35" s="523"/>
      <c r="AC35" s="524"/>
      <c r="AE35" s="717">
        <f>SUM(AE36:AE37)</f>
        <v>0</v>
      </c>
    </row>
    <row r="36" spans="1:31" x14ac:dyDescent="0.4">
      <c r="A36" s="527" t="s">
        <v>390</v>
      </c>
      <c r="B36" s="527" t="s">
        <v>391</v>
      </c>
      <c r="C36" s="527" t="s">
        <v>383</v>
      </c>
      <c r="D36" s="527" t="s">
        <v>130</v>
      </c>
      <c r="E36" s="267" t="s">
        <v>372</v>
      </c>
      <c r="F36" s="447">
        <v>950000</v>
      </c>
      <c r="G36" s="448" t="s">
        <v>63</v>
      </c>
      <c r="H36" s="448">
        <v>1</v>
      </c>
      <c r="I36" s="448" t="s">
        <v>89</v>
      </c>
      <c r="J36" s="449">
        <v>9</v>
      </c>
      <c r="K36" s="450">
        <f>F36*H36*J36</f>
        <v>8550000</v>
      </c>
      <c r="L36" s="538"/>
      <c r="M36" s="259"/>
      <c r="N36" s="457">
        <f>+K36*O36</f>
        <v>2137500</v>
      </c>
      <c r="O36" s="259">
        <v>0.25</v>
      </c>
      <c r="P36" s="457">
        <f>+K36*Q36</f>
        <v>2137500</v>
      </c>
      <c r="Q36" s="259">
        <v>0.25</v>
      </c>
      <c r="R36" s="513">
        <f>K36*S36</f>
        <v>2137500</v>
      </c>
      <c r="S36" s="259">
        <v>0.25</v>
      </c>
      <c r="T36" s="513">
        <f>K36*U36</f>
        <v>2137500</v>
      </c>
      <c r="U36" s="259">
        <v>0.25</v>
      </c>
      <c r="V36" s="270"/>
      <c r="W36" s="466">
        <v>0.25</v>
      </c>
      <c r="X36" s="515">
        <f>+K36*Y36</f>
        <v>8550000</v>
      </c>
      <c r="Y36" s="464">
        <v>1</v>
      </c>
      <c r="Z36" s="264"/>
      <c r="AA36" s="265"/>
      <c r="AB36" s="264"/>
      <c r="AC36" s="265"/>
      <c r="AE36" s="718"/>
    </row>
    <row r="37" spans="1:31" ht="20.7" x14ac:dyDescent="0.4">
      <c r="A37" s="527" t="s">
        <v>390</v>
      </c>
      <c r="B37" s="527" t="s">
        <v>391</v>
      </c>
      <c r="C37" s="527" t="s">
        <v>383</v>
      </c>
      <c r="D37" s="527" t="s">
        <v>131</v>
      </c>
      <c r="E37" s="472" t="s">
        <v>132</v>
      </c>
      <c r="F37" s="456">
        <v>200000</v>
      </c>
      <c r="G37" s="448" t="s">
        <v>133</v>
      </c>
      <c r="H37" s="448">
        <v>1</v>
      </c>
      <c r="I37" s="448" t="s">
        <v>134</v>
      </c>
      <c r="J37" s="449">
        <v>5</v>
      </c>
      <c r="K37" s="450">
        <f>F37*H37*J37</f>
        <v>1000000</v>
      </c>
      <c r="L37" s="538"/>
      <c r="M37" s="259"/>
      <c r="N37" s="457">
        <f>+K37*O37</f>
        <v>250000</v>
      </c>
      <c r="O37" s="259">
        <v>0.25</v>
      </c>
      <c r="P37" s="457">
        <f>+K37*Q37</f>
        <v>250000</v>
      </c>
      <c r="Q37" s="259">
        <v>0.25</v>
      </c>
      <c r="R37" s="513">
        <f>K37*S37</f>
        <v>250000</v>
      </c>
      <c r="S37" s="259">
        <v>0.25</v>
      </c>
      <c r="T37" s="457">
        <f>K37*U37</f>
        <v>250000</v>
      </c>
      <c r="U37" s="259">
        <v>0.25</v>
      </c>
      <c r="V37" s="270"/>
      <c r="W37" s="466">
        <v>0.25</v>
      </c>
      <c r="X37" s="515">
        <f>+K37*Y37</f>
        <v>1000000</v>
      </c>
      <c r="Y37" s="464">
        <v>1</v>
      </c>
      <c r="Z37" s="264"/>
      <c r="AA37" s="265"/>
      <c r="AB37" s="264"/>
      <c r="AC37" s="265"/>
      <c r="AE37" s="718"/>
    </row>
    <row r="38" spans="1:31" x14ac:dyDescent="0.4">
      <c r="A38" s="526"/>
      <c r="B38" s="526"/>
      <c r="C38" s="526"/>
      <c r="D38" s="526" t="s">
        <v>135</v>
      </c>
      <c r="E38" s="517" t="s">
        <v>136</v>
      </c>
      <c r="F38" s="518"/>
      <c r="G38" s="519"/>
      <c r="H38" s="519"/>
      <c r="I38" s="519"/>
      <c r="J38" s="520"/>
      <c r="K38" s="521">
        <f>SUM(K39)</f>
        <v>1350000</v>
      </c>
      <c r="L38" s="537"/>
      <c r="M38" s="522"/>
      <c r="N38" s="521">
        <f>SUM(N39)</f>
        <v>337500</v>
      </c>
      <c r="O38" s="534">
        <f t="shared" ref="O38:Y38" si="18">+N38/$K38</f>
        <v>0.25</v>
      </c>
      <c r="P38" s="521">
        <f>SUM(P39)</f>
        <v>337500</v>
      </c>
      <c r="Q38" s="534">
        <f t="shared" si="18"/>
        <v>0.25</v>
      </c>
      <c r="R38" s="521">
        <f>SUM(R39)</f>
        <v>337500</v>
      </c>
      <c r="S38" s="534">
        <f t="shared" si="18"/>
        <v>0.25</v>
      </c>
      <c r="T38" s="521">
        <f>SUM(T39)</f>
        <v>337500</v>
      </c>
      <c r="U38" s="534">
        <f t="shared" si="18"/>
        <v>0.25</v>
      </c>
      <c r="V38" s="521">
        <f>SUM(V39)</f>
        <v>1350000</v>
      </c>
      <c r="W38" s="534">
        <f t="shared" si="18"/>
        <v>1</v>
      </c>
      <c r="X38" s="521">
        <f>SUM(X39)</f>
        <v>0</v>
      </c>
      <c r="Y38" s="547">
        <f t="shared" si="18"/>
        <v>0</v>
      </c>
      <c r="Z38" s="523"/>
      <c r="AA38" s="524"/>
      <c r="AB38" s="523"/>
      <c r="AC38" s="524"/>
      <c r="AE38" s="717">
        <f>SUM(AE39)</f>
        <v>322.98427903927723</v>
      </c>
    </row>
    <row r="39" spans="1:31" x14ac:dyDescent="0.4">
      <c r="A39" s="527" t="s">
        <v>402</v>
      </c>
      <c r="B39" s="527" t="s">
        <v>403</v>
      </c>
      <c r="C39" s="527" t="s">
        <v>383</v>
      </c>
      <c r="D39" s="527" t="s">
        <v>137</v>
      </c>
      <c r="E39" s="267" t="s">
        <v>138</v>
      </c>
      <c r="F39" s="447">
        <v>1350000</v>
      </c>
      <c r="G39" s="448" t="s">
        <v>139</v>
      </c>
      <c r="H39" s="448">
        <v>1</v>
      </c>
      <c r="I39" s="448" t="s">
        <v>139</v>
      </c>
      <c r="J39" s="449">
        <v>1</v>
      </c>
      <c r="K39" s="450">
        <f>F39*H39*J39</f>
        <v>1350000</v>
      </c>
      <c r="L39" s="258"/>
      <c r="M39" s="259"/>
      <c r="N39" s="457">
        <f>+K39*O39</f>
        <v>337500</v>
      </c>
      <c r="O39" s="259">
        <v>0.25</v>
      </c>
      <c r="P39" s="461">
        <f>+K39*Q39</f>
        <v>337500</v>
      </c>
      <c r="Q39" s="259">
        <v>0.25</v>
      </c>
      <c r="R39" s="513">
        <f>+K39*S39</f>
        <v>337500</v>
      </c>
      <c r="S39" s="259">
        <v>0.25</v>
      </c>
      <c r="T39" s="461">
        <f>+K39*U39</f>
        <v>337500</v>
      </c>
      <c r="U39" s="259">
        <v>0.25</v>
      </c>
      <c r="V39" s="260">
        <f>+K39*W39</f>
        <v>1350000</v>
      </c>
      <c r="W39" s="466">
        <v>1</v>
      </c>
      <c r="X39" s="515"/>
      <c r="Y39" s="464"/>
      <c r="Z39" s="264"/>
      <c r="AA39" s="265"/>
      <c r="AB39" s="264"/>
      <c r="AC39" s="265"/>
      <c r="AE39" s="718">
        <f t="shared" ref="AE39" si="19">V39/$AG$12</f>
        <v>322.98427903927723</v>
      </c>
    </row>
    <row r="40" spans="1:31" x14ac:dyDescent="0.4">
      <c r="A40" s="525"/>
      <c r="B40" s="525"/>
      <c r="C40" s="525"/>
      <c r="D40" s="525">
        <v>2</v>
      </c>
      <c r="E40" s="238" t="s">
        <v>140</v>
      </c>
      <c r="F40" s="239"/>
      <c r="G40" s="240"/>
      <c r="H40" s="240"/>
      <c r="I40" s="240"/>
      <c r="J40" s="241"/>
      <c r="K40" s="242">
        <f>+K42+K52</f>
        <v>48802000</v>
      </c>
      <c r="L40" s="539">
        <f>SUM(L44:L59)</f>
        <v>0</v>
      </c>
      <c r="M40" s="275"/>
      <c r="N40" s="242">
        <f>+N42+N52</f>
        <v>7070000</v>
      </c>
      <c r="O40" s="546">
        <f t="shared" ref="O40:O42" si="20">+N40/$K40</f>
        <v>0.14487111183967871</v>
      </c>
      <c r="P40" s="242">
        <f>+P42+P52</f>
        <v>17270000</v>
      </c>
      <c r="Q40" s="546">
        <f t="shared" ref="Q40" si="21">+P40/$K40</f>
        <v>0.35387893938773002</v>
      </c>
      <c r="R40" s="242">
        <f>+R42+R52</f>
        <v>19962000</v>
      </c>
      <c r="S40" s="546">
        <f t="shared" ref="S40" si="22">+R40/$K40</f>
        <v>0.40904061308962747</v>
      </c>
      <c r="T40" s="242">
        <f>+T42+T52</f>
        <v>4500000</v>
      </c>
      <c r="U40" s="546">
        <f t="shared" ref="U40" si="23">+T40/$K40</f>
        <v>9.2209335682963814E-2</v>
      </c>
      <c r="V40" s="242">
        <f>+V42+V52</f>
        <v>46802000</v>
      </c>
      <c r="W40" s="546">
        <f t="shared" ref="W40" si="24">+V40/$K40</f>
        <v>0.95901807302979392</v>
      </c>
      <c r="X40" s="242">
        <f>+X42+X52</f>
        <v>2000000</v>
      </c>
      <c r="Y40" s="546">
        <f t="shared" ref="Y40" si="25">+X40/$K40</f>
        <v>4.098192697020614E-2</v>
      </c>
      <c r="Z40" s="239"/>
      <c r="AA40" s="246"/>
      <c r="AB40" s="239"/>
      <c r="AC40" s="246"/>
      <c r="AE40" s="716">
        <f>+AE42+AE52</f>
        <v>11197.266835256483</v>
      </c>
    </row>
    <row r="41" spans="1:31" x14ac:dyDescent="0.4">
      <c r="A41" s="525"/>
      <c r="B41" s="525"/>
      <c r="C41" s="525"/>
      <c r="D41" s="525"/>
      <c r="E41" s="238" t="s">
        <v>141</v>
      </c>
      <c r="F41" s="239"/>
      <c r="G41" s="240"/>
      <c r="H41" s="240"/>
      <c r="I41" s="240"/>
      <c r="J41" s="241"/>
      <c r="K41" s="455">
        <f>+K40/K62</f>
        <v>9.8966804483528265E-2</v>
      </c>
      <c r="L41" s="249"/>
      <c r="M41" s="250"/>
      <c r="N41" s="455">
        <f>+N40/N62</f>
        <v>8.0301390338481313E-2</v>
      </c>
      <c r="O41" s="546"/>
      <c r="P41" s="455">
        <f>+P40/P62</f>
        <v>0.18837533008181198</v>
      </c>
      <c r="Q41" s="546"/>
      <c r="R41" s="455">
        <f>+R40/R62</f>
        <v>0.12966744079155793</v>
      </c>
      <c r="S41" s="546"/>
      <c r="T41" s="455">
        <f>+T40/T62</f>
        <v>3.3582841248252282E-2</v>
      </c>
      <c r="U41" s="546"/>
      <c r="V41" s="455">
        <f>+V40/V62</f>
        <v>0.1203155362103643</v>
      </c>
      <c r="W41" s="546"/>
      <c r="X41" s="455">
        <f>+X40/X62</f>
        <v>1.9208417149293576E-2</v>
      </c>
      <c r="Y41" s="546"/>
      <c r="Z41" s="239"/>
      <c r="AA41" s="246"/>
      <c r="AB41" s="239"/>
      <c r="AC41" s="246"/>
      <c r="AE41" s="716">
        <f>+AE40/AE62</f>
        <v>0.12031553621036432</v>
      </c>
    </row>
    <row r="42" spans="1:31" x14ac:dyDescent="0.4">
      <c r="A42" s="526"/>
      <c r="B42" s="526"/>
      <c r="C42" s="526"/>
      <c r="D42" s="526" t="s">
        <v>142</v>
      </c>
      <c r="E42" s="517" t="s">
        <v>143</v>
      </c>
      <c r="F42" s="518"/>
      <c r="G42" s="519"/>
      <c r="H42" s="519"/>
      <c r="I42" s="519"/>
      <c r="J42" s="520"/>
      <c r="K42" s="521">
        <f>SUM(K43:K51)</f>
        <v>29030000</v>
      </c>
      <c r="L42" s="537"/>
      <c r="M42" s="522"/>
      <c r="N42" s="521">
        <f>SUM(N43:N51)</f>
        <v>1350000</v>
      </c>
      <c r="O42" s="534">
        <f t="shared" si="20"/>
        <v>4.6503616947984841E-2</v>
      </c>
      <c r="P42" s="521">
        <f>SUM(P43:P51)</f>
        <v>16580000</v>
      </c>
      <c r="Q42" s="534">
        <f t="shared" ref="Q42" si="26">+P42/$K42</f>
        <v>0.57113331036858417</v>
      </c>
      <c r="R42" s="521">
        <f>SUM(R43:R51)</f>
        <v>6600000</v>
      </c>
      <c r="S42" s="534">
        <f t="shared" ref="S42" si="27">+R42/$K42</f>
        <v>0.22735101619014814</v>
      </c>
      <c r="T42" s="521">
        <f>SUM(T43:T51)</f>
        <v>4500000</v>
      </c>
      <c r="U42" s="534">
        <f t="shared" ref="U42" si="28">+T42/$K42</f>
        <v>0.15501205649328281</v>
      </c>
      <c r="V42" s="521">
        <f>SUM(V43:V51)</f>
        <v>27030000</v>
      </c>
      <c r="W42" s="534">
        <f t="shared" ref="W42" si="29">+V42/$K42</f>
        <v>0.93110575266965212</v>
      </c>
      <c r="X42" s="521">
        <f>SUM(X43:X51)</f>
        <v>2000000</v>
      </c>
      <c r="Y42" s="547">
        <f t="shared" ref="Y42" si="30">+X42/$K42</f>
        <v>6.8894247330347921E-2</v>
      </c>
      <c r="Z42" s="523"/>
      <c r="AA42" s="524"/>
      <c r="AB42" s="523"/>
      <c r="AC42" s="524"/>
      <c r="AE42" s="717">
        <f>SUM(AE43:AE51)</f>
        <v>6466.8630092086405</v>
      </c>
    </row>
    <row r="43" spans="1:31" x14ac:dyDescent="0.4">
      <c r="A43" s="527" t="s">
        <v>404</v>
      </c>
      <c r="B43" s="527" t="s">
        <v>405</v>
      </c>
      <c r="C43" s="527" t="s">
        <v>383</v>
      </c>
      <c r="D43" s="527" t="s">
        <v>144</v>
      </c>
      <c r="E43" s="267" t="s">
        <v>145</v>
      </c>
      <c r="F43" s="447">
        <v>40000</v>
      </c>
      <c r="G43" s="448" t="s">
        <v>146</v>
      </c>
      <c r="H43" s="448">
        <v>1</v>
      </c>
      <c r="I43" s="448" t="s">
        <v>89</v>
      </c>
      <c r="J43" s="449">
        <v>7</v>
      </c>
      <c r="K43" s="450">
        <f t="shared" ref="K43:K51" si="31">F43*H43*J43</f>
        <v>280000</v>
      </c>
      <c r="L43" s="540"/>
      <c r="M43" s="530"/>
      <c r="N43" s="530"/>
      <c r="O43" s="530"/>
      <c r="P43" s="531">
        <f>K43</f>
        <v>280000</v>
      </c>
      <c r="Q43" s="530">
        <v>1</v>
      </c>
      <c r="R43" s="530"/>
      <c r="S43" s="530"/>
      <c r="T43" s="530"/>
      <c r="U43" s="530"/>
      <c r="V43" s="260">
        <f>K43</f>
        <v>280000</v>
      </c>
      <c r="W43" s="468">
        <v>1</v>
      </c>
      <c r="X43" s="262"/>
      <c r="Y43" s="265"/>
      <c r="Z43" s="264"/>
      <c r="AA43" s="265"/>
      <c r="AB43" s="264"/>
      <c r="AC43" s="265"/>
      <c r="AE43" s="718">
        <f t="shared" ref="AE43:AE59" si="32">V43/$AG$12</f>
        <v>66.989331948887127</v>
      </c>
    </row>
    <row r="44" spans="1:31" x14ac:dyDescent="0.4">
      <c r="A44" s="527" t="s">
        <v>414</v>
      </c>
      <c r="B44" s="527" t="s">
        <v>403</v>
      </c>
      <c r="C44" s="527" t="s">
        <v>383</v>
      </c>
      <c r="D44" s="527" t="s">
        <v>147</v>
      </c>
      <c r="E44" s="267" t="s">
        <v>148</v>
      </c>
      <c r="F44" s="447">
        <v>4800000</v>
      </c>
      <c r="G44" s="448" t="s">
        <v>149</v>
      </c>
      <c r="H44" s="448">
        <v>1</v>
      </c>
      <c r="I44" s="448" t="s">
        <v>149</v>
      </c>
      <c r="J44" s="449">
        <v>1</v>
      </c>
      <c r="K44" s="450">
        <f t="shared" si="31"/>
        <v>4800000</v>
      </c>
      <c r="L44" s="541"/>
      <c r="M44" s="279"/>
      <c r="N44" s="279"/>
      <c r="O44" s="279"/>
      <c r="P44" s="457">
        <f>+K44*Q44</f>
        <v>4800000</v>
      </c>
      <c r="Q44" s="279">
        <v>1</v>
      </c>
      <c r="R44" s="461"/>
      <c r="S44" s="279"/>
      <c r="T44" s="461"/>
      <c r="U44" s="279"/>
      <c r="V44" s="260">
        <f>+K44*W44</f>
        <v>4800000</v>
      </c>
      <c r="W44" s="464">
        <v>1</v>
      </c>
      <c r="X44" s="262"/>
      <c r="Y44" s="265"/>
      <c r="Z44" s="264"/>
      <c r="AA44" s="265"/>
      <c r="AB44" s="264"/>
      <c r="AC44" s="265"/>
      <c r="AE44" s="718">
        <f t="shared" si="32"/>
        <v>1148.388547695208</v>
      </c>
    </row>
    <row r="45" spans="1:31" x14ac:dyDescent="0.4">
      <c r="A45" s="527" t="s">
        <v>390</v>
      </c>
      <c r="B45" s="527" t="s">
        <v>391</v>
      </c>
      <c r="C45" s="527" t="s">
        <v>383</v>
      </c>
      <c r="D45" s="527" t="s">
        <v>150</v>
      </c>
      <c r="E45" s="451" t="s">
        <v>151</v>
      </c>
      <c r="F45" s="447">
        <v>2000000</v>
      </c>
      <c r="G45" s="448" t="s">
        <v>149</v>
      </c>
      <c r="H45" s="448">
        <v>1</v>
      </c>
      <c r="I45" s="448" t="s">
        <v>149</v>
      </c>
      <c r="J45" s="449">
        <v>1</v>
      </c>
      <c r="K45" s="450">
        <f t="shared" si="31"/>
        <v>2000000</v>
      </c>
      <c r="L45" s="541"/>
      <c r="M45" s="279"/>
      <c r="N45" s="279"/>
      <c r="O45" s="279"/>
      <c r="P45" s="457">
        <f>+K45*Q45</f>
        <v>2000000</v>
      </c>
      <c r="Q45" s="279">
        <v>1</v>
      </c>
      <c r="R45" s="461"/>
      <c r="S45" s="279"/>
      <c r="T45" s="461"/>
      <c r="U45" s="279"/>
      <c r="V45" s="264"/>
      <c r="W45" s="265"/>
      <c r="X45" s="465">
        <f>+K45*Y45</f>
        <v>2000000</v>
      </c>
      <c r="Y45" s="464">
        <v>1</v>
      </c>
      <c r="Z45" s="264"/>
      <c r="AA45" s="265"/>
      <c r="AB45" s="264"/>
      <c r="AC45" s="265"/>
      <c r="AE45" s="719"/>
    </row>
    <row r="46" spans="1:31" x14ac:dyDescent="0.4">
      <c r="A46" s="527" t="s">
        <v>413</v>
      </c>
      <c r="B46" s="527" t="s">
        <v>403</v>
      </c>
      <c r="C46" s="527" t="s">
        <v>383</v>
      </c>
      <c r="D46" s="527" t="s">
        <v>152</v>
      </c>
      <c r="E46" s="267" t="s">
        <v>153</v>
      </c>
      <c r="F46" s="447">
        <v>5000000</v>
      </c>
      <c r="G46" s="448" t="s">
        <v>149</v>
      </c>
      <c r="H46" s="448">
        <v>1</v>
      </c>
      <c r="I46" s="448" t="s">
        <v>149</v>
      </c>
      <c r="J46" s="449">
        <v>1</v>
      </c>
      <c r="K46" s="450">
        <f t="shared" si="31"/>
        <v>5000000</v>
      </c>
      <c r="L46" s="541"/>
      <c r="M46" s="279"/>
      <c r="N46" s="279"/>
      <c r="O46" s="279"/>
      <c r="P46" s="457">
        <f>+K46*Q46</f>
        <v>5000000</v>
      </c>
      <c r="Q46" s="279">
        <v>1</v>
      </c>
      <c r="R46" s="461"/>
      <c r="S46" s="279"/>
      <c r="T46" s="461"/>
      <c r="U46" s="279"/>
      <c r="V46" s="260">
        <f t="shared" ref="V46:V51" si="33">+K46*W46</f>
        <v>5000000</v>
      </c>
      <c r="W46" s="464">
        <v>1</v>
      </c>
      <c r="X46" s="262"/>
      <c r="Y46" s="265"/>
      <c r="Z46" s="264"/>
      <c r="AA46" s="265"/>
      <c r="AB46" s="264"/>
      <c r="AC46" s="265"/>
      <c r="AE46" s="718">
        <f t="shared" si="32"/>
        <v>1196.2380705158416</v>
      </c>
    </row>
    <row r="47" spans="1:31" x14ac:dyDescent="0.4">
      <c r="A47" s="527" t="s">
        <v>412</v>
      </c>
      <c r="B47" s="527" t="s">
        <v>395</v>
      </c>
      <c r="C47" s="527" t="s">
        <v>383</v>
      </c>
      <c r="D47" s="527" t="s">
        <v>154</v>
      </c>
      <c r="E47" s="267" t="s">
        <v>155</v>
      </c>
      <c r="F47" s="447">
        <v>30000</v>
      </c>
      <c r="G47" s="448" t="s">
        <v>156</v>
      </c>
      <c r="H47" s="448">
        <v>150</v>
      </c>
      <c r="I47" s="448" t="s">
        <v>156</v>
      </c>
      <c r="J47" s="449">
        <v>1</v>
      </c>
      <c r="K47" s="450">
        <f t="shared" si="31"/>
        <v>4500000</v>
      </c>
      <c r="L47" s="541"/>
      <c r="M47" s="279"/>
      <c r="N47" s="279"/>
      <c r="O47" s="279"/>
      <c r="P47" s="532"/>
      <c r="Q47" s="279"/>
      <c r="R47" s="279"/>
      <c r="S47" s="279"/>
      <c r="T47" s="463">
        <f>+K47*U47</f>
        <v>4500000</v>
      </c>
      <c r="U47" s="279">
        <v>1</v>
      </c>
      <c r="V47" s="260">
        <f t="shared" si="33"/>
        <v>4500000</v>
      </c>
      <c r="W47" s="464">
        <v>1</v>
      </c>
      <c r="X47" s="262"/>
      <c r="Y47" s="265"/>
      <c r="Z47" s="264"/>
      <c r="AA47" s="265"/>
      <c r="AB47" s="264"/>
      <c r="AC47" s="265"/>
      <c r="AE47" s="718">
        <f t="shared" si="32"/>
        <v>1076.6142634642574</v>
      </c>
    </row>
    <row r="48" spans="1:31" x14ac:dyDescent="0.4">
      <c r="A48" s="527" t="s">
        <v>406</v>
      </c>
      <c r="B48" s="527" t="s">
        <v>407</v>
      </c>
      <c r="C48" s="527" t="s">
        <v>383</v>
      </c>
      <c r="D48" s="527" t="s">
        <v>157</v>
      </c>
      <c r="E48" s="267" t="s">
        <v>158</v>
      </c>
      <c r="F48" s="447">
        <f>15000*300</f>
        <v>4500000</v>
      </c>
      <c r="G48" s="448" t="s">
        <v>149</v>
      </c>
      <c r="H48" s="448">
        <v>1</v>
      </c>
      <c r="I48" s="448" t="s">
        <v>149</v>
      </c>
      <c r="J48" s="449">
        <v>1</v>
      </c>
      <c r="K48" s="450">
        <f t="shared" si="31"/>
        <v>4500000</v>
      </c>
      <c r="L48" s="541"/>
      <c r="M48" s="279"/>
      <c r="N48" s="279"/>
      <c r="O48" s="279"/>
      <c r="P48" s="457">
        <f>+K48*Q48</f>
        <v>4500000</v>
      </c>
      <c r="Q48" s="279">
        <v>1</v>
      </c>
      <c r="R48" s="461"/>
      <c r="S48" s="279"/>
      <c r="T48" s="461"/>
      <c r="U48" s="279"/>
      <c r="V48" s="260">
        <f t="shared" si="33"/>
        <v>4500000</v>
      </c>
      <c r="W48" s="464">
        <v>1</v>
      </c>
      <c r="X48" s="262"/>
      <c r="Y48" s="265"/>
      <c r="Z48" s="264"/>
      <c r="AA48" s="265"/>
      <c r="AB48" s="264"/>
      <c r="AC48" s="265"/>
      <c r="AE48" s="718">
        <f t="shared" si="32"/>
        <v>1076.6142634642574</v>
      </c>
    </row>
    <row r="49" spans="1:32" x14ac:dyDescent="0.4">
      <c r="A49" s="527" t="s">
        <v>401</v>
      </c>
      <c r="B49" s="527" t="s">
        <v>408</v>
      </c>
      <c r="C49" s="527" t="s">
        <v>383</v>
      </c>
      <c r="D49" s="527" t="s">
        <v>159</v>
      </c>
      <c r="E49" s="267" t="s">
        <v>160</v>
      </c>
      <c r="F49" s="447">
        <f>2400000+1200000</f>
        <v>3600000</v>
      </c>
      <c r="G49" s="448" t="s">
        <v>149</v>
      </c>
      <c r="H49" s="448">
        <v>1</v>
      </c>
      <c r="I49" s="448" t="s">
        <v>149</v>
      </c>
      <c r="J49" s="449">
        <v>1</v>
      </c>
      <c r="K49" s="450">
        <f t="shared" si="31"/>
        <v>3600000</v>
      </c>
      <c r="L49" s="541"/>
      <c r="M49" s="279"/>
      <c r="N49" s="279"/>
      <c r="O49" s="279"/>
      <c r="P49" s="532"/>
      <c r="Q49" s="279"/>
      <c r="R49" s="533">
        <f>+K49*S49</f>
        <v>3600000</v>
      </c>
      <c r="S49" s="279">
        <v>1</v>
      </c>
      <c r="T49" s="279"/>
      <c r="U49" s="279"/>
      <c r="V49" s="260">
        <f t="shared" si="33"/>
        <v>3600000</v>
      </c>
      <c r="W49" s="464">
        <v>1</v>
      </c>
      <c r="X49" s="262"/>
      <c r="Y49" s="265"/>
      <c r="Z49" s="264"/>
      <c r="AA49" s="265"/>
      <c r="AB49" s="264"/>
      <c r="AC49" s="265"/>
      <c r="AE49" s="718">
        <f t="shared" si="32"/>
        <v>861.29141077140594</v>
      </c>
    </row>
    <row r="50" spans="1:32" x14ac:dyDescent="0.4">
      <c r="A50" s="527" t="s">
        <v>410</v>
      </c>
      <c r="B50" s="527" t="s">
        <v>409</v>
      </c>
      <c r="C50" s="527" t="s">
        <v>383</v>
      </c>
      <c r="D50" s="527" t="s">
        <v>161</v>
      </c>
      <c r="E50" s="267" t="s">
        <v>162</v>
      </c>
      <c r="F50" s="447">
        <v>3000000</v>
      </c>
      <c r="G50" s="448" t="s">
        <v>149</v>
      </c>
      <c r="H50" s="448">
        <v>1</v>
      </c>
      <c r="I50" s="448" t="s">
        <v>149</v>
      </c>
      <c r="J50" s="449">
        <v>1</v>
      </c>
      <c r="K50" s="450">
        <f t="shared" si="31"/>
        <v>3000000</v>
      </c>
      <c r="L50" s="541"/>
      <c r="M50" s="279"/>
      <c r="N50" s="279"/>
      <c r="O50" s="279"/>
      <c r="P50" s="532"/>
      <c r="Q50" s="279"/>
      <c r="R50" s="533">
        <f>+K50*S50</f>
        <v>3000000</v>
      </c>
      <c r="S50" s="279">
        <v>1</v>
      </c>
      <c r="T50" s="279"/>
      <c r="U50" s="279"/>
      <c r="V50" s="260">
        <f t="shared" si="33"/>
        <v>3000000</v>
      </c>
      <c r="W50" s="464">
        <v>1</v>
      </c>
      <c r="X50" s="262"/>
      <c r="Y50" s="265"/>
      <c r="Z50" s="264"/>
      <c r="AA50" s="265"/>
      <c r="AB50" s="264"/>
      <c r="AC50" s="265"/>
      <c r="AE50" s="718">
        <f t="shared" si="32"/>
        <v>717.74284230950502</v>
      </c>
    </row>
    <row r="51" spans="1:32" ht="20.25" customHeight="1" x14ac:dyDescent="0.4">
      <c r="A51" s="527" t="s">
        <v>411</v>
      </c>
      <c r="B51" s="527" t="s">
        <v>403</v>
      </c>
      <c r="C51" s="527" t="s">
        <v>383</v>
      </c>
      <c r="D51" s="527" t="s">
        <v>163</v>
      </c>
      <c r="E51" s="472" t="s">
        <v>164</v>
      </c>
      <c r="F51" s="447">
        <v>1350000</v>
      </c>
      <c r="G51" s="448" t="s">
        <v>139</v>
      </c>
      <c r="H51" s="448">
        <v>1</v>
      </c>
      <c r="I51" s="448" t="s">
        <v>139</v>
      </c>
      <c r="J51" s="449">
        <v>1</v>
      </c>
      <c r="K51" s="450">
        <f t="shared" si="31"/>
        <v>1350000</v>
      </c>
      <c r="L51" s="541"/>
      <c r="M51" s="279"/>
      <c r="N51" s="457">
        <f>+K51*O51</f>
        <v>1350000</v>
      </c>
      <c r="O51" s="259">
        <v>1</v>
      </c>
      <c r="P51" s="532"/>
      <c r="Q51" s="279"/>
      <c r="R51" s="463"/>
      <c r="S51" s="279"/>
      <c r="T51" s="279"/>
      <c r="U51" s="279"/>
      <c r="V51" s="260">
        <f t="shared" si="33"/>
        <v>1350000</v>
      </c>
      <c r="W51" s="464">
        <v>1</v>
      </c>
      <c r="X51" s="262"/>
      <c r="Y51" s="265"/>
      <c r="Z51" s="264"/>
      <c r="AA51" s="265"/>
      <c r="AB51" s="264"/>
      <c r="AC51" s="265"/>
      <c r="AE51" s="718">
        <f t="shared" si="32"/>
        <v>322.98427903927723</v>
      </c>
    </row>
    <row r="52" spans="1:32" x14ac:dyDescent="0.4">
      <c r="A52" s="526"/>
      <c r="B52" s="526"/>
      <c r="C52" s="526"/>
      <c r="D52" s="526" t="s">
        <v>165</v>
      </c>
      <c r="E52" s="517" t="s">
        <v>166</v>
      </c>
      <c r="F52" s="518"/>
      <c r="G52" s="519"/>
      <c r="H52" s="519"/>
      <c r="I52" s="519"/>
      <c r="J52" s="520"/>
      <c r="K52" s="521">
        <f>SUM(K53:K59)</f>
        <v>19772000</v>
      </c>
      <c r="L52" s="537"/>
      <c r="M52" s="522"/>
      <c r="N52" s="521">
        <f>SUM(N53:N59)</f>
        <v>5720000</v>
      </c>
      <c r="O52" s="534">
        <f t="shared" ref="O52:Y52" si="34">+N52/$K52</f>
        <v>0.28929799716771193</v>
      </c>
      <c r="P52" s="521">
        <f>SUM(P53:P59)</f>
        <v>690000</v>
      </c>
      <c r="Q52" s="534">
        <f t="shared" si="34"/>
        <v>3.4897835322678539E-2</v>
      </c>
      <c r="R52" s="521">
        <f>SUM(R53:R59)</f>
        <v>13362000</v>
      </c>
      <c r="S52" s="534">
        <f t="shared" si="34"/>
        <v>0.67580416750960959</v>
      </c>
      <c r="T52" s="521">
        <f>SUM(T53:T59)</f>
        <v>0</v>
      </c>
      <c r="U52" s="534">
        <f t="shared" si="34"/>
        <v>0</v>
      </c>
      <c r="V52" s="521">
        <f>SUM(V53:V59)</f>
        <v>19772000</v>
      </c>
      <c r="W52" s="534">
        <f t="shared" si="34"/>
        <v>1</v>
      </c>
      <c r="X52" s="521">
        <f>SUM(X53:X59)</f>
        <v>0</v>
      </c>
      <c r="Y52" s="547">
        <f t="shared" si="34"/>
        <v>0</v>
      </c>
      <c r="Z52" s="523"/>
      <c r="AA52" s="524"/>
      <c r="AB52" s="523"/>
      <c r="AC52" s="524"/>
      <c r="AE52" s="717">
        <f>SUM(AE53:AE59)</f>
        <v>4730.4038260478437</v>
      </c>
    </row>
    <row r="53" spans="1:32" x14ac:dyDescent="0.4">
      <c r="A53" s="527" t="s">
        <v>417</v>
      </c>
      <c r="B53" s="527" t="s">
        <v>416</v>
      </c>
      <c r="C53" s="527" t="s">
        <v>383</v>
      </c>
      <c r="D53" s="527" t="s">
        <v>167</v>
      </c>
      <c r="E53" s="267" t="s">
        <v>168</v>
      </c>
      <c r="F53" s="447">
        <f>16000+30000</f>
        <v>46000</v>
      </c>
      <c r="G53" s="448" t="s">
        <v>169</v>
      </c>
      <c r="H53" s="448">
        <v>15</v>
      </c>
      <c r="I53" s="448" t="s">
        <v>169</v>
      </c>
      <c r="J53" s="449">
        <v>1</v>
      </c>
      <c r="K53" s="450">
        <f t="shared" ref="K53:K59" si="35">F53*H53*J53</f>
        <v>690000</v>
      </c>
      <c r="L53" s="541"/>
      <c r="M53" s="279"/>
      <c r="N53" s="279"/>
      <c r="O53" s="279"/>
      <c r="P53" s="461">
        <f>+K53*Q53</f>
        <v>690000</v>
      </c>
      <c r="Q53" s="279">
        <v>1</v>
      </c>
      <c r="R53" s="461"/>
      <c r="S53" s="279"/>
      <c r="T53" s="461"/>
      <c r="U53" s="279"/>
      <c r="V53" s="260">
        <f t="shared" ref="V53:V59" si="36">+K53*W53</f>
        <v>690000</v>
      </c>
      <c r="W53" s="464">
        <v>1</v>
      </c>
      <c r="X53" s="262"/>
      <c r="Y53" s="265"/>
      <c r="Z53" s="264"/>
      <c r="AA53" s="265"/>
      <c r="AB53" s="264"/>
      <c r="AC53" s="265"/>
      <c r="AE53" s="718">
        <f t="shared" si="32"/>
        <v>165.08085373118615</v>
      </c>
    </row>
    <row r="54" spans="1:32" x14ac:dyDescent="0.4">
      <c r="A54" s="527" t="s">
        <v>418</v>
      </c>
      <c r="B54" s="527" t="s">
        <v>409</v>
      </c>
      <c r="C54" s="527" t="s">
        <v>383</v>
      </c>
      <c r="D54" s="527" t="s">
        <v>170</v>
      </c>
      <c r="E54" s="267" t="s">
        <v>171</v>
      </c>
      <c r="F54" s="447">
        <f>16000+30000</f>
        <v>46000</v>
      </c>
      <c r="G54" s="448" t="s">
        <v>169</v>
      </c>
      <c r="H54" s="448">
        <f>20*6</f>
        <v>120</v>
      </c>
      <c r="I54" s="448" t="s">
        <v>169</v>
      </c>
      <c r="J54" s="449">
        <v>1</v>
      </c>
      <c r="K54" s="450">
        <f t="shared" si="35"/>
        <v>5520000</v>
      </c>
      <c r="L54" s="541"/>
      <c r="M54" s="279"/>
      <c r="N54" s="279"/>
      <c r="O54" s="279"/>
      <c r="P54" s="279"/>
      <c r="Q54" s="279"/>
      <c r="R54" s="533">
        <f>+K54*S54</f>
        <v>5520000</v>
      </c>
      <c r="S54" s="279">
        <v>1</v>
      </c>
      <c r="T54" s="279"/>
      <c r="U54" s="279"/>
      <c r="V54" s="260">
        <f t="shared" si="36"/>
        <v>5520000</v>
      </c>
      <c r="W54" s="464">
        <v>1</v>
      </c>
      <c r="X54" s="262"/>
      <c r="Y54" s="265"/>
      <c r="Z54" s="264"/>
      <c r="AA54" s="265"/>
      <c r="AB54" s="264"/>
      <c r="AC54" s="265"/>
      <c r="AE54" s="718">
        <f t="shared" si="32"/>
        <v>1320.6468298494892</v>
      </c>
    </row>
    <row r="55" spans="1:32" x14ac:dyDescent="0.4">
      <c r="A55" s="527" t="s">
        <v>420</v>
      </c>
      <c r="B55" s="527" t="s">
        <v>409</v>
      </c>
      <c r="C55" s="527" t="s">
        <v>383</v>
      </c>
      <c r="D55" s="527" t="s">
        <v>172</v>
      </c>
      <c r="E55" s="267" t="s">
        <v>173</v>
      </c>
      <c r="F55" s="447">
        <f>16000+30000</f>
        <v>46000</v>
      </c>
      <c r="G55" s="448" t="s">
        <v>169</v>
      </c>
      <c r="H55" s="448">
        <f>10*6</f>
        <v>60</v>
      </c>
      <c r="I55" s="448" t="s">
        <v>169</v>
      </c>
      <c r="J55" s="449">
        <v>1</v>
      </c>
      <c r="K55" s="450">
        <f t="shared" si="35"/>
        <v>2760000</v>
      </c>
      <c r="L55" s="541"/>
      <c r="M55" s="279"/>
      <c r="N55" s="279"/>
      <c r="O55" s="279"/>
      <c r="P55" s="279"/>
      <c r="Q55" s="279"/>
      <c r="R55" s="533">
        <f>+K55*S55</f>
        <v>2760000</v>
      </c>
      <c r="S55" s="279">
        <v>1</v>
      </c>
      <c r="T55" s="279"/>
      <c r="U55" s="279"/>
      <c r="V55" s="260">
        <f t="shared" si="36"/>
        <v>2760000</v>
      </c>
      <c r="W55" s="464">
        <v>1</v>
      </c>
      <c r="X55" s="262"/>
      <c r="Y55" s="265"/>
      <c r="Z55" s="264"/>
      <c r="AA55" s="265"/>
      <c r="AB55" s="264"/>
      <c r="AC55" s="265"/>
      <c r="AE55" s="718">
        <f t="shared" si="32"/>
        <v>660.32341492474461</v>
      </c>
    </row>
    <row r="56" spans="1:32" x14ac:dyDescent="0.4">
      <c r="A56" s="527" t="s">
        <v>419</v>
      </c>
      <c r="B56" s="527" t="s">
        <v>409</v>
      </c>
      <c r="C56" s="527" t="s">
        <v>383</v>
      </c>
      <c r="D56" s="527" t="s">
        <v>174</v>
      </c>
      <c r="E56" s="267" t="s">
        <v>175</v>
      </c>
      <c r="F56" s="447">
        <f>16000+25000</f>
        <v>41000</v>
      </c>
      <c r="G56" s="448" t="s">
        <v>169</v>
      </c>
      <c r="H56" s="448">
        <f>(12*6)</f>
        <v>72</v>
      </c>
      <c r="I56" s="448" t="s">
        <v>169</v>
      </c>
      <c r="J56" s="449">
        <v>1</v>
      </c>
      <c r="K56" s="450">
        <f t="shared" si="35"/>
        <v>2952000</v>
      </c>
      <c r="L56" s="541"/>
      <c r="M56" s="279"/>
      <c r="N56" s="279"/>
      <c r="O56" s="279"/>
      <c r="P56" s="279"/>
      <c r="Q56" s="279"/>
      <c r="R56" s="533">
        <f>+K56*S56</f>
        <v>2952000</v>
      </c>
      <c r="S56" s="279">
        <v>1</v>
      </c>
      <c r="T56" s="279"/>
      <c r="U56" s="279"/>
      <c r="V56" s="260">
        <f t="shared" si="36"/>
        <v>2952000</v>
      </c>
      <c r="W56" s="464">
        <v>1</v>
      </c>
      <c r="X56" s="262"/>
      <c r="Y56" s="265"/>
      <c r="Z56" s="264"/>
      <c r="AA56" s="265"/>
      <c r="AB56" s="264"/>
      <c r="AC56" s="265"/>
      <c r="AE56" s="718">
        <f t="shared" si="32"/>
        <v>706.25895683255294</v>
      </c>
    </row>
    <row r="57" spans="1:32" x14ac:dyDescent="0.4">
      <c r="A57" s="527" t="s">
        <v>419</v>
      </c>
      <c r="B57" s="527" t="s">
        <v>409</v>
      </c>
      <c r="C57" s="527" t="s">
        <v>383</v>
      </c>
      <c r="D57" s="527" t="s">
        <v>176</v>
      </c>
      <c r="E57" s="267" t="s">
        <v>177</v>
      </c>
      <c r="F57" s="447">
        <f>16000+25000+30000</f>
        <v>71000</v>
      </c>
      <c r="G57" s="448" t="s">
        <v>169</v>
      </c>
      <c r="H57" s="448">
        <v>30</v>
      </c>
      <c r="I57" s="448" t="s">
        <v>169</v>
      </c>
      <c r="J57" s="449">
        <v>1</v>
      </c>
      <c r="K57" s="450">
        <f t="shared" si="35"/>
        <v>2130000</v>
      </c>
      <c r="L57" s="541"/>
      <c r="M57" s="279"/>
      <c r="N57" s="279"/>
      <c r="O57" s="279"/>
      <c r="P57" s="279"/>
      <c r="Q57" s="279"/>
      <c r="R57" s="533">
        <f>+K57*S57</f>
        <v>2130000</v>
      </c>
      <c r="S57" s="279">
        <v>1</v>
      </c>
      <c r="T57" s="279"/>
      <c r="U57" s="279"/>
      <c r="V57" s="260">
        <f t="shared" si="36"/>
        <v>2130000</v>
      </c>
      <c r="W57" s="464">
        <v>1</v>
      </c>
      <c r="X57" s="262"/>
      <c r="Y57" s="265"/>
      <c r="Z57" s="264"/>
      <c r="AA57" s="265"/>
      <c r="AB57" s="264"/>
      <c r="AC57" s="265"/>
      <c r="AE57" s="718">
        <f t="shared" si="32"/>
        <v>509.59741803974856</v>
      </c>
    </row>
    <row r="58" spans="1:32" x14ac:dyDescent="0.4">
      <c r="A58" s="527" t="s">
        <v>421</v>
      </c>
      <c r="B58" s="527" t="s">
        <v>416</v>
      </c>
      <c r="C58" s="527" t="s">
        <v>383</v>
      </c>
      <c r="D58" s="527" t="s">
        <v>178</v>
      </c>
      <c r="E58" s="267" t="s">
        <v>179</v>
      </c>
      <c r="F58" s="447">
        <v>80000</v>
      </c>
      <c r="G58" s="448" t="s">
        <v>180</v>
      </c>
      <c r="H58" s="448">
        <v>9</v>
      </c>
      <c r="I58" s="448" t="s">
        <v>181</v>
      </c>
      <c r="J58" s="449">
        <v>1</v>
      </c>
      <c r="K58" s="450">
        <f t="shared" si="35"/>
        <v>720000</v>
      </c>
      <c r="L58" s="541"/>
      <c r="M58" s="279"/>
      <c r="N58" s="457">
        <f>+K58*O58</f>
        <v>720000</v>
      </c>
      <c r="O58" s="279">
        <v>1</v>
      </c>
      <c r="P58" s="279"/>
      <c r="Q58" s="279"/>
      <c r="R58" s="279"/>
      <c r="S58" s="279"/>
      <c r="T58" s="279"/>
      <c r="U58" s="279"/>
      <c r="V58" s="260">
        <f t="shared" si="36"/>
        <v>720000</v>
      </c>
      <c r="W58" s="464">
        <v>1</v>
      </c>
      <c r="X58" s="262"/>
      <c r="Y58" s="265"/>
      <c r="Z58" s="264"/>
      <c r="AA58" s="265"/>
      <c r="AB58" s="264"/>
      <c r="AC58" s="265"/>
      <c r="AE58" s="718">
        <f t="shared" si="32"/>
        <v>172.2582821542812</v>
      </c>
    </row>
    <row r="59" spans="1:32" x14ac:dyDescent="0.4">
      <c r="A59" s="527" t="s">
        <v>422</v>
      </c>
      <c r="B59" s="527" t="s">
        <v>416</v>
      </c>
      <c r="C59" s="527" t="s">
        <v>383</v>
      </c>
      <c r="D59" s="527" t="s">
        <v>182</v>
      </c>
      <c r="E59" s="267" t="s">
        <v>183</v>
      </c>
      <c r="F59" s="447">
        <v>200000</v>
      </c>
      <c r="G59" s="448" t="s">
        <v>169</v>
      </c>
      <c r="H59" s="448">
        <v>25</v>
      </c>
      <c r="I59" s="448" t="s">
        <v>181</v>
      </c>
      <c r="J59" s="449">
        <v>1</v>
      </c>
      <c r="K59" s="450">
        <f t="shared" si="35"/>
        <v>5000000</v>
      </c>
      <c r="L59" s="541"/>
      <c r="M59" s="279"/>
      <c r="N59" s="457">
        <f>+K59*O59</f>
        <v>5000000</v>
      </c>
      <c r="O59" s="279">
        <v>1</v>
      </c>
      <c r="P59" s="279"/>
      <c r="Q59" s="279"/>
      <c r="R59" s="279"/>
      <c r="S59" s="279"/>
      <c r="T59" s="279"/>
      <c r="U59" s="279"/>
      <c r="V59" s="260">
        <f t="shared" si="36"/>
        <v>5000000</v>
      </c>
      <c r="W59" s="464">
        <v>1</v>
      </c>
      <c r="X59" s="262"/>
      <c r="Y59" s="265"/>
      <c r="Z59" s="264"/>
      <c r="AA59" s="265"/>
      <c r="AB59" s="264"/>
      <c r="AC59" s="265"/>
      <c r="AE59" s="718">
        <f t="shared" si="32"/>
        <v>1196.2380705158416</v>
      </c>
    </row>
    <row r="60" spans="1:32" ht="12.6" thickBot="1" x14ac:dyDescent="0.45">
      <c r="A60" s="528" t="s">
        <v>415</v>
      </c>
      <c r="B60" s="528" t="s">
        <v>391</v>
      </c>
      <c r="C60" s="528" t="s">
        <v>383</v>
      </c>
      <c r="D60" s="528">
        <v>3</v>
      </c>
      <c r="E60" s="282" t="s">
        <v>184</v>
      </c>
      <c r="F60" s="283"/>
      <c r="G60" s="284"/>
      <c r="H60" s="284"/>
      <c r="I60" s="284"/>
      <c r="J60" s="285"/>
      <c r="K60" s="543">
        <f>((V40+V15)*7%)</f>
        <v>25448193.8123</v>
      </c>
      <c r="L60" s="535">
        <f>+K60</f>
        <v>25448193.8123</v>
      </c>
      <c r="M60" s="288"/>
      <c r="N60" s="288"/>
      <c r="O60" s="288"/>
      <c r="P60" s="288"/>
      <c r="Q60" s="288"/>
      <c r="R60" s="288"/>
      <c r="S60" s="288"/>
      <c r="T60" s="458"/>
      <c r="U60" s="458"/>
      <c r="V60" s="514">
        <f>K60</f>
        <v>25448193.8123</v>
      </c>
      <c r="W60" s="289"/>
      <c r="X60" s="290"/>
      <c r="Y60" s="289"/>
      <c r="Z60" s="291"/>
      <c r="AA60" s="289"/>
      <c r="AB60" s="291"/>
      <c r="AC60" s="289"/>
      <c r="AE60" s="720">
        <f>V60/$AG$12</f>
        <v>6088.4196528277862</v>
      </c>
    </row>
    <row r="61" spans="1:32" ht="12.9" thickTop="1" thickBot="1" x14ac:dyDescent="0.45">
      <c r="A61" s="528"/>
      <c r="B61" s="528"/>
      <c r="C61" s="528"/>
      <c r="D61" s="528"/>
      <c r="E61" s="282" t="s">
        <v>185</v>
      </c>
      <c r="F61" s="283"/>
      <c r="G61" s="284"/>
      <c r="H61" s="284"/>
      <c r="I61" s="284"/>
      <c r="J61" s="285"/>
      <c r="K61" s="543">
        <f>K15+K40</f>
        <v>467666646.61000001</v>
      </c>
      <c r="L61" s="458"/>
      <c r="M61" s="288"/>
      <c r="N61" s="467">
        <f>N15+N40</f>
        <v>88043307.472000003</v>
      </c>
      <c r="O61" s="288"/>
      <c r="P61" s="467">
        <f>P15+P40</f>
        <v>91678671.472000003</v>
      </c>
      <c r="Q61" s="288"/>
      <c r="R61" s="467">
        <f>R15+R40</f>
        <v>153947667.03299999</v>
      </c>
      <c r="S61" s="288"/>
      <c r="T61" s="467">
        <f>T15+T40</f>
        <v>133997000.633</v>
      </c>
      <c r="U61" s="458"/>
      <c r="V61" s="467">
        <f>V15+V40</f>
        <v>363545625.88999999</v>
      </c>
      <c r="W61" s="289"/>
      <c r="X61" s="467">
        <f>X15+X40</f>
        <v>104121020.72000001</v>
      </c>
      <c r="Y61" s="289"/>
      <c r="Z61" s="291"/>
      <c r="AA61" s="289"/>
      <c r="AB61" s="291"/>
      <c r="AC61" s="289"/>
      <c r="AE61" s="721">
        <f>AE15+AE40</f>
        <v>86977.423611825507</v>
      </c>
    </row>
    <row r="62" spans="1:32" ht="12.6" thickTop="1" x14ac:dyDescent="0.4">
      <c r="A62" s="529"/>
      <c r="B62" s="529"/>
      <c r="C62" s="529"/>
      <c r="D62" s="529"/>
      <c r="E62" s="293" t="s">
        <v>13</v>
      </c>
      <c r="F62" s="294"/>
      <c r="G62" s="295"/>
      <c r="H62" s="295"/>
      <c r="I62" s="295"/>
      <c r="J62" s="293"/>
      <c r="K62" s="296">
        <f>+K60+K40+K15</f>
        <v>493114840.42229998</v>
      </c>
      <c r="L62" s="542">
        <f>+L60+L40+L15</f>
        <v>25448193.8123</v>
      </c>
      <c r="M62" s="298"/>
      <c r="N62" s="454">
        <f>+N60+N40+N15</f>
        <v>88043307.472000003</v>
      </c>
      <c r="O62" s="299"/>
      <c r="P62" s="454">
        <f>+P60+P40+P15</f>
        <v>91678671.472000003</v>
      </c>
      <c r="Q62" s="299"/>
      <c r="R62" s="454">
        <f>+R60+R40+R15</f>
        <v>153947667.03299999</v>
      </c>
      <c r="S62" s="299"/>
      <c r="T62" s="454">
        <f>+T60+T40+T15</f>
        <v>133997000.633</v>
      </c>
      <c r="U62" s="459"/>
      <c r="V62" s="454">
        <f>+V40+V15+Q60+V60</f>
        <v>388993819.70230001</v>
      </c>
      <c r="W62" s="516">
        <f>V62/K62</f>
        <v>0.78885036063641589</v>
      </c>
      <c r="X62" s="454">
        <f>+X40+X15+S60</f>
        <v>104121020.72000001</v>
      </c>
      <c r="Y62" s="516">
        <f>+X62/K62</f>
        <v>0.21114963936358419</v>
      </c>
      <c r="Z62" s="294"/>
      <c r="AA62" s="301"/>
      <c r="AB62" s="294"/>
      <c r="AC62" s="301"/>
      <c r="AE62" s="722">
        <f>+AE40+AE15+Z60+AE60</f>
        <v>93065.843264653289</v>
      </c>
    </row>
    <row r="63" spans="1:32" ht="12.6" thickBot="1" x14ac:dyDescent="0.45">
      <c r="A63" s="305"/>
      <c r="B63" s="305"/>
      <c r="C63" s="305"/>
      <c r="D63" s="305"/>
      <c r="E63" s="307" t="s">
        <v>186</v>
      </c>
      <c r="F63" s="305"/>
      <c r="G63" s="306"/>
      <c r="H63" s="306"/>
      <c r="I63" s="306"/>
      <c r="J63" s="307"/>
      <c r="K63" s="308">
        <f>+K62/$K$62</f>
        <v>1</v>
      </c>
      <c r="L63" s="460"/>
      <c r="M63" s="310"/>
      <c r="N63" s="310">
        <f>+N62/$K$62</f>
        <v>0.17854523988083659</v>
      </c>
      <c r="O63" s="310"/>
      <c r="P63" s="310">
        <f>+P62/$K$62</f>
        <v>0.18591748606366634</v>
      </c>
      <c r="Q63" s="310"/>
      <c r="R63" s="310">
        <f>+R62/$K$62</f>
        <v>0.31219434990267242</v>
      </c>
      <c r="S63" s="310"/>
      <c r="T63" s="310">
        <f>+T62/$K$62</f>
        <v>0.27173589121399377</v>
      </c>
      <c r="U63" s="460"/>
      <c r="V63" s="310">
        <f>+V62/$K$62</f>
        <v>0.78885036063641589</v>
      </c>
      <c r="W63" s="311"/>
      <c r="X63" s="310">
        <f>+X62/$K$62</f>
        <v>0.21114963936358419</v>
      </c>
      <c r="Y63" s="311"/>
      <c r="Z63" s="305"/>
      <c r="AA63" s="311"/>
      <c r="AB63" s="305"/>
      <c r="AC63" s="311"/>
      <c r="AE63" s="723">
        <f>+AE62/$K$62</f>
        <v>1.8873056666668636E-4</v>
      </c>
    </row>
    <row r="64" spans="1:32" ht="12.6" thickBot="1" x14ac:dyDescent="0.45">
      <c r="D64" s="313"/>
      <c r="E64" s="313"/>
      <c r="F64" s="314"/>
      <c r="G64" s="314"/>
      <c r="H64" s="314"/>
      <c r="I64" s="314"/>
      <c r="J64" s="314"/>
      <c r="K64" s="452"/>
      <c r="L64" s="452"/>
      <c r="M64" s="452"/>
      <c r="N64" s="452"/>
      <c r="O64" s="452"/>
      <c r="P64" s="452"/>
      <c r="Q64" s="452"/>
      <c r="R64" s="452"/>
      <c r="S64" s="452"/>
      <c r="T64" s="452"/>
      <c r="U64" s="315"/>
      <c r="V64" s="315"/>
      <c r="W64" s="452"/>
      <c r="X64" s="452"/>
      <c r="Y64" s="452"/>
      <c r="Z64" s="452"/>
      <c r="AA64" s="314"/>
      <c r="AB64" s="314"/>
      <c r="AC64" s="314"/>
      <c r="AD64" s="314"/>
      <c r="AE64" s="724"/>
      <c r="AF64" s="469"/>
    </row>
    <row r="65" spans="4:31" x14ac:dyDescent="0.4">
      <c r="D65" s="313"/>
      <c r="E65" s="313"/>
      <c r="F65" s="314"/>
      <c r="G65" s="314"/>
      <c r="H65" s="314"/>
      <c r="I65" s="314"/>
      <c r="J65" s="314"/>
      <c r="K65" s="452"/>
      <c r="L65" s="596" t="s">
        <v>187</v>
      </c>
      <c r="M65" s="597"/>
      <c r="N65" s="597"/>
      <c r="O65" s="597"/>
      <c r="P65" s="597"/>
      <c r="Q65" s="597"/>
      <c r="R65" s="597"/>
      <c r="S65" s="597"/>
      <c r="T65" s="598"/>
      <c r="U65" s="462"/>
      <c r="V65" s="315"/>
      <c r="W65" s="452"/>
      <c r="X65" s="452"/>
      <c r="Y65" s="452"/>
      <c r="Z65" s="314"/>
      <c r="AA65" s="314"/>
      <c r="AB65" s="314"/>
      <c r="AC65" s="314"/>
      <c r="AD65" s="314"/>
      <c r="AE65" s="724"/>
    </row>
    <row r="66" spans="4:31" x14ac:dyDescent="0.4">
      <c r="D66" s="316"/>
      <c r="E66" s="317"/>
      <c r="F66" s="318"/>
      <c r="G66" s="595"/>
      <c r="H66" s="595"/>
      <c r="I66" s="595"/>
      <c r="J66" s="433"/>
      <c r="K66" s="453"/>
      <c r="L66" s="512"/>
      <c r="M66" s="553"/>
      <c r="N66" s="320" t="s">
        <v>69</v>
      </c>
      <c r="O66" s="554"/>
      <c r="P66" s="320" t="s">
        <v>71</v>
      </c>
      <c r="Q66" s="554"/>
      <c r="R66" s="320" t="s">
        <v>73</v>
      </c>
      <c r="S66" s="554"/>
      <c r="T66" s="321" t="s">
        <v>75</v>
      </c>
      <c r="U66" s="452"/>
      <c r="V66" s="452"/>
      <c r="W66" s="471"/>
      <c r="X66" s="471"/>
      <c r="Y66" s="324"/>
      <c r="Z66" s="324"/>
      <c r="AA66" s="324"/>
      <c r="AB66" s="324"/>
      <c r="AE66" s="725"/>
    </row>
    <row r="67" spans="4:31" x14ac:dyDescent="0.4">
      <c r="D67" s="316"/>
      <c r="E67" s="317"/>
      <c r="F67" s="318"/>
      <c r="G67" s="325"/>
      <c r="H67" s="325"/>
      <c r="I67" s="325"/>
      <c r="J67" s="325"/>
      <c r="K67" s="325"/>
      <c r="L67" s="556" t="s">
        <v>188</v>
      </c>
      <c r="M67" s="553"/>
      <c r="N67" s="327">
        <v>0.25</v>
      </c>
      <c r="O67" s="554"/>
      <c r="P67" s="327">
        <v>0.25</v>
      </c>
      <c r="Q67" s="554"/>
      <c r="R67" s="327">
        <v>0.25</v>
      </c>
      <c r="S67" s="554"/>
      <c r="T67" s="328">
        <v>0.25</v>
      </c>
      <c r="U67" s="330"/>
      <c r="V67" s="324"/>
      <c r="W67" s="324"/>
      <c r="X67" s="324"/>
      <c r="Y67" s="324"/>
      <c r="Z67" s="324"/>
      <c r="AA67" s="324"/>
      <c r="AB67" s="324"/>
      <c r="AE67" s="726"/>
    </row>
    <row r="68" spans="4:31" x14ac:dyDescent="0.4">
      <c r="D68" s="316"/>
      <c r="E68" s="318"/>
      <c r="F68" s="318"/>
      <c r="G68" s="325"/>
      <c r="H68" s="325"/>
      <c r="I68" s="325"/>
      <c r="J68" s="325"/>
      <c r="K68" s="325"/>
      <c r="L68" s="556" t="s">
        <v>189</v>
      </c>
      <c r="M68" s="553"/>
      <c r="N68" s="555">
        <f>+N24+N25+N26+N36+N37</f>
        <v>8214285.4730000002</v>
      </c>
      <c r="O68" s="554"/>
      <c r="P68" s="555">
        <f>+P24+P25+P26+P36+P37</f>
        <v>8214285.4730000002</v>
      </c>
      <c r="Q68" s="554"/>
      <c r="R68" s="555">
        <f>+R24+R25+R26+R36+R37</f>
        <v>8214285.4730000002</v>
      </c>
      <c r="S68" s="554"/>
      <c r="T68" s="551">
        <f>+T24+T25+T26+T36+T37</f>
        <v>8214285.4730000002</v>
      </c>
      <c r="U68" s="324"/>
      <c r="V68" s="324"/>
      <c r="W68" s="324"/>
      <c r="X68" s="324"/>
      <c r="Y68" s="324"/>
      <c r="Z68" s="324"/>
      <c r="AA68" s="324"/>
      <c r="AB68" s="324"/>
      <c r="AE68" s="726"/>
    </row>
    <row r="69" spans="4:31" x14ac:dyDescent="0.4">
      <c r="D69" s="316"/>
      <c r="E69" s="318"/>
      <c r="F69" s="318"/>
      <c r="G69" s="325"/>
      <c r="H69" s="325"/>
      <c r="I69" s="325"/>
      <c r="J69" s="325"/>
      <c r="K69" s="325"/>
      <c r="L69" s="556" t="s">
        <v>190</v>
      </c>
      <c r="M69" s="553"/>
      <c r="N69" s="333">
        <f>+N62-N68</f>
        <v>79829021.998999998</v>
      </c>
      <c r="O69" s="554"/>
      <c r="P69" s="333">
        <f>+P62-P68</f>
        <v>83464385.998999998</v>
      </c>
      <c r="Q69" s="554"/>
      <c r="R69" s="333">
        <f>+R62-R68</f>
        <v>145733381.56</v>
      </c>
      <c r="S69" s="554"/>
      <c r="T69" s="552">
        <f>+T62-T68</f>
        <v>125782715.16</v>
      </c>
      <c r="U69" s="324"/>
      <c r="V69" s="324"/>
      <c r="W69" s="324"/>
      <c r="X69" s="433"/>
      <c r="Y69" s="324"/>
      <c r="Z69" s="324"/>
      <c r="AA69" s="324"/>
      <c r="AB69" s="324"/>
      <c r="AE69" s="726"/>
    </row>
    <row r="70" spans="4:31" ht="12.6" thickBot="1" x14ac:dyDescent="0.45">
      <c r="D70" s="316"/>
      <c r="E70" s="474"/>
      <c r="F70" s="318"/>
      <c r="G70" s="589"/>
      <c r="H70" s="589"/>
      <c r="I70" s="589"/>
      <c r="J70" s="434"/>
      <c r="K70" s="434"/>
      <c r="L70" s="511" t="s">
        <v>191</v>
      </c>
      <c r="M70" s="559"/>
      <c r="N70" s="335">
        <f>+N69+N68</f>
        <v>88043307.472000003</v>
      </c>
      <c r="O70" s="557"/>
      <c r="P70" s="558">
        <f>+P69+P68</f>
        <v>91678671.472000003</v>
      </c>
      <c r="Q70" s="557"/>
      <c r="R70" s="558">
        <f>+R69+R68</f>
        <v>153947667.03299999</v>
      </c>
      <c r="S70" s="557"/>
      <c r="T70" s="336">
        <f>+T68+T69</f>
        <v>133997000.633</v>
      </c>
      <c r="U70" s="324"/>
      <c r="V70" s="324"/>
      <c r="W70" s="324"/>
      <c r="X70" s="324"/>
      <c r="Y70" s="324"/>
      <c r="Z70" s="324"/>
      <c r="AA70" s="324"/>
      <c r="AB70" s="324"/>
      <c r="AE70" s="726"/>
    </row>
    <row r="71" spans="4:31" x14ac:dyDescent="0.4">
      <c r="D71" s="324"/>
      <c r="E71" s="324"/>
      <c r="F71" s="324"/>
      <c r="G71" s="324"/>
      <c r="H71" s="324"/>
      <c r="I71" s="324"/>
      <c r="J71" s="324"/>
      <c r="K71" s="324"/>
      <c r="M71" s="338" t="s">
        <v>192</v>
      </c>
      <c r="N71" s="338"/>
      <c r="O71" s="338"/>
      <c r="P71" s="338"/>
      <c r="Q71" s="338"/>
      <c r="R71" s="338"/>
      <c r="S71" s="338"/>
      <c r="T71" s="338"/>
      <c r="U71" s="338"/>
      <c r="V71" s="338"/>
      <c r="W71" s="324"/>
      <c r="X71" s="324"/>
      <c r="Y71" s="324"/>
      <c r="Z71" s="324"/>
      <c r="AA71" s="324"/>
      <c r="AB71" s="324"/>
      <c r="AC71" s="324"/>
      <c r="AD71" s="324"/>
      <c r="AE71" s="726"/>
    </row>
    <row r="74" spans="4:31" x14ac:dyDescent="0.4">
      <c r="K74" s="473"/>
      <c r="L74" s="473"/>
      <c r="M74" s="473"/>
      <c r="N74" s="473"/>
      <c r="O74" s="473"/>
      <c r="P74" s="473"/>
      <c r="Q74" s="473"/>
      <c r="R74" s="473"/>
      <c r="S74" s="473"/>
      <c r="T74" s="473"/>
      <c r="U74" s="473"/>
      <c r="V74" s="473"/>
      <c r="W74" s="473"/>
      <c r="X74" s="473"/>
      <c r="Y74" s="473"/>
    </row>
    <row r="75" spans="4:31" x14ac:dyDescent="0.4">
      <c r="L75" s="470"/>
      <c r="S75" s="473"/>
    </row>
  </sheetData>
  <mergeCells count="38">
    <mergeCell ref="C13:C14"/>
    <mergeCell ref="B13:B14"/>
    <mergeCell ref="A13:A14"/>
    <mergeCell ref="AE13:AE14"/>
    <mergeCell ref="G70:I70"/>
    <mergeCell ref="M13:M14"/>
    <mergeCell ref="N13:N14"/>
    <mergeCell ref="O13:O14"/>
    <mergeCell ref="I13:J13"/>
    <mergeCell ref="L13:L14"/>
    <mergeCell ref="K13:K14"/>
    <mergeCell ref="G66:I66"/>
    <mergeCell ref="L65:T65"/>
    <mergeCell ref="Q13:Q14"/>
    <mergeCell ref="R13:R14"/>
    <mergeCell ref="S13:S14"/>
    <mergeCell ref="T13:T14"/>
    <mergeCell ref="P13:P14"/>
    <mergeCell ref="L12:U12"/>
    <mergeCell ref="F12:K12"/>
    <mergeCell ref="D13:D14"/>
    <mergeCell ref="E13:E14"/>
    <mergeCell ref="F13:F14"/>
    <mergeCell ref="G13:G14"/>
    <mergeCell ref="H13:H14"/>
    <mergeCell ref="U13:U14"/>
    <mergeCell ref="AB13:AB14"/>
    <mergeCell ref="AC13:AC14"/>
    <mergeCell ref="X13:X14"/>
    <mergeCell ref="V12:W12"/>
    <mergeCell ref="X12:Y12"/>
    <mergeCell ref="Z12:AA12"/>
    <mergeCell ref="AB12:AC12"/>
    <mergeCell ref="AA13:AA14"/>
    <mergeCell ref="Z13:Z14"/>
    <mergeCell ref="Y13:Y14"/>
    <mergeCell ref="V13:V14"/>
    <mergeCell ref="W13:W14"/>
  </mergeCells>
  <phoneticPr fontId="3" type="noConversion"/>
  <dataValidations count="1">
    <dataValidation type="list" allowBlank="1" showInputMessage="1" showErrorMessage="1" sqref="G17:H17" xr:uid="{00000000-0002-0000-0100-000000000000}">
      <formula1>$AF$35:$AF$38</formula1>
    </dataValidation>
  </dataValidations>
  <pageMargins left="0.25" right="0.25" top="0.75" bottom="0.75" header="0.3" footer="0.3"/>
  <pageSetup paperSize="5" scale="6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8F6D-CD84-404A-8ABF-746ED2A5D19E}">
  <dimension ref="A1:G11"/>
  <sheetViews>
    <sheetView workbookViewId="0">
      <selection activeCell="B4" sqref="B4"/>
    </sheetView>
  </sheetViews>
  <sheetFormatPr defaultColWidth="8.5" defaultRowHeight="12.3" x14ac:dyDescent="0.4"/>
  <cols>
    <col min="1" max="1" width="37" customWidth="1"/>
    <col min="2" max="2" width="20.1640625" customWidth="1"/>
    <col min="3" max="3" width="15.5" customWidth="1"/>
    <col min="4" max="4" width="16.5" customWidth="1"/>
    <col min="5" max="5" width="23.5" customWidth="1"/>
    <col min="6" max="6" width="25.5" customWidth="1"/>
    <col min="7" max="7" width="26.83203125" customWidth="1"/>
  </cols>
  <sheetData>
    <row r="1" spans="1:7" ht="12.6" thickBot="1" x14ac:dyDescent="0.45"/>
    <row r="2" spans="1:7" ht="29.1" thickBot="1" x14ac:dyDescent="0.45">
      <c r="A2" s="475" t="s">
        <v>193</v>
      </c>
      <c r="B2" s="476" t="s">
        <v>194</v>
      </c>
      <c r="C2" s="476" t="s">
        <v>195</v>
      </c>
      <c r="D2" s="477" t="s">
        <v>196</v>
      </c>
      <c r="E2" s="478" t="s">
        <v>197</v>
      </c>
      <c r="F2" s="479" t="s">
        <v>198</v>
      </c>
      <c r="G2" s="480" t="s">
        <v>199</v>
      </c>
    </row>
    <row r="3" spans="1:7" ht="25.8" x14ac:dyDescent="0.4">
      <c r="A3" s="481" t="s">
        <v>200</v>
      </c>
      <c r="B3" s="482" t="s">
        <v>201</v>
      </c>
      <c r="C3" s="510">
        <v>45582</v>
      </c>
      <c r="D3" s="483">
        <f>'Presupuesto original'!V62*0.8</f>
        <v>311195055.76184005</v>
      </c>
      <c r="E3" s="484" t="s">
        <v>202</v>
      </c>
      <c r="F3" s="485" t="s">
        <v>203</v>
      </c>
      <c r="G3" s="486">
        <v>0.8</v>
      </c>
    </row>
    <row r="4" spans="1:7" ht="77.400000000000006" x14ac:dyDescent="0.4">
      <c r="A4" s="481" t="s">
        <v>367</v>
      </c>
      <c r="B4" s="482">
        <v>45811</v>
      </c>
      <c r="C4" s="510" t="s">
        <v>368</v>
      </c>
      <c r="D4" s="483" t="s">
        <v>368</v>
      </c>
      <c r="E4" s="484" t="s">
        <v>369</v>
      </c>
      <c r="F4" s="485" t="s">
        <v>373</v>
      </c>
      <c r="G4" s="486" t="s">
        <v>370</v>
      </c>
    </row>
    <row r="5" spans="1:7" ht="64.5" x14ac:dyDescent="0.4">
      <c r="A5" s="487" t="s">
        <v>204</v>
      </c>
      <c r="B5" s="509">
        <v>45993</v>
      </c>
      <c r="C5" s="509">
        <v>46337</v>
      </c>
      <c r="D5" s="488">
        <f>'Presupuesto original'!V62*0.2</f>
        <v>77798763.940460011</v>
      </c>
      <c r="E5" s="489" t="s">
        <v>205</v>
      </c>
      <c r="F5" s="489" t="s">
        <v>374</v>
      </c>
      <c r="G5" s="490">
        <v>0.2</v>
      </c>
    </row>
    <row r="6" spans="1:7" ht="13.2" thickBot="1" x14ac:dyDescent="0.55000000000000004">
      <c r="A6" s="491"/>
      <c r="B6" s="492" t="s">
        <v>206</v>
      </c>
      <c r="C6" s="493"/>
      <c r="D6" s="494">
        <f>+D5+D3</f>
        <v>388993819.70230007</v>
      </c>
      <c r="E6" s="495"/>
      <c r="F6" s="496"/>
      <c r="G6" s="497" t="s">
        <v>207</v>
      </c>
    </row>
    <row r="7" spans="1:7" ht="12.9" x14ac:dyDescent="0.5">
      <c r="A7" s="498"/>
      <c r="B7" s="498"/>
      <c r="C7" s="499"/>
      <c r="D7" s="500"/>
      <c r="E7" s="501"/>
      <c r="F7" s="502"/>
      <c r="G7" s="503"/>
    </row>
    <row r="8" spans="1:7" ht="12.9" x14ac:dyDescent="0.5">
      <c r="A8" s="499"/>
      <c r="B8" s="499"/>
      <c r="C8" s="499"/>
      <c r="D8" s="504">
        <v>0</v>
      </c>
      <c r="E8" s="505" t="s">
        <v>207</v>
      </c>
      <c r="F8" s="506"/>
      <c r="G8" s="506"/>
    </row>
    <row r="9" spans="1:7" ht="15.6" x14ac:dyDescent="0.6">
      <c r="A9" s="507" t="s">
        <v>208</v>
      </c>
      <c r="B9" s="499"/>
      <c r="C9" s="499"/>
      <c r="D9" s="508"/>
      <c r="E9" s="506"/>
      <c r="F9" s="506"/>
      <c r="G9" s="506"/>
    </row>
    <row r="10" spans="1:7" ht="15.6" x14ac:dyDescent="0.6">
      <c r="A10" s="507" t="s">
        <v>209</v>
      </c>
    </row>
    <row r="11" spans="1:7" ht="15.6" x14ac:dyDescent="0.6">
      <c r="A11" s="507" t="s">
        <v>210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4"/>
  <sheetViews>
    <sheetView topLeftCell="A16" zoomScale="150" zoomScaleNormal="150" workbookViewId="0">
      <selection activeCell="C32" sqref="C32:AA32"/>
    </sheetView>
  </sheetViews>
  <sheetFormatPr defaultColWidth="8.5" defaultRowHeight="12.3" x14ac:dyDescent="0.4"/>
  <cols>
    <col min="1" max="1" width="4.5" style="229" customWidth="1"/>
    <col min="2" max="2" width="35" style="229" bestFit="1" customWidth="1"/>
    <col min="3" max="3" width="10.83203125" style="229" bestFit="1" customWidth="1"/>
    <col min="4" max="4" width="6.5" style="229" bestFit="1" customWidth="1"/>
    <col min="5" max="5" width="7.83203125" style="229" bestFit="1" customWidth="1"/>
    <col min="6" max="6" width="6.5" style="229" bestFit="1" customWidth="1"/>
    <col min="7" max="7" width="7.83203125" style="229" bestFit="1" customWidth="1"/>
    <col min="8" max="8" width="7.83203125" style="229" customWidth="1"/>
    <col min="9" max="9" width="10" style="229" bestFit="1" customWidth="1"/>
    <col min="10" max="10" width="9.1640625" style="229" customWidth="1"/>
    <col min="11" max="18" width="8.5" style="229"/>
    <col min="19" max="19" width="7.1640625" style="229" bestFit="1" customWidth="1"/>
    <col min="20" max="22" width="8.5" style="229"/>
    <col min="23" max="23" width="6.5" style="229" customWidth="1"/>
    <col min="24" max="24" width="8.5" style="229"/>
    <col min="25" max="25" width="5.5" style="229" bestFit="1" customWidth="1"/>
    <col min="26" max="26" width="10" style="229" bestFit="1" customWidth="1"/>
    <col min="27" max="27" width="7.1640625" style="229" bestFit="1" customWidth="1"/>
    <col min="28" max="16384" width="8.5" style="229"/>
  </cols>
  <sheetData>
    <row r="1" spans="1:27" x14ac:dyDescent="0.4">
      <c r="A1" s="602" t="s">
        <v>48</v>
      </c>
      <c r="B1" s="602"/>
      <c r="C1" s="602"/>
      <c r="D1" s="602"/>
      <c r="E1" s="602"/>
      <c r="F1" s="602"/>
      <c r="G1" s="602"/>
      <c r="H1" s="602"/>
      <c r="I1" s="602"/>
      <c r="J1" s="602"/>
      <c r="K1" s="602"/>
      <c r="L1" s="602"/>
      <c r="M1" s="602"/>
      <c r="N1" s="602"/>
      <c r="O1" s="602"/>
      <c r="P1" s="602"/>
      <c r="Q1" s="602"/>
      <c r="R1" s="602"/>
      <c r="S1" s="602"/>
      <c r="T1" s="602"/>
      <c r="U1" s="602"/>
      <c r="V1" s="602"/>
      <c r="W1" s="602"/>
      <c r="X1" s="602"/>
      <c r="Y1" s="602"/>
      <c r="Z1" s="602"/>
      <c r="AA1" s="602"/>
    </row>
    <row r="2" spans="1:27" x14ac:dyDescent="0.4">
      <c r="A2" s="230"/>
      <c r="B2" s="231"/>
      <c r="J2" s="232"/>
      <c r="K2" s="232"/>
      <c r="L2" s="232"/>
      <c r="M2" s="232"/>
      <c r="N2" s="232"/>
      <c r="O2" s="232"/>
      <c r="P2" s="232"/>
      <c r="Q2" s="232"/>
    </row>
    <row r="3" spans="1:27" x14ac:dyDescent="0.4">
      <c r="A3" s="601" t="s">
        <v>211</v>
      </c>
      <c r="B3" s="601"/>
      <c r="C3" s="601"/>
      <c r="D3" s="601"/>
      <c r="E3" s="601"/>
      <c r="F3" s="601"/>
      <c r="G3" s="601"/>
      <c r="H3" s="601"/>
      <c r="I3" s="601"/>
      <c r="J3" s="601"/>
      <c r="K3" s="601"/>
      <c r="L3" s="601"/>
      <c r="M3" s="601"/>
      <c r="N3" s="601"/>
      <c r="O3" s="601"/>
      <c r="P3" s="601"/>
      <c r="Q3" s="601"/>
      <c r="R3" s="601"/>
      <c r="S3" s="601"/>
      <c r="T3" s="601"/>
      <c r="U3" s="601"/>
      <c r="V3" s="601"/>
      <c r="W3" s="601"/>
      <c r="X3" s="601"/>
      <c r="Y3" s="601"/>
      <c r="Z3" s="601"/>
      <c r="AA3" s="601"/>
    </row>
    <row r="4" spans="1:27" x14ac:dyDescent="0.4">
      <c r="A4" s="601" t="s">
        <v>212</v>
      </c>
      <c r="B4" s="601"/>
      <c r="C4" s="601"/>
      <c r="D4" s="601"/>
      <c r="E4" s="601"/>
      <c r="F4" s="601"/>
      <c r="G4" s="601"/>
      <c r="H4" s="601"/>
      <c r="I4" s="601"/>
      <c r="J4" s="601"/>
      <c r="K4" s="601"/>
      <c r="L4" s="601"/>
      <c r="M4" s="601"/>
      <c r="N4" s="601"/>
      <c r="O4" s="601"/>
      <c r="P4" s="601"/>
      <c r="Q4" s="601"/>
      <c r="R4" s="601"/>
      <c r="S4" s="601"/>
      <c r="T4" s="601"/>
      <c r="U4" s="601"/>
      <c r="V4" s="601"/>
      <c r="W4" s="601"/>
      <c r="X4" s="601"/>
      <c r="Y4" s="601"/>
      <c r="Z4" s="601"/>
      <c r="AA4" s="601"/>
    </row>
    <row r="5" spans="1:27" x14ac:dyDescent="0.4">
      <c r="A5" s="601" t="s">
        <v>213</v>
      </c>
      <c r="B5" s="601"/>
      <c r="C5" s="601"/>
      <c r="D5" s="601"/>
      <c r="E5" s="601"/>
      <c r="F5" s="601"/>
      <c r="G5" s="601"/>
      <c r="H5" s="601"/>
      <c r="I5" s="601"/>
      <c r="J5" s="601"/>
      <c r="K5" s="601"/>
      <c r="L5" s="601"/>
      <c r="M5" s="601"/>
      <c r="N5" s="601"/>
      <c r="O5" s="601"/>
      <c r="P5" s="601"/>
      <c r="Q5" s="601"/>
      <c r="R5" s="601"/>
      <c r="S5" s="601"/>
      <c r="T5" s="601"/>
      <c r="U5" s="601"/>
      <c r="V5" s="601"/>
      <c r="W5" s="601"/>
      <c r="X5" s="601"/>
      <c r="Y5" s="601"/>
      <c r="Z5" s="601"/>
      <c r="AA5" s="601"/>
    </row>
    <row r="6" spans="1:27" x14ac:dyDescent="0.4">
      <c r="A6" s="601" t="s">
        <v>214</v>
      </c>
      <c r="B6" s="601"/>
      <c r="C6" s="601"/>
      <c r="D6" s="601"/>
      <c r="E6" s="601"/>
      <c r="F6" s="601"/>
      <c r="G6" s="601"/>
      <c r="H6" s="601"/>
      <c r="I6" s="601"/>
      <c r="J6" s="601"/>
      <c r="K6" s="601"/>
      <c r="L6" s="601"/>
      <c r="M6" s="601"/>
      <c r="N6" s="601"/>
      <c r="O6" s="601"/>
      <c r="P6" s="601"/>
      <c r="Q6" s="601"/>
      <c r="R6" s="601"/>
      <c r="S6" s="601"/>
      <c r="T6" s="601"/>
      <c r="U6" s="601"/>
      <c r="V6" s="601"/>
      <c r="W6" s="601"/>
      <c r="X6" s="601"/>
      <c r="Y6" s="601"/>
      <c r="Z6" s="601"/>
      <c r="AA6" s="601"/>
    </row>
    <row r="7" spans="1:27" x14ac:dyDescent="0.4">
      <c r="A7" s="601" t="s">
        <v>215</v>
      </c>
      <c r="B7" s="601"/>
      <c r="C7" s="601"/>
      <c r="D7" s="601"/>
      <c r="E7" s="601"/>
      <c r="F7" s="601"/>
      <c r="G7" s="601"/>
      <c r="H7" s="601"/>
      <c r="I7" s="601"/>
      <c r="J7" s="601"/>
      <c r="K7" s="601"/>
      <c r="L7" s="601"/>
      <c r="M7" s="601"/>
      <c r="N7" s="601"/>
      <c r="O7" s="601"/>
      <c r="P7" s="601"/>
      <c r="Q7" s="601"/>
      <c r="R7" s="601"/>
      <c r="S7" s="601"/>
      <c r="T7" s="601"/>
      <c r="U7" s="601"/>
      <c r="V7" s="601"/>
      <c r="W7" s="601"/>
      <c r="X7" s="601"/>
      <c r="Y7" s="601"/>
      <c r="Z7" s="601"/>
      <c r="AA7" s="601"/>
    </row>
    <row r="8" spans="1:27" x14ac:dyDescent="0.4">
      <c r="A8" s="601" t="s">
        <v>216</v>
      </c>
      <c r="B8" s="601"/>
      <c r="C8" s="601"/>
      <c r="D8" s="601"/>
      <c r="E8" s="601"/>
      <c r="F8" s="601"/>
      <c r="G8" s="601"/>
      <c r="H8" s="601"/>
      <c r="I8" s="601"/>
      <c r="J8" s="601"/>
      <c r="K8" s="601"/>
      <c r="L8" s="601"/>
      <c r="M8" s="601"/>
      <c r="N8" s="601"/>
      <c r="O8" s="601"/>
      <c r="P8" s="601"/>
      <c r="Q8" s="601"/>
      <c r="R8" s="601"/>
      <c r="S8" s="601"/>
      <c r="T8" s="601"/>
      <c r="U8" s="601"/>
      <c r="V8" s="601"/>
      <c r="W8" s="601"/>
      <c r="X8" s="601"/>
      <c r="Y8" s="601"/>
      <c r="Z8" s="601"/>
      <c r="AA8" s="601"/>
    </row>
    <row r="9" spans="1:27" x14ac:dyDescent="0.4">
      <c r="A9" s="601" t="s">
        <v>217</v>
      </c>
      <c r="B9" s="601"/>
      <c r="C9" s="601"/>
      <c r="D9" s="601"/>
      <c r="E9" s="601"/>
      <c r="F9" s="601"/>
      <c r="G9" s="601"/>
      <c r="H9" s="601"/>
      <c r="I9" s="601"/>
      <c r="J9" s="601"/>
      <c r="K9" s="601"/>
      <c r="L9" s="601"/>
      <c r="M9" s="601"/>
      <c r="N9" s="601"/>
      <c r="O9" s="601"/>
      <c r="P9" s="601"/>
      <c r="Q9" s="601"/>
      <c r="R9" s="601"/>
      <c r="S9" s="601"/>
      <c r="T9" s="601"/>
      <c r="U9" s="601"/>
      <c r="V9" s="601"/>
      <c r="W9" s="601"/>
      <c r="X9" s="601"/>
      <c r="Y9" s="601"/>
      <c r="Z9" s="601"/>
      <c r="AA9" s="601"/>
    </row>
    <row r="10" spans="1:27" x14ac:dyDescent="0.4">
      <c r="A10" s="233"/>
      <c r="B10" s="233"/>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row>
    <row r="11" spans="1:27" ht="12.6" thickBot="1" x14ac:dyDescent="0.45">
      <c r="A11" s="234" t="s">
        <v>53</v>
      </c>
      <c r="B11" s="235"/>
      <c r="C11" s="233"/>
      <c r="D11" s="233"/>
      <c r="E11" s="233"/>
      <c r="F11" s="233"/>
      <c r="G11" s="233"/>
      <c r="H11" s="233"/>
      <c r="I11" s="233"/>
      <c r="J11" s="236"/>
      <c r="K11" s="236"/>
      <c r="L11" s="236"/>
      <c r="M11" s="236"/>
      <c r="N11" s="236"/>
      <c r="O11" s="236"/>
      <c r="P11" s="236"/>
      <c r="Q11" s="236"/>
      <c r="R11" s="233"/>
      <c r="S11" s="233"/>
      <c r="T11" s="233"/>
      <c r="U11" s="233"/>
      <c r="V11" s="233"/>
      <c r="W11" s="233"/>
      <c r="X11" s="233"/>
      <c r="Y11" s="233"/>
      <c r="Z11" s="233"/>
      <c r="AA11" s="233"/>
    </row>
    <row r="12" spans="1:27" x14ac:dyDescent="0.4">
      <c r="A12" s="234"/>
      <c r="B12" s="235"/>
      <c r="C12" s="603" t="s">
        <v>54</v>
      </c>
      <c r="D12" s="604"/>
      <c r="E12" s="604"/>
      <c r="F12" s="604"/>
      <c r="G12" s="604"/>
      <c r="H12" s="604"/>
      <c r="I12" s="605"/>
      <c r="J12" s="606" t="s">
        <v>55</v>
      </c>
      <c r="K12" s="606"/>
      <c r="L12" s="606"/>
      <c r="M12" s="606"/>
      <c r="N12" s="606"/>
      <c r="O12" s="606"/>
      <c r="P12" s="606"/>
      <c r="Q12" s="606"/>
      <c r="R12" s="607" t="s">
        <v>56</v>
      </c>
      <c r="S12" s="608"/>
      <c r="T12" s="609" t="s">
        <v>57</v>
      </c>
      <c r="U12" s="609"/>
      <c r="V12" s="609"/>
      <c r="W12" s="609"/>
      <c r="X12" s="570" t="s">
        <v>58</v>
      </c>
      <c r="Y12" s="571"/>
      <c r="Z12" s="570" t="s">
        <v>59</v>
      </c>
      <c r="AA12" s="571"/>
    </row>
    <row r="13" spans="1:27" ht="12.75" customHeight="1" x14ac:dyDescent="0.4">
      <c r="A13" s="610" t="s">
        <v>60</v>
      </c>
      <c r="B13" s="582" t="s">
        <v>61</v>
      </c>
      <c r="C13" s="584" t="s">
        <v>218</v>
      </c>
      <c r="D13" s="586" t="s">
        <v>63</v>
      </c>
      <c r="E13" s="586" t="s">
        <v>219</v>
      </c>
      <c r="F13" s="611" t="s">
        <v>220</v>
      </c>
      <c r="G13" s="566"/>
      <c r="H13" s="573" t="s">
        <v>221</v>
      </c>
      <c r="I13" s="573" t="s">
        <v>222</v>
      </c>
      <c r="J13" s="612" t="s">
        <v>223</v>
      </c>
      <c r="K13" s="591" t="s">
        <v>68</v>
      </c>
      <c r="L13" s="591" t="s">
        <v>69</v>
      </c>
      <c r="M13" s="591" t="s">
        <v>70</v>
      </c>
      <c r="N13" s="591" t="s">
        <v>71</v>
      </c>
      <c r="O13" s="600" t="s">
        <v>72</v>
      </c>
      <c r="P13" s="591" t="s">
        <v>73</v>
      </c>
      <c r="Q13" s="600" t="s">
        <v>74</v>
      </c>
      <c r="R13" s="584" t="s">
        <v>77</v>
      </c>
      <c r="S13" s="573" t="s">
        <v>78</v>
      </c>
      <c r="T13" s="566" t="s">
        <v>57</v>
      </c>
      <c r="U13" s="611" t="s">
        <v>224</v>
      </c>
      <c r="V13" s="586" t="s">
        <v>225</v>
      </c>
      <c r="W13" s="573" t="s">
        <v>79</v>
      </c>
      <c r="X13" s="566" t="s">
        <v>58</v>
      </c>
      <c r="Y13" s="573" t="s">
        <v>80</v>
      </c>
      <c r="Z13" s="584" t="s">
        <v>59</v>
      </c>
      <c r="AA13" s="573" t="s">
        <v>81</v>
      </c>
    </row>
    <row r="14" spans="1:27" ht="22.5" customHeight="1" x14ac:dyDescent="0.4">
      <c r="A14" s="610"/>
      <c r="B14" s="582"/>
      <c r="C14" s="584"/>
      <c r="D14" s="586"/>
      <c r="E14" s="586"/>
      <c r="F14" s="432" t="s">
        <v>63</v>
      </c>
      <c r="G14" s="432" t="s">
        <v>219</v>
      </c>
      <c r="H14" s="573"/>
      <c r="I14" s="573"/>
      <c r="J14" s="612"/>
      <c r="K14" s="591"/>
      <c r="L14" s="591"/>
      <c r="M14" s="591"/>
      <c r="N14" s="591"/>
      <c r="O14" s="600"/>
      <c r="P14" s="591"/>
      <c r="Q14" s="600"/>
      <c r="R14" s="584"/>
      <c r="S14" s="573"/>
      <c r="T14" s="566"/>
      <c r="U14" s="611"/>
      <c r="V14" s="586"/>
      <c r="W14" s="573"/>
      <c r="X14" s="566"/>
      <c r="Y14" s="573"/>
      <c r="Z14" s="584"/>
      <c r="AA14" s="573"/>
    </row>
    <row r="15" spans="1:27" x14ac:dyDescent="0.4">
      <c r="A15" s="237">
        <v>1</v>
      </c>
      <c r="B15" s="238" t="s">
        <v>82</v>
      </c>
      <c r="C15" s="239"/>
      <c r="D15" s="240"/>
      <c r="E15" s="240"/>
      <c r="F15" s="240"/>
      <c r="G15" s="241"/>
      <c r="H15" s="242"/>
      <c r="I15" s="242"/>
      <c r="J15" s="243"/>
      <c r="K15" s="244"/>
      <c r="L15" s="244"/>
      <c r="M15" s="244"/>
      <c r="N15" s="244"/>
      <c r="O15" s="244"/>
      <c r="P15" s="244"/>
      <c r="Q15" s="244"/>
      <c r="R15" s="245"/>
      <c r="S15" s="246"/>
      <c r="T15" s="247"/>
      <c r="U15" s="435"/>
      <c r="V15" s="240"/>
      <c r="W15" s="241"/>
      <c r="X15" s="239"/>
      <c r="Y15" s="246"/>
      <c r="Z15" s="239"/>
      <c r="AA15" s="248"/>
    </row>
    <row r="16" spans="1:27" x14ac:dyDescent="0.4">
      <c r="A16" s="237"/>
      <c r="B16" s="238" t="s">
        <v>83</v>
      </c>
      <c r="C16" s="239"/>
      <c r="D16" s="240"/>
      <c r="E16" s="240"/>
      <c r="F16" s="240"/>
      <c r="G16" s="241"/>
      <c r="H16" s="242"/>
      <c r="I16" s="242"/>
      <c r="J16" s="249"/>
      <c r="K16" s="250"/>
      <c r="L16" s="250"/>
      <c r="M16" s="250"/>
      <c r="N16" s="250"/>
      <c r="O16" s="250"/>
      <c r="P16" s="250"/>
      <c r="Q16" s="250"/>
      <c r="R16" s="251"/>
      <c r="S16" s="246"/>
      <c r="T16" s="247"/>
      <c r="U16" s="435"/>
      <c r="V16" s="240"/>
      <c r="W16" s="241"/>
      <c r="X16" s="239"/>
      <c r="Y16" s="246"/>
      <c r="Z16" s="239"/>
      <c r="AA16" s="248"/>
    </row>
    <row r="17" spans="1:27" x14ac:dyDescent="0.4">
      <c r="A17" s="252" t="s">
        <v>84</v>
      </c>
      <c r="B17" s="253" t="s">
        <v>85</v>
      </c>
      <c r="C17" s="254"/>
      <c r="D17" s="255"/>
      <c r="E17" s="255"/>
      <c r="F17" s="255"/>
      <c r="G17" s="256"/>
      <c r="H17" s="257"/>
      <c r="I17" s="257"/>
      <c r="J17" s="258"/>
      <c r="K17" s="259"/>
      <c r="L17" s="259"/>
      <c r="M17" s="259"/>
      <c r="N17" s="259"/>
      <c r="O17" s="259"/>
      <c r="P17" s="259"/>
      <c r="Q17" s="259"/>
      <c r="R17" s="260"/>
      <c r="S17" s="261"/>
      <c r="T17" s="262"/>
      <c r="U17" s="436"/>
      <c r="V17" s="277"/>
      <c r="W17" s="263"/>
      <c r="X17" s="264"/>
      <c r="Y17" s="265"/>
      <c r="Z17" s="264"/>
      <c r="AA17" s="265"/>
    </row>
    <row r="18" spans="1:27" x14ac:dyDescent="0.4">
      <c r="A18" s="266" t="s">
        <v>86</v>
      </c>
      <c r="B18" s="267" t="s">
        <v>226</v>
      </c>
      <c r="C18" s="254"/>
      <c r="D18" s="255"/>
      <c r="E18" s="255"/>
      <c r="F18" s="255"/>
      <c r="G18" s="256"/>
      <c r="H18" s="257"/>
      <c r="I18" s="257"/>
      <c r="J18" s="258"/>
      <c r="K18" s="259"/>
      <c r="L18" s="259"/>
      <c r="M18" s="259"/>
      <c r="N18" s="259"/>
      <c r="O18" s="259"/>
      <c r="P18" s="259"/>
      <c r="Q18" s="259"/>
      <c r="R18" s="260"/>
      <c r="S18" s="261"/>
      <c r="T18" s="262"/>
      <c r="U18" s="436"/>
      <c r="V18" s="277"/>
      <c r="W18" s="263"/>
      <c r="X18" s="264"/>
      <c r="Y18" s="265"/>
      <c r="Z18" s="264"/>
      <c r="AA18" s="265"/>
    </row>
    <row r="19" spans="1:27" x14ac:dyDescent="0.4">
      <c r="A19" s="268" t="s">
        <v>102</v>
      </c>
      <c r="B19" s="269" t="s">
        <v>103</v>
      </c>
      <c r="C19" s="270"/>
      <c r="D19" s="255"/>
      <c r="E19" s="255"/>
      <c r="F19" s="255"/>
      <c r="G19" s="256"/>
      <c r="H19" s="257"/>
      <c r="I19" s="257"/>
      <c r="J19" s="271"/>
      <c r="K19" s="259"/>
      <c r="L19" s="259"/>
      <c r="M19" s="259"/>
      <c r="N19" s="259"/>
      <c r="O19" s="259"/>
      <c r="P19" s="259"/>
      <c r="Q19" s="259"/>
      <c r="R19" s="270"/>
      <c r="S19" s="272"/>
      <c r="T19" s="262"/>
      <c r="U19" s="436"/>
      <c r="V19" s="277"/>
      <c r="W19" s="263"/>
      <c r="X19" s="264"/>
      <c r="Y19" s="265"/>
      <c r="Z19" s="264"/>
      <c r="AA19" s="265"/>
    </row>
    <row r="20" spans="1:27" x14ac:dyDescent="0.4">
      <c r="A20" s="273" t="s">
        <v>111</v>
      </c>
      <c r="B20" s="269" t="s">
        <v>112</v>
      </c>
      <c r="C20" s="270"/>
      <c r="D20" s="255"/>
      <c r="E20" s="255"/>
      <c r="F20" s="255"/>
      <c r="G20" s="256"/>
      <c r="H20" s="257"/>
      <c r="I20" s="257"/>
      <c r="J20" s="271"/>
      <c r="K20" s="259"/>
      <c r="L20" s="259"/>
      <c r="M20" s="259"/>
      <c r="N20" s="259"/>
      <c r="O20" s="259"/>
      <c r="P20" s="259"/>
      <c r="Q20" s="259"/>
      <c r="R20" s="270"/>
      <c r="S20" s="272"/>
      <c r="T20" s="262"/>
      <c r="U20" s="436"/>
      <c r="V20" s="277"/>
      <c r="W20" s="263"/>
      <c r="X20" s="264"/>
      <c r="Y20" s="265"/>
      <c r="Z20" s="264"/>
      <c r="AA20" s="265"/>
    </row>
    <row r="21" spans="1:27" x14ac:dyDescent="0.4">
      <c r="A21" s="268" t="s">
        <v>113</v>
      </c>
      <c r="B21" s="269" t="s">
        <v>114</v>
      </c>
      <c r="C21" s="270"/>
      <c r="D21" s="255"/>
      <c r="E21" s="255"/>
      <c r="F21" s="255"/>
      <c r="G21" s="256"/>
      <c r="H21" s="272"/>
      <c r="I21" s="272"/>
      <c r="J21" s="271"/>
      <c r="K21" s="259"/>
      <c r="L21" s="259"/>
      <c r="M21" s="259"/>
      <c r="N21" s="259"/>
      <c r="O21" s="259"/>
      <c r="P21" s="259"/>
      <c r="Q21" s="259"/>
      <c r="R21" s="270"/>
      <c r="S21" s="272"/>
      <c r="T21" s="262"/>
      <c r="U21" s="436"/>
      <c r="V21" s="277"/>
      <c r="W21" s="263"/>
      <c r="X21" s="264"/>
      <c r="Y21" s="265"/>
      <c r="Z21" s="264"/>
      <c r="AA21" s="265"/>
    </row>
    <row r="22" spans="1:27" x14ac:dyDescent="0.4">
      <c r="A22" s="252" t="s">
        <v>122</v>
      </c>
      <c r="B22" s="253" t="s">
        <v>123</v>
      </c>
      <c r="C22" s="270"/>
      <c r="D22" s="255"/>
      <c r="E22" s="255"/>
      <c r="F22" s="255"/>
      <c r="G22" s="256"/>
      <c r="H22" s="272"/>
      <c r="I22" s="272"/>
      <c r="J22" s="271"/>
      <c r="K22" s="259"/>
      <c r="L22" s="259"/>
      <c r="M22" s="259"/>
      <c r="N22" s="259"/>
      <c r="O22" s="259"/>
      <c r="P22" s="259"/>
      <c r="Q22" s="259"/>
      <c r="R22" s="270"/>
      <c r="S22" s="272"/>
      <c r="T22" s="262"/>
      <c r="U22" s="436"/>
      <c r="V22" s="277"/>
      <c r="W22" s="263"/>
      <c r="X22" s="264"/>
      <c r="Y22" s="265"/>
      <c r="Z22" s="264"/>
      <c r="AA22" s="265"/>
    </row>
    <row r="23" spans="1:27" x14ac:dyDescent="0.4">
      <c r="A23" s="273" t="s">
        <v>124</v>
      </c>
      <c r="B23" s="269" t="s">
        <v>125</v>
      </c>
      <c r="C23" s="270"/>
      <c r="D23" s="255"/>
      <c r="E23" s="255"/>
      <c r="F23" s="255"/>
      <c r="G23" s="256"/>
      <c r="H23" s="272"/>
      <c r="I23" s="272"/>
      <c r="J23" s="271"/>
      <c r="K23" s="259"/>
      <c r="L23" s="259"/>
      <c r="M23" s="259"/>
      <c r="N23" s="259"/>
      <c r="O23" s="259"/>
      <c r="P23" s="259"/>
      <c r="Q23" s="259"/>
      <c r="R23" s="270"/>
      <c r="S23" s="272"/>
      <c r="T23" s="262"/>
      <c r="U23" s="436"/>
      <c r="V23" s="277"/>
      <c r="W23" s="263"/>
      <c r="X23" s="264"/>
      <c r="Y23" s="265"/>
      <c r="Z23" s="264"/>
      <c r="AA23" s="265"/>
    </row>
    <row r="24" spans="1:27" x14ac:dyDescent="0.4">
      <c r="A24" s="273" t="s">
        <v>128</v>
      </c>
      <c r="B24" s="269" t="s">
        <v>129</v>
      </c>
      <c r="C24" s="270"/>
      <c r="D24" s="255"/>
      <c r="E24" s="255"/>
      <c r="F24" s="255"/>
      <c r="G24" s="256"/>
      <c r="H24" s="272"/>
      <c r="I24" s="272"/>
      <c r="J24" s="271"/>
      <c r="K24" s="259"/>
      <c r="L24" s="259"/>
      <c r="M24" s="259"/>
      <c r="N24" s="259"/>
      <c r="O24" s="259"/>
      <c r="P24" s="259"/>
      <c r="Q24" s="259"/>
      <c r="R24" s="270"/>
      <c r="S24" s="272"/>
      <c r="T24" s="262"/>
      <c r="U24" s="436"/>
      <c r="V24" s="277"/>
      <c r="W24" s="263"/>
      <c r="X24" s="264"/>
      <c r="Y24" s="265"/>
      <c r="Z24" s="264"/>
      <c r="AA24" s="265"/>
    </row>
    <row r="25" spans="1:27" x14ac:dyDescent="0.4">
      <c r="A25" s="273" t="s">
        <v>135</v>
      </c>
      <c r="B25" s="269" t="s">
        <v>136</v>
      </c>
      <c r="C25" s="270"/>
      <c r="D25" s="255"/>
      <c r="E25" s="255"/>
      <c r="F25" s="255"/>
      <c r="G25" s="256"/>
      <c r="H25" s="272"/>
      <c r="I25" s="272"/>
      <c r="J25" s="271"/>
      <c r="K25" s="259"/>
      <c r="L25" s="259"/>
      <c r="M25" s="259"/>
      <c r="N25" s="259"/>
      <c r="O25" s="259"/>
      <c r="P25" s="259"/>
      <c r="Q25" s="259"/>
      <c r="R25" s="270"/>
      <c r="S25" s="272"/>
      <c r="T25" s="262"/>
      <c r="U25" s="436"/>
      <c r="V25" s="277"/>
      <c r="W25" s="263"/>
      <c r="X25" s="264"/>
      <c r="Y25" s="265"/>
      <c r="Z25" s="264"/>
      <c r="AA25" s="265"/>
    </row>
    <row r="26" spans="1:27" x14ac:dyDescent="0.4">
      <c r="A26" s="237">
        <v>2</v>
      </c>
      <c r="B26" s="238" t="s">
        <v>140</v>
      </c>
      <c r="C26" s="239"/>
      <c r="D26" s="240"/>
      <c r="E26" s="240"/>
      <c r="F26" s="240"/>
      <c r="G26" s="241"/>
      <c r="H26" s="242"/>
      <c r="I26" s="242"/>
      <c r="J26" s="274"/>
      <c r="K26" s="275"/>
      <c r="L26" s="275"/>
      <c r="M26" s="275"/>
      <c r="N26" s="275"/>
      <c r="O26" s="275"/>
      <c r="P26" s="275"/>
      <c r="Q26" s="275"/>
      <c r="R26" s="245"/>
      <c r="S26" s="246"/>
      <c r="T26" s="247"/>
      <c r="U26" s="435"/>
      <c r="V26" s="240"/>
      <c r="W26" s="241"/>
      <c r="X26" s="239"/>
      <c r="Y26" s="246"/>
      <c r="Z26" s="239"/>
      <c r="AA26" s="246"/>
    </row>
    <row r="27" spans="1:27" x14ac:dyDescent="0.4">
      <c r="A27" s="237"/>
      <c r="B27" s="238" t="s">
        <v>141</v>
      </c>
      <c r="C27" s="239"/>
      <c r="D27" s="240"/>
      <c r="E27" s="240"/>
      <c r="F27" s="240"/>
      <c r="G27" s="241"/>
      <c r="H27" s="246"/>
      <c r="I27" s="246"/>
      <c r="J27" s="276"/>
      <c r="K27" s="250"/>
      <c r="L27" s="250"/>
      <c r="M27" s="250"/>
      <c r="N27" s="250"/>
      <c r="O27" s="250"/>
      <c r="P27" s="250"/>
      <c r="Q27" s="250"/>
      <c r="R27" s="251"/>
      <c r="S27" s="246"/>
      <c r="T27" s="247"/>
      <c r="U27" s="435"/>
      <c r="V27" s="240"/>
      <c r="W27" s="241"/>
      <c r="X27" s="239"/>
      <c r="Y27" s="246"/>
      <c r="Z27" s="239"/>
      <c r="AA27" s="246"/>
    </row>
    <row r="28" spans="1:27" x14ac:dyDescent="0.4">
      <c r="A28" s="268" t="s">
        <v>142</v>
      </c>
      <c r="B28" s="269" t="s">
        <v>143</v>
      </c>
      <c r="C28" s="264"/>
      <c r="D28" s="277"/>
      <c r="E28" s="277"/>
      <c r="F28" s="277"/>
      <c r="G28" s="263"/>
      <c r="H28" s="265"/>
      <c r="I28" s="265"/>
      <c r="J28" s="278"/>
      <c r="K28" s="279"/>
      <c r="L28" s="279"/>
      <c r="M28" s="279"/>
      <c r="N28" s="279"/>
      <c r="O28" s="279"/>
      <c r="P28" s="279"/>
      <c r="Q28" s="279"/>
      <c r="R28" s="264"/>
      <c r="S28" s="265"/>
      <c r="T28" s="262"/>
      <c r="U28" s="436"/>
      <c r="V28" s="277"/>
      <c r="W28" s="263"/>
      <c r="X28" s="264"/>
      <c r="Y28" s="265"/>
      <c r="Z28" s="264"/>
      <c r="AA28" s="265"/>
    </row>
    <row r="29" spans="1:27" x14ac:dyDescent="0.4">
      <c r="A29" s="273" t="s">
        <v>165</v>
      </c>
      <c r="B29" s="269" t="s">
        <v>166</v>
      </c>
      <c r="C29" s="264"/>
      <c r="D29" s="277"/>
      <c r="E29" s="277"/>
      <c r="F29" s="277"/>
      <c r="G29" s="263"/>
      <c r="H29" s="265"/>
      <c r="I29" s="265"/>
      <c r="J29" s="278"/>
      <c r="K29" s="279"/>
      <c r="L29" s="279"/>
      <c r="M29" s="279"/>
      <c r="N29" s="279"/>
      <c r="O29" s="279"/>
      <c r="P29" s="279"/>
      <c r="Q29" s="279"/>
      <c r="R29" s="264"/>
      <c r="S29" s="265"/>
      <c r="T29" s="262"/>
      <c r="U29" s="436"/>
      <c r="V29" s="277"/>
      <c r="W29" s="263"/>
      <c r="X29" s="264"/>
      <c r="Y29" s="265"/>
      <c r="Z29" s="264"/>
      <c r="AA29" s="265"/>
    </row>
    <row r="30" spans="1:27" x14ac:dyDescent="0.4">
      <c r="A30" s="273" t="s">
        <v>227</v>
      </c>
      <c r="B30" s="269" t="s">
        <v>228</v>
      </c>
      <c r="C30" s="264"/>
      <c r="D30" s="277"/>
      <c r="E30" s="277"/>
      <c r="F30" s="277"/>
      <c r="G30" s="263"/>
      <c r="H30" s="265"/>
      <c r="I30" s="265"/>
      <c r="J30" s="278"/>
      <c r="K30" s="279"/>
      <c r="L30" s="279"/>
      <c r="M30" s="279"/>
      <c r="N30" s="279"/>
      <c r="O30" s="279"/>
      <c r="P30" s="279"/>
      <c r="Q30" s="279"/>
      <c r="R30" s="264"/>
      <c r="S30" s="265"/>
      <c r="T30" s="262"/>
      <c r="U30" s="436"/>
      <c r="V30" s="277"/>
      <c r="W30" s="263"/>
      <c r="X30" s="264"/>
      <c r="Y30" s="265"/>
      <c r="Z30" s="264"/>
      <c r="AA30" s="265"/>
    </row>
    <row r="31" spans="1:27" x14ac:dyDescent="0.4">
      <c r="A31" s="273" t="s">
        <v>229</v>
      </c>
      <c r="B31" s="269" t="s">
        <v>230</v>
      </c>
      <c r="C31" s="264"/>
      <c r="D31" s="277"/>
      <c r="E31" s="277"/>
      <c r="F31" s="277"/>
      <c r="G31" s="263"/>
      <c r="H31" s="265"/>
      <c r="I31" s="265"/>
      <c r="J31" s="278"/>
      <c r="K31" s="279"/>
      <c r="L31" s="279"/>
      <c r="M31" s="279"/>
      <c r="N31" s="279"/>
      <c r="O31" s="279"/>
      <c r="P31" s="279"/>
      <c r="Q31" s="279"/>
      <c r="R31" s="264"/>
      <c r="S31" s="265"/>
      <c r="T31" s="262"/>
      <c r="U31" s="436"/>
      <c r="V31" s="277"/>
      <c r="W31" s="263"/>
      <c r="X31" s="264"/>
      <c r="Y31" s="265"/>
      <c r="Z31" s="264"/>
      <c r="AA31" s="265"/>
    </row>
    <row r="32" spans="1:27" x14ac:dyDescent="0.4">
      <c r="A32" s="280">
        <v>3</v>
      </c>
      <c r="B32" s="238" t="s">
        <v>184</v>
      </c>
      <c r="C32" s="615"/>
      <c r="D32" s="616"/>
      <c r="E32" s="616"/>
      <c r="F32" s="616"/>
      <c r="G32" s="616"/>
      <c r="H32" s="616"/>
      <c r="I32" s="616"/>
      <c r="J32" s="616"/>
      <c r="K32" s="616"/>
      <c r="L32" s="616"/>
      <c r="M32" s="616"/>
      <c r="N32" s="616"/>
      <c r="O32" s="616"/>
      <c r="P32" s="616"/>
      <c r="Q32" s="616"/>
      <c r="R32" s="616"/>
      <c r="S32" s="616"/>
      <c r="T32" s="616"/>
      <c r="U32" s="616"/>
      <c r="V32" s="616"/>
      <c r="W32" s="616"/>
      <c r="X32" s="616"/>
      <c r="Y32" s="616"/>
      <c r="Z32" s="616"/>
      <c r="AA32" s="617"/>
    </row>
    <row r="33" spans="1:27" x14ac:dyDescent="0.4">
      <c r="A33" s="280" t="s">
        <v>231</v>
      </c>
      <c r="B33" s="238" t="s">
        <v>232</v>
      </c>
      <c r="C33" s="239"/>
      <c r="D33" s="240"/>
      <c r="E33" s="240"/>
      <c r="F33" s="240"/>
      <c r="G33" s="241"/>
      <c r="H33" s="241"/>
      <c r="I33" s="246"/>
      <c r="J33" s="274"/>
      <c r="K33" s="275"/>
      <c r="L33" s="275"/>
      <c r="M33" s="275"/>
      <c r="N33" s="275"/>
      <c r="O33" s="275"/>
      <c r="P33" s="275"/>
      <c r="Q33" s="275"/>
      <c r="R33" s="245">
        <f>C33</f>
        <v>0</v>
      </c>
      <c r="S33" s="246"/>
      <c r="T33" s="247"/>
      <c r="U33" s="435"/>
      <c r="V33" s="435"/>
      <c r="W33" s="241"/>
      <c r="X33" s="239"/>
      <c r="Y33" s="246"/>
      <c r="Z33" s="239"/>
      <c r="AA33" s="246"/>
    </row>
    <row r="34" spans="1:27" ht="12.6" thickBot="1" x14ac:dyDescent="0.45">
      <c r="A34" s="281"/>
      <c r="B34" s="282" t="s">
        <v>185</v>
      </c>
      <c r="C34" s="283"/>
      <c r="D34" s="284"/>
      <c r="E34" s="284"/>
      <c r="F34" s="284"/>
      <c r="G34" s="285"/>
      <c r="H34" s="285"/>
      <c r="I34" s="286"/>
      <c r="J34" s="287"/>
      <c r="K34" s="288"/>
      <c r="L34" s="288"/>
      <c r="M34" s="288"/>
      <c r="N34" s="288"/>
      <c r="O34" s="288"/>
      <c r="P34" s="288"/>
      <c r="Q34" s="288"/>
      <c r="R34" s="283"/>
      <c r="S34" s="289"/>
      <c r="T34" s="290"/>
      <c r="U34" s="437"/>
      <c r="V34" s="437"/>
      <c r="W34" s="285"/>
      <c r="X34" s="291"/>
      <c r="Y34" s="289"/>
      <c r="Z34" s="291"/>
      <c r="AA34" s="289"/>
    </row>
    <row r="35" spans="1:27" ht="12.6" thickTop="1" x14ac:dyDescent="0.4">
      <c r="A35" s="292"/>
      <c r="B35" s="293" t="s">
        <v>13</v>
      </c>
      <c r="C35" s="294"/>
      <c r="D35" s="295"/>
      <c r="E35" s="295"/>
      <c r="F35" s="295"/>
      <c r="G35" s="293"/>
      <c r="H35" s="293"/>
      <c r="I35" s="296"/>
      <c r="J35" s="297"/>
      <c r="K35" s="298"/>
      <c r="L35" s="299"/>
      <c r="M35" s="299"/>
      <c r="N35" s="299"/>
      <c r="O35" s="299"/>
      <c r="P35" s="299"/>
      <c r="Q35" s="299"/>
      <c r="R35" s="300"/>
      <c r="S35" s="301"/>
      <c r="T35" s="302"/>
      <c r="U35" s="438"/>
      <c r="V35" s="438"/>
      <c r="W35" s="293"/>
      <c r="X35" s="294"/>
      <c r="Y35" s="301"/>
      <c r="Z35" s="294"/>
      <c r="AA35" s="301"/>
    </row>
    <row r="36" spans="1:27" ht="12.6" thickBot="1" x14ac:dyDescent="0.45">
      <c r="A36" s="303"/>
      <c r="B36" s="304" t="s">
        <v>186</v>
      </c>
      <c r="C36" s="305"/>
      <c r="D36" s="306"/>
      <c r="E36" s="306"/>
      <c r="F36" s="306"/>
      <c r="G36" s="307"/>
      <c r="H36" s="307"/>
      <c r="I36" s="308"/>
      <c r="J36" s="309"/>
      <c r="K36" s="310"/>
      <c r="L36" s="310"/>
      <c r="M36" s="310"/>
      <c r="N36" s="310"/>
      <c r="O36" s="310"/>
      <c r="P36" s="310"/>
      <c r="Q36" s="310"/>
      <c r="R36" s="305"/>
      <c r="S36" s="311"/>
      <c r="T36" s="312"/>
      <c r="U36" s="439"/>
      <c r="V36" s="439"/>
      <c r="W36" s="307"/>
      <c r="X36" s="305"/>
      <c r="Y36" s="311"/>
      <c r="Z36" s="305"/>
      <c r="AA36" s="311"/>
    </row>
    <row r="37" spans="1:27" ht="12.9" thickTop="1" thickBot="1" x14ac:dyDescent="0.45">
      <c r="A37" s="313"/>
      <c r="B37" s="313"/>
      <c r="C37" s="314"/>
      <c r="D37" s="314"/>
      <c r="E37" s="314"/>
      <c r="F37" s="314"/>
      <c r="G37" s="314"/>
      <c r="H37" s="314"/>
      <c r="I37" s="314"/>
      <c r="J37" s="315"/>
      <c r="K37" s="315"/>
      <c r="L37" s="315"/>
      <c r="M37" s="315"/>
      <c r="N37" s="315"/>
      <c r="O37" s="315"/>
      <c r="P37" s="315"/>
      <c r="Q37" s="315"/>
      <c r="R37" s="314"/>
      <c r="S37" s="314"/>
      <c r="T37" s="314"/>
      <c r="U37" s="314"/>
      <c r="V37" s="314"/>
      <c r="W37" s="314"/>
      <c r="X37" s="314"/>
      <c r="Y37" s="314"/>
      <c r="Z37" s="314"/>
      <c r="AA37" s="314"/>
    </row>
    <row r="38" spans="1:27" x14ac:dyDescent="0.4">
      <c r="A38" s="313"/>
      <c r="B38" s="313"/>
      <c r="C38" s="314"/>
      <c r="D38" s="314"/>
      <c r="E38" s="314"/>
      <c r="F38" s="314"/>
      <c r="G38" s="314"/>
      <c r="H38" s="314"/>
      <c r="I38" s="314"/>
      <c r="J38" s="618" t="s">
        <v>187</v>
      </c>
      <c r="K38" s="619"/>
      <c r="L38" s="619"/>
      <c r="M38" s="619"/>
      <c r="N38" s="619"/>
      <c r="O38" s="619"/>
      <c r="P38" s="620"/>
      <c r="Q38" s="315"/>
      <c r="R38" s="314"/>
      <c r="S38" s="314"/>
      <c r="T38" s="314"/>
      <c r="U38" s="314"/>
      <c r="V38" s="314"/>
      <c r="W38" s="314"/>
      <c r="X38" s="314"/>
      <c r="Y38" s="314"/>
      <c r="Z38" s="314"/>
      <c r="AA38" s="314"/>
    </row>
    <row r="39" spans="1:27" x14ac:dyDescent="0.4">
      <c r="A39" s="316"/>
      <c r="B39" s="317"/>
      <c r="C39" s="318" t="s">
        <v>233</v>
      </c>
      <c r="D39" s="595"/>
      <c r="E39" s="595"/>
      <c r="F39" s="595"/>
      <c r="G39" s="433"/>
      <c r="H39" s="433"/>
      <c r="I39" s="319"/>
      <c r="J39" s="621"/>
      <c r="K39" s="622"/>
      <c r="L39" s="320" t="s">
        <v>69</v>
      </c>
      <c r="M39" s="623"/>
      <c r="N39" s="321" t="s">
        <v>71</v>
      </c>
      <c r="O39" s="322"/>
      <c r="P39" s="321" t="s">
        <v>73</v>
      </c>
      <c r="Q39" s="323"/>
      <c r="R39" s="324"/>
      <c r="S39" s="324"/>
      <c r="T39" s="324"/>
      <c r="U39" s="324"/>
      <c r="V39" s="324"/>
      <c r="W39" s="324"/>
      <c r="X39" s="324"/>
      <c r="Y39" s="324"/>
      <c r="Z39" s="324"/>
      <c r="AA39" s="324"/>
    </row>
    <row r="40" spans="1:27" x14ac:dyDescent="0.4">
      <c r="A40" s="316"/>
      <c r="B40" s="317"/>
      <c r="C40" s="318" t="s">
        <v>234</v>
      </c>
      <c r="D40" s="325"/>
      <c r="E40" s="325"/>
      <c r="F40" s="325"/>
      <c r="G40" s="325"/>
      <c r="H40" s="325"/>
      <c r="I40" s="326"/>
      <c r="J40" s="626" t="s">
        <v>188</v>
      </c>
      <c r="K40" s="627"/>
      <c r="L40" s="327"/>
      <c r="M40" s="624"/>
      <c r="N40" s="328"/>
      <c r="O40" s="329"/>
      <c r="P40" s="328"/>
      <c r="Q40" s="323"/>
      <c r="R40" s="330"/>
      <c r="S40" s="324"/>
      <c r="T40" s="324"/>
      <c r="U40" s="324"/>
      <c r="V40" s="324"/>
      <c r="W40" s="324"/>
      <c r="X40" s="324"/>
      <c r="Y40" s="324"/>
      <c r="Z40" s="324"/>
      <c r="AA40" s="324"/>
    </row>
    <row r="41" spans="1:27" x14ac:dyDescent="0.4">
      <c r="A41" s="316"/>
      <c r="B41" s="318"/>
      <c r="C41" s="318"/>
      <c r="D41" s="325"/>
      <c r="E41" s="325"/>
      <c r="F41" s="325"/>
      <c r="G41" s="325"/>
      <c r="H41" s="325"/>
      <c r="I41" s="326"/>
      <c r="J41" s="626" t="s">
        <v>189</v>
      </c>
      <c r="K41" s="627"/>
      <c r="L41" s="331"/>
      <c r="M41" s="624"/>
      <c r="N41" s="332"/>
      <c r="O41" s="329"/>
      <c r="P41" s="332"/>
      <c r="Q41" s="323"/>
      <c r="R41" s="324"/>
      <c r="S41" s="324"/>
      <c r="T41" s="324"/>
      <c r="U41" s="324"/>
      <c r="V41" s="324"/>
      <c r="W41" s="324"/>
      <c r="X41" s="324"/>
      <c r="Y41" s="324"/>
      <c r="Z41" s="324"/>
      <c r="AA41" s="324"/>
    </row>
    <row r="42" spans="1:27" x14ac:dyDescent="0.4">
      <c r="A42" s="316"/>
      <c r="B42" s="318"/>
      <c r="C42" s="318"/>
      <c r="D42" s="325"/>
      <c r="E42" s="325"/>
      <c r="F42" s="325"/>
      <c r="G42" s="325"/>
      <c r="H42" s="325"/>
      <c r="I42" s="326"/>
      <c r="J42" s="626" t="s">
        <v>190</v>
      </c>
      <c r="K42" s="627"/>
      <c r="L42" s="333"/>
      <c r="M42" s="624"/>
      <c r="N42" s="332"/>
      <c r="O42" s="329"/>
      <c r="P42" s="332"/>
      <c r="Q42" s="334"/>
      <c r="R42" s="324" t="s">
        <v>235</v>
      </c>
      <c r="S42" s="324"/>
      <c r="T42" s="324"/>
      <c r="U42" s="324"/>
      <c r="V42" s="324"/>
      <c r="W42" s="324"/>
      <c r="X42" s="324"/>
      <c r="Y42" s="324"/>
      <c r="Z42" s="324"/>
      <c r="AA42" s="324"/>
    </row>
    <row r="43" spans="1:27" ht="12.6" thickBot="1" x14ac:dyDescent="0.45">
      <c r="A43" s="316"/>
      <c r="B43" s="318"/>
      <c r="C43" s="318"/>
      <c r="D43" s="589"/>
      <c r="E43" s="589"/>
      <c r="F43" s="589"/>
      <c r="G43" s="434"/>
      <c r="H43" s="434"/>
      <c r="I43" s="326"/>
      <c r="J43" s="613" t="s">
        <v>191</v>
      </c>
      <c r="K43" s="614"/>
      <c r="L43" s="335"/>
      <c r="M43" s="625"/>
      <c r="N43" s="336"/>
      <c r="O43" s="337"/>
      <c r="P43" s="336"/>
      <c r="Q43" s="338"/>
      <c r="R43" s="324"/>
      <c r="S43" s="324"/>
      <c r="T43" s="324"/>
      <c r="U43" s="324"/>
      <c r="V43" s="324"/>
      <c r="W43" s="324"/>
      <c r="X43" s="324"/>
      <c r="Y43" s="324"/>
      <c r="Z43" s="324"/>
      <c r="AA43" s="324"/>
    </row>
    <row r="44" spans="1:27" x14ac:dyDescent="0.4">
      <c r="A44" s="324"/>
      <c r="B44" s="324"/>
      <c r="C44" s="324"/>
      <c r="D44" s="324"/>
      <c r="E44" s="324"/>
      <c r="F44" s="324"/>
      <c r="G44" s="324"/>
      <c r="H44" s="324"/>
      <c r="I44" s="324"/>
      <c r="J44" s="338" t="s">
        <v>192</v>
      </c>
      <c r="K44" s="338"/>
      <c r="L44" s="338"/>
      <c r="M44" s="338"/>
      <c r="N44" s="338"/>
      <c r="O44" s="338"/>
      <c r="P44" s="338"/>
      <c r="Q44" s="338"/>
      <c r="R44" s="324"/>
      <c r="S44" s="324"/>
      <c r="T44" s="324"/>
      <c r="U44" s="324"/>
      <c r="V44" s="324"/>
      <c r="W44" s="324"/>
      <c r="X44" s="324"/>
      <c r="Y44" s="324"/>
      <c r="Z44" s="324"/>
      <c r="AA44" s="324"/>
    </row>
  </sheetData>
  <mergeCells count="50">
    <mergeCell ref="D43:F43"/>
    <mergeCell ref="J43:K43"/>
    <mergeCell ref="Z13:Z14"/>
    <mergeCell ref="AA13:AA14"/>
    <mergeCell ref="C32:AA32"/>
    <mergeCell ref="J38:P38"/>
    <mergeCell ref="D39:F39"/>
    <mergeCell ref="J39:K39"/>
    <mergeCell ref="M39:M43"/>
    <mergeCell ref="J40:K40"/>
    <mergeCell ref="J41:K41"/>
    <mergeCell ref="J42:K42"/>
    <mergeCell ref="T13:T14"/>
    <mergeCell ref="U13:U14"/>
    <mergeCell ref="V13:V14"/>
    <mergeCell ref="W13:W14"/>
    <mergeCell ref="X13:X14"/>
    <mergeCell ref="Y13:Y14"/>
    <mergeCell ref="N13:N14"/>
    <mergeCell ref="O13:O14"/>
    <mergeCell ref="P13:P14"/>
    <mergeCell ref="Q13:Q14"/>
    <mergeCell ref="R13:R14"/>
    <mergeCell ref="S13:S14"/>
    <mergeCell ref="M13:M14"/>
    <mergeCell ref="A13:A14"/>
    <mergeCell ref="B13:B14"/>
    <mergeCell ref="C13:C14"/>
    <mergeCell ref="D13:D14"/>
    <mergeCell ref="E13:E14"/>
    <mergeCell ref="F13:G13"/>
    <mergeCell ref="H13:H14"/>
    <mergeCell ref="I13:I14"/>
    <mergeCell ref="J13:J14"/>
    <mergeCell ref="K13:K14"/>
    <mergeCell ref="L13:L14"/>
    <mergeCell ref="A8:AA8"/>
    <mergeCell ref="A9:AA9"/>
    <mergeCell ref="C12:I12"/>
    <mergeCell ref="J12:Q12"/>
    <mergeCell ref="R12:S12"/>
    <mergeCell ref="T12:W12"/>
    <mergeCell ref="X12:Y12"/>
    <mergeCell ref="Z12:AA12"/>
    <mergeCell ref="A7:AA7"/>
    <mergeCell ref="A1:AA1"/>
    <mergeCell ref="A3:AA3"/>
    <mergeCell ref="A4:AA4"/>
    <mergeCell ref="A5:AA5"/>
    <mergeCell ref="A6:AA6"/>
  </mergeCells>
  <dataValidations count="1">
    <dataValidation type="list" allowBlank="1" showInputMessage="1" showErrorMessage="1" sqref="D17:E17" xr:uid="{00000000-0002-0000-0200-000000000000}">
      <formula1>$AD$24:$AD$25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4"/>
  <sheetViews>
    <sheetView zoomScale="150" zoomScaleNormal="150" workbookViewId="0">
      <selection activeCell="B33" sqref="B33"/>
    </sheetView>
  </sheetViews>
  <sheetFormatPr defaultColWidth="8.5" defaultRowHeight="12.3" x14ac:dyDescent="0.4"/>
  <cols>
    <col min="1" max="1" width="4.5" style="229" customWidth="1"/>
    <col min="2" max="2" width="35" style="229" bestFit="1" customWidth="1"/>
    <col min="3" max="3" width="10" style="229" bestFit="1" customWidth="1"/>
    <col min="4" max="4" width="9.1640625" style="229" customWidth="1"/>
    <col min="5" max="12" width="8.5" style="229"/>
    <col min="13" max="13" width="7.1640625" style="229" bestFit="1" customWidth="1"/>
    <col min="14" max="16" width="8.5" style="229"/>
    <col min="17" max="17" width="6.5" style="229" customWidth="1"/>
    <col min="18" max="18" width="8.5" style="229"/>
    <col min="19" max="19" width="5.5" style="229" bestFit="1" customWidth="1"/>
    <col min="20" max="20" width="10" style="229" bestFit="1" customWidth="1"/>
    <col min="21" max="21" width="7.1640625" style="229" bestFit="1" customWidth="1"/>
    <col min="22" max="16384" width="8.5" style="229"/>
  </cols>
  <sheetData>
    <row r="1" spans="1:21" x14ac:dyDescent="0.4">
      <c r="A1" s="602" t="s">
        <v>48</v>
      </c>
      <c r="B1" s="602"/>
      <c r="C1" s="602"/>
      <c r="D1" s="602"/>
      <c r="E1" s="602"/>
      <c r="F1" s="602"/>
      <c r="G1" s="602"/>
      <c r="H1" s="602"/>
      <c r="I1" s="602"/>
      <c r="J1" s="602"/>
      <c r="K1" s="602"/>
      <c r="L1" s="602"/>
      <c r="M1" s="602"/>
      <c r="N1" s="602"/>
      <c r="O1" s="602"/>
      <c r="P1" s="602"/>
      <c r="Q1" s="602"/>
      <c r="R1" s="602"/>
      <c r="S1" s="602"/>
      <c r="T1" s="602"/>
      <c r="U1" s="602"/>
    </row>
    <row r="2" spans="1:21" x14ac:dyDescent="0.4">
      <c r="A2" s="230"/>
      <c r="B2" s="231"/>
      <c r="D2" s="232"/>
      <c r="E2" s="232"/>
      <c r="F2" s="232"/>
      <c r="G2" s="232"/>
      <c r="H2" s="232"/>
      <c r="I2" s="232"/>
      <c r="J2" s="232"/>
      <c r="K2" s="232"/>
    </row>
    <row r="3" spans="1:21" x14ac:dyDescent="0.4">
      <c r="A3" s="601" t="s">
        <v>211</v>
      </c>
      <c r="B3" s="601"/>
      <c r="C3" s="601"/>
      <c r="D3" s="601"/>
      <c r="E3" s="601"/>
      <c r="F3" s="601"/>
      <c r="G3" s="601"/>
      <c r="H3" s="601"/>
      <c r="I3" s="601"/>
      <c r="J3" s="601"/>
      <c r="K3" s="601"/>
      <c r="L3" s="601"/>
      <c r="M3" s="601"/>
      <c r="N3" s="601"/>
      <c r="O3" s="601"/>
      <c r="P3" s="601"/>
      <c r="Q3" s="601"/>
      <c r="R3" s="601"/>
      <c r="S3" s="601"/>
      <c r="T3" s="601"/>
      <c r="U3" s="601"/>
    </row>
    <row r="4" spans="1:21" x14ac:dyDescent="0.4">
      <c r="A4" s="601" t="s">
        <v>212</v>
      </c>
      <c r="B4" s="601"/>
      <c r="C4" s="601"/>
      <c r="D4" s="601"/>
      <c r="E4" s="601"/>
      <c r="F4" s="601"/>
      <c r="G4" s="601"/>
      <c r="H4" s="601"/>
      <c r="I4" s="601"/>
      <c r="J4" s="601"/>
      <c r="K4" s="601"/>
      <c r="L4" s="601"/>
      <c r="M4" s="601"/>
      <c r="N4" s="601"/>
      <c r="O4" s="601"/>
      <c r="P4" s="601"/>
      <c r="Q4" s="601"/>
      <c r="R4" s="601"/>
      <c r="S4" s="601"/>
      <c r="T4" s="601"/>
      <c r="U4" s="601"/>
    </row>
    <row r="5" spans="1:21" x14ac:dyDescent="0.4">
      <c r="A5" s="601" t="s">
        <v>213</v>
      </c>
      <c r="B5" s="601"/>
      <c r="C5" s="601"/>
      <c r="D5" s="601"/>
      <c r="E5" s="601"/>
      <c r="F5" s="601"/>
      <c r="G5" s="601"/>
      <c r="H5" s="601"/>
      <c r="I5" s="601"/>
      <c r="J5" s="601"/>
      <c r="K5" s="601"/>
      <c r="L5" s="601"/>
      <c r="M5" s="601"/>
      <c r="N5" s="601"/>
      <c r="O5" s="601"/>
      <c r="P5" s="601"/>
      <c r="Q5" s="601"/>
      <c r="R5" s="601"/>
      <c r="S5" s="601"/>
      <c r="T5" s="601"/>
      <c r="U5" s="601"/>
    </row>
    <row r="6" spans="1:21" x14ac:dyDescent="0.4">
      <c r="A6" s="601" t="s">
        <v>214</v>
      </c>
      <c r="B6" s="601"/>
      <c r="C6" s="601"/>
      <c r="D6" s="601"/>
      <c r="E6" s="601"/>
      <c r="F6" s="601"/>
      <c r="G6" s="601"/>
      <c r="H6" s="601"/>
      <c r="I6" s="601"/>
      <c r="J6" s="601"/>
      <c r="K6" s="601"/>
      <c r="L6" s="601"/>
      <c r="M6" s="601"/>
      <c r="N6" s="601"/>
      <c r="O6" s="601"/>
      <c r="P6" s="601"/>
      <c r="Q6" s="601"/>
      <c r="R6" s="601"/>
      <c r="S6" s="601"/>
      <c r="T6" s="601"/>
      <c r="U6" s="601"/>
    </row>
    <row r="7" spans="1:21" x14ac:dyDescent="0.4">
      <c r="A7" s="601" t="s">
        <v>215</v>
      </c>
      <c r="B7" s="601"/>
      <c r="C7" s="601"/>
      <c r="D7" s="601"/>
      <c r="E7" s="601"/>
      <c r="F7" s="601"/>
      <c r="G7" s="601"/>
      <c r="H7" s="601"/>
      <c r="I7" s="601"/>
      <c r="J7" s="601"/>
      <c r="K7" s="601"/>
      <c r="L7" s="601"/>
      <c r="M7" s="601"/>
      <c r="N7" s="601"/>
      <c r="O7" s="601"/>
      <c r="P7" s="601"/>
      <c r="Q7" s="601"/>
      <c r="R7" s="601"/>
      <c r="S7" s="601"/>
      <c r="T7" s="601"/>
      <c r="U7" s="601"/>
    </row>
    <row r="8" spans="1:21" x14ac:dyDescent="0.4">
      <c r="A8" s="601" t="s">
        <v>216</v>
      </c>
      <c r="B8" s="601"/>
      <c r="C8" s="601"/>
      <c r="D8" s="601"/>
      <c r="E8" s="601"/>
      <c r="F8" s="601"/>
      <c r="G8" s="601"/>
      <c r="H8" s="601"/>
      <c r="I8" s="601"/>
      <c r="J8" s="601"/>
      <c r="K8" s="601"/>
      <c r="L8" s="601"/>
      <c r="M8" s="601"/>
      <c r="N8" s="601"/>
      <c r="O8" s="601"/>
      <c r="P8" s="601"/>
      <c r="Q8" s="601"/>
      <c r="R8" s="601"/>
      <c r="S8" s="601"/>
      <c r="T8" s="601"/>
      <c r="U8" s="601"/>
    </row>
    <row r="9" spans="1:21" x14ac:dyDescent="0.4">
      <c r="A9" s="601" t="s">
        <v>217</v>
      </c>
      <c r="B9" s="601"/>
      <c r="C9" s="601"/>
      <c r="D9" s="601"/>
      <c r="E9" s="601"/>
      <c r="F9" s="601"/>
      <c r="G9" s="601"/>
      <c r="H9" s="601"/>
      <c r="I9" s="601"/>
      <c r="J9" s="601"/>
      <c r="K9" s="601"/>
      <c r="L9" s="601"/>
      <c r="M9" s="601"/>
      <c r="N9" s="601"/>
      <c r="O9" s="601"/>
      <c r="P9" s="601"/>
      <c r="Q9" s="601"/>
      <c r="R9" s="601"/>
      <c r="S9" s="601"/>
      <c r="T9" s="601"/>
      <c r="U9" s="601"/>
    </row>
    <row r="10" spans="1:21" x14ac:dyDescent="0.4">
      <c r="A10" s="233"/>
      <c r="B10" s="233"/>
      <c r="C10" s="233"/>
      <c r="D10" s="233"/>
      <c r="E10" s="233"/>
      <c r="F10" s="233"/>
      <c r="G10" s="233"/>
      <c r="H10" s="233"/>
      <c r="I10" s="233"/>
      <c r="J10" s="233"/>
      <c r="K10" s="233"/>
      <c r="L10" s="233"/>
      <c r="M10" s="233"/>
      <c r="N10" s="233"/>
      <c r="O10" s="233"/>
      <c r="P10" s="233"/>
      <c r="Q10" s="233"/>
      <c r="R10" s="233"/>
      <c r="S10" s="233"/>
      <c r="T10" s="233"/>
      <c r="U10" s="233"/>
    </row>
    <row r="11" spans="1:21" ht="12.6" thickBot="1" x14ac:dyDescent="0.45">
      <c r="A11" s="234" t="s">
        <v>53</v>
      </c>
      <c r="B11" s="235"/>
      <c r="C11" s="233"/>
      <c r="D11" s="236"/>
      <c r="E11" s="236"/>
      <c r="F11" s="236"/>
      <c r="G11" s="236"/>
      <c r="H11" s="236"/>
      <c r="I11" s="236"/>
      <c r="J11" s="236"/>
      <c r="K11" s="236"/>
      <c r="L11" s="233"/>
      <c r="M11" s="233"/>
      <c r="N11" s="233"/>
      <c r="O11" s="233"/>
      <c r="P11" s="233"/>
      <c r="Q11" s="233"/>
      <c r="R11" s="233"/>
      <c r="S11" s="233"/>
      <c r="T11" s="233"/>
      <c r="U11" s="233"/>
    </row>
    <row r="12" spans="1:21" ht="13.5" customHeight="1" x14ac:dyDescent="0.4">
      <c r="A12" s="234"/>
      <c r="B12" s="235"/>
      <c r="C12" s="440"/>
      <c r="D12" s="606" t="s">
        <v>55</v>
      </c>
      <c r="E12" s="606"/>
      <c r="F12" s="606"/>
      <c r="G12" s="606"/>
      <c r="H12" s="606"/>
      <c r="I12" s="606"/>
      <c r="J12" s="606"/>
      <c r="K12" s="606"/>
      <c r="L12" s="607" t="s">
        <v>56</v>
      </c>
      <c r="M12" s="608"/>
      <c r="N12" s="609" t="s">
        <v>57</v>
      </c>
      <c r="O12" s="609"/>
      <c r="P12" s="609"/>
      <c r="Q12" s="609"/>
      <c r="R12" s="570" t="s">
        <v>58</v>
      </c>
      <c r="S12" s="571"/>
      <c r="T12" s="570" t="s">
        <v>59</v>
      </c>
      <c r="U12" s="571"/>
    </row>
    <row r="13" spans="1:21" ht="12.75" customHeight="1" x14ac:dyDescent="0.4">
      <c r="A13" s="610" t="s">
        <v>60</v>
      </c>
      <c r="B13" s="582" t="s">
        <v>61</v>
      </c>
      <c r="C13" s="573" t="s">
        <v>222</v>
      </c>
      <c r="D13" s="612" t="s">
        <v>223</v>
      </c>
      <c r="E13" s="591" t="s">
        <v>68</v>
      </c>
      <c r="F13" s="591" t="s">
        <v>69</v>
      </c>
      <c r="G13" s="591" t="s">
        <v>70</v>
      </c>
      <c r="H13" s="591" t="s">
        <v>71</v>
      </c>
      <c r="I13" s="600" t="s">
        <v>72</v>
      </c>
      <c r="J13" s="591" t="s">
        <v>73</v>
      </c>
      <c r="K13" s="600" t="s">
        <v>74</v>
      </c>
      <c r="L13" s="584" t="s">
        <v>236</v>
      </c>
      <c r="M13" s="573" t="s">
        <v>78</v>
      </c>
      <c r="N13" s="566" t="s">
        <v>57</v>
      </c>
      <c r="O13" s="611" t="s">
        <v>224</v>
      </c>
      <c r="P13" s="586" t="s">
        <v>225</v>
      </c>
      <c r="Q13" s="573" t="s">
        <v>79</v>
      </c>
      <c r="R13" s="566" t="s">
        <v>58</v>
      </c>
      <c r="S13" s="573" t="s">
        <v>80</v>
      </c>
      <c r="T13" s="584" t="s">
        <v>59</v>
      </c>
      <c r="U13" s="573" t="s">
        <v>81</v>
      </c>
    </row>
    <row r="14" spans="1:21" ht="22.5" customHeight="1" x14ac:dyDescent="0.4">
      <c r="A14" s="610"/>
      <c r="B14" s="582"/>
      <c r="C14" s="573"/>
      <c r="D14" s="612"/>
      <c r="E14" s="591"/>
      <c r="F14" s="591"/>
      <c r="G14" s="591"/>
      <c r="H14" s="591"/>
      <c r="I14" s="600"/>
      <c r="J14" s="591"/>
      <c r="K14" s="600"/>
      <c r="L14" s="584"/>
      <c r="M14" s="573"/>
      <c r="N14" s="566"/>
      <c r="O14" s="611"/>
      <c r="P14" s="586"/>
      <c r="Q14" s="573"/>
      <c r="R14" s="566"/>
      <c r="S14" s="573"/>
      <c r="T14" s="584"/>
      <c r="U14" s="573"/>
    </row>
    <row r="15" spans="1:21" x14ac:dyDescent="0.4">
      <c r="A15" s="237">
        <v>1</v>
      </c>
      <c r="B15" s="238" t="s">
        <v>82</v>
      </c>
      <c r="C15" s="242"/>
      <c r="D15" s="243"/>
      <c r="E15" s="244"/>
      <c r="F15" s="244"/>
      <c r="G15" s="244"/>
      <c r="H15" s="244"/>
      <c r="I15" s="244"/>
      <c r="J15" s="244"/>
      <c r="K15" s="244"/>
      <c r="L15" s="245"/>
      <c r="M15" s="246"/>
      <c r="N15" s="247"/>
      <c r="O15" s="435"/>
      <c r="P15" s="240"/>
      <c r="Q15" s="241"/>
      <c r="R15" s="239"/>
      <c r="S15" s="246"/>
      <c r="T15" s="239"/>
      <c r="U15" s="248"/>
    </row>
    <row r="16" spans="1:21" x14ac:dyDescent="0.4">
      <c r="A16" s="237"/>
      <c r="B16" s="238" t="s">
        <v>83</v>
      </c>
      <c r="C16" s="242"/>
      <c r="D16" s="249"/>
      <c r="E16" s="250"/>
      <c r="F16" s="250"/>
      <c r="G16" s="250"/>
      <c r="H16" s="250"/>
      <c r="I16" s="250"/>
      <c r="J16" s="250"/>
      <c r="K16" s="250"/>
      <c r="L16" s="251"/>
      <c r="M16" s="246"/>
      <c r="N16" s="247"/>
      <c r="O16" s="435"/>
      <c r="P16" s="240"/>
      <c r="Q16" s="241"/>
      <c r="R16" s="239"/>
      <c r="S16" s="246"/>
      <c r="T16" s="239"/>
      <c r="U16" s="248"/>
    </row>
    <row r="17" spans="1:21" x14ac:dyDescent="0.4">
      <c r="A17" s="252" t="s">
        <v>84</v>
      </c>
      <c r="B17" s="253" t="s">
        <v>85</v>
      </c>
      <c r="C17" s="257"/>
      <c r="D17" s="258"/>
      <c r="E17" s="259"/>
      <c r="F17" s="259"/>
      <c r="G17" s="259"/>
      <c r="H17" s="259"/>
      <c r="I17" s="259"/>
      <c r="J17" s="259"/>
      <c r="K17" s="259"/>
      <c r="L17" s="260"/>
      <c r="M17" s="261"/>
      <c r="N17" s="262"/>
      <c r="O17" s="436"/>
      <c r="P17" s="277"/>
      <c r="Q17" s="263"/>
      <c r="R17" s="264"/>
      <c r="S17" s="265"/>
      <c r="T17" s="264"/>
      <c r="U17" s="265"/>
    </row>
    <row r="18" spans="1:21" x14ac:dyDescent="0.4">
      <c r="A18" s="266" t="s">
        <v>86</v>
      </c>
      <c r="B18" s="267" t="s">
        <v>226</v>
      </c>
      <c r="C18" s="257"/>
      <c r="D18" s="258"/>
      <c r="E18" s="259"/>
      <c r="F18" s="259"/>
      <c r="G18" s="259"/>
      <c r="H18" s="259"/>
      <c r="I18" s="259"/>
      <c r="J18" s="259"/>
      <c r="K18" s="259"/>
      <c r="L18" s="260"/>
      <c r="M18" s="261"/>
      <c r="N18" s="262"/>
      <c r="O18" s="436"/>
      <c r="P18" s="277"/>
      <c r="Q18" s="263"/>
      <c r="R18" s="264"/>
      <c r="S18" s="265"/>
      <c r="T18" s="264"/>
      <c r="U18" s="265"/>
    </row>
    <row r="19" spans="1:21" x14ac:dyDescent="0.4">
      <c r="A19" s="268" t="s">
        <v>102</v>
      </c>
      <c r="B19" s="269" t="s">
        <v>103</v>
      </c>
      <c r="C19" s="257"/>
      <c r="D19" s="271"/>
      <c r="E19" s="259"/>
      <c r="F19" s="259"/>
      <c r="G19" s="259"/>
      <c r="H19" s="259"/>
      <c r="I19" s="259"/>
      <c r="J19" s="259"/>
      <c r="K19" s="259"/>
      <c r="L19" s="270"/>
      <c r="M19" s="272"/>
      <c r="N19" s="262"/>
      <c r="O19" s="436"/>
      <c r="P19" s="277"/>
      <c r="Q19" s="263"/>
      <c r="R19" s="264"/>
      <c r="S19" s="265"/>
      <c r="T19" s="264"/>
      <c r="U19" s="265"/>
    </row>
    <row r="20" spans="1:21" x14ac:dyDescent="0.4">
      <c r="A20" s="273" t="s">
        <v>111</v>
      </c>
      <c r="B20" s="269" t="s">
        <v>112</v>
      </c>
      <c r="C20" s="257"/>
      <c r="D20" s="271"/>
      <c r="E20" s="259"/>
      <c r="F20" s="259"/>
      <c r="G20" s="259"/>
      <c r="H20" s="259"/>
      <c r="I20" s="259"/>
      <c r="J20" s="259"/>
      <c r="K20" s="259"/>
      <c r="L20" s="270"/>
      <c r="M20" s="272"/>
      <c r="N20" s="262"/>
      <c r="O20" s="436"/>
      <c r="P20" s="277"/>
      <c r="Q20" s="263"/>
      <c r="R20" s="264"/>
      <c r="S20" s="265"/>
      <c r="T20" s="264"/>
      <c r="U20" s="265"/>
    </row>
    <row r="21" spans="1:21" x14ac:dyDescent="0.4">
      <c r="A21" s="268" t="s">
        <v>113</v>
      </c>
      <c r="B21" s="269" t="s">
        <v>114</v>
      </c>
      <c r="C21" s="272"/>
      <c r="D21" s="271"/>
      <c r="E21" s="259"/>
      <c r="F21" s="259"/>
      <c r="G21" s="259"/>
      <c r="H21" s="259"/>
      <c r="I21" s="259"/>
      <c r="J21" s="259"/>
      <c r="K21" s="259"/>
      <c r="L21" s="270"/>
      <c r="M21" s="272"/>
      <c r="N21" s="262"/>
      <c r="O21" s="436"/>
      <c r="P21" s="277"/>
      <c r="Q21" s="263"/>
      <c r="R21" s="264"/>
      <c r="S21" s="265"/>
      <c r="T21" s="264"/>
      <c r="U21" s="265"/>
    </row>
    <row r="22" spans="1:21" x14ac:dyDescent="0.4">
      <c r="A22" s="252" t="s">
        <v>122</v>
      </c>
      <c r="B22" s="253" t="s">
        <v>123</v>
      </c>
      <c r="C22" s="272"/>
      <c r="D22" s="271"/>
      <c r="E22" s="259"/>
      <c r="F22" s="259"/>
      <c r="G22" s="259"/>
      <c r="H22" s="259"/>
      <c r="I22" s="259"/>
      <c r="J22" s="259"/>
      <c r="K22" s="259"/>
      <c r="L22" s="270"/>
      <c r="M22" s="272"/>
      <c r="N22" s="262"/>
      <c r="O22" s="436"/>
      <c r="P22" s="277"/>
      <c r="Q22" s="263"/>
      <c r="R22" s="264"/>
      <c r="S22" s="265"/>
      <c r="T22" s="264"/>
      <c r="U22" s="265"/>
    </row>
    <row r="23" spans="1:21" x14ac:dyDescent="0.4">
      <c r="A23" s="273" t="s">
        <v>124</v>
      </c>
      <c r="B23" s="269" t="s">
        <v>125</v>
      </c>
      <c r="C23" s="272"/>
      <c r="D23" s="271"/>
      <c r="E23" s="259"/>
      <c r="F23" s="259"/>
      <c r="G23" s="259"/>
      <c r="H23" s="259"/>
      <c r="I23" s="259"/>
      <c r="J23" s="259"/>
      <c r="K23" s="259"/>
      <c r="L23" s="270"/>
      <c r="M23" s="272"/>
      <c r="N23" s="262"/>
      <c r="O23" s="436"/>
      <c r="P23" s="277"/>
      <c r="Q23" s="263"/>
      <c r="R23" s="264"/>
      <c r="S23" s="265"/>
      <c r="T23" s="264"/>
      <c r="U23" s="265"/>
    </row>
    <row r="24" spans="1:21" x14ac:dyDescent="0.4">
      <c r="A24" s="273" t="s">
        <v>128</v>
      </c>
      <c r="B24" s="269" t="s">
        <v>129</v>
      </c>
      <c r="C24" s="272"/>
      <c r="D24" s="271"/>
      <c r="E24" s="259"/>
      <c r="F24" s="259"/>
      <c r="G24" s="259"/>
      <c r="H24" s="259"/>
      <c r="I24" s="259"/>
      <c r="J24" s="259"/>
      <c r="K24" s="259"/>
      <c r="L24" s="270"/>
      <c r="M24" s="272"/>
      <c r="N24" s="262"/>
      <c r="O24" s="436"/>
      <c r="P24" s="277"/>
      <c r="Q24" s="263"/>
      <c r="R24" s="264"/>
      <c r="S24" s="265"/>
      <c r="T24" s="264"/>
      <c r="U24" s="265"/>
    </row>
    <row r="25" spans="1:21" x14ac:dyDescent="0.4">
      <c r="A25" s="273" t="s">
        <v>135</v>
      </c>
      <c r="B25" s="269" t="s">
        <v>136</v>
      </c>
      <c r="C25" s="272"/>
      <c r="D25" s="271"/>
      <c r="E25" s="259"/>
      <c r="F25" s="259"/>
      <c r="G25" s="259"/>
      <c r="H25" s="259"/>
      <c r="I25" s="259"/>
      <c r="J25" s="259"/>
      <c r="K25" s="259"/>
      <c r="L25" s="270"/>
      <c r="M25" s="272"/>
      <c r="N25" s="262"/>
      <c r="O25" s="436"/>
      <c r="P25" s="277"/>
      <c r="Q25" s="263"/>
      <c r="R25" s="264"/>
      <c r="S25" s="265"/>
      <c r="T25" s="264"/>
      <c r="U25" s="265"/>
    </row>
    <row r="26" spans="1:21" x14ac:dyDescent="0.4">
      <c r="A26" s="237">
        <v>2</v>
      </c>
      <c r="B26" s="238" t="s">
        <v>140</v>
      </c>
      <c r="C26" s="242"/>
      <c r="D26" s="274"/>
      <c r="E26" s="275"/>
      <c r="F26" s="275"/>
      <c r="G26" s="275"/>
      <c r="H26" s="275"/>
      <c r="I26" s="275"/>
      <c r="J26" s="275"/>
      <c r="K26" s="275"/>
      <c r="L26" s="245"/>
      <c r="M26" s="246"/>
      <c r="N26" s="247"/>
      <c r="O26" s="435"/>
      <c r="P26" s="240"/>
      <c r="Q26" s="241"/>
      <c r="R26" s="239"/>
      <c r="S26" s="246"/>
      <c r="T26" s="239"/>
      <c r="U26" s="246"/>
    </row>
    <row r="27" spans="1:21" x14ac:dyDescent="0.4">
      <c r="A27" s="237"/>
      <c r="B27" s="238" t="s">
        <v>141</v>
      </c>
      <c r="C27" s="246"/>
      <c r="D27" s="276"/>
      <c r="E27" s="250"/>
      <c r="F27" s="250"/>
      <c r="G27" s="250"/>
      <c r="H27" s="250"/>
      <c r="I27" s="250"/>
      <c r="J27" s="250"/>
      <c r="K27" s="250"/>
      <c r="L27" s="251"/>
      <c r="M27" s="246"/>
      <c r="N27" s="247"/>
      <c r="O27" s="435"/>
      <c r="P27" s="240"/>
      <c r="Q27" s="241"/>
      <c r="R27" s="239"/>
      <c r="S27" s="246"/>
      <c r="T27" s="239"/>
      <c r="U27" s="246"/>
    </row>
    <row r="28" spans="1:21" x14ac:dyDescent="0.4">
      <c r="A28" s="268" t="s">
        <v>142</v>
      </c>
      <c r="B28" s="269" t="s">
        <v>143</v>
      </c>
      <c r="C28" s="265"/>
      <c r="D28" s="278"/>
      <c r="E28" s="279"/>
      <c r="F28" s="279"/>
      <c r="G28" s="279"/>
      <c r="H28" s="279"/>
      <c r="I28" s="279"/>
      <c r="J28" s="279"/>
      <c r="K28" s="279"/>
      <c r="L28" s="264"/>
      <c r="M28" s="265"/>
      <c r="N28" s="262"/>
      <c r="O28" s="436"/>
      <c r="P28" s="277"/>
      <c r="Q28" s="263"/>
      <c r="R28" s="264"/>
      <c r="S28" s="265"/>
      <c r="T28" s="264"/>
      <c r="U28" s="265"/>
    </row>
    <row r="29" spans="1:21" x14ac:dyDescent="0.4">
      <c r="A29" s="273" t="s">
        <v>165</v>
      </c>
      <c r="B29" s="269" t="s">
        <v>166</v>
      </c>
      <c r="C29" s="265"/>
      <c r="D29" s="278"/>
      <c r="E29" s="279"/>
      <c r="F29" s="279"/>
      <c r="G29" s="279"/>
      <c r="H29" s="279"/>
      <c r="I29" s="279"/>
      <c r="J29" s="279"/>
      <c r="K29" s="279"/>
      <c r="L29" s="264"/>
      <c r="M29" s="265"/>
      <c r="N29" s="262"/>
      <c r="O29" s="436"/>
      <c r="P29" s="277"/>
      <c r="Q29" s="263"/>
      <c r="R29" s="264"/>
      <c r="S29" s="265"/>
      <c r="T29" s="264"/>
      <c r="U29" s="265"/>
    </row>
    <row r="30" spans="1:21" x14ac:dyDescent="0.4">
      <c r="A30" s="273" t="s">
        <v>227</v>
      </c>
      <c r="B30" s="269" t="s">
        <v>228</v>
      </c>
      <c r="C30" s="265"/>
      <c r="D30" s="278"/>
      <c r="E30" s="279"/>
      <c r="F30" s="279"/>
      <c r="G30" s="279"/>
      <c r="H30" s="279"/>
      <c r="I30" s="279"/>
      <c r="J30" s="279"/>
      <c r="K30" s="279"/>
      <c r="L30" s="264"/>
      <c r="M30" s="265"/>
      <c r="N30" s="262"/>
      <c r="O30" s="436"/>
      <c r="P30" s="277"/>
      <c r="Q30" s="263"/>
      <c r="R30" s="264"/>
      <c r="S30" s="265"/>
      <c r="T30" s="264"/>
      <c r="U30" s="265"/>
    </row>
    <row r="31" spans="1:21" x14ac:dyDescent="0.4">
      <c r="A31" s="273" t="s">
        <v>229</v>
      </c>
      <c r="B31" s="269" t="s">
        <v>230</v>
      </c>
      <c r="C31" s="265"/>
      <c r="D31" s="278"/>
      <c r="E31" s="279"/>
      <c r="F31" s="279"/>
      <c r="G31" s="279"/>
      <c r="H31" s="279"/>
      <c r="I31" s="279"/>
      <c r="J31" s="279"/>
      <c r="K31" s="279"/>
      <c r="L31" s="264"/>
      <c r="M31" s="265"/>
      <c r="N31" s="262"/>
      <c r="O31" s="436"/>
      <c r="P31" s="277"/>
      <c r="Q31" s="263"/>
      <c r="R31" s="264"/>
      <c r="S31" s="265"/>
      <c r="T31" s="264"/>
      <c r="U31" s="265"/>
    </row>
    <row r="32" spans="1:21" x14ac:dyDescent="0.4">
      <c r="A32" s="280">
        <v>3</v>
      </c>
      <c r="B32" s="238" t="s">
        <v>184</v>
      </c>
      <c r="C32" s="616"/>
      <c r="D32" s="616"/>
      <c r="E32" s="616"/>
      <c r="F32" s="616"/>
      <c r="G32" s="616"/>
      <c r="H32" s="616"/>
      <c r="I32" s="616"/>
      <c r="J32" s="616"/>
      <c r="K32" s="616"/>
      <c r="L32" s="616"/>
      <c r="M32" s="616"/>
      <c r="N32" s="616"/>
      <c r="O32" s="616"/>
      <c r="P32" s="616"/>
      <c r="Q32" s="616"/>
      <c r="R32" s="616"/>
      <c r="S32" s="616"/>
      <c r="T32" s="616"/>
      <c r="U32" s="617"/>
    </row>
    <row r="33" spans="1:21" x14ac:dyDescent="0.4">
      <c r="A33" s="280" t="s">
        <v>231</v>
      </c>
      <c r="B33" s="238" t="s">
        <v>232</v>
      </c>
      <c r="C33" s="246"/>
      <c r="D33" s="274"/>
      <c r="E33" s="275"/>
      <c r="F33" s="275"/>
      <c r="G33" s="275"/>
      <c r="H33" s="275"/>
      <c r="I33" s="275"/>
      <c r="J33" s="275"/>
      <c r="K33" s="275"/>
      <c r="L33" s="245" t="e">
        <f>#REF!</f>
        <v>#REF!</v>
      </c>
      <c r="M33" s="246"/>
      <c r="N33" s="247"/>
      <c r="O33" s="435"/>
      <c r="P33" s="435"/>
      <c r="Q33" s="241"/>
      <c r="R33" s="239"/>
      <c r="S33" s="246"/>
      <c r="T33" s="239"/>
      <c r="U33" s="246"/>
    </row>
    <row r="34" spans="1:21" ht="12.6" thickBot="1" x14ac:dyDescent="0.45">
      <c r="A34" s="281"/>
      <c r="B34" s="282" t="s">
        <v>185</v>
      </c>
      <c r="C34" s="286"/>
      <c r="D34" s="287"/>
      <c r="E34" s="288"/>
      <c r="F34" s="288"/>
      <c r="G34" s="288"/>
      <c r="H34" s="288"/>
      <c r="I34" s="288"/>
      <c r="J34" s="288"/>
      <c r="K34" s="288"/>
      <c r="L34" s="283"/>
      <c r="M34" s="289"/>
      <c r="N34" s="290"/>
      <c r="O34" s="437"/>
      <c r="P34" s="437"/>
      <c r="Q34" s="285"/>
      <c r="R34" s="291"/>
      <c r="S34" s="289"/>
      <c r="T34" s="291"/>
      <c r="U34" s="289"/>
    </row>
    <row r="35" spans="1:21" ht="12.6" thickTop="1" x14ac:dyDescent="0.4">
      <c r="A35" s="292"/>
      <c r="B35" s="293" t="s">
        <v>13</v>
      </c>
      <c r="C35" s="296"/>
      <c r="D35" s="297"/>
      <c r="E35" s="298"/>
      <c r="F35" s="299"/>
      <c r="G35" s="299"/>
      <c r="H35" s="299"/>
      <c r="I35" s="299"/>
      <c r="J35" s="299"/>
      <c r="K35" s="299"/>
      <c r="L35" s="300"/>
      <c r="M35" s="301"/>
      <c r="N35" s="302"/>
      <c r="O35" s="438"/>
      <c r="P35" s="438"/>
      <c r="Q35" s="293"/>
      <c r="R35" s="294"/>
      <c r="S35" s="301"/>
      <c r="T35" s="294"/>
      <c r="U35" s="301"/>
    </row>
    <row r="36" spans="1:21" ht="12.6" thickBot="1" x14ac:dyDescent="0.45">
      <c r="A36" s="303"/>
      <c r="B36" s="304" t="s">
        <v>186</v>
      </c>
      <c r="C36" s="308"/>
      <c r="D36" s="309"/>
      <c r="E36" s="310"/>
      <c r="F36" s="310"/>
      <c r="G36" s="310"/>
      <c r="H36" s="310"/>
      <c r="I36" s="310"/>
      <c r="J36" s="310"/>
      <c r="K36" s="310"/>
      <c r="L36" s="305"/>
      <c r="M36" s="311"/>
      <c r="N36" s="312"/>
      <c r="O36" s="439"/>
      <c r="P36" s="439"/>
      <c r="Q36" s="307"/>
      <c r="R36" s="305"/>
      <c r="S36" s="311"/>
      <c r="T36" s="305"/>
      <c r="U36" s="311"/>
    </row>
    <row r="37" spans="1:21" ht="12.9" thickTop="1" thickBot="1" x14ac:dyDescent="0.45">
      <c r="A37" s="313"/>
      <c r="B37" s="313"/>
      <c r="C37" s="314"/>
      <c r="D37" s="315"/>
      <c r="E37" s="315"/>
      <c r="F37" s="315"/>
      <c r="G37" s="315"/>
      <c r="H37" s="315"/>
      <c r="I37" s="315"/>
      <c r="J37" s="315"/>
      <c r="K37" s="315"/>
      <c r="L37" s="314"/>
      <c r="M37" s="314"/>
      <c r="N37" s="314"/>
      <c r="O37" s="314"/>
      <c r="P37" s="314"/>
      <c r="Q37" s="314"/>
      <c r="R37" s="314"/>
      <c r="S37" s="314"/>
      <c r="T37" s="314"/>
      <c r="U37" s="314"/>
    </row>
    <row r="38" spans="1:21" x14ac:dyDescent="0.4">
      <c r="A38" s="313"/>
      <c r="B38" s="313"/>
      <c r="C38" s="314"/>
      <c r="D38" s="618" t="s">
        <v>187</v>
      </c>
      <c r="E38" s="619"/>
      <c r="F38" s="619"/>
      <c r="G38" s="619"/>
      <c r="H38" s="619"/>
      <c r="I38" s="619"/>
      <c r="J38" s="620"/>
      <c r="K38" s="315"/>
      <c r="L38" s="314"/>
      <c r="M38" s="314"/>
      <c r="N38" s="314"/>
      <c r="O38" s="314"/>
      <c r="P38" s="314"/>
      <c r="Q38" s="314"/>
      <c r="R38" s="314"/>
      <c r="S38" s="314"/>
      <c r="T38" s="314"/>
      <c r="U38" s="314"/>
    </row>
    <row r="39" spans="1:21" x14ac:dyDescent="0.4">
      <c r="A39" s="316"/>
      <c r="B39" s="317"/>
      <c r="C39" s="319"/>
      <c r="D39" s="621"/>
      <c r="E39" s="622"/>
      <c r="F39" s="320" t="s">
        <v>69</v>
      </c>
      <c r="G39" s="623"/>
      <c r="H39" s="321" t="s">
        <v>71</v>
      </c>
      <c r="I39" s="322"/>
      <c r="J39" s="321" t="s">
        <v>73</v>
      </c>
      <c r="K39" s="323"/>
      <c r="L39" s="324"/>
      <c r="M39" s="324"/>
      <c r="N39" s="324"/>
      <c r="O39" s="324"/>
      <c r="P39" s="324"/>
      <c r="Q39" s="324"/>
      <c r="R39" s="324"/>
      <c r="S39" s="324"/>
      <c r="T39" s="324"/>
      <c r="U39" s="324"/>
    </row>
    <row r="40" spans="1:21" x14ac:dyDescent="0.4">
      <c r="A40" s="316"/>
      <c r="B40" s="317"/>
      <c r="C40" s="326"/>
      <c r="D40" s="626" t="s">
        <v>188</v>
      </c>
      <c r="E40" s="627"/>
      <c r="F40" s="327"/>
      <c r="G40" s="624"/>
      <c r="H40" s="328"/>
      <c r="I40" s="329"/>
      <c r="J40" s="328"/>
      <c r="K40" s="323"/>
      <c r="L40" s="330"/>
      <c r="M40" s="324"/>
      <c r="N40" s="324"/>
      <c r="O40" s="324"/>
      <c r="P40" s="324"/>
      <c r="Q40" s="324"/>
      <c r="R40" s="324"/>
      <c r="S40" s="324"/>
      <c r="T40" s="324"/>
      <c r="U40" s="324"/>
    </row>
    <row r="41" spans="1:21" x14ac:dyDescent="0.4">
      <c r="A41" s="316"/>
      <c r="B41" s="318"/>
      <c r="C41" s="326"/>
      <c r="D41" s="626" t="s">
        <v>189</v>
      </c>
      <c r="E41" s="627"/>
      <c r="F41" s="331"/>
      <c r="G41" s="624"/>
      <c r="H41" s="332"/>
      <c r="I41" s="329"/>
      <c r="J41" s="332"/>
      <c r="K41" s="323"/>
      <c r="L41" s="324"/>
      <c r="M41" s="324"/>
      <c r="N41" s="324"/>
      <c r="O41" s="324"/>
      <c r="P41" s="324"/>
      <c r="Q41" s="324"/>
      <c r="R41" s="324"/>
      <c r="S41" s="324"/>
      <c r="T41" s="324"/>
      <c r="U41" s="324"/>
    </row>
    <row r="42" spans="1:21" x14ac:dyDescent="0.4">
      <c r="A42" s="316"/>
      <c r="B42" s="318"/>
      <c r="C42" s="326"/>
      <c r="D42" s="626" t="s">
        <v>190</v>
      </c>
      <c r="E42" s="627"/>
      <c r="F42" s="333"/>
      <c r="G42" s="624"/>
      <c r="H42" s="332"/>
      <c r="I42" s="329"/>
      <c r="J42" s="332"/>
      <c r="K42" s="334"/>
      <c r="L42" s="324" t="s">
        <v>235</v>
      </c>
      <c r="M42" s="324"/>
      <c r="N42" s="324"/>
      <c r="O42" s="324"/>
      <c r="P42" s="324"/>
      <c r="Q42" s="324"/>
      <c r="R42" s="324"/>
      <c r="S42" s="324"/>
      <c r="T42" s="324"/>
      <c r="U42" s="324"/>
    </row>
    <row r="43" spans="1:21" ht="12.6" thickBot="1" x14ac:dyDescent="0.45">
      <c r="A43" s="316"/>
      <c r="B43" s="318"/>
      <c r="C43" s="326"/>
      <c r="D43" s="613" t="s">
        <v>191</v>
      </c>
      <c r="E43" s="614"/>
      <c r="F43" s="335"/>
      <c r="G43" s="625"/>
      <c r="H43" s="336"/>
      <c r="I43" s="337"/>
      <c r="J43" s="336"/>
      <c r="K43" s="338"/>
      <c r="L43" s="324"/>
      <c r="M43" s="324"/>
      <c r="N43" s="324"/>
      <c r="O43" s="324"/>
      <c r="P43" s="324"/>
      <c r="Q43" s="324"/>
      <c r="R43" s="324"/>
      <c r="S43" s="324"/>
      <c r="T43" s="324"/>
      <c r="U43" s="324"/>
    </row>
    <row r="44" spans="1:21" x14ac:dyDescent="0.4">
      <c r="A44" s="324"/>
      <c r="B44" s="324"/>
      <c r="C44" s="324"/>
      <c r="D44" s="338" t="s">
        <v>192</v>
      </c>
      <c r="E44" s="338"/>
      <c r="F44" s="338"/>
      <c r="G44" s="338"/>
      <c r="H44" s="338"/>
      <c r="I44" s="338"/>
      <c r="J44" s="338"/>
      <c r="K44" s="338"/>
      <c r="L44" s="324"/>
      <c r="M44" s="324"/>
      <c r="N44" s="324"/>
      <c r="O44" s="324"/>
      <c r="P44" s="324"/>
      <c r="Q44" s="324"/>
      <c r="R44" s="324"/>
      <c r="S44" s="324"/>
      <c r="T44" s="324"/>
      <c r="U44" s="324"/>
    </row>
  </sheetData>
  <mergeCells count="42">
    <mergeCell ref="C32:U32"/>
    <mergeCell ref="A7:U7"/>
    <mergeCell ref="A1:U1"/>
    <mergeCell ref="A3:U3"/>
    <mergeCell ref="A4:U4"/>
    <mergeCell ref="A5:U5"/>
    <mergeCell ref="A6:U6"/>
    <mergeCell ref="A8:U8"/>
    <mergeCell ref="A9:U9"/>
    <mergeCell ref="D12:K12"/>
    <mergeCell ref="L12:M12"/>
    <mergeCell ref="N12:Q12"/>
    <mergeCell ref="R12:S12"/>
    <mergeCell ref="T12:U12"/>
    <mergeCell ref="A13:A14"/>
    <mergeCell ref="B13:B14"/>
    <mergeCell ref="M13:M14"/>
    <mergeCell ref="N13:N14"/>
    <mergeCell ref="I13:I14"/>
    <mergeCell ref="J13:J14"/>
    <mergeCell ref="K13:K14"/>
    <mergeCell ref="C13:C14"/>
    <mergeCell ref="D13:D14"/>
    <mergeCell ref="E13:E14"/>
    <mergeCell ref="F13:F14"/>
    <mergeCell ref="G13:G14"/>
    <mergeCell ref="U13:U14"/>
    <mergeCell ref="D39:E39"/>
    <mergeCell ref="G39:G43"/>
    <mergeCell ref="D40:E40"/>
    <mergeCell ref="D41:E41"/>
    <mergeCell ref="D42:E42"/>
    <mergeCell ref="D43:E43"/>
    <mergeCell ref="L13:L14"/>
    <mergeCell ref="Q13:Q14"/>
    <mergeCell ref="R13:R14"/>
    <mergeCell ref="S13:S14"/>
    <mergeCell ref="T13:T14"/>
    <mergeCell ref="H13:H14"/>
    <mergeCell ref="D38:J38"/>
    <mergeCell ref="O13:O14"/>
    <mergeCell ref="P13:P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V60"/>
  <sheetViews>
    <sheetView zoomScale="120" zoomScaleNormal="120" workbookViewId="0">
      <selection activeCell="D21" sqref="D21"/>
    </sheetView>
  </sheetViews>
  <sheetFormatPr defaultColWidth="9" defaultRowHeight="12.3" x14ac:dyDescent="0.4"/>
  <cols>
    <col min="2" max="2" width="44.5" bestFit="1" customWidth="1"/>
    <col min="22" max="22" width="9.5" customWidth="1"/>
  </cols>
  <sheetData>
    <row r="1" spans="1:74" x14ac:dyDescent="0.4">
      <c r="A1" s="648" t="s">
        <v>237</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ht="12.6" thickBot="1" x14ac:dyDescent="0.45">
      <c r="A2" s="9"/>
      <c r="B2" s="2"/>
      <c r="C2" s="1"/>
      <c r="D2" s="1"/>
      <c r="E2" s="1"/>
      <c r="F2" s="1"/>
      <c r="G2" s="1"/>
      <c r="H2" s="1"/>
      <c r="I2" s="15"/>
      <c r="J2" s="15"/>
      <c r="K2" s="15"/>
      <c r="L2" s="15"/>
      <c r="M2" s="15"/>
      <c r="N2" s="15"/>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x14ac:dyDescent="0.4">
      <c r="A3" s="649" t="s">
        <v>211</v>
      </c>
      <c r="B3" s="650"/>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0"/>
      <c r="AE3" s="650"/>
      <c r="AF3" s="65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x14ac:dyDescent="0.4">
      <c r="A4" s="652" t="s">
        <v>212</v>
      </c>
      <c r="B4" s="653"/>
      <c r="C4" s="653"/>
      <c r="D4" s="653"/>
      <c r="E4" s="653"/>
      <c r="F4" s="653"/>
      <c r="G4" s="653"/>
      <c r="H4" s="653"/>
      <c r="I4" s="653"/>
      <c r="J4" s="653"/>
      <c r="K4" s="653"/>
      <c r="L4" s="653"/>
      <c r="M4" s="653"/>
      <c r="N4" s="653"/>
      <c r="O4" s="653"/>
      <c r="P4" s="653"/>
      <c r="Q4" s="653"/>
      <c r="R4" s="653"/>
      <c r="S4" s="653"/>
      <c r="T4" s="653"/>
      <c r="U4" s="653"/>
      <c r="V4" s="653"/>
      <c r="W4" s="653"/>
      <c r="X4" s="653"/>
      <c r="Y4" s="653"/>
      <c r="Z4" s="653"/>
      <c r="AA4" s="653"/>
      <c r="AB4" s="653"/>
      <c r="AC4" s="653"/>
      <c r="AD4" s="653"/>
      <c r="AE4" s="653"/>
      <c r="AF4" s="654"/>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x14ac:dyDescent="0.4">
      <c r="A5" s="652" t="s">
        <v>213</v>
      </c>
      <c r="B5" s="653"/>
      <c r="C5" s="653"/>
      <c r="D5" s="653"/>
      <c r="E5" s="653"/>
      <c r="F5" s="653"/>
      <c r="G5" s="653"/>
      <c r="H5" s="653"/>
      <c r="I5" s="653"/>
      <c r="J5" s="653"/>
      <c r="K5" s="653"/>
      <c r="L5" s="653"/>
      <c r="M5" s="653"/>
      <c r="N5" s="653"/>
      <c r="O5" s="653"/>
      <c r="P5" s="653"/>
      <c r="Q5" s="653"/>
      <c r="R5" s="653"/>
      <c r="S5" s="653"/>
      <c r="T5" s="653"/>
      <c r="U5" s="653"/>
      <c r="V5" s="653"/>
      <c r="W5" s="653"/>
      <c r="X5" s="653"/>
      <c r="Y5" s="653"/>
      <c r="Z5" s="653"/>
      <c r="AA5" s="653"/>
      <c r="AB5" s="653"/>
      <c r="AC5" s="653"/>
      <c r="AD5" s="653"/>
      <c r="AE5" s="653"/>
      <c r="AF5" s="654"/>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row>
    <row r="6" spans="1:74" x14ac:dyDescent="0.4">
      <c r="A6" s="64" t="s">
        <v>238</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6"/>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row>
    <row r="7" spans="1:74" x14ac:dyDescent="0.4">
      <c r="A7" s="64" t="s">
        <v>215</v>
      </c>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5"/>
      <c r="AE7" s="65"/>
      <c r="AF7" s="66"/>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row>
    <row r="8" spans="1:74" ht="12.6" thickBot="1" x14ac:dyDescent="0.45">
      <c r="A8" s="655" t="s">
        <v>239</v>
      </c>
      <c r="B8" s="656"/>
      <c r="C8" s="656"/>
      <c r="D8" s="656"/>
      <c r="E8" s="656"/>
      <c r="F8" s="656"/>
      <c r="G8" s="656"/>
      <c r="H8" s="656"/>
      <c r="I8" s="656"/>
      <c r="J8" s="656"/>
      <c r="K8" s="656"/>
      <c r="L8" s="656"/>
      <c r="M8" s="656"/>
      <c r="N8" s="656"/>
      <c r="O8" s="656"/>
      <c r="P8" s="656"/>
      <c r="Q8" s="656"/>
      <c r="R8" s="656"/>
      <c r="S8" s="656"/>
      <c r="T8" s="656"/>
      <c r="U8" s="656"/>
      <c r="V8" s="656"/>
      <c r="W8" s="656"/>
      <c r="X8" s="656"/>
      <c r="Y8" s="656"/>
      <c r="Z8" s="656"/>
      <c r="AA8" s="656"/>
      <c r="AB8" s="656"/>
      <c r="AC8" s="656"/>
      <c r="AD8" s="656"/>
      <c r="AE8" s="656"/>
      <c r="AF8" s="657"/>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row>
    <row r="9" spans="1:74" x14ac:dyDescent="0.4">
      <c r="A9" s="67"/>
      <c r="B9" s="67"/>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6"/>
      <c r="BM9" s="6"/>
      <c r="BN9" s="6"/>
      <c r="BO9" s="6"/>
      <c r="BP9" s="6"/>
      <c r="BQ9" s="6"/>
      <c r="BR9" s="6"/>
      <c r="BS9" s="6"/>
      <c r="BT9" s="6"/>
      <c r="BU9" s="6"/>
      <c r="BV9" s="6"/>
    </row>
    <row r="10" spans="1:74" x14ac:dyDescent="0.4">
      <c r="A10" s="3" t="s">
        <v>240</v>
      </c>
      <c r="B10" s="8"/>
      <c r="C10" s="68"/>
      <c r="D10" s="68"/>
      <c r="E10" s="68"/>
      <c r="F10" s="68"/>
      <c r="G10" s="68"/>
      <c r="H10" s="68"/>
      <c r="I10" s="16"/>
      <c r="J10" s="16"/>
      <c r="K10" s="16"/>
      <c r="L10" s="16"/>
      <c r="M10" s="16"/>
      <c r="N10" s="16"/>
      <c r="O10" s="60"/>
      <c r="P10" s="60"/>
      <c r="Q10" s="60"/>
      <c r="R10" s="60"/>
      <c r="S10" s="60"/>
      <c r="T10" s="60"/>
      <c r="U10" s="60"/>
      <c r="V10" s="60"/>
      <c r="W10" s="60"/>
      <c r="X10" s="60"/>
      <c r="Y10" s="60"/>
      <c r="Z10" s="60"/>
      <c r="AA10" s="60"/>
      <c r="AB10" s="60"/>
      <c r="AC10" s="60"/>
      <c r="AD10" s="60"/>
      <c r="AE10" s="60"/>
      <c r="AF10" s="60"/>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row>
    <row r="11" spans="1:74" x14ac:dyDescent="0.4">
      <c r="A11" s="3"/>
      <c r="B11" s="8"/>
      <c r="C11" s="658" t="s">
        <v>241</v>
      </c>
      <c r="D11" s="643"/>
      <c r="E11" s="643"/>
      <c r="F11" s="643"/>
      <c r="G11" s="643"/>
      <c r="H11" s="643"/>
      <c r="I11" s="643"/>
      <c r="J11" s="643"/>
      <c r="K11" s="643"/>
      <c r="L11" s="643"/>
      <c r="M11" s="643"/>
      <c r="N11" s="69"/>
      <c r="O11" s="645" t="s">
        <v>56</v>
      </c>
      <c r="P11" s="659"/>
      <c r="Q11" s="659"/>
      <c r="R11" s="659"/>
      <c r="S11" s="659"/>
      <c r="T11" s="659"/>
      <c r="U11" s="659"/>
      <c r="V11" s="646"/>
      <c r="W11" s="647"/>
      <c r="X11" s="659" t="s">
        <v>57</v>
      </c>
      <c r="Y11" s="646"/>
      <c r="Z11" s="658"/>
      <c r="AA11" s="642" t="s">
        <v>58</v>
      </c>
      <c r="AB11" s="643"/>
      <c r="AC11" s="644"/>
      <c r="AD11" s="645" t="s">
        <v>59</v>
      </c>
      <c r="AE11" s="646"/>
      <c r="AF11" s="647"/>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row>
    <row r="12" spans="1:74" ht="31.5" x14ac:dyDescent="0.4">
      <c r="A12" s="70" t="s">
        <v>60</v>
      </c>
      <c r="B12" s="36" t="s">
        <v>61</v>
      </c>
      <c r="C12" s="167" t="s">
        <v>242</v>
      </c>
      <c r="D12" s="10" t="s">
        <v>243</v>
      </c>
      <c r="E12" s="430" t="s">
        <v>244</v>
      </c>
      <c r="F12" s="167" t="s">
        <v>245</v>
      </c>
      <c r="G12" s="10" t="s">
        <v>246</v>
      </c>
      <c r="H12" s="178" t="s">
        <v>247</v>
      </c>
      <c r="I12" s="57" t="s">
        <v>248</v>
      </c>
      <c r="J12" s="71" t="s">
        <v>249</v>
      </c>
      <c r="K12" s="19" t="s">
        <v>250</v>
      </c>
      <c r="L12" s="57" t="s">
        <v>251</v>
      </c>
      <c r="M12" s="71" t="s">
        <v>252</v>
      </c>
      <c r="N12" s="51" t="s">
        <v>253</v>
      </c>
      <c r="O12" s="11" t="s">
        <v>254</v>
      </c>
      <c r="P12" s="11" t="s">
        <v>255</v>
      </c>
      <c r="Q12" s="11" t="s">
        <v>34</v>
      </c>
      <c r="R12" s="198" t="s">
        <v>256</v>
      </c>
      <c r="S12" s="198" t="s">
        <v>257</v>
      </c>
      <c r="T12" s="198" t="s">
        <v>258</v>
      </c>
      <c r="U12" s="198" t="s">
        <v>259</v>
      </c>
      <c r="V12" s="199" t="s">
        <v>260</v>
      </c>
      <c r="W12" s="35" t="s">
        <v>261</v>
      </c>
      <c r="X12" s="11" t="s">
        <v>262</v>
      </c>
      <c r="Y12" s="10" t="s">
        <v>260</v>
      </c>
      <c r="Z12" s="35" t="s">
        <v>261</v>
      </c>
      <c r="AA12" s="12" t="s">
        <v>254</v>
      </c>
      <c r="AB12" s="10" t="s">
        <v>260</v>
      </c>
      <c r="AC12" s="35" t="s">
        <v>261</v>
      </c>
      <c r="AD12" s="12" t="s">
        <v>262</v>
      </c>
      <c r="AE12" s="10" t="s">
        <v>260</v>
      </c>
      <c r="AF12" s="35" t="s">
        <v>261</v>
      </c>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row>
    <row r="13" spans="1:74" x14ac:dyDescent="0.4">
      <c r="A13" s="72">
        <v>1</v>
      </c>
      <c r="B13" s="37" t="s">
        <v>82</v>
      </c>
      <c r="C13" s="73">
        <v>0</v>
      </c>
      <c r="D13" s="166"/>
      <c r="E13" s="431"/>
      <c r="F13" s="73"/>
      <c r="G13" s="166"/>
      <c r="H13" s="78" t="e">
        <f>G135/F13</f>
        <v>#DIV/0!</v>
      </c>
      <c r="I13" s="74"/>
      <c r="J13" s="21"/>
      <c r="K13" s="78" t="e">
        <f>J135/I13</f>
        <v>#DIV/0!</v>
      </c>
      <c r="L13" s="74"/>
      <c r="M13" s="21"/>
      <c r="N13" s="78" t="e">
        <f>M135/L13</f>
        <v>#DIV/0!</v>
      </c>
      <c r="O13" s="75"/>
      <c r="P13" s="75"/>
      <c r="Q13" s="75"/>
      <c r="R13" s="75"/>
      <c r="S13" s="75"/>
      <c r="T13" s="75"/>
      <c r="U13" s="75"/>
      <c r="V13" s="76"/>
      <c r="W13" s="78" t="e">
        <f>V13/Q13</f>
        <v>#DIV/0!</v>
      </c>
      <c r="X13" s="22"/>
      <c r="Y13" s="77"/>
      <c r="Z13" s="20" t="e">
        <f>Y13/X13</f>
        <v>#DIV/0!</v>
      </c>
      <c r="AA13" s="24"/>
      <c r="AB13" s="77"/>
      <c r="AC13" s="23" t="e">
        <f>AB13/AA13</f>
        <v>#DIV/0!</v>
      </c>
      <c r="AD13" s="24"/>
      <c r="AE13" s="22"/>
      <c r="AF13" s="339" t="e">
        <f>AE13/AD13</f>
        <v>#DIV/0!</v>
      </c>
      <c r="AG13" s="25"/>
      <c r="AH13" s="9"/>
      <c r="AI13" s="9"/>
      <c r="AJ13" s="9"/>
      <c r="AK13" s="9"/>
      <c r="AL13" s="9"/>
      <c r="AM13" s="9"/>
      <c r="AN13" s="9"/>
      <c r="AO13" s="9"/>
      <c r="AP13" s="9"/>
      <c r="AQ13" s="9"/>
      <c r="AR13" s="9"/>
      <c r="AS13" s="9"/>
      <c r="AT13" s="9"/>
      <c r="AU13" s="9"/>
      <c r="AV13" s="25"/>
      <c r="AW13" s="25"/>
      <c r="AX13" s="25"/>
      <c r="AY13" s="25"/>
      <c r="AZ13" s="25"/>
      <c r="BA13" s="25"/>
      <c r="BB13" s="25"/>
      <c r="BC13" s="25"/>
      <c r="BD13" s="25"/>
      <c r="BE13" s="25"/>
      <c r="BF13" s="25"/>
      <c r="BG13" s="25"/>
      <c r="BH13" s="25"/>
      <c r="BI13" s="25"/>
      <c r="BJ13" s="25"/>
      <c r="BK13" s="25"/>
      <c r="BL13" s="9"/>
      <c r="BM13" s="9"/>
      <c r="BN13" s="9"/>
      <c r="BO13" s="9"/>
      <c r="BP13" s="9"/>
      <c r="BQ13" s="9"/>
      <c r="BR13" s="9"/>
      <c r="BS13" s="9"/>
      <c r="BT13" s="9"/>
      <c r="BU13" s="9"/>
      <c r="BV13" s="9"/>
    </row>
    <row r="14" spans="1:74" x14ac:dyDescent="0.4">
      <c r="A14" s="72"/>
      <c r="B14" s="37" t="s">
        <v>263</v>
      </c>
      <c r="C14" s="79"/>
      <c r="D14" s="83" t="e">
        <f>$D$13/$D$34</f>
        <v>#DIV/0!</v>
      </c>
      <c r="E14" s="164"/>
      <c r="F14" s="79"/>
      <c r="G14" s="83"/>
      <c r="H14" s="164"/>
      <c r="I14" s="55"/>
      <c r="J14" s="26"/>
      <c r="K14" s="80"/>
      <c r="L14" s="55"/>
      <c r="M14" s="26"/>
      <c r="N14" s="81"/>
      <c r="O14" s="82"/>
      <c r="P14" s="82"/>
      <c r="Q14" s="82" t="e">
        <f>Q13/$Q$34</f>
        <v>#DIV/0!</v>
      </c>
      <c r="R14" s="82"/>
      <c r="S14" s="82"/>
      <c r="T14" s="82"/>
      <c r="U14" s="82"/>
      <c r="V14" s="83"/>
      <c r="W14" s="52"/>
      <c r="X14" s="22"/>
      <c r="Y14" s="77"/>
      <c r="Z14" s="20"/>
      <c r="AA14" s="24"/>
      <c r="AB14" s="77"/>
      <c r="AC14" s="23"/>
      <c r="AD14" s="24"/>
      <c r="AE14" s="22"/>
      <c r="AF14" s="78"/>
      <c r="AG14" s="25"/>
      <c r="AH14" s="9"/>
      <c r="AI14" s="9"/>
      <c r="AJ14" s="9"/>
      <c r="AK14" s="9"/>
      <c r="AL14" s="9"/>
      <c r="AM14" s="9"/>
      <c r="AN14" s="9"/>
      <c r="AO14" s="9"/>
      <c r="AP14" s="9"/>
      <c r="AQ14" s="9"/>
      <c r="AR14" s="9"/>
      <c r="AS14" s="9"/>
      <c r="AT14" s="9"/>
      <c r="AU14" s="9"/>
      <c r="AV14" s="25"/>
      <c r="AW14" s="25"/>
      <c r="AX14" s="25"/>
      <c r="AY14" s="25"/>
      <c r="AZ14" s="25"/>
      <c r="BA14" s="25"/>
      <c r="BB14" s="25"/>
      <c r="BC14" s="25"/>
      <c r="BD14" s="25"/>
      <c r="BE14" s="25"/>
      <c r="BF14" s="25"/>
      <c r="BG14" s="25"/>
      <c r="BH14" s="25"/>
      <c r="BI14" s="25"/>
      <c r="BJ14" s="25"/>
      <c r="BK14" s="25"/>
      <c r="BL14" s="9"/>
      <c r="BM14" s="9"/>
      <c r="BN14" s="9"/>
      <c r="BO14" s="9"/>
      <c r="BP14" s="9"/>
      <c r="BQ14" s="9"/>
      <c r="BR14" s="9"/>
      <c r="BS14" s="9"/>
      <c r="BT14" s="9"/>
      <c r="BU14" s="9"/>
      <c r="BV14" s="9"/>
    </row>
    <row r="15" spans="1:74" x14ac:dyDescent="0.4">
      <c r="A15" s="84" t="s">
        <v>84</v>
      </c>
      <c r="B15" s="38" t="s">
        <v>85</v>
      </c>
      <c r="C15" s="85"/>
      <c r="D15" s="88"/>
      <c r="E15" s="165"/>
      <c r="F15" s="85"/>
      <c r="G15" s="88"/>
      <c r="H15" s="165"/>
      <c r="I15" s="86"/>
      <c r="J15" s="87"/>
      <c r="K15" s="88"/>
      <c r="L15" s="89"/>
      <c r="M15" s="90"/>
      <c r="N15" s="91"/>
      <c r="O15" s="92"/>
      <c r="P15" s="92"/>
      <c r="Q15" s="92"/>
      <c r="R15" s="92"/>
      <c r="S15" s="92"/>
      <c r="T15" s="92"/>
      <c r="U15" s="92"/>
      <c r="V15" s="93"/>
      <c r="W15" s="94"/>
      <c r="X15" s="28"/>
      <c r="Y15" s="95"/>
      <c r="Z15" s="30"/>
      <c r="AA15" s="31"/>
      <c r="AB15" s="95"/>
      <c r="AC15" s="29"/>
      <c r="AD15" s="31"/>
      <c r="AE15" s="28"/>
      <c r="AF15" s="96"/>
      <c r="AG15" s="33"/>
      <c r="AH15" s="2"/>
      <c r="AI15" s="2"/>
      <c r="AJ15" s="2"/>
      <c r="AK15" s="2"/>
      <c r="AL15" s="2"/>
      <c r="AM15" s="2"/>
      <c r="AN15" s="2"/>
      <c r="AO15" s="2"/>
      <c r="AP15" s="2"/>
      <c r="AQ15" s="2"/>
      <c r="AR15" s="2"/>
      <c r="AS15" s="2"/>
      <c r="AT15" s="2"/>
      <c r="AU15" s="2"/>
      <c r="AV15" s="25"/>
      <c r="AW15" s="25"/>
      <c r="AX15" s="25"/>
      <c r="AY15" s="25"/>
      <c r="AZ15" s="25"/>
      <c r="BA15" s="25"/>
      <c r="BB15" s="25"/>
      <c r="BC15" s="25"/>
      <c r="BD15" s="25"/>
      <c r="BE15" s="25"/>
      <c r="BF15" s="25"/>
      <c r="BG15" s="25"/>
      <c r="BH15" s="25"/>
      <c r="BI15" s="25"/>
      <c r="BJ15" s="25"/>
      <c r="BK15" s="25"/>
      <c r="BL15" s="2"/>
      <c r="BM15" s="2"/>
      <c r="BN15" s="2"/>
      <c r="BO15" s="2"/>
      <c r="BP15" s="2"/>
      <c r="BQ15" s="2"/>
      <c r="BR15" s="2"/>
      <c r="BS15" s="2"/>
      <c r="BT15" s="2"/>
      <c r="BU15" s="2"/>
      <c r="BV15" s="2"/>
    </row>
    <row r="16" spans="1:74" x14ac:dyDescent="0.4">
      <c r="A16" s="97" t="s">
        <v>102</v>
      </c>
      <c r="B16" s="38" t="s">
        <v>103</v>
      </c>
      <c r="C16" s="85"/>
      <c r="D16" s="88"/>
      <c r="E16" s="165"/>
      <c r="F16" s="85"/>
      <c r="G16" s="88"/>
      <c r="H16" s="165"/>
      <c r="I16" s="86"/>
      <c r="J16" s="87"/>
      <c r="K16" s="88"/>
      <c r="L16" s="89"/>
      <c r="M16" s="90"/>
      <c r="N16" s="91"/>
      <c r="O16" s="98"/>
      <c r="P16" s="98"/>
      <c r="Q16" s="98"/>
      <c r="R16" s="98"/>
      <c r="S16" s="98"/>
      <c r="T16" s="98"/>
      <c r="U16" s="98"/>
      <c r="V16" s="27"/>
      <c r="W16" s="34"/>
      <c r="X16" s="28"/>
      <c r="Y16" s="95"/>
      <c r="Z16" s="30"/>
      <c r="AA16" s="31"/>
      <c r="AB16" s="95"/>
      <c r="AC16" s="29"/>
      <c r="AD16" s="31"/>
      <c r="AE16" s="28"/>
      <c r="AF16" s="96"/>
      <c r="AG16" s="33"/>
      <c r="AH16" s="2"/>
      <c r="AI16" s="2"/>
      <c r="AJ16" s="2"/>
      <c r="AK16" s="2"/>
      <c r="AL16" s="2"/>
      <c r="AM16" s="2"/>
      <c r="AN16" s="2"/>
      <c r="AO16" s="2"/>
      <c r="AP16" s="2"/>
      <c r="AQ16" s="2"/>
      <c r="AR16" s="2"/>
      <c r="AS16" s="2"/>
      <c r="AT16" s="2"/>
      <c r="AU16" s="2"/>
      <c r="AV16" s="25"/>
      <c r="AW16" s="25"/>
      <c r="AX16" s="25"/>
      <c r="AY16" s="25"/>
      <c r="AZ16" s="25"/>
      <c r="BA16" s="25"/>
      <c r="BB16" s="25"/>
      <c r="BC16" s="25"/>
      <c r="BD16" s="25"/>
      <c r="BE16" s="25"/>
      <c r="BF16" s="25"/>
      <c r="BG16" s="25"/>
      <c r="BH16" s="25"/>
      <c r="BI16" s="25"/>
      <c r="BJ16" s="25"/>
      <c r="BK16" s="25"/>
      <c r="BL16" s="2"/>
      <c r="BM16" s="2"/>
      <c r="BN16" s="2"/>
      <c r="BO16" s="2"/>
      <c r="BP16" s="2"/>
      <c r="BQ16" s="2"/>
      <c r="BR16" s="2"/>
      <c r="BS16" s="2"/>
      <c r="BT16" s="2"/>
      <c r="BU16" s="2"/>
      <c r="BV16" s="2"/>
    </row>
    <row r="17" spans="1:74" x14ac:dyDescent="0.4">
      <c r="A17" s="84" t="s">
        <v>111</v>
      </c>
      <c r="B17" s="38" t="s">
        <v>112</v>
      </c>
      <c r="C17" s="85"/>
      <c r="D17" s="88"/>
      <c r="E17" s="165"/>
      <c r="F17" s="85"/>
      <c r="G17" s="88"/>
      <c r="H17" s="165"/>
      <c r="I17" s="86"/>
      <c r="J17" s="87"/>
      <c r="K17" s="88"/>
      <c r="L17" s="89"/>
      <c r="M17" s="90"/>
      <c r="N17" s="91"/>
      <c r="O17" s="98"/>
      <c r="P17" s="98"/>
      <c r="Q17" s="98"/>
      <c r="R17" s="98"/>
      <c r="S17" s="98"/>
      <c r="T17" s="98"/>
      <c r="U17" s="98"/>
      <c r="V17" s="27"/>
      <c r="W17" s="34"/>
      <c r="X17" s="28"/>
      <c r="Y17" s="95"/>
      <c r="Z17" s="30"/>
      <c r="AA17" s="31"/>
      <c r="AB17" s="95"/>
      <c r="AC17" s="29"/>
      <c r="AD17" s="31"/>
      <c r="AE17" s="28"/>
      <c r="AF17" s="96"/>
      <c r="AG17" s="33"/>
      <c r="AH17" s="2"/>
      <c r="AI17" s="2"/>
      <c r="AJ17" s="2"/>
      <c r="AK17" s="2"/>
      <c r="AL17" s="2"/>
      <c r="AM17" s="2"/>
      <c r="AN17" s="2"/>
      <c r="AO17" s="2"/>
      <c r="AP17" s="2"/>
      <c r="AQ17" s="2"/>
      <c r="AR17" s="2"/>
      <c r="AS17" s="2"/>
      <c r="AT17" s="2"/>
      <c r="AU17" s="2"/>
      <c r="AV17" s="25"/>
      <c r="AW17" s="25"/>
      <c r="AX17" s="25"/>
      <c r="AY17" s="25"/>
      <c r="AZ17" s="25"/>
      <c r="BA17" s="25"/>
      <c r="BB17" s="25"/>
      <c r="BC17" s="25"/>
      <c r="BD17" s="25"/>
      <c r="BE17" s="25"/>
      <c r="BF17" s="25"/>
      <c r="BG17" s="25"/>
      <c r="BH17" s="25"/>
      <c r="BI17" s="25"/>
      <c r="BJ17" s="25"/>
      <c r="BK17" s="25"/>
      <c r="BL17" s="2"/>
      <c r="BM17" s="2"/>
      <c r="BN17" s="2"/>
      <c r="BO17" s="2"/>
      <c r="BP17" s="2"/>
      <c r="BQ17" s="2"/>
      <c r="BR17" s="2"/>
      <c r="BS17" s="2"/>
      <c r="BT17" s="2"/>
      <c r="BU17" s="2"/>
      <c r="BV17" s="2"/>
    </row>
    <row r="18" spans="1:74" x14ac:dyDescent="0.4">
      <c r="A18" s="97" t="s">
        <v>113</v>
      </c>
      <c r="B18" s="38" t="s">
        <v>114</v>
      </c>
      <c r="C18" s="85"/>
      <c r="D18" s="88"/>
      <c r="E18" s="165"/>
      <c r="F18" s="85"/>
      <c r="G18" s="88"/>
      <c r="H18" s="165"/>
      <c r="I18" s="86"/>
      <c r="J18" s="87"/>
      <c r="K18" s="88"/>
      <c r="L18" s="89"/>
      <c r="M18" s="90"/>
      <c r="N18" s="91"/>
      <c r="O18" s="98"/>
      <c r="P18" s="98"/>
      <c r="Q18" s="98"/>
      <c r="R18" s="98"/>
      <c r="S18" s="98"/>
      <c r="T18" s="98"/>
      <c r="U18" s="98"/>
      <c r="V18" s="27"/>
      <c r="W18" s="34"/>
      <c r="X18" s="28"/>
      <c r="Y18" s="95"/>
      <c r="Z18" s="30"/>
      <c r="AA18" s="31"/>
      <c r="AB18" s="95"/>
      <c r="AC18" s="29"/>
      <c r="AD18" s="31"/>
      <c r="AE18" s="28"/>
      <c r="AF18" s="96"/>
      <c r="AG18" s="33"/>
      <c r="AH18" s="2"/>
      <c r="AI18" s="2"/>
      <c r="AJ18" s="2"/>
      <c r="AK18" s="2"/>
      <c r="AL18" s="2"/>
      <c r="AM18" s="2"/>
      <c r="AN18" s="2"/>
      <c r="AO18" s="2"/>
      <c r="AP18" s="2"/>
      <c r="AQ18" s="2"/>
      <c r="AR18" s="2"/>
      <c r="AS18" s="2"/>
      <c r="AT18" s="2"/>
      <c r="AU18" s="2"/>
      <c r="AV18" s="25"/>
      <c r="AW18" s="25"/>
      <c r="AX18" s="25"/>
      <c r="AY18" s="25"/>
      <c r="AZ18" s="25"/>
      <c r="BA18" s="25"/>
      <c r="BB18" s="25"/>
      <c r="BC18" s="25"/>
      <c r="BD18" s="25"/>
      <c r="BE18" s="25"/>
      <c r="BF18" s="25"/>
      <c r="BG18" s="25"/>
      <c r="BH18" s="25"/>
      <c r="BI18" s="25"/>
      <c r="BJ18" s="25"/>
      <c r="BK18" s="25"/>
      <c r="BL18" s="2"/>
      <c r="BM18" s="2"/>
      <c r="BN18" s="2"/>
      <c r="BO18" s="2"/>
      <c r="BP18" s="2"/>
      <c r="BQ18" s="2"/>
      <c r="BR18" s="2"/>
      <c r="BS18" s="2"/>
      <c r="BT18" s="2"/>
      <c r="BU18" s="2"/>
      <c r="BV18" s="2"/>
    </row>
    <row r="19" spans="1:74" x14ac:dyDescent="0.4">
      <c r="A19" s="84" t="s">
        <v>122</v>
      </c>
      <c r="B19" s="38" t="s">
        <v>123</v>
      </c>
      <c r="C19" s="85"/>
      <c r="D19" s="88"/>
      <c r="E19" s="165"/>
      <c r="F19" s="85"/>
      <c r="G19" s="88"/>
      <c r="H19" s="165"/>
      <c r="I19" s="86"/>
      <c r="J19" s="87"/>
      <c r="K19" s="88"/>
      <c r="L19" s="89"/>
      <c r="M19" s="90"/>
      <c r="N19" s="91"/>
      <c r="O19" s="98"/>
      <c r="P19" s="98"/>
      <c r="Q19" s="98"/>
      <c r="R19" s="98"/>
      <c r="S19" s="98"/>
      <c r="T19" s="98"/>
      <c r="U19" s="98"/>
      <c r="V19" s="27"/>
      <c r="W19" s="34"/>
      <c r="X19" s="28"/>
      <c r="Y19" s="95"/>
      <c r="Z19" s="30"/>
      <c r="AA19" s="31"/>
      <c r="AB19" s="95"/>
      <c r="AC19" s="29"/>
      <c r="AD19" s="31"/>
      <c r="AE19" s="28"/>
      <c r="AF19" s="96"/>
      <c r="AG19" s="33"/>
      <c r="AH19" s="9"/>
      <c r="AI19" s="9"/>
      <c r="AJ19" s="9"/>
      <c r="AK19" s="9"/>
      <c r="AL19" s="9"/>
      <c r="AM19" s="9"/>
      <c r="AN19" s="9"/>
      <c r="AO19" s="9"/>
      <c r="AP19" s="9"/>
      <c r="AQ19" s="9"/>
      <c r="AR19" s="9"/>
      <c r="AS19" s="9"/>
      <c r="AT19" s="9"/>
      <c r="AU19" s="9"/>
      <c r="AV19" s="25"/>
      <c r="AW19" s="25"/>
      <c r="AX19" s="25"/>
      <c r="AY19" s="25"/>
      <c r="AZ19" s="25"/>
      <c r="BA19" s="25"/>
      <c r="BB19" s="25"/>
      <c r="BC19" s="25"/>
      <c r="BD19" s="25"/>
      <c r="BE19" s="25"/>
      <c r="BF19" s="25"/>
      <c r="BG19" s="25"/>
      <c r="BH19" s="25"/>
      <c r="BI19" s="25"/>
      <c r="BJ19" s="25"/>
      <c r="BK19" s="25"/>
      <c r="BL19" s="9"/>
      <c r="BM19" s="9"/>
      <c r="BN19" s="9"/>
      <c r="BO19" s="9"/>
      <c r="BP19" s="9"/>
      <c r="BQ19" s="9"/>
      <c r="BR19" s="9"/>
      <c r="BS19" s="9"/>
      <c r="BT19" s="9"/>
      <c r="BU19" s="9"/>
      <c r="BV19" s="9"/>
    </row>
    <row r="20" spans="1:74" x14ac:dyDescent="0.4">
      <c r="A20" s="84" t="s">
        <v>124</v>
      </c>
      <c r="B20" s="38" t="s">
        <v>125</v>
      </c>
      <c r="C20" s="85"/>
      <c r="D20" s="88"/>
      <c r="E20" s="165"/>
      <c r="F20" s="85"/>
      <c r="G20" s="88"/>
      <c r="H20" s="165"/>
      <c r="I20" s="86"/>
      <c r="J20" s="87"/>
      <c r="K20" s="88"/>
      <c r="L20" s="89"/>
      <c r="M20" s="90"/>
      <c r="N20" s="91"/>
      <c r="O20" s="98"/>
      <c r="P20" s="98"/>
      <c r="Q20" s="98"/>
      <c r="R20" s="98"/>
      <c r="S20" s="98"/>
      <c r="T20" s="98"/>
      <c r="U20" s="98"/>
      <c r="V20" s="27"/>
      <c r="W20" s="34"/>
      <c r="X20" s="28"/>
      <c r="Y20" s="95"/>
      <c r="Z20" s="30"/>
      <c r="AA20" s="31"/>
      <c r="AB20" s="95"/>
      <c r="AC20" s="29"/>
      <c r="AD20" s="31"/>
      <c r="AE20" s="28"/>
      <c r="AF20" s="96"/>
      <c r="AG20" s="33"/>
      <c r="AH20" s="2"/>
      <c r="AI20" s="2"/>
      <c r="AJ20" s="2"/>
      <c r="AK20" s="2"/>
      <c r="AL20" s="2"/>
      <c r="AM20" s="2"/>
      <c r="AN20" s="2"/>
      <c r="AO20" s="2"/>
      <c r="AP20" s="2"/>
      <c r="AQ20" s="2"/>
      <c r="AR20" s="2"/>
      <c r="AS20" s="2"/>
      <c r="AT20" s="2"/>
      <c r="AU20" s="2"/>
      <c r="AV20" s="25"/>
      <c r="AW20" s="25"/>
      <c r="AX20" s="25"/>
      <c r="AY20" s="25"/>
      <c r="AZ20" s="25"/>
      <c r="BA20" s="25"/>
      <c r="BB20" s="25"/>
      <c r="BC20" s="25"/>
      <c r="BD20" s="25"/>
      <c r="BE20" s="25"/>
      <c r="BF20" s="25"/>
      <c r="BG20" s="25"/>
      <c r="BH20" s="25"/>
      <c r="BI20" s="25"/>
      <c r="BJ20" s="25"/>
      <c r="BK20" s="25"/>
      <c r="BL20" s="2"/>
      <c r="BM20" s="2"/>
      <c r="BN20" s="2"/>
      <c r="BO20" s="2"/>
      <c r="BP20" s="2"/>
      <c r="BQ20" s="2"/>
      <c r="BR20" s="2"/>
      <c r="BS20" s="2"/>
      <c r="BT20" s="2"/>
      <c r="BU20" s="2"/>
      <c r="BV20" s="2"/>
    </row>
    <row r="21" spans="1:74" x14ac:dyDescent="0.4">
      <c r="A21" s="84" t="s">
        <v>128</v>
      </c>
      <c r="B21" s="38" t="s">
        <v>129</v>
      </c>
      <c r="C21" s="85"/>
      <c r="D21" s="88"/>
      <c r="E21" s="165"/>
      <c r="F21" s="85"/>
      <c r="G21" s="88"/>
      <c r="H21" s="165"/>
      <c r="I21" s="86"/>
      <c r="J21" s="87"/>
      <c r="K21" s="88"/>
      <c r="L21" s="89"/>
      <c r="M21" s="90"/>
      <c r="N21" s="91"/>
      <c r="O21" s="98"/>
      <c r="P21" s="98"/>
      <c r="Q21" s="98"/>
      <c r="R21" s="98"/>
      <c r="S21" s="98"/>
      <c r="T21" s="98"/>
      <c r="U21" s="98"/>
      <c r="V21" s="27"/>
      <c r="W21" s="34"/>
      <c r="X21" s="28"/>
      <c r="Y21" s="95"/>
      <c r="Z21" s="30"/>
      <c r="AA21" s="31"/>
      <c r="AB21" s="95"/>
      <c r="AC21" s="29"/>
      <c r="AD21" s="31"/>
      <c r="AE21" s="28"/>
      <c r="AF21" s="96"/>
      <c r="AG21" s="33"/>
      <c r="AH21" s="2"/>
      <c r="AI21" s="2"/>
      <c r="AJ21" s="2"/>
      <c r="AK21" s="2"/>
      <c r="AL21" s="2"/>
      <c r="AM21" s="2"/>
      <c r="AN21" s="2"/>
      <c r="AO21" s="2"/>
      <c r="AP21" s="2"/>
      <c r="AQ21" s="2"/>
      <c r="AR21" s="2"/>
      <c r="AS21" s="2"/>
      <c r="AT21" s="2"/>
      <c r="AU21" s="2"/>
      <c r="AV21" s="25"/>
      <c r="AW21" s="25"/>
      <c r="AX21" s="25"/>
      <c r="AY21" s="25"/>
      <c r="AZ21" s="25"/>
      <c r="BA21" s="25"/>
      <c r="BB21" s="25"/>
      <c r="BC21" s="25"/>
      <c r="BD21" s="25"/>
      <c r="BE21" s="25"/>
      <c r="BF21" s="25"/>
      <c r="BG21" s="25"/>
      <c r="BH21" s="25"/>
      <c r="BI21" s="25"/>
      <c r="BJ21" s="25"/>
      <c r="BK21" s="25"/>
      <c r="BL21" s="2"/>
      <c r="BM21" s="2"/>
      <c r="BN21" s="2"/>
      <c r="BO21" s="2"/>
      <c r="BP21" s="2"/>
      <c r="BQ21" s="2"/>
      <c r="BR21" s="2"/>
      <c r="BS21" s="2"/>
      <c r="BT21" s="2"/>
      <c r="BU21" s="2"/>
      <c r="BV21" s="2"/>
    </row>
    <row r="22" spans="1:74" x14ac:dyDescent="0.4">
      <c r="A22" s="84" t="s">
        <v>135</v>
      </c>
      <c r="B22" s="38" t="s">
        <v>136</v>
      </c>
      <c r="C22" s="85"/>
      <c r="D22" s="88"/>
      <c r="E22" s="165"/>
      <c r="F22" s="85"/>
      <c r="G22" s="88"/>
      <c r="H22" s="165"/>
      <c r="I22" s="86"/>
      <c r="J22" s="87"/>
      <c r="K22" s="88"/>
      <c r="L22" s="89"/>
      <c r="M22" s="90"/>
      <c r="N22" s="91"/>
      <c r="O22" s="98"/>
      <c r="P22" s="98"/>
      <c r="Q22" s="98"/>
      <c r="R22" s="98"/>
      <c r="S22" s="98"/>
      <c r="T22" s="98"/>
      <c r="U22" s="98"/>
      <c r="V22" s="27"/>
      <c r="W22" s="34"/>
      <c r="X22" s="28"/>
      <c r="Y22" s="95"/>
      <c r="Z22" s="30"/>
      <c r="AA22" s="31"/>
      <c r="AB22" s="95"/>
      <c r="AC22" s="29"/>
      <c r="AD22" s="31"/>
      <c r="AE22" s="28"/>
      <c r="AF22" s="96"/>
      <c r="AG22" s="33"/>
      <c r="AH22" s="2"/>
      <c r="AI22" s="2"/>
      <c r="AJ22" s="2"/>
      <c r="AK22" s="2"/>
      <c r="AL22" s="2"/>
      <c r="AM22" s="2"/>
      <c r="AN22" s="2"/>
      <c r="AO22" s="2"/>
      <c r="AP22" s="2"/>
      <c r="AQ22" s="2"/>
      <c r="AR22" s="2"/>
      <c r="AS22" s="2"/>
      <c r="AT22" s="2"/>
      <c r="AU22" s="2"/>
      <c r="AV22" s="25"/>
      <c r="AW22" s="25"/>
      <c r="AX22" s="25"/>
      <c r="AY22" s="25"/>
      <c r="AZ22" s="25"/>
      <c r="BA22" s="25"/>
      <c r="BB22" s="25"/>
      <c r="BC22" s="25"/>
      <c r="BD22" s="25"/>
      <c r="BE22" s="25"/>
      <c r="BF22" s="25"/>
      <c r="BG22" s="25"/>
      <c r="BH22" s="25"/>
      <c r="BI22" s="25"/>
      <c r="BJ22" s="25"/>
      <c r="BK22" s="25"/>
      <c r="BL22" s="2"/>
      <c r="BM22" s="2"/>
      <c r="BN22" s="2"/>
      <c r="BO22" s="2"/>
      <c r="BP22" s="2"/>
      <c r="BQ22" s="2"/>
      <c r="BR22" s="2"/>
      <c r="BS22" s="2"/>
      <c r="BT22" s="2"/>
      <c r="BU22" s="2"/>
      <c r="BV22" s="2"/>
    </row>
    <row r="23" spans="1:74" x14ac:dyDescent="0.4">
      <c r="A23" s="660"/>
      <c r="B23" s="661"/>
      <c r="C23" s="661"/>
      <c r="D23" s="662"/>
      <c r="E23" s="662"/>
      <c r="F23" s="662"/>
      <c r="G23" s="662"/>
      <c r="H23" s="662"/>
      <c r="I23" s="661"/>
      <c r="J23" s="662"/>
      <c r="K23" s="663"/>
      <c r="L23" s="661"/>
      <c r="M23" s="661"/>
      <c r="N23" s="661"/>
      <c r="O23" s="661"/>
      <c r="P23" s="661"/>
      <c r="Q23" s="661"/>
      <c r="R23" s="661"/>
      <c r="S23" s="661"/>
      <c r="T23" s="661"/>
      <c r="U23" s="661"/>
      <c r="V23" s="661"/>
      <c r="W23" s="661"/>
      <c r="X23" s="661"/>
      <c r="Y23" s="661"/>
      <c r="Z23" s="661"/>
      <c r="AA23" s="661"/>
      <c r="AB23" s="661"/>
      <c r="AC23" s="661"/>
      <c r="AD23" s="661"/>
      <c r="AE23" s="661"/>
      <c r="AF23" s="661"/>
      <c r="AG23" s="33"/>
      <c r="AH23" s="2"/>
      <c r="AI23" s="2"/>
      <c r="AJ23" s="2"/>
      <c r="AK23" s="2"/>
      <c r="AL23" s="2"/>
      <c r="AM23" s="2"/>
      <c r="AN23" s="2"/>
      <c r="AO23" s="2"/>
      <c r="AP23" s="2"/>
      <c r="AQ23" s="2"/>
      <c r="AR23" s="2"/>
      <c r="AS23" s="2"/>
      <c r="AT23" s="2"/>
      <c r="AU23" s="2"/>
      <c r="AV23" s="25"/>
      <c r="AW23" s="25"/>
      <c r="AX23" s="25"/>
      <c r="AY23" s="25"/>
      <c r="AZ23" s="25"/>
      <c r="BA23" s="25"/>
      <c r="BB23" s="25"/>
      <c r="BC23" s="25"/>
      <c r="BD23" s="25"/>
      <c r="BE23" s="25"/>
      <c r="BF23" s="25"/>
      <c r="BG23" s="25"/>
      <c r="BH23" s="25"/>
      <c r="BI23" s="25"/>
      <c r="BJ23" s="25"/>
      <c r="BK23" s="25"/>
      <c r="BL23" s="2"/>
      <c r="BM23" s="2"/>
      <c r="BN23" s="2"/>
      <c r="BO23" s="2"/>
      <c r="BP23" s="2"/>
      <c r="BQ23" s="2"/>
      <c r="BR23" s="2"/>
      <c r="BS23" s="2"/>
      <c r="BT23" s="2"/>
      <c r="BU23" s="2"/>
      <c r="BV23" s="2"/>
    </row>
    <row r="24" spans="1:74" x14ac:dyDescent="0.4">
      <c r="A24" s="72">
        <v>2</v>
      </c>
      <c r="B24" s="37" t="s">
        <v>140</v>
      </c>
      <c r="C24" s="168"/>
      <c r="D24" s="342"/>
      <c r="E24" s="49"/>
      <c r="F24" s="168"/>
      <c r="G24" s="166"/>
      <c r="H24" s="49"/>
      <c r="I24" s="55"/>
      <c r="J24" s="26"/>
      <c r="K24" s="80"/>
      <c r="L24" s="55"/>
      <c r="M24" s="26"/>
      <c r="N24" s="81"/>
      <c r="O24" s="75"/>
      <c r="P24" s="75"/>
      <c r="Q24" s="75"/>
      <c r="R24" s="75"/>
      <c r="S24" s="75"/>
      <c r="T24" s="75"/>
      <c r="U24" s="75"/>
      <c r="V24" s="76"/>
      <c r="W24" s="99"/>
      <c r="X24" s="24"/>
      <c r="Y24" s="77"/>
      <c r="Z24" s="23"/>
      <c r="AA24" s="24"/>
      <c r="AB24" s="77"/>
      <c r="AC24" s="20"/>
      <c r="AD24" s="24"/>
      <c r="AE24" s="22"/>
      <c r="AF24" s="78"/>
      <c r="AG24" s="33"/>
      <c r="AH24" s="9"/>
      <c r="AI24" s="9"/>
      <c r="AJ24" s="9"/>
      <c r="AK24" s="9"/>
      <c r="AL24" s="9"/>
      <c r="AM24" s="9"/>
      <c r="AN24" s="9"/>
      <c r="AO24" s="9"/>
      <c r="AP24" s="9"/>
      <c r="AQ24" s="9"/>
      <c r="AR24" s="9"/>
      <c r="AS24" s="9"/>
      <c r="AT24" s="9"/>
      <c r="AU24" s="9"/>
      <c r="AV24" s="25"/>
      <c r="AW24" s="25"/>
      <c r="AX24" s="25"/>
      <c r="AY24" s="25"/>
      <c r="AZ24" s="25"/>
      <c r="BA24" s="25"/>
      <c r="BB24" s="25"/>
      <c r="BC24" s="25"/>
      <c r="BD24" s="25"/>
      <c r="BE24" s="25"/>
      <c r="BF24" s="25"/>
      <c r="BG24" s="25"/>
      <c r="BH24" s="25"/>
      <c r="BI24" s="25"/>
      <c r="BJ24" s="25"/>
      <c r="BK24" s="25"/>
      <c r="BL24" s="9"/>
      <c r="BM24" s="9"/>
      <c r="BN24" s="9"/>
      <c r="BO24" s="9"/>
      <c r="BP24" s="9"/>
      <c r="BQ24" s="9"/>
      <c r="BR24" s="9"/>
      <c r="BS24" s="9"/>
      <c r="BT24" s="9"/>
      <c r="BU24" s="9"/>
      <c r="BV24" s="9"/>
    </row>
    <row r="25" spans="1:74" x14ac:dyDescent="0.4">
      <c r="A25" s="72"/>
      <c r="B25" s="37" t="s">
        <v>141</v>
      </c>
      <c r="C25" s="56"/>
      <c r="D25" s="52" t="e">
        <f>$D$24/D34</f>
        <v>#DIV/0!</v>
      </c>
      <c r="E25" s="52"/>
      <c r="F25" s="56"/>
      <c r="G25" s="83"/>
      <c r="H25" s="52"/>
      <c r="I25" s="55"/>
      <c r="J25" s="26"/>
      <c r="K25" s="80"/>
      <c r="L25" s="55"/>
      <c r="M25" s="26"/>
      <c r="N25" s="81"/>
      <c r="O25" s="82"/>
      <c r="P25" s="82"/>
      <c r="Q25" s="82" t="e">
        <f>Q24/$Q$34</f>
        <v>#DIV/0!</v>
      </c>
      <c r="R25" s="82"/>
      <c r="S25" s="82"/>
      <c r="T25" s="82"/>
      <c r="U25" s="82"/>
      <c r="V25" s="83"/>
      <c r="W25" s="41"/>
      <c r="X25" s="24"/>
      <c r="Y25" s="77"/>
      <c r="Z25" s="23"/>
      <c r="AA25" s="24"/>
      <c r="AB25" s="77"/>
      <c r="AC25" s="20"/>
      <c r="AD25" s="24"/>
      <c r="AE25" s="22"/>
      <c r="AF25" s="78"/>
      <c r="AG25" s="33"/>
      <c r="AH25" s="9"/>
      <c r="AI25" s="9"/>
      <c r="AJ25" s="9"/>
      <c r="AK25" s="9"/>
      <c r="AL25" s="9"/>
      <c r="AM25" s="9"/>
      <c r="AN25" s="9"/>
      <c r="AO25" s="9"/>
      <c r="AP25" s="9"/>
      <c r="AQ25" s="9"/>
      <c r="AR25" s="9"/>
      <c r="AS25" s="9"/>
      <c r="AT25" s="9"/>
      <c r="AU25" s="9"/>
      <c r="AV25" s="25"/>
      <c r="AW25" s="25"/>
      <c r="AX25" s="25"/>
      <c r="AY25" s="25"/>
      <c r="AZ25" s="25"/>
      <c r="BA25" s="25"/>
      <c r="BB25" s="25"/>
      <c r="BC25" s="25"/>
      <c r="BD25" s="25"/>
      <c r="BE25" s="25"/>
      <c r="BF25" s="25"/>
      <c r="BG25" s="25"/>
      <c r="BH25" s="25"/>
      <c r="BI25" s="25"/>
      <c r="BJ25" s="25"/>
      <c r="BK25" s="25"/>
      <c r="BL25" s="9"/>
      <c r="BM25" s="9"/>
      <c r="BN25" s="9"/>
      <c r="BO25" s="9"/>
      <c r="BP25" s="9"/>
      <c r="BQ25" s="9"/>
      <c r="BR25" s="9"/>
      <c r="BS25" s="9"/>
      <c r="BT25" s="9"/>
      <c r="BU25" s="9"/>
      <c r="BV25" s="9"/>
    </row>
    <row r="26" spans="1:74" x14ac:dyDescent="0.4">
      <c r="A26" s="97" t="s">
        <v>142</v>
      </c>
      <c r="B26" s="38" t="s">
        <v>143</v>
      </c>
      <c r="C26" s="86"/>
      <c r="D26" s="344"/>
      <c r="E26" s="50"/>
      <c r="F26" s="86"/>
      <c r="G26" s="88"/>
      <c r="H26" s="50"/>
      <c r="I26" s="100"/>
      <c r="J26" s="101"/>
      <c r="K26" s="102"/>
      <c r="L26" s="100"/>
      <c r="M26" s="101"/>
      <c r="N26" s="103"/>
      <c r="O26" s="28"/>
      <c r="P26" s="28"/>
      <c r="Q26" s="28"/>
      <c r="R26" s="28"/>
      <c r="S26" s="28"/>
      <c r="T26" s="28"/>
      <c r="U26" s="28"/>
      <c r="V26" s="32"/>
      <c r="W26" s="30"/>
      <c r="X26" s="31"/>
      <c r="Y26" s="95"/>
      <c r="Z26" s="29"/>
      <c r="AA26" s="31"/>
      <c r="AB26" s="95"/>
      <c r="AC26" s="30"/>
      <c r="AD26" s="31"/>
      <c r="AE26" s="28"/>
      <c r="AF26" s="96"/>
      <c r="AG26" s="33"/>
      <c r="AH26" s="9"/>
      <c r="AI26" s="9"/>
      <c r="AJ26" s="9"/>
      <c r="AK26" s="9"/>
      <c r="AL26" s="9"/>
      <c r="AM26" s="9"/>
      <c r="AN26" s="9"/>
      <c r="AO26" s="9"/>
      <c r="AP26" s="9"/>
      <c r="AQ26" s="9"/>
      <c r="AR26" s="9"/>
      <c r="AS26" s="9"/>
      <c r="AT26" s="9"/>
      <c r="AU26" s="9"/>
      <c r="AV26" s="25"/>
      <c r="AW26" s="25"/>
      <c r="AX26" s="25"/>
      <c r="AY26" s="25"/>
      <c r="AZ26" s="25"/>
      <c r="BA26" s="25"/>
      <c r="BB26" s="25"/>
      <c r="BC26" s="25"/>
      <c r="BD26" s="25"/>
      <c r="BE26" s="25"/>
      <c r="BF26" s="25"/>
      <c r="BG26" s="25"/>
      <c r="BH26" s="25"/>
      <c r="BI26" s="25"/>
      <c r="BJ26" s="25"/>
      <c r="BK26" s="25"/>
      <c r="BL26" s="9"/>
      <c r="BM26" s="9"/>
      <c r="BN26" s="9"/>
      <c r="BO26" s="9"/>
      <c r="BP26" s="9"/>
      <c r="BQ26" s="9"/>
      <c r="BR26" s="9"/>
      <c r="BS26" s="9"/>
      <c r="BT26" s="9"/>
      <c r="BU26" s="9"/>
      <c r="BV26" s="9"/>
    </row>
    <row r="27" spans="1:74" x14ac:dyDescent="0.4">
      <c r="A27" s="84" t="s">
        <v>165</v>
      </c>
      <c r="B27" s="38" t="s">
        <v>166</v>
      </c>
      <c r="C27" s="86"/>
      <c r="D27" s="344"/>
      <c r="E27" s="50"/>
      <c r="F27" s="86"/>
      <c r="G27" s="88"/>
      <c r="H27" s="50"/>
      <c r="I27" s="100"/>
      <c r="J27" s="101"/>
      <c r="K27" s="102"/>
      <c r="L27" s="100"/>
      <c r="M27" s="101"/>
      <c r="N27" s="103"/>
      <c r="O27" s="28"/>
      <c r="P27" s="28"/>
      <c r="Q27" s="28"/>
      <c r="R27" s="28"/>
      <c r="S27" s="28"/>
      <c r="T27" s="28"/>
      <c r="U27" s="28"/>
      <c r="V27" s="32"/>
      <c r="W27" s="30"/>
      <c r="X27" s="31"/>
      <c r="Y27" s="95"/>
      <c r="Z27" s="29"/>
      <c r="AA27" s="31"/>
      <c r="AB27" s="95"/>
      <c r="AC27" s="30"/>
      <c r="AD27" s="31"/>
      <c r="AE27" s="28"/>
      <c r="AF27" s="96"/>
      <c r="AG27" s="33"/>
      <c r="AH27" s="2"/>
      <c r="AI27" s="2"/>
      <c r="AJ27" s="2"/>
      <c r="AK27" s="2"/>
      <c r="AL27" s="2"/>
      <c r="AM27" s="2"/>
      <c r="AN27" s="2"/>
      <c r="AO27" s="2"/>
      <c r="AP27" s="2"/>
      <c r="AQ27" s="2"/>
      <c r="AR27" s="2"/>
      <c r="AS27" s="2"/>
      <c r="AT27" s="2"/>
      <c r="AU27" s="2"/>
      <c r="AV27" s="25"/>
      <c r="AW27" s="25"/>
      <c r="AX27" s="25"/>
      <c r="AY27" s="25"/>
      <c r="AZ27" s="25"/>
      <c r="BA27" s="25"/>
      <c r="BB27" s="25"/>
      <c r="BC27" s="25"/>
      <c r="BD27" s="25"/>
      <c r="BE27" s="25"/>
      <c r="BF27" s="25"/>
      <c r="BG27" s="25"/>
      <c r="BH27" s="25"/>
      <c r="BI27" s="25"/>
      <c r="BJ27" s="25"/>
      <c r="BK27" s="25"/>
      <c r="BL27" s="2"/>
      <c r="BM27" s="2"/>
      <c r="BN27" s="2"/>
      <c r="BO27" s="2"/>
      <c r="BP27" s="2"/>
      <c r="BQ27" s="2"/>
      <c r="BR27" s="2"/>
      <c r="BS27" s="2"/>
      <c r="BT27" s="2"/>
      <c r="BU27" s="2"/>
      <c r="BV27" s="2"/>
    </row>
    <row r="28" spans="1:74" x14ac:dyDescent="0.4">
      <c r="A28" s="84" t="s">
        <v>227</v>
      </c>
      <c r="B28" s="38" t="s">
        <v>228</v>
      </c>
      <c r="C28" s="86"/>
      <c r="D28" s="344"/>
      <c r="E28" s="50"/>
      <c r="F28" s="86"/>
      <c r="G28" s="88"/>
      <c r="H28" s="50"/>
      <c r="I28" s="100"/>
      <c r="J28" s="101"/>
      <c r="K28" s="102"/>
      <c r="L28" s="100"/>
      <c r="M28" s="101"/>
      <c r="N28" s="103"/>
      <c r="O28" s="28"/>
      <c r="P28" s="28"/>
      <c r="Q28" s="28"/>
      <c r="R28" s="28"/>
      <c r="S28" s="28"/>
      <c r="T28" s="28"/>
      <c r="U28" s="28"/>
      <c r="V28" s="32"/>
      <c r="W28" s="30"/>
      <c r="X28" s="31"/>
      <c r="Y28" s="95"/>
      <c r="Z28" s="29"/>
      <c r="AA28" s="31"/>
      <c r="AB28" s="95"/>
      <c r="AC28" s="30"/>
      <c r="AD28" s="31"/>
      <c r="AE28" s="28"/>
      <c r="AF28" s="96"/>
      <c r="AG28" s="33"/>
      <c r="AH28" s="2"/>
      <c r="AI28" s="2"/>
      <c r="AJ28" s="2"/>
      <c r="AK28" s="2"/>
      <c r="AL28" s="2"/>
      <c r="AM28" s="2"/>
      <c r="AN28" s="2"/>
      <c r="AO28" s="2"/>
      <c r="AP28" s="2"/>
      <c r="AQ28" s="2"/>
      <c r="AR28" s="2"/>
      <c r="AS28" s="2"/>
      <c r="AT28" s="2"/>
      <c r="AU28" s="2"/>
      <c r="AV28" s="25"/>
      <c r="AW28" s="25"/>
      <c r="AX28" s="25"/>
      <c r="AY28" s="25"/>
      <c r="AZ28" s="25"/>
      <c r="BA28" s="25"/>
      <c r="BB28" s="25"/>
      <c r="BC28" s="25"/>
      <c r="BD28" s="25"/>
      <c r="BE28" s="25"/>
      <c r="BF28" s="25"/>
      <c r="BG28" s="25"/>
      <c r="BH28" s="25"/>
      <c r="BI28" s="25"/>
      <c r="BJ28" s="25"/>
      <c r="BK28" s="25"/>
      <c r="BL28" s="2"/>
      <c r="BM28" s="2"/>
      <c r="BN28" s="2"/>
      <c r="BO28" s="2"/>
      <c r="BP28" s="2"/>
      <c r="BQ28" s="2"/>
      <c r="BR28" s="2"/>
      <c r="BS28" s="2"/>
      <c r="BT28" s="2"/>
      <c r="BU28" s="2"/>
      <c r="BV28" s="2"/>
    </row>
    <row r="29" spans="1:74" x14ac:dyDescent="0.4">
      <c r="A29" s="84" t="s">
        <v>229</v>
      </c>
      <c r="B29" s="38" t="s">
        <v>230</v>
      </c>
      <c r="C29" s="86"/>
      <c r="D29" s="344"/>
      <c r="E29" s="50"/>
      <c r="F29" s="86"/>
      <c r="G29" s="88"/>
      <c r="H29" s="50"/>
      <c r="I29" s="100"/>
      <c r="J29" s="101"/>
      <c r="K29" s="102"/>
      <c r="L29" s="100"/>
      <c r="M29" s="101"/>
      <c r="N29" s="103"/>
      <c r="O29" s="28"/>
      <c r="P29" s="28"/>
      <c r="Q29" s="28"/>
      <c r="R29" s="28"/>
      <c r="S29" s="28"/>
      <c r="T29" s="28"/>
      <c r="U29" s="28"/>
      <c r="V29" s="32"/>
      <c r="W29" s="30"/>
      <c r="X29" s="31"/>
      <c r="Y29" s="95"/>
      <c r="Z29" s="29"/>
      <c r="AA29" s="31"/>
      <c r="AB29" s="95"/>
      <c r="AC29" s="30"/>
      <c r="AD29" s="31"/>
      <c r="AE29" s="28"/>
      <c r="AF29" s="96"/>
      <c r="AG29" s="33"/>
      <c r="AH29" s="2"/>
      <c r="AI29" s="2"/>
      <c r="AJ29" s="2"/>
      <c r="AK29" s="2"/>
      <c r="AL29" s="2"/>
      <c r="AM29" s="2"/>
      <c r="AN29" s="2"/>
      <c r="AO29" s="2"/>
      <c r="AP29" s="2"/>
      <c r="AQ29" s="2"/>
      <c r="AR29" s="2"/>
      <c r="AS29" s="2"/>
      <c r="AT29" s="2"/>
      <c r="AU29" s="2"/>
      <c r="AV29" s="25"/>
      <c r="AW29" s="25"/>
      <c r="AX29" s="25"/>
      <c r="AY29" s="25"/>
      <c r="AZ29" s="25"/>
      <c r="BA29" s="25"/>
      <c r="BB29" s="25"/>
      <c r="BC29" s="25"/>
      <c r="BD29" s="25"/>
      <c r="BE29" s="25"/>
      <c r="BF29" s="25"/>
      <c r="BG29" s="25"/>
      <c r="BH29" s="25"/>
      <c r="BI29" s="25"/>
      <c r="BJ29" s="25"/>
      <c r="BK29" s="25"/>
      <c r="BL29" s="2"/>
      <c r="BM29" s="2"/>
      <c r="BN29" s="2"/>
      <c r="BO29" s="2"/>
      <c r="BP29" s="2"/>
      <c r="BQ29" s="2"/>
      <c r="BR29" s="2"/>
      <c r="BS29" s="2"/>
      <c r="BT29" s="2"/>
      <c r="BU29" s="2"/>
      <c r="BV29" s="2"/>
    </row>
    <row r="30" spans="1:74" x14ac:dyDescent="0.4">
      <c r="A30" s="660"/>
      <c r="B30" s="661"/>
      <c r="C30" s="661"/>
      <c r="D30" s="661"/>
      <c r="E30" s="661"/>
      <c r="F30" s="661"/>
      <c r="G30" s="661"/>
      <c r="H30" s="661"/>
      <c r="I30" s="661"/>
      <c r="J30" s="661"/>
      <c r="K30" s="663"/>
      <c r="L30" s="661"/>
      <c r="M30" s="661"/>
      <c r="N30" s="661"/>
      <c r="O30" s="661"/>
      <c r="P30" s="661"/>
      <c r="Q30" s="661"/>
      <c r="R30" s="661"/>
      <c r="S30" s="661"/>
      <c r="T30" s="661"/>
      <c r="U30" s="661"/>
      <c r="V30" s="661"/>
      <c r="W30" s="661"/>
      <c r="X30" s="661"/>
      <c r="Y30" s="661"/>
      <c r="Z30" s="661"/>
      <c r="AA30" s="661"/>
      <c r="AB30" s="661"/>
      <c r="AC30" s="661"/>
      <c r="AD30" s="661"/>
      <c r="AE30" s="661"/>
      <c r="AF30" s="661"/>
      <c r="AG30" s="33"/>
      <c r="AH30" s="2"/>
      <c r="AI30" s="2"/>
      <c r="AJ30" s="2"/>
      <c r="AK30" s="2"/>
      <c r="AL30" s="2"/>
      <c r="AM30" s="2"/>
      <c r="AN30" s="2"/>
      <c r="AO30" s="2"/>
      <c r="AP30" s="2"/>
      <c r="AQ30" s="2"/>
      <c r="AR30" s="2"/>
      <c r="AS30" s="2"/>
      <c r="AT30" s="2"/>
      <c r="AU30" s="2"/>
      <c r="AV30" s="25"/>
      <c r="AW30" s="25"/>
      <c r="AX30" s="25"/>
      <c r="AY30" s="25"/>
      <c r="AZ30" s="25"/>
      <c r="BA30" s="25"/>
      <c r="BB30" s="25"/>
      <c r="BC30" s="25"/>
      <c r="BD30" s="25"/>
      <c r="BE30" s="25"/>
      <c r="BF30" s="25"/>
      <c r="BG30" s="25"/>
      <c r="BH30" s="25"/>
      <c r="BI30" s="25"/>
      <c r="BJ30" s="25"/>
      <c r="BK30" s="25"/>
      <c r="BL30" s="2"/>
      <c r="BM30" s="2"/>
      <c r="BN30" s="2"/>
      <c r="BO30" s="2"/>
      <c r="BP30" s="2"/>
      <c r="BQ30" s="2"/>
      <c r="BR30" s="2"/>
      <c r="BS30" s="2"/>
      <c r="BT30" s="2"/>
      <c r="BU30" s="2"/>
      <c r="BV30" s="2"/>
    </row>
    <row r="31" spans="1:74" x14ac:dyDescent="0.4">
      <c r="A31" s="660"/>
      <c r="B31" s="661"/>
      <c r="C31" s="661"/>
      <c r="D31" s="661"/>
      <c r="E31" s="661"/>
      <c r="F31" s="661"/>
      <c r="G31" s="661"/>
      <c r="H31" s="661"/>
      <c r="I31" s="661"/>
      <c r="J31" s="661"/>
      <c r="K31" s="663"/>
      <c r="L31" s="661"/>
      <c r="M31" s="661"/>
      <c r="N31" s="661"/>
      <c r="O31" s="661"/>
      <c r="P31" s="661"/>
      <c r="Q31" s="661"/>
      <c r="R31" s="661"/>
      <c r="S31" s="661"/>
      <c r="T31" s="661"/>
      <c r="U31" s="661"/>
      <c r="V31" s="661"/>
      <c r="W31" s="661"/>
      <c r="X31" s="661"/>
      <c r="Y31" s="661"/>
      <c r="Z31" s="661"/>
      <c r="AA31" s="661"/>
      <c r="AB31" s="661"/>
      <c r="AC31" s="661"/>
      <c r="AD31" s="661"/>
      <c r="AE31" s="661"/>
      <c r="AF31" s="661"/>
      <c r="AG31" s="33"/>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
      <c r="BM31" s="2"/>
      <c r="BN31" s="2"/>
      <c r="BO31" s="2"/>
      <c r="BP31" s="2"/>
      <c r="BQ31" s="2"/>
      <c r="BR31" s="2"/>
    </row>
    <row r="32" spans="1:74" x14ac:dyDescent="0.4">
      <c r="A32" s="104" t="s">
        <v>231</v>
      </c>
      <c r="B32" s="37" t="s">
        <v>232</v>
      </c>
      <c r="C32" s="169">
        <v>0</v>
      </c>
      <c r="D32" s="345"/>
      <c r="E32" s="170"/>
      <c r="F32" s="169"/>
      <c r="G32" s="174"/>
      <c r="H32" s="170"/>
      <c r="I32" s="55"/>
      <c r="J32" s="26"/>
      <c r="K32" s="80"/>
      <c r="L32" s="55"/>
      <c r="M32" s="26"/>
      <c r="N32" s="81"/>
      <c r="O32" s="75">
        <v>0</v>
      </c>
      <c r="P32" s="75"/>
      <c r="Q32" s="75"/>
      <c r="R32" s="75"/>
      <c r="S32" s="75"/>
      <c r="T32" s="75"/>
      <c r="U32" s="75"/>
      <c r="V32" s="76"/>
      <c r="W32" s="99"/>
      <c r="X32" s="24"/>
      <c r="Y32" s="77"/>
      <c r="Z32" s="23"/>
      <c r="AA32" s="24"/>
      <c r="AB32" s="77"/>
      <c r="AC32" s="20"/>
      <c r="AD32" s="24"/>
      <c r="AE32" s="22"/>
      <c r="AF32" s="78"/>
      <c r="AG32" s="33"/>
      <c r="AH32" s="25"/>
      <c r="AI32" s="25"/>
      <c r="AJ32" s="25"/>
      <c r="AK32" s="25"/>
      <c r="AL32" s="25"/>
      <c r="AM32" s="25"/>
      <c r="AN32" s="25"/>
      <c r="AO32" s="25"/>
      <c r="AP32" s="25"/>
      <c r="AQ32" s="25"/>
      <c r="AR32" s="25"/>
      <c r="AS32" s="25"/>
      <c r="AT32" s="25"/>
      <c r="AU32" s="25"/>
      <c r="AV32" s="25"/>
      <c r="AW32" s="25"/>
      <c r="AX32" s="7"/>
      <c r="AY32" s="640"/>
      <c r="AZ32" s="640"/>
      <c r="BA32" s="640"/>
      <c r="BB32" s="640"/>
      <c r="BC32" s="25"/>
      <c r="BD32" s="25"/>
      <c r="BE32" s="25"/>
      <c r="BF32" s="25"/>
      <c r="BG32" s="25"/>
      <c r="BH32" s="25"/>
      <c r="BI32" s="25"/>
      <c r="BJ32" s="25"/>
      <c r="BK32" s="25"/>
      <c r="BL32" s="2"/>
      <c r="BM32" s="2"/>
      <c r="BN32" s="2"/>
      <c r="BO32" s="2"/>
      <c r="BP32" s="2"/>
      <c r="BQ32" s="2"/>
      <c r="BR32" s="2"/>
    </row>
    <row r="33" spans="1:70" ht="12.6" thickBot="1" x14ac:dyDescent="0.45">
      <c r="A33" s="105"/>
      <c r="B33" s="42" t="s">
        <v>264</v>
      </c>
      <c r="C33" s="44"/>
      <c r="D33" s="346"/>
      <c r="E33" s="171" t="e">
        <f>$E$32/$E$35</f>
        <v>#DIV/0!</v>
      </c>
      <c r="F33" s="44"/>
      <c r="G33" s="110"/>
      <c r="H33" s="171"/>
      <c r="I33" s="106"/>
      <c r="J33" s="107"/>
      <c r="K33" s="108"/>
      <c r="L33" s="106"/>
      <c r="M33" s="107"/>
      <c r="N33" s="108"/>
      <c r="O33" s="109"/>
      <c r="P33" s="109"/>
      <c r="Q33" s="82" t="e">
        <f>Q32/$Q$34</f>
        <v>#DIV/0!</v>
      </c>
      <c r="R33" s="109"/>
      <c r="S33" s="109"/>
      <c r="T33" s="109"/>
      <c r="U33" s="109"/>
      <c r="V33" s="110"/>
      <c r="W33" s="48"/>
      <c r="X33" s="43"/>
      <c r="Y33" s="111"/>
      <c r="Z33" s="45"/>
      <c r="AA33" s="43"/>
      <c r="AB33" s="111"/>
      <c r="AC33" s="47"/>
      <c r="AD33" s="43"/>
      <c r="AE33" s="46"/>
      <c r="AF33" s="112"/>
      <c r="AG33" s="33"/>
      <c r="AH33" s="25"/>
      <c r="AI33" s="25"/>
      <c r="AJ33" s="2"/>
      <c r="AK33" s="2"/>
      <c r="AL33" s="2"/>
      <c r="AM33" s="25"/>
      <c r="AN33" s="25"/>
      <c r="AO33" s="2"/>
      <c r="AP33" s="2"/>
      <c r="AQ33" s="2"/>
      <c r="AR33" s="2"/>
      <c r="AS33" s="2"/>
      <c r="AT33" s="2"/>
      <c r="AU33" s="2"/>
      <c r="AV33" s="25"/>
      <c r="AW33" s="25"/>
      <c r="AX33" s="113"/>
      <c r="AY33" s="641"/>
      <c r="AZ33" s="641"/>
      <c r="BA33" s="641"/>
      <c r="BB33" s="641"/>
      <c r="BC33" s="25"/>
      <c r="BD33" s="25"/>
      <c r="BE33" s="25"/>
      <c r="BF33" s="25"/>
      <c r="BG33" s="25"/>
      <c r="BH33" s="25"/>
      <c r="BI33" s="25"/>
      <c r="BJ33" s="25"/>
      <c r="BK33" s="25"/>
      <c r="BL33" s="2"/>
      <c r="BM33" s="2"/>
      <c r="BN33" s="2"/>
      <c r="BO33" s="2"/>
      <c r="BP33" s="2"/>
      <c r="BQ33" s="2"/>
      <c r="BR33" s="2"/>
    </row>
    <row r="34" spans="1:70" ht="12.6" thickTop="1" x14ac:dyDescent="0.4">
      <c r="A34" s="114"/>
      <c r="B34" s="115" t="s">
        <v>13</v>
      </c>
      <c r="C34" s="172">
        <v>0</v>
      </c>
      <c r="D34" s="347"/>
      <c r="E34" s="173"/>
      <c r="F34" s="175"/>
      <c r="G34" s="176"/>
      <c r="H34" s="177"/>
      <c r="I34" s="116"/>
      <c r="J34" s="117"/>
      <c r="K34" s="118"/>
      <c r="L34" s="116"/>
      <c r="M34" s="117"/>
      <c r="N34" s="119"/>
      <c r="O34" s="120">
        <v>0</v>
      </c>
      <c r="P34" s="120"/>
      <c r="Q34" s="120"/>
      <c r="R34" s="120"/>
      <c r="S34" s="120"/>
      <c r="T34" s="120"/>
      <c r="U34" s="120"/>
      <c r="V34" s="121"/>
      <c r="W34" s="122"/>
      <c r="X34" s="123"/>
      <c r="Y34" s="124"/>
      <c r="Z34" s="125"/>
      <c r="AA34" s="126"/>
      <c r="AB34" s="127"/>
      <c r="AC34" s="115"/>
      <c r="AD34" s="126"/>
      <c r="AE34" s="128"/>
      <c r="AF34" s="129"/>
      <c r="AG34" s="33"/>
      <c r="AH34" s="25"/>
      <c r="AI34" s="25"/>
      <c r="AJ34" s="2"/>
      <c r="AK34" s="2"/>
      <c r="AL34" s="2"/>
      <c r="AM34" s="25"/>
      <c r="AN34" s="25"/>
      <c r="AO34" s="2"/>
      <c r="AP34" s="2"/>
      <c r="AQ34" s="2"/>
      <c r="AR34" s="2"/>
      <c r="AS34" s="2"/>
      <c r="AT34" s="2"/>
      <c r="AU34" s="2"/>
      <c r="AV34" s="25"/>
      <c r="AW34" s="25"/>
      <c r="AX34" s="130"/>
      <c r="AY34" s="634"/>
      <c r="AZ34" s="634"/>
      <c r="BA34" s="634"/>
      <c r="BB34" s="634"/>
      <c r="BC34" s="25"/>
      <c r="BD34" s="25"/>
      <c r="BE34" s="25"/>
      <c r="BF34" s="25"/>
      <c r="BG34" s="25"/>
      <c r="BH34" s="25"/>
      <c r="BI34" s="25"/>
      <c r="BJ34" s="25"/>
      <c r="BK34" s="25"/>
      <c r="BL34" s="2"/>
      <c r="BM34" s="2"/>
      <c r="BN34" s="2"/>
      <c r="BO34" s="2"/>
      <c r="BP34" s="2"/>
      <c r="BQ34" s="2"/>
      <c r="BR34" s="2"/>
    </row>
    <row r="35" spans="1:70" x14ac:dyDescent="0.4">
      <c r="A35" s="131"/>
      <c r="B35" s="132" t="s">
        <v>265</v>
      </c>
      <c r="C35" s="133">
        <v>1</v>
      </c>
      <c r="D35" s="138"/>
      <c r="E35" s="136"/>
      <c r="F35" s="133"/>
      <c r="G35" s="135"/>
      <c r="H35" s="136"/>
      <c r="I35" s="133"/>
      <c r="J35" s="134"/>
      <c r="K35" s="135"/>
      <c r="L35" s="133"/>
      <c r="M35" s="134"/>
      <c r="N35" s="136"/>
      <c r="O35" s="137"/>
      <c r="P35" s="137"/>
      <c r="Q35" s="137"/>
      <c r="R35" s="137"/>
      <c r="S35" s="137"/>
      <c r="T35" s="137"/>
      <c r="U35" s="137"/>
      <c r="V35" s="135"/>
      <c r="W35" s="134"/>
      <c r="X35" s="133"/>
      <c r="Y35" s="138"/>
      <c r="Z35" s="136"/>
      <c r="AA35" s="133"/>
      <c r="AB35" s="138"/>
      <c r="AC35" s="134"/>
      <c r="AD35" s="133"/>
      <c r="AE35" s="137"/>
      <c r="AF35" s="139"/>
      <c r="AG35" s="33"/>
      <c r="AH35" s="25"/>
      <c r="AI35" s="25"/>
      <c r="AJ35" s="2"/>
      <c r="AK35" s="2"/>
      <c r="AL35" s="2"/>
      <c r="AM35" s="25"/>
      <c r="AN35" s="25"/>
      <c r="AO35" s="2"/>
      <c r="AP35" s="2"/>
      <c r="AQ35" s="2"/>
      <c r="AR35" s="2"/>
      <c r="AS35" s="2"/>
      <c r="AT35" s="2"/>
      <c r="AU35" s="2"/>
      <c r="AV35" s="25"/>
      <c r="AW35" s="25"/>
      <c r="AX35" s="130"/>
      <c r="AY35" s="634"/>
      <c r="AZ35" s="634"/>
      <c r="BA35" s="634"/>
      <c r="BB35" s="634"/>
      <c r="BC35" s="25"/>
      <c r="BD35" s="25"/>
      <c r="BE35" s="25"/>
      <c r="BF35" s="25"/>
      <c r="BG35" s="25"/>
      <c r="BH35" s="25"/>
      <c r="BI35" s="25"/>
      <c r="BJ35" s="25"/>
      <c r="BK35" s="25"/>
      <c r="BL35" s="2"/>
      <c r="BM35" s="2"/>
      <c r="BN35" s="2"/>
      <c r="BO35" s="2"/>
      <c r="BP35" s="2"/>
      <c r="BQ35" s="2"/>
      <c r="BR35" s="2"/>
    </row>
    <row r="36" spans="1:70" x14ac:dyDescent="0.4">
      <c r="A36" s="13"/>
      <c r="B36" s="13"/>
      <c r="C36" s="14"/>
      <c r="D36" s="14"/>
      <c r="E36" s="14"/>
      <c r="F36" s="14"/>
      <c r="G36" s="14"/>
      <c r="H36" s="14"/>
      <c r="I36" s="140"/>
      <c r="J36" s="140"/>
      <c r="K36" s="140"/>
      <c r="L36" s="17"/>
      <c r="M36" s="17"/>
      <c r="N36" s="17"/>
      <c r="O36" s="14"/>
      <c r="P36" s="14"/>
      <c r="Q36" s="14"/>
      <c r="R36" s="14"/>
      <c r="S36" s="14"/>
      <c r="T36" s="14"/>
      <c r="U36" s="14"/>
      <c r="V36" s="14"/>
      <c r="W36" s="14"/>
      <c r="X36" s="14"/>
      <c r="Y36" s="14"/>
      <c r="Z36" s="14"/>
      <c r="AA36" s="14"/>
      <c r="AB36" s="14"/>
      <c r="AC36" s="14"/>
      <c r="AD36" s="14"/>
      <c r="AE36" s="14"/>
      <c r="AF36" s="14"/>
      <c r="AG36" s="5"/>
      <c r="AH36" s="5"/>
      <c r="AI36" s="5"/>
      <c r="AJ36" s="6"/>
      <c r="AK36" s="6"/>
      <c r="AL36" s="6"/>
      <c r="AM36" s="5"/>
      <c r="AN36" s="5"/>
      <c r="AO36" s="6"/>
      <c r="AP36" s="6"/>
      <c r="AQ36" s="6"/>
      <c r="AR36" s="6"/>
      <c r="AS36" s="6"/>
      <c r="AT36" s="6"/>
      <c r="AU36" s="6"/>
      <c r="AV36" s="5"/>
      <c r="AW36" s="5"/>
      <c r="AX36" s="5"/>
      <c r="AY36" s="5"/>
      <c r="AZ36" s="5"/>
      <c r="BA36" s="5"/>
      <c r="BB36" s="5"/>
      <c r="BC36" s="5"/>
      <c r="BD36" s="5"/>
      <c r="BE36" s="5"/>
      <c r="BF36" s="5"/>
      <c r="BG36" s="5"/>
      <c r="BH36" s="5"/>
      <c r="BI36" s="5"/>
      <c r="BJ36" s="5"/>
      <c r="BK36" s="5"/>
      <c r="BL36" s="6"/>
      <c r="BM36" s="6"/>
      <c r="BN36" s="6"/>
      <c r="BO36" s="6"/>
      <c r="BP36" s="6"/>
      <c r="BQ36" s="6"/>
      <c r="BR36" s="6"/>
    </row>
    <row r="37" spans="1:70" ht="12.6" thickBot="1" x14ac:dyDescent="0.45">
      <c r="A37" s="13"/>
      <c r="B37" s="13"/>
      <c r="C37" s="14"/>
      <c r="D37" s="14"/>
      <c r="E37" s="14"/>
      <c r="F37" s="14"/>
      <c r="G37" s="14"/>
      <c r="H37" s="14"/>
      <c r="I37" s="141"/>
      <c r="J37" s="141"/>
      <c r="K37" s="141"/>
      <c r="L37" s="141"/>
      <c r="M37" s="141"/>
      <c r="N37" s="141"/>
      <c r="O37" s="14"/>
      <c r="P37" s="14"/>
      <c r="Q37" s="14"/>
      <c r="R37" s="14"/>
      <c r="S37" s="14"/>
      <c r="T37" s="14"/>
      <c r="U37" s="14"/>
      <c r="V37" s="142"/>
      <c r="W37" s="142"/>
      <c r="X37" s="14"/>
      <c r="Y37" s="142"/>
      <c r="Z37" s="142"/>
      <c r="AA37" s="14"/>
      <c r="AB37" s="142"/>
      <c r="AC37" s="142"/>
      <c r="AD37" s="14"/>
      <c r="AE37" s="142"/>
      <c r="AF37" s="142"/>
      <c r="AG37" s="5"/>
      <c r="AH37" s="5"/>
      <c r="AI37" s="5"/>
      <c r="AJ37" s="6"/>
      <c r="AK37" s="6"/>
      <c r="AL37" s="6"/>
      <c r="AM37" s="5"/>
      <c r="AN37" s="5"/>
      <c r="AO37" s="6"/>
      <c r="AP37" s="6"/>
      <c r="AQ37" s="6"/>
      <c r="AR37" s="6"/>
      <c r="AS37" s="6"/>
      <c r="AT37" s="6"/>
      <c r="AU37" s="6"/>
      <c r="AV37" s="5"/>
      <c r="AW37" s="5"/>
      <c r="AX37" s="5"/>
      <c r="AY37" s="5"/>
      <c r="AZ37" s="5"/>
      <c r="BA37" s="5"/>
      <c r="BB37" s="5"/>
      <c r="BC37" s="5"/>
      <c r="BD37" s="5"/>
      <c r="BE37" s="5"/>
      <c r="BF37" s="5"/>
      <c r="BG37" s="5"/>
      <c r="BH37" s="5"/>
      <c r="BI37" s="5"/>
      <c r="BJ37" s="5"/>
      <c r="BK37" s="5"/>
      <c r="BL37" s="6"/>
      <c r="BM37" s="6"/>
      <c r="BN37" s="6"/>
      <c r="BO37" s="6"/>
      <c r="BP37" s="6"/>
      <c r="BQ37" s="6"/>
      <c r="BR37" s="6"/>
    </row>
    <row r="38" spans="1:70" x14ac:dyDescent="0.4">
      <c r="A38" s="25"/>
      <c r="B38" s="348" t="s">
        <v>266</v>
      </c>
      <c r="C38" s="348"/>
      <c r="D38" s="348"/>
      <c r="E38" s="151"/>
      <c r="F38" s="151"/>
      <c r="G38" s="140"/>
      <c r="H38" s="17"/>
      <c r="I38" s="664" t="s">
        <v>267</v>
      </c>
      <c r="J38" s="665"/>
      <c r="K38" s="665"/>
      <c r="L38" s="665"/>
      <c r="M38" s="666"/>
      <c r="N38" s="17"/>
      <c r="O38" s="17"/>
      <c r="P38" s="17"/>
      <c r="Q38" s="6"/>
      <c r="R38" s="6"/>
      <c r="S38" s="6"/>
      <c r="T38" s="6"/>
      <c r="U38" s="6"/>
      <c r="V38" s="140"/>
      <c r="W38" s="14"/>
      <c r="X38" s="14"/>
      <c r="Y38" s="140"/>
      <c r="Z38" s="14"/>
      <c r="AA38" s="14"/>
      <c r="AB38" s="140"/>
      <c r="AC38" s="14"/>
      <c r="AD38" s="14"/>
      <c r="AE38" s="140"/>
      <c r="AF38" s="14"/>
      <c r="AG38" s="5"/>
      <c r="AH38" s="5"/>
      <c r="AI38" s="5"/>
      <c r="AJ38" s="6"/>
      <c r="AK38" s="6"/>
      <c r="AL38" s="6"/>
      <c r="AM38" s="5"/>
      <c r="AN38" s="5"/>
      <c r="AO38" s="6"/>
      <c r="AP38" s="6"/>
      <c r="AQ38" s="6"/>
      <c r="AR38" s="6"/>
      <c r="AS38" s="6"/>
      <c r="AT38" s="6"/>
      <c r="AU38" s="6"/>
      <c r="AV38" s="5"/>
      <c r="AW38" s="5"/>
      <c r="AX38" s="5"/>
      <c r="AY38" s="5"/>
      <c r="AZ38" s="5"/>
      <c r="BA38" s="5"/>
      <c r="BB38" s="5"/>
      <c r="BC38" s="5"/>
      <c r="BD38" s="5"/>
      <c r="BE38" s="5"/>
      <c r="BF38" s="5"/>
      <c r="BG38" s="5"/>
      <c r="BH38" s="5"/>
      <c r="BI38" s="5"/>
      <c r="BJ38" s="5"/>
      <c r="BK38" s="5"/>
      <c r="BL38" s="6"/>
      <c r="BM38" s="6"/>
      <c r="BN38" s="6"/>
      <c r="BO38" s="6"/>
      <c r="BP38" s="6"/>
      <c r="BQ38" s="6"/>
      <c r="BR38" s="6"/>
    </row>
    <row r="39" spans="1:70" x14ac:dyDescent="0.4">
      <c r="A39" s="25"/>
      <c r="B39" s="143"/>
      <c r="C39" s="180" t="s">
        <v>268</v>
      </c>
      <c r="D39" s="179" t="s">
        <v>269</v>
      </c>
      <c r="E39" s="61"/>
      <c r="F39" s="61"/>
      <c r="G39" s="140"/>
      <c r="H39" s="17"/>
      <c r="I39" s="667"/>
      <c r="J39" s="668"/>
      <c r="K39" s="59" t="s">
        <v>69</v>
      </c>
      <c r="L39" s="669"/>
      <c r="M39" s="159" t="s">
        <v>71</v>
      </c>
      <c r="N39" s="39"/>
      <c r="O39" s="39"/>
      <c r="P39" s="39"/>
      <c r="Q39" s="6"/>
      <c r="R39" s="6"/>
      <c r="S39" s="6"/>
      <c r="T39" s="6"/>
      <c r="U39" s="6"/>
      <c r="V39" s="6"/>
      <c r="W39" s="6"/>
      <c r="X39" s="14"/>
      <c r="Y39" s="140"/>
      <c r="Z39" s="14"/>
      <c r="AA39" s="14"/>
      <c r="AB39" s="140"/>
      <c r="AC39" s="14"/>
      <c r="AD39" s="14"/>
      <c r="AE39" s="140"/>
      <c r="AF39" s="14"/>
      <c r="AG39" s="5"/>
      <c r="AH39" s="5"/>
      <c r="AI39" s="5"/>
      <c r="AJ39" s="6"/>
      <c r="AK39" s="6"/>
      <c r="AL39" s="6"/>
      <c r="AM39" s="5"/>
      <c r="AN39" s="5"/>
      <c r="AO39" s="6"/>
      <c r="AP39" s="6"/>
      <c r="AQ39" s="6"/>
      <c r="AR39" s="6"/>
      <c r="AS39" s="6"/>
      <c r="AT39" s="6"/>
      <c r="AU39" s="6"/>
      <c r="AV39" s="5"/>
      <c r="AW39" s="5"/>
      <c r="AX39" s="5"/>
      <c r="AY39" s="5"/>
      <c r="AZ39" s="5"/>
      <c r="BA39" s="5"/>
      <c r="BB39" s="5"/>
      <c r="BC39" s="5"/>
      <c r="BD39" s="5"/>
      <c r="BE39" s="5"/>
      <c r="BF39" s="5"/>
      <c r="BG39" s="5"/>
      <c r="BH39" s="5"/>
      <c r="BI39" s="5"/>
      <c r="BJ39" s="5"/>
      <c r="BK39" s="5"/>
      <c r="BL39" s="6"/>
      <c r="BM39" s="6"/>
      <c r="BN39" s="6"/>
      <c r="BO39" s="6"/>
      <c r="BP39" s="6"/>
      <c r="BQ39" s="6"/>
      <c r="BR39" s="6"/>
    </row>
    <row r="40" spans="1:70" x14ac:dyDescent="0.4">
      <c r="A40" s="25"/>
      <c r="B40" s="349" t="s">
        <v>270</v>
      </c>
      <c r="C40" s="350"/>
      <c r="D40" s="350"/>
      <c r="E40" s="7"/>
      <c r="F40" s="7"/>
      <c r="G40" s="140"/>
      <c r="H40" s="39"/>
      <c r="I40" s="672" t="s">
        <v>188</v>
      </c>
      <c r="J40" s="673"/>
      <c r="K40" s="58"/>
      <c r="L40" s="670"/>
      <c r="M40" s="160"/>
      <c r="N40" s="39"/>
      <c r="O40" s="39"/>
      <c r="P40" s="39"/>
      <c r="Q40" s="6"/>
      <c r="R40" s="6"/>
      <c r="S40" s="6"/>
      <c r="T40" s="6"/>
      <c r="U40" s="6"/>
      <c r="V40" s="6"/>
      <c r="W40" s="6"/>
      <c r="X40" s="14"/>
      <c r="Y40" s="14"/>
      <c r="Z40" s="14"/>
      <c r="AA40" s="14"/>
      <c r="AB40" s="14"/>
      <c r="AC40" s="14"/>
      <c r="AD40" s="14"/>
      <c r="AE40" s="14"/>
      <c r="AF40" s="14"/>
      <c r="AG40" s="5"/>
      <c r="AH40" s="5"/>
      <c r="AI40" s="5"/>
      <c r="AJ40" s="6"/>
      <c r="AK40" s="6"/>
      <c r="AL40" s="6"/>
      <c r="AM40" s="5"/>
      <c r="AN40" s="5"/>
      <c r="AO40" s="6"/>
      <c r="AP40" s="6"/>
      <c r="AQ40" s="6"/>
      <c r="AR40" s="6"/>
      <c r="AS40" s="6"/>
      <c r="AT40" s="6"/>
      <c r="AU40" s="6"/>
      <c r="AV40" s="5"/>
      <c r="AW40" s="5"/>
      <c r="AX40" s="5"/>
      <c r="AY40" s="5"/>
      <c r="AZ40" s="5"/>
      <c r="BA40" s="5"/>
      <c r="BB40" s="5"/>
      <c r="BC40" s="5"/>
      <c r="BD40" s="5"/>
      <c r="BE40" s="5"/>
      <c r="BF40" s="5"/>
      <c r="BG40" s="5"/>
      <c r="BH40" s="5"/>
      <c r="BI40" s="5"/>
      <c r="BJ40" s="5"/>
      <c r="BK40" s="5"/>
      <c r="BL40" s="6"/>
      <c r="BM40" s="6"/>
      <c r="BN40" s="6"/>
      <c r="BO40" s="6"/>
      <c r="BP40" s="6"/>
      <c r="BQ40" s="6"/>
      <c r="BR40" s="6"/>
    </row>
    <row r="41" spans="1:70" x14ac:dyDescent="0.4">
      <c r="A41" s="25"/>
      <c r="B41" s="144" t="s">
        <v>271</v>
      </c>
      <c r="C41" s="207"/>
      <c r="D41" s="211"/>
      <c r="E41" s="7"/>
      <c r="F41" s="7"/>
      <c r="G41" s="17"/>
      <c r="H41" s="145"/>
      <c r="I41" s="672" t="s">
        <v>272</v>
      </c>
      <c r="J41" s="673"/>
      <c r="K41" s="40"/>
      <c r="L41" s="670"/>
      <c r="M41" s="161"/>
      <c r="N41" s="146"/>
      <c r="O41" s="146"/>
      <c r="P41" s="146"/>
      <c r="Q41" s="6"/>
      <c r="R41" s="6"/>
      <c r="S41" s="6"/>
      <c r="T41" s="6"/>
      <c r="U41" s="6"/>
      <c r="V41" s="6"/>
      <c r="W41" s="6"/>
      <c r="X41" s="14"/>
      <c r="Y41" s="14"/>
      <c r="Z41" s="14"/>
      <c r="AA41" s="14"/>
      <c r="AB41" s="14"/>
      <c r="AC41" s="14"/>
      <c r="AD41" s="14"/>
      <c r="AE41" s="14"/>
      <c r="AF41" s="14"/>
      <c r="AG41" s="5"/>
      <c r="AH41" s="5"/>
      <c r="AI41" s="5"/>
      <c r="AJ41" s="6"/>
      <c r="AK41" s="6"/>
      <c r="AL41" s="6"/>
      <c r="AM41" s="5"/>
      <c r="AN41" s="5"/>
      <c r="AO41" s="6"/>
      <c r="AP41" s="6"/>
      <c r="AQ41" s="6"/>
      <c r="AR41" s="6"/>
      <c r="AS41" s="6"/>
      <c r="AT41" s="6"/>
      <c r="AU41" s="6"/>
      <c r="AV41" s="5"/>
      <c r="AW41" s="5"/>
      <c r="AX41" s="5"/>
      <c r="AY41" s="5"/>
      <c r="AZ41" s="5"/>
      <c r="BA41" s="5"/>
      <c r="BB41" s="5"/>
      <c r="BC41" s="5"/>
      <c r="BD41" s="5"/>
      <c r="BE41" s="5"/>
      <c r="BF41" s="5"/>
      <c r="BG41" s="5"/>
      <c r="BH41" s="5"/>
      <c r="BI41" s="5"/>
      <c r="BJ41" s="5"/>
      <c r="BK41" s="5"/>
      <c r="BL41" s="6"/>
      <c r="BM41" s="6"/>
      <c r="BN41" s="6"/>
      <c r="BO41" s="6"/>
      <c r="BP41" s="6"/>
      <c r="BQ41" s="6"/>
      <c r="BR41" s="6"/>
    </row>
    <row r="42" spans="1:70" x14ac:dyDescent="0.4">
      <c r="A42" s="25"/>
      <c r="B42" s="144" t="s">
        <v>271</v>
      </c>
      <c r="C42" s="207"/>
      <c r="D42" s="212"/>
      <c r="E42" s="7"/>
      <c r="F42" s="7"/>
      <c r="G42" s="39"/>
      <c r="H42" s="145"/>
      <c r="I42" s="672" t="s">
        <v>273</v>
      </c>
      <c r="J42" s="673"/>
      <c r="K42" s="53"/>
      <c r="L42" s="670"/>
      <c r="M42" s="161"/>
      <c r="N42" s="146"/>
      <c r="O42" s="146"/>
      <c r="P42" s="146"/>
      <c r="Q42" s="6"/>
      <c r="R42" s="6"/>
      <c r="S42" s="6"/>
      <c r="T42" s="6"/>
      <c r="U42" s="6"/>
      <c r="V42" s="6"/>
      <c r="W42" s="6"/>
      <c r="X42" s="14"/>
      <c r="Y42" s="14"/>
      <c r="Z42" s="14"/>
      <c r="AA42" s="14"/>
      <c r="AB42" s="14"/>
      <c r="AC42" s="14"/>
      <c r="AD42" s="14"/>
      <c r="AE42" s="14"/>
      <c r="AF42" s="14"/>
      <c r="AG42" s="5"/>
      <c r="AH42" s="5"/>
      <c r="AI42" s="5"/>
      <c r="AJ42" s="6"/>
      <c r="AK42" s="6"/>
      <c r="AL42" s="6"/>
      <c r="AM42" s="5"/>
      <c r="AN42" s="5"/>
      <c r="AO42" s="6"/>
      <c r="AP42" s="6"/>
      <c r="AQ42" s="6"/>
      <c r="AR42" s="6"/>
      <c r="AS42" s="6"/>
      <c r="AT42" s="6"/>
      <c r="AU42" s="6"/>
      <c r="AV42" s="5"/>
      <c r="AW42" s="5"/>
      <c r="AX42" s="5"/>
      <c r="AY42" s="5"/>
      <c r="AZ42" s="5"/>
      <c r="BA42" s="5"/>
      <c r="BB42" s="5"/>
      <c r="BC42" s="5"/>
      <c r="BD42" s="5"/>
      <c r="BE42" s="5"/>
      <c r="BF42" s="5"/>
      <c r="BG42" s="5"/>
      <c r="BH42" s="5"/>
      <c r="BI42" s="5"/>
      <c r="BJ42" s="5"/>
      <c r="BK42" s="5"/>
      <c r="BL42" s="6"/>
      <c r="BM42" s="6"/>
      <c r="BN42" s="6"/>
      <c r="BO42" s="6"/>
      <c r="BP42" s="6"/>
      <c r="BQ42" s="6"/>
      <c r="BR42" s="6"/>
    </row>
    <row r="43" spans="1:70" ht="12.6" thickBot="1" x14ac:dyDescent="0.45">
      <c r="A43" s="25"/>
      <c r="B43" s="144" t="s">
        <v>271</v>
      </c>
      <c r="C43" s="207"/>
      <c r="D43" s="212"/>
      <c r="E43" s="7"/>
      <c r="F43" s="7"/>
      <c r="G43" s="39"/>
      <c r="H43" s="151"/>
      <c r="I43" s="674" t="s">
        <v>274</v>
      </c>
      <c r="J43" s="675"/>
      <c r="K43" s="162"/>
      <c r="L43" s="671"/>
      <c r="M43" s="163"/>
      <c r="N43" s="151"/>
      <c r="O43" s="151"/>
      <c r="P43" s="151"/>
      <c r="Q43" s="1"/>
      <c r="R43" s="1"/>
      <c r="S43" s="1"/>
      <c r="T43" s="1"/>
      <c r="U43" s="1"/>
      <c r="V43" s="1"/>
      <c r="W43" s="1"/>
      <c r="X43" s="7"/>
      <c r="Y43" s="7"/>
      <c r="Z43" s="7"/>
      <c r="AA43" s="7"/>
      <c r="AB43" s="7"/>
      <c r="AC43" s="7"/>
      <c r="AD43" s="7"/>
      <c r="AE43" s="7"/>
      <c r="AF43" s="7"/>
      <c r="AG43" s="7"/>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spans="1:70" x14ac:dyDescent="0.4">
      <c r="A44" s="25"/>
      <c r="B44" s="144" t="s">
        <v>271</v>
      </c>
      <c r="C44" s="207"/>
      <c r="D44" s="213"/>
      <c r="E44" s="7"/>
      <c r="F44" s="7"/>
      <c r="G44" s="146"/>
      <c r="H44" s="62"/>
      <c r="I44" s="18" t="s">
        <v>275</v>
      </c>
      <c r="J44" s="18"/>
      <c r="K44" s="18"/>
      <c r="L44" s="18"/>
      <c r="M44" s="18"/>
      <c r="N44" s="63"/>
      <c r="O44" s="63"/>
      <c r="P44" s="63"/>
      <c r="Q44" s="1"/>
      <c r="R44" s="1"/>
      <c r="S44" s="1"/>
      <c r="T44" s="1"/>
      <c r="U44" s="1"/>
      <c r="V44" s="1"/>
      <c r="W44" s="1"/>
      <c r="X44" s="7"/>
      <c r="Y44" s="7"/>
      <c r="Z44" s="7"/>
      <c r="AA44" s="7"/>
      <c r="AB44" s="7"/>
      <c r="AC44" s="7"/>
      <c r="AD44" s="7"/>
      <c r="AE44" s="7"/>
      <c r="AF44" s="7"/>
      <c r="AG44" s="7"/>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spans="1:70" x14ac:dyDescent="0.4">
      <c r="A45" s="25"/>
      <c r="B45" s="147" t="s">
        <v>276</v>
      </c>
      <c r="C45" s="202"/>
      <c r="D45" s="201"/>
      <c r="E45" s="7"/>
      <c r="F45" s="7"/>
      <c r="G45" s="146"/>
      <c r="H45" s="61"/>
      <c r="I45" s="148"/>
      <c r="J45" s="148"/>
      <c r="K45" s="54"/>
      <c r="L45" s="149"/>
      <c r="M45" s="149"/>
      <c r="N45" s="149"/>
      <c r="O45" s="150"/>
      <c r="P45" s="150"/>
      <c r="Q45" s="1"/>
      <c r="R45" s="1"/>
      <c r="S45" s="1"/>
      <c r="T45" s="1"/>
      <c r="U45" s="1"/>
      <c r="V45" s="1"/>
      <c r="W45" s="1"/>
      <c r="X45" s="7"/>
      <c r="Y45" s="7"/>
      <c r="Z45" s="7"/>
      <c r="AA45" s="7"/>
      <c r="AB45" s="7"/>
      <c r="AC45" s="7"/>
      <c r="AD45" s="7"/>
      <c r="AE45" s="7"/>
      <c r="AF45" s="7"/>
      <c r="AG45" s="7"/>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spans="1:70" ht="12.6" thickBot="1" x14ac:dyDescent="0.45">
      <c r="A46" s="25"/>
      <c r="B46" s="147" t="s">
        <v>277</v>
      </c>
      <c r="C46" s="203"/>
      <c r="D46" s="210"/>
      <c r="E46" s="7"/>
      <c r="F46" s="7"/>
      <c r="G46" s="146"/>
      <c r="H46" s="61"/>
      <c r="I46" s="148"/>
      <c r="J46" s="148"/>
      <c r="K46" s="54"/>
      <c r="L46" s="149"/>
      <c r="M46" s="149"/>
      <c r="N46" s="149"/>
      <c r="O46" s="150"/>
      <c r="P46" s="150"/>
      <c r="Q46" s="1"/>
      <c r="R46" s="1"/>
      <c r="S46" s="1"/>
      <c r="T46" s="1"/>
      <c r="U46" s="1"/>
      <c r="V46" s="1"/>
      <c r="W46" s="1"/>
      <c r="X46" s="7"/>
      <c r="Y46" s="7"/>
      <c r="Z46" s="7"/>
      <c r="AA46" s="7"/>
      <c r="AB46" s="7"/>
      <c r="AC46" s="7"/>
      <c r="AD46" s="7"/>
      <c r="AE46" s="7"/>
      <c r="AF46" s="7"/>
      <c r="AG46" s="7"/>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spans="1:70" ht="12.6" thickTop="1" x14ac:dyDescent="0.4">
      <c r="A47" s="25"/>
      <c r="B47" s="152" t="s">
        <v>278</v>
      </c>
      <c r="C47" s="204">
        <f>SUM(C41:C46)</f>
        <v>0</v>
      </c>
      <c r="D47" s="214">
        <v>1</v>
      </c>
      <c r="E47" s="7"/>
      <c r="F47" s="7"/>
      <c r="G47" s="146"/>
      <c r="H47" s="61"/>
      <c r="I47" s="148"/>
      <c r="J47" s="148"/>
      <c r="K47" s="54"/>
      <c r="L47" s="149"/>
      <c r="M47" s="149"/>
      <c r="N47" s="149"/>
      <c r="O47" s="150"/>
      <c r="P47" s="150"/>
      <c r="Q47" s="1"/>
      <c r="R47" s="1"/>
      <c r="S47" s="1"/>
      <c r="T47" s="1"/>
      <c r="U47" s="1"/>
      <c r="V47" s="1"/>
      <c r="W47" s="1"/>
      <c r="X47" s="7"/>
      <c r="Y47" s="7"/>
      <c r="Z47" s="7"/>
      <c r="AA47" s="7"/>
      <c r="AB47" s="7"/>
      <c r="AC47" s="7"/>
      <c r="AD47" s="7"/>
      <c r="AE47" s="7"/>
      <c r="AF47" s="7"/>
      <c r="AG47" s="7"/>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spans="1:70" ht="12.6" thickBot="1" x14ac:dyDescent="0.45">
      <c r="A48" s="25"/>
      <c r="B48" s="152" t="s">
        <v>279</v>
      </c>
      <c r="C48" s="205">
        <f>$V$34</f>
        <v>0</v>
      </c>
      <c r="D48" s="208" t="e">
        <f>$C$48/$C$47</f>
        <v>#DIV/0!</v>
      </c>
      <c r="E48" s="7"/>
      <c r="F48" s="7"/>
      <c r="G48" s="151"/>
      <c r="H48" s="61"/>
      <c r="I48" s="148"/>
      <c r="J48" s="148"/>
      <c r="K48" s="54"/>
      <c r="L48" s="149"/>
      <c r="M48" s="149"/>
      <c r="N48" s="149"/>
      <c r="O48" s="150"/>
      <c r="P48" s="150"/>
      <c r="Q48" s="1"/>
      <c r="R48" s="1"/>
      <c r="S48" s="1"/>
      <c r="T48" s="1"/>
      <c r="U48" s="1"/>
      <c r="V48" s="1"/>
      <c r="W48" s="1"/>
      <c r="X48" s="7"/>
      <c r="Y48" s="7"/>
      <c r="Z48" s="7"/>
      <c r="AA48" s="7"/>
      <c r="AB48" s="7"/>
      <c r="AC48" s="7"/>
      <c r="AD48" s="7"/>
      <c r="AE48" s="7"/>
      <c r="AF48" s="7"/>
      <c r="AG48" s="7"/>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spans="1:33" ht="12.6" thickTop="1" x14ac:dyDescent="0.4">
      <c r="A49" s="25"/>
      <c r="B49" s="154" t="s">
        <v>280</v>
      </c>
      <c r="C49" s="206">
        <f>$C$47-$C$48</f>
        <v>0</v>
      </c>
      <c r="D49" s="209" t="e">
        <f>$C$49/$C$47</f>
        <v>#DIV/0!</v>
      </c>
      <c r="E49" s="63"/>
      <c r="F49" s="63"/>
      <c r="G49" s="150"/>
      <c r="H49" s="61"/>
      <c r="I49" s="39"/>
      <c r="J49" s="148"/>
      <c r="K49" s="54"/>
      <c r="L49" s="39"/>
      <c r="M49" s="39"/>
      <c r="N49" s="39"/>
      <c r="O49" s="39"/>
      <c r="P49" s="150"/>
      <c r="Q49" s="1"/>
      <c r="R49" s="1"/>
      <c r="S49" s="1"/>
      <c r="T49" s="1"/>
      <c r="U49" s="1"/>
      <c r="V49" s="1"/>
      <c r="W49" s="1"/>
      <c r="X49" s="7"/>
      <c r="Y49" s="7"/>
      <c r="Z49" s="7"/>
      <c r="AA49" s="7"/>
      <c r="AB49" s="7"/>
      <c r="AC49" s="7"/>
      <c r="AD49" s="7"/>
      <c r="AE49" s="7"/>
      <c r="AF49" s="7"/>
      <c r="AG49" s="7"/>
    </row>
    <row r="50" spans="1:33" x14ac:dyDescent="0.4">
      <c r="A50" s="25"/>
      <c r="F50" s="63"/>
      <c r="G50" s="150"/>
      <c r="H50" s="54"/>
      <c r="I50" s="148"/>
      <c r="J50" s="148"/>
      <c r="K50" s="54"/>
      <c r="L50" s="148"/>
      <c r="M50" s="148"/>
      <c r="N50" s="148"/>
      <c r="O50" s="54"/>
      <c r="P50" s="54"/>
      <c r="Q50" s="1"/>
      <c r="R50" s="1"/>
      <c r="S50" s="1"/>
      <c r="T50" s="1"/>
      <c r="U50" s="1"/>
      <c r="V50" s="1"/>
      <c r="W50" s="1"/>
      <c r="X50" s="7"/>
      <c r="Y50" s="7"/>
      <c r="Z50" s="7"/>
      <c r="AA50" s="7"/>
      <c r="AB50" s="7"/>
      <c r="AC50" s="7"/>
      <c r="AD50" s="7"/>
      <c r="AE50" s="7"/>
      <c r="AF50" s="7"/>
      <c r="AG50" s="7"/>
    </row>
    <row r="51" spans="1:33" x14ac:dyDescent="0.4">
      <c r="A51" s="25"/>
      <c r="B51" s="155"/>
      <c r="C51" s="155"/>
      <c r="D51" s="155"/>
      <c r="E51" s="156"/>
      <c r="F51" s="63"/>
      <c r="G51" s="150"/>
      <c r="H51" s="150"/>
      <c r="I51" s="150"/>
      <c r="J51" s="18"/>
      <c r="K51" s="18"/>
      <c r="L51" s="7"/>
      <c r="M51" s="7"/>
      <c r="N51" s="7"/>
      <c r="O51" s="7"/>
      <c r="P51" s="7"/>
      <c r="Q51" s="1"/>
      <c r="R51" s="1"/>
      <c r="S51" s="1"/>
      <c r="T51" s="1"/>
      <c r="U51" s="1"/>
      <c r="V51" s="1"/>
      <c r="W51" s="1"/>
      <c r="X51" s="7"/>
      <c r="Y51" s="7"/>
      <c r="Z51" s="7"/>
      <c r="AA51" s="7"/>
      <c r="AB51" s="7"/>
      <c r="AC51" s="7"/>
      <c r="AD51" s="7"/>
      <c r="AE51" s="7"/>
      <c r="AF51" s="7"/>
      <c r="AG51" s="7"/>
    </row>
    <row r="52" spans="1:33" x14ac:dyDescent="0.4">
      <c r="A52" s="25"/>
      <c r="B52" s="155"/>
      <c r="C52" s="155"/>
      <c r="D52" s="155"/>
      <c r="E52" s="156"/>
      <c r="F52" s="153"/>
      <c r="G52" s="150"/>
      <c r="H52" s="150"/>
      <c r="I52" s="54"/>
      <c r="J52" s="18"/>
      <c r="K52" s="18"/>
      <c r="L52" s="7"/>
      <c r="M52" s="7"/>
      <c r="N52" s="7"/>
      <c r="O52" s="7"/>
      <c r="P52" s="7"/>
      <c r="Q52" s="1"/>
      <c r="R52" s="1"/>
      <c r="S52" s="1"/>
      <c r="T52" s="1"/>
      <c r="U52" s="1"/>
      <c r="V52" s="1"/>
      <c r="W52" s="1"/>
      <c r="X52" s="7"/>
      <c r="Y52" s="7"/>
      <c r="Z52" s="7"/>
      <c r="AA52" s="7"/>
      <c r="AB52" s="7"/>
      <c r="AC52" s="7"/>
      <c r="AD52" s="7"/>
      <c r="AE52" s="7"/>
      <c r="AF52" s="7"/>
      <c r="AG52" s="7"/>
    </row>
    <row r="53" spans="1:33" x14ac:dyDescent="0.4">
      <c r="A53" s="25"/>
      <c r="B53" s="7"/>
      <c r="C53" s="7"/>
      <c r="D53" s="7"/>
      <c r="E53" s="635" t="s">
        <v>281</v>
      </c>
      <c r="F53" s="636"/>
      <c r="G53" s="636"/>
      <c r="H53" s="637"/>
      <c r="I53" s="54"/>
      <c r="J53" s="18"/>
      <c r="K53" s="18"/>
      <c r="L53" s="7"/>
      <c r="M53" s="7"/>
      <c r="N53" s="7"/>
      <c r="O53" s="7"/>
      <c r="P53" s="7"/>
      <c r="Q53" s="1"/>
      <c r="R53" s="1"/>
      <c r="S53" s="1"/>
      <c r="T53" s="1"/>
      <c r="U53" s="1"/>
      <c r="V53" s="1"/>
      <c r="W53" s="1"/>
      <c r="X53" s="7"/>
      <c r="Y53" s="7"/>
      <c r="Z53" s="7"/>
      <c r="AA53" s="7"/>
      <c r="AB53" s="7"/>
      <c r="AC53" s="7"/>
      <c r="AD53" s="7"/>
      <c r="AE53" s="7"/>
      <c r="AF53" s="7"/>
      <c r="AG53" s="7"/>
    </row>
    <row r="54" spans="1:33" x14ac:dyDescent="0.4">
      <c r="A54" s="25"/>
      <c r="B54" s="631"/>
      <c r="C54" s="632"/>
      <c r="D54" s="633"/>
      <c r="E54" s="638" t="s">
        <v>282</v>
      </c>
      <c r="F54" s="639"/>
      <c r="G54" s="638" t="s">
        <v>283</v>
      </c>
      <c r="H54" s="639"/>
      <c r="I54" s="39"/>
      <c r="J54" s="18"/>
      <c r="K54" s="18"/>
      <c r="L54" s="7"/>
      <c r="M54" s="7"/>
      <c r="N54" s="7"/>
      <c r="O54" s="7"/>
      <c r="P54" s="7"/>
      <c r="Q54" s="1"/>
      <c r="R54" s="1"/>
      <c r="S54" s="1"/>
      <c r="T54" s="1"/>
      <c r="U54" s="1"/>
      <c r="V54" s="1"/>
      <c r="W54" s="1"/>
      <c r="X54" s="7"/>
      <c r="Y54" s="7"/>
      <c r="Z54" s="7"/>
      <c r="AA54" s="7"/>
      <c r="AB54" s="7"/>
      <c r="AC54" s="7"/>
      <c r="AD54" s="7"/>
      <c r="AE54" s="7"/>
      <c r="AF54" s="7"/>
      <c r="AG54" s="7"/>
    </row>
    <row r="55" spans="1:33" x14ac:dyDescent="0.4">
      <c r="A55" s="25"/>
      <c r="B55" s="628" t="s">
        <v>284</v>
      </c>
      <c r="C55" s="629"/>
      <c r="D55" s="630"/>
      <c r="E55" s="157"/>
      <c r="F55" s="158"/>
      <c r="G55" s="157"/>
      <c r="H55" s="158"/>
      <c r="I55" s="39"/>
      <c r="J55" s="18"/>
      <c r="K55" s="18"/>
      <c r="L55" s="7"/>
      <c r="M55" s="7"/>
      <c r="N55" s="7"/>
      <c r="O55" s="7"/>
      <c r="P55" s="7"/>
      <c r="Q55" s="1"/>
      <c r="R55" s="1"/>
      <c r="S55" s="1"/>
      <c r="T55" s="1"/>
      <c r="U55" s="1"/>
      <c r="V55" s="1"/>
      <c r="W55" s="1"/>
      <c r="X55" s="7"/>
      <c r="Y55" s="7"/>
      <c r="Z55" s="7"/>
      <c r="AA55" s="7"/>
      <c r="AB55" s="7"/>
      <c r="AC55" s="7"/>
      <c r="AD55" s="7"/>
      <c r="AE55" s="7"/>
      <c r="AF55" s="7"/>
      <c r="AG55" s="7"/>
    </row>
    <row r="56" spans="1:33" x14ac:dyDescent="0.4">
      <c r="A56" s="25"/>
      <c r="B56" s="628" t="s">
        <v>285</v>
      </c>
      <c r="C56" s="629"/>
      <c r="D56" s="630"/>
      <c r="E56" s="157"/>
      <c r="F56" s="158"/>
      <c r="G56" s="157"/>
      <c r="H56" s="158"/>
      <c r="I56" s="39"/>
      <c r="J56" s="18"/>
      <c r="K56" s="18"/>
      <c r="L56" s="7"/>
      <c r="M56" s="7"/>
      <c r="N56" s="7"/>
      <c r="O56" s="7"/>
      <c r="P56" s="7"/>
      <c r="Q56" s="1"/>
      <c r="R56" s="1"/>
      <c r="S56" s="1"/>
      <c r="T56" s="1"/>
      <c r="U56" s="1"/>
      <c r="V56" s="1"/>
      <c r="W56" s="1"/>
      <c r="X56" s="7"/>
      <c r="Y56" s="7"/>
      <c r="Z56" s="7"/>
      <c r="AA56" s="7"/>
      <c r="AB56" s="7"/>
      <c r="AC56" s="7"/>
      <c r="AD56" s="7"/>
      <c r="AE56" s="7"/>
      <c r="AF56" s="7"/>
      <c r="AG56" s="7"/>
    </row>
    <row r="57" spans="1:33" x14ac:dyDescent="0.4">
      <c r="A57" s="7"/>
      <c r="B57" s="1"/>
      <c r="C57" s="1"/>
      <c r="D57" s="1"/>
      <c r="E57" s="1"/>
      <c r="F57" s="1"/>
      <c r="G57" s="1"/>
      <c r="H57" s="1"/>
      <c r="I57" s="1"/>
      <c r="J57" s="1"/>
      <c r="K57" s="1"/>
      <c r="L57" s="1"/>
      <c r="M57" s="1"/>
      <c r="N57" s="1"/>
      <c r="O57" s="1"/>
      <c r="P57" s="1"/>
      <c r="Q57" s="1"/>
      <c r="R57" s="1"/>
      <c r="S57" s="1"/>
      <c r="T57" s="1"/>
      <c r="U57" s="1"/>
      <c r="V57" s="1"/>
      <c r="W57" s="1"/>
      <c r="X57" s="7"/>
      <c r="Y57" s="7"/>
      <c r="Z57" s="7"/>
      <c r="AA57" s="7"/>
      <c r="AB57" s="7"/>
      <c r="AC57" s="7"/>
      <c r="AD57" s="7"/>
      <c r="AE57" s="7"/>
      <c r="AF57" s="7"/>
      <c r="AG57" s="7"/>
    </row>
    <row r="58" spans="1:33" x14ac:dyDescent="0.4">
      <c r="A58" s="7"/>
      <c r="B58" s="155"/>
      <c r="C58" s="156"/>
      <c r="D58" s="156"/>
      <c r="E58" s="156"/>
      <c r="F58" s="156"/>
      <c r="G58" s="156"/>
      <c r="H58" s="156"/>
      <c r="I58" s="1"/>
      <c r="J58" s="1"/>
      <c r="K58" s="1"/>
      <c r="L58" s="18"/>
      <c r="M58" s="18"/>
      <c r="N58" s="18"/>
      <c r="O58" s="7"/>
      <c r="P58" s="7"/>
      <c r="Q58" s="7"/>
      <c r="R58" s="7"/>
      <c r="S58" s="7"/>
      <c r="T58" s="7"/>
      <c r="U58" s="7"/>
      <c r="V58" s="7"/>
      <c r="W58" s="7"/>
      <c r="X58" s="7"/>
      <c r="Y58" s="7"/>
      <c r="Z58" s="7"/>
      <c r="AA58" s="7"/>
      <c r="AB58" s="7"/>
      <c r="AC58" s="7"/>
      <c r="AD58" s="7"/>
      <c r="AE58" s="7"/>
      <c r="AF58" s="7"/>
      <c r="AG58" s="7"/>
    </row>
    <row r="59" spans="1:33" x14ac:dyDescent="0.4">
      <c r="A59" s="7"/>
      <c r="B59" s="7"/>
      <c r="C59" s="7"/>
      <c r="D59" s="7"/>
      <c r="E59" s="7"/>
      <c r="F59" s="7"/>
      <c r="G59" s="7"/>
      <c r="H59" s="7"/>
      <c r="I59" s="39"/>
      <c r="J59" s="39"/>
      <c r="K59" s="39"/>
      <c r="L59" s="18"/>
      <c r="M59" s="18"/>
      <c r="N59" s="18"/>
      <c r="O59" s="7"/>
      <c r="P59" s="7"/>
      <c r="Q59" s="7"/>
      <c r="R59" s="7"/>
      <c r="S59" s="7"/>
      <c r="T59" s="7"/>
      <c r="U59" s="7"/>
      <c r="V59" s="7"/>
      <c r="W59" s="7"/>
      <c r="X59" s="4"/>
      <c r="Y59" s="4"/>
      <c r="Z59" s="4"/>
      <c r="AA59" s="4"/>
      <c r="AB59" s="4"/>
      <c r="AC59" s="4"/>
      <c r="AD59" s="4"/>
      <c r="AE59" s="4"/>
      <c r="AF59" s="4"/>
      <c r="AG59" s="4"/>
    </row>
    <row r="60" spans="1:33" x14ac:dyDescent="0.4">
      <c r="A60" s="7"/>
      <c r="B60" s="1"/>
      <c r="C60" s="1"/>
      <c r="D60" s="1"/>
      <c r="E60" s="1"/>
      <c r="F60" s="1"/>
      <c r="G60" s="1"/>
      <c r="H60" s="1"/>
      <c r="I60" s="18"/>
      <c r="J60" s="18"/>
      <c r="K60" s="18"/>
      <c r="L60" s="18"/>
      <c r="M60" s="18"/>
      <c r="N60" s="18"/>
      <c r="O60" s="7"/>
      <c r="P60" s="7"/>
      <c r="Q60" s="7"/>
      <c r="R60" s="7"/>
      <c r="S60" s="7"/>
      <c r="T60" s="7"/>
      <c r="U60" s="7"/>
      <c r="V60" s="7"/>
      <c r="W60" s="7"/>
      <c r="X60" s="4"/>
      <c r="Y60" s="4"/>
      <c r="Z60" s="4"/>
      <c r="AA60" s="4"/>
      <c r="AB60" s="4"/>
      <c r="AC60" s="4"/>
      <c r="AD60" s="4"/>
      <c r="AE60" s="4"/>
      <c r="AF60" s="4"/>
      <c r="AG60" s="4"/>
    </row>
  </sheetData>
  <mergeCells count="33">
    <mergeCell ref="A23:AF23"/>
    <mergeCell ref="A30:AF30"/>
    <mergeCell ref="A31:AF31"/>
    <mergeCell ref="I38:M38"/>
    <mergeCell ref="I39:J39"/>
    <mergeCell ref="L39:L43"/>
    <mergeCell ref="I40:J40"/>
    <mergeCell ref="I41:J41"/>
    <mergeCell ref="I42:J42"/>
    <mergeCell ref="I43:J43"/>
    <mergeCell ref="AA11:AC11"/>
    <mergeCell ref="AD11:AF11"/>
    <mergeCell ref="A1:AF1"/>
    <mergeCell ref="A3:AF3"/>
    <mergeCell ref="A4:AF4"/>
    <mergeCell ref="A5:AF5"/>
    <mergeCell ref="A8:AF8"/>
    <mergeCell ref="C11:M11"/>
    <mergeCell ref="O11:W11"/>
    <mergeCell ref="X11:Z11"/>
    <mergeCell ref="AY32:BB32"/>
    <mergeCell ref="AY33:AZ33"/>
    <mergeCell ref="BA33:BB33"/>
    <mergeCell ref="AY34:AZ34"/>
    <mergeCell ref="BA34:BB34"/>
    <mergeCell ref="B55:D55"/>
    <mergeCell ref="B56:D56"/>
    <mergeCell ref="B54:D54"/>
    <mergeCell ref="AY35:AZ35"/>
    <mergeCell ref="BA35:BB35"/>
    <mergeCell ref="E53:H53"/>
    <mergeCell ref="G54:H54"/>
    <mergeCell ref="E54:F5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6"/>
  <sheetViews>
    <sheetView topLeftCell="A40" workbookViewId="0">
      <selection activeCell="B58" sqref="B58"/>
    </sheetView>
  </sheetViews>
  <sheetFormatPr defaultColWidth="9" defaultRowHeight="13.8" x14ac:dyDescent="0.45"/>
  <cols>
    <col min="1" max="1" width="52" style="181" customWidth="1"/>
    <col min="2" max="2" width="23.5" style="181" customWidth="1"/>
    <col min="3" max="3" width="27" style="181" customWidth="1"/>
    <col min="4" max="16384" width="9" style="181"/>
  </cols>
  <sheetData>
    <row r="1" spans="1:2" ht="14.1" x14ac:dyDescent="0.5">
      <c r="A1" s="678" t="s">
        <v>286</v>
      </c>
      <c r="B1" s="678"/>
    </row>
    <row r="2" spans="1:2" ht="14.1" x14ac:dyDescent="0.5">
      <c r="A2" s="182"/>
      <c r="B2" s="182"/>
    </row>
    <row r="4" spans="1:2" x14ac:dyDescent="0.45">
      <c r="A4" s="679" t="s">
        <v>287</v>
      </c>
      <c r="B4" s="680"/>
    </row>
    <row r="5" spans="1:2" x14ac:dyDescent="0.45">
      <c r="A5" s="681" t="s">
        <v>288</v>
      </c>
      <c r="B5" s="682"/>
    </row>
    <row r="6" spans="1:2" x14ac:dyDescent="0.45">
      <c r="A6" s="681" t="s">
        <v>289</v>
      </c>
      <c r="B6" s="682"/>
    </row>
    <row r="7" spans="1:2" x14ac:dyDescent="0.45">
      <c r="A7" s="681" t="s">
        <v>290</v>
      </c>
      <c r="B7" s="682"/>
    </row>
    <row r="8" spans="1:2" x14ac:dyDescent="0.45">
      <c r="A8" s="676" t="s">
        <v>291</v>
      </c>
      <c r="B8" s="677"/>
    </row>
    <row r="11" spans="1:2" ht="14.1" x14ac:dyDescent="0.5">
      <c r="A11" s="683" t="s">
        <v>292</v>
      </c>
      <c r="B11" s="684"/>
    </row>
    <row r="12" spans="1:2" ht="14.1" x14ac:dyDescent="0.5">
      <c r="A12" s="194"/>
      <c r="B12" s="195"/>
    </row>
    <row r="13" spans="1:2" ht="14.1" x14ac:dyDescent="0.5">
      <c r="A13" s="693" t="s">
        <v>293</v>
      </c>
      <c r="B13" s="694"/>
    </row>
    <row r="14" spans="1:2" x14ac:dyDescent="0.45">
      <c r="A14" s="186" t="s">
        <v>200</v>
      </c>
      <c r="B14" s="216">
        <v>100</v>
      </c>
    </row>
    <row r="15" spans="1:2" x14ac:dyDescent="0.45">
      <c r="A15" s="186" t="s">
        <v>204</v>
      </c>
      <c r="B15" s="216">
        <f>'Informe Financiero'!$C$42</f>
        <v>0</v>
      </c>
    </row>
    <row r="16" spans="1:2" x14ac:dyDescent="0.45">
      <c r="A16" s="186" t="s">
        <v>294</v>
      </c>
      <c r="B16" s="216">
        <f>'Informe Financiero'!$C$43</f>
        <v>0</v>
      </c>
    </row>
    <row r="17" spans="1:2" x14ac:dyDescent="0.45">
      <c r="A17" s="186" t="s">
        <v>295</v>
      </c>
      <c r="B17" s="216">
        <f>'Informe Financiero'!$C$44</f>
        <v>0</v>
      </c>
    </row>
    <row r="18" spans="1:2" x14ac:dyDescent="0.45">
      <c r="A18" s="186" t="s">
        <v>296</v>
      </c>
      <c r="B18" s="186"/>
    </row>
    <row r="19" spans="1:2" x14ac:dyDescent="0.45">
      <c r="A19" s="186" t="s">
        <v>297</v>
      </c>
      <c r="B19" s="216">
        <f>'Informe Financiero'!$C$45</f>
        <v>0</v>
      </c>
    </row>
    <row r="20" spans="1:2" ht="14.1" x14ac:dyDescent="0.5">
      <c r="A20" s="188" t="s">
        <v>298</v>
      </c>
      <c r="B20" s="217">
        <f>SUM(B14:B19)</f>
        <v>100</v>
      </c>
    </row>
    <row r="21" spans="1:2" x14ac:dyDescent="0.45">
      <c r="A21" s="685"/>
      <c r="B21" s="686"/>
    </row>
    <row r="22" spans="1:2" ht="14.1" x14ac:dyDescent="0.5">
      <c r="A22" s="693" t="s">
        <v>299</v>
      </c>
      <c r="B22" s="694"/>
    </row>
    <row r="23" spans="1:2" x14ac:dyDescent="0.45">
      <c r="A23" s="186" t="s">
        <v>300</v>
      </c>
      <c r="B23" s="186">
        <v>1</v>
      </c>
    </row>
    <row r="24" spans="1:2" x14ac:dyDescent="0.45">
      <c r="A24" s="186" t="s">
        <v>301</v>
      </c>
      <c r="B24" s="186"/>
    </row>
    <row r="25" spans="1:2" x14ac:dyDescent="0.45">
      <c r="A25" s="186" t="s">
        <v>302</v>
      </c>
      <c r="B25" s="186"/>
    </row>
    <row r="26" spans="1:2" x14ac:dyDescent="0.45">
      <c r="A26" s="186" t="s">
        <v>296</v>
      </c>
      <c r="B26" s="186"/>
    </row>
    <row r="27" spans="1:2" ht="14.1" x14ac:dyDescent="0.5">
      <c r="A27" s="188" t="s">
        <v>303</v>
      </c>
      <c r="B27" s="188">
        <f>SUM($B$23:$B$26)</f>
        <v>1</v>
      </c>
    </row>
    <row r="28" spans="1:2" x14ac:dyDescent="0.45">
      <c r="A28" s="685"/>
      <c r="B28" s="686"/>
    </row>
    <row r="29" spans="1:2" x14ac:dyDescent="0.45">
      <c r="A29" s="186" t="s">
        <v>304</v>
      </c>
      <c r="B29" s="216">
        <v>0</v>
      </c>
    </row>
    <row r="30" spans="1:2" x14ac:dyDescent="0.45">
      <c r="A30" s="186" t="s">
        <v>305</v>
      </c>
      <c r="B30" s="196"/>
    </row>
    <row r="31" spans="1:2" ht="14.1" x14ac:dyDescent="0.5">
      <c r="A31" s="188" t="s">
        <v>306</v>
      </c>
      <c r="B31" s="217">
        <f>$B$29+$B$30</f>
        <v>0</v>
      </c>
    </row>
    <row r="32" spans="1:2" ht="14.1" x14ac:dyDescent="0.5">
      <c r="A32" s="687"/>
      <c r="B32" s="688"/>
    </row>
    <row r="33" spans="1:2" ht="14.1" x14ac:dyDescent="0.5">
      <c r="A33" s="189" t="s">
        <v>307</v>
      </c>
      <c r="B33" s="219">
        <f>$B$20+$B$27+$B$31</f>
        <v>101</v>
      </c>
    </row>
    <row r="34" spans="1:2" x14ac:dyDescent="0.45">
      <c r="A34" s="689"/>
      <c r="B34" s="689"/>
    </row>
    <row r="35" spans="1:2" ht="14.1" x14ac:dyDescent="0.5">
      <c r="A35" s="698" t="s">
        <v>308</v>
      </c>
      <c r="B35" s="699"/>
    </row>
    <row r="36" spans="1:2" ht="14.1" x14ac:dyDescent="0.5">
      <c r="A36" s="188" t="s">
        <v>309</v>
      </c>
      <c r="B36" s="216">
        <v>99</v>
      </c>
    </row>
    <row r="37" spans="1:2" ht="14.1" x14ac:dyDescent="0.5">
      <c r="A37" s="687"/>
      <c r="B37" s="688"/>
    </row>
    <row r="38" spans="1:2" ht="14.1" x14ac:dyDescent="0.5">
      <c r="A38" s="188" t="s">
        <v>310</v>
      </c>
      <c r="B38" s="186">
        <v>1</v>
      </c>
    </row>
    <row r="39" spans="1:2" x14ac:dyDescent="0.45">
      <c r="A39" s="685"/>
      <c r="B39" s="686"/>
    </row>
    <row r="40" spans="1:2" ht="14.1" x14ac:dyDescent="0.5">
      <c r="A40" s="189" t="s">
        <v>311</v>
      </c>
      <c r="B40" s="218">
        <f>$B$36+$B$38</f>
        <v>100</v>
      </c>
    </row>
    <row r="41" spans="1:2" x14ac:dyDescent="0.45">
      <c r="A41" s="691"/>
      <c r="B41" s="692"/>
    </row>
    <row r="42" spans="1:2" ht="14.1" x14ac:dyDescent="0.5">
      <c r="A42" s="189" t="s">
        <v>312</v>
      </c>
      <c r="B42" s="218">
        <f>$B$33-$B$40</f>
        <v>1</v>
      </c>
    </row>
    <row r="43" spans="1:2" ht="14.1" x14ac:dyDescent="0.5">
      <c r="A43" s="697"/>
      <c r="B43" s="697"/>
    </row>
    <row r="44" spans="1:2" ht="14.1" x14ac:dyDescent="0.5">
      <c r="A44" s="698" t="s">
        <v>313</v>
      </c>
      <c r="B44" s="699"/>
    </row>
    <row r="45" spans="1:2" ht="14.1" x14ac:dyDescent="0.5">
      <c r="A45" s="687"/>
      <c r="B45" s="688"/>
    </row>
    <row r="46" spans="1:2" x14ac:dyDescent="0.45">
      <c r="A46" s="695" t="s">
        <v>314</v>
      </c>
      <c r="B46" s="696"/>
    </row>
    <row r="47" spans="1:2" x14ac:dyDescent="0.45">
      <c r="A47" s="186" t="s">
        <v>315</v>
      </c>
      <c r="B47" s="186"/>
    </row>
    <row r="48" spans="1:2" x14ac:dyDescent="0.45">
      <c r="A48" s="186" t="s">
        <v>316</v>
      </c>
      <c r="B48" s="186">
        <v>1</v>
      </c>
    </row>
    <row r="49" spans="1:3" x14ac:dyDescent="0.45">
      <c r="A49" s="192" t="s">
        <v>317</v>
      </c>
      <c r="B49" s="186"/>
    </row>
    <row r="50" spans="1:3" x14ac:dyDescent="0.45">
      <c r="A50" s="186" t="s">
        <v>318</v>
      </c>
      <c r="B50" s="192"/>
    </row>
    <row r="51" spans="1:3" x14ac:dyDescent="0.45">
      <c r="A51" s="691"/>
      <c r="B51" s="692"/>
    </row>
    <row r="52" spans="1:3" x14ac:dyDescent="0.45">
      <c r="A52" s="695" t="s">
        <v>319</v>
      </c>
      <c r="B52" s="696"/>
    </row>
    <row r="53" spans="1:3" x14ac:dyDescent="0.45">
      <c r="A53" s="186" t="s">
        <v>320</v>
      </c>
      <c r="B53" s="186">
        <v>40</v>
      </c>
    </row>
    <row r="54" spans="1:3" x14ac:dyDescent="0.45">
      <c r="A54" s="186" t="s">
        <v>321</v>
      </c>
      <c r="B54" s="186"/>
    </row>
    <row r="55" spans="1:3" x14ac:dyDescent="0.45">
      <c r="A55" s="691"/>
      <c r="B55" s="692"/>
    </row>
    <row r="56" spans="1:3" x14ac:dyDescent="0.45">
      <c r="A56" s="695" t="s">
        <v>322</v>
      </c>
      <c r="B56" s="696"/>
    </row>
    <row r="57" spans="1:3" x14ac:dyDescent="0.45">
      <c r="A57" s="186" t="s">
        <v>323</v>
      </c>
      <c r="B57" s="186">
        <v>30</v>
      </c>
    </row>
    <row r="58" spans="1:3" x14ac:dyDescent="0.45">
      <c r="A58" s="186" t="s">
        <v>324</v>
      </c>
      <c r="B58" s="186"/>
    </row>
    <row r="59" spans="1:3" x14ac:dyDescent="0.45">
      <c r="A59" s="691"/>
      <c r="B59" s="692"/>
    </row>
    <row r="60" spans="1:3" ht="14.1" x14ac:dyDescent="0.5">
      <c r="A60" s="189" t="s">
        <v>325</v>
      </c>
      <c r="B60" s="218">
        <f>SUM($B$47:$B$50)+SUM($B$53:$B$54)-SUM($B$57:$B$58)</f>
        <v>11</v>
      </c>
    </row>
    <row r="63" spans="1:3" x14ac:dyDescent="0.45">
      <c r="A63" s="7"/>
      <c r="B63" s="690" t="s">
        <v>281</v>
      </c>
      <c r="C63" s="690"/>
    </row>
    <row r="64" spans="1:3" x14ac:dyDescent="0.45">
      <c r="A64" s="427"/>
      <c r="B64" s="428" t="s">
        <v>282</v>
      </c>
      <c r="C64" s="428" t="s">
        <v>283</v>
      </c>
    </row>
    <row r="65" spans="1:3" x14ac:dyDescent="0.45">
      <c r="A65" s="426" t="s">
        <v>284</v>
      </c>
      <c r="B65" s="429"/>
      <c r="C65" s="429"/>
    </row>
    <row r="66" spans="1:3" x14ac:dyDescent="0.45">
      <c r="A66" s="426" t="s">
        <v>285</v>
      </c>
      <c r="B66" s="429"/>
      <c r="C66" s="429"/>
    </row>
  </sheetData>
  <mergeCells count="27">
    <mergeCell ref="B63:C63"/>
    <mergeCell ref="A51:B51"/>
    <mergeCell ref="A55:B55"/>
    <mergeCell ref="A59:B59"/>
    <mergeCell ref="A13:B13"/>
    <mergeCell ref="A22:B22"/>
    <mergeCell ref="A46:B46"/>
    <mergeCell ref="A52:B52"/>
    <mergeCell ref="A56:B56"/>
    <mergeCell ref="A37:B37"/>
    <mergeCell ref="A39:B39"/>
    <mergeCell ref="A41:B41"/>
    <mergeCell ref="A43:B43"/>
    <mergeCell ref="A44:B44"/>
    <mergeCell ref="A45:B45"/>
    <mergeCell ref="A35:B35"/>
    <mergeCell ref="A11:B11"/>
    <mergeCell ref="A21:B21"/>
    <mergeCell ref="A28:B28"/>
    <mergeCell ref="A32:B32"/>
    <mergeCell ref="A34:B34"/>
    <mergeCell ref="A8:B8"/>
    <mergeCell ref="A1:B1"/>
    <mergeCell ref="A4:B4"/>
    <mergeCell ref="A5:B5"/>
    <mergeCell ref="A6:B6"/>
    <mergeCell ref="A7:B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7"/>
  <sheetViews>
    <sheetView topLeftCell="A11" workbookViewId="0">
      <selection activeCell="D41" sqref="D41"/>
    </sheetView>
  </sheetViews>
  <sheetFormatPr defaultColWidth="9" defaultRowHeight="13.8" x14ac:dyDescent="0.45"/>
  <cols>
    <col min="1" max="1" width="52.5" style="181" customWidth="1"/>
    <col min="2" max="2" width="20" style="181" customWidth="1"/>
    <col min="3" max="3" width="19.5" style="181" customWidth="1"/>
    <col min="4" max="16384" width="9" style="181"/>
  </cols>
  <sheetData>
    <row r="1" spans="1:2" ht="14.1" x14ac:dyDescent="0.5">
      <c r="A1" s="678" t="s">
        <v>326</v>
      </c>
      <c r="B1" s="678"/>
    </row>
    <row r="2" spans="1:2" ht="14.1" x14ac:dyDescent="0.5">
      <c r="A2" s="182"/>
      <c r="B2" s="182"/>
    </row>
    <row r="4" spans="1:2" x14ac:dyDescent="0.45">
      <c r="A4" s="679" t="s">
        <v>287</v>
      </c>
      <c r="B4" s="680"/>
    </row>
    <row r="5" spans="1:2" x14ac:dyDescent="0.45">
      <c r="A5" s="681" t="s">
        <v>288</v>
      </c>
      <c r="B5" s="682"/>
    </row>
    <row r="6" spans="1:2" x14ac:dyDescent="0.45">
      <c r="A6" s="681" t="s">
        <v>289</v>
      </c>
      <c r="B6" s="682"/>
    </row>
    <row r="7" spans="1:2" x14ac:dyDescent="0.45">
      <c r="A7" s="681" t="s">
        <v>327</v>
      </c>
      <c r="B7" s="682"/>
    </row>
    <row r="8" spans="1:2" x14ac:dyDescent="0.45">
      <c r="A8" s="676" t="s">
        <v>291</v>
      </c>
      <c r="B8" s="677"/>
    </row>
    <row r="9" spans="1:2" x14ac:dyDescent="0.45">
      <c r="A9" s="183"/>
      <c r="B9" s="183"/>
    </row>
    <row r="10" spans="1:2" x14ac:dyDescent="0.45">
      <c r="A10" s="183"/>
      <c r="B10" s="183"/>
    </row>
    <row r="11" spans="1:2" ht="14.1" x14ac:dyDescent="0.5">
      <c r="A11" s="698" t="s">
        <v>328</v>
      </c>
      <c r="B11" s="699"/>
    </row>
    <row r="12" spans="1:2" ht="14.1" x14ac:dyDescent="0.5">
      <c r="A12" s="184"/>
      <c r="B12" s="185"/>
    </row>
    <row r="13" spans="1:2" x14ac:dyDescent="0.45">
      <c r="A13" s="695" t="s">
        <v>329</v>
      </c>
      <c r="B13" s="696"/>
    </row>
    <row r="14" spans="1:2" x14ac:dyDescent="0.45">
      <c r="A14" s="186" t="s">
        <v>330</v>
      </c>
      <c r="B14" s="187"/>
    </row>
    <row r="15" spans="1:2" x14ac:dyDescent="0.45">
      <c r="A15" s="186" t="s">
        <v>331</v>
      </c>
      <c r="B15" s="228">
        <f>'Estado de Resultados'!B48+'Estado de Resultados'!B50</f>
        <v>1</v>
      </c>
    </row>
    <row r="16" spans="1:2" ht="14.1" x14ac:dyDescent="0.5">
      <c r="A16" s="188" t="s">
        <v>332</v>
      </c>
      <c r="B16" s="228">
        <f>B14+B15</f>
        <v>1</v>
      </c>
    </row>
    <row r="17" spans="1:2" x14ac:dyDescent="0.45">
      <c r="A17" s="691"/>
      <c r="B17" s="692"/>
    </row>
    <row r="18" spans="1:2" x14ac:dyDescent="0.45">
      <c r="A18" s="695" t="s">
        <v>333</v>
      </c>
      <c r="B18" s="696"/>
    </row>
    <row r="19" spans="1:2" x14ac:dyDescent="0.45">
      <c r="A19" s="186" t="s">
        <v>330</v>
      </c>
      <c r="B19" s="187">
        <f>'Estado de Resultados'!B49</f>
        <v>0</v>
      </c>
    </row>
    <row r="20" spans="1:2" x14ac:dyDescent="0.45">
      <c r="A20" s="186" t="s">
        <v>334</v>
      </c>
      <c r="B20" s="187"/>
    </row>
    <row r="21" spans="1:2" ht="14.1" x14ac:dyDescent="0.5">
      <c r="A21" s="188" t="s">
        <v>335</v>
      </c>
      <c r="B21" s="187">
        <f>B19+B20</f>
        <v>0</v>
      </c>
    </row>
    <row r="22" spans="1:2" x14ac:dyDescent="0.45">
      <c r="A22" s="691"/>
      <c r="B22" s="692"/>
    </row>
    <row r="23" spans="1:2" x14ac:dyDescent="0.45">
      <c r="A23" s="695" t="s">
        <v>336</v>
      </c>
      <c r="B23" s="696"/>
    </row>
    <row r="24" spans="1:2" x14ac:dyDescent="0.45">
      <c r="A24" s="186" t="s">
        <v>320</v>
      </c>
      <c r="B24" s="187"/>
    </row>
    <row r="25" spans="1:2" x14ac:dyDescent="0.45">
      <c r="A25" s="186" t="s">
        <v>321</v>
      </c>
      <c r="B25" s="187"/>
    </row>
    <row r="26" spans="1:2" x14ac:dyDescent="0.45">
      <c r="A26" s="685"/>
      <c r="B26" s="686"/>
    </row>
    <row r="27" spans="1:2" ht="14.1" x14ac:dyDescent="0.5">
      <c r="A27" s="189" t="s">
        <v>337</v>
      </c>
      <c r="B27" s="218">
        <f>B16+B21+B24+B25</f>
        <v>1</v>
      </c>
    </row>
    <row r="28" spans="1:2" ht="14.1" x14ac:dyDescent="0.5">
      <c r="A28" s="700"/>
      <c r="B28" s="700"/>
    </row>
    <row r="29" spans="1:2" ht="14.1" x14ac:dyDescent="0.5">
      <c r="A29" s="703" t="s">
        <v>338</v>
      </c>
      <c r="B29" s="704"/>
    </row>
    <row r="30" spans="1:2" ht="14.1" x14ac:dyDescent="0.5">
      <c r="A30" s="190"/>
      <c r="B30" s="191"/>
    </row>
    <row r="31" spans="1:2" ht="15" customHeight="1" x14ac:dyDescent="0.45">
      <c r="A31" s="695" t="s">
        <v>339</v>
      </c>
      <c r="B31" s="696"/>
    </row>
    <row r="32" spans="1:2" ht="14.1" x14ac:dyDescent="0.5">
      <c r="A32" s="192" t="s">
        <v>56</v>
      </c>
      <c r="B32" s="215">
        <f>'Informe Financiero'!$C$49</f>
        <v>0</v>
      </c>
    </row>
    <row r="33" spans="1:8" ht="14.1" x14ac:dyDescent="0.5">
      <c r="A33" s="192" t="s">
        <v>340</v>
      </c>
      <c r="B33" s="193">
        <f>'Estado de Resultados'!$B$27+'Estado de Resultados'!$B$31-'Estado de Resultados'!$B$38</f>
        <v>0</v>
      </c>
    </row>
    <row r="34" spans="1:8" ht="14.1" x14ac:dyDescent="0.5">
      <c r="A34" s="188" t="s">
        <v>341</v>
      </c>
      <c r="B34" s="227">
        <f>B32+B33</f>
        <v>0</v>
      </c>
      <c r="H34" s="200"/>
    </row>
    <row r="35" spans="1:8" x14ac:dyDescent="0.45">
      <c r="A35" s="691"/>
      <c r="B35" s="692"/>
    </row>
    <row r="36" spans="1:8" ht="15" customHeight="1" x14ac:dyDescent="0.45">
      <c r="A36" s="695" t="s">
        <v>342</v>
      </c>
      <c r="B36" s="696"/>
    </row>
    <row r="37" spans="1:8" ht="14.1" x14ac:dyDescent="0.5">
      <c r="A37" s="186" t="s">
        <v>323</v>
      </c>
      <c r="B37" s="193">
        <f>'Estado de Resultados'!$B$57</f>
        <v>30</v>
      </c>
    </row>
    <row r="38" spans="1:8" ht="14.1" x14ac:dyDescent="0.5">
      <c r="A38" s="186" t="s">
        <v>324</v>
      </c>
      <c r="B38" s="193">
        <f>'Estado de Resultados'!$B$58</f>
        <v>0</v>
      </c>
    </row>
    <row r="39" spans="1:8" ht="14.1" x14ac:dyDescent="0.5">
      <c r="A39" s="188" t="s">
        <v>343</v>
      </c>
      <c r="B39" s="188">
        <f>B37+B38</f>
        <v>30</v>
      </c>
    </row>
    <row r="40" spans="1:8" ht="14.1" x14ac:dyDescent="0.5">
      <c r="A40" s="701"/>
      <c r="B40" s="702"/>
    </row>
    <row r="41" spans="1:8" ht="14.1" x14ac:dyDescent="0.5">
      <c r="A41" s="189" t="s">
        <v>344</v>
      </c>
      <c r="B41" s="219">
        <f>B34+B39</f>
        <v>30</v>
      </c>
    </row>
    <row r="44" spans="1:8" x14ac:dyDescent="0.45">
      <c r="A44" s="7"/>
      <c r="B44" s="690" t="s">
        <v>281</v>
      </c>
      <c r="C44" s="690"/>
    </row>
    <row r="45" spans="1:8" x14ac:dyDescent="0.45">
      <c r="A45" s="427"/>
      <c r="B45" s="428" t="s">
        <v>282</v>
      </c>
      <c r="C45" s="428" t="s">
        <v>283</v>
      </c>
    </row>
    <row r="46" spans="1:8" x14ac:dyDescent="0.45">
      <c r="A46" s="426" t="s">
        <v>284</v>
      </c>
      <c r="B46" s="429"/>
      <c r="C46" s="429"/>
    </row>
    <row r="47" spans="1:8" x14ac:dyDescent="0.45">
      <c r="A47" s="426" t="s">
        <v>285</v>
      </c>
      <c r="B47" s="429"/>
      <c r="C47" s="429"/>
    </row>
  </sheetData>
  <mergeCells count="20">
    <mergeCell ref="B44:C44"/>
    <mergeCell ref="A35:B35"/>
    <mergeCell ref="A40:B40"/>
    <mergeCell ref="A13:B13"/>
    <mergeCell ref="A18:B18"/>
    <mergeCell ref="A23:B23"/>
    <mergeCell ref="A31:B31"/>
    <mergeCell ref="A36:B36"/>
    <mergeCell ref="A29:B29"/>
    <mergeCell ref="A11:B11"/>
    <mergeCell ref="A17:B17"/>
    <mergeCell ref="A22:B22"/>
    <mergeCell ref="A26:B26"/>
    <mergeCell ref="A28:B28"/>
    <mergeCell ref="A8:B8"/>
    <mergeCell ref="A1:B1"/>
    <mergeCell ref="A4:B4"/>
    <mergeCell ref="A5:B5"/>
    <mergeCell ref="A6:B6"/>
    <mergeCell ref="A7:B7"/>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T57"/>
  <sheetViews>
    <sheetView topLeftCell="A6" zoomScale="170" zoomScaleNormal="170" workbookViewId="0">
      <selection activeCell="C43" sqref="C43"/>
    </sheetView>
  </sheetViews>
  <sheetFormatPr defaultColWidth="9" defaultRowHeight="12.3" x14ac:dyDescent="0.4"/>
  <cols>
    <col min="2" max="2" width="44.5" bestFit="1" customWidth="1"/>
    <col min="3" max="3" width="11" customWidth="1"/>
    <col min="4" max="4" width="9.83203125" bestFit="1" customWidth="1"/>
    <col min="12" max="13" width="9.5" bestFit="1" customWidth="1"/>
    <col min="15" max="15" width="10" bestFit="1" customWidth="1"/>
    <col min="17" max="17" width="10" bestFit="1" customWidth="1"/>
    <col min="18" max="18" width="10.5" bestFit="1" customWidth="1"/>
    <col min="20" max="20" width="10" bestFit="1" customWidth="1"/>
    <col min="22" max="22" width="11.5" bestFit="1" customWidth="1"/>
    <col min="23" max="23" width="10.5" bestFit="1" customWidth="1"/>
    <col min="25" max="30" width="0" hidden="1" customWidth="1"/>
  </cols>
  <sheetData>
    <row r="1" spans="1:72" x14ac:dyDescent="0.4">
      <c r="A1" s="648" t="s">
        <v>237</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ht="12.6" thickBot="1" x14ac:dyDescent="0.45">
      <c r="A2" s="9"/>
      <c r="B2" s="2"/>
      <c r="C2" s="1"/>
      <c r="D2" s="1"/>
      <c r="E2" s="1"/>
      <c r="F2" s="1"/>
      <c r="G2" s="1"/>
      <c r="H2" s="1"/>
      <c r="I2" s="15"/>
      <c r="J2" s="15"/>
      <c r="K2" s="15"/>
      <c r="L2" s="15"/>
      <c r="M2" s="15"/>
      <c r="N2" s="15"/>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x14ac:dyDescent="0.4">
      <c r="A3" s="649" t="s">
        <v>345</v>
      </c>
      <c r="B3" s="650"/>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x14ac:dyDescent="0.4">
      <c r="A4" s="652" t="s">
        <v>346</v>
      </c>
      <c r="B4" s="653"/>
      <c r="C4" s="653"/>
      <c r="D4" s="653"/>
      <c r="E4" s="653"/>
      <c r="F4" s="653"/>
      <c r="G4" s="653"/>
      <c r="H4" s="653"/>
      <c r="I4" s="653"/>
      <c r="J4" s="653"/>
      <c r="K4" s="653"/>
      <c r="L4" s="653"/>
      <c r="M4" s="653"/>
      <c r="N4" s="653"/>
      <c r="O4" s="653"/>
      <c r="P4" s="653"/>
      <c r="Q4" s="653"/>
      <c r="R4" s="653"/>
      <c r="S4" s="653"/>
      <c r="T4" s="653"/>
      <c r="U4" s="653"/>
      <c r="V4" s="653"/>
      <c r="W4" s="653"/>
      <c r="X4" s="653"/>
      <c r="Y4" s="653"/>
      <c r="Z4" s="653"/>
      <c r="AA4" s="653"/>
      <c r="AB4" s="653"/>
      <c r="AC4" s="653"/>
      <c r="AD4" s="654"/>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x14ac:dyDescent="0.4">
      <c r="A5" s="652" t="s">
        <v>347</v>
      </c>
      <c r="B5" s="653"/>
      <c r="C5" s="653"/>
      <c r="D5" s="653"/>
      <c r="E5" s="653"/>
      <c r="F5" s="653"/>
      <c r="G5" s="653"/>
      <c r="H5" s="653"/>
      <c r="I5" s="653"/>
      <c r="J5" s="653"/>
      <c r="K5" s="653"/>
      <c r="L5" s="653"/>
      <c r="M5" s="653"/>
      <c r="N5" s="653"/>
      <c r="O5" s="653"/>
      <c r="P5" s="653"/>
      <c r="Q5" s="653"/>
      <c r="R5" s="653"/>
      <c r="S5" s="653"/>
      <c r="T5" s="653"/>
      <c r="U5" s="653"/>
      <c r="V5" s="653"/>
      <c r="W5" s="653"/>
      <c r="X5" s="653"/>
      <c r="Y5" s="653"/>
      <c r="Z5" s="653"/>
      <c r="AA5" s="653"/>
      <c r="AB5" s="653"/>
      <c r="AC5" s="653"/>
      <c r="AD5" s="654"/>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x14ac:dyDescent="0.4">
      <c r="A6" s="64" t="s">
        <v>348</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6"/>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x14ac:dyDescent="0.4">
      <c r="A7" s="64" t="s">
        <v>215</v>
      </c>
      <c r="B7" s="65"/>
      <c r="C7" s="65"/>
      <c r="D7" s="65"/>
      <c r="E7" s="65"/>
      <c r="F7" s="65"/>
      <c r="G7" s="65"/>
      <c r="H7" s="65"/>
      <c r="I7" s="65"/>
      <c r="J7" s="65"/>
      <c r="K7" s="65"/>
      <c r="L7" s="65"/>
      <c r="M7" s="65"/>
      <c r="N7" s="65"/>
      <c r="O7" s="65"/>
      <c r="P7" s="65"/>
      <c r="Q7" s="65"/>
      <c r="R7" s="65"/>
      <c r="S7" s="65"/>
      <c r="T7" s="65"/>
      <c r="U7" s="65"/>
      <c r="V7" s="65"/>
      <c r="W7" s="65"/>
      <c r="X7" s="65"/>
      <c r="Y7" s="65"/>
      <c r="Z7" s="65"/>
      <c r="AA7" s="65"/>
      <c r="AB7" s="65"/>
      <c r="AC7" s="65"/>
      <c r="AD7" s="66"/>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ht="12.6" thickBot="1" x14ac:dyDescent="0.45">
      <c r="A8" s="655" t="s">
        <v>239</v>
      </c>
      <c r="B8" s="656"/>
      <c r="C8" s="656"/>
      <c r="D8" s="656"/>
      <c r="E8" s="656"/>
      <c r="F8" s="656"/>
      <c r="G8" s="656"/>
      <c r="H8" s="656"/>
      <c r="I8" s="656"/>
      <c r="J8" s="656"/>
      <c r="K8" s="656"/>
      <c r="L8" s="656"/>
      <c r="M8" s="656"/>
      <c r="N8" s="656"/>
      <c r="O8" s="656"/>
      <c r="P8" s="656"/>
      <c r="Q8" s="656"/>
      <c r="R8" s="656"/>
      <c r="S8" s="656"/>
      <c r="T8" s="656"/>
      <c r="U8" s="656"/>
      <c r="V8" s="656"/>
      <c r="W8" s="656"/>
      <c r="X8" s="656"/>
      <c r="Y8" s="656"/>
      <c r="Z8" s="656"/>
      <c r="AA8" s="656"/>
      <c r="AB8" s="656"/>
      <c r="AC8" s="656"/>
      <c r="AD8" s="657"/>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x14ac:dyDescent="0.4">
      <c r="A9" s="67"/>
      <c r="B9" s="67"/>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6"/>
      <c r="BK9" s="6"/>
      <c r="BL9" s="6"/>
      <c r="BM9" s="6"/>
      <c r="BN9" s="6"/>
      <c r="BO9" s="6"/>
      <c r="BP9" s="6"/>
      <c r="BQ9" s="6"/>
      <c r="BR9" s="6"/>
      <c r="BS9" s="6"/>
      <c r="BT9" s="6"/>
    </row>
    <row r="10" spans="1:72" ht="12.6" thickBot="1" x14ac:dyDescent="0.45">
      <c r="A10" s="3" t="s">
        <v>240</v>
      </c>
      <c r="B10" s="8"/>
      <c r="C10" s="68"/>
      <c r="D10" s="68"/>
      <c r="E10" s="68"/>
      <c r="F10" s="68"/>
      <c r="G10" s="68"/>
      <c r="H10" s="68"/>
      <c r="I10" s="16"/>
      <c r="J10" s="16"/>
      <c r="K10" s="16"/>
      <c r="L10" s="16"/>
      <c r="M10" s="16"/>
      <c r="N10" s="16"/>
      <c r="O10" s="60"/>
      <c r="P10" s="60"/>
      <c r="Q10" s="60"/>
      <c r="R10" s="60"/>
      <c r="S10" s="60"/>
      <c r="T10" s="60"/>
      <c r="U10" s="60"/>
      <c r="V10" s="60"/>
      <c r="W10" s="60"/>
      <c r="X10" s="60"/>
      <c r="Y10" s="60"/>
      <c r="Z10" s="60"/>
      <c r="AA10" s="60"/>
      <c r="AB10" s="60"/>
      <c r="AC10" s="60"/>
      <c r="AD10" s="60"/>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x14ac:dyDescent="0.4">
      <c r="A11" s="3"/>
      <c r="B11" s="8"/>
      <c r="C11" s="658" t="s">
        <v>241</v>
      </c>
      <c r="D11" s="643"/>
      <c r="E11" s="643"/>
      <c r="F11" s="643"/>
      <c r="G11" s="643"/>
      <c r="H11" s="643"/>
      <c r="I11" s="643"/>
      <c r="J11" s="643"/>
      <c r="K11" s="643"/>
      <c r="L11" s="643"/>
      <c r="M11" s="643"/>
      <c r="N11" s="69"/>
      <c r="O11" s="645" t="s">
        <v>56</v>
      </c>
      <c r="P11" s="659"/>
      <c r="Q11" s="659"/>
      <c r="R11" s="659"/>
      <c r="S11" s="659"/>
      <c r="T11" s="646"/>
      <c r="U11" s="658"/>
      <c r="V11" s="705" t="s">
        <v>349</v>
      </c>
      <c r="W11" s="706"/>
      <c r="X11" s="707"/>
      <c r="Y11" s="643" t="s">
        <v>58</v>
      </c>
      <c r="Z11" s="643"/>
      <c r="AA11" s="644"/>
      <c r="AB11" s="645" t="s">
        <v>59</v>
      </c>
      <c r="AC11" s="646"/>
      <c r="AD11" s="647"/>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ht="52.5" x14ac:dyDescent="0.4">
      <c r="A12" s="70" t="s">
        <v>60</v>
      </c>
      <c r="B12" s="36" t="s">
        <v>61</v>
      </c>
      <c r="C12" s="167" t="s">
        <v>242</v>
      </c>
      <c r="D12" s="362" t="s">
        <v>243</v>
      </c>
      <c r="E12" s="35" t="s">
        <v>244</v>
      </c>
      <c r="F12" s="167" t="s">
        <v>245</v>
      </c>
      <c r="G12" s="10" t="s">
        <v>246</v>
      </c>
      <c r="H12" s="178" t="s">
        <v>247</v>
      </c>
      <c r="I12" s="57" t="s">
        <v>248</v>
      </c>
      <c r="J12" s="71" t="s">
        <v>249</v>
      </c>
      <c r="K12" s="19" t="s">
        <v>250</v>
      </c>
      <c r="L12" s="57" t="s">
        <v>251</v>
      </c>
      <c r="M12" s="71" t="s">
        <v>252</v>
      </c>
      <c r="N12" s="51" t="s">
        <v>253</v>
      </c>
      <c r="O12" s="11" t="s">
        <v>254</v>
      </c>
      <c r="P12" s="11" t="s">
        <v>350</v>
      </c>
      <c r="Q12" s="11" t="s">
        <v>34</v>
      </c>
      <c r="R12" s="198" t="s">
        <v>351</v>
      </c>
      <c r="S12" s="198" t="s">
        <v>352</v>
      </c>
      <c r="T12" s="199" t="s">
        <v>260</v>
      </c>
      <c r="U12" s="383" t="s">
        <v>261</v>
      </c>
      <c r="V12" s="388" t="s">
        <v>262</v>
      </c>
      <c r="W12" s="10" t="s">
        <v>260</v>
      </c>
      <c r="X12" s="389" t="s">
        <v>261</v>
      </c>
      <c r="Y12" s="11" t="s">
        <v>254</v>
      </c>
      <c r="Z12" s="10" t="s">
        <v>260</v>
      </c>
      <c r="AA12" s="35" t="s">
        <v>261</v>
      </c>
      <c r="AB12" s="12" t="s">
        <v>262</v>
      </c>
      <c r="AC12" s="10" t="s">
        <v>260</v>
      </c>
      <c r="AD12" s="35" t="s">
        <v>261</v>
      </c>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x14ac:dyDescent="0.4">
      <c r="A13" s="72">
        <v>1</v>
      </c>
      <c r="B13" s="37" t="s">
        <v>82</v>
      </c>
      <c r="C13" s="73">
        <f>C15+C18+C21+C22+C25+C26+C27+C28</f>
        <v>56500000</v>
      </c>
      <c r="D13" s="166">
        <f>D15+D18+D21+D22+D25+D26+D27+D28</f>
        <v>25950000</v>
      </c>
      <c r="E13" s="342"/>
      <c r="F13" s="73">
        <f>F15+F18+F21+F22+F25+F26+F27+F28</f>
        <v>23000000</v>
      </c>
      <c r="G13" s="166">
        <f>G15+G18+G21+G22+G25+G26+G27+G28</f>
        <v>11500000</v>
      </c>
      <c r="H13" s="78">
        <f>G123/F13</f>
        <v>0</v>
      </c>
      <c r="I13" s="73">
        <f>I15+I18+I21+I22+I25+I26+I27+I28</f>
        <v>16750000</v>
      </c>
      <c r="J13" s="166">
        <f>J15+J18+J21+J22+J25+J26+J27+J28</f>
        <v>7225000</v>
      </c>
      <c r="K13" s="78">
        <f>J123/I13</f>
        <v>0</v>
      </c>
      <c r="L13" s="73">
        <f>L15+L18+L21+L22+L25+L26+L27+L28</f>
        <v>16750000</v>
      </c>
      <c r="M13" s="166">
        <f>M15+M18+M21+M22+M25+M26+M27+M28</f>
        <v>7225000</v>
      </c>
      <c r="N13" s="78">
        <f>M123/L13</f>
        <v>0</v>
      </c>
      <c r="O13" s="73">
        <f>O15+O18+O21+O22+O25+O26+O27+O28</f>
        <v>12000000</v>
      </c>
      <c r="P13" s="166">
        <f>P15+P18+P21+P22+P25+P26+P27+P28</f>
        <v>1500000</v>
      </c>
      <c r="Q13" s="166">
        <f>Q15+Q18+Q21+Q22+Q25+Q26+Q27+Q28</f>
        <v>13500000</v>
      </c>
      <c r="R13" s="166">
        <f>R15+R18+R21+R22+R25+R26+R27+R28</f>
        <v>5152500</v>
      </c>
      <c r="S13" s="75"/>
      <c r="T13" s="166">
        <f>T15+T18+T21+T22+T25+T26+T27+T28</f>
        <v>5152500</v>
      </c>
      <c r="U13" s="77">
        <f>T13/Q13</f>
        <v>0.38166666666666665</v>
      </c>
      <c r="V13" s="390">
        <f>V15+V18+V21+V22+V25+V26+V27+V28</f>
        <v>43000000</v>
      </c>
      <c r="W13" s="166">
        <f>W15+W18+W21+W22+W25+W26+W27+W28</f>
        <v>20797500</v>
      </c>
      <c r="X13" s="391">
        <f>W13/V13</f>
        <v>0.48366279069767443</v>
      </c>
      <c r="Y13" s="22"/>
      <c r="Z13" s="77"/>
      <c r="AA13" s="23" t="e">
        <f>Z13/Y13</f>
        <v>#DIV/0!</v>
      </c>
      <c r="AB13" s="24"/>
      <c r="AC13" s="22"/>
      <c r="AD13" s="339" t="e">
        <f>AC13/AB13</f>
        <v>#DIV/0!</v>
      </c>
      <c r="AE13" s="25"/>
      <c r="AF13" s="9"/>
      <c r="AG13" s="9"/>
      <c r="AH13" s="9"/>
      <c r="AI13" s="9"/>
      <c r="AJ13" s="9"/>
      <c r="AK13" s="9"/>
      <c r="AL13" s="9"/>
      <c r="AM13" s="9"/>
      <c r="AN13" s="9"/>
      <c r="AO13" s="9"/>
      <c r="AP13" s="9"/>
      <c r="AQ13" s="9"/>
      <c r="AR13" s="9"/>
      <c r="AS13" s="9"/>
      <c r="AT13" s="25"/>
      <c r="AU13" s="25"/>
      <c r="AV13" s="25"/>
      <c r="AW13" s="25"/>
      <c r="AX13" s="25"/>
      <c r="AY13" s="25"/>
      <c r="AZ13" s="25"/>
      <c r="BA13" s="25"/>
      <c r="BB13" s="25"/>
      <c r="BC13" s="25"/>
      <c r="BD13" s="25"/>
      <c r="BE13" s="25"/>
      <c r="BF13" s="25"/>
      <c r="BG13" s="25"/>
      <c r="BH13" s="25"/>
      <c r="BI13" s="25"/>
      <c r="BJ13" s="9"/>
      <c r="BK13" s="9"/>
      <c r="BL13" s="9"/>
      <c r="BM13" s="9"/>
      <c r="BN13" s="9"/>
      <c r="BO13" s="9"/>
      <c r="BP13" s="9"/>
      <c r="BQ13" s="9"/>
      <c r="BR13" s="9"/>
      <c r="BS13" s="9"/>
      <c r="BT13" s="9"/>
    </row>
    <row r="14" spans="1:72" x14ac:dyDescent="0.4">
      <c r="A14" s="72"/>
      <c r="B14" s="37" t="s">
        <v>263</v>
      </c>
      <c r="C14" s="79"/>
      <c r="D14" s="83">
        <f>$D$13/$D$43</f>
        <v>0.4357682619647355</v>
      </c>
      <c r="E14" s="343"/>
      <c r="F14" s="79"/>
      <c r="G14" s="83"/>
      <c r="H14" s="164"/>
      <c r="I14" s="55"/>
      <c r="J14" s="26"/>
      <c r="K14" s="80"/>
      <c r="L14" s="55"/>
      <c r="M14" s="26"/>
      <c r="N14" s="81"/>
      <c r="O14" s="82"/>
      <c r="P14" s="82"/>
      <c r="Q14" s="82">
        <f>Q13/$Q$43</f>
        <v>0.24590163934426229</v>
      </c>
      <c r="R14" s="82"/>
      <c r="S14" s="82"/>
      <c r="T14" s="83"/>
      <c r="U14" s="41"/>
      <c r="V14" s="392"/>
      <c r="W14" s="77"/>
      <c r="X14" s="393"/>
      <c r="Y14" s="22"/>
      <c r="Z14" s="77"/>
      <c r="AA14" s="23"/>
      <c r="AB14" s="24"/>
      <c r="AC14" s="22"/>
      <c r="AD14" s="78"/>
      <c r="AE14" s="25"/>
      <c r="AF14" s="9"/>
      <c r="AG14" s="9"/>
      <c r="AH14" s="9"/>
      <c r="AI14" s="9"/>
      <c r="AJ14" s="9"/>
      <c r="AK14" s="9"/>
      <c r="AL14" s="9"/>
      <c r="AM14" s="9"/>
      <c r="AN14" s="9"/>
      <c r="AO14" s="9"/>
      <c r="AP14" s="9"/>
      <c r="AQ14" s="9"/>
      <c r="AR14" s="9"/>
      <c r="AS14" s="9"/>
      <c r="AT14" s="25"/>
      <c r="AU14" s="25"/>
      <c r="AV14" s="25"/>
      <c r="AW14" s="25"/>
      <c r="AX14" s="25"/>
      <c r="AY14" s="25"/>
      <c r="AZ14" s="25"/>
      <c r="BA14" s="25"/>
      <c r="BB14" s="25"/>
      <c r="BC14" s="25"/>
      <c r="BD14" s="25"/>
      <c r="BE14" s="25"/>
      <c r="BF14" s="25"/>
      <c r="BG14" s="25"/>
      <c r="BH14" s="25"/>
      <c r="BI14" s="25"/>
      <c r="BJ14" s="9"/>
      <c r="BK14" s="9"/>
      <c r="BL14" s="9"/>
      <c r="BM14" s="9"/>
      <c r="BN14" s="9"/>
      <c r="BO14" s="9"/>
      <c r="BP14" s="9"/>
      <c r="BQ14" s="9"/>
      <c r="BR14" s="9"/>
      <c r="BS14" s="9"/>
      <c r="BT14" s="9"/>
    </row>
    <row r="15" spans="1:72" x14ac:dyDescent="0.4">
      <c r="A15" s="84" t="s">
        <v>84</v>
      </c>
      <c r="B15" s="38" t="s">
        <v>85</v>
      </c>
      <c r="C15" s="360">
        <f>C16+C17</f>
        <v>22500000</v>
      </c>
      <c r="D15" s="363">
        <f>D16+D17</f>
        <v>11250000</v>
      </c>
      <c r="E15" s="361">
        <f t="shared" ref="E15:E20" si="0">D15/C15</f>
        <v>0.5</v>
      </c>
      <c r="F15" s="85"/>
      <c r="G15" s="88"/>
      <c r="H15" s="165"/>
      <c r="I15" s="360">
        <f>I16+I17</f>
        <v>11250000</v>
      </c>
      <c r="J15" s="363">
        <f>J16+J17</f>
        <v>5625000</v>
      </c>
      <c r="K15" s="369">
        <f>J15/I15</f>
        <v>0.5</v>
      </c>
      <c r="L15" s="360">
        <f>L16+L17</f>
        <v>11250000</v>
      </c>
      <c r="M15" s="363">
        <f>M16+M17</f>
        <v>5625000</v>
      </c>
      <c r="N15" s="369">
        <f>M15/L15</f>
        <v>0.5</v>
      </c>
      <c r="O15" s="360">
        <f>O16+O17</f>
        <v>4000000</v>
      </c>
      <c r="P15" s="363">
        <f>P16+P17</f>
        <v>2000000</v>
      </c>
      <c r="Q15" s="363">
        <f>Q16+Q17</f>
        <v>6000000</v>
      </c>
      <c r="R15" s="363">
        <f>R16+R17</f>
        <v>2812500</v>
      </c>
      <c r="S15" s="92"/>
      <c r="T15" s="363">
        <f>T16+T17</f>
        <v>2812500</v>
      </c>
      <c r="U15" s="384">
        <f>T15/Q15</f>
        <v>0.46875</v>
      </c>
      <c r="V15" s="394">
        <f>V16+V17</f>
        <v>16500000</v>
      </c>
      <c r="W15" s="371">
        <f>W16+W17</f>
        <v>8437500</v>
      </c>
      <c r="X15" s="395">
        <f t="shared" ref="X15:X20" si="1">W15/V15</f>
        <v>0.51136363636363635</v>
      </c>
      <c r="Y15" s="28"/>
      <c r="Z15" s="95"/>
      <c r="AA15" s="29"/>
      <c r="AB15" s="31"/>
      <c r="AC15" s="28"/>
      <c r="AD15" s="96"/>
      <c r="AE15" s="33"/>
      <c r="AF15" s="2"/>
      <c r="AG15" s="2"/>
      <c r="AH15" s="2"/>
      <c r="AI15" s="2"/>
      <c r="AJ15" s="2"/>
      <c r="AK15" s="2"/>
      <c r="AL15" s="2"/>
      <c r="AM15" s="2"/>
      <c r="AN15" s="2"/>
      <c r="AO15" s="2"/>
      <c r="AP15" s="2"/>
      <c r="AQ15" s="2"/>
      <c r="AR15" s="2"/>
      <c r="AS15" s="2"/>
      <c r="AT15" s="25"/>
      <c r="AU15" s="25"/>
      <c r="AV15" s="25"/>
      <c r="AW15" s="25"/>
      <c r="AX15" s="25"/>
      <c r="AY15" s="25"/>
      <c r="AZ15" s="25"/>
      <c r="BA15" s="25"/>
      <c r="BB15" s="25"/>
      <c r="BC15" s="25"/>
      <c r="BD15" s="25"/>
      <c r="BE15" s="25"/>
      <c r="BF15" s="25"/>
      <c r="BG15" s="25"/>
      <c r="BH15" s="25"/>
      <c r="BI15" s="25"/>
      <c r="BJ15" s="2"/>
      <c r="BK15" s="2"/>
      <c r="BL15" s="2"/>
      <c r="BM15" s="2"/>
      <c r="BN15" s="2"/>
      <c r="BO15" s="2"/>
      <c r="BP15" s="2"/>
      <c r="BQ15" s="2"/>
      <c r="BR15" s="2"/>
      <c r="BS15" s="2"/>
      <c r="BT15" s="2"/>
    </row>
    <row r="16" spans="1:72" x14ac:dyDescent="0.4">
      <c r="A16" s="341" t="s">
        <v>86</v>
      </c>
      <c r="B16" s="340" t="s">
        <v>353</v>
      </c>
      <c r="C16" s="85">
        <v>18000000</v>
      </c>
      <c r="D16" s="88">
        <v>9000000</v>
      </c>
      <c r="E16" s="351">
        <f t="shared" si="0"/>
        <v>0.5</v>
      </c>
      <c r="F16" s="85"/>
      <c r="G16" s="88"/>
      <c r="H16" s="165"/>
      <c r="I16" s="86">
        <f>C16/2</f>
        <v>9000000</v>
      </c>
      <c r="J16" s="87">
        <f>D16/2</f>
        <v>4500000</v>
      </c>
      <c r="K16" s="354">
        <f>J16/I16</f>
        <v>0.5</v>
      </c>
      <c r="L16" s="86">
        <f>C16/2</f>
        <v>9000000</v>
      </c>
      <c r="M16" s="87">
        <f>L16/2</f>
        <v>4500000</v>
      </c>
      <c r="N16" s="91">
        <f>M16/L16</f>
        <v>0.5</v>
      </c>
      <c r="O16" s="92">
        <v>3000000</v>
      </c>
      <c r="P16" s="92">
        <v>1500000</v>
      </c>
      <c r="Q16" s="92">
        <f>O16+P16</f>
        <v>4500000</v>
      </c>
      <c r="R16" s="92">
        <v>2250000</v>
      </c>
      <c r="S16" s="92"/>
      <c r="T16" s="93">
        <f>SUM(R16:S16)</f>
        <v>2250000</v>
      </c>
      <c r="U16" s="385">
        <f>T16/Q16</f>
        <v>0.5</v>
      </c>
      <c r="V16" s="396">
        <v>13500000</v>
      </c>
      <c r="W16" s="356">
        <v>6750000</v>
      </c>
      <c r="X16" s="397">
        <f t="shared" si="1"/>
        <v>0.5</v>
      </c>
      <c r="Y16" s="28"/>
      <c r="Z16" s="95"/>
      <c r="AA16" s="29"/>
      <c r="AB16" s="31"/>
      <c r="AC16" s="28"/>
      <c r="AD16" s="96"/>
      <c r="AE16" s="33"/>
      <c r="AF16" s="2"/>
      <c r="AG16" s="2"/>
      <c r="AH16" s="2"/>
      <c r="AI16" s="2"/>
      <c r="AJ16" s="2"/>
      <c r="AK16" s="2"/>
      <c r="AL16" s="2"/>
      <c r="AM16" s="2"/>
      <c r="AN16" s="2"/>
      <c r="AO16" s="2"/>
      <c r="AP16" s="2"/>
      <c r="AQ16" s="2"/>
      <c r="AR16" s="2"/>
      <c r="AS16" s="2"/>
      <c r="AT16" s="25"/>
      <c r="AU16" s="25"/>
      <c r="AV16" s="25"/>
      <c r="AW16" s="25"/>
      <c r="AX16" s="25"/>
      <c r="AY16" s="25"/>
      <c r="AZ16" s="25"/>
      <c r="BA16" s="25"/>
      <c r="BB16" s="25"/>
      <c r="BC16" s="25"/>
      <c r="BD16" s="25"/>
      <c r="BE16" s="25"/>
      <c r="BF16" s="25"/>
      <c r="BG16" s="25"/>
      <c r="BH16" s="25"/>
      <c r="BI16" s="25"/>
      <c r="BJ16" s="2"/>
      <c r="BK16" s="2"/>
      <c r="BL16" s="2"/>
      <c r="BM16" s="2"/>
      <c r="BN16" s="2"/>
      <c r="BO16" s="2"/>
      <c r="BP16" s="2"/>
      <c r="BQ16" s="2"/>
      <c r="BR16" s="2"/>
      <c r="BS16" s="2"/>
      <c r="BT16" s="2"/>
    </row>
    <row r="17" spans="1:72" x14ac:dyDescent="0.4">
      <c r="A17" s="341" t="s">
        <v>90</v>
      </c>
      <c r="B17" s="340" t="s">
        <v>354</v>
      </c>
      <c r="C17" s="85">
        <v>4500000</v>
      </c>
      <c r="D17" s="88">
        <v>2250000</v>
      </c>
      <c r="E17" s="351">
        <f t="shared" si="0"/>
        <v>0.5</v>
      </c>
      <c r="F17" s="85"/>
      <c r="G17" s="88"/>
      <c r="H17" s="165"/>
      <c r="I17" s="86">
        <f>C17/2</f>
        <v>2250000</v>
      </c>
      <c r="J17" s="87">
        <f>D17/2</f>
        <v>1125000</v>
      </c>
      <c r="K17" s="354">
        <f>J17/I17</f>
        <v>0.5</v>
      </c>
      <c r="L17" s="86">
        <f>C17/2</f>
        <v>2250000</v>
      </c>
      <c r="M17" s="87">
        <f>D17/2</f>
        <v>1125000</v>
      </c>
      <c r="N17" s="91">
        <f>M17/L17</f>
        <v>0.5</v>
      </c>
      <c r="O17" s="92">
        <v>1000000</v>
      </c>
      <c r="P17" s="92">
        <v>500000</v>
      </c>
      <c r="Q17" s="92">
        <f>O17+P17</f>
        <v>1500000</v>
      </c>
      <c r="R17" s="92">
        <v>562500</v>
      </c>
      <c r="S17" s="92"/>
      <c r="T17" s="93">
        <f>SUM(R17:S17)</f>
        <v>562500</v>
      </c>
      <c r="U17" s="385">
        <f>T17/Q17</f>
        <v>0.375</v>
      </c>
      <c r="V17" s="396">
        <v>3000000</v>
      </c>
      <c r="W17" s="356">
        <v>1687500</v>
      </c>
      <c r="X17" s="397">
        <f t="shared" si="1"/>
        <v>0.5625</v>
      </c>
      <c r="Y17" s="28"/>
      <c r="Z17" s="95"/>
      <c r="AA17" s="29"/>
      <c r="AB17" s="31"/>
      <c r="AC17" s="28"/>
      <c r="AD17" s="96"/>
      <c r="AE17" s="33"/>
      <c r="AF17" s="2"/>
      <c r="AG17" s="2"/>
      <c r="AH17" s="2"/>
      <c r="AI17" s="2"/>
      <c r="AJ17" s="2"/>
      <c r="AK17" s="2"/>
      <c r="AL17" s="2"/>
      <c r="AM17" s="2"/>
      <c r="AN17" s="2"/>
      <c r="AO17" s="2"/>
      <c r="AP17" s="2"/>
      <c r="AQ17" s="2"/>
      <c r="AR17" s="2"/>
      <c r="AS17" s="2"/>
      <c r="AT17" s="25"/>
      <c r="AU17" s="25"/>
      <c r="AV17" s="25"/>
      <c r="AW17" s="25"/>
      <c r="AX17" s="25"/>
      <c r="AY17" s="25"/>
      <c r="AZ17" s="25"/>
      <c r="BA17" s="25"/>
      <c r="BB17" s="25"/>
      <c r="BC17" s="25"/>
      <c r="BD17" s="25"/>
      <c r="BE17" s="25"/>
      <c r="BF17" s="25"/>
      <c r="BG17" s="25"/>
      <c r="BH17" s="25"/>
      <c r="BI17" s="25"/>
      <c r="BJ17" s="2"/>
      <c r="BK17" s="2"/>
      <c r="BL17" s="2"/>
      <c r="BM17" s="2"/>
      <c r="BN17" s="2"/>
      <c r="BO17" s="2"/>
      <c r="BP17" s="2"/>
      <c r="BQ17" s="2"/>
      <c r="BR17" s="2"/>
      <c r="BS17" s="2"/>
      <c r="BT17" s="2"/>
    </row>
    <row r="18" spans="1:72" x14ac:dyDescent="0.4">
      <c r="A18" s="97" t="s">
        <v>102</v>
      </c>
      <c r="B18" s="38" t="s">
        <v>103</v>
      </c>
      <c r="C18" s="360">
        <f>C19+C20</f>
        <v>23000000</v>
      </c>
      <c r="D18" s="363">
        <f>D19+D20</f>
        <v>11500000</v>
      </c>
      <c r="E18" s="361">
        <f t="shared" si="0"/>
        <v>0.5</v>
      </c>
      <c r="F18" s="360">
        <f>F19+F20</f>
        <v>23000000</v>
      </c>
      <c r="G18" s="363">
        <f>G19+G20</f>
        <v>11500000</v>
      </c>
      <c r="H18" s="361">
        <f>G18/F18</f>
        <v>0.5</v>
      </c>
      <c r="I18" s="360">
        <f>I19+I20</f>
        <v>0</v>
      </c>
      <c r="J18" s="363">
        <f>J19+J20</f>
        <v>0</v>
      </c>
      <c r="K18" s="88"/>
      <c r="L18" s="360">
        <f>L19+L20</f>
        <v>0</v>
      </c>
      <c r="M18" s="90"/>
      <c r="N18" s="91"/>
      <c r="O18" s="98"/>
      <c r="P18" s="98"/>
      <c r="Q18" s="98"/>
      <c r="R18" s="98"/>
      <c r="S18" s="98"/>
      <c r="T18" s="27"/>
      <c r="U18" s="386"/>
      <c r="V18" s="398">
        <f>V19+V20</f>
        <v>23000000</v>
      </c>
      <c r="W18" s="371">
        <f>W19+W20</f>
        <v>11500000</v>
      </c>
      <c r="X18" s="395">
        <f t="shared" si="1"/>
        <v>0.5</v>
      </c>
      <c r="Y18" s="28"/>
      <c r="Z18" s="95"/>
      <c r="AA18" s="29"/>
      <c r="AB18" s="31"/>
      <c r="AC18" s="28"/>
      <c r="AD18" s="96"/>
      <c r="AE18" s="33"/>
      <c r="AF18" s="2"/>
      <c r="AG18" s="2"/>
      <c r="AH18" s="2"/>
      <c r="AI18" s="2"/>
      <c r="AJ18" s="2"/>
      <c r="AK18" s="2"/>
      <c r="AL18" s="2"/>
      <c r="AM18" s="2"/>
      <c r="AN18" s="2"/>
      <c r="AO18" s="2"/>
      <c r="AP18" s="2"/>
      <c r="AQ18" s="2"/>
      <c r="AR18" s="2"/>
      <c r="AS18" s="2"/>
      <c r="AT18" s="25"/>
      <c r="AU18" s="25"/>
      <c r="AV18" s="25"/>
      <c r="AW18" s="25"/>
      <c r="AX18" s="25"/>
      <c r="AY18" s="25"/>
      <c r="AZ18" s="25"/>
      <c r="BA18" s="25"/>
      <c r="BB18" s="25"/>
      <c r="BC18" s="25"/>
      <c r="BD18" s="25"/>
      <c r="BE18" s="25"/>
      <c r="BF18" s="25"/>
      <c r="BG18" s="25"/>
      <c r="BH18" s="25"/>
      <c r="BI18" s="25"/>
      <c r="BJ18" s="2"/>
      <c r="BK18" s="2"/>
      <c r="BL18" s="2"/>
      <c r="BM18" s="2"/>
      <c r="BN18" s="2"/>
      <c r="BO18" s="2"/>
      <c r="BP18" s="2"/>
      <c r="BQ18" s="2"/>
      <c r="BR18" s="2"/>
      <c r="BS18" s="2"/>
      <c r="BT18" s="2"/>
    </row>
    <row r="19" spans="1:72" x14ac:dyDescent="0.4">
      <c r="A19" s="352" t="s">
        <v>104</v>
      </c>
      <c r="B19" s="340" t="s">
        <v>355</v>
      </c>
      <c r="C19" s="85">
        <v>18000000</v>
      </c>
      <c r="D19" s="88">
        <v>9000000</v>
      </c>
      <c r="E19" s="351">
        <f t="shared" si="0"/>
        <v>0.5</v>
      </c>
      <c r="F19" s="85">
        <f t="shared" ref="F19:H20" si="2">C19</f>
        <v>18000000</v>
      </c>
      <c r="G19" s="88">
        <f t="shared" si="2"/>
        <v>9000000</v>
      </c>
      <c r="H19" s="353">
        <f t="shared" si="2"/>
        <v>0.5</v>
      </c>
      <c r="I19" s="86"/>
      <c r="J19" s="87"/>
      <c r="K19" s="88"/>
      <c r="L19" s="89"/>
      <c r="M19" s="90"/>
      <c r="N19" s="91"/>
      <c r="O19" s="98"/>
      <c r="P19" s="98"/>
      <c r="Q19" s="98"/>
      <c r="R19" s="98"/>
      <c r="S19" s="98"/>
      <c r="T19" s="27"/>
      <c r="U19" s="386"/>
      <c r="V19" s="396">
        <f>C19</f>
        <v>18000000</v>
      </c>
      <c r="W19" s="355">
        <f>D19</f>
        <v>9000000</v>
      </c>
      <c r="X19" s="397">
        <f t="shared" si="1"/>
        <v>0.5</v>
      </c>
      <c r="Y19" s="28"/>
      <c r="Z19" s="95"/>
      <c r="AA19" s="29"/>
      <c r="AB19" s="31"/>
      <c r="AC19" s="28"/>
      <c r="AD19" s="96"/>
      <c r="AE19" s="33"/>
      <c r="AF19" s="2"/>
      <c r="AG19" s="2"/>
      <c r="AH19" s="2"/>
      <c r="AI19" s="2"/>
      <c r="AJ19" s="2"/>
      <c r="AK19" s="2"/>
      <c r="AL19" s="2"/>
      <c r="AM19" s="2"/>
      <c r="AN19" s="2"/>
      <c r="AO19" s="2"/>
      <c r="AP19" s="2"/>
      <c r="AQ19" s="2"/>
      <c r="AR19" s="2"/>
      <c r="AS19" s="2"/>
      <c r="AT19" s="25"/>
      <c r="AU19" s="25"/>
      <c r="AV19" s="25"/>
      <c r="AW19" s="25"/>
      <c r="AX19" s="25"/>
      <c r="AY19" s="25"/>
      <c r="AZ19" s="25"/>
      <c r="BA19" s="25"/>
      <c r="BB19" s="25"/>
      <c r="BC19" s="25"/>
      <c r="BD19" s="25"/>
      <c r="BE19" s="25"/>
      <c r="BF19" s="25"/>
      <c r="BG19" s="25"/>
      <c r="BH19" s="25"/>
      <c r="BI19" s="25"/>
      <c r="BJ19" s="2"/>
      <c r="BK19" s="2"/>
      <c r="BL19" s="2"/>
      <c r="BM19" s="2"/>
      <c r="BN19" s="2"/>
      <c r="BO19" s="2"/>
      <c r="BP19" s="2"/>
      <c r="BQ19" s="2"/>
      <c r="BR19" s="2"/>
      <c r="BS19" s="2"/>
      <c r="BT19" s="2"/>
    </row>
    <row r="20" spans="1:72" x14ac:dyDescent="0.4">
      <c r="A20" s="352" t="s">
        <v>107</v>
      </c>
      <c r="B20" s="340" t="s">
        <v>356</v>
      </c>
      <c r="C20" s="85">
        <v>5000000</v>
      </c>
      <c r="D20" s="88">
        <v>2500000</v>
      </c>
      <c r="E20" s="351">
        <f t="shared" si="0"/>
        <v>0.5</v>
      </c>
      <c r="F20" s="85">
        <f t="shared" si="2"/>
        <v>5000000</v>
      </c>
      <c r="G20" s="88">
        <f t="shared" si="2"/>
        <v>2500000</v>
      </c>
      <c r="H20" s="353">
        <f t="shared" si="2"/>
        <v>0.5</v>
      </c>
      <c r="I20" s="86"/>
      <c r="J20" s="87"/>
      <c r="K20" s="88"/>
      <c r="L20" s="89"/>
      <c r="M20" s="90"/>
      <c r="N20" s="91"/>
      <c r="O20" s="98"/>
      <c r="P20" s="98"/>
      <c r="Q20" s="98"/>
      <c r="R20" s="98"/>
      <c r="S20" s="98"/>
      <c r="T20" s="27"/>
      <c r="U20" s="386"/>
      <c r="V20" s="396">
        <f>C20</f>
        <v>5000000</v>
      </c>
      <c r="W20" s="355">
        <f>D20</f>
        <v>2500000</v>
      </c>
      <c r="X20" s="397">
        <f t="shared" si="1"/>
        <v>0.5</v>
      </c>
      <c r="Y20" s="28"/>
      <c r="Z20" s="95"/>
      <c r="AA20" s="29"/>
      <c r="AB20" s="31"/>
      <c r="AC20" s="28"/>
      <c r="AD20" s="96"/>
      <c r="AE20" s="33"/>
      <c r="AF20" s="2"/>
      <c r="AG20" s="2"/>
      <c r="AH20" s="2"/>
      <c r="AI20" s="2"/>
      <c r="AJ20" s="2"/>
      <c r="AK20" s="2"/>
      <c r="AL20" s="2"/>
      <c r="AM20" s="2"/>
      <c r="AN20" s="2"/>
      <c r="AO20" s="2"/>
      <c r="AP20" s="2"/>
      <c r="AQ20" s="2"/>
      <c r="AR20" s="2"/>
      <c r="AS20" s="2"/>
      <c r="AT20" s="25"/>
      <c r="AU20" s="25"/>
      <c r="AV20" s="25"/>
      <c r="AW20" s="25"/>
      <c r="AX20" s="25"/>
      <c r="AY20" s="25"/>
      <c r="AZ20" s="25"/>
      <c r="BA20" s="25"/>
      <c r="BB20" s="25"/>
      <c r="BC20" s="25"/>
      <c r="BD20" s="25"/>
      <c r="BE20" s="25"/>
      <c r="BF20" s="25"/>
      <c r="BG20" s="25"/>
      <c r="BH20" s="25"/>
      <c r="BI20" s="25"/>
      <c r="BJ20" s="2"/>
      <c r="BK20" s="2"/>
      <c r="BL20" s="2"/>
      <c r="BM20" s="2"/>
      <c r="BN20" s="2"/>
      <c r="BO20" s="2"/>
      <c r="BP20" s="2"/>
      <c r="BQ20" s="2"/>
      <c r="BR20" s="2"/>
      <c r="BS20" s="2"/>
      <c r="BT20" s="2"/>
    </row>
    <row r="21" spans="1:72" x14ac:dyDescent="0.4">
      <c r="A21" s="84" t="s">
        <v>111</v>
      </c>
      <c r="B21" s="38" t="s">
        <v>112</v>
      </c>
      <c r="C21" s="85"/>
      <c r="D21" s="88"/>
      <c r="E21" s="351"/>
      <c r="F21" s="85"/>
      <c r="G21" s="88"/>
      <c r="H21" s="165"/>
      <c r="I21" s="86"/>
      <c r="J21" s="87"/>
      <c r="K21" s="88"/>
      <c r="L21" s="89"/>
      <c r="M21" s="90"/>
      <c r="N21" s="91"/>
      <c r="O21" s="98"/>
      <c r="P21" s="98"/>
      <c r="Q21" s="98"/>
      <c r="R21" s="98"/>
      <c r="S21" s="98"/>
      <c r="T21" s="27"/>
      <c r="U21" s="386"/>
      <c r="V21" s="396"/>
      <c r="W21" s="356"/>
      <c r="X21" s="399"/>
      <c r="Y21" s="28"/>
      <c r="Z21" s="95"/>
      <c r="AA21" s="29"/>
      <c r="AB21" s="31"/>
      <c r="AC21" s="28"/>
      <c r="AD21" s="96"/>
      <c r="AE21" s="33"/>
      <c r="AF21" s="2"/>
      <c r="AG21" s="2"/>
      <c r="AH21" s="2"/>
      <c r="AI21" s="2"/>
      <c r="AJ21" s="2"/>
      <c r="AK21" s="2"/>
      <c r="AL21" s="2"/>
      <c r="AM21" s="2"/>
      <c r="AN21" s="2"/>
      <c r="AO21" s="2"/>
      <c r="AP21" s="2"/>
      <c r="AQ21" s="2"/>
      <c r="AR21" s="2"/>
      <c r="AS21" s="2"/>
      <c r="AT21" s="25"/>
      <c r="AU21" s="25"/>
      <c r="AV21" s="25"/>
      <c r="AW21" s="25"/>
      <c r="AX21" s="25"/>
      <c r="AY21" s="25"/>
      <c r="AZ21" s="25"/>
      <c r="BA21" s="25"/>
      <c r="BB21" s="25"/>
      <c r="BC21" s="25"/>
      <c r="BD21" s="25"/>
      <c r="BE21" s="25"/>
      <c r="BF21" s="25"/>
      <c r="BG21" s="25"/>
      <c r="BH21" s="25"/>
      <c r="BI21" s="25"/>
      <c r="BJ21" s="2"/>
      <c r="BK21" s="2"/>
      <c r="BL21" s="2"/>
      <c r="BM21" s="2"/>
      <c r="BN21" s="2"/>
      <c r="BO21" s="2"/>
      <c r="BP21" s="2"/>
      <c r="BQ21" s="2"/>
      <c r="BR21" s="2"/>
      <c r="BS21" s="2"/>
      <c r="BT21" s="2"/>
    </row>
    <row r="22" spans="1:72" x14ac:dyDescent="0.4">
      <c r="A22" s="97" t="s">
        <v>113</v>
      </c>
      <c r="B22" s="38" t="s">
        <v>114</v>
      </c>
      <c r="C22" s="360">
        <f>C23+C24</f>
        <v>11000000</v>
      </c>
      <c r="D22" s="363">
        <f>D23+D24</f>
        <v>3200000</v>
      </c>
      <c r="E22" s="361">
        <f>D22/C22</f>
        <v>0.29090909090909089</v>
      </c>
      <c r="F22" s="85"/>
      <c r="G22" s="88"/>
      <c r="H22" s="165"/>
      <c r="I22" s="360">
        <f>I23+I24</f>
        <v>5500000</v>
      </c>
      <c r="J22" s="363">
        <f>J23+J24</f>
        <v>1600000</v>
      </c>
      <c r="K22" s="369">
        <f>J22/I22</f>
        <v>0.29090909090909089</v>
      </c>
      <c r="L22" s="360">
        <f>L23+L24</f>
        <v>5500000</v>
      </c>
      <c r="M22" s="363">
        <f>M23+M24</f>
        <v>1600000</v>
      </c>
      <c r="N22" s="369">
        <f>M22/L22</f>
        <v>0.29090909090909089</v>
      </c>
      <c r="O22" s="360">
        <f>O23+O24</f>
        <v>8000000</v>
      </c>
      <c r="P22" s="363">
        <f>P23+P24</f>
        <v>-500000</v>
      </c>
      <c r="Q22" s="363">
        <f>Q23+Q24</f>
        <v>7500000</v>
      </c>
      <c r="R22" s="363">
        <f>R23+R24</f>
        <v>2340000</v>
      </c>
      <c r="S22" s="98"/>
      <c r="T22" s="363">
        <f>T23+T24</f>
        <v>2340000</v>
      </c>
      <c r="U22" s="384">
        <f>T22/Q22</f>
        <v>0.312</v>
      </c>
      <c r="V22" s="398">
        <f>V23+V24</f>
        <v>3500000</v>
      </c>
      <c r="W22" s="371">
        <f>W23+W24</f>
        <v>860000</v>
      </c>
      <c r="X22" s="395">
        <f>W22/V22</f>
        <v>0.24571428571428572</v>
      </c>
      <c r="Y22" s="28"/>
      <c r="Z22" s="95"/>
      <c r="AA22" s="29"/>
      <c r="AB22" s="31"/>
      <c r="AC22" s="28"/>
      <c r="AD22" s="96"/>
      <c r="AE22" s="33"/>
      <c r="AF22" s="2"/>
      <c r="AG22" s="2"/>
      <c r="AH22" s="2"/>
      <c r="AI22" s="2"/>
      <c r="AJ22" s="2"/>
      <c r="AK22" s="2"/>
      <c r="AL22" s="2"/>
      <c r="AM22" s="2"/>
      <c r="AN22" s="2"/>
      <c r="AO22" s="2"/>
      <c r="AP22" s="2"/>
      <c r="AQ22" s="2"/>
      <c r="AR22" s="2"/>
      <c r="AS22" s="2"/>
      <c r="AT22" s="25"/>
      <c r="AU22" s="25"/>
      <c r="AV22" s="25"/>
      <c r="AW22" s="25"/>
      <c r="AX22" s="25"/>
      <c r="AY22" s="25"/>
      <c r="AZ22" s="25"/>
      <c r="BA22" s="25"/>
      <c r="BB22" s="25"/>
      <c r="BC22" s="25"/>
      <c r="BD22" s="25"/>
      <c r="BE22" s="25"/>
      <c r="BF22" s="25"/>
      <c r="BG22" s="25"/>
      <c r="BH22" s="25"/>
      <c r="BI22" s="25"/>
      <c r="BJ22" s="2"/>
      <c r="BK22" s="2"/>
      <c r="BL22" s="2"/>
      <c r="BM22" s="2"/>
      <c r="BN22" s="2"/>
      <c r="BO22" s="2"/>
      <c r="BP22" s="2"/>
      <c r="BQ22" s="2"/>
      <c r="BR22" s="2"/>
      <c r="BS22" s="2"/>
      <c r="BT22" s="2"/>
    </row>
    <row r="23" spans="1:72" x14ac:dyDescent="0.4">
      <c r="A23" s="352" t="s">
        <v>115</v>
      </c>
      <c r="B23" s="340" t="s">
        <v>357</v>
      </c>
      <c r="C23" s="85">
        <v>6000000</v>
      </c>
      <c r="D23" s="88">
        <v>2000000</v>
      </c>
      <c r="E23" s="351">
        <f>D23/C23</f>
        <v>0.33333333333333331</v>
      </c>
      <c r="F23" s="85"/>
      <c r="G23" s="88"/>
      <c r="H23" s="165"/>
      <c r="I23" s="86">
        <f>C23/2</f>
        <v>3000000</v>
      </c>
      <c r="J23" s="87">
        <f>D23/2</f>
        <v>1000000</v>
      </c>
      <c r="K23" s="358">
        <f>J23/I23</f>
        <v>0.33333333333333331</v>
      </c>
      <c r="L23" s="86">
        <f>C23/2</f>
        <v>3000000</v>
      </c>
      <c r="M23" s="359">
        <f>D23/2</f>
        <v>1000000</v>
      </c>
      <c r="N23" s="91">
        <f>M23/L23</f>
        <v>0.33333333333333331</v>
      </c>
      <c r="O23" s="98">
        <v>4500000</v>
      </c>
      <c r="P23" s="98">
        <v>-500000</v>
      </c>
      <c r="Q23" s="92">
        <f>O23+P23</f>
        <v>4000000</v>
      </c>
      <c r="R23" s="375">
        <v>1500000</v>
      </c>
      <c r="S23" s="98"/>
      <c r="T23" s="93">
        <f>SUM(R23:S23)</f>
        <v>1500000</v>
      </c>
      <c r="U23" s="387">
        <f>T23/Q23</f>
        <v>0.375</v>
      </c>
      <c r="V23" s="396">
        <v>2000000</v>
      </c>
      <c r="W23" s="356">
        <v>500000</v>
      </c>
      <c r="X23" s="397">
        <f>W23/V23</f>
        <v>0.25</v>
      </c>
      <c r="Y23" s="28"/>
      <c r="Z23" s="95"/>
      <c r="AA23" s="29"/>
      <c r="AB23" s="31"/>
      <c r="AC23" s="28"/>
      <c r="AD23" s="96"/>
      <c r="AE23" s="33"/>
      <c r="AF23" s="2"/>
      <c r="AG23" s="2"/>
      <c r="AH23" s="2"/>
      <c r="AI23" s="2"/>
      <c r="AJ23" s="2"/>
      <c r="AK23" s="2"/>
      <c r="AL23" s="2"/>
      <c r="AM23" s="2"/>
      <c r="AN23" s="2"/>
      <c r="AO23" s="2"/>
      <c r="AP23" s="2"/>
      <c r="AQ23" s="2"/>
      <c r="AR23" s="2"/>
      <c r="AS23" s="2"/>
      <c r="AT23" s="25"/>
      <c r="AU23" s="25"/>
      <c r="AV23" s="25"/>
      <c r="AW23" s="25"/>
      <c r="AX23" s="25"/>
      <c r="AY23" s="25"/>
      <c r="AZ23" s="25"/>
      <c r="BA23" s="25"/>
      <c r="BB23" s="25"/>
      <c r="BC23" s="25"/>
      <c r="BD23" s="25"/>
      <c r="BE23" s="25"/>
      <c r="BF23" s="25"/>
      <c r="BG23" s="25"/>
      <c r="BH23" s="25"/>
      <c r="BI23" s="25"/>
      <c r="BJ23" s="2"/>
      <c r="BK23" s="2"/>
      <c r="BL23" s="2"/>
      <c r="BM23" s="2"/>
      <c r="BN23" s="2"/>
      <c r="BO23" s="2"/>
      <c r="BP23" s="2"/>
      <c r="BQ23" s="2"/>
      <c r="BR23" s="2"/>
      <c r="BS23" s="2"/>
      <c r="BT23" s="2"/>
    </row>
    <row r="24" spans="1:72" x14ac:dyDescent="0.4">
      <c r="A24" s="352" t="s">
        <v>118</v>
      </c>
      <c r="B24" s="340" t="s">
        <v>358</v>
      </c>
      <c r="C24" s="85">
        <v>5000000</v>
      </c>
      <c r="D24" s="88">
        <v>1200000</v>
      </c>
      <c r="E24" s="351">
        <f>D24/C24</f>
        <v>0.24</v>
      </c>
      <c r="F24" s="85"/>
      <c r="G24" s="88"/>
      <c r="H24" s="165"/>
      <c r="I24" s="86">
        <f>C24/2</f>
        <v>2500000</v>
      </c>
      <c r="J24" s="87">
        <f>D24/2</f>
        <v>600000</v>
      </c>
      <c r="K24" s="358">
        <f>J24/I24</f>
        <v>0.24</v>
      </c>
      <c r="L24" s="86">
        <f>C24/2</f>
        <v>2500000</v>
      </c>
      <c r="M24" s="359">
        <f>D24/2</f>
        <v>600000</v>
      </c>
      <c r="N24" s="91">
        <f>M24/L24</f>
        <v>0.24</v>
      </c>
      <c r="O24" s="98">
        <v>3500000</v>
      </c>
      <c r="P24" s="98">
        <v>0</v>
      </c>
      <c r="Q24" s="92">
        <f>O24+P24</f>
        <v>3500000</v>
      </c>
      <c r="R24" s="375">
        <v>840000</v>
      </c>
      <c r="S24" s="98"/>
      <c r="T24" s="93">
        <f>SUM(R24:S24)</f>
        <v>840000</v>
      </c>
      <c r="U24" s="387">
        <f>T24/Q24</f>
        <v>0.24</v>
      </c>
      <c r="V24" s="396">
        <v>1500000</v>
      </c>
      <c r="W24" s="356">
        <v>360000</v>
      </c>
      <c r="X24" s="397">
        <f>W24/V24</f>
        <v>0.24</v>
      </c>
      <c r="Y24" s="28"/>
      <c r="Z24" s="95"/>
      <c r="AA24" s="29"/>
      <c r="AB24" s="31"/>
      <c r="AC24" s="28"/>
      <c r="AD24" s="96"/>
      <c r="AE24" s="33"/>
      <c r="AF24" s="2"/>
      <c r="AG24" s="2"/>
      <c r="AH24" s="2"/>
      <c r="AI24" s="2"/>
      <c r="AJ24" s="2"/>
      <c r="AK24" s="2"/>
      <c r="AL24" s="2"/>
      <c r="AM24" s="2"/>
      <c r="AN24" s="2"/>
      <c r="AO24" s="2"/>
      <c r="AP24" s="2"/>
      <c r="AQ24" s="2"/>
      <c r="AR24" s="2"/>
      <c r="AS24" s="2"/>
      <c r="AT24" s="25"/>
      <c r="AU24" s="25"/>
      <c r="AV24" s="25"/>
      <c r="AW24" s="25"/>
      <c r="AX24" s="25"/>
      <c r="AY24" s="25"/>
      <c r="AZ24" s="25"/>
      <c r="BA24" s="25"/>
      <c r="BB24" s="25"/>
      <c r="BC24" s="25"/>
      <c r="BD24" s="25"/>
      <c r="BE24" s="25"/>
      <c r="BF24" s="25"/>
      <c r="BG24" s="25"/>
      <c r="BH24" s="25"/>
      <c r="BI24" s="25"/>
      <c r="BJ24" s="2"/>
      <c r="BK24" s="2"/>
      <c r="BL24" s="2"/>
      <c r="BM24" s="2"/>
      <c r="BN24" s="2"/>
      <c r="BO24" s="2"/>
      <c r="BP24" s="2"/>
      <c r="BQ24" s="2"/>
      <c r="BR24" s="2"/>
      <c r="BS24" s="2"/>
      <c r="BT24" s="2"/>
    </row>
    <row r="25" spans="1:72" x14ac:dyDescent="0.4">
      <c r="A25" s="84" t="s">
        <v>122</v>
      </c>
      <c r="B25" s="38" t="s">
        <v>123</v>
      </c>
      <c r="C25" s="85"/>
      <c r="D25" s="88"/>
      <c r="E25" s="351"/>
      <c r="F25" s="85"/>
      <c r="G25" s="88"/>
      <c r="H25" s="165"/>
      <c r="I25" s="86"/>
      <c r="J25" s="87"/>
      <c r="K25" s="88"/>
      <c r="L25" s="89"/>
      <c r="M25" s="90"/>
      <c r="N25" s="91"/>
      <c r="O25" s="98"/>
      <c r="P25" s="98"/>
      <c r="Q25" s="98"/>
      <c r="R25" s="98"/>
      <c r="S25" s="98"/>
      <c r="T25" s="27"/>
      <c r="U25" s="386"/>
      <c r="V25" s="396"/>
      <c r="W25" s="356"/>
      <c r="X25" s="399"/>
      <c r="Y25" s="28"/>
      <c r="Z25" s="95"/>
      <c r="AA25" s="29"/>
      <c r="AB25" s="31"/>
      <c r="AC25" s="28"/>
      <c r="AD25" s="96"/>
      <c r="AE25" s="33"/>
      <c r="AF25" s="9"/>
      <c r="AG25" s="9"/>
      <c r="AH25" s="9"/>
      <c r="AI25" s="9"/>
      <c r="AJ25" s="9"/>
      <c r="AK25" s="9"/>
      <c r="AL25" s="9"/>
      <c r="AM25" s="9"/>
      <c r="AN25" s="9"/>
      <c r="AO25" s="9"/>
      <c r="AP25" s="9"/>
      <c r="AQ25" s="9"/>
      <c r="AR25" s="9"/>
      <c r="AS25" s="9"/>
      <c r="AT25" s="25"/>
      <c r="AU25" s="25"/>
      <c r="AV25" s="25"/>
      <c r="AW25" s="25"/>
      <c r="AX25" s="25"/>
      <c r="AY25" s="25"/>
      <c r="AZ25" s="25"/>
      <c r="BA25" s="25"/>
      <c r="BB25" s="25"/>
      <c r="BC25" s="25"/>
      <c r="BD25" s="25"/>
      <c r="BE25" s="25"/>
      <c r="BF25" s="25"/>
      <c r="BG25" s="25"/>
      <c r="BH25" s="25"/>
      <c r="BI25" s="25"/>
      <c r="BJ25" s="9"/>
      <c r="BK25" s="9"/>
      <c r="BL25" s="9"/>
      <c r="BM25" s="9"/>
      <c r="BN25" s="9"/>
      <c r="BO25" s="9"/>
      <c r="BP25" s="9"/>
      <c r="BQ25" s="9"/>
      <c r="BR25" s="9"/>
      <c r="BS25" s="9"/>
      <c r="BT25" s="9"/>
    </row>
    <row r="26" spans="1:72" x14ac:dyDescent="0.4">
      <c r="A26" s="84" t="s">
        <v>124</v>
      </c>
      <c r="B26" s="38" t="s">
        <v>125</v>
      </c>
      <c r="C26" s="85"/>
      <c r="D26" s="88"/>
      <c r="E26" s="351"/>
      <c r="F26" s="85"/>
      <c r="G26" s="88"/>
      <c r="H26" s="165"/>
      <c r="I26" s="86"/>
      <c r="J26" s="87"/>
      <c r="K26" s="88"/>
      <c r="L26" s="89"/>
      <c r="M26" s="90"/>
      <c r="N26" s="91"/>
      <c r="O26" s="98"/>
      <c r="P26" s="98"/>
      <c r="Q26" s="98"/>
      <c r="R26" s="98"/>
      <c r="S26" s="98"/>
      <c r="T26" s="27"/>
      <c r="U26" s="386"/>
      <c r="V26" s="396"/>
      <c r="W26" s="356"/>
      <c r="X26" s="399"/>
      <c r="Y26" s="28"/>
      <c r="Z26" s="95"/>
      <c r="AA26" s="29"/>
      <c r="AB26" s="31"/>
      <c r="AC26" s="28"/>
      <c r="AD26" s="96"/>
      <c r="AE26" s="33"/>
      <c r="AF26" s="2"/>
      <c r="AG26" s="2"/>
      <c r="AH26" s="2"/>
      <c r="AI26" s="2"/>
      <c r="AJ26" s="2"/>
      <c r="AK26" s="2"/>
      <c r="AL26" s="2"/>
      <c r="AM26" s="2"/>
      <c r="AN26" s="2"/>
      <c r="AO26" s="2"/>
      <c r="AP26" s="2"/>
      <c r="AQ26" s="2"/>
      <c r="AR26" s="2"/>
      <c r="AS26" s="2"/>
      <c r="AT26" s="25"/>
      <c r="AU26" s="25"/>
      <c r="AV26" s="25"/>
      <c r="AW26" s="25"/>
      <c r="AX26" s="25"/>
      <c r="AY26" s="25"/>
      <c r="AZ26" s="25"/>
      <c r="BA26" s="25"/>
      <c r="BB26" s="25"/>
      <c r="BC26" s="25"/>
      <c r="BD26" s="25"/>
      <c r="BE26" s="25"/>
      <c r="BF26" s="25"/>
      <c r="BG26" s="25"/>
      <c r="BH26" s="25"/>
      <c r="BI26" s="25"/>
      <c r="BJ26" s="2"/>
      <c r="BK26" s="2"/>
      <c r="BL26" s="2"/>
      <c r="BM26" s="2"/>
      <c r="BN26" s="2"/>
      <c r="BO26" s="2"/>
      <c r="BP26" s="2"/>
      <c r="BQ26" s="2"/>
      <c r="BR26" s="2"/>
      <c r="BS26" s="2"/>
      <c r="BT26" s="2"/>
    </row>
    <row r="27" spans="1:72" x14ac:dyDescent="0.4">
      <c r="A27" s="84" t="s">
        <v>128</v>
      </c>
      <c r="B27" s="38" t="s">
        <v>129</v>
      </c>
      <c r="C27" s="85"/>
      <c r="D27" s="88"/>
      <c r="E27" s="351"/>
      <c r="F27" s="85"/>
      <c r="G27" s="88"/>
      <c r="H27" s="165"/>
      <c r="I27" s="86"/>
      <c r="J27" s="87"/>
      <c r="K27" s="88"/>
      <c r="L27" s="89"/>
      <c r="M27" s="90"/>
      <c r="N27" s="91"/>
      <c r="O27" s="98"/>
      <c r="P27" s="98"/>
      <c r="Q27" s="98"/>
      <c r="R27" s="98"/>
      <c r="S27" s="98"/>
      <c r="T27" s="27"/>
      <c r="U27" s="386"/>
      <c r="V27" s="396"/>
      <c r="W27" s="356"/>
      <c r="X27" s="399"/>
      <c r="Y27" s="28"/>
      <c r="Z27" s="95"/>
      <c r="AA27" s="29"/>
      <c r="AB27" s="31"/>
      <c r="AC27" s="28"/>
      <c r="AD27" s="96"/>
      <c r="AE27" s="33"/>
      <c r="AF27" s="2"/>
      <c r="AG27" s="2"/>
      <c r="AH27" s="2"/>
      <c r="AI27" s="2"/>
      <c r="AJ27" s="2"/>
      <c r="AK27" s="2"/>
      <c r="AL27" s="2"/>
      <c r="AM27" s="2"/>
      <c r="AN27" s="2"/>
      <c r="AO27" s="2"/>
      <c r="AP27" s="2"/>
      <c r="AQ27" s="2"/>
      <c r="AR27" s="2"/>
      <c r="AS27" s="2"/>
      <c r="AT27" s="25"/>
      <c r="AU27" s="25"/>
      <c r="AV27" s="25"/>
      <c r="AW27" s="25"/>
      <c r="AX27" s="25"/>
      <c r="AY27" s="25"/>
      <c r="AZ27" s="25"/>
      <c r="BA27" s="25"/>
      <c r="BB27" s="25"/>
      <c r="BC27" s="25"/>
      <c r="BD27" s="25"/>
      <c r="BE27" s="25"/>
      <c r="BF27" s="25"/>
      <c r="BG27" s="25"/>
      <c r="BH27" s="25"/>
      <c r="BI27" s="25"/>
      <c r="BJ27" s="2"/>
      <c r="BK27" s="2"/>
      <c r="BL27" s="2"/>
      <c r="BM27" s="2"/>
      <c r="BN27" s="2"/>
      <c r="BO27" s="2"/>
      <c r="BP27" s="2"/>
      <c r="BQ27" s="2"/>
      <c r="BR27" s="2"/>
      <c r="BS27" s="2"/>
      <c r="BT27" s="2"/>
    </row>
    <row r="28" spans="1:72" ht="12.6" thickBot="1" x14ac:dyDescent="0.45">
      <c r="A28" s="84" t="s">
        <v>135</v>
      </c>
      <c r="B28" s="38" t="s">
        <v>136</v>
      </c>
      <c r="C28" s="85"/>
      <c r="D28" s="88"/>
      <c r="E28" s="351"/>
      <c r="F28" s="85"/>
      <c r="G28" s="88"/>
      <c r="H28" s="165"/>
      <c r="I28" s="86"/>
      <c r="J28" s="87"/>
      <c r="K28" s="88"/>
      <c r="L28" s="89"/>
      <c r="M28" s="90"/>
      <c r="N28" s="91"/>
      <c r="O28" s="98"/>
      <c r="P28" s="98"/>
      <c r="Q28" s="98"/>
      <c r="R28" s="98"/>
      <c r="S28" s="98"/>
      <c r="T28" s="27"/>
      <c r="U28" s="386"/>
      <c r="V28" s="400"/>
      <c r="W28" s="401"/>
      <c r="X28" s="402"/>
      <c r="Y28" s="28"/>
      <c r="Z28" s="95"/>
      <c r="AA28" s="29"/>
      <c r="AB28" s="31"/>
      <c r="AC28" s="28"/>
      <c r="AD28" s="96"/>
      <c r="AE28" s="33"/>
      <c r="AF28" s="2"/>
      <c r="AG28" s="2"/>
      <c r="AH28" s="2"/>
      <c r="AI28" s="2"/>
      <c r="AJ28" s="2"/>
      <c r="AK28" s="2"/>
      <c r="AL28" s="2"/>
      <c r="AM28" s="2"/>
      <c r="AN28" s="2"/>
      <c r="AO28" s="2"/>
      <c r="AP28" s="2"/>
      <c r="AQ28" s="2"/>
      <c r="AR28" s="2"/>
      <c r="AS28" s="2"/>
      <c r="AT28" s="25"/>
      <c r="AU28" s="25"/>
      <c r="AV28" s="25"/>
      <c r="AW28" s="25"/>
      <c r="AX28" s="25"/>
      <c r="AY28" s="25"/>
      <c r="AZ28" s="25"/>
      <c r="BA28" s="25"/>
      <c r="BB28" s="25"/>
      <c r="BC28" s="25"/>
      <c r="BD28" s="25"/>
      <c r="BE28" s="25"/>
      <c r="BF28" s="25"/>
      <c r="BG28" s="25"/>
      <c r="BH28" s="25"/>
      <c r="BI28" s="25"/>
      <c r="BJ28" s="2"/>
      <c r="BK28" s="2"/>
      <c r="BL28" s="2"/>
      <c r="BM28" s="2"/>
      <c r="BN28" s="2"/>
      <c r="BO28" s="2"/>
      <c r="BP28" s="2"/>
      <c r="BQ28" s="2"/>
      <c r="BR28" s="2"/>
      <c r="BS28" s="2"/>
      <c r="BT28" s="2"/>
    </row>
    <row r="29" spans="1:72" x14ac:dyDescent="0.4">
      <c r="A29" s="660"/>
      <c r="B29" s="661"/>
      <c r="C29" s="661"/>
      <c r="D29" s="662"/>
      <c r="E29" s="662"/>
      <c r="F29" s="662"/>
      <c r="G29" s="662"/>
      <c r="H29" s="662"/>
      <c r="I29" s="661"/>
      <c r="J29" s="662"/>
      <c r="K29" s="663"/>
      <c r="L29" s="661"/>
      <c r="M29" s="661"/>
      <c r="N29" s="661"/>
      <c r="O29" s="661"/>
      <c r="P29" s="661"/>
      <c r="Q29" s="661"/>
      <c r="R29" s="661"/>
      <c r="S29" s="661"/>
      <c r="T29" s="661"/>
      <c r="U29" s="661"/>
      <c r="V29" s="662"/>
      <c r="W29" s="662"/>
      <c r="X29" s="662"/>
      <c r="Y29" s="661"/>
      <c r="Z29" s="661"/>
      <c r="AA29" s="661"/>
      <c r="AB29" s="661"/>
      <c r="AC29" s="661"/>
      <c r="AD29" s="661"/>
      <c r="AE29" s="33"/>
      <c r="AF29" s="2"/>
      <c r="AG29" s="2"/>
      <c r="AH29" s="2"/>
      <c r="AI29" s="2"/>
      <c r="AJ29" s="2"/>
      <c r="AK29" s="2"/>
      <c r="AL29" s="2"/>
      <c r="AM29" s="2"/>
      <c r="AN29" s="2"/>
      <c r="AO29" s="2"/>
      <c r="AP29" s="2"/>
      <c r="AQ29" s="2"/>
      <c r="AR29" s="2"/>
      <c r="AS29" s="2"/>
      <c r="AT29" s="25"/>
      <c r="AU29" s="25"/>
      <c r="AV29" s="25"/>
      <c r="AW29" s="25"/>
      <c r="AX29" s="25"/>
      <c r="AY29" s="25"/>
      <c r="AZ29" s="25"/>
      <c r="BA29" s="25"/>
      <c r="BB29" s="25"/>
      <c r="BC29" s="25"/>
      <c r="BD29" s="25"/>
      <c r="BE29" s="25"/>
      <c r="BF29" s="25"/>
      <c r="BG29" s="25"/>
      <c r="BH29" s="25"/>
      <c r="BI29" s="25"/>
      <c r="BJ29" s="2"/>
      <c r="BK29" s="2"/>
      <c r="BL29" s="2"/>
      <c r="BM29" s="2"/>
      <c r="BN29" s="2"/>
      <c r="BO29" s="2"/>
      <c r="BP29" s="2"/>
      <c r="BQ29" s="2"/>
      <c r="BR29" s="2"/>
      <c r="BS29" s="2"/>
      <c r="BT29" s="2"/>
    </row>
    <row r="30" spans="1:72" x14ac:dyDescent="0.4">
      <c r="A30" s="72">
        <v>2</v>
      </c>
      <c r="B30" s="37" t="s">
        <v>140</v>
      </c>
      <c r="C30" s="73">
        <f>C32+C35+C37+C38</f>
        <v>57000000</v>
      </c>
      <c r="D30" s="166">
        <f>D32+D35+D37+D38</f>
        <v>33600000</v>
      </c>
      <c r="E30" s="365">
        <f>D30/C30</f>
        <v>0.58947368421052626</v>
      </c>
      <c r="F30" s="73">
        <f>F32+F35+F37+F38</f>
        <v>0</v>
      </c>
      <c r="G30" s="166">
        <f>G32+G35+G37+G38</f>
        <v>0</v>
      </c>
      <c r="H30" s="365"/>
      <c r="I30" s="73">
        <f>I32+I35+I37+I38</f>
        <v>22000000</v>
      </c>
      <c r="J30" s="166">
        <f>J32+J35+J37+J38</f>
        <v>15300000</v>
      </c>
      <c r="K30" s="365">
        <f>J30/I30</f>
        <v>0.69545454545454544</v>
      </c>
      <c r="L30" s="73">
        <f>L32+L35+L37+L38</f>
        <v>35000000</v>
      </c>
      <c r="M30" s="166">
        <f>M32+M35+M37+M38</f>
        <v>18300000</v>
      </c>
      <c r="N30" s="365">
        <f>M30/L30</f>
        <v>0.52285714285714291</v>
      </c>
      <c r="O30" s="73">
        <f>O32+O35+O37+O38</f>
        <v>39400000</v>
      </c>
      <c r="P30" s="166">
        <f>P32+P35+P37+P38</f>
        <v>0</v>
      </c>
      <c r="Q30" s="166">
        <f t="shared" ref="Q30:S30" si="3">Q32+Q35+Q37+Q38</f>
        <v>39400000</v>
      </c>
      <c r="R30" s="166">
        <f t="shared" si="3"/>
        <v>21200000</v>
      </c>
      <c r="S30" s="166">
        <f t="shared" si="3"/>
        <v>0</v>
      </c>
      <c r="T30" s="166">
        <f>T32+T35+T37+T38</f>
        <v>21200000</v>
      </c>
      <c r="U30" s="372">
        <f>T30/Q30</f>
        <v>0.53807106598984766</v>
      </c>
      <c r="V30" s="73">
        <f>V32+V35+V37+V38</f>
        <v>17600000</v>
      </c>
      <c r="W30" s="166">
        <f t="shared" ref="W30" si="4">W32+W35+W37+W38</f>
        <v>12400000</v>
      </c>
      <c r="X30" s="420">
        <f>W30/V30</f>
        <v>0.70454545454545459</v>
      </c>
      <c r="Y30" s="24"/>
      <c r="Z30" s="77"/>
      <c r="AA30" s="20"/>
      <c r="AB30" s="24"/>
      <c r="AC30" s="22"/>
      <c r="AD30" s="78"/>
      <c r="AE30" s="33"/>
      <c r="AF30" s="9"/>
      <c r="AG30" s="9"/>
      <c r="AH30" s="9"/>
      <c r="AI30" s="9"/>
      <c r="AJ30" s="9"/>
      <c r="AK30" s="9"/>
      <c r="AL30" s="9"/>
      <c r="AM30" s="9"/>
      <c r="AN30" s="9"/>
      <c r="AO30" s="9"/>
      <c r="AP30" s="9"/>
      <c r="AQ30" s="9"/>
      <c r="AR30" s="9"/>
      <c r="AS30" s="9"/>
      <c r="AT30" s="25"/>
      <c r="AU30" s="25"/>
      <c r="AV30" s="25"/>
      <c r="AW30" s="25"/>
      <c r="AX30" s="25"/>
      <c r="AY30" s="25"/>
      <c r="AZ30" s="25"/>
      <c r="BA30" s="25"/>
      <c r="BB30" s="25"/>
      <c r="BC30" s="25"/>
      <c r="BD30" s="25"/>
      <c r="BE30" s="25"/>
      <c r="BF30" s="25"/>
      <c r="BG30" s="25"/>
      <c r="BH30" s="25"/>
      <c r="BI30" s="25"/>
      <c r="BJ30" s="9"/>
      <c r="BK30" s="9"/>
      <c r="BL30" s="9"/>
      <c r="BM30" s="9"/>
      <c r="BN30" s="9"/>
      <c r="BO30" s="9"/>
      <c r="BP30" s="9"/>
      <c r="BQ30" s="9"/>
      <c r="BR30" s="9"/>
      <c r="BS30" s="9"/>
      <c r="BT30" s="9"/>
    </row>
    <row r="31" spans="1:72" x14ac:dyDescent="0.4">
      <c r="A31" s="72"/>
      <c r="B31" s="37" t="s">
        <v>141</v>
      </c>
      <c r="C31" s="56"/>
      <c r="D31" s="83">
        <f>$D$30/D43</f>
        <v>0.5642317380352645</v>
      </c>
      <c r="E31" s="343"/>
      <c r="F31" s="56"/>
      <c r="G31" s="83"/>
      <c r="H31" s="52"/>
      <c r="I31" s="55"/>
      <c r="J31" s="26"/>
      <c r="K31" s="80"/>
      <c r="L31" s="55"/>
      <c r="M31" s="26"/>
      <c r="N31" s="81"/>
      <c r="O31" s="82"/>
      <c r="P31" s="82"/>
      <c r="Q31" s="82"/>
      <c r="R31" s="82"/>
      <c r="S31" s="82"/>
      <c r="T31" s="83"/>
      <c r="U31" s="41"/>
      <c r="V31" s="419"/>
      <c r="W31" s="382"/>
      <c r="X31" s="23"/>
      <c r="Y31" s="24"/>
      <c r="Z31" s="77"/>
      <c r="AA31" s="20"/>
      <c r="AB31" s="24"/>
      <c r="AC31" s="22"/>
      <c r="AD31" s="78"/>
      <c r="AE31" s="33"/>
      <c r="AF31" s="9"/>
      <c r="AG31" s="9"/>
      <c r="AH31" s="9"/>
      <c r="AI31" s="9"/>
      <c r="AJ31" s="9"/>
      <c r="AK31" s="9"/>
      <c r="AL31" s="9"/>
      <c r="AM31" s="9"/>
      <c r="AN31" s="9"/>
      <c r="AO31" s="9"/>
      <c r="AP31" s="9"/>
      <c r="AQ31" s="9"/>
      <c r="AR31" s="9"/>
      <c r="AS31" s="9"/>
      <c r="AT31" s="25"/>
      <c r="AU31" s="25"/>
      <c r="AV31" s="25"/>
      <c r="AW31" s="25"/>
      <c r="AX31" s="25"/>
      <c r="AY31" s="25"/>
      <c r="AZ31" s="25"/>
      <c r="BA31" s="25"/>
      <c r="BB31" s="25"/>
      <c r="BC31" s="25"/>
      <c r="BD31" s="25"/>
      <c r="BE31" s="25"/>
      <c r="BF31" s="25"/>
      <c r="BG31" s="25"/>
      <c r="BH31" s="25"/>
      <c r="BI31" s="25"/>
      <c r="BJ31" s="9"/>
      <c r="BK31" s="9"/>
      <c r="BL31" s="9"/>
      <c r="BM31" s="9"/>
      <c r="BN31" s="9"/>
      <c r="BO31" s="9"/>
      <c r="BP31" s="9"/>
      <c r="BQ31" s="9"/>
      <c r="BR31" s="9"/>
      <c r="BS31" s="9"/>
      <c r="BT31" s="9"/>
    </row>
    <row r="32" spans="1:72" x14ac:dyDescent="0.4">
      <c r="A32" s="97" t="s">
        <v>142</v>
      </c>
      <c r="B32" s="38" t="s">
        <v>143</v>
      </c>
      <c r="C32" s="364">
        <f>SUM(C33:C34)</f>
        <v>44000000</v>
      </c>
      <c r="D32" s="363">
        <f>SUM(D33:D34)</f>
        <v>30600000</v>
      </c>
      <c r="E32" s="361">
        <f>D32/C32</f>
        <v>0.69545454545454544</v>
      </c>
      <c r="F32" s="86"/>
      <c r="G32" s="88"/>
      <c r="H32" s="50"/>
      <c r="I32" s="364">
        <f>SUM(I33:I34)</f>
        <v>22000000</v>
      </c>
      <c r="J32" s="363">
        <f>SUM(J33:J34)</f>
        <v>15300000</v>
      </c>
      <c r="K32" s="373">
        <f>J32/I32</f>
        <v>0.69545454545454544</v>
      </c>
      <c r="L32" s="364">
        <f>SUM(L33:L34)</f>
        <v>22000000</v>
      </c>
      <c r="M32" s="363">
        <f>SUM(M33:M34)</f>
        <v>15300000</v>
      </c>
      <c r="N32" s="374">
        <f>M32/L32</f>
        <v>0.69545454545454544</v>
      </c>
      <c r="O32" s="370">
        <f>O33+O34</f>
        <v>26400000</v>
      </c>
      <c r="P32" s="28"/>
      <c r="Q32" s="370">
        <f>Q33+Q34</f>
        <v>26400000</v>
      </c>
      <c r="R32" s="370">
        <f>R33+R34</f>
        <v>18200000</v>
      </c>
      <c r="S32" s="28"/>
      <c r="T32" s="370">
        <f>T33+T34</f>
        <v>18200000</v>
      </c>
      <c r="U32" s="380">
        <f>T32/Q32</f>
        <v>0.68939393939393945</v>
      </c>
      <c r="V32" s="370">
        <f>V33+V34</f>
        <v>17600000</v>
      </c>
      <c r="W32" s="370">
        <f>W33+W34</f>
        <v>12400000</v>
      </c>
      <c r="X32" s="418">
        <f>W32/V32</f>
        <v>0.70454545454545459</v>
      </c>
      <c r="Y32" s="31"/>
      <c r="Z32" s="95"/>
      <c r="AA32" s="30"/>
      <c r="AB32" s="31"/>
      <c r="AC32" s="28"/>
      <c r="AD32" s="96"/>
      <c r="AE32" s="33"/>
      <c r="AF32" s="9"/>
      <c r="AG32" s="9"/>
      <c r="AH32" s="9"/>
      <c r="AI32" s="9"/>
      <c r="AJ32" s="9"/>
      <c r="AK32" s="9"/>
      <c r="AL32" s="9"/>
      <c r="AM32" s="9"/>
      <c r="AN32" s="9"/>
      <c r="AO32" s="9"/>
      <c r="AP32" s="9"/>
      <c r="AQ32" s="9"/>
      <c r="AR32" s="9"/>
      <c r="AS32" s="9"/>
      <c r="AT32" s="25"/>
      <c r="AU32" s="25"/>
      <c r="AV32" s="25"/>
      <c r="AW32" s="25"/>
      <c r="AX32" s="25"/>
      <c r="AY32" s="25"/>
      <c r="AZ32" s="25"/>
      <c r="BA32" s="25"/>
      <c r="BB32" s="25"/>
      <c r="BC32" s="25"/>
      <c r="BD32" s="25"/>
      <c r="BE32" s="25"/>
      <c r="BF32" s="25"/>
      <c r="BG32" s="25"/>
      <c r="BH32" s="25"/>
      <c r="BI32" s="25"/>
      <c r="BJ32" s="9"/>
      <c r="BK32" s="9"/>
      <c r="BL32" s="9"/>
      <c r="BM32" s="9"/>
      <c r="BN32" s="9"/>
      <c r="BO32" s="9"/>
      <c r="BP32" s="9"/>
      <c r="BQ32" s="9"/>
      <c r="BR32" s="9"/>
      <c r="BS32" s="9"/>
      <c r="BT32" s="9"/>
    </row>
    <row r="33" spans="1:72" x14ac:dyDescent="0.4">
      <c r="A33" s="352" t="s">
        <v>144</v>
      </c>
      <c r="B33" s="340" t="s">
        <v>359</v>
      </c>
      <c r="C33" s="86">
        <v>40000000</v>
      </c>
      <c r="D33" s="88">
        <v>28000000</v>
      </c>
      <c r="E33" s="351">
        <f>D33/C33</f>
        <v>0.7</v>
      </c>
      <c r="F33" s="86"/>
      <c r="G33" s="88"/>
      <c r="H33" s="50"/>
      <c r="I33" s="367">
        <f>C33/2</f>
        <v>20000000</v>
      </c>
      <c r="J33" s="368">
        <f>D33/2</f>
        <v>14000000</v>
      </c>
      <c r="K33" s="102">
        <f>J33/I33</f>
        <v>0.7</v>
      </c>
      <c r="L33" s="367">
        <f>C33/2</f>
        <v>20000000</v>
      </c>
      <c r="M33" s="368">
        <f>D33/2</f>
        <v>14000000</v>
      </c>
      <c r="N33" s="103">
        <f>M33/L33</f>
        <v>0.7</v>
      </c>
      <c r="O33" s="414">
        <f>C33*0.6</f>
        <v>24000000</v>
      </c>
      <c r="P33" s="28">
        <v>0</v>
      </c>
      <c r="Q33" s="414">
        <f>O33+P33</f>
        <v>24000000</v>
      </c>
      <c r="R33" s="375">
        <v>16800000</v>
      </c>
      <c r="S33" s="28"/>
      <c r="T33" s="415">
        <f>SUM(R33:S33)</f>
        <v>16800000</v>
      </c>
      <c r="U33" s="377">
        <f>T33/Q33</f>
        <v>0.7</v>
      </c>
      <c r="V33" s="416">
        <v>16000000</v>
      </c>
      <c r="W33" s="95">
        <v>11200000</v>
      </c>
      <c r="X33" s="417">
        <f>W33/V33</f>
        <v>0.7</v>
      </c>
      <c r="Y33" s="31"/>
      <c r="Z33" s="95"/>
      <c r="AA33" s="30"/>
      <c r="AB33" s="31"/>
      <c r="AC33" s="28"/>
      <c r="AD33" s="96"/>
      <c r="AE33" s="33"/>
      <c r="AF33" s="9"/>
      <c r="AG33" s="9"/>
      <c r="AH33" s="9"/>
      <c r="AI33" s="9"/>
      <c r="AJ33" s="9"/>
      <c r="AK33" s="9"/>
      <c r="AL33" s="9"/>
      <c r="AM33" s="9"/>
      <c r="AN33" s="9"/>
      <c r="AO33" s="9"/>
      <c r="AP33" s="9"/>
      <c r="AQ33" s="9"/>
      <c r="AR33" s="9"/>
      <c r="AS33" s="9"/>
      <c r="AT33" s="25"/>
      <c r="AU33" s="25"/>
      <c r="AV33" s="25"/>
      <c r="AW33" s="25"/>
      <c r="AX33" s="25"/>
      <c r="AY33" s="25"/>
      <c r="AZ33" s="25"/>
      <c r="BA33" s="25"/>
      <c r="BB33" s="25"/>
      <c r="BC33" s="25"/>
      <c r="BD33" s="25"/>
      <c r="BE33" s="25"/>
      <c r="BF33" s="25"/>
      <c r="BG33" s="25"/>
      <c r="BH33" s="25"/>
      <c r="BI33" s="25"/>
      <c r="BJ33" s="9"/>
      <c r="BK33" s="9"/>
      <c r="BL33" s="9"/>
      <c r="BM33" s="9"/>
      <c r="BN33" s="9"/>
      <c r="BO33" s="9"/>
      <c r="BP33" s="9"/>
      <c r="BQ33" s="9"/>
      <c r="BR33" s="9"/>
      <c r="BS33" s="9"/>
      <c r="BT33" s="9"/>
    </row>
    <row r="34" spans="1:72" x14ac:dyDescent="0.4">
      <c r="A34" s="352" t="s">
        <v>147</v>
      </c>
      <c r="B34" s="340" t="s">
        <v>360</v>
      </c>
      <c r="C34" s="86">
        <v>4000000</v>
      </c>
      <c r="D34" s="88">
        <v>2600000</v>
      </c>
      <c r="E34" s="351">
        <f>D34/C34</f>
        <v>0.65</v>
      </c>
      <c r="F34" s="86"/>
      <c r="G34" s="88"/>
      <c r="H34" s="50"/>
      <c r="I34" s="367">
        <f>C34/2</f>
        <v>2000000</v>
      </c>
      <c r="J34" s="368">
        <f>D34/2</f>
        <v>1300000</v>
      </c>
      <c r="K34" s="102">
        <f>J34/I34</f>
        <v>0.65</v>
      </c>
      <c r="L34" s="367">
        <f>C34/2</f>
        <v>2000000</v>
      </c>
      <c r="M34" s="368">
        <f>D34/2</f>
        <v>1300000</v>
      </c>
      <c r="N34" s="103">
        <f>M34/L34</f>
        <v>0.65</v>
      </c>
      <c r="O34" s="414">
        <f>C34*0.6</f>
        <v>2400000</v>
      </c>
      <c r="P34" s="28">
        <v>0</v>
      </c>
      <c r="Q34" s="414">
        <f>O34+P34</f>
        <v>2400000</v>
      </c>
      <c r="R34" s="375">
        <v>1400000</v>
      </c>
      <c r="S34" s="28"/>
      <c r="T34" s="415">
        <f>SUM(R34:S34)</f>
        <v>1400000</v>
      </c>
      <c r="U34" s="357">
        <f>T34/Q34</f>
        <v>0.58333333333333337</v>
      </c>
      <c r="V34" s="416">
        <v>1600000</v>
      </c>
      <c r="W34" s="95">
        <v>1200000</v>
      </c>
      <c r="X34" s="417">
        <f>W34/V34</f>
        <v>0.75</v>
      </c>
      <c r="Y34" s="31"/>
      <c r="Z34" s="95"/>
      <c r="AA34" s="30"/>
      <c r="AB34" s="31"/>
      <c r="AC34" s="28"/>
      <c r="AD34" s="96"/>
      <c r="AE34" s="33"/>
      <c r="AF34" s="9"/>
      <c r="AG34" s="9"/>
      <c r="AH34" s="9"/>
      <c r="AI34" s="9"/>
      <c r="AJ34" s="9"/>
      <c r="AK34" s="9"/>
      <c r="AL34" s="9"/>
      <c r="AM34" s="9"/>
      <c r="AN34" s="9"/>
      <c r="AO34" s="9"/>
      <c r="AP34" s="9"/>
      <c r="AQ34" s="9"/>
      <c r="AR34" s="9"/>
      <c r="AS34" s="9"/>
      <c r="AT34" s="25"/>
      <c r="AU34" s="25"/>
      <c r="AV34" s="25"/>
      <c r="AW34" s="25"/>
      <c r="AX34" s="25"/>
      <c r="AY34" s="25"/>
      <c r="AZ34" s="25"/>
      <c r="BA34" s="25"/>
      <c r="BB34" s="25"/>
      <c r="BC34" s="25"/>
      <c r="BD34" s="25"/>
      <c r="BE34" s="25"/>
      <c r="BF34" s="25"/>
      <c r="BG34" s="25"/>
      <c r="BH34" s="25"/>
      <c r="BI34" s="25"/>
      <c r="BJ34" s="9"/>
      <c r="BK34" s="9"/>
      <c r="BL34" s="9"/>
      <c r="BM34" s="9"/>
      <c r="BN34" s="9"/>
      <c r="BO34" s="9"/>
      <c r="BP34" s="9"/>
      <c r="BQ34" s="9"/>
      <c r="BR34" s="9"/>
      <c r="BS34" s="9"/>
      <c r="BT34" s="9"/>
    </row>
    <row r="35" spans="1:72" x14ac:dyDescent="0.4">
      <c r="A35" s="84" t="s">
        <v>165</v>
      </c>
      <c r="B35" s="38" t="s">
        <v>166</v>
      </c>
      <c r="C35" s="364">
        <f>C36</f>
        <v>13000000</v>
      </c>
      <c r="D35" s="363">
        <f>D36</f>
        <v>3000000</v>
      </c>
      <c r="E35" s="361">
        <f>D35/C35</f>
        <v>0.23076923076923078</v>
      </c>
      <c r="F35" s="86"/>
      <c r="G35" s="88"/>
      <c r="H35" s="50"/>
      <c r="I35" s="100"/>
      <c r="J35" s="101"/>
      <c r="K35" s="102"/>
      <c r="L35" s="364">
        <f>L36</f>
        <v>13000000</v>
      </c>
      <c r="M35" s="363">
        <f>M36</f>
        <v>3000000</v>
      </c>
      <c r="N35" s="374">
        <f>M35/L35</f>
        <v>0.23076923076923078</v>
      </c>
      <c r="O35" s="378">
        <f>O36</f>
        <v>13000000</v>
      </c>
      <c r="P35" s="379">
        <f>P36</f>
        <v>0</v>
      </c>
      <c r="Q35" s="381">
        <f t="shared" ref="Q35:T35" si="5">Q36</f>
        <v>13000000</v>
      </c>
      <c r="R35" s="381">
        <f t="shared" si="5"/>
        <v>3000000</v>
      </c>
      <c r="S35" s="379"/>
      <c r="T35" s="381">
        <f t="shared" si="5"/>
        <v>3000000</v>
      </c>
      <c r="U35" s="380">
        <f>U36</f>
        <v>0.23076923076923078</v>
      </c>
      <c r="V35" s="31"/>
      <c r="W35" s="95"/>
      <c r="X35" s="29"/>
      <c r="Y35" s="31"/>
      <c r="Z35" s="95"/>
      <c r="AA35" s="30"/>
      <c r="AB35" s="31"/>
      <c r="AC35" s="28"/>
      <c r="AD35" s="96"/>
      <c r="AE35" s="33"/>
      <c r="AF35" s="2"/>
      <c r="AG35" s="2"/>
      <c r="AH35" s="2"/>
      <c r="AI35" s="2"/>
      <c r="AJ35" s="2"/>
      <c r="AK35" s="2"/>
      <c r="AL35" s="2"/>
      <c r="AM35" s="2"/>
      <c r="AN35" s="2"/>
      <c r="AO35" s="2"/>
      <c r="AP35" s="2"/>
      <c r="AQ35" s="2"/>
      <c r="AR35" s="2"/>
      <c r="AS35" s="2"/>
      <c r="AT35" s="25"/>
      <c r="AU35" s="25"/>
      <c r="AV35" s="25"/>
      <c r="AW35" s="25"/>
      <c r="AX35" s="25"/>
      <c r="AY35" s="25"/>
      <c r="AZ35" s="25"/>
      <c r="BA35" s="25"/>
      <c r="BB35" s="25"/>
      <c r="BC35" s="25"/>
      <c r="BD35" s="25"/>
      <c r="BE35" s="25"/>
      <c r="BF35" s="25"/>
      <c r="BG35" s="25"/>
      <c r="BH35" s="25"/>
      <c r="BI35" s="25"/>
      <c r="BJ35" s="2"/>
      <c r="BK35" s="2"/>
      <c r="BL35" s="2"/>
      <c r="BM35" s="2"/>
      <c r="BN35" s="2"/>
      <c r="BO35" s="2"/>
      <c r="BP35" s="2"/>
      <c r="BQ35" s="2"/>
      <c r="BR35" s="2"/>
      <c r="BS35" s="2"/>
      <c r="BT35" s="2"/>
    </row>
    <row r="36" spans="1:72" x14ac:dyDescent="0.4">
      <c r="A36" s="341" t="s">
        <v>167</v>
      </c>
      <c r="B36" s="340" t="s">
        <v>361</v>
      </c>
      <c r="C36" s="86">
        <v>13000000</v>
      </c>
      <c r="D36" s="88">
        <v>3000000</v>
      </c>
      <c r="E36" s="351">
        <f>D36/C36</f>
        <v>0.23076923076923078</v>
      </c>
      <c r="F36" s="86"/>
      <c r="G36" s="88"/>
      <c r="H36" s="50"/>
      <c r="I36" s="100"/>
      <c r="J36" s="101"/>
      <c r="K36" s="102"/>
      <c r="L36" s="367">
        <f>C36</f>
        <v>13000000</v>
      </c>
      <c r="M36" s="368">
        <f>D36</f>
        <v>3000000</v>
      </c>
      <c r="N36" s="103">
        <f>M36/L36</f>
        <v>0.23076923076923078</v>
      </c>
      <c r="O36" s="375">
        <f>L36</f>
        <v>13000000</v>
      </c>
      <c r="P36" s="28">
        <v>0</v>
      </c>
      <c r="Q36" s="375">
        <f>O36</f>
        <v>13000000</v>
      </c>
      <c r="R36" s="375">
        <f>M36</f>
        <v>3000000</v>
      </c>
      <c r="S36" s="28"/>
      <c r="T36" s="376">
        <f>SUM(R36:S36)</f>
        <v>3000000</v>
      </c>
      <c r="U36" s="357">
        <f>T36/Q36</f>
        <v>0.23076923076923078</v>
      </c>
      <c r="V36" s="31"/>
      <c r="W36" s="95"/>
      <c r="X36" s="29"/>
      <c r="Y36" s="31"/>
      <c r="Z36" s="95"/>
      <c r="AA36" s="30"/>
      <c r="AB36" s="31"/>
      <c r="AC36" s="28"/>
      <c r="AD36" s="96"/>
      <c r="AE36" s="33"/>
      <c r="AF36" s="2"/>
      <c r="AG36" s="2"/>
      <c r="AH36" s="2"/>
      <c r="AI36" s="2"/>
      <c r="AJ36" s="2"/>
      <c r="AK36" s="2"/>
      <c r="AL36" s="2"/>
      <c r="AM36" s="2"/>
      <c r="AN36" s="2"/>
      <c r="AO36" s="2"/>
      <c r="AP36" s="2"/>
      <c r="AQ36" s="2"/>
      <c r="AR36" s="2"/>
      <c r="AS36" s="2"/>
      <c r="AT36" s="25"/>
      <c r="AU36" s="25"/>
      <c r="AV36" s="25"/>
      <c r="AW36" s="25"/>
      <c r="AX36" s="25"/>
      <c r="AY36" s="25"/>
      <c r="AZ36" s="25"/>
      <c r="BA36" s="25"/>
      <c r="BB36" s="25"/>
      <c r="BC36" s="25"/>
      <c r="BD36" s="25"/>
      <c r="BE36" s="25"/>
      <c r="BF36" s="25"/>
      <c r="BG36" s="25"/>
      <c r="BH36" s="25"/>
      <c r="BI36" s="25"/>
      <c r="BJ36" s="2"/>
      <c r="BK36" s="2"/>
      <c r="BL36" s="2"/>
      <c r="BM36" s="2"/>
      <c r="BN36" s="2"/>
      <c r="BO36" s="2"/>
      <c r="BP36" s="2"/>
      <c r="BQ36" s="2"/>
      <c r="BR36" s="2"/>
      <c r="BS36" s="2"/>
      <c r="BT36" s="2"/>
    </row>
    <row r="37" spans="1:72" x14ac:dyDescent="0.4">
      <c r="A37" s="84" t="s">
        <v>227</v>
      </c>
      <c r="B37" s="38" t="s">
        <v>228</v>
      </c>
      <c r="C37" s="86"/>
      <c r="D37" s="88"/>
      <c r="E37" s="344"/>
      <c r="F37" s="86"/>
      <c r="G37" s="88"/>
      <c r="H37" s="50"/>
      <c r="I37" s="100"/>
      <c r="J37" s="101"/>
      <c r="K37" s="102"/>
      <c r="L37" s="100"/>
      <c r="M37" s="101"/>
      <c r="N37" s="103"/>
      <c r="O37" s="28"/>
      <c r="P37" s="28"/>
      <c r="Q37" s="28"/>
      <c r="R37" s="28"/>
      <c r="S37" s="28"/>
      <c r="T37" s="32"/>
      <c r="U37" s="30"/>
      <c r="V37" s="31"/>
      <c r="W37" s="95"/>
      <c r="X37" s="29"/>
      <c r="Y37" s="31"/>
      <c r="Z37" s="95"/>
      <c r="AA37" s="30"/>
      <c r="AB37" s="31"/>
      <c r="AC37" s="28"/>
      <c r="AD37" s="96"/>
      <c r="AE37" s="33"/>
      <c r="AF37" s="2"/>
      <c r="AG37" s="2"/>
      <c r="AH37" s="2"/>
      <c r="AI37" s="2"/>
      <c r="AJ37" s="2"/>
      <c r="AK37" s="2"/>
      <c r="AL37" s="2"/>
      <c r="AM37" s="2"/>
      <c r="AN37" s="2"/>
      <c r="AO37" s="2"/>
      <c r="AP37" s="2"/>
      <c r="AQ37" s="2"/>
      <c r="AR37" s="2"/>
      <c r="AS37" s="2"/>
      <c r="AT37" s="25"/>
      <c r="AU37" s="25"/>
      <c r="AV37" s="25"/>
      <c r="AW37" s="25"/>
      <c r="AX37" s="25"/>
      <c r="AY37" s="25"/>
      <c r="AZ37" s="25"/>
      <c r="BA37" s="25"/>
      <c r="BB37" s="25"/>
      <c r="BC37" s="25"/>
      <c r="BD37" s="25"/>
      <c r="BE37" s="25"/>
      <c r="BF37" s="25"/>
      <c r="BG37" s="25"/>
      <c r="BH37" s="25"/>
      <c r="BI37" s="25"/>
      <c r="BJ37" s="2"/>
      <c r="BK37" s="2"/>
      <c r="BL37" s="2"/>
      <c r="BM37" s="2"/>
      <c r="BN37" s="2"/>
      <c r="BO37" s="2"/>
      <c r="BP37" s="2"/>
      <c r="BQ37" s="2"/>
      <c r="BR37" s="2"/>
      <c r="BS37" s="2"/>
      <c r="BT37" s="2"/>
    </row>
    <row r="38" spans="1:72" x14ac:dyDescent="0.4">
      <c r="A38" s="84" t="s">
        <v>229</v>
      </c>
      <c r="B38" s="38" t="s">
        <v>230</v>
      </c>
      <c r="C38" s="86"/>
      <c r="D38" s="88"/>
      <c r="E38" s="344"/>
      <c r="F38" s="86"/>
      <c r="G38" s="88"/>
      <c r="H38" s="50"/>
      <c r="I38" s="100"/>
      <c r="J38" s="101"/>
      <c r="K38" s="102"/>
      <c r="L38" s="100"/>
      <c r="M38" s="101"/>
      <c r="N38" s="103"/>
      <c r="O38" s="28"/>
      <c r="P38" s="28"/>
      <c r="Q38" s="28"/>
      <c r="R38" s="28"/>
      <c r="S38" s="28"/>
      <c r="T38" s="32"/>
      <c r="U38" s="30"/>
      <c r="V38" s="31"/>
      <c r="W38" s="95"/>
      <c r="X38" s="29"/>
      <c r="Y38" s="31"/>
      <c r="Z38" s="95"/>
      <c r="AA38" s="30"/>
      <c r="AB38" s="31"/>
      <c r="AC38" s="28"/>
      <c r="AD38" s="96"/>
      <c r="AE38" s="33"/>
      <c r="AF38" s="2"/>
      <c r="AG38" s="2"/>
      <c r="AH38" s="2"/>
      <c r="AI38" s="2"/>
      <c r="AJ38" s="2"/>
      <c r="AK38" s="2"/>
      <c r="AL38" s="2"/>
      <c r="AM38" s="2"/>
      <c r="AN38" s="2"/>
      <c r="AO38" s="2"/>
      <c r="AP38" s="2"/>
      <c r="AQ38" s="2"/>
      <c r="AR38" s="2"/>
      <c r="AS38" s="2"/>
      <c r="AT38" s="25"/>
      <c r="AU38" s="25"/>
      <c r="AV38" s="25"/>
      <c r="AW38" s="25"/>
      <c r="AX38" s="25"/>
      <c r="AY38" s="25"/>
      <c r="AZ38" s="25"/>
      <c r="BA38" s="25"/>
      <c r="BB38" s="25"/>
      <c r="BC38" s="25"/>
      <c r="BD38" s="25"/>
      <c r="BE38" s="25"/>
      <c r="BF38" s="25"/>
      <c r="BG38" s="25"/>
      <c r="BH38" s="25"/>
      <c r="BI38" s="25"/>
      <c r="BJ38" s="2"/>
      <c r="BK38" s="2"/>
      <c r="BL38" s="2"/>
      <c r="BM38" s="2"/>
      <c r="BN38" s="2"/>
      <c r="BO38" s="2"/>
      <c r="BP38" s="2"/>
      <c r="BQ38" s="2"/>
      <c r="BR38" s="2"/>
      <c r="BS38" s="2"/>
      <c r="BT38" s="2"/>
    </row>
    <row r="39" spans="1:72" x14ac:dyDescent="0.4">
      <c r="A39" s="660"/>
      <c r="B39" s="661"/>
      <c r="C39" s="661"/>
      <c r="D39" s="661"/>
      <c r="E39" s="661"/>
      <c r="F39" s="661"/>
      <c r="G39" s="661"/>
      <c r="H39" s="661"/>
      <c r="I39" s="661"/>
      <c r="J39" s="661"/>
      <c r="K39" s="663"/>
      <c r="L39" s="661"/>
      <c r="M39" s="661"/>
      <c r="N39" s="661"/>
      <c r="O39" s="661"/>
      <c r="P39" s="661"/>
      <c r="Q39" s="661"/>
      <c r="R39" s="661"/>
      <c r="S39" s="661"/>
      <c r="T39" s="661"/>
      <c r="U39" s="661"/>
      <c r="V39" s="661"/>
      <c r="W39" s="661"/>
      <c r="X39" s="661"/>
      <c r="Y39" s="661"/>
      <c r="Z39" s="661"/>
      <c r="AA39" s="661"/>
      <c r="AB39" s="661"/>
      <c r="AC39" s="661"/>
      <c r="AD39" s="661"/>
      <c r="AE39" s="33"/>
      <c r="AF39" s="2"/>
      <c r="AG39" s="2"/>
      <c r="AH39" s="2"/>
      <c r="AI39" s="2"/>
      <c r="AJ39" s="2"/>
      <c r="AK39" s="2"/>
      <c r="AL39" s="2"/>
      <c r="AM39" s="2"/>
      <c r="AN39" s="2"/>
      <c r="AO39" s="2"/>
      <c r="AP39" s="2"/>
      <c r="AQ39" s="2"/>
      <c r="AR39" s="2"/>
      <c r="AS39" s="2"/>
      <c r="AT39" s="25"/>
      <c r="AU39" s="25"/>
      <c r="AV39" s="25"/>
      <c r="AW39" s="25"/>
      <c r="AX39" s="25"/>
      <c r="AY39" s="25"/>
      <c r="AZ39" s="25"/>
      <c r="BA39" s="25"/>
      <c r="BB39" s="25"/>
      <c r="BC39" s="25"/>
      <c r="BD39" s="25"/>
      <c r="BE39" s="25"/>
      <c r="BF39" s="25"/>
      <c r="BG39" s="25"/>
      <c r="BH39" s="25"/>
      <c r="BI39" s="25"/>
      <c r="BJ39" s="2"/>
      <c r="BK39" s="2"/>
      <c r="BL39" s="2"/>
      <c r="BM39" s="2"/>
      <c r="BN39" s="2"/>
      <c r="BO39" s="2"/>
      <c r="BP39" s="2"/>
      <c r="BQ39" s="2"/>
      <c r="BR39" s="2"/>
      <c r="BS39" s="2"/>
      <c r="BT39" s="2"/>
    </row>
    <row r="40" spans="1:72" x14ac:dyDescent="0.4">
      <c r="A40" s="660"/>
      <c r="B40" s="661"/>
      <c r="C40" s="661"/>
      <c r="D40" s="661"/>
      <c r="E40" s="661"/>
      <c r="F40" s="661"/>
      <c r="G40" s="661"/>
      <c r="H40" s="661"/>
      <c r="I40" s="661"/>
      <c r="J40" s="661"/>
      <c r="K40" s="663"/>
      <c r="L40" s="661"/>
      <c r="M40" s="661"/>
      <c r="N40" s="661"/>
      <c r="O40" s="661"/>
      <c r="P40" s="661"/>
      <c r="Q40" s="661"/>
      <c r="R40" s="661"/>
      <c r="S40" s="661"/>
      <c r="T40" s="661"/>
      <c r="U40" s="661"/>
      <c r="V40" s="661"/>
      <c r="W40" s="661"/>
      <c r="X40" s="661"/>
      <c r="Y40" s="661"/>
      <c r="Z40" s="661"/>
      <c r="AA40" s="661"/>
      <c r="AB40" s="661"/>
      <c r="AC40" s="661"/>
      <c r="AD40" s="661"/>
      <c r="AE40" s="33"/>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
      <c r="BK40" s="2"/>
      <c r="BL40" s="2"/>
      <c r="BM40" s="2"/>
      <c r="BN40" s="2"/>
      <c r="BO40" s="2"/>
      <c r="BP40" s="2"/>
    </row>
    <row r="41" spans="1:72" x14ac:dyDescent="0.4">
      <c r="A41" s="104" t="s">
        <v>231</v>
      </c>
      <c r="B41" s="37" t="s">
        <v>232</v>
      </c>
      <c r="C41" s="169">
        <v>2000000</v>
      </c>
      <c r="D41" s="170">
        <v>0</v>
      </c>
      <c r="E41" s="365">
        <f>D41/C41</f>
        <v>0</v>
      </c>
      <c r="F41" s="169">
        <f>C41</f>
        <v>2000000</v>
      </c>
      <c r="G41" s="174">
        <f>D41</f>
        <v>0</v>
      </c>
      <c r="H41" s="170"/>
      <c r="I41" s="55"/>
      <c r="J41" s="26"/>
      <c r="K41" s="80"/>
      <c r="L41" s="55"/>
      <c r="M41" s="26"/>
      <c r="N41" s="81"/>
      <c r="O41" s="75">
        <v>2000000</v>
      </c>
      <c r="P41" s="75"/>
      <c r="Q41" s="75">
        <v>2000000</v>
      </c>
      <c r="R41" s="75"/>
      <c r="S41" s="75"/>
      <c r="T41" s="76"/>
      <c r="U41" s="99"/>
      <c r="V41" s="24"/>
      <c r="W41" s="77"/>
      <c r="X41" s="23"/>
      <c r="Y41" s="24"/>
      <c r="Z41" s="77"/>
      <c r="AA41" s="20"/>
      <c r="AB41" s="24"/>
      <c r="AC41" s="22"/>
      <c r="AD41" s="78"/>
      <c r="AE41" s="33"/>
      <c r="AF41" s="25"/>
      <c r="AG41" s="25"/>
      <c r="AH41" s="25"/>
      <c r="AI41" s="25"/>
      <c r="AJ41" s="25"/>
      <c r="AK41" s="25"/>
      <c r="AL41" s="25"/>
      <c r="AM41" s="25"/>
      <c r="AN41" s="25"/>
      <c r="AO41" s="25"/>
      <c r="AP41" s="25"/>
      <c r="AQ41" s="25"/>
      <c r="AR41" s="25"/>
      <c r="AS41" s="25"/>
      <c r="AT41" s="25"/>
      <c r="AU41" s="25"/>
      <c r="AV41" s="7"/>
      <c r="AW41" s="640"/>
      <c r="AX41" s="640"/>
      <c r="AY41" s="640"/>
      <c r="AZ41" s="640"/>
      <c r="BA41" s="25"/>
      <c r="BB41" s="25"/>
      <c r="BC41" s="25"/>
      <c r="BD41" s="25"/>
      <c r="BE41" s="25"/>
      <c r="BF41" s="25"/>
      <c r="BG41" s="25"/>
      <c r="BH41" s="25"/>
      <c r="BI41" s="25"/>
      <c r="BJ41" s="2"/>
      <c r="BK41" s="2"/>
      <c r="BL41" s="2"/>
      <c r="BM41" s="2"/>
      <c r="BN41" s="2"/>
      <c r="BO41" s="2"/>
      <c r="BP41" s="2"/>
    </row>
    <row r="42" spans="1:72" ht="12.6" thickBot="1" x14ac:dyDescent="0.45">
      <c r="A42" s="105"/>
      <c r="B42" s="42" t="s">
        <v>264</v>
      </c>
      <c r="C42" s="44"/>
      <c r="D42" s="171" t="e">
        <f>$D$41/$D$44</f>
        <v>#DIV/0!</v>
      </c>
      <c r="E42" s="346"/>
      <c r="F42" s="44"/>
      <c r="G42" s="110"/>
      <c r="H42" s="171"/>
      <c r="I42" s="106"/>
      <c r="J42" s="406"/>
      <c r="K42" s="108"/>
      <c r="L42" s="106"/>
      <c r="M42" s="406"/>
      <c r="N42" s="108"/>
      <c r="O42" s="109"/>
      <c r="P42" s="407"/>
      <c r="Q42" s="408">
        <f>Q41/$Q$43</f>
        <v>3.6429872495446269E-2</v>
      </c>
      <c r="R42" s="407"/>
      <c r="S42" s="109"/>
      <c r="T42" s="110"/>
      <c r="U42" s="48"/>
      <c r="V42" s="43"/>
      <c r="W42" s="111"/>
      <c r="X42" s="45"/>
      <c r="Y42" s="43"/>
      <c r="Z42" s="111"/>
      <c r="AA42" s="47"/>
      <c r="AB42" s="43"/>
      <c r="AC42" s="46"/>
      <c r="AD42" s="112"/>
      <c r="AE42" s="33"/>
      <c r="AF42" s="25"/>
      <c r="AG42" s="25"/>
      <c r="AH42" s="2"/>
      <c r="AI42" s="2"/>
      <c r="AJ42" s="2"/>
      <c r="AK42" s="25"/>
      <c r="AL42" s="25"/>
      <c r="AM42" s="2"/>
      <c r="AN42" s="2"/>
      <c r="AO42" s="2"/>
      <c r="AP42" s="2"/>
      <c r="AQ42" s="2"/>
      <c r="AR42" s="2"/>
      <c r="AS42" s="2"/>
      <c r="AT42" s="25"/>
      <c r="AU42" s="25"/>
      <c r="AV42" s="113"/>
      <c r="AW42" s="641"/>
      <c r="AX42" s="641"/>
      <c r="AY42" s="641"/>
      <c r="AZ42" s="641"/>
      <c r="BA42" s="25"/>
      <c r="BB42" s="25"/>
      <c r="BC42" s="25"/>
      <c r="BD42" s="25"/>
      <c r="BE42" s="25"/>
      <c r="BF42" s="25"/>
      <c r="BG42" s="25"/>
      <c r="BH42" s="25"/>
      <c r="BI42" s="25"/>
      <c r="BJ42" s="2"/>
      <c r="BK42" s="2"/>
      <c r="BL42" s="2"/>
      <c r="BM42" s="2"/>
      <c r="BN42" s="2"/>
      <c r="BO42" s="2"/>
      <c r="BP42" s="2"/>
    </row>
    <row r="43" spans="1:72" ht="12.6" thickTop="1" x14ac:dyDescent="0.4">
      <c r="A43" s="114"/>
      <c r="B43" s="115" t="s">
        <v>13</v>
      </c>
      <c r="C43" s="172">
        <f>C13+C30+C41</f>
        <v>115500000</v>
      </c>
      <c r="D43" s="173">
        <f>D13+D30+D41</f>
        <v>59550000</v>
      </c>
      <c r="E43" s="366">
        <f>D43/C43</f>
        <v>0.51558441558441559</v>
      </c>
      <c r="F43" s="172">
        <f>F13+F30+F41</f>
        <v>25000000</v>
      </c>
      <c r="G43" s="173">
        <f>G13+G30+G41</f>
        <v>11500000</v>
      </c>
      <c r="H43" s="177"/>
      <c r="I43" s="403">
        <f>I13+I30+I41</f>
        <v>38750000</v>
      </c>
      <c r="J43" s="411">
        <f>J13+J30+J41</f>
        <v>22525000</v>
      </c>
      <c r="K43" s="405"/>
      <c r="L43" s="403">
        <f>L13+L30+L41</f>
        <v>51750000</v>
      </c>
      <c r="M43" s="411">
        <f>M13+M30+M41</f>
        <v>25525000</v>
      </c>
      <c r="N43" s="404"/>
      <c r="O43" s="403">
        <f t="shared" ref="O43:T43" si="6">O13+O30+O41</f>
        <v>53400000</v>
      </c>
      <c r="P43" s="411">
        <f t="shared" si="6"/>
        <v>1500000</v>
      </c>
      <c r="Q43" s="411">
        <f t="shared" si="6"/>
        <v>54900000</v>
      </c>
      <c r="R43" s="411">
        <f t="shared" si="6"/>
        <v>26352500</v>
      </c>
      <c r="S43" s="411">
        <f t="shared" si="6"/>
        <v>0</v>
      </c>
      <c r="T43" s="411">
        <f t="shared" si="6"/>
        <v>26352500</v>
      </c>
      <c r="U43" s="412">
        <f>T43/Q43</f>
        <v>0.48000910746812386</v>
      </c>
      <c r="V43" s="172">
        <f>V13+V30+V41</f>
        <v>60600000</v>
      </c>
      <c r="W43" s="411">
        <f>W13+W30+W41</f>
        <v>33197500</v>
      </c>
      <c r="X43" s="413">
        <f>W43/V43</f>
        <v>0.54781353135313526</v>
      </c>
      <c r="Y43" s="126"/>
      <c r="Z43" s="127"/>
      <c r="AA43" s="115"/>
      <c r="AB43" s="126"/>
      <c r="AC43" s="128"/>
      <c r="AD43" s="129"/>
      <c r="AE43" s="33"/>
      <c r="AF43" s="25"/>
      <c r="AG43" s="25"/>
      <c r="AH43" s="2"/>
      <c r="AI43" s="2"/>
      <c r="AJ43" s="2"/>
      <c r="AK43" s="25"/>
      <c r="AL43" s="25"/>
      <c r="AM43" s="2"/>
      <c r="AN43" s="2"/>
      <c r="AO43" s="2"/>
      <c r="AP43" s="2"/>
      <c r="AQ43" s="2"/>
      <c r="AR43" s="2"/>
      <c r="AS43" s="2"/>
      <c r="AT43" s="25"/>
      <c r="AU43" s="25"/>
      <c r="AV43" s="130"/>
      <c r="AW43" s="634"/>
      <c r="AX43" s="634"/>
      <c r="AY43" s="634"/>
      <c r="AZ43" s="634"/>
      <c r="BA43" s="25"/>
      <c r="BB43" s="25"/>
      <c r="BC43" s="25"/>
      <c r="BD43" s="25"/>
      <c r="BE43" s="25"/>
      <c r="BF43" s="25"/>
      <c r="BG43" s="25"/>
      <c r="BH43" s="25"/>
      <c r="BI43" s="25"/>
      <c r="BJ43" s="2"/>
      <c r="BK43" s="2"/>
      <c r="BL43" s="2"/>
      <c r="BM43" s="2"/>
      <c r="BN43" s="2"/>
      <c r="BO43" s="2"/>
      <c r="BP43" s="2"/>
    </row>
    <row r="44" spans="1:72" x14ac:dyDescent="0.4">
      <c r="A44" s="131"/>
      <c r="B44" s="132" t="s">
        <v>265</v>
      </c>
      <c r="C44" s="133">
        <v>1</v>
      </c>
      <c r="D44" s="136"/>
      <c r="E44" s="138"/>
      <c r="F44" s="133"/>
      <c r="G44" s="135"/>
      <c r="H44" s="136"/>
      <c r="I44" s="133"/>
      <c r="J44" s="409"/>
      <c r="K44" s="135"/>
      <c r="L44" s="133"/>
      <c r="M44" s="409"/>
      <c r="N44" s="136"/>
      <c r="O44" s="137"/>
      <c r="P44" s="410"/>
      <c r="Q44" s="410"/>
      <c r="R44" s="410"/>
      <c r="S44" s="137"/>
      <c r="T44" s="135"/>
      <c r="U44" s="134"/>
      <c r="V44" s="133"/>
      <c r="W44" s="138"/>
      <c r="X44" s="136"/>
      <c r="Y44" s="133"/>
      <c r="Z44" s="138"/>
      <c r="AA44" s="134"/>
      <c r="AB44" s="133"/>
      <c r="AC44" s="137"/>
      <c r="AD44" s="139"/>
      <c r="AE44" s="33"/>
      <c r="AF44" s="25"/>
      <c r="AG44" s="25"/>
      <c r="AH44" s="2"/>
      <c r="AI44" s="2"/>
      <c r="AJ44" s="2"/>
      <c r="AK44" s="25"/>
      <c r="AL44" s="25"/>
      <c r="AM44" s="2"/>
      <c r="AN44" s="2"/>
      <c r="AO44" s="2"/>
      <c r="AP44" s="2"/>
      <c r="AQ44" s="2"/>
      <c r="AR44" s="2"/>
      <c r="AS44" s="2"/>
      <c r="AT44" s="25"/>
      <c r="AU44" s="25"/>
      <c r="AV44" s="130"/>
      <c r="AW44" s="634"/>
      <c r="AX44" s="634"/>
      <c r="AY44" s="634"/>
      <c r="AZ44" s="634"/>
      <c r="BA44" s="25"/>
      <c r="BB44" s="25"/>
      <c r="BC44" s="25"/>
      <c r="BD44" s="25"/>
      <c r="BE44" s="25"/>
      <c r="BF44" s="25"/>
      <c r="BG44" s="25"/>
      <c r="BH44" s="25"/>
      <c r="BI44" s="25"/>
      <c r="BJ44" s="2"/>
      <c r="BK44" s="2"/>
      <c r="BL44" s="2"/>
      <c r="BM44" s="2"/>
      <c r="BN44" s="2"/>
      <c r="BO44" s="2"/>
      <c r="BP44" s="2"/>
    </row>
    <row r="45" spans="1:72" ht="12.6" thickBot="1" x14ac:dyDescent="0.45">
      <c r="A45" s="13"/>
      <c r="B45" s="13"/>
      <c r="C45" s="14"/>
      <c r="D45" s="14"/>
      <c r="E45" s="14"/>
      <c r="F45" s="14"/>
      <c r="G45" s="14"/>
      <c r="H45" s="14"/>
      <c r="I45" s="140"/>
      <c r="J45" s="140"/>
      <c r="K45" s="140"/>
      <c r="L45" s="17"/>
      <c r="M45" s="17"/>
      <c r="N45" s="17"/>
      <c r="O45" s="14"/>
      <c r="P45" s="14"/>
      <c r="Q45" s="14"/>
      <c r="R45" s="14"/>
      <c r="S45" s="14"/>
      <c r="T45" s="14"/>
      <c r="U45" s="14"/>
      <c r="V45" s="14"/>
      <c r="W45" s="14"/>
      <c r="X45" s="14"/>
      <c r="Y45" s="14"/>
      <c r="Z45" s="14"/>
      <c r="AA45" s="14"/>
      <c r="AB45" s="14"/>
      <c r="AC45" s="14"/>
      <c r="AD45" s="14"/>
      <c r="AE45" s="5"/>
      <c r="AF45" s="5"/>
      <c r="AG45" s="5"/>
      <c r="AH45" s="6"/>
      <c r="AI45" s="6"/>
      <c r="AJ45" s="6"/>
      <c r="AK45" s="5"/>
      <c r="AL45" s="5"/>
      <c r="AM45" s="6"/>
      <c r="AN45" s="6"/>
      <c r="AO45" s="6"/>
      <c r="AP45" s="6"/>
      <c r="AQ45" s="6"/>
      <c r="AR45" s="6"/>
      <c r="AS45" s="6"/>
      <c r="AT45" s="5"/>
      <c r="AU45" s="5"/>
      <c r="AV45" s="5"/>
      <c r="AW45" s="5"/>
      <c r="AX45" s="5"/>
      <c r="AY45" s="5"/>
      <c r="AZ45" s="5"/>
      <c r="BA45" s="5"/>
      <c r="BB45" s="5"/>
      <c r="BC45" s="5"/>
      <c r="BD45" s="5"/>
      <c r="BE45" s="5"/>
      <c r="BF45" s="5"/>
      <c r="BG45" s="5"/>
      <c r="BH45" s="5"/>
      <c r="BI45" s="5"/>
      <c r="BJ45" s="6"/>
      <c r="BK45" s="6"/>
      <c r="BL45" s="6"/>
      <c r="BM45" s="6"/>
      <c r="BN45" s="6"/>
      <c r="BO45" s="6"/>
      <c r="BP45" s="6"/>
    </row>
    <row r="46" spans="1:72" x14ac:dyDescent="0.4">
      <c r="A46" s="25"/>
      <c r="B46" s="348" t="s">
        <v>266</v>
      </c>
      <c r="C46" s="348"/>
      <c r="D46" s="348"/>
      <c r="E46" s="151"/>
      <c r="F46" s="151"/>
      <c r="G46" s="140"/>
      <c r="H46" s="17"/>
      <c r="I46" s="664" t="s">
        <v>267</v>
      </c>
      <c r="J46" s="665"/>
      <c r="K46" s="665"/>
      <c r="L46" s="665"/>
      <c r="M46" s="666"/>
      <c r="N46" s="17"/>
      <c r="O46" s="17"/>
      <c r="P46" s="17"/>
      <c r="Q46" s="6"/>
      <c r="R46" s="6"/>
      <c r="S46" s="6"/>
      <c r="T46" s="140"/>
      <c r="U46" s="14"/>
      <c r="V46" s="14"/>
      <c r="W46" s="140"/>
      <c r="X46" s="14"/>
      <c r="Y46" s="14"/>
      <c r="Z46" s="140"/>
      <c r="AA46" s="14"/>
      <c r="AB46" s="14"/>
      <c r="AC46" s="140"/>
      <c r="AD46" s="14"/>
      <c r="AE46" s="5"/>
      <c r="AF46" s="5"/>
      <c r="AG46" s="5"/>
      <c r="AH46" s="6"/>
      <c r="AI46" s="6"/>
      <c r="AJ46" s="6"/>
      <c r="AK46" s="5"/>
      <c r="AL46" s="5"/>
      <c r="AM46" s="6"/>
      <c r="AN46" s="6"/>
      <c r="AO46" s="6"/>
      <c r="AP46" s="6"/>
      <c r="AQ46" s="6"/>
      <c r="AR46" s="6"/>
      <c r="AS46" s="6"/>
      <c r="AT46" s="5"/>
      <c r="AU46" s="5"/>
      <c r="AV46" s="5"/>
      <c r="AW46" s="5"/>
      <c r="AX46" s="5"/>
      <c r="AY46" s="5"/>
      <c r="AZ46" s="5"/>
      <c r="BA46" s="5"/>
      <c r="BB46" s="5"/>
      <c r="BC46" s="5"/>
      <c r="BD46" s="5"/>
      <c r="BE46" s="5"/>
      <c r="BF46" s="5"/>
      <c r="BG46" s="5"/>
      <c r="BH46" s="5"/>
      <c r="BI46" s="5"/>
      <c r="BJ46" s="6"/>
      <c r="BK46" s="6"/>
      <c r="BL46" s="6"/>
      <c r="BM46" s="6"/>
      <c r="BN46" s="6"/>
      <c r="BO46" s="6"/>
      <c r="BP46" s="6"/>
    </row>
    <row r="47" spans="1:72" x14ac:dyDescent="0.4">
      <c r="A47" s="25"/>
      <c r="B47" s="143"/>
      <c r="C47" s="180" t="s">
        <v>268</v>
      </c>
      <c r="D47" s="179" t="s">
        <v>269</v>
      </c>
      <c r="E47" s="61"/>
      <c r="F47" s="61"/>
      <c r="G47" s="140"/>
      <c r="H47" s="17"/>
      <c r="I47" s="667"/>
      <c r="J47" s="668"/>
      <c r="K47" s="59" t="s">
        <v>69</v>
      </c>
      <c r="L47" s="669"/>
      <c r="M47" s="159" t="s">
        <v>71</v>
      </c>
      <c r="N47" s="39"/>
      <c r="O47" s="39"/>
      <c r="P47" s="39"/>
      <c r="Q47" s="6"/>
      <c r="R47" s="6"/>
      <c r="S47" s="6"/>
      <c r="T47" s="6"/>
      <c r="U47" s="6"/>
      <c r="V47" s="14"/>
      <c r="W47" s="140"/>
      <c r="X47" s="14"/>
      <c r="Y47" s="14"/>
      <c r="Z47" s="140"/>
      <c r="AA47" s="14"/>
      <c r="AB47" s="14"/>
      <c r="AC47" s="140"/>
      <c r="AD47" s="14"/>
      <c r="AE47" s="5"/>
      <c r="AF47" s="5"/>
      <c r="AG47" s="5"/>
      <c r="AH47" s="6"/>
      <c r="AI47" s="6"/>
      <c r="AJ47" s="6"/>
      <c r="AK47" s="5"/>
      <c r="AL47" s="5"/>
      <c r="AM47" s="6"/>
      <c r="AN47" s="6"/>
      <c r="AO47" s="6"/>
      <c r="AP47" s="6"/>
      <c r="AQ47" s="6"/>
      <c r="AR47" s="6"/>
      <c r="AS47" s="6"/>
      <c r="AT47" s="5"/>
      <c r="AU47" s="5"/>
      <c r="AV47" s="5"/>
      <c r="AW47" s="5"/>
      <c r="AX47" s="5"/>
      <c r="AY47" s="5"/>
      <c r="AZ47" s="5"/>
      <c r="BA47" s="5"/>
      <c r="BB47" s="5"/>
      <c r="BC47" s="5"/>
      <c r="BD47" s="5"/>
      <c r="BE47" s="5"/>
      <c r="BF47" s="5"/>
      <c r="BG47" s="5"/>
      <c r="BH47" s="5"/>
      <c r="BI47" s="5"/>
      <c r="BJ47" s="6"/>
      <c r="BK47" s="6"/>
      <c r="BL47" s="6"/>
      <c r="BM47" s="6"/>
      <c r="BN47" s="6"/>
      <c r="BO47" s="6"/>
      <c r="BP47" s="6"/>
    </row>
    <row r="48" spans="1:72" x14ac:dyDescent="0.4">
      <c r="A48" s="25"/>
      <c r="B48" s="349" t="s">
        <v>270</v>
      </c>
      <c r="C48" s="350"/>
      <c r="D48" s="350"/>
      <c r="E48" s="7"/>
      <c r="F48" s="7"/>
      <c r="G48" s="140"/>
      <c r="H48" s="39"/>
      <c r="I48" s="672" t="s">
        <v>188</v>
      </c>
      <c r="J48" s="673"/>
      <c r="K48" s="58">
        <v>0.4</v>
      </c>
      <c r="L48" s="670"/>
      <c r="M48" s="160">
        <v>0.6</v>
      </c>
      <c r="N48" s="39"/>
      <c r="O48" s="39"/>
      <c r="P48" s="39"/>
      <c r="Q48" s="6"/>
      <c r="R48" s="6"/>
      <c r="S48" s="6"/>
      <c r="T48" s="6"/>
      <c r="U48" s="6"/>
      <c r="V48" s="14"/>
      <c r="W48" s="14"/>
      <c r="X48" s="14"/>
      <c r="Y48" s="14"/>
      <c r="Z48" s="14"/>
      <c r="AA48" s="14"/>
      <c r="AB48" s="14"/>
      <c r="AC48" s="14"/>
      <c r="AD48" s="14"/>
      <c r="AE48" s="5"/>
      <c r="AF48" s="5"/>
      <c r="AG48" s="5"/>
      <c r="AH48" s="6"/>
      <c r="AI48" s="6"/>
      <c r="AJ48" s="6"/>
      <c r="AK48" s="5"/>
      <c r="AL48" s="5"/>
      <c r="AM48" s="6"/>
      <c r="AN48" s="6"/>
      <c r="AO48" s="6"/>
      <c r="AP48" s="6"/>
      <c r="AQ48" s="6"/>
      <c r="AR48" s="6"/>
      <c r="AS48" s="6"/>
      <c r="AT48" s="5"/>
      <c r="AU48" s="5"/>
      <c r="AV48" s="5"/>
      <c r="AW48" s="5"/>
      <c r="AX48" s="5"/>
      <c r="AY48" s="5"/>
      <c r="AZ48" s="5"/>
      <c r="BA48" s="5"/>
      <c r="BB48" s="5"/>
      <c r="BC48" s="5"/>
      <c r="BD48" s="5"/>
      <c r="BE48" s="5"/>
      <c r="BF48" s="5"/>
      <c r="BG48" s="5"/>
      <c r="BH48" s="5"/>
      <c r="BI48" s="5"/>
      <c r="BJ48" s="6"/>
      <c r="BK48" s="6"/>
      <c r="BL48" s="6"/>
      <c r="BM48" s="6"/>
      <c r="BN48" s="6"/>
      <c r="BO48" s="6"/>
      <c r="BP48" s="6"/>
    </row>
    <row r="49" spans="1:68" x14ac:dyDescent="0.4">
      <c r="A49" s="25"/>
      <c r="B49" s="144" t="s">
        <v>362</v>
      </c>
      <c r="C49" s="207">
        <v>30000000</v>
      </c>
      <c r="D49" s="211"/>
      <c r="E49" s="7"/>
      <c r="F49" s="7"/>
      <c r="G49" s="17"/>
      <c r="H49" s="145"/>
      <c r="I49" s="672" t="s">
        <v>272</v>
      </c>
      <c r="J49" s="673"/>
      <c r="K49" s="40">
        <f>$K$48*$G$43</f>
        <v>4600000</v>
      </c>
      <c r="L49" s="670"/>
      <c r="M49" s="161">
        <f>$M$48*$G$43</f>
        <v>6900000</v>
      </c>
      <c r="N49" s="146"/>
      <c r="O49" s="146"/>
      <c r="P49" s="146"/>
      <c r="Q49" s="6"/>
      <c r="R49" s="6"/>
      <c r="S49" s="6"/>
      <c r="T49" s="6"/>
      <c r="U49" s="6"/>
      <c r="V49" s="14"/>
      <c r="W49" s="14"/>
      <c r="X49" s="14"/>
      <c r="Y49" s="14"/>
      <c r="Z49" s="14"/>
      <c r="AA49" s="14"/>
      <c r="AB49" s="14"/>
      <c r="AC49" s="14"/>
      <c r="AD49" s="14"/>
      <c r="AE49" s="5"/>
      <c r="AF49" s="5"/>
      <c r="AG49" s="5"/>
      <c r="AH49" s="6"/>
      <c r="AI49" s="6"/>
      <c r="AJ49" s="6"/>
      <c r="AK49" s="5"/>
      <c r="AL49" s="5"/>
      <c r="AM49" s="6"/>
      <c r="AN49" s="6"/>
      <c r="AO49" s="6"/>
      <c r="AP49" s="6"/>
      <c r="AQ49" s="6"/>
      <c r="AR49" s="6"/>
      <c r="AS49" s="6"/>
      <c r="AT49" s="5"/>
      <c r="AU49" s="5"/>
      <c r="AV49" s="5"/>
      <c r="AW49" s="5"/>
      <c r="AX49" s="5"/>
      <c r="AY49" s="5"/>
      <c r="AZ49" s="5"/>
      <c r="BA49" s="5"/>
      <c r="BB49" s="5"/>
      <c r="BC49" s="5"/>
      <c r="BD49" s="5"/>
      <c r="BE49" s="5"/>
      <c r="BF49" s="5"/>
      <c r="BG49" s="5"/>
      <c r="BH49" s="5"/>
      <c r="BI49" s="5"/>
      <c r="BJ49" s="6"/>
      <c r="BK49" s="6"/>
      <c r="BL49" s="6"/>
      <c r="BM49" s="6"/>
      <c r="BN49" s="6"/>
      <c r="BO49" s="6"/>
      <c r="BP49" s="6"/>
    </row>
    <row r="50" spans="1:68" x14ac:dyDescent="0.4">
      <c r="A50" s="25"/>
      <c r="B50" s="144" t="s">
        <v>271</v>
      </c>
      <c r="C50" s="207"/>
      <c r="D50" s="212"/>
      <c r="E50" s="7"/>
      <c r="F50" s="7"/>
      <c r="G50" s="39"/>
      <c r="H50" s="145"/>
      <c r="I50" s="672" t="s">
        <v>273</v>
      </c>
      <c r="J50" s="673"/>
      <c r="K50" s="53">
        <f>J43</f>
        <v>22525000</v>
      </c>
      <c r="L50" s="670"/>
      <c r="M50" s="161">
        <f>M43</f>
        <v>25525000</v>
      </c>
      <c r="N50" s="146"/>
      <c r="O50" s="146"/>
      <c r="P50" s="146"/>
      <c r="Q50" s="6"/>
      <c r="R50" s="6"/>
      <c r="S50" s="6"/>
      <c r="T50" s="6"/>
      <c r="U50" s="6"/>
      <c r="V50" s="14"/>
      <c r="W50" s="14"/>
      <c r="X50" s="14"/>
      <c r="Y50" s="14"/>
      <c r="Z50" s="14"/>
      <c r="AA50" s="14"/>
      <c r="AB50" s="14"/>
      <c r="AC50" s="14"/>
      <c r="AD50" s="14"/>
      <c r="AE50" s="5"/>
      <c r="AF50" s="5"/>
      <c r="AG50" s="5"/>
      <c r="AH50" s="6"/>
      <c r="AI50" s="6"/>
      <c r="AJ50" s="6"/>
      <c r="AK50" s="5"/>
      <c r="AL50" s="5"/>
      <c r="AM50" s="6"/>
      <c r="AN50" s="6"/>
      <c r="AO50" s="6"/>
      <c r="AP50" s="6"/>
      <c r="AQ50" s="6"/>
      <c r="AR50" s="6"/>
      <c r="AS50" s="6"/>
      <c r="AT50" s="5"/>
      <c r="AU50" s="5"/>
      <c r="AV50" s="5"/>
      <c r="AW50" s="5"/>
      <c r="AX50" s="5"/>
      <c r="AY50" s="5"/>
      <c r="AZ50" s="5"/>
      <c r="BA50" s="5"/>
      <c r="BB50" s="5"/>
      <c r="BC50" s="5"/>
      <c r="BD50" s="5"/>
      <c r="BE50" s="5"/>
      <c r="BF50" s="5"/>
      <c r="BG50" s="5"/>
      <c r="BH50" s="5"/>
      <c r="BI50" s="5"/>
      <c r="BJ50" s="6"/>
      <c r="BK50" s="6"/>
      <c r="BL50" s="6"/>
      <c r="BM50" s="6"/>
      <c r="BN50" s="6"/>
      <c r="BO50" s="6"/>
      <c r="BP50" s="6"/>
    </row>
    <row r="51" spans="1:68" ht="12.6" thickBot="1" x14ac:dyDescent="0.45">
      <c r="A51" s="25"/>
      <c r="B51" s="144" t="s">
        <v>271</v>
      </c>
      <c r="C51" s="207"/>
      <c r="D51" s="212"/>
      <c r="E51" s="7"/>
      <c r="F51" s="7"/>
      <c r="G51" s="39"/>
      <c r="H51" s="151"/>
      <c r="I51" s="674" t="s">
        <v>274</v>
      </c>
      <c r="J51" s="675"/>
      <c r="K51" s="162">
        <f>K49+K50</f>
        <v>27125000</v>
      </c>
      <c r="L51" s="671"/>
      <c r="M51" s="163">
        <f>M49+M50</f>
        <v>32425000</v>
      </c>
      <c r="N51" s="151"/>
      <c r="O51" s="151"/>
      <c r="P51" s="151"/>
      <c r="Q51" s="1"/>
      <c r="R51" s="1"/>
      <c r="S51" s="1"/>
      <c r="T51" s="1"/>
      <c r="U51" s="1"/>
      <c r="V51" s="7"/>
      <c r="W51" s="7"/>
      <c r="X51" s="7"/>
      <c r="Y51" s="7"/>
      <c r="Z51" s="7"/>
      <c r="AA51" s="7"/>
      <c r="AB51" s="7"/>
      <c r="AC51" s="7"/>
      <c r="AD51" s="7"/>
      <c r="AE51" s="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row>
    <row r="52" spans="1:68" x14ac:dyDescent="0.4">
      <c r="A52" s="25"/>
      <c r="B52" s="144" t="s">
        <v>271</v>
      </c>
      <c r="C52" s="207"/>
      <c r="D52" s="213"/>
      <c r="E52" s="7"/>
      <c r="F52" s="7"/>
      <c r="G52" s="146"/>
      <c r="H52" s="62"/>
      <c r="I52" s="18" t="s">
        <v>275</v>
      </c>
      <c r="J52" s="18"/>
      <c r="K52" s="18"/>
      <c r="L52" s="18"/>
      <c r="M52" s="18"/>
      <c r="N52" s="63"/>
      <c r="O52" s="63"/>
      <c r="P52" s="63"/>
      <c r="Q52" s="1"/>
      <c r="R52" s="1"/>
      <c r="S52" s="1"/>
      <c r="T52" s="1"/>
      <c r="U52" s="1"/>
      <c r="V52" s="7"/>
      <c r="W52" s="7"/>
      <c r="X52" s="7"/>
      <c r="Y52" s="7"/>
      <c r="Z52" s="7"/>
      <c r="AA52" s="7"/>
      <c r="AB52" s="7"/>
      <c r="AC52" s="7"/>
      <c r="AD52" s="7"/>
      <c r="AE52" s="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row>
    <row r="53" spans="1:68" x14ac:dyDescent="0.4">
      <c r="A53" s="25"/>
      <c r="B53" s="147" t="s">
        <v>276</v>
      </c>
      <c r="C53" s="202">
        <v>0</v>
      </c>
      <c r="D53" s="201"/>
      <c r="E53" s="7"/>
      <c r="F53" s="7"/>
      <c r="G53" s="146"/>
      <c r="H53" s="61"/>
      <c r="I53" s="148"/>
      <c r="J53" s="148"/>
      <c r="K53" s="54"/>
      <c r="L53" s="149"/>
      <c r="M53" s="149"/>
      <c r="N53" s="149"/>
      <c r="O53" s="150"/>
      <c r="P53" s="150"/>
      <c r="Q53" s="1"/>
      <c r="R53" s="1"/>
      <c r="S53" s="1"/>
      <c r="T53" s="1"/>
      <c r="U53" s="1"/>
      <c r="V53" s="7"/>
      <c r="W53" s="7"/>
      <c r="X53" s="7"/>
      <c r="Y53" s="7"/>
      <c r="Z53" s="7"/>
      <c r="AA53" s="7"/>
      <c r="AB53" s="7"/>
      <c r="AC53" s="7"/>
      <c r="AD53" s="7"/>
      <c r="AE53" s="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row>
    <row r="54" spans="1:68" ht="12.6" thickBot="1" x14ac:dyDescent="0.45">
      <c r="A54" s="25"/>
      <c r="B54" s="147" t="s">
        <v>277</v>
      </c>
      <c r="C54" s="203">
        <v>11000</v>
      </c>
      <c r="D54" s="210"/>
      <c r="E54" s="7"/>
      <c r="F54" s="7"/>
      <c r="G54" s="146"/>
      <c r="H54" s="61"/>
      <c r="I54" s="148"/>
      <c r="J54" s="148"/>
      <c r="K54" s="54"/>
      <c r="L54" s="149"/>
      <c r="M54" s="149"/>
      <c r="N54" s="149"/>
      <c r="O54" s="150"/>
      <c r="P54" s="150"/>
      <c r="Q54" s="1"/>
      <c r="R54" s="1"/>
      <c r="S54" s="1"/>
      <c r="T54" s="1"/>
      <c r="U54" s="1"/>
      <c r="V54" s="7"/>
      <c r="W54" s="7"/>
      <c r="X54" s="7"/>
      <c r="Y54" s="7"/>
      <c r="Z54" s="7"/>
      <c r="AA54" s="7"/>
      <c r="AB54" s="7"/>
      <c r="AC54" s="7"/>
      <c r="AD54" s="7"/>
      <c r="AE54" s="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row>
    <row r="55" spans="1:68" ht="12.6" thickTop="1" x14ac:dyDescent="0.4">
      <c r="A55" s="25"/>
      <c r="B55" s="152" t="s">
        <v>278</v>
      </c>
      <c r="C55" s="204">
        <f>SUM(C49:C54)</f>
        <v>30011000</v>
      </c>
      <c r="D55" s="214">
        <v>1</v>
      </c>
      <c r="E55" s="7"/>
      <c r="F55" s="7"/>
      <c r="G55" s="146"/>
      <c r="H55" s="61"/>
      <c r="I55" s="148"/>
      <c r="J55" s="148"/>
      <c r="K55" s="54"/>
      <c r="L55" s="149"/>
      <c r="M55" s="149"/>
      <c r="N55" s="149"/>
      <c r="O55" s="150"/>
      <c r="P55" s="150"/>
      <c r="Q55" s="1"/>
      <c r="R55" s="1"/>
      <c r="S55" s="1"/>
      <c r="T55" s="1"/>
      <c r="U55" s="1"/>
      <c r="V55" s="7"/>
      <c r="W55" s="7"/>
      <c r="X55" s="7"/>
      <c r="Y55" s="7"/>
      <c r="Z55" s="7"/>
      <c r="AA55" s="7"/>
      <c r="AB55" s="7"/>
      <c r="AC55" s="7"/>
      <c r="AD55" s="7"/>
      <c r="AE55" s="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row>
    <row r="56" spans="1:68" ht="12.6" thickBot="1" x14ac:dyDescent="0.45">
      <c r="A56" s="25"/>
      <c r="B56" s="152" t="s">
        <v>279</v>
      </c>
      <c r="C56" s="205">
        <f>$T$43</f>
        <v>26352500</v>
      </c>
      <c r="D56" s="208">
        <f>$C$56/$C$55</f>
        <v>0.87809469861050948</v>
      </c>
      <c r="E56" s="7"/>
      <c r="F56" s="7"/>
      <c r="G56" s="151"/>
      <c r="H56" s="61"/>
      <c r="I56" s="148"/>
      <c r="J56" s="148"/>
      <c r="K56" s="54"/>
      <c r="L56" s="149"/>
      <c r="M56" s="149"/>
      <c r="N56" s="149"/>
      <c r="O56" s="150"/>
      <c r="P56" s="150"/>
      <c r="Q56" s="1"/>
      <c r="R56" s="1"/>
      <c r="S56" s="1"/>
      <c r="T56" s="1"/>
      <c r="U56" s="1"/>
      <c r="V56" s="7"/>
      <c r="W56" s="7"/>
      <c r="X56" s="7"/>
      <c r="Y56" s="7"/>
      <c r="Z56" s="7"/>
      <c r="AA56" s="7"/>
      <c r="AB56" s="7"/>
      <c r="AC56" s="7"/>
      <c r="AD56" s="7"/>
      <c r="AE56" s="7"/>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row>
    <row r="57" spans="1:68" ht="12.6" thickTop="1" x14ac:dyDescent="0.4">
      <c r="A57" s="25"/>
      <c r="B57" s="154" t="s">
        <v>280</v>
      </c>
      <c r="C57" s="421">
        <f>$C$55-$C$56</f>
        <v>3658500</v>
      </c>
      <c r="D57" s="209">
        <f>C57/C55</f>
        <v>0.12190530138949052</v>
      </c>
      <c r="E57" s="63"/>
      <c r="F57" s="63"/>
      <c r="G57" s="150"/>
      <c r="H57" s="61"/>
      <c r="I57" s="39"/>
      <c r="J57" s="148"/>
      <c r="K57" s="54"/>
      <c r="L57" s="39"/>
      <c r="M57" s="39"/>
      <c r="N57" s="39"/>
      <c r="O57" s="39"/>
      <c r="P57" s="150"/>
      <c r="Q57" s="1"/>
      <c r="R57" s="1"/>
      <c r="S57" s="1"/>
      <c r="T57" s="1"/>
      <c r="U57" s="1"/>
      <c r="V57" s="7"/>
      <c r="W57" s="7"/>
      <c r="X57" s="7"/>
      <c r="Y57" s="7"/>
      <c r="Z57" s="7"/>
      <c r="AA57" s="7"/>
      <c r="AB57" s="7"/>
      <c r="AC57" s="7"/>
      <c r="AD57" s="7"/>
      <c r="AE57" s="7"/>
    </row>
  </sheetData>
  <mergeCells count="27">
    <mergeCell ref="AW44:AX44"/>
    <mergeCell ref="AY44:AZ44"/>
    <mergeCell ref="I48:J48"/>
    <mergeCell ref="I49:J49"/>
    <mergeCell ref="I50:J50"/>
    <mergeCell ref="I46:M46"/>
    <mergeCell ref="I47:J47"/>
    <mergeCell ref="L47:L51"/>
    <mergeCell ref="AW41:AZ41"/>
    <mergeCell ref="AW42:AX42"/>
    <mergeCell ref="AY42:AZ42"/>
    <mergeCell ref="AW43:AX43"/>
    <mergeCell ref="AY43:AZ43"/>
    <mergeCell ref="A1:AD1"/>
    <mergeCell ref="A3:AD3"/>
    <mergeCell ref="A4:AD4"/>
    <mergeCell ref="A5:AD5"/>
    <mergeCell ref="A8:AD8"/>
    <mergeCell ref="A29:AD29"/>
    <mergeCell ref="A39:AD39"/>
    <mergeCell ref="A40:AD40"/>
    <mergeCell ref="I51:J51"/>
    <mergeCell ref="V11:X11"/>
    <mergeCell ref="Y11:AA11"/>
    <mergeCell ref="AB11:AD11"/>
    <mergeCell ref="C11:M11"/>
    <mergeCell ref="O11:U1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0"/>
  <sheetViews>
    <sheetView zoomScale="140" zoomScaleNormal="140" workbookViewId="0">
      <selection activeCell="A4" sqref="A4:B4"/>
    </sheetView>
  </sheetViews>
  <sheetFormatPr defaultColWidth="9" defaultRowHeight="13.8" x14ac:dyDescent="0.45"/>
  <cols>
    <col min="1" max="1" width="52" style="181" customWidth="1"/>
    <col min="2" max="2" width="20" style="181" customWidth="1"/>
    <col min="3" max="16384" width="9" style="181"/>
  </cols>
  <sheetData>
    <row r="1" spans="1:2" ht="14.1" x14ac:dyDescent="0.5">
      <c r="A1" s="678" t="s">
        <v>286</v>
      </c>
      <c r="B1" s="678"/>
    </row>
    <row r="2" spans="1:2" ht="14.1" x14ac:dyDescent="0.5">
      <c r="A2" s="182"/>
      <c r="B2" s="182"/>
    </row>
    <row r="4" spans="1:2" x14ac:dyDescent="0.45">
      <c r="A4" s="679" t="s">
        <v>363</v>
      </c>
      <c r="B4" s="680"/>
    </row>
    <row r="5" spans="1:2" x14ac:dyDescent="0.45">
      <c r="A5" s="681" t="s">
        <v>364</v>
      </c>
      <c r="B5" s="682"/>
    </row>
    <row r="6" spans="1:2" x14ac:dyDescent="0.45">
      <c r="A6" s="681" t="s">
        <v>365</v>
      </c>
      <c r="B6" s="682"/>
    </row>
    <row r="7" spans="1:2" x14ac:dyDescent="0.45">
      <c r="A7" s="681" t="s">
        <v>366</v>
      </c>
      <c r="B7" s="682"/>
    </row>
    <row r="8" spans="1:2" x14ac:dyDescent="0.45">
      <c r="A8" s="676" t="s">
        <v>291</v>
      </c>
      <c r="B8" s="677"/>
    </row>
    <row r="11" spans="1:2" ht="14.1" x14ac:dyDescent="0.5">
      <c r="A11" s="683" t="s">
        <v>292</v>
      </c>
      <c r="B11" s="684"/>
    </row>
    <row r="12" spans="1:2" ht="14.1" x14ac:dyDescent="0.5">
      <c r="A12" s="194"/>
      <c r="B12" s="195"/>
    </row>
    <row r="13" spans="1:2" ht="14.1" x14ac:dyDescent="0.5">
      <c r="A13" s="693" t="s">
        <v>293</v>
      </c>
      <c r="B13" s="694"/>
    </row>
    <row r="14" spans="1:2" x14ac:dyDescent="0.45">
      <c r="A14" s="186" t="s">
        <v>200</v>
      </c>
      <c r="B14" s="216">
        <f>'Informe Financiero (Ejemplo)'!C49</f>
        <v>30000000</v>
      </c>
    </row>
    <row r="15" spans="1:2" x14ac:dyDescent="0.45">
      <c r="A15" s="186" t="s">
        <v>204</v>
      </c>
      <c r="B15" s="216"/>
    </row>
    <row r="16" spans="1:2" x14ac:dyDescent="0.45">
      <c r="A16" s="186" t="s">
        <v>294</v>
      </c>
      <c r="B16" s="216"/>
    </row>
    <row r="17" spans="1:2" x14ac:dyDescent="0.45">
      <c r="A17" s="186" t="s">
        <v>295</v>
      </c>
      <c r="B17" s="216"/>
    </row>
    <row r="18" spans="1:2" x14ac:dyDescent="0.45">
      <c r="A18" s="186" t="s">
        <v>296</v>
      </c>
      <c r="B18" s="216"/>
    </row>
    <row r="19" spans="1:2" x14ac:dyDescent="0.45">
      <c r="A19" s="186" t="s">
        <v>297</v>
      </c>
      <c r="B19" s="216"/>
    </row>
    <row r="20" spans="1:2" ht="14.1" x14ac:dyDescent="0.5">
      <c r="A20" s="188" t="s">
        <v>298</v>
      </c>
      <c r="B20" s="217">
        <f>SUM(B14:B19)</f>
        <v>30000000</v>
      </c>
    </row>
    <row r="21" spans="1:2" x14ac:dyDescent="0.45">
      <c r="A21" s="685"/>
      <c r="B21" s="686"/>
    </row>
    <row r="22" spans="1:2" ht="14.1" x14ac:dyDescent="0.5">
      <c r="A22" s="693" t="s">
        <v>299</v>
      </c>
      <c r="B22" s="694"/>
    </row>
    <row r="23" spans="1:2" x14ac:dyDescent="0.45">
      <c r="A23" s="186" t="s">
        <v>300</v>
      </c>
      <c r="B23" s="423">
        <v>33197500</v>
      </c>
    </row>
    <row r="24" spans="1:2" x14ac:dyDescent="0.45">
      <c r="A24" s="186" t="s">
        <v>301</v>
      </c>
      <c r="B24" s="423"/>
    </row>
    <row r="25" spans="1:2" x14ac:dyDescent="0.45">
      <c r="A25" s="186" t="s">
        <v>302</v>
      </c>
      <c r="B25" s="423"/>
    </row>
    <row r="26" spans="1:2" x14ac:dyDescent="0.45">
      <c r="A26" s="186" t="s">
        <v>296</v>
      </c>
      <c r="B26" s="423"/>
    </row>
    <row r="27" spans="1:2" ht="14.1" x14ac:dyDescent="0.5">
      <c r="A27" s="188" t="s">
        <v>303</v>
      </c>
      <c r="B27" s="424">
        <f>SUM($B$23:$B$26)</f>
        <v>33197500</v>
      </c>
    </row>
    <row r="28" spans="1:2" x14ac:dyDescent="0.45">
      <c r="A28" s="685"/>
      <c r="B28" s="686"/>
    </row>
    <row r="29" spans="1:2" x14ac:dyDescent="0.45">
      <c r="A29" s="186" t="s">
        <v>304</v>
      </c>
      <c r="B29" s="216">
        <f>'Informe Financiero (Ejemplo)'!C54</f>
        <v>11000</v>
      </c>
    </row>
    <row r="30" spans="1:2" x14ac:dyDescent="0.45">
      <c r="A30" s="186" t="s">
        <v>305</v>
      </c>
      <c r="B30" s="196">
        <v>0</v>
      </c>
    </row>
    <row r="31" spans="1:2" ht="14.1" x14ac:dyDescent="0.5">
      <c r="A31" s="188" t="s">
        <v>306</v>
      </c>
      <c r="B31" s="217">
        <f>$B$29+$B$30</f>
        <v>11000</v>
      </c>
    </row>
    <row r="32" spans="1:2" ht="14.1" x14ac:dyDescent="0.5">
      <c r="A32" s="687"/>
      <c r="B32" s="688"/>
    </row>
    <row r="33" spans="1:5" ht="14.1" x14ac:dyDescent="0.5">
      <c r="A33" s="189" t="s">
        <v>307</v>
      </c>
      <c r="B33" s="219">
        <f>$B$20+$B$27+$B$31</f>
        <v>63208500</v>
      </c>
    </row>
    <row r="34" spans="1:5" x14ac:dyDescent="0.45">
      <c r="A34" s="689"/>
      <c r="B34" s="689"/>
    </row>
    <row r="35" spans="1:5" ht="14.1" x14ac:dyDescent="0.5">
      <c r="A35" s="698" t="s">
        <v>308</v>
      </c>
      <c r="B35" s="699"/>
    </row>
    <row r="36" spans="1:5" ht="14.1" x14ac:dyDescent="0.5">
      <c r="A36" s="188" t="s">
        <v>309</v>
      </c>
      <c r="B36" s="216">
        <f>'Informe Financiero (Ejemplo)'!C56</f>
        <v>26352500</v>
      </c>
    </row>
    <row r="37" spans="1:5" ht="14.1" x14ac:dyDescent="0.5">
      <c r="A37" s="687"/>
      <c r="B37" s="688"/>
    </row>
    <row r="38" spans="1:5" ht="14.1" x14ac:dyDescent="0.5">
      <c r="A38" s="188" t="s">
        <v>310</v>
      </c>
      <c r="B38" s="422">
        <f>'Informe Financiero (Ejemplo)'!$W$43+'Informe Financiero (Ejemplo)'!$Z$43+'Informe Financiero (Ejemplo)'!$AC$43</f>
        <v>33197500</v>
      </c>
    </row>
    <row r="39" spans="1:5" x14ac:dyDescent="0.45">
      <c r="A39" s="685"/>
      <c r="B39" s="686"/>
    </row>
    <row r="40" spans="1:5" ht="14.1" x14ac:dyDescent="0.5">
      <c r="A40" s="189" t="s">
        <v>311</v>
      </c>
      <c r="B40" s="218">
        <f>$B$36+$B$38</f>
        <v>59550000</v>
      </c>
    </row>
    <row r="41" spans="1:5" x14ac:dyDescent="0.45">
      <c r="A41" s="691"/>
      <c r="B41" s="692"/>
    </row>
    <row r="42" spans="1:5" ht="14.1" x14ac:dyDescent="0.5">
      <c r="A42" s="189" t="s">
        <v>312</v>
      </c>
      <c r="B42" s="218">
        <f>$B$33-$B$40</f>
        <v>3658500</v>
      </c>
      <c r="E42" s="197"/>
    </row>
    <row r="43" spans="1:5" ht="14.1" x14ac:dyDescent="0.5">
      <c r="A43" s="697"/>
      <c r="B43" s="697"/>
      <c r="E43" s="197"/>
    </row>
    <row r="44" spans="1:5" ht="14.1" x14ac:dyDescent="0.5">
      <c r="A44" s="698" t="s">
        <v>313</v>
      </c>
      <c r="B44" s="699"/>
      <c r="E44" s="197"/>
    </row>
    <row r="45" spans="1:5" ht="14.1" x14ac:dyDescent="0.5">
      <c r="A45" s="687"/>
      <c r="B45" s="688"/>
      <c r="E45" s="197"/>
    </row>
    <row r="46" spans="1:5" x14ac:dyDescent="0.45">
      <c r="A46" s="695" t="s">
        <v>314</v>
      </c>
      <c r="B46" s="696"/>
    </row>
    <row r="47" spans="1:5" x14ac:dyDescent="0.45">
      <c r="A47" s="186" t="s">
        <v>315</v>
      </c>
      <c r="B47" s="186"/>
    </row>
    <row r="48" spans="1:5" x14ac:dyDescent="0.45">
      <c r="A48" s="186" t="s">
        <v>316</v>
      </c>
      <c r="B48" s="423">
        <f>'Balance (Ejemplo)'!B15</f>
        <v>4458500</v>
      </c>
    </row>
    <row r="49" spans="1:2" x14ac:dyDescent="0.45">
      <c r="A49" s="192" t="s">
        <v>317</v>
      </c>
      <c r="B49" s="186"/>
    </row>
    <row r="50" spans="1:2" x14ac:dyDescent="0.45">
      <c r="A50" s="186" t="s">
        <v>318</v>
      </c>
      <c r="B50" s="192"/>
    </row>
    <row r="51" spans="1:2" x14ac:dyDescent="0.45">
      <c r="A51" s="691"/>
      <c r="B51" s="692"/>
    </row>
    <row r="52" spans="1:2" x14ac:dyDescent="0.45">
      <c r="A52" s="695" t="s">
        <v>319</v>
      </c>
      <c r="B52" s="696"/>
    </row>
    <row r="53" spans="1:2" x14ac:dyDescent="0.45">
      <c r="A53" s="186" t="s">
        <v>320</v>
      </c>
      <c r="B53" s="186"/>
    </row>
    <row r="54" spans="1:2" x14ac:dyDescent="0.45">
      <c r="A54" s="186" t="s">
        <v>321</v>
      </c>
      <c r="B54" s="186"/>
    </row>
    <row r="55" spans="1:2" x14ac:dyDescent="0.45">
      <c r="A55" s="691"/>
      <c r="B55" s="692"/>
    </row>
    <row r="56" spans="1:2" x14ac:dyDescent="0.45">
      <c r="A56" s="695" t="s">
        <v>322</v>
      </c>
      <c r="B56" s="696"/>
    </row>
    <row r="57" spans="1:2" x14ac:dyDescent="0.45">
      <c r="A57" s="186" t="s">
        <v>323</v>
      </c>
      <c r="B57" s="423">
        <f>'Balance (Ejemplo)'!B37</f>
        <v>800000</v>
      </c>
    </row>
    <row r="58" spans="1:2" x14ac:dyDescent="0.45">
      <c r="A58" s="186" t="s">
        <v>324</v>
      </c>
      <c r="B58" s="186"/>
    </row>
    <row r="59" spans="1:2" x14ac:dyDescent="0.45">
      <c r="A59" s="691"/>
      <c r="B59" s="692"/>
    </row>
    <row r="60" spans="1:2" ht="14.1" x14ac:dyDescent="0.5">
      <c r="A60" s="189" t="s">
        <v>325</v>
      </c>
      <c r="B60" s="218">
        <f>SUM($B$47:$B$50)+SUM($B$53:$B$54)-SUM($B$57:$B$58)</f>
        <v>3658500</v>
      </c>
    </row>
  </sheetData>
  <mergeCells count="26">
    <mergeCell ref="A56:B56"/>
    <mergeCell ref="A59:B59"/>
    <mergeCell ref="A44:B44"/>
    <mergeCell ref="A45:B45"/>
    <mergeCell ref="A46:B46"/>
    <mergeCell ref="A51:B51"/>
    <mergeCell ref="A52:B52"/>
    <mergeCell ref="A55:B55"/>
    <mergeCell ref="A43:B43"/>
    <mergeCell ref="A11:B11"/>
    <mergeCell ref="A13:B13"/>
    <mergeCell ref="A21:B21"/>
    <mergeCell ref="A22:B22"/>
    <mergeCell ref="A28:B28"/>
    <mergeCell ref="A32:B32"/>
    <mergeCell ref="A34:B34"/>
    <mergeCell ref="A35:B35"/>
    <mergeCell ref="A37:B37"/>
    <mergeCell ref="A39:B39"/>
    <mergeCell ref="A41:B41"/>
    <mergeCell ref="A8:B8"/>
    <mergeCell ref="A1:B1"/>
    <mergeCell ref="A4:B4"/>
    <mergeCell ref="A5:B5"/>
    <mergeCell ref="A6:B6"/>
    <mergeCell ref="A7:B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1"/>
  <sheetViews>
    <sheetView topLeftCell="A25" workbookViewId="0">
      <selection activeCell="B43" sqref="B43"/>
    </sheetView>
  </sheetViews>
  <sheetFormatPr defaultColWidth="9" defaultRowHeight="13.8" x14ac:dyDescent="0.45"/>
  <cols>
    <col min="1" max="1" width="52.5" style="181" customWidth="1"/>
    <col min="2" max="2" width="20" style="181" customWidth="1"/>
    <col min="3" max="16384" width="9" style="181"/>
  </cols>
  <sheetData>
    <row r="1" spans="1:2" ht="14.1" x14ac:dyDescent="0.5">
      <c r="A1" s="678" t="s">
        <v>326</v>
      </c>
      <c r="B1" s="678"/>
    </row>
    <row r="2" spans="1:2" ht="14.1" x14ac:dyDescent="0.5">
      <c r="A2" s="182"/>
      <c r="B2" s="182"/>
    </row>
    <row r="4" spans="1:2" x14ac:dyDescent="0.45">
      <c r="A4" s="679" t="s">
        <v>363</v>
      </c>
      <c r="B4" s="680"/>
    </row>
    <row r="5" spans="1:2" x14ac:dyDescent="0.45">
      <c r="A5" s="681" t="s">
        <v>364</v>
      </c>
      <c r="B5" s="682"/>
    </row>
    <row r="6" spans="1:2" x14ac:dyDescent="0.45">
      <c r="A6" s="681" t="s">
        <v>365</v>
      </c>
      <c r="B6" s="682"/>
    </row>
    <row r="7" spans="1:2" x14ac:dyDescent="0.45">
      <c r="A7" s="681" t="s">
        <v>366</v>
      </c>
      <c r="B7" s="682"/>
    </row>
    <row r="8" spans="1:2" x14ac:dyDescent="0.45">
      <c r="A8" s="676" t="s">
        <v>291</v>
      </c>
      <c r="B8" s="677"/>
    </row>
    <row r="9" spans="1:2" x14ac:dyDescent="0.45">
      <c r="A9" s="183"/>
      <c r="B9" s="183"/>
    </row>
    <row r="10" spans="1:2" x14ac:dyDescent="0.45">
      <c r="A10" s="183"/>
      <c r="B10" s="183"/>
    </row>
    <row r="11" spans="1:2" ht="14.1" x14ac:dyDescent="0.5">
      <c r="A11" s="698" t="s">
        <v>328</v>
      </c>
      <c r="B11" s="699"/>
    </row>
    <row r="12" spans="1:2" ht="14.1" x14ac:dyDescent="0.5">
      <c r="A12" s="184"/>
      <c r="B12" s="185"/>
    </row>
    <row r="13" spans="1:2" x14ac:dyDescent="0.45">
      <c r="A13" s="695" t="s">
        <v>329</v>
      </c>
      <c r="B13" s="696"/>
    </row>
    <row r="14" spans="1:2" x14ac:dyDescent="0.45">
      <c r="A14" s="186" t="s">
        <v>330</v>
      </c>
      <c r="B14" s="187"/>
    </row>
    <row r="15" spans="1:2" x14ac:dyDescent="0.45">
      <c r="A15" s="186" t="s">
        <v>331</v>
      </c>
      <c r="B15" s="228">
        <v>4458500</v>
      </c>
    </row>
    <row r="16" spans="1:2" ht="14.1" x14ac:dyDescent="0.5">
      <c r="A16" s="188" t="s">
        <v>332</v>
      </c>
      <c r="B16" s="228">
        <f>B14+B15</f>
        <v>4458500</v>
      </c>
    </row>
    <row r="17" spans="1:2" x14ac:dyDescent="0.45">
      <c r="A17" s="691"/>
      <c r="B17" s="692"/>
    </row>
    <row r="18" spans="1:2" x14ac:dyDescent="0.45">
      <c r="A18" s="695" t="s">
        <v>333</v>
      </c>
      <c r="B18" s="696"/>
    </row>
    <row r="19" spans="1:2" x14ac:dyDescent="0.45">
      <c r="A19" s="186" t="s">
        <v>330</v>
      </c>
      <c r="B19" s="187">
        <f>'Estado de Resultados (Ejemplo)'!$B$50</f>
        <v>0</v>
      </c>
    </row>
    <row r="20" spans="1:2" x14ac:dyDescent="0.45">
      <c r="A20" s="186" t="s">
        <v>334</v>
      </c>
      <c r="B20" s="187">
        <f>'Estado de Resultados (Ejemplo)'!$B$49</f>
        <v>0</v>
      </c>
    </row>
    <row r="21" spans="1:2" ht="14.1" x14ac:dyDescent="0.5">
      <c r="A21" s="188" t="s">
        <v>335</v>
      </c>
      <c r="B21" s="187">
        <f>B19+B20</f>
        <v>0</v>
      </c>
    </row>
    <row r="22" spans="1:2" x14ac:dyDescent="0.45">
      <c r="A22" s="691"/>
      <c r="B22" s="692"/>
    </row>
    <row r="23" spans="1:2" x14ac:dyDescent="0.45">
      <c r="A23" s="695" t="s">
        <v>336</v>
      </c>
      <c r="B23" s="696"/>
    </row>
    <row r="24" spans="1:2" x14ac:dyDescent="0.45">
      <c r="A24" s="186" t="s">
        <v>320</v>
      </c>
      <c r="B24" s="187"/>
    </row>
    <row r="25" spans="1:2" x14ac:dyDescent="0.45">
      <c r="A25" s="186" t="s">
        <v>321</v>
      </c>
      <c r="B25" s="187"/>
    </row>
    <row r="26" spans="1:2" x14ac:dyDescent="0.45">
      <c r="A26" s="685"/>
      <c r="B26" s="686"/>
    </row>
    <row r="27" spans="1:2" ht="14.1" x14ac:dyDescent="0.5">
      <c r="A27" s="189" t="s">
        <v>337</v>
      </c>
      <c r="B27" s="218">
        <f>B16+B21+B24+B25</f>
        <v>4458500</v>
      </c>
    </row>
    <row r="28" spans="1:2" ht="14.1" x14ac:dyDescent="0.5">
      <c r="A28" s="700"/>
      <c r="B28" s="700"/>
    </row>
    <row r="29" spans="1:2" ht="14.1" x14ac:dyDescent="0.5">
      <c r="A29" s="703" t="s">
        <v>338</v>
      </c>
      <c r="B29" s="704"/>
    </row>
    <row r="30" spans="1:2" ht="14.1" x14ac:dyDescent="0.5">
      <c r="A30" s="190"/>
      <c r="B30" s="191"/>
    </row>
    <row r="31" spans="1:2" ht="15" customHeight="1" x14ac:dyDescent="0.45">
      <c r="A31" s="695" t="s">
        <v>339</v>
      </c>
      <c r="B31" s="696"/>
    </row>
    <row r="32" spans="1:2" ht="14.1" x14ac:dyDescent="0.5">
      <c r="A32" s="192" t="s">
        <v>56</v>
      </c>
      <c r="B32" s="215">
        <v>3658500</v>
      </c>
    </row>
    <row r="33" spans="1:8" ht="14.1" x14ac:dyDescent="0.5">
      <c r="A33" s="192" t="s">
        <v>340</v>
      </c>
      <c r="B33" s="215"/>
    </row>
    <row r="34" spans="1:8" ht="14.1" x14ac:dyDescent="0.5">
      <c r="A34" s="188" t="s">
        <v>341</v>
      </c>
      <c r="B34" s="227">
        <f>B32+B33</f>
        <v>3658500</v>
      </c>
      <c r="H34" s="200"/>
    </row>
    <row r="35" spans="1:8" x14ac:dyDescent="0.45">
      <c r="A35" s="691"/>
      <c r="B35" s="692"/>
    </row>
    <row r="36" spans="1:8" ht="15" customHeight="1" x14ac:dyDescent="0.45">
      <c r="A36" s="695" t="s">
        <v>342</v>
      </c>
      <c r="B36" s="696"/>
    </row>
    <row r="37" spans="1:8" ht="14.1" x14ac:dyDescent="0.5">
      <c r="A37" s="186" t="s">
        <v>323</v>
      </c>
      <c r="B37" s="425">
        <v>800000</v>
      </c>
    </row>
    <row r="38" spans="1:8" ht="14.1" x14ac:dyDescent="0.5">
      <c r="A38" s="186" t="s">
        <v>324</v>
      </c>
      <c r="B38" s="425">
        <f>'Estado de Resultados'!$B$58</f>
        <v>0</v>
      </c>
    </row>
    <row r="39" spans="1:8" ht="14.1" x14ac:dyDescent="0.5">
      <c r="A39" s="188" t="s">
        <v>343</v>
      </c>
      <c r="B39" s="424">
        <f>B37+B38</f>
        <v>800000</v>
      </c>
    </row>
    <row r="40" spans="1:8" ht="14.1" x14ac:dyDescent="0.5">
      <c r="A40" s="701"/>
      <c r="B40" s="702"/>
    </row>
    <row r="41" spans="1:8" ht="14.1" x14ac:dyDescent="0.5">
      <c r="A41" s="189" t="s">
        <v>344</v>
      </c>
      <c r="B41" s="219">
        <f>B34+B39</f>
        <v>4458500</v>
      </c>
    </row>
  </sheetData>
  <mergeCells count="19">
    <mergeCell ref="A40:B40"/>
    <mergeCell ref="A26:B26"/>
    <mergeCell ref="A28:B28"/>
    <mergeCell ref="A29:B29"/>
    <mergeCell ref="A31:B31"/>
    <mergeCell ref="A35:B35"/>
    <mergeCell ref="A36:B36"/>
    <mergeCell ref="A23:B23"/>
    <mergeCell ref="A1:B1"/>
    <mergeCell ref="A4:B4"/>
    <mergeCell ref="A5:B5"/>
    <mergeCell ref="A6:B6"/>
    <mergeCell ref="A7:B7"/>
    <mergeCell ref="A8:B8"/>
    <mergeCell ref="A11:B11"/>
    <mergeCell ref="A13:B13"/>
    <mergeCell ref="A17:B17"/>
    <mergeCell ref="A18:B18"/>
    <mergeCell ref="A22:B2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A45F91-3731-4A49-A97C-CEC4EA3D5F11}">
  <ds:schemaRefs>
    <ds:schemaRef ds:uri="http://www.w3.org/XML/1998/namespace"/>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purl.org/dc/terms/"/>
    <ds:schemaRef ds:uri="dc808d36-874f-4b27-aec2-2fd649817929"/>
    <ds:schemaRef ds:uri="f8135ccf-0908-4d8c-8b6a-2ec449ff78ed"/>
    <ds:schemaRef ds:uri="http://purl.org/dc/elements/1.1/"/>
  </ds:schemaRefs>
</ds:datastoreItem>
</file>

<file path=customXml/itemProps2.xml><?xml version="1.0" encoding="utf-8"?>
<ds:datastoreItem xmlns:ds="http://schemas.openxmlformats.org/officeDocument/2006/customXml" ds:itemID="{1F813663-073F-4D51-8C1D-AB602F76A3EE}">
  <ds:schemaRefs>
    <ds:schemaRef ds:uri="http://schemas.microsoft.com/sharepoint/v3/contenttype/forms"/>
  </ds:schemaRefs>
</ds:datastoreItem>
</file>

<file path=customXml/itemProps3.xml><?xml version="1.0" encoding="utf-8"?>
<ds:datastoreItem xmlns:ds="http://schemas.openxmlformats.org/officeDocument/2006/customXml" ds:itemID="{154DAA20-4D10-4287-B9D3-9F4E011C60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Presupuesto original</vt:lpstr>
      <vt:lpstr>Cuadro desembolsos</vt:lpstr>
      <vt:lpstr>Modif. presupuesto</vt:lpstr>
      <vt:lpstr>Nuevo presupuesto</vt:lpstr>
      <vt:lpstr>Informe Financiero</vt:lpstr>
      <vt:lpstr>Estado de Resultados</vt:lpstr>
      <vt:lpstr>Balance</vt:lpstr>
      <vt:lpstr>Informe Financiero (Ejemplo)</vt:lpstr>
      <vt:lpstr>Estado de Resultados (Ejemplo)</vt:lpstr>
      <vt:lpstr>Balance (Ejemplo)</vt:lpstr>
    </vt:vector>
  </TitlesOfParts>
  <Manager/>
  <Company>EDA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Baumüller Ulrike EDA BFU</dc:creator>
  <cp:keywords/>
  <dc:description/>
  <cp:lastModifiedBy>Danielle Martin</cp:lastModifiedBy>
  <cp:revision/>
  <cp:lastPrinted>2024-10-08T18:55:31Z</cp:lastPrinted>
  <dcterms:created xsi:type="dcterms:W3CDTF">2021-08-02T11:32:29Z</dcterms:created>
  <dcterms:modified xsi:type="dcterms:W3CDTF">2024-10-24T22:30:29Z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214100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