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DOL427/"/>
    </mc:Choice>
  </mc:AlternateContent>
  <xr:revisionPtr revIDLastSave="17" documentId="13_ncr:1_{39CD0130-630D-40E1-B0B1-178D47C482C2}" xr6:coauthVersionLast="47" xr6:coauthVersionMax="47" xr10:uidLastSave="{A2309639-4041-4216-9110-9590AD268AB5}"/>
  <bookViews>
    <workbookView xWindow="-96" yWindow="-96" windowWidth="23232" windowHeight="12552" tabRatio="916" activeTab="12" xr2:uid="{00000000-000D-0000-FFFF-FFFF00000000}"/>
  </bookViews>
  <sheets>
    <sheet name="Assumptions" sheetId="8" r:id="rId1"/>
    <sheet name="Budget Summary" sheetId="160" r:id="rId2"/>
    <sheet name="Line-Item Budget" sheetId="161" r:id="rId3"/>
    <sheet name="US &amp; Local Summaries" sheetId="147" state="hidden" r:id="rId4"/>
    <sheet name="TA Summary" sheetId="149" state="hidden" r:id="rId5"/>
    <sheet name="Funding By Partner" sheetId="148" state="hidden" r:id="rId6"/>
    <sheet name="LOE Table" sheetId="141" state="hidden" r:id="rId7"/>
    <sheet name="Total Budget by Sponsored Class" sheetId="156" state="hidden" r:id="rId8"/>
    <sheet name="US Costs by Sponsored Class" sheetId="150" state="hidden" r:id="rId9"/>
    <sheet name="Incountry Costs by GL USD" sheetId="152" state="hidden" r:id="rId10"/>
    <sheet name="IC by GL in LC" sheetId="155" state="hidden" r:id="rId11"/>
    <sheet name="Office Budget" sheetId="151" state="hidden" r:id="rId12"/>
    <sheet name=" Activities Detail" sheetId="144" r:id="rId13"/>
    <sheet name="INDES Sub Budget Summary" sheetId="162" r:id="rId14"/>
    <sheet name="INDES Sub Line-Item Budget" sheetId="163" r:id="rId15"/>
    <sheet name="INDES Sub Activities Detail" sheetId="164" r:id="rId16"/>
    <sheet name="Travel" sheetId="159" state="hidden" r:id="rId17"/>
    <sheet name="HO LOE" sheetId="146" state="hidden" r:id="rId18"/>
    <sheet name="SF424" sheetId="145" state="hidden" r:id="rId19"/>
    <sheet name="SF424a" sheetId="142" state="hidden" r:id="rId20"/>
  </sheets>
  <externalReferences>
    <externalReference r:id="rId21"/>
  </externalReferences>
  <definedNames>
    <definedName name="_xlnm._FilterDatabase" localSheetId="10" hidden="1">'IC by GL in LC'!#REF!</definedName>
    <definedName name="_xlnm._FilterDatabase" localSheetId="9" hidden="1">'Incountry Costs by GL USD'!#REF!</definedName>
    <definedName name="_xlnm._FilterDatabase" localSheetId="6" hidden="1">'LOE Table'!$V$10:$V$230</definedName>
    <definedName name="_xlnm._FilterDatabase" localSheetId="18" hidden="1">'SF424'!$C$47:$C$70</definedName>
    <definedName name="_xlnm._FilterDatabase" localSheetId="7" hidden="1">'Total Budget by Sponsored Class'!#REF!</definedName>
    <definedName name="_xlnm._FilterDatabase" localSheetId="3" hidden="1">'US &amp; Local Summaries'!#REF!</definedName>
    <definedName name="_xlnm._FilterDatabase" localSheetId="8" hidden="1">'US Costs by Sponsored Class'!#REF!</definedName>
    <definedName name="agentfee" localSheetId="16">#REF!</definedName>
    <definedName name="agentfee">Assumptions!$D$51</definedName>
    <definedName name="avrent" localSheetId="16">#REF!</definedName>
    <definedName name="avrent">Assumptions!$D$93</definedName>
    <definedName name="Category">#REF!</definedName>
    <definedName name="Check25" localSheetId="18">'SF424'!$A$5</definedName>
    <definedName name="Check26" localSheetId="18">'SF424'!$A$6</definedName>
    <definedName name="Check27" localSheetId="18">'SF424'!$A$7</definedName>
    <definedName name="Check28" localSheetId="18">'SF424'!$D$5</definedName>
    <definedName name="Check29" localSheetId="18">'SF424'!$D$6</definedName>
    <definedName name="Check30" localSheetId="18">'SF424'!$D$7</definedName>
    <definedName name="Check32" localSheetId="18">'SF424'!$A$126</definedName>
    <definedName name="Check33" localSheetId="18">'SF424'!$A$127</definedName>
    <definedName name="Check35" localSheetId="18">'SF424'!$A$129</definedName>
    <definedName name="Check36" localSheetId="18">'SF424'!$A$131</definedName>
    <definedName name="coffee" localSheetId="16">#REF!</definedName>
    <definedName name="coffee">Assumptions!$D$90</definedName>
    <definedName name="consairfare" localSheetId="16">#REF!</definedName>
    <definedName name="consairfare">Assumptions!$D$76</definedName>
    <definedName name="consground" localSheetId="16">#REF!</definedName>
    <definedName name="consground">Assumptions!$D$77</definedName>
    <definedName name="conslodg" localSheetId="16">#REF!</definedName>
    <definedName name="conslodg">Assumptions!$D$78</definedName>
    <definedName name="consmeals" localSheetId="16">#REF!</definedName>
    <definedName name="consmeals">Assumptions!$D$79</definedName>
    <definedName name="consmisc" localSheetId="16">#REF!</definedName>
    <definedName name="consmisc">Assumptions!$D$80</definedName>
    <definedName name="DL_Country" localSheetId="16">'[1]Line-Item Budget'!#REF!</definedName>
    <definedName name="DL_Country">#REF!</definedName>
    <definedName name="DL_TotalDOL">#REF!</definedName>
    <definedName name="Dropdown1" localSheetId="18">'SF424'!$G$5</definedName>
    <definedName name="Dropdown2" localSheetId="18">'SF424'!#REF!</definedName>
    <definedName name="EQ_Country" localSheetId="16">'[1]Line-Item Budget'!#REF!</definedName>
    <definedName name="EQ_Country">#REF!</definedName>
    <definedName name="EQ_TotalDOL" localSheetId="16">'[1]Line-Item Budget'!#REF!</definedName>
    <definedName name="EQ_TotalDOL">#REF!</definedName>
    <definedName name="er" localSheetId="16">#REF!</definedName>
    <definedName name="er">Assumptions!$B$13</definedName>
    <definedName name="ground" localSheetId="16">#REF!</definedName>
    <definedName name="ground">Assumptions!$D$55</definedName>
    <definedName name="inmuniz" localSheetId="16">#REF!</definedName>
    <definedName name="inmuniz">Assumptions!$D$53</definedName>
    <definedName name="intairfare" localSheetId="16">#REF!</definedName>
    <definedName name="intairfare">Assumptions!$D$48</definedName>
    <definedName name="intcalls" localSheetId="16">#REF!</definedName>
    <definedName name="intcalls">Assumptions!#REF!</definedName>
    <definedName name="intcons" localSheetId="16">#REF!</definedName>
    <definedName name="intcons">Assumptions!$D$73</definedName>
    <definedName name="intmisc" localSheetId="16">#REF!</definedName>
    <definedName name="intmisc">Assumptions!$D$56</definedName>
    <definedName name="livingq" localSheetId="16">#REF!</definedName>
    <definedName name="livingq">Assumptions!#REF!</definedName>
    <definedName name="Local_transport_part">[1]Assumptions!$B$10:$D$10</definedName>
    <definedName name="localairfare" localSheetId="16">#REF!</definedName>
    <definedName name="localairfare">Assumptions!$D$69</definedName>
    <definedName name="localcons" localSheetId="16">#REF!</definedName>
    <definedName name="localcons">Assumptions!$D$75</definedName>
    <definedName name="locallodg" localSheetId="16">#REF!</definedName>
    <definedName name="locallodg">Assumptions!$D$66</definedName>
    <definedName name="localmeals" localSheetId="16">#REF!</definedName>
    <definedName name="localmeals">Assumptions!$D$67</definedName>
    <definedName name="localmisc" localSheetId="16">#REF!</definedName>
    <definedName name="localmisc">Assumptions!$D$68</definedName>
    <definedName name="Lunch" localSheetId="16">[1]Assumptions!$B$19:$D$19</definedName>
    <definedName name="lunch">Assumptions!$D$91</definedName>
    <definedName name="mats" localSheetId="16">#REF!</definedName>
    <definedName name="mats">Assumptions!$D$94</definedName>
    <definedName name="ME_TotalDOL">#REF!</definedName>
    <definedName name="medex" localSheetId="16">#REF!</definedName>
    <definedName name="medex">Assumptions!$D$54</definedName>
    <definedName name="meetcost" localSheetId="16">#REF!+#REF!</definedName>
    <definedName name="meetcost">Assumptions!$D$90+Assumptions!$D$91</definedName>
    <definedName name="mileage" localSheetId="16">#REF!</definedName>
    <definedName name="mileage">Assumptions!#REF!</definedName>
    <definedName name="natcalls" localSheetId="16">#REF!</definedName>
    <definedName name="natcalls">Assumptions!#REF!</definedName>
    <definedName name="O1_Country" localSheetId="16">'[1]Line-Item Budget'!#REF!</definedName>
    <definedName name="O1_Country">#REF!</definedName>
    <definedName name="O1_TotalDOL" localSheetId="16">'[1]Line-Item Budget'!#REF!</definedName>
    <definedName name="O1_TotalDOL">#REF!</definedName>
    <definedName name="O2_Country" localSheetId="16">'[1]Line-Item Budget'!#REF!</definedName>
    <definedName name="O2_Country">#REF!</definedName>
    <definedName name="O2_TotalDOL" localSheetId="16">'[1]Line-Item Budget'!#REF!</definedName>
    <definedName name="O2_TotalDOL">#REF!</definedName>
    <definedName name="partairfare" localSheetId="16">#REF!</definedName>
    <definedName name="partairfare">Assumptions!$D$83</definedName>
    <definedName name="partground" localSheetId="16">#REF!</definedName>
    <definedName name="partground">Assumptions!$D$84</definedName>
    <definedName name="partlodg" localSheetId="16">#REF!</definedName>
    <definedName name="partlodg">Assumptions!$D$85</definedName>
    <definedName name="partmats" localSheetId="16">#REF!</definedName>
    <definedName name="partmats">Assumptions!$D$95</definedName>
    <definedName name="partmeals" localSheetId="16">#REF!</definedName>
    <definedName name="partmeals">Assumptions!$D$86</definedName>
    <definedName name="partmisc" localSheetId="16">#REF!</definedName>
    <definedName name="partmisc">Assumptions!$D$88</definedName>
    <definedName name="partprint" localSheetId="16">#REF!</definedName>
    <definedName name="partprint">Assumptions!$D$97</definedName>
    <definedName name="parttransp" localSheetId="16">#REF!</definedName>
    <definedName name="parttransp">Assumptions!$D$82</definedName>
    <definedName name="print" localSheetId="16">#REF!</definedName>
    <definedName name="print">Assumptions!$D$96</definedName>
    <definedName name="_xlnm.Print_Area" localSheetId="12">' Activities Detail'!$D$1:$W$288</definedName>
    <definedName name="_xlnm.Print_Area" localSheetId="0">Assumptions!$A$1:$S$42</definedName>
    <definedName name="_xlnm.Print_Area" localSheetId="5">'Funding By Partner'!$A$1:$Q$36</definedName>
    <definedName name="_xlnm.Print_Area" localSheetId="10">'IC by GL in LC'!$D$1:$W$55</definedName>
    <definedName name="_xlnm.Print_Area" localSheetId="9">'Incountry Costs by GL USD'!$D$1:$W$58</definedName>
    <definedName name="_xlnm.Print_Area" localSheetId="15">'INDES Sub Activities Detail'!$A$1:$T$273</definedName>
    <definedName name="_xlnm.Print_Area" localSheetId="6">'LOE Table'!$A$1:$S$230</definedName>
    <definedName name="_xlnm.Print_Area" localSheetId="18">'SF424'!$A$1:$I$145</definedName>
    <definedName name="_xlnm.Print_Area" localSheetId="4">'TA Summary'!$B$1:$S$32</definedName>
    <definedName name="_xlnm.Print_Area" localSheetId="7">'Total Budget by Sponsored Class'!$B$1:$W$48</definedName>
    <definedName name="_xlnm.Print_Area" localSheetId="3">'US &amp; Local Summaries'!$A$1:$U$52</definedName>
    <definedName name="_xlnm.Print_Area" localSheetId="8">'US Costs by Sponsored Class'!$B$1:$W$47</definedName>
    <definedName name="_xlnm.Print_Titles" localSheetId="12">' Activities Detail'!$1:$10</definedName>
    <definedName name="_xlnm.Print_Titles" localSheetId="5">'Funding By Partner'!$1:$7</definedName>
    <definedName name="_xlnm.Print_Titles" localSheetId="10">'IC by GL in LC'!$1:$14</definedName>
    <definedName name="_xlnm.Print_Titles" localSheetId="9">'Incountry Costs by GL USD'!$1:$14</definedName>
    <definedName name="_xlnm.Print_Titles" localSheetId="15">'INDES Sub Activities Detail'!$1:$10</definedName>
    <definedName name="_xlnm.Print_Titles" localSheetId="6">'LOE Table'!$1:$10</definedName>
    <definedName name="_xlnm.Print_Titles" localSheetId="4">'TA Summary'!$1:$9</definedName>
    <definedName name="_xlnm.Print_Titles" localSheetId="7">'Total Budget by Sponsored Class'!$1:$9</definedName>
    <definedName name="_xlnm.Print_Titles" localSheetId="3">'US &amp; Local Summaries'!$1:$7</definedName>
    <definedName name="_xlnm.Print_Titles" localSheetId="8">'US Costs by Sponsored Class'!$1:$9</definedName>
    <definedName name="regcons" localSheetId="16">#REF!</definedName>
    <definedName name="regcons">Assumptions!$D$74</definedName>
    <definedName name="roomrent" localSheetId="16">#REF!</definedName>
    <definedName name="roomrent">Assumptions!$D$92</definedName>
    <definedName name="SU_Country" localSheetId="16">'[1]Line-Item Budget'!#REF!</definedName>
    <definedName name="SU_Country">#REF!</definedName>
    <definedName name="SU_TotalDOL">#REF!</definedName>
    <definedName name="tdlunch" localSheetId="16">#REF!</definedName>
    <definedName name="tdlunch">Assumptions!$D$87</definedName>
    <definedName name="Text1" localSheetId="18">'SF424'!$G$8</definedName>
    <definedName name="Text10" localSheetId="18">'SF424'!$F$18</definedName>
    <definedName name="Text11" localSheetId="18">'SF424'!$A$20</definedName>
    <definedName name="Text12" localSheetId="18">'SF424'!$A$21</definedName>
    <definedName name="Text13" localSheetId="18">'SF424'!$A$22</definedName>
    <definedName name="Text14" localSheetId="18">'SF424'!$A$23</definedName>
    <definedName name="Text15" localSheetId="18">'SF424'!$A$24</definedName>
    <definedName name="Text16" localSheetId="18">'SF424'!$A$25</definedName>
    <definedName name="Text17" localSheetId="18">'SF424'!$A$26</definedName>
    <definedName name="Text18" localSheetId="18">'SF424'!$A$27</definedName>
    <definedName name="Text19" localSheetId="18">'SF424'!$A$31</definedName>
    <definedName name="Text20" localSheetId="18">'SF424'!$F$31</definedName>
    <definedName name="Text22" localSheetId="18">'SF424'!$A$33</definedName>
    <definedName name="Text23" localSheetId="18">'SF424'!$A$34</definedName>
    <definedName name="Text24" localSheetId="18">'SF424'!$A$35</definedName>
    <definedName name="Text25" localSheetId="18">'SF424'!$A$36</definedName>
    <definedName name="Text26" localSheetId="18">'SF424'!$A$38</definedName>
    <definedName name="Text27" localSheetId="18">'SF424'!$A$40</definedName>
    <definedName name="Text29" localSheetId="18">'SF424'!$A$41</definedName>
    <definedName name="Text3" localSheetId="18">'SF424'!$A$10</definedName>
    <definedName name="Text30" localSheetId="18">'SF424'!$A$42</definedName>
    <definedName name="Text31" localSheetId="18">'SF424'!$A$77</definedName>
    <definedName name="Text32" localSheetId="18">'SF424'!$A$79</definedName>
    <definedName name="Text33" localSheetId="18">'SF424'!$A$81</definedName>
    <definedName name="Text34" localSheetId="18">'SF424'!$A$83</definedName>
    <definedName name="Text35" localSheetId="18">'SF424'!$A$86</definedName>
    <definedName name="Text36" localSheetId="18">'SF424'!$A$89</definedName>
    <definedName name="Text37" localSheetId="18">'SF424'!#REF!</definedName>
    <definedName name="Text38" localSheetId="18">'SF424'!$A$97</definedName>
    <definedName name="Text39" localSheetId="18">'SF424'!$A$102</definedName>
    <definedName name="Text4" localSheetId="18">'SF424'!$A$12</definedName>
    <definedName name="Text40" localSheetId="18">'SF424'!$A$94</definedName>
    <definedName name="Text42" localSheetId="18">'SF424'!$A$112</definedName>
    <definedName name="Text44" localSheetId="18">'SF424'!$A$114</definedName>
    <definedName name="Text5" localSheetId="18">'SF424'!$F$12</definedName>
    <definedName name="Text52" localSheetId="18">'SF424'!$A$125</definedName>
    <definedName name="Text55" localSheetId="18">'SF424'!$A$134</definedName>
    <definedName name="Text56" localSheetId="18">'SF424'!$A$135</definedName>
    <definedName name="Text57" localSheetId="18">'SF424'!$A$136</definedName>
    <definedName name="Text58" localSheetId="18">'SF424'!$A$137</definedName>
    <definedName name="Text59" localSheetId="18">'SF424'!$A$138</definedName>
    <definedName name="Text6" localSheetId="18">'SF424'!$A$14</definedName>
    <definedName name="Text60" localSheetId="18">'SF424'!$A$140</definedName>
    <definedName name="Text61" localSheetId="18">'SF424'!$H$140</definedName>
    <definedName name="Text63" localSheetId="18">'SF424'!$I$142</definedName>
    <definedName name="Text64" localSheetId="18">'SF424'!#REF!</definedName>
    <definedName name="Text65" localSheetId="18">'SF424'!$A$142</definedName>
    <definedName name="Text66" localSheetId="18">'SF424'!$A$141</definedName>
    <definedName name="Text7" localSheetId="18">'SF424'!$E$14</definedName>
    <definedName name="Text75" localSheetId="18">'SF424'!$C$118</definedName>
    <definedName name="Text76" localSheetId="18">'SF424'!$C$119</definedName>
    <definedName name="Text77" localSheetId="18">'SF424'!$C$120</definedName>
    <definedName name="Text78" localSheetId="18">'SF424'!$C$121</definedName>
    <definedName name="Text79" localSheetId="18">'SF424'!$C$122</definedName>
    <definedName name="Text8" localSheetId="18">'SF424'!$A$16</definedName>
    <definedName name="Text80" localSheetId="18">'SF424'!$C$116</definedName>
    <definedName name="Text9" localSheetId="18">'SF424'!$A$18</definedName>
    <definedName name="TotalDOL">#REF!</definedName>
    <definedName name="TR_Country" localSheetId="16">'[1]Line-Item Budget'!#REF!</definedName>
    <definedName name="TR_Country">#REF!</definedName>
    <definedName name="TR_TotalDOL">#REF!</definedName>
    <definedName name="travmisc" localSheetId="16">#REF!+#REF!+#REF!</definedName>
    <definedName name="travmisc">Assumptions!$D$53+Assumptions!$D$56+Assumptions!$D$51</definedName>
    <definedName name="usaidlodg" localSheetId="16">#REF!</definedName>
    <definedName name="usaidlodg">Assumptions!$D$49</definedName>
    <definedName name="usaidmeal" localSheetId="16">#REF!</definedName>
    <definedName name="usaidmeal">Assumptions!$D$50</definedName>
    <definedName name="usaidperd" localSheetId="16">#REF!+#REF!</definedName>
    <definedName name="usaidperd">Assumptions!$D$50+Assumptions!$D$49</definedName>
    <definedName name="uspost" localSheetId="16">#REF!</definedName>
    <definedName name="uspost">Assumptions!#REF!</definedName>
    <definedName name="visa" localSheetId="16">#REF!</definedName>
    <definedName name="visa">Assumptions!$D$52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7" i="161" l="1"/>
  <c r="J123" i="161"/>
  <c r="W132" i="144" l="1"/>
  <c r="W141" i="144"/>
  <c r="W275" i="144" l="1"/>
  <c r="W267" i="144"/>
  <c r="W258" i="144"/>
  <c r="W253" i="144"/>
  <c r="W244" i="144"/>
  <c r="W240" i="144"/>
  <c r="W233" i="144"/>
  <c r="W224" i="144"/>
  <c r="W223" i="144"/>
  <c r="W202" i="144"/>
  <c r="W187" i="144"/>
  <c r="W183" i="144"/>
  <c r="W168" i="144"/>
  <c r="W164" i="144"/>
  <c r="W155" i="144"/>
  <c r="W150" i="144"/>
  <c r="W123" i="144"/>
  <c r="W118" i="144"/>
  <c r="W103" i="144"/>
  <c r="W101" i="144"/>
  <c r="W93" i="144"/>
  <c r="W78" i="144"/>
  <c r="W74" i="144"/>
  <c r="W58" i="144"/>
  <c r="W52" i="144"/>
  <c r="W56" i="144"/>
  <c r="W35" i="144"/>
  <c r="W21" i="144"/>
  <c r="I60" i="161"/>
  <c r="L119" i="164"/>
  <c r="K131" i="161"/>
  <c r="L131" i="161" s="1"/>
  <c r="A163" i="164"/>
  <c r="A149" i="164"/>
  <c r="A137" i="164"/>
  <c r="A129" i="164"/>
  <c r="A118" i="164"/>
  <c r="A104" i="164"/>
  <c r="A91" i="164"/>
  <c r="A83" i="164"/>
  <c r="A75" i="164"/>
  <c r="A67" i="164"/>
  <c r="A53" i="164"/>
  <c r="A31" i="164"/>
  <c r="A16" i="164"/>
  <c r="P51" i="161"/>
  <c r="N51" i="161"/>
  <c r="L51" i="161"/>
  <c r="J51" i="161"/>
  <c r="I49" i="161"/>
  <c r="N49" i="161" s="1"/>
  <c r="P50" i="161"/>
  <c r="N50" i="161"/>
  <c r="L50" i="161"/>
  <c r="J50" i="161"/>
  <c r="P48" i="161"/>
  <c r="N48" i="161"/>
  <c r="L48" i="161"/>
  <c r="J48" i="161"/>
  <c r="J20" i="161"/>
  <c r="N20" i="161"/>
  <c r="L20" i="161"/>
  <c r="Q14" i="163"/>
  <c r="O14" i="163"/>
  <c r="M14" i="163"/>
  <c r="K14" i="163"/>
  <c r="P20" i="161"/>
  <c r="Q51" i="161" l="1"/>
  <c r="S51" i="161" s="1"/>
  <c r="Q50" i="161"/>
  <c r="S50" i="161" s="1"/>
  <c r="Q48" i="161"/>
  <c r="S48" i="161" s="1"/>
  <c r="L49" i="161"/>
  <c r="P49" i="161"/>
  <c r="J49" i="161"/>
  <c r="E2" i="163"/>
  <c r="A1" i="164" s="1"/>
  <c r="L57" i="144"/>
  <c r="M55" i="144" s="1"/>
  <c r="J93" i="161" s="1"/>
  <c r="G113" i="144"/>
  <c r="G19" i="144"/>
  <c r="G46" i="144"/>
  <c r="G122" i="144"/>
  <c r="I23" i="161"/>
  <c r="I22" i="161"/>
  <c r="R114" i="161"/>
  <c r="T55" i="163"/>
  <c r="G125" i="144"/>
  <c r="I105" i="144"/>
  <c r="I114" i="144"/>
  <c r="I113" i="144"/>
  <c r="I112" i="144"/>
  <c r="G112" i="144"/>
  <c r="I111" i="144"/>
  <c r="G111" i="144"/>
  <c r="J110" i="144"/>
  <c r="G107" i="144"/>
  <c r="E107" i="144"/>
  <c r="I106" i="144"/>
  <c r="G106" i="144"/>
  <c r="G105" i="144"/>
  <c r="E82" i="144"/>
  <c r="I81" i="144"/>
  <c r="G81" i="144"/>
  <c r="I80" i="144"/>
  <c r="G80" i="144"/>
  <c r="N73" i="144"/>
  <c r="I68" i="144"/>
  <c r="I69" i="144"/>
  <c r="I60" i="144"/>
  <c r="D65" i="144"/>
  <c r="I67" i="144"/>
  <c r="G67" i="144"/>
  <c r="I66" i="144"/>
  <c r="G66" i="144"/>
  <c r="I50" i="144"/>
  <c r="I51" i="144"/>
  <c r="G48" i="144"/>
  <c r="I49" i="144"/>
  <c r="G49" i="144"/>
  <c r="I48" i="144"/>
  <c r="H273" i="164"/>
  <c r="K15" i="144"/>
  <c r="S108" i="161"/>
  <c r="S107" i="161"/>
  <c r="J16" i="163"/>
  <c r="Q16" i="163" s="1"/>
  <c r="S25" i="163"/>
  <c r="D269" i="164"/>
  <c r="G269" i="164" s="1"/>
  <c r="D268" i="164"/>
  <c r="B266" i="164"/>
  <c r="B267" i="164" s="1"/>
  <c r="F265" i="164"/>
  <c r="D265" i="164"/>
  <c r="F264" i="164"/>
  <c r="D264" i="164"/>
  <c r="G263" i="164"/>
  <c r="I263" i="164" s="1"/>
  <c r="D261" i="164"/>
  <c r="G261" i="164" s="1"/>
  <c r="I261" i="164" s="1"/>
  <c r="F260" i="164"/>
  <c r="D260" i="164"/>
  <c r="F259" i="164"/>
  <c r="D259" i="164"/>
  <c r="F258" i="164"/>
  <c r="E258" i="164"/>
  <c r="D258" i="164"/>
  <c r="F257" i="164"/>
  <c r="E257" i="164"/>
  <c r="D257" i="164"/>
  <c r="F256" i="164"/>
  <c r="D256" i="164"/>
  <c r="F255" i="164"/>
  <c r="D255" i="164"/>
  <c r="D250" i="164"/>
  <c r="G250" i="164" s="1"/>
  <c r="D249" i="164"/>
  <c r="B247" i="164"/>
  <c r="B248" i="164" s="1"/>
  <c r="F246" i="164"/>
  <c r="D246" i="164"/>
  <c r="F245" i="164"/>
  <c r="D245" i="164"/>
  <c r="G244" i="164"/>
  <c r="I244" i="164" s="1"/>
  <c r="D242" i="164"/>
  <c r="G242" i="164" s="1"/>
  <c r="F241" i="164"/>
  <c r="D241" i="164"/>
  <c r="F240" i="164"/>
  <c r="D240" i="164"/>
  <c r="F239" i="164"/>
  <c r="E239" i="164"/>
  <c r="D239" i="164"/>
  <c r="F238" i="164"/>
  <c r="E238" i="164"/>
  <c r="D238" i="164"/>
  <c r="F237" i="164"/>
  <c r="D237" i="164"/>
  <c r="F236" i="164"/>
  <c r="D236" i="164"/>
  <c r="G231" i="164"/>
  <c r="I231" i="164" s="1"/>
  <c r="D230" i="164"/>
  <c r="B228" i="164"/>
  <c r="F227" i="164"/>
  <c r="D227" i="164"/>
  <c r="F226" i="164"/>
  <c r="D226" i="164"/>
  <c r="G225" i="164"/>
  <c r="I225" i="164" s="1"/>
  <c r="D223" i="164"/>
  <c r="G223" i="164" s="1"/>
  <c r="F222" i="164"/>
  <c r="D222" i="164"/>
  <c r="F221" i="164"/>
  <c r="D221" i="164"/>
  <c r="F220" i="164"/>
  <c r="E220" i="164"/>
  <c r="D220" i="164"/>
  <c r="F219" i="164"/>
  <c r="E219" i="164"/>
  <c r="D219" i="164"/>
  <c r="F218" i="164"/>
  <c r="D218" i="164"/>
  <c r="F217" i="164"/>
  <c r="D217" i="164"/>
  <c r="G212" i="164"/>
  <c r="D211" i="164"/>
  <c r="B209" i="164"/>
  <c r="B210" i="164" s="1"/>
  <c r="F208" i="164"/>
  <c r="D208" i="164"/>
  <c r="F207" i="164"/>
  <c r="D207" i="164"/>
  <c r="G206" i="164"/>
  <c r="I206" i="164" s="1"/>
  <c r="D204" i="164"/>
  <c r="G204" i="164" s="1"/>
  <c r="F203" i="164"/>
  <c r="D203" i="164"/>
  <c r="F202" i="164"/>
  <c r="D202" i="164"/>
  <c r="F201" i="164"/>
  <c r="E201" i="164"/>
  <c r="D201" i="164"/>
  <c r="F200" i="164"/>
  <c r="E200" i="164"/>
  <c r="D200" i="164"/>
  <c r="F199" i="164"/>
  <c r="D199" i="164"/>
  <c r="F198" i="164"/>
  <c r="D198" i="164"/>
  <c r="G193" i="164"/>
  <c r="D192" i="164"/>
  <c r="B190" i="164"/>
  <c r="F189" i="164"/>
  <c r="D189" i="164"/>
  <c r="F188" i="164"/>
  <c r="D188" i="164"/>
  <c r="G187" i="164"/>
  <c r="I187" i="164" s="1"/>
  <c r="D185" i="164"/>
  <c r="G185" i="164" s="1"/>
  <c r="F184" i="164"/>
  <c r="D184" i="164"/>
  <c r="F183" i="164"/>
  <c r="D183" i="164"/>
  <c r="F182" i="164"/>
  <c r="E182" i="164"/>
  <c r="D182" i="164"/>
  <c r="F181" i="164"/>
  <c r="E181" i="164"/>
  <c r="D181" i="164"/>
  <c r="F180" i="164"/>
  <c r="D180" i="164"/>
  <c r="F179" i="164"/>
  <c r="D179" i="164"/>
  <c r="D173" i="164"/>
  <c r="G173" i="164" s="1"/>
  <c r="D171" i="164"/>
  <c r="G171" i="164" s="1"/>
  <c r="D170" i="164"/>
  <c r="G170" i="164" s="1"/>
  <c r="D169" i="164"/>
  <c r="G169" i="164" s="1"/>
  <c r="G168" i="164"/>
  <c r="I168" i="164" s="1"/>
  <c r="F167" i="164"/>
  <c r="E167" i="164"/>
  <c r="D167" i="164"/>
  <c r="F166" i="164"/>
  <c r="D166" i="164"/>
  <c r="F165" i="164"/>
  <c r="D165" i="164"/>
  <c r="D159" i="164"/>
  <c r="G159" i="164" s="1"/>
  <c r="D156" i="164"/>
  <c r="G156" i="164" s="1"/>
  <c r="I156" i="164" s="1"/>
  <c r="D155" i="164"/>
  <c r="G155" i="164" s="1"/>
  <c r="F153" i="164"/>
  <c r="E153" i="164"/>
  <c r="D153" i="164"/>
  <c r="F152" i="164"/>
  <c r="D152" i="164"/>
  <c r="F151" i="164"/>
  <c r="D151" i="164"/>
  <c r="D146" i="164"/>
  <c r="G146" i="164" s="1"/>
  <c r="F145" i="164"/>
  <c r="F144" i="164"/>
  <c r="D143" i="164"/>
  <c r="G143" i="164" s="1"/>
  <c r="I143" i="164" s="1"/>
  <c r="D142" i="164"/>
  <c r="G142" i="164" s="1"/>
  <c r="F140" i="164"/>
  <c r="E140" i="164"/>
  <c r="D140" i="164"/>
  <c r="F139" i="164"/>
  <c r="G139" i="164" s="1"/>
  <c r="E139" i="164"/>
  <c r="F133" i="164"/>
  <c r="E133" i="164"/>
  <c r="D133" i="164"/>
  <c r="F132" i="164"/>
  <c r="D132" i="164"/>
  <c r="F131" i="164"/>
  <c r="D131" i="164"/>
  <c r="D126" i="164"/>
  <c r="G126" i="164" s="1"/>
  <c r="F125" i="164"/>
  <c r="F124" i="164"/>
  <c r="D123" i="164"/>
  <c r="G123" i="164" s="1"/>
  <c r="I123" i="164" s="1"/>
  <c r="D122" i="164"/>
  <c r="G122" i="164" s="1"/>
  <c r="G121" i="164"/>
  <c r="D114" i="164"/>
  <c r="D112" i="164"/>
  <c r="B112" i="164"/>
  <c r="B113" i="164" s="1"/>
  <c r="B114" i="164" s="1"/>
  <c r="F111" i="164"/>
  <c r="D111" i="164"/>
  <c r="F110" i="164"/>
  <c r="D110" i="164"/>
  <c r="F108" i="164"/>
  <c r="E108" i="164"/>
  <c r="D108" i="164"/>
  <c r="F107" i="164"/>
  <c r="D107" i="164"/>
  <c r="F106" i="164"/>
  <c r="D106" i="164"/>
  <c r="D101" i="164"/>
  <c r="G101" i="164" s="1"/>
  <c r="F100" i="164"/>
  <c r="F99" i="164"/>
  <c r="D99" i="164"/>
  <c r="F98" i="164"/>
  <c r="D98" i="164"/>
  <c r="F97" i="164"/>
  <c r="D97" i="164"/>
  <c r="F95" i="164"/>
  <c r="E95" i="164"/>
  <c r="D95" i="164"/>
  <c r="F94" i="164"/>
  <c r="D94" i="164"/>
  <c r="F93" i="164"/>
  <c r="D93" i="164"/>
  <c r="F87" i="164"/>
  <c r="E87" i="164"/>
  <c r="D87" i="164"/>
  <c r="F86" i="164"/>
  <c r="D86" i="164"/>
  <c r="F85" i="164"/>
  <c r="D85" i="164"/>
  <c r="F79" i="164"/>
  <c r="G79" i="164" s="1"/>
  <c r="I79" i="164" s="1"/>
  <c r="E79" i="164"/>
  <c r="F78" i="164"/>
  <c r="D78" i="164"/>
  <c r="F77" i="164"/>
  <c r="D77" i="164"/>
  <c r="F71" i="164"/>
  <c r="E71" i="164"/>
  <c r="D71" i="164"/>
  <c r="F70" i="164"/>
  <c r="D70" i="164"/>
  <c r="F69" i="164"/>
  <c r="D69" i="164"/>
  <c r="F63" i="164"/>
  <c r="F62" i="164"/>
  <c r="F61" i="164"/>
  <c r="D61" i="164"/>
  <c r="F60" i="164"/>
  <c r="D60" i="164"/>
  <c r="F58" i="164"/>
  <c r="E58" i="164"/>
  <c r="D58" i="164"/>
  <c r="F57" i="164"/>
  <c r="G57" i="164" s="1"/>
  <c r="E57" i="164"/>
  <c r="F56" i="164"/>
  <c r="D56" i="164"/>
  <c r="F55" i="164"/>
  <c r="D55" i="164"/>
  <c r="D49" i="164"/>
  <c r="D48" i="164"/>
  <c r="G43" i="164"/>
  <c r="I43" i="164" s="1"/>
  <c r="D42" i="164"/>
  <c r="G42" i="164" s="1"/>
  <c r="F40" i="164"/>
  <c r="D40" i="164"/>
  <c r="F39" i="164"/>
  <c r="D39" i="164"/>
  <c r="F38" i="164"/>
  <c r="D38" i="164"/>
  <c r="F35" i="164"/>
  <c r="G35" i="164" s="1"/>
  <c r="I35" i="164" s="1"/>
  <c r="E35" i="164"/>
  <c r="F34" i="164"/>
  <c r="D34" i="164"/>
  <c r="F33" i="164"/>
  <c r="D33" i="164"/>
  <c r="D27" i="164"/>
  <c r="G27" i="164" s="1"/>
  <c r="I27" i="164" s="1"/>
  <c r="F24" i="164"/>
  <c r="D24" i="164"/>
  <c r="F23" i="164"/>
  <c r="D23" i="164"/>
  <c r="G22" i="164"/>
  <c r="F20" i="164"/>
  <c r="E20" i="164"/>
  <c r="D20" i="164"/>
  <c r="F19" i="164"/>
  <c r="D19" i="164"/>
  <c r="F18" i="164"/>
  <c r="D18" i="164"/>
  <c r="M12" i="164"/>
  <c r="Q10" i="164"/>
  <c r="S278" i="164" s="1"/>
  <c r="N10" i="164"/>
  <c r="P278" i="164" s="1"/>
  <c r="K10" i="164"/>
  <c r="M278" i="164" s="1"/>
  <c r="H10" i="164"/>
  <c r="J278" i="164" s="1"/>
  <c r="B6" i="164"/>
  <c r="B5" i="164"/>
  <c r="B4" i="164"/>
  <c r="B3" i="164"/>
  <c r="B2" i="164"/>
  <c r="S61" i="163"/>
  <c r="Q43" i="163"/>
  <c r="O43" i="163"/>
  <c r="M43" i="163"/>
  <c r="K43" i="163"/>
  <c r="S40" i="163"/>
  <c r="Q40" i="163"/>
  <c r="E13" i="162" s="1"/>
  <c r="O40" i="163"/>
  <c r="D13" i="162" s="1"/>
  <c r="M40" i="163"/>
  <c r="C13" i="162" s="1"/>
  <c r="K40" i="163"/>
  <c r="B13" i="162" s="1"/>
  <c r="S37" i="163"/>
  <c r="Q35" i="163"/>
  <c r="Q37" i="163" s="1"/>
  <c r="E12" i="162" s="1"/>
  <c r="O35" i="163"/>
  <c r="O37" i="163" s="1"/>
  <c r="D12" i="162" s="1"/>
  <c r="M35" i="163"/>
  <c r="K35" i="163"/>
  <c r="S33" i="163"/>
  <c r="K33" i="163"/>
  <c r="B11" i="162" s="1"/>
  <c r="Q31" i="163"/>
  <c r="Q33" i="163" s="1"/>
  <c r="E11" i="162" s="1"/>
  <c r="O31" i="163"/>
  <c r="O33" i="163" s="1"/>
  <c r="D11" i="162" s="1"/>
  <c r="M31" i="163"/>
  <c r="S29" i="163"/>
  <c r="S19" i="163"/>
  <c r="M17" i="163"/>
  <c r="J15" i="163"/>
  <c r="M15" i="163" s="1"/>
  <c r="F14" i="162"/>
  <c r="A3" i="162"/>
  <c r="K16" i="163" l="1"/>
  <c r="M16" i="163"/>
  <c r="O16" i="163"/>
  <c r="Q49" i="161"/>
  <c r="S49" i="161" s="1"/>
  <c r="D157" i="164"/>
  <c r="G157" i="164" s="1"/>
  <c r="I157" i="164" s="1"/>
  <c r="G82" i="144"/>
  <c r="D124" i="164"/>
  <c r="G124" i="164" s="1"/>
  <c r="L124" i="164" s="1"/>
  <c r="D62" i="164"/>
  <c r="G62" i="164" s="1"/>
  <c r="D25" i="164"/>
  <c r="G25" i="164" s="1"/>
  <c r="I25" i="164" s="1"/>
  <c r="D144" i="164"/>
  <c r="G144" i="164" s="1"/>
  <c r="D190" i="164"/>
  <c r="D209" i="164"/>
  <c r="D228" i="164"/>
  <c r="D247" i="164"/>
  <c r="D266" i="164"/>
  <c r="G50" i="144"/>
  <c r="J50" i="144" s="1"/>
  <c r="G68" i="144"/>
  <c r="J68" i="144" s="1"/>
  <c r="L68" i="144" s="1"/>
  <c r="L139" i="164"/>
  <c r="G131" i="164"/>
  <c r="L131" i="164" s="1"/>
  <c r="G114" i="164"/>
  <c r="I114" i="164" s="1"/>
  <c r="J80" i="144"/>
  <c r="J105" i="144"/>
  <c r="L105" i="144" s="1"/>
  <c r="J67" i="144"/>
  <c r="L67" i="144" s="1"/>
  <c r="J66" i="144"/>
  <c r="L66" i="144" s="1"/>
  <c r="J113" i="144"/>
  <c r="L113" i="144" s="1"/>
  <c r="W113" i="144" s="1"/>
  <c r="J106" i="144"/>
  <c r="L106" i="144" s="1"/>
  <c r="J111" i="144"/>
  <c r="L111" i="144" s="1"/>
  <c r="J81" i="144"/>
  <c r="J112" i="144"/>
  <c r="L112" i="144" s="1"/>
  <c r="J48" i="144"/>
  <c r="L48" i="144" s="1"/>
  <c r="J49" i="144"/>
  <c r="L49" i="144" s="1"/>
  <c r="E108" i="144"/>
  <c r="I107" i="144"/>
  <c r="J107" i="144" s="1"/>
  <c r="L107" i="144" s="1"/>
  <c r="E83" i="144"/>
  <c r="I82" i="144"/>
  <c r="G56" i="164"/>
  <c r="I56" i="164" s="1"/>
  <c r="G77" i="164"/>
  <c r="L77" i="164" s="1"/>
  <c r="G85" i="164"/>
  <c r="L85" i="164" s="1"/>
  <c r="G218" i="164"/>
  <c r="I218" i="164" s="1"/>
  <c r="G55" i="164"/>
  <c r="I55" i="164" s="1"/>
  <c r="G198" i="164"/>
  <c r="I198" i="164" s="1"/>
  <c r="G95" i="164"/>
  <c r="I95" i="164" s="1"/>
  <c r="G34" i="164"/>
  <c r="L34" i="164" s="1"/>
  <c r="G200" i="164"/>
  <c r="I200" i="164" s="1"/>
  <c r="G238" i="164"/>
  <c r="L238" i="164" s="1"/>
  <c r="G265" i="164"/>
  <c r="L265" i="164" s="1"/>
  <c r="G188" i="164"/>
  <c r="I188" i="164" s="1"/>
  <c r="G71" i="164"/>
  <c r="I71" i="164" s="1"/>
  <c r="G108" i="164"/>
  <c r="I108" i="164" s="1"/>
  <c r="G70" i="164"/>
  <c r="L70" i="164" s="1"/>
  <c r="G140" i="164"/>
  <c r="L140" i="164" s="1"/>
  <c r="G221" i="164"/>
  <c r="L221" i="164" s="1"/>
  <c r="G236" i="164"/>
  <c r="L236" i="164" s="1"/>
  <c r="Q273" i="164"/>
  <c r="G151" i="164"/>
  <c r="L151" i="164" s="1"/>
  <c r="G203" i="164"/>
  <c r="L203" i="164" s="1"/>
  <c r="G227" i="164"/>
  <c r="I227" i="164" s="1"/>
  <c r="N273" i="164"/>
  <c r="G199" i="164"/>
  <c r="L199" i="164" s="1"/>
  <c r="G202" i="164"/>
  <c r="L202" i="164" s="1"/>
  <c r="G226" i="164"/>
  <c r="L226" i="164" s="1"/>
  <c r="G239" i="164"/>
  <c r="L239" i="164" s="1"/>
  <c r="G182" i="164"/>
  <c r="I182" i="164" s="1"/>
  <c r="G40" i="164"/>
  <c r="L40" i="164" s="1"/>
  <c r="G69" i="164"/>
  <c r="L69" i="164" s="1"/>
  <c r="G78" i="164"/>
  <c r="L78" i="164" s="1"/>
  <c r="G99" i="164"/>
  <c r="I99" i="164" s="1"/>
  <c r="G106" i="164"/>
  <c r="I106" i="164" s="1"/>
  <c r="F113" i="164"/>
  <c r="G132" i="164"/>
  <c r="I132" i="164" s="1"/>
  <c r="G180" i="164"/>
  <c r="I180" i="164" s="1"/>
  <c r="G183" i="164"/>
  <c r="I183" i="164" s="1"/>
  <c r="G241" i="164"/>
  <c r="I241" i="164" s="1"/>
  <c r="G257" i="164"/>
  <c r="I257" i="164" s="1"/>
  <c r="G152" i="164"/>
  <c r="I152" i="164" s="1"/>
  <c r="G166" i="164"/>
  <c r="L166" i="164" s="1"/>
  <c r="G20" i="164"/>
  <c r="L20" i="164" s="1"/>
  <c r="G39" i="164"/>
  <c r="L39" i="164" s="1"/>
  <c r="G86" i="164"/>
  <c r="I86" i="164" s="1"/>
  <c r="G220" i="164"/>
  <c r="L220" i="164" s="1"/>
  <c r="G208" i="164"/>
  <c r="G217" i="164"/>
  <c r="L217" i="164" s="1"/>
  <c r="G256" i="164"/>
  <c r="L256" i="164" s="1"/>
  <c r="G259" i="164"/>
  <c r="L259" i="164" s="1"/>
  <c r="G264" i="164"/>
  <c r="G111" i="164"/>
  <c r="L111" i="164" s="1"/>
  <c r="G19" i="164"/>
  <c r="L19" i="164" s="1"/>
  <c r="G23" i="164"/>
  <c r="I23" i="164" s="1"/>
  <c r="G60" i="164"/>
  <c r="I60" i="164" s="1"/>
  <c r="G179" i="164"/>
  <c r="I179" i="164" s="1"/>
  <c r="F247" i="164"/>
  <c r="G61" i="164"/>
  <c r="G260" i="164"/>
  <c r="L260" i="164" s="1"/>
  <c r="G24" i="164"/>
  <c r="I24" i="164" s="1"/>
  <c r="G87" i="164"/>
  <c r="G107" i="164"/>
  <c r="I107" i="164" s="1"/>
  <c r="F112" i="164"/>
  <c r="G112" i="164" s="1"/>
  <c r="G219" i="164"/>
  <c r="L219" i="164" s="1"/>
  <c r="G245" i="164"/>
  <c r="I245" i="164" s="1"/>
  <c r="G38" i="164"/>
  <c r="I38" i="164" s="1"/>
  <c r="F41" i="164"/>
  <c r="G110" i="164"/>
  <c r="I110" i="164" s="1"/>
  <c r="G167" i="164"/>
  <c r="L167" i="164" s="1"/>
  <c r="G201" i="164"/>
  <c r="L201" i="164" s="1"/>
  <c r="G258" i="164"/>
  <c r="L258" i="164" s="1"/>
  <c r="G58" i="164"/>
  <c r="L58" i="164" s="1"/>
  <c r="G97" i="164"/>
  <c r="L97" i="164" s="1"/>
  <c r="G165" i="164"/>
  <c r="L165" i="164" s="1"/>
  <c r="G181" i="164"/>
  <c r="I181" i="164" s="1"/>
  <c r="G184" i="164"/>
  <c r="I184" i="164" s="1"/>
  <c r="G189" i="164"/>
  <c r="L189" i="164" s="1"/>
  <c r="G207" i="164"/>
  <c r="I207" i="164" s="1"/>
  <c r="G237" i="164"/>
  <c r="L237" i="164" s="1"/>
  <c r="G240" i="164"/>
  <c r="I240" i="164" s="1"/>
  <c r="G255" i="164"/>
  <c r="L255" i="164" s="1"/>
  <c r="F266" i="164"/>
  <c r="G18" i="164"/>
  <c r="I18" i="164" s="1"/>
  <c r="R43" i="163"/>
  <c r="Q15" i="163"/>
  <c r="F13" i="162"/>
  <c r="S63" i="163"/>
  <c r="S67" i="163" s="1"/>
  <c r="K15" i="163"/>
  <c r="R35" i="163"/>
  <c r="T35" i="163" s="1"/>
  <c r="O15" i="163"/>
  <c r="R31" i="163"/>
  <c r="T31" i="163" s="1"/>
  <c r="K17" i="163"/>
  <c r="O17" i="163"/>
  <c r="M33" i="163"/>
  <c r="C11" i="162" s="1"/>
  <c r="F11" i="162" s="1"/>
  <c r="Q17" i="163"/>
  <c r="K37" i="163"/>
  <c r="B12" i="162" s="1"/>
  <c r="M37" i="163"/>
  <c r="C12" i="162" s="1"/>
  <c r="R40" i="163"/>
  <c r="L25" i="164"/>
  <c r="L225" i="164"/>
  <c r="L263" i="164"/>
  <c r="L244" i="164"/>
  <c r="L168" i="164"/>
  <c r="L206" i="164"/>
  <c r="L187" i="164"/>
  <c r="L156" i="164"/>
  <c r="L123" i="164"/>
  <c r="L231" i="164"/>
  <c r="L250" i="164"/>
  <c r="L101" i="164"/>
  <c r="L79" i="164"/>
  <c r="P12" i="164"/>
  <c r="L27" i="164"/>
  <c r="G33" i="164"/>
  <c r="K273" i="164"/>
  <c r="L35" i="164"/>
  <c r="L43" i="164"/>
  <c r="G94" i="164"/>
  <c r="I139" i="164"/>
  <c r="L173" i="164"/>
  <c r="I173" i="164"/>
  <c r="I42" i="164"/>
  <c r="F228" i="164"/>
  <c r="G228" i="164" s="1"/>
  <c r="B229" i="164"/>
  <c r="L42" i="164"/>
  <c r="F48" i="164"/>
  <c r="G48" i="164" s="1"/>
  <c r="F49" i="164"/>
  <c r="G49" i="164" s="1"/>
  <c r="L57" i="164"/>
  <c r="I57" i="164"/>
  <c r="I101" i="164"/>
  <c r="L223" i="164"/>
  <c r="I223" i="164"/>
  <c r="B268" i="164"/>
  <c r="G268" i="164" s="1"/>
  <c r="F267" i="164"/>
  <c r="L122" i="164"/>
  <c r="G93" i="164"/>
  <c r="I122" i="164"/>
  <c r="F210" i="164"/>
  <c r="B211" i="164"/>
  <c r="G211" i="164" s="1"/>
  <c r="B249" i="164"/>
  <c r="G249" i="164" s="1"/>
  <c r="F248" i="164"/>
  <c r="G98" i="164"/>
  <c r="L159" i="164"/>
  <c r="I159" i="164"/>
  <c r="L242" i="164"/>
  <c r="I142" i="164"/>
  <c r="L142" i="164"/>
  <c r="L146" i="164"/>
  <c r="I242" i="164"/>
  <c r="I146" i="164"/>
  <c r="L126" i="164"/>
  <c r="L121" i="164"/>
  <c r="I126" i="164"/>
  <c r="I155" i="164"/>
  <c r="L185" i="164"/>
  <c r="I185" i="164"/>
  <c r="I121" i="164"/>
  <c r="G133" i="164"/>
  <c r="L143" i="164"/>
  <c r="L155" i="164"/>
  <c r="L170" i="164"/>
  <c r="I170" i="164"/>
  <c r="L204" i="164"/>
  <c r="I204" i="164"/>
  <c r="L212" i="164"/>
  <c r="I212" i="164"/>
  <c r="L269" i="164"/>
  <c r="I269" i="164"/>
  <c r="L171" i="164"/>
  <c r="I171" i="164"/>
  <c r="G153" i="164"/>
  <c r="F209" i="164"/>
  <c r="I250" i="164"/>
  <c r="L193" i="164"/>
  <c r="I193" i="164"/>
  <c r="L261" i="164"/>
  <c r="L169" i="164"/>
  <c r="I169" i="164"/>
  <c r="G222" i="164"/>
  <c r="G246" i="164"/>
  <c r="B191" i="164"/>
  <c r="F190" i="164"/>
  <c r="I45" i="161"/>
  <c r="I40" i="161"/>
  <c r="G266" i="164" l="1"/>
  <c r="M137" i="164"/>
  <c r="M58" i="163" s="1"/>
  <c r="R16" i="163"/>
  <c r="T16" i="163" s="1"/>
  <c r="L157" i="164"/>
  <c r="J82" i="144"/>
  <c r="G247" i="164"/>
  <c r="I247" i="164" s="1"/>
  <c r="G209" i="164"/>
  <c r="G190" i="164"/>
  <c r="M163" i="164"/>
  <c r="M60" i="163" s="1"/>
  <c r="J104" i="164"/>
  <c r="K54" i="163" s="1"/>
  <c r="T43" i="163"/>
  <c r="I131" i="164"/>
  <c r="L183" i="164"/>
  <c r="L56" i="164"/>
  <c r="L200" i="164"/>
  <c r="L86" i="164"/>
  <c r="L257" i="164"/>
  <c r="I108" i="144"/>
  <c r="I83" i="144"/>
  <c r="L50" i="144"/>
  <c r="L218" i="164"/>
  <c r="I199" i="164"/>
  <c r="I203" i="164"/>
  <c r="I219" i="164"/>
  <c r="L95" i="164"/>
  <c r="I77" i="164"/>
  <c r="L180" i="164"/>
  <c r="L108" i="164"/>
  <c r="I40" i="164"/>
  <c r="E135" i="164"/>
  <c r="I85" i="164"/>
  <c r="L245" i="164"/>
  <c r="I151" i="164"/>
  <c r="I124" i="164"/>
  <c r="I69" i="164"/>
  <c r="I265" i="164"/>
  <c r="I202" i="164"/>
  <c r="L179" i="164"/>
  <c r="L132" i="164"/>
  <c r="L114" i="164"/>
  <c r="L55" i="164"/>
  <c r="I78" i="164"/>
  <c r="I256" i="164"/>
  <c r="L107" i="164"/>
  <c r="L240" i="164"/>
  <c r="I237" i="164"/>
  <c r="O42" i="164"/>
  <c r="I140" i="164"/>
  <c r="J137" i="164" s="1"/>
  <c r="K58" i="163" s="1"/>
  <c r="I165" i="164"/>
  <c r="I260" i="164"/>
  <c r="L106" i="164"/>
  <c r="O201" i="164"/>
  <c r="L188" i="164"/>
  <c r="L184" i="164"/>
  <c r="I34" i="164"/>
  <c r="O218" i="164"/>
  <c r="L23" i="164"/>
  <c r="L198" i="164"/>
  <c r="O202" i="164"/>
  <c r="O179" i="164"/>
  <c r="O257" i="164"/>
  <c r="O143" i="164"/>
  <c r="O95" i="164"/>
  <c r="O231" i="164"/>
  <c r="I217" i="164"/>
  <c r="I258" i="164"/>
  <c r="I220" i="164"/>
  <c r="I70" i="164"/>
  <c r="O57" i="164"/>
  <c r="I58" i="164"/>
  <c r="J53" i="164" s="1"/>
  <c r="K49" i="163" s="1"/>
  <c r="I238" i="164"/>
  <c r="I111" i="164"/>
  <c r="I201" i="164"/>
  <c r="I259" i="164"/>
  <c r="I236" i="164"/>
  <c r="O87" i="164"/>
  <c r="L152" i="164"/>
  <c r="O167" i="164"/>
  <c r="I97" i="164"/>
  <c r="I20" i="164"/>
  <c r="L207" i="164"/>
  <c r="I189" i="164"/>
  <c r="O239" i="164"/>
  <c r="L241" i="164"/>
  <c r="L227" i="164"/>
  <c r="L71" i="164"/>
  <c r="I87" i="164"/>
  <c r="O260" i="164"/>
  <c r="O241" i="164"/>
  <c r="I226" i="164"/>
  <c r="L181" i="164"/>
  <c r="O184" i="164"/>
  <c r="O146" i="164"/>
  <c r="O159" i="164"/>
  <c r="L87" i="164"/>
  <c r="O112" i="164"/>
  <c r="O208" i="164"/>
  <c r="I221" i="164"/>
  <c r="L99" i="164"/>
  <c r="O99" i="164"/>
  <c r="O165" i="164"/>
  <c r="O203" i="164"/>
  <c r="O204" i="164"/>
  <c r="O221" i="164"/>
  <c r="O259" i="164"/>
  <c r="L182" i="164"/>
  <c r="O124" i="164"/>
  <c r="I167" i="164"/>
  <c r="O258" i="164"/>
  <c r="O122" i="164"/>
  <c r="O101" i="164"/>
  <c r="O106" i="164"/>
  <c r="I19" i="164"/>
  <c r="O181" i="164"/>
  <c r="O265" i="164"/>
  <c r="O237" i="164"/>
  <c r="O250" i="164"/>
  <c r="O171" i="164"/>
  <c r="O182" i="164"/>
  <c r="O151" i="164"/>
  <c r="O142" i="164"/>
  <c r="O220" i="164"/>
  <c r="O71" i="164"/>
  <c r="O169" i="164"/>
  <c r="O242" i="164"/>
  <c r="O108" i="164"/>
  <c r="O58" i="164"/>
  <c r="O185" i="164"/>
  <c r="O256" i="164"/>
  <c r="O155" i="164"/>
  <c r="O236" i="164"/>
  <c r="I166" i="164"/>
  <c r="O110" i="164"/>
  <c r="O107" i="164"/>
  <c r="O255" i="164"/>
  <c r="O140" i="164"/>
  <c r="O79" i="164"/>
  <c r="O56" i="164"/>
  <c r="L38" i="164"/>
  <c r="O264" i="164"/>
  <c r="O219" i="164"/>
  <c r="O245" i="164"/>
  <c r="O86" i="164"/>
  <c r="I208" i="164"/>
  <c r="L208" i="164"/>
  <c r="O227" i="164"/>
  <c r="O238" i="164"/>
  <c r="O269" i="164"/>
  <c r="O170" i="164"/>
  <c r="O126" i="164"/>
  <c r="I239" i="164"/>
  <c r="O78" i="164"/>
  <c r="O27" i="164"/>
  <c r="O240" i="164"/>
  <c r="O61" i="164"/>
  <c r="O132" i="164"/>
  <c r="O166" i="164"/>
  <c r="O139" i="164"/>
  <c r="O193" i="164"/>
  <c r="O261" i="164"/>
  <c r="O212" i="164"/>
  <c r="O226" i="164"/>
  <c r="O121" i="164"/>
  <c r="O157" i="164"/>
  <c r="O152" i="164"/>
  <c r="O223" i="164"/>
  <c r="O114" i="164"/>
  <c r="O111" i="164"/>
  <c r="O35" i="164"/>
  <c r="I61" i="164"/>
  <c r="L60" i="164"/>
  <c r="O77" i="164"/>
  <c r="L24" i="164"/>
  <c r="L61" i="164"/>
  <c r="O60" i="164"/>
  <c r="O19" i="164"/>
  <c r="O40" i="164"/>
  <c r="I264" i="164"/>
  <c r="O131" i="164"/>
  <c r="L112" i="164"/>
  <c r="I112" i="164"/>
  <c r="I39" i="164"/>
  <c r="L264" i="164"/>
  <c r="I255" i="164"/>
  <c r="O85" i="164"/>
  <c r="L110" i="164"/>
  <c r="O70" i="164"/>
  <c r="O173" i="164"/>
  <c r="L18" i="164"/>
  <c r="M16" i="164" s="1"/>
  <c r="M45" i="163" s="1"/>
  <c r="R15" i="163"/>
  <c r="T15" i="163" s="1"/>
  <c r="R17" i="163"/>
  <c r="T17" i="163" s="1"/>
  <c r="Q23" i="163"/>
  <c r="Q25" i="163" s="1"/>
  <c r="E9" i="162" s="1"/>
  <c r="R33" i="163"/>
  <c r="T33" i="163" s="1"/>
  <c r="Q19" i="163"/>
  <c r="E8" i="162" s="1"/>
  <c r="R14" i="163"/>
  <c r="T14" i="163" s="1"/>
  <c r="O228" i="164"/>
  <c r="L228" i="164"/>
  <c r="I228" i="164"/>
  <c r="L190" i="164"/>
  <c r="I190" i="164"/>
  <c r="O190" i="164"/>
  <c r="E89" i="164"/>
  <c r="L49" i="164"/>
  <c r="I49" i="164"/>
  <c r="O49" i="164"/>
  <c r="L48" i="164"/>
  <c r="I48" i="164"/>
  <c r="O48" i="164"/>
  <c r="O246" i="164"/>
  <c r="L246" i="164"/>
  <c r="I246" i="164"/>
  <c r="O94" i="164"/>
  <c r="I94" i="164"/>
  <c r="L94" i="164"/>
  <c r="O43" i="164"/>
  <c r="O34" i="164"/>
  <c r="O20" i="164"/>
  <c r="O211" i="164"/>
  <c r="L211" i="164"/>
  <c r="I211" i="164"/>
  <c r="O268" i="164"/>
  <c r="L268" i="164"/>
  <c r="I268" i="164"/>
  <c r="O23" i="163"/>
  <c r="O25" i="163" s="1"/>
  <c r="D9" i="162" s="1"/>
  <c r="O19" i="163"/>
  <c r="R37" i="163"/>
  <c r="T37" i="163" s="1"/>
  <c r="O69" i="164"/>
  <c r="O222" i="164"/>
  <c r="L222" i="164"/>
  <c r="I222" i="164"/>
  <c r="O153" i="164"/>
  <c r="I153" i="164"/>
  <c r="L153" i="164"/>
  <c r="F229" i="164"/>
  <c r="B230" i="164"/>
  <c r="G230" i="164" s="1"/>
  <c r="O263" i="164"/>
  <c r="O244" i="164"/>
  <c r="O187" i="164"/>
  <c r="O225" i="164"/>
  <c r="O123" i="164"/>
  <c r="O189" i="164"/>
  <c r="O198" i="164"/>
  <c r="O200" i="164"/>
  <c r="O180" i="164"/>
  <c r="O207" i="164"/>
  <c r="O188" i="164"/>
  <c r="O168" i="164"/>
  <c r="O199" i="164"/>
  <c r="O156" i="164"/>
  <c r="O206" i="164"/>
  <c r="O97" i="164"/>
  <c r="O217" i="164"/>
  <c r="O183" i="164"/>
  <c r="O55" i="164"/>
  <c r="S12" i="164"/>
  <c r="F12" i="162"/>
  <c r="O39" i="164"/>
  <c r="O266" i="164"/>
  <c r="L266" i="164"/>
  <c r="I266" i="164"/>
  <c r="O93" i="164"/>
  <c r="L93" i="164"/>
  <c r="I93" i="164"/>
  <c r="O24" i="164"/>
  <c r="O25" i="164"/>
  <c r="O98" i="164"/>
  <c r="L98" i="164"/>
  <c r="I98" i="164"/>
  <c r="O33" i="164"/>
  <c r="L33" i="164"/>
  <c r="M31" i="164" s="1"/>
  <c r="M46" i="163" s="1"/>
  <c r="I33" i="164"/>
  <c r="O38" i="164"/>
  <c r="K23" i="163"/>
  <c r="K19" i="163"/>
  <c r="T40" i="163"/>
  <c r="F191" i="164"/>
  <c r="B192" i="164"/>
  <c r="G192" i="164" s="1"/>
  <c r="O133" i="164"/>
  <c r="I133" i="164"/>
  <c r="L133" i="164"/>
  <c r="O249" i="164"/>
  <c r="L249" i="164"/>
  <c r="I249" i="164"/>
  <c r="O144" i="164"/>
  <c r="I144" i="164"/>
  <c r="L144" i="164"/>
  <c r="O62" i="164"/>
  <c r="L62" i="164"/>
  <c r="I62" i="164"/>
  <c r="O23" i="164"/>
  <c r="M23" i="163"/>
  <c r="M25" i="163" s="1"/>
  <c r="C9" i="162" s="1"/>
  <c r="M19" i="163"/>
  <c r="O18" i="164"/>
  <c r="Q70" i="161"/>
  <c r="Q69" i="161"/>
  <c r="Q68" i="161"/>
  <c r="Q67" i="161"/>
  <c r="Q66" i="161"/>
  <c r="S66" i="161" s="1"/>
  <c r="O247" i="164" l="1"/>
  <c r="L247" i="164"/>
  <c r="J149" i="164"/>
  <c r="K59" i="163" s="1"/>
  <c r="J31" i="164"/>
  <c r="K46" i="163" s="1"/>
  <c r="M149" i="164"/>
  <c r="M59" i="163" s="1"/>
  <c r="P137" i="164"/>
  <c r="O58" i="163" s="1"/>
  <c r="P31" i="164"/>
  <c r="O46" i="163" s="1"/>
  <c r="J91" i="164"/>
  <c r="K53" i="163" s="1"/>
  <c r="M53" i="164"/>
  <c r="M49" i="163" s="1"/>
  <c r="J16" i="164"/>
  <c r="K45" i="163" s="1"/>
  <c r="M104" i="164"/>
  <c r="M54" i="163" s="1"/>
  <c r="P16" i="164"/>
  <c r="O45" i="163" s="1"/>
  <c r="P104" i="164"/>
  <c r="O54" i="163" s="1"/>
  <c r="I209" i="164"/>
  <c r="O209" i="164"/>
  <c r="L209" i="164"/>
  <c r="P53" i="164"/>
  <c r="O49" i="163" s="1"/>
  <c r="P163" i="164"/>
  <c r="O60" i="163" s="1"/>
  <c r="P91" i="164"/>
  <c r="O53" i="163" s="1"/>
  <c r="M91" i="164"/>
  <c r="M53" i="163" s="1"/>
  <c r="P149" i="164"/>
  <c r="O59" i="163" s="1"/>
  <c r="J163" i="164"/>
  <c r="K60" i="163" s="1"/>
  <c r="J129" i="164"/>
  <c r="K57" i="163" s="1"/>
  <c r="M129" i="164"/>
  <c r="M57" i="163" s="1"/>
  <c r="R144" i="164"/>
  <c r="R93" i="164"/>
  <c r="R266" i="164"/>
  <c r="E50" i="164"/>
  <c r="R62" i="164"/>
  <c r="R249" i="164"/>
  <c r="J83" i="164"/>
  <c r="K52" i="163" s="1"/>
  <c r="R247" i="164"/>
  <c r="R33" i="164"/>
  <c r="R98" i="164"/>
  <c r="P83" i="164"/>
  <c r="O52" i="163" s="1"/>
  <c r="M83" i="164"/>
  <c r="M52" i="163" s="1"/>
  <c r="R49" i="164"/>
  <c r="R133" i="164"/>
  <c r="P129" i="164"/>
  <c r="O57" i="163" s="1"/>
  <c r="E72" i="164"/>
  <c r="E80" i="164"/>
  <c r="C8" i="162"/>
  <c r="O192" i="164"/>
  <c r="L192" i="164"/>
  <c r="I192" i="164"/>
  <c r="R192" i="164"/>
  <c r="R23" i="163"/>
  <c r="K25" i="163"/>
  <c r="B9" i="162" s="1"/>
  <c r="F9" i="162" s="1"/>
  <c r="R187" i="164"/>
  <c r="R168" i="164"/>
  <c r="R206" i="164"/>
  <c r="R198" i="164"/>
  <c r="R188" i="164"/>
  <c r="R225" i="164"/>
  <c r="R244" i="164"/>
  <c r="R200" i="164"/>
  <c r="R189" i="164"/>
  <c r="R143" i="164"/>
  <c r="R208" i="164"/>
  <c r="R180" i="164"/>
  <c r="R169" i="164"/>
  <c r="R157" i="164"/>
  <c r="R263" i="164"/>
  <c r="R131" i="164"/>
  <c r="R217" i="164"/>
  <c r="R201" i="164"/>
  <c r="R123" i="164"/>
  <c r="R165" i="164"/>
  <c r="R97" i="164"/>
  <c r="R181" i="164"/>
  <c r="R85" i="164"/>
  <c r="R79" i="164"/>
  <c r="R183" i="164"/>
  <c r="R156" i="164"/>
  <c r="R219" i="164"/>
  <c r="R38" i="164"/>
  <c r="R220" i="164"/>
  <c r="R122" i="164"/>
  <c r="R167" i="164"/>
  <c r="R218" i="164"/>
  <c r="R264" i="164"/>
  <c r="R170" i="164"/>
  <c r="R257" i="164"/>
  <c r="R121" i="164"/>
  <c r="R238" i="164"/>
  <c r="R132" i="164"/>
  <c r="R203" i="164"/>
  <c r="R18" i="164"/>
  <c r="R114" i="164"/>
  <c r="R226" i="164"/>
  <c r="R25" i="164"/>
  <c r="R60" i="164"/>
  <c r="R223" i="164"/>
  <c r="R110" i="164"/>
  <c r="R142" i="164"/>
  <c r="R236" i="164"/>
  <c r="R256" i="164"/>
  <c r="R185" i="164"/>
  <c r="R212" i="164"/>
  <c r="R231" i="164"/>
  <c r="R151" i="164"/>
  <c r="R24" i="164"/>
  <c r="R42" i="164"/>
  <c r="R40" i="164"/>
  <c r="R77" i="164"/>
  <c r="R71" i="164"/>
  <c r="R101" i="164"/>
  <c r="R237" i="164"/>
  <c r="R260" i="164"/>
  <c r="R139" i="164"/>
  <c r="R111" i="164"/>
  <c r="R39" i="164"/>
  <c r="R27" i="164"/>
  <c r="R99" i="164"/>
  <c r="R173" i="164"/>
  <c r="R57" i="164"/>
  <c r="R95" i="164"/>
  <c r="R159" i="164"/>
  <c r="R242" i="164"/>
  <c r="R166" i="164"/>
  <c r="R239" i="164"/>
  <c r="R23" i="164"/>
  <c r="R112" i="164"/>
  <c r="R69" i="164"/>
  <c r="R78" i="164"/>
  <c r="R87" i="164"/>
  <c r="R106" i="164"/>
  <c r="R56" i="164"/>
  <c r="R86" i="164"/>
  <c r="R61" i="164"/>
  <c r="R58" i="164"/>
  <c r="R107" i="164"/>
  <c r="R146" i="164"/>
  <c r="R202" i="164"/>
  <c r="R184" i="164"/>
  <c r="R155" i="164"/>
  <c r="R245" i="164"/>
  <c r="R269" i="164"/>
  <c r="R179" i="164"/>
  <c r="R250" i="164"/>
  <c r="R193" i="164"/>
  <c r="R227" i="164"/>
  <c r="R261" i="164"/>
  <c r="R152" i="164"/>
  <c r="R20" i="164"/>
  <c r="R34" i="164"/>
  <c r="R55" i="164"/>
  <c r="R255" i="164"/>
  <c r="R108" i="164"/>
  <c r="R124" i="164"/>
  <c r="R259" i="164"/>
  <c r="R221" i="164"/>
  <c r="R204" i="164"/>
  <c r="R182" i="164"/>
  <c r="R126" i="164"/>
  <c r="R171" i="164"/>
  <c r="R207" i="164"/>
  <c r="R35" i="164"/>
  <c r="R43" i="164"/>
  <c r="R19" i="164"/>
  <c r="R70" i="164"/>
  <c r="R258" i="164"/>
  <c r="R140" i="164"/>
  <c r="R240" i="164"/>
  <c r="R265" i="164"/>
  <c r="R199" i="164"/>
  <c r="R241" i="164"/>
  <c r="R48" i="164"/>
  <c r="D8" i="162"/>
  <c r="R190" i="164"/>
  <c r="R19" i="163"/>
  <c r="R230" i="164"/>
  <c r="O230" i="164"/>
  <c r="L230" i="164"/>
  <c r="I230" i="164"/>
  <c r="R211" i="164"/>
  <c r="R246" i="164"/>
  <c r="R228" i="164"/>
  <c r="R222" i="164"/>
  <c r="R268" i="164"/>
  <c r="R209" i="164"/>
  <c r="R94" i="164"/>
  <c r="R153" i="164"/>
  <c r="B8" i="162"/>
  <c r="S31" i="164" l="1"/>
  <c r="Q46" i="163" s="1"/>
  <c r="R46" i="163" s="1"/>
  <c r="T46" i="163" s="1"/>
  <c r="S104" i="164"/>
  <c r="Q54" i="163" s="1"/>
  <c r="R54" i="163" s="1"/>
  <c r="T54" i="163" s="1"/>
  <c r="S16" i="164"/>
  <c r="Q45" i="163" s="1"/>
  <c r="R45" i="163" s="1"/>
  <c r="T45" i="163" s="1"/>
  <c r="S91" i="164"/>
  <c r="Q53" i="163" s="1"/>
  <c r="R53" i="163" s="1"/>
  <c r="T53" i="163" s="1"/>
  <c r="S137" i="164"/>
  <c r="P46" i="164"/>
  <c r="O47" i="163" s="1"/>
  <c r="P67" i="164"/>
  <c r="O50" i="163" s="1"/>
  <c r="M46" i="164"/>
  <c r="M47" i="163" s="1"/>
  <c r="J67" i="164"/>
  <c r="K50" i="163" s="1"/>
  <c r="J46" i="164"/>
  <c r="K47" i="163" s="1"/>
  <c r="S129" i="164"/>
  <c r="M67" i="164"/>
  <c r="M50" i="163" s="1"/>
  <c r="S75" i="164"/>
  <c r="Q51" i="163" s="1"/>
  <c r="T19" i="163"/>
  <c r="P75" i="164"/>
  <c r="O51" i="163" s="1"/>
  <c r="S46" i="164"/>
  <c r="Q47" i="163" s="1"/>
  <c r="S83" i="164"/>
  <c r="R25" i="163"/>
  <c r="T23" i="163"/>
  <c r="J75" i="164"/>
  <c r="K51" i="163" s="1"/>
  <c r="S67" i="164"/>
  <c r="Q50" i="163" s="1"/>
  <c r="M75" i="164"/>
  <c r="M51" i="163" s="1"/>
  <c r="F8" i="162"/>
  <c r="I13" i="161"/>
  <c r="L13" i="161" s="1"/>
  <c r="I14" i="161"/>
  <c r="N14" i="161" s="1"/>
  <c r="I19" i="161"/>
  <c r="I17" i="161"/>
  <c r="I21" i="161"/>
  <c r="Q58" i="163" l="1"/>
  <c r="R58" i="163" s="1"/>
  <c r="T58" i="163" s="1"/>
  <c r="T137" i="164"/>
  <c r="T16" i="164"/>
  <c r="T91" i="164"/>
  <c r="R51" i="163"/>
  <c r="T51" i="163" s="1"/>
  <c r="R47" i="163"/>
  <c r="T47" i="163" s="1"/>
  <c r="T129" i="164"/>
  <c r="Q57" i="163"/>
  <c r="R57" i="163" s="1"/>
  <c r="T57" i="163" s="1"/>
  <c r="T83" i="164"/>
  <c r="Q52" i="163"/>
  <c r="R52" i="163" s="1"/>
  <c r="T52" i="163" s="1"/>
  <c r="R50" i="163"/>
  <c r="T50" i="163" s="1"/>
  <c r="T31" i="164"/>
  <c r="T46" i="164"/>
  <c r="T67" i="164"/>
  <c r="T104" i="164"/>
  <c r="J13" i="161"/>
  <c r="T75" i="164"/>
  <c r="T25" i="163"/>
  <c r="I26" i="161"/>
  <c r="J26" i="161" s="1"/>
  <c r="I27" i="161"/>
  <c r="L27" i="161" s="1"/>
  <c r="N27" i="161" l="1"/>
  <c r="P27" i="161"/>
  <c r="J27" i="161"/>
  <c r="P46" i="161"/>
  <c r="P45" i="161"/>
  <c r="P44" i="161"/>
  <c r="P40" i="161"/>
  <c r="P41" i="161"/>
  <c r="P42" i="161"/>
  <c r="P39" i="161"/>
  <c r="N39" i="161"/>
  <c r="N46" i="161"/>
  <c r="N45" i="161"/>
  <c r="N44" i="161"/>
  <c r="N42" i="161"/>
  <c r="N41" i="161"/>
  <c r="N40" i="161"/>
  <c r="L39" i="161"/>
  <c r="L46" i="161"/>
  <c r="L45" i="161"/>
  <c r="L44" i="161"/>
  <c r="L40" i="161"/>
  <c r="L41" i="161"/>
  <c r="L42" i="161"/>
  <c r="P61" i="161"/>
  <c r="N61" i="161"/>
  <c r="L61" i="161"/>
  <c r="P85" i="161"/>
  <c r="P76" i="161"/>
  <c r="P77" i="161"/>
  <c r="P78" i="161"/>
  <c r="P79" i="161"/>
  <c r="P80" i="161"/>
  <c r="P81" i="161"/>
  <c r="P82" i="161"/>
  <c r="P83" i="161"/>
  <c r="P84" i="161"/>
  <c r="P75" i="161"/>
  <c r="N75" i="161"/>
  <c r="N85" i="161"/>
  <c r="N76" i="161"/>
  <c r="N77" i="161"/>
  <c r="N78" i="161"/>
  <c r="N79" i="161"/>
  <c r="N80" i="161"/>
  <c r="N81" i="161"/>
  <c r="N82" i="161"/>
  <c r="N83" i="161"/>
  <c r="N84" i="161"/>
  <c r="L75" i="161"/>
  <c r="L85" i="161"/>
  <c r="L76" i="161"/>
  <c r="L77" i="161"/>
  <c r="L78" i="161"/>
  <c r="L79" i="161"/>
  <c r="L80" i="161"/>
  <c r="L81" i="161"/>
  <c r="L82" i="161"/>
  <c r="L83" i="161"/>
  <c r="L84" i="161"/>
  <c r="O132" i="161"/>
  <c r="P132" i="161" s="1"/>
  <c r="O131" i="161"/>
  <c r="P131" i="161" s="1"/>
  <c r="M132" i="161"/>
  <c r="N132" i="161" s="1"/>
  <c r="M131" i="161"/>
  <c r="N131" i="161" s="1"/>
  <c r="K132" i="161"/>
  <c r="L132" i="161" s="1"/>
  <c r="H132" i="161"/>
  <c r="H131" i="161"/>
  <c r="J136" i="161"/>
  <c r="P136" i="161"/>
  <c r="P133" i="161"/>
  <c r="P127" i="161"/>
  <c r="P128" i="161"/>
  <c r="P129" i="161"/>
  <c r="P126" i="161"/>
  <c r="P124" i="161"/>
  <c r="P123" i="161"/>
  <c r="P122" i="161"/>
  <c r="P120" i="161"/>
  <c r="P119" i="161"/>
  <c r="P117" i="161"/>
  <c r="N117" i="161"/>
  <c r="N139" i="161"/>
  <c r="N138" i="161"/>
  <c r="N136" i="161"/>
  <c r="N135" i="161"/>
  <c r="N133" i="161"/>
  <c r="N129" i="161"/>
  <c r="N128" i="161"/>
  <c r="N127" i="161"/>
  <c r="N126" i="161"/>
  <c r="N123" i="161"/>
  <c r="N124" i="161"/>
  <c r="N122" i="161"/>
  <c r="N120" i="161"/>
  <c r="N119" i="161"/>
  <c r="L117" i="161"/>
  <c r="L139" i="161"/>
  <c r="L138" i="161"/>
  <c r="L136" i="161"/>
  <c r="L135" i="161"/>
  <c r="L133" i="161"/>
  <c r="L129" i="161"/>
  <c r="L128" i="161"/>
  <c r="L127" i="161"/>
  <c r="L126" i="161"/>
  <c r="L123" i="161"/>
  <c r="L124" i="161"/>
  <c r="L122" i="161"/>
  <c r="L120" i="161"/>
  <c r="L119" i="161"/>
  <c r="R140" i="161"/>
  <c r="J135" i="161"/>
  <c r="P135" i="161"/>
  <c r="P139" i="161"/>
  <c r="J126" i="161"/>
  <c r="L87" i="161" l="1"/>
  <c r="P87" i="161"/>
  <c r="N87" i="161"/>
  <c r="N140" i="161"/>
  <c r="L140" i="161"/>
  <c r="Q126" i="161"/>
  <c r="S126" i="161" s="1"/>
  <c r="Q135" i="161"/>
  <c r="S135" i="161" s="1"/>
  <c r="Q136" i="161"/>
  <c r="S136" i="161" s="1"/>
  <c r="J131" i="161" l="1"/>
  <c r="J120" i="161"/>
  <c r="J119" i="161"/>
  <c r="Q119" i="161" s="1"/>
  <c r="S119" i="161" s="1"/>
  <c r="J117" i="161"/>
  <c r="J122" i="161"/>
  <c r="J124" i="161"/>
  <c r="J127" i="161"/>
  <c r="J128" i="161"/>
  <c r="Q128" i="161" s="1"/>
  <c r="S128" i="161" s="1"/>
  <c r="J129" i="161"/>
  <c r="J132" i="161"/>
  <c r="J133" i="161"/>
  <c r="Q133" i="161" l="1"/>
  <c r="S133" i="161" s="1"/>
  <c r="Q131" i="161"/>
  <c r="S131" i="161" s="1"/>
  <c r="Q132" i="161"/>
  <c r="S132" i="161" s="1"/>
  <c r="Q120" i="161"/>
  <c r="S120" i="161" s="1"/>
  <c r="Q129" i="161"/>
  <c r="S129" i="161" s="1"/>
  <c r="Q124" i="161"/>
  <c r="S124" i="161" s="1"/>
  <c r="Q117" i="161"/>
  <c r="Q123" i="161"/>
  <c r="S123" i="161" s="1"/>
  <c r="Q127" i="161"/>
  <c r="S127" i="161" s="1"/>
  <c r="Q122" i="161"/>
  <c r="S122" i="161" s="1"/>
  <c r="S117" i="161" l="1"/>
  <c r="P18" i="161"/>
  <c r="P19" i="161"/>
  <c r="P21" i="161"/>
  <c r="P22" i="161"/>
  <c r="P23" i="161"/>
  <c r="P17" i="161"/>
  <c r="P14" i="161"/>
  <c r="P13" i="161"/>
  <c r="N13" i="161"/>
  <c r="N18" i="161"/>
  <c r="N19" i="161"/>
  <c r="N21" i="161"/>
  <c r="N22" i="161"/>
  <c r="N23" i="161"/>
  <c r="N17" i="161"/>
  <c r="L19" i="161"/>
  <c r="L21" i="161"/>
  <c r="L22" i="161"/>
  <c r="L23" i="161"/>
  <c r="L18" i="161"/>
  <c r="L14" i="161"/>
  <c r="E64" i="8"/>
  <c r="D86" i="8" s="1"/>
  <c r="E63" i="8"/>
  <c r="D64" i="8"/>
  <c r="D63" i="8"/>
  <c r="E62" i="8"/>
  <c r="D62" i="8"/>
  <c r="G69" i="144" l="1"/>
  <c r="J69" i="144" s="1"/>
  <c r="L69" i="144" s="1"/>
  <c r="D125" i="164"/>
  <c r="G125" i="164" s="1"/>
  <c r="D191" i="164"/>
  <c r="G191" i="164" s="1"/>
  <c r="D100" i="164"/>
  <c r="G100" i="164" s="1"/>
  <c r="D158" i="164"/>
  <c r="G158" i="164" s="1"/>
  <c r="D145" i="164"/>
  <c r="G145" i="164" s="1"/>
  <c r="D248" i="164"/>
  <c r="G248" i="164" s="1"/>
  <c r="D172" i="164"/>
  <c r="G172" i="164" s="1"/>
  <c r="D113" i="164"/>
  <c r="G113" i="164" s="1"/>
  <c r="G114" i="144"/>
  <c r="J114" i="144" s="1"/>
  <c r="L114" i="144" s="1"/>
  <c r="W114" i="144" s="1"/>
  <c r="D267" i="164"/>
  <c r="G267" i="164" s="1"/>
  <c r="D63" i="164"/>
  <c r="D41" i="164"/>
  <c r="G41" i="164" s="1"/>
  <c r="G83" i="144"/>
  <c r="J83" i="144" s="1"/>
  <c r="D26" i="164"/>
  <c r="G26" i="164" s="1"/>
  <c r="D229" i="164"/>
  <c r="G229" i="164" s="1"/>
  <c r="G51" i="144"/>
  <c r="J51" i="144" s="1"/>
  <c r="L51" i="144" s="1"/>
  <c r="G108" i="144"/>
  <c r="J108" i="144" s="1"/>
  <c r="L108" i="144" s="1"/>
  <c r="D210" i="164"/>
  <c r="G210" i="164" s="1"/>
  <c r="L33" i="161"/>
  <c r="J22" i="161"/>
  <c r="Q266" i="144"/>
  <c r="N266" i="144"/>
  <c r="G270" i="144"/>
  <c r="G260" i="144"/>
  <c r="J260" i="144" s="1"/>
  <c r="G263" i="144"/>
  <c r="G262" i="144"/>
  <c r="E262" i="144"/>
  <c r="E263" i="144" s="1"/>
  <c r="G261" i="144"/>
  <c r="J261" i="144" s="1"/>
  <c r="J259" i="144"/>
  <c r="G257" i="144"/>
  <c r="G249" i="144"/>
  <c r="G248" i="144"/>
  <c r="E248" i="144"/>
  <c r="G247" i="144"/>
  <c r="J247" i="144" s="1"/>
  <c r="G246" i="144"/>
  <c r="J246" i="144" s="1"/>
  <c r="G243" i="144"/>
  <c r="K11" i="159"/>
  <c r="I11" i="159"/>
  <c r="F11" i="159"/>
  <c r="K10" i="159"/>
  <c r="I10" i="159"/>
  <c r="F10" i="159"/>
  <c r="K9" i="159"/>
  <c r="I9" i="159"/>
  <c r="F9" i="159"/>
  <c r="N9" i="159" s="1"/>
  <c r="G226" i="144"/>
  <c r="J226" i="144" s="1"/>
  <c r="G229" i="144"/>
  <c r="G228" i="144"/>
  <c r="E228" i="144"/>
  <c r="G227" i="144"/>
  <c r="J225" i="144"/>
  <c r="G209" i="144"/>
  <c r="J209" i="144" s="1"/>
  <c r="G189" i="144"/>
  <c r="G170" i="144"/>
  <c r="G157" i="144"/>
  <c r="G60" i="144"/>
  <c r="E211" i="144"/>
  <c r="E212" i="144" s="1"/>
  <c r="G212" i="144"/>
  <c r="G211" i="144"/>
  <c r="G210" i="144"/>
  <c r="J210" i="144" s="1"/>
  <c r="J208" i="144"/>
  <c r="G192" i="144"/>
  <c r="G191" i="144"/>
  <c r="E191" i="144"/>
  <c r="I190" i="144"/>
  <c r="G190" i="144"/>
  <c r="I189" i="144"/>
  <c r="G206" i="144"/>
  <c r="G173" i="144"/>
  <c r="G172" i="144"/>
  <c r="E172" i="144"/>
  <c r="I171" i="144"/>
  <c r="G171" i="144"/>
  <c r="I170" i="144"/>
  <c r="J169" i="144"/>
  <c r="G154" i="144"/>
  <c r="J154" i="144" s="1"/>
  <c r="G102" i="144"/>
  <c r="L70" i="144"/>
  <c r="G63" i="144"/>
  <c r="G62" i="144"/>
  <c r="E62" i="144"/>
  <c r="I62" i="144" s="1"/>
  <c r="I61" i="144"/>
  <c r="G61" i="144"/>
  <c r="N10" i="159" l="1"/>
  <c r="O248" i="164"/>
  <c r="P234" i="164" s="1"/>
  <c r="I248" i="164"/>
  <c r="J234" i="164" s="1"/>
  <c r="L248" i="164"/>
  <c r="M234" i="164" s="1"/>
  <c r="E251" i="164"/>
  <c r="R248" i="164"/>
  <c r="S234" i="164" s="1"/>
  <c r="I145" i="164"/>
  <c r="O145" i="164"/>
  <c r="L145" i="164"/>
  <c r="E147" i="164"/>
  <c r="R145" i="164"/>
  <c r="O41" i="164"/>
  <c r="L41" i="164"/>
  <c r="I41" i="164"/>
  <c r="R41" i="164"/>
  <c r="E44" i="164"/>
  <c r="L158" i="164"/>
  <c r="O158" i="164"/>
  <c r="I158" i="164"/>
  <c r="R158" i="164"/>
  <c r="S149" i="164" s="1"/>
  <c r="E160" i="164"/>
  <c r="I172" i="164"/>
  <c r="L172" i="164"/>
  <c r="E174" i="164"/>
  <c r="O172" i="164"/>
  <c r="R172" i="164"/>
  <c r="D64" i="164"/>
  <c r="G64" i="164" s="1"/>
  <c r="G63" i="164"/>
  <c r="L100" i="164"/>
  <c r="E102" i="164"/>
  <c r="I100" i="164"/>
  <c r="O100" i="164"/>
  <c r="R100" i="164"/>
  <c r="I26" i="164"/>
  <c r="E28" i="164"/>
  <c r="L26" i="164"/>
  <c r="O26" i="164"/>
  <c r="R26" i="164"/>
  <c r="I210" i="164"/>
  <c r="J196" i="164" s="1"/>
  <c r="O210" i="164"/>
  <c r="P196" i="164" s="1"/>
  <c r="L210" i="164"/>
  <c r="M196" i="164" s="1"/>
  <c r="E213" i="164"/>
  <c r="R210" i="164"/>
  <c r="S196" i="164" s="1"/>
  <c r="O267" i="164"/>
  <c r="P253" i="164" s="1"/>
  <c r="L267" i="164"/>
  <c r="M253" i="164" s="1"/>
  <c r="I267" i="164"/>
  <c r="J253" i="164" s="1"/>
  <c r="E270" i="164"/>
  <c r="R267" i="164"/>
  <c r="S253" i="164" s="1"/>
  <c r="T253" i="164" s="1"/>
  <c r="L191" i="164"/>
  <c r="M177" i="164" s="1"/>
  <c r="I191" i="164"/>
  <c r="J177" i="164" s="1"/>
  <c r="O191" i="164"/>
  <c r="P177" i="164" s="1"/>
  <c r="E194" i="164"/>
  <c r="R191" i="164"/>
  <c r="S177" i="164" s="1"/>
  <c r="L229" i="164"/>
  <c r="M215" i="164" s="1"/>
  <c r="I229" i="164"/>
  <c r="J215" i="164" s="1"/>
  <c r="E232" i="164"/>
  <c r="R229" i="164"/>
  <c r="S215" i="164" s="1"/>
  <c r="O229" i="164"/>
  <c r="P215" i="164" s="1"/>
  <c r="L125" i="164"/>
  <c r="O125" i="164"/>
  <c r="P118" i="164" s="1"/>
  <c r="I125" i="164"/>
  <c r="J118" i="164" s="1"/>
  <c r="R125" i="164"/>
  <c r="S118" i="164" s="1"/>
  <c r="Q56" i="163" s="1"/>
  <c r="E127" i="164"/>
  <c r="I113" i="164"/>
  <c r="O113" i="164"/>
  <c r="L113" i="164"/>
  <c r="E115" i="164"/>
  <c r="R113" i="164"/>
  <c r="N11" i="159"/>
  <c r="J189" i="144"/>
  <c r="J61" i="144"/>
  <c r="L61" i="144" s="1"/>
  <c r="J263" i="144"/>
  <c r="Q22" i="161"/>
  <c r="S22" i="161" s="1"/>
  <c r="J262" i="144"/>
  <c r="J248" i="144"/>
  <c r="E249" i="144"/>
  <c r="J227" i="144"/>
  <c r="L226" i="144"/>
  <c r="L225" i="144"/>
  <c r="E229" i="144"/>
  <c r="J228" i="144"/>
  <c r="J190" i="144"/>
  <c r="L208" i="144"/>
  <c r="J191" i="144"/>
  <c r="J211" i="144"/>
  <c r="L209" i="144"/>
  <c r="L210" i="144"/>
  <c r="E192" i="144"/>
  <c r="J60" i="144"/>
  <c r="L60" i="144" s="1"/>
  <c r="J170" i="144"/>
  <c r="J171" i="144"/>
  <c r="L171" i="144" s="1"/>
  <c r="J172" i="144"/>
  <c r="L169" i="144"/>
  <c r="E173" i="144"/>
  <c r="E63" i="144"/>
  <c r="I63" i="144" s="1"/>
  <c r="T34" i="144"/>
  <c r="Q34" i="144"/>
  <c r="N34" i="144"/>
  <c r="G30" i="144"/>
  <c r="I19" i="144"/>
  <c r="G20" i="144"/>
  <c r="T234" i="164" l="1"/>
  <c r="O56" i="163"/>
  <c r="O61" i="163" s="1"/>
  <c r="D15" i="162" s="1"/>
  <c r="P273" i="164"/>
  <c r="L63" i="164"/>
  <c r="I63" i="164"/>
  <c r="E65" i="164"/>
  <c r="R63" i="164"/>
  <c r="S53" i="164" s="1"/>
  <c r="O63" i="164"/>
  <c r="Q59" i="163"/>
  <c r="R59" i="163" s="1"/>
  <c r="T59" i="163" s="1"/>
  <c r="T149" i="164"/>
  <c r="T215" i="164"/>
  <c r="K56" i="163"/>
  <c r="J273" i="164"/>
  <c r="T118" i="164"/>
  <c r="M56" i="163"/>
  <c r="M61" i="163" s="1"/>
  <c r="C15" i="162" s="1"/>
  <c r="M273" i="164"/>
  <c r="T196" i="164"/>
  <c r="L64" i="164"/>
  <c r="O64" i="164"/>
  <c r="I64" i="164"/>
  <c r="R64" i="164"/>
  <c r="T177" i="164"/>
  <c r="S163" i="164"/>
  <c r="L227" i="144"/>
  <c r="J249" i="144"/>
  <c r="L228" i="144"/>
  <c r="J229" i="144"/>
  <c r="L211" i="144"/>
  <c r="J212" i="144"/>
  <c r="J192" i="144"/>
  <c r="L170" i="144"/>
  <c r="L172" i="144"/>
  <c r="J173" i="144"/>
  <c r="T10" i="144"/>
  <c r="V291" i="144" s="1"/>
  <c r="Q10" i="144"/>
  <c r="S291" i="144" s="1"/>
  <c r="N10" i="144"/>
  <c r="P291" i="144" s="1"/>
  <c r="K10" i="144"/>
  <c r="M291" i="144" s="1"/>
  <c r="M279" i="164" l="1"/>
  <c r="M27" i="163" s="1"/>
  <c r="M29" i="163" s="1"/>
  <c r="J279" i="164"/>
  <c r="J280" i="164" s="1"/>
  <c r="M280" i="164"/>
  <c r="T163" i="164"/>
  <c r="Q60" i="163"/>
  <c r="R60" i="163" s="1"/>
  <c r="T60" i="163" s="1"/>
  <c r="Q49" i="163"/>
  <c r="S273" i="164"/>
  <c r="T273" i="164" s="1"/>
  <c r="T53" i="164"/>
  <c r="R56" i="163"/>
  <c r="T56" i="163" s="1"/>
  <c r="K61" i="163"/>
  <c r="B15" i="162" s="1"/>
  <c r="S279" i="164"/>
  <c r="P279" i="164"/>
  <c r="L229" i="144"/>
  <c r="L212" i="144"/>
  <c r="L173" i="144"/>
  <c r="R142" i="161"/>
  <c r="J139" i="161"/>
  <c r="Q139" i="161" s="1"/>
  <c r="P138" i="161"/>
  <c r="P140" i="161" s="1"/>
  <c r="J138" i="161"/>
  <c r="J86" i="161"/>
  <c r="J85" i="161"/>
  <c r="J84" i="161"/>
  <c r="J83" i="161"/>
  <c r="J82" i="161"/>
  <c r="J81" i="161"/>
  <c r="J80" i="161"/>
  <c r="J79" i="161"/>
  <c r="J78" i="161"/>
  <c r="J77" i="161"/>
  <c r="J76" i="161"/>
  <c r="J75" i="161"/>
  <c r="R72" i="161"/>
  <c r="S70" i="161"/>
  <c r="S69" i="161"/>
  <c r="S68" i="161"/>
  <c r="S67" i="161"/>
  <c r="R63" i="161"/>
  <c r="J61" i="161"/>
  <c r="R58" i="161"/>
  <c r="J58" i="161"/>
  <c r="B11" i="160" s="1"/>
  <c r="P56" i="161"/>
  <c r="P58" i="161" s="1"/>
  <c r="E11" i="160" s="1"/>
  <c r="N56" i="161"/>
  <c r="N58" i="161" s="1"/>
  <c r="D11" i="160" s="1"/>
  <c r="L56" i="161"/>
  <c r="L58" i="161" s="1"/>
  <c r="C11" i="160" s="1"/>
  <c r="R54" i="161"/>
  <c r="J46" i="161"/>
  <c r="J45" i="161"/>
  <c r="J44" i="161"/>
  <c r="J42" i="161"/>
  <c r="J41" i="161"/>
  <c r="J40" i="161"/>
  <c r="J39" i="161"/>
  <c r="R36" i="161"/>
  <c r="R29" i="161"/>
  <c r="J23" i="161"/>
  <c r="J21" i="161"/>
  <c r="J19" i="161"/>
  <c r="J18" i="161"/>
  <c r="J17" i="161"/>
  <c r="J14" i="161"/>
  <c r="F14" i="160"/>
  <c r="K27" i="163" l="1"/>
  <c r="R49" i="163"/>
  <c r="Q61" i="163"/>
  <c r="E15" i="162" s="1"/>
  <c r="F15" i="162" s="1"/>
  <c r="O27" i="163"/>
  <c r="O29" i="163" s="1"/>
  <c r="P280" i="164"/>
  <c r="Q27" i="163"/>
  <c r="Q29" i="163" s="1"/>
  <c r="S280" i="164"/>
  <c r="J140" i="161"/>
  <c r="K29" i="163"/>
  <c r="C10" i="162"/>
  <c r="C17" i="162" s="1"/>
  <c r="M63" i="163"/>
  <c r="J33" i="161"/>
  <c r="T279" i="164"/>
  <c r="J87" i="161"/>
  <c r="N26" i="161"/>
  <c r="L26" i="161"/>
  <c r="P26" i="161"/>
  <c r="Q46" i="161"/>
  <c r="S46" i="161" s="1"/>
  <c r="S139" i="161"/>
  <c r="Q138" i="161"/>
  <c r="N33" i="161"/>
  <c r="Q76" i="161"/>
  <c r="S76" i="161" s="1"/>
  <c r="Q18" i="161"/>
  <c r="S18" i="161" s="1"/>
  <c r="Q80" i="161"/>
  <c r="S80" i="161" s="1"/>
  <c r="R144" i="161"/>
  <c r="R148" i="161" s="1"/>
  <c r="F11" i="160"/>
  <c r="Q14" i="161"/>
  <c r="S14" i="161" s="1"/>
  <c r="Q41" i="161"/>
  <c r="S41" i="161" s="1"/>
  <c r="Q79" i="161"/>
  <c r="Q81" i="161"/>
  <c r="S81" i="161" s="1"/>
  <c r="Q84" i="161"/>
  <c r="S84" i="161" s="1"/>
  <c r="Q20" i="161"/>
  <c r="S20" i="161" s="1"/>
  <c r="Q45" i="161"/>
  <c r="S45" i="161" s="1"/>
  <c r="Q86" i="161"/>
  <c r="S86" i="161" s="1"/>
  <c r="Q19" i="161"/>
  <c r="S19" i="161" s="1"/>
  <c r="Q21" i="161"/>
  <c r="S21" i="161" s="1"/>
  <c r="Q44" i="161"/>
  <c r="S44" i="161" s="1"/>
  <c r="Q83" i="161"/>
  <c r="S83" i="161" s="1"/>
  <c r="Q56" i="161"/>
  <c r="Q78" i="161"/>
  <c r="S78" i="161" s="1"/>
  <c r="Q85" i="161"/>
  <c r="S85" i="161" s="1"/>
  <c r="Q17" i="161"/>
  <c r="S17" i="161" s="1"/>
  <c r="Q42" i="161"/>
  <c r="S42" i="161" s="1"/>
  <c r="Q61" i="161"/>
  <c r="S61" i="161" s="1"/>
  <c r="Q82" i="161"/>
  <c r="S82" i="161" s="1"/>
  <c r="Q13" i="161"/>
  <c r="S13" i="161" s="1"/>
  <c r="Q40" i="161"/>
  <c r="S40" i="161" s="1"/>
  <c r="P33" i="161"/>
  <c r="Q23" i="161"/>
  <c r="S23" i="161" s="1"/>
  <c r="Q77" i="161"/>
  <c r="S77" i="161" s="1"/>
  <c r="Q39" i="161"/>
  <c r="Q75" i="161"/>
  <c r="K36" i="159"/>
  <c r="I36" i="159"/>
  <c r="F36" i="159"/>
  <c r="K34" i="159"/>
  <c r="I34" i="159"/>
  <c r="F34" i="159"/>
  <c r="N34" i="159" s="1"/>
  <c r="K33" i="159"/>
  <c r="I33" i="159"/>
  <c r="F33" i="159"/>
  <c r="K32" i="159"/>
  <c r="I32" i="159"/>
  <c r="F32" i="159"/>
  <c r="K27" i="159"/>
  <c r="I27" i="159"/>
  <c r="F27" i="159"/>
  <c r="K25" i="159"/>
  <c r="I25" i="159"/>
  <c r="F25" i="159"/>
  <c r="K24" i="159"/>
  <c r="I24" i="159"/>
  <c r="F24" i="159"/>
  <c r="K19" i="159"/>
  <c r="I19" i="159"/>
  <c r="F19" i="159"/>
  <c r="K17" i="159"/>
  <c r="I17" i="159"/>
  <c r="F17" i="159"/>
  <c r="K16" i="159"/>
  <c r="I16" i="159"/>
  <c r="F16" i="159"/>
  <c r="K8" i="159"/>
  <c r="I8" i="159"/>
  <c r="F8" i="159"/>
  <c r="K6" i="159"/>
  <c r="I6" i="159"/>
  <c r="F6" i="159"/>
  <c r="K5" i="159"/>
  <c r="I5" i="159"/>
  <c r="F5" i="159"/>
  <c r="E2" i="144"/>
  <c r="E3" i="144"/>
  <c r="E4" i="144"/>
  <c r="E5" i="144"/>
  <c r="E6" i="144"/>
  <c r="K12" i="159" l="1"/>
  <c r="I20" i="159"/>
  <c r="F20" i="159"/>
  <c r="T280" i="164"/>
  <c r="R27" i="163"/>
  <c r="T27" i="163" s="1"/>
  <c r="J34" i="161"/>
  <c r="J36" i="161" s="1"/>
  <c r="M65" i="163"/>
  <c r="C18" i="162" s="1"/>
  <c r="C19" i="162" s="1"/>
  <c r="L71" i="161" s="1"/>
  <c r="L72" i="161" s="1"/>
  <c r="C13" i="160" s="1"/>
  <c r="E10" i="162"/>
  <c r="E17" i="162" s="1"/>
  <c r="Q63" i="163"/>
  <c r="D10" i="162"/>
  <c r="D17" i="162" s="1"/>
  <c r="O63" i="163"/>
  <c r="N33" i="159"/>
  <c r="B10" i="162"/>
  <c r="K63" i="163"/>
  <c r="K65" i="163" s="1"/>
  <c r="T49" i="163"/>
  <c r="R61" i="163"/>
  <c r="S79" i="161"/>
  <c r="Q87" i="161"/>
  <c r="S138" i="161"/>
  <c r="Q140" i="161"/>
  <c r="N17" i="159"/>
  <c r="K28" i="159"/>
  <c r="J29" i="161"/>
  <c r="B8" i="160" s="1"/>
  <c r="N27" i="159"/>
  <c r="K20" i="159"/>
  <c r="N36" i="159"/>
  <c r="L34" i="161"/>
  <c r="L36" i="161" s="1"/>
  <c r="C9" i="160" s="1"/>
  <c r="N34" i="161"/>
  <c r="N36" i="161" s="1"/>
  <c r="D9" i="160" s="1"/>
  <c r="Q27" i="161"/>
  <c r="S27" i="161" s="1"/>
  <c r="N29" i="161"/>
  <c r="D8" i="160" s="1"/>
  <c r="S56" i="161"/>
  <c r="Q58" i="161"/>
  <c r="S58" i="161" s="1"/>
  <c r="L29" i="161"/>
  <c r="Q26" i="161"/>
  <c r="P34" i="161"/>
  <c r="P36" i="161" s="1"/>
  <c r="E9" i="160" s="1"/>
  <c r="Q33" i="161"/>
  <c r="S39" i="161"/>
  <c r="S75" i="161"/>
  <c r="P29" i="161"/>
  <c r="N6" i="159"/>
  <c r="F28" i="159"/>
  <c r="N8" i="159"/>
  <c r="N32" i="159"/>
  <c r="N37" i="159" s="1"/>
  <c r="I37" i="159"/>
  <c r="F12" i="159"/>
  <c r="N19" i="159"/>
  <c r="K37" i="159"/>
  <c r="I28" i="159"/>
  <c r="N25" i="159"/>
  <c r="F37" i="159"/>
  <c r="N5" i="159"/>
  <c r="N16" i="159"/>
  <c r="N24" i="159"/>
  <c r="I12" i="159"/>
  <c r="I38" i="159" s="1"/>
  <c r="D32" i="8"/>
  <c r="C32" i="8"/>
  <c r="M33" i="8"/>
  <c r="D41" i="8"/>
  <c r="C41" i="8"/>
  <c r="M42" i="8"/>
  <c r="U41" i="150"/>
  <c r="G17" i="144"/>
  <c r="I17" i="144"/>
  <c r="P12" i="144"/>
  <c r="G18" i="144"/>
  <c r="I18" i="144"/>
  <c r="J20" i="144"/>
  <c r="L20" i="144" s="1"/>
  <c r="G26" i="144"/>
  <c r="I26" i="144"/>
  <c r="G27" i="144"/>
  <c r="I27" i="144"/>
  <c r="I28" i="144"/>
  <c r="I29" i="144"/>
  <c r="J30" i="144"/>
  <c r="L30" i="144" s="1"/>
  <c r="G36" i="144"/>
  <c r="I36" i="144"/>
  <c r="G37" i="144"/>
  <c r="I37" i="144"/>
  <c r="I38" i="144"/>
  <c r="G44" i="144"/>
  <c r="I44" i="144"/>
  <c r="G45" i="144"/>
  <c r="I45" i="144"/>
  <c r="I46" i="144"/>
  <c r="J57" i="144"/>
  <c r="G75" i="144"/>
  <c r="I75" i="144"/>
  <c r="G76" i="144"/>
  <c r="I76" i="144"/>
  <c r="I77" i="144"/>
  <c r="J85" i="144"/>
  <c r="G86" i="144"/>
  <c r="I86" i="144"/>
  <c r="G87" i="144"/>
  <c r="I87" i="144"/>
  <c r="I88" i="144"/>
  <c r="G88" i="144"/>
  <c r="G89" i="144"/>
  <c r="G94" i="144"/>
  <c r="I94" i="144"/>
  <c r="G95" i="144"/>
  <c r="I95" i="144"/>
  <c r="J102" i="144"/>
  <c r="L102" i="144" s="1"/>
  <c r="M100" i="144" s="1"/>
  <c r="J98" i="161" s="1"/>
  <c r="G119" i="144"/>
  <c r="I119" i="144"/>
  <c r="G120" i="144"/>
  <c r="I120" i="144"/>
  <c r="I121" i="144"/>
  <c r="I122" i="144"/>
  <c r="J124" i="144"/>
  <c r="L124" i="144" s="1"/>
  <c r="I125" i="144"/>
  <c r="G126" i="144"/>
  <c r="I126" i="144"/>
  <c r="I127" i="144"/>
  <c r="G127" i="144"/>
  <c r="G128" i="144"/>
  <c r="G133" i="144"/>
  <c r="I133" i="144"/>
  <c r="G134" i="144"/>
  <c r="I134" i="144"/>
  <c r="G135" i="144"/>
  <c r="I135" i="144"/>
  <c r="G142" i="144"/>
  <c r="I142" i="144"/>
  <c r="G143" i="144"/>
  <c r="I143" i="144"/>
  <c r="I144" i="144"/>
  <c r="G151" i="144"/>
  <c r="I151" i="144"/>
  <c r="G152" i="144"/>
  <c r="I152" i="144"/>
  <c r="G153" i="144"/>
  <c r="I153" i="144"/>
  <c r="J156" i="144"/>
  <c r="L156" i="144" s="1"/>
  <c r="I157" i="144"/>
  <c r="G158" i="144"/>
  <c r="I158" i="144"/>
  <c r="E159" i="144"/>
  <c r="G159" i="144"/>
  <c r="G160" i="144"/>
  <c r="G165" i="144"/>
  <c r="I165" i="144"/>
  <c r="G166" i="144"/>
  <c r="I166" i="144"/>
  <c r="G167" i="144"/>
  <c r="I167" i="144"/>
  <c r="J175" i="144"/>
  <c r="G176" i="144"/>
  <c r="I176" i="144"/>
  <c r="G177" i="144"/>
  <c r="I177" i="144"/>
  <c r="I178" i="144"/>
  <c r="G178" i="144"/>
  <c r="G179" i="144"/>
  <c r="G184" i="144"/>
  <c r="I184" i="144"/>
  <c r="G185" i="144"/>
  <c r="I185" i="144"/>
  <c r="G186" i="144"/>
  <c r="J206" i="144"/>
  <c r="J194" i="144"/>
  <c r="G195" i="144"/>
  <c r="I195" i="144"/>
  <c r="G196" i="144"/>
  <c r="I196" i="144"/>
  <c r="E197" i="144"/>
  <c r="I197" i="144" s="1"/>
  <c r="G197" i="144"/>
  <c r="G198" i="144"/>
  <c r="G203" i="144"/>
  <c r="I203" i="144"/>
  <c r="G204" i="144"/>
  <c r="I204" i="144"/>
  <c r="G205" i="144"/>
  <c r="I205" i="144"/>
  <c r="J214" i="144"/>
  <c r="G215" i="144"/>
  <c r="I215" i="144"/>
  <c r="G216" i="144"/>
  <c r="I216" i="144"/>
  <c r="I217" i="144"/>
  <c r="G217" i="144"/>
  <c r="G218" i="144"/>
  <c r="J219" i="144"/>
  <c r="L219" i="144" s="1"/>
  <c r="G234" i="144"/>
  <c r="I234" i="144"/>
  <c r="G235" i="144"/>
  <c r="I235" i="144"/>
  <c r="G236" i="144"/>
  <c r="I236" i="144"/>
  <c r="I241" i="144"/>
  <c r="G242" i="144"/>
  <c r="I242" i="144"/>
  <c r="J243" i="144"/>
  <c r="G254" i="144"/>
  <c r="I254" i="144"/>
  <c r="G255" i="144"/>
  <c r="I255" i="144"/>
  <c r="G256" i="144"/>
  <c r="I256" i="144"/>
  <c r="J257" i="144"/>
  <c r="L257" i="144" s="1"/>
  <c r="I268" i="144"/>
  <c r="G269" i="144"/>
  <c r="I269" i="144"/>
  <c r="J270" i="144"/>
  <c r="L270" i="144" s="1"/>
  <c r="G276" i="144"/>
  <c r="I276" i="144"/>
  <c r="G277" i="144"/>
  <c r="I277" i="144"/>
  <c r="G278" i="144"/>
  <c r="I278" i="144"/>
  <c r="J280" i="144"/>
  <c r="G281" i="144"/>
  <c r="G282" i="144"/>
  <c r="G283" i="144"/>
  <c r="G284" i="144"/>
  <c r="F18" i="147"/>
  <c r="K288" i="144"/>
  <c r="N288" i="144"/>
  <c r="Q288" i="144"/>
  <c r="T288" i="144"/>
  <c r="H269" i="144"/>
  <c r="H268" i="144"/>
  <c r="H256" i="144"/>
  <c r="H242" i="144"/>
  <c r="H241" i="144"/>
  <c r="H236" i="144"/>
  <c r="H205" i="144"/>
  <c r="H186" i="144"/>
  <c r="H278" i="144"/>
  <c r="H167" i="144"/>
  <c r="H153" i="144"/>
  <c r="H144" i="144"/>
  <c r="H135" i="144"/>
  <c r="H122" i="144"/>
  <c r="H121" i="144"/>
  <c r="H96" i="144"/>
  <c r="H77" i="144"/>
  <c r="H46" i="144"/>
  <c r="H38" i="144"/>
  <c r="H29" i="144"/>
  <c r="H28" i="144"/>
  <c r="H6" i="152"/>
  <c r="H6" i="155" s="1"/>
  <c r="E6" i="150"/>
  <c r="I6" i="147"/>
  <c r="H6" i="156"/>
  <c r="C6" i="156"/>
  <c r="D3" i="155"/>
  <c r="D4" i="155"/>
  <c r="D5" i="155"/>
  <c r="D6" i="155"/>
  <c r="D2" i="155"/>
  <c r="D3" i="152"/>
  <c r="D4" i="152"/>
  <c r="D5" i="152"/>
  <c r="D6" i="152"/>
  <c r="D2" i="152"/>
  <c r="C6" i="150"/>
  <c r="B6" i="150"/>
  <c r="C5" i="150"/>
  <c r="B5" i="150"/>
  <c r="C4" i="150"/>
  <c r="B4" i="150"/>
  <c r="C3" i="150"/>
  <c r="B3" i="150"/>
  <c r="C2" i="150"/>
  <c r="B2" i="150"/>
  <c r="C3" i="156"/>
  <c r="C4" i="156"/>
  <c r="C5" i="156"/>
  <c r="C2" i="156"/>
  <c r="B3" i="156"/>
  <c r="B4" i="156"/>
  <c r="B5" i="156"/>
  <c r="B6" i="156"/>
  <c r="B2" i="156"/>
  <c r="A3" i="147"/>
  <c r="A4" i="147"/>
  <c r="A5" i="147"/>
  <c r="A6" i="147"/>
  <c r="A2" i="147"/>
  <c r="E3" i="152"/>
  <c r="E3" i="155" s="1"/>
  <c r="E4" i="152"/>
  <c r="E4" i="155" s="1"/>
  <c r="E5" i="152"/>
  <c r="E5" i="155" s="1"/>
  <c r="E6" i="152"/>
  <c r="E6" i="155" s="1"/>
  <c r="E2" i="152"/>
  <c r="E2" i="155" s="1"/>
  <c r="F6" i="147"/>
  <c r="F3" i="147"/>
  <c r="F4" i="147"/>
  <c r="F5" i="147"/>
  <c r="F2" i="147"/>
  <c r="A118" i="141"/>
  <c r="C118" i="141"/>
  <c r="F118" i="141"/>
  <c r="I118" i="141"/>
  <c r="L118" i="141"/>
  <c r="O118" i="141"/>
  <c r="A119" i="141"/>
  <c r="C119" i="141"/>
  <c r="F119" i="141"/>
  <c r="I119" i="141"/>
  <c r="L119" i="141"/>
  <c r="O119" i="141"/>
  <c r="A120" i="141"/>
  <c r="C120" i="141"/>
  <c r="F120" i="141"/>
  <c r="I120" i="141"/>
  <c r="L120" i="141"/>
  <c r="O120" i="141"/>
  <c r="A121" i="141"/>
  <c r="C121" i="141"/>
  <c r="F121" i="141"/>
  <c r="I121" i="141"/>
  <c r="L121" i="141"/>
  <c r="O121" i="141"/>
  <c r="A122" i="141"/>
  <c r="C122" i="141"/>
  <c r="F122" i="141"/>
  <c r="I122" i="141"/>
  <c r="L122" i="141"/>
  <c r="O122" i="141"/>
  <c r="A123" i="141"/>
  <c r="C123" i="141"/>
  <c r="F123" i="141"/>
  <c r="I123" i="141"/>
  <c r="L123" i="141"/>
  <c r="O123" i="141"/>
  <c r="A124" i="141"/>
  <c r="C124" i="141"/>
  <c r="F124" i="141"/>
  <c r="I124" i="141"/>
  <c r="L124" i="141"/>
  <c r="O124" i="141"/>
  <c r="A125" i="141"/>
  <c r="C125" i="141"/>
  <c r="F125" i="141"/>
  <c r="I125" i="141"/>
  <c r="L125" i="141"/>
  <c r="O125" i="141"/>
  <c r="A126" i="141"/>
  <c r="C126" i="141"/>
  <c r="F126" i="141"/>
  <c r="I126" i="141"/>
  <c r="L126" i="141"/>
  <c r="O126" i="141"/>
  <c r="A127" i="141"/>
  <c r="C127" i="141"/>
  <c r="F127" i="141"/>
  <c r="I127" i="141"/>
  <c r="L127" i="141"/>
  <c r="O127" i="141"/>
  <c r="A128" i="141"/>
  <c r="C128" i="141"/>
  <c r="F128" i="141"/>
  <c r="I128" i="141"/>
  <c r="L128" i="141"/>
  <c r="O128" i="141"/>
  <c r="A129" i="141"/>
  <c r="C129" i="141"/>
  <c r="F129" i="141"/>
  <c r="I129" i="141"/>
  <c r="L129" i="141"/>
  <c r="O129" i="141"/>
  <c r="A130" i="141"/>
  <c r="C130" i="141"/>
  <c r="F130" i="141"/>
  <c r="I130" i="141"/>
  <c r="L130" i="141"/>
  <c r="O130" i="141"/>
  <c r="A131" i="141"/>
  <c r="C131" i="141"/>
  <c r="F131" i="141"/>
  <c r="I131" i="141"/>
  <c r="L131" i="141"/>
  <c r="O131" i="141"/>
  <c r="A132" i="141"/>
  <c r="C132" i="141"/>
  <c r="F132" i="141"/>
  <c r="I132" i="141"/>
  <c r="L132" i="141"/>
  <c r="O132" i="141"/>
  <c r="A133" i="141"/>
  <c r="C133" i="141"/>
  <c r="F133" i="141"/>
  <c r="I133" i="141"/>
  <c r="L133" i="141"/>
  <c r="O133" i="141"/>
  <c r="A134" i="141"/>
  <c r="C134" i="141"/>
  <c r="F134" i="141"/>
  <c r="I134" i="141"/>
  <c r="L134" i="141"/>
  <c r="O134" i="141"/>
  <c r="A135" i="141"/>
  <c r="C135" i="141"/>
  <c r="F135" i="141"/>
  <c r="I135" i="141"/>
  <c r="L135" i="141"/>
  <c r="O135" i="141"/>
  <c r="A136" i="141"/>
  <c r="C136" i="141"/>
  <c r="F136" i="141"/>
  <c r="I136" i="141"/>
  <c r="L136" i="141"/>
  <c r="O136" i="141"/>
  <c r="A137" i="141"/>
  <c r="C137" i="141"/>
  <c r="F137" i="141"/>
  <c r="I137" i="141"/>
  <c r="L137" i="141"/>
  <c r="O137" i="141"/>
  <c r="A138" i="141"/>
  <c r="C138" i="141"/>
  <c r="F138" i="141"/>
  <c r="I138" i="141"/>
  <c r="L138" i="141"/>
  <c r="O138" i="141"/>
  <c r="A139" i="141"/>
  <c r="C139" i="141"/>
  <c r="F139" i="141"/>
  <c r="I139" i="141"/>
  <c r="L139" i="141"/>
  <c r="O139" i="141"/>
  <c r="A140" i="141"/>
  <c r="C140" i="141"/>
  <c r="F140" i="141"/>
  <c r="I140" i="141"/>
  <c r="L140" i="141"/>
  <c r="O140" i="141"/>
  <c r="A141" i="141"/>
  <c r="C141" i="141"/>
  <c r="F141" i="141"/>
  <c r="I141" i="141"/>
  <c r="L141" i="141"/>
  <c r="O141" i="141"/>
  <c r="A142" i="141"/>
  <c r="C142" i="141"/>
  <c r="F142" i="141"/>
  <c r="I142" i="141"/>
  <c r="L142" i="141"/>
  <c r="O142" i="141"/>
  <c r="A143" i="141"/>
  <c r="C143" i="141"/>
  <c r="F143" i="141"/>
  <c r="I143" i="141"/>
  <c r="L143" i="141"/>
  <c r="O143" i="141"/>
  <c r="A144" i="141"/>
  <c r="C144" i="141"/>
  <c r="F144" i="141"/>
  <c r="I144" i="141"/>
  <c r="L144" i="141"/>
  <c r="O144" i="141"/>
  <c r="A145" i="141"/>
  <c r="C145" i="141"/>
  <c r="F145" i="141"/>
  <c r="I145" i="141"/>
  <c r="L145" i="141"/>
  <c r="O145" i="141"/>
  <c r="A146" i="141"/>
  <c r="C146" i="141"/>
  <c r="F146" i="141"/>
  <c r="I146" i="141"/>
  <c r="L146" i="141"/>
  <c r="O146" i="141"/>
  <c r="A147" i="141"/>
  <c r="C147" i="141"/>
  <c r="F147" i="141"/>
  <c r="I147" i="141"/>
  <c r="L147" i="141"/>
  <c r="O147" i="141"/>
  <c r="A148" i="141"/>
  <c r="C148" i="141"/>
  <c r="F148" i="141"/>
  <c r="I148" i="141"/>
  <c r="L148" i="141"/>
  <c r="O148" i="141"/>
  <c r="A149" i="141"/>
  <c r="C149" i="141"/>
  <c r="F149" i="141"/>
  <c r="I149" i="141"/>
  <c r="L149" i="141"/>
  <c r="O149" i="141"/>
  <c r="A150" i="141"/>
  <c r="C150" i="141"/>
  <c r="F150" i="141"/>
  <c r="I150" i="141"/>
  <c r="L150" i="141"/>
  <c r="O150" i="141"/>
  <c r="A151" i="141"/>
  <c r="C151" i="141"/>
  <c r="F151" i="141"/>
  <c r="I151" i="141"/>
  <c r="L151" i="141"/>
  <c r="O151" i="141"/>
  <c r="A152" i="141"/>
  <c r="C152" i="141"/>
  <c r="F152" i="141"/>
  <c r="I152" i="141"/>
  <c r="L152" i="141"/>
  <c r="O152" i="141"/>
  <c r="A153" i="141"/>
  <c r="C153" i="141"/>
  <c r="F153" i="141"/>
  <c r="I153" i="141"/>
  <c r="L153" i="141"/>
  <c r="O153" i="141"/>
  <c r="A154" i="141"/>
  <c r="C154" i="141"/>
  <c r="F154" i="141"/>
  <c r="I154" i="141"/>
  <c r="L154" i="141"/>
  <c r="O154" i="141"/>
  <c r="A155" i="141"/>
  <c r="C155" i="141"/>
  <c r="F155" i="141"/>
  <c r="I155" i="141"/>
  <c r="L155" i="141"/>
  <c r="O155" i="141"/>
  <c r="A156" i="141"/>
  <c r="C156" i="141"/>
  <c r="F156" i="141"/>
  <c r="I156" i="141"/>
  <c r="L156" i="141"/>
  <c r="O156" i="141"/>
  <c r="A157" i="141"/>
  <c r="C157" i="141"/>
  <c r="F157" i="141"/>
  <c r="I157" i="141"/>
  <c r="L157" i="141"/>
  <c r="O157" i="141"/>
  <c r="A158" i="141"/>
  <c r="C158" i="141"/>
  <c r="F158" i="141"/>
  <c r="I158" i="141"/>
  <c r="L158" i="141"/>
  <c r="O158" i="141"/>
  <c r="A159" i="141"/>
  <c r="C159" i="141"/>
  <c r="F159" i="141"/>
  <c r="I159" i="141"/>
  <c r="L159" i="141"/>
  <c r="O159" i="141"/>
  <c r="A160" i="141"/>
  <c r="C160" i="141"/>
  <c r="F160" i="141"/>
  <c r="I160" i="141"/>
  <c r="L160" i="141"/>
  <c r="O160" i="141"/>
  <c r="A161" i="141"/>
  <c r="C161" i="141"/>
  <c r="F161" i="141"/>
  <c r="I161" i="141"/>
  <c r="L161" i="141"/>
  <c r="O161" i="141"/>
  <c r="A162" i="141"/>
  <c r="C162" i="141"/>
  <c r="F162" i="141"/>
  <c r="I162" i="141"/>
  <c r="L162" i="141"/>
  <c r="O162" i="141"/>
  <c r="A163" i="141"/>
  <c r="C163" i="141"/>
  <c r="F163" i="141"/>
  <c r="I163" i="141"/>
  <c r="L163" i="141"/>
  <c r="O163" i="141"/>
  <c r="A164" i="141"/>
  <c r="C164" i="141"/>
  <c r="F164" i="141"/>
  <c r="I164" i="141"/>
  <c r="L164" i="141"/>
  <c r="O164" i="141"/>
  <c r="A165" i="141"/>
  <c r="C165" i="141"/>
  <c r="F165" i="141"/>
  <c r="I165" i="141"/>
  <c r="L165" i="141"/>
  <c r="O165" i="141"/>
  <c r="A166" i="141"/>
  <c r="C166" i="141"/>
  <c r="F166" i="141"/>
  <c r="I166" i="141"/>
  <c r="L166" i="141"/>
  <c r="O166" i="141"/>
  <c r="A167" i="141"/>
  <c r="C167" i="141"/>
  <c r="F167" i="141"/>
  <c r="I167" i="141"/>
  <c r="L167" i="141"/>
  <c r="O167" i="141"/>
  <c r="A168" i="141"/>
  <c r="C168" i="141"/>
  <c r="F168" i="141"/>
  <c r="I168" i="141"/>
  <c r="L168" i="141"/>
  <c r="O168" i="141"/>
  <c r="A169" i="141"/>
  <c r="C169" i="141"/>
  <c r="F169" i="141"/>
  <c r="I169" i="141"/>
  <c r="L169" i="141"/>
  <c r="O169" i="141"/>
  <c r="A170" i="141"/>
  <c r="C170" i="141"/>
  <c r="F170" i="141"/>
  <c r="I170" i="141"/>
  <c r="L170" i="141"/>
  <c r="O170" i="141"/>
  <c r="A171" i="141"/>
  <c r="C171" i="141"/>
  <c r="F171" i="141"/>
  <c r="I171" i="141"/>
  <c r="L171" i="141"/>
  <c r="O171" i="141"/>
  <c r="A172" i="141"/>
  <c r="C172" i="141"/>
  <c r="F172" i="141"/>
  <c r="I172" i="141"/>
  <c r="L172" i="141"/>
  <c r="O172" i="141"/>
  <c r="A173" i="141"/>
  <c r="C173" i="141"/>
  <c r="F173" i="141"/>
  <c r="I173" i="141"/>
  <c r="L173" i="141"/>
  <c r="O173" i="141"/>
  <c r="A174" i="141"/>
  <c r="C174" i="141"/>
  <c r="F174" i="141"/>
  <c r="I174" i="141"/>
  <c r="L174" i="141"/>
  <c r="O174" i="141"/>
  <c r="A175" i="141"/>
  <c r="C175" i="141"/>
  <c r="F175" i="141"/>
  <c r="I175" i="141"/>
  <c r="L175" i="141"/>
  <c r="O175" i="141"/>
  <c r="A176" i="141"/>
  <c r="C176" i="141"/>
  <c r="F176" i="141"/>
  <c r="I176" i="141"/>
  <c r="L176" i="141"/>
  <c r="O176" i="141"/>
  <c r="A177" i="141"/>
  <c r="C177" i="141"/>
  <c r="F177" i="141"/>
  <c r="I177" i="141"/>
  <c r="L177" i="141"/>
  <c r="O177" i="141"/>
  <c r="A178" i="141"/>
  <c r="C178" i="141"/>
  <c r="F178" i="141"/>
  <c r="I178" i="141"/>
  <c r="L178" i="141"/>
  <c r="O178" i="141"/>
  <c r="A179" i="141"/>
  <c r="C179" i="141"/>
  <c r="F179" i="141"/>
  <c r="I179" i="141"/>
  <c r="L179" i="141"/>
  <c r="O179" i="141"/>
  <c r="A180" i="141"/>
  <c r="C180" i="141"/>
  <c r="F180" i="141"/>
  <c r="I180" i="141"/>
  <c r="L180" i="141"/>
  <c r="O180" i="141"/>
  <c r="A181" i="141"/>
  <c r="C181" i="141"/>
  <c r="F181" i="141"/>
  <c r="I181" i="141"/>
  <c r="L181" i="141"/>
  <c r="O181" i="141"/>
  <c r="A182" i="141"/>
  <c r="C182" i="141"/>
  <c r="F182" i="141"/>
  <c r="I182" i="141"/>
  <c r="L182" i="141"/>
  <c r="O182" i="141"/>
  <c r="A183" i="141"/>
  <c r="C183" i="141"/>
  <c r="F183" i="141"/>
  <c r="I183" i="141"/>
  <c r="L183" i="141"/>
  <c r="O183" i="141"/>
  <c r="A184" i="141"/>
  <c r="C184" i="141"/>
  <c r="F184" i="141"/>
  <c r="I184" i="141"/>
  <c r="L184" i="141"/>
  <c r="O184" i="141"/>
  <c r="A185" i="141"/>
  <c r="C185" i="141"/>
  <c r="F185" i="141"/>
  <c r="I185" i="141"/>
  <c r="L185" i="141"/>
  <c r="O185" i="141"/>
  <c r="A186" i="141"/>
  <c r="C186" i="141"/>
  <c r="F186" i="141"/>
  <c r="I186" i="141"/>
  <c r="L186" i="141"/>
  <c r="O186" i="141"/>
  <c r="A187" i="141"/>
  <c r="C187" i="141"/>
  <c r="F187" i="141"/>
  <c r="I187" i="141"/>
  <c r="L187" i="141"/>
  <c r="O187" i="141"/>
  <c r="A188" i="141"/>
  <c r="C188" i="141"/>
  <c r="F188" i="141"/>
  <c r="I188" i="141"/>
  <c r="L188" i="141"/>
  <c r="O188" i="141"/>
  <c r="A189" i="141"/>
  <c r="C189" i="141"/>
  <c r="F189" i="141"/>
  <c r="I189" i="141"/>
  <c r="L189" i="141"/>
  <c r="O189" i="141"/>
  <c r="O114" i="141"/>
  <c r="L114" i="141"/>
  <c r="I114" i="141"/>
  <c r="F114" i="141"/>
  <c r="C114" i="141"/>
  <c r="A114" i="141"/>
  <c r="O113" i="141"/>
  <c r="L113" i="141"/>
  <c r="I113" i="141"/>
  <c r="F113" i="141"/>
  <c r="C113" i="141"/>
  <c r="A113" i="141"/>
  <c r="O112" i="141"/>
  <c r="L112" i="141"/>
  <c r="I112" i="141"/>
  <c r="F112" i="141"/>
  <c r="C112" i="141"/>
  <c r="A112" i="141"/>
  <c r="O111" i="141"/>
  <c r="L111" i="141"/>
  <c r="I111" i="141"/>
  <c r="F111" i="141"/>
  <c r="C111" i="141"/>
  <c r="A111" i="141"/>
  <c r="A110" i="141"/>
  <c r="C110" i="141"/>
  <c r="F110" i="141"/>
  <c r="I110" i="141"/>
  <c r="L110" i="141"/>
  <c r="O110" i="141"/>
  <c r="A103" i="141"/>
  <c r="C103" i="141"/>
  <c r="F103" i="141"/>
  <c r="I103" i="141"/>
  <c r="L103" i="141"/>
  <c r="O103" i="141"/>
  <c r="A104" i="141"/>
  <c r="C104" i="141"/>
  <c r="F104" i="141"/>
  <c r="I104" i="141"/>
  <c r="L104" i="141"/>
  <c r="O104" i="141"/>
  <c r="A105" i="141"/>
  <c r="C105" i="141"/>
  <c r="F105" i="141"/>
  <c r="I105" i="141"/>
  <c r="L105" i="141"/>
  <c r="O105" i="141"/>
  <c r="A106" i="141"/>
  <c r="C106" i="141"/>
  <c r="F106" i="141"/>
  <c r="I106" i="141"/>
  <c r="L106" i="141"/>
  <c r="O106" i="141"/>
  <c r="A107" i="141"/>
  <c r="C107" i="141"/>
  <c r="F107" i="141"/>
  <c r="I107" i="141"/>
  <c r="L107" i="141"/>
  <c r="O107" i="141"/>
  <c r="A108" i="141"/>
  <c r="C108" i="141"/>
  <c r="F108" i="141"/>
  <c r="I108" i="141"/>
  <c r="L108" i="141"/>
  <c r="O108" i="141"/>
  <c r="A109" i="141"/>
  <c r="C109" i="141"/>
  <c r="F109" i="141"/>
  <c r="I109" i="141"/>
  <c r="L109" i="141"/>
  <c r="O109" i="141"/>
  <c r="A30" i="141"/>
  <c r="C30" i="141"/>
  <c r="F30" i="141"/>
  <c r="I30" i="141"/>
  <c r="L30" i="141"/>
  <c r="O30" i="141"/>
  <c r="A31" i="141"/>
  <c r="C31" i="141"/>
  <c r="F31" i="141"/>
  <c r="I31" i="141"/>
  <c r="L31" i="141"/>
  <c r="O31" i="141"/>
  <c r="A32" i="141"/>
  <c r="C32" i="141"/>
  <c r="F32" i="141"/>
  <c r="I32" i="141"/>
  <c r="L32" i="141"/>
  <c r="O32" i="141"/>
  <c r="A33" i="141"/>
  <c r="C33" i="141"/>
  <c r="F33" i="141"/>
  <c r="I33" i="141"/>
  <c r="L33" i="141"/>
  <c r="O33" i="141"/>
  <c r="A34" i="141"/>
  <c r="C34" i="141"/>
  <c r="F34" i="141"/>
  <c r="I34" i="141"/>
  <c r="L34" i="141"/>
  <c r="O34" i="141"/>
  <c r="A35" i="141"/>
  <c r="C35" i="141"/>
  <c r="F35" i="141"/>
  <c r="I35" i="141"/>
  <c r="L35" i="141"/>
  <c r="O35" i="141"/>
  <c r="A36" i="141"/>
  <c r="C36" i="141"/>
  <c r="F36" i="141"/>
  <c r="I36" i="141"/>
  <c r="L36" i="141"/>
  <c r="O36" i="141"/>
  <c r="A37" i="141"/>
  <c r="C37" i="141"/>
  <c r="F37" i="141"/>
  <c r="I37" i="141"/>
  <c r="L37" i="141"/>
  <c r="O37" i="141"/>
  <c r="A38" i="141"/>
  <c r="C38" i="141"/>
  <c r="F38" i="141"/>
  <c r="I38" i="141"/>
  <c r="L38" i="141"/>
  <c r="O38" i="141"/>
  <c r="A39" i="141"/>
  <c r="C39" i="141"/>
  <c r="F39" i="141"/>
  <c r="I39" i="141"/>
  <c r="L39" i="141"/>
  <c r="O39" i="141"/>
  <c r="A40" i="141"/>
  <c r="C40" i="141"/>
  <c r="F40" i="141"/>
  <c r="I40" i="141"/>
  <c r="L40" i="141"/>
  <c r="O40" i="141"/>
  <c r="A41" i="141"/>
  <c r="C41" i="141"/>
  <c r="F41" i="141"/>
  <c r="I41" i="141"/>
  <c r="L41" i="141"/>
  <c r="O41" i="141"/>
  <c r="A42" i="141"/>
  <c r="C42" i="141"/>
  <c r="F42" i="141"/>
  <c r="I42" i="141"/>
  <c r="L42" i="141"/>
  <c r="O42" i="141"/>
  <c r="A43" i="141"/>
  <c r="C43" i="141"/>
  <c r="F43" i="141"/>
  <c r="I43" i="141"/>
  <c r="L43" i="141"/>
  <c r="O43" i="141"/>
  <c r="A44" i="141"/>
  <c r="C44" i="141"/>
  <c r="F44" i="141"/>
  <c r="I44" i="141"/>
  <c r="L44" i="141"/>
  <c r="O44" i="141"/>
  <c r="A45" i="141"/>
  <c r="C45" i="141"/>
  <c r="F45" i="141"/>
  <c r="I45" i="141"/>
  <c r="L45" i="141"/>
  <c r="O45" i="141"/>
  <c r="A46" i="141"/>
  <c r="C46" i="141"/>
  <c r="F46" i="141"/>
  <c r="I46" i="141"/>
  <c r="L46" i="141"/>
  <c r="O46" i="141"/>
  <c r="A47" i="141"/>
  <c r="C47" i="141"/>
  <c r="F47" i="141"/>
  <c r="I47" i="141"/>
  <c r="L47" i="141"/>
  <c r="O47" i="141"/>
  <c r="A48" i="141"/>
  <c r="C48" i="141"/>
  <c r="F48" i="141"/>
  <c r="I48" i="141"/>
  <c r="L48" i="141"/>
  <c r="O48" i="141"/>
  <c r="A49" i="141"/>
  <c r="C49" i="141"/>
  <c r="F49" i="141"/>
  <c r="I49" i="141"/>
  <c r="L49" i="141"/>
  <c r="O49" i="141"/>
  <c r="A50" i="141"/>
  <c r="C50" i="141"/>
  <c r="F50" i="141"/>
  <c r="I50" i="141"/>
  <c r="L50" i="141"/>
  <c r="O50" i="141"/>
  <c r="A51" i="141"/>
  <c r="C51" i="141"/>
  <c r="F51" i="141"/>
  <c r="I51" i="141"/>
  <c r="L51" i="141"/>
  <c r="O51" i="141"/>
  <c r="A52" i="141"/>
  <c r="C52" i="141"/>
  <c r="F52" i="141"/>
  <c r="I52" i="141"/>
  <c r="L52" i="141"/>
  <c r="O52" i="141"/>
  <c r="A53" i="141"/>
  <c r="C53" i="141"/>
  <c r="F53" i="141"/>
  <c r="I53" i="141"/>
  <c r="L53" i="141"/>
  <c r="O53" i="141"/>
  <c r="A54" i="141"/>
  <c r="C54" i="141"/>
  <c r="F54" i="141"/>
  <c r="I54" i="141"/>
  <c r="L54" i="141"/>
  <c r="O54" i="141"/>
  <c r="A55" i="141"/>
  <c r="C55" i="141"/>
  <c r="F55" i="141"/>
  <c r="I55" i="141"/>
  <c r="L55" i="141"/>
  <c r="O55" i="141"/>
  <c r="A56" i="141"/>
  <c r="C56" i="141"/>
  <c r="F56" i="141"/>
  <c r="I56" i="141"/>
  <c r="L56" i="141"/>
  <c r="O56" i="141"/>
  <c r="A57" i="141"/>
  <c r="C57" i="141"/>
  <c r="F57" i="141"/>
  <c r="I57" i="141"/>
  <c r="L57" i="141"/>
  <c r="O57" i="141"/>
  <c r="A58" i="141"/>
  <c r="C58" i="141"/>
  <c r="F58" i="141"/>
  <c r="I58" i="141"/>
  <c r="L58" i="141"/>
  <c r="O58" i="141"/>
  <c r="A59" i="141"/>
  <c r="C59" i="141"/>
  <c r="F59" i="141"/>
  <c r="I59" i="141"/>
  <c r="L59" i="141"/>
  <c r="O59" i="141"/>
  <c r="A60" i="141"/>
  <c r="C60" i="141"/>
  <c r="F60" i="141"/>
  <c r="I60" i="141"/>
  <c r="L60" i="141"/>
  <c r="O60" i="141"/>
  <c r="A61" i="141"/>
  <c r="C61" i="141"/>
  <c r="F61" i="141"/>
  <c r="I61" i="141"/>
  <c r="L61" i="141"/>
  <c r="O61" i="141"/>
  <c r="A62" i="141"/>
  <c r="C62" i="141"/>
  <c r="F62" i="141"/>
  <c r="I62" i="141"/>
  <c r="L62" i="141"/>
  <c r="O62" i="141"/>
  <c r="A63" i="141"/>
  <c r="C63" i="141"/>
  <c r="F63" i="141"/>
  <c r="I63" i="141"/>
  <c r="L63" i="141"/>
  <c r="O63" i="141"/>
  <c r="A64" i="141"/>
  <c r="C64" i="141"/>
  <c r="F64" i="141"/>
  <c r="I64" i="141"/>
  <c r="L64" i="141"/>
  <c r="O64" i="141"/>
  <c r="A65" i="141"/>
  <c r="C65" i="141"/>
  <c r="F65" i="141"/>
  <c r="I65" i="141"/>
  <c r="L65" i="141"/>
  <c r="O65" i="141"/>
  <c r="A66" i="141"/>
  <c r="C66" i="141"/>
  <c r="F66" i="141"/>
  <c r="I66" i="141"/>
  <c r="L66" i="141"/>
  <c r="O66" i="141"/>
  <c r="A67" i="141"/>
  <c r="C67" i="141"/>
  <c r="F67" i="141"/>
  <c r="I67" i="141"/>
  <c r="L67" i="141"/>
  <c r="O67" i="141"/>
  <c r="A68" i="141"/>
  <c r="C68" i="141"/>
  <c r="F68" i="141"/>
  <c r="I68" i="141"/>
  <c r="L68" i="141"/>
  <c r="O68" i="141"/>
  <c r="A69" i="141"/>
  <c r="C69" i="141"/>
  <c r="F69" i="141"/>
  <c r="I69" i="141"/>
  <c r="L69" i="141"/>
  <c r="O69" i="141"/>
  <c r="A70" i="141"/>
  <c r="C70" i="141"/>
  <c r="F70" i="141"/>
  <c r="I70" i="141"/>
  <c r="L70" i="141"/>
  <c r="O70" i="141"/>
  <c r="A71" i="141"/>
  <c r="C71" i="141"/>
  <c r="F71" i="141"/>
  <c r="I71" i="141"/>
  <c r="L71" i="141"/>
  <c r="O71" i="141"/>
  <c r="A72" i="141"/>
  <c r="C72" i="141"/>
  <c r="F72" i="141"/>
  <c r="I72" i="141"/>
  <c r="L72" i="141"/>
  <c r="O72" i="141"/>
  <c r="A73" i="141"/>
  <c r="C73" i="141"/>
  <c r="F73" i="141"/>
  <c r="I73" i="141"/>
  <c r="L73" i="141"/>
  <c r="O73" i="141"/>
  <c r="A74" i="141"/>
  <c r="C74" i="141"/>
  <c r="F74" i="141"/>
  <c r="I74" i="141"/>
  <c r="L74" i="141"/>
  <c r="O74" i="141"/>
  <c r="A75" i="141"/>
  <c r="C75" i="141"/>
  <c r="F75" i="141"/>
  <c r="I75" i="141"/>
  <c r="L75" i="141"/>
  <c r="O75" i="141"/>
  <c r="A76" i="141"/>
  <c r="C76" i="141"/>
  <c r="F76" i="141"/>
  <c r="I76" i="141"/>
  <c r="L76" i="141"/>
  <c r="O76" i="141"/>
  <c r="A77" i="141"/>
  <c r="C77" i="141"/>
  <c r="F77" i="141"/>
  <c r="I77" i="141"/>
  <c r="L77" i="141"/>
  <c r="O77" i="141"/>
  <c r="A78" i="141"/>
  <c r="C78" i="141"/>
  <c r="F78" i="141"/>
  <c r="I78" i="141"/>
  <c r="L78" i="141"/>
  <c r="O78" i="141"/>
  <c r="A79" i="141"/>
  <c r="C79" i="141"/>
  <c r="F79" i="141"/>
  <c r="I79" i="141"/>
  <c r="L79" i="141"/>
  <c r="O79" i="141"/>
  <c r="A80" i="141"/>
  <c r="C80" i="141"/>
  <c r="F80" i="141"/>
  <c r="I80" i="141"/>
  <c r="L80" i="141"/>
  <c r="O80" i="141"/>
  <c r="A81" i="141"/>
  <c r="C81" i="141"/>
  <c r="F81" i="141"/>
  <c r="I81" i="141"/>
  <c r="L81" i="141"/>
  <c r="O81" i="141"/>
  <c r="A82" i="141"/>
  <c r="C82" i="141"/>
  <c r="F82" i="141"/>
  <c r="I82" i="141"/>
  <c r="L82" i="141"/>
  <c r="O82" i="141"/>
  <c r="A83" i="141"/>
  <c r="C83" i="141"/>
  <c r="F83" i="141"/>
  <c r="I83" i="141"/>
  <c r="L83" i="141"/>
  <c r="O83" i="141"/>
  <c r="A84" i="141"/>
  <c r="C84" i="141"/>
  <c r="F84" i="141"/>
  <c r="I84" i="141"/>
  <c r="L84" i="141"/>
  <c r="O84" i="141"/>
  <c r="A85" i="141"/>
  <c r="C85" i="141"/>
  <c r="F85" i="141"/>
  <c r="I85" i="141"/>
  <c r="L85" i="141"/>
  <c r="O85" i="141"/>
  <c r="A86" i="141"/>
  <c r="C86" i="141"/>
  <c r="F86" i="141"/>
  <c r="I86" i="141"/>
  <c r="L86" i="141"/>
  <c r="O86" i="141"/>
  <c r="A87" i="141"/>
  <c r="C87" i="141"/>
  <c r="F87" i="141"/>
  <c r="I87" i="141"/>
  <c r="L87" i="141"/>
  <c r="O87" i="141"/>
  <c r="A88" i="141"/>
  <c r="C88" i="141"/>
  <c r="F88" i="141"/>
  <c r="I88" i="141"/>
  <c r="L88" i="141"/>
  <c r="O88" i="141"/>
  <c r="A89" i="141"/>
  <c r="C89" i="141"/>
  <c r="F89" i="141"/>
  <c r="I89" i="141"/>
  <c r="L89" i="141"/>
  <c r="O89" i="141"/>
  <c r="A90" i="141"/>
  <c r="C90" i="141"/>
  <c r="F90" i="141"/>
  <c r="I90" i="141"/>
  <c r="L90" i="141"/>
  <c r="O90" i="141"/>
  <c r="A91" i="141"/>
  <c r="C91" i="141"/>
  <c r="F91" i="141"/>
  <c r="I91" i="141"/>
  <c r="L91" i="141"/>
  <c r="O91" i="141"/>
  <c r="A92" i="141"/>
  <c r="C92" i="141"/>
  <c r="F92" i="141"/>
  <c r="I92" i="141"/>
  <c r="L92" i="141"/>
  <c r="O92" i="141"/>
  <c r="A93" i="141"/>
  <c r="C93" i="141"/>
  <c r="F93" i="141"/>
  <c r="I93" i="141"/>
  <c r="L93" i="141"/>
  <c r="O93" i="141"/>
  <c r="A94" i="141"/>
  <c r="C94" i="141"/>
  <c r="F94" i="141"/>
  <c r="I94" i="141"/>
  <c r="L94" i="141"/>
  <c r="O94" i="141"/>
  <c r="A95" i="141"/>
  <c r="C95" i="141"/>
  <c r="F95" i="141"/>
  <c r="I95" i="141"/>
  <c r="L95" i="141"/>
  <c r="O95" i="141"/>
  <c r="A96" i="141"/>
  <c r="C96" i="141"/>
  <c r="F96" i="141"/>
  <c r="I96" i="141"/>
  <c r="L96" i="141"/>
  <c r="O96" i="141"/>
  <c r="A97" i="141"/>
  <c r="C97" i="141"/>
  <c r="F97" i="141"/>
  <c r="I97" i="141"/>
  <c r="L97" i="141"/>
  <c r="O97" i="141"/>
  <c r="A98" i="141"/>
  <c r="C98" i="141"/>
  <c r="F98" i="141"/>
  <c r="I98" i="141"/>
  <c r="L98" i="141"/>
  <c r="O98" i="141"/>
  <c r="A99" i="141"/>
  <c r="C99" i="141"/>
  <c r="F99" i="141"/>
  <c r="I99" i="141"/>
  <c r="L99" i="141"/>
  <c r="O99" i="141"/>
  <c r="A100" i="141"/>
  <c r="C100" i="141"/>
  <c r="F100" i="141"/>
  <c r="I100" i="141"/>
  <c r="L100" i="141"/>
  <c r="O100" i="141"/>
  <c r="A101" i="141"/>
  <c r="C101" i="141"/>
  <c r="F101" i="141"/>
  <c r="I101" i="141"/>
  <c r="L101" i="141"/>
  <c r="O101" i="141"/>
  <c r="A102" i="141"/>
  <c r="C102" i="141"/>
  <c r="F102" i="141"/>
  <c r="I102" i="141"/>
  <c r="L102" i="141"/>
  <c r="O102" i="141"/>
  <c r="L10" i="155"/>
  <c r="L9" i="149"/>
  <c r="H23" i="150"/>
  <c r="H24" i="150"/>
  <c r="H25" i="150"/>
  <c r="H26" i="150"/>
  <c r="H27" i="150"/>
  <c r="B1" i="156"/>
  <c r="U11" i="155"/>
  <c r="R11" i="155"/>
  <c r="O11" i="155"/>
  <c r="L11" i="155"/>
  <c r="I11" i="155"/>
  <c r="R48" i="147"/>
  <c r="O48" i="147"/>
  <c r="L48" i="147"/>
  <c r="I48" i="147"/>
  <c r="R26" i="147"/>
  <c r="O26" i="147"/>
  <c r="L26" i="147"/>
  <c r="I26" i="147"/>
  <c r="T32" i="148"/>
  <c r="R13" i="155"/>
  <c r="L13" i="155"/>
  <c r="C9" i="149"/>
  <c r="N30" i="148"/>
  <c r="N28" i="148"/>
  <c r="N26" i="148"/>
  <c r="N24" i="148"/>
  <c r="N22" i="148"/>
  <c r="N20" i="148"/>
  <c r="N18" i="148"/>
  <c r="N16" i="148"/>
  <c r="N14" i="148"/>
  <c r="K30" i="148"/>
  <c r="K28" i="148"/>
  <c r="K26" i="148"/>
  <c r="K24" i="148"/>
  <c r="K22" i="148"/>
  <c r="K20" i="148"/>
  <c r="K18" i="148"/>
  <c r="K16" i="148"/>
  <c r="K14" i="148"/>
  <c r="H30" i="148"/>
  <c r="H28" i="148"/>
  <c r="H26" i="148"/>
  <c r="H24" i="148"/>
  <c r="H22" i="148"/>
  <c r="H20" i="148"/>
  <c r="H18" i="148"/>
  <c r="H16" i="148"/>
  <c r="H14" i="148"/>
  <c r="E30" i="148"/>
  <c r="E28" i="148"/>
  <c r="E26" i="148"/>
  <c r="E24" i="148"/>
  <c r="E22" i="148"/>
  <c r="E20" i="148"/>
  <c r="E18" i="148"/>
  <c r="E16" i="148"/>
  <c r="E14" i="148"/>
  <c r="B30" i="148"/>
  <c r="A30" i="148"/>
  <c r="B28" i="148"/>
  <c r="A28" i="148"/>
  <c r="B26" i="148"/>
  <c r="A26" i="148"/>
  <c r="B24" i="148"/>
  <c r="A24" i="148"/>
  <c r="B22" i="148"/>
  <c r="A22" i="148"/>
  <c r="R24" i="148"/>
  <c r="R22" i="148"/>
  <c r="R30" i="148"/>
  <c r="R28" i="148"/>
  <c r="R26" i="148"/>
  <c r="B20" i="148"/>
  <c r="A20" i="148"/>
  <c r="B18" i="148"/>
  <c r="A18" i="148"/>
  <c r="B16" i="148"/>
  <c r="A16" i="148"/>
  <c r="B14" i="148"/>
  <c r="A14" i="148"/>
  <c r="AF9" i="146"/>
  <c r="AC9" i="146"/>
  <c r="Z9" i="146"/>
  <c r="W9" i="146"/>
  <c r="T9" i="146"/>
  <c r="I9" i="141"/>
  <c r="R32" i="148"/>
  <c r="R20" i="148"/>
  <c r="R18" i="148"/>
  <c r="R16" i="148"/>
  <c r="R14" i="148"/>
  <c r="R12" i="148"/>
  <c r="I55" i="142"/>
  <c r="A221" i="141"/>
  <c r="O18" i="141"/>
  <c r="L18" i="141"/>
  <c r="I18" i="141"/>
  <c r="F18" i="141"/>
  <c r="C18" i="141"/>
  <c r="A18" i="141"/>
  <c r="O17" i="141"/>
  <c r="L17" i="141"/>
  <c r="I17" i="141"/>
  <c r="F17" i="141"/>
  <c r="C17" i="141"/>
  <c r="A17" i="141"/>
  <c r="O16" i="141"/>
  <c r="L16" i="141"/>
  <c r="I16" i="141"/>
  <c r="F16" i="141"/>
  <c r="C16" i="141"/>
  <c r="A16" i="141"/>
  <c r="O15" i="141"/>
  <c r="L15" i="141"/>
  <c r="I15" i="141"/>
  <c r="F15" i="141"/>
  <c r="C15" i="141"/>
  <c r="A15" i="141"/>
  <c r="O14" i="141"/>
  <c r="L14" i="141"/>
  <c r="I14" i="141"/>
  <c r="F14" i="141"/>
  <c r="C14" i="141"/>
  <c r="A14" i="141"/>
  <c r="A13" i="141"/>
  <c r="AI42" i="146"/>
  <c r="AI41" i="146"/>
  <c r="AI40" i="146"/>
  <c r="AI27" i="146"/>
  <c r="AI26" i="146"/>
  <c r="AI25" i="146"/>
  <c r="AI24" i="146"/>
  <c r="AI22" i="146"/>
  <c r="AI21" i="146"/>
  <c r="AI20" i="146"/>
  <c r="AI19" i="146"/>
  <c r="AI18" i="146"/>
  <c r="AI17" i="146"/>
  <c r="AI16" i="146"/>
  <c r="AF45" i="146"/>
  <c r="AC45" i="146"/>
  <c r="Z45" i="146"/>
  <c r="W45" i="146"/>
  <c r="T45" i="146"/>
  <c r="AH42" i="146"/>
  <c r="AE42" i="146"/>
  <c r="AB42" i="146"/>
  <c r="Y42" i="146"/>
  <c r="V42" i="146"/>
  <c r="AH41" i="146"/>
  <c r="AK41" i="146" s="1"/>
  <c r="AE41" i="146"/>
  <c r="AB41" i="146"/>
  <c r="Y41" i="146"/>
  <c r="V41" i="146"/>
  <c r="AH40" i="146"/>
  <c r="AE40" i="146"/>
  <c r="AB40" i="146"/>
  <c r="Y40" i="146"/>
  <c r="V40" i="146"/>
  <c r="AF30" i="146"/>
  <c r="AC30" i="146"/>
  <c r="Z30" i="146"/>
  <c r="W30" i="146"/>
  <c r="T30" i="146"/>
  <c r="AH27" i="146"/>
  <c r="AE27" i="146"/>
  <c r="AB27" i="146"/>
  <c r="Y27" i="146"/>
  <c r="V27" i="146"/>
  <c r="AH26" i="146"/>
  <c r="AE26" i="146"/>
  <c r="AB26" i="146"/>
  <c r="Y26" i="146"/>
  <c r="V26" i="146"/>
  <c r="AH25" i="146"/>
  <c r="AE25" i="146"/>
  <c r="AB25" i="146"/>
  <c r="Y25" i="146"/>
  <c r="V25" i="146"/>
  <c r="AH24" i="146"/>
  <c r="AE24" i="146"/>
  <c r="AB24" i="146"/>
  <c r="Y24" i="146"/>
  <c r="V24" i="146"/>
  <c r="AH22" i="146"/>
  <c r="AE22" i="146"/>
  <c r="AB22" i="146"/>
  <c r="Y22" i="146"/>
  <c r="V22" i="146"/>
  <c r="AH21" i="146"/>
  <c r="AK21" i="146" s="1"/>
  <c r="AE21" i="146"/>
  <c r="AB21" i="146"/>
  <c r="Y21" i="146"/>
  <c r="V21" i="146"/>
  <c r="AH20" i="146"/>
  <c r="AE20" i="146"/>
  <c r="AB20" i="146"/>
  <c r="Y20" i="146"/>
  <c r="V20" i="146"/>
  <c r="AH19" i="146"/>
  <c r="AE19" i="146"/>
  <c r="AB19" i="146"/>
  <c r="Y19" i="146"/>
  <c r="V19" i="146"/>
  <c r="AH18" i="146"/>
  <c r="AE18" i="146"/>
  <c r="AB18" i="146"/>
  <c r="Y18" i="146"/>
  <c r="V18" i="146"/>
  <c r="AH17" i="146"/>
  <c r="AE17" i="146"/>
  <c r="AB17" i="146"/>
  <c r="Y17" i="146"/>
  <c r="V17" i="146"/>
  <c r="AH16" i="146"/>
  <c r="AE16" i="146"/>
  <c r="AB16" i="146"/>
  <c r="Y16" i="146"/>
  <c r="V16" i="146"/>
  <c r="AB42" i="8"/>
  <c r="AE42" i="8" s="1"/>
  <c r="AE41" i="8"/>
  <c r="AB33" i="8"/>
  <c r="AE33" i="8" s="1"/>
  <c r="AE32" i="8"/>
  <c r="E50" i="151"/>
  <c r="A5" i="151"/>
  <c r="A4" i="151"/>
  <c r="A3" i="151"/>
  <c r="A2" i="151"/>
  <c r="A1" i="151"/>
  <c r="G17" i="151"/>
  <c r="K17" i="151" s="1"/>
  <c r="G18" i="151"/>
  <c r="K18" i="151" s="1"/>
  <c r="G19" i="151"/>
  <c r="K19" i="151" s="1"/>
  <c r="G20" i="151"/>
  <c r="K20" i="151" s="1"/>
  <c r="G21" i="151"/>
  <c r="K21" i="151" s="1"/>
  <c r="G22" i="151"/>
  <c r="K22" i="151"/>
  <c r="G23" i="151"/>
  <c r="K23" i="151" s="1"/>
  <c r="G24" i="151"/>
  <c r="K24" i="151" s="1"/>
  <c r="G25" i="151"/>
  <c r="K25" i="151"/>
  <c r="G26" i="151"/>
  <c r="K26" i="151" s="1"/>
  <c r="G27" i="151"/>
  <c r="K27" i="151" s="1"/>
  <c r="G28" i="151"/>
  <c r="K28" i="151" s="1"/>
  <c r="G29" i="151"/>
  <c r="K29" i="151" s="1"/>
  <c r="G30" i="151"/>
  <c r="K30" i="151" s="1"/>
  <c r="G31" i="151"/>
  <c r="K31" i="151" s="1"/>
  <c r="G32" i="151"/>
  <c r="K32" i="151" s="1"/>
  <c r="G33" i="151"/>
  <c r="K33" i="151" s="1"/>
  <c r="G34" i="151"/>
  <c r="K34" i="151" s="1"/>
  <c r="G35" i="151"/>
  <c r="K35" i="151" s="1"/>
  <c r="G36" i="151"/>
  <c r="K36" i="151" s="1"/>
  <c r="G37" i="151"/>
  <c r="K37" i="151" s="1"/>
  <c r="G38" i="151"/>
  <c r="K38" i="151" s="1"/>
  <c r="G39" i="151"/>
  <c r="K39" i="151" s="1"/>
  <c r="G40" i="151"/>
  <c r="K40" i="151" s="1"/>
  <c r="G41" i="151"/>
  <c r="K41" i="151"/>
  <c r="G42" i="151"/>
  <c r="K42" i="151" s="1"/>
  <c r="G43" i="151"/>
  <c r="K43" i="151" s="1"/>
  <c r="G44" i="151"/>
  <c r="K44" i="151" s="1"/>
  <c r="G45" i="151"/>
  <c r="K45" i="151" s="1"/>
  <c r="G46" i="151"/>
  <c r="K46" i="151" s="1"/>
  <c r="G47" i="151"/>
  <c r="K47" i="151" s="1"/>
  <c r="G48" i="151"/>
  <c r="K48" i="151" s="1"/>
  <c r="G49" i="151"/>
  <c r="K49" i="151" s="1"/>
  <c r="G16" i="151"/>
  <c r="K16" i="151" s="1"/>
  <c r="B1" i="150"/>
  <c r="R23" i="147"/>
  <c r="O23" i="147"/>
  <c r="L23" i="147"/>
  <c r="I23" i="147"/>
  <c r="O35" i="148"/>
  <c r="L35" i="148"/>
  <c r="I35" i="148"/>
  <c r="F35" i="148"/>
  <c r="C35" i="148"/>
  <c r="H140" i="145"/>
  <c r="B137" i="145"/>
  <c r="A1" i="147"/>
  <c r="A5" i="146"/>
  <c r="A4" i="146"/>
  <c r="A3" i="146"/>
  <c r="A2" i="146"/>
  <c r="A1" i="146"/>
  <c r="A5" i="141"/>
  <c r="A4" i="141"/>
  <c r="A3" i="141"/>
  <c r="A2" i="141"/>
  <c r="A1" i="141"/>
  <c r="A5" i="148"/>
  <c r="A4" i="148"/>
  <c r="A3" i="148"/>
  <c r="A2" i="148"/>
  <c r="A1" i="148"/>
  <c r="B5" i="149"/>
  <c r="B4" i="149"/>
  <c r="B3" i="149"/>
  <c r="B2" i="149"/>
  <c r="B1" i="149"/>
  <c r="G114" i="145"/>
  <c r="R15" i="147"/>
  <c r="O15" i="147"/>
  <c r="L15" i="147"/>
  <c r="I15" i="147"/>
  <c r="F26" i="147"/>
  <c r="Q32" i="148"/>
  <c r="N9" i="148"/>
  <c r="K9" i="148"/>
  <c r="H9" i="148"/>
  <c r="E9" i="148"/>
  <c r="B9" i="148"/>
  <c r="F48" i="147"/>
  <c r="U32" i="147"/>
  <c r="Q45" i="146"/>
  <c r="N45" i="146"/>
  <c r="K45" i="146"/>
  <c r="H45" i="146"/>
  <c r="E45" i="146"/>
  <c r="S42" i="146"/>
  <c r="P42" i="146"/>
  <c r="M42" i="146"/>
  <c r="J42" i="146"/>
  <c r="G42" i="146"/>
  <c r="S41" i="146"/>
  <c r="P41" i="146"/>
  <c r="M41" i="146"/>
  <c r="J41" i="146"/>
  <c r="G41" i="146"/>
  <c r="S40" i="146"/>
  <c r="P40" i="146"/>
  <c r="G40" i="146"/>
  <c r="J40" i="146"/>
  <c r="M40" i="146"/>
  <c r="Q30" i="146"/>
  <c r="N30" i="146"/>
  <c r="K30" i="146"/>
  <c r="H30" i="146"/>
  <c r="E30" i="146"/>
  <c r="S27" i="146"/>
  <c r="AK27" i="146" s="1"/>
  <c r="P27" i="146"/>
  <c r="M27" i="146"/>
  <c r="J27" i="146"/>
  <c r="G27" i="146"/>
  <c r="S26" i="146"/>
  <c r="P26" i="146"/>
  <c r="M26" i="146"/>
  <c r="J26" i="146"/>
  <c r="AK26" i="146" s="1"/>
  <c r="G26" i="146"/>
  <c r="S25" i="146"/>
  <c r="P25" i="146"/>
  <c r="M25" i="146"/>
  <c r="J25" i="146"/>
  <c r="G25" i="146"/>
  <c r="S24" i="146"/>
  <c r="P24" i="146"/>
  <c r="AK24" i="146" s="1"/>
  <c r="M24" i="146"/>
  <c r="J24" i="146"/>
  <c r="G24" i="146"/>
  <c r="S22" i="146"/>
  <c r="P22" i="146"/>
  <c r="M22" i="146"/>
  <c r="J22" i="146"/>
  <c r="G22" i="146"/>
  <c r="S21" i="146"/>
  <c r="P21" i="146"/>
  <c r="M21" i="146"/>
  <c r="J21" i="146"/>
  <c r="G21" i="146"/>
  <c r="S20" i="146"/>
  <c r="P20" i="146"/>
  <c r="M20" i="146"/>
  <c r="AK20" i="146" s="1"/>
  <c r="J20" i="146"/>
  <c r="G20" i="146"/>
  <c r="S19" i="146"/>
  <c r="P19" i="146"/>
  <c r="M19" i="146"/>
  <c r="J19" i="146"/>
  <c r="G19" i="146"/>
  <c r="S18" i="146"/>
  <c r="AK18" i="146" s="1"/>
  <c r="P18" i="146"/>
  <c r="M18" i="146"/>
  <c r="J18" i="146"/>
  <c r="G18" i="146"/>
  <c r="S17" i="146"/>
  <c r="P17" i="146"/>
  <c r="M17" i="146"/>
  <c r="J17" i="146"/>
  <c r="G17" i="146"/>
  <c r="S16" i="146"/>
  <c r="P16" i="146"/>
  <c r="M16" i="146"/>
  <c r="J16" i="146"/>
  <c r="G16" i="146"/>
  <c r="AK16" i="146" s="1"/>
  <c r="D31" i="146"/>
  <c r="D32" i="146"/>
  <c r="D33" i="146"/>
  <c r="D48" i="146"/>
  <c r="D47" i="146"/>
  <c r="D46" i="146"/>
  <c r="R17" i="147"/>
  <c r="L17" i="147"/>
  <c r="I17" i="147"/>
  <c r="F17" i="147"/>
  <c r="D65" i="8"/>
  <c r="E65" i="8"/>
  <c r="F64" i="8"/>
  <c r="F63" i="8"/>
  <c r="F62" i="8"/>
  <c r="J23" i="8"/>
  <c r="M23" i="8" s="1"/>
  <c r="P23" i="8" s="1"/>
  <c r="S23" i="8" s="1"/>
  <c r="V23" i="8" s="1"/>
  <c r="Y23" i="8" s="1"/>
  <c r="AB23" i="8" s="1"/>
  <c r="AE23" i="8" s="1"/>
  <c r="AH23" i="8" s="1"/>
  <c r="A228" i="141"/>
  <c r="A227" i="141"/>
  <c r="A226" i="141"/>
  <c r="A225" i="141"/>
  <c r="A224" i="141"/>
  <c r="A223" i="141"/>
  <c r="A222" i="141"/>
  <c r="A214" i="141"/>
  <c r="A207" i="141"/>
  <c r="A200" i="141"/>
  <c r="A193" i="141"/>
  <c r="A192" i="141"/>
  <c r="A116" i="141"/>
  <c r="A28" i="141"/>
  <c r="A27" i="141"/>
  <c r="A20" i="141"/>
  <c r="A12" i="141"/>
  <c r="C215" i="141"/>
  <c r="C216" i="141"/>
  <c r="C217" i="141"/>
  <c r="C218" i="141"/>
  <c r="C219" i="141"/>
  <c r="C195" i="141"/>
  <c r="C196" i="141"/>
  <c r="C194" i="141"/>
  <c r="C197" i="141"/>
  <c r="C198" i="141"/>
  <c r="A195" i="141"/>
  <c r="A196" i="141"/>
  <c r="A197" i="141"/>
  <c r="A198" i="141"/>
  <c r="A194" i="141"/>
  <c r="A215" i="141"/>
  <c r="A216" i="141"/>
  <c r="A217" i="141"/>
  <c r="A218" i="141"/>
  <c r="A219" i="141"/>
  <c r="B37" i="142"/>
  <c r="B38" i="142"/>
  <c r="B39" i="142"/>
  <c r="E17" i="142"/>
  <c r="H19" i="144"/>
  <c r="C201" i="141"/>
  <c r="C202" i="141"/>
  <c r="F202" i="141"/>
  <c r="I202" i="141"/>
  <c r="L202" i="141"/>
  <c r="O202" i="141"/>
  <c r="C203" i="141"/>
  <c r="C204" i="141"/>
  <c r="C205" i="141"/>
  <c r="F201" i="141"/>
  <c r="I201" i="141"/>
  <c r="L201" i="141"/>
  <c r="O201" i="141"/>
  <c r="F203" i="141"/>
  <c r="F204" i="141"/>
  <c r="F205" i="141"/>
  <c r="I203" i="141"/>
  <c r="I204" i="141"/>
  <c r="I205" i="141"/>
  <c r="L203" i="141"/>
  <c r="O203" i="141"/>
  <c r="L204" i="141"/>
  <c r="L205" i="141"/>
  <c r="O204" i="141"/>
  <c r="O205" i="141"/>
  <c r="F215" i="141"/>
  <c r="I215" i="141"/>
  <c r="L215" i="141"/>
  <c r="O215" i="141"/>
  <c r="F216" i="141"/>
  <c r="I216" i="141"/>
  <c r="L216" i="141"/>
  <c r="O216" i="141"/>
  <c r="F217" i="141"/>
  <c r="I217" i="141"/>
  <c r="L217" i="141"/>
  <c r="O217" i="141"/>
  <c r="F218" i="141"/>
  <c r="I218" i="141"/>
  <c r="L218" i="141"/>
  <c r="O218" i="141"/>
  <c r="F219" i="141"/>
  <c r="I219" i="141"/>
  <c r="L219" i="141"/>
  <c r="O219" i="141"/>
  <c r="A205" i="141"/>
  <c r="A204" i="141"/>
  <c r="A203" i="141"/>
  <c r="A202" i="141"/>
  <c r="A201" i="141"/>
  <c r="O208" i="141"/>
  <c r="O209" i="141"/>
  <c r="O210" i="141"/>
  <c r="O211" i="141"/>
  <c r="O212" i="141"/>
  <c r="O194" i="141"/>
  <c r="O195" i="141"/>
  <c r="O196" i="141"/>
  <c r="O197" i="141"/>
  <c r="O198" i="141"/>
  <c r="F198" i="141"/>
  <c r="I198" i="141"/>
  <c r="L198" i="141"/>
  <c r="O117" i="141"/>
  <c r="O190" i="141"/>
  <c r="O29" i="141"/>
  <c r="O21" i="141"/>
  <c r="O22" i="141"/>
  <c r="O23" i="141"/>
  <c r="O24" i="141"/>
  <c r="O25" i="141"/>
  <c r="L208" i="141"/>
  <c r="L209" i="141"/>
  <c r="L210" i="141"/>
  <c r="L211" i="141"/>
  <c r="L212" i="141"/>
  <c r="L194" i="141"/>
  <c r="L195" i="141"/>
  <c r="L196" i="141"/>
  <c r="L197" i="141"/>
  <c r="F197" i="141"/>
  <c r="I197" i="141"/>
  <c r="L117" i="141"/>
  <c r="L190" i="141"/>
  <c r="L29" i="141"/>
  <c r="L21" i="141"/>
  <c r="C21" i="141"/>
  <c r="F21" i="141"/>
  <c r="I21" i="141"/>
  <c r="L22" i="141"/>
  <c r="L23" i="141"/>
  <c r="L24" i="141"/>
  <c r="L25" i="141"/>
  <c r="I208" i="141"/>
  <c r="I209" i="141"/>
  <c r="I210" i="141"/>
  <c r="I211" i="141"/>
  <c r="I212" i="141"/>
  <c r="I194" i="141"/>
  <c r="I195" i="141"/>
  <c r="I196" i="141"/>
  <c r="I117" i="141"/>
  <c r="I190" i="141"/>
  <c r="I29" i="141"/>
  <c r="I22" i="141"/>
  <c r="I23" i="141"/>
  <c r="I24" i="141"/>
  <c r="I25" i="141"/>
  <c r="F208" i="141"/>
  <c r="F209" i="141"/>
  <c r="F210" i="141"/>
  <c r="F211" i="141"/>
  <c r="F212" i="141"/>
  <c r="F194" i="141"/>
  <c r="F195" i="141"/>
  <c r="F196" i="141"/>
  <c r="F117" i="141"/>
  <c r="F190" i="141"/>
  <c r="F29" i="141"/>
  <c r="F22" i="141"/>
  <c r="F23" i="141"/>
  <c r="F24" i="141"/>
  <c r="F25" i="141"/>
  <c r="C208" i="141"/>
  <c r="C209" i="141"/>
  <c r="C210" i="141"/>
  <c r="C211" i="141"/>
  <c r="C212" i="141"/>
  <c r="C117" i="141"/>
  <c r="C190" i="141"/>
  <c r="C29" i="141"/>
  <c r="C22" i="141"/>
  <c r="C23" i="141"/>
  <c r="C24" i="141"/>
  <c r="C25" i="141"/>
  <c r="B52" i="142"/>
  <c r="B51" i="142"/>
  <c r="B50" i="142"/>
  <c r="B49" i="142"/>
  <c r="M44" i="142"/>
  <c r="K44" i="142"/>
  <c r="I44" i="142"/>
  <c r="G44" i="142"/>
  <c r="G40" i="142"/>
  <c r="I40" i="142"/>
  <c r="K40" i="142"/>
  <c r="M39" i="142"/>
  <c r="M38" i="142"/>
  <c r="M37" i="142"/>
  <c r="M36" i="142"/>
  <c r="B36" i="142"/>
  <c r="M24" i="142"/>
  <c r="K17" i="142"/>
  <c r="I17" i="142"/>
  <c r="G17" i="142"/>
  <c r="M9" i="142"/>
  <c r="M10" i="142"/>
  <c r="M11" i="142"/>
  <c r="K12" i="142"/>
  <c r="G12" i="142"/>
  <c r="E12" i="142"/>
  <c r="A209" i="141"/>
  <c r="A210" i="141"/>
  <c r="A211" i="141"/>
  <c r="A212" i="141"/>
  <c r="A190" i="141"/>
  <c r="A208" i="141"/>
  <c r="A117" i="141"/>
  <c r="A29" i="141"/>
  <c r="A22" i="141"/>
  <c r="A23" i="141"/>
  <c r="A24" i="141"/>
  <c r="A25" i="141"/>
  <c r="A21" i="141"/>
  <c r="B114" i="145"/>
  <c r="C15" i="149"/>
  <c r="AK40" i="146"/>
  <c r="R12" i="150"/>
  <c r="F23" i="147"/>
  <c r="O10" i="147"/>
  <c r="O32" i="147" s="1"/>
  <c r="F19" i="147"/>
  <c r="I37" i="147"/>
  <c r="C19" i="149"/>
  <c r="S19" i="149" s="1"/>
  <c r="O37" i="147"/>
  <c r="L37" i="147"/>
  <c r="R37" i="147"/>
  <c r="I53" i="142"/>
  <c r="K53" i="142"/>
  <c r="G53" i="142"/>
  <c r="M53" i="142"/>
  <c r="H55" i="155"/>
  <c r="K116" i="145"/>
  <c r="AK17" i="146" l="1"/>
  <c r="AK42" i="146"/>
  <c r="R29" i="163"/>
  <c r="T29" i="163" s="1"/>
  <c r="O154" i="144"/>
  <c r="M67" i="163"/>
  <c r="T61" i="163"/>
  <c r="Q65" i="163"/>
  <c r="E18" i="162" s="1"/>
  <c r="E19" i="162" s="1"/>
  <c r="P71" i="161" s="1"/>
  <c r="P72" i="161" s="1"/>
  <c r="E13" i="160" s="1"/>
  <c r="K67" i="163"/>
  <c r="B18" i="162"/>
  <c r="B17" i="162"/>
  <c r="F10" i="162"/>
  <c r="F17" i="162" s="1"/>
  <c r="AH42" i="8"/>
  <c r="F38" i="159"/>
  <c r="M40" i="142"/>
  <c r="AK19" i="146"/>
  <c r="AK25" i="146"/>
  <c r="O65" i="163"/>
  <c r="D18" i="162" s="1"/>
  <c r="D19" i="162" s="1"/>
  <c r="N71" i="161" s="1"/>
  <c r="N72" i="161" s="1"/>
  <c r="D13" i="160" s="1"/>
  <c r="S87" i="161"/>
  <c r="J36" i="144"/>
  <c r="O36" i="144" s="1"/>
  <c r="O226" i="144"/>
  <c r="O227" i="144"/>
  <c r="O228" i="144"/>
  <c r="O229" i="144"/>
  <c r="O81" i="144"/>
  <c r="O80" i="144"/>
  <c r="O82" i="144"/>
  <c r="O83" i="144"/>
  <c r="O49" i="144"/>
  <c r="O69" i="144"/>
  <c r="O67" i="144"/>
  <c r="O48" i="144"/>
  <c r="O68" i="144"/>
  <c r="O66" i="144"/>
  <c r="O51" i="144"/>
  <c r="O50" i="144"/>
  <c r="J37" i="144"/>
  <c r="S12" i="144"/>
  <c r="O206" i="144"/>
  <c r="S140" i="161"/>
  <c r="O261" i="144"/>
  <c r="O263" i="144"/>
  <c r="O260" i="144"/>
  <c r="O225" i="144"/>
  <c r="P222" i="144" s="1"/>
  <c r="O246" i="144"/>
  <c r="O247" i="144"/>
  <c r="O262" i="144"/>
  <c r="O248" i="144"/>
  <c r="O249" i="144"/>
  <c r="L280" i="144"/>
  <c r="O280" i="144"/>
  <c r="N28" i="159"/>
  <c r="K38" i="159"/>
  <c r="AK22" i="146"/>
  <c r="G50" i="151"/>
  <c r="N12" i="159"/>
  <c r="L243" i="144"/>
  <c r="O243" i="144"/>
  <c r="L214" i="144"/>
  <c r="O214" i="144"/>
  <c r="O208" i="144"/>
  <c r="O209" i="144"/>
  <c r="O210" i="144"/>
  <c r="O211" i="144"/>
  <c r="O212" i="144"/>
  <c r="L175" i="144"/>
  <c r="L206" i="144"/>
  <c r="O170" i="144"/>
  <c r="O169" i="144"/>
  <c r="O172" i="144"/>
  <c r="O171" i="144"/>
  <c r="O173" i="144"/>
  <c r="L154" i="144"/>
  <c r="J166" i="144"/>
  <c r="L166" i="144" s="1"/>
  <c r="J256" i="144"/>
  <c r="L256" i="144" s="1"/>
  <c r="J62" i="144"/>
  <c r="L62" i="144" s="1"/>
  <c r="J63" i="144"/>
  <c r="O70" i="144"/>
  <c r="O61" i="144"/>
  <c r="O60" i="144"/>
  <c r="J135" i="144"/>
  <c r="L135" i="144" s="1"/>
  <c r="E32" i="8"/>
  <c r="P32" i="8" s="1"/>
  <c r="J125" i="144"/>
  <c r="O125" i="144" s="1"/>
  <c r="J18" i="144"/>
  <c r="O18" i="144" s="1"/>
  <c r="J204" i="144"/>
  <c r="J27" i="144"/>
  <c r="L27" i="144" s="1"/>
  <c r="J255" i="144"/>
  <c r="L255" i="144" s="1"/>
  <c r="J26" i="144"/>
  <c r="O26" i="144" s="1"/>
  <c r="J96" i="144"/>
  <c r="L96" i="144" s="1"/>
  <c r="J254" i="144"/>
  <c r="J76" i="144"/>
  <c r="O76" i="144" s="1"/>
  <c r="J158" i="144"/>
  <c r="F65" i="8"/>
  <c r="E8" i="160"/>
  <c r="Q34" i="161"/>
  <c r="S34" i="161" s="1"/>
  <c r="B9" i="160"/>
  <c r="F9" i="160" s="1"/>
  <c r="S26" i="161"/>
  <c r="Q29" i="161"/>
  <c r="S29" i="161" s="1"/>
  <c r="S33" i="161"/>
  <c r="C8" i="160"/>
  <c r="J77" i="144"/>
  <c r="J205" i="144"/>
  <c r="L205" i="144" s="1"/>
  <c r="J215" i="144"/>
  <c r="O215" i="144" s="1"/>
  <c r="J151" i="144"/>
  <c r="O151" i="144" s="1"/>
  <c r="K50" i="151"/>
  <c r="J281" i="144"/>
  <c r="J278" i="144"/>
  <c r="O278" i="144" s="1"/>
  <c r="J241" i="144"/>
  <c r="J196" i="144"/>
  <c r="O257" i="144"/>
  <c r="J94" i="144"/>
  <c r="L94" i="144" s="1"/>
  <c r="J75" i="144"/>
  <c r="L75" i="144" s="1"/>
  <c r="J17" i="144"/>
  <c r="L17" i="144" s="1"/>
  <c r="AH33" i="8"/>
  <c r="J268" i="144"/>
  <c r="O268" i="144" s="1"/>
  <c r="J195" i="144"/>
  <c r="J143" i="144"/>
  <c r="L143" i="144" s="1"/>
  <c r="J134" i="144"/>
  <c r="L134" i="144" s="1"/>
  <c r="J126" i="144"/>
  <c r="L126" i="144" s="1"/>
  <c r="J28" i="144"/>
  <c r="O28" i="144" s="1"/>
  <c r="N20" i="159"/>
  <c r="J277" i="144"/>
  <c r="J122" i="144"/>
  <c r="J185" i="144"/>
  <c r="L185" i="144" s="1"/>
  <c r="J269" i="144"/>
  <c r="L269" i="144" s="1"/>
  <c r="J184" i="144"/>
  <c r="L184" i="144" s="1"/>
  <c r="J153" i="144"/>
  <c r="L153" i="144" s="1"/>
  <c r="J216" i="144"/>
  <c r="J203" i="144"/>
  <c r="L203" i="144" s="1"/>
  <c r="J176" i="144"/>
  <c r="E41" i="8"/>
  <c r="P41" i="8" s="1"/>
  <c r="J29" i="144"/>
  <c r="L29" i="144" s="1"/>
  <c r="J133" i="144"/>
  <c r="O133" i="144" s="1"/>
  <c r="O124" i="144"/>
  <c r="O219" i="144"/>
  <c r="O270" i="144"/>
  <c r="J152" i="144"/>
  <c r="O102" i="144"/>
  <c r="O85" i="144"/>
  <c r="J121" i="144"/>
  <c r="J38" i="144"/>
  <c r="O38" i="144" s="1"/>
  <c r="J120" i="144"/>
  <c r="J95" i="144"/>
  <c r="J234" i="144"/>
  <c r="J186" i="144"/>
  <c r="J167" i="144"/>
  <c r="O156" i="144"/>
  <c r="J144" i="144"/>
  <c r="J119" i="144"/>
  <c r="O119" i="144" s="1"/>
  <c r="J87" i="144"/>
  <c r="J45" i="144"/>
  <c r="O175" i="144"/>
  <c r="J242" i="144"/>
  <c r="O242" i="144" s="1"/>
  <c r="J86" i="144"/>
  <c r="O20" i="144"/>
  <c r="O30" i="144"/>
  <c r="I159" i="144"/>
  <c r="J159" i="144" s="1"/>
  <c r="E160" i="144"/>
  <c r="J282" i="144"/>
  <c r="J235" i="144"/>
  <c r="J177" i="144"/>
  <c r="J142" i="144"/>
  <c r="O57" i="144"/>
  <c r="P55" i="144" s="1"/>
  <c r="J19" i="144"/>
  <c r="L19" i="144" s="1"/>
  <c r="J88" i="144"/>
  <c r="E198" i="144"/>
  <c r="J127" i="144"/>
  <c r="J283" i="144"/>
  <c r="J276" i="144"/>
  <c r="J197" i="144"/>
  <c r="J178" i="144"/>
  <c r="J165" i="144"/>
  <c r="J44" i="144"/>
  <c r="L44" i="144" s="1"/>
  <c r="J236" i="144"/>
  <c r="J217" i="144"/>
  <c r="J157" i="144"/>
  <c r="J46" i="144"/>
  <c r="R35" i="148"/>
  <c r="C55" i="142"/>
  <c r="C26" i="149"/>
  <c r="R135" i="141"/>
  <c r="R34" i="152"/>
  <c r="R31" i="155" s="1"/>
  <c r="F16" i="147"/>
  <c r="F9" i="141"/>
  <c r="F9" i="149"/>
  <c r="H9" i="146"/>
  <c r="O12" i="150"/>
  <c r="O13" i="152"/>
  <c r="L56" i="152"/>
  <c r="L53" i="155" s="1"/>
  <c r="R46" i="152"/>
  <c r="R43" i="155" s="1"/>
  <c r="U34" i="152"/>
  <c r="U31" i="155" s="1"/>
  <c r="U46" i="152"/>
  <c r="U43" i="155" s="1"/>
  <c r="R18" i="150"/>
  <c r="U52" i="152"/>
  <c r="U49" i="155" s="1"/>
  <c r="U56" i="152"/>
  <c r="U53" i="155" s="1"/>
  <c r="U55" i="152"/>
  <c r="I28" i="152"/>
  <c r="I25" i="155" s="1"/>
  <c r="I39" i="152"/>
  <c r="I36" i="155" s="1"/>
  <c r="O34" i="152"/>
  <c r="O31" i="155" s="1"/>
  <c r="I56" i="152"/>
  <c r="I53" i="155" s="1"/>
  <c r="O56" i="152"/>
  <c r="O53" i="155" s="1"/>
  <c r="U43" i="152"/>
  <c r="U40" i="155" s="1"/>
  <c r="R187" i="141"/>
  <c r="R131" i="141"/>
  <c r="R123" i="141"/>
  <c r="N9" i="146"/>
  <c r="R91" i="141"/>
  <c r="R83" i="141"/>
  <c r="R71" i="141"/>
  <c r="R31" i="141"/>
  <c r="R103" i="141"/>
  <c r="R94" i="141"/>
  <c r="R90" i="141"/>
  <c r="R62" i="141"/>
  <c r="R42" i="141"/>
  <c r="R110" i="141"/>
  <c r="R186" i="141"/>
  <c r="R174" i="141"/>
  <c r="R138" i="141"/>
  <c r="R126" i="141"/>
  <c r="R32" i="150"/>
  <c r="I34" i="150"/>
  <c r="O46" i="152"/>
  <c r="O43" i="155" s="1"/>
  <c r="U19" i="150"/>
  <c r="I37" i="150"/>
  <c r="O21" i="150"/>
  <c r="I54" i="152"/>
  <c r="I51" i="155" s="1"/>
  <c r="I18" i="150"/>
  <c r="U33" i="150"/>
  <c r="U34" i="156" s="1"/>
  <c r="I34" i="152"/>
  <c r="I31" i="155" s="1"/>
  <c r="C221" i="141"/>
  <c r="O43" i="152"/>
  <c r="O40" i="155" s="1"/>
  <c r="I47" i="152"/>
  <c r="I44" i="155" s="1"/>
  <c r="U26" i="147"/>
  <c r="R189" i="141"/>
  <c r="R181" i="141"/>
  <c r="R190" i="141"/>
  <c r="F225" i="141"/>
  <c r="I222" i="141"/>
  <c r="O223" i="141"/>
  <c r="R196" i="141"/>
  <c r="R218" i="141"/>
  <c r="R202" i="141"/>
  <c r="T22" i="148"/>
  <c r="R65" i="141"/>
  <c r="R57" i="141"/>
  <c r="R173" i="141"/>
  <c r="R161" i="141"/>
  <c r="U48" i="147"/>
  <c r="R154" i="141"/>
  <c r="R153" i="141"/>
  <c r="O29" i="150"/>
  <c r="R19" i="150"/>
  <c r="R33" i="150"/>
  <c r="U34" i="150"/>
  <c r="I29" i="152"/>
  <c r="I26" i="155" s="1"/>
  <c r="I41" i="152"/>
  <c r="I38" i="155" s="1"/>
  <c r="I50" i="152"/>
  <c r="I47" i="155" s="1"/>
  <c r="L34" i="152"/>
  <c r="R52" i="152"/>
  <c r="R49" i="155" s="1"/>
  <c r="L31" i="150"/>
  <c r="O33" i="150"/>
  <c r="R34" i="150"/>
  <c r="U37" i="150"/>
  <c r="I29" i="150"/>
  <c r="I32" i="150"/>
  <c r="I51" i="152"/>
  <c r="I48" i="155" s="1"/>
  <c r="R55" i="152"/>
  <c r="R52" i="155" s="1"/>
  <c r="O18" i="150"/>
  <c r="O34" i="150"/>
  <c r="R37" i="150"/>
  <c r="U39" i="150"/>
  <c r="I30" i="152"/>
  <c r="I33" i="150"/>
  <c r="I52" i="152"/>
  <c r="I49" i="155" s="1"/>
  <c r="L43" i="152"/>
  <c r="L40" i="155" s="1"/>
  <c r="R56" i="152"/>
  <c r="R53" i="155" s="1"/>
  <c r="O37" i="150"/>
  <c r="R39" i="150"/>
  <c r="R40" i="156" s="1"/>
  <c r="I31" i="150"/>
  <c r="I46" i="152"/>
  <c r="I43" i="155" s="1"/>
  <c r="I53" i="152"/>
  <c r="I50" i="155" s="1"/>
  <c r="L46" i="152"/>
  <c r="L43" i="155" s="1"/>
  <c r="O39" i="150"/>
  <c r="U15" i="150"/>
  <c r="U15" i="156" s="1"/>
  <c r="U29" i="150"/>
  <c r="I15" i="150"/>
  <c r="I15" i="156" s="1"/>
  <c r="R15" i="150"/>
  <c r="R15" i="156" s="1"/>
  <c r="R29" i="150"/>
  <c r="U16" i="150"/>
  <c r="U31" i="150"/>
  <c r="I16" i="150"/>
  <c r="I19" i="150"/>
  <c r="I36" i="152"/>
  <c r="I33" i="155" s="1"/>
  <c r="I39" i="150"/>
  <c r="L52" i="152"/>
  <c r="L49" i="155" s="1"/>
  <c r="O52" i="152"/>
  <c r="O49" i="155" s="1"/>
  <c r="R16" i="150"/>
  <c r="R31" i="150"/>
  <c r="U18" i="150"/>
  <c r="U32" i="150"/>
  <c r="I26" i="152"/>
  <c r="I23" i="155" s="1"/>
  <c r="I37" i="152"/>
  <c r="I34" i="155" s="1"/>
  <c r="I55" i="152"/>
  <c r="I52" i="155" s="1"/>
  <c r="L55" i="152"/>
  <c r="L52" i="155" s="1"/>
  <c r="O55" i="152"/>
  <c r="O52" i="155" s="1"/>
  <c r="R43" i="152"/>
  <c r="R40" i="155" s="1"/>
  <c r="R89" i="141"/>
  <c r="R61" i="141"/>
  <c r="R45" i="141"/>
  <c r="R33" i="141"/>
  <c r="R141" i="141"/>
  <c r="R129" i="141"/>
  <c r="R195" i="141"/>
  <c r="R73" i="141"/>
  <c r="R49" i="141"/>
  <c r="R185" i="141"/>
  <c r="R169" i="141"/>
  <c r="R137" i="141"/>
  <c r="R121" i="141"/>
  <c r="R25" i="141"/>
  <c r="R209" i="141"/>
  <c r="I228" i="141"/>
  <c r="I38" i="150"/>
  <c r="I31" i="152"/>
  <c r="I28" i="155" s="1"/>
  <c r="I42" i="152"/>
  <c r="I39" i="155" s="1"/>
  <c r="I43" i="152"/>
  <c r="I40" i="155" s="1"/>
  <c r="I20" i="152"/>
  <c r="I20" i="155" s="1"/>
  <c r="I40" i="152"/>
  <c r="I37" i="155" s="1"/>
  <c r="U22" i="150"/>
  <c r="O221" i="141"/>
  <c r="O230" i="141"/>
  <c r="L224" i="141"/>
  <c r="F223" i="141"/>
  <c r="R29" i="141"/>
  <c r="R204" i="141"/>
  <c r="R100" i="141"/>
  <c r="R96" i="141"/>
  <c r="R92" i="141"/>
  <c r="R88" i="141"/>
  <c r="R84" i="141"/>
  <c r="R80" i="141"/>
  <c r="R76" i="141"/>
  <c r="R72" i="141"/>
  <c r="R68" i="141"/>
  <c r="R64" i="141"/>
  <c r="R60" i="141"/>
  <c r="R56" i="141"/>
  <c r="R52" i="141"/>
  <c r="R48" i="141"/>
  <c r="R44" i="141"/>
  <c r="R40" i="141"/>
  <c r="R36" i="141"/>
  <c r="R108" i="141"/>
  <c r="R104" i="141"/>
  <c r="R188" i="141"/>
  <c r="R184" i="141"/>
  <c r="R172" i="141"/>
  <c r="R148" i="141"/>
  <c r="R23" i="141"/>
  <c r="R176" i="141"/>
  <c r="R164" i="141"/>
  <c r="R156" i="141"/>
  <c r="R128" i="141"/>
  <c r="F228" i="141"/>
  <c r="R15" i="141"/>
  <c r="R16" i="141"/>
  <c r="I13" i="152"/>
  <c r="R140" i="141"/>
  <c r="L12" i="156"/>
  <c r="L12" i="150"/>
  <c r="R97" i="141"/>
  <c r="R177" i="141"/>
  <c r="R162" i="141"/>
  <c r="R157" i="141"/>
  <c r="R180" i="141"/>
  <c r="R160" i="141"/>
  <c r="R152" i="141"/>
  <c r="R136" i="141"/>
  <c r="U23" i="147"/>
  <c r="R168" i="141"/>
  <c r="R144" i="141"/>
  <c r="R132" i="141"/>
  <c r="R124" i="141"/>
  <c r="L13" i="152"/>
  <c r="R198" i="141"/>
  <c r="R216" i="141"/>
  <c r="I10" i="147"/>
  <c r="I32" i="147" s="1"/>
  <c r="R95" i="141"/>
  <c r="R67" i="141"/>
  <c r="R43" i="141"/>
  <c r="R39" i="141"/>
  <c r="R107" i="141"/>
  <c r="R151" i="141"/>
  <c r="R139" i="141"/>
  <c r="Q22" i="148"/>
  <c r="R212" i="141"/>
  <c r="R22" i="141"/>
  <c r="R211" i="141"/>
  <c r="I223" i="141"/>
  <c r="I227" i="141"/>
  <c r="L227" i="141"/>
  <c r="O224" i="141"/>
  <c r="O225" i="141"/>
  <c r="R217" i="141"/>
  <c r="R215" i="141"/>
  <c r="O226" i="141"/>
  <c r="Q16" i="148"/>
  <c r="T14" i="148"/>
  <c r="Q30" i="148"/>
  <c r="T28" i="148"/>
  <c r="C230" i="141"/>
  <c r="C227" i="141"/>
  <c r="F224" i="141"/>
  <c r="F227" i="141"/>
  <c r="L223" i="141"/>
  <c r="L225" i="141"/>
  <c r="O222" i="141"/>
  <c r="O228" i="141"/>
  <c r="L226" i="141"/>
  <c r="R203" i="141"/>
  <c r="R102" i="141"/>
  <c r="R78" i="141"/>
  <c r="R58" i="141"/>
  <c r="R54" i="141"/>
  <c r="R51" i="141"/>
  <c r="R50" i="141"/>
  <c r="R30" i="141"/>
  <c r="R113" i="141"/>
  <c r="R182" i="141"/>
  <c r="R167" i="141"/>
  <c r="R142" i="141"/>
  <c r="R134" i="141"/>
  <c r="R130" i="141"/>
  <c r="R22" i="150"/>
  <c r="R21" i="150"/>
  <c r="U21" i="150"/>
  <c r="L32" i="150"/>
  <c r="O19" i="150"/>
  <c r="O31" i="150"/>
  <c r="L33" i="150"/>
  <c r="O32" i="150"/>
  <c r="L15" i="150"/>
  <c r="L34" i="150"/>
  <c r="L16" i="150"/>
  <c r="L37" i="150"/>
  <c r="L18" i="150"/>
  <c r="L39" i="150"/>
  <c r="L19" i="150"/>
  <c r="O15" i="150"/>
  <c r="O15" i="156" s="1"/>
  <c r="L29" i="150"/>
  <c r="O16" i="150"/>
  <c r="O22" i="150"/>
  <c r="I21" i="150"/>
  <c r="I21" i="152"/>
  <c r="I21" i="155" s="1"/>
  <c r="F37" i="147"/>
  <c r="U37" i="147" s="1"/>
  <c r="C225" i="141"/>
  <c r="R194" i="141"/>
  <c r="Q9" i="146"/>
  <c r="U13" i="155"/>
  <c r="O9" i="141"/>
  <c r="U13" i="152"/>
  <c r="R10" i="147"/>
  <c r="R32" i="147" s="1"/>
  <c r="U12" i="150"/>
  <c r="U12" i="156"/>
  <c r="O9" i="149"/>
  <c r="Q24" i="148"/>
  <c r="T24" i="148"/>
  <c r="F222" i="141"/>
  <c r="R21" i="141"/>
  <c r="R205" i="141"/>
  <c r="C226" i="141"/>
  <c r="R201" i="141"/>
  <c r="L221" i="141"/>
  <c r="R14" i="141"/>
  <c r="L230" i="141"/>
  <c r="F230" i="141"/>
  <c r="R17" i="141"/>
  <c r="F221" i="141"/>
  <c r="R32" i="141"/>
  <c r="C223" i="141"/>
  <c r="R120" i="141"/>
  <c r="C224" i="141"/>
  <c r="R117" i="141"/>
  <c r="O17" i="147"/>
  <c r="U17" i="147" s="1"/>
  <c r="L228" i="141"/>
  <c r="R208" i="141"/>
  <c r="F15" i="147"/>
  <c r="U15" i="147" s="1"/>
  <c r="I9" i="149"/>
  <c r="O13" i="155"/>
  <c r="K9" i="146"/>
  <c r="O12" i="156"/>
  <c r="L10" i="147"/>
  <c r="L32" i="147" s="1"/>
  <c r="R210" i="141"/>
  <c r="R197" i="141"/>
  <c r="I226" i="141"/>
  <c r="T18" i="148"/>
  <c r="Q26" i="148"/>
  <c r="R99" i="141"/>
  <c r="R87" i="141"/>
  <c r="R79" i="141"/>
  <c r="R75" i="141"/>
  <c r="R63" i="141"/>
  <c r="R59" i="141"/>
  <c r="R55" i="141"/>
  <c r="R47" i="141"/>
  <c r="R35" i="141"/>
  <c r="R112" i="141"/>
  <c r="R183" i="141"/>
  <c r="R179" i="141"/>
  <c r="R175" i="141"/>
  <c r="R171" i="141"/>
  <c r="R163" i="141"/>
  <c r="R159" i="141"/>
  <c r="R155" i="141"/>
  <c r="R147" i="141"/>
  <c r="R143" i="141"/>
  <c r="R127" i="141"/>
  <c r="R119" i="141"/>
  <c r="Q18" i="148"/>
  <c r="C222" i="141"/>
  <c r="R24" i="141"/>
  <c r="I224" i="141"/>
  <c r="L222" i="141"/>
  <c r="T26" i="148"/>
  <c r="I13" i="155"/>
  <c r="E9" i="146"/>
  <c r="I12" i="156"/>
  <c r="F10" i="147"/>
  <c r="F32" i="147" s="1"/>
  <c r="I12" i="150"/>
  <c r="C9" i="141"/>
  <c r="I225" i="141"/>
  <c r="R219" i="141"/>
  <c r="T16" i="148"/>
  <c r="R98" i="141"/>
  <c r="R82" i="141"/>
  <c r="R70" i="141"/>
  <c r="R46" i="141"/>
  <c r="R34" i="141"/>
  <c r="R106" i="141"/>
  <c r="R166" i="141"/>
  <c r="R158" i="141"/>
  <c r="R146" i="141"/>
  <c r="R122" i="141"/>
  <c r="R118" i="141"/>
  <c r="R18" i="141"/>
  <c r="T20" i="148"/>
  <c r="T30" i="148"/>
  <c r="R12" i="156"/>
  <c r="L9" i="141"/>
  <c r="R13" i="152"/>
  <c r="R111" i="141"/>
  <c r="F226" i="141"/>
  <c r="C228" i="141"/>
  <c r="I221" i="141"/>
  <c r="I230" i="141"/>
  <c r="Q20" i="148"/>
  <c r="Q14" i="148"/>
  <c r="R101" i="141"/>
  <c r="R93" i="141"/>
  <c r="R85" i="141"/>
  <c r="R81" i="141"/>
  <c r="R77" i="141"/>
  <c r="R69" i="141"/>
  <c r="R53" i="141"/>
  <c r="R41" i="141"/>
  <c r="R37" i="141"/>
  <c r="R109" i="141"/>
  <c r="R105" i="141"/>
  <c r="R114" i="141"/>
  <c r="R165" i="141"/>
  <c r="R149" i="141"/>
  <c r="R145" i="141"/>
  <c r="R133" i="141"/>
  <c r="R125" i="141"/>
  <c r="O227" i="141"/>
  <c r="Q28" i="148"/>
  <c r="R86" i="141"/>
  <c r="R74" i="141"/>
  <c r="R66" i="141"/>
  <c r="R38" i="141"/>
  <c r="R178" i="141"/>
  <c r="R170" i="141"/>
  <c r="R150" i="141"/>
  <c r="I22" i="150"/>
  <c r="I27" i="152"/>
  <c r="I24" i="155" s="1"/>
  <c r="L21" i="150"/>
  <c r="L22" i="150"/>
  <c r="F14" i="147"/>
  <c r="R22" i="152"/>
  <c r="L93" i="161" l="1"/>
  <c r="R63" i="163"/>
  <c r="N38" i="159"/>
  <c r="R65" i="163"/>
  <c r="T65" i="163" s="1"/>
  <c r="B19" i="162"/>
  <c r="J71" i="161" s="1"/>
  <c r="J72" i="161" s="1"/>
  <c r="B13" i="160" s="1"/>
  <c r="F13" i="160" s="1"/>
  <c r="Q67" i="163"/>
  <c r="O67" i="163"/>
  <c r="T63" i="163"/>
  <c r="F18" i="162"/>
  <c r="F19" i="162" s="1"/>
  <c r="R280" i="144"/>
  <c r="R154" i="144"/>
  <c r="L36" i="144"/>
  <c r="R70" i="144"/>
  <c r="R282" i="144"/>
  <c r="O282" i="144"/>
  <c r="R283" i="144"/>
  <c r="O283" i="144"/>
  <c r="L241" i="144"/>
  <c r="R241" i="144"/>
  <c r="O241" i="144"/>
  <c r="P239" i="144" s="1"/>
  <c r="L110" i="161" s="1"/>
  <c r="R172" i="144"/>
  <c r="R20" i="144"/>
  <c r="R122" i="144"/>
  <c r="R277" i="144"/>
  <c r="R57" i="144"/>
  <c r="S55" i="144" s="1"/>
  <c r="N93" i="161" s="1"/>
  <c r="R60" i="144"/>
  <c r="R206" i="144"/>
  <c r="R170" i="144"/>
  <c r="R189" i="144"/>
  <c r="R159" i="144"/>
  <c r="O159" i="144"/>
  <c r="R158" i="144"/>
  <c r="O158" i="144"/>
  <c r="O157" i="144"/>
  <c r="R157" i="144"/>
  <c r="R171" i="144"/>
  <c r="O88" i="144"/>
  <c r="R88" i="144"/>
  <c r="O87" i="144"/>
  <c r="R87" i="144"/>
  <c r="R246" i="144"/>
  <c r="R81" i="144"/>
  <c r="R80" i="144"/>
  <c r="R82" i="144"/>
  <c r="R83" i="144"/>
  <c r="R86" i="144"/>
  <c r="O86" i="144"/>
  <c r="R124" i="144"/>
  <c r="R243" i="144"/>
  <c r="R30" i="144"/>
  <c r="R254" i="144"/>
  <c r="R194" i="144"/>
  <c r="R214" i="144"/>
  <c r="R209" i="144"/>
  <c r="R228" i="144"/>
  <c r="R208" i="144"/>
  <c r="V12" i="144"/>
  <c r="U153" i="144" s="1"/>
  <c r="W153" i="144" s="1"/>
  <c r="R174" i="144"/>
  <c r="R257" i="144"/>
  <c r="R212" i="144"/>
  <c r="R263" i="144"/>
  <c r="R68" i="144"/>
  <c r="R66" i="144"/>
  <c r="R49" i="144"/>
  <c r="R69" i="144"/>
  <c r="R48" i="144"/>
  <c r="R67" i="144"/>
  <c r="R51" i="144"/>
  <c r="R50" i="144"/>
  <c r="R225" i="144"/>
  <c r="R229" i="144"/>
  <c r="R247" i="144"/>
  <c r="R61" i="144"/>
  <c r="R211" i="144"/>
  <c r="R227" i="144"/>
  <c r="R102" i="144"/>
  <c r="R156" i="144"/>
  <c r="R204" i="144"/>
  <c r="R192" i="144"/>
  <c r="R193" i="144"/>
  <c r="R248" i="144"/>
  <c r="R226" i="144"/>
  <c r="R219" i="144"/>
  <c r="R85" i="144"/>
  <c r="R175" i="144"/>
  <c r="R191" i="144"/>
  <c r="R262" i="144"/>
  <c r="H40" i="144"/>
  <c r="R270" i="144"/>
  <c r="R210" i="144"/>
  <c r="R261" i="144"/>
  <c r="R260" i="144"/>
  <c r="R173" i="144"/>
  <c r="R190" i="144"/>
  <c r="R169" i="144"/>
  <c r="R249" i="144"/>
  <c r="O96" i="144"/>
  <c r="R281" i="144"/>
  <c r="O281" i="144"/>
  <c r="R18" i="144"/>
  <c r="R217" i="144"/>
  <c r="O217" i="144"/>
  <c r="L216" i="144"/>
  <c r="R216" i="144"/>
  <c r="O216" i="144"/>
  <c r="R215" i="144"/>
  <c r="R195" i="144"/>
  <c r="R197" i="144"/>
  <c r="R196" i="144"/>
  <c r="L18" i="144"/>
  <c r="R125" i="144"/>
  <c r="R178" i="144"/>
  <c r="R177" i="144"/>
  <c r="R176" i="144"/>
  <c r="R135" i="144"/>
  <c r="O166" i="144"/>
  <c r="R166" i="144"/>
  <c r="L125" i="144"/>
  <c r="R63" i="144"/>
  <c r="L63" i="144"/>
  <c r="O63" i="144"/>
  <c r="L254" i="144"/>
  <c r="M252" i="144" s="1"/>
  <c r="J111" i="161" s="1"/>
  <c r="R256" i="144"/>
  <c r="L77" i="144"/>
  <c r="O77" i="144"/>
  <c r="O62" i="144"/>
  <c r="R62" i="144"/>
  <c r="O254" i="144"/>
  <c r="I89" i="144"/>
  <c r="J89" i="144" s="1"/>
  <c r="O256" i="144"/>
  <c r="O135" i="144"/>
  <c r="R96" i="144"/>
  <c r="E33" i="8"/>
  <c r="P33" i="8" s="1"/>
  <c r="R27" i="144"/>
  <c r="L204" i="144"/>
  <c r="M201" i="144" s="1"/>
  <c r="J105" i="161" s="1"/>
  <c r="L277" i="144"/>
  <c r="O204" i="144"/>
  <c r="R255" i="144"/>
  <c r="L158" i="144"/>
  <c r="O143" i="144"/>
  <c r="O269" i="144"/>
  <c r="P266" i="144" s="1"/>
  <c r="L112" i="161" s="1"/>
  <c r="O255" i="144"/>
  <c r="O27" i="144"/>
  <c r="R26" i="144"/>
  <c r="L26" i="144"/>
  <c r="L76" i="144"/>
  <c r="R76" i="144"/>
  <c r="O184" i="144"/>
  <c r="R203" i="144"/>
  <c r="R153" i="144"/>
  <c r="O94" i="144"/>
  <c r="L268" i="144"/>
  <c r="M266" i="144" s="1"/>
  <c r="O203" i="144"/>
  <c r="R17" i="144"/>
  <c r="R205" i="144"/>
  <c r="O17" i="144"/>
  <c r="O153" i="144"/>
  <c r="O205" i="144"/>
  <c r="R77" i="144"/>
  <c r="R143" i="144"/>
  <c r="E42" i="8"/>
  <c r="P42" i="8" s="1"/>
  <c r="O126" i="144"/>
  <c r="Q36" i="161"/>
  <c r="S36" i="161"/>
  <c r="F8" i="160"/>
  <c r="R126" i="144"/>
  <c r="R269" i="144"/>
  <c r="L215" i="144"/>
  <c r="R151" i="144"/>
  <c r="R36" i="144"/>
  <c r="L151" i="144"/>
  <c r="O277" i="144"/>
  <c r="R28" i="144"/>
  <c r="R94" i="144"/>
  <c r="L28" i="144"/>
  <c r="R268" i="144"/>
  <c r="O134" i="144"/>
  <c r="R185" i="144"/>
  <c r="R278" i="144"/>
  <c r="L278" i="144"/>
  <c r="L281" i="144"/>
  <c r="O122" i="144"/>
  <c r="O75" i="144"/>
  <c r="R134" i="144"/>
  <c r="L122" i="144"/>
  <c r="R75" i="144"/>
  <c r="O185" i="144"/>
  <c r="R133" i="144"/>
  <c r="R184" i="144"/>
  <c r="R29" i="144"/>
  <c r="L133" i="144"/>
  <c r="M131" i="144" s="1"/>
  <c r="J100" i="161" s="1"/>
  <c r="H56" i="152"/>
  <c r="H53" i="155" s="1"/>
  <c r="S42" i="8"/>
  <c r="S33" i="8"/>
  <c r="F11" i="146" s="1"/>
  <c r="F46" i="146" s="1"/>
  <c r="O176" i="144"/>
  <c r="L176" i="144"/>
  <c r="R223" i="141"/>
  <c r="O144" i="144"/>
  <c r="R144" i="144"/>
  <c r="L144" i="144"/>
  <c r="O45" i="144"/>
  <c r="L45" i="144"/>
  <c r="O167" i="144"/>
  <c r="L167" i="144"/>
  <c r="R167" i="144"/>
  <c r="O234" i="144"/>
  <c r="L234" i="144"/>
  <c r="R234" i="144"/>
  <c r="L242" i="144"/>
  <c r="R242" i="144"/>
  <c r="O37" i="144"/>
  <c r="L37" i="144"/>
  <c r="R37" i="144"/>
  <c r="R38" i="144"/>
  <c r="L38" i="144"/>
  <c r="O186" i="144"/>
  <c r="R186" i="144"/>
  <c r="L186" i="144"/>
  <c r="M182" i="144" s="1"/>
  <c r="J104" i="161" s="1"/>
  <c r="O120" i="144"/>
  <c r="R120" i="144"/>
  <c r="L120" i="144"/>
  <c r="R45" i="144"/>
  <c r="I218" i="144"/>
  <c r="J218" i="144" s="1"/>
  <c r="O95" i="144"/>
  <c r="R95" i="144"/>
  <c r="L95" i="144"/>
  <c r="L119" i="144"/>
  <c r="R119" i="144"/>
  <c r="O121" i="144"/>
  <c r="R121" i="144"/>
  <c r="L121" i="144"/>
  <c r="O152" i="144"/>
  <c r="P149" i="144" s="1"/>
  <c r="L152" i="144"/>
  <c r="R152" i="144"/>
  <c r="I179" i="144"/>
  <c r="J179" i="144" s="1"/>
  <c r="L159" i="144"/>
  <c r="O46" i="144"/>
  <c r="L46" i="144"/>
  <c r="R46" i="144"/>
  <c r="O178" i="144"/>
  <c r="L178" i="144"/>
  <c r="H115" i="144"/>
  <c r="I160" i="144"/>
  <c r="J160" i="144" s="1"/>
  <c r="O44" i="144"/>
  <c r="R44" i="144"/>
  <c r="L283" i="144"/>
  <c r="O127" i="144"/>
  <c r="R127" i="144"/>
  <c r="L127" i="144"/>
  <c r="J284" i="144"/>
  <c r="H137" i="144"/>
  <c r="I198" i="144"/>
  <c r="J198" i="144" s="1"/>
  <c r="I128" i="144"/>
  <c r="J128" i="144" s="1"/>
  <c r="L282" i="144"/>
  <c r="L157" i="144"/>
  <c r="O19" i="144"/>
  <c r="R19" i="144"/>
  <c r="O235" i="144"/>
  <c r="R235" i="144"/>
  <c r="L235" i="144"/>
  <c r="O177" i="144"/>
  <c r="L177" i="144"/>
  <c r="L217" i="144"/>
  <c r="L33" i="152"/>
  <c r="L30" i="155" s="1"/>
  <c r="O236" i="144"/>
  <c r="R236" i="144"/>
  <c r="L236" i="144"/>
  <c r="O165" i="144"/>
  <c r="R165" i="144"/>
  <c r="L165" i="144"/>
  <c r="O142" i="144"/>
  <c r="R142" i="144"/>
  <c r="L142" i="144"/>
  <c r="O276" i="144"/>
  <c r="R276" i="144"/>
  <c r="L276" i="144"/>
  <c r="H18" i="150"/>
  <c r="I35" i="156"/>
  <c r="H21" i="150"/>
  <c r="R34" i="156"/>
  <c r="C20" i="149"/>
  <c r="I45" i="152"/>
  <c r="I41" i="155" s="1"/>
  <c r="I34" i="156"/>
  <c r="H43" i="152"/>
  <c r="H40" i="155" s="1"/>
  <c r="H39" i="150"/>
  <c r="O34" i="156"/>
  <c r="L31" i="155"/>
  <c r="H34" i="152"/>
  <c r="H31" i="155" s="1"/>
  <c r="I35" i="152"/>
  <c r="I32" i="155" s="1"/>
  <c r="H52" i="152"/>
  <c r="H49" i="155" s="1"/>
  <c r="I49" i="152"/>
  <c r="U52" i="155"/>
  <c r="U40" i="156"/>
  <c r="F39" i="147"/>
  <c r="I36" i="150"/>
  <c r="I37" i="156" s="1"/>
  <c r="C29" i="149"/>
  <c r="H37" i="150"/>
  <c r="I18" i="147"/>
  <c r="H34" i="150"/>
  <c r="O40" i="156"/>
  <c r="L49" i="152"/>
  <c r="L46" i="155" s="1"/>
  <c r="I19" i="152"/>
  <c r="I19" i="155" s="1"/>
  <c r="H55" i="152"/>
  <c r="H52" i="155" s="1"/>
  <c r="H19" i="150"/>
  <c r="H31" i="150"/>
  <c r="I23" i="152"/>
  <c r="I22" i="155" s="1"/>
  <c r="L38" i="150"/>
  <c r="L40" i="156"/>
  <c r="I40" i="156"/>
  <c r="I30" i="156"/>
  <c r="I27" i="155"/>
  <c r="H46" i="152"/>
  <c r="H43" i="155" s="1"/>
  <c r="R227" i="141"/>
  <c r="R221" i="141"/>
  <c r="H22" i="150"/>
  <c r="L34" i="156"/>
  <c r="H33" i="150"/>
  <c r="F19" i="149"/>
  <c r="H32" i="150"/>
  <c r="R228" i="141"/>
  <c r="H16" i="150"/>
  <c r="L44" i="152"/>
  <c r="L42" i="155" s="1"/>
  <c r="H29" i="150"/>
  <c r="L15" i="156"/>
  <c r="H15" i="156" s="1"/>
  <c r="H15" i="150"/>
  <c r="O45" i="147"/>
  <c r="R230" i="141"/>
  <c r="L36" i="150"/>
  <c r="L47" i="152"/>
  <c r="I48" i="152"/>
  <c r="L14" i="147"/>
  <c r="I38" i="152"/>
  <c r="R222" i="141"/>
  <c r="R224" i="141"/>
  <c r="I18" i="152"/>
  <c r="R225" i="141"/>
  <c r="R226" i="141"/>
  <c r="O17" i="152"/>
  <c r="L32" i="152"/>
  <c r="U32" i="152"/>
  <c r="R33" i="152"/>
  <c r="R30" i="155" s="1"/>
  <c r="O33" i="152"/>
  <c r="O30" i="155" s="1"/>
  <c r="U33" i="152"/>
  <c r="U30" i="155" s="1"/>
  <c r="O32" i="152"/>
  <c r="J112" i="161" l="1"/>
  <c r="P117" i="144"/>
  <c r="S149" i="144"/>
  <c r="N102" i="161" s="1"/>
  <c r="R67" i="163"/>
  <c r="T67" i="163" s="1"/>
  <c r="Q71" i="161"/>
  <c r="S274" i="144"/>
  <c r="N113" i="161" s="1"/>
  <c r="P274" i="144"/>
  <c r="L113" i="161" s="1"/>
  <c r="M274" i="144"/>
  <c r="P131" i="144"/>
  <c r="L100" i="161" s="1"/>
  <c r="S266" i="144"/>
  <c r="N112" i="161" s="1"/>
  <c r="S252" i="144"/>
  <c r="N111" i="161" s="1"/>
  <c r="P252" i="144"/>
  <c r="L111" i="161" s="1"/>
  <c r="M239" i="144"/>
  <c r="J110" i="161" s="1"/>
  <c r="P182" i="144"/>
  <c r="L104" i="161" s="1"/>
  <c r="S239" i="144"/>
  <c r="N110" i="161" s="1"/>
  <c r="S182" i="144"/>
  <c r="N104" i="161" s="1"/>
  <c r="M163" i="144"/>
  <c r="P201" i="144"/>
  <c r="L105" i="161" s="1"/>
  <c r="S201" i="144"/>
  <c r="N105" i="161" s="1"/>
  <c r="H180" i="144"/>
  <c r="P163" i="144"/>
  <c r="L103" i="161" s="1"/>
  <c r="S163" i="144"/>
  <c r="N103" i="161" s="1"/>
  <c r="L102" i="161"/>
  <c r="M140" i="144"/>
  <c r="J101" i="161" s="1"/>
  <c r="S140" i="144"/>
  <c r="N101" i="161" s="1"/>
  <c r="M149" i="144"/>
  <c r="P140" i="144"/>
  <c r="L101" i="161" s="1"/>
  <c r="S131" i="144"/>
  <c r="N100" i="161" s="1"/>
  <c r="L99" i="161"/>
  <c r="M117" i="144"/>
  <c r="J99" i="161" s="1"/>
  <c r="S117" i="144"/>
  <c r="N99" i="161" s="1"/>
  <c r="M73" i="144"/>
  <c r="J94" i="161" s="1"/>
  <c r="P73" i="144"/>
  <c r="L94" i="161" s="1"/>
  <c r="S73" i="144"/>
  <c r="N94" i="161" s="1"/>
  <c r="M42" i="144"/>
  <c r="J92" i="161" s="1"/>
  <c r="P42" i="144"/>
  <c r="L92" i="161" s="1"/>
  <c r="S42" i="144"/>
  <c r="N92" i="161" s="1"/>
  <c r="M15" i="144"/>
  <c r="J89" i="161" s="1"/>
  <c r="M24" i="144"/>
  <c r="U102" i="144"/>
  <c r="W102" i="144" s="1"/>
  <c r="U280" i="144"/>
  <c r="U278" i="144"/>
  <c r="W278" i="144" s="1"/>
  <c r="U94" i="144"/>
  <c r="W94" i="144" s="1"/>
  <c r="U124" i="144"/>
  <c r="U172" i="144"/>
  <c r="U127" i="144"/>
  <c r="U166" i="144"/>
  <c r="W166" i="144" s="1"/>
  <c r="U165" i="144"/>
  <c r="W165" i="144" s="1"/>
  <c r="U281" i="144"/>
  <c r="R284" i="144"/>
  <c r="O284" i="144"/>
  <c r="U193" i="144"/>
  <c r="U260" i="144"/>
  <c r="U261" i="144"/>
  <c r="U262" i="144"/>
  <c r="U263" i="144"/>
  <c r="U144" i="144"/>
  <c r="W144" i="144" s="1"/>
  <c r="U60" i="144"/>
  <c r="U197" i="144"/>
  <c r="U226" i="144"/>
  <c r="W226" i="144" s="1"/>
  <c r="U48" i="144"/>
  <c r="U246" i="144"/>
  <c r="U247" i="144"/>
  <c r="U248" i="144"/>
  <c r="U249" i="144"/>
  <c r="U45" i="144"/>
  <c r="W45" i="144" s="1"/>
  <c r="U158" i="144"/>
  <c r="U61" i="144"/>
  <c r="U191" i="144"/>
  <c r="U26" i="144"/>
  <c r="W26" i="144" s="1"/>
  <c r="U209" i="144"/>
  <c r="U46" i="144"/>
  <c r="W46" i="144" s="1"/>
  <c r="U242" i="144"/>
  <c r="W242" i="144" s="1"/>
  <c r="U277" i="144"/>
  <c r="W277" i="144" s="1"/>
  <c r="U185" i="144"/>
  <c r="W185" i="144" s="1"/>
  <c r="U133" i="144"/>
  <c r="W133" i="144" s="1"/>
  <c r="U178" i="144"/>
  <c r="U254" i="144"/>
  <c r="W254" i="144" s="1"/>
  <c r="U122" i="144"/>
  <c r="W122" i="144" s="1"/>
  <c r="U184" i="144"/>
  <c r="W184" i="144" s="1"/>
  <c r="U192" i="144"/>
  <c r="U219" i="144"/>
  <c r="U75" i="144"/>
  <c r="W75" i="144" s="1"/>
  <c r="U62" i="144"/>
  <c r="U63" i="144"/>
  <c r="U229" i="144"/>
  <c r="W229" i="144" s="1"/>
  <c r="U19" i="144"/>
  <c r="W19" i="144" s="1"/>
  <c r="U44" i="144"/>
  <c r="W44" i="144" s="1"/>
  <c r="U95" i="144"/>
  <c r="W95" i="144" s="1"/>
  <c r="U37" i="144"/>
  <c r="W37" i="144" s="1"/>
  <c r="U186" i="144"/>
  <c r="W186" i="144" s="1"/>
  <c r="U38" i="144"/>
  <c r="W38" i="144" s="1"/>
  <c r="U268" i="144"/>
  <c r="W268" i="144" s="1"/>
  <c r="U57" i="144"/>
  <c r="U256" i="144"/>
  <c r="W256" i="144" s="1"/>
  <c r="U30" i="144"/>
  <c r="W30" i="144" s="1"/>
  <c r="U195" i="144"/>
  <c r="U170" i="144"/>
  <c r="U208" i="144"/>
  <c r="U142" i="144"/>
  <c r="W142" i="144" s="1"/>
  <c r="U159" i="144"/>
  <c r="U121" i="144"/>
  <c r="W121" i="144" s="1"/>
  <c r="U241" i="144"/>
  <c r="W241" i="144" s="1"/>
  <c r="U29" i="144"/>
  <c r="W29" i="144" s="1"/>
  <c r="U143" i="144"/>
  <c r="W143" i="144" s="1"/>
  <c r="U243" i="144"/>
  <c r="W243" i="144" s="1"/>
  <c r="U190" i="144"/>
  <c r="U174" i="144"/>
  <c r="U227" i="144"/>
  <c r="W227" i="144" s="1"/>
  <c r="U175" i="144"/>
  <c r="U50" i="144"/>
  <c r="W50" i="144" s="1"/>
  <c r="U157" i="144"/>
  <c r="U283" i="144"/>
  <c r="U135" i="144"/>
  <c r="W135" i="144" s="1"/>
  <c r="U154" i="144"/>
  <c r="W154" i="144" s="1"/>
  <c r="U270" i="144"/>
  <c r="W270" i="144" s="1"/>
  <c r="U204" i="144"/>
  <c r="W204" i="144" s="1"/>
  <c r="U18" i="144"/>
  <c r="W18" i="144" s="1"/>
  <c r="U176" i="144"/>
  <c r="U215" i="144"/>
  <c r="U217" i="144"/>
  <c r="U212" i="144"/>
  <c r="U189" i="144"/>
  <c r="U228" i="144"/>
  <c r="W228" i="144" s="1"/>
  <c r="U51" i="144"/>
  <c r="W51" i="144" s="1"/>
  <c r="U236" i="144"/>
  <c r="W236" i="144" s="1"/>
  <c r="U235" i="144"/>
  <c r="W235" i="144" s="1"/>
  <c r="U96" i="144"/>
  <c r="W96" i="144" s="1"/>
  <c r="U85" i="144"/>
  <c r="U27" i="144"/>
  <c r="W27" i="144" s="1"/>
  <c r="U126" i="144"/>
  <c r="U203" i="144"/>
  <c r="W203" i="144" s="1"/>
  <c r="U167" i="144"/>
  <c r="W167" i="144" s="1"/>
  <c r="U151" i="144"/>
  <c r="W151" i="144" s="1"/>
  <c r="U20" i="144"/>
  <c r="W20" i="144" s="1"/>
  <c r="U28" i="144"/>
  <c r="W28" i="144" s="1"/>
  <c r="U196" i="144"/>
  <c r="U173" i="144"/>
  <c r="U210" i="144"/>
  <c r="U66" i="144"/>
  <c r="U276" i="144"/>
  <c r="W276" i="144" s="1"/>
  <c r="U152" i="144"/>
  <c r="W152" i="144" s="1"/>
  <c r="U119" i="144"/>
  <c r="W119" i="144" s="1"/>
  <c r="U125" i="144"/>
  <c r="U120" i="144"/>
  <c r="W120" i="144" s="1"/>
  <c r="U17" i="144"/>
  <c r="W17" i="144" s="1"/>
  <c r="U255" i="144"/>
  <c r="W255" i="144" s="1"/>
  <c r="U257" i="144"/>
  <c r="W257" i="144" s="1"/>
  <c r="U156" i="144"/>
  <c r="U177" i="144"/>
  <c r="U216" i="144"/>
  <c r="U214" i="144"/>
  <c r="U211" i="144"/>
  <c r="U169" i="144"/>
  <c r="U225" i="144"/>
  <c r="W225" i="144" s="1"/>
  <c r="U282" i="144"/>
  <c r="U134" i="144"/>
  <c r="W134" i="144" s="1"/>
  <c r="U269" i="144"/>
  <c r="W269" i="144" s="1"/>
  <c r="U205" i="144"/>
  <c r="W205" i="144" s="1"/>
  <c r="U77" i="144"/>
  <c r="W77" i="144" s="1"/>
  <c r="U76" i="144"/>
  <c r="W76" i="144" s="1"/>
  <c r="U36" i="144"/>
  <c r="W36" i="144" s="1"/>
  <c r="U234" i="144"/>
  <c r="W234" i="144" s="1"/>
  <c r="U206" i="144"/>
  <c r="W206" i="144" s="1"/>
  <c r="U171" i="144"/>
  <c r="U194" i="144"/>
  <c r="U49" i="144"/>
  <c r="U69" i="144"/>
  <c r="U67" i="144"/>
  <c r="O160" i="144"/>
  <c r="R160" i="144"/>
  <c r="U68" i="144"/>
  <c r="U87" i="144"/>
  <c r="U89" i="144"/>
  <c r="O89" i="144"/>
  <c r="R89" i="144"/>
  <c r="U80" i="144"/>
  <c r="U81" i="144"/>
  <c r="U82" i="144"/>
  <c r="U83" i="144"/>
  <c r="U86" i="144"/>
  <c r="U88" i="144"/>
  <c r="W88" i="144" s="1"/>
  <c r="O218" i="144"/>
  <c r="U218" i="144"/>
  <c r="R218" i="144"/>
  <c r="P15" i="144"/>
  <c r="R198" i="144"/>
  <c r="U198" i="144"/>
  <c r="R179" i="144"/>
  <c r="U179" i="144"/>
  <c r="S15" i="144"/>
  <c r="H22" i="144"/>
  <c r="H90" i="144"/>
  <c r="F47" i="146"/>
  <c r="H53" i="144"/>
  <c r="F32" i="146"/>
  <c r="F16" i="146"/>
  <c r="F21" i="146"/>
  <c r="F25" i="146"/>
  <c r="F18" i="146"/>
  <c r="F40" i="146"/>
  <c r="L218" i="144"/>
  <c r="F48" i="146"/>
  <c r="F19" i="146"/>
  <c r="F26" i="146"/>
  <c r="F33" i="146"/>
  <c r="I11" i="146"/>
  <c r="I19" i="146" s="1"/>
  <c r="F24" i="146"/>
  <c r="F45" i="146"/>
  <c r="G45" i="146" s="1"/>
  <c r="F31" i="146"/>
  <c r="F30" i="146"/>
  <c r="G30" i="146" s="1"/>
  <c r="F20" i="146"/>
  <c r="F22" i="146"/>
  <c r="F17" i="146"/>
  <c r="F42" i="146"/>
  <c r="F41" i="146"/>
  <c r="F27" i="146"/>
  <c r="H285" i="144"/>
  <c r="H272" i="144"/>
  <c r="H146" i="144"/>
  <c r="H264" i="144"/>
  <c r="M34" i="144"/>
  <c r="J91" i="161" s="1"/>
  <c r="S34" i="144"/>
  <c r="N91" i="161" s="1"/>
  <c r="P34" i="144"/>
  <c r="L91" i="161" s="1"/>
  <c r="H220" i="144"/>
  <c r="H32" i="144"/>
  <c r="O128" i="144"/>
  <c r="R128" i="144"/>
  <c r="L128" i="144"/>
  <c r="U128" i="144"/>
  <c r="H129" i="144"/>
  <c r="H230" i="144"/>
  <c r="H98" i="144"/>
  <c r="H250" i="144"/>
  <c r="L160" i="144"/>
  <c r="U160" i="144"/>
  <c r="H161" i="144"/>
  <c r="O179" i="144"/>
  <c r="L179" i="144"/>
  <c r="S100" i="144"/>
  <c r="N98" i="161" s="1"/>
  <c r="H71" i="144"/>
  <c r="H199" i="144"/>
  <c r="P100" i="144"/>
  <c r="L98" i="161" s="1"/>
  <c r="L284" i="144"/>
  <c r="U284" i="144"/>
  <c r="H237" i="144"/>
  <c r="H34" i="156"/>
  <c r="I33" i="146"/>
  <c r="F28" i="149"/>
  <c r="I33" i="156"/>
  <c r="F20" i="149"/>
  <c r="H40" i="156"/>
  <c r="I41" i="147"/>
  <c r="F29" i="149"/>
  <c r="I46" i="155"/>
  <c r="I39" i="156"/>
  <c r="I45" i="147"/>
  <c r="O36" i="150"/>
  <c r="I40" i="147"/>
  <c r="L45" i="147"/>
  <c r="R45" i="147"/>
  <c r="L50" i="152"/>
  <c r="L47" i="155" s="1"/>
  <c r="O54" i="152"/>
  <c r="O51" i="155" s="1"/>
  <c r="L27" i="152"/>
  <c r="L31" i="152"/>
  <c r="O36" i="152"/>
  <c r="O33" i="155" s="1"/>
  <c r="L35" i="152"/>
  <c r="L54" i="152"/>
  <c r="L51" i="152"/>
  <c r="L21" i="152"/>
  <c r="L23" i="152"/>
  <c r="L24" i="152"/>
  <c r="L25" i="152"/>
  <c r="L19" i="152"/>
  <c r="L19" i="155" s="1"/>
  <c r="L42" i="152"/>
  <c r="L36" i="152"/>
  <c r="O39" i="152"/>
  <c r="O36" i="155" s="1"/>
  <c r="F26" i="149"/>
  <c r="F15" i="149"/>
  <c r="L39" i="152"/>
  <c r="L20" i="152"/>
  <c r="O40" i="152"/>
  <c r="O37" i="155" s="1"/>
  <c r="L29" i="152"/>
  <c r="L48" i="152"/>
  <c r="L40" i="152"/>
  <c r="L37" i="155" s="1"/>
  <c r="O53" i="152"/>
  <c r="O50" i="155" s="1"/>
  <c r="O37" i="152"/>
  <c r="O34" i="155" s="1"/>
  <c r="O26" i="152"/>
  <c r="O23" i="155" s="1"/>
  <c r="O28" i="152"/>
  <c r="O25" i="155" s="1"/>
  <c r="L53" i="152"/>
  <c r="L37" i="152"/>
  <c r="L34" i="155" s="1"/>
  <c r="L38" i="152"/>
  <c r="L35" i="155" s="1"/>
  <c r="L30" i="152"/>
  <c r="L26" i="152"/>
  <c r="O50" i="152"/>
  <c r="O47" i="155" s="1"/>
  <c r="L28" i="152"/>
  <c r="O14" i="147"/>
  <c r="R14" i="147"/>
  <c r="O31" i="152"/>
  <c r="L18" i="152"/>
  <c r="O38" i="150"/>
  <c r="H18" i="152"/>
  <c r="H18" i="155" s="1"/>
  <c r="I18" i="155"/>
  <c r="I20" i="156"/>
  <c r="H20" i="156" s="1"/>
  <c r="O47" i="152"/>
  <c r="F41" i="147"/>
  <c r="I45" i="155"/>
  <c r="I38" i="156"/>
  <c r="I14" i="147"/>
  <c r="I15" i="152"/>
  <c r="I35" i="155"/>
  <c r="C24" i="149"/>
  <c r="C25" i="149"/>
  <c r="L37" i="156"/>
  <c r="L44" i="155"/>
  <c r="O19" i="156"/>
  <c r="O17" i="155"/>
  <c r="O22" i="152"/>
  <c r="R32" i="152"/>
  <c r="U22" i="152"/>
  <c r="L17" i="152"/>
  <c r="L22" i="152"/>
  <c r="I38" i="147"/>
  <c r="R17" i="152"/>
  <c r="I44" i="152"/>
  <c r="T22" i="152"/>
  <c r="S22" i="152"/>
  <c r="J22" i="152"/>
  <c r="P22" i="152"/>
  <c r="Q22" i="152"/>
  <c r="I22" i="152"/>
  <c r="M22" i="152"/>
  <c r="N22" i="152"/>
  <c r="V22" i="152"/>
  <c r="W22" i="152"/>
  <c r="K22" i="152"/>
  <c r="U29" i="155"/>
  <c r="U17" i="152"/>
  <c r="O29" i="155"/>
  <c r="L29" i="155"/>
  <c r="V55" i="144" l="1"/>
  <c r="W57" i="144"/>
  <c r="J103" i="161"/>
  <c r="J113" i="161"/>
  <c r="W274" i="144"/>
  <c r="W89" i="144"/>
  <c r="V42" i="144"/>
  <c r="W42" i="144" s="1"/>
  <c r="I48" i="146"/>
  <c r="J102" i="161"/>
  <c r="S71" i="161"/>
  <c r="Q72" i="161"/>
  <c r="M292" i="144"/>
  <c r="I41" i="146"/>
  <c r="I24" i="146"/>
  <c r="P292" i="144"/>
  <c r="P293" i="144" s="1"/>
  <c r="S292" i="144"/>
  <c r="V292" i="144"/>
  <c r="V274" i="144"/>
  <c r="P113" i="161" s="1"/>
  <c r="N106" i="161"/>
  <c r="J106" i="161"/>
  <c r="L106" i="161"/>
  <c r="V266" i="144"/>
  <c r="V252" i="144"/>
  <c r="P111" i="161" s="1"/>
  <c r="Q111" i="161" s="1"/>
  <c r="S111" i="161" s="1"/>
  <c r="V201" i="144"/>
  <c r="P105" i="161" s="1"/>
  <c r="Q105" i="161" s="1"/>
  <c r="S105" i="161" s="1"/>
  <c r="V239" i="144"/>
  <c r="P110" i="161" s="1"/>
  <c r="Q110" i="161" s="1"/>
  <c r="S110" i="161" s="1"/>
  <c r="V182" i="144"/>
  <c r="P104" i="161" s="1"/>
  <c r="Q104" i="161" s="1"/>
  <c r="V163" i="144"/>
  <c r="P103" i="161" s="1"/>
  <c r="Q103" i="161" s="1"/>
  <c r="S103" i="161" s="1"/>
  <c r="V149" i="144"/>
  <c r="P102" i="161" s="1"/>
  <c r="Q102" i="161" s="1"/>
  <c r="S102" i="161" s="1"/>
  <c r="V140" i="144"/>
  <c r="P101" i="161" s="1"/>
  <c r="Q101" i="161" s="1"/>
  <c r="S101" i="161" s="1"/>
  <c r="V131" i="144"/>
  <c r="V117" i="144"/>
  <c r="P99" i="161" s="1"/>
  <c r="Q99" i="161" s="1"/>
  <c r="S99" i="161" s="1"/>
  <c r="V73" i="144"/>
  <c r="P92" i="161"/>
  <c r="V100" i="144"/>
  <c r="V34" i="144"/>
  <c r="P91" i="161" s="1"/>
  <c r="V15" i="144"/>
  <c r="I20" i="146"/>
  <c r="I21" i="146"/>
  <c r="I46" i="146"/>
  <c r="H46" i="146" s="1"/>
  <c r="J46" i="146" s="1"/>
  <c r="I27" i="146"/>
  <c r="P232" i="144"/>
  <c r="L109" i="161" s="1"/>
  <c r="L114" i="161" s="1"/>
  <c r="V232" i="144"/>
  <c r="P109" i="161" s="1"/>
  <c r="I31" i="146"/>
  <c r="L11" i="146"/>
  <c r="L41" i="146" s="1"/>
  <c r="I17" i="146"/>
  <c r="I22" i="146"/>
  <c r="I25" i="146"/>
  <c r="I32" i="146"/>
  <c r="I16" i="146"/>
  <c r="I28" i="146" s="1"/>
  <c r="H33" i="146" s="1"/>
  <c r="J33" i="146" s="1"/>
  <c r="I42" i="146"/>
  <c r="I30" i="146"/>
  <c r="J30" i="146" s="1"/>
  <c r="I45" i="146"/>
  <c r="J45" i="146" s="1"/>
  <c r="I47" i="146"/>
  <c r="I40" i="146"/>
  <c r="I43" i="146" s="1"/>
  <c r="I18" i="146"/>
  <c r="V24" i="144"/>
  <c r="F43" i="146"/>
  <c r="E48" i="146" s="1"/>
  <c r="G48" i="146" s="1"/>
  <c r="P92" i="144"/>
  <c r="L95" i="161" s="1"/>
  <c r="M232" i="144"/>
  <c r="J109" i="161" s="1"/>
  <c r="S232" i="144"/>
  <c r="N109" i="161" s="1"/>
  <c r="N114" i="161" s="1"/>
  <c r="I26" i="146"/>
  <c r="F28" i="146"/>
  <c r="E31" i="146" s="1"/>
  <c r="G31" i="146" s="1"/>
  <c r="J90" i="161"/>
  <c r="S222" i="144"/>
  <c r="V222" i="144"/>
  <c r="P24" i="144"/>
  <c r="L90" i="161" s="1"/>
  <c r="S92" i="144"/>
  <c r="N95" i="161" s="1"/>
  <c r="N96" i="161" s="1"/>
  <c r="V92" i="144"/>
  <c r="P95" i="161" s="1"/>
  <c r="S24" i="144"/>
  <c r="L24" i="146"/>
  <c r="L31" i="146"/>
  <c r="L26" i="146"/>
  <c r="L19" i="146"/>
  <c r="L42" i="146"/>
  <c r="L17" i="146"/>
  <c r="M222" i="144"/>
  <c r="M92" i="144"/>
  <c r="J95" i="161" s="1"/>
  <c r="I14" i="150"/>
  <c r="I14" i="156" s="1"/>
  <c r="O41" i="152"/>
  <c r="O38" i="155" s="1"/>
  <c r="O49" i="152"/>
  <c r="L41" i="152"/>
  <c r="O48" i="152"/>
  <c r="L41" i="147"/>
  <c r="U49" i="152"/>
  <c r="U46" i="155" s="1"/>
  <c r="O18" i="147"/>
  <c r="R18" i="147"/>
  <c r="L45" i="152"/>
  <c r="L22" i="156"/>
  <c r="O44" i="152"/>
  <c r="O42" i="155" s="1"/>
  <c r="L38" i="147"/>
  <c r="O19" i="152"/>
  <c r="O19" i="155" s="1"/>
  <c r="O35" i="152"/>
  <c r="O32" i="155" s="1"/>
  <c r="H48" i="146"/>
  <c r="J48" i="146" s="1"/>
  <c r="I20" i="149"/>
  <c r="L51" i="155"/>
  <c r="O27" i="152"/>
  <c r="O24" i="155" s="1"/>
  <c r="L23" i="155"/>
  <c r="U37" i="152"/>
  <c r="I39" i="147"/>
  <c r="L36" i="147"/>
  <c r="R40" i="152"/>
  <c r="R37" i="155" s="1"/>
  <c r="U40" i="152"/>
  <c r="L20" i="155"/>
  <c r="L19" i="147"/>
  <c r="L21" i="155"/>
  <c r="U36" i="152"/>
  <c r="U33" i="155" s="1"/>
  <c r="O21" i="152"/>
  <c r="O21" i="155" s="1"/>
  <c r="U28" i="152"/>
  <c r="U25" i="155" s="1"/>
  <c r="O38" i="152"/>
  <c r="U14" i="147"/>
  <c r="U53" i="152"/>
  <c r="U50" i="155" s="1"/>
  <c r="I19" i="147"/>
  <c r="I26" i="149"/>
  <c r="U54" i="152"/>
  <c r="U51" i="155" s="1"/>
  <c r="L27" i="155"/>
  <c r="L30" i="156"/>
  <c r="L26" i="155"/>
  <c r="U29" i="152"/>
  <c r="U26" i="155" s="1"/>
  <c r="O20" i="152"/>
  <c r="O20" i="155" s="1"/>
  <c r="L33" i="155"/>
  <c r="L22" i="155"/>
  <c r="L24" i="155"/>
  <c r="L50" i="155"/>
  <c r="U26" i="152"/>
  <c r="U23" i="155" s="1"/>
  <c r="L38" i="156"/>
  <c r="L45" i="155"/>
  <c r="O29" i="152"/>
  <c r="O26" i="155" s="1"/>
  <c r="O30" i="152"/>
  <c r="L48" i="155"/>
  <c r="L35" i="156"/>
  <c r="L28" i="155"/>
  <c r="O51" i="152"/>
  <c r="O48" i="155" s="1"/>
  <c r="U31" i="152"/>
  <c r="L25" i="155"/>
  <c r="I16" i="147"/>
  <c r="L36" i="155"/>
  <c r="L16" i="147"/>
  <c r="U39" i="152"/>
  <c r="U36" i="155" s="1"/>
  <c r="L39" i="147"/>
  <c r="L39" i="155"/>
  <c r="L32" i="155"/>
  <c r="O42" i="152"/>
  <c r="O39" i="155" s="1"/>
  <c r="O23" i="152"/>
  <c r="O22" i="155" s="1"/>
  <c r="O24" i="152"/>
  <c r="O25" i="152"/>
  <c r="L32" i="156"/>
  <c r="L40" i="147"/>
  <c r="L39" i="156"/>
  <c r="O35" i="156"/>
  <c r="O28" i="155"/>
  <c r="R50" i="152"/>
  <c r="R47" i="155" s="1"/>
  <c r="U50" i="152"/>
  <c r="I15" i="149"/>
  <c r="O45" i="152"/>
  <c r="I34" i="147"/>
  <c r="F45" i="147"/>
  <c r="U45" i="147" s="1"/>
  <c r="U38" i="150"/>
  <c r="O18" i="152"/>
  <c r="I15" i="155"/>
  <c r="F34" i="147"/>
  <c r="L15" i="152"/>
  <c r="L20" i="156"/>
  <c r="L18" i="155"/>
  <c r="R36" i="150"/>
  <c r="R47" i="152"/>
  <c r="C28" i="149"/>
  <c r="U36" i="150"/>
  <c r="U47" i="152"/>
  <c r="U44" i="155" s="1"/>
  <c r="O37" i="156"/>
  <c r="O44" i="155"/>
  <c r="R38" i="150"/>
  <c r="F38" i="147"/>
  <c r="I32" i="152"/>
  <c r="I42" i="155"/>
  <c r="I36" i="147"/>
  <c r="R29" i="155"/>
  <c r="L19" i="156"/>
  <c r="L17" i="155"/>
  <c r="R19" i="156"/>
  <c r="R17" i="155"/>
  <c r="U19" i="156"/>
  <c r="U17" i="155"/>
  <c r="H22" i="152"/>
  <c r="I22" i="156"/>
  <c r="I33" i="152"/>
  <c r="I17" i="152"/>
  <c r="P93" i="161" l="1"/>
  <c r="Q93" i="161" s="1"/>
  <c r="S93" i="161" s="1"/>
  <c r="W55" i="144"/>
  <c r="Q113" i="161"/>
  <c r="S113" i="161" s="1"/>
  <c r="W163" i="144"/>
  <c r="P112" i="161"/>
  <c r="Q112" i="161" s="1"/>
  <c r="S112" i="161" s="1"/>
  <c r="W266" i="144"/>
  <c r="W222" i="144"/>
  <c r="H47" i="146"/>
  <c r="J47" i="146" s="1"/>
  <c r="L27" i="146"/>
  <c r="L47" i="146"/>
  <c r="W149" i="144"/>
  <c r="W292" i="144"/>
  <c r="S72" i="161"/>
  <c r="L30" i="146"/>
  <c r="M30" i="146" s="1"/>
  <c r="L40" i="146"/>
  <c r="L43" i="146" s="1"/>
  <c r="K48" i="146" s="1"/>
  <c r="M48" i="146" s="1"/>
  <c r="L20" i="146"/>
  <c r="L48" i="146"/>
  <c r="L46" i="146"/>
  <c r="L22" i="146"/>
  <c r="L18" i="146"/>
  <c r="L16" i="146"/>
  <c r="L28" i="146" s="1"/>
  <c r="K31" i="146" s="1"/>
  <c r="M31" i="146" s="1"/>
  <c r="L33" i="146"/>
  <c r="L45" i="146"/>
  <c r="M45" i="146" s="1"/>
  <c r="L25" i="146"/>
  <c r="N142" i="161"/>
  <c r="J114" i="161"/>
  <c r="Q109" i="161"/>
  <c r="Q95" i="161"/>
  <c r="S95" i="161" s="1"/>
  <c r="L96" i="161"/>
  <c r="L142" i="161" s="1"/>
  <c r="C15" i="160" s="1"/>
  <c r="P114" i="161"/>
  <c r="J96" i="161"/>
  <c r="W73" i="144"/>
  <c r="P94" i="161"/>
  <c r="Q94" i="161" s="1"/>
  <c r="S94" i="161" s="1"/>
  <c r="W131" i="144"/>
  <c r="P100" i="161"/>
  <c r="Q100" i="161" s="1"/>
  <c r="S100" i="161" s="1"/>
  <c r="W100" i="144"/>
  <c r="P98" i="161"/>
  <c r="Q91" i="161"/>
  <c r="S91" i="161" s="1"/>
  <c r="W34" i="144"/>
  <c r="W182" i="144"/>
  <c r="S104" i="161"/>
  <c r="L52" i="161"/>
  <c r="L54" i="161" s="1"/>
  <c r="C10" i="160" s="1"/>
  <c r="N52" i="161"/>
  <c r="N54" i="161" s="1"/>
  <c r="D10" i="160" s="1"/>
  <c r="S293" i="144"/>
  <c r="J52" i="161"/>
  <c r="J54" i="161" s="1"/>
  <c r="M293" i="144"/>
  <c r="P52" i="161"/>
  <c r="P54" i="161" s="1"/>
  <c r="E10" i="160" s="1"/>
  <c r="V293" i="144"/>
  <c r="W15" i="144"/>
  <c r="L32" i="146"/>
  <c r="L21" i="146"/>
  <c r="O11" i="146"/>
  <c r="R11" i="146" s="1"/>
  <c r="R24" i="146" s="1"/>
  <c r="H31" i="146"/>
  <c r="J31" i="146" s="1"/>
  <c r="H32" i="146"/>
  <c r="J32" i="146" s="1"/>
  <c r="Q90" i="161"/>
  <c r="S90" i="161" s="1"/>
  <c r="W232" i="144"/>
  <c r="W117" i="144"/>
  <c r="W201" i="144"/>
  <c r="W24" i="144"/>
  <c r="W239" i="144"/>
  <c r="W92" i="144"/>
  <c r="W140" i="144"/>
  <c r="W252" i="144"/>
  <c r="E47" i="146"/>
  <c r="G47" i="146" s="1"/>
  <c r="E46" i="146"/>
  <c r="G46" i="146" s="1"/>
  <c r="D45" i="146"/>
  <c r="D30" i="146"/>
  <c r="E33" i="146"/>
  <c r="G33" i="146" s="1"/>
  <c r="E32" i="146"/>
  <c r="G32" i="146" s="1"/>
  <c r="V288" i="144"/>
  <c r="S288" i="144"/>
  <c r="O32" i="146"/>
  <c r="O19" i="146"/>
  <c r="P288" i="144"/>
  <c r="M288" i="144"/>
  <c r="C13" i="149"/>
  <c r="C12" i="149"/>
  <c r="L14" i="150"/>
  <c r="I41" i="150" s="1"/>
  <c r="R29" i="152"/>
  <c r="R26" i="155" s="1"/>
  <c r="U51" i="152"/>
  <c r="U48" i="155" s="1"/>
  <c r="O26" i="149"/>
  <c r="L33" i="156"/>
  <c r="L41" i="155"/>
  <c r="L18" i="147"/>
  <c r="U18" i="147" s="1"/>
  <c r="U35" i="152"/>
  <c r="U32" i="155" s="1"/>
  <c r="F13" i="149"/>
  <c r="L38" i="155"/>
  <c r="O46" i="155"/>
  <c r="I29" i="149"/>
  <c r="R41" i="152"/>
  <c r="R38" i="155" s="1"/>
  <c r="U41" i="152"/>
  <c r="U38" i="155" s="1"/>
  <c r="R49" i="152"/>
  <c r="R46" i="155" s="1"/>
  <c r="I16" i="152"/>
  <c r="I16" i="155" s="1"/>
  <c r="O28" i="149"/>
  <c r="O39" i="156"/>
  <c r="R35" i="152"/>
  <c r="O15" i="149"/>
  <c r="U45" i="152"/>
  <c r="O39" i="147"/>
  <c r="R19" i="152"/>
  <c r="R53" i="152"/>
  <c r="R36" i="152"/>
  <c r="O22" i="156"/>
  <c r="R19" i="147"/>
  <c r="U48" i="152"/>
  <c r="O40" i="147"/>
  <c r="L15" i="149"/>
  <c r="S15" i="149" s="1"/>
  <c r="R45" i="152"/>
  <c r="R39" i="147"/>
  <c r="U38" i="152"/>
  <c r="U35" i="155" s="1"/>
  <c r="R48" i="152"/>
  <c r="O30" i="156"/>
  <c r="O27" i="155"/>
  <c r="R37" i="156"/>
  <c r="H50" i="152"/>
  <c r="H47" i="155" s="1"/>
  <c r="U47" i="155"/>
  <c r="R16" i="147"/>
  <c r="R26" i="152"/>
  <c r="U19" i="152"/>
  <c r="U19" i="155" s="1"/>
  <c r="U20" i="152"/>
  <c r="R38" i="152"/>
  <c r="R35" i="155" s="1"/>
  <c r="O38" i="156"/>
  <c r="O45" i="155"/>
  <c r="L20" i="149"/>
  <c r="S20" i="149" s="1"/>
  <c r="R20" i="152"/>
  <c r="O35" i="155"/>
  <c r="R21" i="152"/>
  <c r="R21" i="155" s="1"/>
  <c r="O20" i="149"/>
  <c r="U27" i="152"/>
  <c r="U24" i="155" s="1"/>
  <c r="R38" i="147"/>
  <c r="U42" i="152"/>
  <c r="U39" i="155" s="1"/>
  <c r="U30" i="152"/>
  <c r="I19" i="149"/>
  <c r="U21" i="152"/>
  <c r="U21" i="155" s="1"/>
  <c r="R27" i="152"/>
  <c r="R24" i="155" s="1"/>
  <c r="U35" i="156"/>
  <c r="U28" i="155"/>
  <c r="U23" i="152"/>
  <c r="U22" i="155" s="1"/>
  <c r="U24" i="152"/>
  <c r="U25" i="152"/>
  <c r="O32" i="156"/>
  <c r="L26" i="149"/>
  <c r="R30" i="152"/>
  <c r="H30" i="152" s="1"/>
  <c r="H27" i="155" s="1"/>
  <c r="R28" i="152"/>
  <c r="U34" i="155"/>
  <c r="U44" i="152"/>
  <c r="U42" i="155" s="1"/>
  <c r="O36" i="147"/>
  <c r="R51" i="152"/>
  <c r="R48" i="155" s="1"/>
  <c r="L28" i="149"/>
  <c r="O33" i="156"/>
  <c r="O41" i="155"/>
  <c r="R40" i="147"/>
  <c r="R39" i="152"/>
  <c r="R42" i="152"/>
  <c r="R39" i="155" s="1"/>
  <c r="R31" i="152"/>
  <c r="R24" i="152"/>
  <c r="R25" i="152"/>
  <c r="R23" i="152"/>
  <c r="R22" i="155" s="1"/>
  <c r="H29" i="152"/>
  <c r="H26" i="155" s="1"/>
  <c r="R54" i="152"/>
  <c r="H40" i="152"/>
  <c r="H37" i="155" s="1"/>
  <c r="U37" i="155"/>
  <c r="L29" i="149"/>
  <c r="R37" i="152"/>
  <c r="R34" i="155" s="1"/>
  <c r="R44" i="152"/>
  <c r="R36" i="147"/>
  <c r="S25" i="141"/>
  <c r="V25" i="141" s="1"/>
  <c r="S201" i="141"/>
  <c r="S15" i="141"/>
  <c r="V15" i="141" s="1"/>
  <c r="R44" i="155"/>
  <c r="H47" i="152"/>
  <c r="H44" i="155" s="1"/>
  <c r="H36" i="150"/>
  <c r="S24" i="141"/>
  <c r="V24" i="141" s="1"/>
  <c r="C14" i="149"/>
  <c r="S204" i="141"/>
  <c r="V204" i="141" s="1"/>
  <c r="U37" i="156"/>
  <c r="F12" i="147"/>
  <c r="I25" i="149"/>
  <c r="O15" i="152"/>
  <c r="S189" i="141"/>
  <c r="V189" i="141" s="1"/>
  <c r="O20" i="156"/>
  <c r="O18" i="155"/>
  <c r="I17" i="156"/>
  <c r="S202" i="141"/>
  <c r="V202" i="141" s="1"/>
  <c r="U18" i="152"/>
  <c r="K32" i="146"/>
  <c r="M32" i="146" s="1"/>
  <c r="R18" i="152"/>
  <c r="S203" i="141"/>
  <c r="V203" i="141" s="1"/>
  <c r="R33" i="146"/>
  <c r="R19" i="146"/>
  <c r="L14" i="156"/>
  <c r="L15" i="155"/>
  <c r="H38" i="150"/>
  <c r="H33" i="152"/>
  <c r="H30" i="155" s="1"/>
  <c r="I30" i="155"/>
  <c r="I32" i="156"/>
  <c r="H32" i="152"/>
  <c r="H29" i="155" s="1"/>
  <c r="I29" i="155"/>
  <c r="F36" i="147"/>
  <c r="F40" i="147"/>
  <c r="H17" i="152"/>
  <c r="H17" i="155" s="1"/>
  <c r="I17" i="155"/>
  <c r="I19" i="156"/>
  <c r="R48" i="146" l="1"/>
  <c r="R25" i="146"/>
  <c r="K33" i="146"/>
  <c r="M33" i="146" s="1"/>
  <c r="O17" i="146"/>
  <c r="O47" i="146"/>
  <c r="O31" i="146"/>
  <c r="O24" i="146"/>
  <c r="R20" i="146"/>
  <c r="R47" i="146"/>
  <c r="O27" i="146"/>
  <c r="O48" i="146"/>
  <c r="R21" i="146"/>
  <c r="R27" i="146"/>
  <c r="U11" i="146"/>
  <c r="U18" i="146" s="1"/>
  <c r="O41" i="146"/>
  <c r="O22" i="146"/>
  <c r="R46" i="146"/>
  <c r="O45" i="146"/>
  <c r="P45" i="146" s="1"/>
  <c r="R31" i="146"/>
  <c r="R22" i="146"/>
  <c r="R26" i="146"/>
  <c r="R17" i="146"/>
  <c r="O25" i="146"/>
  <c r="R40" i="146"/>
  <c r="R43" i="146" s="1"/>
  <c r="Q48" i="146" s="1"/>
  <c r="S48" i="146" s="1"/>
  <c r="R41" i="146"/>
  <c r="R42" i="146"/>
  <c r="O21" i="146"/>
  <c r="O40" i="146"/>
  <c r="O43" i="146" s="1"/>
  <c r="N48" i="146" s="1"/>
  <c r="P48" i="146" s="1"/>
  <c r="O16" i="146"/>
  <c r="O28" i="146" s="1"/>
  <c r="N33" i="146" s="1"/>
  <c r="P33" i="146" s="1"/>
  <c r="R30" i="146"/>
  <c r="S30" i="146" s="1"/>
  <c r="K46" i="146"/>
  <c r="M46" i="146" s="1"/>
  <c r="O26" i="146"/>
  <c r="O46" i="146"/>
  <c r="J142" i="161"/>
  <c r="R45" i="146"/>
  <c r="S45" i="146" s="1"/>
  <c r="R32" i="146"/>
  <c r="R16" i="146"/>
  <c r="R28" i="146" s="1"/>
  <c r="R18" i="146"/>
  <c r="K47" i="146"/>
  <c r="M47" i="146" s="1"/>
  <c r="O20" i="146"/>
  <c r="O18" i="146"/>
  <c r="O33" i="146"/>
  <c r="O42" i="146"/>
  <c r="O30" i="146"/>
  <c r="P30" i="146" s="1"/>
  <c r="P96" i="161"/>
  <c r="S109" i="161"/>
  <c r="Q114" i="161"/>
  <c r="P106" i="161"/>
  <c r="Q98" i="161"/>
  <c r="W293" i="144"/>
  <c r="Q52" i="161"/>
  <c r="Q92" i="161"/>
  <c r="S92" i="161" s="1"/>
  <c r="Q89" i="161"/>
  <c r="D15" i="160"/>
  <c r="W288" i="144"/>
  <c r="N47" i="146"/>
  <c r="P47" i="146" s="1"/>
  <c r="S26" i="149"/>
  <c r="H25" i="152"/>
  <c r="U39" i="156"/>
  <c r="F14" i="149"/>
  <c r="F12" i="149"/>
  <c r="U15" i="152"/>
  <c r="O14" i="150"/>
  <c r="L41" i="150" s="1"/>
  <c r="C17" i="149"/>
  <c r="U39" i="147"/>
  <c r="N46" i="146"/>
  <c r="P46" i="146" s="1"/>
  <c r="H45" i="152"/>
  <c r="H41" i="155" s="1"/>
  <c r="O29" i="149"/>
  <c r="S29" i="149" s="1"/>
  <c r="O41" i="147"/>
  <c r="S210" i="141"/>
  <c r="V210" i="141" s="1"/>
  <c r="H24" i="152"/>
  <c r="S87" i="141"/>
  <c r="V87" i="141" s="1"/>
  <c r="R41" i="147"/>
  <c r="I58" i="152"/>
  <c r="H58" i="152" s="1"/>
  <c r="S68" i="141"/>
  <c r="V68" i="141" s="1"/>
  <c r="I55" i="155"/>
  <c r="S125" i="141"/>
  <c r="V125" i="141" s="1"/>
  <c r="S164" i="141"/>
  <c r="V164" i="141" s="1"/>
  <c r="H49" i="152"/>
  <c r="H46" i="155" s="1"/>
  <c r="S109" i="141"/>
  <c r="V109" i="141" s="1"/>
  <c r="S29" i="141"/>
  <c r="U40" i="147"/>
  <c r="S205" i="141"/>
  <c r="V205" i="141" s="1"/>
  <c r="H41" i="152"/>
  <c r="H38" i="155" s="1"/>
  <c r="S119" i="141"/>
  <c r="V119" i="141" s="1"/>
  <c r="S59" i="141"/>
  <c r="V59" i="141" s="1"/>
  <c r="S130" i="141"/>
  <c r="V130" i="141" s="1"/>
  <c r="S107" i="141"/>
  <c r="V107" i="141" s="1"/>
  <c r="S74" i="141"/>
  <c r="V74" i="141" s="1"/>
  <c r="S110" i="141"/>
  <c r="V110" i="141" s="1"/>
  <c r="S97" i="141"/>
  <c r="V97" i="141" s="1"/>
  <c r="S69" i="141"/>
  <c r="V69" i="141" s="1"/>
  <c r="S91" i="141"/>
  <c r="V91" i="141" s="1"/>
  <c r="S103" i="141"/>
  <c r="V103" i="141" s="1"/>
  <c r="S77" i="141"/>
  <c r="V77" i="141" s="1"/>
  <c r="S106" i="141"/>
  <c r="V106" i="141" s="1"/>
  <c r="R35" i="156"/>
  <c r="H35" i="156" s="1"/>
  <c r="R28" i="155"/>
  <c r="H31" i="152"/>
  <c r="H28" i="155" s="1"/>
  <c r="S134" i="141"/>
  <c r="V134" i="141" s="1"/>
  <c r="S96" i="141"/>
  <c r="V96" i="141" s="1"/>
  <c r="S127" i="141"/>
  <c r="V127" i="141" s="1"/>
  <c r="S166" i="141"/>
  <c r="V166" i="141" s="1"/>
  <c r="S172" i="141"/>
  <c r="V172" i="141" s="1"/>
  <c r="S44" i="141"/>
  <c r="V44" i="141" s="1"/>
  <c r="S57" i="141"/>
  <c r="V57" i="141" s="1"/>
  <c r="S41" i="141"/>
  <c r="V41" i="141" s="1"/>
  <c r="R27" i="155"/>
  <c r="R30" i="156"/>
  <c r="U36" i="147"/>
  <c r="S42" i="141"/>
  <c r="V42" i="141" s="1"/>
  <c r="S23" i="141"/>
  <c r="V23" i="141" s="1"/>
  <c r="S148" i="141"/>
  <c r="V148" i="141" s="1"/>
  <c r="S34" i="141"/>
  <c r="V34" i="141" s="1"/>
  <c r="S93" i="141"/>
  <c r="V93" i="141" s="1"/>
  <c r="H37" i="156"/>
  <c r="S126" i="141"/>
  <c r="V126" i="141" s="1"/>
  <c r="H23" i="152"/>
  <c r="H22" i="155" s="1"/>
  <c r="U32" i="156"/>
  <c r="H37" i="152"/>
  <c r="H34" i="155" s="1"/>
  <c r="H51" i="152"/>
  <c r="H48" i="155" s="1"/>
  <c r="H42" i="152"/>
  <c r="H39" i="155" s="1"/>
  <c r="R36" i="155"/>
  <c r="H39" i="152"/>
  <c r="H36" i="155" s="1"/>
  <c r="O19" i="147"/>
  <c r="U19" i="147" s="1"/>
  <c r="R32" i="155"/>
  <c r="H35" i="152"/>
  <c r="H32" i="155" s="1"/>
  <c r="R32" i="156"/>
  <c r="O38" i="147"/>
  <c r="U38" i="147" s="1"/>
  <c r="R23" i="155"/>
  <c r="H26" i="152"/>
  <c r="H23" i="155" s="1"/>
  <c r="R38" i="156"/>
  <c r="R45" i="155"/>
  <c r="O19" i="149"/>
  <c r="H48" i="152"/>
  <c r="H45" i="155" s="1"/>
  <c r="R50" i="155"/>
  <c r="H53" i="152"/>
  <c r="H50" i="155" s="1"/>
  <c r="R25" i="155"/>
  <c r="H28" i="152"/>
  <c r="H25" i="155" s="1"/>
  <c r="O16" i="147"/>
  <c r="U16" i="147" s="1"/>
  <c r="R33" i="156"/>
  <c r="R41" i="155"/>
  <c r="S54" i="141"/>
  <c r="V54" i="141" s="1"/>
  <c r="S163" i="141"/>
  <c r="V163" i="141" s="1"/>
  <c r="S146" i="141"/>
  <c r="V146" i="141" s="1"/>
  <c r="S65" i="141"/>
  <c r="V65" i="141" s="1"/>
  <c r="S46" i="141"/>
  <c r="V46" i="141" s="1"/>
  <c r="S187" i="141"/>
  <c r="V187" i="141" s="1"/>
  <c r="R20" i="155"/>
  <c r="R22" i="156"/>
  <c r="H27" i="152"/>
  <c r="H24" i="155" s="1"/>
  <c r="R33" i="155"/>
  <c r="H36" i="152"/>
  <c r="H33" i="155" s="1"/>
  <c r="R42" i="155"/>
  <c r="H44" i="152"/>
  <c r="H42" i="155" s="1"/>
  <c r="U30" i="156"/>
  <c r="U27" i="155"/>
  <c r="H21" i="152"/>
  <c r="H21" i="155" s="1"/>
  <c r="L19" i="149"/>
  <c r="U41" i="155"/>
  <c r="U33" i="156"/>
  <c r="S39" i="141"/>
  <c r="V39" i="141" s="1"/>
  <c r="S63" i="141"/>
  <c r="V63" i="141" s="1"/>
  <c r="S135" i="141"/>
  <c r="V135" i="141" s="1"/>
  <c r="S43" i="141"/>
  <c r="V43" i="141" s="1"/>
  <c r="S113" i="141"/>
  <c r="V113" i="141" s="1"/>
  <c r="S190" i="141"/>
  <c r="V190" i="141" s="1"/>
  <c r="U20" i="155"/>
  <c r="U22" i="156"/>
  <c r="I28" i="149"/>
  <c r="S28" i="149" s="1"/>
  <c r="U38" i="156"/>
  <c r="U45" i="155"/>
  <c r="R19" i="155"/>
  <c r="H19" i="152"/>
  <c r="H19" i="155" s="1"/>
  <c r="R51" i="155"/>
  <c r="H54" i="152"/>
  <c r="H51" i="155" s="1"/>
  <c r="R39" i="156"/>
  <c r="H39" i="156" s="1"/>
  <c r="S169" i="141"/>
  <c r="V169" i="141" s="1"/>
  <c r="S58" i="141"/>
  <c r="V58" i="141" s="1"/>
  <c r="S138" i="141"/>
  <c r="V138" i="141" s="1"/>
  <c r="S112" i="141"/>
  <c r="V112" i="141" s="1"/>
  <c r="H20" i="152"/>
  <c r="H20" i="155" s="1"/>
  <c r="H38" i="152"/>
  <c r="H35" i="155" s="1"/>
  <c r="S145" i="141"/>
  <c r="V145" i="141" s="1"/>
  <c r="S40" i="141"/>
  <c r="V40" i="141" s="1"/>
  <c r="S104" i="141"/>
  <c r="V104" i="141" s="1"/>
  <c r="S75" i="141"/>
  <c r="V75" i="141" s="1"/>
  <c r="S80" i="141"/>
  <c r="V80" i="141" s="1"/>
  <c r="S101" i="141"/>
  <c r="V101" i="141" s="1"/>
  <c r="S131" i="141"/>
  <c r="V131" i="141" s="1"/>
  <c r="S156" i="141"/>
  <c r="V156" i="141" s="1"/>
  <c r="S73" i="141"/>
  <c r="V73" i="141" s="1"/>
  <c r="S159" i="141"/>
  <c r="V159" i="141" s="1"/>
  <c r="S79" i="141"/>
  <c r="V79" i="141" s="1"/>
  <c r="S53" i="141"/>
  <c r="V53" i="141" s="1"/>
  <c r="S184" i="141"/>
  <c r="V184" i="141" s="1"/>
  <c r="S100" i="141"/>
  <c r="V100" i="141" s="1"/>
  <c r="S140" i="141"/>
  <c r="V140" i="141" s="1"/>
  <c r="S160" i="141"/>
  <c r="V160" i="141" s="1"/>
  <c r="S111" i="141"/>
  <c r="V111" i="141" s="1"/>
  <c r="S124" i="141"/>
  <c r="V124" i="141" s="1"/>
  <c r="S142" i="141"/>
  <c r="V142" i="141" s="1"/>
  <c r="S82" i="141"/>
  <c r="V82" i="141" s="1"/>
  <c r="S178" i="141"/>
  <c r="V178" i="141" s="1"/>
  <c r="S89" i="141"/>
  <c r="V89" i="141" s="1"/>
  <c r="Q47" i="146"/>
  <c r="S47" i="146" s="1"/>
  <c r="I12" i="147"/>
  <c r="S52" i="141"/>
  <c r="V52" i="141" s="1"/>
  <c r="S98" i="141"/>
  <c r="V98" i="141" s="1"/>
  <c r="F18" i="149"/>
  <c r="U41" i="146"/>
  <c r="U17" i="146"/>
  <c r="U27" i="146"/>
  <c r="U42" i="146"/>
  <c r="U24" i="146"/>
  <c r="U25" i="146"/>
  <c r="U31" i="146"/>
  <c r="U20" i="146"/>
  <c r="U32" i="146"/>
  <c r="F35" i="147"/>
  <c r="S198" i="141"/>
  <c r="V198" i="141" s="1"/>
  <c r="S165" i="141"/>
  <c r="V165" i="141" s="1"/>
  <c r="S175" i="141"/>
  <c r="V175" i="141" s="1"/>
  <c r="S181" i="141"/>
  <c r="V181" i="141" s="1"/>
  <c r="S162" i="141"/>
  <c r="V162" i="141" s="1"/>
  <c r="S174" i="141"/>
  <c r="V174" i="141" s="1"/>
  <c r="S83" i="141"/>
  <c r="V83" i="141" s="1"/>
  <c r="S143" i="141"/>
  <c r="V143" i="141" s="1"/>
  <c r="S117" i="141"/>
  <c r="U18" i="155"/>
  <c r="U20" i="156"/>
  <c r="O15" i="155"/>
  <c r="S22" i="141"/>
  <c r="V22" i="141" s="1"/>
  <c r="F24" i="149"/>
  <c r="O25" i="149"/>
  <c r="R20" i="156"/>
  <c r="R18" i="155"/>
  <c r="S61" i="141"/>
  <c r="V61" i="141" s="1"/>
  <c r="S194" i="141"/>
  <c r="S84" i="141"/>
  <c r="V84" i="141" s="1"/>
  <c r="I24" i="149"/>
  <c r="S88" i="141"/>
  <c r="V88" i="141" s="1"/>
  <c r="F25" i="149"/>
  <c r="S173" i="141"/>
  <c r="V173" i="141" s="1"/>
  <c r="S105" i="141"/>
  <c r="V105" i="141" s="1"/>
  <c r="S185" i="141"/>
  <c r="V185" i="141" s="1"/>
  <c r="S128" i="141"/>
  <c r="V128" i="141" s="1"/>
  <c r="S102" i="141"/>
  <c r="V102" i="141" s="1"/>
  <c r="L34" i="147"/>
  <c r="C18" i="149"/>
  <c r="R15" i="152"/>
  <c r="V201" i="141"/>
  <c r="S183" i="141"/>
  <c r="V183" i="141" s="1"/>
  <c r="H19" i="156"/>
  <c r="I42" i="156"/>
  <c r="F42" i="147"/>
  <c r="I57" i="155"/>
  <c r="U40" i="146" l="1"/>
  <c r="U30" i="146"/>
  <c r="V30" i="146" s="1"/>
  <c r="Q46" i="146"/>
  <c r="S46" i="146" s="1"/>
  <c r="U33" i="146"/>
  <c r="U26" i="146"/>
  <c r="U19" i="146"/>
  <c r="U47" i="146"/>
  <c r="U46" i="146"/>
  <c r="U16" i="146"/>
  <c r="U22" i="146"/>
  <c r="U21" i="146"/>
  <c r="U45" i="146"/>
  <c r="V45" i="146" s="1"/>
  <c r="X11" i="146"/>
  <c r="U48" i="146"/>
  <c r="N32" i="146"/>
  <c r="P32" i="146" s="1"/>
  <c r="N31" i="146"/>
  <c r="P31" i="146" s="1"/>
  <c r="B15" i="160"/>
  <c r="P142" i="161"/>
  <c r="E15" i="160" s="1"/>
  <c r="S114" i="161"/>
  <c r="S98" i="161"/>
  <c r="Q106" i="161"/>
  <c r="S106" i="161" s="1"/>
  <c r="S89" i="161"/>
  <c r="Q96" i="161"/>
  <c r="B10" i="160"/>
  <c r="F10" i="160" s="1"/>
  <c r="S52" i="161"/>
  <c r="Q54" i="161"/>
  <c r="S54" i="161" s="1"/>
  <c r="S215" i="141"/>
  <c r="V215" i="141" s="1"/>
  <c r="S217" i="141"/>
  <c r="V217" i="141" s="1"/>
  <c r="S50" i="141"/>
  <c r="V50" i="141" s="1"/>
  <c r="S45" i="141"/>
  <c r="V45" i="141" s="1"/>
  <c r="S158" i="141"/>
  <c r="V158" i="141" s="1"/>
  <c r="S161" i="141"/>
  <c r="V161" i="141" s="1"/>
  <c r="I13" i="149"/>
  <c r="S37" i="141"/>
  <c r="V37" i="141" s="1"/>
  <c r="S139" i="141"/>
  <c r="V139" i="141" s="1"/>
  <c r="S48" i="141"/>
  <c r="V48" i="141" s="1"/>
  <c r="S212" i="141"/>
  <c r="V212" i="141" s="1"/>
  <c r="S216" i="141"/>
  <c r="V216" i="141" s="1"/>
  <c r="S108" i="141"/>
  <c r="V108" i="141" s="1"/>
  <c r="S118" i="141"/>
  <c r="V118" i="141" s="1"/>
  <c r="S196" i="141"/>
  <c r="V196" i="141" s="1"/>
  <c r="H32" i="156"/>
  <c r="O14" i="156"/>
  <c r="I12" i="149"/>
  <c r="S18" i="141"/>
  <c r="V18" i="141" s="1"/>
  <c r="U14" i="150"/>
  <c r="R41" i="150" s="1"/>
  <c r="V200" i="141"/>
  <c r="V199" i="141"/>
  <c r="R14" i="150"/>
  <c r="O41" i="150" s="1"/>
  <c r="S122" i="141"/>
  <c r="V122" i="141" s="1"/>
  <c r="S132" i="141"/>
  <c r="V132" i="141" s="1"/>
  <c r="S171" i="141"/>
  <c r="V171" i="141" s="1"/>
  <c r="S35" i="141"/>
  <c r="V35" i="141" s="1"/>
  <c r="S186" i="141"/>
  <c r="V186" i="141" s="1"/>
  <c r="S30" i="141"/>
  <c r="V30" i="141" s="1"/>
  <c r="S167" i="141"/>
  <c r="V167" i="141" s="1"/>
  <c r="S129" i="141"/>
  <c r="V129" i="141" s="1"/>
  <c r="S92" i="141"/>
  <c r="V92" i="141" s="1"/>
  <c r="S123" i="141"/>
  <c r="V123" i="141" s="1"/>
  <c r="S85" i="141"/>
  <c r="V85" i="141" s="1"/>
  <c r="S49" i="141"/>
  <c r="V49" i="141" s="1"/>
  <c r="S137" i="141"/>
  <c r="V137" i="141" s="1"/>
  <c r="S17" i="141"/>
  <c r="V17" i="141" s="1"/>
  <c r="H38" i="156"/>
  <c r="S72" i="141"/>
  <c r="V72" i="141" s="1"/>
  <c r="S152" i="141"/>
  <c r="V152" i="141" s="1"/>
  <c r="S153" i="141"/>
  <c r="V153" i="141" s="1"/>
  <c r="S32" i="141"/>
  <c r="V32" i="141" s="1"/>
  <c r="U41" i="147"/>
  <c r="S99" i="141"/>
  <c r="V99" i="141" s="1"/>
  <c r="S136" i="141"/>
  <c r="V136" i="141" s="1"/>
  <c r="S144" i="141"/>
  <c r="V144" i="141" s="1"/>
  <c r="S56" i="141"/>
  <c r="V56" i="141" s="1"/>
  <c r="S38" i="141"/>
  <c r="V38" i="141" s="1"/>
  <c r="S36" i="141"/>
  <c r="V36" i="141" s="1"/>
  <c r="H33" i="156"/>
  <c r="H30" i="156"/>
  <c r="E21" i="142"/>
  <c r="M21" i="142" s="1"/>
  <c r="S31" i="141"/>
  <c r="V31" i="141" s="1"/>
  <c r="S179" i="141"/>
  <c r="V179" i="141" s="1"/>
  <c r="S120" i="141"/>
  <c r="V120" i="141" s="1"/>
  <c r="S176" i="141"/>
  <c r="V176" i="141" s="1"/>
  <c r="H22" i="156"/>
  <c r="S168" i="141"/>
  <c r="V168" i="141" s="1"/>
  <c r="S95" i="141"/>
  <c r="V95" i="141" s="1"/>
  <c r="S62" i="141"/>
  <c r="V62" i="141" s="1"/>
  <c r="C27" i="149"/>
  <c r="C30" i="149" s="1"/>
  <c r="L12" i="147"/>
  <c r="S149" i="141"/>
  <c r="V149" i="141" s="1"/>
  <c r="U28" i="146"/>
  <c r="S90" i="141"/>
  <c r="V90" i="141" s="1"/>
  <c r="O34" i="147"/>
  <c r="S188" i="141"/>
  <c r="V188" i="141" s="1"/>
  <c r="S70" i="141"/>
  <c r="V70" i="141" s="1"/>
  <c r="S76" i="141"/>
  <c r="V76" i="141" s="1"/>
  <c r="X26" i="146"/>
  <c r="X22" i="146"/>
  <c r="X32" i="146"/>
  <c r="AA11" i="146"/>
  <c r="X45" i="146"/>
  <c r="Y45" i="146" s="1"/>
  <c r="X40" i="146"/>
  <c r="X17" i="146"/>
  <c r="X25" i="146"/>
  <c r="X47" i="146"/>
  <c r="X41" i="146"/>
  <c r="X19" i="146"/>
  <c r="X18" i="146"/>
  <c r="X30" i="146"/>
  <c r="Y30" i="146" s="1"/>
  <c r="X16" i="146"/>
  <c r="X48" i="146"/>
  <c r="X24" i="146"/>
  <c r="X31" i="146"/>
  <c r="X46" i="146"/>
  <c r="X27" i="146"/>
  <c r="X42" i="146"/>
  <c r="X21" i="146"/>
  <c r="X33" i="146"/>
  <c r="X20" i="146"/>
  <c r="S151" i="141"/>
  <c r="V151" i="141" s="1"/>
  <c r="S51" i="141"/>
  <c r="V51" i="141" s="1"/>
  <c r="S33" i="141"/>
  <c r="V33" i="141" s="1"/>
  <c r="U15" i="155"/>
  <c r="S78" i="141"/>
  <c r="V78" i="141" s="1"/>
  <c r="R34" i="147"/>
  <c r="F13" i="147"/>
  <c r="S182" i="141"/>
  <c r="V182" i="141" s="1"/>
  <c r="O24" i="149"/>
  <c r="S141" i="141"/>
  <c r="V141" i="141" s="1"/>
  <c r="S21" i="141"/>
  <c r="S150" i="141"/>
  <c r="V150" i="141" s="1"/>
  <c r="S177" i="141"/>
  <c r="V177" i="141" s="1"/>
  <c r="S16" i="141"/>
  <c r="V16" i="141" s="1"/>
  <c r="S66" i="141"/>
  <c r="V66" i="141" s="1"/>
  <c r="S170" i="141"/>
  <c r="V170" i="141" s="1"/>
  <c r="S121" i="141"/>
  <c r="V121" i="141" s="1"/>
  <c r="S147" i="141"/>
  <c r="V147" i="141" s="1"/>
  <c r="S226" i="141"/>
  <c r="V226" i="141" s="1"/>
  <c r="S114" i="141"/>
  <c r="V114" i="141" s="1"/>
  <c r="S71" i="141"/>
  <c r="V71" i="141" s="1"/>
  <c r="S81" i="141"/>
  <c r="V81" i="141" s="1"/>
  <c r="S47" i="141"/>
  <c r="V47" i="141" s="1"/>
  <c r="I14" i="149"/>
  <c r="R15" i="155"/>
  <c r="I43" i="150"/>
  <c r="S133" i="141"/>
  <c r="V133" i="141" s="1"/>
  <c r="V194" i="141"/>
  <c r="S67" i="141"/>
  <c r="V67" i="141" s="1"/>
  <c r="S55" i="141"/>
  <c r="V55" i="141" s="1"/>
  <c r="S154" i="141"/>
  <c r="V154" i="141" s="1"/>
  <c r="Q33" i="146"/>
  <c r="S33" i="146" s="1"/>
  <c r="Q31" i="146"/>
  <c r="S31" i="146" s="1"/>
  <c r="Q32" i="146"/>
  <c r="S32" i="146" s="1"/>
  <c r="V29" i="141"/>
  <c r="S64" i="141"/>
  <c r="V64" i="141" s="1"/>
  <c r="S86" i="141"/>
  <c r="V86" i="141" s="1"/>
  <c r="L16" i="152"/>
  <c r="S180" i="141"/>
  <c r="V180" i="141" s="1"/>
  <c r="S60" i="141"/>
  <c r="V60" i="141" s="1"/>
  <c r="S155" i="141"/>
  <c r="V155" i="141" s="1"/>
  <c r="V117" i="141"/>
  <c r="U43" i="146"/>
  <c r="S94" i="141"/>
  <c r="V94" i="141" s="1"/>
  <c r="H15" i="152"/>
  <c r="H15" i="155" s="1"/>
  <c r="F44" i="147"/>
  <c r="H42" i="156"/>
  <c r="F15" i="160" l="1"/>
  <c r="S96" i="161"/>
  <c r="S142" i="161" s="1"/>
  <c r="Q142" i="161"/>
  <c r="S223" i="141"/>
  <c r="V223" i="141" s="1"/>
  <c r="O13" i="149"/>
  <c r="S211" i="141"/>
  <c r="V211" i="141" s="1"/>
  <c r="S157" i="141"/>
  <c r="V157" i="141" s="1"/>
  <c r="O14" i="149"/>
  <c r="F17" i="149"/>
  <c r="S195" i="141"/>
  <c r="H41" i="150"/>
  <c r="S197" i="141"/>
  <c r="V197" i="141" s="1"/>
  <c r="S219" i="141"/>
  <c r="V219" i="141" s="1"/>
  <c r="I17" i="149"/>
  <c r="H14" i="150"/>
  <c r="O12" i="149"/>
  <c r="U14" i="156"/>
  <c r="S14" i="141"/>
  <c r="V14" i="141" s="1"/>
  <c r="S218" i="141"/>
  <c r="R14" i="156"/>
  <c r="S208" i="141"/>
  <c r="S209" i="141"/>
  <c r="V209" i="141" s="1"/>
  <c r="V27" i="141"/>
  <c r="I35" i="147"/>
  <c r="H14" i="156"/>
  <c r="V116" i="141"/>
  <c r="U34" i="147"/>
  <c r="I13" i="147"/>
  <c r="V26" i="141"/>
  <c r="T31" i="146"/>
  <c r="V31" i="146" s="1"/>
  <c r="T33" i="146"/>
  <c r="V33" i="146" s="1"/>
  <c r="T32" i="146"/>
  <c r="V32" i="146" s="1"/>
  <c r="I44" i="156"/>
  <c r="H44" i="156" s="1"/>
  <c r="H43" i="150"/>
  <c r="S224" i="141"/>
  <c r="V224" i="141" s="1"/>
  <c r="V28" i="141"/>
  <c r="I27" i="149"/>
  <c r="I30" i="149" s="1"/>
  <c r="L17" i="156"/>
  <c r="L16" i="155"/>
  <c r="L55" i="155" s="1"/>
  <c r="L58" i="152"/>
  <c r="I18" i="149"/>
  <c r="T46" i="146"/>
  <c r="V46" i="146" s="1"/>
  <c r="T48" i="146"/>
  <c r="V48" i="146" s="1"/>
  <c r="T47" i="146"/>
  <c r="V47" i="146" s="1"/>
  <c r="L25" i="149"/>
  <c r="S25" i="149" s="1"/>
  <c r="C16" i="149"/>
  <c r="F20" i="147"/>
  <c r="O16" i="152"/>
  <c r="V12" i="141"/>
  <c r="V19" i="141"/>
  <c r="V21" i="141"/>
  <c r="V20" i="141"/>
  <c r="F16" i="149"/>
  <c r="L24" i="149"/>
  <c r="S24" i="149" s="1"/>
  <c r="X28" i="146"/>
  <c r="X43" i="146"/>
  <c r="O18" i="149"/>
  <c r="S222" i="141"/>
  <c r="V115" i="141"/>
  <c r="AA24" i="146"/>
  <c r="AA19" i="146"/>
  <c r="AA47" i="146"/>
  <c r="AA40" i="146"/>
  <c r="AA26" i="146"/>
  <c r="AA33" i="146"/>
  <c r="AA25" i="146"/>
  <c r="AA41" i="146"/>
  <c r="AA46" i="146"/>
  <c r="AA17" i="146"/>
  <c r="AA48" i="146"/>
  <c r="AA32" i="146"/>
  <c r="AD11" i="146"/>
  <c r="AA16" i="146"/>
  <c r="AA21" i="146"/>
  <c r="AA45" i="146"/>
  <c r="AB45" i="146" s="1"/>
  <c r="AA42" i="146"/>
  <c r="AA22" i="146"/>
  <c r="AA27" i="146"/>
  <c r="AA18" i="146"/>
  <c r="AA20" i="146"/>
  <c r="AA31" i="146"/>
  <c r="AA30" i="146"/>
  <c r="AB30" i="146" s="1"/>
  <c r="R12" i="147"/>
  <c r="F47" i="147"/>
  <c r="E20" i="142"/>
  <c r="I47" i="150"/>
  <c r="O17" i="149" l="1"/>
  <c r="V195" i="141"/>
  <c r="V193" i="141"/>
  <c r="L13" i="149"/>
  <c r="S13" i="149" s="1"/>
  <c r="S225" i="141"/>
  <c r="V225" i="141" s="1"/>
  <c r="V208" i="141"/>
  <c r="V206" i="141"/>
  <c r="V192" i="141"/>
  <c r="V207" i="141"/>
  <c r="V191" i="141"/>
  <c r="S221" i="141"/>
  <c r="V221" i="141" s="1"/>
  <c r="V218" i="141"/>
  <c r="V214" i="141"/>
  <c r="V213" i="141"/>
  <c r="S228" i="141"/>
  <c r="V228" i="141" s="1"/>
  <c r="S230" i="141"/>
  <c r="V229" i="141" s="1"/>
  <c r="L14" i="149"/>
  <c r="S14" i="149" s="1"/>
  <c r="L12" i="149"/>
  <c r="S12" i="149" s="1"/>
  <c r="V11" i="141"/>
  <c r="T230" i="141"/>
  <c r="V13" i="141"/>
  <c r="S227" i="141"/>
  <c r="V227" i="141" s="1"/>
  <c r="E22" i="142"/>
  <c r="M22" i="142" s="1"/>
  <c r="F21" i="149"/>
  <c r="O43" i="150"/>
  <c r="V222" i="141"/>
  <c r="I45" i="150"/>
  <c r="AD40" i="146"/>
  <c r="AD42" i="146"/>
  <c r="AD31" i="146"/>
  <c r="AD16" i="146"/>
  <c r="AD19" i="146"/>
  <c r="AD20" i="146"/>
  <c r="AD25" i="146"/>
  <c r="AD22" i="146"/>
  <c r="AD46" i="146"/>
  <c r="AG11" i="146"/>
  <c r="AD45" i="146"/>
  <c r="AE45" i="146" s="1"/>
  <c r="AD47" i="146"/>
  <c r="AD26" i="146"/>
  <c r="AD48" i="146"/>
  <c r="AD17" i="146"/>
  <c r="AD41" i="146"/>
  <c r="AD33" i="146"/>
  <c r="AD30" i="146"/>
  <c r="AE30" i="146" s="1"/>
  <c r="AD24" i="146"/>
  <c r="AD18" i="146"/>
  <c r="AD27" i="146"/>
  <c r="AD32" i="146"/>
  <c r="AD21" i="146"/>
  <c r="W46" i="146"/>
  <c r="Y46" i="146" s="1"/>
  <c r="W48" i="146"/>
  <c r="Y48" i="146" s="1"/>
  <c r="W47" i="146"/>
  <c r="Y47" i="146" s="1"/>
  <c r="I16" i="149"/>
  <c r="I21" i="149" s="1"/>
  <c r="I32" i="149" s="1"/>
  <c r="AA43" i="146"/>
  <c r="C21" i="149"/>
  <c r="I20" i="147"/>
  <c r="I22" i="147"/>
  <c r="AA28" i="146"/>
  <c r="W31" i="146"/>
  <c r="Y31" i="146" s="1"/>
  <c r="W33" i="146"/>
  <c r="Y33" i="146" s="1"/>
  <c r="W32" i="146"/>
  <c r="Y32" i="146" s="1"/>
  <c r="F22" i="147"/>
  <c r="I42" i="147"/>
  <c r="L57" i="155"/>
  <c r="O17" i="156"/>
  <c r="O42" i="156" s="1"/>
  <c r="O16" i="155"/>
  <c r="O55" i="155" s="1"/>
  <c r="O58" i="152"/>
  <c r="F25" i="147"/>
  <c r="F50" i="147"/>
  <c r="U16" i="152"/>
  <c r="R16" i="152"/>
  <c r="L13" i="147"/>
  <c r="L42" i="156"/>
  <c r="L43" i="150"/>
  <c r="I48" i="156"/>
  <c r="H48" i="156" s="1"/>
  <c r="M20" i="142"/>
  <c r="V230" i="141" l="1"/>
  <c r="F28" i="147"/>
  <c r="F52" i="147" s="1"/>
  <c r="V220" i="141"/>
  <c r="O12" i="147"/>
  <c r="U12" i="147" s="1"/>
  <c r="E23" i="142"/>
  <c r="M23" i="142" s="1"/>
  <c r="H16" i="152"/>
  <c r="H16" i="155" s="1"/>
  <c r="AD43" i="146"/>
  <c r="AC47" i="146" s="1"/>
  <c r="AE47" i="146" s="1"/>
  <c r="O27" i="149"/>
  <c r="I25" i="147"/>
  <c r="I28" i="147" s="1"/>
  <c r="O30" i="149"/>
  <c r="U43" i="150"/>
  <c r="I46" i="156"/>
  <c r="H46" i="156" s="1"/>
  <c r="H45" i="150"/>
  <c r="H47" i="150" s="1"/>
  <c r="O16" i="149"/>
  <c r="O21" i="149" s="1"/>
  <c r="I47" i="147"/>
  <c r="F27" i="149"/>
  <c r="F30" i="149" s="1"/>
  <c r="Z46" i="146"/>
  <c r="AB46" i="146" s="1"/>
  <c r="Z47" i="146"/>
  <c r="AB47" i="146" s="1"/>
  <c r="Z48" i="146"/>
  <c r="AB48" i="146" s="1"/>
  <c r="R17" i="156"/>
  <c r="R16" i="155"/>
  <c r="R55" i="155" s="1"/>
  <c r="R58" i="152"/>
  <c r="I44" i="147"/>
  <c r="I50" i="147" s="1"/>
  <c r="O44" i="156"/>
  <c r="O47" i="150"/>
  <c r="U17" i="156"/>
  <c r="U42" i="156" s="1"/>
  <c r="U16" i="155"/>
  <c r="U55" i="155" s="1"/>
  <c r="U58" i="152"/>
  <c r="H35" i="148"/>
  <c r="H12" i="148" s="1"/>
  <c r="AD28" i="146"/>
  <c r="I49" i="150"/>
  <c r="Z33" i="146"/>
  <c r="AB33" i="146" s="1"/>
  <c r="Z32" i="146"/>
  <c r="AB32" i="146" s="1"/>
  <c r="Z31" i="146"/>
  <c r="AB31" i="146" s="1"/>
  <c r="L35" i="147"/>
  <c r="L44" i="156"/>
  <c r="L47" i="150"/>
  <c r="L20" i="147"/>
  <c r="S21" i="149"/>
  <c r="C32" i="149"/>
  <c r="S32" i="149" s="1"/>
  <c r="AG18" i="146"/>
  <c r="AJ18" i="146" s="1"/>
  <c r="AG41" i="146"/>
  <c r="AJ41" i="146" s="1"/>
  <c r="AG47" i="146"/>
  <c r="AG21" i="146"/>
  <c r="AJ21" i="146" s="1"/>
  <c r="AG24" i="146"/>
  <c r="AJ24" i="146" s="1"/>
  <c r="AG32" i="146"/>
  <c r="AG26" i="146"/>
  <c r="AJ26" i="146" s="1"/>
  <c r="AG31" i="146"/>
  <c r="AG16" i="146"/>
  <c r="AJ16" i="146" s="1"/>
  <c r="AG40" i="146"/>
  <c r="AG17" i="146"/>
  <c r="AJ17" i="146" s="1"/>
  <c r="AG33" i="146"/>
  <c r="AG19" i="146"/>
  <c r="AJ19" i="146" s="1"/>
  <c r="AG42" i="146"/>
  <c r="AJ42" i="146" s="1"/>
  <c r="AG20" i="146"/>
  <c r="AJ20" i="146" s="1"/>
  <c r="AG48" i="146"/>
  <c r="AG22" i="146"/>
  <c r="AJ22" i="146" s="1"/>
  <c r="AG27" i="146"/>
  <c r="AJ27" i="146" s="1"/>
  <c r="AG25" i="146"/>
  <c r="AJ25" i="146" s="1"/>
  <c r="AG46" i="146"/>
  <c r="AG30" i="146"/>
  <c r="AH30" i="146" s="1"/>
  <c r="AG45" i="146"/>
  <c r="AH45" i="146" s="1"/>
  <c r="R13" i="147"/>
  <c r="B35" i="148"/>
  <c r="L18" i="149" l="1"/>
  <c r="S18" i="149" s="1"/>
  <c r="AC46" i="146"/>
  <c r="AE46" i="146" s="1"/>
  <c r="L49" i="150"/>
  <c r="AC48" i="146"/>
  <c r="AE48" i="146" s="1"/>
  <c r="I52" i="147"/>
  <c r="O45" i="150"/>
  <c r="O46" i="156" s="1"/>
  <c r="O48" i="156" s="1"/>
  <c r="R35" i="147"/>
  <c r="L22" i="147"/>
  <c r="R42" i="156"/>
  <c r="H17" i="156"/>
  <c r="U44" i="156"/>
  <c r="U47" i="150"/>
  <c r="O32" i="149"/>
  <c r="R43" i="150"/>
  <c r="AC31" i="146"/>
  <c r="AE31" i="146" s="1"/>
  <c r="AC33" i="146"/>
  <c r="AE33" i="146" s="1"/>
  <c r="AC32" i="146"/>
  <c r="AE32" i="146" s="1"/>
  <c r="L45" i="150"/>
  <c r="L46" i="156" s="1"/>
  <c r="L48" i="156" s="1"/>
  <c r="AG43" i="146"/>
  <c r="E25" i="142"/>
  <c r="M25" i="142" s="1"/>
  <c r="F32" i="149"/>
  <c r="AJ40" i="146"/>
  <c r="E35" i="148"/>
  <c r="E12" i="148" s="1"/>
  <c r="O35" i="147"/>
  <c r="U35" i="147" s="1"/>
  <c r="R22" i="147"/>
  <c r="R20" i="147"/>
  <c r="AG28" i="146"/>
  <c r="L42" i="147"/>
  <c r="O57" i="155"/>
  <c r="Q35" i="148"/>
  <c r="T35" i="148"/>
  <c r="B12" i="148"/>
  <c r="N35" i="148" l="1"/>
  <c r="N12" i="148" s="1"/>
  <c r="R25" i="147"/>
  <c r="R28" i="147" s="1"/>
  <c r="L17" i="149"/>
  <c r="S17" i="149" s="1"/>
  <c r="O13" i="147"/>
  <c r="U13" i="147" s="1"/>
  <c r="AF46" i="146"/>
  <c r="AH46" i="146" s="1"/>
  <c r="AF48" i="146"/>
  <c r="AH48" i="146" s="1"/>
  <c r="AF47" i="146"/>
  <c r="AH47" i="146" s="1"/>
  <c r="L27" i="149"/>
  <c r="E27" i="142"/>
  <c r="M27" i="142" s="1"/>
  <c r="L25" i="147"/>
  <c r="L28" i="147" s="1"/>
  <c r="L44" i="147"/>
  <c r="R57" i="155"/>
  <c r="O44" i="147"/>
  <c r="O42" i="147"/>
  <c r="U57" i="155"/>
  <c r="R42" i="147"/>
  <c r="U42" i="147"/>
  <c r="AF31" i="146"/>
  <c r="AH31" i="146" s="1"/>
  <c r="AF33" i="146"/>
  <c r="AH33" i="146" s="1"/>
  <c r="AF32" i="146"/>
  <c r="AH32" i="146" s="1"/>
  <c r="U45" i="150"/>
  <c r="U46" i="156" s="1"/>
  <c r="U48" i="156" s="1"/>
  <c r="R44" i="156"/>
  <c r="R47" i="150"/>
  <c r="I8" i="142"/>
  <c r="C116" i="145"/>
  <c r="C122" i="145" s="1"/>
  <c r="E43" i="142"/>
  <c r="T12" i="148"/>
  <c r="Q12" i="148"/>
  <c r="L16" i="149" l="1"/>
  <c r="O20" i="147"/>
  <c r="U20" i="147" s="1"/>
  <c r="E18" i="142"/>
  <c r="M18" i="142" s="1"/>
  <c r="O47" i="147"/>
  <c r="O50" i="147" s="1"/>
  <c r="O52" i="147" s="1"/>
  <c r="R47" i="147"/>
  <c r="L30" i="149"/>
  <c r="S27" i="149"/>
  <c r="L47" i="147"/>
  <c r="R45" i="150"/>
  <c r="R46" i="156" s="1"/>
  <c r="R48" i="156" s="1"/>
  <c r="R44" i="147"/>
  <c r="K35" i="148"/>
  <c r="K12" i="148" s="1"/>
  <c r="O49" i="150"/>
  <c r="I12" i="142"/>
  <c r="M8" i="142"/>
  <c r="M12" i="142" s="1"/>
  <c r="E45" i="142"/>
  <c r="I43" i="142"/>
  <c r="I45" i="142" s="1"/>
  <c r="M43" i="142"/>
  <c r="M45" i="142" s="1"/>
  <c r="K43" i="142"/>
  <c r="K45" i="142" s="1"/>
  <c r="G43" i="142"/>
  <c r="G45" i="142" s="1"/>
  <c r="O22" i="147" l="1"/>
  <c r="U22" i="147" s="1"/>
  <c r="L21" i="149"/>
  <c r="S16" i="149"/>
  <c r="U49" i="150"/>
  <c r="R50" i="147"/>
  <c r="R52" i="147" s="1"/>
  <c r="U47" i="147"/>
  <c r="U44" i="147"/>
  <c r="R49" i="150"/>
  <c r="L32" i="149"/>
  <c r="S30" i="149"/>
  <c r="E19" i="142"/>
  <c r="L50" i="147"/>
  <c r="O25" i="147" l="1"/>
  <c r="L52" i="147"/>
  <c r="U52" i="147" s="1"/>
  <c r="U50" i="147"/>
  <c r="M19" i="142"/>
  <c r="E26" i="142"/>
  <c r="O28" i="147" l="1"/>
  <c r="U28" i="147" s="1"/>
  <c r="U25" i="147"/>
  <c r="M26" i="142"/>
  <c r="E28" i="142"/>
  <c r="M28" i="142" s="1"/>
  <c r="L60" i="161"/>
  <c r="L63" i="161" s="1"/>
  <c r="N60" i="161"/>
  <c r="N63" i="161" s="1"/>
  <c r="P60" i="161"/>
  <c r="P63" i="161" s="1"/>
  <c r="P144" i="161" s="1"/>
  <c r="J60" i="161"/>
  <c r="Q60" i="161" l="1"/>
  <c r="Q63" i="161" s="1"/>
  <c r="P146" i="161"/>
  <c r="E18" i="160" s="1"/>
  <c r="L144" i="161"/>
  <c r="C12" i="160"/>
  <c r="C17" i="160" s="1"/>
  <c r="D12" i="160"/>
  <c r="D17" i="160" s="1"/>
  <c r="N144" i="161"/>
  <c r="S60" i="161"/>
  <c r="J63" i="161"/>
  <c r="E12" i="160"/>
  <c r="E17" i="160" s="1"/>
  <c r="J144" i="161" l="1"/>
  <c r="B12" i="160"/>
  <c r="S63" i="161"/>
  <c r="Q144" i="161"/>
  <c r="L146" i="161"/>
  <c r="C18" i="160" s="1"/>
  <c r="C19" i="160" s="1"/>
  <c r="N146" i="161"/>
  <c r="D18" i="160" s="1"/>
  <c r="D19" i="160" s="1"/>
  <c r="E19" i="160"/>
  <c r="P148" i="161"/>
  <c r="N148" i="161" l="1"/>
  <c r="L148" i="161"/>
  <c r="S144" i="161"/>
  <c r="F12" i="160"/>
  <c r="F17" i="160" s="1"/>
  <c r="B17" i="160"/>
  <c r="J146" i="161"/>
  <c r="J148" i="161" s="1"/>
  <c r="Q146" i="161" l="1"/>
  <c r="B18" i="160"/>
  <c r="F18" i="160" s="1"/>
  <c r="F19" i="160" s="1"/>
  <c r="B19" i="160" l="1"/>
  <c r="S146" i="161"/>
  <c r="Q148" i="161"/>
  <c r="S148" i="16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tc={774DD94D-8B18-4D4C-BD72-552D8A4F8BF1}</author>
  </authors>
  <commentList>
    <comment ref="I11" authorId="0" shapeId="0" xr:uid="{774DD94D-8B18-4D4C-BD72-552D8A4F8BF1}">
      <text>
        <t>[Threaded comment]
Your version of Excel allows you to read this threaded comment; however, any edits to it will get removed if the file is opened in a newer version of Excel. Learn more: https://go.microsoft.com/fwlink/?linkid=870924
Comment:
    Not sure if removing this highlighted area would impact the budget?</t>
      </text>
    </comment>
  </commentList>
</comments>
</file>

<file path=xl/sharedStrings.xml><?xml version="1.0" encoding="utf-8"?>
<sst xmlns="http://schemas.openxmlformats.org/spreadsheetml/2006/main" count="3544" uniqueCount="1055">
  <si>
    <t>GENERAL ASSUMPTIONS</t>
  </si>
  <si>
    <t>Header Information:</t>
  </si>
  <si>
    <t>Partners of America</t>
  </si>
  <si>
    <t>DONOR:</t>
  </si>
  <si>
    <t>USDOL</t>
  </si>
  <si>
    <t>Country:</t>
  </si>
  <si>
    <t>Ecuador</t>
  </si>
  <si>
    <t>Program Name:</t>
  </si>
  <si>
    <t>Project to Improve Adherence to International Labor Standards in the Agricultural Sector in Ecuador</t>
  </si>
  <si>
    <t>Grant Number:</t>
  </si>
  <si>
    <t>FOA-ILAB-23-28</t>
  </si>
  <si>
    <t>Period of Performance:</t>
  </si>
  <si>
    <t>48 months</t>
  </si>
  <si>
    <t>to</t>
  </si>
  <si>
    <t>Rates:</t>
  </si>
  <si>
    <t>NICRA - POA</t>
  </si>
  <si>
    <t>Exchange Rate</t>
  </si>
  <si>
    <t>Inflation - US Based Goods/Services</t>
  </si>
  <si>
    <t>Inflation - Locally Purchased Goods/Services</t>
  </si>
  <si>
    <t>Merit Based Increases for HO &amp; Field Staff</t>
  </si>
  <si>
    <t>ODC Escalation</t>
  </si>
  <si>
    <t>Escalation Percentage:</t>
  </si>
  <si>
    <t>Year 1</t>
  </si>
  <si>
    <t>Year 2</t>
  </si>
  <si>
    <t>Year 3</t>
  </si>
  <si>
    <t>Year 4</t>
  </si>
  <si>
    <t>Year 5</t>
  </si>
  <si>
    <t>Year 6</t>
  </si>
  <si>
    <t>Year 7</t>
  </si>
  <si>
    <t>Year 8</t>
  </si>
  <si>
    <t>Year 9</t>
  </si>
  <si>
    <t>Year 10</t>
  </si>
  <si>
    <t>Annual Salary Increases for International Staff</t>
  </si>
  <si>
    <t>Standard Increase Percentage:</t>
  </si>
  <si>
    <t>Annual Salary Escalation Date:</t>
  </si>
  <si>
    <t>Percent</t>
  </si>
  <si>
    <t>Increase
Factor</t>
  </si>
  <si>
    <t>/</t>
  </si>
  <si>
    <t>@</t>
  </si>
  <si>
    <t>Annual Salary Increases for Local Staff</t>
  </si>
  <si>
    <t>International Travel</t>
  </si>
  <si>
    <t>Cell Name</t>
  </si>
  <si>
    <t>Unit Cost</t>
  </si>
  <si>
    <t>Base</t>
  </si>
  <si>
    <t>Quito</t>
  </si>
  <si>
    <t>Airfare</t>
  </si>
  <si>
    <t>intairfare</t>
  </si>
  <si>
    <t>round trip coach</t>
  </si>
  <si>
    <t>Lodging</t>
  </si>
  <si>
    <t>usaidlodg</t>
  </si>
  <si>
    <t>per night</t>
  </si>
  <si>
    <t>Meals and Incidentals</t>
  </si>
  <si>
    <t>usaidmeals</t>
  </si>
  <si>
    <t>per day</t>
  </si>
  <si>
    <t>Agent fee</t>
  </si>
  <si>
    <t>agentfee</t>
  </si>
  <si>
    <t>per ticket</t>
  </si>
  <si>
    <t>Visa</t>
  </si>
  <si>
    <t>visa</t>
  </si>
  <si>
    <t>Inmunizations</t>
  </si>
  <si>
    <t>inmuniz</t>
  </si>
  <si>
    <t>Medex</t>
  </si>
  <si>
    <t>medex</t>
  </si>
  <si>
    <t>Freedom Services</t>
  </si>
  <si>
    <t>ground</t>
  </si>
  <si>
    <t>round trip to/from airport</t>
  </si>
  <si>
    <t>Other Misc costs</t>
  </si>
  <si>
    <t>intmisc</t>
  </si>
  <si>
    <t xml:space="preserve">Incountry Operating Costs - Local Costs </t>
  </si>
  <si>
    <t>Domestic Travel</t>
  </si>
  <si>
    <t>M&amp;IE</t>
  </si>
  <si>
    <t>Total</t>
  </si>
  <si>
    <t>Cotopaxi</t>
  </si>
  <si>
    <t>El Oro</t>
  </si>
  <si>
    <t>Average Rates</t>
  </si>
  <si>
    <t>Lodging - Local Staff</t>
  </si>
  <si>
    <t>locallodg</t>
  </si>
  <si>
    <t>Meals - Local Staff</t>
  </si>
  <si>
    <t>localmeals</t>
  </si>
  <si>
    <t>Miscellaneous - Local Staff</t>
  </si>
  <si>
    <t>localmisc</t>
  </si>
  <si>
    <t>per trip</t>
  </si>
  <si>
    <t>localairfare</t>
  </si>
  <si>
    <t>Training</t>
  </si>
  <si>
    <t>Consultant costs</t>
  </si>
  <si>
    <t>International Consultant</t>
  </si>
  <si>
    <t>intcons</t>
  </si>
  <si>
    <t>honorarium per day</t>
  </si>
  <si>
    <t>Regional Consultant</t>
  </si>
  <si>
    <t>regcons</t>
  </si>
  <si>
    <t>Local Consultant</t>
  </si>
  <si>
    <t>localcons</t>
  </si>
  <si>
    <t>Travel - airfare</t>
  </si>
  <si>
    <t>consairfare</t>
  </si>
  <si>
    <t>Travel - ground transp</t>
  </si>
  <si>
    <t>consground</t>
  </si>
  <si>
    <t>conslodg</t>
  </si>
  <si>
    <t>consmeals</t>
  </si>
  <si>
    <t>Miscellaneous</t>
  </si>
  <si>
    <t>consmisc</t>
  </si>
  <si>
    <t>Participant costs</t>
  </si>
  <si>
    <t>Local transport part</t>
  </si>
  <si>
    <t>parttransp</t>
  </si>
  <si>
    <t>per part</t>
  </si>
  <si>
    <t>partairfare</t>
  </si>
  <si>
    <t>Ground Transportation</t>
  </si>
  <si>
    <t>partground</t>
  </si>
  <si>
    <t>partlodg</t>
  </si>
  <si>
    <t>partmeals</t>
  </si>
  <si>
    <t>Travel Day Lunch</t>
  </si>
  <si>
    <t>tdlunch</t>
  </si>
  <si>
    <t>partmisc</t>
  </si>
  <si>
    <t>Meeting Costs</t>
  </si>
  <si>
    <t>Coffee Break</t>
  </si>
  <si>
    <t>coffee</t>
  </si>
  <si>
    <t>per person per day</t>
  </si>
  <si>
    <t>Lunch</t>
  </si>
  <si>
    <t>lunch</t>
  </si>
  <si>
    <t xml:space="preserve">Room Rental </t>
  </si>
  <si>
    <t>roomrent</t>
  </si>
  <si>
    <t>AV Rental</t>
  </si>
  <si>
    <t>avrent</t>
  </si>
  <si>
    <t>Materials &amp; Supplies</t>
  </si>
  <si>
    <t>mats</t>
  </si>
  <si>
    <t>per workshop</t>
  </si>
  <si>
    <t>partmats</t>
  </si>
  <si>
    <t>per participant</t>
  </si>
  <si>
    <t>Printing costs</t>
  </si>
  <si>
    <t>print</t>
  </si>
  <si>
    <t>partprint</t>
  </si>
  <si>
    <t>Project Budget Summary</t>
  </si>
  <si>
    <t>Partners of the Americas</t>
  </si>
  <si>
    <t>48 Months</t>
  </si>
  <si>
    <t>BUDGET SUMMARY CATEGORIES</t>
  </si>
  <si>
    <t>YEAR 1</t>
  </si>
  <si>
    <t>YEAR 2</t>
  </si>
  <si>
    <t>YEAR 3</t>
  </si>
  <si>
    <t>YEAR 4</t>
  </si>
  <si>
    <t>TOTAL FEDERAL FUNDS REQUESTED</t>
  </si>
  <si>
    <t xml:space="preserve">1. PERSONNEL </t>
  </si>
  <si>
    <t>2. FRINGE BENEFITS</t>
  </si>
  <si>
    <t>3. TRAVEL</t>
  </si>
  <si>
    <t>4. EQUIPMENT</t>
  </si>
  <si>
    <t>5. SUPPLIES</t>
  </si>
  <si>
    <t>6. CONTRACTUAL</t>
  </si>
  <si>
    <t>7. CONSTRUCTION</t>
  </si>
  <si>
    <t>8. OTHER DIRECT COSTS</t>
  </si>
  <si>
    <t>9. TOTAL DIRECT COSTS (Lines 1-8)</t>
  </si>
  <si>
    <t xml:space="preserve">10. INDIRECT COSTS </t>
  </si>
  <si>
    <t>11. TOTAL COSTS (Lines 9-10)</t>
  </si>
  <si>
    <t>Project Line-Item Budget</t>
  </si>
  <si>
    <t xml:space="preserve"> Project to Improve Adherence to International Labor Standards in the Agricultural Sector in Ecuador
Improve Adherence to International Labor Standards in the Agricultural Sector in Ecuador</t>
  </si>
  <si>
    <t>Cost Assumptions</t>
  </si>
  <si>
    <t>BUDGET ITEM</t>
  </si>
  <si>
    <t>CATEGORY</t>
  </si>
  <si>
    <t>LOE</t>
  </si>
  <si>
    <t>UNIT</t>
  </si>
  <si>
    <t># of Units</t>
  </si>
  <si>
    <t>RATE / UNIT</t>
  </si>
  <si>
    <t>TOTAL DOL</t>
  </si>
  <si>
    <t>TOTAL COST 
SHARING</t>
  </si>
  <si>
    <t>PROJECT GRAND TOTAL</t>
  </si>
  <si>
    <t>Personnel</t>
  </si>
  <si>
    <t>Key Personnel</t>
  </si>
  <si>
    <t>Project Director (100%) - Alexis Naranjo</t>
  </si>
  <si>
    <t>Salaries</t>
  </si>
  <si>
    <t>Month</t>
  </si>
  <si>
    <t>Monitoring and Evaluation (M&amp;E) Officer (100%) - Mónica Rentería</t>
  </si>
  <si>
    <t>Other Professional Personnel</t>
  </si>
  <si>
    <t>Public Sector Liaison (100%)- Luis Almagor</t>
  </si>
  <si>
    <t>Communications Specialist (100%) - Emilia Bayas</t>
  </si>
  <si>
    <t>Occupational Safety and Health Specialist (100%) - César Ávila</t>
  </si>
  <si>
    <t xml:space="preserve">Finance &amp; Administration Manager (100%) </t>
  </si>
  <si>
    <t xml:space="preserve">Operations Coordinator (100%) </t>
  </si>
  <si>
    <t xml:space="preserve">Regional Coordinator 1, Cotopaxi (100%) </t>
  </si>
  <si>
    <t xml:space="preserve">Regional Coordinator 2, El Oro (100%) </t>
  </si>
  <si>
    <t>Home Office Support</t>
  </si>
  <si>
    <t>Project Manager (10%)</t>
  </si>
  <si>
    <t>Program Officer (40%)</t>
  </si>
  <si>
    <t>Total Personnel</t>
  </si>
  <si>
    <t>Fringe Benefits</t>
  </si>
  <si>
    <t>Fringe benefits - Ecuador</t>
  </si>
  <si>
    <t xml:space="preserve">Fringe benefits - Home Office Support </t>
  </si>
  <si>
    <t>Total Fringe Benefits</t>
  </si>
  <si>
    <t>Travel</t>
  </si>
  <si>
    <t>T1: Post-award Meeting with ILAB</t>
  </si>
  <si>
    <t>Airfare - Ecuador-DC</t>
  </si>
  <si>
    <t>Trip</t>
  </si>
  <si>
    <t>-</t>
  </si>
  <si>
    <t>Lodging and M&amp;IE in DC</t>
  </si>
  <si>
    <t>Day</t>
  </si>
  <si>
    <t>Local transportation in DC</t>
  </si>
  <si>
    <t xml:space="preserve">U.S. Visa Fees </t>
  </si>
  <si>
    <t>T2: Field Personnel Annual Visits with ILAB</t>
  </si>
  <si>
    <t xml:space="preserve">Airfare - Ecuador-DC </t>
  </si>
  <si>
    <t>T3: Home Support Annual Visits to Field</t>
  </si>
  <si>
    <t>Airfare - DC - Ecuador</t>
  </si>
  <si>
    <t>Lodging and M&amp;IE in Quito</t>
  </si>
  <si>
    <t>Local transportation in Quito</t>
  </si>
  <si>
    <t xml:space="preserve">Ecuador Visa Fees </t>
  </si>
  <si>
    <t>T4: Domestic Travel to Field (See Travel Detail Tab)</t>
  </si>
  <si>
    <t>Total Travel</t>
  </si>
  <si>
    <t>Equipment</t>
  </si>
  <si>
    <t>None</t>
  </si>
  <si>
    <t>Unit</t>
  </si>
  <si>
    <t>Total Equipment</t>
  </si>
  <si>
    <t>Supplies</t>
  </si>
  <si>
    <t xml:space="preserve">Laptop computers &amp; software  </t>
  </si>
  <si>
    <t>Office supplies</t>
  </si>
  <si>
    <t>Total Supplies</t>
  </si>
  <si>
    <t xml:space="preserve">Contractual </t>
  </si>
  <si>
    <t>Expoflores</t>
  </si>
  <si>
    <t>Contractual</t>
  </si>
  <si>
    <t>Contract</t>
  </si>
  <si>
    <t>CLAC</t>
  </si>
  <si>
    <t>ASTAC</t>
  </si>
  <si>
    <t xml:space="preserve">ASOPROTRABAN </t>
  </si>
  <si>
    <t>BANABIO</t>
  </si>
  <si>
    <t>INDES</t>
  </si>
  <si>
    <t xml:space="preserve">Total Contractual </t>
  </si>
  <si>
    <t>Other Direct Costs</t>
  </si>
  <si>
    <t>Project Office</t>
  </si>
  <si>
    <t>Banking and cash handling fees</t>
  </si>
  <si>
    <t>Office Expenses</t>
  </si>
  <si>
    <t xml:space="preserve">Courier fees/services </t>
  </si>
  <si>
    <t>Year</t>
  </si>
  <si>
    <t xml:space="preserve">Recruitment/Procurement Advertising </t>
  </si>
  <si>
    <t>Per position</t>
  </si>
  <si>
    <t>Communications Costs (Data)</t>
  </si>
  <si>
    <t>Coworking office space (includes utilities, Wi-Fi, coffee)</t>
  </si>
  <si>
    <t>Property and liability insurance</t>
  </si>
  <si>
    <t>Legal fees</t>
  </si>
  <si>
    <t>Payroll Processing</t>
  </si>
  <si>
    <t xml:space="preserve"> -      </t>
  </si>
  <si>
    <t>HR platform for timekeeping and expense reporting</t>
  </si>
  <si>
    <t>Zoom license and platform subscriptions</t>
  </si>
  <si>
    <t>Security Provider</t>
  </si>
  <si>
    <t>Visual Asset Communications</t>
  </si>
  <si>
    <t>Subtotal Project Office, Audit, Communications</t>
  </si>
  <si>
    <t>Outcome 1</t>
  </si>
  <si>
    <t>Activity 1.1. Assess labor law enforcement institutions, processes, and services:
challenges and opportunities for action to address child labor and forced labor</t>
  </si>
  <si>
    <t>Outcome1</t>
  </si>
  <si>
    <t>Activity 1.2.  Strengthen intersectoral coordination by re-invigorating referral mechanisms and strengthening Consejos and Juntas:</t>
  </si>
  <si>
    <t>Activity 1.3. Develop government capacity building strategy applying assessment results</t>
  </si>
  <si>
    <t>Activity 1.4. Develop, deliver, and institutionalize tailored capacity building for government officials:</t>
  </si>
  <si>
    <t>Outcome 2</t>
  </si>
  <si>
    <t>Outcome2</t>
  </si>
  <si>
    <t xml:space="preserve">Subtotal Outcome 2 </t>
  </si>
  <si>
    <t>Outcome 3</t>
  </si>
  <si>
    <t>Outcome3</t>
  </si>
  <si>
    <t xml:space="preserve">Subtotal Outcome 3 </t>
  </si>
  <si>
    <t>Monitoring, Evaluation, and Collection of Reliable Data</t>
  </si>
  <si>
    <t>4.1 M&amp;E Database Development and Creation of Digital Library for Resources</t>
  </si>
  <si>
    <t xml:space="preserve">Consultant fees </t>
  </si>
  <si>
    <t>M&amp;E</t>
  </si>
  <si>
    <t>4.2 Monitoring Guidelines Development</t>
  </si>
  <si>
    <t>Monitoring guidelines production and printing</t>
  </si>
  <si>
    <t xml:space="preserve">Document </t>
  </si>
  <si>
    <t>Monitoring guidelines translation</t>
  </si>
  <si>
    <t>4.3 On-going M&amp;E Training</t>
  </si>
  <si>
    <t>On-going M&amp;E training workshops</t>
  </si>
  <si>
    <t>Workshop</t>
  </si>
  <si>
    <t>Lodging and M&amp;IE - on-going M&amp;E training</t>
  </si>
  <si>
    <t>Days</t>
  </si>
  <si>
    <t>Local transportation - on-going M&amp;E training</t>
  </si>
  <si>
    <t xml:space="preserve">4.4 CMEP Development &amp; Training </t>
  </si>
  <si>
    <t>Development and translation of CMEP</t>
  </si>
  <si>
    <t>Document</t>
  </si>
  <si>
    <t>Workshop on CMEP</t>
  </si>
  <si>
    <t>Lodging and M&amp;IE - CMEP Workshop</t>
  </si>
  <si>
    <t>Local transportation - CMEP Workshop</t>
  </si>
  <si>
    <t>4.5 Collection of Reliable Data and Processing of Monitoring Data</t>
  </si>
  <si>
    <t>Lodging and M&amp;IE - Field verification and data collection visits</t>
  </si>
  <si>
    <t xml:space="preserve">Local transportation (fuel and taxis) </t>
  </si>
  <si>
    <t>Data collection materials and printing</t>
  </si>
  <si>
    <t>4.6 Needs Assessment</t>
  </si>
  <si>
    <t>Consultant fees to draft written needs assessment</t>
  </si>
  <si>
    <t>Meeting expenses for needs assessment</t>
  </si>
  <si>
    <t>Meeting</t>
  </si>
  <si>
    <t>4.7 External Evaluations</t>
  </si>
  <si>
    <t>Interim Performance Evaluation</t>
  </si>
  <si>
    <t>Evaluation</t>
  </si>
  <si>
    <t>Final Performance Evaluation</t>
  </si>
  <si>
    <t>Subtotal Monitoring, Evaluation, and Collection of Reliable Data</t>
  </si>
  <si>
    <t>Total Other Direct Costs</t>
  </si>
  <si>
    <t>Total Direct Costs</t>
  </si>
  <si>
    <t xml:space="preserve">Total Indirect Costs (NICRA) </t>
  </si>
  <si>
    <t>Indirect Charges</t>
  </si>
  <si>
    <t>TOTAL PROGRAM COSTS</t>
  </si>
  <si>
    <t>US COSTS</t>
  </si>
  <si>
    <t>Line Item</t>
  </si>
  <si>
    <t>Materials and Supplies</t>
  </si>
  <si>
    <t>Consultants</t>
  </si>
  <si>
    <t>Subtotal</t>
  </si>
  <si>
    <t>Service Center (excluding subcontractors)</t>
  </si>
  <si>
    <t>Service Center on Subcontractors</t>
  </si>
  <si>
    <t>F&amp;A Costs</t>
  </si>
  <si>
    <t>F&amp;A Costs (Applied to Subcontracts)</t>
  </si>
  <si>
    <t>Total per year</t>
  </si>
  <si>
    <t>IN-COUNTRY COSTS</t>
  </si>
  <si>
    <t>Grand Total</t>
  </si>
  <si>
    <t>TOTAL FUNDING FOR EXPATRIATE AND IN-COUNTRY TECHNICAL ASSISTANCE</t>
  </si>
  <si>
    <t>6.a</t>
  </si>
  <si>
    <t>Expatriate Technical Assistance</t>
  </si>
  <si>
    <t>Program and Technical Staff - US Hires</t>
  </si>
  <si>
    <t>STA US Hires</t>
  </si>
  <si>
    <t>Regional Hires</t>
  </si>
  <si>
    <t>International Consultants</t>
  </si>
  <si>
    <t>Fringe Benefits US Hires</t>
  </si>
  <si>
    <t>Fringe Benefits Regional Hires</t>
  </si>
  <si>
    <t>Allowances</t>
  </si>
  <si>
    <t>International Consultants Travel</t>
  </si>
  <si>
    <t>Total Expatriate TA</t>
  </si>
  <si>
    <t>Country Offices</t>
  </si>
  <si>
    <t>Program and Technical Staff - Local Hires</t>
  </si>
  <si>
    <t>Support Staff - Local Hires</t>
  </si>
  <si>
    <t>Local Consultants Labor</t>
  </si>
  <si>
    <t>Fringe Benefits - Local Hires</t>
  </si>
  <si>
    <t>Local Consultants Travel</t>
  </si>
  <si>
    <t>Total Cooperating Country Nationals TA</t>
  </si>
  <si>
    <t>Total Technical Assistance Costs</t>
  </si>
  <si>
    <t>TOTAL FUNDING BY PARTNER</t>
  </si>
  <si>
    <t>Partner</t>
  </si>
  <si>
    <t>Federal Funding</t>
  </si>
  <si>
    <t>Non-Federal Funding</t>
  </si>
  <si>
    <t>If RFA requests for Cost Share - Unhide columns "C", "F", "I", "L", "O" and "Q"</t>
  </si>
  <si>
    <t>Double-checks</t>
  </si>
  <si>
    <t>Jhpiego Corporation</t>
  </si>
  <si>
    <t>TOTAL COSTS</t>
  </si>
  <si>
    <t>Escalation Factor:</t>
  </si>
  <si>
    <t>Inflation Rate:</t>
  </si>
  <si>
    <t>LEVEL OF EFFORT TABLE</t>
  </si>
  <si>
    <t>PERSONNEL</t>
  </si>
  <si>
    <t>Calculation</t>
  </si>
  <si>
    <t>Position Description</t>
  </si>
  <si>
    <t>Units</t>
  </si>
  <si>
    <t>%</t>
  </si>
  <si>
    <t>US$</t>
  </si>
  <si>
    <t>Check:</t>
  </si>
  <si>
    <t>show</t>
  </si>
  <si>
    <t>Total Labor</t>
  </si>
  <si>
    <t>TOTAL BUDGET SUMMARY BY SPONSORED CLASS</t>
  </si>
  <si>
    <t>US COSTS for ION</t>
  </si>
  <si>
    <t>78 - 12345678</t>
  </si>
  <si>
    <t>SF424a</t>
  </si>
  <si>
    <t>Sponsored Class</t>
  </si>
  <si>
    <t>Description</t>
  </si>
  <si>
    <t>G/L</t>
  </si>
  <si>
    <t>610000</t>
  </si>
  <si>
    <t>Salaries &amp; Wages: Faculty and Senior Staff</t>
  </si>
  <si>
    <t>612000</t>
  </si>
  <si>
    <t>Salaries &amp; Wages: Administrative Staff</t>
  </si>
  <si>
    <t>620000</t>
  </si>
  <si>
    <t>652000</t>
  </si>
  <si>
    <t>Travel Domestic</t>
  </si>
  <si>
    <t>652100</t>
  </si>
  <si>
    <t>Travel Foreign</t>
  </si>
  <si>
    <t>630000</t>
  </si>
  <si>
    <t>Supplies &amp; Materials</t>
  </si>
  <si>
    <t>633032</t>
  </si>
  <si>
    <t>Office Supplies</t>
  </si>
  <si>
    <t>633037</t>
  </si>
  <si>
    <t>Publications/Journals/Subscriptions</t>
  </si>
  <si>
    <t>635001</t>
  </si>
  <si>
    <t>Electricity</t>
  </si>
  <si>
    <t>635010</t>
  </si>
  <si>
    <t>Utilities: Water</t>
  </si>
  <si>
    <t>640282</t>
  </si>
  <si>
    <t>Delivery/Courier Service</t>
  </si>
  <si>
    <t>653400</t>
  </si>
  <si>
    <t>640300</t>
  </si>
  <si>
    <t>Contractual Services</t>
  </si>
  <si>
    <t>640500</t>
  </si>
  <si>
    <t>Consultant</t>
  </si>
  <si>
    <t>642400</t>
  </si>
  <si>
    <t>Subaward</t>
  </si>
  <si>
    <t>637000</t>
  </si>
  <si>
    <t>Repairs &amp; Maintenance</t>
  </si>
  <si>
    <t>Other</t>
  </si>
  <si>
    <t>640102</t>
  </si>
  <si>
    <t>Leased Facilities External</t>
  </si>
  <si>
    <t>641400</t>
  </si>
  <si>
    <t>Telecommunications</t>
  </si>
  <si>
    <t>642500</t>
  </si>
  <si>
    <t>Other Expenses</t>
  </si>
  <si>
    <t>643000</t>
  </si>
  <si>
    <t>Other Expenses (Excluded from F&amp;A)</t>
  </si>
  <si>
    <t>690007</t>
  </si>
  <si>
    <t>Service Center</t>
  </si>
  <si>
    <t>699999</t>
  </si>
  <si>
    <t>F&amp;A</t>
  </si>
  <si>
    <t>Calculation check</t>
  </si>
  <si>
    <t>BUDGET SUMMARY BY G/L</t>
  </si>
  <si>
    <t>Workplan Year Budget</t>
  </si>
  <si>
    <t>613001</t>
  </si>
  <si>
    <t>Salary: Non-Administrative Staff</t>
  </si>
  <si>
    <t>612001</t>
  </si>
  <si>
    <t>Salary: Administrative Staff</t>
  </si>
  <si>
    <t>620001</t>
  </si>
  <si>
    <t>Fringe Benefits: Staff</t>
  </si>
  <si>
    <t>620002</t>
  </si>
  <si>
    <t>Fringe Benefits: Allowances</t>
  </si>
  <si>
    <t>631001</t>
  </si>
  <si>
    <t>Furniture</t>
  </si>
  <si>
    <t>631003</t>
  </si>
  <si>
    <t>Non-capital PC purchases</t>
  </si>
  <si>
    <t>BUDGET SUMMARY BY G/L in USD</t>
  </si>
  <si>
    <t xml:space="preserve"> </t>
  </si>
  <si>
    <t>IN-COUNTRY COSTS by Jhpiego FISCAL YEAR</t>
  </si>
  <si>
    <t>IN-COUNTRY ION:</t>
  </si>
  <si>
    <t>21 - 987654321</t>
  </si>
  <si>
    <t>22 - 987654322</t>
  </si>
  <si>
    <t>23 - 987654323</t>
  </si>
  <si>
    <t>24 - 987654324</t>
  </si>
  <si>
    <t>25 - 987654325</t>
  </si>
  <si>
    <t>Salaries &amp; Wages</t>
  </si>
  <si>
    <t>616112</t>
  </si>
  <si>
    <t>In-country Salaries</t>
  </si>
  <si>
    <t>620112</t>
  </si>
  <si>
    <t>In-country Fringe</t>
  </si>
  <si>
    <t>652201</t>
  </si>
  <si>
    <t>Trainee Travel</t>
  </si>
  <si>
    <t>652101</t>
  </si>
  <si>
    <t>652102</t>
  </si>
  <si>
    <t>Travel Overseas Local</t>
  </si>
  <si>
    <t>Supplies &amp; Other PSC</t>
  </si>
  <si>
    <t>Medical Supplies</t>
  </si>
  <si>
    <t>Expendable Supplies</t>
  </si>
  <si>
    <t>631099</t>
  </si>
  <si>
    <t>Equipment Purchases - SRM only</t>
  </si>
  <si>
    <t>637001</t>
  </si>
  <si>
    <t>Equipment Maintenance Agreements</t>
  </si>
  <si>
    <t>640101</t>
  </si>
  <si>
    <t>Rental Short-Term</t>
  </si>
  <si>
    <t>640202</t>
  </si>
  <si>
    <t>Equipment Lease Payment</t>
  </si>
  <si>
    <t>640205</t>
  </si>
  <si>
    <t>Motor Vehicle Leasing</t>
  </si>
  <si>
    <t>640301</t>
  </si>
  <si>
    <t>Contractual Services - General</t>
  </si>
  <si>
    <t>640317</t>
  </si>
  <si>
    <t>Contractual Services - Ground Maintenance</t>
  </si>
  <si>
    <t>640318</t>
  </si>
  <si>
    <t>Contractual Services - Cleaning</t>
  </si>
  <si>
    <t>640321</t>
  </si>
  <si>
    <t>Contractual Services - Off-Site Storage</t>
  </si>
  <si>
    <t>640341</t>
  </si>
  <si>
    <t>Contractual Services - Security Services</t>
  </si>
  <si>
    <t>640351</t>
  </si>
  <si>
    <t>Legal Fees</t>
  </si>
  <si>
    <t>640361</t>
  </si>
  <si>
    <t>Accounting/Auditing Expense</t>
  </si>
  <si>
    <t>640381</t>
  </si>
  <si>
    <t>Professional Services - External</t>
  </si>
  <si>
    <t>640455</t>
  </si>
  <si>
    <t>Software Maintenance Agreeement</t>
  </si>
  <si>
    <t>642501</t>
  </si>
  <si>
    <t>Printing</t>
  </si>
  <si>
    <t>640501</t>
  </si>
  <si>
    <t>Consultant Fees</t>
  </si>
  <si>
    <t>642405</t>
  </si>
  <si>
    <t>Subaward General</t>
  </si>
  <si>
    <t>641402</t>
  </si>
  <si>
    <t>Telephone Long Distance</t>
  </si>
  <si>
    <t>640403</t>
  </si>
  <si>
    <t>Memberships/Dues</t>
  </si>
  <si>
    <t>642002</t>
  </si>
  <si>
    <t>Meals Non-Travel &amp; Entertainment</t>
  </si>
  <si>
    <t>642211</t>
  </si>
  <si>
    <t>Insurance - General</t>
  </si>
  <si>
    <t>643012</t>
  </si>
  <si>
    <t>VAT Tax Paid</t>
  </si>
  <si>
    <t>647001</t>
  </si>
  <si>
    <t>651851</t>
  </si>
  <si>
    <t>Bank Service Charges</t>
  </si>
  <si>
    <t>Other Expenses Excluded</t>
  </si>
  <si>
    <t>622502</t>
  </si>
  <si>
    <t>Travel Insurance</t>
  </si>
  <si>
    <t>651901</t>
  </si>
  <si>
    <t>Foreign Currency Exchange Gain/Loss</t>
  </si>
  <si>
    <t>IN-COUNTRY COSTS in LOCAL CURRENCY</t>
  </si>
  <si>
    <t>US$1=</t>
  </si>
  <si>
    <t>local currency</t>
  </si>
  <si>
    <t>QUESTION: should annual cost be included in detailed budget and percent applied there?</t>
  </si>
  <si>
    <t>OR should allocation be shown at 100%?</t>
  </si>
  <si>
    <t>PORTFOLIO? OR DIRECT LABOR?</t>
  </si>
  <si>
    <t>COUNTRY OFFICE BUDGET</t>
  </si>
  <si>
    <t>GL</t>
  </si>
  <si>
    <t>Annual Cost</t>
  </si>
  <si>
    <t>Office Costs Allocated to this Program</t>
  </si>
  <si>
    <t>Monthly Cost</t>
  </si>
  <si>
    <t>Categories</t>
  </si>
  <si>
    <t>Local Currency</t>
  </si>
  <si>
    <t>USD</t>
  </si>
  <si>
    <t>Exchange rate</t>
  </si>
  <si>
    <t>Percent:</t>
  </si>
  <si>
    <t># of months</t>
  </si>
  <si>
    <t>In-Country Salaries</t>
  </si>
  <si>
    <t>/year</t>
  </si>
  <si>
    <t>/month</t>
  </si>
  <si>
    <t>In-Country Fringe</t>
  </si>
  <si>
    <t>Travel Foreign (Overseas Local)</t>
  </si>
  <si>
    <t>Taxi Services</t>
  </si>
  <si>
    <t>Utilities: Electricity</t>
  </si>
  <si>
    <t>Kitchen Supplies</t>
  </si>
  <si>
    <t>Courier Services</t>
  </si>
  <si>
    <t>Contracts: Security</t>
  </si>
  <si>
    <t>Contracts: Office Cleaning</t>
  </si>
  <si>
    <t>Contracts: Annual Audit fees</t>
  </si>
  <si>
    <t>Contracts: Legal Services</t>
  </si>
  <si>
    <t>Contracts: Vehicle Rental</t>
  </si>
  <si>
    <t>Office stationery (printing)</t>
  </si>
  <si>
    <t>Advertising</t>
  </si>
  <si>
    <t>Office waste removal</t>
  </si>
  <si>
    <t>ISTS services</t>
  </si>
  <si>
    <t>Vehicle maintenance</t>
  </si>
  <si>
    <t>Warehousing/Storage Services</t>
  </si>
  <si>
    <t>Advertising for recruitment</t>
  </si>
  <si>
    <t>Vehicle Tracking System (office pool vehicle)</t>
  </si>
  <si>
    <t>Lisences and renewals</t>
  </si>
  <si>
    <t>Office rent</t>
  </si>
  <si>
    <t>Office Leasehold improvements</t>
  </si>
  <si>
    <t>Bank charges</t>
  </si>
  <si>
    <t>Vehicle insurance</t>
  </si>
  <si>
    <t>Refreshments for office business meetings</t>
  </si>
  <si>
    <t>NGO Annual fees</t>
  </si>
  <si>
    <t>staff Development events</t>
  </si>
  <si>
    <t>Office Internet</t>
  </si>
  <si>
    <t>Communications</t>
  </si>
  <si>
    <t>Staff Airtime</t>
  </si>
  <si>
    <t>add other costs as necessary</t>
  </si>
  <si>
    <t>month</t>
  </si>
  <si>
    <t>ACTIVITY DESCRIPTION</t>
  </si>
  <si>
    <t>Cost</t>
  </si>
  <si>
    <t># of days</t>
  </si>
  <si>
    <t># Activities</t>
  </si>
  <si>
    <t>Amount</t>
  </si>
  <si>
    <t>ODC Escalation Factor</t>
  </si>
  <si>
    <t>MEETINGS</t>
  </si>
  <si>
    <t>Project activities costs</t>
  </si>
  <si>
    <t>Local transportation (training site)</t>
  </si>
  <si>
    <t>Individual</t>
  </si>
  <si>
    <t>/day</t>
  </si>
  <si>
    <t>Lunch/coffee breaks</t>
  </si>
  <si>
    <t>Printing (Photocopies)</t>
  </si>
  <si>
    <t>activity</t>
  </si>
  <si>
    <t>Local Consultant (Assessments)</t>
  </si>
  <si>
    <t>ACTIVITY TOTAL</t>
  </si>
  <si>
    <t>Workshop activities costs</t>
  </si>
  <si>
    <t>workshop</t>
  </si>
  <si>
    <t>Printing (Guide)</t>
  </si>
  <si>
    <t>canton</t>
  </si>
  <si>
    <t>Local Consultant (Guide Development)</t>
  </si>
  <si>
    <t>Local transportation (El Oro)</t>
  </si>
  <si>
    <t>Staff from outside training site</t>
  </si>
  <si>
    <t>Transportation (El Oro)</t>
  </si>
  <si>
    <t>/trip</t>
  </si>
  <si>
    <t>Ground transportation (El Oro)</t>
  </si>
  <si>
    <t>Activity 1.5. Strengthen digital child labor tracking and public reporting/accountability:</t>
  </si>
  <si>
    <t>Software Development</t>
  </si>
  <si>
    <t>each</t>
  </si>
  <si>
    <t>/software</t>
  </si>
  <si>
    <t>Staff from outside site</t>
  </si>
  <si>
    <t>Transportation (Cotopaxi)</t>
  </si>
  <si>
    <t>Ground transportation (Cotopaxi)</t>
  </si>
  <si>
    <t xml:space="preserve">Activity 1.6. Partner with GADs to integrate enforcement processes and capacity building into local community development plans and budgets: </t>
  </si>
  <si>
    <t>Training/workshop/project activities costs</t>
  </si>
  <si>
    <t>Activity 1.7 Disseminate successes:</t>
  </si>
  <si>
    <t>Meetings/Forums/Seminars</t>
  </si>
  <si>
    <t>Materials &amp; Supplies (Media Dissemination)</t>
  </si>
  <si>
    <t>Activity 2.1. Assess rural workers’ information needs, work experiences, and trusted organizations</t>
  </si>
  <si>
    <t>Local Consultant (surveys, KIIs, etc.)</t>
  </si>
  <si>
    <t>Activity 2.2. Build capacity of worker organizations, producer associations, and other actors to reach workers to understand their rights</t>
  </si>
  <si>
    <t>Materials &amp; Supplies (community fairs/radio spots)</t>
  </si>
  <si>
    <t>Ground transportation (El Oro))</t>
  </si>
  <si>
    <t>Activity 2.3. Institutionalize worker and community training and awareness-raising</t>
  </si>
  <si>
    <t>Activity 2.4. Establish and convene neutral spaces for bipartite and tripartite social dialogue</t>
  </si>
  <si>
    <t>Activity 2.5. Train small, medium, and large employers to engage workers, understand workers’ rights, and monitor rights compliance in their supply chains</t>
  </si>
  <si>
    <t>Training activities costs</t>
  </si>
  <si>
    <t>Consultant for trainings</t>
  </si>
  <si>
    <t>2.6 Partner with GADs to integrate the above training, awareness-raising, and social dialogue activities into community development plans</t>
  </si>
  <si>
    <t>Activity 2.7. Generate new opportunities for learning among civil society, workers, government, private sector, and others.</t>
  </si>
  <si>
    <t>Activity 2.8. Assess changes in rural workers’, business, Community-Based Organizations, and government officials’ knowledge, skills, and practices.</t>
  </si>
  <si>
    <t>Consultant (Data collection tools)</t>
  </si>
  <si>
    <t>Activity 3.1- Undertake Remediation Constraints and Opportunities Analysis</t>
  </si>
  <si>
    <t>Activity 3.2 Validate analysis and select pilot remediation mechanism designs</t>
  </si>
  <si>
    <t>Activity 3.3. Engage partners to design, implement, and monitor pilot remediations solutions</t>
  </si>
  <si>
    <t>Materials &amp; Supplies (Implementation of Pilots)</t>
  </si>
  <si>
    <t>Consultant (Implementation of Pilots)</t>
  </si>
  <si>
    <t>Activity 3.4. Finalize and institutionalize proven grievance and restitution mechanisms</t>
  </si>
  <si>
    <t>Consultant (grievance and restitution mechanisms )</t>
  </si>
  <si>
    <t>Activity 3.5. Develop and integrate an anonymous reporting platform</t>
  </si>
  <si>
    <t>Materials &amp; Supplies (dissemination)</t>
  </si>
  <si>
    <t>Consultant (Reporting Platform)</t>
  </si>
  <si>
    <t>Activity 3.6. Engage medium and large producers to strengthen grievance and restitution mechanisms in their workplaces and supply chains</t>
  </si>
  <si>
    <t xml:space="preserve">ACTIVITY - </t>
  </si>
  <si>
    <t>A/V Costs</t>
  </si>
  <si>
    <t>Venue Costs</t>
  </si>
  <si>
    <t>day</t>
  </si>
  <si>
    <t>Trainees from outside training site</t>
  </si>
  <si>
    <t>Transportation (training city)</t>
  </si>
  <si>
    <t>Ground transportation (training city)</t>
  </si>
  <si>
    <t>TOTAL FOR RESULT</t>
  </si>
  <si>
    <t>Activity Travel</t>
  </si>
  <si>
    <t>Travel Expenses - Activities</t>
  </si>
  <si>
    <t>Sub-Award Budget Summary</t>
  </si>
  <si>
    <t>INDES Sub-Recipient</t>
  </si>
  <si>
    <t>Professional Personnel</t>
  </si>
  <si>
    <t>Project Coordinator</t>
  </si>
  <si>
    <t>Technical Officer x 2</t>
  </si>
  <si>
    <t>M&amp;E Officer</t>
  </si>
  <si>
    <t>Finance &amp; Administration Officer</t>
  </si>
  <si>
    <t>T3: Domestic Travel to Field (See Travel Detail Tab)</t>
  </si>
  <si>
    <t>Office space (includes utilities, Wi-Fi, coffee)</t>
  </si>
  <si>
    <t>De minimis rate</t>
  </si>
  <si>
    <t>Local transportation (Cotopaxi)</t>
  </si>
  <si>
    <t>M&amp;IE (excluding lunch)</t>
  </si>
  <si>
    <t>campaign</t>
  </si>
  <si>
    <t>ToT activities costs</t>
  </si>
  <si>
    <t>pilot</t>
  </si>
  <si>
    <t xml:space="preserve"> Travel Budget</t>
  </si>
  <si>
    <t>Position Traveling</t>
  </si>
  <si>
    <t>From-To</t>
  </si>
  <si>
    <t>Activity/ Purpose</t>
  </si>
  <si>
    <t># of Trips/YR</t>
  </si>
  <si>
    <t>Transport (Int'l/trip)</t>
  </si>
  <si>
    <t>Total Transport</t>
  </si>
  <si>
    <t># of Days/Trip</t>
  </si>
  <si>
    <t>M&amp;IE Rate</t>
  </si>
  <si>
    <t>Total M&amp;IE</t>
  </si>
  <si>
    <t>Lodging Rate (Int'l)</t>
  </si>
  <si>
    <t>Total Lodging</t>
  </si>
  <si>
    <t>Ground Transfers</t>
  </si>
  <si>
    <t>Travel Other</t>
  </si>
  <si>
    <t xml:space="preserve"> Total</t>
  </si>
  <si>
    <t>ex. Washington, DC to San Jose, Costa Rica</t>
  </si>
  <si>
    <t>ex. Monitoring &amp; Evaluation</t>
  </si>
  <si>
    <t>Quito to El Oro</t>
  </si>
  <si>
    <t>Project Director</t>
  </si>
  <si>
    <t>Quito to Cotopaxi</t>
  </si>
  <si>
    <t xml:space="preserve">Total Year 1 </t>
  </si>
  <si>
    <t>To-From</t>
  </si>
  <si>
    <t>Total Transport $</t>
  </si>
  <si>
    <t>Total Year 2</t>
  </si>
  <si>
    <t>Total Year 3</t>
  </si>
  <si>
    <t>Total Year 4</t>
  </si>
  <si>
    <t>TOTAL ALL YEARS</t>
  </si>
  <si>
    <t>HOME OFFICE SUPPORT</t>
  </si>
  <si>
    <t>Position</t>
  </si>
  <si>
    <t>Name</t>
  </si>
  <si>
    <t>Current Annual Salary</t>
  </si>
  <si>
    <t>Projected Annual Salary</t>
  </si>
  <si>
    <t>LOE %</t>
  </si>
  <si>
    <t>Number of Days</t>
  </si>
  <si>
    <t>Escalation Rate</t>
  </si>
  <si>
    <t>Program Management</t>
  </si>
  <si>
    <t>Current Monthly Salary</t>
  </si>
  <si>
    <t>Projected Monthly Salary</t>
  </si>
  <si>
    <t>LOE
%</t>
  </si>
  <si>
    <t>GPO Director</t>
  </si>
  <si>
    <t>Associate GPO Director</t>
  </si>
  <si>
    <t>Regional Team Leader</t>
  </si>
  <si>
    <t>Program Officer</t>
  </si>
  <si>
    <t>Program Coordinator</t>
  </si>
  <si>
    <t>Pubs</t>
  </si>
  <si>
    <t>Senior Graphic Designer</t>
  </si>
  <si>
    <t>Editor</t>
  </si>
  <si>
    <t>Translator</t>
  </si>
  <si>
    <t>Publications Manager</t>
  </si>
  <si>
    <t>Subtotal Program Management</t>
  </si>
  <si>
    <r>
      <t>Weighed average Salary with</t>
    </r>
    <r>
      <rPr>
        <b/>
        <sz val="10"/>
        <rFont val="Arial"/>
        <family val="2"/>
      </rPr>
      <t xml:space="preserve"> actual </t>
    </r>
    <r>
      <rPr>
        <sz val="10"/>
        <rFont val="Arial"/>
        <family val="2"/>
      </rPr>
      <t>LOE%</t>
    </r>
  </si>
  <si>
    <r>
      <t xml:space="preserve">Weighed LOE % based on </t>
    </r>
    <r>
      <rPr>
        <b/>
        <sz val="10"/>
        <rFont val="Arial"/>
        <family val="2"/>
      </rPr>
      <t>lower</t>
    </r>
    <r>
      <rPr>
        <sz val="10"/>
        <rFont val="Arial"/>
        <family val="2"/>
      </rPr>
      <t xml:space="preserve"> Salary</t>
    </r>
  </si>
  <si>
    <r>
      <t xml:space="preserve">Weighed LOE % based on </t>
    </r>
    <r>
      <rPr>
        <b/>
        <sz val="10"/>
        <rFont val="Arial"/>
        <family val="2"/>
      </rPr>
      <t xml:space="preserve">average </t>
    </r>
    <r>
      <rPr>
        <sz val="10"/>
        <rFont val="Arial"/>
        <family val="2"/>
      </rPr>
      <t>Salary</t>
    </r>
  </si>
  <si>
    <r>
      <t xml:space="preserve">Weighed LOE % based on </t>
    </r>
    <r>
      <rPr>
        <b/>
        <sz val="10"/>
        <rFont val="Arial"/>
        <family val="2"/>
      </rPr>
      <t>higher</t>
    </r>
    <r>
      <rPr>
        <sz val="10"/>
        <rFont val="Arial"/>
        <family val="2"/>
      </rPr>
      <t xml:space="preserve"> Salary</t>
    </r>
  </si>
  <si>
    <t>Financial Management</t>
  </si>
  <si>
    <t>Financial Manager</t>
  </si>
  <si>
    <t>Financial Administrator</t>
  </si>
  <si>
    <t>Financial Analyst</t>
  </si>
  <si>
    <t>Subtotal Financial Management</t>
  </si>
  <si>
    <t>OMB Number:  4040-0004</t>
  </si>
  <si>
    <t>Expiration Date:  01/31/2009</t>
  </si>
  <si>
    <t>Application for Federal Assistance SF-424</t>
  </si>
  <si>
    <t>Version 02</t>
  </si>
  <si>
    <t>*1.  Type of Submission:</t>
  </si>
  <si>
    <t>*2.  Type of Application</t>
  </si>
  <si>
    <t>* If Revision, select appropriate letter(s)</t>
  </si>
  <si>
    <t xml:space="preserve">  Preapplication</t>
  </si>
  <si>
    <t xml:space="preserve">  New</t>
  </si>
  <si>
    <t xml:space="preserve">  Application</t>
  </si>
  <si>
    <t xml:space="preserve">  Continuation</t>
  </si>
  <si>
    <t>*Other (Specify)</t>
  </si>
  <si>
    <t xml:space="preserve">  Changed/Corrected Application</t>
  </si>
  <si>
    <t xml:space="preserve"> Revision </t>
  </si>
  <si>
    <t>3.  Date Received :</t>
  </si>
  <si>
    <t xml:space="preserve"> 4.  Applicant Identifier:</t>
  </si>
  <si>
    <t>NA</t>
  </si>
  <si>
    <t>5a.  Federal Entity Identifier:</t>
  </si>
  <si>
    <t>*5b.  Federal Award Identifier:</t>
  </si>
  <si>
    <t>     </t>
  </si>
  <si>
    <t>State Use Only:</t>
  </si>
  <si>
    <t>6.  Date Received by State:</t>
  </si>
  <si>
    <t>7.  State Application Identifier:       </t>
  </si>
  <si>
    <t xml:space="preserve">8.  APPLICANT INFORMATION: </t>
  </si>
  <si>
    <t xml:space="preserve">*a.  Legal Name:        </t>
  </si>
  <si>
    <t>*b.  Employer/Taxpayer Identification Number (EIN/TIN):</t>
  </si>
  <si>
    <t>*c.  Organizational DUNS:</t>
  </si>
  <si>
    <t>23-7424444</t>
  </si>
  <si>
    <t>61-802-2149</t>
  </si>
  <si>
    <t>d.  Address:</t>
  </si>
  <si>
    <t xml:space="preserve">*Street 1: </t>
  </si>
  <si>
    <t>1615 Thames Street</t>
  </si>
  <si>
    <t xml:space="preserve">  Street 2: </t>
  </si>
  <si>
    <t>*City:</t>
  </si>
  <si>
    <t>Baltimore</t>
  </si>
  <si>
    <t xml:space="preserve">  County:</t>
  </si>
  <si>
    <t>*State:</t>
  </si>
  <si>
    <t>Maryland</t>
  </si>
  <si>
    <t xml:space="preserve">   Province:</t>
  </si>
  <si>
    <t xml:space="preserve"> *Country:</t>
  </si>
  <si>
    <t>United States of America</t>
  </si>
  <si>
    <t>*Zip / Postal Code</t>
  </si>
  <si>
    <t>21231-3492</t>
  </si>
  <si>
    <t>e.  Organizational Unit:</t>
  </si>
  <si>
    <t>Department Name:</t>
  </si>
  <si>
    <t>Division Name:</t>
  </si>
  <si>
    <t xml:space="preserve"> f.  Name and contact information of person to be contacted on matters involving this application:</t>
  </si>
  <si>
    <t>Prefix:</t>
  </si>
  <si>
    <t>Mr.</t>
  </si>
  <si>
    <t xml:space="preserve">        *First Name: </t>
  </si>
  <si>
    <t>Samuel</t>
  </si>
  <si>
    <t>Middle Name:</t>
  </si>
  <si>
    <t>A</t>
  </si>
  <si>
    <t>*Last Name:</t>
  </si>
  <si>
    <t>Mariam</t>
  </si>
  <si>
    <t>Suffix:</t>
  </si>
  <si>
    <t xml:space="preserve">Title:       </t>
  </si>
  <si>
    <t>Senior Director of Contracts and Grants</t>
  </si>
  <si>
    <t xml:space="preserve"> Organizational Affiliation:</t>
  </si>
  <si>
    <t xml:space="preserve">      </t>
  </si>
  <si>
    <t xml:space="preserve"> *Telephone Number: </t>
  </si>
  <si>
    <t>410.537.6564</t>
  </si>
  <si>
    <t>Fax Number:</t>
  </si>
  <si>
    <t>410.537.1482</t>
  </si>
  <si>
    <t xml:space="preserve"> *Email:          </t>
  </si>
  <si>
    <t>proposal@jhpiego.org</t>
  </si>
  <si>
    <t>* 9. Type of Applicant 1:</t>
  </si>
  <si>
    <t>Select Applicant Type</t>
  </si>
  <si>
    <t>A. State Government</t>
  </si>
  <si>
    <t>B. County Government</t>
  </si>
  <si>
    <t>C. City or Township Government</t>
  </si>
  <si>
    <t>D. Special District Government</t>
  </si>
  <si>
    <t>E. Regional Organization</t>
  </si>
  <si>
    <t>F. U.S. Territory or Possession</t>
  </si>
  <si>
    <t>G. Independent School District</t>
  </si>
  <si>
    <t>H. Public/State Controlled Inst on of Higher Education</t>
  </si>
  <si>
    <t>I. Indian/Native Am Tribal Govn.(Fed. Recognized)</t>
  </si>
  <si>
    <t>J. Indian/Native Am Tribal Govn.(Other than Fed)</t>
  </si>
  <si>
    <t>K. Indian/Native American Tribally Designated Org.</t>
  </si>
  <si>
    <t>L. Public/Indian Housing Authority</t>
  </si>
  <si>
    <t>M. Nonprofit w/501C3 IRS Status (Oth Than Higher Edu</t>
  </si>
  <si>
    <t>N. Nonprofit w/o 501C3 IRS Status (Oth Than High Edu</t>
  </si>
  <si>
    <t>O. Private Institute of Higher Education</t>
  </si>
  <si>
    <t>P. Individual</t>
  </si>
  <si>
    <t>Q. For-profit Org(Other Than Small Business )</t>
  </si>
  <si>
    <t>R. Small Business</t>
  </si>
  <si>
    <t>S. Hispanic-serving Institution</t>
  </si>
  <si>
    <t>T. Historically Black Colleges and Univ (HBCU's)</t>
  </si>
  <si>
    <t>U. Tribally Controlled Colleged and Univ (TCCU's)</t>
  </si>
  <si>
    <t>V. Alaska Native and Native Hawaiian Serving Inst</t>
  </si>
  <si>
    <t xml:space="preserve">W. Non-domestic (non US) entity </t>
  </si>
  <si>
    <t>Type of Applicant 2:</t>
  </si>
  <si>
    <t>Type of Applicant 3:</t>
  </si>
  <si>
    <t>*10 Name of Federal Agency:</t>
  </si>
  <si>
    <r>
      <t>11. Catalog of Federal Domestic Assistance Number</t>
    </r>
    <r>
      <rPr>
        <sz val="9"/>
        <rFont val="Arial"/>
        <family val="2"/>
      </rPr>
      <t>:</t>
    </r>
  </si>
  <si>
    <t>CFDA Title:</t>
  </si>
  <si>
    <r>
      <t>*12  Funding Opportunity Number</t>
    </r>
    <r>
      <rPr>
        <sz val="9"/>
        <rFont val="Arial"/>
        <family val="2"/>
      </rPr>
      <t>:</t>
    </r>
  </si>
  <si>
    <t>*Title:</t>
  </si>
  <si>
    <r>
      <t>13. Competition Identification Number</t>
    </r>
    <r>
      <rPr>
        <sz val="9"/>
        <rFont val="Arial"/>
        <family val="2"/>
      </rPr>
      <t>:</t>
    </r>
  </si>
  <si>
    <t>Title:</t>
  </si>
  <si>
    <t>14. Areas Affected by Project (Cities, Counties, States, etc.):</t>
  </si>
  <si>
    <r>
      <t>*15.  Descriptive Title of Applicant’s Project</t>
    </r>
    <r>
      <rPr>
        <sz val="9"/>
        <rFont val="Arial"/>
        <family val="2"/>
      </rPr>
      <t>:</t>
    </r>
  </si>
  <si>
    <r>
      <t>Application for Federal Assistance SF-424</t>
    </r>
    <r>
      <rPr>
        <b/>
        <sz val="9"/>
        <rFont val="Arial"/>
        <family val="2"/>
      </rPr>
      <t xml:space="preserve">     </t>
    </r>
    <r>
      <rPr>
        <sz val="9"/>
        <rFont val="Arial"/>
        <family val="2"/>
      </rPr>
      <t>Version 02</t>
    </r>
  </si>
  <si>
    <t>16. Congressional Districts Of:</t>
  </si>
  <si>
    <t>*a. Applicant:</t>
  </si>
  <si>
    <t>MD-003</t>
  </si>
  <si>
    <t>*b. Program/Project:</t>
  </si>
  <si>
    <t>00-000</t>
  </si>
  <si>
    <r>
      <t>17.  Proposed Project</t>
    </r>
    <r>
      <rPr>
        <sz val="9"/>
        <rFont val="Arial"/>
        <family val="2"/>
      </rPr>
      <t>:</t>
    </r>
  </si>
  <si>
    <t>*a. Start Date:</t>
  </si>
  <si>
    <t>*b. End Date:</t>
  </si>
  <si>
    <t>18. Estimated Funding ($):</t>
  </si>
  <si>
    <t>*a.  Federal</t>
  </si>
  <si>
    <t>calculation check:</t>
  </si>
  <si>
    <t>*b.  Applicant</t>
  </si>
  <si>
    <t>*c.  State</t>
  </si>
  <si>
    <t>*d.  Local</t>
  </si>
  <si>
    <t>*e.  Other</t>
  </si>
  <si>
    <t>*f.  Program Income</t>
  </si>
  <si>
    <t>*g.  TOTAL</t>
  </si>
  <si>
    <t>*19.  Is Application Subject to Review By State Under Executive Order 12372 Process?</t>
  </si>
  <si>
    <r>
      <t xml:space="preserve">  a.  This application was made available to the State under the Executive Order 12372 Process for review on </t>
    </r>
    <r>
      <rPr>
        <u/>
        <sz val="9"/>
        <rFont val="Arial"/>
        <family val="2"/>
      </rPr>
      <t>     </t>
    </r>
  </si>
  <si>
    <t xml:space="preserve">  b. Program is subject to E.O. 12372 but has not been selected by the State for review.</t>
  </si>
  <si>
    <t xml:space="preserve">  c.  Program is not covered by E. O. 12372</t>
  </si>
  <si>
    <t>*20.  Is the Applicant Delinquent On Any Federal Debt?  (If “Yes”, provide explanation.)</t>
  </si>
  <si>
    <t xml:space="preserve">Yes </t>
  </si>
  <si>
    <t>No</t>
  </si>
  <si>
    <t>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 S. Code, Title 218, Section 1001)</t>
  </si>
  <si>
    <t xml:space="preserve">  ** I AGREE</t>
  </si>
  <si>
    <t>** The list of certifications and assurances, or an internet site where you may obtain this list, is contained in the announcement or agency specific instructions</t>
  </si>
  <si>
    <t>Authorized Representative:</t>
  </si>
  <si>
    <t>Ms.</t>
  </si>
  <si>
    <t>Keya</t>
  </si>
  <si>
    <t>Mayweather</t>
  </si>
  <si>
    <t>Senior Grants Associate</t>
  </si>
  <si>
    <t>*Signature of Authorized Representative:       </t>
  </si>
  <si>
    <t xml:space="preserve">*Date Signed:        </t>
  </si>
  <si>
    <t>Authorized for Local Reproduction</t>
  </si>
  <si>
    <t>Standard Form 424 (Revised 10/2005)</t>
  </si>
  <si>
    <t>Prescribed by OMB Circular A-102</t>
  </si>
  <si>
    <t>OMB Approval No. 4040-0006</t>
  </si>
  <si>
    <t>BUDGET INFORMATION - Non-Construction Programs</t>
  </si>
  <si>
    <t>Expiration Date 06/30/2014</t>
  </si>
  <si>
    <t>SECTION A - BUDGET SUMMARY</t>
  </si>
  <si>
    <t>Grant Program
Function
or Activity</t>
  </si>
  <si>
    <t>Catalog of  Federal
Domestic Assistance
Number</t>
  </si>
  <si>
    <t>Estimated Unobligated Funds</t>
  </si>
  <si>
    <t>New or Revised Budget</t>
  </si>
  <si>
    <t>Federal</t>
  </si>
  <si>
    <t>Non-Federal</t>
  </si>
  <si>
    <t>(a)</t>
  </si>
  <si>
    <t>(b)</t>
  </si>
  <si>
    <t>(c)</t>
  </si>
  <si>
    <t>(d)</t>
  </si>
  <si>
    <t>(e)</t>
  </si>
  <si>
    <t>(f)</t>
  </si>
  <si>
    <t>(g)</t>
  </si>
  <si>
    <t>1.</t>
  </si>
  <si>
    <t>N/A</t>
  </si>
  <si>
    <t>2.</t>
  </si>
  <si>
    <t>3.</t>
  </si>
  <si>
    <t>4.</t>
  </si>
  <si>
    <t>5.     TOTALS</t>
  </si>
  <si>
    <t>Standard Form 424A (Rev. 7-97)</t>
  </si>
  <si>
    <t>Prescribed by OMB (Circular A-102) Page 1</t>
  </si>
  <si>
    <t>SECTION B - BUDGET CATEGORIES</t>
  </si>
  <si>
    <t>GRANT PROGRAM, FUNCTION OR ACTIVITY</t>
  </si>
  <si>
    <t>6.  OBJECT CLASS CATEGORIES</t>
  </si>
  <si>
    <t>(1)</t>
  </si>
  <si>
    <t>(2)</t>
  </si>
  <si>
    <t>(3)</t>
  </si>
  <si>
    <t>(4)</t>
  </si>
  <si>
    <t>(5)</t>
  </si>
  <si>
    <t xml:space="preserve">   </t>
  </si>
  <si>
    <t>a.  Personnel</t>
  </si>
  <si>
    <t>b. Fringe Benefits</t>
  </si>
  <si>
    <t>c.  Travel</t>
  </si>
  <si>
    <t>d.  Equipment</t>
  </si>
  <si>
    <t xml:space="preserve">e.  Supplies </t>
  </si>
  <si>
    <t>f.  Contractual</t>
  </si>
  <si>
    <t>g. Construction</t>
  </si>
  <si>
    <t>h.  Other</t>
  </si>
  <si>
    <r>
      <t>i.  Total Direct Charges</t>
    </r>
    <r>
      <rPr>
        <sz val="8"/>
        <rFont val="Geneva"/>
      </rPr>
      <t xml:space="preserve">  (sum of 6a-6h)</t>
    </r>
  </si>
  <si>
    <t>j.  Indirect Charges</t>
  </si>
  <si>
    <r>
      <t>k.  TOTALS</t>
    </r>
    <r>
      <rPr>
        <sz val="8"/>
        <rFont val="Geneva"/>
      </rPr>
      <t xml:space="preserve">   (sum of 6i and 6j)</t>
    </r>
  </si>
  <si>
    <t>7.     PROGRAM INCOME</t>
  </si>
  <si>
    <t>Prescribed by OMB (Circular A-102) Page 1A</t>
  </si>
  <si>
    <t>SECTION C - NON FEDERAL RESOURCES</t>
  </si>
  <si>
    <t>(a) Grant Program</t>
  </si>
  <si>
    <t>(b) Applicant</t>
  </si>
  <si>
    <t>(c) State</t>
  </si>
  <si>
    <t>(d) Other sources</t>
  </si>
  <si>
    <t>(e) TOTALS</t>
  </si>
  <si>
    <r>
      <t>8.</t>
    </r>
    <r>
      <rPr>
        <sz val="8"/>
        <rFont val="Geneva"/>
      </rPr>
      <t xml:space="preserve"> </t>
    </r>
  </si>
  <si>
    <t>9.</t>
  </si>
  <si>
    <t>10.</t>
  </si>
  <si>
    <t>11.</t>
  </si>
  <si>
    <r>
      <t>12.  TOTALS</t>
    </r>
    <r>
      <rPr>
        <sz val="8"/>
        <rFont val="Geneva"/>
      </rPr>
      <t xml:space="preserve">   (sum of lines 8 and 11)</t>
    </r>
  </si>
  <si>
    <t>SECTION D - FORECASTED CASH NEEDS</t>
  </si>
  <si>
    <t>Total for 1st Year</t>
  </si>
  <si>
    <t>1st Quarter</t>
  </si>
  <si>
    <t>2nd Quarter</t>
  </si>
  <si>
    <t>3rd Quarter</t>
  </si>
  <si>
    <t>4th Quarter</t>
  </si>
  <si>
    <t>13.    Federal</t>
  </si>
  <si>
    <t>14.    NonFederal</t>
  </si>
  <si>
    <r>
      <t xml:space="preserve">15.    TOTAL  </t>
    </r>
    <r>
      <rPr>
        <sz val="8"/>
        <rFont val="Geneva"/>
      </rPr>
      <t>(sum of lines 13 and 14)</t>
    </r>
  </si>
  <si>
    <t>SECTION E - BUDGET ESTIMATES OF FEDERAL FUNDS NEEDED FOR BALANCE OF THE PROJECT</t>
  </si>
  <si>
    <t>FUTURE FUNDING PERIODS (YEARS)</t>
  </si>
  <si>
    <t>(b) First</t>
  </si>
  <si>
    <t>(c)Second</t>
  </si>
  <si>
    <t>(d) Third</t>
  </si>
  <si>
    <t>(e) Fourth</t>
  </si>
  <si>
    <t>16.</t>
  </si>
  <si>
    <t>17.</t>
  </si>
  <si>
    <t>18.</t>
  </si>
  <si>
    <t>19.</t>
  </si>
  <si>
    <r>
      <t>20.  TOTALS</t>
    </r>
    <r>
      <rPr>
        <sz val="8"/>
        <rFont val="Geneva"/>
      </rPr>
      <t xml:space="preserve">   (sum of lines 16 - 19)</t>
    </r>
  </si>
  <si>
    <t>SECTION  F - OTHER BUDGET INFORMATION</t>
  </si>
  <si>
    <t>21.    Direct Charges:</t>
  </si>
  <si>
    <t>22.    Indirect Charges:</t>
  </si>
  <si>
    <t>23.    Remarks</t>
  </si>
  <si>
    <t xml:space="preserve">Remarks: </t>
  </si>
  <si>
    <t>Prescribed by OMB (Circular A -102) Page 2</t>
  </si>
  <si>
    <t>Entity:</t>
  </si>
  <si>
    <t>P</t>
  </si>
  <si>
    <t>Program-Dept.:</t>
  </si>
  <si>
    <t>Funder-Grant:</t>
  </si>
  <si>
    <t>DOL427</t>
  </si>
  <si>
    <t>PERSNL-PD</t>
  </si>
  <si>
    <t>PERSNL-M&amp;E</t>
  </si>
  <si>
    <t>ECU</t>
  </si>
  <si>
    <t>Activity Code</t>
  </si>
  <si>
    <t>Account Code</t>
  </si>
  <si>
    <t>Country Code</t>
  </si>
  <si>
    <t>PERSNL-COM</t>
  </si>
  <si>
    <t>PERSNL-F&amp;A</t>
  </si>
  <si>
    <t>PERSNL-OPS</t>
  </si>
  <si>
    <t>PERSNL-RCC</t>
  </si>
  <si>
    <t>PERSNL-PM</t>
  </si>
  <si>
    <t>PERSNL-PO</t>
  </si>
  <si>
    <t>USA</t>
  </si>
  <si>
    <t>PERSNL-RCO</t>
  </si>
  <si>
    <t>PERSNL-PSL</t>
  </si>
  <si>
    <t>PERSNL-SAF</t>
  </si>
  <si>
    <t>FRINGE</t>
  </si>
  <si>
    <t>FRINGE-EC</t>
  </si>
  <si>
    <t>86030 (Lodging)/ 86050 (M&amp;IE)</t>
  </si>
  <si>
    <t>ECU/USA</t>
  </si>
  <si>
    <t>EC.T1.A</t>
  </si>
  <si>
    <t>EC.T1.B</t>
  </si>
  <si>
    <t>EC.T1.C</t>
  </si>
  <si>
    <t>EC.T1.D</t>
  </si>
  <si>
    <t>EC.T2.A</t>
  </si>
  <si>
    <t>EC.T2.B</t>
  </si>
  <si>
    <t>EC.T2.C</t>
  </si>
  <si>
    <t>EC.T3.A</t>
  </si>
  <si>
    <t>EC.T3.B</t>
  </si>
  <si>
    <t>EC.T3.C</t>
  </si>
  <si>
    <t>EC.T3.D</t>
  </si>
  <si>
    <t>EC.T4.A</t>
  </si>
  <si>
    <t>86000 (Transport)/ 86030 (Lodging)/ 86050 (M&amp;IE)</t>
  </si>
  <si>
    <t>NONE</t>
  </si>
  <si>
    <t>LAPTOP</t>
  </si>
  <si>
    <t>SUPPLIES</t>
  </si>
  <si>
    <t>EXPOFLOR</t>
  </si>
  <si>
    <t>ASOPRO</t>
  </si>
  <si>
    <t>BANK FEES</t>
  </si>
  <si>
    <t>COURIER</t>
  </si>
  <si>
    <t>RECRUIT</t>
  </si>
  <si>
    <t>COMM</t>
  </si>
  <si>
    <t>RENT &amp; UT</t>
  </si>
  <si>
    <t>PROP&amp;LIAB</t>
  </si>
  <si>
    <t>LEGAL</t>
  </si>
  <si>
    <t>PAYROLL</t>
  </si>
  <si>
    <t>SUBSCRIPT</t>
  </si>
  <si>
    <t>VISUALCOM</t>
  </si>
  <si>
    <t>SECURITY</t>
  </si>
  <si>
    <t>Activity 1.1. Assess labor law enforcement institutions, processes, and services: challenges and opportunities for action to address child labor and forced labor</t>
  </si>
  <si>
    <t>IDC</t>
  </si>
  <si>
    <t>SUBINDES</t>
  </si>
  <si>
    <t>81000 (Consultant)/ 81021 (Translation)</t>
  </si>
  <si>
    <t>EC.4.1.A</t>
  </si>
  <si>
    <t>EC.4.2.A</t>
  </si>
  <si>
    <t>EC.4.2.B</t>
  </si>
  <si>
    <t>EC.4.3.A</t>
  </si>
  <si>
    <t>EC.4.3.B</t>
  </si>
  <si>
    <t>EC.4.3.C</t>
  </si>
  <si>
    <t>EC.4.4.A</t>
  </si>
  <si>
    <t>EC.4.4.B</t>
  </si>
  <si>
    <t>EC.4.4.C</t>
  </si>
  <si>
    <t>EC.4.4.D</t>
  </si>
  <si>
    <t>EC.4.5.A</t>
  </si>
  <si>
    <t>EC.4.5.B</t>
  </si>
  <si>
    <t>EC.4.5.C</t>
  </si>
  <si>
    <t>EC.4.6.A</t>
  </si>
  <si>
    <t>EC.4.6.B</t>
  </si>
  <si>
    <t>EC.4.7.A</t>
  </si>
  <si>
    <t>EC.4.7.B</t>
  </si>
  <si>
    <t>Sub Budget Code</t>
  </si>
  <si>
    <t>INDESPERPC</t>
  </si>
  <si>
    <t>INDESPERTO</t>
  </si>
  <si>
    <t>INDESPERME</t>
  </si>
  <si>
    <t>INDESPERFA</t>
  </si>
  <si>
    <t>INDESFRING</t>
  </si>
  <si>
    <t>INDESUPP</t>
  </si>
  <si>
    <t>INDESOFF</t>
  </si>
  <si>
    <t>INDESIDC</t>
  </si>
  <si>
    <t>EC.1.1.A</t>
  </si>
  <si>
    <t>See activities tab</t>
  </si>
  <si>
    <t>EC.1.2.A</t>
  </si>
  <si>
    <t>EC.1.2.B</t>
  </si>
  <si>
    <t>EC.1.4.A</t>
  </si>
  <si>
    <t>EC.1.4.B</t>
  </si>
  <si>
    <t>EC.1.4.C</t>
  </si>
  <si>
    <t>EC.1.5.A</t>
  </si>
  <si>
    <t>EC.1.6.A</t>
  </si>
  <si>
    <t>EC.1.6.B</t>
  </si>
  <si>
    <t>EC.1.6.C</t>
  </si>
  <si>
    <t>EC.1.7.A</t>
  </si>
  <si>
    <t>EC.1.7.B</t>
  </si>
  <si>
    <t>EC.1.7.C</t>
  </si>
  <si>
    <t>EC.2.1.A</t>
  </si>
  <si>
    <t>EC.2.2.A</t>
  </si>
  <si>
    <t>EC.2.2.B</t>
  </si>
  <si>
    <t>EC.2.2.C</t>
  </si>
  <si>
    <t>EC.2.2.D</t>
  </si>
  <si>
    <t>EC.2.3.A</t>
  </si>
  <si>
    <t>EC.2.3.B</t>
  </si>
  <si>
    <t>EC.2.3.C</t>
  </si>
  <si>
    <t>EC.2.4.A</t>
  </si>
  <si>
    <t>EC.2.4.B</t>
  </si>
  <si>
    <t>EC.2.4.C</t>
  </si>
  <si>
    <t>EC.2.5.A</t>
  </si>
  <si>
    <t>EC.2.5.B</t>
  </si>
  <si>
    <t>EC.2.5.C</t>
  </si>
  <si>
    <t>EC.2.5.D</t>
  </si>
  <si>
    <t>EC.2.6.A</t>
  </si>
  <si>
    <t>EC.2.6.B</t>
  </si>
  <si>
    <t>EC.2.6.C</t>
  </si>
  <si>
    <t>EC.2.7.A</t>
  </si>
  <si>
    <t>EC.2.7.B</t>
  </si>
  <si>
    <t>EC.2.7.C</t>
  </si>
  <si>
    <t>EC.2.8.A</t>
  </si>
  <si>
    <t>EC.2.8.B</t>
  </si>
  <si>
    <t>EC.3.2.A</t>
  </si>
  <si>
    <t>EC.3.2.B</t>
  </si>
  <si>
    <t>EC.3.2.C</t>
  </si>
  <si>
    <t>EC.3.3.A</t>
  </si>
  <si>
    <t>EC.3.3.B</t>
  </si>
  <si>
    <t>EC.3.3.C</t>
  </si>
  <si>
    <t>EC.3.4.A</t>
  </si>
  <si>
    <t>EC.3.4.B</t>
  </si>
  <si>
    <t>EC.3.4.C</t>
  </si>
  <si>
    <t>EC.3.4.D</t>
  </si>
  <si>
    <t>EC.3.5.A</t>
  </si>
  <si>
    <t>EC.3.5.B</t>
  </si>
  <si>
    <t>EC.3.5.C</t>
  </si>
  <si>
    <t>EC.3.6.A</t>
  </si>
  <si>
    <t>EC.3.6.B</t>
  </si>
  <si>
    <t>EC.3.6.C</t>
  </si>
  <si>
    <t>INDESLOCTR</t>
  </si>
  <si>
    <t>INDES1.4</t>
  </si>
  <si>
    <t>INDES1.6</t>
  </si>
  <si>
    <t>INDES2.2</t>
  </si>
  <si>
    <t>INDES2.3</t>
  </si>
  <si>
    <t>INDES1.7</t>
  </si>
  <si>
    <t>INDES2.4</t>
  </si>
  <si>
    <t>INDES2.5</t>
  </si>
  <si>
    <t>INDES2.7</t>
  </si>
  <si>
    <t>INDES2.8</t>
  </si>
  <si>
    <t>INDES3.1</t>
  </si>
  <si>
    <t>INDES3.2</t>
  </si>
  <si>
    <t>INDES3.3</t>
  </si>
  <si>
    <t>INDES3.4</t>
  </si>
  <si>
    <t>INDES3.6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</si>
</sst>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00"/>
    <numFmt numFmtId="166" formatCode="0.0000"/>
    <numFmt numFmtId="167" formatCode="_(&quot;$&quot;* #,##0_);_(&quot;$&quot;* \(#,##0\);_(&quot;$&quot;* &quot;-&quot;??_);_(@_)"/>
    <numFmt numFmtId="168" formatCode="_(* #,##0_);_(* \(#,##0\);_(* &quot;-&quot;??_);_(@_)"/>
    <numFmt numFmtId="169" formatCode="mm/dd/yy;@"/>
    <numFmt numFmtId="170" formatCode="&quot;Year &quot;0"/>
    <numFmt numFmtId="171" formatCode="&quot;$&quot;#,##0"/>
    <numFmt numFmtId="172" formatCode=";;;"/>
    <numFmt numFmtId="173" formatCode="[$-409]mmmm\ d\,\ yyyy;@"/>
    <numFmt numFmtId="174" formatCode="0.0"/>
    <numFmt numFmtId="175" formatCode="_-* #,##0.00\ [$€]_-;\-* #,##0.00\ [$€]_-;_-* &quot;-&quot;??\ [$€]_-;_-@_-"/>
    <numFmt numFmtId="176" formatCode="[$-409]d\-mmm\-yy;@"/>
    <numFmt numFmtId="177" formatCode="&quot;$&quot;#,##0.00"/>
    <numFmt numFmtId="178" formatCode="_-* #,##0.00\ &quot;Bs&quot;_-;\-* #,##0.00\ &quot;Bs&quot;_-;_-* &quot;-&quot;??\ &quot;Bs&quot;_-;_-@_-"/>
    <numFmt numFmtId="179" formatCode="_-* #,##0\ _B_s_-;\-* #,##0\ _B_s_-;_-* &quot;-&quot;??\ _B_s_-;_-@_-"/>
    <numFmt numFmtId="180" formatCode="_([$$-409]* #,##0_);_([$$-409]* \(#,##0\);_([$$-409]* &quot;-&quot;??_);_(@_)"/>
    <numFmt numFmtId="181" formatCode="_-* #,##0.00\ _B_s_-;\-* #,##0.00\ _B_s_-;_-* &quot;-&quot;??\ _B_s_-;_-@_-"/>
    <numFmt numFmtId="182" formatCode="_([$$-409]* #,##0.00_);_([$$-409]* \(#,##0.00\);_([$$-409]* &quot;-&quot;??_);_(@_)"/>
    <numFmt numFmtId="183" formatCode="_-&quot;$&quot;* #,##0.00_-;\-&quot;$&quot;* #,##0.00_-;_-&quot;$&quot;* &quot;-&quot;??_-;_-@_-"/>
    <numFmt numFmtId="184" formatCode="_-* #,##0.00\ _€_-;\-* #,##0.00\ _€_-;_-* &quot;-&quot;??\ _€_-;_-@_-"/>
    <numFmt numFmtId="185" formatCode="#,##0.00;[Red]#,##0.00"/>
  </numFmts>
  <fonts count="98">
    <font>
      <sz val="10"/>
      <name val="Arial"/>
    </font>
    <font>
      <sz val="11"/>
      <color theme="1"/>
      <name val="Arial"/>
      <family val="2"/>
      <scheme val="minor"/>
    </font>
    <font>
      <sz val="11"/>
      <color theme="1"/>
      <name val="Arial"/>
      <family val="2"/>
      <scheme val="minor"/>
    </font>
    <font>
      <sz val="10"/>
      <color theme="1"/>
      <name val="Arial"/>
      <family val="2"/>
    </font>
    <font>
      <b/>
      <sz val="18"/>
      <name val="Arial"/>
      <family val="2"/>
    </font>
    <font>
      <b/>
      <sz val="12"/>
      <name val="Arial"/>
      <family val="2"/>
    </font>
    <font>
      <u/>
      <sz val="10"/>
      <color indexed="12"/>
      <name val="Arial"/>
      <family val="2"/>
    </font>
    <font>
      <b/>
      <sz val="12"/>
      <name val="Arial"/>
      <family val="2"/>
    </font>
    <font>
      <b/>
      <sz val="10"/>
      <name val="Arial"/>
      <family val="2"/>
    </font>
    <font>
      <sz val="10"/>
      <name val="Arial"/>
      <family val="2"/>
    </font>
    <font>
      <sz val="12"/>
      <name val="Arial"/>
      <family val="2"/>
    </font>
    <font>
      <sz val="8"/>
      <name val="Arial"/>
      <family val="2"/>
    </font>
    <font>
      <sz val="9"/>
      <name val="Arial"/>
      <family val="2"/>
    </font>
    <font>
      <sz val="10"/>
      <color indexed="8"/>
      <name val="Arial"/>
      <family val="2"/>
    </font>
    <font>
      <sz val="10"/>
      <color indexed="8"/>
      <name val="Arial"/>
      <family val="2"/>
    </font>
    <font>
      <sz val="12"/>
      <color indexed="8"/>
      <name val="Arial"/>
      <family val="2"/>
    </font>
    <font>
      <b/>
      <sz val="16"/>
      <name val="Arial"/>
      <family val="2"/>
    </font>
    <font>
      <b/>
      <sz val="16"/>
      <color indexed="8"/>
      <name val="Arial"/>
      <family val="2"/>
    </font>
    <font>
      <b/>
      <sz val="8"/>
      <name val="Arial"/>
      <family val="2"/>
    </font>
    <font>
      <b/>
      <sz val="14"/>
      <name val="Arial"/>
      <family val="2"/>
    </font>
    <font>
      <sz val="10"/>
      <name val="Arial"/>
      <family val="2"/>
    </font>
    <font>
      <b/>
      <sz val="11"/>
      <name val="Arial"/>
      <family val="2"/>
    </font>
    <font>
      <b/>
      <sz val="13"/>
      <name val="Arial"/>
      <family val="2"/>
    </font>
    <font>
      <sz val="12"/>
      <color indexed="10"/>
      <name val="Arial"/>
      <family val="2"/>
    </font>
    <font>
      <sz val="11"/>
      <name val="Arial"/>
      <family val="2"/>
    </font>
    <font>
      <sz val="10"/>
      <name val="Helv"/>
    </font>
    <font>
      <sz val="8"/>
      <name val="Geneva"/>
    </font>
    <font>
      <b/>
      <sz val="10"/>
      <name val="Geneva"/>
    </font>
    <font>
      <sz val="8"/>
      <name val="Arial"/>
      <family val="2"/>
    </font>
    <font>
      <sz val="12"/>
      <name val="Times New Roman"/>
      <family val="1"/>
    </font>
    <font>
      <sz val="10"/>
      <name val="Times New Roman"/>
      <family val="1"/>
    </font>
    <font>
      <sz val="8"/>
      <name val="Times New Roman"/>
      <family val="1"/>
    </font>
    <font>
      <b/>
      <sz val="9"/>
      <name val="Arial"/>
      <family val="2"/>
    </font>
    <font>
      <u/>
      <sz val="9"/>
      <name val="Arial"/>
      <family val="2"/>
    </font>
    <font>
      <sz val="1"/>
      <name val="Arial"/>
      <family val="2"/>
    </font>
    <font>
      <sz val="9"/>
      <name val="Times New Roman"/>
      <family val="1"/>
    </font>
    <font>
      <sz val="11"/>
      <name val="Times New Roman"/>
      <family val="1"/>
    </font>
    <font>
      <sz val="10"/>
      <color rgb="FF3F3F76"/>
      <name val="Arial"/>
      <family val="2"/>
    </font>
    <font>
      <sz val="10"/>
      <name val="Arial"/>
      <family val="2"/>
    </font>
    <font>
      <sz val="10"/>
      <color indexed="12"/>
      <name val="Arial"/>
      <family val="2"/>
    </font>
    <font>
      <sz val="6"/>
      <name val="Arial"/>
      <family val="2"/>
    </font>
    <font>
      <b/>
      <sz val="6"/>
      <name val="Arial"/>
      <family val="2"/>
    </font>
    <font>
      <b/>
      <sz val="10"/>
      <color rgb="FFFF0000"/>
      <name val="Arial"/>
      <family val="2"/>
    </font>
    <font>
      <sz val="10"/>
      <color rgb="FFFF0000"/>
      <name val="Arial"/>
      <family val="2"/>
    </font>
    <font>
      <sz val="14"/>
      <name val="Arial"/>
      <family val="2"/>
    </font>
    <font>
      <sz val="10"/>
      <name val="Arial"/>
      <family val="2"/>
    </font>
    <font>
      <sz val="12"/>
      <name val="Times New Roman"/>
      <family val="1"/>
      <scheme val="major"/>
    </font>
    <font>
      <b/>
      <sz val="12"/>
      <name val="Times New Roman"/>
      <family val="1"/>
      <scheme val="major"/>
    </font>
    <font>
      <b/>
      <sz val="12"/>
      <color rgb="FFFF0000"/>
      <name val="Times New Roman"/>
      <family val="1"/>
      <scheme val="major"/>
    </font>
    <font>
      <b/>
      <sz val="12"/>
      <color indexed="8"/>
      <name val="Times New Roman"/>
      <family val="1"/>
      <scheme val="major"/>
    </font>
    <font>
      <sz val="10"/>
      <name val="Times New Roman"/>
      <family val="1"/>
      <scheme val="major"/>
    </font>
    <font>
      <b/>
      <sz val="12"/>
      <color indexed="10"/>
      <name val="Times New Roman"/>
      <family val="1"/>
      <scheme val="major"/>
    </font>
    <font>
      <sz val="12"/>
      <color indexed="8"/>
      <name val="Times New Roman"/>
      <family val="1"/>
      <scheme val="major"/>
    </font>
    <font>
      <sz val="12"/>
      <color indexed="10"/>
      <name val="Times New Roman"/>
      <family val="1"/>
      <scheme val="major"/>
    </font>
    <font>
      <b/>
      <u/>
      <sz val="12"/>
      <name val="Times New Roman"/>
      <family val="1"/>
      <scheme val="major"/>
    </font>
    <font>
      <b/>
      <sz val="8"/>
      <name val="Times New Roman"/>
      <family val="1"/>
      <scheme val="major"/>
    </font>
    <font>
      <sz val="12"/>
      <color indexed="12"/>
      <name val="Times New Roman"/>
      <family val="1"/>
      <scheme val="major"/>
    </font>
    <font>
      <sz val="12"/>
      <color rgb="FFFF0000"/>
      <name val="Times New Roman"/>
      <family val="1"/>
      <scheme val="major"/>
    </font>
    <font>
      <sz val="10"/>
      <color rgb="FF000000"/>
      <name val="Arial"/>
      <family val="2"/>
    </font>
    <font>
      <b/>
      <i/>
      <sz val="12"/>
      <color theme="1"/>
      <name val="Times New Roman"/>
      <family val="1"/>
      <scheme val="major"/>
    </font>
    <font>
      <i/>
      <sz val="12"/>
      <color theme="1"/>
      <name val="Times New Roman"/>
      <family val="1"/>
      <scheme val="major"/>
    </font>
    <font>
      <b/>
      <sz val="12"/>
      <color rgb="FF000000"/>
      <name val="Times New Roman"/>
      <family val="1"/>
    </font>
    <font>
      <sz val="12"/>
      <color theme="1"/>
      <name val="Times New Roman"/>
      <family val="1"/>
    </font>
    <font>
      <b/>
      <sz val="12"/>
      <name val="Times New Roman"/>
      <family val="1"/>
    </font>
    <font>
      <b/>
      <sz val="12"/>
      <color theme="1"/>
      <name val="Times New Roman"/>
      <family val="1"/>
    </font>
    <font>
      <sz val="12"/>
      <color theme="4" tint="-0.499984740745262"/>
      <name val="Times New Roman"/>
      <family val="1"/>
    </font>
    <font>
      <sz val="12"/>
      <color rgb="FF0070C0"/>
      <name val="Times New Roman"/>
      <family val="1"/>
    </font>
    <font>
      <b/>
      <sz val="12"/>
      <color rgb="FF0070C0"/>
      <name val="Times New Roman"/>
      <family val="1"/>
    </font>
    <font>
      <sz val="12"/>
      <color rgb="FF000000"/>
      <name val="Times New Roman"/>
      <family val="1"/>
    </font>
    <font>
      <b/>
      <sz val="10"/>
      <name val="Times New Roman"/>
      <family val="1"/>
      <scheme val="major"/>
    </font>
    <font>
      <b/>
      <sz val="12"/>
      <color theme="1"/>
      <name val="Times New Roman"/>
      <family val="1"/>
      <scheme val="major"/>
    </font>
    <font>
      <sz val="12"/>
      <color theme="1"/>
      <name val="Times New Roman"/>
      <family val="1"/>
      <scheme val="major"/>
    </font>
    <font>
      <i/>
      <sz val="12"/>
      <name val="Times New Roman"/>
      <family val="1"/>
      <scheme val="major"/>
    </font>
    <font>
      <u/>
      <sz val="12"/>
      <name val="Times New Roman"/>
      <family val="1"/>
      <scheme val="major"/>
    </font>
    <font>
      <b/>
      <sz val="12"/>
      <color theme="4" tint="-0.249977111117893"/>
      <name val="Times New Roman"/>
      <family val="1"/>
      <scheme val="major"/>
    </font>
    <font>
      <sz val="12"/>
      <color theme="4" tint="-0.249977111117893"/>
      <name val="Times New Roman"/>
      <family val="1"/>
      <scheme val="major"/>
    </font>
    <font>
      <u/>
      <sz val="12"/>
      <color theme="4" tint="-0.249977111117893"/>
      <name val="Times New Roman"/>
      <family val="1"/>
      <scheme val="major"/>
    </font>
    <font>
      <sz val="11"/>
      <color indexed="8"/>
      <name val="Calibri"/>
      <family val="2"/>
    </font>
    <font>
      <sz val="8"/>
      <color indexed="8"/>
      <name val="Tahoma"/>
      <family val="2"/>
    </font>
    <font>
      <sz val="8"/>
      <color indexed="14"/>
      <name val="Tahoma"/>
      <family val="2"/>
    </font>
    <font>
      <b/>
      <sz val="8"/>
      <color indexed="62"/>
      <name val="Tahoma"/>
      <family val="2"/>
    </font>
    <font>
      <sz val="8"/>
      <color theme="1"/>
      <name val="Tahoma"/>
      <family val="2"/>
    </font>
    <font>
      <sz val="8"/>
      <color theme="0"/>
      <name val="Tahoma"/>
      <family val="2"/>
    </font>
    <font>
      <b/>
      <sz val="8"/>
      <color rgb="FFFA7D00"/>
      <name val="Tahoma"/>
      <family val="2"/>
    </font>
    <font>
      <b/>
      <sz val="8"/>
      <color theme="0"/>
      <name val="Tahoma"/>
      <family val="2"/>
    </font>
    <font>
      <i/>
      <sz val="8"/>
      <color rgb="FF7F7F7F"/>
      <name val="Tahoma"/>
      <family val="2"/>
    </font>
    <font>
      <sz val="8"/>
      <color rgb="FF006100"/>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b/>
      <i/>
      <sz val="12"/>
      <name val="Times New Roman"/>
      <family val="1"/>
      <scheme val="major"/>
    </font>
    <font>
      <sz val="11"/>
      <name val="Times New Roman"/>
      <family val="1"/>
      <scheme val="major"/>
    </font>
    <font>
      <b/>
      <sz val="12"/>
      <color theme="0"/>
      <name val="Times New Roman"/>
      <family val="1"/>
      <scheme val="major"/>
    </font>
    <font>
      <sz val="12"/>
      <color theme="0"/>
      <name val="Times New Roman"/>
      <family val="1"/>
      <scheme val="major"/>
    </font>
    <font>
      <sz val="12"/>
      <color rgb="FF000000"/>
      <name val="Times New Roman"/>
      <family val="1"/>
      <scheme val="major"/>
    </font>
  </fonts>
  <fills count="45">
    <fill>
      <patternFill patternType="none"/>
    </fill>
    <fill>
      <patternFill patternType="gray125"/>
    </fill>
    <fill>
      <patternFill patternType="solid">
        <fgColor indexed="42"/>
        <bgColor indexed="24"/>
      </patternFill>
    </fill>
    <fill>
      <patternFill patternType="solid">
        <fgColor indexed="22"/>
        <bgColor indexed="22"/>
      </patternFill>
    </fill>
    <fill>
      <patternFill patternType="solid">
        <fgColor indexed="22"/>
        <bgColor indexed="64"/>
      </patternFill>
    </fill>
    <fill>
      <patternFill patternType="solid">
        <fgColor indexed="9"/>
        <bgColor indexed="64"/>
      </patternFill>
    </fill>
    <fill>
      <patternFill patternType="solid">
        <fgColor theme="8" tint="0.59999389629810485"/>
        <bgColor indexed="65"/>
      </patternFill>
    </fill>
    <fill>
      <patternFill patternType="solid">
        <fgColor rgb="FFFFCC99"/>
      </patternFill>
    </fill>
    <fill>
      <patternFill patternType="solid">
        <fgColor theme="8" tint="0.59999389629810485"/>
        <bgColor indexed="64"/>
      </patternFill>
    </fill>
    <fill>
      <patternFill patternType="solid">
        <fgColor theme="8" tint="0.59999389629810485"/>
        <bgColor indexed="24"/>
      </patternFill>
    </fill>
    <fill>
      <patternFill patternType="solid">
        <fgColor theme="8" tint="0.59999389629810485"/>
        <bgColor indexed="9"/>
      </patternFill>
    </fill>
    <fill>
      <patternFill patternType="solid">
        <fgColor rgb="FFFFFF00"/>
        <bgColor indexed="64"/>
      </patternFill>
    </fill>
    <fill>
      <patternFill patternType="solid">
        <fgColor theme="8" tint="0.79998168889431442"/>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BFBFBF"/>
        <bgColor rgb="FFBFBFBF"/>
      </patternFill>
    </fill>
    <fill>
      <patternFill patternType="solid">
        <fgColor theme="4" tint="0.59999389629810485"/>
        <bgColor rgb="FFBFBFBF"/>
      </patternFill>
    </fill>
    <fill>
      <patternFill patternType="solid">
        <fgColor theme="4" tint="0.59999389629810485"/>
        <bgColor indexed="64"/>
      </patternFill>
    </fill>
    <fill>
      <patternFill patternType="solid">
        <fgColor theme="9" tint="0.59999389629810485"/>
        <bgColor rgb="FFBFBFBF"/>
      </patternFill>
    </fill>
    <fill>
      <patternFill patternType="solid">
        <fgColor theme="9" tint="0.59999389629810485"/>
        <bgColor indexed="64"/>
      </patternFill>
    </fill>
    <fill>
      <patternFill patternType="solid">
        <fgColor rgb="FFD0CECE"/>
        <bgColor rgb="FFD0CECE"/>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2"/>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
      <patternFill patternType="solid">
        <fgColor theme="0" tint="-0.14999847407452621"/>
        <bgColor indexed="64"/>
      </patternFill>
    </fill>
  </fills>
  <borders count="140">
    <border>
      <left/>
      <right/>
      <top/>
      <bottom/>
      <diagonal/>
    </border>
    <border>
      <left style="thin">
        <color indexed="64"/>
      </left>
      <right style="thin">
        <color indexed="64"/>
      </right>
      <top style="double">
        <color indexed="64"/>
      </top>
      <bottom/>
      <diagonal/>
    </border>
    <border>
      <left/>
      <right/>
      <top style="double">
        <color indexed="0"/>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double">
        <color indexed="64"/>
      </top>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style="thin">
        <color indexed="64"/>
      </left>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style="dashed">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double">
        <color indexed="64"/>
      </top>
      <bottom style="thin">
        <color indexed="64"/>
      </bottom>
      <diagonal/>
    </border>
    <border>
      <left style="medium">
        <color indexed="64"/>
      </left>
      <right style="thin">
        <color indexed="64"/>
      </right>
      <top style="double">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double">
        <color indexed="64"/>
      </top>
      <bottom style="thin">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top/>
      <bottom style="dashed">
        <color indexed="64"/>
      </bottom>
      <diagonal/>
    </border>
    <border>
      <left/>
      <right style="thin">
        <color indexed="64"/>
      </right>
      <top/>
      <bottom style="dashed">
        <color indexed="64"/>
      </bottom>
      <diagonal/>
    </border>
    <border>
      <left style="medium">
        <color indexed="64"/>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medium">
        <color indexed="64"/>
      </top>
      <bottom/>
      <diagonal/>
    </border>
    <border>
      <left/>
      <right style="thin">
        <color indexed="64"/>
      </right>
      <top style="double">
        <color indexed="64"/>
      </top>
      <bottom style="thin">
        <color indexed="64"/>
      </bottom>
      <diagonal/>
    </border>
    <border>
      <left style="thin">
        <color indexed="32"/>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right/>
      <top style="double">
        <color indexed="64"/>
      </top>
      <bottom style="medium">
        <color indexed="64"/>
      </bottom>
      <diagonal/>
    </border>
    <border>
      <left style="thin">
        <color indexed="64"/>
      </left>
      <right style="thin">
        <color indexed="64"/>
      </right>
      <top style="medium">
        <color indexed="64"/>
      </top>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top style="double">
        <color auto="1"/>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auto="1"/>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indexed="64"/>
      </left>
      <right style="thin">
        <color rgb="FF000000"/>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bottom style="thick">
        <color theme="4" tint="0.499984740745262"/>
      </bottom>
      <diagonal/>
    </border>
    <border>
      <left/>
      <right style="thick">
        <color indexed="64"/>
      </right>
      <top/>
      <bottom style="double">
        <color indexed="64"/>
      </bottom>
      <diagonal/>
    </border>
    <border>
      <left/>
      <right style="thick">
        <color indexed="64"/>
      </right>
      <top style="double">
        <color indexed="64"/>
      </top>
      <bottom/>
      <diagonal/>
    </border>
    <border>
      <left style="thick">
        <color indexed="64"/>
      </left>
      <right/>
      <top style="double">
        <color indexed="64"/>
      </top>
      <bottom/>
      <diagonal/>
    </border>
    <border>
      <left style="thick">
        <color indexed="64"/>
      </left>
      <right/>
      <top/>
      <bottom style="double">
        <color indexed="64"/>
      </bottom>
      <diagonal/>
    </border>
    <border>
      <left/>
      <right style="medium">
        <color indexed="64"/>
      </right>
      <top style="double">
        <color indexed="64"/>
      </top>
      <bottom style="thin">
        <color indexed="64"/>
      </bottom>
      <diagonal/>
    </border>
  </borders>
  <cellStyleXfs count="341">
    <xf numFmtId="0" fontId="0" fillId="0" borderId="0">
      <alignment vertical="top"/>
    </xf>
    <xf numFmtId="0" fontId="3" fillId="6" borderId="0" applyNumberFormat="0" applyBorder="0" applyAlignment="0" applyProtection="0"/>
    <xf numFmtId="3" fontId="13" fillId="0" borderId="1" applyFont="0" applyFill="0" applyBorder="0" applyAlignment="0">
      <alignment vertical="top"/>
      <protection hidden="1"/>
    </xf>
    <xf numFmtId="172" fontId="9" fillId="0" borderId="1" applyFill="0" applyBorder="0" applyAlignment="0">
      <alignment vertical="top"/>
      <protection hidden="1"/>
    </xf>
    <xf numFmtId="4" fontId="20" fillId="0" borderId="0" applyFont="0" applyFill="0" applyBorder="0" applyAlignment="0" applyProtection="0"/>
    <xf numFmtId="43" fontId="29" fillId="0" borderId="0" applyFont="0" applyFill="0" applyBorder="0" applyAlignment="0" applyProtection="0"/>
    <xf numFmtId="43" fontId="20" fillId="0" borderId="0" applyFont="0" applyFill="0" applyBorder="0" applyAlignment="0" applyProtection="0"/>
    <xf numFmtId="4" fontId="20" fillId="0" borderId="0" applyFont="0" applyFill="0" applyBorder="0" applyAlignment="0" applyProtection="0"/>
    <xf numFmtId="3" fontId="20" fillId="0" borderId="0" applyFont="0" applyFill="0" applyBorder="0" applyAlignment="0" applyProtection="0"/>
    <xf numFmtId="0" fontId="25" fillId="0" borderId="0"/>
    <xf numFmtId="0" fontId="25" fillId="0" borderId="0"/>
    <xf numFmtId="0" fontId="25" fillId="0" borderId="0"/>
    <xf numFmtId="7" fontId="20" fillId="0" borderId="0" applyFont="0" applyFill="0" applyBorder="0" applyAlignment="0" applyProtection="0"/>
    <xf numFmtId="44" fontId="20" fillId="0" borderId="0" applyFont="0" applyFill="0" applyBorder="0" applyAlignment="0" applyProtection="0"/>
    <xf numFmtId="5" fontId="20" fillId="0" borderId="0" applyFont="0" applyFill="0" applyBorder="0" applyAlignment="0" applyProtection="0"/>
    <xf numFmtId="0" fontId="20" fillId="0" borderId="0" applyFont="0" applyFill="0" applyBorder="0" applyAlignment="0" applyProtection="0"/>
    <xf numFmtId="2" fontId="20" fillId="0" borderId="0" applyFont="0" applyFill="0" applyBorder="0" applyAlignment="0" applyProtection="0"/>
    <xf numFmtId="0" fontId="4" fillId="0" borderId="0" applyNumberFormat="0" applyFont="0" applyFill="0" applyAlignment="0" applyProtection="0"/>
    <xf numFmtId="0" fontId="5" fillId="0" borderId="0" applyNumberFormat="0" applyFont="0" applyFill="0" applyAlignment="0" applyProtection="0"/>
    <xf numFmtId="0" fontId="6" fillId="0" borderId="0" applyNumberFormat="0" applyFill="0" applyBorder="0" applyAlignment="0" applyProtection="0">
      <alignment vertical="top"/>
      <protection locked="0"/>
    </xf>
    <xf numFmtId="0" fontId="29" fillId="0" borderId="0"/>
    <xf numFmtId="0" fontId="20" fillId="0" borderId="0"/>
    <xf numFmtId="0" fontId="29" fillId="0" borderId="0"/>
    <xf numFmtId="10" fontId="20" fillId="0" borderId="0" applyFont="0" applyFill="0" applyBorder="0" applyAlignment="0"/>
    <xf numFmtId="9" fontId="29" fillId="0" borderId="0" applyFont="0" applyFill="0" applyBorder="0" applyAlignment="0" applyProtection="0"/>
    <xf numFmtId="0" fontId="25" fillId="0" borderId="0"/>
    <xf numFmtId="0" fontId="20" fillId="0" borderId="2" applyNumberFormat="0" applyFont="0" applyBorder="0" applyAlignment="0" applyProtection="0"/>
    <xf numFmtId="0" fontId="37" fillId="7" borderId="98" applyNumberFormat="0" applyAlignment="0" applyProtection="0"/>
    <xf numFmtId="0" fontId="38" fillId="0" borderId="0"/>
    <xf numFmtId="7" fontId="38" fillId="0" borderId="0" applyFont="0" applyFill="0" applyBorder="0" applyAlignment="0" applyProtection="0"/>
    <xf numFmtId="10" fontId="38" fillId="0" borderId="0" applyFont="0" applyFill="0" applyBorder="0" applyAlignment="0"/>
    <xf numFmtId="0" fontId="38" fillId="0" borderId="0">
      <alignment vertical="top"/>
    </xf>
    <xf numFmtId="7" fontId="38" fillId="0" borderId="0" applyFont="0" applyFill="0" applyBorder="0" applyAlignment="0" applyProtection="0"/>
    <xf numFmtId="9" fontId="38" fillId="0" borderId="0" applyFont="0" applyFill="0" applyBorder="0" applyAlignment="0" applyProtection="0"/>
    <xf numFmtId="175" fontId="38" fillId="0" borderId="0" applyFont="0" applyFill="0" applyBorder="0" applyAlignment="0" applyProtection="0"/>
    <xf numFmtId="0" fontId="45" fillId="0" borderId="0"/>
    <xf numFmtId="0" fontId="9" fillId="0" borderId="0"/>
    <xf numFmtId="9" fontId="9" fillId="0" borderId="0" applyFont="0" applyFill="0" applyBorder="0" applyAlignment="0" applyProtection="0"/>
    <xf numFmtId="178" fontId="9" fillId="0" borderId="0" applyFont="0" applyFill="0" applyBorder="0" applyAlignment="0" applyProtection="0"/>
    <xf numFmtId="0" fontId="9" fillId="0" borderId="0"/>
    <xf numFmtId="181" fontId="9" fillId="0" borderId="0" applyFont="0" applyFill="0" applyBorder="0" applyAlignment="0" applyProtection="0"/>
    <xf numFmtId="0" fontId="58" fillId="0" borderId="0"/>
    <xf numFmtId="0" fontId="2" fillId="0" borderId="0"/>
    <xf numFmtId="44" fontId="2" fillId="0" borderId="0" applyFont="0" applyFill="0" applyBorder="0" applyAlignment="0" applyProtection="0"/>
    <xf numFmtId="0" fontId="81" fillId="36" borderId="0" applyNumberFormat="0" applyBorder="0" applyAlignment="0" applyProtection="0"/>
    <xf numFmtId="0" fontId="81" fillId="37" borderId="0" applyNumberFormat="0" applyBorder="0" applyAlignment="0" applyProtection="0"/>
    <xf numFmtId="0" fontId="81" fillId="38" borderId="0" applyNumberFormat="0" applyBorder="0" applyAlignment="0" applyProtection="0"/>
    <xf numFmtId="0" fontId="81" fillId="36" borderId="0" applyNumberFormat="0" applyBorder="0" applyAlignment="0" applyProtection="0"/>
    <xf numFmtId="0" fontId="81" fillId="32" borderId="0" applyNumberFormat="0" applyBorder="0" applyAlignment="0" applyProtection="0"/>
    <xf numFmtId="0" fontId="81" fillId="35" borderId="0" applyNumberFormat="0" applyBorder="0" applyAlignment="0" applyProtection="0"/>
    <xf numFmtId="0" fontId="81" fillId="39" borderId="0" applyNumberFormat="0" applyBorder="0" applyAlignment="0" applyProtection="0"/>
    <xf numFmtId="0" fontId="81" fillId="29" borderId="0" applyNumberFormat="0" applyBorder="0" applyAlignment="0" applyProtection="0"/>
    <xf numFmtId="0" fontId="81" fillId="40" borderId="0" applyNumberFormat="0" applyBorder="0" applyAlignment="0" applyProtection="0"/>
    <xf numFmtId="0" fontId="81" fillId="39" borderId="0" applyNumberFormat="0" applyBorder="0" applyAlignment="0" applyProtection="0"/>
    <xf numFmtId="0" fontId="81" fillId="6" borderId="0" applyNumberFormat="0" applyBorder="0" applyAlignment="0" applyProtection="0"/>
    <xf numFmtId="0" fontId="81" fillId="37" borderId="0" applyNumberFormat="0" applyBorder="0" applyAlignment="0" applyProtection="0"/>
    <xf numFmtId="0" fontId="82" fillId="41" borderId="0" applyNumberFormat="0" applyBorder="0" applyAlignment="0" applyProtection="0"/>
    <xf numFmtId="0" fontId="82" fillId="30" borderId="0" applyNumberFormat="0" applyBorder="0" applyAlignment="0" applyProtection="0"/>
    <xf numFmtId="0" fontId="82" fillId="40" borderId="0" applyNumberFormat="0" applyBorder="0" applyAlignment="0" applyProtection="0"/>
    <xf numFmtId="0" fontId="82" fillId="39" borderId="0" applyNumberFormat="0" applyBorder="0" applyAlignment="0" applyProtection="0"/>
    <xf numFmtId="0" fontId="82" fillId="33" borderId="0" applyNumberFormat="0" applyBorder="0" applyAlignment="0" applyProtection="0"/>
    <xf numFmtId="0" fontId="82" fillId="37" borderId="0" applyNumberFormat="0" applyBorder="0" applyAlignment="0" applyProtection="0"/>
    <xf numFmtId="0" fontId="82" fillId="41" borderId="0" applyNumberFormat="0" applyBorder="0" applyAlignment="0" applyProtection="0"/>
    <xf numFmtId="0" fontId="82" fillId="42" borderId="0" applyNumberFormat="0" applyBorder="0" applyAlignment="0" applyProtection="0"/>
    <xf numFmtId="0" fontId="82" fillId="42" borderId="0" applyNumberFormat="0" applyBorder="0" applyAlignment="0" applyProtection="0"/>
    <xf numFmtId="0" fontId="82" fillId="43" borderId="0" applyNumberFormat="0" applyBorder="0" applyAlignment="0" applyProtection="0"/>
    <xf numFmtId="0" fontId="82" fillId="31" borderId="0" applyNumberFormat="0" applyBorder="0" applyAlignment="0" applyProtection="0"/>
    <xf numFmtId="0" fontId="82" fillId="34" borderId="0" applyNumberFormat="0" applyBorder="0" applyAlignment="0" applyProtection="0"/>
    <xf numFmtId="0" fontId="79" fillId="25" borderId="0" applyNumberFormat="0" applyBorder="0" applyAlignment="0" applyProtection="0"/>
    <xf numFmtId="0" fontId="83" fillId="36" borderId="98" applyNumberFormat="0" applyAlignment="0" applyProtection="0"/>
    <xf numFmtId="0" fontId="84" fillId="27" borderId="129" applyNumberFormat="0" applyAlignment="0" applyProtection="0"/>
    <xf numFmtId="41" fontId="78" fillId="0" borderId="0" applyFont="0" applyFill="0" applyBorder="0" applyAlignment="0" applyProtection="0"/>
    <xf numFmtId="43" fontId="78"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7"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181" fontId="9"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181" fontId="9"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1" fontId="9" fillId="0" borderId="0" applyFont="0" applyFill="0" applyBorder="0" applyAlignment="0" applyProtection="0"/>
    <xf numFmtId="184" fontId="77" fillId="0" borderId="0" applyFont="0" applyFill="0" applyBorder="0" applyAlignment="0" applyProtection="0"/>
    <xf numFmtId="18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4" fontId="1" fillId="0" borderId="0" applyFont="0" applyFill="0" applyBorder="0" applyAlignment="0" applyProtection="0"/>
    <xf numFmtId="181" fontId="9" fillId="0" borderId="0" applyFont="0" applyFill="0" applyBorder="0" applyAlignment="0" applyProtection="0"/>
    <xf numFmtId="184" fontId="1"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42" fontId="78" fillId="0" borderId="0" applyFont="0" applyFill="0" applyBorder="0" applyAlignment="0" applyProtection="0"/>
    <xf numFmtId="44" fontId="78"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178" fontId="9" fillId="0" borderId="0" applyFont="0" applyFill="0" applyBorder="0" applyAlignment="0" applyProtection="0"/>
    <xf numFmtId="44" fontId="78"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178" fontId="9"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8" fillId="0" borderId="0" applyFont="0" applyFill="0" applyBorder="0" applyAlignment="0" applyProtection="0"/>
    <xf numFmtId="178"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78" fillId="0" borderId="0" applyFont="0" applyFill="0" applyBorder="0" applyAlignment="0" applyProtection="0"/>
    <xf numFmtId="44"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83" fontId="58"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0" fontId="85" fillId="0" borderId="0" applyNumberFormat="0" applyFill="0" applyBorder="0" applyAlignment="0" applyProtection="0"/>
    <xf numFmtId="0" fontId="86" fillId="24" borderId="0" applyNumberFormat="0" applyBorder="0" applyAlignment="0" applyProtection="0"/>
    <xf numFmtId="0" fontId="80" fillId="0" borderId="131" applyNumberFormat="0" applyFill="0" applyAlignment="0" applyProtection="0"/>
    <xf numFmtId="0" fontId="80" fillId="0" borderId="134" applyNumberFormat="0" applyFill="0" applyAlignment="0" applyProtection="0"/>
    <xf numFmtId="0" fontId="80" fillId="0" borderId="132" applyNumberFormat="0" applyFill="0" applyAlignment="0" applyProtection="0"/>
    <xf numFmtId="0" fontId="80" fillId="0" borderId="0" applyNumberFormat="0" applyFill="0" applyBorder="0" applyAlignment="0" applyProtection="0"/>
    <xf numFmtId="0" fontId="87" fillId="7" borderId="98" applyNumberFormat="0" applyAlignment="0" applyProtection="0"/>
    <xf numFmtId="0" fontId="88" fillId="0" borderId="128" applyNumberFormat="0" applyFill="0" applyAlignment="0" applyProtection="0"/>
    <xf numFmtId="185" fontId="77" fillId="0" borderId="0" applyFont="0" applyFill="0" applyBorder="0" applyAlignment="0" applyProtection="0"/>
    <xf numFmtId="43" fontId="77" fillId="0" borderId="0" applyFont="0" applyFill="0" applyBorder="0" applyAlignment="0" applyProtection="0"/>
    <xf numFmtId="0" fontId="89" fillId="26" borderId="0" applyNumberFormat="0" applyBorder="0" applyAlignment="0" applyProtection="0"/>
    <xf numFmtId="0" fontId="9" fillId="0" borderId="0"/>
    <xf numFmtId="0" fontId="9" fillId="0" borderId="0"/>
    <xf numFmtId="0" fontId="81" fillId="0" borderId="0"/>
    <xf numFmtId="3" fontId="58" fillId="0" borderId="0"/>
    <xf numFmtId="0" fontId="9" fillId="0" borderId="0"/>
    <xf numFmtId="0" fontId="9" fillId="0" borderId="0"/>
    <xf numFmtId="0" fontId="1" fillId="0" borderId="0"/>
    <xf numFmtId="0" fontId="9" fillId="0" borderId="0"/>
    <xf numFmtId="0" fontId="1" fillId="0" borderId="0"/>
    <xf numFmtId="0" fontId="58" fillId="0" borderId="0"/>
    <xf numFmtId="0" fontId="78" fillId="28" borderId="130" applyNumberFormat="0" applyFont="0" applyAlignment="0" applyProtection="0"/>
    <xf numFmtId="0" fontId="90" fillId="36" borderId="127"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78" fillId="0" borderId="0" applyFont="0" applyFill="0" applyBorder="0" applyAlignment="0" applyProtection="0"/>
    <xf numFmtId="9" fontId="9" fillId="0" borderId="0" applyFont="0" applyFill="0" applyBorder="0" applyAlignment="0" applyProtection="0"/>
    <xf numFmtId="9" fontId="7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0" fontId="80" fillId="0" borderId="0" applyNumberFormat="0" applyFill="0" applyBorder="0" applyAlignment="0" applyProtection="0"/>
    <xf numFmtId="0" fontId="91" fillId="0" borderId="133" applyNumberFormat="0" applyFill="0" applyAlignment="0" applyProtection="0"/>
    <xf numFmtId="0" fontId="92" fillId="0" borderId="0" applyNumberFormat="0" applyFill="0" applyBorder="0" applyAlignment="0" applyProtection="0"/>
    <xf numFmtId="181" fontId="9" fillId="0" borderId="0" applyFont="0" applyFill="0" applyBorder="0" applyAlignment="0" applyProtection="0"/>
    <xf numFmtId="9" fontId="9" fillId="0" borderId="0" applyFont="0" applyFill="0" applyBorder="0" applyAlignment="0" applyProtection="0"/>
    <xf numFmtId="178" fontId="9" fillId="0" borderId="0" applyFont="0" applyFill="0" applyBorder="0" applyAlignment="0" applyProtection="0"/>
    <xf numFmtId="0" fontId="9" fillId="0" borderId="0"/>
    <xf numFmtId="181"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181" fontId="9" fillId="0" borderId="0" applyFont="0" applyFill="0" applyBorder="0" applyAlignment="0" applyProtection="0"/>
  </cellStyleXfs>
  <cellXfs count="1328">
    <xf numFmtId="0" fontId="0" fillId="0" borderId="0" xfId="0">
      <alignment vertical="top"/>
    </xf>
    <xf numFmtId="0" fontId="9" fillId="0" borderId="0" xfId="0" applyFont="1">
      <alignment vertical="top"/>
    </xf>
    <xf numFmtId="0" fontId="16" fillId="0" borderId="0" xfId="0" applyFont="1">
      <alignment vertical="top"/>
    </xf>
    <xf numFmtId="5" fontId="10" fillId="0" borderId="0" xfId="12" applyNumberFormat="1" applyFont="1" applyProtection="1"/>
    <xf numFmtId="0" fontId="16" fillId="0" borderId="0" xfId="0" applyFont="1" applyProtection="1">
      <alignment vertical="top"/>
      <protection locked="0"/>
    </xf>
    <xf numFmtId="0" fontId="9" fillId="0" borderId="0" xfId="0" applyFont="1" applyAlignment="1" applyProtection="1">
      <alignment horizontal="center" vertical="top"/>
      <protection locked="0"/>
    </xf>
    <xf numFmtId="0" fontId="7" fillId="0" borderId="0" xfId="0" applyFont="1">
      <alignment vertical="top"/>
    </xf>
    <xf numFmtId="0" fontId="15" fillId="0" borderId="0" xfId="0" applyFont="1" applyProtection="1">
      <alignment vertical="top"/>
      <protection locked="0"/>
    </xf>
    <xf numFmtId="0" fontId="10" fillId="0" borderId="0" xfId="0" applyFont="1" applyProtection="1">
      <alignment vertical="top"/>
      <protection locked="0"/>
    </xf>
    <xf numFmtId="0" fontId="9" fillId="0" borderId="0" xfId="0" applyFont="1" applyProtection="1">
      <alignment vertical="top"/>
      <protection locked="0"/>
    </xf>
    <xf numFmtId="0" fontId="8" fillId="0" borderId="0" xfId="0" applyFont="1" applyAlignment="1" applyProtection="1">
      <alignment horizontal="center"/>
      <protection locked="0"/>
    </xf>
    <xf numFmtId="3" fontId="10" fillId="0" borderId="0" xfId="0" applyNumberFormat="1" applyFont="1" applyProtection="1">
      <alignment vertical="top"/>
      <protection locked="0"/>
    </xf>
    <xf numFmtId="0" fontId="10" fillId="0" borderId="0" xfId="0" applyFont="1" applyAlignment="1" applyProtection="1">
      <alignment horizontal="center" vertical="top"/>
      <protection locked="0"/>
    </xf>
    <xf numFmtId="0" fontId="14" fillId="0" borderId="0" xfId="0" applyFont="1" applyProtection="1">
      <alignment vertical="top"/>
      <protection locked="0"/>
    </xf>
    <xf numFmtId="3" fontId="9" fillId="0" borderId="0" xfId="0" applyNumberFormat="1" applyFont="1" applyProtection="1">
      <alignment vertical="top"/>
      <protection locked="0"/>
    </xf>
    <xf numFmtId="0" fontId="17" fillId="0" borderId="0" xfId="0" applyFont="1" applyProtection="1">
      <alignment vertical="top"/>
      <protection locked="0"/>
    </xf>
    <xf numFmtId="0" fontId="13" fillId="0" borderId="0" xfId="0" applyFont="1" applyProtection="1">
      <alignment vertical="top"/>
      <protection locked="0"/>
    </xf>
    <xf numFmtId="3" fontId="9" fillId="0" borderId="0" xfId="0" applyNumberFormat="1" applyFont="1" applyAlignment="1" applyProtection="1">
      <alignment horizontal="center" vertical="top"/>
      <protection locked="0"/>
    </xf>
    <xf numFmtId="3" fontId="9" fillId="0" borderId="4" xfId="0" applyNumberFormat="1" applyFont="1" applyBorder="1" applyProtection="1">
      <alignment vertical="top"/>
      <protection locked="0"/>
    </xf>
    <xf numFmtId="0" fontId="8" fillId="0" borderId="0" xfId="0" applyFont="1" applyProtection="1">
      <alignment vertical="top"/>
      <protection locked="0"/>
    </xf>
    <xf numFmtId="0" fontId="8" fillId="0" borderId="11" xfId="0" applyFont="1" applyBorder="1" applyProtection="1">
      <alignment vertical="top"/>
      <protection locked="0"/>
    </xf>
    <xf numFmtId="9" fontId="9" fillId="0" borderId="4" xfId="23" applyNumberFormat="1" applyFont="1" applyFill="1" applyBorder="1" applyAlignment="1" applyProtection="1">
      <alignment horizontal="center" vertical="top"/>
      <protection locked="0"/>
    </xf>
    <xf numFmtId="9" fontId="9" fillId="0" borderId="14" xfId="23" applyNumberFormat="1" applyFont="1" applyFill="1" applyBorder="1" applyAlignment="1" applyProtection="1">
      <alignment horizontal="center" vertical="top"/>
      <protection locked="0"/>
    </xf>
    <xf numFmtId="3" fontId="9" fillId="0" borderId="4" xfId="0" applyNumberFormat="1" applyFont="1" applyBorder="1" applyAlignment="1" applyProtection="1">
      <alignment horizontal="center" vertical="top"/>
      <protection locked="0"/>
    </xf>
    <xf numFmtId="9" fontId="23" fillId="0" borderId="0" xfId="23" applyNumberFormat="1" applyFont="1" applyFill="1" applyAlignment="1" applyProtection="1">
      <alignment horizontal="center" vertical="top"/>
      <protection locked="0"/>
    </xf>
    <xf numFmtId="0" fontId="23" fillId="0" borderId="0" xfId="0" applyFont="1" applyAlignment="1" applyProtection="1">
      <alignment horizontal="center" vertical="top"/>
      <protection locked="0"/>
    </xf>
    <xf numFmtId="9" fontId="23" fillId="0" borderId="0" xfId="23" applyNumberFormat="1" applyFont="1" applyFill="1" applyAlignment="1" applyProtection="1">
      <alignment horizontal="right" vertical="top"/>
      <protection locked="0"/>
    </xf>
    <xf numFmtId="9" fontId="10" fillId="0" borderId="0" xfId="23" applyNumberFormat="1" applyFont="1" applyFill="1" applyAlignment="1" applyProtection="1">
      <alignment horizontal="center" vertical="top"/>
      <protection locked="0"/>
    </xf>
    <xf numFmtId="10" fontId="8" fillId="0" borderId="0" xfId="23" applyFont="1" applyFill="1" applyBorder="1" applyAlignment="1" applyProtection="1">
      <alignment vertical="top"/>
      <protection locked="0"/>
    </xf>
    <xf numFmtId="3" fontId="8" fillId="0" borderId="0" xfId="0" applyNumberFormat="1" applyFont="1" applyProtection="1">
      <alignment vertical="top"/>
      <protection locked="0"/>
    </xf>
    <xf numFmtId="0" fontId="20" fillId="0" borderId="0" xfId="21" applyProtection="1">
      <protection locked="0"/>
    </xf>
    <xf numFmtId="0" fontId="8" fillId="0" borderId="0" xfId="21" applyFont="1" applyProtection="1">
      <protection locked="0"/>
    </xf>
    <xf numFmtId="3" fontId="9" fillId="0" borderId="0" xfId="0" applyNumberFormat="1" applyFont="1">
      <alignment vertical="top"/>
    </xf>
    <xf numFmtId="0" fontId="10" fillId="0" borderId="0" xfId="0" applyFont="1">
      <alignment vertical="top"/>
    </xf>
    <xf numFmtId="0" fontId="10" fillId="0" borderId="14" xfId="0" applyFont="1" applyBorder="1">
      <alignment vertical="top"/>
    </xf>
    <xf numFmtId="10" fontId="10" fillId="0" borderId="0" xfId="12" applyNumberFormat="1" applyFont="1" applyProtection="1"/>
    <xf numFmtId="0" fontId="10" fillId="0" borderId="11" xfId="0" applyFont="1" applyBorder="1">
      <alignment vertical="top"/>
    </xf>
    <xf numFmtId="5" fontId="26" fillId="0" borderId="63" xfId="0" applyNumberFormat="1" applyFont="1" applyBorder="1">
      <alignment vertical="top"/>
    </xf>
    <xf numFmtId="5" fontId="0" fillId="0" borderId="0" xfId="0" applyNumberFormat="1">
      <alignment vertical="top"/>
    </xf>
    <xf numFmtId="0" fontId="8" fillId="0" borderId="14" xfId="0" applyFont="1" applyBorder="1" applyProtection="1">
      <alignment vertical="top"/>
      <protection locked="0"/>
    </xf>
    <xf numFmtId="0" fontId="8" fillId="0" borderId="21" xfId="0" applyFont="1" applyBorder="1" applyProtection="1">
      <alignment vertical="top"/>
      <protection locked="0"/>
    </xf>
    <xf numFmtId="9" fontId="9" fillId="0" borderId="4" xfId="0" applyNumberFormat="1" applyFont="1" applyBorder="1" applyAlignment="1" applyProtection="1">
      <alignment horizontal="center" vertical="top"/>
      <protection locked="0"/>
    </xf>
    <xf numFmtId="3" fontId="9" fillId="0" borderId="11" xfId="4" applyNumberFormat="1" applyFont="1" applyFill="1" applyBorder="1" applyAlignment="1" applyProtection="1">
      <alignment horizontal="right" vertical="top"/>
      <protection locked="0"/>
    </xf>
    <xf numFmtId="4" fontId="9" fillId="0" borderId="14" xfId="0" applyNumberFormat="1" applyFont="1" applyBorder="1" applyAlignment="1" applyProtection="1">
      <alignment horizontal="center" vertical="top"/>
      <protection locked="0"/>
    </xf>
    <xf numFmtId="0" fontId="9" fillId="0" borderId="4" xfId="0" applyFont="1" applyBorder="1" applyAlignment="1" applyProtection="1">
      <alignment horizontal="center" vertical="top"/>
      <protection locked="0"/>
    </xf>
    <xf numFmtId="2" fontId="8" fillId="0" borderId="23" xfId="23" applyNumberFormat="1" applyFont="1" applyFill="1" applyBorder="1" applyAlignment="1" applyProtection="1">
      <alignment horizontal="center" vertical="top"/>
      <protection locked="0"/>
    </xf>
    <xf numFmtId="0" fontId="8" fillId="0" borderId="27" xfId="0" applyFont="1" applyBorder="1" applyAlignment="1" applyProtection="1">
      <alignment horizontal="center" vertical="top"/>
      <protection locked="0"/>
    </xf>
    <xf numFmtId="3" fontId="8" fillId="0" borderId="24" xfId="4" applyNumberFormat="1" applyFont="1" applyFill="1" applyBorder="1" applyAlignment="1" applyProtection="1">
      <alignment horizontal="right" vertical="top"/>
      <protection locked="0"/>
    </xf>
    <xf numFmtId="3" fontId="8" fillId="0" borderId="11" xfId="4" applyNumberFormat="1" applyFont="1" applyFill="1" applyBorder="1" applyAlignment="1" applyProtection="1">
      <alignment horizontal="right" vertical="top"/>
      <protection locked="0"/>
    </xf>
    <xf numFmtId="0" fontId="12" fillId="0" borderId="15" xfId="0" applyFont="1" applyBorder="1" applyAlignment="1">
      <alignment horizontal="left" vertical="center" wrapText="1"/>
    </xf>
    <xf numFmtId="0" fontId="31" fillId="0" borderId="0" xfId="0" applyFont="1" applyAlignment="1">
      <alignment horizontal="right" vertical="top"/>
    </xf>
    <xf numFmtId="0" fontId="0" fillId="0" borderId="12" xfId="0" applyBorder="1">
      <alignment vertical="top"/>
    </xf>
    <xf numFmtId="0" fontId="12" fillId="0" borderId="0" xfId="0" applyFont="1">
      <alignment vertical="top"/>
    </xf>
    <xf numFmtId="0" fontId="35" fillId="0" borderId="0" xfId="0" applyFont="1">
      <alignment vertical="top"/>
    </xf>
    <xf numFmtId="0" fontId="12" fillId="0" borderId="12" xfId="0" applyFont="1" applyBorder="1" applyAlignment="1">
      <alignment vertical="top" wrapText="1"/>
    </xf>
    <xf numFmtId="0" fontId="12" fillId="0" borderId="48" xfId="0" applyFont="1" applyBorder="1" applyAlignment="1">
      <alignment vertical="center" wrapText="1"/>
    </xf>
    <xf numFmtId="0" fontId="12" fillId="0" borderId="33" xfId="0" applyFont="1" applyBorder="1" applyAlignment="1">
      <alignment vertical="center" wrapText="1"/>
    </xf>
    <xf numFmtId="0" fontId="12" fillId="0" borderId="49" xfId="0" applyFont="1" applyBorder="1" applyAlignment="1">
      <alignment vertical="center" wrapText="1"/>
    </xf>
    <xf numFmtId="0" fontId="12" fillId="0" borderId="71" xfId="0" applyFont="1" applyBorder="1" applyAlignment="1">
      <alignment vertical="center" wrapText="1"/>
    </xf>
    <xf numFmtId="0" fontId="12" fillId="0" borderId="40" xfId="0" applyFont="1" applyBorder="1" applyAlignment="1">
      <alignment vertical="center" wrapText="1"/>
    </xf>
    <xf numFmtId="0" fontId="12" fillId="0" borderId="12" xfId="0" applyFont="1" applyBorder="1" applyAlignment="1">
      <alignment vertical="center" wrapText="1"/>
    </xf>
    <xf numFmtId="0" fontId="12" fillId="0" borderId="26" xfId="0" applyFont="1" applyBorder="1" applyAlignment="1">
      <alignment horizontal="left" vertical="center" wrapText="1"/>
    </xf>
    <xf numFmtId="0" fontId="12" fillId="0" borderId="26" xfId="0" applyFont="1" applyBorder="1" applyAlignment="1">
      <alignment vertical="center" wrapText="1"/>
    </xf>
    <xf numFmtId="0" fontId="12" fillId="0" borderId="28" xfId="0" applyFont="1" applyBorder="1" applyAlignment="1">
      <alignment vertical="center" wrapText="1"/>
    </xf>
    <xf numFmtId="0" fontId="0" fillId="0" borderId="0" xfId="0" applyAlignment="1">
      <alignment vertical="center"/>
    </xf>
    <xf numFmtId="0" fontId="9" fillId="0" borderId="72" xfId="0" applyFont="1" applyBorder="1" applyAlignment="1">
      <alignment horizontal="right" vertical="center" wrapText="1"/>
    </xf>
    <xf numFmtId="0" fontId="12" fillId="0" borderId="11" xfId="0" applyFont="1" applyBorder="1" applyAlignment="1">
      <alignment vertical="center" wrapText="1"/>
    </xf>
    <xf numFmtId="0" fontId="12" fillId="0" borderId="0" xfId="0" applyFont="1" applyAlignment="1">
      <alignment vertical="center" wrapText="1"/>
    </xf>
    <xf numFmtId="0" fontId="33" fillId="0" borderId="0" xfId="0" applyFont="1" applyAlignment="1">
      <alignment vertical="center" wrapText="1"/>
    </xf>
    <xf numFmtId="0" fontId="33" fillId="0" borderId="12" xfId="0" applyFont="1" applyBorder="1" applyAlignment="1">
      <alignment vertical="center" wrapText="1"/>
    </xf>
    <xf numFmtId="0" fontId="30" fillId="0" borderId="0" xfId="0" applyFont="1" applyAlignment="1">
      <alignment vertical="center" wrapText="1"/>
    </xf>
    <xf numFmtId="0" fontId="35" fillId="0" borderId="0" xfId="0" applyFont="1" applyAlignment="1">
      <alignment vertical="center"/>
    </xf>
    <xf numFmtId="0" fontId="12" fillId="0" borderId="15" xfId="0" applyFont="1" applyBorder="1" applyAlignment="1">
      <alignment vertical="center" wrapText="1"/>
    </xf>
    <xf numFmtId="0" fontId="9" fillId="0" borderId="49" xfId="0" applyFont="1" applyBorder="1" applyAlignment="1">
      <alignment horizontal="right" vertical="center" wrapText="1"/>
    </xf>
    <xf numFmtId="0" fontId="0" fillId="0" borderId="49" xfId="0" applyBorder="1">
      <alignment vertical="top"/>
    </xf>
    <xf numFmtId="0" fontId="0" fillId="0" borderId="11" xfId="0" applyBorder="1">
      <alignment vertical="top"/>
    </xf>
    <xf numFmtId="0" fontId="8" fillId="0" borderId="0" xfId="0" applyFont="1">
      <alignment vertical="top"/>
    </xf>
    <xf numFmtId="0" fontId="8" fillId="0" borderId="11" xfId="0" applyFont="1" applyBorder="1">
      <alignment vertical="top"/>
    </xf>
    <xf numFmtId="0" fontId="33" fillId="0" borderId="11" xfId="0" applyFont="1" applyBorder="1" applyAlignment="1">
      <alignment vertical="center" wrapText="1"/>
    </xf>
    <xf numFmtId="0" fontId="35" fillId="0" borderId="0" xfId="0" applyFont="1" applyAlignment="1">
      <alignment horizontal="left" vertical="center"/>
    </xf>
    <xf numFmtId="0" fontId="35" fillId="0" borderId="0" xfId="0" applyFont="1" applyAlignment="1">
      <alignment horizontal="right" vertical="top"/>
    </xf>
    <xf numFmtId="0" fontId="34" fillId="0" borderId="11" xfId="0" applyFont="1" applyBorder="1" applyAlignment="1">
      <alignment vertical="center" wrapText="1"/>
    </xf>
    <xf numFmtId="0" fontId="34" fillId="0" borderId="0" xfId="0" applyFont="1" applyAlignment="1">
      <alignment vertical="center" wrapText="1"/>
    </xf>
    <xf numFmtId="0" fontId="34" fillId="0" borderId="45" xfId="0" applyFont="1" applyBorder="1" applyAlignment="1">
      <alignment vertical="center" wrapText="1"/>
    </xf>
    <xf numFmtId="0" fontId="12" fillId="0" borderId="15" xfId="0" applyFont="1" applyBorder="1" applyAlignment="1">
      <alignment horizontal="left" vertical="center" wrapText="1" indent="3"/>
    </xf>
    <xf numFmtId="0" fontId="12" fillId="0" borderId="72" xfId="0" applyFont="1" applyBorder="1" applyAlignment="1">
      <alignment vertical="center" wrapText="1"/>
    </xf>
    <xf numFmtId="0" fontId="0" fillId="2" borderId="0" xfId="0" applyFill="1">
      <alignment vertical="top"/>
    </xf>
    <xf numFmtId="0" fontId="36" fillId="0" borderId="0" xfId="0" applyFont="1">
      <alignment vertical="top"/>
    </xf>
    <xf numFmtId="0" fontId="0" fillId="0" borderId="0" xfId="0" applyProtection="1">
      <alignment vertical="top"/>
      <protection locked="0"/>
    </xf>
    <xf numFmtId="5" fontId="10" fillId="0" borderId="4" xfId="12" applyNumberFormat="1" applyFont="1" applyFill="1" applyBorder="1" applyProtection="1"/>
    <xf numFmtId="5" fontId="26" fillId="0" borderId="63" xfId="0" applyNumberFormat="1" applyFont="1" applyBorder="1" applyAlignment="1">
      <alignment horizontal="right"/>
    </xf>
    <xf numFmtId="5" fontId="27" fillId="0" borderId="63" xfId="0" applyNumberFormat="1" applyFont="1" applyBorder="1" applyAlignment="1">
      <alignment horizontal="center"/>
    </xf>
    <xf numFmtId="5" fontId="10" fillId="0" borderId="13" xfId="12" applyNumberFormat="1" applyFont="1" applyFill="1" applyBorder="1" applyProtection="1"/>
    <xf numFmtId="0" fontId="10" fillId="0" borderId="30" xfId="0" applyFont="1" applyBorder="1">
      <alignment vertical="top"/>
    </xf>
    <xf numFmtId="5" fontId="10" fillId="0" borderId="6" xfId="12" applyNumberFormat="1" applyFont="1" applyFill="1" applyBorder="1" applyProtection="1"/>
    <xf numFmtId="5" fontId="10" fillId="0" borderId="31" xfId="12" applyNumberFormat="1" applyFont="1" applyFill="1" applyBorder="1" applyProtection="1"/>
    <xf numFmtId="3" fontId="9" fillId="0" borderId="13" xfId="4" applyNumberFormat="1" applyFont="1" applyFill="1" applyBorder="1" applyAlignment="1" applyProtection="1">
      <alignment horizontal="right" vertical="top"/>
      <protection locked="0"/>
    </xf>
    <xf numFmtId="4" fontId="9" fillId="0" borderId="4" xfId="0" applyNumberFormat="1" applyFont="1" applyBorder="1" applyAlignment="1" applyProtection="1">
      <alignment horizontal="center" vertical="top"/>
      <protection locked="0"/>
    </xf>
    <xf numFmtId="3" fontId="8" fillId="0" borderId="27" xfId="4" applyNumberFormat="1" applyFont="1" applyFill="1" applyBorder="1" applyAlignment="1" applyProtection="1">
      <alignment horizontal="right" vertical="top"/>
      <protection locked="0"/>
    </xf>
    <xf numFmtId="2" fontId="8" fillId="0" borderId="27" xfId="23" applyNumberFormat="1" applyFont="1" applyFill="1" applyBorder="1" applyAlignment="1" applyProtection="1">
      <alignment horizontal="center" vertical="top"/>
      <protection locked="0"/>
    </xf>
    <xf numFmtId="0" fontId="12" fillId="9" borderId="78" xfId="0" applyFont="1" applyFill="1" applyBorder="1" applyAlignment="1">
      <alignment horizontal="left" vertical="center" wrapText="1" indent="1"/>
    </xf>
    <xf numFmtId="0" fontId="0" fillId="9" borderId="0" xfId="0" applyFill="1">
      <alignment vertical="top"/>
    </xf>
    <xf numFmtId="0" fontId="12" fillId="9" borderId="78" xfId="0" applyFont="1" applyFill="1" applyBorder="1" applyAlignment="1">
      <alignment vertical="center" wrapText="1"/>
    </xf>
    <xf numFmtId="0" fontId="12" fillId="9" borderId="28" xfId="0" applyFont="1" applyFill="1" applyBorder="1" applyAlignment="1">
      <alignment vertical="center" wrapText="1"/>
    </xf>
    <xf numFmtId="0" fontId="8" fillId="0" borderId="0" xfId="0" applyFont="1" applyAlignment="1" applyProtection="1">
      <alignment horizontal="center" vertical="top"/>
      <protection locked="0"/>
    </xf>
    <xf numFmtId="0" fontId="38" fillId="0" borderId="0" xfId="28" applyProtection="1">
      <protection locked="0"/>
    </xf>
    <xf numFmtId="0" fontId="8" fillId="0" borderId="0" xfId="28" applyFont="1" applyProtection="1">
      <protection locked="0"/>
    </xf>
    <xf numFmtId="0" fontId="39" fillId="0" borderId="0" xfId="28" applyFont="1" applyAlignment="1" applyProtection="1">
      <alignment horizontal="left" vertical="top" wrapText="1"/>
      <protection locked="0"/>
    </xf>
    <xf numFmtId="0" fontId="9" fillId="0" borderId="19" xfId="0" applyFont="1" applyBorder="1" applyAlignment="1">
      <alignment horizontal="center" vertical="top" wrapText="1"/>
    </xf>
    <xf numFmtId="0" fontId="9" fillId="0" borderId="3" xfId="0" applyFont="1" applyBorder="1" applyAlignment="1">
      <alignment horizontal="center" vertical="top"/>
    </xf>
    <xf numFmtId="0" fontId="9" fillId="0" borderId="20" xfId="0" applyFont="1" applyBorder="1" applyAlignment="1">
      <alignment horizontal="center" vertical="top" wrapText="1"/>
    </xf>
    <xf numFmtId="0" fontId="9" fillId="0" borderId="99" xfId="0" applyFont="1" applyBorder="1" applyAlignment="1">
      <alignment horizontal="right" vertical="top"/>
    </xf>
    <xf numFmtId="0" fontId="0" fillId="0" borderId="102" xfId="0" applyBorder="1">
      <alignment vertical="top"/>
    </xf>
    <xf numFmtId="166" fontId="0" fillId="0" borderId="99" xfId="0" applyNumberFormat="1" applyBorder="1">
      <alignment vertical="top"/>
    </xf>
    <xf numFmtId="0" fontId="0" fillId="0" borderId="99" xfId="0" applyBorder="1">
      <alignment vertical="top"/>
    </xf>
    <xf numFmtId="0" fontId="19" fillId="0" borderId="33" xfId="0" applyFont="1" applyBorder="1">
      <alignment vertical="top"/>
    </xf>
    <xf numFmtId="0" fontId="19" fillId="0" borderId="86" xfId="0" applyFont="1" applyBorder="1">
      <alignment vertical="top"/>
    </xf>
    <xf numFmtId="0" fontId="19" fillId="0" borderId="100" xfId="0" applyFont="1" applyBorder="1">
      <alignment vertical="top"/>
    </xf>
    <xf numFmtId="0" fontId="19" fillId="0" borderId="89" xfId="0" applyFont="1" applyBorder="1">
      <alignment vertical="top"/>
    </xf>
    <xf numFmtId="0" fontId="19" fillId="0" borderId="10" xfId="0" applyFont="1" applyBorder="1">
      <alignment vertical="top"/>
    </xf>
    <xf numFmtId="0" fontId="19" fillId="0" borderId="30" xfId="0" applyFont="1" applyBorder="1">
      <alignment vertical="top"/>
    </xf>
    <xf numFmtId="0" fontId="19" fillId="0" borderId="6" xfId="0" applyFont="1" applyBorder="1">
      <alignment vertical="top"/>
    </xf>
    <xf numFmtId="0" fontId="19" fillId="0" borderId="31" xfId="0" applyFont="1" applyBorder="1">
      <alignment vertical="top"/>
    </xf>
    <xf numFmtId="0" fontId="8" fillId="0" borderId="15" xfId="0" applyFont="1" applyBorder="1">
      <alignment vertical="top"/>
    </xf>
    <xf numFmtId="0" fontId="8" fillId="0" borderId="26" xfId="0" applyFont="1" applyBorder="1" applyAlignment="1">
      <alignment horizontal="center" vertical="top"/>
    </xf>
    <xf numFmtId="0" fontId="8" fillId="0" borderId="26" xfId="0" applyFont="1" applyBorder="1" applyAlignment="1">
      <alignment horizontal="center" vertical="top" wrapText="1"/>
    </xf>
    <xf numFmtId="0" fontId="8" fillId="0" borderId="23" xfId="0" applyFont="1" applyBorder="1" applyAlignment="1">
      <alignment horizontal="center" vertical="top" wrapText="1"/>
    </xf>
    <xf numFmtId="0" fontId="8" fillId="0" borderId="27" xfId="0" applyFont="1" applyBorder="1" applyAlignment="1">
      <alignment horizontal="center" vertical="top"/>
    </xf>
    <xf numFmtId="0" fontId="8" fillId="0" borderId="24" xfId="0" applyFont="1" applyBorder="1" applyAlignment="1">
      <alignment horizontal="center" vertical="top" wrapText="1"/>
    </xf>
    <xf numFmtId="0" fontId="8" fillId="0" borderId="0" xfId="0" applyFont="1" applyAlignment="1">
      <alignment horizontal="center" vertical="top"/>
    </xf>
    <xf numFmtId="0" fontId="8" fillId="0" borderId="0" xfId="0" applyFont="1" applyAlignment="1">
      <alignment horizontal="center" vertical="top" wrapText="1"/>
    </xf>
    <xf numFmtId="0" fontId="8" fillId="0" borderId="14" xfId="0" applyFont="1" applyBorder="1" applyAlignment="1">
      <alignment horizontal="center" vertical="top" wrapText="1"/>
    </xf>
    <xf numFmtId="0" fontId="8" fillId="0" borderId="4" xfId="0" applyFont="1" applyBorder="1" applyAlignment="1">
      <alignment horizontal="center" vertical="top"/>
    </xf>
    <xf numFmtId="0" fontId="8" fillId="0" borderId="13" xfId="0" applyFont="1" applyBorder="1" applyAlignment="1">
      <alignment horizontal="center" vertical="top" wrapText="1"/>
    </xf>
    <xf numFmtId="0" fontId="0" fillId="0" borderId="11" xfId="0" applyBorder="1" applyProtection="1">
      <alignment vertical="top"/>
      <protection locked="0"/>
    </xf>
    <xf numFmtId="5" fontId="38" fillId="0" borderId="4" xfId="29" applyNumberFormat="1" applyBorder="1" applyAlignment="1">
      <alignment vertical="top"/>
    </xf>
    <xf numFmtId="0" fontId="0" fillId="0" borderId="13" xfId="0" applyBorder="1">
      <alignment vertical="top"/>
    </xf>
    <xf numFmtId="0" fontId="0" fillId="0" borderId="0" xfId="0" applyAlignment="1" applyProtection="1">
      <alignment horizontal="right" vertical="top"/>
      <protection locked="0"/>
    </xf>
    <xf numFmtId="9" fontId="38" fillId="0" borderId="14" xfId="30" applyNumberFormat="1" applyBorder="1" applyAlignment="1" applyProtection="1">
      <alignment vertical="top"/>
      <protection locked="0"/>
    </xf>
    <xf numFmtId="5" fontId="38" fillId="0" borderId="5" xfId="29" applyNumberFormat="1" applyBorder="1" applyAlignment="1">
      <alignment vertical="top"/>
    </xf>
    <xf numFmtId="0" fontId="0" fillId="0" borderId="84" xfId="0" applyBorder="1" applyProtection="1">
      <alignment vertical="top"/>
      <protection locked="0"/>
    </xf>
    <xf numFmtId="9" fontId="38" fillId="0" borderId="90" xfId="30" applyNumberFormat="1" applyBorder="1" applyAlignment="1" applyProtection="1">
      <alignment vertical="top"/>
      <protection locked="0"/>
    </xf>
    <xf numFmtId="5" fontId="38" fillId="0" borderId="43" xfId="29" applyNumberFormat="1" applyBorder="1" applyAlignment="1">
      <alignment vertical="top"/>
    </xf>
    <xf numFmtId="0" fontId="0" fillId="0" borderId="0" xfId="0" applyAlignment="1">
      <alignment horizontal="right" vertical="top"/>
    </xf>
    <xf numFmtId="5" fontId="8" fillId="0" borderId="103" xfId="29" applyNumberFormat="1" applyFont="1" applyBorder="1" applyAlignment="1">
      <alignment vertical="top"/>
    </xf>
    <xf numFmtId="164" fontId="8" fillId="0" borderId="52" xfId="30" applyNumberFormat="1" applyFont="1" applyFill="1" applyBorder="1" applyAlignment="1">
      <alignment vertical="top"/>
    </xf>
    <xf numFmtId="5" fontId="8" fillId="0" borderId="43" xfId="0" applyNumberFormat="1" applyFont="1" applyBorder="1">
      <alignment vertical="top"/>
    </xf>
    <xf numFmtId="5" fontId="0" fillId="0" borderId="4" xfId="0" applyNumberFormat="1" applyBorder="1">
      <alignment vertical="top"/>
    </xf>
    <xf numFmtId="5" fontId="0" fillId="0" borderId="13" xfId="0" applyNumberFormat="1" applyBorder="1">
      <alignment vertical="top"/>
    </xf>
    <xf numFmtId="5" fontId="8" fillId="0" borderId="103" xfId="0" applyNumberFormat="1" applyFont="1" applyBorder="1">
      <alignment vertical="top"/>
    </xf>
    <xf numFmtId="164" fontId="8" fillId="0" borderId="41" xfId="30" applyNumberFormat="1" applyFont="1" applyBorder="1" applyAlignment="1">
      <alignment vertical="top"/>
    </xf>
    <xf numFmtId="5" fontId="8" fillId="0" borderId="5" xfId="0" applyNumberFormat="1" applyFont="1" applyBorder="1">
      <alignment vertical="top"/>
    </xf>
    <xf numFmtId="5" fontId="8" fillId="0" borderId="104" xfId="0" applyNumberFormat="1" applyFont="1" applyBorder="1">
      <alignment vertical="top"/>
    </xf>
    <xf numFmtId="164" fontId="8" fillId="0" borderId="18" xfId="30" applyNumberFormat="1" applyFont="1" applyBorder="1" applyAlignment="1">
      <alignment vertical="top"/>
    </xf>
    <xf numFmtId="5" fontId="8" fillId="0" borderId="9" xfId="0" applyNumberFormat="1" applyFont="1" applyBorder="1">
      <alignment vertical="top"/>
    </xf>
    <xf numFmtId="0" fontId="0" fillId="0" borderId="15" xfId="0" applyBorder="1">
      <alignment vertical="top"/>
    </xf>
    <xf numFmtId="0" fontId="0" fillId="0" borderId="26" xfId="0" applyBorder="1" applyAlignment="1">
      <alignment horizontal="right" vertical="top"/>
    </xf>
    <xf numFmtId="5" fontId="8" fillId="0" borderId="72" xfId="0" applyNumberFormat="1" applyFont="1" applyBorder="1">
      <alignment vertical="top"/>
    </xf>
    <xf numFmtId="164" fontId="8" fillId="0" borderId="23" xfId="30" applyNumberFormat="1" applyFont="1" applyBorder="1" applyAlignment="1">
      <alignment vertical="top"/>
    </xf>
    <xf numFmtId="5" fontId="0" fillId="0" borderId="27" xfId="0" applyNumberFormat="1" applyBorder="1">
      <alignment vertical="top"/>
    </xf>
    <xf numFmtId="174" fontId="0" fillId="0" borderId="24" xfId="0" applyNumberFormat="1" applyBorder="1">
      <alignment vertical="top"/>
    </xf>
    <xf numFmtId="5" fontId="8" fillId="0" borderId="40" xfId="0" applyNumberFormat="1" applyFont="1" applyBorder="1">
      <alignment vertical="top"/>
    </xf>
    <xf numFmtId="164" fontId="8" fillId="0" borderId="0" xfId="30" applyNumberFormat="1" applyFont="1" applyBorder="1" applyAlignment="1">
      <alignment vertical="top"/>
    </xf>
    <xf numFmtId="174" fontId="0" fillId="0" borderId="0" xfId="0" applyNumberFormat="1">
      <alignment vertical="top"/>
    </xf>
    <xf numFmtId="164" fontId="8" fillId="0" borderId="41" xfId="30" applyNumberFormat="1" applyFont="1" applyFill="1" applyBorder="1" applyAlignment="1">
      <alignment vertical="top"/>
    </xf>
    <xf numFmtId="0" fontId="0" fillId="0" borderId="26" xfId="0" applyBorder="1" applyProtection="1">
      <alignment vertical="top"/>
      <protection locked="0"/>
    </xf>
    <xf numFmtId="5" fontId="8" fillId="0" borderId="26" xfId="0" applyNumberFormat="1" applyFont="1" applyBorder="1">
      <alignment vertical="top"/>
    </xf>
    <xf numFmtId="0" fontId="0" fillId="0" borderId="33" xfId="0" applyBorder="1">
      <alignment vertical="top"/>
    </xf>
    <xf numFmtId="7" fontId="0" fillId="0" borderId="0" xfId="0" applyNumberFormat="1">
      <alignment vertical="top"/>
    </xf>
    <xf numFmtId="0" fontId="21" fillId="9" borderId="99" xfId="0" applyFont="1" applyFill="1" applyBorder="1" applyAlignment="1">
      <alignment horizontal="center" vertical="top" wrapText="1"/>
    </xf>
    <xf numFmtId="9" fontId="38" fillId="9" borderId="14" xfId="30" applyNumberFormat="1" applyFill="1" applyBorder="1" applyAlignment="1" applyProtection="1">
      <alignment vertical="top"/>
      <protection locked="0"/>
    </xf>
    <xf numFmtId="0" fontId="0" fillId="9" borderId="14" xfId="0" applyFill="1" applyBorder="1" applyProtection="1">
      <alignment vertical="top"/>
      <protection locked="0"/>
    </xf>
    <xf numFmtId="5" fontId="9" fillId="9" borderId="0" xfId="29" applyNumberFormat="1" applyFont="1" applyFill="1" applyBorder="1" applyAlignment="1" applyProtection="1">
      <alignment vertical="top"/>
      <protection locked="0"/>
    </xf>
    <xf numFmtId="0" fontId="10" fillId="0" borderId="0" xfId="21" applyFont="1" applyProtection="1">
      <protection locked="0"/>
    </xf>
    <xf numFmtId="5" fontId="9" fillId="0" borderId="0" xfId="0" applyNumberFormat="1" applyFont="1" applyProtection="1">
      <alignment vertical="top"/>
      <protection locked="0"/>
    </xf>
    <xf numFmtId="0" fontId="11" fillId="0" borderId="0" xfId="31" applyFont="1">
      <alignment vertical="top"/>
    </xf>
    <xf numFmtId="0" fontId="16" fillId="0" borderId="0" xfId="31" applyFont="1">
      <alignment vertical="top"/>
    </xf>
    <xf numFmtId="5" fontId="10" fillId="0" borderId="0" xfId="32" applyNumberFormat="1" applyFont="1" applyProtection="1"/>
    <xf numFmtId="0" fontId="10" fillId="0" borderId="0" xfId="31" applyFont="1">
      <alignment vertical="top"/>
    </xf>
    <xf numFmtId="0" fontId="7" fillId="0" borderId="0" xfId="31" applyFont="1">
      <alignment vertical="top"/>
    </xf>
    <xf numFmtId="5" fontId="10" fillId="0" borderId="4" xfId="32" applyNumberFormat="1" applyFont="1" applyBorder="1" applyProtection="1"/>
    <xf numFmtId="5" fontId="10" fillId="0" borderId="13" xfId="32" applyNumberFormat="1" applyFont="1" applyBorder="1" applyProtection="1"/>
    <xf numFmtId="0" fontId="19" fillId="0" borderId="14" xfId="31" applyFont="1" applyBorder="1">
      <alignment vertical="top"/>
    </xf>
    <xf numFmtId="0" fontId="10" fillId="0" borderId="14" xfId="31" applyFont="1" applyBorder="1" applyAlignment="1">
      <alignment horizontal="left" vertical="top" indent="2"/>
    </xf>
    <xf numFmtId="9" fontId="10" fillId="0" borderId="4" xfId="33" applyFont="1" applyBorder="1" applyProtection="1"/>
    <xf numFmtId="0" fontId="10" fillId="0" borderId="11" xfId="31" applyFont="1" applyBorder="1" applyAlignment="1">
      <alignment horizontal="left" vertical="top" indent="2"/>
    </xf>
    <xf numFmtId="0" fontId="18" fillId="0" borderId="0" xfId="31" applyFont="1">
      <alignment vertical="top"/>
    </xf>
    <xf numFmtId="5" fontId="10" fillId="0" borderId="60" xfId="32" applyNumberFormat="1" applyFont="1" applyBorder="1" applyProtection="1"/>
    <xf numFmtId="10" fontId="10" fillId="0" borderId="0" xfId="32" applyNumberFormat="1" applyFont="1" applyProtection="1"/>
    <xf numFmtId="0" fontId="22" fillId="9" borderId="41" xfId="31" applyFont="1" applyFill="1" applyBorder="1" applyAlignment="1">
      <alignment horizontal="left"/>
    </xf>
    <xf numFmtId="5" fontId="22" fillId="10" borderId="5" xfId="32" applyNumberFormat="1" applyFont="1" applyFill="1" applyBorder="1" applyProtection="1"/>
    <xf numFmtId="5" fontId="22" fillId="10" borderId="42" xfId="32" applyNumberFormat="1" applyFont="1" applyFill="1" applyBorder="1" applyProtection="1"/>
    <xf numFmtId="0" fontId="5" fillId="5" borderId="74" xfId="21" applyFont="1" applyFill="1" applyBorder="1" applyProtection="1">
      <protection locked="0"/>
    </xf>
    <xf numFmtId="0" fontId="5" fillId="0" borderId="19" xfId="21" applyFont="1" applyBorder="1" applyProtection="1">
      <protection locked="0"/>
    </xf>
    <xf numFmtId="3" fontId="5" fillId="0" borderId="3" xfId="21" applyNumberFormat="1" applyFont="1" applyBorder="1" applyProtection="1">
      <protection locked="0"/>
    </xf>
    <xf numFmtId="3" fontId="5" fillId="0" borderId="20" xfId="4" applyNumberFormat="1" applyFont="1" applyFill="1" applyBorder="1" applyAlignment="1" applyProtection="1">
      <alignment horizontal="right" vertical="top"/>
      <protection locked="0"/>
    </xf>
    <xf numFmtId="3" fontId="5" fillId="0" borderId="73" xfId="4" applyNumberFormat="1" applyFont="1" applyFill="1" applyBorder="1" applyAlignment="1" applyProtection="1">
      <alignment horizontal="right" vertical="top"/>
      <protection locked="0"/>
    </xf>
    <xf numFmtId="3" fontId="5" fillId="0" borderId="75" xfId="4" applyNumberFormat="1" applyFont="1" applyFill="1" applyBorder="1" applyAlignment="1" applyProtection="1">
      <alignment horizontal="right" vertical="top"/>
      <protection locked="0"/>
    </xf>
    <xf numFmtId="9" fontId="38" fillId="0" borderId="14" xfId="30" applyNumberFormat="1" applyFill="1" applyBorder="1" applyAlignment="1" applyProtection="1">
      <alignment vertical="top"/>
      <protection locked="0"/>
    </xf>
    <xf numFmtId="5" fontId="38" fillId="0" borderId="4" xfId="29" applyNumberFormat="1" applyFill="1" applyBorder="1" applyAlignment="1">
      <alignment vertical="top"/>
    </xf>
    <xf numFmtId="0" fontId="0" fillId="0" borderId="14" xfId="0" applyBorder="1" applyProtection="1">
      <alignment vertical="top"/>
      <protection locked="0"/>
    </xf>
    <xf numFmtId="164" fontId="8" fillId="0" borderId="14" xfId="30" applyNumberFormat="1" applyFont="1" applyFill="1" applyBorder="1" applyAlignment="1">
      <alignment vertical="top"/>
    </xf>
    <xf numFmtId="5" fontId="8" fillId="0" borderId="4" xfId="0" applyNumberFormat="1" applyFont="1" applyBorder="1">
      <alignment vertical="top"/>
    </xf>
    <xf numFmtId="164" fontId="8" fillId="0" borderId="14" xfId="30" applyNumberFormat="1" applyFont="1" applyBorder="1" applyAlignment="1">
      <alignment vertical="top"/>
    </xf>
    <xf numFmtId="0" fontId="5" fillId="8" borderId="14" xfId="0" applyFont="1" applyFill="1" applyBorder="1">
      <alignment vertical="top"/>
    </xf>
    <xf numFmtId="5" fontId="11" fillId="0" borderId="61" xfId="0" applyNumberFormat="1" applyFont="1" applyBorder="1">
      <alignment vertical="top"/>
    </xf>
    <xf numFmtId="5" fontId="11" fillId="0" borderId="45" xfId="0" applyNumberFormat="1" applyFont="1" applyBorder="1">
      <alignment vertical="top"/>
    </xf>
    <xf numFmtId="5" fontId="11" fillId="0" borderId="45" xfId="0" applyNumberFormat="1" applyFont="1" applyBorder="1" applyAlignment="1">
      <alignment horizontal="right"/>
    </xf>
    <xf numFmtId="0" fontId="9" fillId="0" borderId="62" xfId="0" applyFont="1" applyBorder="1">
      <alignment vertical="top"/>
    </xf>
    <xf numFmtId="0" fontId="9" fillId="0" borderId="63" xfId="0" applyFont="1" applyBorder="1">
      <alignment vertical="top"/>
    </xf>
    <xf numFmtId="5" fontId="9" fillId="0" borderId="63" xfId="0" applyNumberFormat="1" applyFont="1" applyBorder="1" applyAlignment="1">
      <alignment horizontal="centerContinuous"/>
    </xf>
    <xf numFmtId="5" fontId="9" fillId="0" borderId="64" xfId="0" applyNumberFormat="1" applyFont="1" applyBorder="1" applyAlignment="1">
      <alignment horizontal="centerContinuous"/>
    </xf>
    <xf numFmtId="0" fontId="32" fillId="3" borderId="62" xfId="0" applyFont="1" applyFill="1" applyBorder="1" applyAlignment="1">
      <alignment horizontal="centerContinuous"/>
    </xf>
    <xf numFmtId="0" fontId="32" fillId="3" borderId="63" xfId="0" applyFont="1" applyFill="1" applyBorder="1" applyAlignment="1">
      <alignment horizontal="centerContinuous"/>
    </xf>
    <xf numFmtId="0" fontId="32" fillId="3" borderId="64" xfId="0" applyFont="1" applyFill="1" applyBorder="1" applyAlignment="1">
      <alignment horizontal="centerContinuous"/>
    </xf>
    <xf numFmtId="5" fontId="32" fillId="0" borderId="61" xfId="0" applyNumberFormat="1" applyFont="1" applyBorder="1" applyAlignment="1">
      <alignment horizontal="centerContinuous"/>
    </xf>
    <xf numFmtId="5" fontId="32" fillId="0" borderId="45" xfId="0" applyNumberFormat="1" applyFont="1" applyBorder="1" applyAlignment="1">
      <alignment horizontal="centerContinuous"/>
    </xf>
    <xf numFmtId="5" fontId="32" fillId="0" borderId="67" xfId="0" applyNumberFormat="1" applyFont="1" applyBorder="1" applyAlignment="1">
      <alignment horizontal="centerContinuous"/>
    </xf>
    <xf numFmtId="5" fontId="12" fillId="0" borderId="62" xfId="0" applyNumberFormat="1" applyFont="1" applyBorder="1" applyAlignment="1">
      <alignment horizontal="centerContinuous"/>
    </xf>
    <xf numFmtId="5" fontId="12" fillId="0" borderId="63" xfId="0" applyNumberFormat="1" applyFont="1" applyBorder="1" applyAlignment="1">
      <alignment horizontal="centerContinuous"/>
    </xf>
    <xf numFmtId="5" fontId="12" fillId="0" borderId="62" xfId="0" applyNumberFormat="1" applyFont="1" applyBorder="1" applyAlignment="1">
      <alignment horizontal="center"/>
    </xf>
    <xf numFmtId="5" fontId="12" fillId="0" borderId="64" xfId="0" applyNumberFormat="1" applyFont="1" applyBorder="1" applyAlignment="1">
      <alignment horizontal="centerContinuous"/>
    </xf>
    <xf numFmtId="5" fontId="18" fillId="0" borderId="62" xfId="0" quotePrefix="1" applyNumberFormat="1" applyFont="1" applyBorder="1" applyAlignment="1">
      <alignment vertical="center"/>
    </xf>
    <xf numFmtId="0" fontId="9" fillId="8" borderId="63" xfId="0" applyFont="1" applyFill="1" applyBorder="1" applyAlignment="1">
      <alignment vertical="center" wrapText="1"/>
    </xf>
    <xf numFmtId="5" fontId="9" fillId="0" borderId="62" xfId="0" applyNumberFormat="1" applyFont="1" applyBorder="1" applyAlignment="1">
      <alignment horizontal="center" vertical="center"/>
    </xf>
    <xf numFmtId="5" fontId="12" fillId="0" borderId="62" xfId="0" applyNumberFormat="1" applyFont="1" applyBorder="1">
      <alignment vertical="top"/>
    </xf>
    <xf numFmtId="171" fontId="9" fillId="0" borderId="63" xfId="0" applyNumberFormat="1" applyFont="1" applyBorder="1" applyAlignment="1">
      <alignment vertical="center"/>
    </xf>
    <xf numFmtId="171" fontId="12" fillId="0" borderId="62" xfId="0" applyNumberFormat="1" applyFont="1" applyBorder="1">
      <alignment vertical="top"/>
    </xf>
    <xf numFmtId="171" fontId="9" fillId="0" borderId="63" xfId="4" applyNumberFormat="1" applyFont="1" applyBorder="1" applyAlignment="1">
      <alignment vertical="center" wrapText="1"/>
    </xf>
    <xf numFmtId="171" fontId="9" fillId="8" borderId="63" xfId="4" applyNumberFormat="1" applyFont="1" applyFill="1" applyBorder="1" applyAlignment="1">
      <alignment vertical="center"/>
    </xf>
    <xf numFmtId="5" fontId="9" fillId="0" borderId="62" xfId="0" applyNumberFormat="1" applyFont="1" applyBorder="1" applyAlignment="1">
      <alignment vertical="center"/>
    </xf>
    <xf numFmtId="5" fontId="9" fillId="0" borderId="64" xfId="0" applyNumberFormat="1" applyFont="1" applyBorder="1" applyAlignment="1">
      <alignment vertical="center"/>
    </xf>
    <xf numFmtId="49" fontId="11" fillId="8" borderId="63" xfId="0" applyNumberFormat="1" applyFont="1" applyFill="1" applyBorder="1" applyAlignment="1">
      <alignment vertical="center"/>
    </xf>
    <xf numFmtId="5" fontId="9" fillId="0" borderId="63" xfId="0" applyNumberFormat="1" applyFont="1" applyBorder="1" applyAlignment="1">
      <alignment vertical="center"/>
    </xf>
    <xf numFmtId="5" fontId="9" fillId="8" borderId="63" xfId="0" applyNumberFormat="1" applyFont="1" applyFill="1" applyBorder="1" applyAlignment="1">
      <alignment vertical="center"/>
    </xf>
    <xf numFmtId="5" fontId="8" fillId="0" borderId="45" xfId="0" applyNumberFormat="1" applyFont="1" applyBorder="1" applyAlignment="1">
      <alignment horizontal="right"/>
    </xf>
    <xf numFmtId="5" fontId="11" fillId="0" borderId="0" xfId="0" applyNumberFormat="1" applyFont="1">
      <alignment vertical="top"/>
    </xf>
    <xf numFmtId="5" fontId="8" fillId="0" borderId="0" xfId="0" applyNumberFormat="1" applyFont="1" applyAlignment="1">
      <alignment horizontal="center"/>
    </xf>
    <xf numFmtId="5" fontId="32" fillId="4" borderId="62" xfId="0" applyNumberFormat="1" applyFont="1" applyFill="1" applyBorder="1" applyAlignment="1">
      <alignment horizontal="centerContinuous"/>
    </xf>
    <xf numFmtId="5" fontId="32" fillId="4" borderId="63" xfId="0" applyNumberFormat="1" applyFont="1" applyFill="1" applyBorder="1" applyAlignment="1">
      <alignment horizontal="centerContinuous"/>
    </xf>
    <xf numFmtId="5" fontId="32" fillId="4" borderId="64" xfId="0" applyNumberFormat="1" applyFont="1" applyFill="1" applyBorder="1" applyAlignment="1">
      <alignment horizontal="centerContinuous"/>
    </xf>
    <xf numFmtId="5" fontId="11" fillId="0" borderId="16" xfId="0" applyNumberFormat="1" applyFont="1" applyBorder="1">
      <alignment vertical="top"/>
    </xf>
    <xf numFmtId="5" fontId="11" fillId="0" borderId="62" xfId="0" applyNumberFormat="1" applyFont="1" applyBorder="1" applyAlignment="1">
      <alignment horizontal="centerContinuous"/>
    </xf>
    <xf numFmtId="5" fontId="40" fillId="0" borderId="63" xfId="0" applyNumberFormat="1" applyFont="1" applyBorder="1" applyAlignment="1">
      <alignment horizontal="centerContinuous"/>
    </xf>
    <xf numFmtId="5" fontId="11" fillId="0" borderId="63" xfId="0" applyNumberFormat="1" applyFont="1" applyBorder="1" applyAlignment="1">
      <alignment horizontal="centerContinuous"/>
    </xf>
    <xf numFmtId="5" fontId="11" fillId="0" borderId="0" xfId="0" applyNumberFormat="1" applyFont="1" applyAlignment="1">
      <alignment horizontal="centerContinuous"/>
    </xf>
    <xf numFmtId="5" fontId="18" fillId="0" borderId="16" xfId="0" applyNumberFormat="1" applyFont="1" applyBorder="1" applyAlignment="1">
      <alignment horizontal="centerContinuous"/>
    </xf>
    <xf numFmtId="5" fontId="18" fillId="0" borderId="34" xfId="0" applyNumberFormat="1" applyFont="1" applyBorder="1" applyAlignment="1">
      <alignment horizontal="centerContinuous"/>
    </xf>
    <xf numFmtId="5" fontId="18" fillId="0" borderId="62" xfId="0" quotePrefix="1" applyNumberFormat="1" applyFont="1" applyBorder="1">
      <alignment vertical="top"/>
    </xf>
    <xf numFmtId="5" fontId="18" fillId="0" borderId="63" xfId="0" quotePrefix="1" applyNumberFormat="1" applyFont="1" applyBorder="1">
      <alignment vertical="top"/>
    </xf>
    <xf numFmtId="5" fontId="11" fillId="0" borderId="63" xfId="0" applyNumberFormat="1" applyFont="1" applyBorder="1">
      <alignment vertical="top"/>
    </xf>
    <xf numFmtId="1" fontId="11" fillId="0" borderId="62" xfId="0" quotePrefix="1" applyNumberFormat="1" applyFont="1" applyBorder="1" applyAlignment="1">
      <alignment horizontal="center"/>
    </xf>
    <xf numFmtId="49" fontId="9" fillId="0" borderId="63" xfId="0" applyNumberFormat="1" applyFont="1" applyBorder="1" applyAlignment="1">
      <alignment horizontal="center" vertical="center" wrapText="1" shrinkToFit="1"/>
    </xf>
    <xf numFmtId="1" fontId="11" fillId="0" borderId="63" xfId="0" applyNumberFormat="1" applyFont="1" applyBorder="1" applyAlignment="1">
      <alignment horizontal="center" vertical="center"/>
    </xf>
    <xf numFmtId="1" fontId="11" fillId="0" borderId="65" xfId="0" applyNumberFormat="1" applyFont="1" applyBorder="1" applyAlignment="1">
      <alignment horizontal="center" vertical="center"/>
    </xf>
    <xf numFmtId="5" fontId="11" fillId="0" borderId="62" xfId="0" quotePrefix="1" applyNumberFormat="1" applyFont="1" applyBorder="1" applyAlignment="1">
      <alignment horizontal="centerContinuous"/>
    </xf>
    <xf numFmtId="5" fontId="11" fillId="0" borderId="64" xfId="0" quotePrefix="1" applyNumberFormat="1" applyFont="1" applyBorder="1" applyAlignment="1">
      <alignment horizontal="centerContinuous"/>
    </xf>
    <xf numFmtId="5" fontId="18" fillId="0" borderId="62" xfId="0" applyNumberFormat="1" applyFont="1" applyBorder="1" applyAlignment="1">
      <alignment vertical="center"/>
    </xf>
    <xf numFmtId="5" fontId="8" fillId="0" borderId="63" xfId="0" applyNumberFormat="1" applyFont="1" applyBorder="1" applyAlignment="1">
      <alignment vertical="center"/>
    </xf>
    <xf numFmtId="5" fontId="11" fillId="0" borderId="63" xfId="0" applyNumberFormat="1" applyFont="1" applyBorder="1" applyAlignment="1">
      <alignment vertical="center"/>
    </xf>
    <xf numFmtId="5" fontId="9" fillId="0" borderId="47" xfId="0" applyNumberFormat="1" applyFont="1" applyBorder="1" applyAlignment="1">
      <alignment vertical="center"/>
    </xf>
    <xf numFmtId="0" fontId="11" fillId="0" borderId="63" xfId="0" applyFont="1" applyBorder="1" applyAlignment="1">
      <alignment vertical="center"/>
    </xf>
    <xf numFmtId="5" fontId="18" fillId="4" borderId="62" xfId="0" applyNumberFormat="1" applyFont="1" applyFill="1" applyBorder="1">
      <alignment vertical="top"/>
    </xf>
    <xf numFmtId="5" fontId="18" fillId="4" borderId="63" xfId="0" applyNumberFormat="1" applyFont="1" applyFill="1" applyBorder="1">
      <alignment vertical="top"/>
    </xf>
    <xf numFmtId="5" fontId="18" fillId="4" borderId="64" xfId="0" applyNumberFormat="1" applyFont="1" applyFill="1" applyBorder="1">
      <alignment vertical="top"/>
    </xf>
    <xf numFmtId="5" fontId="11" fillId="0" borderId="62" xfId="0" applyNumberFormat="1" applyFont="1" applyBorder="1" applyAlignment="1">
      <alignment vertical="center"/>
    </xf>
    <xf numFmtId="0" fontId="26" fillId="0" borderId="0" xfId="0" applyFont="1" applyAlignment="1">
      <alignment vertical="center"/>
    </xf>
    <xf numFmtId="5" fontId="32" fillId="4" borderId="66" xfId="0" applyNumberFormat="1" applyFont="1" applyFill="1" applyBorder="1" applyAlignment="1">
      <alignment horizontal="centerContinuous" vertical="center"/>
    </xf>
    <xf numFmtId="5" fontId="32" fillId="4" borderId="65" xfId="0" applyNumberFormat="1" applyFont="1" applyFill="1" applyBorder="1" applyAlignment="1">
      <alignment horizontal="centerContinuous" vertical="center"/>
    </xf>
    <xf numFmtId="5" fontId="32" fillId="4" borderId="47" xfId="0" applyNumberFormat="1" applyFont="1" applyFill="1" applyBorder="1" applyAlignment="1">
      <alignment horizontal="centerContinuous" vertical="center"/>
    </xf>
    <xf numFmtId="5" fontId="18" fillId="0" borderId="62" xfId="0" applyNumberFormat="1" applyFont="1" applyBorder="1" applyAlignment="1">
      <alignment horizontal="centerContinuous"/>
    </xf>
    <xf numFmtId="5" fontId="18" fillId="0" borderId="63" xfId="0" applyNumberFormat="1" applyFont="1" applyBorder="1" applyAlignment="1">
      <alignment horizontal="centerContinuous"/>
    </xf>
    <xf numFmtId="5" fontId="18" fillId="0" borderId="44" xfId="0" applyNumberFormat="1" applyFont="1" applyBorder="1" applyAlignment="1">
      <alignment horizontal="centerContinuous"/>
    </xf>
    <xf numFmtId="5" fontId="32" fillId="0" borderId="62" xfId="0" quotePrefix="1" applyNumberFormat="1" applyFont="1" applyBorder="1" applyAlignment="1">
      <alignment vertical="center"/>
    </xf>
    <xf numFmtId="5" fontId="12" fillId="0" borderId="63" xfId="0" applyNumberFormat="1" applyFont="1" applyBorder="1" applyAlignment="1">
      <alignment vertical="center"/>
    </xf>
    <xf numFmtId="5" fontId="32" fillId="4" borderId="62" xfId="0" applyNumberFormat="1" applyFont="1" applyFill="1" applyBorder="1" applyAlignment="1">
      <alignment horizontal="centerContinuous" vertical="center"/>
    </xf>
    <xf numFmtId="5" fontId="32" fillId="4" borderId="63" xfId="0" applyNumberFormat="1" applyFont="1" applyFill="1" applyBorder="1" applyAlignment="1">
      <alignment horizontal="centerContinuous" vertical="center"/>
    </xf>
    <xf numFmtId="5" fontId="32" fillId="4" borderId="64" xfId="0" applyNumberFormat="1" applyFont="1" applyFill="1" applyBorder="1" applyAlignment="1">
      <alignment horizontal="centerContinuous" vertical="center"/>
    </xf>
    <xf numFmtId="5" fontId="11" fillId="0" borderId="63" xfId="0" quotePrefix="1" applyNumberFormat="1" applyFont="1" applyBorder="1" applyAlignment="1">
      <alignment horizontal="centerContinuous"/>
    </xf>
    <xf numFmtId="5" fontId="11" fillId="0" borderId="44" xfId="0" applyNumberFormat="1" applyFont="1" applyBorder="1" applyAlignment="1">
      <alignment horizontal="centerContinuous"/>
    </xf>
    <xf numFmtId="8" fontId="9" fillId="0" borderId="62" xfId="0" applyNumberFormat="1" applyFont="1" applyBorder="1" applyAlignment="1">
      <alignment vertical="center"/>
    </xf>
    <xf numFmtId="5" fontId="9" fillId="0" borderId="66" xfId="0" applyNumberFormat="1" applyFont="1" applyBorder="1" applyAlignment="1">
      <alignment vertical="center"/>
    </xf>
    <xf numFmtId="5" fontId="9" fillId="0" borderId="5" xfId="0" applyNumberFormat="1" applyFont="1" applyBorder="1" applyAlignment="1">
      <alignment vertical="center"/>
    </xf>
    <xf numFmtId="5" fontId="41" fillId="0" borderId="62" xfId="0" applyNumberFormat="1" applyFont="1" applyBorder="1" applyAlignment="1">
      <alignment horizontal="centerContinuous" vertical="center"/>
    </xf>
    <xf numFmtId="5" fontId="41" fillId="0" borderId="63" xfId="0" applyNumberFormat="1" applyFont="1" applyBorder="1" applyAlignment="1">
      <alignment horizontal="centerContinuous" vertical="center"/>
    </xf>
    <xf numFmtId="5" fontId="40" fillId="0" borderId="63" xfId="0" applyNumberFormat="1" applyFont="1" applyBorder="1" applyAlignment="1">
      <alignment horizontal="centerContinuous" vertical="center"/>
    </xf>
    <xf numFmtId="5" fontId="40" fillId="0" borderId="64" xfId="0" applyNumberFormat="1" applyFont="1" applyBorder="1" applyAlignment="1">
      <alignment horizontal="centerContinuous" vertical="center"/>
    </xf>
    <xf numFmtId="5" fontId="18" fillId="0" borderId="64" xfId="0" applyNumberFormat="1" applyFont="1" applyBorder="1" applyAlignment="1">
      <alignment horizontal="centerContinuous"/>
    </xf>
    <xf numFmtId="1" fontId="12" fillId="0" borderId="63" xfId="0" applyNumberFormat="1" applyFont="1" applyBorder="1" applyAlignment="1">
      <alignment vertical="center"/>
    </xf>
    <xf numFmtId="1" fontId="12" fillId="0" borderId="63" xfId="0" quotePrefix="1" applyNumberFormat="1" applyFont="1" applyBorder="1" applyAlignment="1">
      <alignment vertical="center"/>
    </xf>
    <xf numFmtId="5" fontId="32" fillId="0" borderId="63" xfId="0" quotePrefix="1" applyNumberFormat="1" applyFont="1" applyBorder="1" applyAlignment="1">
      <alignment vertical="center"/>
    </xf>
    <xf numFmtId="0" fontId="12" fillId="0" borderId="63" xfId="0" applyFont="1" applyBorder="1" applyAlignment="1">
      <alignment vertical="center"/>
    </xf>
    <xf numFmtId="5" fontId="8" fillId="4" borderId="16" xfId="0" applyNumberFormat="1" applyFont="1" applyFill="1" applyBorder="1" applyAlignment="1">
      <alignment horizontal="centerContinuous" vertical="center"/>
    </xf>
    <xf numFmtId="5" fontId="8" fillId="4" borderId="0" xfId="0" applyNumberFormat="1" applyFont="1" applyFill="1" applyAlignment="1">
      <alignment horizontal="centerContinuous" vertical="center"/>
    </xf>
    <xf numFmtId="0" fontId="8" fillId="4" borderId="0" xfId="0" applyFont="1" applyFill="1" applyAlignment="1">
      <alignment horizontal="centerContinuous" vertical="center"/>
    </xf>
    <xf numFmtId="5" fontId="8" fillId="4" borderId="34" xfId="0" applyNumberFormat="1" applyFont="1" applyFill="1" applyBorder="1" applyAlignment="1">
      <alignment horizontal="centerContinuous" vertical="center"/>
    </xf>
    <xf numFmtId="5" fontId="32" fillId="0" borderId="61" xfId="0" quotePrefix="1" applyNumberFormat="1" applyFont="1" applyBorder="1">
      <alignment vertical="top"/>
    </xf>
    <xf numFmtId="5" fontId="32" fillId="0" borderId="45" xfId="0" quotePrefix="1" applyNumberFormat="1" applyFont="1" applyBorder="1">
      <alignment vertical="top"/>
    </xf>
    <xf numFmtId="5" fontId="12" fillId="0" borderId="45" xfId="0" applyNumberFormat="1" applyFont="1" applyBorder="1" applyAlignment="1">
      <alignment vertical="center"/>
    </xf>
    <xf numFmtId="171" fontId="12" fillId="0" borderId="45" xfId="12" applyNumberFormat="1" applyFont="1" applyBorder="1" applyAlignment="1">
      <alignment vertical="top" wrapText="1"/>
    </xf>
    <xf numFmtId="5" fontId="11" fillId="0" borderId="45" xfId="0" quotePrefix="1" applyNumberFormat="1" applyFont="1" applyBorder="1">
      <alignment vertical="top"/>
    </xf>
    <xf numFmtId="5" fontId="11" fillId="0" borderId="45" xfId="0" quotePrefix="1" applyNumberFormat="1" applyFont="1" applyBorder="1" applyAlignment="1">
      <alignment vertical="center"/>
    </xf>
    <xf numFmtId="5" fontId="11" fillId="0" borderId="67" xfId="0" applyNumberFormat="1" applyFont="1" applyBorder="1">
      <alignment vertical="top"/>
    </xf>
    <xf numFmtId="5" fontId="9" fillId="0" borderId="63" xfId="0" applyNumberFormat="1" applyFont="1" applyBorder="1" applyAlignment="1">
      <alignment vertical="top" wrapText="1"/>
    </xf>
    <xf numFmtId="5" fontId="11" fillId="0" borderId="63" xfId="0" quotePrefix="1" applyNumberFormat="1" applyFont="1" applyBorder="1">
      <alignment vertical="top"/>
    </xf>
    <xf numFmtId="5" fontId="11" fillId="0" borderId="63" xfId="0" quotePrefix="1" applyNumberFormat="1" applyFont="1" applyBorder="1" applyAlignment="1">
      <alignment vertical="center"/>
    </xf>
    <xf numFmtId="5" fontId="11" fillId="0" borderId="64" xfId="0" applyNumberFormat="1" applyFont="1" applyBorder="1">
      <alignment vertical="top"/>
    </xf>
    <xf numFmtId="5" fontId="32" fillId="0" borderId="62" xfId="0" quotePrefix="1" applyNumberFormat="1" applyFont="1" applyBorder="1">
      <alignment vertical="top"/>
    </xf>
    <xf numFmtId="5" fontId="32" fillId="0" borderId="63" xfId="0" applyNumberFormat="1" applyFont="1" applyBorder="1">
      <alignment vertical="top"/>
    </xf>
    <xf numFmtId="5" fontId="12" fillId="0" borderId="63" xfId="0" applyNumberFormat="1" applyFont="1" applyBorder="1">
      <alignment vertical="top"/>
    </xf>
    <xf numFmtId="5" fontId="12" fillId="0" borderId="64" xfId="0" applyNumberFormat="1" applyFont="1" applyBorder="1">
      <alignment vertical="top"/>
    </xf>
    <xf numFmtId="5" fontId="11" fillId="0" borderId="0" xfId="0" quotePrefix="1" applyNumberFormat="1" applyFont="1">
      <alignment vertical="top"/>
    </xf>
    <xf numFmtId="5" fontId="9" fillId="0" borderId="0" xfId="0" applyNumberFormat="1" applyFont="1">
      <alignment vertical="top"/>
    </xf>
    <xf numFmtId="5" fontId="11" fillId="0" borderId="0" xfId="0" applyNumberFormat="1" applyFont="1" applyAlignment="1">
      <alignment horizontal="right" vertical="top"/>
    </xf>
    <xf numFmtId="5" fontId="9" fillId="1" borderId="0" xfId="0" applyNumberFormat="1" applyFont="1" applyFill="1">
      <alignment vertical="top"/>
    </xf>
    <xf numFmtId="0" fontId="5" fillId="0" borderId="0" xfId="0" applyFont="1" applyProtection="1">
      <alignment vertical="top"/>
      <protection locked="0"/>
    </xf>
    <xf numFmtId="0" fontId="9" fillId="0" borderId="13" xfId="0" applyFont="1" applyBorder="1" applyProtection="1">
      <alignment vertical="top"/>
      <protection locked="0"/>
    </xf>
    <xf numFmtId="0" fontId="10" fillId="0" borderId="90" xfId="31" applyFont="1" applyBorder="1" applyAlignment="1">
      <alignment horizontal="left" vertical="top" indent="2"/>
    </xf>
    <xf numFmtId="5" fontId="10" fillId="0" borderId="44" xfId="32" applyNumberFormat="1" applyFont="1" applyBorder="1" applyProtection="1"/>
    <xf numFmtId="5" fontId="10" fillId="0" borderId="91" xfId="32" applyNumberFormat="1" applyFont="1" applyBorder="1" applyProtection="1"/>
    <xf numFmtId="0" fontId="10" fillId="0" borderId="52" xfId="31" applyFont="1" applyBorder="1" applyAlignment="1">
      <alignment horizontal="left" vertical="top" indent="2"/>
    </xf>
    <xf numFmtId="5" fontId="10" fillId="0" borderId="43" xfId="32" applyNumberFormat="1" applyFont="1" applyBorder="1" applyProtection="1"/>
    <xf numFmtId="0" fontId="10" fillId="0" borderId="41" xfId="31" applyFont="1" applyBorder="1" applyAlignment="1">
      <alignment horizontal="left" vertical="top" indent="1"/>
    </xf>
    <xf numFmtId="5" fontId="10" fillId="0" borderId="5" xfId="32" applyNumberFormat="1" applyFont="1" applyBorder="1" applyProtection="1"/>
    <xf numFmtId="5" fontId="10" fillId="0" borderId="42" xfId="32" applyNumberFormat="1" applyFont="1" applyBorder="1" applyProtection="1"/>
    <xf numFmtId="0" fontId="10" fillId="0" borderId="105" xfId="31" applyFont="1" applyBorder="1">
      <alignment vertical="top"/>
    </xf>
    <xf numFmtId="5" fontId="10" fillId="0" borderId="45" xfId="32" applyNumberFormat="1" applyFont="1" applyBorder="1" applyProtection="1"/>
    <xf numFmtId="0" fontId="10" fillId="0" borderId="73" xfId="21" applyFont="1" applyBorder="1" applyProtection="1">
      <protection locked="0"/>
    </xf>
    <xf numFmtId="0" fontId="5" fillId="0" borderId="73" xfId="21" applyFont="1" applyBorder="1" applyProtection="1">
      <protection locked="0"/>
    </xf>
    <xf numFmtId="0" fontId="10" fillId="0" borderId="4" xfId="21" applyFont="1" applyBorder="1" applyProtection="1">
      <protection locked="0"/>
    </xf>
    <xf numFmtId="3" fontId="10" fillId="0" borderId="4" xfId="4" applyNumberFormat="1" applyFont="1" applyFill="1" applyBorder="1" applyAlignment="1" applyProtection="1">
      <alignment horizontal="center" vertical="top"/>
      <protection locked="0"/>
    </xf>
    <xf numFmtId="0" fontId="10" fillId="0" borderId="27" xfId="21" applyFont="1" applyBorder="1" applyProtection="1">
      <protection locked="0"/>
    </xf>
    <xf numFmtId="0" fontId="5" fillId="0" borderId="27" xfId="21" applyFont="1" applyBorder="1" applyProtection="1">
      <protection locked="0"/>
    </xf>
    <xf numFmtId="0" fontId="10" fillId="0" borderId="3" xfId="21" applyFont="1" applyBorder="1" applyProtection="1">
      <protection locked="0"/>
    </xf>
    <xf numFmtId="0" fontId="5" fillId="0" borderId="3" xfId="21" applyFont="1" applyBorder="1" applyProtection="1">
      <protection locked="0"/>
    </xf>
    <xf numFmtId="3" fontId="5" fillId="0" borderId="73" xfId="4" applyNumberFormat="1" applyFont="1" applyFill="1" applyBorder="1" applyAlignment="1" applyProtection="1">
      <alignment horizontal="center" vertical="top"/>
      <protection locked="0"/>
    </xf>
    <xf numFmtId="0" fontId="5" fillId="5" borderId="101" xfId="21" applyFont="1" applyFill="1" applyBorder="1" applyProtection="1">
      <protection locked="0"/>
    </xf>
    <xf numFmtId="0" fontId="10" fillId="0" borderId="99" xfId="21" applyFont="1" applyBorder="1" applyProtection="1">
      <protection locked="0"/>
    </xf>
    <xf numFmtId="170" fontId="5" fillId="0" borderId="99" xfId="21" applyNumberFormat="1" applyFont="1" applyBorder="1" applyAlignment="1" applyProtection="1">
      <alignment horizontal="center"/>
      <protection locked="0"/>
    </xf>
    <xf numFmtId="0" fontId="5" fillId="0" borderId="99" xfId="21" applyFont="1" applyBorder="1" applyProtection="1">
      <protection locked="0"/>
    </xf>
    <xf numFmtId="170" fontId="5" fillId="0" borderId="102" xfId="21" applyNumberFormat="1" applyFont="1" applyBorder="1" applyAlignment="1" applyProtection="1">
      <alignment horizontal="center"/>
      <protection locked="0"/>
    </xf>
    <xf numFmtId="0" fontId="10" fillId="0" borderId="26" xfId="31" applyFont="1" applyBorder="1">
      <alignment vertical="top"/>
    </xf>
    <xf numFmtId="5" fontId="10" fillId="0" borderId="26" xfId="32" applyNumberFormat="1" applyFont="1" applyBorder="1" applyProtection="1"/>
    <xf numFmtId="0" fontId="10" fillId="0" borderId="21" xfId="31" applyFont="1" applyBorder="1">
      <alignment vertical="top"/>
    </xf>
    <xf numFmtId="5" fontId="10" fillId="0" borderId="1" xfId="32" applyNumberFormat="1" applyFont="1" applyBorder="1" applyProtection="1"/>
    <xf numFmtId="5" fontId="10" fillId="0" borderId="22" xfId="32" applyNumberFormat="1" applyFont="1" applyBorder="1" applyProtection="1"/>
    <xf numFmtId="0" fontId="10" fillId="0" borderId="11" xfId="31" applyFont="1" applyBorder="1">
      <alignment vertical="top"/>
    </xf>
    <xf numFmtId="0" fontId="10" fillId="0" borderId="26" xfId="0" applyFont="1" applyBorder="1">
      <alignment vertical="top"/>
    </xf>
    <xf numFmtId="5" fontId="10" fillId="0" borderId="26" xfId="12" applyNumberFormat="1" applyFont="1" applyBorder="1" applyProtection="1"/>
    <xf numFmtId="0" fontId="10" fillId="0" borderId="21" xfId="0" applyFont="1" applyBorder="1">
      <alignment vertical="top"/>
    </xf>
    <xf numFmtId="5" fontId="10" fillId="0" borderId="1" xfId="12" applyNumberFormat="1" applyFont="1" applyBorder="1" applyProtection="1"/>
    <xf numFmtId="5" fontId="10" fillId="0" borderId="22" xfId="12" applyNumberFormat="1" applyFont="1" applyBorder="1" applyProtection="1"/>
    <xf numFmtId="0" fontId="10" fillId="0" borderId="108" xfId="0" applyFont="1" applyBorder="1">
      <alignment vertical="top"/>
    </xf>
    <xf numFmtId="5" fontId="10" fillId="0" borderId="108" xfId="12" applyNumberFormat="1" applyFont="1" applyBorder="1" applyProtection="1"/>
    <xf numFmtId="170" fontId="21" fillId="0" borderId="37" xfId="12" applyNumberFormat="1" applyFont="1" applyBorder="1" applyAlignment="1" applyProtection="1">
      <alignment horizontal="center" wrapText="1"/>
    </xf>
    <xf numFmtId="170" fontId="21" fillId="0" borderId="38" xfId="12" applyNumberFormat="1" applyFont="1" applyBorder="1" applyAlignment="1" applyProtection="1">
      <alignment horizontal="center" wrapText="1"/>
    </xf>
    <xf numFmtId="170" fontId="21" fillId="0" borderId="11" xfId="12" applyNumberFormat="1" applyFont="1" applyBorder="1" applyAlignment="1" applyProtection="1">
      <alignment horizontal="center" wrapText="1"/>
    </xf>
    <xf numFmtId="170" fontId="21" fillId="0" borderId="59" xfId="12" applyNumberFormat="1" applyFont="1" applyBorder="1" applyAlignment="1" applyProtection="1">
      <alignment horizontal="center" wrapText="1"/>
    </xf>
    <xf numFmtId="0" fontId="10" fillId="0" borderId="55" xfId="0" applyFont="1" applyBorder="1">
      <alignment vertical="top"/>
    </xf>
    <xf numFmtId="0" fontId="10" fillId="0" borderId="57" xfId="0" applyFont="1" applyBorder="1">
      <alignment vertical="top"/>
    </xf>
    <xf numFmtId="3" fontId="42" fillId="0" borderId="0" xfId="0" applyNumberFormat="1" applyFont="1">
      <alignment vertical="top"/>
    </xf>
    <xf numFmtId="0" fontId="10" fillId="0" borderId="100" xfId="21" applyFont="1" applyBorder="1" applyProtection="1">
      <protection locked="0"/>
    </xf>
    <xf numFmtId="3" fontId="10" fillId="0" borderId="4" xfId="4" applyNumberFormat="1" applyFont="1" applyFill="1" applyBorder="1" applyAlignment="1" applyProtection="1">
      <alignment horizontal="right" vertical="top"/>
      <protection locked="0"/>
    </xf>
    <xf numFmtId="3" fontId="5" fillId="0" borderId="13" xfId="4" applyNumberFormat="1" applyFont="1" applyFill="1" applyBorder="1" applyAlignment="1" applyProtection="1">
      <alignment horizontal="right" vertical="top"/>
      <protection locked="0"/>
    </xf>
    <xf numFmtId="0" fontId="10" fillId="0" borderId="4" xfId="21" applyFont="1" applyBorder="1" applyAlignment="1" applyProtection="1">
      <alignment horizontal="right"/>
      <protection locked="0"/>
    </xf>
    <xf numFmtId="0" fontId="10" fillId="0" borderId="27" xfId="21" applyFont="1" applyBorder="1" applyAlignment="1" applyProtection="1">
      <alignment horizontal="right"/>
      <protection locked="0"/>
    </xf>
    <xf numFmtId="3" fontId="5" fillId="0" borderId="24" xfId="4" applyNumberFormat="1" applyFont="1" applyFill="1" applyBorder="1" applyAlignment="1" applyProtection="1">
      <alignment horizontal="right" vertical="top"/>
      <protection locked="0"/>
    </xf>
    <xf numFmtId="0" fontId="10" fillId="0" borderId="14" xfId="21" applyFont="1" applyBorder="1" applyProtection="1">
      <protection locked="0"/>
    </xf>
    <xf numFmtId="0" fontId="5" fillId="0" borderId="14" xfId="21" applyFont="1" applyBorder="1" applyProtection="1">
      <protection locked="0"/>
    </xf>
    <xf numFmtId="0" fontId="10" fillId="0" borderId="23" xfId="21" applyFont="1" applyBorder="1" applyProtection="1">
      <protection locked="0"/>
    </xf>
    <xf numFmtId="170" fontId="5" fillId="0" borderId="100" xfId="21" applyNumberFormat="1" applyFont="1" applyBorder="1" applyAlignment="1" applyProtection="1">
      <alignment horizontal="center"/>
      <protection locked="0"/>
    </xf>
    <xf numFmtId="0" fontId="5" fillId="0" borderId="100" xfId="21" applyFont="1" applyBorder="1" applyProtection="1">
      <protection locked="0"/>
    </xf>
    <xf numFmtId="170" fontId="5" fillId="0" borderId="89" xfId="21" applyNumberFormat="1" applyFont="1" applyBorder="1" applyAlignment="1" applyProtection="1">
      <alignment horizontal="center"/>
      <protection locked="0"/>
    </xf>
    <xf numFmtId="0" fontId="5" fillId="0" borderId="86" xfId="21" applyFont="1" applyBorder="1" applyProtection="1">
      <protection locked="0"/>
    </xf>
    <xf numFmtId="0" fontId="22" fillId="0" borderId="14" xfId="0" applyFont="1" applyBorder="1" applyProtection="1">
      <alignment vertical="top"/>
      <protection locked="0"/>
    </xf>
    <xf numFmtId="0" fontId="9" fillId="0" borderId="14" xfId="0" applyFont="1" applyBorder="1" applyAlignment="1" applyProtection="1">
      <alignment horizontal="left" vertical="top" indent="1"/>
      <protection locked="0"/>
    </xf>
    <xf numFmtId="0" fontId="21" fillId="0" borderId="14" xfId="23" applyNumberFormat="1" applyFont="1" applyFill="1" applyBorder="1" applyAlignment="1" applyProtection="1">
      <alignment horizontal="left" vertical="top"/>
      <protection locked="0"/>
    </xf>
    <xf numFmtId="0" fontId="21" fillId="0" borderId="23" xfId="0" applyFont="1" applyBorder="1" applyProtection="1">
      <alignment vertical="top"/>
      <protection locked="0"/>
    </xf>
    <xf numFmtId="0" fontId="8" fillId="0" borderId="24" xfId="0" applyFont="1" applyBorder="1" applyProtection="1">
      <alignment vertical="top"/>
      <protection locked="0"/>
    </xf>
    <xf numFmtId="0" fontId="9" fillId="0" borderId="33" xfId="0" applyFont="1" applyBorder="1" applyProtection="1">
      <alignment vertical="top"/>
      <protection locked="0"/>
    </xf>
    <xf numFmtId="0" fontId="10" fillId="0" borderId="14" xfId="21" quotePrefix="1" applyFont="1" applyBorder="1" applyProtection="1">
      <protection locked="0"/>
    </xf>
    <xf numFmtId="0" fontId="5" fillId="0" borderId="116" xfId="21" applyFont="1" applyBorder="1" applyProtection="1">
      <protection locked="0"/>
    </xf>
    <xf numFmtId="0" fontId="10" fillId="0" borderId="34" xfId="21" applyFont="1" applyBorder="1" applyProtection="1">
      <protection locked="0"/>
    </xf>
    <xf numFmtId="0" fontId="10" fillId="0" borderId="77" xfId="21" applyFont="1" applyBorder="1" applyProtection="1">
      <protection locked="0"/>
    </xf>
    <xf numFmtId="0" fontId="10" fillId="0" borderId="4" xfId="21" quotePrefix="1" applyFont="1" applyBorder="1" applyProtection="1">
      <protection locked="0"/>
    </xf>
    <xf numFmtId="0" fontId="18" fillId="0" borderId="0" xfId="0" applyFont="1">
      <alignment vertical="top"/>
    </xf>
    <xf numFmtId="0" fontId="11" fillId="0" borderId="0" xfId="0" applyFont="1">
      <alignment vertical="top"/>
    </xf>
    <xf numFmtId="0" fontId="8" fillId="0" borderId="63" xfId="0" applyFont="1" applyBorder="1" applyAlignment="1">
      <alignment horizontal="center" vertical="top" wrapText="1"/>
    </xf>
    <xf numFmtId="0" fontId="18" fillId="0" borderId="0" xfId="0" applyFont="1" applyAlignment="1">
      <alignment vertical="center" wrapText="1"/>
    </xf>
    <xf numFmtId="0" fontId="11" fillId="0" borderId="0" xfId="0" applyFont="1" applyAlignment="1">
      <alignment horizontal="right" vertical="center" wrapText="1"/>
    </xf>
    <xf numFmtId="0" fontId="11" fillId="0" borderId="0" xfId="0" applyFont="1" applyAlignment="1">
      <alignment vertical="center" wrapText="1"/>
    </xf>
    <xf numFmtId="3" fontId="13" fillId="8" borderId="0" xfId="0" applyNumberFormat="1" applyFont="1" applyFill="1" applyProtection="1">
      <alignment vertical="top"/>
      <protection locked="0"/>
    </xf>
    <xf numFmtId="0" fontId="9" fillId="0" borderId="0" xfId="0" quotePrefix="1" applyFont="1">
      <alignment vertical="top"/>
    </xf>
    <xf numFmtId="0" fontId="9" fillId="0" borderId="0" xfId="0" applyFont="1" applyAlignment="1" applyProtection="1">
      <alignment horizontal="left" vertical="top" wrapText="1"/>
      <protection locked="0"/>
    </xf>
    <xf numFmtId="0" fontId="0" fillId="0" borderId="63" xfId="0" applyBorder="1" applyAlignment="1">
      <alignment horizontal="center" vertical="top" wrapText="1"/>
    </xf>
    <xf numFmtId="0" fontId="0" fillId="0" borderId="0" xfId="0" applyAlignment="1">
      <alignment horizontal="center" vertical="top" wrapText="1"/>
    </xf>
    <xf numFmtId="0" fontId="8" fillId="0" borderId="0" xfId="28" applyFont="1" applyAlignment="1" applyProtection="1">
      <alignment horizontal="right"/>
      <protection locked="0"/>
    </xf>
    <xf numFmtId="0" fontId="8" fillId="0" borderId="63" xfId="0" applyFont="1" applyBorder="1" applyAlignment="1">
      <alignment horizontal="centerContinuous" vertical="top" wrapText="1"/>
    </xf>
    <xf numFmtId="0" fontId="0" fillId="0" borderId="63" xfId="0" applyBorder="1" applyAlignment="1">
      <alignment horizontal="centerContinuous" vertical="top" wrapText="1"/>
    </xf>
    <xf numFmtId="0" fontId="8" fillId="0" borderId="0" xfId="0" applyFont="1" applyAlignment="1">
      <alignment horizontal="centerContinuous" vertical="top" wrapText="1"/>
    </xf>
    <xf numFmtId="0" fontId="0" fillId="0" borderId="0" xfId="0" applyAlignment="1">
      <alignment horizontal="centerContinuous" vertical="top" wrapText="1"/>
    </xf>
    <xf numFmtId="0" fontId="9" fillId="0" borderId="63" xfId="0" applyFont="1" applyBorder="1" applyAlignment="1">
      <alignment horizontal="centerContinuous" vertical="top" wrapText="1"/>
    </xf>
    <xf numFmtId="10" fontId="11" fillId="8" borderId="0" xfId="23" applyFont="1" applyFill="1" applyAlignment="1">
      <alignment vertical="center" wrapText="1"/>
    </xf>
    <xf numFmtId="0" fontId="11" fillId="8" borderId="0" xfId="0" applyFont="1" applyFill="1" applyAlignment="1">
      <alignment horizontal="right" vertical="center" wrapText="1"/>
    </xf>
    <xf numFmtId="2" fontId="11" fillId="8" borderId="0" xfId="0" applyNumberFormat="1" applyFont="1" applyFill="1" applyAlignment="1">
      <alignment horizontal="right" vertical="center" wrapText="1"/>
    </xf>
    <xf numFmtId="0" fontId="43" fillId="11" borderId="0" xfId="0" applyFont="1" applyFill="1">
      <alignment vertical="top"/>
    </xf>
    <xf numFmtId="0" fontId="38" fillId="11" borderId="0" xfId="28" applyFill="1" applyProtection="1">
      <protection locked="0"/>
    </xf>
    <xf numFmtId="0" fontId="39" fillId="11" borderId="0" xfId="28" applyFont="1" applyFill="1" applyAlignment="1" applyProtection="1">
      <alignment horizontal="left" vertical="top" wrapText="1"/>
      <protection locked="0"/>
    </xf>
    <xf numFmtId="0" fontId="0" fillId="11" borderId="0" xfId="0" applyFill="1">
      <alignment vertical="top"/>
    </xf>
    <xf numFmtId="0" fontId="19" fillId="0" borderId="0" xfId="0" applyFont="1" applyProtection="1">
      <alignment vertical="top"/>
      <protection locked="0"/>
    </xf>
    <xf numFmtId="0" fontId="8" fillId="0" borderId="4" xfId="21" applyFont="1" applyBorder="1" applyProtection="1">
      <protection locked="0"/>
    </xf>
    <xf numFmtId="0" fontId="5" fillId="5" borderId="74" xfId="21" applyFont="1" applyFill="1" applyBorder="1" applyAlignment="1" applyProtection="1">
      <alignment wrapText="1"/>
      <protection locked="0"/>
    </xf>
    <xf numFmtId="3" fontId="5" fillId="0" borderId="73" xfId="21" applyNumberFormat="1" applyFont="1" applyBorder="1" applyProtection="1">
      <protection locked="0"/>
    </xf>
    <xf numFmtId="0" fontId="5" fillId="0" borderId="74" xfId="21" applyFont="1" applyBorder="1" applyProtection="1">
      <protection locked="0"/>
    </xf>
    <xf numFmtId="0" fontId="5" fillId="0" borderId="115" xfId="21" applyFont="1" applyBorder="1" applyProtection="1">
      <protection locked="0"/>
    </xf>
    <xf numFmtId="6" fontId="44" fillId="0" borderId="0" xfId="21" applyNumberFormat="1" applyFont="1" applyAlignment="1" applyProtection="1">
      <alignment horizontal="right"/>
      <protection locked="0"/>
    </xf>
    <xf numFmtId="0" fontId="44" fillId="0" borderId="0" xfId="21" applyFont="1" applyProtection="1">
      <protection locked="0"/>
    </xf>
    <xf numFmtId="0" fontId="44" fillId="8" borderId="5" xfId="21" applyFont="1" applyFill="1" applyBorder="1" applyProtection="1">
      <protection locked="0"/>
    </xf>
    <xf numFmtId="170" fontId="5" fillId="0" borderId="73" xfId="21" applyNumberFormat="1" applyFont="1" applyBorder="1" applyAlignment="1" applyProtection="1">
      <alignment horizontal="center" wrapText="1"/>
      <protection locked="0"/>
    </xf>
    <xf numFmtId="0" fontId="8" fillId="0" borderId="66" xfId="0" applyFont="1" applyBorder="1" applyAlignment="1" applyProtection="1">
      <alignment horizontal="right" vertical="top" wrapText="1"/>
      <protection locked="0"/>
    </xf>
    <xf numFmtId="0" fontId="0" fillId="0" borderId="65" xfId="0" applyBorder="1">
      <alignment vertical="top"/>
    </xf>
    <xf numFmtId="0" fontId="9" fillId="0" borderId="65" xfId="0" quotePrefix="1" applyFont="1" applyBorder="1">
      <alignment vertical="top"/>
    </xf>
    <xf numFmtId="0" fontId="9" fillId="0" borderId="47" xfId="0" quotePrefix="1" applyFont="1" applyBorder="1">
      <alignment vertical="top"/>
    </xf>
    <xf numFmtId="3" fontId="0" fillId="0" borderId="0" xfId="0" applyNumberFormat="1">
      <alignment vertical="top"/>
    </xf>
    <xf numFmtId="3" fontId="0" fillId="0" borderId="65" xfId="0" applyNumberFormat="1" applyBorder="1">
      <alignment vertical="top"/>
    </xf>
    <xf numFmtId="2" fontId="9" fillId="0" borderId="0" xfId="21" applyNumberFormat="1" applyFont="1" applyAlignment="1" applyProtection="1">
      <alignment horizontal="right" vertical="center"/>
      <protection locked="0"/>
    </xf>
    <xf numFmtId="0" fontId="42" fillId="11" borderId="0" xfId="28" applyFont="1" applyFill="1" applyProtection="1">
      <protection locked="0"/>
    </xf>
    <xf numFmtId="0" fontId="9" fillId="0" borderId="0" xfId="0" applyFont="1" applyAlignment="1">
      <alignment horizontal="center" vertical="top" wrapText="1"/>
    </xf>
    <xf numFmtId="0" fontId="42" fillId="11" borderId="0" xfId="0" applyFont="1" applyFill="1">
      <alignment vertical="top"/>
    </xf>
    <xf numFmtId="0" fontId="19" fillId="0" borderId="0" xfId="0" applyFont="1" applyAlignment="1" applyProtection="1">
      <alignment horizontal="right" vertical="top"/>
      <protection locked="0"/>
    </xf>
    <xf numFmtId="1" fontId="44" fillId="8" borderId="5" xfId="21" applyNumberFormat="1" applyFont="1" applyFill="1" applyBorder="1" applyAlignment="1" applyProtection="1">
      <alignment horizontal="left" vertical="center"/>
      <protection locked="0"/>
    </xf>
    <xf numFmtId="0" fontId="19" fillId="0" borderId="86" xfId="0" applyFont="1" applyBorder="1" applyAlignment="1" applyProtection="1">
      <alignment vertical="top" wrapText="1"/>
      <protection locked="0"/>
    </xf>
    <xf numFmtId="0" fontId="8" fillId="0" borderId="112" xfId="0" applyFont="1" applyBorder="1" applyAlignment="1" applyProtection="1">
      <alignment vertical="top" wrapText="1"/>
      <protection locked="0"/>
    </xf>
    <xf numFmtId="170" fontId="10" fillId="0" borderId="11" xfId="0" applyNumberFormat="1" applyFont="1" applyBorder="1" applyAlignment="1" applyProtection="1">
      <alignment horizontal="center" vertical="top" wrapText="1"/>
      <protection locked="0"/>
    </xf>
    <xf numFmtId="3" fontId="9" fillId="0" borderId="0" xfId="0" applyNumberFormat="1" applyFont="1" applyAlignment="1" applyProtection="1">
      <alignment vertical="top" wrapText="1"/>
      <protection locked="0"/>
    </xf>
    <xf numFmtId="0" fontId="8" fillId="0" borderId="0" xfId="0" applyFont="1" applyAlignment="1" applyProtection="1">
      <alignment vertical="top" wrapText="1"/>
      <protection locked="0"/>
    </xf>
    <xf numFmtId="0" fontId="5" fillId="0" borderId="74" xfId="21" applyFont="1" applyBorder="1" applyAlignment="1" applyProtection="1">
      <alignment wrapText="1"/>
      <protection locked="0"/>
    </xf>
    <xf numFmtId="0" fontId="10" fillId="0" borderId="73" xfId="21" applyFont="1" applyBorder="1" applyAlignment="1" applyProtection="1">
      <alignment wrapText="1"/>
      <protection locked="0"/>
    </xf>
    <xf numFmtId="0" fontId="5" fillId="0" borderId="73" xfId="21" applyFont="1" applyBorder="1" applyAlignment="1" applyProtection="1">
      <alignment wrapText="1"/>
      <protection locked="0"/>
    </xf>
    <xf numFmtId="170" fontId="5" fillId="0" borderId="75" xfId="21" applyNumberFormat="1" applyFont="1" applyBorder="1" applyAlignment="1" applyProtection="1">
      <alignment horizontal="center" wrapText="1"/>
      <protection locked="0"/>
    </xf>
    <xf numFmtId="0" fontId="20" fillId="0" borderId="0" xfId="21" applyAlignment="1" applyProtection="1">
      <alignment wrapText="1"/>
      <protection locked="0"/>
    </xf>
    <xf numFmtId="0" fontId="16" fillId="0" borderId="0" xfId="0" applyFont="1" applyAlignment="1" applyProtection="1">
      <alignment horizontal="left" vertical="top"/>
      <protection locked="0"/>
    </xf>
    <xf numFmtId="0" fontId="5" fillId="0" borderId="0" xfId="0" applyFont="1" applyAlignment="1" applyProtection="1">
      <alignment horizontal="right" vertical="top"/>
      <protection locked="0"/>
    </xf>
    <xf numFmtId="0" fontId="10" fillId="0" borderId="0" xfId="28" applyFont="1" applyProtection="1">
      <protection locked="0"/>
    </xf>
    <xf numFmtId="0" fontId="44" fillId="0" borderId="0" xfId="28" applyFont="1" applyProtection="1">
      <protection locked="0"/>
    </xf>
    <xf numFmtId="0" fontId="8" fillId="5" borderId="74" xfId="21" applyFont="1" applyFill="1" applyBorder="1" applyAlignment="1" applyProtection="1">
      <alignment wrapText="1"/>
      <protection locked="0"/>
    </xf>
    <xf numFmtId="0" fontId="5" fillId="5" borderId="73" xfId="21" applyFont="1" applyFill="1" applyBorder="1" applyAlignment="1" applyProtection="1">
      <alignment wrapText="1"/>
      <protection locked="0"/>
    </xf>
    <xf numFmtId="1" fontId="44" fillId="0" borderId="5" xfId="28" applyNumberFormat="1" applyFont="1" applyBorder="1" applyAlignment="1" applyProtection="1">
      <alignment horizontal="left" vertical="center"/>
      <protection locked="0"/>
    </xf>
    <xf numFmtId="3" fontId="10" fillId="0" borderId="4" xfId="21" applyNumberFormat="1" applyFont="1" applyBorder="1" applyProtection="1">
      <protection locked="0"/>
    </xf>
    <xf numFmtId="0" fontId="5" fillId="0" borderId="73" xfId="21" applyFont="1" applyBorder="1" applyAlignment="1" applyProtection="1">
      <alignment horizontal="center" wrapText="1"/>
      <protection locked="0"/>
    </xf>
    <xf numFmtId="1" fontId="44" fillId="8" borderId="5" xfId="28" applyNumberFormat="1" applyFont="1" applyFill="1" applyBorder="1" applyAlignment="1" applyProtection="1">
      <alignment horizontal="left" vertical="center"/>
      <protection locked="0"/>
    </xf>
    <xf numFmtId="3" fontId="10" fillId="12" borderId="4" xfId="4" applyNumberFormat="1" applyFont="1" applyFill="1" applyBorder="1" applyAlignment="1" applyProtection="1">
      <alignment horizontal="right" vertical="top"/>
      <protection locked="0"/>
    </xf>
    <xf numFmtId="0" fontId="10" fillId="12" borderId="4" xfId="21" applyFont="1" applyFill="1" applyBorder="1" applyProtection="1">
      <protection locked="0"/>
    </xf>
    <xf numFmtId="3" fontId="10" fillId="12" borderId="4" xfId="4" applyNumberFormat="1" applyFont="1" applyFill="1" applyBorder="1" applyAlignment="1" applyProtection="1">
      <alignment horizontal="center" vertical="top"/>
      <protection locked="0"/>
    </xf>
    <xf numFmtId="170" fontId="5" fillId="0" borderId="115" xfId="21" applyNumberFormat="1" applyFont="1" applyBorder="1" applyAlignment="1" applyProtection="1">
      <alignment horizontal="center" wrapText="1"/>
      <protection locked="0"/>
    </xf>
    <xf numFmtId="170" fontId="5" fillId="0" borderId="116" xfId="21" applyNumberFormat="1" applyFont="1" applyBorder="1" applyAlignment="1" applyProtection="1">
      <alignment horizontal="center"/>
      <protection locked="0"/>
    </xf>
    <xf numFmtId="0" fontId="10" fillId="0" borderId="77" xfId="21" applyFont="1" applyBorder="1" applyAlignment="1" applyProtection="1">
      <alignment horizontal="right"/>
      <protection locked="0"/>
    </xf>
    <xf numFmtId="3" fontId="5" fillId="0" borderId="115" xfId="21" applyNumberFormat="1" applyFont="1" applyBorder="1" applyProtection="1">
      <protection locked="0"/>
    </xf>
    <xf numFmtId="3" fontId="5" fillId="0" borderId="4" xfId="4" applyNumberFormat="1" applyFont="1" applyFill="1" applyBorder="1" applyAlignment="1" applyProtection="1">
      <alignment horizontal="right" vertical="top"/>
      <protection locked="0"/>
    </xf>
    <xf numFmtId="3" fontId="5" fillId="0" borderId="27" xfId="4" applyNumberFormat="1" applyFont="1" applyFill="1" applyBorder="1" applyAlignment="1" applyProtection="1">
      <alignment horizontal="right" vertical="top"/>
      <protection locked="0"/>
    </xf>
    <xf numFmtId="3" fontId="10" fillId="12" borderId="34" xfId="4" applyNumberFormat="1" applyFont="1" applyFill="1" applyBorder="1" applyAlignment="1" applyProtection="1">
      <alignment horizontal="right" vertical="top"/>
      <protection locked="0"/>
    </xf>
    <xf numFmtId="5" fontId="11" fillId="0" borderId="0" xfId="0" applyNumberFormat="1" applyFont="1" applyAlignment="1">
      <alignment vertical="center"/>
    </xf>
    <xf numFmtId="176" fontId="5" fillId="0" borderId="0" xfId="0" applyNumberFormat="1" applyFont="1" applyProtection="1">
      <alignment vertical="top"/>
      <protection locked="0"/>
    </xf>
    <xf numFmtId="176" fontId="5" fillId="0" borderId="0" xfId="0" applyNumberFormat="1" applyFont="1" applyAlignment="1" applyProtection="1">
      <alignment horizontal="left" vertical="top"/>
      <protection locked="0"/>
    </xf>
    <xf numFmtId="0" fontId="5" fillId="0" borderId="0" xfId="0" applyFont="1" applyAlignment="1" applyProtection="1">
      <alignment horizontal="left" vertical="top"/>
      <protection locked="0"/>
    </xf>
    <xf numFmtId="1" fontId="24" fillId="8" borderId="5" xfId="21" applyNumberFormat="1" applyFont="1" applyFill="1" applyBorder="1" applyAlignment="1" applyProtection="1">
      <alignment horizontal="left" vertical="center"/>
      <protection locked="0"/>
    </xf>
    <xf numFmtId="176" fontId="5" fillId="0" borderId="0" xfId="0" applyNumberFormat="1" applyFont="1" applyAlignment="1" applyProtection="1">
      <alignment horizontal="right" vertical="top"/>
      <protection locked="0"/>
    </xf>
    <xf numFmtId="176" fontId="5" fillId="0" borderId="0" xfId="0" applyNumberFormat="1" applyFont="1" applyAlignment="1" applyProtection="1">
      <alignment horizontal="center" vertical="top"/>
      <protection locked="0"/>
    </xf>
    <xf numFmtId="1" fontId="44" fillId="11" borderId="5" xfId="28" applyNumberFormat="1" applyFont="1" applyFill="1" applyBorder="1" applyAlignment="1" applyProtection="1">
      <alignment horizontal="left" vertical="center"/>
      <protection locked="0"/>
    </xf>
    <xf numFmtId="0" fontId="46" fillId="0" borderId="0" xfId="0" applyFont="1" applyProtection="1">
      <alignment vertical="top"/>
      <protection locked="0"/>
    </xf>
    <xf numFmtId="10" fontId="46" fillId="0" borderId="0" xfId="0" applyNumberFormat="1" applyFont="1" applyProtection="1">
      <alignment vertical="top"/>
      <protection locked="0"/>
    </xf>
    <xf numFmtId="0" fontId="47" fillId="8" borderId="0" xfId="0" applyFont="1" applyFill="1" applyAlignment="1" applyProtection="1">
      <alignment horizontal="left" vertical="top"/>
      <protection locked="0"/>
    </xf>
    <xf numFmtId="0" fontId="46" fillId="8" borderId="0" xfId="0" applyFont="1" applyFill="1" applyProtection="1">
      <alignment vertical="top"/>
      <protection locked="0"/>
    </xf>
    <xf numFmtId="0" fontId="46" fillId="9" borderId="0" xfId="0" applyFont="1" applyFill="1" applyProtection="1">
      <alignment vertical="top"/>
      <protection locked="0"/>
    </xf>
    <xf numFmtId="176" fontId="48" fillId="8" borderId="0" xfId="0" applyNumberFormat="1" applyFont="1" applyFill="1" applyProtection="1">
      <alignment vertical="top"/>
      <protection locked="0"/>
    </xf>
    <xf numFmtId="0" fontId="46" fillId="0" borderId="0" xfId="0" applyFont="1" applyAlignment="1" applyProtection="1">
      <alignment horizontal="center" vertical="top"/>
      <protection locked="0"/>
    </xf>
    <xf numFmtId="0" fontId="49" fillId="0" borderId="0" xfId="0" applyFont="1" applyProtection="1">
      <alignment vertical="top"/>
      <protection locked="0"/>
    </xf>
    <xf numFmtId="0" fontId="51" fillId="0" borderId="0" xfId="0" applyFont="1" applyProtection="1">
      <alignment vertical="top"/>
      <protection locked="0"/>
    </xf>
    <xf numFmtId="14" fontId="46" fillId="0" borderId="0" xfId="0" applyNumberFormat="1" applyFont="1" applyProtection="1">
      <alignment vertical="top"/>
      <protection locked="0"/>
    </xf>
    <xf numFmtId="0" fontId="47" fillId="0" borderId="0" xfId="0" applyFont="1" applyProtection="1">
      <alignment vertical="top"/>
      <protection locked="0"/>
    </xf>
    <xf numFmtId="3" fontId="51" fillId="9" borderId="0" xfId="4" applyNumberFormat="1" applyFont="1" applyFill="1" applyBorder="1" applyAlignment="1" applyProtection="1">
      <alignment vertical="top"/>
      <protection locked="0"/>
    </xf>
    <xf numFmtId="170" fontId="49" fillId="0" borderId="0" xfId="0" applyNumberFormat="1" applyFont="1" applyAlignment="1" applyProtection="1">
      <alignment horizontal="center" vertical="top"/>
      <protection locked="0"/>
    </xf>
    <xf numFmtId="0" fontId="49" fillId="0" borderId="0" xfId="0" applyFont="1" applyAlignment="1" applyProtection="1">
      <alignment horizontal="center" vertical="top"/>
      <protection locked="0"/>
    </xf>
    <xf numFmtId="10" fontId="51" fillId="10" borderId="0" xfId="23" applyFont="1" applyFill="1" applyBorder="1" applyProtection="1">
      <protection locked="0"/>
    </xf>
    <xf numFmtId="170" fontId="49" fillId="8" borderId="5" xfId="0" applyNumberFormat="1" applyFont="1" applyFill="1" applyBorder="1" applyAlignment="1" applyProtection="1">
      <alignment horizontal="center" vertical="top" wrapText="1"/>
      <protection locked="0"/>
    </xf>
    <xf numFmtId="0" fontId="49" fillId="8" borderId="5" xfId="0" applyFont="1" applyFill="1" applyBorder="1" applyAlignment="1" applyProtection="1">
      <alignment horizontal="center" vertical="top"/>
      <protection locked="0"/>
    </xf>
    <xf numFmtId="169" fontId="52" fillId="0" borderId="0" xfId="0" applyNumberFormat="1" applyFont="1" applyAlignment="1" applyProtection="1">
      <alignment horizontal="center" vertical="top"/>
      <protection locked="0"/>
    </xf>
    <xf numFmtId="10" fontId="53" fillId="0" borderId="0" xfId="23" applyFont="1" applyFill="1" applyBorder="1" applyProtection="1">
      <protection locked="0"/>
    </xf>
    <xf numFmtId="169" fontId="51" fillId="9" borderId="43" xfId="0" applyNumberFormat="1" applyFont="1" applyFill="1" applyBorder="1" applyAlignment="1" applyProtection="1">
      <alignment horizontal="center" vertical="top"/>
      <protection locked="0"/>
    </xf>
    <xf numFmtId="0" fontId="49" fillId="0" borderId="43" xfId="0" applyFont="1" applyBorder="1" applyAlignment="1" applyProtection="1">
      <alignment horizontal="center" vertical="top"/>
      <protection locked="0"/>
    </xf>
    <xf numFmtId="169" fontId="52" fillId="0" borderId="43" xfId="0" applyNumberFormat="1" applyFont="1" applyBorder="1" applyAlignment="1">
      <alignment horizontal="center" vertical="top"/>
    </xf>
    <xf numFmtId="169" fontId="46" fillId="0" borderId="0" xfId="0" applyNumberFormat="1" applyFont="1" applyAlignment="1" applyProtection="1">
      <alignment horizontal="centerContinuous" vertical="top" wrapText="1"/>
      <protection locked="0"/>
    </xf>
    <xf numFmtId="0" fontId="46" fillId="0" borderId="0" xfId="0" applyFont="1" applyAlignment="1" applyProtection="1">
      <alignment horizontal="center"/>
      <protection locked="0"/>
    </xf>
    <xf numFmtId="169" fontId="51" fillId="9" borderId="44" xfId="0" applyNumberFormat="1" applyFont="1" applyFill="1" applyBorder="1" applyAlignment="1" applyProtection="1">
      <alignment horizontal="center" vertical="top"/>
      <protection locked="0"/>
    </xf>
    <xf numFmtId="0" fontId="49" fillId="0" borderId="44" xfId="0" applyFont="1" applyBorder="1" applyAlignment="1" applyProtection="1">
      <alignment horizontal="center" vertical="top" wrapText="1"/>
      <protection locked="0"/>
    </xf>
    <xf numFmtId="169" fontId="46" fillId="0" borderId="44" xfId="0" applyNumberFormat="1" applyFont="1" applyBorder="1" applyAlignment="1">
      <alignment horizontal="center" vertical="top" wrapText="1"/>
    </xf>
    <xf numFmtId="169" fontId="46" fillId="0" borderId="44" xfId="0" applyNumberFormat="1" applyFont="1" applyBorder="1" applyAlignment="1">
      <alignment horizontal="centerContinuous" vertical="top" wrapText="1"/>
    </xf>
    <xf numFmtId="0" fontId="52" fillId="0" borderId="0" xfId="0" applyFont="1" applyProtection="1">
      <alignment vertical="top"/>
      <protection locked="0"/>
    </xf>
    <xf numFmtId="0" fontId="52" fillId="0" borderId="5" xfId="0" applyFont="1" applyBorder="1" applyAlignment="1" applyProtection="1">
      <alignment horizontal="center" vertical="top"/>
      <protection locked="0"/>
    </xf>
    <xf numFmtId="165" fontId="52" fillId="0" borderId="5" xfId="0" applyNumberFormat="1" applyFont="1" applyBorder="1" applyAlignment="1">
      <alignment horizontal="center" vertical="top"/>
    </xf>
    <xf numFmtId="0" fontId="52" fillId="0" borderId="5" xfId="0" applyFont="1" applyBorder="1" applyAlignment="1">
      <alignment horizontal="center" vertical="top"/>
    </xf>
    <xf numFmtId="15" fontId="52" fillId="0" borderId="0" xfId="0" applyNumberFormat="1" applyFont="1" applyProtection="1">
      <alignment vertical="top"/>
      <protection locked="0"/>
    </xf>
    <xf numFmtId="166" fontId="46" fillId="0" borderId="0" xfId="0" applyNumberFormat="1" applyFont="1" applyProtection="1">
      <alignment vertical="top"/>
      <protection locked="0"/>
    </xf>
    <xf numFmtId="10" fontId="51" fillId="8" borderId="0" xfId="23" applyFont="1" applyFill="1" applyBorder="1" applyAlignment="1">
      <alignment horizontal="center" vertical="top"/>
    </xf>
    <xf numFmtId="169" fontId="51" fillId="8" borderId="0" xfId="0" applyNumberFormat="1" applyFont="1" applyFill="1" applyAlignment="1" applyProtection="1">
      <alignment horizontal="center" vertical="top"/>
      <protection locked="0"/>
    </xf>
    <xf numFmtId="0" fontId="47" fillId="0" borderId="0" xfId="0" applyFont="1" applyAlignment="1" applyProtection="1">
      <alignment horizontal="center"/>
      <protection locked="0"/>
    </xf>
    <xf numFmtId="0" fontId="46" fillId="0" borderId="34" xfId="0" applyFont="1" applyBorder="1" applyProtection="1">
      <alignment vertical="top"/>
      <protection locked="0"/>
    </xf>
    <xf numFmtId="0" fontId="46" fillId="0" borderId="43" xfId="0" applyFont="1" applyBorder="1" applyProtection="1">
      <alignment vertical="top"/>
      <protection locked="0"/>
    </xf>
    <xf numFmtId="0" fontId="47" fillId="0" borderId="43" xfId="0" applyFont="1" applyBorder="1" applyAlignment="1" applyProtection="1">
      <alignment horizontal="center" vertical="top"/>
      <protection locked="0"/>
    </xf>
    <xf numFmtId="0" fontId="47" fillId="0" borderId="43" xfId="0" applyFont="1" applyBorder="1" applyAlignment="1" applyProtection="1">
      <alignment horizontal="center" wrapText="1"/>
      <protection locked="0"/>
    </xf>
    <xf numFmtId="0" fontId="46" fillId="0" borderId="43" xfId="0" applyFont="1" applyBorder="1">
      <alignment vertical="top"/>
    </xf>
    <xf numFmtId="0" fontId="46" fillId="0" borderId="45" xfId="0" applyFont="1" applyBorder="1">
      <alignment vertical="top"/>
    </xf>
    <xf numFmtId="0" fontId="47" fillId="0" borderId="43" xfId="0" applyFont="1" applyBorder="1" applyAlignment="1">
      <alignment horizontal="center" vertical="top"/>
    </xf>
    <xf numFmtId="0" fontId="47" fillId="0" borderId="43" xfId="0" applyFont="1" applyBorder="1" applyAlignment="1">
      <alignment horizontal="center" wrapText="1"/>
    </xf>
    <xf numFmtId="0" fontId="46" fillId="0" borderId="4" xfId="0" applyFont="1" applyBorder="1" applyProtection="1">
      <alignment vertical="top"/>
      <protection locked="0"/>
    </xf>
    <xf numFmtId="169" fontId="46" fillId="0" borderId="4" xfId="0" applyNumberFormat="1" applyFont="1" applyBorder="1" applyAlignment="1">
      <alignment horizontal="center" vertical="top"/>
    </xf>
    <xf numFmtId="0" fontId="53" fillId="0" borderId="0" xfId="0" applyFont="1" applyAlignment="1">
      <alignment horizontal="center" vertical="top"/>
    </xf>
    <xf numFmtId="0" fontId="46" fillId="0" borderId="0" xfId="0" applyFont="1" applyAlignment="1">
      <alignment horizontal="center" vertical="top"/>
    </xf>
    <xf numFmtId="0" fontId="46" fillId="0" borderId="34" xfId="0" applyFont="1" applyBorder="1" applyAlignment="1">
      <alignment horizontal="center" vertical="top"/>
    </xf>
    <xf numFmtId="0" fontId="46" fillId="0" borderId="4" xfId="0" applyFont="1" applyBorder="1">
      <alignment vertical="top"/>
    </xf>
    <xf numFmtId="0" fontId="46" fillId="0" borderId="4" xfId="0" applyFont="1" applyBorder="1" applyAlignment="1">
      <alignment horizontal="center"/>
    </xf>
    <xf numFmtId="10" fontId="52" fillId="0" borderId="4" xfId="0" applyNumberFormat="1" applyFont="1" applyBorder="1">
      <alignment vertical="top"/>
    </xf>
    <xf numFmtId="10" fontId="46" fillId="0" borderId="4" xfId="0" applyNumberFormat="1" applyFont="1" applyBorder="1">
      <alignment vertical="top"/>
    </xf>
    <xf numFmtId="2" fontId="46" fillId="0" borderId="4" xfId="0" applyNumberFormat="1" applyFont="1" applyBorder="1">
      <alignment vertical="top"/>
    </xf>
    <xf numFmtId="2" fontId="46" fillId="0" borderId="0" xfId="0" applyNumberFormat="1" applyFont="1" applyProtection="1">
      <alignment vertical="top"/>
      <protection locked="0"/>
    </xf>
    <xf numFmtId="0" fontId="46" fillId="0" borderId="46" xfId="0" applyFont="1" applyBorder="1" applyProtection="1">
      <alignment vertical="top"/>
      <protection locked="0"/>
    </xf>
    <xf numFmtId="169" fontId="46" fillId="0" borderId="46" xfId="0" applyNumberFormat="1" applyFont="1" applyBorder="1" applyAlignment="1">
      <alignment horizontal="center" vertical="top"/>
    </xf>
    <xf numFmtId="0" fontId="53" fillId="0" borderId="79" xfId="0" applyFont="1" applyBorder="1" applyAlignment="1">
      <alignment horizontal="center" vertical="top"/>
    </xf>
    <xf numFmtId="0" fontId="46" fillId="0" borderId="79" xfId="0" applyFont="1" applyBorder="1" applyAlignment="1">
      <alignment horizontal="center" vertical="top"/>
    </xf>
    <xf numFmtId="0" fontId="46" fillId="0" borderId="80" xfId="0" applyFont="1" applyBorder="1" applyAlignment="1">
      <alignment horizontal="center" vertical="top"/>
    </xf>
    <xf numFmtId="0" fontId="46" fillId="0" borderId="46" xfId="0" applyFont="1" applyBorder="1">
      <alignment vertical="top"/>
    </xf>
    <xf numFmtId="0" fontId="46" fillId="0" borderId="46" xfId="0" applyFont="1" applyBorder="1" applyAlignment="1">
      <alignment horizontal="center"/>
    </xf>
    <xf numFmtId="10" fontId="46" fillId="0" borderId="46" xfId="0" applyNumberFormat="1" applyFont="1" applyBorder="1">
      <alignment vertical="top"/>
    </xf>
    <xf numFmtId="166" fontId="46" fillId="0" borderId="46" xfId="0" applyNumberFormat="1" applyFont="1" applyBorder="1">
      <alignment vertical="top"/>
    </xf>
    <xf numFmtId="0" fontId="46" fillId="0" borderId="45" xfId="0" applyFont="1" applyBorder="1" applyProtection="1">
      <alignment vertical="top"/>
      <protection locked="0"/>
    </xf>
    <xf numFmtId="169" fontId="46" fillId="0" borderId="4" xfId="0" applyNumberFormat="1" applyFont="1" applyBorder="1" applyAlignment="1" applyProtection="1">
      <alignment horizontal="center" vertical="top"/>
      <protection locked="0"/>
    </xf>
    <xf numFmtId="169" fontId="46" fillId="0" borderId="46" xfId="0" applyNumberFormat="1" applyFont="1" applyBorder="1" applyAlignment="1" applyProtection="1">
      <alignment horizontal="center" vertical="top"/>
      <protection locked="0"/>
    </xf>
    <xf numFmtId="169" fontId="46" fillId="0" borderId="0" xfId="0" applyNumberFormat="1" applyFont="1" applyProtection="1">
      <alignment vertical="top"/>
      <protection locked="0"/>
    </xf>
    <xf numFmtId="0" fontId="47" fillId="0" borderId="66" xfId="22" applyFont="1" applyBorder="1" applyProtection="1">
      <protection locked="0"/>
    </xf>
    <xf numFmtId="0" fontId="47" fillId="0" borderId="5" xfId="22" applyFont="1" applyBorder="1" applyAlignment="1" applyProtection="1">
      <alignment horizontal="center"/>
      <protection locked="0"/>
    </xf>
    <xf numFmtId="0" fontId="46" fillId="0" borderId="47" xfId="22" applyFont="1" applyBorder="1" applyProtection="1">
      <protection locked="0"/>
    </xf>
    <xf numFmtId="0" fontId="46" fillId="0" borderId="0" xfId="22" applyFont="1" applyProtection="1">
      <protection locked="0"/>
    </xf>
    <xf numFmtId="0" fontId="46" fillId="0" borderId="45" xfId="22" applyFont="1" applyBorder="1" applyProtection="1">
      <protection locked="0"/>
    </xf>
    <xf numFmtId="0" fontId="46" fillId="0" borderId="16" xfId="22" applyFont="1" applyBorder="1" applyAlignment="1" applyProtection="1">
      <alignment horizontal="left" indent="1"/>
      <protection locked="0"/>
    </xf>
    <xf numFmtId="0" fontId="46" fillId="0" borderId="0" xfId="22" applyFont="1" applyAlignment="1" applyProtection="1">
      <alignment horizontal="left"/>
      <protection locked="0"/>
    </xf>
    <xf numFmtId="0" fontId="46" fillId="0" borderId="62" xfId="22" applyFont="1" applyBorder="1" applyAlignment="1" applyProtection="1">
      <alignment horizontal="left" indent="1"/>
      <protection locked="0"/>
    </xf>
    <xf numFmtId="0" fontId="46" fillId="0" borderId="63" xfId="22" applyFont="1" applyBorder="1" applyAlignment="1" applyProtection="1">
      <alignment horizontal="left"/>
      <protection locked="0"/>
    </xf>
    <xf numFmtId="0" fontId="46" fillId="0" borderId="63" xfId="22" applyFont="1" applyBorder="1" applyProtection="1">
      <protection locked="0"/>
    </xf>
    <xf numFmtId="1" fontId="46" fillId="0" borderId="0" xfId="0" applyNumberFormat="1" applyFont="1" applyProtection="1">
      <alignment vertical="top"/>
      <protection locked="0"/>
    </xf>
    <xf numFmtId="0" fontId="47" fillId="0" borderId="47" xfId="22" applyFont="1" applyBorder="1" applyProtection="1">
      <protection locked="0"/>
    </xf>
    <xf numFmtId="0" fontId="46" fillId="0" borderId="45" xfId="22" applyFont="1" applyBorder="1" applyAlignment="1" applyProtection="1">
      <alignment horizontal="center"/>
      <protection locked="0"/>
    </xf>
    <xf numFmtId="0" fontId="46" fillId="0" borderId="0" xfId="0" applyFont="1" applyAlignment="1" applyProtection="1">
      <alignment horizontal="left" vertical="top"/>
      <protection locked="0"/>
    </xf>
    <xf numFmtId="0" fontId="46" fillId="0" borderId="34" xfId="22" applyFont="1" applyBorder="1" applyProtection="1">
      <protection locked="0"/>
    </xf>
    <xf numFmtId="0" fontId="46" fillId="0" borderId="63" xfId="0" applyFont="1" applyBorder="1" applyAlignment="1" applyProtection="1">
      <alignment horizontal="left" vertical="top"/>
      <protection locked="0"/>
    </xf>
    <xf numFmtId="0" fontId="46" fillId="0" borderId="63" xfId="0" applyFont="1" applyBorder="1" applyProtection="1">
      <alignment vertical="top"/>
      <protection locked="0"/>
    </xf>
    <xf numFmtId="0" fontId="46" fillId="0" borderId="64" xfId="22" applyFont="1" applyBorder="1" applyProtection="1">
      <protection locked="0"/>
    </xf>
    <xf numFmtId="0" fontId="47" fillId="0" borderId="65" xfId="22" applyFont="1" applyBorder="1" applyProtection="1">
      <protection locked="0"/>
    </xf>
    <xf numFmtId="0" fontId="46" fillId="0" borderId="65" xfId="0" applyFont="1" applyBorder="1" applyAlignment="1" applyProtection="1">
      <alignment horizontal="left" vertical="top"/>
      <protection locked="0"/>
    </xf>
    <xf numFmtId="0" fontId="46" fillId="0" borderId="65" xfId="22" applyFont="1" applyBorder="1" applyProtection="1">
      <protection locked="0"/>
    </xf>
    <xf numFmtId="0" fontId="47" fillId="0" borderId="66" xfId="22" applyFont="1" applyBorder="1" applyAlignment="1" applyProtection="1">
      <alignment horizontal="left" indent="1"/>
      <protection locked="0"/>
    </xf>
    <xf numFmtId="0" fontId="46" fillId="0" borderId="66" xfId="22" applyFont="1" applyBorder="1" applyAlignment="1" applyProtection="1">
      <alignment horizontal="left" indent="2"/>
      <protection locked="0"/>
    </xf>
    <xf numFmtId="0" fontId="46" fillId="0" borderId="62" xfId="22" applyFont="1" applyBorder="1" applyAlignment="1" applyProtection="1">
      <alignment horizontal="center"/>
      <protection locked="0"/>
    </xf>
    <xf numFmtId="0" fontId="46" fillId="8" borderId="63" xfId="22" applyFont="1" applyFill="1" applyBorder="1" applyAlignment="1" applyProtection="1">
      <alignment horizontal="center" wrapText="1"/>
      <protection locked="0"/>
    </xf>
    <xf numFmtId="0" fontId="46" fillId="0" borderId="47" xfId="22" applyFont="1" applyBorder="1" applyAlignment="1" applyProtection="1">
      <alignment horizontal="center" wrapText="1"/>
      <protection locked="0"/>
    </xf>
    <xf numFmtId="0" fontId="46" fillId="0" borderId="62" xfId="22" applyFont="1" applyBorder="1" applyAlignment="1" applyProtection="1">
      <alignment horizontal="left" indent="2"/>
      <protection locked="0"/>
    </xf>
    <xf numFmtId="0" fontId="46" fillId="0" borderId="66" xfId="22" applyFont="1" applyBorder="1" applyAlignment="1" applyProtection="1">
      <alignment horizontal="center"/>
      <protection locked="0"/>
    </xf>
    <xf numFmtId="0" fontId="46" fillId="8" borderId="65" xfId="22" applyFont="1" applyFill="1" applyBorder="1" applyAlignment="1" applyProtection="1">
      <alignment horizontal="center" wrapText="1"/>
      <protection locked="0"/>
    </xf>
    <xf numFmtId="0" fontId="46" fillId="0" borderId="0" xfId="0" applyFont="1" applyAlignment="1" applyProtection="1">
      <alignment horizontal="center" vertical="top" wrapText="1"/>
      <protection locked="0"/>
    </xf>
    <xf numFmtId="0" fontId="46" fillId="0" borderId="0" xfId="0" applyFont="1" applyAlignment="1" applyProtection="1">
      <alignment vertical="top" wrapText="1"/>
      <protection locked="0"/>
    </xf>
    <xf numFmtId="14" fontId="46" fillId="0" borderId="0" xfId="0" applyNumberFormat="1" applyFont="1" applyAlignment="1" applyProtection="1">
      <alignment horizontal="center" vertical="top" wrapText="1"/>
      <protection locked="0"/>
    </xf>
    <xf numFmtId="0" fontId="46" fillId="0" borderId="65" xfId="22" applyFont="1" applyBorder="1" applyAlignment="1" applyProtection="1">
      <alignment horizontal="center" wrapText="1"/>
      <protection locked="0"/>
    </xf>
    <xf numFmtId="0" fontId="46" fillId="0" borderId="66" xfId="22" applyFont="1" applyBorder="1" applyAlignment="1" applyProtection="1">
      <alignment horizontal="left" indent="1"/>
      <protection locked="0"/>
    </xf>
    <xf numFmtId="0" fontId="46" fillId="0" borderId="66" xfId="22" applyFont="1" applyBorder="1" applyAlignment="1" applyProtection="1">
      <alignment horizontal="left"/>
      <protection locked="0"/>
    </xf>
    <xf numFmtId="0" fontId="46" fillId="0" borderId="65" xfId="22" applyFont="1" applyBorder="1" applyAlignment="1" applyProtection="1">
      <alignment horizontal="left" wrapText="1"/>
      <protection locked="0"/>
    </xf>
    <xf numFmtId="0" fontId="46" fillId="0" borderId="65" xfId="22" applyFont="1" applyBorder="1" applyAlignment="1" applyProtection="1">
      <alignment horizontal="center"/>
      <protection locked="0"/>
    </xf>
    <xf numFmtId="14" fontId="46" fillId="0" borderId="0" xfId="22" applyNumberFormat="1" applyFont="1" applyAlignment="1" applyProtection="1">
      <alignment horizontal="center" wrapText="1"/>
      <protection locked="0"/>
    </xf>
    <xf numFmtId="0" fontId="54" fillId="0" borderId="0" xfId="22" applyFont="1" applyProtection="1">
      <protection locked="0"/>
    </xf>
    <xf numFmtId="0" fontId="47" fillId="0" borderId="61" xfId="22" applyFont="1" applyBorder="1" applyAlignment="1" applyProtection="1">
      <alignment horizontal="left" indent="1"/>
      <protection locked="0"/>
    </xf>
    <xf numFmtId="0" fontId="47" fillId="0" borderId="45" xfId="22" applyFont="1" applyBorder="1" applyAlignment="1" applyProtection="1">
      <alignment horizontal="center"/>
      <protection locked="0"/>
    </xf>
    <xf numFmtId="0" fontId="47" fillId="0" borderId="65" xfId="22" applyFont="1" applyBorder="1" applyAlignment="1" applyProtection="1">
      <alignment horizontal="center"/>
      <protection locked="0"/>
    </xf>
    <xf numFmtId="0" fontId="47" fillId="0" borderId="67" xfId="22" applyFont="1" applyBorder="1" applyAlignment="1" applyProtection="1">
      <alignment horizontal="center"/>
      <protection locked="0"/>
    </xf>
    <xf numFmtId="0" fontId="46" fillId="0" borderId="16" xfId="22" applyFont="1" applyBorder="1" applyAlignment="1" applyProtection="1">
      <alignment horizontal="left" indent="2"/>
      <protection locked="0"/>
    </xf>
    <xf numFmtId="0" fontId="46" fillId="0" borderId="67" xfId="22" applyFont="1" applyBorder="1" applyProtection="1">
      <protection locked="0"/>
    </xf>
    <xf numFmtId="0" fontId="46" fillId="0" borderId="62" xfId="22" applyFont="1" applyBorder="1" applyProtection="1">
      <protection locked="0"/>
    </xf>
    <xf numFmtId="176" fontId="47" fillId="0" borderId="0" xfId="0" applyNumberFormat="1" applyFont="1" applyProtection="1">
      <alignment vertical="top"/>
      <protection locked="0"/>
    </xf>
    <xf numFmtId="176" fontId="47" fillId="0" borderId="0" xfId="0" applyNumberFormat="1" applyFont="1" applyAlignment="1" applyProtection="1">
      <alignment horizontal="center" vertical="top"/>
      <protection locked="0"/>
    </xf>
    <xf numFmtId="0" fontId="46" fillId="0" borderId="16" xfId="21" applyFont="1" applyBorder="1" applyProtection="1">
      <protection locked="0"/>
    </xf>
    <xf numFmtId="0" fontId="47" fillId="0" borderId="54" xfId="21" applyFont="1" applyBorder="1" applyProtection="1">
      <protection locked="0"/>
    </xf>
    <xf numFmtId="0" fontId="46" fillId="0" borderId="106" xfId="21" applyFont="1" applyBorder="1" applyProtection="1">
      <protection locked="0"/>
    </xf>
    <xf numFmtId="0" fontId="46" fillId="0" borderId="7" xfId="21" applyFont="1" applyBorder="1" applyProtection="1">
      <protection locked="0"/>
    </xf>
    <xf numFmtId="0" fontId="46" fillId="0" borderId="0" xfId="21" applyFont="1" applyProtection="1">
      <protection locked="0"/>
    </xf>
    <xf numFmtId="0" fontId="47" fillId="0" borderId="0" xfId="21" applyFont="1" applyProtection="1">
      <protection locked="0"/>
    </xf>
    <xf numFmtId="0" fontId="56" fillId="0" borderId="0" xfId="21" applyFont="1" applyAlignment="1" applyProtection="1">
      <alignment horizontal="left" vertical="top" wrapText="1"/>
      <protection locked="0"/>
    </xf>
    <xf numFmtId="0" fontId="46" fillId="0" borderId="0" xfId="0" applyFont="1">
      <alignment vertical="top"/>
    </xf>
    <xf numFmtId="7" fontId="47" fillId="0" borderId="32" xfId="12" applyFont="1" applyBorder="1" applyAlignment="1" applyProtection="1">
      <alignment horizontal="center"/>
      <protection locked="0"/>
    </xf>
    <xf numFmtId="7" fontId="47" fillId="0" borderId="33" xfId="12" applyFont="1" applyBorder="1" applyAlignment="1" applyProtection="1">
      <alignment horizontal="center"/>
      <protection locked="0"/>
    </xf>
    <xf numFmtId="7" fontId="47" fillId="0" borderId="49" xfId="12" applyFont="1" applyFill="1" applyBorder="1" applyAlignment="1" applyProtection="1">
      <alignment horizontal="center"/>
      <protection locked="0"/>
    </xf>
    <xf numFmtId="7" fontId="47" fillId="0" borderId="88" xfId="12" applyFont="1" applyBorder="1" applyAlignment="1" applyProtection="1">
      <alignment horizontal="center"/>
      <protection locked="0"/>
    </xf>
    <xf numFmtId="7" fontId="47" fillId="0" borderId="54" xfId="12" applyFont="1" applyBorder="1" applyAlignment="1" applyProtection="1">
      <alignment horizontal="center"/>
      <protection locked="0"/>
    </xf>
    <xf numFmtId="7" fontId="47" fillId="0" borderId="10" xfId="12" applyFont="1" applyBorder="1" applyAlignment="1" applyProtection="1">
      <alignment horizontal="center"/>
      <protection locked="0"/>
    </xf>
    <xf numFmtId="7" fontId="47" fillId="0" borderId="10" xfId="12" applyFont="1" applyFill="1" applyBorder="1" applyAlignment="1" applyProtection="1">
      <alignment horizontal="center"/>
      <protection locked="0"/>
    </xf>
    <xf numFmtId="170" fontId="46" fillId="0" borderId="38" xfId="12" applyNumberFormat="1" applyFont="1" applyBorder="1" applyAlignment="1" applyProtection="1">
      <alignment horizontal="center"/>
      <protection locked="0"/>
    </xf>
    <xf numFmtId="7" fontId="47" fillId="0" borderId="51" xfId="12" applyFont="1" applyBorder="1" applyAlignment="1" applyProtection="1">
      <alignment horizontal="center"/>
      <protection locked="0"/>
    </xf>
    <xf numFmtId="7" fontId="47" fillId="0" borderId="16" xfId="12" applyFont="1" applyBorder="1" applyAlignment="1" applyProtection="1">
      <alignment horizontal="left"/>
      <protection locked="0"/>
    </xf>
    <xf numFmtId="10" fontId="47" fillId="0" borderId="0" xfId="23" applyFont="1" applyBorder="1" applyAlignment="1" applyProtection="1">
      <alignment horizontal="center"/>
      <protection locked="0"/>
    </xf>
    <xf numFmtId="7" fontId="47" fillId="0" borderId="0" xfId="12" applyFont="1" applyBorder="1" applyAlignment="1" applyProtection="1">
      <alignment horizontal="center"/>
      <protection locked="0"/>
    </xf>
    <xf numFmtId="7" fontId="47" fillId="0" borderId="0" xfId="12" applyFont="1" applyFill="1" applyBorder="1" applyAlignment="1" applyProtection="1">
      <alignment horizontal="center"/>
      <protection locked="0"/>
    </xf>
    <xf numFmtId="7" fontId="47" fillId="0" borderId="0" xfId="12" applyFont="1" applyFill="1" applyBorder="1" applyAlignment="1" applyProtection="1">
      <alignment horizontal="center" wrapText="1"/>
      <protection locked="0"/>
    </xf>
    <xf numFmtId="4" fontId="47" fillId="0" borderId="0" xfId="4" applyFont="1" applyBorder="1" applyAlignment="1" applyProtection="1">
      <alignment horizontal="center"/>
      <protection locked="0"/>
    </xf>
    <xf numFmtId="7" fontId="47" fillId="0" borderId="29" xfId="12" applyFont="1" applyBorder="1" applyAlignment="1" applyProtection="1">
      <alignment horizontal="center"/>
      <protection locked="0"/>
    </xf>
    <xf numFmtId="0" fontId="46" fillId="0" borderId="0" xfId="21" applyFont="1" applyAlignment="1" applyProtection="1">
      <alignment horizontal="center"/>
      <protection locked="0"/>
    </xf>
    <xf numFmtId="0" fontId="47" fillId="0" borderId="12" xfId="21" applyFont="1" applyBorder="1" applyAlignment="1" applyProtection="1">
      <alignment horizontal="center"/>
      <protection locked="0"/>
    </xf>
    <xf numFmtId="0" fontId="46" fillId="0" borderId="10" xfId="21" applyFont="1" applyBorder="1" applyAlignment="1" applyProtection="1">
      <alignment horizontal="center"/>
      <protection locked="0"/>
    </xf>
    <xf numFmtId="0" fontId="47" fillId="0" borderId="51" xfId="21" applyFont="1" applyBorder="1" applyAlignment="1" applyProtection="1">
      <alignment horizontal="center"/>
      <protection locked="0"/>
    </xf>
    <xf numFmtId="0" fontId="47" fillId="8" borderId="68" xfId="21" applyFont="1" applyFill="1" applyBorder="1" applyAlignment="1" applyProtection="1">
      <alignment horizontal="center"/>
      <protection locked="0"/>
    </xf>
    <xf numFmtId="0" fontId="47" fillId="0" borderId="68" xfId="21" applyFont="1" applyBorder="1" applyAlignment="1" applyProtection="1">
      <alignment horizontal="center"/>
      <protection locked="0"/>
    </xf>
    <xf numFmtId="168" fontId="47" fillId="0" borderId="35" xfId="6" applyNumberFormat="1" applyFont="1" applyBorder="1" applyAlignment="1" applyProtection="1">
      <alignment horizontal="center"/>
      <protection locked="0"/>
    </xf>
    <xf numFmtId="168" fontId="47" fillId="0" borderId="83" xfId="6" applyNumberFormat="1" applyFont="1" applyBorder="1" applyAlignment="1" applyProtection="1">
      <alignment horizontal="center"/>
      <protection locked="0"/>
    </xf>
    <xf numFmtId="168" fontId="47" fillId="0" borderId="83" xfId="6" applyNumberFormat="1" applyFont="1" applyBorder="1" applyProtection="1">
      <protection locked="0"/>
    </xf>
    <xf numFmtId="0" fontId="47" fillId="0" borderId="61" xfId="21" applyFont="1" applyBorder="1" applyAlignment="1" applyProtection="1">
      <alignment horizontal="left"/>
      <protection locked="0"/>
    </xf>
    <xf numFmtId="168" fontId="46" fillId="0" borderId="45" xfId="6" applyNumberFormat="1" applyFont="1" applyFill="1" applyBorder="1" applyProtection="1">
      <protection locked="0"/>
    </xf>
    <xf numFmtId="168" fontId="46" fillId="0" borderId="45" xfId="6" applyNumberFormat="1" applyFont="1" applyBorder="1" applyProtection="1">
      <protection locked="0"/>
    </xf>
    <xf numFmtId="168" fontId="46" fillId="0" borderId="105" xfId="6" applyNumberFormat="1" applyFont="1" applyFill="1" applyBorder="1" applyProtection="1">
      <protection locked="0"/>
    </xf>
    <xf numFmtId="168" fontId="46" fillId="0" borderId="107" xfId="6" applyNumberFormat="1" applyFont="1" applyBorder="1" applyProtection="1">
      <protection locked="0"/>
    </xf>
    <xf numFmtId="168" fontId="47" fillId="0" borderId="60" xfId="6" applyNumberFormat="1" applyFont="1" applyBorder="1" applyProtection="1">
      <protection locked="0"/>
    </xf>
    <xf numFmtId="0" fontId="46" fillId="0" borderId="16" xfId="21" applyFont="1" applyBorder="1" applyAlignment="1" applyProtection="1">
      <alignment horizontal="left" indent="1"/>
      <protection locked="0"/>
    </xf>
    <xf numFmtId="168" fontId="46" fillId="8" borderId="0" xfId="6" applyNumberFormat="1" applyFont="1" applyFill="1" applyBorder="1" applyProtection="1">
      <protection locked="0"/>
    </xf>
    <xf numFmtId="168" fontId="46" fillId="0" borderId="0" xfId="6" applyNumberFormat="1" applyFont="1" applyBorder="1" applyProtection="1">
      <protection locked="0"/>
    </xf>
    <xf numFmtId="168" fontId="46" fillId="0" borderId="0" xfId="6" applyNumberFormat="1" applyFont="1" applyFill="1" applyBorder="1" applyProtection="1">
      <protection locked="0"/>
    </xf>
    <xf numFmtId="168" fontId="46" fillId="0" borderId="11" xfId="6" applyNumberFormat="1" applyFont="1" applyFill="1" applyBorder="1" applyProtection="1">
      <protection locked="0"/>
    </xf>
    <xf numFmtId="168" fontId="46" fillId="0" borderId="12" xfId="6" applyNumberFormat="1" applyFont="1" applyBorder="1" applyProtection="1">
      <protection locked="0"/>
    </xf>
    <xf numFmtId="168" fontId="47" fillId="0" borderId="13" xfId="6" applyNumberFormat="1" applyFont="1" applyBorder="1" applyProtection="1">
      <protection locked="0"/>
    </xf>
    <xf numFmtId="168" fontId="46" fillId="0" borderId="0" xfId="6" quotePrefix="1" applyNumberFormat="1" applyFont="1" applyBorder="1" applyProtection="1">
      <protection locked="0"/>
    </xf>
    <xf numFmtId="0" fontId="47" fillId="0" borderId="16" xfId="21" applyFont="1" applyBorder="1" applyAlignment="1" applyProtection="1">
      <alignment horizontal="left"/>
      <protection locked="0"/>
    </xf>
    <xf numFmtId="168" fontId="46" fillId="0" borderId="0" xfId="6" quotePrefix="1" applyNumberFormat="1" applyFont="1" applyFill="1" applyBorder="1" applyProtection="1">
      <protection locked="0"/>
    </xf>
    <xf numFmtId="0" fontId="46" fillId="0" borderId="62" xfId="21" applyFont="1" applyBorder="1" applyAlignment="1" applyProtection="1">
      <alignment horizontal="left" indent="1"/>
      <protection locked="0"/>
    </xf>
    <xf numFmtId="168" fontId="46" fillId="0" borderId="63" xfId="6" applyNumberFormat="1" applyFont="1" applyFill="1" applyBorder="1" applyProtection="1">
      <protection locked="0"/>
    </xf>
    <xf numFmtId="168" fontId="46" fillId="0" borderId="63" xfId="6" applyNumberFormat="1" applyFont="1" applyBorder="1" applyProtection="1">
      <protection locked="0"/>
    </xf>
    <xf numFmtId="168" fontId="46" fillId="8" borderId="63" xfId="6" applyNumberFormat="1" applyFont="1" applyFill="1" applyBorder="1" applyProtection="1">
      <protection locked="0"/>
    </xf>
    <xf numFmtId="168" fontId="46" fillId="0" borderId="84" xfId="6" applyNumberFormat="1" applyFont="1" applyFill="1" applyBorder="1" applyProtection="1">
      <protection locked="0"/>
    </xf>
    <xf numFmtId="168" fontId="46" fillId="0" borderId="81" xfId="6" applyNumberFormat="1" applyFont="1" applyFill="1" applyBorder="1" applyProtection="1">
      <protection locked="0"/>
    </xf>
    <xf numFmtId="0" fontId="46" fillId="0" borderId="63" xfId="21" applyFont="1" applyBorder="1" applyProtection="1">
      <protection locked="0"/>
    </xf>
    <xf numFmtId="168" fontId="46" fillId="0" borderId="84" xfId="6" applyNumberFormat="1" applyFont="1" applyBorder="1" applyProtection="1">
      <protection locked="0"/>
    </xf>
    <xf numFmtId="168" fontId="47" fillId="0" borderId="91" xfId="6" applyNumberFormat="1" applyFont="1" applyBorder="1" applyProtection="1">
      <protection locked="0"/>
    </xf>
    <xf numFmtId="0" fontId="47" fillId="0" borderId="66" xfId="21" applyFont="1" applyBorder="1" applyAlignment="1" applyProtection="1">
      <alignment horizontal="left"/>
      <protection locked="0"/>
    </xf>
    <xf numFmtId="0" fontId="46" fillId="0" borderId="65" xfId="21" applyFont="1" applyBorder="1" applyProtection="1">
      <protection locked="0"/>
    </xf>
    <xf numFmtId="168" fontId="46" fillId="0" borderId="65" xfId="6" applyNumberFormat="1" applyFont="1" applyBorder="1" applyProtection="1">
      <protection locked="0"/>
    </xf>
    <xf numFmtId="44" fontId="47" fillId="0" borderId="61" xfId="13" applyFont="1" applyFill="1" applyBorder="1" applyAlignment="1" applyProtection="1">
      <alignment horizontal="center"/>
      <protection locked="0"/>
    </xf>
    <xf numFmtId="44" fontId="47" fillId="0" borderId="45" xfId="13" applyFont="1" applyFill="1" applyBorder="1" applyAlignment="1" applyProtection="1">
      <alignment horizontal="center"/>
      <protection locked="0"/>
    </xf>
    <xf numFmtId="168" fontId="47" fillId="0" borderId="107" xfId="6" applyNumberFormat="1" applyFont="1" applyBorder="1" applyProtection="1">
      <protection locked="0"/>
    </xf>
    <xf numFmtId="0" fontId="46" fillId="0" borderId="93" xfId="21" applyFont="1" applyBorder="1" applyAlignment="1" applyProtection="1">
      <alignment horizontal="center"/>
      <protection locked="0"/>
    </xf>
    <xf numFmtId="0" fontId="46" fillId="0" borderId="8" xfId="21" applyFont="1" applyBorder="1" applyAlignment="1" applyProtection="1">
      <alignment horizontal="center"/>
      <protection locked="0"/>
    </xf>
    <xf numFmtId="0" fontId="46" fillId="0" borderId="26" xfId="21" applyFont="1" applyBorder="1" applyAlignment="1" applyProtection="1">
      <alignment horizontal="center"/>
      <protection locked="0"/>
    </xf>
    <xf numFmtId="0" fontId="47" fillId="0" borderId="28" xfId="21" applyFont="1" applyBorder="1" applyAlignment="1" applyProtection="1">
      <alignment horizontal="center"/>
      <protection locked="0"/>
    </xf>
    <xf numFmtId="0" fontId="47" fillId="0" borderId="7" xfId="21" applyFont="1" applyBorder="1" applyProtection="1">
      <protection locked="0"/>
    </xf>
    <xf numFmtId="168" fontId="46" fillId="0" borderId="8" xfId="6" applyNumberFormat="1" applyFont="1" applyBorder="1" applyProtection="1">
      <protection locked="0"/>
    </xf>
    <xf numFmtId="168" fontId="46" fillId="0" borderId="26" xfId="6" applyNumberFormat="1" applyFont="1" applyFill="1" applyBorder="1" applyProtection="1">
      <protection locked="0"/>
    </xf>
    <xf numFmtId="168" fontId="46" fillId="0" borderId="26" xfId="6" applyNumberFormat="1" applyFont="1" applyBorder="1" applyProtection="1">
      <protection locked="0"/>
    </xf>
    <xf numFmtId="168" fontId="47" fillId="0" borderId="28" xfId="6" applyNumberFormat="1" applyFont="1" applyBorder="1" applyProtection="1">
      <protection locked="0"/>
    </xf>
    <xf numFmtId="0" fontId="47" fillId="0" borderId="17" xfId="21" applyFont="1" applyBorder="1" applyProtection="1">
      <protection locked="0"/>
    </xf>
    <xf numFmtId="0" fontId="47" fillId="0" borderId="40" xfId="21" applyFont="1" applyBorder="1" applyProtection="1">
      <protection locked="0"/>
    </xf>
    <xf numFmtId="3" fontId="47" fillId="0" borderId="71" xfId="7" applyNumberFormat="1" applyFont="1" applyBorder="1" applyAlignment="1" applyProtection="1">
      <alignment horizontal="center"/>
      <protection locked="0"/>
    </xf>
    <xf numFmtId="3" fontId="47" fillId="0" borderId="40" xfId="7" applyNumberFormat="1" applyFont="1" applyFill="1" applyBorder="1" applyAlignment="1" applyProtection="1">
      <alignment horizontal="center"/>
      <protection locked="0"/>
    </xf>
    <xf numFmtId="167" fontId="47" fillId="0" borderId="40" xfId="21" applyNumberFormat="1" applyFont="1" applyBorder="1" applyProtection="1">
      <protection locked="0"/>
    </xf>
    <xf numFmtId="167" fontId="47" fillId="0" borderId="72" xfId="21" applyNumberFormat="1" applyFont="1" applyBorder="1" applyProtection="1">
      <protection locked="0"/>
    </xf>
    <xf numFmtId="167" fontId="47" fillId="0" borderId="75" xfId="21" applyNumberFormat="1" applyFont="1" applyBorder="1" applyProtection="1">
      <protection locked="0"/>
    </xf>
    <xf numFmtId="0" fontId="46" fillId="0" borderId="33" xfId="21" applyFont="1" applyBorder="1" applyProtection="1">
      <protection locked="0"/>
    </xf>
    <xf numFmtId="0" fontId="47" fillId="0" borderId="33" xfId="21" applyFont="1" applyBorder="1" applyProtection="1">
      <protection locked="0"/>
    </xf>
    <xf numFmtId="0" fontId="46" fillId="0" borderId="0" xfId="21" applyFont="1" applyAlignment="1" applyProtection="1">
      <alignment wrapText="1"/>
      <protection locked="0"/>
    </xf>
    <xf numFmtId="0" fontId="50" fillId="0" borderId="0" xfId="36" applyFont="1"/>
    <xf numFmtId="0" fontId="61" fillId="0" borderId="0" xfId="42" applyFont="1"/>
    <xf numFmtId="0" fontId="62" fillId="0" borderId="0" xfId="42" applyFont="1"/>
    <xf numFmtId="0" fontId="61" fillId="13" borderId="44" xfId="42" applyFont="1" applyFill="1" applyBorder="1" applyAlignment="1">
      <alignment horizontal="center" wrapText="1"/>
    </xf>
    <xf numFmtId="0" fontId="64" fillId="13" borderId="44" xfId="42" applyFont="1" applyFill="1" applyBorder="1" applyAlignment="1">
      <alignment horizontal="center" wrapText="1"/>
    </xf>
    <xf numFmtId="44" fontId="61" fillId="13" borderId="44" xfId="43" applyFont="1" applyFill="1" applyBorder="1" applyAlignment="1">
      <alignment horizontal="center" wrapText="1"/>
    </xf>
    <xf numFmtId="0" fontId="65" fillId="0" borderId="44" xfId="42" applyFont="1" applyBorder="1"/>
    <xf numFmtId="0" fontId="66" fillId="0" borderId="44" xfId="42" applyFont="1" applyBorder="1" applyAlignment="1">
      <alignment horizontal="center" vertical="center"/>
    </xf>
    <xf numFmtId="177" fontId="66" fillId="0" borderId="44" xfId="42" applyNumberFormat="1" applyFont="1" applyBorder="1" applyAlignment="1">
      <alignment horizontal="center" vertical="center"/>
    </xf>
    <xf numFmtId="177" fontId="67" fillId="0" borderId="44" xfId="42" applyNumberFormat="1" applyFont="1" applyBorder="1" applyAlignment="1">
      <alignment horizontal="center" vertical="center"/>
    </xf>
    <xf numFmtId="44" fontId="66" fillId="0" borderId="44" xfId="43" applyFont="1" applyBorder="1" applyAlignment="1">
      <alignment horizontal="center" vertical="center"/>
    </xf>
    <xf numFmtId="182" fontId="67" fillId="0" borderId="44" xfId="42" applyNumberFormat="1" applyFont="1" applyBorder="1" applyAlignment="1">
      <alignment horizontal="center" vertical="center"/>
    </xf>
    <xf numFmtId="177" fontId="66" fillId="0" borderId="44" xfId="43" applyNumberFormat="1" applyFont="1" applyBorder="1" applyAlignment="1">
      <alignment horizontal="center" vertical="center"/>
    </xf>
    <xf numFmtId="0" fontId="62" fillId="0" borderId="43" xfId="42" applyFont="1" applyBorder="1"/>
    <xf numFmtId="0" fontId="68" fillId="0" borderId="43" xfId="42" applyFont="1" applyBorder="1"/>
    <xf numFmtId="0" fontId="68" fillId="0" borderId="43" xfId="42" applyFont="1" applyBorder="1" applyAlignment="1">
      <alignment horizontal="center" vertical="center"/>
    </xf>
    <xf numFmtId="177" fontId="68" fillId="0" borderId="43" xfId="42" applyNumberFormat="1" applyFont="1" applyBorder="1" applyAlignment="1">
      <alignment horizontal="center" vertical="center"/>
    </xf>
    <xf numFmtId="177" fontId="62" fillId="0" borderId="4" xfId="42" applyNumberFormat="1" applyFont="1" applyBorder="1" applyAlignment="1">
      <alignment horizontal="center" vertical="center"/>
    </xf>
    <xf numFmtId="44" fontId="68" fillId="0" borderId="43" xfId="43" applyFont="1" applyBorder="1" applyAlignment="1">
      <alignment horizontal="center" vertical="center"/>
    </xf>
    <xf numFmtId="177" fontId="68" fillId="0" borderId="4" xfId="42" applyNumberFormat="1" applyFont="1" applyBorder="1" applyAlignment="1">
      <alignment horizontal="center" vertical="center"/>
    </xf>
    <xf numFmtId="182" fontId="68" fillId="0" borderId="43" xfId="42" applyNumberFormat="1" applyFont="1" applyBorder="1" applyAlignment="1">
      <alignment horizontal="center" vertical="center"/>
    </xf>
    <xf numFmtId="182" fontId="61" fillId="0" borderId="43" xfId="42" applyNumberFormat="1" applyFont="1" applyBorder="1" applyAlignment="1">
      <alignment horizontal="center" vertical="center"/>
    </xf>
    <xf numFmtId="177" fontId="62" fillId="0" borderId="4" xfId="43" applyNumberFormat="1" applyFont="1" applyBorder="1" applyAlignment="1">
      <alignment horizontal="center" vertical="center"/>
    </xf>
    <xf numFmtId="0" fontId="61" fillId="0" borderId="74" xfId="42" applyFont="1" applyBorder="1"/>
    <xf numFmtId="0" fontId="68" fillId="0" borderId="73" xfId="42" applyFont="1" applyBorder="1"/>
    <xf numFmtId="0" fontId="68" fillId="0" borderId="73" xfId="42" applyFont="1" applyBorder="1" applyAlignment="1">
      <alignment horizontal="center" vertical="center"/>
    </xf>
    <xf numFmtId="177" fontId="64" fillId="0" borderId="75" xfId="43" applyNumberFormat="1" applyFont="1" applyBorder="1" applyAlignment="1">
      <alignment horizontal="center" vertical="center"/>
    </xf>
    <xf numFmtId="168" fontId="61" fillId="0" borderId="73" xfId="42" applyNumberFormat="1" applyFont="1" applyBorder="1" applyAlignment="1">
      <alignment horizontal="center" vertical="center"/>
    </xf>
    <xf numFmtId="0" fontId="62" fillId="0" borderId="0" xfId="42" applyFont="1" applyAlignment="1">
      <alignment wrapText="1"/>
    </xf>
    <xf numFmtId="0" fontId="62" fillId="0" borderId="5" xfId="42" applyFont="1" applyBorder="1"/>
    <xf numFmtId="0" fontId="68" fillId="0" borderId="5" xfId="42" applyFont="1" applyBorder="1"/>
    <xf numFmtId="0" fontId="68" fillId="0" borderId="5" xfId="42" applyFont="1" applyBorder="1" applyAlignment="1">
      <alignment horizontal="center" vertical="center"/>
    </xf>
    <xf numFmtId="177" fontId="62" fillId="0" borderId="44" xfId="42" applyNumberFormat="1" applyFont="1" applyBorder="1" applyAlignment="1">
      <alignment horizontal="center" vertical="center"/>
    </xf>
    <xf numFmtId="177" fontId="62" fillId="0" borderId="44" xfId="43" applyNumberFormat="1" applyFont="1" applyBorder="1" applyAlignment="1">
      <alignment horizontal="center" vertical="center"/>
    </xf>
    <xf numFmtId="177" fontId="68" fillId="0" borderId="44" xfId="42" applyNumberFormat="1" applyFont="1" applyBorder="1" applyAlignment="1">
      <alignment horizontal="center" vertical="center"/>
    </xf>
    <xf numFmtId="168" fontId="61" fillId="0" borderId="5" xfId="42" applyNumberFormat="1" applyFont="1" applyBorder="1" applyAlignment="1">
      <alignment horizontal="center" vertical="center"/>
    </xf>
    <xf numFmtId="168" fontId="61" fillId="0" borderId="43" xfId="42" applyNumberFormat="1" applyFont="1" applyBorder="1" applyAlignment="1">
      <alignment horizontal="center" vertical="center"/>
    </xf>
    <xf numFmtId="0" fontId="61" fillId="0" borderId="73" xfId="42" applyFont="1" applyBorder="1" applyAlignment="1">
      <alignment horizontal="center" vertical="center"/>
    </xf>
    <xf numFmtId="168" fontId="68" fillId="0" borderId="5" xfId="42" applyNumberFormat="1" applyFont="1" applyBorder="1" applyAlignment="1">
      <alignment horizontal="center" vertical="center"/>
    </xf>
    <xf numFmtId="0" fontId="68" fillId="0" borderId="5" xfId="42" applyFont="1" applyBorder="1" applyAlignment="1">
      <alignment horizontal="center"/>
    </xf>
    <xf numFmtId="177" fontId="62" fillId="0" borderId="44" xfId="42" applyNumberFormat="1" applyFont="1" applyBorder="1" applyAlignment="1">
      <alignment horizontal="center"/>
    </xf>
    <xf numFmtId="177" fontId="68" fillId="0" borderId="44" xfId="42" applyNumberFormat="1" applyFont="1" applyBorder="1" applyAlignment="1">
      <alignment horizontal="center"/>
    </xf>
    <xf numFmtId="168" fontId="68" fillId="0" borderId="5" xfId="42" applyNumberFormat="1" applyFont="1" applyBorder="1" applyAlignment="1">
      <alignment horizontal="center"/>
    </xf>
    <xf numFmtId="0" fontId="62" fillId="0" borderId="5" xfId="42" applyFont="1" applyBorder="1" applyAlignment="1">
      <alignment horizontal="center"/>
    </xf>
    <xf numFmtId="0" fontId="62" fillId="0" borderId="43" xfId="42" applyFont="1" applyBorder="1" applyAlignment="1">
      <alignment horizontal="center"/>
    </xf>
    <xf numFmtId="0" fontId="61" fillId="0" borderId="86" xfId="42" applyFont="1" applyBorder="1"/>
    <xf numFmtId="0" fontId="68" fillId="0" borderId="100" xfId="42" applyFont="1" applyBorder="1"/>
    <xf numFmtId="0" fontId="68" fillId="0" borderId="100" xfId="42" applyFont="1" applyBorder="1" applyAlignment="1">
      <alignment horizontal="center"/>
    </xf>
    <xf numFmtId="168" fontId="61" fillId="0" borderId="100" xfId="42" applyNumberFormat="1" applyFont="1" applyBorder="1" applyAlignment="1">
      <alignment horizontal="center"/>
    </xf>
    <xf numFmtId="177" fontId="68" fillId="0" borderId="73" xfId="42" applyNumberFormat="1" applyFont="1" applyBorder="1" applyAlignment="1">
      <alignment horizontal="center" vertical="center"/>
    </xf>
    <xf numFmtId="177" fontId="61" fillId="0" borderId="73" xfId="43" applyNumberFormat="1" applyFont="1" applyBorder="1" applyAlignment="1">
      <alignment horizontal="center" vertical="center"/>
    </xf>
    <xf numFmtId="177" fontId="68" fillId="0" borderId="73" xfId="43" applyNumberFormat="1" applyFont="1" applyBorder="1" applyAlignment="1">
      <alignment horizontal="center" vertical="center"/>
    </xf>
    <xf numFmtId="0" fontId="68" fillId="0" borderId="0" xfId="42" applyFont="1"/>
    <xf numFmtId="168" fontId="61" fillId="0" borderId="0" xfId="42" applyNumberFormat="1" applyFont="1"/>
    <xf numFmtId="3" fontId="69" fillId="0" borderId="0" xfId="36" applyNumberFormat="1" applyFont="1" applyAlignment="1">
      <alignment horizontal="center" vertical="center" wrapText="1"/>
    </xf>
    <xf numFmtId="3" fontId="55" fillId="0" borderId="0" xfId="36" applyNumberFormat="1" applyFont="1" applyAlignment="1">
      <alignment vertical="center" wrapText="1"/>
    </xf>
    <xf numFmtId="0" fontId="70" fillId="23" borderId="71" xfId="36" applyFont="1" applyFill="1" applyBorder="1" applyAlignment="1">
      <alignment horizontal="center"/>
    </xf>
    <xf numFmtId="0" fontId="70" fillId="23" borderId="120" xfId="36" applyFont="1" applyFill="1" applyBorder="1" applyAlignment="1">
      <alignment horizontal="center"/>
    </xf>
    <xf numFmtId="0" fontId="59" fillId="0" borderId="122" xfId="36" applyFont="1" applyBorder="1"/>
    <xf numFmtId="0" fontId="70" fillId="0" borderId="123" xfId="36" applyFont="1" applyBorder="1" applyAlignment="1">
      <alignment horizontal="center"/>
    </xf>
    <xf numFmtId="0" fontId="70" fillId="0" borderId="124" xfId="36" applyFont="1" applyBorder="1" applyAlignment="1">
      <alignment horizontal="center"/>
    </xf>
    <xf numFmtId="0" fontId="70" fillId="0" borderId="125" xfId="36" applyFont="1" applyBorder="1" applyAlignment="1">
      <alignment horizontal="center"/>
    </xf>
    <xf numFmtId="0" fontId="70" fillId="0" borderId="122" xfId="36" applyFont="1" applyBorder="1"/>
    <xf numFmtId="0" fontId="70" fillId="13" borderId="74" xfId="36" applyFont="1" applyFill="1" applyBorder="1"/>
    <xf numFmtId="0" fontId="70" fillId="23" borderId="126" xfId="36" applyFont="1" applyFill="1" applyBorder="1" applyAlignment="1">
      <alignment horizontal="left"/>
    </xf>
    <xf numFmtId="180" fontId="50" fillId="0" borderId="0" xfId="36" applyNumberFormat="1" applyFont="1"/>
    <xf numFmtId="0" fontId="46" fillId="0" borderId="0" xfId="36" applyFont="1"/>
    <xf numFmtId="0" fontId="46" fillId="0" borderId="0" xfId="36" applyFont="1" applyAlignment="1">
      <alignment wrapText="1"/>
    </xf>
    <xf numFmtId="9" fontId="46" fillId="0" borderId="0" xfId="37" applyFont="1" applyBorder="1" applyAlignment="1">
      <alignment horizontal="center" wrapText="1"/>
    </xf>
    <xf numFmtId="3" fontId="46" fillId="0" borderId="0" xfId="36" applyNumberFormat="1" applyFont="1" applyAlignment="1">
      <alignment wrapText="1"/>
    </xf>
    <xf numFmtId="3" fontId="46" fillId="0" borderId="0" xfId="36" applyNumberFormat="1" applyFont="1"/>
    <xf numFmtId="3" fontId="46" fillId="0" borderId="0" xfId="36" applyNumberFormat="1" applyFont="1" applyAlignment="1">
      <alignment horizontal="center"/>
    </xf>
    <xf numFmtId="171" fontId="46" fillId="0" borderId="0" xfId="36" applyNumberFormat="1" applyFont="1"/>
    <xf numFmtId="0" fontId="47" fillId="0" borderId="71" xfId="36" applyFont="1" applyBorder="1" applyAlignment="1">
      <alignment horizontal="center" wrapText="1"/>
    </xf>
    <xf numFmtId="0" fontId="47" fillId="0" borderId="40" xfId="36" applyFont="1" applyBorder="1" applyAlignment="1">
      <alignment horizontal="center" wrapText="1"/>
    </xf>
    <xf numFmtId="0" fontId="47" fillId="0" borderId="17" xfId="36" applyFont="1" applyBorder="1" applyAlignment="1">
      <alignment horizontal="center" wrapText="1"/>
    </xf>
    <xf numFmtId="3" fontId="47" fillId="0" borderId="40" xfId="36" applyNumberFormat="1" applyFont="1" applyBorder="1" applyAlignment="1">
      <alignment horizontal="center"/>
    </xf>
    <xf numFmtId="3" fontId="47" fillId="0" borderId="115" xfId="39" applyNumberFormat="1" applyFont="1" applyBorder="1" applyAlignment="1">
      <alignment horizontal="center" wrapText="1"/>
    </xf>
    <xf numFmtId="0" fontId="47" fillId="0" borderId="40" xfId="39" applyFont="1" applyBorder="1" applyAlignment="1">
      <alignment horizontal="center" wrapText="1"/>
    </xf>
    <xf numFmtId="3" fontId="47" fillId="0" borderId="40" xfId="39" applyNumberFormat="1" applyFont="1" applyBorder="1" applyAlignment="1">
      <alignment horizontal="center" wrapText="1"/>
    </xf>
    <xf numFmtId="0" fontId="47" fillId="0" borderId="17" xfId="39" applyFont="1" applyBorder="1" applyAlignment="1">
      <alignment horizontal="center" wrapText="1"/>
    </xf>
    <xf numFmtId="3" fontId="47" fillId="0" borderId="73" xfId="36" applyNumberFormat="1" applyFont="1" applyBorder="1" applyAlignment="1">
      <alignment horizontal="right" wrapText="1"/>
    </xf>
    <xf numFmtId="3" fontId="47" fillId="0" borderId="40" xfId="36" applyNumberFormat="1" applyFont="1" applyBorder="1" applyAlignment="1">
      <alignment horizontal="center" wrapText="1"/>
    </xf>
    <xf numFmtId="3" fontId="47" fillId="0" borderId="72" xfId="36" applyNumberFormat="1" applyFont="1" applyBorder="1" applyAlignment="1">
      <alignment horizontal="right" wrapText="1"/>
    </xf>
    <xf numFmtId="0" fontId="47" fillId="14" borderId="11" xfId="36" applyFont="1" applyFill="1" applyBorder="1" applyAlignment="1">
      <alignment vertical="center" wrapText="1"/>
    </xf>
    <xf numFmtId="0" fontId="47" fillId="14" borderId="0" xfId="36" applyFont="1" applyFill="1" applyAlignment="1">
      <alignment vertical="center" wrapText="1"/>
    </xf>
    <xf numFmtId="0" fontId="47" fillId="14" borderId="0" xfId="36" applyFont="1" applyFill="1" applyAlignment="1">
      <alignment wrapText="1"/>
    </xf>
    <xf numFmtId="0" fontId="47" fillId="14" borderId="16" xfId="36" applyFont="1" applyFill="1" applyBorder="1" applyAlignment="1">
      <alignment wrapText="1"/>
    </xf>
    <xf numFmtId="3" fontId="47" fillId="14" borderId="0" xfId="36" applyNumberFormat="1" applyFont="1" applyFill="1" applyAlignment="1">
      <alignment wrapText="1"/>
    </xf>
    <xf numFmtId="3" fontId="46" fillId="14" borderId="34" xfId="36" applyNumberFormat="1" applyFont="1" applyFill="1" applyBorder="1"/>
    <xf numFmtId="3" fontId="46" fillId="14" borderId="0" xfId="36" applyNumberFormat="1" applyFont="1" applyFill="1"/>
    <xf numFmtId="3" fontId="46" fillId="14" borderId="16" xfId="36" applyNumberFormat="1" applyFont="1" applyFill="1" applyBorder="1"/>
    <xf numFmtId="3" fontId="46" fillId="14" borderId="4" xfId="36" applyNumberFormat="1" applyFont="1" applyFill="1" applyBorder="1" applyAlignment="1">
      <alignment horizontal="right" wrapText="1"/>
    </xf>
    <xf numFmtId="3" fontId="46" fillId="14" borderId="12" xfId="36" applyNumberFormat="1" applyFont="1" applyFill="1" applyBorder="1" applyAlignment="1">
      <alignment horizontal="right" wrapText="1"/>
    </xf>
    <xf numFmtId="0" fontId="47" fillId="15" borderId="11" xfId="36" applyFont="1" applyFill="1" applyBorder="1" applyAlignment="1">
      <alignment horizontal="left" wrapText="1"/>
    </xf>
    <xf numFmtId="0" fontId="47" fillId="15" borderId="0" xfId="36" applyFont="1" applyFill="1" applyAlignment="1">
      <alignment horizontal="left" wrapText="1"/>
    </xf>
    <xf numFmtId="0" fontId="47" fillId="15" borderId="0" xfId="36" applyFont="1" applyFill="1" applyAlignment="1">
      <alignment horizontal="left"/>
    </xf>
    <xf numFmtId="0" fontId="47" fillId="15" borderId="16" xfId="36" applyFont="1" applyFill="1" applyBorder="1" applyAlignment="1">
      <alignment horizontal="right" wrapText="1"/>
    </xf>
    <xf numFmtId="3" fontId="46" fillId="15" borderId="34" xfId="36" applyNumberFormat="1" applyFont="1" applyFill="1" applyBorder="1" applyAlignment="1">
      <alignment horizontal="right" wrapText="1"/>
    </xf>
    <xf numFmtId="3" fontId="46" fillId="15" borderId="0" xfId="36" applyNumberFormat="1" applyFont="1" applyFill="1" applyAlignment="1">
      <alignment horizontal="right" wrapText="1"/>
    </xf>
    <xf numFmtId="3" fontId="46" fillId="15" borderId="16" xfId="36" applyNumberFormat="1" applyFont="1" applyFill="1" applyBorder="1" applyAlignment="1">
      <alignment horizontal="right" wrapText="1"/>
    </xf>
    <xf numFmtId="3" fontId="46" fillId="15" borderId="4" xfId="36" applyNumberFormat="1" applyFont="1" applyFill="1" applyBorder="1" applyAlignment="1">
      <alignment horizontal="right" wrapText="1"/>
    </xf>
    <xf numFmtId="3" fontId="46" fillId="15" borderId="12" xfId="36" applyNumberFormat="1" applyFont="1" applyFill="1" applyBorder="1" applyAlignment="1">
      <alignment horizontal="right" wrapText="1"/>
    </xf>
    <xf numFmtId="0" fontId="46" fillId="0" borderId="11" xfId="36" applyFont="1" applyBorder="1" applyAlignment="1">
      <alignment horizontal="left" wrapText="1"/>
    </xf>
    <xf numFmtId="0" fontId="46" fillId="0" borderId="0" xfId="36" applyFont="1" applyAlignment="1">
      <alignment horizontal="left" wrapText="1"/>
    </xf>
    <xf numFmtId="9" fontId="46" fillId="0" borderId="0" xfId="37" applyFont="1" applyBorder="1" applyAlignment="1">
      <alignment horizontal="left" wrapText="1"/>
    </xf>
    <xf numFmtId="0" fontId="46" fillId="0" borderId="0" xfId="36" applyFont="1" applyAlignment="1">
      <alignment horizontal="left"/>
    </xf>
    <xf numFmtId="179" fontId="46" fillId="0" borderId="16" xfId="36" applyNumberFormat="1" applyFont="1" applyBorder="1" applyAlignment="1">
      <alignment horizontal="right" wrapText="1"/>
    </xf>
    <xf numFmtId="179" fontId="46" fillId="0" borderId="34" xfId="36" applyNumberFormat="1" applyFont="1" applyBorder="1" applyAlignment="1">
      <alignment horizontal="right" wrapText="1"/>
    </xf>
    <xf numFmtId="179" fontId="46" fillId="0" borderId="0" xfId="36" applyNumberFormat="1" applyFont="1" applyAlignment="1">
      <alignment horizontal="right" wrapText="1"/>
    </xf>
    <xf numFmtId="179" fontId="46" fillId="0" borderId="4" xfId="36" applyNumberFormat="1" applyFont="1" applyBorder="1" applyAlignment="1">
      <alignment horizontal="right" wrapText="1"/>
    </xf>
    <xf numFmtId="179" fontId="46" fillId="0" borderId="12" xfId="36" applyNumberFormat="1" applyFont="1" applyBorder="1" applyAlignment="1">
      <alignment horizontal="right" wrapText="1"/>
    </xf>
    <xf numFmtId="179" fontId="46" fillId="0" borderId="0" xfId="36" applyNumberFormat="1" applyFont="1"/>
    <xf numFmtId="0" fontId="46" fillId="15" borderId="0" xfId="36" applyFont="1" applyFill="1" applyAlignment="1">
      <alignment horizontal="left"/>
    </xf>
    <xf numFmtId="179" fontId="46" fillId="15" borderId="16" xfId="36" applyNumberFormat="1" applyFont="1" applyFill="1" applyBorder="1" applyAlignment="1">
      <alignment horizontal="right" wrapText="1"/>
    </xf>
    <xf numFmtId="179" fontId="46" fillId="15" borderId="34" xfId="36" applyNumberFormat="1" applyFont="1" applyFill="1" applyBorder="1" applyAlignment="1">
      <alignment horizontal="right" wrapText="1"/>
    </xf>
    <xf numFmtId="179" fontId="46" fillId="15" borderId="0" xfId="36" applyNumberFormat="1" applyFont="1" applyFill="1" applyAlignment="1">
      <alignment horizontal="right" wrapText="1"/>
    </xf>
    <xf numFmtId="179" fontId="46" fillId="15" borderId="4" xfId="36" applyNumberFormat="1" applyFont="1" applyFill="1" applyBorder="1" applyAlignment="1">
      <alignment horizontal="right" wrapText="1"/>
    </xf>
    <xf numFmtId="179" fontId="46" fillId="15" borderId="12" xfId="36" applyNumberFormat="1" applyFont="1" applyFill="1" applyBorder="1" applyAlignment="1">
      <alignment horizontal="right" wrapText="1"/>
    </xf>
    <xf numFmtId="0" fontId="46" fillId="15" borderId="0" xfId="36" applyFont="1" applyFill="1" applyAlignment="1">
      <alignment horizontal="left" wrapText="1"/>
    </xf>
    <xf numFmtId="179" fontId="47" fillId="15" borderId="16" xfId="36" applyNumberFormat="1" applyFont="1" applyFill="1" applyBorder="1" applyAlignment="1">
      <alignment horizontal="right" wrapText="1"/>
    </xf>
    <xf numFmtId="179" fontId="47" fillId="15" borderId="0" xfId="36" applyNumberFormat="1" applyFont="1" applyFill="1" applyAlignment="1">
      <alignment horizontal="right" wrapText="1"/>
    </xf>
    <xf numFmtId="179" fontId="47" fillId="15" borderId="34" xfId="36" applyNumberFormat="1" applyFont="1" applyFill="1" applyBorder="1" applyAlignment="1">
      <alignment horizontal="right" wrapText="1"/>
    </xf>
    <xf numFmtId="179" fontId="47" fillId="15" borderId="4" xfId="36" applyNumberFormat="1" applyFont="1" applyFill="1" applyBorder="1" applyAlignment="1">
      <alignment horizontal="right" wrapText="1"/>
    </xf>
    <xf numFmtId="179" fontId="47" fillId="15" borderId="12" xfId="36" applyNumberFormat="1" applyFont="1" applyFill="1" applyBorder="1" applyAlignment="1">
      <alignment horizontal="right" wrapText="1"/>
    </xf>
    <xf numFmtId="0" fontId="47" fillId="0" borderId="11" xfId="36" applyFont="1" applyBorder="1" applyAlignment="1">
      <alignment horizontal="left" wrapText="1"/>
    </xf>
    <xf numFmtId="0" fontId="47" fillId="0" borderId="0" xfId="36" applyFont="1" applyAlignment="1">
      <alignment horizontal="left" wrapText="1"/>
    </xf>
    <xf numFmtId="0" fontId="47" fillId="0" borderId="0" xfId="36" applyFont="1" applyAlignment="1">
      <alignment horizontal="left"/>
    </xf>
    <xf numFmtId="179" fontId="47" fillId="0" borderId="16" xfId="36" applyNumberFormat="1" applyFont="1" applyBorder="1" applyAlignment="1">
      <alignment horizontal="right" wrapText="1"/>
    </xf>
    <xf numFmtId="179" fontId="47" fillId="0" borderId="0" xfId="36" applyNumberFormat="1" applyFont="1" applyAlignment="1">
      <alignment horizontal="right" wrapText="1"/>
    </xf>
    <xf numFmtId="179" fontId="47" fillId="0" borderId="34" xfId="36" applyNumberFormat="1" applyFont="1" applyBorder="1" applyAlignment="1">
      <alignment horizontal="right" wrapText="1"/>
    </xf>
    <xf numFmtId="179" fontId="47" fillId="0" borderId="4" xfId="36" applyNumberFormat="1" applyFont="1" applyBorder="1" applyAlignment="1">
      <alignment horizontal="right" wrapText="1"/>
    </xf>
    <xf numFmtId="179" fontId="47" fillId="0" borderId="12" xfId="36" applyNumberFormat="1" applyFont="1" applyBorder="1" applyAlignment="1">
      <alignment horizontal="right" wrapText="1"/>
    </xf>
    <xf numFmtId="168" fontId="46" fillId="0" borderId="34" xfId="36" applyNumberFormat="1" applyFont="1" applyBorder="1" applyAlignment="1">
      <alignment horizontal="right" wrapText="1"/>
    </xf>
    <xf numFmtId="168" fontId="46" fillId="0" borderId="0" xfId="36" applyNumberFormat="1" applyFont="1" applyAlignment="1">
      <alignment horizontal="right" wrapText="1"/>
    </xf>
    <xf numFmtId="10" fontId="46" fillId="0" borderId="0" xfId="36" applyNumberFormat="1" applyFont="1" applyAlignment="1">
      <alignment horizontal="right" wrapText="1"/>
    </xf>
    <xf numFmtId="0" fontId="46" fillId="0" borderId="11" xfId="36" applyFont="1" applyBorder="1" applyAlignment="1">
      <alignment wrapText="1"/>
    </xf>
    <xf numFmtId="0" fontId="46" fillId="0" borderId="0" xfId="36" applyFont="1" applyAlignment="1">
      <alignment horizontal="left" vertical="top"/>
    </xf>
    <xf numFmtId="0" fontId="46" fillId="0" borderId="16" xfId="36" applyFont="1" applyBorder="1" applyAlignment="1">
      <alignment horizontal="right" wrapText="1"/>
    </xf>
    <xf numFmtId="3" fontId="46" fillId="0" borderId="0" xfId="36" applyNumberFormat="1" applyFont="1" applyAlignment="1">
      <alignment horizontal="right" wrapText="1"/>
    </xf>
    <xf numFmtId="3" fontId="46" fillId="0" borderId="34" xfId="36" applyNumberFormat="1" applyFont="1" applyBorder="1" applyAlignment="1">
      <alignment horizontal="right" wrapText="1"/>
    </xf>
    <xf numFmtId="3" fontId="46" fillId="0" borderId="16" xfId="36" applyNumberFormat="1" applyFont="1" applyBorder="1" applyAlignment="1">
      <alignment horizontal="right" wrapText="1"/>
    </xf>
    <xf numFmtId="3" fontId="46" fillId="0" borderId="4" xfId="36" applyNumberFormat="1" applyFont="1" applyBorder="1" applyAlignment="1">
      <alignment horizontal="right" wrapText="1"/>
    </xf>
    <xf numFmtId="3" fontId="46" fillId="0" borderId="12" xfId="36" applyNumberFormat="1" applyFont="1" applyBorder="1" applyAlignment="1">
      <alignment horizontal="right" wrapText="1"/>
    </xf>
    <xf numFmtId="0" fontId="47" fillId="15" borderId="15" xfId="36" applyFont="1" applyFill="1" applyBorder="1" applyAlignment="1">
      <alignment wrapText="1"/>
    </xf>
    <xf numFmtId="0" fontId="47" fillId="15" borderId="26" xfId="36" applyFont="1" applyFill="1" applyBorder="1" applyAlignment="1">
      <alignment wrapText="1"/>
    </xf>
    <xf numFmtId="0" fontId="47" fillId="15" borderId="26" xfId="36" applyFont="1" applyFill="1" applyBorder="1" applyAlignment="1">
      <alignment horizontal="right" wrapText="1"/>
    </xf>
    <xf numFmtId="0" fontId="47" fillId="15" borderId="25" xfId="36" applyFont="1" applyFill="1" applyBorder="1" applyAlignment="1">
      <alignment horizontal="right" wrapText="1"/>
    </xf>
    <xf numFmtId="3" fontId="47" fillId="15" borderId="26" xfId="36" applyNumberFormat="1" applyFont="1" applyFill="1" applyBorder="1" applyAlignment="1">
      <alignment horizontal="right" wrapText="1"/>
    </xf>
    <xf numFmtId="180" fontId="47" fillId="15" borderId="77" xfId="36" applyNumberFormat="1" applyFont="1" applyFill="1" applyBorder="1" applyAlignment="1">
      <alignment horizontal="right" wrapText="1"/>
    </xf>
    <xf numFmtId="180" fontId="47" fillId="15" borderId="26" xfId="36" applyNumberFormat="1" applyFont="1" applyFill="1" applyBorder="1" applyAlignment="1">
      <alignment horizontal="right" wrapText="1"/>
    </xf>
    <xf numFmtId="180" fontId="47" fillId="15" borderId="25" xfId="36" applyNumberFormat="1" applyFont="1" applyFill="1" applyBorder="1" applyAlignment="1">
      <alignment horizontal="right" wrapText="1"/>
    </xf>
    <xf numFmtId="180" fontId="47" fillId="15" borderId="27" xfId="36" applyNumberFormat="1" applyFont="1" applyFill="1" applyBorder="1" applyAlignment="1">
      <alignment horizontal="right" wrapText="1"/>
    </xf>
    <xf numFmtId="180" fontId="47" fillId="15" borderId="28" xfId="36" applyNumberFormat="1" applyFont="1" applyFill="1" applyBorder="1" applyAlignment="1">
      <alignment horizontal="right" wrapText="1"/>
    </xf>
    <xf numFmtId="0" fontId="47" fillId="16" borderId="11" xfId="36" applyFont="1" applyFill="1" applyBorder="1" applyAlignment="1">
      <alignment wrapText="1"/>
    </xf>
    <xf numFmtId="0" fontId="47" fillId="16" borderId="0" xfId="36" applyFont="1" applyFill="1" applyAlignment="1">
      <alignment wrapText="1"/>
    </xf>
    <xf numFmtId="0" fontId="47" fillId="16" borderId="0" xfId="36" applyFont="1" applyFill="1" applyAlignment="1">
      <alignment horizontal="right" wrapText="1"/>
    </xf>
    <xf numFmtId="0" fontId="47" fillId="16" borderId="16" xfId="36" applyFont="1" applyFill="1" applyBorder="1" applyAlignment="1">
      <alignment horizontal="right" wrapText="1"/>
    </xf>
    <xf numFmtId="3" fontId="47" fillId="16" borderId="0" xfId="36" applyNumberFormat="1" applyFont="1" applyFill="1" applyAlignment="1">
      <alignment horizontal="right" wrapText="1"/>
    </xf>
    <xf numFmtId="180" fontId="47" fillId="16" borderId="34" xfId="36" applyNumberFormat="1" applyFont="1" applyFill="1" applyBorder="1" applyAlignment="1">
      <alignment horizontal="right" wrapText="1"/>
    </xf>
    <xf numFmtId="180" fontId="47" fillId="16" borderId="0" xfId="36" applyNumberFormat="1" applyFont="1" applyFill="1" applyAlignment="1">
      <alignment horizontal="right" wrapText="1"/>
    </xf>
    <xf numFmtId="180" fontId="47" fillId="16" borderId="16" xfId="36" applyNumberFormat="1" applyFont="1" applyFill="1" applyBorder="1" applyAlignment="1">
      <alignment horizontal="right" wrapText="1"/>
    </xf>
    <xf numFmtId="180" fontId="47" fillId="16" borderId="4" xfId="36" applyNumberFormat="1" applyFont="1" applyFill="1" applyBorder="1" applyAlignment="1">
      <alignment horizontal="right" wrapText="1"/>
    </xf>
    <xf numFmtId="167" fontId="47" fillId="16" borderId="12" xfId="36" applyNumberFormat="1" applyFont="1" applyFill="1" applyBorder="1" applyAlignment="1">
      <alignment horizontal="right" wrapText="1"/>
    </xf>
    <xf numFmtId="0" fontId="73" fillId="15" borderId="11" xfId="36" applyFont="1" applyFill="1" applyBorder="1" applyAlignment="1">
      <alignment wrapText="1"/>
    </xf>
    <xf numFmtId="0" fontId="73" fillId="15" borderId="0" xfId="36" applyFont="1" applyFill="1" applyAlignment="1">
      <alignment wrapText="1"/>
    </xf>
    <xf numFmtId="0" fontId="47" fillId="15" borderId="0" xfId="36" applyFont="1" applyFill="1" applyAlignment="1">
      <alignment horizontal="right" wrapText="1"/>
    </xf>
    <xf numFmtId="3" fontId="47" fillId="15" borderId="0" xfId="36" applyNumberFormat="1" applyFont="1" applyFill="1" applyAlignment="1">
      <alignment horizontal="right" wrapText="1"/>
    </xf>
    <xf numFmtId="180" fontId="47" fillId="15" borderId="34" xfId="36" applyNumberFormat="1" applyFont="1" applyFill="1" applyBorder="1" applyAlignment="1">
      <alignment horizontal="right" wrapText="1"/>
    </xf>
    <xf numFmtId="180" fontId="47" fillId="15" borderId="0" xfId="36" applyNumberFormat="1" applyFont="1" applyFill="1" applyAlignment="1">
      <alignment horizontal="right" wrapText="1"/>
    </xf>
    <xf numFmtId="180" fontId="47" fillId="15" borderId="16" xfId="36" applyNumberFormat="1" applyFont="1" applyFill="1" applyBorder="1" applyAlignment="1">
      <alignment horizontal="right" wrapText="1"/>
    </xf>
    <xf numFmtId="180" fontId="47" fillId="15" borderId="4" xfId="36" applyNumberFormat="1" applyFont="1" applyFill="1" applyBorder="1" applyAlignment="1">
      <alignment horizontal="right" wrapText="1"/>
    </xf>
    <xf numFmtId="167" fontId="47" fillId="15" borderId="12" xfId="36" applyNumberFormat="1" applyFont="1" applyFill="1" applyBorder="1" applyAlignment="1">
      <alignment horizontal="right" wrapText="1"/>
    </xf>
    <xf numFmtId="0" fontId="46" fillId="0" borderId="0" xfId="36" applyFont="1" applyAlignment="1">
      <alignment horizontal="left" vertical="top" wrapText="1"/>
    </xf>
    <xf numFmtId="0" fontId="46" fillId="15" borderId="0" xfId="36" applyFont="1" applyFill="1" applyAlignment="1">
      <alignment horizontal="left" vertical="top" wrapText="1"/>
    </xf>
    <xf numFmtId="167" fontId="47" fillId="15" borderId="28" xfId="36" applyNumberFormat="1" applyFont="1" applyFill="1" applyBorder="1" applyAlignment="1">
      <alignment horizontal="right" wrapText="1"/>
    </xf>
    <xf numFmtId="0" fontId="47" fillId="14" borderId="11" xfId="36" applyFont="1" applyFill="1" applyBorder="1" applyAlignment="1">
      <alignment wrapText="1"/>
    </xf>
    <xf numFmtId="1" fontId="46" fillId="0" borderId="0" xfId="40" applyNumberFormat="1" applyFont="1" applyBorder="1"/>
    <xf numFmtId="0" fontId="46" fillId="0" borderId="16" xfId="36" applyFont="1" applyBorder="1" applyAlignment="1">
      <alignment wrapText="1"/>
    </xf>
    <xf numFmtId="3" fontId="46" fillId="0" borderId="34" xfId="36" applyNumberFormat="1" applyFont="1" applyBorder="1"/>
    <xf numFmtId="3" fontId="46" fillId="0" borderId="16" xfId="36" applyNumberFormat="1" applyFont="1" applyBorder="1"/>
    <xf numFmtId="0" fontId="47" fillId="15" borderId="15" xfId="36" applyFont="1" applyFill="1" applyBorder="1" applyAlignment="1">
      <alignment horizontal="left" wrapText="1"/>
    </xf>
    <xf numFmtId="0" fontId="47" fillId="15" borderId="26" xfId="36" applyFont="1" applyFill="1" applyBorder="1" applyAlignment="1">
      <alignment horizontal="left" wrapText="1"/>
    </xf>
    <xf numFmtId="0" fontId="47" fillId="15" borderId="25" xfId="36" applyFont="1" applyFill="1" applyBorder="1" applyAlignment="1">
      <alignment wrapText="1"/>
    </xf>
    <xf numFmtId="3" fontId="47" fillId="15" borderId="26" xfId="36" applyNumberFormat="1" applyFont="1" applyFill="1" applyBorder="1" applyAlignment="1">
      <alignment wrapText="1"/>
    </xf>
    <xf numFmtId="180" fontId="47" fillId="15" borderId="77" xfId="38" applyNumberFormat="1" applyFont="1" applyFill="1" applyBorder="1" applyAlignment="1">
      <alignment horizontal="right" wrapText="1"/>
    </xf>
    <xf numFmtId="180" fontId="47" fillId="15" borderId="26" xfId="38" applyNumberFormat="1" applyFont="1" applyFill="1" applyBorder="1" applyAlignment="1">
      <alignment horizontal="right" wrapText="1"/>
    </xf>
    <xf numFmtId="180" fontId="47" fillId="15" borderId="25" xfId="38" applyNumberFormat="1" applyFont="1" applyFill="1" applyBorder="1" applyAlignment="1">
      <alignment horizontal="right" wrapText="1"/>
    </xf>
    <xf numFmtId="180" fontId="47" fillId="15" borderId="27" xfId="38" applyNumberFormat="1" applyFont="1" applyFill="1" applyBorder="1" applyAlignment="1">
      <alignment horizontal="right" wrapText="1"/>
    </xf>
    <xf numFmtId="0" fontId="54" fillId="14" borderId="48" xfId="36" applyFont="1" applyFill="1" applyBorder="1" applyAlignment="1">
      <alignment vertical="top"/>
    </xf>
    <xf numFmtId="0" fontId="47" fillId="14" borderId="33" xfId="36" applyFont="1" applyFill="1" applyBorder="1" applyAlignment="1">
      <alignment vertical="top"/>
    </xf>
    <xf numFmtId="0" fontId="47" fillId="14" borderId="32" xfId="36" applyFont="1" applyFill="1" applyBorder="1" applyAlignment="1">
      <alignment vertical="top"/>
    </xf>
    <xf numFmtId="0" fontId="47" fillId="14" borderId="116" xfId="36" applyFont="1" applyFill="1" applyBorder="1" applyAlignment="1">
      <alignment vertical="top"/>
    </xf>
    <xf numFmtId="0" fontId="47" fillId="14" borderId="100" xfId="36" applyFont="1" applyFill="1" applyBorder="1" applyAlignment="1">
      <alignment horizontal="right" vertical="top" wrapText="1"/>
    </xf>
    <xf numFmtId="0" fontId="47" fillId="14" borderId="49" xfId="36" applyFont="1" applyFill="1" applyBorder="1" applyAlignment="1">
      <alignment horizontal="right" vertical="top" wrapText="1"/>
    </xf>
    <xf numFmtId="180" fontId="47" fillId="15" borderId="28" xfId="38" applyNumberFormat="1" applyFont="1" applyFill="1" applyBorder="1" applyAlignment="1">
      <alignment horizontal="right" wrapText="1"/>
    </xf>
    <xf numFmtId="0" fontId="54" fillId="15" borderId="11" xfId="36" applyFont="1" applyFill="1" applyBorder="1" applyAlignment="1">
      <alignment wrapText="1"/>
    </xf>
    <xf numFmtId="0" fontId="47" fillId="15" borderId="0" xfId="36" applyFont="1" applyFill="1" applyAlignment="1">
      <alignment wrapText="1"/>
    </xf>
    <xf numFmtId="0" fontId="47" fillId="15" borderId="16" xfId="36" applyFont="1" applyFill="1" applyBorder="1" applyAlignment="1">
      <alignment wrapText="1"/>
    </xf>
    <xf numFmtId="3" fontId="47" fillId="15" borderId="0" xfId="36" applyNumberFormat="1" applyFont="1" applyFill="1" applyAlignment="1">
      <alignment wrapText="1"/>
    </xf>
    <xf numFmtId="3" fontId="46" fillId="15" borderId="34" xfId="36" applyNumberFormat="1" applyFont="1" applyFill="1" applyBorder="1"/>
    <xf numFmtId="3" fontId="46" fillId="15" borderId="0" xfId="36" applyNumberFormat="1" applyFont="1" applyFill="1"/>
    <xf numFmtId="3" fontId="46" fillId="15" borderId="16" xfId="36" applyNumberFormat="1" applyFont="1" applyFill="1" applyBorder="1"/>
    <xf numFmtId="0" fontId="57" fillId="0" borderId="0" xfId="36" applyFont="1"/>
    <xf numFmtId="0" fontId="47" fillId="0" borderId="0" xfId="36" applyFont="1"/>
    <xf numFmtId="179" fontId="47" fillId="15" borderId="25" xfId="36" applyNumberFormat="1" applyFont="1" applyFill="1" applyBorder="1" applyAlignment="1">
      <alignment horizontal="right" wrapText="1"/>
    </xf>
    <xf numFmtId="179" fontId="47" fillId="15" borderId="26" xfId="36" applyNumberFormat="1" applyFont="1" applyFill="1" applyBorder="1" applyAlignment="1">
      <alignment horizontal="right" wrapText="1"/>
    </xf>
    <xf numFmtId="167" fontId="47" fillId="15" borderId="77" xfId="36" applyNumberFormat="1" applyFont="1" applyFill="1" applyBorder="1" applyAlignment="1">
      <alignment horizontal="right" wrapText="1"/>
    </xf>
    <xf numFmtId="167" fontId="47" fillId="15" borderId="26" xfId="36" applyNumberFormat="1" applyFont="1" applyFill="1" applyBorder="1" applyAlignment="1">
      <alignment horizontal="right" wrapText="1"/>
    </xf>
    <xf numFmtId="0" fontId="47" fillId="0" borderId="11" xfId="36" applyFont="1" applyBorder="1" applyAlignment="1">
      <alignment wrapText="1"/>
    </xf>
    <xf numFmtId="0" fontId="47" fillId="0" borderId="0" xfId="36" applyFont="1" applyAlignment="1">
      <alignment wrapText="1"/>
    </xf>
    <xf numFmtId="0" fontId="47" fillId="17" borderId="15" xfId="36" applyFont="1" applyFill="1" applyBorder="1" applyAlignment="1">
      <alignment wrapText="1"/>
    </xf>
    <xf numFmtId="0" fontId="47" fillId="17" borderId="26" xfId="36" applyFont="1" applyFill="1" applyBorder="1" applyAlignment="1">
      <alignment wrapText="1"/>
    </xf>
    <xf numFmtId="0" fontId="47" fillId="17" borderId="25" xfId="36" applyFont="1" applyFill="1" applyBorder="1" applyAlignment="1">
      <alignment wrapText="1"/>
    </xf>
    <xf numFmtId="3" fontId="47" fillId="17" borderId="26" xfId="36" applyNumberFormat="1" applyFont="1" applyFill="1" applyBorder="1" applyAlignment="1">
      <alignment horizontal="right" wrapText="1"/>
    </xf>
    <xf numFmtId="180" fontId="47" fillId="17" borderId="77" xfId="36" applyNumberFormat="1" applyFont="1" applyFill="1" applyBorder="1" applyAlignment="1">
      <alignment horizontal="right" wrapText="1"/>
    </xf>
    <xf numFmtId="180" fontId="47" fillId="17" borderId="26" xfId="36" applyNumberFormat="1" applyFont="1" applyFill="1" applyBorder="1" applyAlignment="1">
      <alignment horizontal="right" wrapText="1"/>
    </xf>
    <xf numFmtId="180" fontId="47" fillId="17" borderId="25" xfId="36" applyNumberFormat="1" applyFont="1" applyFill="1" applyBorder="1" applyAlignment="1">
      <alignment horizontal="right" wrapText="1"/>
    </xf>
    <xf numFmtId="180" fontId="47" fillId="17" borderId="27" xfId="36" applyNumberFormat="1" applyFont="1" applyFill="1" applyBorder="1" applyAlignment="1">
      <alignment horizontal="right" wrapText="1"/>
    </xf>
    <xf numFmtId="180" fontId="47" fillId="17" borderId="28" xfId="36" applyNumberFormat="1" applyFont="1" applyFill="1" applyBorder="1" applyAlignment="1">
      <alignment horizontal="right" wrapText="1"/>
    </xf>
    <xf numFmtId="0" fontId="73" fillId="0" borderId="11" xfId="36" applyFont="1" applyBorder="1" applyAlignment="1">
      <alignment wrapText="1"/>
    </xf>
    <xf numFmtId="0" fontId="73" fillId="0" borderId="0" xfId="36" applyFont="1" applyAlignment="1">
      <alignment wrapText="1"/>
    </xf>
    <xf numFmtId="167" fontId="46" fillId="0" borderId="34" xfId="36" applyNumberFormat="1" applyFont="1" applyBorder="1" applyAlignment="1">
      <alignment horizontal="right" wrapText="1"/>
    </xf>
    <xf numFmtId="167" fontId="46" fillId="0" borderId="0" xfId="36" applyNumberFormat="1" applyFont="1" applyAlignment="1">
      <alignment horizontal="right" wrapText="1"/>
    </xf>
    <xf numFmtId="167" fontId="46" fillId="0" borderId="16" xfId="36" applyNumberFormat="1" applyFont="1" applyBorder="1" applyAlignment="1">
      <alignment horizontal="right" wrapText="1"/>
    </xf>
    <xf numFmtId="167" fontId="46" fillId="0" borderId="4" xfId="36" applyNumberFormat="1" applyFont="1" applyBorder="1" applyAlignment="1">
      <alignment horizontal="right" wrapText="1"/>
    </xf>
    <xf numFmtId="167" fontId="46" fillId="0" borderId="12" xfId="36" applyNumberFormat="1" applyFont="1" applyBorder="1" applyAlignment="1">
      <alignment horizontal="right" wrapText="1"/>
    </xf>
    <xf numFmtId="0" fontId="47" fillId="0" borderId="16" xfId="36" applyFont="1" applyBorder="1" applyAlignment="1">
      <alignment wrapText="1"/>
    </xf>
    <xf numFmtId="0" fontId="57" fillId="0" borderId="11" xfId="36" applyFont="1" applyBorder="1"/>
    <xf numFmtId="10" fontId="47" fillId="0" borderId="0" xfId="36" applyNumberFormat="1" applyFont="1"/>
    <xf numFmtId="0" fontId="47" fillId="0" borderId="16" xfId="36" applyFont="1" applyBorder="1"/>
    <xf numFmtId="3" fontId="47" fillId="0" borderId="0" xfId="36" applyNumberFormat="1" applyFont="1" applyAlignment="1">
      <alignment horizontal="right" wrapText="1"/>
    </xf>
    <xf numFmtId="180" fontId="46" fillId="0" borderId="34" xfId="36" applyNumberFormat="1" applyFont="1" applyBorder="1" applyAlignment="1">
      <alignment horizontal="right" wrapText="1"/>
    </xf>
    <xf numFmtId="180" fontId="46" fillId="0" borderId="0" xfId="36" applyNumberFormat="1" applyFont="1" applyAlignment="1">
      <alignment horizontal="right" wrapText="1"/>
    </xf>
    <xf numFmtId="180" fontId="46" fillId="0" borderId="16" xfId="36" applyNumberFormat="1" applyFont="1" applyBorder="1" applyAlignment="1">
      <alignment horizontal="right" wrapText="1"/>
    </xf>
    <xf numFmtId="180" fontId="46" fillId="0" borderId="4" xfId="36" applyNumberFormat="1" applyFont="1" applyBorder="1" applyAlignment="1">
      <alignment horizontal="right" wrapText="1"/>
    </xf>
    <xf numFmtId="180" fontId="46" fillId="0" borderId="12" xfId="36" applyNumberFormat="1" applyFont="1" applyBorder="1" applyAlignment="1">
      <alignment horizontal="right" wrapText="1"/>
    </xf>
    <xf numFmtId="180" fontId="47" fillId="17" borderId="77" xfId="38" applyNumberFormat="1" applyFont="1" applyFill="1" applyBorder="1" applyAlignment="1">
      <alignment horizontal="right" wrapText="1"/>
    </xf>
    <xf numFmtId="180" fontId="47" fillId="17" borderId="26" xfId="38" applyNumberFormat="1" applyFont="1" applyFill="1" applyBorder="1" applyAlignment="1">
      <alignment horizontal="right" wrapText="1"/>
    </xf>
    <xf numFmtId="180" fontId="47" fillId="17" borderId="25" xfId="38" applyNumberFormat="1" applyFont="1" applyFill="1" applyBorder="1" applyAlignment="1">
      <alignment horizontal="right" wrapText="1"/>
    </xf>
    <xf numFmtId="180" fontId="47" fillId="17" borderId="27" xfId="38" applyNumberFormat="1" applyFont="1" applyFill="1" applyBorder="1" applyAlignment="1">
      <alignment horizontal="right" wrapText="1"/>
    </xf>
    <xf numFmtId="180" fontId="47" fillId="17" borderId="28" xfId="38" applyNumberFormat="1" applyFont="1" applyFill="1" applyBorder="1" applyAlignment="1">
      <alignment horizontal="right" wrapText="1"/>
    </xf>
    <xf numFmtId="180" fontId="46" fillId="0" borderId="0" xfId="36" applyNumberFormat="1" applyFont="1"/>
    <xf numFmtId="0" fontId="53" fillId="0" borderId="0" xfId="36" applyFont="1" applyAlignment="1">
      <alignment wrapText="1"/>
    </xf>
    <xf numFmtId="179" fontId="46" fillId="0" borderId="0" xfId="36" applyNumberFormat="1" applyFont="1" applyAlignment="1">
      <alignment wrapText="1"/>
    </xf>
    <xf numFmtId="179" fontId="46" fillId="0" borderId="0" xfId="40" applyNumberFormat="1" applyFont="1" applyAlignment="1">
      <alignment wrapText="1"/>
    </xf>
    <xf numFmtId="0" fontId="74" fillId="8" borderId="0" xfId="0" applyFont="1" applyFill="1" applyAlignment="1" applyProtection="1">
      <alignment horizontal="left" vertical="top"/>
      <protection locked="0"/>
    </xf>
    <xf numFmtId="176" fontId="74" fillId="8" borderId="0" xfId="0" applyNumberFormat="1" applyFont="1" applyFill="1" applyAlignment="1" applyProtection="1">
      <alignment horizontal="left" vertical="top"/>
      <protection locked="0"/>
    </xf>
    <xf numFmtId="10" fontId="74" fillId="9" borderId="0" xfId="0" applyNumberFormat="1" applyFont="1" applyFill="1" applyProtection="1">
      <alignment vertical="top"/>
      <protection locked="0"/>
    </xf>
    <xf numFmtId="3" fontId="74" fillId="9" borderId="0" xfId="4" applyNumberFormat="1" applyFont="1" applyFill="1" applyBorder="1" applyAlignment="1" applyProtection="1">
      <alignment vertical="top"/>
      <protection locked="0"/>
    </xf>
    <xf numFmtId="3" fontId="74" fillId="9" borderId="0" xfId="4" applyNumberFormat="1" applyFont="1" applyFill="1" applyBorder="1" applyAlignment="1" applyProtection="1">
      <alignment vertical="top" wrapText="1"/>
      <protection locked="0"/>
    </xf>
    <xf numFmtId="3" fontId="75" fillId="8" borderId="63" xfId="22" applyNumberFormat="1" applyFont="1" applyFill="1" applyBorder="1" applyProtection="1">
      <protection locked="0"/>
    </xf>
    <xf numFmtId="3" fontId="75" fillId="8" borderId="65" xfId="22" applyNumberFormat="1" applyFont="1" applyFill="1" applyBorder="1" applyProtection="1">
      <protection locked="0"/>
    </xf>
    <xf numFmtId="0" fontId="76" fillId="0" borderId="16" xfId="22" applyFont="1" applyBorder="1" applyProtection="1">
      <protection locked="0"/>
    </xf>
    <xf numFmtId="0" fontId="75" fillId="8" borderId="63" xfId="22" applyFont="1" applyFill="1" applyBorder="1" applyProtection="1">
      <protection locked="0"/>
    </xf>
    <xf numFmtId="0" fontId="75" fillId="8" borderId="65" xfId="22" applyFont="1" applyFill="1" applyBorder="1" applyProtection="1">
      <protection locked="0"/>
    </xf>
    <xf numFmtId="0" fontId="74" fillId="0" borderId="65" xfId="22" applyFont="1" applyBorder="1" applyAlignment="1" applyProtection="1">
      <alignment horizontal="center"/>
      <protection locked="0"/>
    </xf>
    <xf numFmtId="4" fontId="75" fillId="8" borderId="65" xfId="4" applyFont="1" applyFill="1" applyBorder="1" applyProtection="1">
      <protection locked="0"/>
    </xf>
    <xf numFmtId="4" fontId="75" fillId="8" borderId="63" xfId="4" applyFont="1" applyFill="1" applyBorder="1" applyProtection="1">
      <protection locked="0"/>
    </xf>
    <xf numFmtId="0" fontId="8" fillId="5" borderId="66" xfId="21" applyFont="1" applyFill="1" applyBorder="1" applyAlignment="1" applyProtection="1">
      <alignment wrapText="1"/>
      <protection locked="0"/>
    </xf>
    <xf numFmtId="0" fontId="20" fillId="5" borderId="65" xfId="21" applyFill="1" applyBorder="1" applyAlignment="1" applyProtection="1">
      <alignment wrapText="1"/>
      <protection locked="0"/>
    </xf>
    <xf numFmtId="0" fontId="20" fillId="0" borderId="47" xfId="21" applyBorder="1" applyAlignment="1" applyProtection="1">
      <alignment wrapText="1"/>
      <protection locked="0"/>
    </xf>
    <xf numFmtId="170" fontId="8" fillId="0" borderId="5" xfId="21" applyNumberFormat="1" applyFont="1" applyBorder="1" applyAlignment="1" applyProtection="1">
      <alignment horizontal="center" wrapText="1"/>
      <protection locked="0"/>
    </xf>
    <xf numFmtId="0" fontId="9" fillId="0" borderId="66" xfId="21" applyFont="1" applyBorder="1" applyProtection="1">
      <protection locked="0"/>
    </xf>
    <xf numFmtId="0" fontId="9" fillId="0" borderId="65" xfId="21" applyFont="1" applyBorder="1" applyProtection="1">
      <protection locked="0"/>
    </xf>
    <xf numFmtId="0" fontId="9" fillId="0" borderId="65" xfId="21" applyFont="1" applyBorder="1" applyAlignment="1" applyProtection="1">
      <alignment horizontal="center"/>
      <protection locked="0"/>
    </xf>
    <xf numFmtId="3" fontId="9" fillId="0" borderId="5" xfId="4" applyNumberFormat="1" applyFont="1" applyFill="1" applyBorder="1" applyAlignment="1" applyProtection="1">
      <alignment horizontal="right" vertical="top"/>
      <protection locked="0"/>
    </xf>
    <xf numFmtId="0" fontId="9" fillId="5" borderId="47" xfId="21" applyFont="1" applyFill="1" applyBorder="1" applyProtection="1">
      <protection locked="0"/>
    </xf>
    <xf numFmtId="3" fontId="8" fillId="0" borderId="5" xfId="21" applyNumberFormat="1" applyFont="1" applyBorder="1" applyProtection="1">
      <protection locked="0"/>
    </xf>
    <xf numFmtId="0" fontId="47" fillId="0" borderId="5" xfId="21" applyFont="1" applyBorder="1" applyAlignment="1" applyProtection="1">
      <alignment horizontal="right"/>
      <protection locked="0"/>
    </xf>
    <xf numFmtId="3" fontId="47" fillId="0" borderId="5" xfId="21" applyNumberFormat="1" applyFont="1" applyBorder="1" applyAlignment="1" applyProtection="1">
      <alignment horizontal="right"/>
      <protection locked="0"/>
    </xf>
    <xf numFmtId="177" fontId="46" fillId="15" borderId="34" xfId="36" applyNumberFormat="1" applyFont="1" applyFill="1" applyBorder="1" applyAlignment="1">
      <alignment horizontal="right" wrapText="1"/>
    </xf>
    <xf numFmtId="177" fontId="46" fillId="15" borderId="0" xfId="36" applyNumberFormat="1" applyFont="1" applyFill="1" applyAlignment="1">
      <alignment horizontal="right" wrapText="1"/>
    </xf>
    <xf numFmtId="0" fontId="46" fillId="14" borderId="5" xfId="36" applyFont="1" applyFill="1" applyBorder="1" applyAlignment="1">
      <alignment vertical="center" wrapText="1"/>
    </xf>
    <xf numFmtId="10" fontId="46" fillId="14" borderId="5" xfId="23" applyFont="1" applyFill="1" applyBorder="1" applyAlignment="1">
      <alignment vertical="center" wrapText="1"/>
    </xf>
    <xf numFmtId="0" fontId="70" fillId="23" borderId="121" xfId="36" applyFont="1" applyFill="1" applyBorder="1" applyAlignment="1">
      <alignment horizontal="center" wrapText="1"/>
    </xf>
    <xf numFmtId="7" fontId="47" fillId="0" borderId="0" xfId="12" applyFont="1"/>
    <xf numFmtId="9" fontId="46" fillId="0" borderId="0" xfId="37" applyFont="1" applyFill="1" applyBorder="1" applyAlignment="1">
      <alignment horizontal="left" wrapText="1"/>
    </xf>
    <xf numFmtId="0" fontId="72" fillId="0" borderId="0" xfId="36" applyFont="1"/>
    <xf numFmtId="7" fontId="93" fillId="0" borderId="0" xfId="12" applyFont="1"/>
    <xf numFmtId="37" fontId="46" fillId="0" borderId="0" xfId="36" applyNumberFormat="1" applyFont="1" applyAlignment="1">
      <alignment horizontal="right" wrapText="1"/>
    </xf>
    <xf numFmtId="179" fontId="93" fillId="15" borderId="34" xfId="36" applyNumberFormat="1" applyFont="1" applyFill="1" applyBorder="1" applyAlignment="1">
      <alignment horizontal="right" wrapText="1"/>
    </xf>
    <xf numFmtId="179" fontId="93" fillId="15" borderId="0" xfId="36" applyNumberFormat="1" applyFont="1" applyFill="1" applyAlignment="1">
      <alignment horizontal="right" wrapText="1"/>
    </xf>
    <xf numFmtId="179" fontId="93" fillId="15" borderId="16" xfId="36" applyNumberFormat="1" applyFont="1" applyFill="1" applyBorder="1" applyAlignment="1">
      <alignment horizontal="right" wrapText="1"/>
    </xf>
    <xf numFmtId="0" fontId="93" fillId="15" borderId="0" xfId="36" applyFont="1" applyFill="1" applyAlignment="1">
      <alignment horizontal="left" vertical="top" wrapText="1"/>
    </xf>
    <xf numFmtId="0" fontId="93" fillId="15" borderId="0" xfId="36" applyFont="1" applyFill="1" applyAlignment="1">
      <alignment wrapText="1"/>
    </xf>
    <xf numFmtId="0" fontId="93" fillId="15" borderId="11" xfId="36" applyFont="1" applyFill="1" applyBorder="1" applyAlignment="1">
      <alignment wrapText="1"/>
    </xf>
    <xf numFmtId="0" fontId="46" fillId="15" borderId="0" xfId="36" applyFont="1" applyFill="1" applyAlignment="1">
      <alignment wrapText="1"/>
    </xf>
    <xf numFmtId="179" fontId="47" fillId="44" borderId="12" xfId="36" applyNumberFormat="1" applyFont="1" applyFill="1" applyBorder="1" applyAlignment="1">
      <alignment horizontal="right" wrapText="1"/>
    </xf>
    <xf numFmtId="179" fontId="47" fillId="44" borderId="4" xfId="36" applyNumberFormat="1" applyFont="1" applyFill="1" applyBorder="1" applyAlignment="1">
      <alignment horizontal="right" wrapText="1"/>
    </xf>
    <xf numFmtId="179" fontId="47" fillId="44" borderId="34" xfId="36" applyNumberFormat="1" applyFont="1" applyFill="1" applyBorder="1" applyAlignment="1">
      <alignment horizontal="right" wrapText="1"/>
    </xf>
    <xf numFmtId="179" fontId="47" fillId="44" borderId="0" xfId="36" applyNumberFormat="1" applyFont="1" applyFill="1" applyAlignment="1">
      <alignment horizontal="right" wrapText="1"/>
    </xf>
    <xf numFmtId="0" fontId="47" fillId="44" borderId="0" xfId="36" applyFont="1" applyFill="1" applyAlignment="1">
      <alignment wrapText="1"/>
    </xf>
    <xf numFmtId="0" fontId="54" fillId="44" borderId="0" xfId="36" applyFont="1" applyFill="1" applyAlignment="1">
      <alignment wrapText="1"/>
    </xf>
    <xf numFmtId="0" fontId="54" fillId="44" borderId="11" xfId="36" applyFont="1" applyFill="1" applyBorder="1" applyAlignment="1">
      <alignment wrapText="1"/>
    </xf>
    <xf numFmtId="179" fontId="93" fillId="15" borderId="12" xfId="36" applyNumberFormat="1" applyFont="1" applyFill="1" applyBorder="1" applyAlignment="1">
      <alignment horizontal="right" wrapText="1"/>
    </xf>
    <xf numFmtId="179" fontId="47" fillId="44" borderId="16" xfId="36" applyNumberFormat="1" applyFont="1" applyFill="1" applyBorder="1" applyAlignment="1">
      <alignment horizontal="right" wrapText="1"/>
    </xf>
    <xf numFmtId="179" fontId="93" fillId="15" borderId="4" xfId="36" applyNumberFormat="1" applyFont="1" applyFill="1" applyBorder="1" applyAlignment="1">
      <alignment horizontal="right" wrapText="1"/>
    </xf>
    <xf numFmtId="0" fontId="60" fillId="0" borderId="0" xfId="36" applyFont="1" applyAlignment="1">
      <alignment horizontal="center" vertical="center"/>
    </xf>
    <xf numFmtId="6" fontId="60" fillId="0" borderId="0" xfId="36" applyNumberFormat="1" applyFont="1" applyAlignment="1">
      <alignment horizontal="center" vertical="center"/>
    </xf>
    <xf numFmtId="180" fontId="60" fillId="0" borderId="0" xfId="36" applyNumberFormat="1" applyFont="1" applyAlignment="1">
      <alignment horizontal="center" vertical="center"/>
    </xf>
    <xf numFmtId="10" fontId="46" fillId="0" borderId="0" xfId="23" applyFont="1"/>
    <xf numFmtId="180" fontId="46" fillId="0" borderId="0" xfId="36" applyNumberFormat="1" applyFont="1" applyAlignment="1">
      <alignment wrapText="1"/>
    </xf>
    <xf numFmtId="0" fontId="46" fillId="44" borderId="0" xfId="36" applyFont="1" applyFill="1"/>
    <xf numFmtId="179" fontId="46" fillId="44" borderId="16" xfId="36" applyNumberFormat="1" applyFont="1" applyFill="1" applyBorder="1" applyAlignment="1">
      <alignment horizontal="right" wrapText="1"/>
    </xf>
    <xf numFmtId="179" fontId="46" fillId="44" borderId="0" xfId="36" applyNumberFormat="1" applyFont="1" applyFill="1" applyAlignment="1">
      <alignment horizontal="right" wrapText="1"/>
    </xf>
    <xf numFmtId="179" fontId="46" fillId="44" borderId="34" xfId="36" applyNumberFormat="1" applyFont="1" applyFill="1" applyBorder="1" applyAlignment="1">
      <alignment horizontal="right" wrapText="1"/>
    </xf>
    <xf numFmtId="179" fontId="46" fillId="44" borderId="4" xfId="36" applyNumberFormat="1" applyFont="1" applyFill="1" applyBorder="1" applyAlignment="1">
      <alignment horizontal="right" wrapText="1"/>
    </xf>
    <xf numFmtId="179" fontId="46" fillId="44" borderId="12" xfId="36" applyNumberFormat="1" applyFont="1" applyFill="1" applyBorder="1" applyAlignment="1">
      <alignment horizontal="right" wrapText="1"/>
    </xf>
    <xf numFmtId="0" fontId="47" fillId="44" borderId="0" xfId="36" applyFont="1" applyFill="1"/>
    <xf numFmtId="0" fontId="54" fillId="44" borderId="11" xfId="36" applyFont="1" applyFill="1" applyBorder="1" applyAlignment="1">
      <alignment horizontal="left" wrapText="1"/>
    </xf>
    <xf numFmtId="0" fontId="46" fillId="44" borderId="0" xfId="36" applyFont="1" applyFill="1" applyAlignment="1">
      <alignment horizontal="left" wrapText="1"/>
    </xf>
    <xf numFmtId="0" fontId="46" fillId="44" borderId="0" xfId="36" applyFont="1" applyFill="1" applyAlignment="1">
      <alignment horizontal="left" vertical="top" wrapText="1"/>
    </xf>
    <xf numFmtId="168" fontId="46" fillId="0" borderId="12" xfId="6" applyNumberFormat="1" applyFont="1" applyFill="1" applyBorder="1" applyProtection="1">
      <protection locked="0"/>
    </xf>
    <xf numFmtId="0" fontId="8" fillId="0" borderId="65" xfId="21" applyFont="1" applyBorder="1" applyAlignment="1" applyProtection="1">
      <alignment horizontal="center" wrapText="1"/>
      <protection locked="0"/>
    </xf>
    <xf numFmtId="0" fontId="93" fillId="15" borderId="11" xfId="36" applyFont="1" applyFill="1" applyBorder="1" applyAlignment="1">
      <alignment horizontal="left" wrapText="1"/>
    </xf>
    <xf numFmtId="0" fontId="93" fillId="15" borderId="0" xfId="36" applyFont="1" applyFill="1"/>
    <xf numFmtId="0" fontId="93" fillId="15" borderId="0" xfId="36" applyFont="1" applyFill="1" applyAlignment="1">
      <alignment horizontal="left" wrapText="1"/>
    </xf>
    <xf numFmtId="171" fontId="46" fillId="15" borderId="34" xfId="36" applyNumberFormat="1" applyFont="1" applyFill="1" applyBorder="1" applyAlignment="1">
      <alignment horizontal="right" wrapText="1"/>
    </xf>
    <xf numFmtId="171" fontId="46" fillId="15" borderId="0" xfId="36" applyNumberFormat="1" applyFont="1" applyFill="1" applyAlignment="1">
      <alignment horizontal="right" wrapText="1"/>
    </xf>
    <xf numFmtId="171" fontId="46" fillId="15" borderId="16" xfId="36" applyNumberFormat="1" applyFont="1" applyFill="1" applyBorder="1" applyAlignment="1">
      <alignment horizontal="right" wrapText="1"/>
    </xf>
    <xf numFmtId="37" fontId="60" fillId="0" borderId="0" xfId="36" applyNumberFormat="1" applyFont="1" applyAlignment="1">
      <alignment horizontal="center" vertical="center"/>
    </xf>
    <xf numFmtId="43" fontId="60" fillId="0" borderId="0" xfId="36" applyNumberFormat="1" applyFont="1" applyAlignment="1">
      <alignment horizontal="center" vertical="center"/>
    </xf>
    <xf numFmtId="171" fontId="71" fillId="0" borderId="123" xfId="36" applyNumberFormat="1" applyFont="1" applyBorder="1"/>
    <xf numFmtId="171" fontId="70" fillId="0" borderId="125" xfId="36" applyNumberFormat="1" applyFont="1" applyBorder="1"/>
    <xf numFmtId="171" fontId="71" fillId="0" borderId="125" xfId="36" applyNumberFormat="1" applyFont="1" applyBorder="1"/>
    <xf numFmtId="171" fontId="70" fillId="13" borderId="73" xfId="36" applyNumberFormat="1" applyFont="1" applyFill="1" applyBorder="1"/>
    <xf numFmtId="171" fontId="70" fillId="13" borderId="75" xfId="36" applyNumberFormat="1" applyFont="1" applyFill="1" applyBorder="1"/>
    <xf numFmtId="171" fontId="70" fillId="23" borderId="120" xfId="36" applyNumberFormat="1" applyFont="1" applyFill="1" applyBorder="1"/>
    <xf numFmtId="171" fontId="70" fillId="23" borderId="121" xfId="36" applyNumberFormat="1" applyFont="1" applyFill="1" applyBorder="1"/>
    <xf numFmtId="0" fontId="46" fillId="0" borderId="0" xfId="21" applyFont="1" applyAlignment="1" applyProtection="1">
      <alignment horizontal="left" vertical="top" wrapText="1"/>
      <protection locked="0"/>
    </xf>
    <xf numFmtId="0" fontId="9" fillId="0" borderId="0" xfId="21" applyFont="1" applyAlignment="1" applyProtection="1">
      <alignment wrapText="1"/>
      <protection locked="0"/>
    </xf>
    <xf numFmtId="0" fontId="9" fillId="0" borderId="0" xfId="21" applyFont="1" applyProtection="1">
      <protection locked="0"/>
    </xf>
    <xf numFmtId="0" fontId="9" fillId="5" borderId="65" xfId="21" applyFont="1" applyFill="1" applyBorder="1" applyAlignment="1" applyProtection="1">
      <alignment wrapText="1"/>
      <protection locked="0"/>
    </xf>
    <xf numFmtId="0" fontId="9" fillId="0" borderId="47" xfId="21" applyFont="1" applyBorder="1" applyAlignment="1" applyProtection="1">
      <alignment wrapText="1"/>
      <protection locked="0"/>
    </xf>
    <xf numFmtId="0" fontId="93" fillId="15" borderId="26" xfId="0" applyFont="1" applyFill="1" applyBorder="1" applyAlignment="1">
      <alignment wrapText="1"/>
    </xf>
    <xf numFmtId="179" fontId="93" fillId="15" borderId="26" xfId="0" applyNumberFormat="1" applyFont="1" applyFill="1" applyBorder="1" applyAlignment="1">
      <alignment horizontal="right" wrapText="1"/>
    </xf>
    <xf numFmtId="167" fontId="93" fillId="15" borderId="26" xfId="0" applyNumberFormat="1" applyFont="1" applyFill="1" applyBorder="1" applyAlignment="1">
      <alignment horizontal="right" wrapText="1"/>
    </xf>
    <xf numFmtId="167" fontId="93" fillId="15" borderId="77" xfId="0" applyNumberFormat="1" applyFont="1" applyFill="1" applyBorder="1" applyAlignment="1">
      <alignment horizontal="right" wrapText="1"/>
    </xf>
    <xf numFmtId="0" fontId="94" fillId="0" borderId="11" xfId="36" applyFont="1" applyBorder="1" applyAlignment="1">
      <alignment horizontal="left" wrapText="1"/>
    </xf>
    <xf numFmtId="10" fontId="96" fillId="0" borderId="0" xfId="23" applyFont="1" applyBorder="1" applyAlignment="1" applyProtection="1">
      <alignment vertical="top"/>
      <protection locked="0"/>
    </xf>
    <xf numFmtId="0" fontId="95" fillId="0" borderId="0" xfId="0" applyFont="1" applyAlignment="1" applyProtection="1">
      <alignment horizontal="left" vertical="top"/>
      <protection locked="0"/>
    </xf>
    <xf numFmtId="0" fontId="95" fillId="0" borderId="0" xfId="0" applyFont="1" applyProtection="1">
      <alignment vertical="top"/>
      <protection locked="0"/>
    </xf>
    <xf numFmtId="0" fontId="96" fillId="0" borderId="0" xfId="0" applyFont="1" applyProtection="1">
      <alignment vertical="top"/>
      <protection locked="0"/>
    </xf>
    <xf numFmtId="10" fontId="96" fillId="0" borderId="0" xfId="0" applyNumberFormat="1" applyFont="1" applyProtection="1">
      <alignment vertical="top"/>
      <protection locked="0"/>
    </xf>
    <xf numFmtId="0" fontId="47" fillId="0" borderId="71" xfId="36" applyFont="1" applyBorder="1" applyAlignment="1">
      <alignment horizontal="center" vertical="center" wrapText="1"/>
    </xf>
    <xf numFmtId="0" fontId="47" fillId="0" borderId="40" xfId="36" applyFont="1" applyBorder="1" applyAlignment="1">
      <alignment horizontal="center" vertical="center" wrapText="1"/>
    </xf>
    <xf numFmtId="0" fontId="47" fillId="0" borderId="17" xfId="36" applyFont="1" applyBorder="1" applyAlignment="1">
      <alignment horizontal="center" vertical="center" wrapText="1"/>
    </xf>
    <xf numFmtId="3" fontId="47" fillId="0" borderId="40" xfId="36" applyNumberFormat="1" applyFont="1" applyBorder="1" applyAlignment="1">
      <alignment horizontal="center" vertical="center"/>
    </xf>
    <xf numFmtId="3" fontId="47" fillId="0" borderId="115" xfId="39" applyNumberFormat="1" applyFont="1" applyBorder="1" applyAlignment="1">
      <alignment horizontal="center" vertical="center" wrapText="1"/>
    </xf>
    <xf numFmtId="0" fontId="47" fillId="0" borderId="40" xfId="39" applyFont="1" applyBorder="1" applyAlignment="1">
      <alignment horizontal="center" vertical="center" wrapText="1"/>
    </xf>
    <xf numFmtId="3" fontId="47" fillId="0" borderId="40" xfId="39" applyNumberFormat="1" applyFont="1" applyBorder="1" applyAlignment="1">
      <alignment horizontal="center" vertical="center" wrapText="1"/>
    </xf>
    <xf numFmtId="0" fontId="47" fillId="0" borderId="17" xfId="39" applyFont="1" applyBorder="1" applyAlignment="1">
      <alignment horizontal="center" vertical="center" wrapText="1"/>
    </xf>
    <xf numFmtId="3" fontId="47" fillId="0" borderId="73" xfId="36" applyNumberFormat="1" applyFont="1" applyBorder="1" applyAlignment="1">
      <alignment horizontal="center" vertical="center" wrapText="1"/>
    </xf>
    <xf numFmtId="3" fontId="47" fillId="0" borderId="40" xfId="36" applyNumberFormat="1" applyFont="1" applyBorder="1" applyAlignment="1">
      <alignment horizontal="center" vertical="center" wrapText="1"/>
    </xf>
    <xf numFmtId="3" fontId="47" fillId="0" borderId="72" xfId="36" applyNumberFormat="1" applyFont="1" applyBorder="1" applyAlignment="1">
      <alignment horizontal="center" vertical="center" wrapText="1"/>
    </xf>
    <xf numFmtId="0" fontId="9" fillId="0" borderId="0" xfId="0" applyFont="1" applyAlignment="1" applyProtection="1">
      <alignment horizontal="right" vertical="top"/>
      <protection locked="0"/>
    </xf>
    <xf numFmtId="0" fontId="5" fillId="0" borderId="0" xfId="0" applyFont="1" applyAlignment="1" applyProtection="1">
      <alignment horizontal="center"/>
      <protection locked="0"/>
    </xf>
    <xf numFmtId="0" fontId="5" fillId="0" borderId="63" xfId="23" applyNumberFormat="1" applyFont="1" applyFill="1" applyBorder="1" applyAlignment="1" applyProtection="1">
      <alignment horizontal="left" vertical="top"/>
      <protection locked="0"/>
    </xf>
    <xf numFmtId="0" fontId="5" fillId="0" borderId="0" xfId="31" applyFont="1">
      <alignment vertical="top"/>
    </xf>
    <xf numFmtId="0" fontId="5" fillId="0" borderId="19" xfId="31" applyFont="1" applyBorder="1" applyAlignment="1">
      <alignment horizontal="left"/>
    </xf>
    <xf numFmtId="170" fontId="5" fillId="0" borderId="3" xfId="32" applyNumberFormat="1" applyFont="1" applyFill="1" applyBorder="1" applyAlignment="1" applyProtection="1">
      <alignment horizontal="center" wrapText="1"/>
    </xf>
    <xf numFmtId="170" fontId="5" fillId="0" borderId="3" xfId="32" applyNumberFormat="1" applyFont="1" applyFill="1" applyBorder="1" applyAlignment="1" applyProtection="1">
      <alignment horizontal="center"/>
    </xf>
    <xf numFmtId="5" fontId="5" fillId="0" borderId="20" xfId="32" applyNumberFormat="1" applyFont="1" applyFill="1" applyBorder="1" applyAlignment="1" applyProtection="1">
      <alignment horizontal="center"/>
    </xf>
    <xf numFmtId="0" fontId="5" fillId="0" borderId="0" xfId="0" applyFont="1">
      <alignment vertical="top"/>
    </xf>
    <xf numFmtId="170" fontId="5" fillId="0" borderId="111" xfId="12" applyNumberFormat="1" applyFont="1" applyBorder="1" applyAlignment="1" applyProtection="1">
      <alignment horizontal="center"/>
    </xf>
    <xf numFmtId="170" fontId="5" fillId="0" borderId="37" xfId="12" applyNumberFormat="1" applyFont="1" applyBorder="1" applyAlignment="1" applyProtection="1">
      <alignment horizontal="center"/>
    </xf>
    <xf numFmtId="5" fontId="5" fillId="8" borderId="4" xfId="12" applyNumberFormat="1" applyFont="1" applyFill="1" applyBorder="1" applyProtection="1"/>
    <xf numFmtId="5" fontId="5" fillId="0" borderId="13" xfId="12" applyNumberFormat="1" applyFont="1" applyFill="1" applyBorder="1" applyProtection="1"/>
    <xf numFmtId="171" fontId="5" fillId="0" borderId="58" xfId="0" applyNumberFormat="1" applyFont="1" applyBorder="1">
      <alignment vertical="top"/>
    </xf>
    <xf numFmtId="0" fontId="5" fillId="0" borderId="11" xfId="0" applyFont="1" applyBorder="1">
      <alignment vertical="top"/>
    </xf>
    <xf numFmtId="0" fontId="5" fillId="0" borderId="14" xfId="0" applyFont="1" applyBorder="1">
      <alignment vertical="top"/>
    </xf>
    <xf numFmtId="0" fontId="5" fillId="0" borderId="14" xfId="0" applyFont="1" applyBorder="1" applyAlignment="1">
      <alignment horizontal="left"/>
    </xf>
    <xf numFmtId="5" fontId="5" fillId="0" borderId="4" xfId="12" applyNumberFormat="1" applyFont="1" applyFill="1" applyBorder="1" applyProtection="1"/>
    <xf numFmtId="9" fontId="9" fillId="0" borderId="0" xfId="23" applyNumberFormat="1" applyFont="1" applyFill="1" applyBorder="1" applyAlignment="1" applyProtection="1">
      <alignment horizontal="center" vertical="top"/>
      <protection locked="0"/>
    </xf>
    <xf numFmtId="0" fontId="9" fillId="0" borderId="26" xfId="0" applyFont="1" applyBorder="1" applyProtection="1">
      <alignment vertical="top"/>
      <protection locked="0"/>
    </xf>
    <xf numFmtId="0" fontId="10" fillId="0" borderId="26" xfId="0" applyFont="1" applyBorder="1" applyProtection="1">
      <alignment vertical="top"/>
      <protection locked="0"/>
    </xf>
    <xf numFmtId="0" fontId="9" fillId="0" borderId="30" xfId="0" applyFont="1" applyBorder="1" applyProtection="1">
      <alignment vertical="top"/>
      <protection locked="0"/>
    </xf>
    <xf numFmtId="0" fontId="9" fillId="0" borderId="38" xfId="0" applyFont="1" applyBorder="1" applyAlignment="1" applyProtection="1">
      <alignment horizontal="center" vertical="top"/>
      <protection locked="0"/>
    </xf>
    <xf numFmtId="0" fontId="9" fillId="0" borderId="36" xfId="0" applyFont="1" applyBorder="1" applyAlignment="1" applyProtection="1">
      <alignment horizontal="center" vertical="top"/>
      <protection locked="0"/>
    </xf>
    <xf numFmtId="0" fontId="9" fillId="0" borderId="37" xfId="0" applyFont="1" applyBorder="1" applyAlignment="1" applyProtection="1">
      <alignment horizontal="center" vertical="top"/>
      <protection locked="0"/>
    </xf>
    <xf numFmtId="0" fontId="9" fillId="0" borderId="11" xfId="0" applyFont="1" applyBorder="1" applyAlignment="1" applyProtection="1">
      <alignment horizontal="center" vertical="top"/>
      <protection locked="0"/>
    </xf>
    <xf numFmtId="0" fontId="9" fillId="0" borderId="22" xfId="0" applyFont="1" applyBorder="1" applyProtection="1">
      <alignment vertical="top"/>
      <protection locked="0"/>
    </xf>
    <xf numFmtId="0" fontId="9" fillId="0" borderId="21" xfId="0" applyFont="1" applyBorder="1" applyProtection="1">
      <alignment vertical="top"/>
      <protection locked="0"/>
    </xf>
    <xf numFmtId="0" fontId="9" fillId="0" borderId="1" xfId="0" applyFont="1" applyBorder="1" applyProtection="1">
      <alignment vertical="top"/>
      <protection locked="0"/>
    </xf>
    <xf numFmtId="0" fontId="9" fillId="0" borderId="11" xfId="0" applyFont="1" applyBorder="1" applyProtection="1">
      <alignment vertical="top"/>
      <protection locked="0"/>
    </xf>
    <xf numFmtId="0" fontId="5" fillId="0" borderId="14" xfId="0" applyFont="1" applyBorder="1" applyProtection="1">
      <alignment vertical="top"/>
      <protection locked="0"/>
    </xf>
    <xf numFmtId="0" fontId="9" fillId="0" borderId="13" xfId="0" applyFont="1" applyBorder="1" applyAlignment="1" applyProtection="1">
      <alignment horizontal="center" vertical="top"/>
      <protection locked="0"/>
    </xf>
    <xf numFmtId="0" fontId="9" fillId="0" borderId="14" xfId="0" applyFont="1" applyBorder="1" applyAlignment="1" applyProtection="1">
      <alignment horizontal="left" vertical="top" indent="2"/>
      <protection locked="0"/>
    </xf>
    <xf numFmtId="0" fontId="9" fillId="0" borderId="14" xfId="0" applyFont="1" applyBorder="1" applyAlignment="1" applyProtection="1">
      <alignment horizontal="right" vertical="top" indent="1"/>
      <protection locked="0"/>
    </xf>
    <xf numFmtId="0" fontId="9" fillId="0" borderId="14" xfId="0" applyFont="1" applyBorder="1" applyProtection="1">
      <alignment vertical="top"/>
      <protection locked="0"/>
    </xf>
    <xf numFmtId="0" fontId="5" fillId="0" borderId="0" xfId="23" applyNumberFormat="1" applyFont="1" applyFill="1" applyBorder="1" applyAlignment="1" applyProtection="1">
      <alignment horizontal="left" vertical="top"/>
      <protection locked="0"/>
    </xf>
    <xf numFmtId="0" fontId="5" fillId="0" borderId="99" xfId="0" applyFont="1" applyBorder="1">
      <alignment vertical="top"/>
    </xf>
    <xf numFmtId="0" fontId="5" fillId="0" borderId="99" xfId="0" applyFont="1" applyBorder="1" applyAlignment="1">
      <alignment horizontal="center" vertical="top" wrapText="1"/>
    </xf>
    <xf numFmtId="0" fontId="5" fillId="0" borderId="101" xfId="0" applyFont="1" applyBorder="1" applyAlignment="1">
      <alignment horizontal="center" vertical="top" wrapText="1"/>
    </xf>
    <xf numFmtId="5" fontId="9" fillId="0" borderId="0" xfId="29" applyNumberFormat="1" applyFont="1" applyFill="1" applyBorder="1" applyAlignment="1" applyProtection="1">
      <alignment vertical="top"/>
      <protection locked="0"/>
    </xf>
    <xf numFmtId="10" fontId="46" fillId="0" borderId="0" xfId="37" applyNumberFormat="1" applyFont="1" applyFill="1" applyBorder="1" applyAlignment="1">
      <alignment horizontal="right" wrapText="1"/>
    </xf>
    <xf numFmtId="182" fontId="46" fillId="0" borderId="0" xfId="36" applyNumberFormat="1" applyFont="1"/>
    <xf numFmtId="1" fontId="60" fillId="0" borderId="0" xfId="36" applyNumberFormat="1" applyFont="1" applyAlignment="1">
      <alignment horizontal="center" vertical="center"/>
    </xf>
    <xf numFmtId="182" fontId="93" fillId="0" borderId="0" xfId="36" applyNumberFormat="1" applyFont="1"/>
    <xf numFmtId="0" fontId="46" fillId="0" borderId="97" xfId="21" applyFont="1" applyBorder="1" applyAlignment="1" applyProtection="1">
      <alignment horizontal="center"/>
      <protection locked="0"/>
    </xf>
    <xf numFmtId="0" fontId="46" fillId="0" borderId="135" xfId="21" applyFont="1" applyBorder="1" applyAlignment="1" applyProtection="1">
      <alignment horizontal="center"/>
      <protection locked="0"/>
    </xf>
    <xf numFmtId="4" fontId="47" fillId="0" borderId="136" xfId="4" applyFont="1" applyBorder="1" applyAlignment="1" applyProtection="1">
      <alignment horizontal="center"/>
      <protection locked="0"/>
    </xf>
    <xf numFmtId="7" fontId="47" fillId="0" borderId="137" xfId="12" applyFont="1" applyFill="1" applyBorder="1" applyAlignment="1" applyProtection="1">
      <alignment horizontal="center" wrapText="1"/>
      <protection locked="0"/>
    </xf>
    <xf numFmtId="0" fontId="46" fillId="0" borderId="96" xfId="21" applyFont="1" applyBorder="1" applyAlignment="1" applyProtection="1">
      <alignment horizontal="center"/>
      <protection locked="0"/>
    </xf>
    <xf numFmtId="0" fontId="46" fillId="0" borderId="138" xfId="21" applyFont="1" applyBorder="1" applyAlignment="1" applyProtection="1">
      <alignment horizontal="center"/>
      <protection locked="0"/>
    </xf>
    <xf numFmtId="0" fontId="47" fillId="0" borderId="139" xfId="21" applyFont="1" applyBorder="1" applyAlignment="1" applyProtection="1">
      <alignment horizontal="center"/>
      <protection locked="0"/>
    </xf>
    <xf numFmtId="168" fontId="46" fillId="0" borderId="107" xfId="6" applyNumberFormat="1" applyFont="1" applyFill="1" applyBorder="1" applyProtection="1">
      <protection locked="0"/>
    </xf>
    <xf numFmtId="44" fontId="47" fillId="0" borderId="60" xfId="13" applyFont="1" applyFill="1" applyBorder="1" applyAlignment="1" applyProtection="1">
      <alignment horizontal="center"/>
      <protection locked="0"/>
    </xf>
    <xf numFmtId="0" fontId="46" fillId="0" borderId="12" xfId="21" applyFont="1" applyBorder="1" applyProtection="1">
      <protection locked="0"/>
    </xf>
    <xf numFmtId="0" fontId="46" fillId="0" borderId="84" xfId="21" applyFont="1" applyBorder="1" applyProtection="1">
      <protection locked="0"/>
    </xf>
    <xf numFmtId="4" fontId="47" fillId="0" borderId="29" xfId="4" applyFont="1" applyBorder="1" applyAlignment="1" applyProtection="1">
      <alignment horizontal="center"/>
      <protection locked="0"/>
    </xf>
    <xf numFmtId="0" fontId="46" fillId="0" borderId="12" xfId="21" applyFont="1" applyBorder="1" applyAlignment="1" applyProtection="1">
      <alignment horizontal="center"/>
      <protection locked="0"/>
    </xf>
    <xf numFmtId="0" fontId="46" fillId="0" borderId="51" xfId="21" applyFont="1" applyBorder="1" applyAlignment="1" applyProtection="1">
      <alignment horizontal="center"/>
      <protection locked="0"/>
    </xf>
    <xf numFmtId="7" fontId="47" fillId="0" borderId="51" xfId="12" applyFont="1" applyFill="1" applyBorder="1" applyAlignment="1" applyProtection="1">
      <alignment horizontal="center"/>
      <protection locked="0"/>
    </xf>
    <xf numFmtId="7" fontId="47" fillId="0" borderId="12" xfId="12" applyFont="1" applyFill="1" applyBorder="1" applyAlignment="1" applyProtection="1">
      <alignment horizontal="center"/>
      <protection locked="0"/>
    </xf>
    <xf numFmtId="0" fontId="46" fillId="0" borderId="50" xfId="21" applyFont="1" applyBorder="1" applyAlignment="1" applyProtection="1">
      <alignment horizontal="center"/>
      <protection locked="0"/>
    </xf>
    <xf numFmtId="0" fontId="19" fillId="0" borderId="48" xfId="0" applyFont="1" applyBorder="1" applyAlignment="1">
      <alignment horizontal="left" vertical="center"/>
    </xf>
    <xf numFmtId="0" fontId="19" fillId="0" borderId="49" xfId="0" applyFont="1" applyBorder="1" applyAlignment="1">
      <alignment horizontal="left" vertical="center"/>
    </xf>
    <xf numFmtId="0" fontId="19" fillId="0" borderId="11" xfId="0" applyFont="1" applyBorder="1" applyAlignment="1">
      <alignment horizontal="left" vertical="center"/>
    </xf>
    <xf numFmtId="0" fontId="19" fillId="0" borderId="12" xfId="0" applyFont="1" applyBorder="1" applyAlignment="1">
      <alignment horizontal="left" vertical="center"/>
    </xf>
    <xf numFmtId="0" fontId="19" fillId="0" borderId="15" xfId="0" applyFont="1" applyBorder="1" applyAlignment="1">
      <alignment horizontal="left" vertical="center"/>
    </xf>
    <xf numFmtId="0" fontId="19" fillId="0" borderId="28" xfId="0" applyFont="1" applyBorder="1" applyAlignment="1">
      <alignment horizontal="left" vertical="center"/>
    </xf>
    <xf numFmtId="0" fontId="46" fillId="15" borderId="11" xfId="36" applyFont="1" applyFill="1" applyBorder="1" applyAlignment="1">
      <alignment wrapText="1"/>
    </xf>
    <xf numFmtId="0" fontId="46" fillId="0" borderId="14" xfId="36" applyFont="1" applyBorder="1" applyAlignment="1">
      <alignment horizontal="left" wrapText="1"/>
    </xf>
    <xf numFmtId="0" fontId="46" fillId="0" borderId="11" xfId="36" applyFont="1" applyBorder="1" applyAlignment="1">
      <alignment horizontal="right" wrapText="1"/>
    </xf>
    <xf numFmtId="0" fontId="97" fillId="0" borderId="11" xfId="36" applyFont="1" applyBorder="1" applyAlignment="1">
      <alignment horizontal="left" wrapText="1"/>
    </xf>
    <xf numFmtId="0" fontId="21" fillId="0" borderId="48" xfId="0" applyFont="1" applyBorder="1" applyAlignment="1">
      <alignment horizontal="left" vertical="center"/>
    </xf>
    <xf numFmtId="0" fontId="21" fillId="0" borderId="49" xfId="0" applyFont="1" applyBorder="1" applyAlignment="1">
      <alignment horizontal="left" vertical="center"/>
    </xf>
    <xf numFmtId="0" fontId="21" fillId="0" borderId="11" xfId="0" applyFont="1" applyBorder="1" applyAlignment="1">
      <alignment horizontal="left" vertical="center"/>
    </xf>
    <xf numFmtId="0" fontId="21" fillId="0" borderId="12" xfId="0" applyFont="1" applyBorder="1" applyAlignment="1">
      <alignment horizontal="left" vertical="center"/>
    </xf>
    <xf numFmtId="0" fontId="21" fillId="0" borderId="15" xfId="0" applyFont="1" applyBorder="1" applyAlignment="1">
      <alignment horizontal="left" vertical="center"/>
    </xf>
    <xf numFmtId="0" fontId="21" fillId="0" borderId="28" xfId="0" applyFont="1" applyBorder="1" applyAlignment="1">
      <alignment horizontal="left" vertical="center"/>
    </xf>
    <xf numFmtId="0" fontId="46" fillId="0" borderId="61" xfId="21" applyFont="1" applyBorder="1" applyAlignment="1" applyProtection="1">
      <alignment horizontal="left"/>
      <protection locked="0"/>
    </xf>
    <xf numFmtId="0" fontId="46" fillId="0" borderId="16" xfId="21" applyFont="1" applyBorder="1" applyAlignment="1" applyProtection="1">
      <alignment horizontal="left"/>
      <protection locked="0"/>
    </xf>
    <xf numFmtId="0" fontId="46" fillId="0" borderId="62" xfId="21" applyFont="1" applyBorder="1" applyAlignment="1" applyProtection="1">
      <alignment horizontal="left"/>
      <protection locked="0"/>
    </xf>
    <xf numFmtId="0" fontId="47" fillId="0" borderId="0" xfId="0" applyFont="1" applyAlignment="1" applyProtection="1">
      <alignment horizontal="left"/>
      <protection locked="0"/>
    </xf>
    <xf numFmtId="0" fontId="47" fillId="0" borderId="0" xfId="21" applyFont="1" applyAlignment="1" applyProtection="1">
      <alignment horizontal="left"/>
      <protection locked="0"/>
    </xf>
    <xf numFmtId="7" fontId="47" fillId="0" borderId="32" xfId="12" applyFont="1" applyBorder="1" applyAlignment="1" applyProtection="1">
      <alignment horizontal="left"/>
      <protection locked="0"/>
    </xf>
    <xf numFmtId="7" fontId="47" fillId="0" borderId="54" xfId="12" applyFont="1" applyBorder="1" applyAlignment="1" applyProtection="1">
      <alignment horizontal="left"/>
      <protection locked="0"/>
    </xf>
    <xf numFmtId="0" fontId="47" fillId="0" borderId="54" xfId="21" applyFont="1" applyBorder="1" applyAlignment="1" applyProtection="1">
      <alignment horizontal="left"/>
      <protection locked="0"/>
    </xf>
    <xf numFmtId="0" fontId="46" fillId="0" borderId="106" xfId="21" applyFont="1" applyBorder="1" applyAlignment="1" applyProtection="1">
      <alignment horizontal="left"/>
      <protection locked="0"/>
    </xf>
    <xf numFmtId="0" fontId="46" fillId="0" borderId="7" xfId="21" applyFont="1" applyBorder="1" applyAlignment="1" applyProtection="1">
      <alignment horizontal="left"/>
      <protection locked="0"/>
    </xf>
    <xf numFmtId="0" fontId="47" fillId="0" borderId="7" xfId="21" applyFont="1" applyBorder="1" applyAlignment="1" applyProtection="1">
      <alignment horizontal="left"/>
      <protection locked="0"/>
    </xf>
    <xf numFmtId="0" fontId="47" fillId="0" borderId="17" xfId="21" applyFont="1" applyBorder="1" applyAlignment="1" applyProtection="1">
      <alignment horizontal="left"/>
      <protection locked="0"/>
    </xf>
    <xf numFmtId="0" fontId="46" fillId="0" borderId="33" xfId="21" applyFont="1" applyBorder="1" applyAlignment="1" applyProtection="1">
      <alignment horizontal="left"/>
      <protection locked="0"/>
    </xf>
    <xf numFmtId="0" fontId="8" fillId="0" borderId="0" xfId="21" applyFont="1" applyAlignment="1" applyProtection="1">
      <alignment horizontal="left"/>
      <protection locked="0"/>
    </xf>
    <xf numFmtId="0" fontId="8" fillId="5" borderId="66" xfId="21" applyFont="1" applyFill="1" applyBorder="1" applyAlignment="1" applyProtection="1">
      <alignment horizontal="left" wrapText="1"/>
      <protection locked="0"/>
    </xf>
    <xf numFmtId="0" fontId="9" fillId="0" borderId="66" xfId="21" applyFont="1" applyBorder="1" applyAlignment="1" applyProtection="1">
      <alignment horizontal="left"/>
      <protection locked="0"/>
    </xf>
    <xf numFmtId="0" fontId="46" fillId="0" borderId="0" xfId="21" applyFont="1" applyAlignment="1" applyProtection="1">
      <alignment horizontal="left"/>
      <protection locked="0"/>
    </xf>
    <xf numFmtId="177" fontId="50" fillId="0" borderId="0" xfId="36" applyNumberFormat="1" applyFont="1"/>
    <xf numFmtId="0" fontId="59" fillId="0" borderId="0" xfId="36" applyFont="1" applyAlignment="1">
      <alignment horizontal="center" vertical="center"/>
    </xf>
    <xf numFmtId="0" fontId="60" fillId="0" borderId="0" xfId="36" applyFont="1" applyAlignment="1">
      <alignment horizontal="center" vertical="center"/>
    </xf>
    <xf numFmtId="0" fontId="60" fillId="0" borderId="0" xfId="36" applyFont="1" applyAlignment="1">
      <alignment horizontal="center" vertical="center" wrapText="1"/>
    </xf>
    <xf numFmtId="0" fontId="47" fillId="14" borderId="5" xfId="36" applyFont="1" applyFill="1" applyBorder="1" applyAlignment="1">
      <alignment horizontal="center" vertical="center" wrapText="1"/>
    </xf>
    <xf numFmtId="5" fontId="5" fillId="0" borderId="112" xfId="12" applyNumberFormat="1" applyFont="1" applyBorder="1" applyAlignment="1" applyProtection="1">
      <alignment horizontal="center"/>
    </xf>
    <xf numFmtId="5" fontId="5" fillId="0" borderId="113" xfId="12" applyNumberFormat="1" applyFont="1" applyBorder="1" applyAlignment="1" applyProtection="1">
      <alignment horizontal="center"/>
    </xf>
    <xf numFmtId="0" fontId="5" fillId="0" borderId="19" xfId="0" applyFont="1" applyBorder="1" applyAlignment="1">
      <alignment horizontal="center" vertical="center"/>
    </xf>
    <xf numFmtId="0" fontId="5" fillId="0" borderId="69" xfId="0" applyFont="1" applyBorder="1" applyAlignment="1">
      <alignment horizontal="center" vertical="center"/>
    </xf>
    <xf numFmtId="170" fontId="5" fillId="0" borderId="109" xfId="12" applyNumberFormat="1" applyFont="1" applyBorder="1" applyAlignment="1" applyProtection="1">
      <alignment horizontal="center"/>
    </xf>
    <xf numFmtId="170" fontId="5" fillId="0" borderId="110" xfId="12" applyNumberFormat="1" applyFont="1" applyBorder="1" applyAlignment="1" applyProtection="1">
      <alignment horizontal="center"/>
    </xf>
    <xf numFmtId="170" fontId="5" fillId="0" borderId="114" xfId="0" applyNumberFormat="1" applyFont="1" applyBorder="1" applyAlignment="1" applyProtection="1">
      <alignment horizontal="center" vertical="top" wrapText="1"/>
      <protection locked="0"/>
    </xf>
    <xf numFmtId="170" fontId="10" fillId="0" borderId="111" xfId="0" applyNumberFormat="1" applyFont="1" applyBorder="1" applyAlignment="1" applyProtection="1">
      <alignment horizontal="center" vertical="top" wrapText="1"/>
      <protection locked="0"/>
    </xf>
    <xf numFmtId="170" fontId="5" fillId="0" borderId="109" xfId="0" applyNumberFormat="1" applyFont="1" applyBorder="1" applyAlignment="1" applyProtection="1">
      <alignment horizontal="center" vertical="top" wrapText="1"/>
      <protection locked="0"/>
    </xf>
    <xf numFmtId="170" fontId="5" fillId="0" borderId="95" xfId="0" applyNumberFormat="1" applyFont="1" applyBorder="1" applyAlignment="1" applyProtection="1">
      <alignment horizontal="center" vertical="top" wrapText="1"/>
      <protection locked="0"/>
    </xf>
    <xf numFmtId="170" fontId="5" fillId="0" borderId="78" xfId="0" applyNumberFormat="1" applyFont="1" applyBorder="1" applyAlignment="1" applyProtection="1">
      <alignment horizontal="center" vertical="top" wrapText="1"/>
      <protection locked="0"/>
    </xf>
    <xf numFmtId="170" fontId="47" fillId="0" borderId="94" xfId="12" applyNumberFormat="1" applyFont="1" applyBorder="1" applyAlignment="1" applyProtection="1">
      <alignment horizontal="center"/>
      <protection locked="0"/>
    </xf>
    <xf numFmtId="170" fontId="47" fillId="0" borderId="78" xfId="12" applyNumberFormat="1" applyFont="1" applyBorder="1" applyAlignment="1" applyProtection="1">
      <alignment horizontal="center"/>
      <protection locked="0"/>
    </xf>
    <xf numFmtId="170" fontId="47" fillId="0" borderId="95" xfId="12" applyNumberFormat="1" applyFont="1" applyBorder="1" applyAlignment="1" applyProtection="1">
      <alignment horizontal="center"/>
      <protection locked="0"/>
    </xf>
    <xf numFmtId="7" fontId="46" fillId="0" borderId="92" xfId="12" applyFont="1" applyFill="1" applyBorder="1" applyAlignment="1" applyProtection="1">
      <alignment horizontal="center" wrapText="1"/>
      <protection locked="0"/>
    </xf>
    <xf numFmtId="7" fontId="46" fillId="0" borderId="39" xfId="12" applyFont="1" applyFill="1" applyBorder="1" applyAlignment="1" applyProtection="1">
      <alignment horizontal="center" wrapText="1"/>
      <protection locked="0"/>
    </xf>
    <xf numFmtId="0" fontId="46" fillId="8" borderId="85" xfId="21" applyFont="1" applyFill="1" applyBorder="1" applyAlignment="1" applyProtection="1">
      <alignment horizontal="center"/>
      <protection locked="0"/>
    </xf>
    <xf numFmtId="0" fontId="46" fillId="8" borderId="82" xfId="21" applyFont="1" applyFill="1" applyBorder="1" applyAlignment="1" applyProtection="1">
      <alignment horizontal="center"/>
      <protection locked="0"/>
    </xf>
    <xf numFmtId="0" fontId="46" fillId="8" borderId="70" xfId="21" applyFont="1" applyFill="1" applyBorder="1" applyAlignment="1" applyProtection="1">
      <alignment horizontal="center"/>
      <protection locked="0"/>
    </xf>
    <xf numFmtId="0" fontId="47" fillId="0" borderId="35" xfId="21" applyFont="1" applyBorder="1" applyAlignment="1" applyProtection="1">
      <alignment horizontal="left" wrapText="1"/>
      <protection locked="0"/>
    </xf>
    <xf numFmtId="0" fontId="47" fillId="0" borderId="68" xfId="21" applyFont="1" applyBorder="1" applyAlignment="1" applyProtection="1">
      <alignment horizontal="left" wrapText="1"/>
      <protection locked="0"/>
    </xf>
    <xf numFmtId="0" fontId="47" fillId="0" borderId="87" xfId="21" applyFont="1" applyBorder="1" applyAlignment="1" applyProtection="1">
      <alignment horizontal="left" wrapText="1"/>
      <protection locked="0"/>
    </xf>
    <xf numFmtId="44" fontId="47" fillId="0" borderId="47" xfId="13" applyFont="1" applyBorder="1" applyAlignment="1" applyProtection="1">
      <alignment horizontal="center"/>
      <protection locked="0"/>
    </xf>
    <xf numFmtId="44" fontId="47" fillId="0" borderId="5" xfId="13" applyFont="1" applyBorder="1" applyAlignment="1" applyProtection="1">
      <alignment horizontal="center"/>
      <protection locked="0"/>
    </xf>
    <xf numFmtId="0" fontId="47" fillId="0" borderId="35" xfId="21" applyFont="1" applyBorder="1" applyAlignment="1" applyProtection="1">
      <alignment horizontal="center" wrapText="1"/>
      <protection locked="0"/>
    </xf>
    <xf numFmtId="0" fontId="47" fillId="0" borderId="68" xfId="21" applyFont="1" applyBorder="1" applyAlignment="1" applyProtection="1">
      <alignment horizontal="center" wrapText="1"/>
      <protection locked="0"/>
    </xf>
    <xf numFmtId="0" fontId="47" fillId="0" borderId="87" xfId="21" applyFont="1" applyBorder="1" applyAlignment="1" applyProtection="1">
      <alignment horizontal="center" wrapText="1"/>
      <protection locked="0"/>
    </xf>
    <xf numFmtId="0" fontId="46" fillId="8" borderId="76" xfId="21" applyFont="1" applyFill="1" applyBorder="1" applyAlignment="1" applyProtection="1">
      <alignment horizontal="center"/>
      <protection locked="0"/>
    </xf>
    <xf numFmtId="0" fontId="46" fillId="8" borderId="87" xfId="21" applyFont="1" applyFill="1" applyBorder="1" applyAlignment="1" applyProtection="1">
      <alignment horizontal="center"/>
      <protection locked="0"/>
    </xf>
    <xf numFmtId="0" fontId="8" fillId="0" borderId="66" xfId="21" applyFont="1" applyBorder="1" applyAlignment="1" applyProtection="1">
      <alignment horizontal="right"/>
      <protection locked="0"/>
    </xf>
    <xf numFmtId="0" fontId="8" fillId="0" borderId="65" xfId="21" applyFont="1" applyBorder="1" applyAlignment="1" applyProtection="1">
      <alignment horizontal="right"/>
      <protection locked="0"/>
    </xf>
    <xf numFmtId="0" fontId="8" fillId="0" borderId="47" xfId="21" applyFont="1" applyBorder="1" applyAlignment="1" applyProtection="1">
      <alignment horizontal="right"/>
      <protection locked="0"/>
    </xf>
    <xf numFmtId="0" fontId="47" fillId="0" borderId="35" xfId="21" applyFont="1" applyBorder="1" applyAlignment="1" applyProtection="1">
      <alignment horizontal="left" vertical="top" wrapText="1"/>
      <protection locked="0"/>
    </xf>
    <xf numFmtId="0" fontId="47" fillId="0" borderId="68" xfId="21" applyFont="1" applyBorder="1" applyAlignment="1" applyProtection="1">
      <alignment horizontal="left" vertical="top" wrapText="1"/>
      <protection locked="0"/>
    </xf>
    <xf numFmtId="0" fontId="47" fillId="0" borderId="87" xfId="21" applyFont="1" applyBorder="1" applyAlignment="1" applyProtection="1">
      <alignment horizontal="left" vertical="top" wrapText="1"/>
      <protection locked="0"/>
    </xf>
    <xf numFmtId="0" fontId="47" fillId="0" borderId="35" xfId="21" applyFont="1" applyBorder="1" applyAlignment="1" applyProtection="1">
      <alignment horizontal="left"/>
      <protection locked="0"/>
    </xf>
    <xf numFmtId="0" fontId="47" fillId="0" borderId="68" xfId="21" applyFont="1" applyBorder="1" applyAlignment="1" applyProtection="1">
      <alignment horizontal="left"/>
      <protection locked="0"/>
    </xf>
    <xf numFmtId="0" fontId="47" fillId="0" borderId="87" xfId="21" applyFont="1" applyBorder="1" applyAlignment="1" applyProtection="1">
      <alignment horizontal="left"/>
      <protection locked="0"/>
    </xf>
    <xf numFmtId="0" fontId="57" fillId="8" borderId="76" xfId="21" applyFont="1" applyFill="1" applyBorder="1" applyAlignment="1" applyProtection="1">
      <alignment horizontal="center"/>
      <protection locked="0"/>
    </xf>
    <xf numFmtId="0" fontId="57" fillId="8" borderId="87" xfId="21" applyFont="1" applyFill="1" applyBorder="1" applyAlignment="1" applyProtection="1">
      <alignment horizontal="center"/>
      <protection locked="0"/>
    </xf>
    <xf numFmtId="0" fontId="46" fillId="8" borderId="68" xfId="21" applyFont="1" applyFill="1" applyBorder="1" applyAlignment="1" applyProtection="1">
      <alignment horizontal="center"/>
      <protection locked="0"/>
    </xf>
    <xf numFmtId="7" fontId="46" fillId="0" borderId="93" xfId="12" applyFont="1" applyFill="1" applyBorder="1" applyAlignment="1" applyProtection="1">
      <alignment horizontal="center" wrapText="1"/>
      <protection locked="0"/>
    </xf>
    <xf numFmtId="0" fontId="61" fillId="19" borderId="71" xfId="42" applyFont="1" applyFill="1" applyBorder="1" applyAlignment="1">
      <alignment horizontal="center"/>
    </xf>
    <xf numFmtId="0" fontId="63" fillId="20" borderId="40" xfId="42" applyFont="1" applyFill="1" applyBorder="1"/>
    <xf numFmtId="0" fontId="63" fillId="20" borderId="72" xfId="42" applyFont="1" applyFill="1" applyBorder="1"/>
    <xf numFmtId="0" fontId="61" fillId="0" borderId="117" xfId="42" applyFont="1" applyBorder="1" applyAlignment="1">
      <alignment horizontal="center"/>
    </xf>
    <xf numFmtId="0" fontId="29" fillId="0" borderId="118" xfId="42" applyFont="1" applyBorder="1"/>
    <xf numFmtId="0" fontId="29" fillId="0" borderId="119" xfId="42" applyFont="1" applyBorder="1"/>
    <xf numFmtId="0" fontId="61" fillId="18" borderId="71" xfId="42" applyFont="1" applyFill="1" applyBorder="1" applyAlignment="1">
      <alignment horizontal="center"/>
    </xf>
    <xf numFmtId="0" fontId="63" fillId="0" borderId="40" xfId="42" applyFont="1" applyBorder="1"/>
    <xf numFmtId="0" fontId="63" fillId="0" borderId="72" xfId="42" applyFont="1" applyBorder="1"/>
    <xf numFmtId="0" fontId="61" fillId="21" borderId="71" xfId="42" applyFont="1" applyFill="1" applyBorder="1" applyAlignment="1">
      <alignment horizontal="center"/>
    </xf>
    <xf numFmtId="0" fontId="63" fillId="22" borderId="40" xfId="42" applyFont="1" applyFill="1" applyBorder="1"/>
    <xf numFmtId="0" fontId="63" fillId="22" borderId="72" xfId="42" applyFont="1" applyFill="1" applyBorder="1"/>
    <xf numFmtId="0" fontId="19" fillId="0" borderId="48" xfId="0" applyFont="1" applyBorder="1" applyAlignment="1">
      <alignment horizontal="left" vertical="top"/>
    </xf>
    <xf numFmtId="0" fontId="19" fillId="0" borderId="33" xfId="0" applyFont="1" applyBorder="1" applyAlignment="1">
      <alignment horizontal="left" vertical="top"/>
    </xf>
    <xf numFmtId="0" fontId="19" fillId="0" borderId="50" xfId="0" applyFont="1" applyBorder="1" applyAlignment="1">
      <alignment horizontal="left" vertical="top"/>
    </xf>
    <xf numFmtId="0" fontId="19" fillId="0" borderId="10" xfId="0" applyFont="1" applyBorder="1" applyAlignment="1">
      <alignment horizontal="left" vertical="top"/>
    </xf>
    <xf numFmtId="0" fontId="8" fillId="0" borderId="86" xfId="0" applyFont="1" applyBorder="1" applyAlignment="1">
      <alignment horizontal="center" vertical="top"/>
    </xf>
    <xf numFmtId="0" fontId="8" fillId="0" borderId="30" xfId="0" applyFont="1" applyBorder="1" applyAlignment="1">
      <alignment horizontal="center" vertical="top"/>
    </xf>
    <xf numFmtId="0" fontId="8" fillId="0" borderId="100" xfId="0" applyFont="1" applyBorder="1" applyAlignment="1">
      <alignment horizontal="center" vertical="top"/>
    </xf>
    <xf numFmtId="0" fontId="8" fillId="0" borderId="6" xfId="0" applyFont="1" applyBorder="1" applyAlignment="1">
      <alignment horizontal="center" vertical="top"/>
    </xf>
    <xf numFmtId="0" fontId="8" fillId="0" borderId="89" xfId="0" applyFont="1" applyBorder="1" applyAlignment="1">
      <alignment horizontal="center" vertical="top" wrapText="1"/>
    </xf>
    <xf numFmtId="0" fontId="8" fillId="0" borderId="31" xfId="0" applyFont="1" applyBorder="1" applyAlignment="1">
      <alignment horizontal="center" vertical="top" wrapText="1"/>
    </xf>
    <xf numFmtId="170" fontId="8" fillId="0" borderId="71" xfId="0" applyNumberFormat="1" applyFont="1" applyBorder="1" applyAlignment="1">
      <alignment horizontal="center" vertical="top"/>
    </xf>
    <xf numFmtId="170" fontId="8" fillId="0" borderId="40" xfId="0" applyNumberFormat="1" applyFont="1" applyBorder="1" applyAlignment="1">
      <alignment horizontal="center" vertical="top"/>
    </xf>
    <xf numFmtId="170" fontId="8" fillId="0" borderId="72" xfId="0" applyNumberFormat="1" applyFont="1" applyBorder="1" applyAlignment="1">
      <alignment horizontal="center" vertical="top"/>
    </xf>
    <xf numFmtId="0" fontId="12" fillId="0" borderId="15" xfId="0" applyFont="1" applyBorder="1" applyAlignment="1">
      <alignment horizontal="left" vertical="center" wrapText="1" indent="1"/>
    </xf>
    <xf numFmtId="0" fontId="12" fillId="0" borderId="26" xfId="0" applyFont="1" applyBorder="1" applyAlignment="1">
      <alignment horizontal="left" vertical="center" wrapText="1" indent="1"/>
    </xf>
    <xf numFmtId="0" fontId="12" fillId="0" borderId="28" xfId="0" applyFont="1" applyBorder="1" applyAlignment="1">
      <alignment horizontal="left" vertical="center" wrapText="1" indent="1"/>
    </xf>
    <xf numFmtId="0" fontId="31" fillId="0" borderId="0" xfId="0" applyFont="1" applyAlignment="1">
      <alignment horizontal="right" vertical="center" wrapText="1"/>
    </xf>
    <xf numFmtId="0" fontId="32" fillId="0" borderId="11" xfId="0" applyFont="1" applyBorder="1" applyAlignment="1">
      <alignment vertical="center" wrapText="1"/>
    </xf>
    <xf numFmtId="0" fontId="32" fillId="0" borderId="0" xfId="0" applyFont="1" applyAlignment="1">
      <alignment vertical="center" wrapText="1"/>
    </xf>
    <xf numFmtId="0" fontId="32" fillId="0" borderId="12" xfId="0" applyFont="1" applyBorder="1" applyAlignment="1">
      <alignment vertical="center" wrapText="1"/>
    </xf>
    <xf numFmtId="0" fontId="32" fillId="0" borderId="15" xfId="0" applyFont="1" applyBorder="1" applyAlignment="1">
      <alignment vertical="center" wrapText="1"/>
    </xf>
    <xf numFmtId="0" fontId="32" fillId="0" borderId="26" xfId="0" applyFont="1" applyBorder="1" applyAlignment="1">
      <alignment vertical="center" wrapText="1"/>
    </xf>
    <xf numFmtId="0" fontId="32" fillId="0" borderId="28" xfId="0" applyFont="1" applyBorder="1" applyAlignment="1">
      <alignment vertical="center" wrapText="1"/>
    </xf>
    <xf numFmtId="0" fontId="12" fillId="9" borderId="11" xfId="0" applyFont="1" applyFill="1" applyBorder="1" applyAlignment="1">
      <alignment horizontal="left" vertical="center" wrapText="1" indent="1"/>
    </xf>
    <xf numFmtId="0" fontId="12" fillId="9" borderId="0" xfId="0" applyFont="1" applyFill="1" applyAlignment="1">
      <alignment horizontal="left" vertical="center" wrapText="1" indent="1"/>
    </xf>
    <xf numFmtId="0" fontId="12" fillId="9" borderId="12" xfId="0" applyFont="1" applyFill="1" applyBorder="1" applyAlignment="1">
      <alignment horizontal="left" vertical="center" wrapText="1" indent="1"/>
    </xf>
    <xf numFmtId="0" fontId="12" fillId="0" borderId="11" xfId="0" applyFont="1" applyBorder="1" applyAlignment="1">
      <alignment horizontal="left" vertical="center" wrapText="1" indent="1"/>
    </xf>
    <xf numFmtId="0" fontId="12" fillId="0" borderId="0" xfId="0" applyFont="1" applyAlignment="1">
      <alignment horizontal="left" vertical="center" wrapText="1" indent="1"/>
    </xf>
    <xf numFmtId="0" fontId="12" fillId="0" borderId="12" xfId="0" applyFont="1" applyBorder="1" applyAlignment="1">
      <alignment horizontal="left" vertical="center" wrapText="1" indent="1"/>
    </xf>
    <xf numFmtId="0" fontId="12" fillId="0" borderId="71" xfId="0" applyFont="1" applyBorder="1" applyAlignment="1">
      <alignment horizontal="left" vertical="center" wrapText="1"/>
    </xf>
    <xf numFmtId="0" fontId="12" fillId="0" borderId="40" xfId="0" applyFont="1" applyBorder="1" applyAlignment="1">
      <alignment horizontal="left" vertical="center" wrapText="1"/>
    </xf>
    <xf numFmtId="0" fontId="12" fillId="0" borderId="40" xfId="0" applyFont="1" applyBorder="1" applyAlignment="1">
      <alignment horizontal="left" vertical="center" wrapText="1" indent="1"/>
    </xf>
    <xf numFmtId="0" fontId="12" fillId="0" borderId="72" xfId="0" applyFont="1" applyBorder="1" applyAlignment="1">
      <alignment horizontal="left" vertical="center" wrapText="1" indent="1"/>
    </xf>
    <xf numFmtId="0" fontId="12" fillId="0" borderId="11" xfId="0" applyFont="1" applyBorder="1" applyAlignment="1">
      <alignment horizontal="left" vertical="center" wrapText="1"/>
    </xf>
    <xf numFmtId="0" fontId="12" fillId="0" borderId="0" xfId="0" applyFont="1" applyAlignment="1">
      <alignment horizontal="left" vertical="center" wrapText="1"/>
    </xf>
    <xf numFmtId="0" fontId="12" fillId="9" borderId="40" xfId="0" applyFont="1" applyFill="1" applyBorder="1" applyAlignment="1">
      <alignment horizontal="left" vertical="center" wrapText="1" indent="1"/>
    </xf>
    <xf numFmtId="0" fontId="12" fillId="0" borderId="11" xfId="0" applyFont="1" applyBorder="1" applyAlignment="1">
      <alignment horizontal="left" vertical="center" wrapText="1" indent="3"/>
    </xf>
    <xf numFmtId="0" fontId="12" fillId="0" borderId="0" xfId="0" applyFont="1" applyAlignment="1">
      <alignment horizontal="left" vertical="center" wrapText="1" indent="3"/>
    </xf>
    <xf numFmtId="0" fontId="12" fillId="0" borderId="12" xfId="0" applyFont="1" applyBorder="1" applyAlignment="1">
      <alignment horizontal="left" vertical="center" wrapText="1" indent="3"/>
    </xf>
    <xf numFmtId="0" fontId="12" fillId="0" borderId="15" xfId="0" applyFont="1" applyBorder="1" applyAlignment="1">
      <alignment vertical="center" wrapText="1"/>
    </xf>
    <xf numFmtId="0" fontId="12" fillId="0" borderId="26" xfId="0" applyFont="1" applyBorder="1" applyAlignment="1">
      <alignment vertical="center" wrapText="1"/>
    </xf>
    <xf numFmtId="0" fontId="12" fillId="0" borderId="28" xfId="0" applyFont="1" applyBorder="1" applyAlignment="1">
      <alignment vertical="center" wrapText="1"/>
    </xf>
    <xf numFmtId="0" fontId="12" fillId="9" borderId="63" xfId="0" applyFont="1" applyFill="1" applyBorder="1" applyAlignment="1">
      <alignment horizontal="left" vertical="center" wrapText="1" indent="1"/>
    </xf>
    <xf numFmtId="0" fontId="12" fillId="9" borderId="65" xfId="0" applyFont="1" applyFill="1" applyBorder="1" applyAlignment="1">
      <alignment horizontal="left" vertical="center" wrapText="1" indent="1"/>
    </xf>
    <xf numFmtId="0" fontId="12" fillId="9" borderId="72" xfId="0" applyFont="1" applyFill="1" applyBorder="1" applyAlignment="1">
      <alignment horizontal="left" vertical="center" wrapText="1" indent="1"/>
    </xf>
    <xf numFmtId="0" fontId="12" fillId="8" borderId="40" xfId="0" applyFont="1" applyFill="1" applyBorder="1" applyAlignment="1">
      <alignment horizontal="left" vertical="center" wrapText="1" indent="1"/>
    </xf>
    <xf numFmtId="0" fontId="32" fillId="0" borderId="71" xfId="0" applyFont="1" applyBorder="1" applyAlignment="1">
      <alignment vertical="center" wrapText="1"/>
    </xf>
    <xf numFmtId="0" fontId="32" fillId="0" borderId="40" xfId="0" applyFont="1" applyBorder="1" applyAlignment="1">
      <alignment vertical="center" wrapText="1"/>
    </xf>
    <xf numFmtId="0" fontId="32" fillId="0" borderId="72" xfId="0" applyFont="1" applyBorder="1" applyAlignment="1">
      <alignment vertical="center" wrapText="1"/>
    </xf>
    <xf numFmtId="0" fontId="0" fillId="0" borderId="11" xfId="0" applyBorder="1" applyAlignment="1">
      <alignment horizontal="left" vertical="top"/>
    </xf>
    <xf numFmtId="0" fontId="0" fillId="0" borderId="0" xfId="0" applyAlignment="1">
      <alignment horizontal="left" vertical="top"/>
    </xf>
    <xf numFmtId="0" fontId="12" fillId="0" borderId="11" xfId="0" applyFont="1" applyBorder="1" applyAlignment="1">
      <alignment vertical="center" wrapText="1"/>
    </xf>
    <xf numFmtId="0" fontId="12" fillId="0" borderId="0" xfId="0" applyFont="1" applyAlignment="1">
      <alignment vertical="center" wrapText="1"/>
    </xf>
    <xf numFmtId="0" fontId="12" fillId="0" borderId="12" xfId="0" applyFont="1" applyBorder="1" applyAlignment="1">
      <alignment vertical="center" wrapText="1"/>
    </xf>
    <xf numFmtId="16" fontId="12" fillId="0" borderId="40" xfId="0" applyNumberFormat="1" applyFont="1" applyBorder="1" applyAlignment="1">
      <alignment horizontal="left" vertical="center" wrapText="1" indent="1"/>
    </xf>
    <xf numFmtId="0" fontId="32" fillId="9" borderId="15" xfId="0" applyFont="1" applyFill="1" applyBorder="1" applyAlignment="1">
      <alignment horizontal="left" vertical="center" wrapText="1" indent="1"/>
    </xf>
    <xf numFmtId="0" fontId="32" fillId="9" borderId="26" xfId="0" applyFont="1" applyFill="1" applyBorder="1" applyAlignment="1">
      <alignment horizontal="left" vertical="center" wrapText="1" indent="1"/>
    </xf>
    <xf numFmtId="0" fontId="32" fillId="9" borderId="28" xfId="0" applyFont="1" applyFill="1" applyBorder="1" applyAlignment="1">
      <alignment horizontal="left" vertical="center" wrapText="1" indent="1"/>
    </xf>
    <xf numFmtId="0" fontId="32" fillId="0" borderId="48" xfId="0" applyFont="1" applyBorder="1" applyAlignment="1">
      <alignment vertical="center" wrapText="1"/>
    </xf>
    <xf numFmtId="0" fontId="32" fillId="0" borderId="33" xfId="0" applyFont="1" applyBorder="1" applyAlignment="1">
      <alignment vertical="center" wrapText="1"/>
    </xf>
    <xf numFmtId="0" fontId="32" fillId="0" borderId="49" xfId="0" applyFont="1" applyBorder="1" applyAlignment="1">
      <alignment vertical="center" wrapText="1"/>
    </xf>
    <xf numFmtId="0" fontId="33" fillId="0" borderId="63" xfId="0" applyFont="1" applyBorder="1" applyAlignment="1">
      <alignment horizontal="left" vertical="center" wrapText="1" indent="1"/>
    </xf>
    <xf numFmtId="0" fontId="12" fillId="0" borderId="33" xfId="0" applyFont="1" applyBorder="1" applyAlignment="1">
      <alignment horizontal="left" vertical="top" wrapText="1"/>
    </xf>
    <xf numFmtId="0" fontId="12" fillId="0" borderId="49" xfId="0" applyFont="1" applyBorder="1" applyAlignment="1">
      <alignment horizontal="left" vertical="top" wrapText="1"/>
    </xf>
    <xf numFmtId="0" fontId="12" fillId="0" borderId="0" xfId="0" applyFont="1" applyAlignment="1">
      <alignment horizontal="left" vertical="top" wrapText="1"/>
    </xf>
    <xf numFmtId="0" fontId="12" fillId="0" borderId="12" xfId="0" applyFont="1" applyBorder="1" applyAlignment="1">
      <alignment horizontal="left" vertical="top" wrapText="1"/>
    </xf>
    <xf numFmtId="0" fontId="12" fillId="0" borderId="96" xfId="0" applyFont="1" applyBorder="1" applyAlignment="1">
      <alignment vertical="center" wrapText="1"/>
    </xf>
    <xf numFmtId="0" fontId="12" fillId="0" borderId="96" xfId="0" applyFont="1" applyBorder="1" applyAlignment="1">
      <alignment horizontal="left" vertical="center" wrapText="1" indent="1"/>
    </xf>
    <xf numFmtId="0" fontId="12" fillId="0" borderId="97" xfId="0" applyFont="1" applyBorder="1" applyAlignment="1">
      <alignment vertical="center" wrapText="1"/>
    </xf>
    <xf numFmtId="0" fontId="12" fillId="0" borderId="11" xfId="0" applyFont="1" applyBorder="1" applyAlignment="1">
      <alignment horizontal="left" vertical="center" wrapText="1" indent="2"/>
    </xf>
    <xf numFmtId="0" fontId="0" fillId="0" borderId="0" xfId="0" applyAlignment="1">
      <alignment horizontal="left" vertical="center" indent="2"/>
    </xf>
    <xf numFmtId="0" fontId="0" fillId="0" borderId="12" xfId="0" applyBorder="1" applyAlignment="1">
      <alignment horizontal="left" vertical="center" indent="2"/>
    </xf>
    <xf numFmtId="0" fontId="0" fillId="0" borderId="11" xfId="0" applyBorder="1" applyAlignment="1">
      <alignment vertical="center" wrapText="1"/>
    </xf>
    <xf numFmtId="0" fontId="0" fillId="0" borderId="0" xfId="0" applyAlignment="1">
      <alignment vertical="center" wrapText="1"/>
    </xf>
    <xf numFmtId="0" fontId="0" fillId="0" borderId="12" xfId="0" applyBorder="1" applyAlignment="1">
      <alignment vertical="center" wrapText="1"/>
    </xf>
    <xf numFmtId="0" fontId="12" fillId="0" borderId="0" xfId="0" applyFont="1" applyAlignment="1">
      <alignment horizontal="left" vertical="center" wrapText="1" indent="2"/>
    </xf>
    <xf numFmtId="0" fontId="12" fillId="0" borderId="56" xfId="0" applyFont="1" applyBorder="1" applyAlignment="1">
      <alignment vertical="center" wrapText="1"/>
    </xf>
    <xf numFmtId="0" fontId="12" fillId="9" borderId="53" xfId="0" applyFont="1" applyFill="1" applyBorder="1" applyAlignment="1">
      <alignment horizontal="left" vertical="center" wrapText="1" indent="2"/>
    </xf>
    <xf numFmtId="0" fontId="12" fillId="0" borderId="48" xfId="0" applyFont="1" applyBorder="1" applyAlignment="1">
      <alignment horizontal="left" vertical="center" wrapText="1"/>
    </xf>
    <xf numFmtId="0" fontId="12" fillId="0" borderId="33" xfId="0" applyFont="1" applyBorder="1" applyAlignment="1">
      <alignment horizontal="left" vertical="center" wrapText="1"/>
    </xf>
    <xf numFmtId="0" fontId="12" fillId="9" borderId="78" xfId="0" applyFont="1" applyFill="1" applyBorder="1" applyAlignment="1">
      <alignment horizontal="left" vertical="center" wrapText="1" indent="1"/>
    </xf>
    <xf numFmtId="0" fontId="12" fillId="0" borderId="53" xfId="0" applyFont="1" applyBorder="1" applyAlignment="1">
      <alignment vertical="center" wrapText="1"/>
    </xf>
    <xf numFmtId="0" fontId="12" fillId="0" borderId="48" xfId="0" applyFont="1" applyBorder="1" applyAlignment="1">
      <alignment vertical="center" wrapText="1"/>
    </xf>
    <xf numFmtId="0" fontId="12" fillId="0" borderId="33" xfId="0" applyFont="1" applyBorder="1" applyAlignment="1">
      <alignment vertical="center" wrapText="1"/>
    </xf>
    <xf numFmtId="0" fontId="12" fillId="0" borderId="49" xfId="0" applyFont="1" applyBorder="1" applyAlignment="1">
      <alignment vertical="center" wrapText="1"/>
    </xf>
    <xf numFmtId="0" fontId="33" fillId="0" borderId="63" xfId="0" applyFont="1" applyBorder="1" applyAlignment="1">
      <alignment horizontal="center" vertical="center" wrapText="1"/>
    </xf>
    <xf numFmtId="0" fontId="32" fillId="9" borderId="11" xfId="0" applyFont="1" applyFill="1" applyBorder="1" applyAlignment="1">
      <alignment horizontal="left" vertical="center" wrapText="1" indent="1"/>
    </xf>
    <xf numFmtId="0" fontId="32" fillId="9" borderId="0" xfId="0" applyFont="1" applyFill="1" applyAlignment="1">
      <alignment horizontal="left" vertical="center" wrapText="1" indent="1"/>
    </xf>
    <xf numFmtId="0" fontId="32" fillId="9" borderId="12" xfId="0" applyFont="1" applyFill="1" applyBorder="1" applyAlignment="1">
      <alignment horizontal="left" vertical="center" wrapText="1" indent="1"/>
    </xf>
    <xf numFmtId="0" fontId="6" fillId="8" borderId="40" xfId="19" applyFill="1" applyBorder="1" applyAlignment="1" applyProtection="1">
      <alignment horizontal="left" vertical="center" wrapText="1" indent="1"/>
    </xf>
    <xf numFmtId="0" fontId="12" fillId="0" borderId="65" xfId="0" applyFont="1" applyBorder="1" applyAlignment="1">
      <alignment horizontal="right" vertical="center" wrapText="1"/>
    </xf>
    <xf numFmtId="5" fontId="12" fillId="9" borderId="78" xfId="0" applyNumberFormat="1" applyFont="1" applyFill="1" applyBorder="1" applyAlignment="1">
      <alignment horizontal="right" vertical="center" wrapText="1"/>
    </xf>
    <xf numFmtId="0" fontId="12" fillId="9" borderId="78" xfId="0" applyFont="1" applyFill="1" applyBorder="1" applyAlignment="1">
      <alignment horizontal="right" vertical="center" wrapText="1"/>
    </xf>
    <xf numFmtId="0" fontId="12" fillId="0" borderId="15" xfId="0" applyFont="1" applyBorder="1" applyAlignment="1">
      <alignment horizontal="left" vertical="center" wrapText="1" indent="2"/>
    </xf>
    <xf numFmtId="0" fontId="12" fillId="0" borderId="26" xfId="0" applyFont="1" applyBorder="1" applyAlignment="1">
      <alignment horizontal="left" vertical="center" wrapText="1" indent="2"/>
    </xf>
    <xf numFmtId="0" fontId="12" fillId="0" borderId="28" xfId="0" applyFont="1" applyBorder="1" applyAlignment="1">
      <alignment horizontal="left" vertical="center" wrapText="1" indent="2"/>
    </xf>
    <xf numFmtId="0" fontId="8" fillId="0" borderId="48" xfId="0" applyFont="1" applyBorder="1" applyAlignment="1">
      <alignment vertical="center" wrapText="1"/>
    </xf>
    <xf numFmtId="0" fontId="8" fillId="0" borderId="33" xfId="0" applyFont="1" applyBorder="1" applyAlignment="1">
      <alignment vertical="center" wrapText="1"/>
    </xf>
    <xf numFmtId="0" fontId="8" fillId="0" borderId="49" xfId="0" applyFont="1" applyBorder="1" applyAlignment="1">
      <alignment vertical="center" wrapText="1"/>
    </xf>
    <xf numFmtId="0" fontId="12" fillId="0" borderId="26" xfId="0" applyFont="1" applyBorder="1" applyAlignment="1">
      <alignment horizontal="left" vertical="center" wrapText="1"/>
    </xf>
    <xf numFmtId="0" fontId="12" fillId="0" borderId="26" xfId="0" applyFont="1" applyBorder="1" applyAlignment="1">
      <alignment horizontal="center" vertical="center" wrapText="1"/>
    </xf>
    <xf numFmtId="0" fontId="12" fillId="0" borderId="28" xfId="0" applyFont="1" applyBorder="1" applyAlignment="1">
      <alignment horizontal="center" vertical="center" wrapText="1"/>
    </xf>
    <xf numFmtId="173" fontId="12" fillId="9" borderId="26" xfId="0" applyNumberFormat="1" applyFont="1" applyFill="1" applyBorder="1" applyAlignment="1">
      <alignment horizontal="left" vertical="center" wrapText="1" indent="1"/>
    </xf>
    <xf numFmtId="173" fontId="12" fillId="9" borderId="28" xfId="0" applyNumberFormat="1" applyFont="1" applyFill="1" applyBorder="1" applyAlignment="1">
      <alignment horizontal="left" vertical="center" wrapText="1" indent="1"/>
    </xf>
    <xf numFmtId="0" fontId="12" fillId="0" borderId="12" xfId="0" applyFont="1" applyBorder="1" applyAlignment="1">
      <alignment horizontal="left" vertical="center" wrapText="1" indent="2"/>
    </xf>
    <xf numFmtId="5" fontId="12" fillId="9" borderId="65" xfId="0" applyNumberFormat="1" applyFont="1" applyFill="1" applyBorder="1" applyAlignment="1">
      <alignment horizontal="right" vertical="center" wrapText="1"/>
    </xf>
    <xf numFmtId="0" fontId="12" fillId="9" borderId="65" xfId="0" applyFont="1" applyFill="1" applyBorder="1" applyAlignment="1">
      <alignment horizontal="right" vertical="center" wrapText="1"/>
    </xf>
    <xf numFmtId="0" fontId="8" fillId="0" borderId="71" xfId="0" applyFont="1" applyBorder="1" applyAlignment="1">
      <alignment horizontal="left" vertical="center" wrapText="1"/>
    </xf>
    <xf numFmtId="0" fontId="8" fillId="0" borderId="40" xfId="0" applyFont="1" applyBorder="1" applyAlignment="1">
      <alignment horizontal="left" vertical="center" wrapText="1"/>
    </xf>
    <xf numFmtId="0" fontId="33" fillId="0" borderId="0" xfId="0" applyFont="1" applyAlignment="1">
      <alignment vertical="center" wrapText="1"/>
    </xf>
    <xf numFmtId="0" fontId="33" fillId="0" borderId="12" xfId="0" applyFont="1" applyBorder="1" applyAlignment="1">
      <alignment vertical="center" wrapText="1"/>
    </xf>
    <xf numFmtId="0" fontId="6" fillId="9" borderId="40" xfId="19" applyFill="1" applyBorder="1" applyAlignment="1" applyProtection="1">
      <alignment horizontal="left" vertical="center" wrapText="1" indent="1"/>
    </xf>
    <xf numFmtId="0" fontId="12" fillId="0" borderId="15" xfId="0" applyFont="1" applyBorder="1" applyAlignment="1">
      <alignment horizontal="left" vertical="center" wrapText="1"/>
    </xf>
    <xf numFmtId="0" fontId="12" fillId="0" borderId="71" xfId="0" applyFont="1" applyBorder="1" applyAlignment="1">
      <alignment horizontal="center" vertical="center" wrapText="1"/>
    </xf>
    <xf numFmtId="0" fontId="12" fillId="0" borderId="40" xfId="0" applyFont="1" applyBorder="1" applyAlignment="1">
      <alignment horizontal="center" vertical="center" wrapText="1"/>
    </xf>
    <xf numFmtId="0" fontId="8" fillId="0" borderId="33" xfId="0" applyFont="1" applyBorder="1" applyAlignment="1">
      <alignment horizontal="left" vertical="center" wrapText="1"/>
    </xf>
    <xf numFmtId="0" fontId="12" fillId="0" borderId="63" xfId="0" applyFont="1" applyBorder="1" applyAlignment="1">
      <alignment horizontal="left" vertical="center" wrapText="1"/>
    </xf>
    <xf numFmtId="0" fontId="34" fillId="0" borderId="0" xfId="0" applyFont="1" applyAlignment="1">
      <alignment vertical="center" wrapText="1"/>
    </xf>
    <xf numFmtId="0" fontId="34" fillId="0" borderId="12" xfId="0" applyFont="1" applyBorder="1" applyAlignment="1">
      <alignment vertical="center" wrapText="1"/>
    </xf>
    <xf numFmtId="5" fontId="11" fillId="0" borderId="45" xfId="0" applyNumberFormat="1" applyFont="1" applyBorder="1" applyAlignment="1">
      <alignment horizontal="right"/>
    </xf>
    <xf numFmtId="5" fontId="11" fillId="0" borderId="67" xfId="0" applyNumberFormat="1" applyFont="1" applyBorder="1" applyAlignment="1">
      <alignment horizontal="right"/>
    </xf>
    <xf numFmtId="0" fontId="19" fillId="0" borderId="16" xfId="0" applyFont="1" applyBorder="1" applyAlignment="1">
      <alignment horizontal="left" indent="10"/>
    </xf>
    <xf numFmtId="0" fontId="19" fillId="0" borderId="0" xfId="0" applyFont="1" applyAlignment="1">
      <alignment horizontal="left" indent="10"/>
    </xf>
    <xf numFmtId="5" fontId="18" fillId="0" borderId="61" xfId="0" applyNumberFormat="1" applyFont="1" applyBorder="1" applyAlignment="1">
      <alignment horizontal="center"/>
    </xf>
    <xf numFmtId="5" fontId="18" fillId="0" borderId="45" xfId="0" applyNumberFormat="1" applyFont="1" applyBorder="1" applyAlignment="1">
      <alignment horizontal="center"/>
    </xf>
    <xf numFmtId="5" fontId="18" fillId="0" borderId="67" xfId="0" applyNumberFormat="1" applyFont="1" applyBorder="1" applyAlignment="1">
      <alignment horizontal="center"/>
    </xf>
    <xf numFmtId="5" fontId="18" fillId="0" borderId="62" xfId="0" applyNumberFormat="1" applyFont="1" applyBorder="1" applyAlignment="1">
      <alignment horizontal="center"/>
    </xf>
    <xf numFmtId="5" fontId="18" fillId="0" borderId="63" xfId="0" applyNumberFormat="1" applyFont="1" applyBorder="1" applyAlignment="1">
      <alignment horizontal="center"/>
    </xf>
    <xf numFmtId="5" fontId="18" fillId="0" borderId="64" xfId="0" applyNumberFormat="1" applyFont="1" applyBorder="1" applyAlignment="1">
      <alignment horizontal="center"/>
    </xf>
    <xf numFmtId="5" fontId="32" fillId="0" borderId="61" xfId="0" applyNumberFormat="1" applyFont="1" applyBorder="1" applyAlignment="1">
      <alignment horizontal="center" vertical="center" wrapText="1"/>
    </xf>
    <xf numFmtId="5" fontId="32" fillId="0" borderId="67" xfId="0" applyNumberFormat="1" applyFont="1" applyBorder="1" applyAlignment="1">
      <alignment horizontal="center" vertical="center" wrapText="1"/>
    </xf>
    <xf numFmtId="5" fontId="32" fillId="0" borderId="16" xfId="0" applyNumberFormat="1" applyFont="1" applyBorder="1" applyAlignment="1">
      <alignment horizontal="center" vertical="center" wrapText="1"/>
    </xf>
    <xf numFmtId="5" fontId="32" fillId="0" borderId="34" xfId="0" applyNumberFormat="1" applyFont="1" applyBorder="1" applyAlignment="1">
      <alignment horizontal="center" vertical="center" wrapText="1"/>
    </xf>
    <xf numFmtId="5" fontId="32" fillId="0" borderId="43" xfId="0" applyNumberFormat="1" applyFont="1" applyBorder="1" applyAlignment="1">
      <alignment horizontal="center" wrapText="1"/>
    </xf>
    <xf numFmtId="5" fontId="32" fillId="0" borderId="4" xfId="0" applyNumberFormat="1" applyFont="1" applyBorder="1" applyAlignment="1">
      <alignment horizontal="center" wrapText="1"/>
    </xf>
    <xf numFmtId="5" fontId="32" fillId="0" borderId="66" xfId="0" applyNumberFormat="1" applyFont="1" applyBorder="1" applyAlignment="1">
      <alignment horizontal="center"/>
    </xf>
    <xf numFmtId="5" fontId="32" fillId="0" borderId="65" xfId="0" applyNumberFormat="1" applyFont="1" applyBorder="1" applyAlignment="1">
      <alignment horizontal="center"/>
    </xf>
    <xf numFmtId="5" fontId="32" fillId="0" borderId="47" xfId="0" applyNumberFormat="1" applyFont="1" applyBorder="1" applyAlignment="1">
      <alignment horizontal="center"/>
    </xf>
    <xf numFmtId="5" fontId="32" fillId="0" borderId="66" xfId="0" quotePrefix="1" applyNumberFormat="1" applyFont="1" applyBorder="1" applyAlignment="1">
      <alignment horizontal="left" vertical="center"/>
    </xf>
    <xf numFmtId="5" fontId="32" fillId="0" borderId="65" xfId="0" quotePrefix="1" applyNumberFormat="1" applyFont="1" applyBorder="1" applyAlignment="1">
      <alignment horizontal="left" vertical="center"/>
    </xf>
    <xf numFmtId="5" fontId="11" fillId="0" borderId="0" xfId="0" applyNumberFormat="1" applyFont="1" applyAlignment="1">
      <alignment horizontal="right"/>
    </xf>
    <xf numFmtId="5" fontId="32" fillId="0" borderId="62" xfId="0" quotePrefix="1" applyNumberFormat="1" applyFont="1" applyBorder="1" applyAlignment="1">
      <alignment horizontal="left" vertical="center"/>
    </xf>
    <xf numFmtId="5" fontId="32" fillId="0" borderId="63" xfId="0" quotePrefix="1" applyNumberFormat="1" applyFont="1" applyBorder="1" applyAlignment="1">
      <alignment horizontal="left" vertical="center"/>
    </xf>
    <xf numFmtId="5" fontId="32" fillId="0" borderId="64" xfId="0" quotePrefix="1" applyNumberFormat="1" applyFont="1" applyBorder="1" applyAlignment="1">
      <alignment horizontal="left" vertical="center"/>
    </xf>
    <xf numFmtId="5" fontId="32" fillId="0" borderId="47" xfId="0" quotePrefix="1" applyNumberFormat="1" applyFont="1" applyBorder="1" applyAlignment="1">
      <alignment horizontal="left" vertical="center"/>
    </xf>
    <xf numFmtId="1" fontId="12" fillId="0" borderId="65" xfId="0" applyNumberFormat="1" applyFont="1" applyBorder="1" applyAlignment="1">
      <alignment horizontal="left" vertical="center"/>
    </xf>
    <xf numFmtId="1" fontId="12" fillId="0" borderId="47" xfId="0" applyNumberFormat="1" applyFont="1" applyBorder="1" applyAlignment="1">
      <alignment horizontal="left" vertical="center"/>
    </xf>
    <xf numFmtId="5" fontId="11" fillId="0" borderId="0" xfId="0" applyNumberFormat="1" applyFont="1" applyAlignment="1">
      <alignment horizontal="right" vertical="top"/>
    </xf>
    <xf numFmtId="5" fontId="11" fillId="0" borderId="34" xfId="0" applyNumberFormat="1" applyFont="1" applyBorder="1" applyAlignment="1">
      <alignment horizontal="right" vertical="top"/>
    </xf>
    <xf numFmtId="5" fontId="8" fillId="0" borderId="45" xfId="0" applyNumberFormat="1" applyFont="1" applyBorder="1" applyAlignment="1">
      <alignment horizontal="center"/>
    </xf>
  </cellXfs>
  <cellStyles count="341">
    <cellStyle name="20% - Accent1 2" xfId="44" xr:uid="{05E83094-DA6B-4BDD-AE83-63ECCC875A82}"/>
    <cellStyle name="20% - Accent2 2" xfId="45" xr:uid="{1B27B913-53A9-40F1-AE0E-2631CA909345}"/>
    <cellStyle name="20% - Accent3 2" xfId="46" xr:uid="{5DE68237-16FF-4C3B-A3F8-403272E09D3D}"/>
    <cellStyle name="20% - Accent4 2" xfId="47" xr:uid="{4DF0F245-E4FF-4754-B021-56A6AA721116}"/>
    <cellStyle name="20% - Accent5 2" xfId="48" xr:uid="{61CA4A49-2E87-4A3C-983F-CD7317C95882}"/>
    <cellStyle name="20% - Accent6 2" xfId="49" xr:uid="{655F0CDF-661E-43C1-864F-9A14DF06AA8B}"/>
    <cellStyle name="40% - Accent1 2" xfId="50" xr:uid="{570D2CD5-4EE4-43BE-A7EA-6C0BAF4DCDB9}"/>
    <cellStyle name="40% - Accent2 2" xfId="51" xr:uid="{39545678-46B6-4FF2-9494-86EC6EC31043}"/>
    <cellStyle name="40% - Accent3 2" xfId="52" xr:uid="{7966A7AA-7C3A-4FED-93AD-37AF2EFF7F96}"/>
    <cellStyle name="40% - Accent4 2" xfId="53" xr:uid="{36F22CA2-DDF0-425F-BA41-D399998E0256}"/>
    <cellStyle name="40% - Accent5" xfId="1" builtinId="47" customBuiltin="1"/>
    <cellStyle name="40% - Accent5 2" xfId="54" xr:uid="{EE9DF4F1-B056-4EA8-8FD3-7DEE7B12C7E3}"/>
    <cellStyle name="40% - Accent6 2" xfId="55" xr:uid="{AC9EAA68-343D-4FE2-B349-FA96249EA1C8}"/>
    <cellStyle name="60% - Accent1 2" xfId="56" xr:uid="{9169B62C-7F56-47BA-8F8A-99C4C03F617D}"/>
    <cellStyle name="60% - Accent2 2" xfId="57" xr:uid="{F8E74E08-050F-4511-9823-B0A3EF94C1F4}"/>
    <cellStyle name="60% - Accent3 2" xfId="58" xr:uid="{DCEC9F87-18AE-4250-9110-61F60AAA4CEA}"/>
    <cellStyle name="60% - Accent4 2" xfId="59" xr:uid="{62AC8F69-D54F-4F80-B0FE-27CD924C0C3D}"/>
    <cellStyle name="60% - Accent5 2" xfId="60" xr:uid="{C62A5262-AA8E-439A-98D4-DBEAB2E010AB}"/>
    <cellStyle name="60% - Accent6 2" xfId="61" xr:uid="{785D0B3D-0853-4FD4-82E6-B84580B9658C}"/>
    <cellStyle name="AA-Unhidden" xfId="2" xr:uid="{00000000-0005-0000-0000-000001000000}"/>
    <cellStyle name="Accent1 2" xfId="62" xr:uid="{19192EC2-8685-4685-92F7-DAC1E5975453}"/>
    <cellStyle name="Accent2 2" xfId="63" xr:uid="{6E63D8C3-4298-49A9-8188-3333E684A350}"/>
    <cellStyle name="Accent3 2" xfId="64" xr:uid="{32D02DA5-9811-478D-9E5D-FB41BAF9BA1C}"/>
    <cellStyle name="Accent4 2" xfId="65" xr:uid="{DEB061F1-7C98-4658-A091-3B504C940444}"/>
    <cellStyle name="Accent5 2" xfId="66" xr:uid="{BD71C7A8-D7E7-4BF5-AA32-56BC6EBD6A6A}"/>
    <cellStyle name="Accent6 2" xfId="67" xr:uid="{E4F54D28-271D-4082-803B-91DE03AAEC1D}"/>
    <cellStyle name="Bad 2" xfId="68" xr:uid="{FB2902AA-D41F-426F-BA61-93C0BEB874B0}"/>
    <cellStyle name="BB-Hidden" xfId="3" xr:uid="{00000000-0005-0000-0000-000002000000}"/>
    <cellStyle name="Calculation 2" xfId="69" xr:uid="{0613E3B4-0C24-42A5-87B2-0D20DC95DF99}"/>
    <cellStyle name="Check Cell 2" xfId="70" xr:uid="{4271F6D7-9E6E-44A5-A4CF-8609C63AE3AA}"/>
    <cellStyle name="Comma" xfId="4" builtinId="3"/>
    <cellStyle name="Comma [0] 2" xfId="71" xr:uid="{F884C24D-92A6-4E25-B3EA-33594EBD9323}"/>
    <cellStyle name="Comma 10" xfId="72" xr:uid="{F763885A-2F3F-4F8B-85EA-0BBFD08A09A3}"/>
    <cellStyle name="Comma 100" xfId="73" xr:uid="{B3ED5B3A-12AA-4015-8B41-52F8F602F59F}"/>
    <cellStyle name="Comma 101" xfId="74" xr:uid="{21D80160-0CA2-4EA1-BAF1-4F8BBDA6F687}"/>
    <cellStyle name="Comma 102" xfId="75" xr:uid="{53AB8034-E310-4F6F-BA47-0337603CFF62}"/>
    <cellStyle name="Comma 103" xfId="76" xr:uid="{6F5EECDB-3D3A-4FD2-9423-9AB556F7D3BE}"/>
    <cellStyle name="Comma 104" xfId="333" xr:uid="{3DCEDBB2-B689-4A2B-A4E8-CE0C3B46AB37}"/>
    <cellStyle name="Comma 105" xfId="337" xr:uid="{56FA921C-FC4E-4F3F-8ADB-770DDB9F5FA4}"/>
    <cellStyle name="Comma 106" xfId="340" xr:uid="{1BB6FB4D-F246-424C-B7B3-3EF6E41643F5}"/>
    <cellStyle name="Comma 11" xfId="77" xr:uid="{3CAFFE13-4243-4A06-A760-59018E65ACEF}"/>
    <cellStyle name="Comma 12" xfId="78" xr:uid="{D47D100E-5F55-465A-B551-7A7141855E8A}"/>
    <cellStyle name="Comma 13" xfId="79" xr:uid="{9E96A484-F91B-4A25-A6B9-C1094B846CEF}"/>
    <cellStyle name="Comma 14" xfId="80" xr:uid="{F845357E-B8F8-46EC-9062-E2D346368302}"/>
    <cellStyle name="Comma 15" xfId="81" xr:uid="{DB8B0B13-611C-4FB3-AB63-CB9CD53AE00E}"/>
    <cellStyle name="Comma 16" xfId="82" xr:uid="{6E47D228-9A5A-460F-9937-32B0ED625FB0}"/>
    <cellStyle name="Comma 17" xfId="83" xr:uid="{D7628BFE-AD6C-4ED1-AD6A-97E31340311F}"/>
    <cellStyle name="Comma 18" xfId="84" xr:uid="{51A7CE9D-C9F1-49FA-B23F-C98D12AC92FA}"/>
    <cellStyle name="Comma 19" xfId="85" xr:uid="{BF479801-3BA7-46FC-98AD-A0769AFE0636}"/>
    <cellStyle name="Comma 2" xfId="5" xr:uid="{00000000-0005-0000-0000-000004000000}"/>
    <cellStyle name="Comma 2 2" xfId="87" xr:uid="{1547CD19-39B2-444C-9E71-2E6F2A74AD7A}"/>
    <cellStyle name="Comma 2 3" xfId="88" xr:uid="{868A61C9-F0CD-47F0-913A-D6E06EBA2896}"/>
    <cellStyle name="Comma 2 4" xfId="86" xr:uid="{C8A4E5F1-52ED-4486-AD9E-54B43E55833F}"/>
    <cellStyle name="Comma 20" xfId="89" xr:uid="{93C5AEA2-FE91-4B8A-9AD2-6F40367235F1}"/>
    <cellStyle name="Comma 21" xfId="90" xr:uid="{FFCEDAEF-4DC3-4D4D-BC83-7A0561E91DC4}"/>
    <cellStyle name="Comma 22" xfId="91" xr:uid="{5CB39D31-D0DE-4470-AE15-1D7A9BA49AFE}"/>
    <cellStyle name="Comma 23" xfId="92" xr:uid="{4A6B96A7-779E-436B-AF66-868B7F326EDB}"/>
    <cellStyle name="Comma 24" xfId="93" xr:uid="{C70F6519-7C61-4AEA-8A93-DF94AFA86FB5}"/>
    <cellStyle name="Comma 25" xfId="94" xr:uid="{F01AAECC-EAFB-4F5D-BC9A-B7AAA09E7E55}"/>
    <cellStyle name="Comma 26" xfId="95" xr:uid="{7B3387CC-F007-40A2-85BC-E741F3B27DCF}"/>
    <cellStyle name="Comma 27" xfId="96" xr:uid="{A2047378-062F-471B-9BE4-3514C46AA4BC}"/>
    <cellStyle name="Comma 28" xfId="97" xr:uid="{0FEC27DB-5AF7-436D-8F73-07DF7625D051}"/>
    <cellStyle name="Comma 29" xfId="98" xr:uid="{555B2487-AAB4-4C52-AF92-B7D46CCEC28A}"/>
    <cellStyle name="Comma 3" xfId="40" xr:uid="{DE809450-04BD-4D7D-877C-39F71D23533B}"/>
    <cellStyle name="Comma 3 2" xfId="100" xr:uid="{B3BC3E15-4F79-421A-A004-0F5CD9696F7B}"/>
    <cellStyle name="Comma 3 3" xfId="101" xr:uid="{64C8A067-B013-4A34-A42E-D2CB16B22167}"/>
    <cellStyle name="Comma 3 4" xfId="99" xr:uid="{E01D98E0-CE3C-47FD-811C-DC2218A62C22}"/>
    <cellStyle name="Comma 30" xfId="102" xr:uid="{74ECA3B5-CEC3-4F4E-AA97-1AE37BC26D5B}"/>
    <cellStyle name="Comma 31" xfId="103" xr:uid="{3BE08E0D-946A-4CD7-B7D9-9EF39D742160}"/>
    <cellStyle name="Comma 32" xfId="104" xr:uid="{8529E256-C803-465C-BE7A-97D8EB401011}"/>
    <cellStyle name="Comma 33" xfId="105" xr:uid="{7B7C6566-AD93-422E-BD15-58E325B12185}"/>
    <cellStyle name="Comma 34" xfId="106" xr:uid="{2A2A1137-2B1C-4384-8784-E758530E4F5D}"/>
    <cellStyle name="Comma 35" xfId="107" xr:uid="{76F288C2-84CF-4030-A9C6-3593D9A39BAF}"/>
    <cellStyle name="Comma 36" xfId="108" xr:uid="{65C03E6E-5294-453A-B221-09C817E85E80}"/>
    <cellStyle name="Comma 37" xfId="109" xr:uid="{863B59FE-58F6-44FB-9E53-23917714292F}"/>
    <cellStyle name="Comma 38" xfId="110" xr:uid="{F377CE38-40D3-43BA-ADD5-3C036DA0FD70}"/>
    <cellStyle name="Comma 39" xfId="111" xr:uid="{7131AE10-6FED-4F62-A4DB-2A22A007CA15}"/>
    <cellStyle name="Comma 4" xfId="112" xr:uid="{4A25DF99-3222-4AD4-B636-2726DF30794A}"/>
    <cellStyle name="Comma 4 2" xfId="113" xr:uid="{6535A376-D16A-45AF-8787-51896F4B5C2C}"/>
    <cellStyle name="Comma 40" xfId="114" xr:uid="{CAD7EA09-9FD8-4210-A053-8D83193910BE}"/>
    <cellStyle name="Comma 41" xfId="115" xr:uid="{06D9412E-F93D-4CA9-B305-F0167FC28944}"/>
    <cellStyle name="Comma 42" xfId="116" xr:uid="{14904BAD-D738-4E1D-8E65-9D9374F50B35}"/>
    <cellStyle name="Comma 43" xfId="117" xr:uid="{2DAEC843-EBAC-4D49-A834-E4ADEBA54D13}"/>
    <cellStyle name="Comma 44" xfId="118" xr:uid="{D741D64F-BC71-4BCD-A512-927894CE032A}"/>
    <cellStyle name="Comma 45" xfId="119" xr:uid="{38AA349F-855D-44BC-BE20-F32BA06330E3}"/>
    <cellStyle name="Comma 46" xfId="120" xr:uid="{7DAB429C-25B9-4933-931E-F50E5D71F03C}"/>
    <cellStyle name="Comma 47" xfId="121" xr:uid="{2D701EC0-4F54-4D6D-A10B-B5732D5BCAC0}"/>
    <cellStyle name="Comma 48" xfId="122" xr:uid="{341F25C9-6BA7-4047-A3FC-632293B1C40D}"/>
    <cellStyle name="Comma 49" xfId="123" xr:uid="{1DAAE881-DFCD-4B2F-9086-072A3B70D85F}"/>
    <cellStyle name="Comma 5" xfId="124" xr:uid="{BE70ED2E-7D81-4D2A-8D71-75004C92C85F}"/>
    <cellStyle name="Comma 5 2" xfId="125" xr:uid="{DE6F72A9-CA68-4E12-8A95-5427817BD712}"/>
    <cellStyle name="Comma 50" xfId="126" xr:uid="{1625D653-0C75-4469-931F-BC9C308B6405}"/>
    <cellStyle name="Comma 51" xfId="127" xr:uid="{BE927191-9697-47E9-AC39-E758A7EFA80A}"/>
    <cellStyle name="Comma 52" xfId="128" xr:uid="{D88B2A7E-47CC-41A0-B8CF-CA64ABBFDC4A}"/>
    <cellStyle name="Comma 53" xfId="129" xr:uid="{E2099CF8-EFCF-4D7F-81B7-F2E23B1FCBAE}"/>
    <cellStyle name="Comma 54" xfId="130" xr:uid="{6F95B530-573E-487A-BB03-62C142870E79}"/>
    <cellStyle name="Comma 54 2" xfId="131" xr:uid="{B895D5C7-3EC4-4504-A2A7-6C9A6E7DEB5D}"/>
    <cellStyle name="Comma 55" xfId="132" xr:uid="{33192216-14FD-4415-8B31-C53D1BCA70B8}"/>
    <cellStyle name="Comma 56" xfId="133" xr:uid="{E14916CB-AB48-4602-90E7-BD633B5F6451}"/>
    <cellStyle name="Comma 56 2" xfId="134" xr:uid="{EBF1FD9E-2F04-488B-8831-0C57039CA3E1}"/>
    <cellStyle name="Comma 56 3" xfId="135" xr:uid="{6BA28DA2-F844-4F17-99E0-95607CC6BE82}"/>
    <cellStyle name="Comma 57" xfId="136" xr:uid="{84D1CC85-5239-4BEF-B37A-925F162EDF17}"/>
    <cellStyle name="Comma 58" xfId="137" xr:uid="{7DB8CC31-A26B-43D0-8E22-EB5869ECC93E}"/>
    <cellStyle name="Comma 59" xfId="138" xr:uid="{99E61F81-136D-4CAF-B4E0-56D06FEE788C}"/>
    <cellStyle name="Comma 6" xfId="139" xr:uid="{F54C9649-EC32-4144-ACC9-98EDC23DE0B4}"/>
    <cellStyle name="Comma 60" xfId="140" xr:uid="{FB1CED28-E0C5-4785-8E04-51BBF26D58E3}"/>
    <cellStyle name="Comma 61" xfId="141" xr:uid="{67003408-8265-40E8-93FE-8E6B819C6A81}"/>
    <cellStyle name="Comma 62" xfId="142" xr:uid="{3AADE36C-07C3-4860-888B-5E98FEE1D25A}"/>
    <cellStyle name="Comma 63" xfId="143" xr:uid="{60DA419E-9877-411A-95FA-2997DFACDAF1}"/>
    <cellStyle name="Comma 64" xfId="144" xr:uid="{0D1F0385-2932-4868-9756-D973FAF02DEC}"/>
    <cellStyle name="Comma 65" xfId="145" xr:uid="{68797457-34FB-4CC9-9388-720C43BF8EBA}"/>
    <cellStyle name="Comma 66" xfId="146" xr:uid="{29CB4BEA-8FAA-489A-B7D7-DB227361DF0A}"/>
    <cellStyle name="Comma 67" xfId="147" xr:uid="{D5AE97D3-30F0-4ACA-958F-57D67C0F9385}"/>
    <cellStyle name="Comma 68" xfId="148" xr:uid="{9D2C0855-BDDC-4CC3-A963-7D14843050F2}"/>
    <cellStyle name="Comma 69" xfId="149" xr:uid="{7DF2B57E-6FB1-46A9-975F-63BF19D482D6}"/>
    <cellStyle name="Comma 7" xfId="150" xr:uid="{FB440B92-6FDB-45A7-8BA6-37E5BCDD9138}"/>
    <cellStyle name="Comma 70" xfId="151" xr:uid="{B8F20931-41AD-4A1D-86BC-D0D78D8E38C8}"/>
    <cellStyle name="Comma 71" xfId="152" xr:uid="{EC49F89B-0788-433D-BA5B-2271817371E3}"/>
    <cellStyle name="Comma 72" xfId="153" xr:uid="{726DAE6A-B888-406E-B006-C2281A979012}"/>
    <cellStyle name="Comma 73" xfId="154" xr:uid="{593B2964-3873-4644-AFED-763C04D674E2}"/>
    <cellStyle name="Comma 74" xfId="155" xr:uid="{EBE3C0E2-C24F-46E3-A51B-D92F583DF865}"/>
    <cellStyle name="Comma 75" xfId="156" xr:uid="{642818FA-ECD0-45A0-BC8C-BD697B0B42CE}"/>
    <cellStyle name="Comma 76" xfId="157" xr:uid="{8F2D5E7F-CE17-438A-9738-9721F1187243}"/>
    <cellStyle name="Comma 77" xfId="158" xr:uid="{FC31241A-6722-4E06-A409-F4CBAB1D6E32}"/>
    <cellStyle name="Comma 78" xfId="159" xr:uid="{E7810BCC-92EF-4A3C-8558-E93D01224E29}"/>
    <cellStyle name="Comma 79" xfId="160" xr:uid="{9338F194-74EE-4130-999F-C0BAB10783C0}"/>
    <cellStyle name="Comma 8" xfId="161" xr:uid="{C5E3D6BB-1C09-4B24-B6D8-84DAA84B6AC1}"/>
    <cellStyle name="Comma 80" xfId="162" xr:uid="{64901AF8-4F64-4A37-8B9F-2E733E4DAE23}"/>
    <cellStyle name="Comma 81" xfId="163" xr:uid="{8EB1C208-84DD-4C4D-90FD-40BB690B0368}"/>
    <cellStyle name="Comma 82" xfId="164" xr:uid="{899D3621-CF05-4A54-BEEE-157B36B7EA8E}"/>
    <cellStyle name="Comma 83" xfId="165" xr:uid="{D10E2088-C2DD-4FBE-9624-7373441865EA}"/>
    <cellStyle name="Comma 84" xfId="166" xr:uid="{390ACED3-C79E-4ABC-887E-B6468AB290BB}"/>
    <cellStyle name="Comma 85" xfId="167" xr:uid="{E30FC7D6-243A-4874-B001-39E6FE587E88}"/>
    <cellStyle name="Comma 86" xfId="168" xr:uid="{6E97EE35-A5D8-4FFF-9C89-15A2281212D4}"/>
    <cellStyle name="Comma 87" xfId="169" xr:uid="{647E6948-E972-4B40-9D1C-2EED1965CF67}"/>
    <cellStyle name="Comma 88" xfId="170" xr:uid="{2AFEC31E-4720-4281-A873-AA47BEAB3EBF}"/>
    <cellStyle name="Comma 89" xfId="171" xr:uid="{4A37E662-F387-4CE6-9DA3-37AA8B125AB6}"/>
    <cellStyle name="Comma 9" xfId="172" xr:uid="{E88CA838-0D54-43B1-B8BA-533D4FC41088}"/>
    <cellStyle name="Comma 90" xfId="173" xr:uid="{A578FD02-FBDB-4B57-892C-D016C1C22A92}"/>
    <cellStyle name="Comma 91" xfId="174" xr:uid="{C0395B66-6347-4EBF-A87F-AAC39C1342CD}"/>
    <cellStyle name="Comma 92" xfId="175" xr:uid="{511E702E-D687-4489-91B6-A6129F4B2082}"/>
    <cellStyle name="Comma 93" xfId="176" xr:uid="{4C06B9A2-16F7-443C-A63E-2019FE93976B}"/>
    <cellStyle name="Comma 94" xfId="177" xr:uid="{F3A60963-B760-48F5-A873-D9A7A92CEDF6}"/>
    <cellStyle name="Comma 95" xfId="178" xr:uid="{A303D696-266F-483C-AE88-EB04F8C804ED}"/>
    <cellStyle name="Comma 96" xfId="179" xr:uid="{7AACC025-B03B-4C11-91BE-280E08CC3BF9}"/>
    <cellStyle name="Comma 96 2" xfId="180" xr:uid="{69B6E80D-9EEC-44D0-9E10-BDC0BB79CBE2}"/>
    <cellStyle name="Comma 96 3" xfId="181" xr:uid="{1B02E6DA-8C8C-4F8C-B0FE-FEC934217579}"/>
    <cellStyle name="Comma 97" xfId="182" xr:uid="{DEEEA953-DD9B-4CC1-B737-F479861DC552}"/>
    <cellStyle name="Comma 98" xfId="183" xr:uid="{987C04EA-54A7-4A0C-9C32-985045FBD385}"/>
    <cellStyle name="Comma 99" xfId="184" xr:uid="{49754F14-E388-4593-A6FB-6B6D04FCE428}"/>
    <cellStyle name="Comma_4.11 Final JHP Senegal_MCH" xfId="6" xr:uid="{00000000-0005-0000-0000-000005000000}"/>
    <cellStyle name="Comma_JHP Bdgt Pfizer Mal 15May07_sda" xfId="7" xr:uid="{00000000-0005-0000-0000-000006000000}"/>
    <cellStyle name="Comma0" xfId="8" xr:uid="{00000000-0005-0000-0000-000007000000}"/>
    <cellStyle name="Comma0 - Style2" xfId="9" xr:uid="{00000000-0005-0000-0000-000008000000}"/>
    <cellStyle name="Curren - Style1" xfId="10" xr:uid="{00000000-0005-0000-0000-000009000000}"/>
    <cellStyle name="Curren - Style3" xfId="11" xr:uid="{00000000-0005-0000-0000-00000A000000}"/>
    <cellStyle name="Currency" xfId="12" builtinId="4"/>
    <cellStyle name="Currency [0] 2" xfId="185" xr:uid="{41F25619-4B7F-40EA-AE4A-1768D55C65CC}"/>
    <cellStyle name="Currency 10" xfId="186" xr:uid="{F6BCD6C2-1B19-494B-BFFA-887652F1BC71}"/>
    <cellStyle name="Currency 100" xfId="187" xr:uid="{CFC60760-BCEF-41E9-8445-61B88E1339D3}"/>
    <cellStyle name="Currency 101" xfId="188" xr:uid="{6F8BE59E-038D-4BCF-985A-35FF423E2119}"/>
    <cellStyle name="Currency 102" xfId="189" xr:uid="{67FBAE7A-A17E-4479-AF7E-31AAF32B4AE5}"/>
    <cellStyle name="Currency 103" xfId="335" xr:uid="{5B5D9C6D-80BA-48F5-A85C-E556C3CBC9D4}"/>
    <cellStyle name="Currency 104" xfId="43" xr:uid="{32CE8CEC-55A1-4694-9736-63CE4AFCE05A}"/>
    <cellStyle name="Currency 105" xfId="339" xr:uid="{928F980A-6AC7-45D8-B1CF-524990D6D8B1}"/>
    <cellStyle name="Currency 106" xfId="338" xr:uid="{A1EE7604-2A6D-45C0-AE6B-A137FF43004E}"/>
    <cellStyle name="Currency 11" xfId="190" xr:uid="{F8B52628-1BE1-4624-B473-B73E6D2C5B7D}"/>
    <cellStyle name="Currency 12" xfId="191" xr:uid="{E35162D0-625E-4A01-B648-724FE3022B11}"/>
    <cellStyle name="Currency 13" xfId="192" xr:uid="{813E2668-D2FF-4B59-B210-58A67AE039ED}"/>
    <cellStyle name="Currency 14" xfId="193" xr:uid="{2A8BBF67-FA55-4AA9-B6EC-4E466A70CA0A}"/>
    <cellStyle name="Currency 15" xfId="194" xr:uid="{396085AE-92A2-48DC-AB3D-4198B27558BF}"/>
    <cellStyle name="Currency 16" xfId="195" xr:uid="{78C575CC-5D80-4632-AD7B-B0E32E4C08E5}"/>
    <cellStyle name="Currency 17" xfId="196" xr:uid="{20BAAF98-0962-4D3E-A129-35C44FE6FE92}"/>
    <cellStyle name="Currency 18" xfId="197" xr:uid="{49CEBB44-6E49-4EE2-89BA-A2C86F5CA4F3}"/>
    <cellStyle name="Currency 19" xfId="198" xr:uid="{824E23E7-EAE7-4498-AA3F-A39412B05F93}"/>
    <cellStyle name="Currency 2" xfId="29" xr:uid="{00000000-0005-0000-0000-00000C000000}"/>
    <cellStyle name="Currency 2 2" xfId="200" xr:uid="{F3DA0436-7D5C-4AD5-A758-FD4AA64EB2FB}"/>
    <cellStyle name="Currency 2 3" xfId="201" xr:uid="{C4F2FCBB-18E6-4806-B976-2B201B078AAE}"/>
    <cellStyle name="Currency 2 4" xfId="199" xr:uid="{622C51E4-D603-472A-B7DE-A1A1D85746A3}"/>
    <cellStyle name="Currency 20" xfId="202" xr:uid="{CF352E8E-8146-47B7-AD43-0E94367228DC}"/>
    <cellStyle name="Currency 21" xfId="203" xr:uid="{4D64ABF1-D9F3-4961-9BA9-6F1F11F19E22}"/>
    <cellStyle name="Currency 22" xfId="204" xr:uid="{E2A7D919-CD2A-46ED-A01A-FA73A5169894}"/>
    <cellStyle name="Currency 23" xfId="205" xr:uid="{6B7272ED-AA21-4307-8C63-184266B39BD8}"/>
    <cellStyle name="Currency 24" xfId="206" xr:uid="{1A562412-9D2B-4B1A-8C74-4848E534C2FF}"/>
    <cellStyle name="Currency 25" xfId="207" xr:uid="{2A3C6C33-0571-4F4E-9CFB-25BF49B670F6}"/>
    <cellStyle name="Currency 26" xfId="208" xr:uid="{46B73FEA-21FA-4F8D-BEB6-FCAFEB2C0A10}"/>
    <cellStyle name="Currency 27" xfId="209" xr:uid="{BD44955F-99F2-4A0F-B90E-4D83868FADE2}"/>
    <cellStyle name="Currency 28" xfId="210" xr:uid="{85771495-B42B-4A4D-8AD0-1FD76B548087}"/>
    <cellStyle name="Currency 29" xfId="211" xr:uid="{E094555D-33F6-45EB-ABE7-C5BE05FE9767}"/>
    <cellStyle name="Currency 3" xfId="38" xr:uid="{548B7127-362C-4DBB-BF7E-431AE47F11AB}"/>
    <cellStyle name="Currency 3 2" xfId="212" xr:uid="{E81B78D3-3B46-4B0C-9736-356A4A642A76}"/>
    <cellStyle name="Currency 30" xfId="213" xr:uid="{2400CF62-4525-45D9-85A2-60F7479BE9F3}"/>
    <cellStyle name="Currency 31" xfId="214" xr:uid="{4AB37136-6B95-4D5F-8699-0343F0AC3189}"/>
    <cellStyle name="Currency 32" xfId="215" xr:uid="{0FDFA104-1603-42E2-962F-1F04F6465252}"/>
    <cellStyle name="Currency 33" xfId="216" xr:uid="{D2F6E99D-4CD3-4554-979D-102CC9050998}"/>
    <cellStyle name="Currency 34" xfId="217" xr:uid="{C76A7EBC-B4FB-40A7-9606-87E0C5987EDE}"/>
    <cellStyle name="Currency 35" xfId="218" xr:uid="{74FBF210-7E1C-45B2-8DA8-B7A67DCB99A2}"/>
    <cellStyle name="Currency 36" xfId="219" xr:uid="{572D1534-2EEA-4946-8B31-EC265E1BFB11}"/>
    <cellStyle name="Currency 37" xfId="220" xr:uid="{AE6AC9A5-7477-4DAD-A3A7-4E5A7D6C95ED}"/>
    <cellStyle name="Currency 38" xfId="221" xr:uid="{98D7A0CD-C850-417A-9109-B9FCD83C63C1}"/>
    <cellStyle name="Currency 39" xfId="222" xr:uid="{DC2C74CE-F784-415D-83AE-286DE9D37B5B}"/>
    <cellStyle name="Currency 4" xfId="223" xr:uid="{27F08FE5-B7D2-4D87-AFB5-6A2BF6CEFE42}"/>
    <cellStyle name="Currency 4 2" xfId="224" xr:uid="{CEECA362-46F4-4F97-BE15-2D33E9241546}"/>
    <cellStyle name="Currency 4 3" xfId="225" xr:uid="{60C7CC47-0EBC-432C-9948-B692B751293D}"/>
    <cellStyle name="Currency 4 4" xfId="226" xr:uid="{7D28F602-E229-4544-9FFD-7D270B497DC4}"/>
    <cellStyle name="Currency 40" xfId="227" xr:uid="{974CD876-2752-44C1-82D7-AA4ED75E5C25}"/>
    <cellStyle name="Currency 41" xfId="228" xr:uid="{2147BC42-2CD7-4A50-8D0D-1DF6319630AC}"/>
    <cellStyle name="Currency 42" xfId="229" xr:uid="{542EAEA7-F1D6-479B-8393-752861C4959F}"/>
    <cellStyle name="Currency 43" xfId="230" xr:uid="{33DFA9CD-DA2D-449C-867B-52628BC26CB4}"/>
    <cellStyle name="Currency 44" xfId="231" xr:uid="{88838C75-44B4-4D84-B719-D5FF8C844829}"/>
    <cellStyle name="Currency 45" xfId="232" xr:uid="{D3EC8662-95E9-4C97-8231-0979528C237F}"/>
    <cellStyle name="Currency 46" xfId="233" xr:uid="{70FDA6A5-7838-4471-A9B5-77D32083F56A}"/>
    <cellStyle name="Currency 47" xfId="234" xr:uid="{89DE2B52-95D8-45FC-BBBE-A1C7C8D86735}"/>
    <cellStyle name="Currency 48" xfId="235" xr:uid="{40A58A5D-07FC-436D-873D-40749ED5F242}"/>
    <cellStyle name="Currency 49" xfId="236" xr:uid="{5FE0D7DF-6A0A-488E-B33B-C628C0C0650E}"/>
    <cellStyle name="Currency 5" xfId="237" xr:uid="{FFA15EAA-1C08-4DCF-9B1B-05350F5016D0}"/>
    <cellStyle name="Currency 5 2" xfId="238" xr:uid="{D310D593-E63C-47BF-8EBC-8A1B50A9B6BA}"/>
    <cellStyle name="Currency 50" xfId="239" xr:uid="{E3F7F8C5-FF61-4439-9C42-EFB39424F9A4}"/>
    <cellStyle name="Currency 51" xfId="240" xr:uid="{F65F5027-4EF5-40DF-8344-36386AA7C57E}"/>
    <cellStyle name="Currency 52" xfId="241" xr:uid="{B9C04181-59B9-4921-AE7C-85171702557E}"/>
    <cellStyle name="Currency 53" xfId="242" xr:uid="{6A6F5BA1-8417-49CF-ADB2-D213C9738B04}"/>
    <cellStyle name="Currency 54" xfId="243" xr:uid="{897544BC-67B1-4182-83F0-22678F4EF0AB}"/>
    <cellStyle name="Currency 54 2" xfId="244" xr:uid="{5563577C-5124-4C1A-AC93-9D0F8210B570}"/>
    <cellStyle name="Currency 55" xfId="245" xr:uid="{64880519-93CF-42B9-9C68-EC73BDB09F9A}"/>
    <cellStyle name="Currency 55 2" xfId="246" xr:uid="{98F13261-8DE1-4143-9A36-8B447A27AEB8}"/>
    <cellStyle name="Currency 56" xfId="247" xr:uid="{E261E748-20FA-4100-B87B-AC974C226B89}"/>
    <cellStyle name="Currency 57" xfId="248" xr:uid="{74518CF8-3980-404A-97EB-DB2DEC3FA188}"/>
    <cellStyle name="Currency 58" xfId="249" xr:uid="{3F116D4F-77F2-4F8A-91F7-381340790FE8}"/>
    <cellStyle name="Currency 59" xfId="250" xr:uid="{8DCFFC7F-A113-4409-9E73-A57546B2BF7F}"/>
    <cellStyle name="Currency 6" xfId="251" xr:uid="{A8E9BB40-5C8B-4062-BCED-119183FB9062}"/>
    <cellStyle name="Currency 6 2" xfId="252" xr:uid="{C64FBF4E-CB32-46F2-94A8-76090DFB11A6}"/>
    <cellStyle name="Currency 60" xfId="253" xr:uid="{B56D905A-EDCB-4668-AD8C-FEB0E143D97C}"/>
    <cellStyle name="Currency 61" xfId="254" xr:uid="{100C30B2-661F-4CD9-8902-F107E6803573}"/>
    <cellStyle name="Currency 62" xfId="255" xr:uid="{F9DB092D-5BEE-4F96-B2A9-C07EA85C83F0}"/>
    <cellStyle name="Currency 63" xfId="256" xr:uid="{9FF31696-5A45-4BB4-AFF1-12DB567C0405}"/>
    <cellStyle name="Currency 64" xfId="257" xr:uid="{14887749-F142-47ED-9E3E-5AEE752F8F83}"/>
    <cellStyle name="Currency 65" xfId="258" xr:uid="{810D22CB-E563-4340-A89D-D6BA0963F24E}"/>
    <cellStyle name="Currency 66" xfId="259" xr:uid="{E8DDC879-A3D2-42CE-97C1-932BB8F35C9B}"/>
    <cellStyle name="Currency 67" xfId="260" xr:uid="{EFF5208F-4C5F-40D3-98CF-8F33890C3CF4}"/>
    <cellStyle name="Currency 68" xfId="261" xr:uid="{B09C24D4-3932-48CB-B956-BFE0A4EA82A9}"/>
    <cellStyle name="Currency 69" xfId="262" xr:uid="{4AA1DFCF-1F6B-46DF-8AC4-1ABF9F6F4B17}"/>
    <cellStyle name="Currency 7" xfId="263" xr:uid="{29762F04-A31B-41BF-B00B-812AB8A0E6E3}"/>
    <cellStyle name="Currency 70" xfId="264" xr:uid="{A96C33AE-8586-4E2C-B69A-728A5B462B22}"/>
    <cellStyle name="Currency 71" xfId="265" xr:uid="{5CFF8ED1-1C38-4EBB-8238-FA2256354F9D}"/>
    <cellStyle name="Currency 72" xfId="266" xr:uid="{7763015C-1E5F-4460-B8AD-2ABEC6448F90}"/>
    <cellStyle name="Currency 73" xfId="267" xr:uid="{E0619C73-AFCA-459F-8FB4-60F0551A6F3B}"/>
    <cellStyle name="Currency 74" xfId="268" xr:uid="{7FBCDF1F-36FD-43FD-99D9-EDAC15299C6B}"/>
    <cellStyle name="Currency 75" xfId="269" xr:uid="{D925AB03-F4DF-488D-83EA-3ABEE9651879}"/>
    <cellStyle name="Currency 76" xfId="270" xr:uid="{74E0FF78-8895-4A55-83E3-378C527EA463}"/>
    <cellStyle name="Currency 77" xfId="271" xr:uid="{3483E8E8-4B78-4B8F-B1C2-E119E3911725}"/>
    <cellStyle name="Currency 78" xfId="272" xr:uid="{39FABEDD-FA18-489C-B089-A12E574EC93F}"/>
    <cellStyle name="Currency 79" xfId="273" xr:uid="{E154450A-CE36-435F-A588-454B802B67C8}"/>
    <cellStyle name="Currency 8" xfId="274" xr:uid="{CD4B6205-E193-48F1-AF6E-CF6B4C43C61C}"/>
    <cellStyle name="Currency 80" xfId="275" xr:uid="{A217C173-A7B6-43FA-BC22-4795EAD4900F}"/>
    <cellStyle name="Currency 81" xfId="276" xr:uid="{655BAF29-50EF-4115-9A17-CA2D334AD8A1}"/>
    <cellStyle name="Currency 82" xfId="277" xr:uid="{F499BF27-0B46-4299-B90C-F9DAB1F1FDF2}"/>
    <cellStyle name="Currency 83" xfId="278" xr:uid="{040D4235-AB9B-4395-B0A0-3169921C1652}"/>
    <cellStyle name="Currency 84" xfId="279" xr:uid="{288873CE-8A62-492A-AEA6-5173EE99CF34}"/>
    <cellStyle name="Currency 85" xfId="280" xr:uid="{40272045-266E-4880-B059-E4D2A89346E0}"/>
    <cellStyle name="Currency 86" xfId="281" xr:uid="{A5683B21-33AB-45A5-863A-E331B4C6664D}"/>
    <cellStyle name="Currency 87" xfId="282" xr:uid="{2CEDD26B-C8D5-4DA1-9886-AC837DF2878A}"/>
    <cellStyle name="Currency 88" xfId="283" xr:uid="{50992081-69D3-4700-AF4A-9D111847CAA9}"/>
    <cellStyle name="Currency 89" xfId="284" xr:uid="{872512EC-E786-4A14-BA3A-392D33096187}"/>
    <cellStyle name="Currency 9" xfId="285" xr:uid="{9F28E0B2-F946-4B05-BBDF-D3F1F1BFF7DF}"/>
    <cellStyle name="Currency 90" xfId="286" xr:uid="{24D843DF-BF9B-4939-B40E-C2E74D29B22A}"/>
    <cellStyle name="Currency 91" xfId="287" xr:uid="{7B08E5DC-0CA5-41CC-963E-3745A0E2A463}"/>
    <cellStyle name="Currency 92" xfId="288" xr:uid="{E39E78DB-1515-46AD-855E-9CD2034DB885}"/>
    <cellStyle name="Currency 93" xfId="289" xr:uid="{9FBB931B-E71A-485F-A4F3-17D31BB9B244}"/>
    <cellStyle name="Currency 94" xfId="290" xr:uid="{61FB1EE5-9719-482D-B158-BA3D8752E1DC}"/>
    <cellStyle name="Currency 95" xfId="291" xr:uid="{1C8601B1-F7BB-46D7-9ADC-887517FABF4F}"/>
    <cellStyle name="Currency 95 2" xfId="292" xr:uid="{3E9625C1-44C7-45C6-BFF4-1684AF918436}"/>
    <cellStyle name="Currency 96" xfId="293" xr:uid="{2A919BE4-923C-4305-8646-2C50BEE80D81}"/>
    <cellStyle name="Currency 97" xfId="294" xr:uid="{F98623A0-6E48-4ABB-A3CB-F6FE6CEC5677}"/>
    <cellStyle name="Currency 98" xfId="295" xr:uid="{2A9BB393-2E9D-4B2D-90E1-3004D9DF2241}"/>
    <cellStyle name="Currency 99" xfId="296" xr:uid="{F0D02FEE-C554-4816-A2EA-48683F197E6A}"/>
    <cellStyle name="Currency_2008_05_03_MCHIP_Jhpiego_Field_Budget_v16" xfId="32" xr:uid="{00000000-0005-0000-0000-00000D000000}"/>
    <cellStyle name="Currency_4.11 Final JHP Senegal_MCH" xfId="13" xr:uid="{00000000-0005-0000-0000-00000E000000}"/>
    <cellStyle name="Currency0" xfId="14" xr:uid="{00000000-0005-0000-0000-000010000000}"/>
    <cellStyle name="Date" xfId="15" xr:uid="{00000000-0005-0000-0000-000011000000}"/>
    <cellStyle name="Euro" xfId="34" xr:uid="{00000000-0005-0000-0000-000012000000}"/>
    <cellStyle name="Explanatory Text 2" xfId="297" xr:uid="{77D3DA60-FCCD-4D8A-AB0F-848044FDB5CD}"/>
    <cellStyle name="Fixed" xfId="16" xr:uid="{00000000-0005-0000-0000-000013000000}"/>
    <cellStyle name="Good 2" xfId="298" xr:uid="{D299F139-947C-4C07-B0FE-CA9B26ECB6D6}"/>
    <cellStyle name="Heading 1" xfId="17" builtinId="16" customBuiltin="1"/>
    <cellStyle name="Heading 1 2" xfId="299" xr:uid="{764B5D14-0D36-4B78-A543-427225549102}"/>
    <cellStyle name="Heading 2" xfId="18" builtinId="17" customBuiltin="1"/>
    <cellStyle name="Heading 2 2" xfId="300" xr:uid="{625D7942-D28C-4413-B263-85D39271BB0A}"/>
    <cellStyle name="Heading 3 2" xfId="301" xr:uid="{21D428FF-325F-45EA-8381-95D66A3FA682}"/>
    <cellStyle name="Heading 4 2" xfId="302" xr:uid="{839B72CD-387A-4058-BBD0-3F0AA3240C3E}"/>
    <cellStyle name="Hyperlink" xfId="19" builtinId="8"/>
    <cellStyle name="Input" xfId="27" builtinId="20" customBuiltin="1"/>
    <cellStyle name="Input 2" xfId="303" xr:uid="{2F31F6BB-07FD-4148-A087-1A71388667E4}"/>
    <cellStyle name="Linked Cell 2" xfId="304" xr:uid="{D6B95C34-1769-4898-A27B-3CDBBF4A2D16}"/>
    <cellStyle name="Millares 2" xfId="305" xr:uid="{32E73182-AB86-46BB-9F5C-D66B97F8EB24}"/>
    <cellStyle name="Millares 3" xfId="306" xr:uid="{A0B8EBF2-0360-40F2-8C64-82FE96AE9999}"/>
    <cellStyle name="Neutral 2" xfId="307" xr:uid="{CFADC617-714A-439B-8EBA-BD03BA706CC8}"/>
    <cellStyle name="Normal" xfId="0" builtinId="0"/>
    <cellStyle name="Normal 2" xfId="20" xr:uid="{00000000-0005-0000-0000-000019000000}"/>
    <cellStyle name="Normal 2 2" xfId="309" xr:uid="{087F9508-AA56-4223-9431-F363B050EDB8}"/>
    <cellStyle name="Normal 2 2 2" xfId="336" xr:uid="{2E7C893E-757D-41A7-9CA4-5DA3D3787610}"/>
    <cellStyle name="Normal 2 3" xfId="310" xr:uid="{11408F15-5437-464C-93BC-202D5B269EDF}"/>
    <cellStyle name="Normal 2 4" xfId="311" xr:uid="{DDD54A92-8E71-4595-903A-53F1641A64BE}"/>
    <cellStyle name="Normal 2 5" xfId="308" xr:uid="{2A06D8DD-4532-45BD-AEF7-623214016221}"/>
    <cellStyle name="Normal 3" xfId="35" xr:uid="{A0F70B45-49D1-4C38-90A7-EBF247262BF6}"/>
    <cellStyle name="Normal 3 2" xfId="313" xr:uid="{0017DA35-FC46-4FBF-8289-5B8BFB220CD6}"/>
    <cellStyle name="Normal 3 3" xfId="312" xr:uid="{FF338629-C2D0-498D-94C5-F15E387B0F16}"/>
    <cellStyle name="Normal 4" xfId="36" xr:uid="{87E4CDF1-6F94-469D-8382-92996BC42F9B}"/>
    <cellStyle name="Normal 4 2" xfId="315" xr:uid="{139DFC58-F003-4E14-AD30-BED6FCE87D79}"/>
    <cellStyle name="Normal 4 3" xfId="314" xr:uid="{145D30CB-4B1F-4164-8FAC-FAC2CE321CB4}"/>
    <cellStyle name="Normal 5" xfId="316" xr:uid="{55248809-2A4C-4DC5-A657-D6CC25B56669}"/>
    <cellStyle name="Normal 6" xfId="317" xr:uid="{DA6A4359-D720-46AB-A278-64FC28B67F6A}"/>
    <cellStyle name="Normal 7" xfId="41" xr:uid="{EE1B0786-1C15-4171-BF7B-C147AC4E2AF9}"/>
    <cellStyle name="Normal 8" xfId="39" xr:uid="{DBDCC1DD-E879-4A7C-8C6A-723AEDCBD532}"/>
    <cellStyle name="Normal 9" xfId="42" xr:uid="{284EEAB8-AABB-4F6C-9B2E-583CAF388D9C}"/>
    <cellStyle name="Normal_2008_05_03_MCHIP_Jhpiego_Field_Budget_v16" xfId="31" xr:uid="{00000000-0005-0000-0000-00001A000000}"/>
    <cellStyle name="Normal_4.11 Final JHP Senegal_MCH" xfId="21" xr:uid="{00000000-0005-0000-0000-00001B000000}"/>
    <cellStyle name="Normal_4.11 Final JHP Senegal_MCH 2" xfId="28" xr:uid="{00000000-0005-0000-0000-00001C000000}"/>
    <cellStyle name="Normal_NWP RSA cervical cancer draft budget_092806" xfId="22" xr:uid="{00000000-0005-0000-0000-00001D000000}"/>
    <cellStyle name="Note 2" xfId="318" xr:uid="{2C0D03EA-E9F0-47F2-8732-A7950F21CA29}"/>
    <cellStyle name="Output 2" xfId="319" xr:uid="{45355047-39EA-49D6-AFCF-03ADE66BD422}"/>
    <cellStyle name="Percent" xfId="23" builtinId="5"/>
    <cellStyle name="Percent 2" xfId="24" xr:uid="{00000000-0005-0000-0000-00001F000000}"/>
    <cellStyle name="Percent 2 2" xfId="321" xr:uid="{C8840FE6-9EA5-41E2-86E2-DC936D92C97B}"/>
    <cellStyle name="Percent 2 3" xfId="322" xr:uid="{F81EEF45-4D14-40F6-BDED-92F4E3B3A675}"/>
    <cellStyle name="Percent 2 4" xfId="320" xr:uid="{97BA7995-6BE4-4013-8CE7-EAF079C76A1E}"/>
    <cellStyle name="Percent 3" xfId="30" xr:uid="{00000000-0005-0000-0000-000020000000}"/>
    <cellStyle name="Percent 3 2" xfId="324" xr:uid="{66BD3A83-5C3A-4BF2-BFEE-A7EA77A50DD0}"/>
    <cellStyle name="Percent 3 3" xfId="323" xr:uid="{AF392E3C-6977-4ECF-8797-ADEF5F473973}"/>
    <cellStyle name="Percent 4" xfId="33" xr:uid="{00000000-0005-0000-0000-000021000000}"/>
    <cellStyle name="Percent 4 2" xfId="326" xr:uid="{62B837FF-FC3D-4C43-861E-40BB7FC2CD5F}"/>
    <cellStyle name="Percent 4 3" xfId="325" xr:uid="{02FDAF2F-0BDA-41DB-946B-37B811C0E489}"/>
    <cellStyle name="Percent 5" xfId="37" xr:uid="{4961DFE2-884C-4A67-A2F6-77A4CC92C5C3}"/>
    <cellStyle name="Percent 6" xfId="327" xr:uid="{F1229FF3-5604-4CA5-A4FB-24082777E2A8}"/>
    <cellStyle name="Percent 6 2" xfId="328" xr:uid="{967A8DAB-D567-4854-BEB7-0E1199C04ECD}"/>
    <cellStyle name="Percent 6 3" xfId="329" xr:uid="{3DB5A76B-9EEC-42C9-9F95-2BEDFC72C28E}"/>
    <cellStyle name="Percent 7" xfId="334" xr:uid="{076E4114-08E9-4D04-B286-C344F12E081F}"/>
    <cellStyle name="Style 1" xfId="25" xr:uid="{00000000-0005-0000-0000-000022000000}"/>
    <cellStyle name="Title 2" xfId="330" xr:uid="{553320EF-9E9C-480C-9B3C-BD20187C3475}"/>
    <cellStyle name="Total" xfId="26" builtinId="25" customBuiltin="1"/>
    <cellStyle name="Total 2" xfId="331" xr:uid="{5A321550-057E-452C-9876-6F64E9D4E122}"/>
    <cellStyle name="Warning Text 2" xfId="332" xr:uid="{2E4C517F-1106-4B65-9E10-FA6C8934287B}"/>
  </cellStyles>
  <dxfs count="12">
    <dxf>
      <font>
        <b/>
        <i val="0"/>
        <strike val="0"/>
        <condense val="0"/>
        <extend val="0"/>
        <outline val="0"/>
        <shadow val="0"/>
        <u val="none"/>
        <vertAlign val="baseline"/>
        <sz val="10"/>
        <color auto="1"/>
        <name val="Arial"/>
        <scheme val="none"/>
      </font>
    </dxf>
    <dxf>
      <fill>
        <patternFill patternType="none">
          <fgColor indexed="64"/>
          <bgColor indexed="65"/>
        </patternFill>
      </fill>
    </dxf>
    <dxf>
      <border outline="0">
        <top style="medium">
          <color indexed="64"/>
        </top>
      </border>
    </dxf>
    <dxf>
      <fill>
        <patternFill patternType="none">
          <fgColor indexed="64"/>
          <bgColor indexed="65"/>
        </patternFill>
      </fill>
    </dxf>
    <dxf>
      <font>
        <b/>
        <i val="0"/>
        <strike val="0"/>
        <condense val="0"/>
        <extend val="0"/>
        <outline val="0"/>
        <shadow val="0"/>
        <u val="none"/>
        <vertAlign val="baseline"/>
        <sz val="10"/>
        <color auto="1"/>
        <name val="Arial"/>
        <scheme val="none"/>
      </font>
      <fill>
        <patternFill patternType="none">
          <fgColor indexed="64"/>
          <bgColor indexed="65"/>
        </patternFill>
      </fill>
    </dxf>
    <dxf>
      <font>
        <color theme="8" tint="0.59996337778862885"/>
      </font>
    </dxf>
    <dxf>
      <font>
        <color theme="8" tint="0.59996337778862885"/>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66675</xdr:rowOff>
    </xdr:from>
    <xdr:to>
      <xdr:col>0</xdr:col>
      <xdr:colOff>247650</xdr:colOff>
      <xdr:row>4</xdr:row>
      <xdr:rowOff>219075</xdr:rowOff>
    </xdr:to>
    <xdr:sp macro="" textlink="">
      <xdr:nvSpPr>
        <xdr:cNvPr id="15704" name="Text Box 9">
          <a:extLst>
            <a:ext uri="{FF2B5EF4-FFF2-40B4-BE49-F238E27FC236}">
              <a16:creationId xmlns:a16="http://schemas.microsoft.com/office/drawing/2014/main" id="{00000000-0008-0000-1100-0000583D0000}"/>
            </a:ext>
          </a:extLst>
        </xdr:cNvPr>
        <xdr:cNvSpPr txBox="1">
          <a:spLocks noChangeArrowheads="1"/>
        </xdr:cNvSpPr>
      </xdr:nvSpPr>
      <xdr:spPr bwMode="auto">
        <a:xfrm>
          <a:off x="76200"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4</xdr:row>
      <xdr:rowOff>66675</xdr:rowOff>
    </xdr:from>
    <xdr:to>
      <xdr:col>3</xdr:col>
      <xdr:colOff>247650</xdr:colOff>
      <xdr:row>4</xdr:row>
      <xdr:rowOff>219075</xdr:rowOff>
    </xdr:to>
    <xdr:sp macro="" textlink="">
      <xdr:nvSpPr>
        <xdr:cNvPr id="15705" name="Text Box 10">
          <a:extLst>
            <a:ext uri="{FF2B5EF4-FFF2-40B4-BE49-F238E27FC236}">
              <a16:creationId xmlns:a16="http://schemas.microsoft.com/office/drawing/2014/main" id="{00000000-0008-0000-1100-0000593D0000}"/>
            </a:ext>
          </a:extLst>
        </xdr:cNvPr>
        <xdr:cNvSpPr txBox="1">
          <a:spLocks noChangeArrowheads="1"/>
        </xdr:cNvSpPr>
      </xdr:nvSpPr>
      <xdr:spPr bwMode="auto">
        <a:xfrm>
          <a:off x="2619375"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5</xdr:row>
      <xdr:rowOff>66675</xdr:rowOff>
    </xdr:from>
    <xdr:to>
      <xdr:col>0</xdr:col>
      <xdr:colOff>247650</xdr:colOff>
      <xdr:row>5</xdr:row>
      <xdr:rowOff>219075</xdr:rowOff>
    </xdr:to>
    <xdr:sp macro="" textlink="">
      <xdr:nvSpPr>
        <xdr:cNvPr id="15706" name="Text Box 11">
          <a:extLst>
            <a:ext uri="{FF2B5EF4-FFF2-40B4-BE49-F238E27FC236}">
              <a16:creationId xmlns:a16="http://schemas.microsoft.com/office/drawing/2014/main" id="{00000000-0008-0000-1100-00005A3D0000}"/>
            </a:ext>
          </a:extLst>
        </xdr:cNvPr>
        <xdr:cNvSpPr txBox="1">
          <a:spLocks noChangeArrowheads="1"/>
        </xdr:cNvSpPr>
      </xdr:nvSpPr>
      <xdr:spPr bwMode="auto">
        <a:xfrm>
          <a:off x="76200"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6</xdr:row>
      <xdr:rowOff>66675</xdr:rowOff>
    </xdr:from>
    <xdr:to>
      <xdr:col>0</xdr:col>
      <xdr:colOff>247650</xdr:colOff>
      <xdr:row>6</xdr:row>
      <xdr:rowOff>219075</xdr:rowOff>
    </xdr:to>
    <xdr:sp macro="" textlink="">
      <xdr:nvSpPr>
        <xdr:cNvPr id="15707" name="Text Box 12">
          <a:extLst>
            <a:ext uri="{FF2B5EF4-FFF2-40B4-BE49-F238E27FC236}">
              <a16:creationId xmlns:a16="http://schemas.microsoft.com/office/drawing/2014/main" id="{00000000-0008-0000-1100-00005B3D0000}"/>
            </a:ext>
          </a:extLst>
        </xdr:cNvPr>
        <xdr:cNvSpPr txBox="1">
          <a:spLocks noChangeArrowheads="1"/>
        </xdr:cNvSpPr>
      </xdr:nvSpPr>
      <xdr:spPr bwMode="auto">
        <a:xfrm>
          <a:off x="76200"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5</xdr:row>
      <xdr:rowOff>66675</xdr:rowOff>
    </xdr:from>
    <xdr:to>
      <xdr:col>3</xdr:col>
      <xdr:colOff>247650</xdr:colOff>
      <xdr:row>5</xdr:row>
      <xdr:rowOff>219075</xdr:rowOff>
    </xdr:to>
    <xdr:sp macro="" textlink="">
      <xdr:nvSpPr>
        <xdr:cNvPr id="15708" name="Text Box 13">
          <a:extLst>
            <a:ext uri="{FF2B5EF4-FFF2-40B4-BE49-F238E27FC236}">
              <a16:creationId xmlns:a16="http://schemas.microsoft.com/office/drawing/2014/main" id="{00000000-0008-0000-1100-00005C3D0000}"/>
            </a:ext>
          </a:extLst>
        </xdr:cNvPr>
        <xdr:cNvSpPr txBox="1">
          <a:spLocks noChangeArrowheads="1"/>
        </xdr:cNvSpPr>
      </xdr:nvSpPr>
      <xdr:spPr bwMode="auto">
        <a:xfrm>
          <a:off x="2619375"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6</xdr:row>
      <xdr:rowOff>66675</xdr:rowOff>
    </xdr:from>
    <xdr:to>
      <xdr:col>3</xdr:col>
      <xdr:colOff>247650</xdr:colOff>
      <xdr:row>6</xdr:row>
      <xdr:rowOff>219075</xdr:rowOff>
    </xdr:to>
    <xdr:sp macro="" textlink="">
      <xdr:nvSpPr>
        <xdr:cNvPr id="15709" name="Text Box 14">
          <a:extLst>
            <a:ext uri="{FF2B5EF4-FFF2-40B4-BE49-F238E27FC236}">
              <a16:creationId xmlns:a16="http://schemas.microsoft.com/office/drawing/2014/main" id="{00000000-0008-0000-1100-00005D3D0000}"/>
            </a:ext>
          </a:extLst>
        </xdr:cNvPr>
        <xdr:cNvSpPr txBox="1">
          <a:spLocks noChangeArrowheads="1"/>
        </xdr:cNvSpPr>
      </xdr:nvSpPr>
      <xdr:spPr bwMode="auto">
        <a:xfrm>
          <a:off x="2619375"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4</xdr:row>
      <xdr:rowOff>66675</xdr:rowOff>
    </xdr:from>
    <xdr:to>
      <xdr:col>0</xdr:col>
      <xdr:colOff>247650</xdr:colOff>
      <xdr:row>4</xdr:row>
      <xdr:rowOff>219075</xdr:rowOff>
    </xdr:to>
    <xdr:sp macro="" textlink="">
      <xdr:nvSpPr>
        <xdr:cNvPr id="15710" name="Text Box 15">
          <a:extLst>
            <a:ext uri="{FF2B5EF4-FFF2-40B4-BE49-F238E27FC236}">
              <a16:creationId xmlns:a16="http://schemas.microsoft.com/office/drawing/2014/main" id="{00000000-0008-0000-1100-00005E3D0000}"/>
            </a:ext>
          </a:extLst>
        </xdr:cNvPr>
        <xdr:cNvSpPr txBox="1">
          <a:spLocks noChangeArrowheads="1"/>
        </xdr:cNvSpPr>
      </xdr:nvSpPr>
      <xdr:spPr bwMode="auto">
        <a:xfrm>
          <a:off x="76200" y="8667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4</xdr:row>
      <xdr:rowOff>66675</xdr:rowOff>
    </xdr:from>
    <xdr:to>
      <xdr:col>3</xdr:col>
      <xdr:colOff>247650</xdr:colOff>
      <xdr:row>4</xdr:row>
      <xdr:rowOff>219075</xdr:rowOff>
    </xdr:to>
    <xdr:sp macro="" textlink="">
      <xdr:nvSpPr>
        <xdr:cNvPr id="15376" name="Text Box 16">
          <a:extLst>
            <a:ext uri="{FF2B5EF4-FFF2-40B4-BE49-F238E27FC236}">
              <a16:creationId xmlns:a16="http://schemas.microsoft.com/office/drawing/2014/main" id="{00000000-0008-0000-1100-0000103C0000}"/>
            </a:ext>
          </a:extLst>
        </xdr:cNvPr>
        <xdr:cNvSpPr txBox="1">
          <a:spLocks noChangeArrowheads="1"/>
        </xdr:cNvSpPr>
      </xdr:nvSpPr>
      <xdr:spPr bwMode="auto">
        <a:xfrm>
          <a:off x="2619375" y="8667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5</xdr:row>
      <xdr:rowOff>66675</xdr:rowOff>
    </xdr:from>
    <xdr:to>
      <xdr:col>0</xdr:col>
      <xdr:colOff>247650</xdr:colOff>
      <xdr:row>5</xdr:row>
      <xdr:rowOff>219075</xdr:rowOff>
    </xdr:to>
    <xdr:sp macro="" textlink="">
      <xdr:nvSpPr>
        <xdr:cNvPr id="15377" name="Text Box 17">
          <a:extLst>
            <a:ext uri="{FF2B5EF4-FFF2-40B4-BE49-F238E27FC236}">
              <a16:creationId xmlns:a16="http://schemas.microsoft.com/office/drawing/2014/main" id="{00000000-0008-0000-1100-0000113C0000}"/>
            </a:ext>
          </a:extLst>
        </xdr:cNvPr>
        <xdr:cNvSpPr txBox="1">
          <a:spLocks noChangeArrowheads="1"/>
        </xdr:cNvSpPr>
      </xdr:nvSpPr>
      <xdr:spPr bwMode="auto">
        <a:xfrm>
          <a:off x="76200" y="115252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6</xdr:row>
      <xdr:rowOff>66675</xdr:rowOff>
    </xdr:from>
    <xdr:to>
      <xdr:col>0</xdr:col>
      <xdr:colOff>247650</xdr:colOff>
      <xdr:row>6</xdr:row>
      <xdr:rowOff>219075</xdr:rowOff>
    </xdr:to>
    <xdr:sp macro="" textlink="">
      <xdr:nvSpPr>
        <xdr:cNvPr id="15713" name="Text Box 18">
          <a:extLst>
            <a:ext uri="{FF2B5EF4-FFF2-40B4-BE49-F238E27FC236}">
              <a16:creationId xmlns:a16="http://schemas.microsoft.com/office/drawing/2014/main" id="{00000000-0008-0000-1100-0000613D0000}"/>
            </a:ext>
          </a:extLst>
        </xdr:cNvPr>
        <xdr:cNvSpPr txBox="1">
          <a:spLocks noChangeArrowheads="1"/>
        </xdr:cNvSpPr>
      </xdr:nvSpPr>
      <xdr:spPr bwMode="auto">
        <a:xfrm>
          <a:off x="76200"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5</xdr:row>
      <xdr:rowOff>66675</xdr:rowOff>
    </xdr:from>
    <xdr:to>
      <xdr:col>3</xdr:col>
      <xdr:colOff>247650</xdr:colOff>
      <xdr:row>5</xdr:row>
      <xdr:rowOff>219075</xdr:rowOff>
    </xdr:to>
    <xdr:sp macro="" textlink="">
      <xdr:nvSpPr>
        <xdr:cNvPr id="15714" name="Text Box 19">
          <a:extLst>
            <a:ext uri="{FF2B5EF4-FFF2-40B4-BE49-F238E27FC236}">
              <a16:creationId xmlns:a16="http://schemas.microsoft.com/office/drawing/2014/main" id="{00000000-0008-0000-1100-0000623D0000}"/>
            </a:ext>
          </a:extLst>
        </xdr:cNvPr>
        <xdr:cNvSpPr txBox="1">
          <a:spLocks noChangeArrowheads="1"/>
        </xdr:cNvSpPr>
      </xdr:nvSpPr>
      <xdr:spPr bwMode="auto">
        <a:xfrm>
          <a:off x="2619375" y="1152525"/>
          <a:ext cx="171450" cy="152400"/>
        </a:xfrm>
        <a:prstGeom prst="rect">
          <a:avLst/>
        </a:prstGeom>
        <a:solidFill>
          <a:srgbClr val="FFFFFF"/>
        </a:solidFill>
        <a:ln w="9525">
          <a:solidFill>
            <a:srgbClr val="000000"/>
          </a:solidFill>
          <a:miter lim="800000"/>
          <a:headEnd/>
          <a:tailEnd/>
        </a:ln>
      </xdr:spPr>
    </xdr:sp>
    <xdr:clientData/>
  </xdr:twoCellAnchor>
  <xdr:twoCellAnchor>
    <xdr:from>
      <xdr:col>3</xdr:col>
      <xdr:colOff>76200</xdr:colOff>
      <xdr:row>6</xdr:row>
      <xdr:rowOff>66675</xdr:rowOff>
    </xdr:from>
    <xdr:to>
      <xdr:col>3</xdr:col>
      <xdr:colOff>247650</xdr:colOff>
      <xdr:row>6</xdr:row>
      <xdr:rowOff>219075</xdr:rowOff>
    </xdr:to>
    <xdr:sp macro="" textlink="">
      <xdr:nvSpPr>
        <xdr:cNvPr id="15715" name="Text Box 20">
          <a:extLst>
            <a:ext uri="{FF2B5EF4-FFF2-40B4-BE49-F238E27FC236}">
              <a16:creationId xmlns:a16="http://schemas.microsoft.com/office/drawing/2014/main" id="{00000000-0008-0000-1100-0000633D0000}"/>
            </a:ext>
          </a:extLst>
        </xdr:cNvPr>
        <xdr:cNvSpPr txBox="1">
          <a:spLocks noChangeArrowheads="1"/>
        </xdr:cNvSpPr>
      </xdr:nvSpPr>
      <xdr:spPr bwMode="auto">
        <a:xfrm>
          <a:off x="2619375" y="143827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124</xdr:row>
      <xdr:rowOff>57150</xdr:rowOff>
    </xdr:from>
    <xdr:to>
      <xdr:col>0</xdr:col>
      <xdr:colOff>247650</xdr:colOff>
      <xdr:row>124</xdr:row>
      <xdr:rowOff>209550</xdr:rowOff>
    </xdr:to>
    <xdr:sp macro="" textlink="">
      <xdr:nvSpPr>
        <xdr:cNvPr id="15716" name="Text Box 32">
          <a:extLst>
            <a:ext uri="{FF2B5EF4-FFF2-40B4-BE49-F238E27FC236}">
              <a16:creationId xmlns:a16="http://schemas.microsoft.com/office/drawing/2014/main" id="{00000000-0008-0000-1100-0000643D0000}"/>
            </a:ext>
          </a:extLst>
        </xdr:cNvPr>
        <xdr:cNvSpPr txBox="1">
          <a:spLocks noChangeArrowheads="1"/>
        </xdr:cNvSpPr>
      </xdr:nvSpPr>
      <xdr:spPr bwMode="auto">
        <a:xfrm>
          <a:off x="76200" y="24241125"/>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125</xdr:row>
      <xdr:rowOff>57150</xdr:rowOff>
    </xdr:from>
    <xdr:to>
      <xdr:col>0</xdr:col>
      <xdr:colOff>247650</xdr:colOff>
      <xdr:row>125</xdr:row>
      <xdr:rowOff>209550</xdr:rowOff>
    </xdr:to>
    <xdr:sp macro="" textlink="">
      <xdr:nvSpPr>
        <xdr:cNvPr id="15717" name="Text Box 33">
          <a:extLst>
            <a:ext uri="{FF2B5EF4-FFF2-40B4-BE49-F238E27FC236}">
              <a16:creationId xmlns:a16="http://schemas.microsoft.com/office/drawing/2014/main" id="{00000000-0008-0000-1100-0000653D0000}"/>
            </a:ext>
          </a:extLst>
        </xdr:cNvPr>
        <xdr:cNvSpPr txBox="1">
          <a:spLocks noChangeArrowheads="1"/>
        </xdr:cNvSpPr>
      </xdr:nvSpPr>
      <xdr:spPr bwMode="auto">
        <a:xfrm>
          <a:off x="76200" y="24498300"/>
          <a:ext cx="171450" cy="152400"/>
        </a:xfrm>
        <a:prstGeom prst="rect">
          <a:avLst/>
        </a:prstGeom>
        <a:solidFill>
          <a:srgbClr val="FFFFFF"/>
        </a:solidFill>
        <a:ln w="9525">
          <a:solidFill>
            <a:srgbClr val="000000"/>
          </a:solidFill>
          <a:miter lim="800000"/>
          <a:headEnd/>
          <a:tailEnd/>
        </a:ln>
      </xdr:spPr>
    </xdr:sp>
    <xdr:clientData/>
  </xdr:twoCellAnchor>
  <xdr:twoCellAnchor>
    <xdr:from>
      <xdr:col>0</xdr:col>
      <xdr:colOff>76200</xdr:colOff>
      <xdr:row>126</xdr:row>
      <xdr:rowOff>57150</xdr:rowOff>
    </xdr:from>
    <xdr:to>
      <xdr:col>0</xdr:col>
      <xdr:colOff>247650</xdr:colOff>
      <xdr:row>126</xdr:row>
      <xdr:rowOff>209550</xdr:rowOff>
    </xdr:to>
    <xdr:sp macro="" textlink="">
      <xdr:nvSpPr>
        <xdr:cNvPr id="15394" name="Text Box 34">
          <a:extLst>
            <a:ext uri="{FF2B5EF4-FFF2-40B4-BE49-F238E27FC236}">
              <a16:creationId xmlns:a16="http://schemas.microsoft.com/office/drawing/2014/main" id="{00000000-0008-0000-1100-0000223C0000}"/>
            </a:ext>
          </a:extLst>
        </xdr:cNvPr>
        <xdr:cNvSpPr txBox="1">
          <a:spLocks noChangeArrowheads="1"/>
        </xdr:cNvSpPr>
      </xdr:nvSpPr>
      <xdr:spPr bwMode="auto">
        <a:xfrm>
          <a:off x="76200" y="247554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128</xdr:row>
      <xdr:rowOff>47625</xdr:rowOff>
    </xdr:from>
    <xdr:to>
      <xdr:col>0</xdr:col>
      <xdr:colOff>247650</xdr:colOff>
      <xdr:row>128</xdr:row>
      <xdr:rowOff>200025</xdr:rowOff>
    </xdr:to>
    <xdr:sp macro="" textlink="">
      <xdr:nvSpPr>
        <xdr:cNvPr id="15719" name="Text Box 35">
          <a:extLst>
            <a:ext uri="{FF2B5EF4-FFF2-40B4-BE49-F238E27FC236}">
              <a16:creationId xmlns:a16="http://schemas.microsoft.com/office/drawing/2014/main" id="{00000000-0008-0000-1100-0000673D0000}"/>
            </a:ext>
          </a:extLst>
        </xdr:cNvPr>
        <xdr:cNvSpPr txBox="1">
          <a:spLocks noChangeArrowheads="1"/>
        </xdr:cNvSpPr>
      </xdr:nvSpPr>
      <xdr:spPr bwMode="auto">
        <a:xfrm>
          <a:off x="76200" y="25260300"/>
          <a:ext cx="171450" cy="152400"/>
        </a:xfrm>
        <a:prstGeom prst="rect">
          <a:avLst/>
        </a:prstGeom>
        <a:solidFill>
          <a:srgbClr val="FFFFFF"/>
        </a:solidFill>
        <a:ln w="9525">
          <a:solidFill>
            <a:srgbClr val="000000"/>
          </a:solidFill>
          <a:miter lim="800000"/>
          <a:headEnd/>
          <a:tailEnd/>
        </a:ln>
      </xdr:spPr>
    </xdr:sp>
    <xdr:clientData/>
  </xdr:twoCellAnchor>
  <xdr:twoCellAnchor>
    <xdr:from>
      <xdr:col>2</xdr:col>
      <xdr:colOff>762000</xdr:colOff>
      <xdr:row>128</xdr:row>
      <xdr:rowOff>38100</xdr:rowOff>
    </xdr:from>
    <xdr:to>
      <xdr:col>2</xdr:col>
      <xdr:colOff>933450</xdr:colOff>
      <xdr:row>128</xdr:row>
      <xdr:rowOff>190500</xdr:rowOff>
    </xdr:to>
    <xdr:sp macro="" textlink="">
      <xdr:nvSpPr>
        <xdr:cNvPr id="15396" name="Text Box 36">
          <a:extLst>
            <a:ext uri="{FF2B5EF4-FFF2-40B4-BE49-F238E27FC236}">
              <a16:creationId xmlns:a16="http://schemas.microsoft.com/office/drawing/2014/main" id="{00000000-0008-0000-1100-0000243C0000}"/>
            </a:ext>
          </a:extLst>
        </xdr:cNvPr>
        <xdr:cNvSpPr txBox="1">
          <a:spLocks noChangeArrowheads="1"/>
        </xdr:cNvSpPr>
      </xdr:nvSpPr>
      <xdr:spPr bwMode="auto">
        <a:xfrm>
          <a:off x="2295525" y="252507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twoCellAnchor>
    <xdr:from>
      <xdr:col>0</xdr:col>
      <xdr:colOff>76200</xdr:colOff>
      <xdr:row>130</xdr:row>
      <xdr:rowOff>38100</xdr:rowOff>
    </xdr:from>
    <xdr:to>
      <xdr:col>0</xdr:col>
      <xdr:colOff>247650</xdr:colOff>
      <xdr:row>130</xdr:row>
      <xdr:rowOff>190500</xdr:rowOff>
    </xdr:to>
    <xdr:sp macro="" textlink="">
      <xdr:nvSpPr>
        <xdr:cNvPr id="15397" name="Text Box 37">
          <a:extLst>
            <a:ext uri="{FF2B5EF4-FFF2-40B4-BE49-F238E27FC236}">
              <a16:creationId xmlns:a16="http://schemas.microsoft.com/office/drawing/2014/main" id="{00000000-0008-0000-1100-0000253C0000}"/>
            </a:ext>
          </a:extLst>
        </xdr:cNvPr>
        <xdr:cNvSpPr txBox="1">
          <a:spLocks noChangeArrowheads="1"/>
        </xdr:cNvSpPr>
      </xdr:nvSpPr>
      <xdr:spPr bwMode="auto">
        <a:xfrm>
          <a:off x="76200" y="26317575"/>
          <a:ext cx="171450" cy="15240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X</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jhpiego-my.sharepoint.com/personal/kwest_jhpiego_org/Documents/Desktop/Templates/E/Ecuad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2)"/>
      <sheetName val="Activities"/>
      <sheetName val="Assumptions"/>
      <sheetName val="Budget Summary"/>
      <sheetName val="Line-Item Budget"/>
      <sheetName val="Travel"/>
    </sheetNames>
    <sheetDataSet>
      <sheetData sheetId="0" refreshError="1"/>
      <sheetData sheetId="1" refreshError="1"/>
      <sheetData sheetId="2"/>
      <sheetData sheetId="3" refreshError="1"/>
      <sheetData sheetId="4"/>
      <sheetData sheetId="5" refreshError="1"/>
    </sheetDataSet>
  </externalBook>
</externalLink>
</file>

<file path=xl/persons/person.xml><?xml version="1.0" encoding="utf-8"?>
<personList xmlns="http://schemas.microsoft.com/office/spreadsheetml/2018/threadedcomments" xmlns:x="http://schemas.openxmlformats.org/spreadsheetml/2006/main">
  <person displayName="Paula Leonardo" id="{688F8439-0F77-470F-9708-30287C885139}" userId="Paula Leonardo"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ist2" displayName="List2" ref="C47:C70" totalsRowShown="0" headerRowDxfId="4" dataDxfId="3" tableBorderDxfId="2">
  <autoFilter ref="C47:C70" xr:uid="{00000000-0009-0000-0100-000002000000}">
    <filterColumn colId="0">
      <filters>
        <filter val="M. Nonprofit w/501C3 IRS Status (Oth Than Higher Edu"/>
      </filters>
    </filterColumn>
  </autoFilter>
  <tableColumns count="1">
    <tableColumn id="3" xr3:uid="{00000000-0010-0000-0000-000003000000}" name="Select Applicant Type"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ist1" displayName="List1" ref="A148:A172" totalsRowShown="0" headerRowDxfId="0">
  <autoFilter ref="A148:A172" xr:uid="{00000000-0009-0000-0100-000001000000}"/>
  <tableColumns count="1">
    <tableColumn id="1" xr3:uid="{00000000-0010-0000-0100-000001000000}" name="Select Applicant Type"/>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hreadedComments/threadedComment1.xml><?xml version="1.0" encoding="utf-8"?>
<ThreadedComments xmlns="http://schemas.microsoft.com/office/spreadsheetml/2018/threadedcomments" xmlns:x="http://schemas.openxmlformats.org/spreadsheetml/2006/main">
  <threadedComment ref="I11" personId="{688F8439-0F77-470F-9708-30287C885139}" id="{774DD94D-8B18-4D4C-BD72-552D8A4F8BF1}">
    <text>Not sure if removing this highlighted area would impact the budget?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proposal@jhpiego.org" TargetMode="External"/><Relationship Id="rId7" Type="http://schemas.openxmlformats.org/officeDocument/2006/relationships/table" Target="../tables/table2.xml"/><Relationship Id="rId2" Type="http://schemas.openxmlformats.org/officeDocument/2006/relationships/hyperlink" Target="mailto:proposal@jhpiego.net" TargetMode="External"/><Relationship Id="rId1" Type="http://schemas.openxmlformats.org/officeDocument/2006/relationships/hyperlink" Target="mailto:proposal@jhpiego.net"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8" tint="0.59999389629810485"/>
  </sheetPr>
  <dimension ref="A1:AL98"/>
  <sheetViews>
    <sheetView zoomScaleNormal="100" zoomScaleSheetLayoutView="85" workbookViewId="0">
      <selection activeCell="G18" sqref="G18"/>
    </sheetView>
  </sheetViews>
  <sheetFormatPr defaultColWidth="7.71875" defaultRowHeight="15.3" outlineLevelRow="1"/>
  <cols>
    <col min="1" max="1" width="3.71875" style="469" customWidth="1"/>
    <col min="2" max="2" width="31" style="469" customWidth="1"/>
    <col min="3" max="3" width="10.71875" style="469" customWidth="1"/>
    <col min="4" max="4" width="13" style="469" customWidth="1"/>
    <col min="5" max="5" width="10.71875" style="469" customWidth="1"/>
    <col min="6" max="6" width="15.44140625" style="469" customWidth="1"/>
    <col min="7" max="7" width="12.27734375" style="469" bestFit="1" customWidth="1"/>
    <col min="8" max="9" width="9.27734375" style="469" hidden="1" customWidth="1"/>
    <col min="10" max="10" width="10.44140625" style="469" customWidth="1"/>
    <col min="11" max="12" width="9.27734375" style="469" hidden="1" customWidth="1"/>
    <col min="13" max="13" width="10.27734375" style="469" customWidth="1"/>
    <col min="14" max="15" width="9.27734375" style="469" hidden="1" customWidth="1"/>
    <col min="16" max="16" width="10.71875" style="469" customWidth="1"/>
    <col min="17" max="18" width="9.27734375" style="469" hidden="1" customWidth="1"/>
    <col min="19" max="19" width="11.27734375" style="469" customWidth="1"/>
    <col min="20" max="21" width="9.27734375" style="469" hidden="1" customWidth="1"/>
    <col min="22" max="22" width="10.71875" style="469" bestFit="1" customWidth="1"/>
    <col min="23" max="24" width="9.27734375" style="469" hidden="1" customWidth="1"/>
    <col min="25" max="25" width="10.44140625" style="469" customWidth="1"/>
    <col min="26" max="27" width="9.27734375" style="469" hidden="1" customWidth="1"/>
    <col min="28" max="28" width="10.27734375" style="469" customWidth="1"/>
    <col min="29" max="30" width="9.27734375" style="469" hidden="1" customWidth="1"/>
    <col min="31" max="31" width="10.71875" style="469" customWidth="1"/>
    <col min="32" max="33" width="9.27734375" style="469" hidden="1" customWidth="1"/>
    <col min="34" max="34" width="11.27734375" style="469" customWidth="1"/>
    <col min="35" max="35" width="10.71875" style="469" customWidth="1"/>
    <col min="36" max="36" width="19.27734375" style="469" bestFit="1" customWidth="1"/>
    <col min="37" max="37" width="8.71875" style="469" bestFit="1" customWidth="1"/>
    <col min="38" max="38" width="9.27734375" style="469" bestFit="1" customWidth="1"/>
    <col min="39" max="39" width="8.71875" style="469" bestFit="1" customWidth="1"/>
    <col min="40" max="43" width="9.27734375" style="469" customWidth="1"/>
    <col min="44" max="44" width="8.5546875" style="469" bestFit="1" customWidth="1"/>
    <col min="45" max="16384" width="7.71875" style="469"/>
  </cols>
  <sheetData>
    <row r="1" spans="1:38">
      <c r="A1" s="476" t="s">
        <v>0</v>
      </c>
      <c r="AL1" s="478"/>
    </row>
    <row r="3" spans="1:38">
      <c r="A3" s="479" t="s">
        <v>1</v>
      </c>
      <c r="B3" s="470"/>
      <c r="C3" s="470"/>
      <c r="D3" s="470"/>
      <c r="AI3" s="470"/>
      <c r="AJ3" s="470"/>
    </row>
    <row r="4" spans="1:38">
      <c r="A4" s="479"/>
      <c r="B4" s="471" t="s">
        <v>2</v>
      </c>
      <c r="C4" s="472"/>
      <c r="D4" s="472"/>
      <c r="E4" s="472"/>
      <c r="F4" s="472"/>
      <c r="G4" s="472"/>
      <c r="H4" s="472"/>
      <c r="I4" s="472"/>
      <c r="J4" s="472"/>
      <c r="K4" s="472"/>
      <c r="L4" s="472"/>
      <c r="M4" s="472"/>
      <c r="N4" s="472"/>
      <c r="O4" s="472"/>
      <c r="P4" s="472"/>
      <c r="Q4" s="472"/>
      <c r="R4" s="472"/>
      <c r="S4" s="472"/>
      <c r="AI4" s="470"/>
      <c r="AJ4" s="470"/>
    </row>
    <row r="5" spans="1:38">
      <c r="A5" s="479"/>
      <c r="B5" s="471" t="s">
        <v>3</v>
      </c>
      <c r="C5" s="915" t="s">
        <v>4</v>
      </c>
      <c r="D5" s="472"/>
      <c r="E5" s="472"/>
      <c r="F5" s="472"/>
      <c r="G5" s="473"/>
      <c r="H5" s="473"/>
      <c r="I5" s="473"/>
      <c r="J5" s="472"/>
      <c r="K5" s="472"/>
      <c r="L5" s="472"/>
      <c r="M5" s="472"/>
      <c r="N5" s="472"/>
      <c r="O5" s="472"/>
      <c r="P5" s="472"/>
      <c r="Q5" s="472"/>
      <c r="R5" s="472"/>
      <c r="S5" s="472"/>
      <c r="AI5" s="470"/>
      <c r="AJ5" s="470"/>
    </row>
    <row r="6" spans="1:38">
      <c r="A6" s="479"/>
      <c r="B6" s="471" t="s">
        <v>5</v>
      </c>
      <c r="C6" s="915" t="s">
        <v>6</v>
      </c>
      <c r="D6" s="472"/>
      <c r="E6" s="472"/>
      <c r="F6" s="472"/>
      <c r="G6" s="473"/>
      <c r="H6" s="473"/>
      <c r="I6" s="473"/>
      <c r="J6" s="472"/>
      <c r="K6" s="472"/>
      <c r="L6" s="472"/>
      <c r="M6" s="472"/>
      <c r="N6" s="472"/>
      <c r="O6" s="472"/>
      <c r="P6" s="472"/>
      <c r="Q6" s="472"/>
      <c r="R6" s="472"/>
      <c r="S6" s="472"/>
      <c r="AI6" s="470"/>
      <c r="AJ6" s="470"/>
    </row>
    <row r="7" spans="1:38">
      <c r="A7" s="479"/>
      <c r="B7" s="471" t="s">
        <v>7</v>
      </c>
      <c r="C7" s="915" t="s">
        <v>8</v>
      </c>
      <c r="D7" s="472"/>
      <c r="E7" s="472"/>
      <c r="F7" s="472"/>
      <c r="G7" s="473"/>
      <c r="H7" s="473"/>
      <c r="I7" s="473"/>
      <c r="J7" s="472"/>
      <c r="K7" s="472"/>
      <c r="L7" s="472"/>
      <c r="M7" s="472"/>
      <c r="N7" s="472"/>
      <c r="O7" s="472"/>
      <c r="P7" s="472"/>
      <c r="Q7" s="472"/>
      <c r="R7" s="472"/>
      <c r="S7" s="472"/>
      <c r="AI7" s="470"/>
      <c r="AJ7" s="470"/>
    </row>
    <row r="8" spans="1:38">
      <c r="A8" s="479"/>
      <c r="B8" s="471" t="s">
        <v>9</v>
      </c>
      <c r="C8" s="915" t="s">
        <v>10</v>
      </c>
      <c r="D8" s="472"/>
      <c r="E8" s="472"/>
      <c r="F8" s="472"/>
      <c r="G8" s="473"/>
      <c r="H8" s="473"/>
      <c r="I8" s="473"/>
      <c r="J8" s="472"/>
      <c r="K8" s="472"/>
      <c r="L8" s="472"/>
      <c r="M8" s="472"/>
      <c r="N8" s="472"/>
      <c r="O8" s="472"/>
      <c r="P8" s="472"/>
      <c r="Q8" s="472"/>
      <c r="R8" s="472"/>
      <c r="S8" s="472"/>
      <c r="AI8" s="470"/>
      <c r="AJ8" s="470"/>
    </row>
    <row r="9" spans="1:38">
      <c r="A9" s="479"/>
      <c r="B9" s="471" t="s">
        <v>11</v>
      </c>
      <c r="C9" s="916" t="s">
        <v>12</v>
      </c>
      <c r="D9" s="472"/>
      <c r="E9" s="472"/>
      <c r="F9" s="475" t="s">
        <v>13</v>
      </c>
      <c r="G9" s="474"/>
      <c r="H9" s="473"/>
      <c r="I9" s="473"/>
      <c r="J9" s="472"/>
      <c r="K9" s="472"/>
      <c r="L9" s="472"/>
      <c r="M9" s="472"/>
      <c r="N9" s="472"/>
      <c r="O9" s="472"/>
      <c r="P9" s="472"/>
      <c r="Q9" s="472"/>
      <c r="R9" s="472"/>
      <c r="S9" s="472"/>
      <c r="AI9" s="470"/>
      <c r="AJ9" s="470"/>
    </row>
    <row r="10" spans="1:38">
      <c r="B10" s="470"/>
      <c r="D10" s="470"/>
      <c r="AI10" s="470"/>
      <c r="AJ10" s="470"/>
    </row>
    <row r="11" spans="1:38">
      <c r="A11" s="479" t="s">
        <v>14</v>
      </c>
    </row>
    <row r="12" spans="1:38">
      <c r="B12" s="917">
        <v>0.2828</v>
      </c>
      <c r="C12" s="469" t="s">
        <v>15</v>
      </c>
      <c r="AJ12" s="1010"/>
      <c r="AK12" s="1011"/>
    </row>
    <row r="13" spans="1:38">
      <c r="B13" s="918">
        <v>0</v>
      </c>
      <c r="C13" s="470" t="s">
        <v>16</v>
      </c>
      <c r="D13" s="470"/>
      <c r="AI13" s="470"/>
      <c r="AJ13" s="1012"/>
      <c r="AK13" s="1009"/>
    </row>
    <row r="14" spans="1:38" ht="30">
      <c r="B14" s="919" t="s">
        <v>17</v>
      </c>
      <c r="C14" s="470">
        <v>1.03</v>
      </c>
      <c r="D14" s="470"/>
      <c r="AI14" s="470"/>
      <c r="AJ14" s="1012"/>
      <c r="AK14" s="1009"/>
    </row>
    <row r="15" spans="1:38" ht="30">
      <c r="B15" s="919" t="s">
        <v>18</v>
      </c>
      <c r="C15" s="470">
        <v>1.04</v>
      </c>
      <c r="D15" s="470"/>
      <c r="AI15" s="470"/>
      <c r="AJ15" s="1012"/>
      <c r="AK15" s="1009"/>
    </row>
    <row r="16" spans="1:38" ht="30">
      <c r="B16" s="919" t="s">
        <v>19</v>
      </c>
      <c r="C16" s="470">
        <v>1.05</v>
      </c>
      <c r="D16" s="470"/>
      <c r="AI16" s="470"/>
      <c r="AJ16" s="1012"/>
      <c r="AK16" s="1009"/>
    </row>
    <row r="17" spans="1:37">
      <c r="B17" s="480"/>
      <c r="C17" s="470"/>
      <c r="D17" s="470"/>
      <c r="AI17" s="470"/>
      <c r="AJ17" s="1012"/>
      <c r="AK17" s="1009"/>
    </row>
    <row r="18" spans="1:37">
      <c r="AI18" s="470"/>
      <c r="AJ18" s="1012"/>
      <c r="AK18" s="1009"/>
    </row>
    <row r="19" spans="1:37" hidden="1" outlineLevel="1">
      <c r="A19" s="479" t="s">
        <v>20</v>
      </c>
      <c r="T19" s="481"/>
      <c r="U19" s="482"/>
      <c r="AI19" s="482"/>
      <c r="AJ19" s="1012"/>
      <c r="AK19" s="1009"/>
    </row>
    <row r="20" spans="1:37" hidden="1" outlineLevel="1">
      <c r="B20" s="469" t="s">
        <v>21</v>
      </c>
      <c r="D20" s="483">
        <v>0.03</v>
      </c>
      <c r="G20" s="484" t="s">
        <v>22</v>
      </c>
      <c r="H20" s="484" t="s">
        <v>23</v>
      </c>
      <c r="I20" s="484" t="s">
        <v>24</v>
      </c>
      <c r="J20" s="484" t="s">
        <v>23</v>
      </c>
      <c r="K20" s="485"/>
      <c r="L20" s="485"/>
      <c r="M20" s="484" t="s">
        <v>24</v>
      </c>
      <c r="N20" s="484" t="s">
        <v>23</v>
      </c>
      <c r="O20" s="484" t="s">
        <v>23</v>
      </c>
      <c r="P20" s="484" t="s">
        <v>25</v>
      </c>
      <c r="Q20" s="484" t="s">
        <v>23</v>
      </c>
      <c r="R20" s="484" t="s">
        <v>23</v>
      </c>
      <c r="S20" s="484" t="s">
        <v>26</v>
      </c>
      <c r="T20" s="484" t="s">
        <v>23</v>
      </c>
      <c r="U20" s="484" t="s">
        <v>23</v>
      </c>
      <c r="V20" s="484" t="s">
        <v>27</v>
      </c>
      <c r="W20" s="484" t="s">
        <v>23</v>
      </c>
      <c r="X20" s="484" t="s">
        <v>23</v>
      </c>
      <c r="Y20" s="484" t="s">
        <v>28</v>
      </c>
      <c r="Z20" s="484" t="s">
        <v>23</v>
      </c>
      <c r="AA20" s="484" t="s">
        <v>23</v>
      </c>
      <c r="AB20" s="484" t="s">
        <v>29</v>
      </c>
      <c r="AC20" s="484" t="s">
        <v>23</v>
      </c>
      <c r="AD20" s="484" t="s">
        <v>23</v>
      </c>
      <c r="AE20" s="484" t="s">
        <v>30</v>
      </c>
      <c r="AF20" s="484" t="s">
        <v>23</v>
      </c>
      <c r="AG20" s="484" t="s">
        <v>23</v>
      </c>
      <c r="AH20" s="484" t="s">
        <v>31</v>
      </c>
      <c r="AI20" s="486"/>
      <c r="AJ20" s="1012"/>
      <c r="AK20" s="1009"/>
    </row>
    <row r="21" spans="1:37" hidden="1" outlineLevel="1">
      <c r="D21" s="487"/>
      <c r="G21" s="488">
        <v>45292</v>
      </c>
      <c r="H21" s="489"/>
      <c r="I21" s="489"/>
      <c r="J21" s="490"/>
      <c r="K21" s="490"/>
      <c r="L21" s="490"/>
      <c r="M21" s="490"/>
      <c r="N21" s="490"/>
      <c r="O21" s="490"/>
      <c r="P21" s="490"/>
      <c r="Q21" s="490"/>
      <c r="R21" s="490"/>
      <c r="S21" s="490"/>
      <c r="T21" s="490"/>
      <c r="U21" s="490"/>
      <c r="V21" s="490"/>
      <c r="W21" s="489"/>
      <c r="X21" s="489"/>
      <c r="Y21" s="490"/>
      <c r="Z21" s="490"/>
      <c r="AA21" s="490"/>
      <c r="AB21" s="490"/>
      <c r="AC21" s="490"/>
      <c r="AD21" s="490"/>
      <c r="AE21" s="490"/>
      <c r="AF21" s="490"/>
      <c r="AG21" s="490"/>
      <c r="AH21" s="490"/>
      <c r="AI21" s="491"/>
      <c r="AJ21" s="1012"/>
      <c r="AK21" s="1009"/>
    </row>
    <row r="22" spans="1:37" hidden="1" outlineLevel="1">
      <c r="C22" s="492"/>
      <c r="G22" s="493">
        <v>45657</v>
      </c>
      <c r="H22" s="494"/>
      <c r="I22" s="494"/>
      <c r="J22" s="495"/>
      <c r="K22" s="496"/>
      <c r="L22" s="496"/>
      <c r="M22" s="495"/>
      <c r="N22" s="496"/>
      <c r="O22" s="496"/>
      <c r="P22" s="496"/>
      <c r="Q22" s="495"/>
      <c r="R22" s="495"/>
      <c r="S22" s="495"/>
      <c r="T22" s="495"/>
      <c r="U22" s="495"/>
      <c r="V22" s="495"/>
      <c r="W22" s="494"/>
      <c r="X22" s="494"/>
      <c r="Y22" s="495"/>
      <c r="Z22" s="496"/>
      <c r="AA22" s="496"/>
      <c r="AB22" s="495"/>
      <c r="AC22" s="496"/>
      <c r="AD22" s="496"/>
      <c r="AE22" s="496"/>
      <c r="AF22" s="495"/>
      <c r="AG22" s="495"/>
      <c r="AH22" s="495"/>
      <c r="AI22" s="497"/>
      <c r="AJ22" s="1012"/>
      <c r="AK22" s="1009"/>
    </row>
    <row r="23" spans="1:37" hidden="1" outlineLevel="1">
      <c r="G23" s="498">
        <v>1</v>
      </c>
      <c r="H23" s="498"/>
      <c r="I23" s="498"/>
      <c r="J23" s="499">
        <f>G23*SUM(1+$D$20)</f>
        <v>1.03</v>
      </c>
      <c r="K23" s="500"/>
      <c r="L23" s="500"/>
      <c r="M23" s="499">
        <f>J23*SUM(1+$D$20)</f>
        <v>1.0609</v>
      </c>
      <c r="N23" s="499"/>
      <c r="O23" s="499"/>
      <c r="P23" s="499">
        <f>M23*SUM(1+$D$20)</f>
        <v>1.092727</v>
      </c>
      <c r="Q23" s="499"/>
      <c r="R23" s="499"/>
      <c r="S23" s="499">
        <f>P23*SUM(1+$D$20)</f>
        <v>1.1255088100000001</v>
      </c>
      <c r="T23" s="499"/>
      <c r="U23" s="499"/>
      <c r="V23" s="499">
        <f>S23*SUM(1+$D$20)</f>
        <v>1.1592740743000001</v>
      </c>
      <c r="W23" s="499"/>
      <c r="X23" s="499"/>
      <c r="Y23" s="499">
        <f>V23*SUM(1+$D$20)</f>
        <v>1.1940522965290001</v>
      </c>
      <c r="Z23" s="499"/>
      <c r="AA23" s="499"/>
      <c r="AB23" s="499">
        <f>Y23*SUM(1+$D$20)</f>
        <v>1.2298738654248702</v>
      </c>
      <c r="AC23" s="499"/>
      <c r="AD23" s="499"/>
      <c r="AE23" s="499">
        <f>AB23*SUM(1+$D$20)</f>
        <v>1.2667700813876164</v>
      </c>
      <c r="AF23" s="499"/>
      <c r="AG23" s="499"/>
      <c r="AH23" s="499">
        <f>AE23*SUM(1+$D$20)</f>
        <v>1.3047731838292449</v>
      </c>
      <c r="AJ23" s="1012"/>
      <c r="AK23" s="1009"/>
    </row>
    <row r="24" spans="1:37" hidden="1" outlineLevel="1">
      <c r="E24" s="479"/>
      <c r="M24" s="499"/>
      <c r="N24" s="499"/>
      <c r="O24" s="499"/>
      <c r="P24" s="499"/>
      <c r="Q24" s="499"/>
      <c r="R24" s="499"/>
      <c r="S24" s="499"/>
      <c r="T24" s="499"/>
      <c r="U24" s="499"/>
      <c r="V24" s="499"/>
      <c r="W24" s="499"/>
      <c r="X24" s="499"/>
      <c r="Y24" s="499"/>
      <c r="Z24" s="499"/>
      <c r="AA24" s="499"/>
      <c r="AB24" s="499"/>
      <c r="AC24" s="499"/>
      <c r="AD24" s="499"/>
      <c r="AE24" s="499"/>
      <c r="AF24" s="499"/>
      <c r="AG24" s="499"/>
      <c r="AH24" s="499"/>
      <c r="AJ24" s="1012"/>
      <c r="AK24" s="1009"/>
    </row>
    <row r="25" spans="1:37" hidden="1" outlineLevel="1">
      <c r="E25" s="479"/>
      <c r="F25" s="501"/>
      <c r="G25" s="502"/>
      <c r="J25" s="502"/>
      <c r="M25" s="502"/>
      <c r="P25" s="502"/>
      <c r="S25" s="502"/>
      <c r="V25" s="502"/>
      <c r="Y25" s="502"/>
      <c r="AB25" s="502"/>
      <c r="AE25" s="502"/>
      <c r="AH25" s="502"/>
      <c r="AJ25" s="1012"/>
      <c r="AK25" s="1009"/>
    </row>
    <row r="26" spans="1:37" hidden="1" outlineLevel="1">
      <c r="A26" s="479" t="s">
        <v>32</v>
      </c>
      <c r="E26" s="479"/>
      <c r="F26" s="501"/>
      <c r="G26" s="502"/>
      <c r="J26" s="502"/>
      <c r="M26" s="502"/>
      <c r="P26" s="502"/>
      <c r="S26" s="502"/>
      <c r="V26" s="502"/>
      <c r="Y26" s="502"/>
      <c r="AB26" s="502"/>
      <c r="AE26" s="502"/>
      <c r="AH26" s="502"/>
      <c r="AJ26" s="1012"/>
      <c r="AK26" s="1009"/>
    </row>
    <row r="27" spans="1:37" hidden="1" outlineLevel="1">
      <c r="A27" s="479"/>
      <c r="E27" s="479"/>
      <c r="F27" s="501"/>
      <c r="G27" s="502"/>
      <c r="J27" s="502"/>
      <c r="M27" s="502"/>
      <c r="P27" s="502"/>
      <c r="S27" s="502"/>
      <c r="V27" s="502"/>
      <c r="Y27" s="502"/>
      <c r="AB27" s="502"/>
      <c r="AE27" s="502"/>
      <c r="AH27" s="502"/>
      <c r="AJ27" s="1012"/>
      <c r="AK27" s="1009"/>
    </row>
    <row r="28" spans="1:37" hidden="1" outlineLevel="1">
      <c r="A28" s="479" t="s">
        <v>33</v>
      </c>
      <c r="D28" s="503">
        <v>0.04</v>
      </c>
      <c r="E28" s="479"/>
      <c r="F28" s="501"/>
      <c r="G28" s="502"/>
      <c r="J28" s="502"/>
      <c r="M28" s="502"/>
      <c r="P28" s="502"/>
      <c r="S28" s="502"/>
      <c r="V28" s="502"/>
      <c r="Y28" s="502"/>
      <c r="AB28" s="502"/>
      <c r="AE28" s="502"/>
      <c r="AH28" s="502"/>
      <c r="AJ28" s="1012"/>
      <c r="AK28" s="1009"/>
    </row>
    <row r="29" spans="1:37" hidden="1" outlineLevel="1">
      <c r="A29" s="479" t="s">
        <v>34</v>
      </c>
      <c r="D29" s="504">
        <v>45566</v>
      </c>
      <c r="T29" s="505"/>
      <c r="U29" s="505"/>
      <c r="AI29" s="470"/>
      <c r="AJ29" s="1012"/>
      <c r="AK29" s="1012"/>
    </row>
    <row r="30" spans="1:37" ht="30" hidden="1" outlineLevel="1">
      <c r="J30" s="506"/>
      <c r="K30" s="507"/>
      <c r="L30" s="507"/>
      <c r="M30" s="508" t="s">
        <v>35</v>
      </c>
      <c r="N30" s="507"/>
      <c r="O30" s="507"/>
      <c r="P30" s="507"/>
      <c r="Q30" s="507"/>
      <c r="R30" s="507"/>
      <c r="S30" s="509" t="s">
        <v>36</v>
      </c>
      <c r="T30" s="505"/>
      <c r="U30" s="505"/>
      <c r="Y30" s="506"/>
      <c r="Z30" s="507"/>
      <c r="AA30" s="507"/>
      <c r="AB30" s="508" t="s">
        <v>35</v>
      </c>
      <c r="AC30" s="507"/>
      <c r="AD30" s="507"/>
      <c r="AE30" s="507"/>
      <c r="AF30" s="507"/>
      <c r="AG30" s="507"/>
      <c r="AH30" s="509" t="s">
        <v>36</v>
      </c>
      <c r="AI30" s="470"/>
      <c r="AJ30" s="1012"/>
      <c r="AK30" s="1012"/>
    </row>
    <row r="31" spans="1:37" hidden="1" outlineLevel="1">
      <c r="B31" s="507"/>
      <c r="C31" s="510"/>
      <c r="D31" s="510"/>
      <c r="E31" s="511"/>
      <c r="F31" s="511"/>
      <c r="G31" s="511"/>
      <c r="H31" s="511"/>
      <c r="I31" s="511"/>
      <c r="J31" s="510"/>
      <c r="K31" s="510"/>
      <c r="L31" s="510"/>
      <c r="M31" s="512"/>
      <c r="N31" s="510"/>
      <c r="O31" s="510"/>
      <c r="P31" s="510"/>
      <c r="Q31" s="510"/>
      <c r="R31" s="510"/>
      <c r="S31" s="513"/>
      <c r="T31" s="505"/>
      <c r="U31" s="505"/>
      <c r="V31" s="511"/>
      <c r="W31" s="511"/>
      <c r="X31" s="511"/>
      <c r="Y31" s="510"/>
      <c r="Z31" s="510"/>
      <c r="AA31" s="510"/>
      <c r="AB31" s="512"/>
      <c r="AC31" s="510"/>
      <c r="AD31" s="510"/>
      <c r="AE31" s="510"/>
      <c r="AF31" s="510"/>
      <c r="AG31" s="510"/>
      <c r="AH31" s="513"/>
      <c r="AI31" s="470"/>
      <c r="AJ31" s="1012"/>
      <c r="AK31" s="1012"/>
    </row>
    <row r="32" spans="1:37" hidden="1" outlineLevel="1">
      <c r="B32" s="514" t="s">
        <v>22</v>
      </c>
      <c r="C32" s="515">
        <f>G21</f>
        <v>45292</v>
      </c>
      <c r="D32" s="515">
        <f>D29</f>
        <v>45566</v>
      </c>
      <c r="E32" s="516">
        <f>ROUND((D32-C32)/30,0)</f>
        <v>9</v>
      </c>
      <c r="F32" s="517" t="s">
        <v>37</v>
      </c>
      <c r="G32" s="518">
        <v>12</v>
      </c>
      <c r="H32" s="519"/>
      <c r="I32" s="519"/>
      <c r="J32" s="520" t="s">
        <v>38</v>
      </c>
      <c r="K32" s="520"/>
      <c r="L32" s="520"/>
      <c r="M32" s="521">
        <v>0</v>
      </c>
      <c r="N32" s="521"/>
      <c r="O32" s="521"/>
      <c r="P32" s="522">
        <f>E32/G32*M32</f>
        <v>0</v>
      </c>
      <c r="Q32" s="522"/>
      <c r="R32" s="522"/>
      <c r="S32" s="523"/>
      <c r="T32" s="524"/>
      <c r="U32" s="524"/>
      <c r="V32" s="518">
        <v>12</v>
      </c>
      <c r="W32" s="519"/>
      <c r="X32" s="519"/>
      <c r="Y32" s="520" t="s">
        <v>38</v>
      </c>
      <c r="Z32" s="520"/>
      <c r="AA32" s="520"/>
      <c r="AB32" s="521">
        <v>0</v>
      </c>
      <c r="AC32" s="521"/>
      <c r="AD32" s="521"/>
      <c r="AE32" s="522">
        <f>T32/V32*AB32</f>
        <v>0</v>
      </c>
      <c r="AF32" s="522"/>
      <c r="AG32" s="522"/>
      <c r="AH32" s="523"/>
      <c r="AJ32" s="1012"/>
      <c r="AK32" s="1012"/>
    </row>
    <row r="33" spans="1:37" hidden="1" outlineLevel="1">
      <c r="B33" s="525"/>
      <c r="C33" s="526"/>
      <c r="D33" s="526"/>
      <c r="E33" s="527">
        <f>12-E32</f>
        <v>3</v>
      </c>
      <c r="F33" s="528" t="s">
        <v>37</v>
      </c>
      <c r="G33" s="529">
        <v>12</v>
      </c>
      <c r="H33" s="530"/>
      <c r="I33" s="530"/>
      <c r="J33" s="531" t="s">
        <v>38</v>
      </c>
      <c r="K33" s="531"/>
      <c r="L33" s="531"/>
      <c r="M33" s="532">
        <f>IF(M32=0,D28,SUM(M32+1)*SUM(1+D28)-1)</f>
        <v>0.04</v>
      </c>
      <c r="N33" s="532"/>
      <c r="O33" s="532"/>
      <c r="P33" s="532">
        <f>E33/G33*M33</f>
        <v>0.01</v>
      </c>
      <c r="Q33" s="532"/>
      <c r="R33" s="532"/>
      <c r="S33" s="533">
        <f>SUM(1+SUM(P32:P33))</f>
        <v>1.01</v>
      </c>
      <c r="T33" s="524"/>
      <c r="U33" s="524"/>
      <c r="V33" s="529">
        <v>12</v>
      </c>
      <c r="W33" s="530"/>
      <c r="X33" s="530"/>
      <c r="Y33" s="531" t="s">
        <v>38</v>
      </c>
      <c r="Z33" s="531"/>
      <c r="AA33" s="531"/>
      <c r="AB33" s="532">
        <f>IF(AB32=0,S28,SUM(AB32+1)*SUM(1+S28)-1)</f>
        <v>0</v>
      </c>
      <c r="AC33" s="532"/>
      <c r="AD33" s="532"/>
      <c r="AE33" s="532">
        <f>T33/V33*AB33</f>
        <v>0</v>
      </c>
      <c r="AF33" s="532"/>
      <c r="AG33" s="532"/>
      <c r="AH33" s="533">
        <f>SUM(1+SUM(AE32:AE33))</f>
        <v>1</v>
      </c>
      <c r="AJ33" s="1012"/>
      <c r="AK33" s="1012"/>
    </row>
    <row r="34" spans="1:37" hidden="1" outlineLevel="1">
      <c r="G34" s="470"/>
      <c r="H34" s="470"/>
      <c r="I34" s="470"/>
      <c r="T34" s="502"/>
      <c r="U34" s="502"/>
      <c r="V34" s="470"/>
      <c r="W34" s="470"/>
      <c r="X34" s="470"/>
      <c r="AJ34" s="1012"/>
      <c r="AK34" s="1012"/>
    </row>
    <row r="35" spans="1:37" hidden="1" outlineLevel="1">
      <c r="A35" s="479" t="s">
        <v>39</v>
      </c>
      <c r="E35" s="479"/>
      <c r="G35" s="481"/>
      <c r="H35" s="482"/>
      <c r="I35" s="482"/>
      <c r="J35" s="481"/>
      <c r="K35" s="482"/>
      <c r="L35" s="482"/>
      <c r="M35" s="481"/>
      <c r="N35" s="481"/>
      <c r="O35" s="482"/>
      <c r="P35" s="481"/>
      <c r="Q35" s="481"/>
      <c r="R35" s="482"/>
      <c r="S35" s="481"/>
      <c r="V35" s="481"/>
      <c r="W35" s="482"/>
      <c r="X35" s="482"/>
      <c r="Y35" s="481"/>
      <c r="Z35" s="482"/>
      <c r="AA35" s="482"/>
      <c r="AB35" s="481"/>
      <c r="AC35" s="481"/>
      <c r="AD35" s="482"/>
      <c r="AE35" s="481"/>
      <c r="AF35" s="481"/>
      <c r="AG35" s="482"/>
      <c r="AH35" s="481"/>
      <c r="AJ35" s="1012"/>
      <c r="AK35" s="1012"/>
    </row>
    <row r="36" spans="1:37" hidden="1" outlineLevel="1">
      <c r="E36" s="479"/>
      <c r="F36" s="501"/>
      <c r="G36" s="502"/>
      <c r="J36" s="502"/>
      <c r="M36" s="502"/>
      <c r="P36" s="502"/>
      <c r="S36" s="502"/>
      <c r="V36" s="502"/>
      <c r="Y36" s="502"/>
      <c r="AB36" s="502"/>
      <c r="AE36" s="502"/>
      <c r="AH36" s="502"/>
      <c r="AJ36" s="1012"/>
      <c r="AK36" s="1012"/>
    </row>
    <row r="37" spans="1:37" hidden="1" outlineLevel="1">
      <c r="A37" s="479" t="s">
        <v>33</v>
      </c>
      <c r="D37" s="503">
        <v>0.05</v>
      </c>
      <c r="E37" s="479"/>
      <c r="F37" s="501"/>
      <c r="G37" s="502"/>
      <c r="J37" s="502"/>
      <c r="M37" s="502"/>
      <c r="P37" s="502"/>
      <c r="S37" s="502"/>
      <c r="V37" s="502"/>
      <c r="Y37" s="502"/>
      <c r="AB37" s="502"/>
      <c r="AE37" s="502"/>
      <c r="AH37" s="502"/>
      <c r="AJ37" s="1012"/>
      <c r="AK37" s="1012"/>
    </row>
    <row r="38" spans="1:37" hidden="1" outlineLevel="1">
      <c r="A38" s="479" t="s">
        <v>34</v>
      </c>
      <c r="D38" s="504">
        <v>45474</v>
      </c>
      <c r="T38" s="505"/>
      <c r="U38" s="505"/>
      <c r="AI38" s="470"/>
      <c r="AJ38" s="1012"/>
      <c r="AK38" s="1012"/>
    </row>
    <row r="39" spans="1:37" ht="30" hidden="1" outlineLevel="1">
      <c r="J39" s="506"/>
      <c r="K39" s="507"/>
      <c r="L39" s="507"/>
      <c r="M39" s="508" t="s">
        <v>35</v>
      </c>
      <c r="N39" s="507"/>
      <c r="O39" s="507"/>
      <c r="P39" s="507"/>
      <c r="Q39" s="507"/>
      <c r="R39" s="507"/>
      <c r="S39" s="509" t="s">
        <v>36</v>
      </c>
      <c r="T39" s="505"/>
      <c r="U39" s="505"/>
      <c r="Y39" s="506"/>
      <c r="Z39" s="507"/>
      <c r="AA39" s="507"/>
      <c r="AB39" s="508" t="s">
        <v>35</v>
      </c>
      <c r="AC39" s="507"/>
      <c r="AD39" s="507"/>
      <c r="AE39" s="507"/>
      <c r="AF39" s="507"/>
      <c r="AG39" s="507"/>
      <c r="AH39" s="509" t="s">
        <v>36</v>
      </c>
      <c r="AI39" s="470"/>
      <c r="AJ39" s="1012"/>
      <c r="AK39" s="1012"/>
    </row>
    <row r="40" spans="1:37" hidden="1" outlineLevel="1">
      <c r="B40" s="507"/>
      <c r="C40" s="507"/>
      <c r="D40" s="507"/>
      <c r="E40" s="534"/>
      <c r="F40" s="534"/>
      <c r="G40" s="534"/>
      <c r="H40" s="534"/>
      <c r="I40" s="534"/>
      <c r="J40" s="507"/>
      <c r="K40" s="507"/>
      <c r="L40" s="507"/>
      <c r="M40" s="508"/>
      <c r="N40" s="507"/>
      <c r="O40" s="507"/>
      <c r="P40" s="507"/>
      <c r="Q40" s="507"/>
      <c r="R40" s="507"/>
      <c r="S40" s="509"/>
      <c r="T40" s="505"/>
      <c r="U40" s="505"/>
      <c r="V40" s="534"/>
      <c r="W40" s="534"/>
      <c r="X40" s="534"/>
      <c r="Y40" s="507"/>
      <c r="Z40" s="507"/>
      <c r="AA40" s="507"/>
      <c r="AB40" s="508"/>
      <c r="AC40" s="507"/>
      <c r="AD40" s="507"/>
      <c r="AE40" s="507"/>
      <c r="AF40" s="507"/>
      <c r="AG40" s="507"/>
      <c r="AH40" s="509"/>
      <c r="AI40" s="470"/>
      <c r="AJ40" s="1012"/>
      <c r="AK40" s="1012"/>
    </row>
    <row r="41" spans="1:37" hidden="1" outlineLevel="1">
      <c r="B41" s="514" t="s">
        <v>22</v>
      </c>
      <c r="C41" s="535">
        <f>G21</f>
        <v>45292</v>
      </c>
      <c r="D41" s="515">
        <f>D38</f>
        <v>45474</v>
      </c>
      <c r="E41" s="516">
        <f>ROUND((D41-C41)/30,0)</f>
        <v>6</v>
      </c>
      <c r="F41" s="517" t="s">
        <v>37</v>
      </c>
      <c r="G41" s="518">
        <v>12</v>
      </c>
      <c r="H41" s="519"/>
      <c r="I41" s="519"/>
      <c r="J41" s="520" t="s">
        <v>38</v>
      </c>
      <c r="K41" s="520"/>
      <c r="L41" s="520"/>
      <c r="M41" s="521">
        <v>0</v>
      </c>
      <c r="N41" s="521"/>
      <c r="O41" s="521"/>
      <c r="P41" s="522">
        <f>E41/G41*M41</f>
        <v>0</v>
      </c>
      <c r="Q41" s="522"/>
      <c r="R41" s="522"/>
      <c r="S41" s="523"/>
      <c r="T41" s="524"/>
      <c r="U41" s="524"/>
      <c r="V41" s="518">
        <v>12</v>
      </c>
      <c r="W41" s="519"/>
      <c r="X41" s="519"/>
      <c r="Y41" s="520" t="s">
        <v>38</v>
      </c>
      <c r="Z41" s="520"/>
      <c r="AA41" s="520"/>
      <c r="AB41" s="521">
        <v>0</v>
      </c>
      <c r="AC41" s="521"/>
      <c r="AD41" s="521"/>
      <c r="AE41" s="522">
        <f>T41/V41*AB41</f>
        <v>0</v>
      </c>
      <c r="AF41" s="522"/>
      <c r="AG41" s="522"/>
      <c r="AH41" s="523"/>
      <c r="AJ41" s="1012"/>
      <c r="AK41" s="1012"/>
    </row>
    <row r="42" spans="1:37" hidden="1" outlineLevel="1">
      <c r="B42" s="525"/>
      <c r="C42" s="536"/>
      <c r="D42" s="526"/>
      <c r="E42" s="527">
        <f>12-E41</f>
        <v>6</v>
      </c>
      <c r="F42" s="528" t="s">
        <v>37</v>
      </c>
      <c r="G42" s="529">
        <v>12</v>
      </c>
      <c r="H42" s="530"/>
      <c r="I42" s="530"/>
      <c r="J42" s="531" t="s">
        <v>38</v>
      </c>
      <c r="K42" s="531"/>
      <c r="L42" s="531"/>
      <c r="M42" s="532">
        <f>IF(M41=0,D37,SUM(M41+1)*SUM(1+D38)-1)</f>
        <v>0.05</v>
      </c>
      <c r="N42" s="532"/>
      <c r="O42" s="532"/>
      <c r="P42" s="532">
        <f>E42/G42*M42</f>
        <v>2.5000000000000001E-2</v>
      </c>
      <c r="Q42" s="532"/>
      <c r="R42" s="532"/>
      <c r="S42" s="533">
        <f>SUM(1+SUM(P41:P42))</f>
        <v>1.0249999999999999</v>
      </c>
      <c r="T42" s="524"/>
      <c r="U42" s="524"/>
      <c r="V42" s="529">
        <v>12</v>
      </c>
      <c r="W42" s="530"/>
      <c r="X42" s="530"/>
      <c r="Y42" s="531" t="s">
        <v>38</v>
      </c>
      <c r="Z42" s="531"/>
      <c r="AA42" s="531"/>
      <c r="AB42" s="532">
        <f>IF(AB41=0,S37,SUM(AB41+1)*SUM(1+S38)-1)</f>
        <v>0</v>
      </c>
      <c r="AC42" s="532"/>
      <c r="AD42" s="532"/>
      <c r="AE42" s="532">
        <f>T42/V42*AB42</f>
        <v>0</v>
      </c>
      <c r="AF42" s="532"/>
      <c r="AG42" s="532"/>
      <c r="AH42" s="533">
        <f>SUM(1+SUM(AE41:AE42))</f>
        <v>1</v>
      </c>
      <c r="AJ42" s="1012"/>
      <c r="AK42" s="1012"/>
    </row>
    <row r="43" spans="1:37" hidden="1" outlineLevel="1">
      <c r="G43" s="470"/>
      <c r="H43" s="470"/>
      <c r="I43" s="470"/>
      <c r="T43" s="502"/>
      <c r="U43" s="502"/>
      <c r="V43" s="470"/>
      <c r="W43" s="470"/>
      <c r="X43" s="470"/>
      <c r="AJ43" s="1012"/>
      <c r="AK43" s="1012"/>
    </row>
    <row r="44" spans="1:37" collapsed="1">
      <c r="A44" s="477"/>
      <c r="C44" s="537"/>
      <c r="D44" s="537"/>
      <c r="J44" s="492"/>
      <c r="K44" s="492"/>
      <c r="L44" s="492"/>
      <c r="M44" s="470"/>
      <c r="N44" s="470"/>
      <c r="O44" s="470"/>
      <c r="P44" s="470"/>
      <c r="Q44" s="470"/>
      <c r="R44" s="470"/>
      <c r="S44" s="524"/>
      <c r="T44" s="524"/>
      <c r="U44" s="524"/>
      <c r="Y44" s="492"/>
      <c r="Z44" s="492"/>
      <c r="AA44" s="492"/>
      <c r="AB44" s="470"/>
      <c r="AC44" s="470"/>
      <c r="AD44" s="470"/>
      <c r="AE44" s="470"/>
      <c r="AF44" s="470"/>
      <c r="AG44" s="470"/>
      <c r="AH44" s="524"/>
      <c r="AJ44" s="1013"/>
      <c r="AK44" s="1012"/>
    </row>
    <row r="46" spans="1:37">
      <c r="B46" s="538" t="s">
        <v>40</v>
      </c>
      <c r="C46" s="539" t="s">
        <v>41</v>
      </c>
      <c r="D46" s="539" t="s">
        <v>42</v>
      </c>
      <c r="E46" s="539" t="s">
        <v>43</v>
      </c>
      <c r="F46" s="549"/>
      <c r="G46" s="541"/>
      <c r="H46" s="541"/>
      <c r="I46" s="541"/>
      <c r="J46" s="541"/>
      <c r="K46" s="541"/>
      <c r="L46" s="541"/>
      <c r="V46" s="541"/>
      <c r="W46" s="541"/>
      <c r="X46" s="541"/>
      <c r="Y46" s="541"/>
      <c r="Z46" s="541"/>
      <c r="AA46" s="541"/>
    </row>
    <row r="47" spans="1:37">
      <c r="B47" s="922" t="s">
        <v>44</v>
      </c>
      <c r="C47" s="550"/>
      <c r="D47" s="541"/>
      <c r="F47" s="506"/>
      <c r="H47" s="541"/>
      <c r="I47" s="541"/>
      <c r="J47" s="541"/>
      <c r="K47" s="541"/>
      <c r="L47" s="541"/>
      <c r="W47" s="541"/>
      <c r="X47" s="541"/>
      <c r="Y47" s="541"/>
      <c r="Z47" s="541"/>
      <c r="AA47" s="541"/>
    </row>
    <row r="48" spans="1:37">
      <c r="B48" s="543" t="s">
        <v>45</v>
      </c>
      <c r="C48" s="551" t="s">
        <v>46</v>
      </c>
      <c r="D48" s="920"/>
      <c r="E48" s="541" t="s">
        <v>47</v>
      </c>
      <c r="F48" s="552"/>
      <c r="K48" s="541"/>
      <c r="L48" s="541"/>
      <c r="Z48" s="541"/>
      <c r="AA48" s="541"/>
    </row>
    <row r="49" spans="2:34">
      <c r="B49" s="543" t="s">
        <v>48</v>
      </c>
      <c r="C49" s="551" t="s">
        <v>49</v>
      </c>
      <c r="D49" s="921">
        <v>200</v>
      </c>
      <c r="E49" s="541" t="s">
        <v>50</v>
      </c>
      <c r="F49" s="552"/>
      <c r="K49" s="541"/>
      <c r="L49" s="541"/>
      <c r="Z49" s="541"/>
      <c r="AA49" s="541"/>
    </row>
    <row r="50" spans="2:34">
      <c r="B50" s="543" t="s">
        <v>51</v>
      </c>
      <c r="C50" s="551" t="s">
        <v>52</v>
      </c>
      <c r="D50" s="921">
        <v>119</v>
      </c>
      <c r="E50" s="541" t="s">
        <v>53</v>
      </c>
      <c r="F50" s="552"/>
      <c r="K50" s="541"/>
      <c r="L50" s="541"/>
      <c r="Z50" s="541"/>
      <c r="AA50" s="541"/>
    </row>
    <row r="51" spans="2:34">
      <c r="B51" s="543" t="s">
        <v>54</v>
      </c>
      <c r="C51" s="551" t="s">
        <v>55</v>
      </c>
      <c r="D51" s="921"/>
      <c r="E51" s="541" t="s">
        <v>56</v>
      </c>
      <c r="F51" s="552"/>
      <c r="K51" s="541"/>
      <c r="L51" s="541"/>
      <c r="Z51" s="541"/>
      <c r="AA51" s="541"/>
    </row>
    <row r="52" spans="2:34">
      <c r="B52" s="543" t="s">
        <v>57</v>
      </c>
      <c r="C52" s="551" t="s">
        <v>58</v>
      </c>
      <c r="D52" s="921">
        <v>150</v>
      </c>
      <c r="E52" s="541"/>
      <c r="F52" s="552"/>
      <c r="K52" s="541"/>
      <c r="L52" s="541"/>
      <c r="Z52" s="541"/>
      <c r="AA52" s="541"/>
    </row>
    <row r="53" spans="2:34">
      <c r="B53" s="543" t="s">
        <v>59</v>
      </c>
      <c r="C53" s="551" t="s">
        <v>60</v>
      </c>
      <c r="D53" s="921">
        <v>150</v>
      </c>
      <c r="E53" s="541"/>
      <c r="F53" s="552"/>
      <c r="K53" s="541"/>
      <c r="L53" s="541"/>
      <c r="Z53" s="541"/>
      <c r="AA53" s="541"/>
    </row>
    <row r="54" spans="2:34">
      <c r="B54" s="543" t="s">
        <v>61</v>
      </c>
      <c r="C54" s="551" t="s">
        <v>62</v>
      </c>
      <c r="D54" s="921"/>
      <c r="E54" s="541"/>
      <c r="F54" s="552"/>
      <c r="K54" s="541"/>
      <c r="L54" s="541"/>
      <c r="Z54" s="541"/>
      <c r="AA54" s="541"/>
    </row>
    <row r="55" spans="2:34">
      <c r="B55" s="543" t="s">
        <v>63</v>
      </c>
      <c r="C55" s="551" t="s">
        <v>64</v>
      </c>
      <c r="D55" s="921"/>
      <c r="E55" s="541" t="s">
        <v>65</v>
      </c>
      <c r="F55" s="552"/>
      <c r="K55" s="541"/>
      <c r="L55" s="541"/>
      <c r="Z55" s="541"/>
      <c r="AA55" s="541"/>
    </row>
    <row r="56" spans="2:34">
      <c r="B56" s="545" t="s">
        <v>66</v>
      </c>
      <c r="C56" s="553" t="s">
        <v>67</v>
      </c>
      <c r="D56" s="921"/>
      <c r="E56" s="554"/>
      <c r="F56" s="555"/>
      <c r="K56" s="541"/>
      <c r="L56" s="541"/>
      <c r="M56" s="541"/>
      <c r="Z56" s="541"/>
      <c r="AA56" s="541"/>
      <c r="AB56" s="541"/>
    </row>
    <row r="57" spans="2:34">
      <c r="B57" s="541"/>
      <c r="C57" s="541"/>
      <c r="D57" s="541"/>
      <c r="E57" s="541"/>
      <c r="F57" s="541"/>
      <c r="G57" s="541"/>
      <c r="H57" s="541"/>
      <c r="I57" s="541"/>
      <c r="J57" s="541"/>
      <c r="K57" s="541"/>
      <c r="L57" s="541"/>
      <c r="V57" s="541"/>
      <c r="W57" s="541"/>
      <c r="X57" s="541"/>
      <c r="Y57" s="541"/>
      <c r="Z57" s="541"/>
      <c r="AA57" s="541"/>
    </row>
    <row r="59" spans="2:34">
      <c r="B59" s="538" t="s">
        <v>68</v>
      </c>
      <c r="C59" s="558"/>
      <c r="D59" s="558"/>
      <c r="E59" s="558"/>
      <c r="F59" s="540"/>
      <c r="G59" s="541"/>
      <c r="H59" s="541"/>
      <c r="I59" s="541"/>
      <c r="J59" s="541"/>
      <c r="K59" s="541"/>
      <c r="L59" s="541"/>
      <c r="M59" s="524"/>
      <c r="N59" s="524"/>
      <c r="O59" s="524"/>
      <c r="P59" s="524"/>
      <c r="Q59" s="524"/>
      <c r="R59" s="524"/>
      <c r="S59" s="548"/>
      <c r="T59" s="548"/>
      <c r="U59" s="548"/>
      <c r="V59" s="541"/>
      <c r="W59" s="541"/>
      <c r="X59" s="541"/>
      <c r="Y59" s="541"/>
      <c r="Z59" s="541"/>
      <c r="AA59" s="541"/>
      <c r="AB59" s="524"/>
      <c r="AC59" s="524"/>
      <c r="AD59" s="524"/>
      <c r="AE59" s="524"/>
      <c r="AF59" s="524"/>
      <c r="AG59" s="524"/>
      <c r="AH59" s="548"/>
    </row>
    <row r="60" spans="2:34">
      <c r="B60" s="556"/>
      <c r="C60" s="558"/>
      <c r="D60" s="558"/>
      <c r="E60" s="558"/>
      <c r="F60" s="558"/>
      <c r="G60" s="541"/>
      <c r="H60" s="541"/>
      <c r="I60" s="541"/>
      <c r="J60" s="541"/>
      <c r="K60" s="541"/>
      <c r="L60" s="541"/>
      <c r="M60" s="524"/>
      <c r="N60" s="524"/>
      <c r="O60" s="524"/>
      <c r="P60" s="524"/>
      <c r="Q60" s="524"/>
      <c r="R60" s="524"/>
      <c r="S60" s="548"/>
      <c r="T60" s="548"/>
      <c r="U60" s="548"/>
      <c r="V60" s="541"/>
      <c r="W60" s="541"/>
      <c r="X60" s="541"/>
      <c r="Y60" s="541"/>
      <c r="Z60" s="541"/>
      <c r="AA60" s="541"/>
      <c r="AB60" s="524"/>
      <c r="AC60" s="524"/>
      <c r="AD60" s="524"/>
      <c r="AE60" s="524"/>
      <c r="AF60" s="524"/>
      <c r="AG60" s="524"/>
      <c r="AH60" s="548"/>
    </row>
    <row r="61" spans="2:34">
      <c r="B61" s="559" t="s">
        <v>69</v>
      </c>
      <c r="C61" s="539"/>
      <c r="D61" s="539" t="s">
        <v>48</v>
      </c>
      <c r="E61" s="539" t="s">
        <v>70</v>
      </c>
      <c r="F61" s="539" t="s">
        <v>71</v>
      </c>
      <c r="G61" s="541"/>
      <c r="H61" s="541"/>
      <c r="I61" s="541"/>
      <c r="J61" s="541"/>
      <c r="K61" s="541"/>
      <c r="L61" s="541"/>
      <c r="M61" s="524"/>
      <c r="N61" s="524"/>
      <c r="O61" s="524"/>
      <c r="P61" s="524"/>
      <c r="Q61" s="524"/>
      <c r="R61" s="524"/>
      <c r="S61" s="548"/>
      <c r="T61" s="548"/>
      <c r="U61" s="548"/>
      <c r="V61" s="541"/>
      <c r="W61" s="541"/>
      <c r="X61" s="541"/>
      <c r="Y61" s="541"/>
      <c r="Z61" s="541"/>
      <c r="AA61" s="541"/>
      <c r="AB61" s="524"/>
      <c r="AC61" s="524"/>
      <c r="AD61" s="524"/>
      <c r="AE61" s="524"/>
      <c r="AF61" s="524"/>
      <c r="AG61" s="524"/>
      <c r="AH61" s="548"/>
    </row>
    <row r="62" spans="2:34">
      <c r="B62" s="560" t="s">
        <v>44</v>
      </c>
      <c r="C62" s="561"/>
      <c r="D62" s="562">
        <f>190*50%</f>
        <v>95</v>
      </c>
      <c r="E62" s="562">
        <f>105*50%</f>
        <v>52.5</v>
      </c>
      <c r="F62" s="563">
        <f>SUM(D62:E62)</f>
        <v>147.5</v>
      </c>
      <c r="H62" s="541"/>
      <c r="I62" s="541"/>
      <c r="J62" s="541"/>
      <c r="K62" s="541"/>
      <c r="L62" s="541"/>
      <c r="W62" s="541"/>
      <c r="X62" s="541"/>
      <c r="Y62" s="541"/>
      <c r="Z62" s="541"/>
      <c r="AA62" s="541"/>
    </row>
    <row r="63" spans="2:34">
      <c r="B63" s="564" t="s">
        <v>72</v>
      </c>
      <c r="C63" s="565"/>
      <c r="D63" s="566">
        <f>122*50%</f>
        <v>61</v>
      </c>
      <c r="E63" s="566">
        <f>94*50%</f>
        <v>47</v>
      </c>
      <c r="F63" s="563">
        <f>SUM(D63:E63)</f>
        <v>108</v>
      </c>
      <c r="H63" s="541"/>
      <c r="I63" s="541"/>
      <c r="J63" s="541"/>
      <c r="K63" s="541"/>
      <c r="L63" s="541"/>
      <c r="M63" s="567"/>
      <c r="N63" s="567"/>
      <c r="O63" s="567"/>
      <c r="P63" s="567"/>
      <c r="W63" s="541"/>
      <c r="X63" s="541"/>
      <c r="Y63" s="541"/>
      <c r="Z63" s="541"/>
      <c r="AA63" s="541"/>
      <c r="AB63" s="567"/>
      <c r="AC63" s="567"/>
      <c r="AD63" s="567"/>
      <c r="AE63" s="567"/>
    </row>
    <row r="64" spans="2:34">
      <c r="B64" s="564" t="s">
        <v>73</v>
      </c>
      <c r="C64" s="565"/>
      <c r="D64" s="566">
        <f>122*50%</f>
        <v>61</v>
      </c>
      <c r="E64" s="566">
        <f>94*50%</f>
        <v>47</v>
      </c>
      <c r="F64" s="563">
        <f>SUM(D64:E64)</f>
        <v>108</v>
      </c>
      <c r="H64" s="541"/>
      <c r="I64" s="541"/>
      <c r="J64" s="541"/>
      <c r="K64" s="541"/>
      <c r="L64" s="541"/>
      <c r="M64" s="568"/>
      <c r="N64" s="567"/>
      <c r="O64" s="567"/>
      <c r="P64" s="567"/>
      <c r="Q64" s="569">
        <v>39114</v>
      </c>
      <c r="W64" s="541"/>
      <c r="X64" s="541"/>
      <c r="Y64" s="541"/>
      <c r="Z64" s="541"/>
      <c r="AA64" s="541"/>
      <c r="AB64" s="568"/>
      <c r="AC64" s="567"/>
      <c r="AD64" s="567"/>
      <c r="AE64" s="567"/>
      <c r="AF64" s="569">
        <v>39114</v>
      </c>
    </row>
    <row r="65" spans="2:32">
      <c r="B65" s="564" t="s">
        <v>74</v>
      </c>
      <c r="C65" s="565"/>
      <c r="D65" s="570">
        <f>AVERAGE(D62:D64)</f>
        <v>72.333333333333329</v>
      </c>
      <c r="E65" s="570">
        <f>AVERAGE(E62:E64)</f>
        <v>48.833333333333336</v>
      </c>
      <c r="F65" s="563">
        <f>SUM(D65:E65)</f>
        <v>121.16666666666666</v>
      </c>
      <c r="H65" s="541"/>
      <c r="I65" s="541"/>
      <c r="J65" s="541"/>
      <c r="K65" s="541"/>
      <c r="L65" s="541"/>
      <c r="M65" s="568"/>
      <c r="N65" s="567"/>
      <c r="O65" s="567"/>
      <c r="P65" s="567"/>
      <c r="Q65" s="569">
        <v>39114</v>
      </c>
      <c r="W65" s="541"/>
      <c r="X65" s="541"/>
      <c r="Y65" s="541"/>
      <c r="Z65" s="541"/>
      <c r="AA65" s="541"/>
      <c r="AB65" s="568"/>
      <c r="AC65" s="567"/>
      <c r="AD65" s="567"/>
      <c r="AE65" s="567"/>
      <c r="AF65" s="569">
        <v>39114</v>
      </c>
    </row>
    <row r="66" spans="2:32">
      <c r="B66" s="571" t="s">
        <v>75</v>
      </c>
      <c r="C66" s="572" t="s">
        <v>76</v>
      </c>
      <c r="D66" s="566">
        <v>0</v>
      </c>
      <c r="E66" s="573" t="s">
        <v>53</v>
      </c>
      <c r="F66" s="563"/>
      <c r="H66" s="541"/>
      <c r="I66" s="541"/>
      <c r="J66" s="541"/>
      <c r="K66" s="541"/>
      <c r="L66" s="541"/>
      <c r="M66" s="568"/>
      <c r="N66" s="567"/>
      <c r="O66" s="567"/>
      <c r="P66" s="567"/>
      <c r="Q66" s="569">
        <v>39114</v>
      </c>
      <c r="W66" s="541"/>
      <c r="X66" s="541"/>
      <c r="Y66" s="541"/>
      <c r="Z66" s="541"/>
      <c r="AA66" s="541"/>
      <c r="AB66" s="568"/>
      <c r="AC66" s="567"/>
      <c r="AD66" s="567"/>
      <c r="AE66" s="567"/>
      <c r="AF66" s="569">
        <v>39114</v>
      </c>
    </row>
    <row r="67" spans="2:32">
      <c r="B67" s="571" t="s">
        <v>77</v>
      </c>
      <c r="C67" s="572" t="s">
        <v>78</v>
      </c>
      <c r="D67" s="566">
        <v>0</v>
      </c>
      <c r="E67" s="573" t="s">
        <v>53</v>
      </c>
      <c r="F67" s="563"/>
      <c r="H67" s="541"/>
      <c r="I67" s="541"/>
      <c r="J67" s="541"/>
      <c r="K67" s="541"/>
      <c r="L67" s="541"/>
      <c r="M67" s="568"/>
      <c r="N67" s="567"/>
      <c r="O67" s="567"/>
      <c r="P67" s="567"/>
      <c r="Q67" s="569">
        <v>39114</v>
      </c>
      <c r="W67" s="541"/>
      <c r="X67" s="541"/>
      <c r="Y67" s="541"/>
      <c r="Z67" s="541"/>
      <c r="AA67" s="541"/>
      <c r="AB67" s="568"/>
      <c r="AC67" s="567"/>
      <c r="AD67" s="567"/>
      <c r="AE67" s="567"/>
      <c r="AF67" s="569">
        <v>39114</v>
      </c>
    </row>
    <row r="68" spans="2:32">
      <c r="B68" s="571" t="s">
        <v>79</v>
      </c>
      <c r="C68" s="572" t="s">
        <v>80</v>
      </c>
      <c r="D68" s="566">
        <v>0</v>
      </c>
      <c r="E68" s="573" t="s">
        <v>81</v>
      </c>
      <c r="F68" s="563"/>
      <c r="H68" s="541"/>
      <c r="I68" s="541"/>
      <c r="J68" s="541"/>
      <c r="K68" s="541"/>
      <c r="L68" s="541"/>
      <c r="M68" s="568"/>
      <c r="N68" s="567"/>
      <c r="O68" s="567"/>
      <c r="P68" s="567"/>
      <c r="Q68" s="569">
        <v>39114</v>
      </c>
      <c r="W68" s="541"/>
      <c r="X68" s="541"/>
      <c r="Y68" s="541"/>
      <c r="Z68" s="541"/>
      <c r="AA68" s="541"/>
      <c r="AB68" s="568"/>
      <c r="AC68" s="567"/>
      <c r="AD68" s="567"/>
      <c r="AE68" s="567"/>
      <c r="AF68" s="569">
        <v>39114</v>
      </c>
    </row>
    <row r="69" spans="2:32">
      <c r="B69" s="571" t="s">
        <v>45</v>
      </c>
      <c r="C69" s="557" t="s">
        <v>82</v>
      </c>
      <c r="D69" s="574">
        <v>175</v>
      </c>
      <c r="E69" s="558" t="s">
        <v>47</v>
      </c>
      <c r="F69" s="540"/>
      <c r="H69" s="541"/>
      <c r="I69" s="541"/>
      <c r="J69" s="541"/>
      <c r="K69" s="541"/>
      <c r="L69" s="541"/>
      <c r="W69" s="541"/>
      <c r="X69" s="541"/>
      <c r="Y69" s="541"/>
      <c r="Z69" s="541"/>
      <c r="AA69" s="541"/>
    </row>
    <row r="70" spans="2:32">
      <c r="F70" s="575"/>
      <c r="H70" s="541"/>
      <c r="I70" s="541"/>
      <c r="J70" s="541"/>
      <c r="K70" s="541"/>
      <c r="L70" s="541"/>
      <c r="W70" s="541"/>
      <c r="X70" s="541"/>
      <c r="Y70" s="541"/>
      <c r="Z70" s="541"/>
      <c r="AA70" s="541"/>
    </row>
    <row r="71" spans="2:32">
      <c r="B71" s="559" t="s">
        <v>83</v>
      </c>
      <c r="C71" s="539" t="s">
        <v>41</v>
      </c>
      <c r="D71" s="539" t="s">
        <v>42</v>
      </c>
      <c r="E71" s="539" t="s">
        <v>43</v>
      </c>
      <c r="F71" s="539"/>
      <c r="H71" s="576"/>
      <c r="I71" s="541"/>
      <c r="W71" s="576"/>
      <c r="X71" s="541"/>
    </row>
    <row r="72" spans="2:32">
      <c r="B72" s="577" t="s">
        <v>84</v>
      </c>
      <c r="C72" s="578"/>
      <c r="D72" s="579"/>
      <c r="E72" s="578"/>
      <c r="F72" s="580"/>
      <c r="H72" s="576"/>
      <c r="I72" s="541"/>
      <c r="W72" s="576"/>
      <c r="X72" s="541"/>
    </row>
    <row r="73" spans="2:32">
      <c r="B73" s="581" t="s">
        <v>85</v>
      </c>
      <c r="C73" s="544" t="s">
        <v>86</v>
      </c>
      <c r="D73" s="923">
        <v>0</v>
      </c>
      <c r="E73" s="541" t="s">
        <v>87</v>
      </c>
      <c r="F73" s="552"/>
      <c r="G73" s="541"/>
      <c r="H73" s="541"/>
      <c r="I73" s="541"/>
      <c r="V73" s="541"/>
      <c r="W73" s="541"/>
      <c r="X73" s="541"/>
    </row>
    <row r="74" spans="2:32">
      <c r="B74" s="581" t="s">
        <v>88</v>
      </c>
      <c r="C74" s="544" t="s">
        <v>89</v>
      </c>
      <c r="D74" s="923">
        <v>0</v>
      </c>
      <c r="E74" s="541" t="s">
        <v>87</v>
      </c>
      <c r="F74" s="552"/>
      <c r="G74" s="541"/>
      <c r="H74" s="541"/>
      <c r="I74" s="541"/>
      <c r="V74" s="541"/>
      <c r="W74" s="541"/>
      <c r="X74" s="541"/>
    </row>
    <row r="75" spans="2:32">
      <c r="B75" s="581" t="s">
        <v>90</v>
      </c>
      <c r="C75" s="544" t="s">
        <v>91</v>
      </c>
      <c r="D75" s="923">
        <v>300</v>
      </c>
      <c r="E75" s="541" t="s">
        <v>87</v>
      </c>
      <c r="F75" s="552"/>
      <c r="G75" s="541"/>
      <c r="H75" s="541"/>
      <c r="I75" s="541"/>
      <c r="V75" s="541"/>
      <c r="W75" s="541"/>
      <c r="X75" s="541"/>
    </row>
    <row r="76" spans="2:32">
      <c r="B76" s="581" t="s">
        <v>92</v>
      </c>
      <c r="C76" s="544" t="s">
        <v>93</v>
      </c>
      <c r="D76" s="923">
        <v>0</v>
      </c>
      <c r="E76" s="541" t="s">
        <v>81</v>
      </c>
      <c r="F76" s="552"/>
      <c r="G76" s="541"/>
      <c r="H76" s="541"/>
      <c r="I76" s="541"/>
      <c r="V76" s="541"/>
      <c r="W76" s="541"/>
      <c r="X76" s="541"/>
    </row>
    <row r="77" spans="2:32">
      <c r="B77" s="581" t="s">
        <v>94</v>
      </c>
      <c r="C77" s="544" t="s">
        <v>95</v>
      </c>
      <c r="D77" s="923">
        <v>0</v>
      </c>
      <c r="E77" s="541" t="s">
        <v>81</v>
      </c>
      <c r="F77" s="552"/>
      <c r="G77" s="541"/>
      <c r="H77" s="541"/>
      <c r="I77" s="541"/>
      <c r="V77" s="541"/>
      <c r="W77" s="541"/>
      <c r="X77" s="541"/>
    </row>
    <row r="78" spans="2:32">
      <c r="B78" s="581" t="s">
        <v>48</v>
      </c>
      <c r="C78" s="544" t="s">
        <v>96</v>
      </c>
      <c r="D78" s="923">
        <v>0</v>
      </c>
      <c r="E78" s="541" t="s">
        <v>50</v>
      </c>
      <c r="F78" s="552"/>
      <c r="G78" s="541"/>
      <c r="H78" s="541"/>
      <c r="I78" s="541"/>
      <c r="V78" s="541"/>
      <c r="W78" s="541"/>
      <c r="X78" s="541"/>
    </row>
    <row r="79" spans="2:32">
      <c r="B79" s="581" t="s">
        <v>51</v>
      </c>
      <c r="C79" s="544" t="s">
        <v>97</v>
      </c>
      <c r="D79" s="923">
        <v>0</v>
      </c>
      <c r="E79" s="541" t="s">
        <v>53</v>
      </c>
      <c r="F79" s="552"/>
      <c r="G79" s="541"/>
      <c r="H79" s="541"/>
      <c r="I79" s="541"/>
      <c r="V79" s="541"/>
      <c r="W79" s="541"/>
      <c r="X79" s="541"/>
    </row>
    <row r="80" spans="2:32">
      <c r="B80" s="564" t="s">
        <v>98</v>
      </c>
      <c r="C80" s="546" t="s">
        <v>99</v>
      </c>
      <c r="D80" s="924">
        <v>0</v>
      </c>
      <c r="E80" s="547" t="s">
        <v>81</v>
      </c>
      <c r="F80" s="555"/>
      <c r="G80" s="541"/>
      <c r="H80" s="541"/>
      <c r="I80" s="541"/>
      <c r="V80" s="541"/>
      <c r="W80" s="541"/>
      <c r="X80" s="541"/>
    </row>
    <row r="81" spans="2:27">
      <c r="B81" s="577" t="s">
        <v>100</v>
      </c>
      <c r="C81" s="578"/>
      <c r="D81" s="925"/>
      <c r="E81" s="542"/>
      <c r="F81" s="582"/>
      <c r="G81" s="541"/>
      <c r="H81" s="541"/>
      <c r="I81" s="541"/>
      <c r="V81" s="541"/>
      <c r="W81" s="541"/>
      <c r="X81" s="541"/>
    </row>
    <row r="82" spans="2:27">
      <c r="B82" s="581" t="s">
        <v>101</v>
      </c>
      <c r="C82" s="541" t="s">
        <v>102</v>
      </c>
      <c r="D82" s="926">
        <v>4</v>
      </c>
      <c r="E82" s="541" t="s">
        <v>103</v>
      </c>
      <c r="F82" s="552"/>
      <c r="G82" s="541"/>
      <c r="H82" s="541"/>
      <c r="I82" s="541"/>
      <c r="J82" s="541"/>
      <c r="K82" s="541"/>
      <c r="L82" s="541"/>
      <c r="V82" s="541"/>
      <c r="W82" s="541"/>
      <c r="X82" s="541"/>
      <c r="Y82" s="541"/>
      <c r="Z82" s="541"/>
      <c r="AA82" s="541"/>
    </row>
    <row r="83" spans="2:27">
      <c r="B83" s="581" t="s">
        <v>45</v>
      </c>
      <c r="C83" s="541" t="s">
        <v>104</v>
      </c>
      <c r="D83" s="927">
        <v>175</v>
      </c>
      <c r="E83" s="541" t="s">
        <v>81</v>
      </c>
      <c r="F83" s="552"/>
      <c r="G83" s="541"/>
      <c r="H83" s="541"/>
      <c r="I83" s="541"/>
      <c r="V83" s="541"/>
      <c r="W83" s="541"/>
      <c r="X83" s="541"/>
    </row>
    <row r="84" spans="2:27">
      <c r="B84" s="581" t="s">
        <v>105</v>
      </c>
      <c r="C84" s="541" t="s">
        <v>106</v>
      </c>
      <c r="D84" s="926">
        <v>9</v>
      </c>
      <c r="E84" s="541" t="s">
        <v>81</v>
      </c>
      <c r="F84" s="552"/>
      <c r="G84" s="541"/>
      <c r="H84" s="541"/>
      <c r="I84" s="541"/>
      <c r="V84" s="541"/>
      <c r="W84" s="541"/>
      <c r="X84" s="541"/>
    </row>
    <row r="85" spans="2:27">
      <c r="B85" s="581" t="s">
        <v>48</v>
      </c>
      <c r="C85" s="541" t="s">
        <v>107</v>
      </c>
      <c r="D85" s="927">
        <v>25</v>
      </c>
      <c r="E85" s="541" t="s">
        <v>50</v>
      </c>
      <c r="F85" s="552"/>
      <c r="G85" s="541"/>
      <c r="H85" s="541"/>
      <c r="I85" s="541"/>
      <c r="V85" s="541"/>
      <c r="W85" s="541"/>
      <c r="X85" s="541"/>
    </row>
    <row r="86" spans="2:27">
      <c r="B86" s="581" t="s">
        <v>51</v>
      </c>
      <c r="C86" s="541" t="s">
        <v>108</v>
      </c>
      <c r="D86" s="926">
        <f>E64</f>
        <v>47</v>
      </c>
      <c r="E86" s="541" t="s">
        <v>53</v>
      </c>
      <c r="F86" s="552"/>
      <c r="G86" s="541"/>
      <c r="H86" s="541"/>
      <c r="I86" s="541"/>
      <c r="V86" s="541"/>
      <c r="W86" s="541"/>
      <c r="X86" s="541"/>
    </row>
    <row r="87" spans="2:27">
      <c r="B87" s="581" t="s">
        <v>109</v>
      </c>
      <c r="C87" s="541" t="s">
        <v>110</v>
      </c>
      <c r="D87" s="926">
        <v>12</v>
      </c>
      <c r="E87" s="541" t="s">
        <v>53</v>
      </c>
      <c r="F87" s="552"/>
      <c r="G87" s="541"/>
      <c r="H87" s="541"/>
      <c r="I87" s="541"/>
      <c r="V87" s="541"/>
      <c r="W87" s="541"/>
      <c r="X87" s="541"/>
    </row>
    <row r="88" spans="2:27">
      <c r="B88" s="564" t="s">
        <v>98</v>
      </c>
      <c r="C88" s="547" t="s">
        <v>111</v>
      </c>
      <c r="D88" s="926">
        <v>0</v>
      </c>
      <c r="E88" s="547" t="s">
        <v>81</v>
      </c>
      <c r="F88" s="555"/>
      <c r="G88" s="541"/>
      <c r="H88" s="541"/>
      <c r="I88" s="541"/>
      <c r="V88" s="541"/>
      <c r="W88" s="541"/>
      <c r="X88" s="541"/>
    </row>
    <row r="89" spans="2:27">
      <c r="B89" s="577" t="s">
        <v>112</v>
      </c>
      <c r="C89" s="578"/>
      <c r="D89" s="925"/>
      <c r="E89" s="542"/>
      <c r="F89" s="582"/>
      <c r="G89" s="541"/>
      <c r="H89" s="541"/>
      <c r="I89" s="541"/>
      <c r="V89" s="541"/>
      <c r="W89" s="541"/>
      <c r="X89" s="541"/>
    </row>
    <row r="90" spans="2:27">
      <c r="B90" s="581" t="s">
        <v>113</v>
      </c>
      <c r="C90" s="541" t="s">
        <v>114</v>
      </c>
      <c r="D90" s="927">
        <v>4</v>
      </c>
      <c r="E90" s="541" t="s">
        <v>115</v>
      </c>
      <c r="F90" s="552"/>
      <c r="G90" s="541"/>
      <c r="H90" s="541"/>
      <c r="I90" s="541"/>
      <c r="V90" s="541"/>
      <c r="W90" s="541"/>
      <c r="X90" s="541"/>
    </row>
    <row r="91" spans="2:27">
      <c r="B91" s="581" t="s">
        <v>116</v>
      </c>
      <c r="C91" s="541" t="s">
        <v>117</v>
      </c>
      <c r="D91" s="927">
        <v>12</v>
      </c>
      <c r="E91" s="541" t="s">
        <v>115</v>
      </c>
      <c r="F91" s="552"/>
      <c r="G91" s="541"/>
      <c r="H91" s="541"/>
      <c r="I91" s="541"/>
      <c r="V91" s="541"/>
      <c r="W91" s="541"/>
      <c r="X91" s="541"/>
    </row>
    <row r="92" spans="2:27">
      <c r="B92" s="581" t="s">
        <v>118</v>
      </c>
      <c r="C92" s="541" t="s">
        <v>119</v>
      </c>
      <c r="D92" s="927">
        <v>0</v>
      </c>
      <c r="E92" s="541" t="s">
        <v>53</v>
      </c>
      <c r="F92" s="552"/>
      <c r="G92" s="541"/>
      <c r="H92" s="541"/>
      <c r="I92" s="541"/>
      <c r="V92" s="541"/>
      <c r="W92" s="541"/>
      <c r="X92" s="541"/>
    </row>
    <row r="93" spans="2:27">
      <c r="B93" s="581" t="s">
        <v>120</v>
      </c>
      <c r="C93" s="541" t="s">
        <v>121</v>
      </c>
      <c r="D93" s="927">
        <v>0</v>
      </c>
      <c r="E93" s="541" t="s">
        <v>53</v>
      </c>
      <c r="F93" s="552"/>
      <c r="G93" s="541"/>
      <c r="H93" s="541"/>
      <c r="I93" s="541"/>
      <c r="V93" s="541"/>
      <c r="W93" s="541"/>
      <c r="X93" s="541"/>
    </row>
    <row r="94" spans="2:27">
      <c r="B94" s="581" t="s">
        <v>122</v>
      </c>
      <c r="C94" s="541" t="s">
        <v>123</v>
      </c>
      <c r="D94" s="927">
        <v>0</v>
      </c>
      <c r="E94" s="541" t="s">
        <v>124</v>
      </c>
      <c r="F94" s="552"/>
      <c r="G94" s="541"/>
      <c r="H94" s="541"/>
      <c r="I94" s="541"/>
      <c r="J94" s="541"/>
      <c r="K94" s="541"/>
      <c r="L94" s="541"/>
      <c r="V94" s="541"/>
      <c r="W94" s="541"/>
      <c r="X94" s="541"/>
      <c r="Y94" s="541"/>
      <c r="Z94" s="541"/>
      <c r="AA94" s="541"/>
    </row>
    <row r="95" spans="2:27">
      <c r="B95" s="581" t="s">
        <v>122</v>
      </c>
      <c r="C95" s="541" t="s">
        <v>125</v>
      </c>
      <c r="D95" s="927">
        <v>0</v>
      </c>
      <c r="E95" s="541" t="s">
        <v>126</v>
      </c>
      <c r="F95" s="552"/>
      <c r="G95" s="541"/>
      <c r="H95" s="541"/>
      <c r="I95" s="541"/>
      <c r="J95" s="541"/>
      <c r="K95" s="541"/>
      <c r="L95" s="541"/>
      <c r="V95" s="541"/>
      <c r="W95" s="541"/>
      <c r="X95" s="541"/>
      <c r="Y95" s="541"/>
      <c r="Z95" s="541"/>
      <c r="AA95" s="541"/>
    </row>
    <row r="96" spans="2:27">
      <c r="B96" s="581" t="s">
        <v>127</v>
      </c>
      <c r="C96" s="541" t="s">
        <v>128</v>
      </c>
      <c r="D96" s="926">
        <v>50</v>
      </c>
      <c r="E96" s="541" t="s">
        <v>124</v>
      </c>
      <c r="F96" s="552"/>
      <c r="G96" s="541"/>
      <c r="H96" s="541"/>
      <c r="I96" s="541"/>
      <c r="J96" s="541"/>
      <c r="K96" s="541"/>
      <c r="L96" s="541"/>
      <c r="V96" s="541"/>
      <c r="W96" s="541"/>
      <c r="X96" s="541"/>
      <c r="Y96" s="541"/>
      <c r="Z96" s="541"/>
      <c r="AA96" s="541"/>
    </row>
    <row r="97" spans="2:6">
      <c r="B97" s="581" t="s">
        <v>127</v>
      </c>
      <c r="C97" s="541" t="s">
        <v>129</v>
      </c>
      <c r="D97" s="926">
        <v>3</v>
      </c>
      <c r="E97" s="541" t="s">
        <v>126</v>
      </c>
      <c r="F97" s="552"/>
    </row>
    <row r="98" spans="2:6">
      <c r="B98" s="583"/>
      <c r="C98" s="547"/>
      <c r="D98" s="923"/>
      <c r="E98" s="547"/>
      <c r="F98" s="555"/>
    </row>
  </sheetData>
  <sheetProtection formatCells="0" formatColumns="0" formatRows="0" insertRows="0"/>
  <phoneticPr fontId="0" type="noConversion"/>
  <dataValidations xWindow="431" yWindow="459" count="8">
    <dataValidation type="date" operator="greaterThan" allowBlank="1" showInputMessage="1" showErrorMessage="1" errorTitle="Start Date" error="Start Date has to be greater than today's date_x000a_" promptTitle="Start Date" prompt="Please enter estimated program start date" sqref="G21" xr:uid="{00000000-0002-0000-0100-000000000000}">
      <formula1>AL1</formula1>
    </dataValidation>
    <dataValidation type="date" operator="greaterThan" allowBlank="1" showInputMessage="1" showErrorMessage="1" promptTitle="Local Staff - Salary increase" prompt="Enter the estimated date of annual salary increase for local staff for the first year" sqref="D37" xr:uid="{00000000-0002-0000-0100-000001000000}">
      <formula1>C37</formula1>
    </dataValidation>
    <dataValidation type="date" operator="greaterThan" allowBlank="1" showInputMessage="1" showErrorMessage="1" promptTitle="US Staff - salary increase" prompt="Enter the estimated date of annual increase for the first year for  Home Office Staff" sqref="D28:D29 D38" xr:uid="{00000000-0002-0000-0100-000002000000}">
      <formula1>C28</formula1>
    </dataValidation>
    <dataValidation allowBlank="1" showInputMessage="1" showErrorMessage="1" promptTitle="End date" prompt="Please enter the estimated program year 1 end date" sqref="G22" xr:uid="{00000000-0002-0000-0100-000003000000}"/>
    <dataValidation allowBlank="1" showInputMessage="1" showErrorMessage="1" promptTitle="Domestic Travel" prompt="If the country has a per/city per diem, write the name of the cities and the applicable per diem rates" sqref="B62" xr:uid="{00000000-0002-0000-0100-000004000000}"/>
    <dataValidation showInputMessage="1" errorTitle="Less than 0" sqref="E32" xr:uid="{00000000-0002-0000-0100-000005000000}"/>
    <dataValidation type="decimal" operator="lessThanOrEqual" allowBlank="1" showInputMessage="1" showErrorMessage="1" sqref="S33 AH33" xr:uid="{00000000-0002-0000-0100-000006000000}">
      <formula1>2</formula1>
    </dataValidation>
    <dataValidation type="date" operator="equal" allowBlank="1" showInputMessage="1" showErrorMessage="1" sqref="D41 D32" xr:uid="{00000000-0002-0000-0100-000008000000}">
      <formula1>D29</formula1>
    </dataValidation>
  </dataValidations>
  <pageMargins left="0.5" right="0.5" top="0.5" bottom="0.5" header="0" footer="0.25"/>
  <pageSetup scale="84" orientation="landscape" r:id="rId1"/>
  <headerFooter scaleWithDoc="0" alignWithMargins="0">
    <oddFooter>&amp;LUse or disclosure of data contained on this sheet is subject to the restriction on the proprietary statement of this proposal.&amp;R,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F44A-D476-47FD-B080-9E49F414B11B}">
  <sheetPr>
    <tabColor theme="8" tint="0.59999389629810485"/>
    <pageSetUpPr fitToPage="1"/>
  </sheetPr>
  <dimension ref="A1:F21"/>
  <sheetViews>
    <sheetView zoomScaleNormal="100" workbookViewId="0">
      <selection activeCell="A8" sqref="A8"/>
    </sheetView>
  </sheetViews>
  <sheetFormatPr defaultColWidth="8.71875" defaultRowHeight="12.6"/>
  <cols>
    <col min="1" max="1" width="41" style="669" bestFit="1" customWidth="1"/>
    <col min="2" max="4" width="12.83203125" style="669" bestFit="1" customWidth="1"/>
    <col min="5" max="5" width="13.5546875" style="669" bestFit="1" customWidth="1"/>
    <col min="6" max="6" width="24.44140625" style="669" customWidth="1"/>
    <col min="7" max="16384" width="8.71875" style="669"/>
  </cols>
  <sheetData>
    <row r="1" spans="1:6" ht="15">
      <c r="A1" s="1120" t="s">
        <v>130</v>
      </c>
      <c r="B1" s="1120"/>
      <c r="C1" s="1120"/>
      <c r="D1" s="1120"/>
      <c r="E1" s="1120"/>
      <c r="F1" s="1120"/>
    </row>
    <row r="2" spans="1:6" ht="15.3">
      <c r="A2" s="1121" t="s">
        <v>131</v>
      </c>
      <c r="B2" s="1121"/>
      <c r="C2" s="1121"/>
      <c r="D2" s="1121"/>
      <c r="E2" s="1121"/>
      <c r="F2" s="1121"/>
    </row>
    <row r="3" spans="1:6" ht="32.25" customHeight="1">
      <c r="A3" s="1122" t="s">
        <v>151</v>
      </c>
      <c r="B3" s="1122"/>
      <c r="C3" s="1122"/>
      <c r="D3" s="1122"/>
      <c r="E3" s="1122"/>
      <c r="F3" s="1122"/>
    </row>
    <row r="4" spans="1:6" ht="15.3">
      <c r="A4" s="1121" t="s">
        <v>132</v>
      </c>
      <c r="B4" s="1121"/>
      <c r="C4" s="1121"/>
      <c r="D4" s="1121"/>
      <c r="E4" s="1121"/>
      <c r="F4" s="1121"/>
    </row>
    <row r="5" spans="1:6" ht="12.9" thickBot="1">
      <c r="A5" s="723"/>
      <c r="B5" s="723"/>
      <c r="C5" s="723"/>
      <c r="D5" s="723"/>
      <c r="E5" s="724"/>
    </row>
    <row r="6" spans="1:6" ht="30.3" thickBot="1">
      <c r="A6" s="725" t="s">
        <v>133</v>
      </c>
      <c r="B6" s="726" t="s">
        <v>134</v>
      </c>
      <c r="C6" s="726" t="s">
        <v>135</v>
      </c>
      <c r="D6" s="726" t="s">
        <v>136</v>
      </c>
      <c r="E6" s="726" t="s">
        <v>137</v>
      </c>
      <c r="F6" s="944" t="s">
        <v>138</v>
      </c>
    </row>
    <row r="7" spans="1:6" ht="15">
      <c r="A7" s="727"/>
      <c r="B7" s="728"/>
      <c r="C7" s="728"/>
      <c r="D7" s="729"/>
      <c r="E7" s="729"/>
      <c r="F7" s="730"/>
    </row>
    <row r="8" spans="1:6" ht="15.3">
      <c r="A8" s="731" t="s">
        <v>139</v>
      </c>
      <c r="B8" s="992">
        <f>'Line-Item Budget'!J29</f>
        <v>300905</v>
      </c>
      <c r="C8" s="992">
        <f>'Line-Item Budget'!L29</f>
        <v>375921</v>
      </c>
      <c r="D8" s="992">
        <f>'Line-Item Budget'!N29</f>
        <v>394717.05</v>
      </c>
      <c r="E8" s="992">
        <f>'Line-Item Budget'!P29</f>
        <v>375790.15687500004</v>
      </c>
      <c r="F8" s="993">
        <f>SUM(B8:E8)</f>
        <v>1447333.2068750001</v>
      </c>
    </row>
    <row r="9" spans="1:6" ht="15.3">
      <c r="A9" s="731" t="s">
        <v>140</v>
      </c>
      <c r="B9" s="992">
        <f>'Line-Item Budget'!J36</f>
        <v>128207.46649999999</v>
      </c>
      <c r="C9" s="992">
        <f>'Line-Item Budget'!L36</f>
        <v>155066.6943</v>
      </c>
      <c r="D9" s="992">
        <f>'Line-Item Budget'!N36</f>
        <v>162820.02901499998</v>
      </c>
      <c r="E9" s="992">
        <f>'Line-Item Budget'!P36</f>
        <v>154208.46278643754</v>
      </c>
      <c r="F9" s="993">
        <f t="shared" ref="F9:F15" si="0">SUM(B9:E9)</f>
        <v>600302.65260143753</v>
      </c>
    </row>
    <row r="10" spans="1:6" ht="15.3">
      <c r="A10" s="731" t="s">
        <v>141</v>
      </c>
      <c r="B10" s="992">
        <f>'Line-Item Budget'!J54</f>
        <v>6938</v>
      </c>
      <c r="C10" s="992">
        <f>'Line-Item Budget'!L54</f>
        <v>42561.48</v>
      </c>
      <c r="D10" s="992">
        <f>'Line-Item Budget'!N54</f>
        <v>42194.838400000008</v>
      </c>
      <c r="E10" s="992">
        <f>'Line-Item Budget'!P54</f>
        <v>33203.173120000014</v>
      </c>
      <c r="F10" s="993">
        <f t="shared" si="0"/>
        <v>124897.49152000004</v>
      </c>
    </row>
    <row r="11" spans="1:6" ht="15.3">
      <c r="A11" s="731" t="s">
        <v>142</v>
      </c>
      <c r="B11" s="992">
        <f>'Line-Item Budget'!J58</f>
        <v>0</v>
      </c>
      <c r="C11" s="992">
        <f>'Line-Item Budget'!L58</f>
        <v>0</v>
      </c>
      <c r="D11" s="992">
        <f>'Line-Item Budget'!N58</f>
        <v>0</v>
      </c>
      <c r="E11" s="992">
        <f>'Line-Item Budget'!P58</f>
        <v>0</v>
      </c>
      <c r="F11" s="993">
        <f>SUM(B11:E11)</f>
        <v>0</v>
      </c>
    </row>
    <row r="12" spans="1:6" ht="15.3">
      <c r="A12" s="731" t="s">
        <v>143</v>
      </c>
      <c r="B12" s="992">
        <f>'Line-Item Budget'!J63</f>
        <v>9907.1999999999989</v>
      </c>
      <c r="C12" s="992">
        <f>'Line-Item Budget'!L63</f>
        <v>1560</v>
      </c>
      <c r="D12" s="992">
        <f>'Line-Item Budget'!N63</f>
        <v>1622.4</v>
      </c>
      <c r="E12" s="992">
        <f>'Line-Item Budget'!P63</f>
        <v>1687.296</v>
      </c>
      <c r="F12" s="993">
        <f>SUM(B12:E12)</f>
        <v>14776.895999999999</v>
      </c>
    </row>
    <row r="13" spans="1:6" ht="15.3">
      <c r="A13" s="731" t="s">
        <v>144</v>
      </c>
      <c r="B13" s="992">
        <f>'Line-Item Budget'!J72</f>
        <v>144056.49829000002</v>
      </c>
      <c r="C13" s="992">
        <f>'Line-Item Budget'!L72</f>
        <v>259736.73610600003</v>
      </c>
      <c r="D13" s="992">
        <f>'Line-Item Budget'!N72</f>
        <v>282479.40635130001</v>
      </c>
      <c r="E13" s="992">
        <f>'Line-Item Budget'!P72</f>
        <v>164016.89452003251</v>
      </c>
      <c r="F13" s="993">
        <f>SUM(B13:E13)</f>
        <v>850289.53526733257</v>
      </c>
    </row>
    <row r="14" spans="1:6" ht="15.3">
      <c r="A14" s="731" t="s">
        <v>145</v>
      </c>
      <c r="B14" s="992">
        <v>0</v>
      </c>
      <c r="C14" s="992">
        <v>0</v>
      </c>
      <c r="D14" s="992">
        <v>0</v>
      </c>
      <c r="E14" s="992">
        <v>0</v>
      </c>
      <c r="F14" s="993">
        <f>SUM(B14:E14)</f>
        <v>0</v>
      </c>
    </row>
    <row r="15" spans="1:6" ht="15.3">
      <c r="A15" s="731" t="s">
        <v>146</v>
      </c>
      <c r="B15" s="992">
        <f>'Line-Item Budget'!J142</f>
        <v>176625.2</v>
      </c>
      <c r="C15" s="992">
        <f>'Line-Item Budget'!L142</f>
        <v>190655.9584</v>
      </c>
      <c r="D15" s="992">
        <f>'Line-Item Budget'!N142</f>
        <v>151871.02873600001</v>
      </c>
      <c r="E15" s="992">
        <f>'Line-Item Budget'!P142</f>
        <v>138290.44844544001</v>
      </c>
      <c r="F15" s="993">
        <f t="shared" si="0"/>
        <v>657442.63558144006</v>
      </c>
    </row>
    <row r="16" spans="1:6" ht="15.6" thickBot="1">
      <c r="A16" s="731"/>
      <c r="B16" s="992"/>
      <c r="C16" s="992"/>
      <c r="D16" s="992"/>
      <c r="E16" s="992"/>
      <c r="F16" s="994"/>
    </row>
    <row r="17" spans="1:6" ht="15.3" thickBot="1">
      <c r="A17" s="732" t="s">
        <v>147</v>
      </c>
      <c r="B17" s="995">
        <f>SUM(B8:B15)</f>
        <v>766639.36479000002</v>
      </c>
      <c r="C17" s="995">
        <f>SUM(C8:C15)</f>
        <v>1025501.868806</v>
      </c>
      <c r="D17" s="995">
        <f>SUM(D8:D15)</f>
        <v>1035704.7525023001</v>
      </c>
      <c r="E17" s="995">
        <f>SUM(E8:E15)</f>
        <v>867196.43174691009</v>
      </c>
      <c r="F17" s="996">
        <f>SUM(F8:F15)</f>
        <v>3695042.417845211</v>
      </c>
    </row>
    <row r="18" spans="1:6" ht="15.6" thickBot="1">
      <c r="A18" s="731" t="s">
        <v>148</v>
      </c>
      <c r="B18" s="992">
        <f>'Line-Item Budget'!J146</f>
        <v>216805.61236261201</v>
      </c>
      <c r="C18" s="992">
        <f>'Line-Item Budget'!L146</f>
        <v>290011.92849833681</v>
      </c>
      <c r="D18" s="992">
        <f>'Line-Item Budget'!N146</f>
        <v>292897.30400765047</v>
      </c>
      <c r="E18" s="992">
        <f>'Line-Item Budget'!P146</f>
        <v>245243.15089802616</v>
      </c>
      <c r="F18" s="994">
        <f>SUM(B18:E18)</f>
        <v>1044957.9957666255</v>
      </c>
    </row>
    <row r="19" spans="1:6" ht="15.3" thickBot="1">
      <c r="A19" s="733" t="s">
        <v>149</v>
      </c>
      <c r="B19" s="997">
        <f>SUM(B17:B18)</f>
        <v>983444.97715261206</v>
      </c>
      <c r="C19" s="997">
        <f>SUM(C17:C18)</f>
        <v>1315513.7973043369</v>
      </c>
      <c r="D19" s="997">
        <f>SUM(D17:D18)</f>
        <v>1328602.0565099507</v>
      </c>
      <c r="E19" s="997">
        <f>SUM(E17:E18)</f>
        <v>1112439.5826449362</v>
      </c>
      <c r="F19" s="998">
        <f>SUM(F17:F18)</f>
        <v>4740000.4136118367</v>
      </c>
    </row>
    <row r="20" spans="1:6">
      <c r="B20" s="734"/>
    </row>
    <row r="21" spans="1:6">
      <c r="F21" s="1119"/>
    </row>
  </sheetData>
  <mergeCells count="4">
    <mergeCell ref="A1:F1"/>
    <mergeCell ref="A2:F2"/>
    <mergeCell ref="A3:F3"/>
    <mergeCell ref="A4:F4"/>
  </mergeCells>
  <pageMargins left="0.7" right="0.7"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14B8-E5AA-4CBA-9183-682DCE7894A4}">
  <sheetPr>
    <tabColor theme="8" tint="0.59999389629810485"/>
    <pageSetUpPr fitToPage="1"/>
  </sheetPr>
  <dimension ref="A1:U153"/>
  <sheetViews>
    <sheetView topLeftCell="C1" zoomScale="85" zoomScaleNormal="85" zoomScaleSheetLayoutView="90" workbookViewId="0">
      <selection activeCell="D6" sqref="D6:E7"/>
    </sheetView>
  </sheetViews>
  <sheetFormatPr defaultColWidth="11.44140625" defaultRowHeight="12" customHeight="1"/>
  <cols>
    <col min="1" max="3" width="19.44140625" style="736" customWidth="1"/>
    <col min="4" max="4" width="51.44140625" style="736" customWidth="1"/>
    <col min="5" max="5" width="15.27734375" style="736" bestFit="1" customWidth="1"/>
    <col min="6" max="6" width="8.71875" style="736" customWidth="1"/>
    <col min="7" max="7" width="15" style="736" bestFit="1" customWidth="1"/>
    <col min="8" max="8" width="6.1640625" style="736" bestFit="1" customWidth="1"/>
    <col min="9" max="9" width="16.71875" style="738" bestFit="1" customWidth="1"/>
    <col min="10" max="10" width="12" style="739" bestFit="1" customWidth="1"/>
    <col min="11" max="11" width="6.1640625" style="739" bestFit="1" customWidth="1"/>
    <col min="12" max="12" width="13.44140625" style="739" bestFit="1" customWidth="1"/>
    <col min="13" max="13" width="6.1640625" style="739" bestFit="1" customWidth="1"/>
    <col min="14" max="14" width="13.44140625" style="739" bestFit="1" customWidth="1"/>
    <col min="15" max="15" width="6.1640625" style="739" bestFit="1" customWidth="1"/>
    <col min="16" max="16" width="13.44140625" style="739" bestFit="1" customWidth="1"/>
    <col min="17" max="17" width="13.71875" style="808" bestFit="1" customWidth="1"/>
    <col min="18" max="18" width="11.27734375" style="739" customWidth="1"/>
    <col min="19" max="19" width="17.27734375" style="808" bestFit="1" customWidth="1"/>
    <col min="20" max="20" width="15.83203125" style="735" bestFit="1" customWidth="1"/>
    <col min="21" max="21" width="14.83203125" style="735" bestFit="1" customWidth="1"/>
    <col min="22" max="16384" width="11.44140625" style="735"/>
  </cols>
  <sheetData>
    <row r="1" spans="1:20" ht="13.9" customHeight="1">
      <c r="A1" s="735"/>
      <c r="B1" s="735"/>
      <c r="C1" s="735"/>
      <c r="D1" s="1120" t="s">
        <v>150</v>
      </c>
      <c r="E1" s="1120"/>
      <c r="F1" s="1120"/>
      <c r="G1" s="1120"/>
      <c r="H1" s="1120"/>
      <c r="I1" s="1120"/>
      <c r="J1" s="1120"/>
      <c r="K1" s="1120"/>
      <c r="L1" s="1120"/>
      <c r="M1" s="1120"/>
      <c r="N1" s="1120"/>
      <c r="O1" s="1120"/>
      <c r="P1" s="1120"/>
      <c r="Q1" s="1120"/>
      <c r="R1" s="1120"/>
      <c r="S1" s="1120"/>
    </row>
    <row r="2" spans="1:20" ht="15.3">
      <c r="A2" s="735"/>
      <c r="B2" s="735"/>
      <c r="C2" s="735"/>
      <c r="D2" s="1121" t="s">
        <v>131</v>
      </c>
      <c r="E2" s="1121"/>
      <c r="F2" s="1121"/>
      <c r="G2" s="1121"/>
      <c r="H2" s="1121"/>
      <c r="I2" s="1121"/>
      <c r="J2" s="1121"/>
      <c r="K2" s="1121"/>
      <c r="L2" s="1121"/>
      <c r="M2" s="1121"/>
      <c r="N2" s="1121"/>
      <c r="O2" s="1121"/>
      <c r="P2" s="1121"/>
      <c r="Q2" s="1121"/>
      <c r="R2" s="1121"/>
      <c r="S2" s="1121"/>
    </row>
    <row r="3" spans="1:20" ht="13.9" customHeight="1">
      <c r="A3" s="735"/>
      <c r="B3" s="735"/>
      <c r="C3" s="735"/>
      <c r="D3" s="1122" t="s">
        <v>151</v>
      </c>
      <c r="E3" s="1121"/>
      <c r="F3" s="1121"/>
      <c r="G3" s="1121"/>
      <c r="H3" s="1121"/>
      <c r="I3" s="1121"/>
      <c r="J3" s="1121"/>
      <c r="K3" s="1121"/>
      <c r="L3" s="1121"/>
      <c r="M3" s="1121"/>
      <c r="N3" s="1121"/>
      <c r="O3" s="1121"/>
      <c r="P3" s="1121"/>
      <c r="Q3" s="1121"/>
      <c r="R3" s="1121"/>
      <c r="S3" s="1121"/>
    </row>
    <row r="4" spans="1:20" ht="15.6" thickBot="1">
      <c r="A4" s="735"/>
      <c r="B4" s="735"/>
      <c r="C4" s="735"/>
      <c r="D4" s="1121" t="s">
        <v>132</v>
      </c>
      <c r="E4" s="1121"/>
      <c r="F4" s="1121"/>
      <c r="G4" s="1121"/>
      <c r="H4" s="1121"/>
      <c r="I4" s="1121"/>
      <c r="J4" s="1121"/>
      <c r="K4" s="1121"/>
      <c r="L4" s="1121"/>
      <c r="M4" s="1121"/>
      <c r="N4" s="1121"/>
      <c r="O4" s="1121"/>
      <c r="P4" s="1121"/>
      <c r="Q4" s="1121"/>
      <c r="R4" s="1121"/>
      <c r="S4" s="1121"/>
    </row>
    <row r="5" spans="1:20" ht="17.7">
      <c r="A5" s="1086" t="s">
        <v>903</v>
      </c>
      <c r="B5" s="1087" t="s">
        <v>904</v>
      </c>
      <c r="C5" s="735"/>
      <c r="D5" s="1123" t="s">
        <v>152</v>
      </c>
      <c r="E5" s="1123"/>
      <c r="F5" s="967"/>
      <c r="G5" s="967"/>
      <c r="H5" s="967"/>
      <c r="I5" s="967"/>
      <c r="J5" s="967"/>
      <c r="K5" s="967"/>
      <c r="L5" s="967"/>
      <c r="M5" s="967"/>
      <c r="N5" s="967"/>
      <c r="O5" s="967"/>
      <c r="P5" s="967"/>
      <c r="Q5" s="967"/>
      <c r="R5" s="967"/>
      <c r="S5" s="967"/>
    </row>
    <row r="6" spans="1:20" ht="17.7">
      <c r="A6" s="1088" t="s">
        <v>905</v>
      </c>
      <c r="B6" s="1089">
        <v>20200</v>
      </c>
      <c r="C6" s="735"/>
      <c r="D6" s="942" t="s">
        <v>17</v>
      </c>
      <c r="E6" s="943">
        <v>1.03</v>
      </c>
      <c r="F6" s="967"/>
      <c r="G6" s="969"/>
      <c r="H6" s="967"/>
      <c r="I6" s="967"/>
      <c r="J6" s="967"/>
      <c r="K6" s="967"/>
      <c r="L6" s="967"/>
      <c r="M6" s="967"/>
      <c r="N6" s="967"/>
      <c r="O6" s="967"/>
      <c r="P6" s="967"/>
      <c r="Q6" s="967"/>
      <c r="R6" s="967"/>
      <c r="S6" s="967"/>
    </row>
    <row r="7" spans="1:20" ht="18" thickBot="1">
      <c r="A7" s="1090" t="s">
        <v>906</v>
      </c>
      <c r="B7" s="1091" t="s">
        <v>907</v>
      </c>
      <c r="C7" s="735"/>
      <c r="D7" s="942" t="s">
        <v>18</v>
      </c>
      <c r="E7" s="943">
        <v>1.04</v>
      </c>
      <c r="F7" s="967"/>
      <c r="G7" s="969"/>
      <c r="H7" s="967"/>
      <c r="I7" s="990"/>
      <c r="J7" s="1067"/>
      <c r="K7" s="967"/>
      <c r="L7" s="967"/>
      <c r="M7" s="967"/>
      <c r="N7" s="967"/>
      <c r="O7" s="967"/>
      <c r="P7" s="967"/>
      <c r="Q7" s="967"/>
      <c r="R7" s="967"/>
      <c r="S7" s="967"/>
    </row>
    <row r="8" spans="1:20" ht="15.3">
      <c r="A8" s="735"/>
      <c r="B8" s="735"/>
      <c r="C8" s="735"/>
      <c r="D8" s="942" t="s">
        <v>19</v>
      </c>
      <c r="E8" s="943">
        <v>1.05</v>
      </c>
      <c r="F8" s="967"/>
      <c r="G8" s="971"/>
      <c r="H8" s="967"/>
      <c r="I8" s="991"/>
      <c r="J8" s="991"/>
      <c r="K8" s="967"/>
      <c r="L8" s="991"/>
      <c r="M8" s="967"/>
      <c r="N8" s="967"/>
      <c r="O8" s="967"/>
      <c r="P8" s="967"/>
      <c r="Q8" s="967"/>
      <c r="R8" s="967"/>
      <c r="S8" s="967"/>
    </row>
    <row r="9" spans="1:20" ht="15.6" thickBot="1">
      <c r="E9" s="737"/>
      <c r="F9" s="737"/>
      <c r="G9" s="971"/>
      <c r="K9" s="740"/>
      <c r="Q9" s="739"/>
      <c r="R9" s="740"/>
      <c r="S9" s="739"/>
      <c r="T9" s="741"/>
    </row>
    <row r="10" spans="1:20" ht="60" customHeight="1" thickBot="1">
      <c r="A10" s="1014" t="s">
        <v>911</v>
      </c>
      <c r="B10" s="1014" t="s">
        <v>912</v>
      </c>
      <c r="C10" s="1014" t="s">
        <v>913</v>
      </c>
      <c r="D10" s="1014" t="s">
        <v>153</v>
      </c>
      <c r="E10" s="1015" t="s">
        <v>154</v>
      </c>
      <c r="F10" s="1015" t="s">
        <v>155</v>
      </c>
      <c r="G10" s="1015" t="s">
        <v>156</v>
      </c>
      <c r="H10" s="1016" t="s">
        <v>157</v>
      </c>
      <c r="I10" s="1017" t="s">
        <v>158</v>
      </c>
      <c r="J10" s="1018" t="s">
        <v>22</v>
      </c>
      <c r="K10" s="1019" t="s">
        <v>157</v>
      </c>
      <c r="L10" s="1020" t="s">
        <v>23</v>
      </c>
      <c r="M10" s="1021" t="s">
        <v>157</v>
      </c>
      <c r="N10" s="1020" t="s">
        <v>24</v>
      </c>
      <c r="O10" s="1021" t="s">
        <v>157</v>
      </c>
      <c r="P10" s="1020" t="s">
        <v>25</v>
      </c>
      <c r="Q10" s="1022" t="s">
        <v>159</v>
      </c>
      <c r="R10" s="1023" t="s">
        <v>160</v>
      </c>
      <c r="S10" s="1024" t="s">
        <v>161</v>
      </c>
    </row>
    <row r="11" spans="1:20" ht="15.3">
      <c r="A11" s="753"/>
      <c r="B11" s="753"/>
      <c r="C11" s="753"/>
      <c r="D11" s="753" t="s">
        <v>162</v>
      </c>
      <c r="E11" s="754"/>
      <c r="F11" s="754"/>
      <c r="G11" s="755"/>
      <c r="H11" s="756"/>
      <c r="I11" s="757"/>
      <c r="J11" s="758"/>
      <c r="K11" s="759"/>
      <c r="L11" s="759"/>
      <c r="M11" s="760"/>
      <c r="N11" s="759"/>
      <c r="O11" s="760"/>
      <c r="P11" s="759"/>
      <c r="Q11" s="761"/>
      <c r="R11" s="759"/>
      <c r="S11" s="762"/>
    </row>
    <row r="12" spans="1:20" ht="15.3">
      <c r="A12" s="763"/>
      <c r="B12" s="763"/>
      <c r="C12" s="763"/>
      <c r="D12" s="763" t="s">
        <v>163</v>
      </c>
      <c r="E12" s="764"/>
      <c r="F12" s="764"/>
      <c r="G12" s="765"/>
      <c r="H12" s="766"/>
      <c r="I12" s="764"/>
      <c r="J12" s="767"/>
      <c r="K12" s="768"/>
      <c r="L12" s="768"/>
      <c r="M12" s="769"/>
      <c r="N12" s="768"/>
      <c r="O12" s="769"/>
      <c r="P12" s="768"/>
      <c r="Q12" s="770"/>
      <c r="R12" s="768"/>
      <c r="S12" s="771"/>
    </row>
    <row r="13" spans="1:20" ht="15.3">
      <c r="A13" s="772" t="s">
        <v>908</v>
      </c>
      <c r="B13" s="772">
        <v>70000</v>
      </c>
      <c r="C13" s="772" t="s">
        <v>910</v>
      </c>
      <c r="D13" s="772" t="s">
        <v>164</v>
      </c>
      <c r="E13" s="773" t="s">
        <v>165</v>
      </c>
      <c r="F13" s="774">
        <v>1</v>
      </c>
      <c r="G13" s="775" t="s">
        <v>166</v>
      </c>
      <c r="H13" s="776">
        <v>12</v>
      </c>
      <c r="I13" s="778">
        <f>72000/12</f>
        <v>6000</v>
      </c>
      <c r="J13" s="777">
        <f>H13*I13*F13</f>
        <v>72000</v>
      </c>
      <c r="K13" s="778">
        <v>12</v>
      </c>
      <c r="L13" s="778">
        <f>K13*I13*$E$8</f>
        <v>75600</v>
      </c>
      <c r="M13" s="776">
        <v>12</v>
      </c>
      <c r="N13" s="778">
        <f>(M13*I13*$E$8*$E$8)</f>
        <v>79380</v>
      </c>
      <c r="O13" s="776">
        <v>12</v>
      </c>
      <c r="P13" s="778">
        <f>O13*I13*$E$8*$E$8*$E$8</f>
        <v>83349</v>
      </c>
      <c r="Q13" s="779">
        <f>SUM(J13+L13+N13+P13)</f>
        <v>310329</v>
      </c>
      <c r="R13" s="778">
        <v>0</v>
      </c>
      <c r="S13" s="780">
        <f>SUM(Q13:R13)</f>
        <v>310329</v>
      </c>
    </row>
    <row r="14" spans="1:20" ht="30.6">
      <c r="A14" s="772" t="s">
        <v>909</v>
      </c>
      <c r="B14" s="772">
        <v>70000</v>
      </c>
      <c r="C14" s="772" t="s">
        <v>910</v>
      </c>
      <c r="D14" s="772" t="s">
        <v>167</v>
      </c>
      <c r="E14" s="773" t="s">
        <v>165</v>
      </c>
      <c r="F14" s="774">
        <v>1</v>
      </c>
      <c r="G14" s="775" t="s">
        <v>166</v>
      </c>
      <c r="H14" s="776">
        <v>12</v>
      </c>
      <c r="I14" s="778">
        <f>40000/12</f>
        <v>3333.3333333333335</v>
      </c>
      <c r="J14" s="777">
        <f>H14*I14*F14</f>
        <v>40000</v>
      </c>
      <c r="K14" s="778">
        <v>12</v>
      </c>
      <c r="L14" s="778">
        <f>K14*I14*$E$8</f>
        <v>42000</v>
      </c>
      <c r="M14" s="776">
        <v>12</v>
      </c>
      <c r="N14" s="778">
        <f>(M14*I14*$E$8*$E$8)</f>
        <v>44100</v>
      </c>
      <c r="O14" s="776">
        <v>12</v>
      </c>
      <c r="P14" s="778">
        <f>O14*I14*$E$8*$E$8*$E$8</f>
        <v>46305</v>
      </c>
      <c r="Q14" s="779">
        <f>SUM(J14+L14+N14+P14)</f>
        <v>172405</v>
      </c>
      <c r="R14" s="778">
        <v>0</v>
      </c>
      <c r="S14" s="780">
        <f>SUM(Q14:R14)</f>
        <v>172405</v>
      </c>
      <c r="T14" s="739"/>
    </row>
    <row r="15" spans="1:20" ht="15.3">
      <c r="A15" s="772"/>
      <c r="B15" s="772"/>
      <c r="C15" s="772"/>
      <c r="D15" s="772"/>
      <c r="E15" s="773"/>
      <c r="F15" s="773"/>
      <c r="G15" s="775"/>
      <c r="H15" s="776"/>
      <c r="I15" s="778"/>
      <c r="J15" s="777"/>
      <c r="K15" s="778"/>
      <c r="L15" s="778"/>
      <c r="M15" s="776"/>
      <c r="N15" s="778"/>
      <c r="O15" s="776"/>
      <c r="P15" s="778"/>
      <c r="Q15" s="779"/>
      <c r="R15" s="778"/>
      <c r="S15" s="780"/>
    </row>
    <row r="16" spans="1:20" ht="15.3">
      <c r="A16" s="763"/>
      <c r="B16" s="763"/>
      <c r="C16" s="763"/>
      <c r="D16" s="763" t="s">
        <v>168</v>
      </c>
      <c r="E16" s="764"/>
      <c r="F16" s="764"/>
      <c r="G16" s="782"/>
      <c r="H16" s="783"/>
      <c r="I16" s="764"/>
      <c r="J16" s="784"/>
      <c r="K16" s="785"/>
      <c r="L16" s="785"/>
      <c r="M16" s="783"/>
      <c r="N16" s="785"/>
      <c r="O16" s="783"/>
      <c r="P16" s="785"/>
      <c r="Q16" s="786"/>
      <c r="R16" s="785"/>
      <c r="S16" s="787"/>
    </row>
    <row r="17" spans="1:21" ht="15.3">
      <c r="A17" s="772" t="s">
        <v>922</v>
      </c>
      <c r="B17" s="772">
        <v>70000</v>
      </c>
      <c r="C17" s="772" t="s">
        <v>910</v>
      </c>
      <c r="D17" s="772" t="s">
        <v>169</v>
      </c>
      <c r="E17" s="773" t="s">
        <v>165</v>
      </c>
      <c r="F17" s="774">
        <v>1</v>
      </c>
      <c r="G17" s="775" t="s">
        <v>166</v>
      </c>
      <c r="H17" s="776">
        <v>9</v>
      </c>
      <c r="I17" s="949">
        <f>35000/12</f>
        <v>2916.6666666666665</v>
      </c>
      <c r="J17" s="777">
        <f t="shared" ref="J17:J23" si="0">H17*I17*F17</f>
        <v>26250</v>
      </c>
      <c r="K17" s="778">
        <v>12</v>
      </c>
      <c r="L17" s="778">
        <f>K17*I17*$E$8</f>
        <v>36750</v>
      </c>
      <c r="M17" s="776">
        <v>12</v>
      </c>
      <c r="N17" s="778">
        <f>(M17*I17*$E$8*$E$8)</f>
        <v>38587.5</v>
      </c>
      <c r="O17" s="776">
        <v>9</v>
      </c>
      <c r="P17" s="778">
        <f>O17*I17*$E$8*$E$8*$E$8</f>
        <v>30387.65625</v>
      </c>
      <c r="Q17" s="779">
        <f t="shared" ref="Q17:Q23" si="1">SUM(J17+L17+N17+P17)</f>
        <v>131975.15625</v>
      </c>
      <c r="R17" s="778">
        <v>0</v>
      </c>
      <c r="S17" s="780">
        <f t="shared" ref="S17:S21" si="2">SUM(Q17:R17)</f>
        <v>131975.15625</v>
      </c>
    </row>
    <row r="18" spans="1:21" ht="15.3">
      <c r="A18" s="772" t="s">
        <v>914</v>
      </c>
      <c r="B18" s="772">
        <v>70000</v>
      </c>
      <c r="C18" s="772" t="s">
        <v>910</v>
      </c>
      <c r="D18" s="772" t="s">
        <v>170</v>
      </c>
      <c r="E18" s="773" t="s">
        <v>165</v>
      </c>
      <c r="F18" s="946">
        <v>1</v>
      </c>
      <c r="G18" s="775" t="s">
        <v>166</v>
      </c>
      <c r="H18" s="776">
        <v>9</v>
      </c>
      <c r="I18" s="949">
        <v>1979</v>
      </c>
      <c r="J18" s="777">
        <f t="shared" si="0"/>
        <v>17811</v>
      </c>
      <c r="K18" s="778">
        <v>12</v>
      </c>
      <c r="L18" s="778">
        <f>K18*I18*$E$8</f>
        <v>24935.4</v>
      </c>
      <c r="M18" s="776">
        <v>12</v>
      </c>
      <c r="N18" s="778">
        <f t="shared" ref="N18:N23" si="3">(M18*I18*$E$8*$E$8)</f>
        <v>26182.170000000002</v>
      </c>
      <c r="O18" s="776">
        <v>9</v>
      </c>
      <c r="P18" s="778">
        <f t="shared" ref="P18:P23" si="4">O18*I18*$E$8*$E$8*$E$8</f>
        <v>20618.458875</v>
      </c>
      <c r="Q18" s="779">
        <f t="shared" si="1"/>
        <v>89547.028875000004</v>
      </c>
      <c r="R18" s="778">
        <v>0</v>
      </c>
      <c r="S18" s="780">
        <f t="shared" si="2"/>
        <v>89547.028875000004</v>
      </c>
    </row>
    <row r="19" spans="1:21" ht="30.6">
      <c r="A19" s="772" t="s">
        <v>923</v>
      </c>
      <c r="B19" s="772">
        <v>70000</v>
      </c>
      <c r="C19" s="772" t="s">
        <v>910</v>
      </c>
      <c r="D19" s="772" t="s">
        <v>171</v>
      </c>
      <c r="E19" s="773" t="s">
        <v>165</v>
      </c>
      <c r="F19" s="946">
        <v>1</v>
      </c>
      <c r="G19" s="775" t="s">
        <v>166</v>
      </c>
      <c r="H19" s="776">
        <v>9</v>
      </c>
      <c r="I19" s="949">
        <f>35000/12</f>
        <v>2916.6666666666665</v>
      </c>
      <c r="J19" s="777">
        <f t="shared" si="0"/>
        <v>26250</v>
      </c>
      <c r="K19" s="778">
        <v>12</v>
      </c>
      <c r="L19" s="778">
        <f t="shared" ref="L19:L23" si="5">K19*I19*$E$8</f>
        <v>36750</v>
      </c>
      <c r="M19" s="776">
        <v>12</v>
      </c>
      <c r="N19" s="778">
        <f t="shared" si="3"/>
        <v>38587.5</v>
      </c>
      <c r="O19" s="776">
        <v>9</v>
      </c>
      <c r="P19" s="778">
        <f t="shared" si="4"/>
        <v>30387.65625</v>
      </c>
      <c r="Q19" s="779">
        <f t="shared" si="1"/>
        <v>131975.15625</v>
      </c>
      <c r="R19" s="778">
        <v>0</v>
      </c>
      <c r="S19" s="780">
        <f t="shared" ref="S19" si="6">SUM(Q19:R19)</f>
        <v>131975.15625</v>
      </c>
    </row>
    <row r="20" spans="1:21" ht="15.3">
      <c r="A20" s="772" t="s">
        <v>915</v>
      </c>
      <c r="B20" s="772">
        <v>70000</v>
      </c>
      <c r="C20" s="772" t="s">
        <v>910</v>
      </c>
      <c r="D20" s="772" t="s">
        <v>172</v>
      </c>
      <c r="E20" s="773" t="s">
        <v>165</v>
      </c>
      <c r="F20" s="946">
        <v>1</v>
      </c>
      <c r="G20" s="775" t="s">
        <v>166</v>
      </c>
      <c r="H20" s="776">
        <v>12</v>
      </c>
      <c r="I20" s="778">
        <v>4355</v>
      </c>
      <c r="J20" s="777">
        <f>H20*I20*F20</f>
        <v>52260</v>
      </c>
      <c r="K20" s="778">
        <v>12</v>
      </c>
      <c r="L20" s="778">
        <f>K20*I20*$E$8</f>
        <v>54873</v>
      </c>
      <c r="M20" s="776">
        <v>12</v>
      </c>
      <c r="N20" s="778">
        <f>(M20*I20*$E$8*$E$8)</f>
        <v>57616.65</v>
      </c>
      <c r="O20" s="776">
        <v>12</v>
      </c>
      <c r="P20" s="778">
        <f>O20*I20*$E$8*$E$8*$E$8</f>
        <v>60497.482500000006</v>
      </c>
      <c r="Q20" s="779">
        <f t="shared" si="1"/>
        <v>225247.13250000001</v>
      </c>
      <c r="R20" s="778">
        <v>0</v>
      </c>
      <c r="S20" s="780">
        <f t="shared" si="2"/>
        <v>225247.13250000001</v>
      </c>
    </row>
    <row r="21" spans="1:21" ht="15.3">
      <c r="A21" s="772" t="s">
        <v>916</v>
      </c>
      <c r="B21" s="772">
        <v>70000</v>
      </c>
      <c r="C21" s="772" t="s">
        <v>910</v>
      </c>
      <c r="D21" s="772" t="s">
        <v>173</v>
      </c>
      <c r="E21" s="773" t="s">
        <v>165</v>
      </c>
      <c r="F21" s="946">
        <v>1</v>
      </c>
      <c r="G21" s="775" t="s">
        <v>166</v>
      </c>
      <c r="H21" s="776">
        <v>12</v>
      </c>
      <c r="I21" s="949">
        <f>34000/12</f>
        <v>2833.3333333333335</v>
      </c>
      <c r="J21" s="777">
        <f t="shared" si="0"/>
        <v>34000</v>
      </c>
      <c r="K21" s="778">
        <v>12</v>
      </c>
      <c r="L21" s="778">
        <f t="shared" si="5"/>
        <v>35700</v>
      </c>
      <c r="M21" s="776">
        <v>12</v>
      </c>
      <c r="N21" s="778">
        <f t="shared" si="3"/>
        <v>37485</v>
      </c>
      <c r="O21" s="776">
        <v>11</v>
      </c>
      <c r="P21" s="778">
        <f t="shared" si="4"/>
        <v>36079.312500000007</v>
      </c>
      <c r="Q21" s="779">
        <f t="shared" si="1"/>
        <v>143264.3125</v>
      </c>
      <c r="R21" s="778">
        <v>0</v>
      </c>
      <c r="S21" s="780">
        <f t="shared" si="2"/>
        <v>143264.3125</v>
      </c>
    </row>
    <row r="22" spans="1:21" ht="15.3">
      <c r="A22" s="772" t="s">
        <v>917</v>
      </c>
      <c r="B22" s="772">
        <v>70000</v>
      </c>
      <c r="C22" s="772" t="s">
        <v>910</v>
      </c>
      <c r="D22" s="772" t="s">
        <v>174</v>
      </c>
      <c r="E22" s="773" t="s">
        <v>165</v>
      </c>
      <c r="F22" s="774">
        <v>1</v>
      </c>
      <c r="G22" s="775" t="s">
        <v>166</v>
      </c>
      <c r="H22" s="776">
        <v>9</v>
      </c>
      <c r="I22" s="949">
        <f>15000/12-62</f>
        <v>1188</v>
      </c>
      <c r="J22" s="777">
        <f t="shared" ref="J22" si="7">H22*I22*F22</f>
        <v>10692</v>
      </c>
      <c r="K22" s="778">
        <v>12</v>
      </c>
      <c r="L22" s="778">
        <f t="shared" si="5"/>
        <v>14968.800000000001</v>
      </c>
      <c r="M22" s="776">
        <v>12</v>
      </c>
      <c r="N22" s="778">
        <f t="shared" si="3"/>
        <v>15717.240000000002</v>
      </c>
      <c r="O22" s="776">
        <v>9</v>
      </c>
      <c r="P22" s="778">
        <f t="shared" si="4"/>
        <v>12377.326500000001</v>
      </c>
      <c r="Q22" s="779">
        <f t="shared" ref="Q22" si="8">SUM(J22+L22+N22+P22)</f>
        <v>53755.366500000011</v>
      </c>
      <c r="R22" s="778">
        <v>0</v>
      </c>
      <c r="S22" s="780">
        <f t="shared" ref="S22" si="9">SUM(Q22:R22)</f>
        <v>53755.366500000011</v>
      </c>
    </row>
    <row r="23" spans="1:21" ht="15.3">
      <c r="A23" s="772" t="s">
        <v>921</v>
      </c>
      <c r="B23" s="772">
        <v>70000</v>
      </c>
      <c r="C23" s="772" t="s">
        <v>910</v>
      </c>
      <c r="D23" s="772" t="s">
        <v>175</v>
      </c>
      <c r="E23" s="773" t="s">
        <v>165</v>
      </c>
      <c r="F23" s="774">
        <v>1</v>
      </c>
      <c r="G23" s="775" t="s">
        <v>166</v>
      </c>
      <c r="H23" s="776">
        <v>9</v>
      </c>
      <c r="I23" s="949">
        <f>15000/12-62</f>
        <v>1188</v>
      </c>
      <c r="J23" s="777">
        <f t="shared" si="0"/>
        <v>10692</v>
      </c>
      <c r="K23" s="778">
        <v>12</v>
      </c>
      <c r="L23" s="778">
        <f t="shared" si="5"/>
        <v>14968.800000000001</v>
      </c>
      <c r="M23" s="776">
        <v>12</v>
      </c>
      <c r="N23" s="778">
        <f t="shared" si="3"/>
        <v>15717.240000000002</v>
      </c>
      <c r="O23" s="776">
        <v>9</v>
      </c>
      <c r="P23" s="778">
        <f t="shared" si="4"/>
        <v>12377.326500000001</v>
      </c>
      <c r="Q23" s="779">
        <f t="shared" si="1"/>
        <v>53755.366500000011</v>
      </c>
      <c r="R23" s="778">
        <v>0</v>
      </c>
      <c r="S23" s="780">
        <f t="shared" ref="S23" si="10">SUM(Q23:R23)</f>
        <v>53755.366500000011</v>
      </c>
    </row>
    <row r="24" spans="1:21" ht="15.3">
      <c r="A24" s="772"/>
      <c r="B24" s="772"/>
      <c r="C24" s="772"/>
      <c r="D24" s="772"/>
      <c r="E24" s="773"/>
      <c r="F24" s="773"/>
      <c r="G24" s="775"/>
      <c r="H24" s="776"/>
      <c r="I24" s="778"/>
      <c r="J24" s="777"/>
      <c r="K24" s="778"/>
      <c r="L24" s="778"/>
      <c r="M24" s="776"/>
      <c r="N24" s="778"/>
      <c r="O24" s="776"/>
      <c r="P24" s="778"/>
      <c r="Q24" s="779"/>
      <c r="R24" s="778"/>
      <c r="S24" s="780"/>
    </row>
    <row r="25" spans="1:21" ht="15.3">
      <c r="A25" s="763"/>
      <c r="B25" s="763"/>
      <c r="C25" s="763"/>
      <c r="D25" s="763" t="s">
        <v>176</v>
      </c>
      <c r="E25" s="788"/>
      <c r="F25" s="788"/>
      <c r="G25" s="782"/>
      <c r="H25" s="783"/>
      <c r="I25" s="788"/>
      <c r="J25" s="784"/>
      <c r="K25" s="785"/>
      <c r="L25" s="785"/>
      <c r="M25" s="783"/>
      <c r="N25" s="785"/>
      <c r="O25" s="783"/>
      <c r="P25" s="785"/>
      <c r="Q25" s="786"/>
      <c r="R25" s="785"/>
      <c r="S25" s="787"/>
    </row>
    <row r="26" spans="1:21" ht="15.3">
      <c r="A26" s="772" t="s">
        <v>918</v>
      </c>
      <c r="B26" s="772">
        <v>50000</v>
      </c>
      <c r="C26" s="772" t="s">
        <v>920</v>
      </c>
      <c r="D26" s="772" t="s">
        <v>177</v>
      </c>
      <c r="E26" s="773" t="s">
        <v>165</v>
      </c>
      <c r="F26" s="946">
        <v>0.1</v>
      </c>
      <c r="G26" s="775" t="s">
        <v>166</v>
      </c>
      <c r="H26" s="776">
        <v>12</v>
      </c>
      <c r="I26" s="778">
        <f>(135000/12)*0.1</f>
        <v>1125</v>
      </c>
      <c r="J26" s="777">
        <f>H26*I26*F26</f>
        <v>1350</v>
      </c>
      <c r="K26" s="778">
        <v>12</v>
      </c>
      <c r="L26" s="778">
        <f t="shared" ref="L26" si="11">K26*I26*$E$8</f>
        <v>14175</v>
      </c>
      <c r="M26" s="776">
        <v>12</v>
      </c>
      <c r="N26" s="778">
        <f t="shared" ref="N26" si="12">(M26*I26*$E$8*$E$8)</f>
        <v>14883.75</v>
      </c>
      <c r="O26" s="776">
        <v>12</v>
      </c>
      <c r="P26" s="778">
        <f t="shared" ref="P26" si="13">O26*I26*$E$8*$E$8*$E$8</f>
        <v>15627.9375</v>
      </c>
      <c r="Q26" s="779">
        <f t="shared" ref="Q26:Q27" si="14">SUM(J26+L26+N26+P26)</f>
        <v>46036.6875</v>
      </c>
      <c r="R26" s="778">
        <v>0</v>
      </c>
      <c r="S26" s="780">
        <f>SUM(Q26:R26)</f>
        <v>46036.6875</v>
      </c>
    </row>
    <row r="27" spans="1:21" ht="15.3">
      <c r="A27" s="772" t="s">
        <v>919</v>
      </c>
      <c r="B27" s="772">
        <v>50000</v>
      </c>
      <c r="C27" s="772" t="s">
        <v>920</v>
      </c>
      <c r="D27" s="772" t="s">
        <v>178</v>
      </c>
      <c r="E27" s="773" t="s">
        <v>165</v>
      </c>
      <c r="F27" s="946">
        <v>0.4</v>
      </c>
      <c r="G27" s="775" t="s">
        <v>166</v>
      </c>
      <c r="H27" s="776">
        <v>12</v>
      </c>
      <c r="I27" s="778">
        <f>(60000/12)*0.4</f>
        <v>2000</v>
      </c>
      <c r="J27" s="777">
        <f>H27*I27*F27</f>
        <v>9600</v>
      </c>
      <c r="K27" s="778">
        <v>12</v>
      </c>
      <c r="L27" s="778">
        <f>K27*I27*$E$8</f>
        <v>25200</v>
      </c>
      <c r="M27" s="776">
        <v>12</v>
      </c>
      <c r="N27" s="778">
        <f>(M27*I27*$E$8*$E$8)</f>
        <v>26460</v>
      </c>
      <c r="O27" s="776">
        <v>12</v>
      </c>
      <c r="P27" s="778">
        <f>O27*I27*$E$8*$E$8*$E$8</f>
        <v>27783</v>
      </c>
      <c r="Q27" s="779">
        <f t="shared" si="14"/>
        <v>89043</v>
      </c>
      <c r="R27" s="778">
        <v>0</v>
      </c>
      <c r="S27" s="780">
        <f>SUM(Q27:R27)</f>
        <v>89043</v>
      </c>
    </row>
    <row r="28" spans="1:21" ht="15.3">
      <c r="A28" s="772"/>
      <c r="B28" s="772"/>
      <c r="C28" s="772"/>
      <c r="D28" s="772"/>
      <c r="E28" s="773"/>
      <c r="F28" s="773"/>
      <c r="G28" s="775"/>
      <c r="H28" s="776"/>
      <c r="I28" s="778"/>
      <c r="J28" s="777"/>
      <c r="K28" s="778"/>
      <c r="L28" s="778"/>
      <c r="M28" s="776"/>
      <c r="N28" s="778"/>
      <c r="O28" s="776"/>
      <c r="P28" s="778"/>
      <c r="Q28" s="779"/>
      <c r="R28" s="778"/>
      <c r="S28" s="780"/>
    </row>
    <row r="29" spans="1:21" ht="15.3">
      <c r="A29" s="763"/>
      <c r="B29" s="763"/>
      <c r="C29" s="763"/>
      <c r="D29" s="763" t="s">
        <v>179</v>
      </c>
      <c r="E29" s="764"/>
      <c r="F29" s="764"/>
      <c r="G29" s="765"/>
      <c r="H29" s="789"/>
      <c r="I29" s="790"/>
      <c r="J29" s="791">
        <f>SUM(J13:J27)</f>
        <v>300905</v>
      </c>
      <c r="K29" s="790"/>
      <c r="L29" s="790">
        <f>SUM(L13:L27)</f>
        <v>375921</v>
      </c>
      <c r="M29" s="789"/>
      <c r="N29" s="790">
        <f>SUM(N13:N27)</f>
        <v>394717.05</v>
      </c>
      <c r="O29" s="789"/>
      <c r="P29" s="790">
        <f>SUM(P13:P27)</f>
        <v>375790.15687500004</v>
      </c>
      <c r="Q29" s="792">
        <f>SUM(Q13:Q27)</f>
        <v>1447333.2068749999</v>
      </c>
      <c r="R29" s="790">
        <f>SUM(R13:R27)</f>
        <v>0</v>
      </c>
      <c r="S29" s="793">
        <f>SUM(Q29:R29)</f>
        <v>1447333.2068749999</v>
      </c>
      <c r="U29" s="781"/>
    </row>
    <row r="30" spans="1:21" ht="15.3">
      <c r="A30" s="753"/>
      <c r="B30" s="753"/>
      <c r="C30" s="753"/>
      <c r="D30" s="753" t="s">
        <v>180</v>
      </c>
      <c r="E30" s="754"/>
      <c r="F30" s="754"/>
      <c r="G30" s="755"/>
      <c r="H30" s="756"/>
      <c r="I30" s="757"/>
      <c r="J30" s="758"/>
      <c r="K30" s="759"/>
      <c r="L30" s="759"/>
      <c r="M30" s="760"/>
      <c r="N30" s="759"/>
      <c r="O30" s="760"/>
      <c r="P30" s="759"/>
      <c r="Q30" s="761"/>
      <c r="R30" s="759"/>
      <c r="S30" s="762"/>
    </row>
    <row r="31" spans="1:21" ht="15.3">
      <c r="A31" s="794"/>
      <c r="B31" s="794"/>
      <c r="C31" s="794"/>
      <c r="D31" s="794"/>
      <c r="E31" s="795"/>
      <c r="F31" s="795"/>
      <c r="G31" s="796"/>
      <c r="H31" s="797"/>
      <c r="I31" s="798"/>
      <c r="J31" s="799"/>
      <c r="K31" s="798"/>
      <c r="L31" s="798"/>
      <c r="M31" s="797"/>
      <c r="N31" s="798"/>
      <c r="O31" s="797"/>
      <c r="P31" s="798"/>
      <c r="Q31" s="800"/>
      <c r="R31" s="798"/>
      <c r="S31" s="801"/>
    </row>
    <row r="32" spans="1:21" ht="15.3">
      <c r="A32" s="794"/>
      <c r="B32" s="794"/>
      <c r="C32" s="794"/>
      <c r="D32" s="794" t="s">
        <v>180</v>
      </c>
      <c r="E32" s="795"/>
      <c r="F32" s="795"/>
      <c r="G32" s="796"/>
      <c r="H32" s="797"/>
      <c r="I32" s="798"/>
      <c r="J32" s="799"/>
      <c r="K32" s="798"/>
      <c r="L32" s="798"/>
      <c r="M32" s="797"/>
      <c r="N32" s="798"/>
      <c r="O32" s="797"/>
      <c r="P32" s="798"/>
      <c r="Q32" s="800"/>
      <c r="R32" s="798"/>
      <c r="S32" s="801"/>
    </row>
    <row r="33" spans="1:19" ht="15.3">
      <c r="A33" s="772" t="s">
        <v>925</v>
      </c>
      <c r="B33" s="772">
        <v>70015</v>
      </c>
      <c r="C33" s="772" t="s">
        <v>910</v>
      </c>
      <c r="D33" s="772" t="s">
        <v>181</v>
      </c>
      <c r="E33" s="773" t="s">
        <v>180</v>
      </c>
      <c r="F33" s="773"/>
      <c r="G33" s="775" t="s">
        <v>166</v>
      </c>
      <c r="H33" s="776"/>
      <c r="I33" s="1065">
        <v>0.43330000000000002</v>
      </c>
      <c r="J33" s="802">
        <f>SUM(J13:J23)*$I33</f>
        <v>125637.5015</v>
      </c>
      <c r="K33" s="778"/>
      <c r="L33" s="803">
        <f>SUM(L13:L23)*$I33</f>
        <v>145825.3818</v>
      </c>
      <c r="M33" s="776"/>
      <c r="N33" s="803">
        <f>SUM(N13:N23)*$I33</f>
        <v>153116.65088999999</v>
      </c>
      <c r="O33" s="776"/>
      <c r="P33" s="803">
        <f>SUM(P13:P23)*$I33</f>
        <v>144019.91575518754</v>
      </c>
      <c r="Q33" s="779">
        <f t="shared" ref="Q33" si="15">SUM(J33+L33+N33+P33)</f>
        <v>568599.44994518755</v>
      </c>
      <c r="R33" s="778">
        <v>0</v>
      </c>
      <c r="S33" s="780">
        <f>SUM(Q33:R33)</f>
        <v>568599.44994518755</v>
      </c>
    </row>
    <row r="34" spans="1:19" ht="15.3">
      <c r="A34" s="772" t="s">
        <v>924</v>
      </c>
      <c r="B34" s="772">
        <v>50900</v>
      </c>
      <c r="C34" s="772" t="s">
        <v>920</v>
      </c>
      <c r="D34" s="772" t="s">
        <v>182</v>
      </c>
      <c r="E34" s="773" t="s">
        <v>180</v>
      </c>
      <c r="F34" s="773"/>
      <c r="G34" s="775" t="s">
        <v>166</v>
      </c>
      <c r="H34" s="776"/>
      <c r="I34" s="804">
        <v>0.23469999999999999</v>
      </c>
      <c r="J34" s="777">
        <f>SUM(J26:J27)*$I$34</f>
        <v>2569.9649999999997</v>
      </c>
      <c r="K34" s="778"/>
      <c r="L34" s="778">
        <f>SUM(L26:L27)*$I$34</f>
        <v>9241.3125</v>
      </c>
      <c r="M34" s="776"/>
      <c r="N34" s="778">
        <f>SUM(N26:N27)*$I$34</f>
        <v>9703.3781249999993</v>
      </c>
      <c r="O34" s="776"/>
      <c r="P34" s="778">
        <f>SUM(P26:P27)*$I$34</f>
        <v>10188.54703125</v>
      </c>
      <c r="Q34" s="779">
        <f>SUM(J34+L34+N34+P34)</f>
        <v>31703.20265625</v>
      </c>
      <c r="R34" s="778">
        <v>0</v>
      </c>
      <c r="S34" s="780">
        <f>SUM(Q34:R34)</f>
        <v>31703.20265625</v>
      </c>
    </row>
    <row r="35" spans="1:19" ht="15.3">
      <c r="A35" s="805"/>
      <c r="B35" s="805"/>
      <c r="C35" s="805"/>
      <c r="D35" s="805"/>
      <c r="G35" s="806"/>
      <c r="H35" s="807"/>
      <c r="I35" s="808"/>
      <c r="J35" s="809"/>
      <c r="K35" s="808"/>
      <c r="L35" s="808"/>
      <c r="M35" s="810"/>
      <c r="N35" s="808"/>
      <c r="O35" s="810"/>
      <c r="P35" s="808"/>
      <c r="Q35" s="811"/>
      <c r="R35" s="778"/>
      <c r="S35" s="812"/>
    </row>
    <row r="36" spans="1:19" ht="15.6" thickBot="1">
      <c r="A36" s="813"/>
      <c r="B36" s="813"/>
      <c r="C36" s="813"/>
      <c r="D36" s="813" t="s">
        <v>183</v>
      </c>
      <c r="E36" s="814"/>
      <c r="F36" s="814"/>
      <c r="G36" s="815"/>
      <c r="H36" s="816"/>
      <c r="I36" s="817"/>
      <c r="J36" s="818">
        <f>SUM(J33:J35)</f>
        <v>128207.46649999999</v>
      </c>
      <c r="K36" s="819"/>
      <c r="L36" s="819">
        <f>SUM(L33:L35)</f>
        <v>155066.6943</v>
      </c>
      <c r="M36" s="820"/>
      <c r="N36" s="819">
        <f>SUM(N33:N35)</f>
        <v>162820.02901499998</v>
      </c>
      <c r="O36" s="820"/>
      <c r="P36" s="819">
        <f>SUM(P33:P35)</f>
        <v>154208.46278643754</v>
      </c>
      <c r="Q36" s="821">
        <f>SUM(Q33:Q35)</f>
        <v>600302.65260143753</v>
      </c>
      <c r="R36" s="819">
        <f>SUM(R34:R34)</f>
        <v>0</v>
      </c>
      <c r="S36" s="822">
        <f>SUM(S33:S35)</f>
        <v>600302.65260143753</v>
      </c>
    </row>
    <row r="37" spans="1:19" ht="15.3">
      <c r="A37" s="823"/>
      <c r="B37" s="823"/>
      <c r="C37" s="823"/>
      <c r="D37" s="823" t="s">
        <v>184</v>
      </c>
      <c r="E37" s="824"/>
      <c r="F37" s="824"/>
      <c r="G37" s="825"/>
      <c r="H37" s="826"/>
      <c r="I37" s="827"/>
      <c r="J37" s="828"/>
      <c r="K37" s="829"/>
      <c r="L37" s="829"/>
      <c r="M37" s="830"/>
      <c r="N37" s="829"/>
      <c r="O37" s="830"/>
      <c r="P37" s="829"/>
      <c r="Q37" s="831"/>
      <c r="R37" s="829"/>
      <c r="S37" s="832"/>
    </row>
    <row r="38" spans="1:19" ht="15.3">
      <c r="A38" s="889"/>
      <c r="B38" s="889"/>
      <c r="C38" s="889"/>
      <c r="D38" s="889" t="s">
        <v>185</v>
      </c>
      <c r="E38" s="834"/>
      <c r="F38" s="834"/>
      <c r="G38" s="835"/>
      <c r="H38" s="766"/>
      <c r="I38" s="836"/>
      <c r="J38" s="837"/>
      <c r="K38" s="838"/>
      <c r="L38" s="838"/>
      <c r="M38" s="839"/>
      <c r="N38" s="838"/>
      <c r="O38" s="839"/>
      <c r="P38" s="838"/>
      <c r="Q38" s="840"/>
      <c r="R38" s="838"/>
      <c r="S38" s="841"/>
    </row>
    <row r="39" spans="1:19" ht="15.3">
      <c r="A39" s="805" t="s">
        <v>928</v>
      </c>
      <c r="B39" s="805">
        <v>86040</v>
      </c>
      <c r="C39" s="805" t="s">
        <v>927</v>
      </c>
      <c r="D39" s="805" t="s">
        <v>186</v>
      </c>
      <c r="E39" s="736" t="s">
        <v>184</v>
      </c>
      <c r="G39" s="842" t="s">
        <v>187</v>
      </c>
      <c r="H39" s="776"/>
      <c r="I39" s="778">
        <v>650</v>
      </c>
      <c r="J39" s="777">
        <f>H39*I39</f>
        <v>0</v>
      </c>
      <c r="K39" s="778">
        <v>2</v>
      </c>
      <c r="L39" s="778">
        <f>K39*I39*$E$7</f>
        <v>1352</v>
      </c>
      <c r="M39" s="776">
        <v>0</v>
      </c>
      <c r="N39" s="778">
        <f>M39*I39*$E$7*$E$7</f>
        <v>0</v>
      </c>
      <c r="O39" s="776">
        <v>0</v>
      </c>
      <c r="P39" s="778">
        <f>O39*I39*$E$7*$E$7*$E$7</f>
        <v>0</v>
      </c>
      <c r="Q39" s="779">
        <f t="shared" ref="Q39:Q42" si="16">SUM(J39+L39+N39+P39)</f>
        <v>1352</v>
      </c>
      <c r="R39" s="778" t="s">
        <v>188</v>
      </c>
      <c r="S39" s="780">
        <f>SUM(Q39:R39)</f>
        <v>1352</v>
      </c>
    </row>
    <row r="40" spans="1:19" ht="30.6">
      <c r="A40" s="805" t="s">
        <v>929</v>
      </c>
      <c r="B40" s="805" t="s">
        <v>926</v>
      </c>
      <c r="C40" s="805" t="s">
        <v>927</v>
      </c>
      <c r="D40" s="805" t="s">
        <v>189</v>
      </c>
      <c r="E40" s="736" t="s">
        <v>184</v>
      </c>
      <c r="G40" s="842" t="s">
        <v>190</v>
      </c>
      <c r="H40" s="776"/>
      <c r="I40" s="778">
        <f>(258+79)*90%</f>
        <v>303.3</v>
      </c>
      <c r="J40" s="777">
        <f>H40*I40</f>
        <v>0</v>
      </c>
      <c r="K40" s="778">
        <v>10</v>
      </c>
      <c r="L40" s="778">
        <f t="shared" ref="L40:L42" si="17">K40*I40*$E$7</f>
        <v>3154.32</v>
      </c>
      <c r="M40" s="776">
        <v>0</v>
      </c>
      <c r="N40" s="778">
        <f>M40*I40*$E$7*$E$7</f>
        <v>0</v>
      </c>
      <c r="O40" s="776">
        <v>0</v>
      </c>
      <c r="P40" s="778">
        <f t="shared" ref="P40:P46" si="18">O40*I40*$E$7*$E$7*$E$7</f>
        <v>0</v>
      </c>
      <c r="Q40" s="779">
        <f t="shared" si="16"/>
        <v>3154.32</v>
      </c>
      <c r="R40" s="778" t="s">
        <v>188</v>
      </c>
      <c r="S40" s="780">
        <f>SUM(Q40:R40)</f>
        <v>3154.32</v>
      </c>
    </row>
    <row r="41" spans="1:19" ht="15.3">
      <c r="A41" s="805" t="s">
        <v>930</v>
      </c>
      <c r="B41" s="805">
        <v>86000</v>
      </c>
      <c r="C41" s="805" t="s">
        <v>927</v>
      </c>
      <c r="D41" s="805" t="s">
        <v>191</v>
      </c>
      <c r="E41" s="736" t="s">
        <v>184</v>
      </c>
      <c r="G41" s="842" t="s">
        <v>190</v>
      </c>
      <c r="H41" s="776"/>
      <c r="I41" s="778">
        <v>60</v>
      </c>
      <c r="J41" s="777">
        <f>H41*I41</f>
        <v>0</v>
      </c>
      <c r="K41" s="778">
        <v>10</v>
      </c>
      <c r="L41" s="778">
        <f t="shared" si="17"/>
        <v>624</v>
      </c>
      <c r="M41" s="776">
        <v>0</v>
      </c>
      <c r="N41" s="778">
        <f>M41*I41*$E$7*$E$7</f>
        <v>0</v>
      </c>
      <c r="O41" s="776">
        <v>0</v>
      </c>
      <c r="P41" s="778">
        <f t="shared" si="18"/>
        <v>0</v>
      </c>
      <c r="Q41" s="779">
        <f t="shared" si="16"/>
        <v>624</v>
      </c>
      <c r="R41" s="778" t="s">
        <v>188</v>
      </c>
      <c r="S41" s="780">
        <f>SUM(Q41:R41)</f>
        <v>624</v>
      </c>
    </row>
    <row r="42" spans="1:19" ht="15.3">
      <c r="A42" s="805" t="s">
        <v>931</v>
      </c>
      <c r="B42" s="805">
        <v>86050</v>
      </c>
      <c r="C42" s="805" t="s">
        <v>927</v>
      </c>
      <c r="D42" s="805" t="s">
        <v>192</v>
      </c>
      <c r="E42" s="736" t="s">
        <v>184</v>
      </c>
      <c r="G42" s="842" t="s">
        <v>187</v>
      </c>
      <c r="H42" s="776"/>
      <c r="I42" s="778">
        <v>160</v>
      </c>
      <c r="J42" s="777">
        <f>H42*I42</f>
        <v>0</v>
      </c>
      <c r="K42" s="778">
        <v>2</v>
      </c>
      <c r="L42" s="778">
        <f t="shared" si="17"/>
        <v>332.8</v>
      </c>
      <c r="M42" s="776">
        <v>0</v>
      </c>
      <c r="N42" s="778">
        <f>M42*I42*$E$7*$E$7</f>
        <v>0</v>
      </c>
      <c r="O42" s="776">
        <v>0</v>
      </c>
      <c r="P42" s="778">
        <f t="shared" si="18"/>
        <v>0</v>
      </c>
      <c r="Q42" s="779">
        <f t="shared" si="16"/>
        <v>332.8</v>
      </c>
      <c r="R42" s="778" t="s">
        <v>188</v>
      </c>
      <c r="S42" s="780">
        <f>SUM(Q42:R42)</f>
        <v>332.8</v>
      </c>
    </row>
    <row r="43" spans="1:19" ht="15.3">
      <c r="A43" s="833"/>
      <c r="B43" s="833"/>
      <c r="C43" s="833"/>
      <c r="D43" s="833" t="s">
        <v>193</v>
      </c>
      <c r="E43" s="834"/>
      <c r="F43" s="834"/>
      <c r="G43" s="843"/>
      <c r="H43" s="783"/>
      <c r="I43" s="785"/>
      <c r="J43" s="784"/>
      <c r="K43" s="785"/>
      <c r="L43" s="785"/>
      <c r="M43" s="783"/>
      <c r="N43" s="785"/>
      <c r="O43" s="783"/>
      <c r="P43" s="785"/>
      <c r="Q43" s="786"/>
      <c r="R43" s="785"/>
      <c r="S43" s="787"/>
    </row>
    <row r="44" spans="1:19" ht="15.3">
      <c r="A44" s="805" t="s">
        <v>932</v>
      </c>
      <c r="B44" s="805">
        <v>86040</v>
      </c>
      <c r="C44" s="805" t="s">
        <v>910</v>
      </c>
      <c r="D44" s="805" t="s">
        <v>194</v>
      </c>
      <c r="E44" s="736" t="s">
        <v>184</v>
      </c>
      <c r="G44" s="842" t="s">
        <v>187</v>
      </c>
      <c r="H44" s="776">
        <v>2</v>
      </c>
      <c r="I44" s="778">
        <v>650</v>
      </c>
      <c r="J44" s="777">
        <f>H44*I44</f>
        <v>1300</v>
      </c>
      <c r="K44" s="778">
        <v>2</v>
      </c>
      <c r="L44" s="778">
        <f>K44*I44*$E$7</f>
        <v>1352</v>
      </c>
      <c r="M44" s="776">
        <v>2</v>
      </c>
      <c r="N44" s="778">
        <f>M44*I44*$E$7*$E$7</f>
        <v>1406.0800000000002</v>
      </c>
      <c r="O44" s="776">
        <v>2</v>
      </c>
      <c r="P44" s="778">
        <f t="shared" si="18"/>
        <v>1462.3232000000003</v>
      </c>
      <c r="Q44" s="779">
        <f t="shared" ref="Q44:Q45" si="19">SUM(J44+L44+N44+P44)</f>
        <v>5520.4032000000007</v>
      </c>
      <c r="R44" s="778" t="s">
        <v>188</v>
      </c>
      <c r="S44" s="780">
        <f>SUM(Q44:R44)</f>
        <v>5520.4032000000007</v>
      </c>
    </row>
    <row r="45" spans="1:19" ht="30.6">
      <c r="A45" s="805" t="s">
        <v>933</v>
      </c>
      <c r="B45" s="805" t="s">
        <v>926</v>
      </c>
      <c r="C45" s="805" t="s">
        <v>910</v>
      </c>
      <c r="D45" s="805" t="s">
        <v>189</v>
      </c>
      <c r="E45" s="736" t="s">
        <v>184</v>
      </c>
      <c r="G45" s="773" t="s">
        <v>190</v>
      </c>
      <c r="H45" s="776">
        <v>5</v>
      </c>
      <c r="I45" s="778">
        <f>(258+79)*90%</f>
        <v>303.3</v>
      </c>
      <c r="J45" s="777">
        <f>H45*I45</f>
        <v>1516.5</v>
      </c>
      <c r="K45" s="778">
        <v>10</v>
      </c>
      <c r="L45" s="778">
        <f t="shared" ref="L45:L46" si="20">K45*I45*$E$7</f>
        <v>3154.32</v>
      </c>
      <c r="M45" s="776">
        <v>10</v>
      </c>
      <c r="N45" s="778">
        <f>M45*I45*$E$7*$E$7</f>
        <v>3280.4928000000004</v>
      </c>
      <c r="O45" s="776">
        <v>10</v>
      </c>
      <c r="P45" s="778">
        <f t="shared" si="18"/>
        <v>3411.7125120000005</v>
      </c>
      <c r="Q45" s="779">
        <f t="shared" si="19"/>
        <v>11363.025312</v>
      </c>
      <c r="R45" s="778" t="s">
        <v>188</v>
      </c>
      <c r="S45" s="780">
        <f>SUM(Q45:R45)</f>
        <v>11363.025312</v>
      </c>
    </row>
    <row r="46" spans="1:19" ht="15.3">
      <c r="A46" s="805" t="s">
        <v>934</v>
      </c>
      <c r="B46" s="805">
        <v>86000</v>
      </c>
      <c r="C46" s="805" t="s">
        <v>910</v>
      </c>
      <c r="D46" s="805" t="s">
        <v>191</v>
      </c>
      <c r="E46" s="736" t="s">
        <v>184</v>
      </c>
      <c r="G46" s="842" t="s">
        <v>190</v>
      </c>
      <c r="H46" s="776">
        <v>5</v>
      </c>
      <c r="I46" s="778">
        <v>60</v>
      </c>
      <c r="J46" s="777">
        <f>H46*I46</f>
        <v>300</v>
      </c>
      <c r="K46" s="778">
        <v>10</v>
      </c>
      <c r="L46" s="778">
        <f t="shared" si="20"/>
        <v>624</v>
      </c>
      <c r="M46" s="776">
        <v>10</v>
      </c>
      <c r="N46" s="778">
        <f>M46*I46*$E$7*$E$7</f>
        <v>648.96</v>
      </c>
      <c r="O46" s="776">
        <v>10</v>
      </c>
      <c r="P46" s="778">
        <f t="shared" si="18"/>
        <v>674.91840000000002</v>
      </c>
      <c r="Q46" s="779">
        <f>SUM(J46+L46+N46+P46)</f>
        <v>2247.8784000000001</v>
      </c>
      <c r="R46" s="778" t="s">
        <v>188</v>
      </c>
      <c r="S46" s="780">
        <f>SUM(Q46:R46)</f>
        <v>2247.8784000000001</v>
      </c>
    </row>
    <row r="47" spans="1:19" ht="15.3">
      <c r="A47" s="833"/>
      <c r="B47" s="833"/>
      <c r="C47" s="833"/>
      <c r="D47" s="833" t="s">
        <v>195</v>
      </c>
      <c r="E47" s="834"/>
      <c r="F47" s="834"/>
      <c r="G47" s="843"/>
      <c r="H47" s="783"/>
      <c r="I47" s="785"/>
      <c r="J47" s="784"/>
      <c r="K47" s="785"/>
      <c r="L47" s="785"/>
      <c r="M47" s="783"/>
      <c r="N47" s="785"/>
      <c r="O47" s="783"/>
      <c r="P47" s="785"/>
      <c r="Q47" s="786"/>
      <c r="R47" s="785"/>
      <c r="S47" s="787"/>
    </row>
    <row r="48" spans="1:19" ht="15.3">
      <c r="A48" s="805" t="s">
        <v>935</v>
      </c>
      <c r="B48" s="805">
        <v>86040</v>
      </c>
      <c r="C48" s="805" t="s">
        <v>910</v>
      </c>
      <c r="D48" s="805" t="s">
        <v>196</v>
      </c>
      <c r="E48" s="736" t="s">
        <v>184</v>
      </c>
      <c r="G48" s="842" t="s">
        <v>187</v>
      </c>
      <c r="H48" s="776">
        <v>1</v>
      </c>
      <c r="I48" s="778">
        <v>650</v>
      </c>
      <c r="J48" s="777">
        <f>H48*I48</f>
        <v>650</v>
      </c>
      <c r="K48" s="778">
        <v>1</v>
      </c>
      <c r="L48" s="778">
        <f>K48*I48*$E$7</f>
        <v>676</v>
      </c>
      <c r="M48" s="776">
        <v>1</v>
      </c>
      <c r="N48" s="778">
        <f>M48*I48*$E$7*$E$7</f>
        <v>703.04000000000008</v>
      </c>
      <c r="O48" s="776">
        <v>1</v>
      </c>
      <c r="P48" s="778">
        <f t="shared" ref="P48:P51" si="21">O48*I48*$E$7*$E$7*$E$7</f>
        <v>731.16160000000013</v>
      </c>
      <c r="Q48" s="779">
        <f t="shared" ref="Q48:Q49" si="22">SUM(J48+L48+N48+P48)</f>
        <v>2760.2016000000003</v>
      </c>
      <c r="R48" s="778" t="s">
        <v>188</v>
      </c>
      <c r="S48" s="780">
        <f>SUM(Q48:R48)</f>
        <v>2760.2016000000003</v>
      </c>
    </row>
    <row r="49" spans="1:19" ht="30.6">
      <c r="A49" s="805" t="s">
        <v>936</v>
      </c>
      <c r="B49" s="805" t="s">
        <v>926</v>
      </c>
      <c r="C49" s="805" t="s">
        <v>910</v>
      </c>
      <c r="D49" s="805" t="s">
        <v>197</v>
      </c>
      <c r="E49" s="736" t="s">
        <v>184</v>
      </c>
      <c r="G49" s="773" t="s">
        <v>190</v>
      </c>
      <c r="H49" s="776">
        <v>5</v>
      </c>
      <c r="I49" s="778">
        <f>(295)*90%</f>
        <v>265.5</v>
      </c>
      <c r="J49" s="777">
        <f>H49*I49</f>
        <v>1327.5</v>
      </c>
      <c r="K49" s="778">
        <v>7</v>
      </c>
      <c r="L49" s="778">
        <f t="shared" ref="L49:L51" si="23">K49*I49*$E$7</f>
        <v>1932.8400000000001</v>
      </c>
      <c r="M49" s="776">
        <v>7</v>
      </c>
      <c r="N49" s="778">
        <f>M49*I49*$E$7*$E$7</f>
        <v>2010.1536000000003</v>
      </c>
      <c r="O49" s="776">
        <v>7</v>
      </c>
      <c r="P49" s="778">
        <f t="shared" si="21"/>
        <v>2090.5597440000006</v>
      </c>
      <c r="Q49" s="779">
        <f t="shared" si="22"/>
        <v>7361.0533440000017</v>
      </c>
      <c r="R49" s="778" t="s">
        <v>188</v>
      </c>
      <c r="S49" s="780">
        <f>SUM(Q49:R49)</f>
        <v>7361.0533440000017</v>
      </c>
    </row>
    <row r="50" spans="1:19" ht="15.3">
      <c r="A50" s="805" t="s">
        <v>937</v>
      </c>
      <c r="B50" s="805">
        <v>86000</v>
      </c>
      <c r="C50" s="805" t="s">
        <v>910</v>
      </c>
      <c r="D50" s="805" t="s">
        <v>198</v>
      </c>
      <c r="E50" s="736" t="s">
        <v>184</v>
      </c>
      <c r="G50" s="842" t="s">
        <v>190</v>
      </c>
      <c r="H50" s="776">
        <v>5</v>
      </c>
      <c r="I50" s="778">
        <v>60</v>
      </c>
      <c r="J50" s="777">
        <f>H50*I50</f>
        <v>300</v>
      </c>
      <c r="K50" s="778">
        <v>7</v>
      </c>
      <c r="L50" s="778">
        <f t="shared" si="23"/>
        <v>436.8</v>
      </c>
      <c r="M50" s="776">
        <v>7</v>
      </c>
      <c r="N50" s="778">
        <f>M50*I50*$E$7*$E$7</f>
        <v>454.27200000000005</v>
      </c>
      <c r="O50" s="776">
        <v>7</v>
      </c>
      <c r="P50" s="778">
        <f t="shared" si="21"/>
        <v>472.44288000000006</v>
      </c>
      <c r="Q50" s="779">
        <f>SUM(J50+L50+N50+P50)</f>
        <v>1663.5148800000002</v>
      </c>
      <c r="R50" s="778" t="s">
        <v>188</v>
      </c>
      <c r="S50" s="780">
        <f>SUM(Q50:R50)</f>
        <v>1663.5148800000002</v>
      </c>
    </row>
    <row r="51" spans="1:19" ht="15.3">
      <c r="A51" s="805" t="s">
        <v>938</v>
      </c>
      <c r="B51" s="805">
        <v>86050</v>
      </c>
      <c r="C51" s="805" t="s">
        <v>910</v>
      </c>
      <c r="D51" s="805" t="s">
        <v>199</v>
      </c>
      <c r="E51" s="736" t="s">
        <v>184</v>
      </c>
      <c r="G51" s="842" t="s">
        <v>187</v>
      </c>
      <c r="H51" s="776">
        <v>1</v>
      </c>
      <c r="I51" s="778">
        <v>160</v>
      </c>
      <c r="J51" s="777">
        <f>H51*I51</f>
        <v>160</v>
      </c>
      <c r="K51" s="778">
        <v>1</v>
      </c>
      <c r="L51" s="778">
        <f t="shared" si="23"/>
        <v>166.4</v>
      </c>
      <c r="M51" s="776">
        <v>1</v>
      </c>
      <c r="N51" s="778">
        <f>M51*I51*$E$7*$E$7</f>
        <v>173.05600000000001</v>
      </c>
      <c r="O51" s="776">
        <v>1</v>
      </c>
      <c r="P51" s="778">
        <f t="shared" si="21"/>
        <v>179.97824000000003</v>
      </c>
      <c r="Q51" s="779">
        <f t="shared" ref="Q51" si="24">SUM(J51+L51+N51+P51)</f>
        <v>679.43424000000005</v>
      </c>
      <c r="R51" s="778" t="s">
        <v>188</v>
      </c>
      <c r="S51" s="780">
        <f>SUM(Q51:R51)</f>
        <v>679.43424000000005</v>
      </c>
    </row>
    <row r="52" spans="1:19" ht="45.9">
      <c r="A52" s="1092" t="s">
        <v>939</v>
      </c>
      <c r="B52" s="1092" t="s">
        <v>940</v>
      </c>
      <c r="C52" s="1092" t="s">
        <v>910</v>
      </c>
      <c r="D52" s="833" t="s">
        <v>200</v>
      </c>
      <c r="E52" s="834"/>
      <c r="F52" s="834"/>
      <c r="G52" s="843"/>
      <c r="H52" s="783"/>
      <c r="I52" s="785"/>
      <c r="J52" s="987">
        <f>' Activities Detail'!M292</f>
        <v>1384</v>
      </c>
      <c r="K52" s="988"/>
      <c r="L52" s="988">
        <f>' Activities Detail'!P292</f>
        <v>28756.000000000004</v>
      </c>
      <c r="M52" s="989"/>
      <c r="N52" s="988">
        <f>' Activities Detail'!S292</f>
        <v>33518.784000000007</v>
      </c>
      <c r="O52" s="989"/>
      <c r="P52" s="988">
        <f>' Activities Detail'!V292</f>
        <v>24180.07654400001</v>
      </c>
      <c r="Q52" s="786">
        <f>SUM(J52+L52+N52+P52)</f>
        <v>87838.860544000025</v>
      </c>
      <c r="R52" s="785"/>
      <c r="S52" s="787">
        <f>SUM(Q52:R52)</f>
        <v>87838.860544000025</v>
      </c>
    </row>
    <row r="53" spans="1:19" ht="15.3">
      <c r="A53" s="772"/>
      <c r="B53" s="772"/>
      <c r="C53" s="772"/>
      <c r="D53" s="772"/>
      <c r="G53" s="842"/>
      <c r="H53" s="776"/>
      <c r="I53" s="778"/>
      <c r="J53" s="777"/>
      <c r="K53" s="778"/>
      <c r="L53" s="778"/>
      <c r="M53" s="776"/>
      <c r="N53" s="778"/>
      <c r="O53" s="776"/>
      <c r="P53" s="778"/>
      <c r="Q53" s="779"/>
      <c r="R53" s="778"/>
      <c r="S53" s="780"/>
    </row>
    <row r="54" spans="1:19" ht="15.6" thickBot="1">
      <c r="A54" s="813"/>
      <c r="B54" s="813"/>
      <c r="C54" s="813"/>
      <c r="D54" s="813" t="s">
        <v>201</v>
      </c>
      <c r="E54" s="814"/>
      <c r="F54" s="814"/>
      <c r="G54" s="815"/>
      <c r="H54" s="816"/>
      <c r="I54" s="817"/>
      <c r="J54" s="818">
        <f>SUM(J39:J52)</f>
        <v>6938</v>
      </c>
      <c r="K54" s="819"/>
      <c r="L54" s="819">
        <f>SUM(L39:L52)</f>
        <v>42561.48</v>
      </c>
      <c r="M54" s="820"/>
      <c r="N54" s="819">
        <f>SUM(N39:N52)</f>
        <v>42194.838400000008</v>
      </c>
      <c r="O54" s="820"/>
      <c r="P54" s="819">
        <f>SUM(P39:P52)</f>
        <v>33203.173120000014</v>
      </c>
      <c r="Q54" s="821">
        <f>SUM(Q39:Q52)</f>
        <v>124897.49152000004</v>
      </c>
      <c r="R54" s="819">
        <f>SUM(R39:R52)</f>
        <v>0</v>
      </c>
      <c r="S54" s="844">
        <f>SUM(Q54:R54)</f>
        <v>124897.49152000004</v>
      </c>
    </row>
    <row r="55" spans="1:19" ht="15.3">
      <c r="A55" s="845"/>
      <c r="B55" s="845"/>
      <c r="C55" s="845"/>
      <c r="D55" s="845" t="s">
        <v>202</v>
      </c>
      <c r="E55" s="755"/>
      <c r="F55" s="755"/>
      <c r="G55" s="755"/>
      <c r="H55" s="756"/>
      <c r="I55" s="757"/>
      <c r="J55" s="758"/>
      <c r="K55" s="759"/>
      <c r="L55" s="759"/>
      <c r="M55" s="760"/>
      <c r="N55" s="759"/>
      <c r="O55" s="760"/>
      <c r="P55" s="759"/>
      <c r="Q55" s="761"/>
      <c r="R55" s="759"/>
      <c r="S55" s="762"/>
    </row>
    <row r="56" spans="1:19" ht="15.3">
      <c r="A56" s="805" t="s">
        <v>941</v>
      </c>
      <c r="B56" s="805" t="s">
        <v>941</v>
      </c>
      <c r="C56" s="805" t="s">
        <v>941</v>
      </c>
      <c r="D56" s="805" t="s">
        <v>203</v>
      </c>
      <c r="E56" s="773" t="s">
        <v>202</v>
      </c>
      <c r="F56" s="773"/>
      <c r="G56" s="736" t="s">
        <v>204</v>
      </c>
      <c r="H56" s="776"/>
      <c r="I56" s="778"/>
      <c r="J56" s="777"/>
      <c r="K56" s="778">
        <v>0</v>
      </c>
      <c r="L56" s="778">
        <f>K56*I56*Assumptions!$C$15</f>
        <v>0</v>
      </c>
      <c r="M56" s="776">
        <v>0</v>
      </c>
      <c r="N56" s="778">
        <f>M56*I56*Assumptions!$C$15*Assumptions!$C$15</f>
        <v>0</v>
      </c>
      <c r="O56" s="776">
        <v>0</v>
      </c>
      <c r="P56" s="778">
        <f>O56*I56*Assumptions!$C$15*Assumptions!$C$15*Assumptions!$C$15</f>
        <v>0</v>
      </c>
      <c r="Q56" s="779">
        <f t="shared" ref="Q56" si="25">SUM(J56+L56+N56+P56)</f>
        <v>0</v>
      </c>
      <c r="R56" s="778">
        <v>0</v>
      </c>
      <c r="S56" s="780">
        <f>SUM(Q56:R56)</f>
        <v>0</v>
      </c>
    </row>
    <row r="57" spans="1:19" ht="15.3">
      <c r="A57" s="805"/>
      <c r="B57" s="805"/>
      <c r="C57" s="805"/>
      <c r="D57" s="805"/>
      <c r="E57" s="773"/>
      <c r="F57" s="773"/>
      <c r="H57" s="776"/>
      <c r="I57" s="778"/>
      <c r="J57" s="777"/>
      <c r="K57" s="778"/>
      <c r="L57" s="778"/>
      <c r="M57" s="776"/>
      <c r="N57" s="778"/>
      <c r="O57" s="776"/>
      <c r="P57" s="778"/>
      <c r="Q57" s="779"/>
      <c r="R57" s="778"/>
      <c r="S57" s="780"/>
    </row>
    <row r="58" spans="1:19" ht="15.6" thickBot="1">
      <c r="A58" s="813"/>
      <c r="B58" s="813"/>
      <c r="C58" s="813"/>
      <c r="D58" s="813" t="s">
        <v>205</v>
      </c>
      <c r="E58" s="814"/>
      <c r="F58" s="814"/>
      <c r="G58" s="815"/>
      <c r="H58" s="816"/>
      <c r="I58" s="817"/>
      <c r="J58" s="818">
        <f>SUM(J56)</f>
        <v>0</v>
      </c>
      <c r="K58" s="819"/>
      <c r="L58" s="819">
        <f>SUM(L56)</f>
        <v>0</v>
      </c>
      <c r="M58" s="820"/>
      <c r="N58" s="819">
        <f>SUM(N56)</f>
        <v>0</v>
      </c>
      <c r="O58" s="820"/>
      <c r="P58" s="819">
        <f>SUM(P56)</f>
        <v>0</v>
      </c>
      <c r="Q58" s="821">
        <f>SUM(Q56)</f>
        <v>0</v>
      </c>
      <c r="R58" s="819">
        <f>SUM(R56)</f>
        <v>0</v>
      </c>
      <c r="S58" s="844">
        <f>SUM(Q58:R58)</f>
        <v>0</v>
      </c>
    </row>
    <row r="59" spans="1:19" ht="15.3">
      <c r="A59" s="845"/>
      <c r="B59" s="845"/>
      <c r="C59" s="845"/>
      <c r="D59" s="845" t="s">
        <v>206</v>
      </c>
      <c r="E59" s="755"/>
      <c r="F59" s="755"/>
      <c r="G59" s="755"/>
      <c r="H59" s="756"/>
      <c r="I59" s="757"/>
      <c r="J59" s="758"/>
      <c r="K59" s="759"/>
      <c r="L59" s="759"/>
      <c r="M59" s="760"/>
      <c r="N59" s="759"/>
      <c r="O59" s="760"/>
      <c r="P59" s="759"/>
      <c r="Q59" s="761"/>
      <c r="R59" s="759"/>
      <c r="S59" s="762"/>
    </row>
    <row r="60" spans="1:19" ht="15.3">
      <c r="A60" s="805" t="s">
        <v>942</v>
      </c>
      <c r="B60" s="805">
        <v>82401</v>
      </c>
      <c r="C60" s="805" t="s">
        <v>927</v>
      </c>
      <c r="D60" s="805" t="s">
        <v>207</v>
      </c>
      <c r="E60" s="773" t="s">
        <v>206</v>
      </c>
      <c r="F60" s="773"/>
      <c r="G60" s="736" t="s">
        <v>204</v>
      </c>
      <c r="H60" s="776">
        <v>7</v>
      </c>
      <c r="I60" s="846">
        <f>1254.6</f>
        <v>1254.5999999999999</v>
      </c>
      <c r="J60" s="777">
        <f>H60*I60</f>
        <v>8782.1999999999989</v>
      </c>
      <c r="K60" s="778"/>
      <c r="L60" s="778">
        <f>K60*I60*$E$7</f>
        <v>0</v>
      </c>
      <c r="M60" s="776">
        <v>0</v>
      </c>
      <c r="N60" s="778">
        <f>M60*I60*$E$7*$E$7</f>
        <v>0</v>
      </c>
      <c r="O60" s="776">
        <v>0</v>
      </c>
      <c r="P60" s="778">
        <f>O60*I60*$E$7*$E$7*$E$7</f>
        <v>0</v>
      </c>
      <c r="Q60" s="779">
        <f t="shared" ref="Q60:Q61" si="26">SUM(J60+L60+N60+P60)</f>
        <v>8782.1999999999989</v>
      </c>
      <c r="R60" s="778">
        <v>0</v>
      </c>
      <c r="S60" s="780">
        <f>SUM(Q60:R60)</f>
        <v>8782.1999999999989</v>
      </c>
    </row>
    <row r="61" spans="1:19" ht="15.3">
      <c r="A61" s="772" t="s">
        <v>943</v>
      </c>
      <c r="B61" s="805">
        <v>82401</v>
      </c>
      <c r="C61" s="805" t="s">
        <v>927</v>
      </c>
      <c r="D61" s="772" t="s">
        <v>208</v>
      </c>
      <c r="E61" s="773" t="s">
        <v>206</v>
      </c>
      <c r="F61" s="773"/>
      <c r="G61" s="842" t="s">
        <v>166</v>
      </c>
      <c r="H61" s="776">
        <v>9</v>
      </c>
      <c r="I61" s="778">
        <v>125</v>
      </c>
      <c r="J61" s="777">
        <f>I61*H61</f>
        <v>1125</v>
      </c>
      <c r="K61" s="778">
        <v>12</v>
      </c>
      <c r="L61" s="778">
        <f t="shared" ref="L61" si="27">K61*I61*$E$7</f>
        <v>1560</v>
      </c>
      <c r="M61" s="776">
        <v>12</v>
      </c>
      <c r="N61" s="778">
        <f t="shared" ref="N61" si="28">M61*I61*$E$7*$E$7</f>
        <v>1622.4</v>
      </c>
      <c r="O61" s="776">
        <v>12</v>
      </c>
      <c r="P61" s="778">
        <f t="shared" ref="P61" si="29">O61*I61*$E$7*$E$7*$E$7</f>
        <v>1687.296</v>
      </c>
      <c r="Q61" s="779">
        <f t="shared" si="26"/>
        <v>5994.6959999999999</v>
      </c>
      <c r="R61" s="778">
        <v>0</v>
      </c>
      <c r="S61" s="780">
        <f t="shared" ref="S61" si="30">SUM(Q61:R61)</f>
        <v>5994.6959999999999</v>
      </c>
    </row>
    <row r="62" spans="1:19" ht="15.3">
      <c r="A62" s="772"/>
      <c r="B62" s="772"/>
      <c r="C62" s="772"/>
      <c r="D62" s="772"/>
      <c r="E62" s="773"/>
      <c r="F62" s="773"/>
      <c r="G62" s="842"/>
      <c r="H62" s="847"/>
      <c r="J62" s="848"/>
      <c r="M62" s="849"/>
      <c r="O62" s="849"/>
      <c r="Q62" s="811"/>
      <c r="S62" s="812"/>
    </row>
    <row r="63" spans="1:19" ht="15.6" thickBot="1">
      <c r="A63" s="850"/>
      <c r="B63" s="850"/>
      <c r="C63" s="850"/>
      <c r="D63" s="850" t="s">
        <v>209</v>
      </c>
      <c r="E63" s="851"/>
      <c r="F63" s="851"/>
      <c r="G63" s="814"/>
      <c r="H63" s="852"/>
      <c r="I63" s="853"/>
      <c r="J63" s="854">
        <f>SUM(J60:J61)</f>
        <v>9907.1999999999989</v>
      </c>
      <c r="K63" s="855"/>
      <c r="L63" s="855">
        <f>SUM(L60:L61)</f>
        <v>1560</v>
      </c>
      <c r="M63" s="856"/>
      <c r="N63" s="855">
        <f>SUM(N60:N61)</f>
        <v>1622.4</v>
      </c>
      <c r="O63" s="856"/>
      <c r="P63" s="855">
        <f>SUM(P60:P61)</f>
        <v>1687.296</v>
      </c>
      <c r="Q63" s="857">
        <f>SUM(Q60:Q61)</f>
        <v>14776.895999999999</v>
      </c>
      <c r="R63" s="855">
        <f>SUM(R60:R61)</f>
        <v>0</v>
      </c>
      <c r="S63" s="844">
        <f>SUM(Q63:R63)</f>
        <v>14776.895999999999</v>
      </c>
    </row>
    <row r="64" spans="1:19" ht="15.3">
      <c r="A64" s="858"/>
      <c r="B64" s="858"/>
      <c r="C64" s="858"/>
      <c r="D64" s="858" t="s">
        <v>210</v>
      </c>
      <c r="E64" s="859"/>
      <c r="F64" s="859"/>
      <c r="G64" s="859"/>
      <c r="H64" s="860"/>
      <c r="I64" s="859"/>
      <c r="J64" s="861"/>
      <c r="K64" s="859"/>
      <c r="L64" s="859"/>
      <c r="M64" s="860"/>
      <c r="N64" s="859"/>
      <c r="O64" s="860"/>
      <c r="P64" s="859"/>
      <c r="Q64" s="862"/>
      <c r="R64" s="859"/>
      <c r="S64" s="863"/>
    </row>
    <row r="65" spans="1:19" ht="15.3">
      <c r="A65" s="772"/>
      <c r="B65" s="1094"/>
      <c r="C65" s="772"/>
      <c r="D65" s="772"/>
      <c r="E65" s="773"/>
      <c r="F65" s="773"/>
      <c r="G65" s="842"/>
      <c r="H65" s="776"/>
      <c r="I65" s="778"/>
      <c r="J65" s="777"/>
      <c r="K65" s="778"/>
      <c r="L65" s="778"/>
      <c r="M65" s="776"/>
      <c r="N65" s="778"/>
      <c r="O65" s="776"/>
      <c r="P65" s="778"/>
      <c r="Q65" s="779"/>
      <c r="R65" s="778"/>
      <c r="S65" s="780"/>
    </row>
    <row r="66" spans="1:19" ht="15.3">
      <c r="A66" s="1093" t="s">
        <v>944</v>
      </c>
      <c r="B66" s="1094">
        <v>89050</v>
      </c>
      <c r="C66" s="772" t="s">
        <v>910</v>
      </c>
      <c r="D66" s="772" t="s">
        <v>211</v>
      </c>
      <c r="E66" s="773" t="s">
        <v>212</v>
      </c>
      <c r="F66" s="773"/>
      <c r="G66" s="842" t="s">
        <v>213</v>
      </c>
      <c r="H66" s="776">
        <v>1</v>
      </c>
      <c r="I66" s="778"/>
      <c r="J66" s="777">
        <v>10000</v>
      </c>
      <c r="K66" s="778">
        <v>1</v>
      </c>
      <c r="L66" s="778">
        <v>20000</v>
      </c>
      <c r="M66" s="776">
        <v>1</v>
      </c>
      <c r="N66" s="778">
        <v>20000</v>
      </c>
      <c r="O66" s="776">
        <v>1</v>
      </c>
      <c r="P66" s="778">
        <v>10000</v>
      </c>
      <c r="Q66" s="779">
        <f t="shared" ref="Q66:Q70" si="31">SUM(J66+L66+N66+P66)</f>
        <v>60000</v>
      </c>
      <c r="R66" s="778"/>
      <c r="S66" s="780">
        <f>SUM(Q66:R66)</f>
        <v>60000</v>
      </c>
    </row>
    <row r="67" spans="1:19" ht="15.3">
      <c r="A67" s="1093" t="s">
        <v>214</v>
      </c>
      <c r="B67" s="1094">
        <v>89050</v>
      </c>
      <c r="C67" s="772" t="s">
        <v>910</v>
      </c>
      <c r="D67" s="772" t="s">
        <v>214</v>
      </c>
      <c r="E67" s="773" t="s">
        <v>212</v>
      </c>
      <c r="F67" s="773"/>
      <c r="G67" s="842" t="s">
        <v>213</v>
      </c>
      <c r="H67" s="776">
        <v>1</v>
      </c>
      <c r="I67" s="778"/>
      <c r="J67" s="777"/>
      <c r="K67" s="778">
        <v>1</v>
      </c>
      <c r="L67" s="778">
        <v>15000</v>
      </c>
      <c r="M67" s="776">
        <v>1</v>
      </c>
      <c r="N67" s="778">
        <v>15000</v>
      </c>
      <c r="O67" s="776">
        <v>1</v>
      </c>
      <c r="P67" s="778">
        <v>10000</v>
      </c>
      <c r="Q67" s="779">
        <f t="shared" si="31"/>
        <v>40000</v>
      </c>
      <c r="R67" s="778"/>
      <c r="S67" s="780">
        <f t="shared" ref="S67:S71" si="32">SUM(Q67:R67)</f>
        <v>40000</v>
      </c>
    </row>
    <row r="68" spans="1:19" ht="15.3">
      <c r="A68" s="1093" t="s">
        <v>215</v>
      </c>
      <c r="B68" s="1094">
        <v>89050</v>
      </c>
      <c r="C68" s="772" t="s">
        <v>910</v>
      </c>
      <c r="D68" s="772" t="s">
        <v>215</v>
      </c>
      <c r="E68" s="773" t="s">
        <v>212</v>
      </c>
      <c r="F68" s="773"/>
      <c r="G68" s="842" t="s">
        <v>213</v>
      </c>
      <c r="H68" s="776">
        <v>1</v>
      </c>
      <c r="I68" s="778"/>
      <c r="J68" s="777"/>
      <c r="K68" s="778">
        <v>1</v>
      </c>
      <c r="L68" s="778">
        <v>7500</v>
      </c>
      <c r="M68" s="776">
        <v>1</v>
      </c>
      <c r="N68" s="778">
        <v>10000</v>
      </c>
      <c r="O68" s="776">
        <v>1</v>
      </c>
      <c r="P68" s="778">
        <v>17500</v>
      </c>
      <c r="Q68" s="779">
        <f t="shared" si="31"/>
        <v>35000</v>
      </c>
      <c r="R68" s="778"/>
      <c r="S68" s="780">
        <f t="shared" si="32"/>
        <v>35000</v>
      </c>
    </row>
    <row r="69" spans="1:19" ht="15.3">
      <c r="A69" s="772" t="s">
        <v>945</v>
      </c>
      <c r="B69" s="1094">
        <v>89050</v>
      </c>
      <c r="C69" s="772" t="s">
        <v>910</v>
      </c>
      <c r="D69" s="772" t="s">
        <v>216</v>
      </c>
      <c r="E69" s="773" t="s">
        <v>212</v>
      </c>
      <c r="F69" s="773"/>
      <c r="G69" s="842" t="s">
        <v>213</v>
      </c>
      <c r="H69" s="776">
        <v>1</v>
      </c>
      <c r="I69" s="778"/>
      <c r="J69" s="777"/>
      <c r="K69" s="778">
        <v>1</v>
      </c>
      <c r="L69" s="778">
        <v>7500</v>
      </c>
      <c r="M69" s="776">
        <v>1</v>
      </c>
      <c r="N69" s="778">
        <v>10000</v>
      </c>
      <c r="O69" s="776">
        <v>1</v>
      </c>
      <c r="P69" s="778">
        <v>17500</v>
      </c>
      <c r="Q69" s="779">
        <f t="shared" si="31"/>
        <v>35000</v>
      </c>
      <c r="R69" s="778"/>
      <c r="S69" s="780">
        <f t="shared" si="32"/>
        <v>35000</v>
      </c>
    </row>
    <row r="70" spans="1:19" ht="15.3">
      <c r="A70" s="1008" t="s">
        <v>217</v>
      </c>
      <c r="B70" s="1094">
        <v>89050</v>
      </c>
      <c r="C70" s="772" t="s">
        <v>910</v>
      </c>
      <c r="D70" s="1008" t="s">
        <v>217</v>
      </c>
      <c r="E70" s="773" t="s">
        <v>212</v>
      </c>
      <c r="F70" s="773"/>
      <c r="G70" s="842" t="s">
        <v>213</v>
      </c>
      <c r="H70" s="776">
        <v>1</v>
      </c>
      <c r="I70" s="778"/>
      <c r="J70" s="777"/>
      <c r="K70" s="778"/>
      <c r="L70" s="778">
        <v>15000</v>
      </c>
      <c r="M70" s="776"/>
      <c r="N70" s="778">
        <v>15000</v>
      </c>
      <c r="O70" s="776">
        <v>1</v>
      </c>
      <c r="P70" s="778">
        <v>10000</v>
      </c>
      <c r="Q70" s="779">
        <f t="shared" si="31"/>
        <v>40000</v>
      </c>
      <c r="R70" s="778"/>
      <c r="S70" s="780">
        <f t="shared" si="32"/>
        <v>40000</v>
      </c>
    </row>
    <row r="71" spans="1:19" ht="15.3">
      <c r="A71" s="772" t="s">
        <v>959</v>
      </c>
      <c r="B71" s="1094">
        <v>89050</v>
      </c>
      <c r="C71" s="772" t="s">
        <v>910</v>
      </c>
      <c r="D71" s="772" t="s">
        <v>218</v>
      </c>
      <c r="E71" s="773" t="s">
        <v>212</v>
      </c>
      <c r="F71" s="773"/>
      <c r="G71" s="842" t="s">
        <v>213</v>
      </c>
      <c r="H71" s="776">
        <v>1</v>
      </c>
      <c r="I71" s="778"/>
      <c r="J71" s="777">
        <f>'INDES Sub Budget Summary'!B19</f>
        <v>134056.49829000002</v>
      </c>
      <c r="K71" s="778">
        <v>1</v>
      </c>
      <c r="L71" s="778">
        <f>'INDES Sub Budget Summary'!C19</f>
        <v>194736.73610600003</v>
      </c>
      <c r="M71" s="776">
        <v>1</v>
      </c>
      <c r="N71" s="778">
        <f>'INDES Sub Budget Summary'!D19</f>
        <v>212479.40635130001</v>
      </c>
      <c r="O71" s="776">
        <v>1</v>
      </c>
      <c r="P71" s="778">
        <f>'INDES Sub Budget Summary'!E19</f>
        <v>99016.894520032511</v>
      </c>
      <c r="Q71" s="779">
        <f>SUM(J71+L71+N71+P71)</f>
        <v>640289.53526733257</v>
      </c>
      <c r="R71" s="778"/>
      <c r="S71" s="780">
        <f t="shared" si="32"/>
        <v>640289.53526733257</v>
      </c>
    </row>
    <row r="72" spans="1:19" ht="15.6" thickBot="1">
      <c r="A72" s="850"/>
      <c r="B72" s="850"/>
      <c r="C72" s="850"/>
      <c r="D72" s="850" t="s">
        <v>219</v>
      </c>
      <c r="E72" s="851"/>
      <c r="F72" s="851"/>
      <c r="G72" s="814"/>
      <c r="H72" s="852"/>
      <c r="I72" s="853"/>
      <c r="J72" s="854">
        <f>SUM(J65:J71)</f>
        <v>144056.49829000002</v>
      </c>
      <c r="K72" s="855"/>
      <c r="L72" s="855">
        <f>SUM(L65:L71)</f>
        <v>259736.73610600003</v>
      </c>
      <c r="M72" s="856"/>
      <c r="N72" s="855">
        <f>SUM(N65:N71)</f>
        <v>282479.40635130001</v>
      </c>
      <c r="O72" s="856"/>
      <c r="P72" s="855">
        <f>SUM(P65:P71)</f>
        <v>164016.89452003251</v>
      </c>
      <c r="Q72" s="857">
        <f>SUM(Q65:Q71)</f>
        <v>850289.53526733257</v>
      </c>
      <c r="R72" s="857">
        <f>SUM(R65:R71)</f>
        <v>0</v>
      </c>
      <c r="S72" s="864">
        <f>SUM(S65:S71)</f>
        <v>850289.53526733257</v>
      </c>
    </row>
    <row r="73" spans="1:19" ht="15.3">
      <c r="A73" s="858"/>
      <c r="B73" s="858"/>
      <c r="C73" s="858"/>
      <c r="D73" s="858" t="s">
        <v>220</v>
      </c>
      <c r="E73" s="859"/>
      <c r="F73" s="859"/>
      <c r="G73" s="859"/>
      <c r="H73" s="860"/>
      <c r="I73" s="859"/>
      <c r="J73" s="861"/>
      <c r="K73" s="859"/>
      <c r="L73" s="859"/>
      <c r="M73" s="860"/>
      <c r="N73" s="859"/>
      <c r="O73" s="860"/>
      <c r="P73" s="859"/>
      <c r="Q73" s="862"/>
      <c r="R73" s="859"/>
      <c r="S73" s="863"/>
    </row>
    <row r="74" spans="1:19" ht="15.3">
      <c r="A74" s="865"/>
      <c r="B74" s="865"/>
      <c r="C74" s="865"/>
      <c r="D74" s="865" t="s">
        <v>221</v>
      </c>
      <c r="E74" s="866"/>
      <c r="F74" s="866"/>
      <c r="G74" s="866"/>
      <c r="H74" s="867"/>
      <c r="I74" s="868"/>
      <c r="J74" s="869"/>
      <c r="K74" s="870"/>
      <c r="L74" s="870"/>
      <c r="M74" s="871"/>
      <c r="N74" s="870"/>
      <c r="O74" s="871"/>
      <c r="P74" s="870"/>
      <c r="Q74" s="770"/>
      <c r="R74" s="870"/>
      <c r="S74" s="771"/>
    </row>
    <row r="75" spans="1:19" ht="15.3">
      <c r="A75" s="772" t="s">
        <v>946</v>
      </c>
      <c r="B75" s="772">
        <v>90900</v>
      </c>
      <c r="C75" s="772" t="s">
        <v>910</v>
      </c>
      <c r="D75" s="772" t="s">
        <v>222</v>
      </c>
      <c r="E75" s="773" t="s">
        <v>223</v>
      </c>
      <c r="F75" s="773"/>
      <c r="G75" s="842" t="s">
        <v>166</v>
      </c>
      <c r="H75" s="776">
        <v>12</v>
      </c>
      <c r="I75" s="778">
        <v>50</v>
      </c>
      <c r="J75" s="777">
        <f t="shared" ref="J75:J76" si="33">H75*I75</f>
        <v>600</v>
      </c>
      <c r="K75" s="778">
        <v>12</v>
      </c>
      <c r="L75" s="778">
        <f>K75*I75*$E$7</f>
        <v>624</v>
      </c>
      <c r="M75" s="776">
        <v>12</v>
      </c>
      <c r="N75" s="778">
        <f>M75*I75*$E$7*$E$7</f>
        <v>648.96</v>
      </c>
      <c r="O75" s="776">
        <v>12</v>
      </c>
      <c r="P75" s="778">
        <f>O75*I75*$E$7*$E$7*$E$7</f>
        <v>674.91840000000002</v>
      </c>
      <c r="Q75" s="779">
        <f t="shared" ref="Q75:Q84" si="34">SUM(J75+L75+N75+P75)</f>
        <v>2547.8784000000001</v>
      </c>
      <c r="R75" s="778">
        <v>0</v>
      </c>
      <c r="S75" s="780">
        <f t="shared" ref="S75:S82" si="35">SUM(Q75:R75)</f>
        <v>2547.8784000000001</v>
      </c>
    </row>
    <row r="76" spans="1:19" ht="15.3">
      <c r="A76" s="772" t="s">
        <v>947</v>
      </c>
      <c r="B76" s="772">
        <v>82350</v>
      </c>
      <c r="C76" s="772" t="s">
        <v>910</v>
      </c>
      <c r="D76" s="772" t="s">
        <v>224</v>
      </c>
      <c r="E76" s="773" t="s">
        <v>223</v>
      </c>
      <c r="F76" s="773"/>
      <c r="G76" s="842" t="s">
        <v>225</v>
      </c>
      <c r="H76" s="776">
        <v>1</v>
      </c>
      <c r="I76" s="778">
        <v>70</v>
      </c>
      <c r="J76" s="777">
        <f t="shared" si="33"/>
        <v>70</v>
      </c>
      <c r="K76" s="778">
        <v>1</v>
      </c>
      <c r="L76" s="778">
        <f t="shared" ref="L76:L85" si="36">K76*I76*$E$7</f>
        <v>72.8</v>
      </c>
      <c r="M76" s="776">
        <v>1</v>
      </c>
      <c r="N76" s="778">
        <f t="shared" ref="N76:N85" si="37">M76*I76*$E$7*$E$7</f>
        <v>75.712000000000003</v>
      </c>
      <c r="O76" s="776">
        <v>1</v>
      </c>
      <c r="P76" s="778">
        <f t="shared" ref="P76:P85" si="38">O76*I76*$E$7*$E$7*$E$7</f>
        <v>78.740480000000005</v>
      </c>
      <c r="Q76" s="779">
        <f t="shared" si="34"/>
        <v>297.25247999999999</v>
      </c>
      <c r="R76" s="778">
        <v>0</v>
      </c>
      <c r="S76" s="780">
        <f t="shared" si="35"/>
        <v>297.25247999999999</v>
      </c>
    </row>
    <row r="77" spans="1:19" ht="16.5" customHeight="1">
      <c r="A77" s="772" t="s">
        <v>948</v>
      </c>
      <c r="B77" s="772">
        <v>90450</v>
      </c>
      <c r="C77" s="805" t="s">
        <v>927</v>
      </c>
      <c r="D77" s="772" t="s">
        <v>226</v>
      </c>
      <c r="E77" s="773" t="s">
        <v>223</v>
      </c>
      <c r="F77" s="773"/>
      <c r="G77" s="842" t="s">
        <v>227</v>
      </c>
      <c r="H77" s="776">
        <v>4</v>
      </c>
      <c r="I77" s="778">
        <v>262.56</v>
      </c>
      <c r="J77" s="777">
        <f>H77*I77</f>
        <v>1050.24</v>
      </c>
      <c r="K77" s="778"/>
      <c r="L77" s="778">
        <f t="shared" si="36"/>
        <v>0</v>
      </c>
      <c r="M77" s="776"/>
      <c r="N77" s="778">
        <f t="shared" si="37"/>
        <v>0</v>
      </c>
      <c r="O77" s="776"/>
      <c r="P77" s="778">
        <f t="shared" si="38"/>
        <v>0</v>
      </c>
      <c r="Q77" s="779">
        <f t="shared" si="34"/>
        <v>1050.24</v>
      </c>
      <c r="R77" s="778">
        <v>0</v>
      </c>
      <c r="S77" s="780">
        <f t="shared" si="35"/>
        <v>1050.24</v>
      </c>
    </row>
    <row r="78" spans="1:19" ht="15.3">
      <c r="A78" s="772" t="s">
        <v>949</v>
      </c>
      <c r="B78" s="772">
        <v>82030</v>
      </c>
      <c r="C78" s="772" t="s">
        <v>910</v>
      </c>
      <c r="D78" s="772" t="s">
        <v>228</v>
      </c>
      <c r="E78" s="773" t="s">
        <v>223</v>
      </c>
      <c r="F78" s="773"/>
      <c r="G78" s="842" t="s">
        <v>166</v>
      </c>
      <c r="H78" s="776">
        <v>9</v>
      </c>
      <c r="I78" s="778">
        <v>150</v>
      </c>
      <c r="J78" s="777">
        <f t="shared" ref="J78" si="39">H78*I78</f>
        <v>1350</v>
      </c>
      <c r="K78" s="778">
        <v>12</v>
      </c>
      <c r="L78" s="778">
        <f t="shared" si="36"/>
        <v>1872</v>
      </c>
      <c r="M78" s="776">
        <v>12</v>
      </c>
      <c r="N78" s="778">
        <f t="shared" si="37"/>
        <v>1946.88</v>
      </c>
      <c r="O78" s="776">
        <v>12</v>
      </c>
      <c r="P78" s="778">
        <f t="shared" si="38"/>
        <v>2024.7552000000003</v>
      </c>
      <c r="Q78" s="779">
        <f t="shared" si="34"/>
        <v>7193.6352000000006</v>
      </c>
      <c r="R78" s="778">
        <v>0</v>
      </c>
      <c r="S78" s="780">
        <f t="shared" si="35"/>
        <v>7193.6352000000006</v>
      </c>
    </row>
    <row r="79" spans="1:19" ht="15.3">
      <c r="A79" s="772" t="s">
        <v>950</v>
      </c>
      <c r="B79" s="772">
        <v>85180</v>
      </c>
      <c r="C79" s="772" t="s">
        <v>910</v>
      </c>
      <c r="D79" s="772" t="s">
        <v>229</v>
      </c>
      <c r="E79" s="773" t="s">
        <v>223</v>
      </c>
      <c r="F79" s="773"/>
      <c r="G79" s="842" t="s">
        <v>166</v>
      </c>
      <c r="H79" s="776">
        <v>9</v>
      </c>
      <c r="I79" s="778">
        <v>1500</v>
      </c>
      <c r="J79" s="777">
        <f>H79*I79</f>
        <v>13500</v>
      </c>
      <c r="K79" s="778">
        <v>12</v>
      </c>
      <c r="L79" s="778">
        <f t="shared" si="36"/>
        <v>18720</v>
      </c>
      <c r="M79" s="776">
        <v>12</v>
      </c>
      <c r="N79" s="778">
        <f t="shared" si="37"/>
        <v>19468.8</v>
      </c>
      <c r="O79" s="776">
        <v>12</v>
      </c>
      <c r="P79" s="778">
        <f t="shared" si="38"/>
        <v>20247.552</v>
      </c>
      <c r="Q79" s="779">
        <f t="shared" si="34"/>
        <v>71936.351999999999</v>
      </c>
      <c r="R79" s="778">
        <v>0</v>
      </c>
      <c r="S79" s="780">
        <f t="shared" si="35"/>
        <v>71936.351999999999</v>
      </c>
    </row>
    <row r="80" spans="1:19" ht="15.3">
      <c r="A80" s="772" t="s">
        <v>951</v>
      </c>
      <c r="B80" s="772">
        <v>89500</v>
      </c>
      <c r="C80" s="772" t="s">
        <v>910</v>
      </c>
      <c r="D80" s="772" t="s">
        <v>230</v>
      </c>
      <c r="E80" s="773" t="s">
        <v>223</v>
      </c>
      <c r="F80" s="773"/>
      <c r="G80" s="842" t="s">
        <v>225</v>
      </c>
      <c r="H80" s="776">
        <v>1</v>
      </c>
      <c r="I80" s="778">
        <v>250</v>
      </c>
      <c r="J80" s="777">
        <f>H80*I80</f>
        <v>250</v>
      </c>
      <c r="K80" s="778">
        <v>1</v>
      </c>
      <c r="L80" s="778">
        <f t="shared" si="36"/>
        <v>260</v>
      </c>
      <c r="M80" s="776">
        <v>1</v>
      </c>
      <c r="N80" s="778">
        <f t="shared" si="37"/>
        <v>270.40000000000003</v>
      </c>
      <c r="O80" s="776">
        <v>1</v>
      </c>
      <c r="P80" s="778">
        <f t="shared" si="38"/>
        <v>281.21600000000007</v>
      </c>
      <c r="Q80" s="779">
        <f t="shared" si="34"/>
        <v>1061.6160000000002</v>
      </c>
      <c r="R80" s="778">
        <v>0</v>
      </c>
      <c r="S80" s="780">
        <f t="shared" si="35"/>
        <v>1061.6160000000002</v>
      </c>
    </row>
    <row r="81" spans="1:19" ht="15.3">
      <c r="A81" s="772" t="s">
        <v>952</v>
      </c>
      <c r="B81" s="772">
        <v>90100</v>
      </c>
      <c r="C81" s="772" t="s">
        <v>910</v>
      </c>
      <c r="D81" s="772" t="s">
        <v>231</v>
      </c>
      <c r="E81" s="773" t="s">
        <v>223</v>
      </c>
      <c r="F81" s="773"/>
      <c r="G81" s="842" t="s">
        <v>225</v>
      </c>
      <c r="H81" s="776">
        <v>1</v>
      </c>
      <c r="I81" s="778">
        <v>2200</v>
      </c>
      <c r="J81" s="777">
        <f>I81*H81</f>
        <v>2200</v>
      </c>
      <c r="K81" s="778">
        <v>1</v>
      </c>
      <c r="L81" s="778">
        <f t="shared" si="36"/>
        <v>2288</v>
      </c>
      <c r="M81" s="776">
        <v>1</v>
      </c>
      <c r="N81" s="778">
        <f t="shared" si="37"/>
        <v>2379.52</v>
      </c>
      <c r="O81" s="776">
        <v>1</v>
      </c>
      <c r="P81" s="778">
        <f t="shared" si="38"/>
        <v>2474.7008000000001</v>
      </c>
      <c r="Q81" s="779">
        <f t="shared" si="34"/>
        <v>9342.220800000001</v>
      </c>
      <c r="R81" s="778">
        <v>0</v>
      </c>
      <c r="S81" s="780">
        <f t="shared" si="35"/>
        <v>9342.220800000001</v>
      </c>
    </row>
    <row r="82" spans="1:19" ht="15.3">
      <c r="A82" s="772" t="s">
        <v>953</v>
      </c>
      <c r="B82" s="772">
        <v>81030</v>
      </c>
      <c r="C82" s="772" t="s">
        <v>910</v>
      </c>
      <c r="D82" s="772" t="s">
        <v>232</v>
      </c>
      <c r="E82" s="773" t="s">
        <v>223</v>
      </c>
      <c r="F82" s="773"/>
      <c r="G82" s="842" t="s">
        <v>166</v>
      </c>
      <c r="H82" s="776">
        <v>12</v>
      </c>
      <c r="I82" s="778">
        <v>350</v>
      </c>
      <c r="J82" s="777">
        <f>H82*I82</f>
        <v>4200</v>
      </c>
      <c r="K82" s="778">
        <v>12</v>
      </c>
      <c r="L82" s="778">
        <f t="shared" si="36"/>
        <v>4368</v>
      </c>
      <c r="M82" s="776">
        <v>12</v>
      </c>
      <c r="N82" s="778">
        <f t="shared" si="37"/>
        <v>4542.72</v>
      </c>
      <c r="O82" s="776">
        <v>12</v>
      </c>
      <c r="P82" s="778">
        <f t="shared" si="38"/>
        <v>4724.4288000000006</v>
      </c>
      <c r="Q82" s="779">
        <f t="shared" si="34"/>
        <v>17835.148800000003</v>
      </c>
      <c r="R82" s="778" t="s">
        <v>233</v>
      </c>
      <c r="S82" s="780">
        <f t="shared" si="35"/>
        <v>17835.148800000003</v>
      </c>
    </row>
    <row r="83" spans="1:19" ht="15.3">
      <c r="A83" s="772" t="s">
        <v>954</v>
      </c>
      <c r="B83" s="772">
        <v>89400</v>
      </c>
      <c r="C83" s="805" t="s">
        <v>927</v>
      </c>
      <c r="D83" s="772" t="s">
        <v>234</v>
      </c>
      <c r="E83" s="773" t="s">
        <v>223</v>
      </c>
      <c r="F83" s="773"/>
      <c r="G83" s="806" t="s">
        <v>166</v>
      </c>
      <c r="H83" s="776">
        <v>12</v>
      </c>
      <c r="I83" s="778">
        <v>150</v>
      </c>
      <c r="J83" s="777">
        <f>H83*I83</f>
        <v>1800</v>
      </c>
      <c r="K83" s="778">
        <v>12</v>
      </c>
      <c r="L83" s="778">
        <f t="shared" si="36"/>
        <v>1872</v>
      </c>
      <c r="M83" s="776">
        <v>12</v>
      </c>
      <c r="N83" s="778">
        <f t="shared" si="37"/>
        <v>1946.88</v>
      </c>
      <c r="O83" s="776">
        <v>12</v>
      </c>
      <c r="P83" s="778">
        <f t="shared" si="38"/>
        <v>2024.7552000000003</v>
      </c>
      <c r="Q83" s="779">
        <f t="shared" si="34"/>
        <v>7643.6352000000006</v>
      </c>
      <c r="R83" s="778">
        <v>0</v>
      </c>
      <c r="S83" s="780">
        <f>SUM(Q83:R83)</f>
        <v>7643.6352000000006</v>
      </c>
    </row>
    <row r="84" spans="1:19" ht="15.3">
      <c r="A84" s="772" t="s">
        <v>954</v>
      </c>
      <c r="B84" s="772">
        <v>89400</v>
      </c>
      <c r="C84" s="805" t="s">
        <v>927</v>
      </c>
      <c r="D84" s="772" t="s">
        <v>235</v>
      </c>
      <c r="E84" s="773" t="s">
        <v>223</v>
      </c>
      <c r="F84" s="773"/>
      <c r="G84" s="806" t="s">
        <v>225</v>
      </c>
      <c r="H84" s="776">
        <v>1</v>
      </c>
      <c r="I84" s="778">
        <v>1120</v>
      </c>
      <c r="J84" s="777">
        <f>H84*I84</f>
        <v>1120</v>
      </c>
      <c r="K84" s="778">
        <v>1</v>
      </c>
      <c r="L84" s="778">
        <f t="shared" si="36"/>
        <v>1164.8</v>
      </c>
      <c r="M84" s="776">
        <v>1</v>
      </c>
      <c r="N84" s="778">
        <f t="shared" si="37"/>
        <v>1211.3920000000001</v>
      </c>
      <c r="O84" s="776">
        <v>1</v>
      </c>
      <c r="P84" s="778">
        <f t="shared" si="38"/>
        <v>1259.8476800000001</v>
      </c>
      <c r="Q84" s="779">
        <f t="shared" si="34"/>
        <v>4756.0396799999999</v>
      </c>
      <c r="R84" s="778">
        <v>0</v>
      </c>
      <c r="S84" s="780">
        <f>SUM(Q84:R84)</f>
        <v>4756.0396799999999</v>
      </c>
    </row>
    <row r="85" spans="1:19" ht="15.3">
      <c r="A85" s="772" t="s">
        <v>956</v>
      </c>
      <c r="B85" s="772">
        <v>86110</v>
      </c>
      <c r="C85" s="772" t="s">
        <v>910</v>
      </c>
      <c r="D85" s="772" t="s">
        <v>236</v>
      </c>
      <c r="E85" s="773" t="s">
        <v>223</v>
      </c>
      <c r="F85" s="773"/>
      <c r="G85" s="842" t="s">
        <v>166</v>
      </c>
      <c r="H85" s="776">
        <v>12</v>
      </c>
      <c r="I85" s="778">
        <v>333.33</v>
      </c>
      <c r="J85" s="777">
        <f>H85*I85</f>
        <v>3999.96</v>
      </c>
      <c r="K85" s="778">
        <v>12</v>
      </c>
      <c r="L85" s="778">
        <f t="shared" si="36"/>
        <v>4159.9584000000004</v>
      </c>
      <c r="M85" s="776">
        <v>12</v>
      </c>
      <c r="N85" s="778">
        <f t="shared" si="37"/>
        <v>4326.3567360000006</v>
      </c>
      <c r="O85" s="776">
        <v>12</v>
      </c>
      <c r="P85" s="778">
        <f t="shared" si="38"/>
        <v>4499.4110054400007</v>
      </c>
      <c r="Q85" s="779">
        <f t="shared" ref="Q85:Q86" si="40">SUM(J85+L85+N85+P85)</f>
        <v>16985.686141440001</v>
      </c>
      <c r="R85" s="778">
        <v>0</v>
      </c>
      <c r="S85" s="780">
        <f>SUM(Q85:R85)</f>
        <v>16985.686141440001</v>
      </c>
    </row>
    <row r="86" spans="1:19" ht="15.3">
      <c r="A86" s="772" t="s">
        <v>955</v>
      </c>
      <c r="B86" s="772">
        <v>89400</v>
      </c>
      <c r="C86" s="772" t="s">
        <v>910</v>
      </c>
      <c r="D86" s="772" t="s">
        <v>237</v>
      </c>
      <c r="E86" s="773" t="s">
        <v>223</v>
      </c>
      <c r="F86" s="773"/>
      <c r="G86" s="842" t="s">
        <v>225</v>
      </c>
      <c r="H86" s="776">
        <v>1</v>
      </c>
      <c r="I86" s="778">
        <v>5000</v>
      </c>
      <c r="J86" s="777">
        <f>H86*I86</f>
        <v>5000</v>
      </c>
      <c r="K86" s="778">
        <v>0</v>
      </c>
      <c r="L86" s="778">
        <v>20000</v>
      </c>
      <c r="M86" s="776">
        <v>1</v>
      </c>
      <c r="N86" s="778">
        <v>15000</v>
      </c>
      <c r="O86" s="776">
        <v>0</v>
      </c>
      <c r="P86" s="778">
        <v>10000</v>
      </c>
      <c r="Q86" s="779">
        <f t="shared" si="40"/>
        <v>50000</v>
      </c>
      <c r="R86" s="778">
        <v>0</v>
      </c>
      <c r="S86" s="780">
        <f>SUM(Q86:R86)</f>
        <v>50000</v>
      </c>
    </row>
    <row r="87" spans="1:19" ht="15.3">
      <c r="A87" s="984"/>
      <c r="B87" s="984"/>
      <c r="C87" s="984"/>
      <c r="D87" s="984" t="s">
        <v>238</v>
      </c>
      <c r="E87" s="986"/>
      <c r="F87" s="986"/>
      <c r="G87" s="953"/>
      <c r="H87" s="952"/>
      <c r="I87" s="951"/>
      <c r="J87" s="950">
        <f>SUM(J75:J86)</f>
        <v>35140.199999999997</v>
      </c>
      <c r="K87" s="951"/>
      <c r="L87" s="951">
        <f>SUM(L75:L86)</f>
        <v>55401.558400000002</v>
      </c>
      <c r="M87" s="952"/>
      <c r="N87" s="951">
        <f>SUM(N75:N86)</f>
        <v>51817.620736000004</v>
      </c>
      <c r="O87" s="952"/>
      <c r="P87" s="951">
        <f>SUM(P75:P86)</f>
        <v>48290.325565439998</v>
      </c>
      <c r="Q87" s="966">
        <f>SUM(Q75:Q86)</f>
        <v>190649.70470144</v>
      </c>
      <c r="R87" s="951"/>
      <c r="S87" s="964">
        <f>SUM(S75:S86)</f>
        <v>190649.70470144</v>
      </c>
    </row>
    <row r="88" spans="1:19" ht="15.3">
      <c r="A88" s="979"/>
      <c r="B88" s="979"/>
      <c r="C88" s="979"/>
      <c r="D88" s="979" t="s">
        <v>239</v>
      </c>
      <c r="E88" s="980"/>
      <c r="F88" s="980"/>
      <c r="G88" s="981"/>
      <c r="H88" s="973"/>
      <c r="I88" s="974"/>
      <c r="J88" s="975"/>
      <c r="K88" s="974"/>
      <c r="L88" s="974"/>
      <c r="M88" s="973"/>
      <c r="N88" s="974"/>
      <c r="O88" s="973"/>
      <c r="P88" s="974"/>
      <c r="Q88" s="976"/>
      <c r="R88" s="974"/>
      <c r="S88" s="977"/>
    </row>
    <row r="89" spans="1:19" ht="45.9">
      <c r="A89" s="772" t="s">
        <v>988</v>
      </c>
      <c r="B89" s="772" t="s">
        <v>988</v>
      </c>
      <c r="C89" s="772" t="s">
        <v>910</v>
      </c>
      <c r="D89" s="772" t="s">
        <v>957</v>
      </c>
      <c r="E89" s="735" t="s">
        <v>241</v>
      </c>
      <c r="F89" s="735"/>
      <c r="G89" s="735"/>
      <c r="H89" s="776"/>
      <c r="I89" s="778"/>
      <c r="J89" s="777">
        <f>' Activities Detail'!M15</f>
        <v>5400</v>
      </c>
      <c r="K89" s="778"/>
      <c r="L89" s="777"/>
      <c r="M89" s="776"/>
      <c r="N89" s="778"/>
      <c r="O89" s="776"/>
      <c r="P89" s="778"/>
      <c r="Q89" s="779">
        <f>SUM(J89+L89+N89+P89)</f>
        <v>5400</v>
      </c>
      <c r="R89" s="778"/>
      <c r="S89" s="780">
        <f>SUM(Q89:R89)</f>
        <v>5400</v>
      </c>
    </row>
    <row r="90" spans="1:19" s="872" customFormat="1" ht="45.9">
      <c r="A90" s="772" t="s">
        <v>988</v>
      </c>
      <c r="B90" s="772" t="s">
        <v>988</v>
      </c>
      <c r="C90" s="772" t="s">
        <v>910</v>
      </c>
      <c r="D90" s="1095" t="s">
        <v>242</v>
      </c>
      <c r="E90" s="735" t="s">
        <v>241</v>
      </c>
      <c r="F90" s="735"/>
      <c r="G90" s="735"/>
      <c r="H90" s="776"/>
      <c r="I90" s="778"/>
      <c r="J90" s="777">
        <f>' Activities Detail'!M24</f>
        <v>4800</v>
      </c>
      <c r="K90" s="778"/>
      <c r="L90" s="778">
        <f>' Activities Detail'!P24</f>
        <v>3744</v>
      </c>
      <c r="M90" s="776"/>
      <c r="N90" s="778"/>
      <c r="O90" s="776"/>
      <c r="P90" s="778"/>
      <c r="Q90" s="779">
        <f t="shared" ref="Q90:Q91" si="41">SUM(J90+L90+N90+P90)</f>
        <v>8544</v>
      </c>
      <c r="R90" s="778"/>
      <c r="S90" s="780">
        <f t="shared" ref="S90:S91" si="42">SUM(Q90:R90)</f>
        <v>8544</v>
      </c>
    </row>
    <row r="91" spans="1:19" s="873" customFormat="1" ht="30.6">
      <c r="A91" s="772" t="s">
        <v>988</v>
      </c>
      <c r="B91" s="772" t="s">
        <v>988</v>
      </c>
      <c r="C91" s="772" t="s">
        <v>910</v>
      </c>
      <c r="D91" s="772" t="s">
        <v>243</v>
      </c>
      <c r="E91" s="735" t="s">
        <v>241</v>
      </c>
      <c r="F91" s="735"/>
      <c r="G91" s="735"/>
      <c r="H91" s="776"/>
      <c r="I91" s="778"/>
      <c r="J91" s="777">
        <f>' Activities Detail'!M34</f>
        <v>0</v>
      </c>
      <c r="K91" s="778"/>
      <c r="L91" s="778">
        <f>' Activities Detail'!P34</f>
        <v>0</v>
      </c>
      <c r="M91" s="776"/>
      <c r="N91" s="778">
        <f>' Activities Detail'!S34</f>
        <v>0</v>
      </c>
      <c r="O91" s="776"/>
      <c r="P91" s="778">
        <f>' Activities Detail'!V34</f>
        <v>0</v>
      </c>
      <c r="Q91" s="779">
        <f t="shared" si="41"/>
        <v>0</v>
      </c>
      <c r="R91" s="778"/>
      <c r="S91" s="780">
        <f t="shared" si="42"/>
        <v>0</v>
      </c>
    </row>
    <row r="92" spans="1:19" s="872" customFormat="1" ht="30.6">
      <c r="A92" s="772" t="s">
        <v>988</v>
      </c>
      <c r="B92" s="772" t="s">
        <v>988</v>
      </c>
      <c r="C92" s="772" t="s">
        <v>910</v>
      </c>
      <c r="D92" s="772" t="s">
        <v>244</v>
      </c>
      <c r="E92" s="735" t="s">
        <v>241</v>
      </c>
      <c r="F92" s="735"/>
      <c r="G92" s="735"/>
      <c r="H92" s="776"/>
      <c r="I92" s="778"/>
      <c r="J92" s="777">
        <f>' Activities Detail'!M42</f>
        <v>0</v>
      </c>
      <c r="K92" s="778"/>
      <c r="L92" s="778">
        <f>' Activities Detail'!P42</f>
        <v>2184</v>
      </c>
      <c r="M92" s="776"/>
      <c r="N92" s="778">
        <f>' Activities Detail'!S42</f>
        <v>2271.36</v>
      </c>
      <c r="O92" s="776"/>
      <c r="P92" s="778">
        <f>' Activities Detail'!V42</f>
        <v>1181.1071999999999</v>
      </c>
      <c r="Q92" s="779">
        <f>SUM(J92+L92+N92+P92)</f>
        <v>5636.467200000001</v>
      </c>
      <c r="R92" s="778"/>
      <c r="S92" s="780">
        <f>SUM(Q92:R92)</f>
        <v>5636.467200000001</v>
      </c>
    </row>
    <row r="93" spans="1:19" ht="30.6">
      <c r="A93" s="772" t="s">
        <v>988</v>
      </c>
      <c r="B93" s="772" t="s">
        <v>988</v>
      </c>
      <c r="C93" s="772" t="s">
        <v>910</v>
      </c>
      <c r="D93" s="772" t="s">
        <v>558</v>
      </c>
      <c r="E93" s="735" t="s">
        <v>241</v>
      </c>
      <c r="F93" s="735"/>
      <c r="G93" s="735"/>
      <c r="H93" s="776"/>
      <c r="I93" s="778"/>
      <c r="J93" s="777">
        <f>' Activities Detail'!M55</f>
        <v>75000</v>
      </c>
      <c r="K93" s="778"/>
      <c r="L93" s="778">
        <f>' Activities Detail'!P55</f>
        <v>0</v>
      </c>
      <c r="M93" s="776"/>
      <c r="N93" s="778">
        <f>' Activities Detail'!S55</f>
        <v>0</v>
      </c>
      <c r="O93" s="776"/>
      <c r="P93" s="778">
        <f>' Activities Detail'!V55</f>
        <v>0</v>
      </c>
      <c r="Q93" s="779">
        <f t="shared" ref="Q93:Q95" si="43">SUM(J93+L93+N93+P93)</f>
        <v>75000</v>
      </c>
      <c r="R93" s="778"/>
      <c r="S93" s="780">
        <f>SUM(Q93:R93)</f>
        <v>75000</v>
      </c>
    </row>
    <row r="94" spans="1:19" s="872" customFormat="1" ht="45.9">
      <c r="A94" s="772" t="s">
        <v>988</v>
      </c>
      <c r="B94" s="772" t="s">
        <v>988</v>
      </c>
      <c r="C94" s="772" t="s">
        <v>910</v>
      </c>
      <c r="D94" s="772" t="s">
        <v>565</v>
      </c>
      <c r="E94" s="735" t="s">
        <v>241</v>
      </c>
      <c r="F94" s="735"/>
      <c r="G94" s="735"/>
      <c r="H94" s="776"/>
      <c r="I94" s="778"/>
      <c r="J94" s="777">
        <f>' Activities Detail'!M73</f>
        <v>0</v>
      </c>
      <c r="K94" s="778"/>
      <c r="L94" s="778">
        <f>' Activities Detail'!P73</f>
        <v>5896.8</v>
      </c>
      <c r="M94" s="776"/>
      <c r="N94" s="778">
        <f>' Activities Detail'!S73</f>
        <v>6132.6720000000014</v>
      </c>
      <c r="O94" s="776"/>
      <c r="P94" s="778">
        <f>' Activities Detail'!V73</f>
        <v>4251.9859200000001</v>
      </c>
      <c r="Q94" s="779">
        <f t="shared" si="43"/>
        <v>16281.457920000001</v>
      </c>
      <c r="R94" s="778"/>
      <c r="S94" s="780">
        <f t="shared" ref="S94" si="44">SUM(Q94:R94)</f>
        <v>16281.457920000001</v>
      </c>
    </row>
    <row r="95" spans="1:19" s="873" customFormat="1" ht="15.3">
      <c r="A95" s="772" t="s">
        <v>988</v>
      </c>
      <c r="B95" s="772" t="s">
        <v>988</v>
      </c>
      <c r="C95" s="772" t="s">
        <v>910</v>
      </c>
      <c r="D95" s="772" t="s">
        <v>567</v>
      </c>
      <c r="E95" s="735" t="s">
        <v>241</v>
      </c>
      <c r="F95" s="735"/>
      <c r="G95" s="735"/>
      <c r="H95" s="776"/>
      <c r="I95" s="778"/>
      <c r="J95" s="777">
        <f>' Activities Detail'!M92</f>
        <v>0</v>
      </c>
      <c r="K95" s="778"/>
      <c r="L95" s="778">
        <f>' Activities Detail'!P92</f>
        <v>0</v>
      </c>
      <c r="M95" s="776"/>
      <c r="N95" s="778">
        <f>' Activities Detail'!S92</f>
        <v>5191.68</v>
      </c>
      <c r="O95" s="776"/>
      <c r="P95" s="778">
        <f>' Activities Detail'!V92</f>
        <v>3599.5648000000001</v>
      </c>
      <c r="Q95" s="779">
        <f t="shared" si="43"/>
        <v>8791.2448000000004</v>
      </c>
      <c r="R95" s="778"/>
      <c r="S95" s="780">
        <f>SUM(Q95:R95)</f>
        <v>8791.2448000000004</v>
      </c>
    </row>
    <row r="96" spans="1:19" s="873" customFormat="1" ht="15">
      <c r="A96" s="984"/>
      <c r="B96" s="984"/>
      <c r="C96" s="984"/>
      <c r="D96" s="984"/>
      <c r="E96" s="985"/>
      <c r="F96" s="985"/>
      <c r="G96" s="985"/>
      <c r="H96" s="952"/>
      <c r="I96" s="951"/>
      <c r="J96" s="950">
        <f>SUM(J89:J95)</f>
        <v>85200</v>
      </c>
      <c r="K96" s="951"/>
      <c r="L96" s="951">
        <f>SUM(L89:L95)</f>
        <v>11824.8</v>
      </c>
      <c r="M96" s="952"/>
      <c r="N96" s="951">
        <f>SUM(N89:N95)</f>
        <v>13595.712000000001</v>
      </c>
      <c r="O96" s="952"/>
      <c r="P96" s="951">
        <f>SUM(P89:P95)</f>
        <v>9032.6579199999996</v>
      </c>
      <c r="Q96" s="966">
        <f>SUM(Q89:Q95)</f>
        <v>119653.16992</v>
      </c>
      <c r="R96" s="951"/>
      <c r="S96" s="964">
        <f>SUM(Q96:R96)</f>
        <v>119653.16992</v>
      </c>
    </row>
    <row r="97" spans="1:19" s="872" customFormat="1" ht="15.3">
      <c r="A97" s="979"/>
      <c r="B97" s="979"/>
      <c r="C97" s="979"/>
      <c r="D97" s="979" t="s">
        <v>245</v>
      </c>
      <c r="E97" s="978"/>
      <c r="F97" s="978"/>
      <c r="G97" s="978"/>
      <c r="H97" s="965"/>
      <c r="I97" s="960"/>
      <c r="J97" s="959"/>
      <c r="K97" s="960"/>
      <c r="L97" s="960"/>
      <c r="M97" s="965"/>
      <c r="N97" s="960"/>
      <c r="O97" s="965"/>
      <c r="P97" s="960"/>
      <c r="Q97" s="958"/>
      <c r="R97" s="960"/>
      <c r="S97" s="957"/>
    </row>
    <row r="98" spans="1:19" s="872" customFormat="1" ht="30.6">
      <c r="A98" s="772" t="s">
        <v>988</v>
      </c>
      <c r="B98" s="772" t="s">
        <v>988</v>
      </c>
      <c r="C98" s="772" t="s">
        <v>910</v>
      </c>
      <c r="D98" s="772" t="s">
        <v>570</v>
      </c>
      <c r="E98" s="735" t="s">
        <v>246</v>
      </c>
      <c r="F98" s="735"/>
      <c r="G98" s="735"/>
      <c r="H98" s="776"/>
      <c r="I98" s="778"/>
      <c r="J98" s="777">
        <f>' Activities Detail'!M100</f>
        <v>4500</v>
      </c>
      <c r="K98" s="778"/>
      <c r="L98" s="778">
        <f>' Activities Detail'!P100</f>
        <v>0</v>
      </c>
      <c r="M98" s="776"/>
      <c r="N98" s="778">
        <f>' Activities Detail'!S100</f>
        <v>0</v>
      </c>
      <c r="O98" s="776"/>
      <c r="P98" s="778">
        <f>' Activities Detail'!V100</f>
        <v>0</v>
      </c>
      <c r="Q98" s="779">
        <f t="shared" ref="Q98" si="45">SUM(J98+L98+N98+P98)</f>
        <v>4500</v>
      </c>
      <c r="R98" s="778"/>
      <c r="S98" s="780">
        <f>SUM(Q98:R98)</f>
        <v>4500</v>
      </c>
    </row>
    <row r="99" spans="1:19" ht="45.9">
      <c r="A99" s="772" t="s">
        <v>988</v>
      </c>
      <c r="B99" s="772" t="s">
        <v>988</v>
      </c>
      <c r="C99" s="772" t="s">
        <v>910</v>
      </c>
      <c r="D99" s="772" t="s">
        <v>572</v>
      </c>
      <c r="E99" s="735" t="s">
        <v>246</v>
      </c>
      <c r="F99" s="735"/>
      <c r="G99" s="735"/>
      <c r="H99" s="776"/>
      <c r="I99" s="778"/>
      <c r="J99" s="777">
        <f>' Activities Detail'!M117</f>
        <v>0</v>
      </c>
      <c r="K99" s="778"/>
      <c r="L99" s="778">
        <f>' Activities Detail'!P117</f>
        <v>7644</v>
      </c>
      <c r="M99" s="776"/>
      <c r="N99" s="778">
        <f>' Activities Detail'!S117</f>
        <v>7949.76</v>
      </c>
      <c r="O99" s="776"/>
      <c r="P99" s="778">
        <f>' Activities Detail'!V117</f>
        <v>0</v>
      </c>
      <c r="Q99" s="779">
        <f t="shared" ref="Q99:Q105" si="46">SUM(J99+L99+N99+P99)</f>
        <v>15593.76</v>
      </c>
      <c r="R99" s="778"/>
      <c r="S99" s="780">
        <f>SUM(Q99:R99)</f>
        <v>15593.76</v>
      </c>
    </row>
    <row r="100" spans="1:19" s="872" customFormat="1" ht="30.6">
      <c r="A100" s="772" t="s">
        <v>988</v>
      </c>
      <c r="B100" s="772" t="s">
        <v>988</v>
      </c>
      <c r="C100" s="772" t="s">
        <v>910</v>
      </c>
      <c r="D100" s="772" t="s">
        <v>575</v>
      </c>
      <c r="E100" s="735" t="s">
        <v>246</v>
      </c>
      <c r="F100" s="735"/>
      <c r="G100" s="735"/>
      <c r="H100" s="776"/>
      <c r="I100" s="778"/>
      <c r="J100" s="777">
        <f>' Activities Detail'!M131</f>
        <v>0</v>
      </c>
      <c r="K100" s="778"/>
      <c r="L100" s="778">
        <f>' Activities Detail'!P131</f>
        <v>0</v>
      </c>
      <c r="M100" s="776"/>
      <c r="N100" s="778">
        <f>' Activities Detail'!S131</f>
        <v>0</v>
      </c>
      <c r="O100" s="776"/>
      <c r="P100" s="778">
        <f>' Activities Detail'!V131</f>
        <v>7649.0752000000011</v>
      </c>
      <c r="Q100" s="779">
        <f t="shared" si="46"/>
        <v>7649.0752000000011</v>
      </c>
      <c r="R100" s="778"/>
      <c r="S100" s="780">
        <f t="shared" ref="S100:S101" si="47">SUM(Q100:R100)</f>
        <v>7649.0752000000011</v>
      </c>
    </row>
    <row r="101" spans="1:19" s="873" customFormat="1" ht="30.6">
      <c r="A101" s="772" t="s">
        <v>988</v>
      </c>
      <c r="B101" s="772" t="s">
        <v>988</v>
      </c>
      <c r="C101" s="772" t="s">
        <v>910</v>
      </c>
      <c r="D101" s="772" t="s">
        <v>576</v>
      </c>
      <c r="E101" s="735" t="s">
        <v>246</v>
      </c>
      <c r="F101" s="735"/>
      <c r="G101" s="735"/>
      <c r="H101" s="776"/>
      <c r="I101" s="778"/>
      <c r="J101" s="777">
        <f>' Activities Detail'!M140</f>
        <v>0</v>
      </c>
      <c r="K101" s="778"/>
      <c r="L101" s="778">
        <f>' Activities Detail'!P140</f>
        <v>1726.4</v>
      </c>
      <c r="M101" s="776"/>
      <c r="N101" s="778">
        <f>' Activities Detail'!S140</f>
        <v>5386.3680000000004</v>
      </c>
      <c r="O101" s="776"/>
      <c r="P101" s="778">
        <f>' Activities Detail'!V140</f>
        <v>1867.2742400000002</v>
      </c>
      <c r="Q101" s="779">
        <f t="shared" si="46"/>
        <v>8980.0422400000007</v>
      </c>
      <c r="R101" s="778"/>
      <c r="S101" s="780">
        <f t="shared" si="47"/>
        <v>8980.0422400000007</v>
      </c>
    </row>
    <row r="102" spans="1:19" s="872" customFormat="1" ht="66" customHeight="1">
      <c r="A102" s="772" t="s">
        <v>988</v>
      </c>
      <c r="B102" s="772" t="s">
        <v>988</v>
      </c>
      <c r="C102" s="772" t="s">
        <v>910</v>
      </c>
      <c r="D102" s="772" t="s">
        <v>577</v>
      </c>
      <c r="E102" s="735" t="s">
        <v>246</v>
      </c>
      <c r="F102" s="735"/>
      <c r="G102" s="735"/>
      <c r="H102" s="776"/>
      <c r="I102" s="778"/>
      <c r="J102" s="777">
        <f>' Activities Detail'!M149</f>
        <v>0</v>
      </c>
      <c r="K102" s="778"/>
      <c r="L102" s="778">
        <f>' Activities Detail'!P149</f>
        <v>14352</v>
      </c>
      <c r="M102" s="776"/>
      <c r="N102" s="778">
        <f>' Activities Detail'!S149</f>
        <v>14926.08</v>
      </c>
      <c r="O102" s="776"/>
      <c r="P102" s="778">
        <f>' Activities Detail'!V149</f>
        <v>0</v>
      </c>
      <c r="Q102" s="779">
        <f t="shared" si="46"/>
        <v>29278.080000000002</v>
      </c>
      <c r="R102" s="778"/>
      <c r="S102" s="780">
        <f t="shared" ref="S102:S103" si="48">SUM(Q102:R102)</f>
        <v>29278.080000000002</v>
      </c>
    </row>
    <row r="103" spans="1:19" s="873" customFormat="1" ht="45.9">
      <c r="A103" s="772" t="s">
        <v>988</v>
      </c>
      <c r="B103" s="772" t="s">
        <v>988</v>
      </c>
      <c r="C103" s="772" t="s">
        <v>910</v>
      </c>
      <c r="D103" s="772" t="s">
        <v>580</v>
      </c>
      <c r="E103" s="735" t="s">
        <v>246</v>
      </c>
      <c r="F103" s="735"/>
      <c r="G103" s="735"/>
      <c r="H103" s="776"/>
      <c r="I103" s="778"/>
      <c r="J103" s="777">
        <f>' Activities Detail'!M163</f>
        <v>0</v>
      </c>
      <c r="K103" s="778"/>
      <c r="L103" s="778">
        <f>' Activities Detail'!P163</f>
        <v>0</v>
      </c>
      <c r="M103" s="776"/>
      <c r="N103" s="778">
        <f>' Activities Detail'!S163</f>
        <v>886.91200000000003</v>
      </c>
      <c r="O103" s="776"/>
      <c r="P103" s="778">
        <f>' Activities Detail'!V163</f>
        <v>922.38848000000007</v>
      </c>
      <c r="Q103" s="779">
        <f t="shared" si="46"/>
        <v>1809.3004800000001</v>
      </c>
      <c r="R103" s="778"/>
      <c r="S103" s="780">
        <f t="shared" si="48"/>
        <v>1809.3004800000001</v>
      </c>
    </row>
    <row r="104" spans="1:19" s="872" customFormat="1" ht="45.9">
      <c r="A104" s="772" t="s">
        <v>988</v>
      </c>
      <c r="B104" s="772" t="s">
        <v>988</v>
      </c>
      <c r="C104" s="772" t="s">
        <v>910</v>
      </c>
      <c r="D104" s="772" t="s">
        <v>581</v>
      </c>
      <c r="E104" s="735" t="s">
        <v>246</v>
      </c>
      <c r="F104" s="735"/>
      <c r="G104" s="735"/>
      <c r="H104" s="776"/>
      <c r="I104" s="778"/>
      <c r="J104" s="777">
        <f>' Activities Detail'!M182</f>
        <v>0</v>
      </c>
      <c r="K104" s="778"/>
      <c r="L104" s="778">
        <f>' Activities Detail'!P182</f>
        <v>0</v>
      </c>
      <c r="M104" s="776"/>
      <c r="N104" s="778">
        <f>' Activities Detail'!S182</f>
        <v>3547.6480000000001</v>
      </c>
      <c r="O104" s="776"/>
      <c r="P104" s="778">
        <f>' Activities Detail'!V182</f>
        <v>3689.5539200000003</v>
      </c>
      <c r="Q104" s="779">
        <f t="shared" si="46"/>
        <v>7237.2019200000004</v>
      </c>
      <c r="R104" s="778"/>
      <c r="S104" s="780">
        <f>SUM(Q104:R104)</f>
        <v>7237.2019200000004</v>
      </c>
    </row>
    <row r="105" spans="1:19" s="873" customFormat="1" ht="45.9">
      <c r="A105" s="772" t="s">
        <v>988</v>
      </c>
      <c r="B105" s="772" t="s">
        <v>988</v>
      </c>
      <c r="C105" s="772" t="s">
        <v>910</v>
      </c>
      <c r="D105" s="772" t="s">
        <v>582</v>
      </c>
      <c r="E105" s="735" t="s">
        <v>246</v>
      </c>
      <c r="F105" s="735"/>
      <c r="G105" s="735"/>
      <c r="H105" s="776"/>
      <c r="I105" s="778"/>
      <c r="J105" s="777">
        <f>' Activities Detail'!M201</f>
        <v>0</v>
      </c>
      <c r="K105" s="778"/>
      <c r="L105" s="778">
        <f>' Activities Detail'!P201</f>
        <v>2184</v>
      </c>
      <c r="M105" s="776"/>
      <c r="N105" s="778">
        <f>' Activities Detail'!S201</f>
        <v>2271.36</v>
      </c>
      <c r="O105" s="776"/>
      <c r="P105" s="778">
        <f>' Activities Detail'!V201</f>
        <v>2362.2143999999998</v>
      </c>
      <c r="Q105" s="779">
        <f t="shared" si="46"/>
        <v>6817.5744000000004</v>
      </c>
      <c r="R105" s="778"/>
      <c r="S105" s="780">
        <f t="shared" ref="S105:S108" si="49">SUM(Q105:R105)</f>
        <v>6817.5744000000004</v>
      </c>
    </row>
    <row r="106" spans="1:19" s="873" customFormat="1" ht="15">
      <c r="A106" s="984"/>
      <c r="B106" s="984"/>
      <c r="C106" s="984"/>
      <c r="D106" s="984" t="s">
        <v>247</v>
      </c>
      <c r="E106" s="985"/>
      <c r="F106" s="985"/>
      <c r="G106" s="985"/>
      <c r="H106" s="952"/>
      <c r="I106" s="951"/>
      <c r="J106" s="950">
        <f>SUM(J98:J105)</f>
        <v>4500</v>
      </c>
      <c r="K106" s="951"/>
      <c r="L106" s="951">
        <f>SUM(L98:L105)</f>
        <v>25906.400000000001</v>
      </c>
      <c r="M106" s="952"/>
      <c r="N106" s="951">
        <f>SUM(N98:N105)</f>
        <v>34968.127999999997</v>
      </c>
      <c r="O106" s="952"/>
      <c r="P106" s="951">
        <f>SUM(P98:P105)</f>
        <v>16490.506240000002</v>
      </c>
      <c r="Q106" s="966">
        <f>SUM(Q98:Q105)</f>
        <v>81865.034240000008</v>
      </c>
      <c r="R106" s="951"/>
      <c r="S106" s="964">
        <f t="shared" si="49"/>
        <v>81865.034240000008</v>
      </c>
    </row>
    <row r="107" spans="1:19" s="872" customFormat="1" ht="15.3">
      <c r="A107" s="979"/>
      <c r="B107" s="979"/>
      <c r="C107" s="979"/>
      <c r="D107" s="979" t="s">
        <v>248</v>
      </c>
      <c r="E107" s="972"/>
      <c r="F107" s="972"/>
      <c r="G107" s="972"/>
      <c r="H107" s="973"/>
      <c r="I107" s="974"/>
      <c r="J107" s="975"/>
      <c r="K107" s="974"/>
      <c r="L107" s="974"/>
      <c r="M107" s="973"/>
      <c r="N107" s="974"/>
      <c r="O107" s="973"/>
      <c r="P107" s="974"/>
      <c r="Q107" s="976"/>
      <c r="R107" s="974"/>
      <c r="S107" s="977">
        <f t="shared" si="49"/>
        <v>0</v>
      </c>
    </row>
    <row r="108" spans="1:19" s="873" customFormat="1" ht="30.6">
      <c r="A108" s="772" t="s">
        <v>988</v>
      </c>
      <c r="B108" s="772" t="s">
        <v>988</v>
      </c>
      <c r="C108" s="772" t="s">
        <v>910</v>
      </c>
      <c r="D108" s="772" t="s">
        <v>584</v>
      </c>
      <c r="E108" s="735" t="s">
        <v>249</v>
      </c>
      <c r="F108" s="735"/>
      <c r="G108" s="735"/>
      <c r="H108" s="776"/>
      <c r="I108" s="778"/>
      <c r="J108" s="777">
        <v>0</v>
      </c>
      <c r="K108" s="778"/>
      <c r="L108" s="778">
        <v>0</v>
      </c>
      <c r="M108" s="776"/>
      <c r="N108" s="778">
        <v>0</v>
      </c>
      <c r="O108" s="776"/>
      <c r="P108" s="778">
        <v>0</v>
      </c>
      <c r="Q108" s="779">
        <v>0</v>
      </c>
      <c r="R108" s="778"/>
      <c r="S108" s="780">
        <f t="shared" si="49"/>
        <v>0</v>
      </c>
    </row>
    <row r="109" spans="1:19" s="872" customFormat="1" ht="30.6">
      <c r="A109" s="772" t="s">
        <v>988</v>
      </c>
      <c r="B109" s="772" t="s">
        <v>988</v>
      </c>
      <c r="C109" s="772" t="s">
        <v>910</v>
      </c>
      <c r="D109" s="772" t="s">
        <v>585</v>
      </c>
      <c r="E109" s="735" t="s">
        <v>249</v>
      </c>
      <c r="F109" s="735"/>
      <c r="G109" s="735"/>
      <c r="H109" s="776"/>
      <c r="I109" s="778"/>
      <c r="J109" s="777">
        <f>' Activities Detail'!M232</f>
        <v>0</v>
      </c>
      <c r="K109" s="778"/>
      <c r="L109" s="778">
        <f>' Activities Detail'!P232</f>
        <v>2808</v>
      </c>
      <c r="M109" s="776"/>
      <c r="N109" s="778">
        <f>' Activities Detail'!S232</f>
        <v>0</v>
      </c>
      <c r="O109" s="776"/>
      <c r="P109" s="778">
        <f>' Activities Detail'!V232</f>
        <v>0</v>
      </c>
      <c r="Q109" s="779">
        <f t="shared" ref="Q109" si="50">SUM(J109+L109+N109+P109)</f>
        <v>2808</v>
      </c>
      <c r="R109" s="778"/>
      <c r="S109" s="780">
        <f>SUM(Q109:R109)</f>
        <v>2808</v>
      </c>
    </row>
    <row r="110" spans="1:19" s="873" customFormat="1" ht="30.6">
      <c r="A110" s="772" t="s">
        <v>988</v>
      </c>
      <c r="B110" s="772" t="s">
        <v>988</v>
      </c>
      <c r="C110" s="772" t="s">
        <v>910</v>
      </c>
      <c r="D110" s="772" t="s">
        <v>586</v>
      </c>
      <c r="E110" s="735" t="s">
        <v>249</v>
      </c>
      <c r="F110" s="735"/>
      <c r="G110" s="735"/>
      <c r="H110" s="776"/>
      <c r="I110" s="778"/>
      <c r="J110" s="777">
        <f>' Activities Detail'!M239</f>
        <v>0</v>
      </c>
      <c r="K110" s="778"/>
      <c r="L110" s="778">
        <f>' Activities Detail'!P239</f>
        <v>13416</v>
      </c>
      <c r="M110" s="776"/>
      <c r="N110" s="778">
        <f>' Activities Detail'!S239</f>
        <v>27905.280000000002</v>
      </c>
      <c r="O110" s="776"/>
      <c r="P110" s="778">
        <f>' Activities Detail'!V239</f>
        <v>0</v>
      </c>
      <c r="Q110" s="779">
        <f t="shared" ref="Q110:Q113" si="51">SUM(J110+L110+N110+P110)</f>
        <v>41321.279999999999</v>
      </c>
      <c r="R110" s="778"/>
      <c r="S110" s="780">
        <f t="shared" ref="S110" si="52">SUM(Q110:R110)</f>
        <v>41321.279999999999</v>
      </c>
    </row>
    <row r="111" spans="1:19" s="872" customFormat="1" ht="30.6">
      <c r="A111" s="772" t="s">
        <v>988</v>
      </c>
      <c r="B111" s="772" t="s">
        <v>988</v>
      </c>
      <c r="C111" s="772" t="s">
        <v>910</v>
      </c>
      <c r="D111" s="772" t="s">
        <v>589</v>
      </c>
      <c r="E111" s="735" t="s">
        <v>249</v>
      </c>
      <c r="F111" s="735"/>
      <c r="G111" s="735"/>
      <c r="H111" s="776"/>
      <c r="I111" s="778"/>
      <c r="J111" s="777">
        <f>' Activities Detail'!M252</f>
        <v>0</v>
      </c>
      <c r="K111" s="778"/>
      <c r="L111" s="778">
        <f>' Activities Detail'!P252</f>
        <v>3848</v>
      </c>
      <c r="M111" s="776"/>
      <c r="N111" s="778">
        <f>' Activities Detail'!S252</f>
        <v>8003.84</v>
      </c>
      <c r="O111" s="776"/>
      <c r="P111" s="778">
        <f>' Activities Detail'!V252</f>
        <v>0</v>
      </c>
      <c r="Q111" s="779">
        <f t="shared" si="51"/>
        <v>11851.84</v>
      </c>
      <c r="R111" s="778"/>
      <c r="S111" s="780">
        <f>SUM(Q111:R111)</f>
        <v>11851.84</v>
      </c>
    </row>
    <row r="112" spans="1:19" s="872" customFormat="1" ht="30.6">
      <c r="A112" s="772" t="s">
        <v>988</v>
      </c>
      <c r="B112" s="772" t="s">
        <v>988</v>
      </c>
      <c r="C112" s="772" t="s">
        <v>910</v>
      </c>
      <c r="D112" s="772" t="s">
        <v>591</v>
      </c>
      <c r="E112" s="735" t="s">
        <v>249</v>
      </c>
      <c r="F112" s="735"/>
      <c r="G112" s="735"/>
      <c r="H112" s="776"/>
      <c r="I112" s="778"/>
      <c r="J112" s="777">
        <f>' Activities Detail'!M266</f>
        <v>0</v>
      </c>
      <c r="K112" s="778"/>
      <c r="L112" s="778">
        <f>' Activities Detail'!P266</f>
        <v>10608</v>
      </c>
      <c r="M112" s="776"/>
      <c r="N112" s="778">
        <f>' Activities Detail'!S266</f>
        <v>7354.880000000001</v>
      </c>
      <c r="O112" s="776"/>
      <c r="P112" s="778">
        <f>' Activities Detail'!V266</f>
        <v>0</v>
      </c>
      <c r="Q112" s="779">
        <f t="shared" si="51"/>
        <v>17962.88</v>
      </c>
      <c r="R112" s="778"/>
      <c r="S112" s="780">
        <f>SUM(Q112:R112)</f>
        <v>17962.88</v>
      </c>
    </row>
    <row r="113" spans="1:21" s="872" customFormat="1" ht="45.9">
      <c r="A113" s="772" t="s">
        <v>988</v>
      </c>
      <c r="B113" s="772" t="s">
        <v>988</v>
      </c>
      <c r="C113" s="772" t="s">
        <v>910</v>
      </c>
      <c r="D113" s="772" t="s">
        <v>594</v>
      </c>
      <c r="E113" s="735" t="s">
        <v>249</v>
      </c>
      <c r="F113" s="735"/>
      <c r="G113" s="735"/>
      <c r="H113" s="776"/>
      <c r="I113" s="778"/>
      <c r="J113" s="777">
        <f>' Activities Detail'!M274</f>
        <v>0</v>
      </c>
      <c r="K113" s="778"/>
      <c r="L113" s="778">
        <f>' Activities Detail'!P274</f>
        <v>2704</v>
      </c>
      <c r="M113" s="776"/>
      <c r="N113" s="778">
        <f>' Activities Detail'!S274</f>
        <v>2812.1600000000003</v>
      </c>
      <c r="O113" s="776"/>
      <c r="P113" s="778">
        <f>' Activities Detail'!V274</f>
        <v>0</v>
      </c>
      <c r="Q113" s="779">
        <f t="shared" si="51"/>
        <v>5516.16</v>
      </c>
      <c r="R113" s="778"/>
      <c r="S113" s="780">
        <f>SUM(Q113:R113)</f>
        <v>5516.16</v>
      </c>
    </row>
    <row r="114" spans="1:21" s="872" customFormat="1" ht="15.3">
      <c r="A114" s="984"/>
      <c r="B114" s="984"/>
      <c r="C114" s="984"/>
      <c r="D114" s="984" t="s">
        <v>250</v>
      </c>
      <c r="E114" s="985"/>
      <c r="F114" s="985"/>
      <c r="G114" s="985"/>
      <c r="H114" s="952"/>
      <c r="I114" s="951"/>
      <c r="J114" s="951">
        <f>SUM(J108:J113)</f>
        <v>0</v>
      </c>
      <c r="K114" s="952"/>
      <c r="L114" s="950">
        <f t="shared" ref="L114:S114" si="53">SUM(L108:L113)</f>
        <v>33384</v>
      </c>
      <c r="M114" s="952"/>
      <c r="N114" s="950">
        <f t="shared" si="53"/>
        <v>46076.160000000003</v>
      </c>
      <c r="O114" s="952"/>
      <c r="P114" s="950">
        <f>SUM(P108:P113)</f>
        <v>0</v>
      </c>
      <c r="Q114" s="950">
        <f>SUM(Q108:Q113)</f>
        <v>79460.160000000003</v>
      </c>
      <c r="R114" s="950">
        <f t="shared" si="53"/>
        <v>0</v>
      </c>
      <c r="S114" s="950">
        <f t="shared" si="53"/>
        <v>79460.160000000003</v>
      </c>
    </row>
    <row r="115" spans="1:21" s="873" customFormat="1" ht="30">
      <c r="A115" s="963"/>
      <c r="B115" s="963"/>
      <c r="C115" s="963"/>
      <c r="D115" s="963" t="s">
        <v>251</v>
      </c>
      <c r="E115" s="962"/>
      <c r="F115" s="962"/>
      <c r="G115" s="961"/>
      <c r="H115" s="965"/>
      <c r="I115" s="960"/>
      <c r="J115" s="959"/>
      <c r="K115" s="960"/>
      <c r="L115" s="960"/>
      <c r="M115" s="960"/>
      <c r="N115" s="960"/>
      <c r="O115" s="965"/>
      <c r="P115" s="960"/>
      <c r="Q115" s="958"/>
      <c r="R115" s="960"/>
      <c r="S115" s="957"/>
      <c r="U115" s="945"/>
    </row>
    <row r="116" spans="1:21" ht="30.3">
      <c r="A116" s="955"/>
      <c r="B116" s="955"/>
      <c r="C116" s="955"/>
      <c r="D116" s="955" t="s">
        <v>252</v>
      </c>
      <c r="E116" s="954"/>
      <c r="F116" s="954"/>
      <c r="G116" s="953"/>
      <c r="H116" s="952"/>
      <c r="I116" s="951"/>
      <c r="J116" s="950"/>
      <c r="K116" s="951"/>
      <c r="L116" s="951"/>
      <c r="M116" s="952"/>
      <c r="N116" s="951"/>
      <c r="O116" s="952"/>
      <c r="P116" s="951"/>
      <c r="Q116" s="966"/>
      <c r="R116" s="951"/>
      <c r="S116" s="964"/>
    </row>
    <row r="117" spans="1:21" ht="15.3">
      <c r="A117" s="805" t="s">
        <v>961</v>
      </c>
      <c r="B117" s="805">
        <v>81000</v>
      </c>
      <c r="C117" s="772" t="s">
        <v>910</v>
      </c>
      <c r="D117" s="805" t="s">
        <v>253</v>
      </c>
      <c r="E117" s="736" t="s">
        <v>254</v>
      </c>
      <c r="G117" s="842" t="s">
        <v>190</v>
      </c>
      <c r="H117" s="776">
        <v>30</v>
      </c>
      <c r="I117" s="778">
        <v>315</v>
      </c>
      <c r="J117" s="777">
        <f>H117*I117</f>
        <v>9450</v>
      </c>
      <c r="K117" s="778">
        <v>0</v>
      </c>
      <c r="L117" s="778">
        <f>K117*I117*$E$7</f>
        <v>0</v>
      </c>
      <c r="M117" s="776">
        <v>0</v>
      </c>
      <c r="N117" s="778">
        <f>M117*I117*$E$7*$E$7</f>
        <v>0</v>
      </c>
      <c r="O117" s="776">
        <v>0</v>
      </c>
      <c r="P117" s="778">
        <f>O117*I117*$E$7*$E$7*$E$7</f>
        <v>0</v>
      </c>
      <c r="Q117" s="779">
        <f t="shared" ref="Q117:Q120" si="54">SUM(J117+L117+N117+P117)</f>
        <v>9450</v>
      </c>
      <c r="R117" s="778" t="s">
        <v>188</v>
      </c>
      <c r="S117" s="780">
        <f t="shared" ref="S117:S120" si="55">SUM(Q117:R117)</f>
        <v>9450</v>
      </c>
    </row>
    <row r="118" spans="1:21" ht="15.3">
      <c r="A118" s="955"/>
      <c r="B118" s="955"/>
      <c r="C118" s="955"/>
      <c r="D118" s="955" t="s">
        <v>255</v>
      </c>
      <c r="E118" s="956"/>
      <c r="F118" s="956"/>
      <c r="G118" s="843"/>
      <c r="H118" s="783"/>
      <c r="I118" s="785"/>
      <c r="J118" s="784"/>
      <c r="K118" s="785"/>
      <c r="L118" s="785"/>
      <c r="M118" s="783"/>
      <c r="N118" s="785"/>
      <c r="O118" s="783"/>
      <c r="P118" s="785"/>
      <c r="Q118" s="786"/>
      <c r="R118" s="785"/>
      <c r="S118" s="787"/>
    </row>
    <row r="119" spans="1:21" ht="15.3">
      <c r="A119" s="805" t="s">
        <v>962</v>
      </c>
      <c r="B119" s="805">
        <v>85300</v>
      </c>
      <c r="C119" s="805" t="s">
        <v>910</v>
      </c>
      <c r="D119" s="805" t="s">
        <v>256</v>
      </c>
      <c r="E119" s="736" t="s">
        <v>254</v>
      </c>
      <c r="G119" s="842" t="s">
        <v>257</v>
      </c>
      <c r="H119" s="776">
        <v>1</v>
      </c>
      <c r="I119" s="778">
        <v>2500</v>
      </c>
      <c r="J119" s="777">
        <f>H119*I119</f>
        <v>2500</v>
      </c>
      <c r="K119" s="778">
        <v>0</v>
      </c>
      <c r="L119" s="778">
        <f>K119*I119*$E$7</f>
        <v>0</v>
      </c>
      <c r="M119" s="776">
        <v>0</v>
      </c>
      <c r="N119" s="778">
        <f>M119*I119*$E$7*$E$7</f>
        <v>0</v>
      </c>
      <c r="O119" s="776">
        <v>0</v>
      </c>
      <c r="P119" s="778">
        <f>O119*I119*$E$7*$E$7*$E$7</f>
        <v>0</v>
      </c>
      <c r="Q119" s="779">
        <f t="shared" si="54"/>
        <v>2500</v>
      </c>
      <c r="R119" s="778" t="s">
        <v>188</v>
      </c>
      <c r="S119" s="780">
        <f t="shared" si="55"/>
        <v>2500</v>
      </c>
    </row>
    <row r="120" spans="1:21" ht="15.3">
      <c r="A120" s="805" t="s">
        <v>963</v>
      </c>
      <c r="B120" s="805">
        <v>81021</v>
      </c>
      <c r="C120" s="805" t="s">
        <v>910</v>
      </c>
      <c r="D120" s="805" t="s">
        <v>258</v>
      </c>
      <c r="E120" s="736" t="s">
        <v>254</v>
      </c>
      <c r="G120" s="842" t="s">
        <v>257</v>
      </c>
      <c r="H120" s="776">
        <v>1</v>
      </c>
      <c r="I120" s="778">
        <v>1800</v>
      </c>
      <c r="J120" s="777">
        <f>H120*I120</f>
        <v>1800</v>
      </c>
      <c r="K120" s="778">
        <v>0</v>
      </c>
      <c r="L120" s="778">
        <f>K120*I120*$E$7</f>
        <v>0</v>
      </c>
      <c r="M120" s="776">
        <v>0</v>
      </c>
      <c r="N120" s="778">
        <f>M120*I120*$E$7*$E$7</f>
        <v>0</v>
      </c>
      <c r="O120" s="776">
        <v>0</v>
      </c>
      <c r="P120" s="778">
        <f>O120*I120*$E$7*$E$7*$E$7</f>
        <v>0</v>
      </c>
      <c r="Q120" s="779">
        <f t="shared" si="54"/>
        <v>1800</v>
      </c>
      <c r="R120" s="778" t="s">
        <v>188</v>
      </c>
      <c r="S120" s="780">
        <f t="shared" si="55"/>
        <v>1800</v>
      </c>
    </row>
    <row r="121" spans="1:21" ht="15.3">
      <c r="A121" s="955"/>
      <c r="B121" s="955"/>
      <c r="C121" s="955"/>
      <c r="D121" s="955" t="s">
        <v>259</v>
      </c>
      <c r="E121" s="956"/>
      <c r="F121" s="956"/>
      <c r="G121" s="843"/>
      <c r="H121" s="783"/>
      <c r="I121" s="785"/>
      <c r="J121" s="784"/>
      <c r="K121" s="785"/>
      <c r="L121" s="785"/>
      <c r="M121" s="783"/>
      <c r="N121" s="785"/>
      <c r="O121" s="783"/>
      <c r="P121" s="785"/>
      <c r="Q121" s="786"/>
      <c r="R121" s="785"/>
      <c r="S121" s="787"/>
    </row>
    <row r="122" spans="1:21" ht="15.3">
      <c r="A122" s="805" t="s">
        <v>964</v>
      </c>
      <c r="B122" s="805">
        <v>87000</v>
      </c>
      <c r="C122" s="805" t="s">
        <v>910</v>
      </c>
      <c r="D122" s="805" t="s">
        <v>260</v>
      </c>
      <c r="E122" s="736" t="s">
        <v>254</v>
      </c>
      <c r="G122" s="842" t="s">
        <v>261</v>
      </c>
      <c r="H122" s="776">
        <v>1</v>
      </c>
      <c r="I122" s="778">
        <v>300</v>
      </c>
      <c r="J122" s="777">
        <f>H122*I122</f>
        <v>300</v>
      </c>
      <c r="K122" s="778">
        <v>0</v>
      </c>
      <c r="L122" s="778">
        <f>K122*I122*$E$7</f>
        <v>0</v>
      </c>
      <c r="M122" s="776">
        <v>1</v>
      </c>
      <c r="N122" s="778">
        <f>M122*I122*$E$7*$E$7</f>
        <v>324.48</v>
      </c>
      <c r="O122" s="776">
        <v>0</v>
      </c>
      <c r="P122" s="778">
        <f>O122*I122*$E$7*$E$7*$E$7</f>
        <v>0</v>
      </c>
      <c r="Q122" s="779">
        <f t="shared" ref="Q122" si="56">SUM(J122+L122+N122+P122)</f>
        <v>624.48</v>
      </c>
      <c r="R122" s="778" t="s">
        <v>188</v>
      </c>
      <c r="S122" s="780">
        <f t="shared" ref="S122" si="57">SUM(Q122:R122)</f>
        <v>624.48</v>
      </c>
    </row>
    <row r="123" spans="1:21" ht="30.6">
      <c r="A123" s="805" t="s">
        <v>965</v>
      </c>
      <c r="B123" s="805" t="s">
        <v>926</v>
      </c>
      <c r="C123" s="805" t="s">
        <v>910</v>
      </c>
      <c r="D123" s="805" t="s">
        <v>262</v>
      </c>
      <c r="E123" s="736" t="s">
        <v>254</v>
      </c>
      <c r="G123" s="842" t="s">
        <v>263</v>
      </c>
      <c r="H123" s="776">
        <v>5</v>
      </c>
      <c r="I123" s="778">
        <v>115</v>
      </c>
      <c r="J123" s="777">
        <f>H123*I123</f>
        <v>575</v>
      </c>
      <c r="K123" s="778">
        <v>0</v>
      </c>
      <c r="L123" s="778">
        <f t="shared" ref="L123:L124" si="58">K123*I123*$E$7</f>
        <v>0</v>
      </c>
      <c r="M123" s="776">
        <v>5</v>
      </c>
      <c r="N123" s="778">
        <f t="shared" ref="N123:N124" si="59">M123*I123*$E$7*$E$7</f>
        <v>621.92000000000007</v>
      </c>
      <c r="O123" s="776">
        <v>0</v>
      </c>
      <c r="P123" s="778">
        <f>O123*I123*$E$7*$E$7*$E$7</f>
        <v>0</v>
      </c>
      <c r="Q123" s="779">
        <f t="shared" ref="Q123" si="60">SUM(J123+L123+N123+P123)</f>
        <v>1196.92</v>
      </c>
      <c r="R123" s="778" t="s">
        <v>188</v>
      </c>
      <c r="S123" s="780">
        <f t="shared" ref="S123" si="61">SUM(Q123:R123)</f>
        <v>1196.92</v>
      </c>
    </row>
    <row r="124" spans="1:21" ht="15.3">
      <c r="A124" s="805" t="s">
        <v>966</v>
      </c>
      <c r="B124" s="805">
        <v>86000</v>
      </c>
      <c r="C124" s="805" t="s">
        <v>910</v>
      </c>
      <c r="D124" s="805" t="s">
        <v>264</v>
      </c>
      <c r="E124" s="736" t="s">
        <v>254</v>
      </c>
      <c r="G124" s="842" t="s">
        <v>263</v>
      </c>
      <c r="H124" s="776">
        <v>5</v>
      </c>
      <c r="I124" s="778">
        <v>30</v>
      </c>
      <c r="J124" s="777">
        <f>H124*I124</f>
        <v>150</v>
      </c>
      <c r="K124" s="778">
        <v>0</v>
      </c>
      <c r="L124" s="778">
        <f t="shared" si="58"/>
        <v>0</v>
      </c>
      <c r="M124" s="776">
        <v>5</v>
      </c>
      <c r="N124" s="778">
        <f t="shared" si="59"/>
        <v>162.24</v>
      </c>
      <c r="O124" s="776">
        <v>0</v>
      </c>
      <c r="P124" s="778">
        <f>O124*I124*$E$7*$E$7*$E$7</f>
        <v>0</v>
      </c>
      <c r="Q124" s="779">
        <f t="shared" ref="Q124" si="62">SUM(J124+L124+N124+P124)</f>
        <v>312.24</v>
      </c>
      <c r="R124" s="778" t="s">
        <v>188</v>
      </c>
      <c r="S124" s="780">
        <f t="shared" ref="S124" si="63">SUM(Q124:R124)</f>
        <v>312.24</v>
      </c>
    </row>
    <row r="125" spans="1:21" ht="15.3">
      <c r="A125" s="955"/>
      <c r="B125" s="955"/>
      <c r="C125" s="955"/>
      <c r="D125" s="955" t="s">
        <v>265</v>
      </c>
      <c r="E125" s="956"/>
      <c r="F125" s="956"/>
      <c r="G125" s="843"/>
      <c r="H125" s="783"/>
      <c r="I125" s="785"/>
      <c r="J125" s="784"/>
      <c r="K125" s="785"/>
      <c r="L125" s="785"/>
      <c r="M125" s="783"/>
      <c r="N125" s="785"/>
      <c r="O125" s="783"/>
      <c r="P125" s="785"/>
      <c r="Q125" s="786"/>
      <c r="R125" s="785"/>
      <c r="S125" s="787"/>
    </row>
    <row r="126" spans="1:21" ht="30.6">
      <c r="A126" s="805" t="s">
        <v>967</v>
      </c>
      <c r="B126" s="805" t="s">
        <v>960</v>
      </c>
      <c r="C126" s="805" t="s">
        <v>910</v>
      </c>
      <c r="D126" s="805" t="s">
        <v>266</v>
      </c>
      <c r="E126" s="736" t="s">
        <v>254</v>
      </c>
      <c r="G126" s="842" t="s">
        <v>267</v>
      </c>
      <c r="H126" s="776">
        <v>1</v>
      </c>
      <c r="I126" s="778">
        <v>1000</v>
      </c>
      <c r="J126" s="777">
        <f>H126*I126</f>
        <v>1000</v>
      </c>
      <c r="K126" s="778">
        <v>0</v>
      </c>
      <c r="L126" s="778">
        <f>K126*I126*$E$7</f>
        <v>0</v>
      </c>
      <c r="M126" s="776">
        <v>0</v>
      </c>
      <c r="N126" s="778">
        <f>M126*I126*$E$7*$E$7</f>
        <v>0</v>
      </c>
      <c r="O126" s="776">
        <v>0</v>
      </c>
      <c r="P126" s="778">
        <f>O126*I126*$E$7*$E$7*$E$7</f>
        <v>0</v>
      </c>
      <c r="Q126" s="779">
        <f t="shared" ref="Q126" si="64">SUM(J126+L126+N126+P126)</f>
        <v>1000</v>
      </c>
      <c r="R126" s="778" t="s">
        <v>188</v>
      </c>
      <c r="S126" s="780">
        <f t="shared" ref="S126" si="65">SUM(Q126:R126)</f>
        <v>1000</v>
      </c>
    </row>
    <row r="127" spans="1:21" ht="15.3">
      <c r="A127" s="805" t="s">
        <v>968</v>
      </c>
      <c r="B127" s="805">
        <v>87000</v>
      </c>
      <c r="C127" s="805" t="s">
        <v>910</v>
      </c>
      <c r="D127" s="805" t="s">
        <v>268</v>
      </c>
      <c r="E127" s="736" t="s">
        <v>254</v>
      </c>
      <c r="G127" s="842" t="s">
        <v>261</v>
      </c>
      <c r="H127" s="776">
        <v>1</v>
      </c>
      <c r="I127" s="778">
        <v>500</v>
      </c>
      <c r="J127" s="777">
        <f>H127*I127</f>
        <v>500</v>
      </c>
      <c r="K127" s="778">
        <v>0</v>
      </c>
      <c r="L127" s="778">
        <f>K127*I127*$E$7</f>
        <v>0</v>
      </c>
      <c r="M127" s="776">
        <v>0</v>
      </c>
      <c r="N127" s="778">
        <f>M127*I127*$E$7*$E$7</f>
        <v>0</v>
      </c>
      <c r="O127" s="776">
        <v>0</v>
      </c>
      <c r="P127" s="778">
        <f t="shared" ref="P127:P129" si="66">O127*I127*$E$7*$E$7*$E$7</f>
        <v>0</v>
      </c>
      <c r="Q127" s="779">
        <f t="shared" ref="Q127" si="67">SUM(J127+L127+N127+P127)</f>
        <v>500</v>
      </c>
      <c r="R127" s="778" t="s">
        <v>188</v>
      </c>
      <c r="S127" s="780">
        <f t="shared" ref="S127" si="68">SUM(Q127:R127)</f>
        <v>500</v>
      </c>
    </row>
    <row r="128" spans="1:21" ht="30.6">
      <c r="A128" s="805" t="s">
        <v>969</v>
      </c>
      <c r="B128" s="805" t="s">
        <v>926</v>
      </c>
      <c r="C128" s="805" t="s">
        <v>910</v>
      </c>
      <c r="D128" s="805" t="s">
        <v>269</v>
      </c>
      <c r="E128" s="736" t="s">
        <v>254</v>
      </c>
      <c r="G128" s="842" t="s">
        <v>263</v>
      </c>
      <c r="H128" s="776">
        <v>6</v>
      </c>
      <c r="I128" s="778">
        <v>115</v>
      </c>
      <c r="J128" s="777">
        <f>H128*I128</f>
        <v>690</v>
      </c>
      <c r="K128" s="778">
        <v>0</v>
      </c>
      <c r="L128" s="778">
        <f t="shared" ref="L128:L129" si="69">K128*I128*$E$7</f>
        <v>0</v>
      </c>
      <c r="M128" s="776">
        <v>0</v>
      </c>
      <c r="N128" s="778">
        <f t="shared" ref="N128:N129" si="70">M128*I128*$E$7*$E$7</f>
        <v>0</v>
      </c>
      <c r="O128" s="776">
        <v>0</v>
      </c>
      <c r="P128" s="778">
        <f t="shared" si="66"/>
        <v>0</v>
      </c>
      <c r="Q128" s="779">
        <f t="shared" ref="Q128" si="71">SUM(J128+L128+N128+P128)</f>
        <v>690</v>
      </c>
      <c r="R128" s="778" t="s">
        <v>188</v>
      </c>
      <c r="S128" s="780">
        <f t="shared" ref="S128" si="72">SUM(Q128:R128)</f>
        <v>690</v>
      </c>
    </row>
    <row r="129" spans="1:21" ht="15.3">
      <c r="A129" s="805" t="s">
        <v>970</v>
      </c>
      <c r="B129" s="805">
        <v>86000</v>
      </c>
      <c r="C129" s="805" t="s">
        <v>910</v>
      </c>
      <c r="D129" s="805" t="s">
        <v>270</v>
      </c>
      <c r="E129" s="736" t="s">
        <v>254</v>
      </c>
      <c r="G129" s="842" t="s">
        <v>263</v>
      </c>
      <c r="H129" s="776">
        <v>6</v>
      </c>
      <c r="I129" s="778">
        <v>30</v>
      </c>
      <c r="J129" s="777">
        <f>H129*I129</f>
        <v>180</v>
      </c>
      <c r="K129" s="778">
        <v>0</v>
      </c>
      <c r="L129" s="778">
        <f t="shared" si="69"/>
        <v>0</v>
      </c>
      <c r="M129" s="776">
        <v>0</v>
      </c>
      <c r="N129" s="778">
        <f t="shared" si="70"/>
        <v>0</v>
      </c>
      <c r="O129" s="776">
        <v>0</v>
      </c>
      <c r="P129" s="778">
        <f t="shared" si="66"/>
        <v>0</v>
      </c>
      <c r="Q129" s="779">
        <f t="shared" ref="Q129" si="73">SUM(J129+L129+N129+P129)</f>
        <v>180</v>
      </c>
      <c r="R129" s="778" t="s">
        <v>188</v>
      </c>
      <c r="S129" s="780">
        <f t="shared" ref="S129" si="74">SUM(Q129:R129)</f>
        <v>180</v>
      </c>
    </row>
    <row r="130" spans="1:21" ht="30.3">
      <c r="A130" s="955"/>
      <c r="B130" s="955"/>
      <c r="C130" s="955"/>
      <c r="D130" s="955" t="s">
        <v>271</v>
      </c>
      <c r="E130" s="956"/>
      <c r="F130" s="956"/>
      <c r="G130" s="843"/>
      <c r="H130" s="783"/>
      <c r="I130" s="785"/>
      <c r="J130" s="784"/>
      <c r="K130" s="785"/>
      <c r="L130" s="785"/>
      <c r="M130" s="783"/>
      <c r="N130" s="785"/>
      <c r="O130" s="783"/>
      <c r="P130" s="785"/>
      <c r="Q130" s="786"/>
      <c r="R130" s="785"/>
      <c r="S130" s="787"/>
    </row>
    <row r="131" spans="1:21" ht="30.6">
      <c r="A131" s="805" t="s">
        <v>971</v>
      </c>
      <c r="B131" s="805" t="s">
        <v>926</v>
      </c>
      <c r="C131" s="805" t="s">
        <v>910</v>
      </c>
      <c r="D131" s="805" t="s">
        <v>272</v>
      </c>
      <c r="E131" s="736" t="s">
        <v>254</v>
      </c>
      <c r="G131" s="842" t="s">
        <v>263</v>
      </c>
      <c r="H131" s="776">
        <f>12</f>
        <v>12</v>
      </c>
      <c r="I131" s="778">
        <v>115</v>
      </c>
      <c r="J131" s="777">
        <f>H131*I131</f>
        <v>1380</v>
      </c>
      <c r="K131" s="776">
        <f>12*2</f>
        <v>24</v>
      </c>
      <c r="L131" s="778">
        <f>K131*I131*$E$7</f>
        <v>2870.4</v>
      </c>
      <c r="M131" s="776">
        <f>12*2</f>
        <v>24</v>
      </c>
      <c r="N131" s="778">
        <f>M131*I131*$E$7*$E$7</f>
        <v>2985.2160000000003</v>
      </c>
      <c r="O131" s="776">
        <f>12*2</f>
        <v>24</v>
      </c>
      <c r="P131" s="778">
        <f t="shared" ref="P131:P133" si="75">O131*I131*$E$7*$E$7*$E$7</f>
        <v>3104.6246400000005</v>
      </c>
      <c r="Q131" s="779">
        <f t="shared" ref="Q131" si="76">SUM(J131+L131+N131+P131)</f>
        <v>10340.24064</v>
      </c>
      <c r="R131" s="778" t="s">
        <v>188</v>
      </c>
      <c r="S131" s="780">
        <f t="shared" ref="S131" si="77">SUM(Q131:R131)</f>
        <v>10340.24064</v>
      </c>
    </row>
    <row r="132" spans="1:21" ht="15.3">
      <c r="A132" s="805" t="s">
        <v>972</v>
      </c>
      <c r="B132" s="805">
        <v>86000</v>
      </c>
      <c r="C132" s="805" t="s">
        <v>910</v>
      </c>
      <c r="D132" s="805" t="s">
        <v>273</v>
      </c>
      <c r="E132" s="736" t="s">
        <v>254</v>
      </c>
      <c r="G132" s="842" t="s">
        <v>190</v>
      </c>
      <c r="H132" s="776">
        <f>12</f>
        <v>12</v>
      </c>
      <c r="I132" s="778">
        <v>30</v>
      </c>
      <c r="J132" s="777">
        <f>H132*I132</f>
        <v>360</v>
      </c>
      <c r="K132" s="776">
        <f>12*2</f>
        <v>24</v>
      </c>
      <c r="L132" s="778">
        <f t="shared" ref="L132:L133" si="78">K132*I132*$E$7</f>
        <v>748.80000000000007</v>
      </c>
      <c r="M132" s="776">
        <f>12*2</f>
        <v>24</v>
      </c>
      <c r="N132" s="778">
        <f t="shared" ref="N132:N133" si="79">M132*I132*$E$7*$E$7</f>
        <v>778.75200000000007</v>
      </c>
      <c r="O132" s="776">
        <f>12*2</f>
        <v>24</v>
      </c>
      <c r="P132" s="778">
        <f t="shared" si="75"/>
        <v>809.90208000000007</v>
      </c>
      <c r="Q132" s="779">
        <f t="shared" ref="Q132" si="80">SUM(J132+L132+N132+P132)</f>
        <v>2697.4540800000004</v>
      </c>
      <c r="R132" s="778" t="s">
        <v>188</v>
      </c>
      <c r="S132" s="780">
        <f t="shared" ref="S132" si="81">SUM(Q132:R132)</f>
        <v>2697.4540800000004</v>
      </c>
    </row>
    <row r="133" spans="1:21" ht="15.3">
      <c r="A133" s="805" t="s">
        <v>973</v>
      </c>
      <c r="B133" s="805">
        <v>7710</v>
      </c>
      <c r="C133" s="805" t="s">
        <v>910</v>
      </c>
      <c r="D133" s="805" t="s">
        <v>274</v>
      </c>
      <c r="E133" s="736" t="s">
        <v>254</v>
      </c>
      <c r="G133" s="842" t="s">
        <v>204</v>
      </c>
      <c r="H133" s="776">
        <v>1</v>
      </c>
      <c r="I133" s="778">
        <v>500</v>
      </c>
      <c r="J133" s="777">
        <f>H133*I133</f>
        <v>500</v>
      </c>
      <c r="K133" s="778">
        <v>1</v>
      </c>
      <c r="L133" s="778">
        <f t="shared" si="78"/>
        <v>520</v>
      </c>
      <c r="M133" s="776">
        <v>1</v>
      </c>
      <c r="N133" s="778">
        <f t="shared" si="79"/>
        <v>540.80000000000007</v>
      </c>
      <c r="O133" s="776">
        <v>1</v>
      </c>
      <c r="P133" s="778">
        <f t="shared" si="75"/>
        <v>562.43200000000013</v>
      </c>
      <c r="Q133" s="779">
        <f t="shared" ref="Q133" si="82">SUM(J133+L133+N133+P133)</f>
        <v>2123.2320000000004</v>
      </c>
      <c r="R133" s="778" t="s">
        <v>188</v>
      </c>
      <c r="S133" s="780">
        <f t="shared" ref="S133" si="83">SUM(Q133:R133)</f>
        <v>2123.2320000000004</v>
      </c>
    </row>
    <row r="134" spans="1:21" ht="15.3">
      <c r="A134" s="955"/>
      <c r="B134" s="955"/>
      <c r="C134" s="955"/>
      <c r="D134" s="955" t="s">
        <v>275</v>
      </c>
      <c r="E134" s="956"/>
      <c r="F134" s="956"/>
      <c r="G134" s="843"/>
      <c r="H134" s="783"/>
      <c r="I134" s="785"/>
      <c r="J134" s="784"/>
      <c r="K134" s="785"/>
      <c r="L134" s="785"/>
      <c r="M134" s="783"/>
      <c r="N134" s="785"/>
      <c r="O134" s="783"/>
      <c r="P134" s="785"/>
      <c r="Q134" s="786"/>
      <c r="R134" s="785"/>
      <c r="S134" s="787"/>
    </row>
    <row r="135" spans="1:21" ht="15.3">
      <c r="A135" s="805" t="s">
        <v>974</v>
      </c>
      <c r="B135" s="805">
        <v>81000</v>
      </c>
      <c r="C135" s="805" t="s">
        <v>910</v>
      </c>
      <c r="D135" s="805" t="s">
        <v>276</v>
      </c>
      <c r="E135" s="736" t="s">
        <v>254</v>
      </c>
      <c r="G135" s="842" t="s">
        <v>190</v>
      </c>
      <c r="H135" s="776">
        <v>90</v>
      </c>
      <c r="I135" s="778">
        <v>350</v>
      </c>
      <c r="J135" s="777">
        <f>H135*I135</f>
        <v>31500</v>
      </c>
      <c r="K135" s="778">
        <v>0</v>
      </c>
      <c r="L135" s="778">
        <f>K135*I135*$E$7</f>
        <v>0</v>
      </c>
      <c r="M135" s="776">
        <v>0</v>
      </c>
      <c r="N135" s="778">
        <f t="shared" ref="N135:N136" si="84">M135*I135*$E$7*$E$7</f>
        <v>0</v>
      </c>
      <c r="O135" s="776">
        <v>0</v>
      </c>
      <c r="P135" s="778">
        <f t="shared" ref="P135" si="85">O135*I135</f>
        <v>0</v>
      </c>
      <c r="Q135" s="779">
        <f t="shared" ref="Q135:Q136" si="86">SUM(J135+L135+N135+P135)</f>
        <v>31500</v>
      </c>
      <c r="R135" s="778" t="s">
        <v>188</v>
      </c>
      <c r="S135" s="780">
        <f t="shared" ref="S135:S136" si="87">SUM(Q135:R135)</f>
        <v>31500</v>
      </c>
    </row>
    <row r="136" spans="1:21" ht="15.3">
      <c r="A136" s="805" t="s">
        <v>975</v>
      </c>
      <c r="B136" s="805">
        <v>87010</v>
      </c>
      <c r="C136" s="805" t="s">
        <v>910</v>
      </c>
      <c r="D136" s="805" t="s">
        <v>277</v>
      </c>
      <c r="E136" s="736" t="s">
        <v>254</v>
      </c>
      <c r="G136" s="842" t="s">
        <v>278</v>
      </c>
      <c r="H136" s="776">
        <v>1</v>
      </c>
      <c r="I136" s="778">
        <v>900</v>
      </c>
      <c r="J136" s="777">
        <f>H136*I136</f>
        <v>900</v>
      </c>
      <c r="K136" s="778">
        <v>0</v>
      </c>
      <c r="L136" s="778">
        <f>K136*I136*$E$7</f>
        <v>0</v>
      </c>
      <c r="M136" s="776">
        <v>0</v>
      </c>
      <c r="N136" s="778">
        <f t="shared" si="84"/>
        <v>0</v>
      </c>
      <c r="O136" s="776">
        <v>0</v>
      </c>
      <c r="P136" s="778">
        <f t="shared" ref="P136" si="88">O136*I136*$E$7*$E$7*$E$7</f>
        <v>0</v>
      </c>
      <c r="Q136" s="779">
        <f t="shared" si="86"/>
        <v>900</v>
      </c>
      <c r="R136" s="778" t="s">
        <v>188</v>
      </c>
      <c r="S136" s="780">
        <f t="shared" si="87"/>
        <v>900</v>
      </c>
    </row>
    <row r="137" spans="1:21" ht="15.3">
      <c r="A137" s="955"/>
      <c r="B137" s="955"/>
      <c r="C137" s="955"/>
      <c r="D137" s="955" t="s">
        <v>279</v>
      </c>
      <c r="E137" s="956"/>
      <c r="F137" s="956"/>
      <c r="G137" s="843"/>
      <c r="H137" s="783"/>
      <c r="I137" s="785"/>
      <c r="J137" s="784"/>
      <c r="K137" s="785"/>
      <c r="L137" s="785"/>
      <c r="M137" s="783"/>
      <c r="N137" s="785"/>
      <c r="O137" s="783"/>
      <c r="P137" s="785"/>
      <c r="Q137" s="786"/>
      <c r="R137" s="785"/>
      <c r="S137" s="787"/>
    </row>
    <row r="138" spans="1:21" ht="15.3">
      <c r="A138" s="805" t="s">
        <v>976</v>
      </c>
      <c r="B138" s="805">
        <v>81010</v>
      </c>
      <c r="C138" s="805" t="s">
        <v>910</v>
      </c>
      <c r="D138" s="805" t="s">
        <v>280</v>
      </c>
      <c r="E138" s="736" t="s">
        <v>254</v>
      </c>
      <c r="G138" s="842" t="s">
        <v>281</v>
      </c>
      <c r="H138" s="776">
        <v>0</v>
      </c>
      <c r="I138" s="778">
        <v>60000</v>
      </c>
      <c r="J138" s="777">
        <f>H138*I138</f>
        <v>0</v>
      </c>
      <c r="K138" s="778">
        <v>1</v>
      </c>
      <c r="L138" s="778">
        <f>K138*I138</f>
        <v>60000</v>
      </c>
      <c r="M138" s="776">
        <v>0</v>
      </c>
      <c r="N138" s="778">
        <f t="shared" ref="N138:N139" si="89">M138*I138*$E$7*$E$7</f>
        <v>0</v>
      </c>
      <c r="O138" s="776">
        <v>0</v>
      </c>
      <c r="P138" s="778">
        <f t="shared" ref="P138" si="90">O138*I138</f>
        <v>0</v>
      </c>
      <c r="Q138" s="779">
        <f t="shared" ref="Q138" si="91">SUM(J138+L138+N138+P138)</f>
        <v>60000</v>
      </c>
      <c r="R138" s="778" t="s">
        <v>188</v>
      </c>
      <c r="S138" s="780">
        <f t="shared" ref="S138:S139" si="92">SUM(Q138:R138)</f>
        <v>60000</v>
      </c>
      <c r="U138" s="1066"/>
    </row>
    <row r="139" spans="1:21" ht="15.3">
      <c r="A139" s="805" t="s">
        <v>977</v>
      </c>
      <c r="B139" s="805">
        <v>81010</v>
      </c>
      <c r="C139" s="805" t="s">
        <v>910</v>
      </c>
      <c r="D139" s="805" t="s">
        <v>282</v>
      </c>
      <c r="E139" s="736" t="s">
        <v>254</v>
      </c>
      <c r="G139" s="842" t="s">
        <v>281</v>
      </c>
      <c r="H139" s="776">
        <v>0</v>
      </c>
      <c r="I139" s="778">
        <v>60000</v>
      </c>
      <c r="J139" s="777">
        <f>H139*I139</f>
        <v>0</v>
      </c>
      <c r="K139" s="778">
        <v>0</v>
      </c>
      <c r="L139" s="778">
        <f>K139*I139</f>
        <v>0</v>
      </c>
      <c r="M139" s="776">
        <v>0</v>
      </c>
      <c r="N139" s="778">
        <f t="shared" si="89"/>
        <v>0</v>
      </c>
      <c r="O139" s="776">
        <v>1</v>
      </c>
      <c r="P139" s="778">
        <f t="shared" ref="P139" si="93">O139*I139</f>
        <v>60000</v>
      </c>
      <c r="Q139" s="779">
        <f t="shared" ref="Q139" si="94">SUM(J139+L139+N139+P139)</f>
        <v>60000</v>
      </c>
      <c r="R139" s="778" t="s">
        <v>188</v>
      </c>
      <c r="S139" s="780">
        <f t="shared" si="92"/>
        <v>60000</v>
      </c>
    </row>
    <row r="140" spans="1:21" s="947" customFormat="1" ht="30.6" thickBot="1">
      <c r="A140" s="1004"/>
      <c r="B140" s="1004"/>
      <c r="C140" s="1004"/>
      <c r="D140" s="1004" t="s">
        <v>283</v>
      </c>
      <c r="E140" s="1004"/>
      <c r="F140" s="1004"/>
      <c r="G140" s="1005"/>
      <c r="H140" s="1005"/>
      <c r="I140" s="1006"/>
      <c r="J140" s="1006">
        <f>SUM(J117:J139)</f>
        <v>51785</v>
      </c>
      <c r="K140" s="1006"/>
      <c r="L140" s="1006">
        <f>SUM(L117:L139)</f>
        <v>64139.199999999997</v>
      </c>
      <c r="M140" s="1006"/>
      <c r="N140" s="1006">
        <f>SUM(N117:N139)</f>
        <v>5413.4080000000013</v>
      </c>
      <c r="O140" s="1006"/>
      <c r="P140" s="1006">
        <f>SUM(P117:P139)</f>
        <v>64476.958720000002</v>
      </c>
      <c r="Q140" s="1006">
        <f>SUM(Q117:Q139)</f>
        <v>185814.56672</v>
      </c>
      <c r="R140" s="1006">
        <f>SUM(R117:R139)</f>
        <v>0</v>
      </c>
      <c r="S140" s="1007">
        <f>SUM(S117:S139)</f>
        <v>185814.56672</v>
      </c>
      <c r="T140" s="1068"/>
      <c r="U140" s="948"/>
    </row>
    <row r="141" spans="1:21" ht="15.3">
      <c r="A141" s="805"/>
      <c r="B141" s="805"/>
      <c r="C141" s="805"/>
      <c r="D141" s="805"/>
      <c r="H141" s="776"/>
      <c r="I141" s="778"/>
      <c r="J141" s="777"/>
      <c r="K141" s="778"/>
      <c r="L141" s="778"/>
      <c r="M141" s="776"/>
      <c r="N141" s="778"/>
      <c r="O141" s="776"/>
      <c r="P141" s="778"/>
      <c r="Q141" s="779"/>
      <c r="R141" s="778"/>
      <c r="S141" s="780"/>
    </row>
    <row r="142" spans="1:21" ht="15.6" thickBot="1">
      <c r="A142" s="813"/>
      <c r="B142" s="813"/>
      <c r="C142" s="813"/>
      <c r="D142" s="813" t="s">
        <v>284</v>
      </c>
      <c r="E142" s="814"/>
      <c r="F142" s="814"/>
      <c r="G142" s="814"/>
      <c r="H142" s="874"/>
      <c r="I142" s="875"/>
      <c r="J142" s="876">
        <f>J140+J114+J106+J96+J87</f>
        <v>176625.2</v>
      </c>
      <c r="K142" s="877"/>
      <c r="L142" s="876">
        <f>L140+L114+L106+L96+L87</f>
        <v>190655.9584</v>
      </c>
      <c r="M142" s="877"/>
      <c r="N142" s="876">
        <f>N140+N114+N106+N96+N87</f>
        <v>151871.02873600001</v>
      </c>
      <c r="O142" s="877"/>
      <c r="P142" s="876">
        <f>P140+P114+P106+P96+P87</f>
        <v>138290.44844544001</v>
      </c>
      <c r="Q142" s="876">
        <f>Q140+Q114+Q106+Q96+Q87</f>
        <v>657442.63558144006</v>
      </c>
      <c r="R142" s="877">
        <f>SUM(R90:R139)</f>
        <v>0</v>
      </c>
      <c r="S142" s="876">
        <f>S140+S114+S106+S96+S87</f>
        <v>657442.63558144006</v>
      </c>
      <c r="U142" s="970"/>
    </row>
    <row r="143" spans="1:21" ht="15.3">
      <c r="A143" s="878"/>
      <c r="B143" s="878"/>
      <c r="C143" s="878"/>
      <c r="D143" s="878"/>
      <c r="E143" s="879"/>
      <c r="F143" s="879"/>
      <c r="H143" s="847"/>
      <c r="I143" s="808"/>
      <c r="J143" s="809"/>
      <c r="K143" s="808"/>
      <c r="L143" s="808"/>
      <c r="M143" s="810"/>
      <c r="N143" s="808"/>
      <c r="O143" s="810"/>
      <c r="P143" s="808"/>
      <c r="Q143" s="811"/>
      <c r="R143" s="778"/>
      <c r="S143" s="812"/>
    </row>
    <row r="144" spans="1:21" ht="15.6" thickBot="1">
      <c r="A144" s="880"/>
      <c r="B144" s="880"/>
      <c r="C144" s="880"/>
      <c r="D144" s="880" t="s">
        <v>285</v>
      </c>
      <c r="E144" s="881"/>
      <c r="F144" s="881"/>
      <c r="G144" s="881"/>
      <c r="H144" s="882"/>
      <c r="I144" s="883"/>
      <c r="J144" s="884">
        <f>SUM(J29+J36+J54+J63++J142+J72+J58)</f>
        <v>766639.36479000002</v>
      </c>
      <c r="K144" s="885"/>
      <c r="L144" s="885">
        <f>SUM(L29+L36+L54+L63++L142+L72+L58)</f>
        <v>1025501.868806</v>
      </c>
      <c r="M144" s="886"/>
      <c r="N144" s="885">
        <f>SUM(N29+N36+N54+N63++N142+N72+N58)</f>
        <v>1035704.7525023001</v>
      </c>
      <c r="O144" s="886"/>
      <c r="P144" s="885">
        <f>SUM(P29+P36+P54+P63++P142+P72+P58)</f>
        <v>867196.43174691009</v>
      </c>
      <c r="Q144" s="887">
        <f>SUM(Q29+Q36+Q54+Q63++Q142+Q72+Q58)</f>
        <v>3695042.4178452101</v>
      </c>
      <c r="R144" s="885">
        <f>SUM(R29+R36+R54+R63++R142+R72+R58)</f>
        <v>0</v>
      </c>
      <c r="S144" s="888">
        <f>SUM(S29+S36+S54+S63++S142+S72+S58)</f>
        <v>3695042.4178452101</v>
      </c>
    </row>
    <row r="145" spans="1:19" ht="15.3">
      <c r="A145" s="889"/>
      <c r="B145" s="889"/>
      <c r="C145" s="889"/>
      <c r="D145" s="889"/>
      <c r="E145" s="890"/>
      <c r="F145" s="890"/>
      <c r="H145" s="847"/>
      <c r="I145" s="808"/>
      <c r="J145" s="891"/>
      <c r="K145" s="892"/>
      <c r="L145" s="892"/>
      <c r="M145" s="893"/>
      <c r="N145" s="892"/>
      <c r="O145" s="893"/>
      <c r="P145" s="892"/>
      <c r="Q145" s="894"/>
      <c r="R145" s="892"/>
      <c r="S145" s="895"/>
    </row>
    <row r="146" spans="1:19" ht="30.6">
      <c r="A146" s="889" t="s">
        <v>958</v>
      </c>
      <c r="B146" s="889">
        <v>94050</v>
      </c>
      <c r="C146" s="889" t="s">
        <v>920</v>
      </c>
      <c r="D146" s="889" t="s">
        <v>286</v>
      </c>
      <c r="E146" s="736" t="s">
        <v>287</v>
      </c>
      <c r="G146" s="879"/>
      <c r="H146" s="896"/>
      <c r="I146" s="804">
        <v>0.2828</v>
      </c>
      <c r="J146" s="891">
        <f>(J144)*I146</f>
        <v>216805.61236261201</v>
      </c>
      <c r="K146" s="892"/>
      <c r="L146" s="892">
        <f>(L144)*I146</f>
        <v>290011.92849833681</v>
      </c>
      <c r="M146" s="893"/>
      <c r="N146" s="892">
        <f>(N144)*I146</f>
        <v>292897.30400765047</v>
      </c>
      <c r="O146" s="849"/>
      <c r="P146" s="892">
        <f>(P144)*I146</f>
        <v>245243.15089802616</v>
      </c>
      <c r="Q146" s="894">
        <f>SUM(J146+L146+N146+P146)</f>
        <v>1044957.9957666255</v>
      </c>
      <c r="R146" s="892">
        <v>0</v>
      </c>
      <c r="S146" s="895">
        <f>SUM(Q146:R146)</f>
        <v>1044957.9957666255</v>
      </c>
    </row>
    <row r="147" spans="1:19" ht="15.3">
      <c r="A147" s="897"/>
      <c r="B147" s="897"/>
      <c r="C147" s="897"/>
      <c r="D147" s="897"/>
      <c r="E147" s="872"/>
      <c r="F147" s="872"/>
      <c r="G147" s="898"/>
      <c r="H147" s="899"/>
      <c r="I147" s="900"/>
      <c r="J147" s="901"/>
      <c r="K147" s="902"/>
      <c r="L147" s="902"/>
      <c r="M147" s="903"/>
      <c r="N147" s="902"/>
      <c r="O147" s="903"/>
      <c r="P147" s="902"/>
      <c r="Q147" s="904"/>
      <c r="R147" s="902"/>
      <c r="S147" s="905"/>
    </row>
    <row r="148" spans="1:19" ht="15.6" thickBot="1">
      <c r="A148" s="880"/>
      <c r="B148" s="880"/>
      <c r="C148" s="880"/>
      <c r="D148" s="880" t="s">
        <v>288</v>
      </c>
      <c r="E148" s="881"/>
      <c r="F148" s="881"/>
      <c r="G148" s="881"/>
      <c r="H148" s="882"/>
      <c r="I148" s="883"/>
      <c r="J148" s="906">
        <f>J144+J146</f>
        <v>983444.97715261206</v>
      </c>
      <c r="K148" s="907"/>
      <c r="L148" s="907">
        <f t="shared" ref="L148:P148" si="95">L144+L146</f>
        <v>1315513.7973043369</v>
      </c>
      <c r="M148" s="908"/>
      <c r="N148" s="907">
        <f t="shared" si="95"/>
        <v>1328602.0565099507</v>
      </c>
      <c r="O148" s="908"/>
      <c r="P148" s="907">
        <f t="shared" si="95"/>
        <v>1112439.5826449362</v>
      </c>
      <c r="Q148" s="909">
        <f>Q144+Q146</f>
        <v>4740000.4136118358</v>
      </c>
      <c r="R148" s="907">
        <f>R144+R146</f>
        <v>0</v>
      </c>
      <c r="S148" s="910">
        <f>SUM(Q148:R148)</f>
        <v>4740000.4136118358</v>
      </c>
    </row>
    <row r="149" spans="1:19" ht="15.3"/>
    <row r="150" spans="1:19" ht="15.3">
      <c r="S150" s="911"/>
    </row>
    <row r="151" spans="1:19" ht="15.3"/>
    <row r="152" spans="1:19" ht="12" customHeight="1">
      <c r="A152" s="912"/>
      <c r="B152" s="912"/>
      <c r="C152" s="912"/>
      <c r="D152" s="912"/>
      <c r="E152" s="912"/>
      <c r="F152" s="912"/>
      <c r="G152" s="913"/>
    </row>
    <row r="153" spans="1:19" ht="12" customHeight="1">
      <c r="A153" s="912"/>
      <c r="B153" s="912"/>
      <c r="C153" s="912"/>
      <c r="D153" s="912"/>
      <c r="E153" s="912"/>
      <c r="F153" s="912"/>
      <c r="G153" s="914"/>
    </row>
  </sheetData>
  <mergeCells count="5">
    <mergeCell ref="D1:S1"/>
    <mergeCell ref="D2:S2"/>
    <mergeCell ref="D3:S3"/>
    <mergeCell ref="D4:S4"/>
    <mergeCell ref="D5:E5"/>
  </mergeCells>
  <pageMargins left="0.7" right="0.7" top="0.75" bottom="0.75" header="0.3" footer="0.3"/>
  <pageSetup paperSize="17" scale="96" fitToHeight="0" orientation="landscape" r:id="rId1"/>
  <headerFooter alignWithMargins="0"/>
  <rowBreaks count="1" manualBreakCount="1">
    <brk id="72" min="3"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pageSetUpPr fitToPage="1"/>
  </sheetPr>
  <dimension ref="A1:AE131"/>
  <sheetViews>
    <sheetView topLeftCell="A7" zoomScale="85" zoomScaleNormal="85" zoomScaleSheetLayoutView="70" workbookViewId="0">
      <pane xSplit="5" ySplit="4" topLeftCell="F20" activePane="bottomRight" state="frozen"/>
      <selection pane="topRight" activeCell="F7" sqref="F7"/>
      <selection pane="bottomLeft" activeCell="A11" sqref="A11"/>
      <selection pane="bottomRight" activeCell="Y38" sqref="Y38"/>
    </sheetView>
  </sheetViews>
  <sheetFormatPr defaultColWidth="9.71875" defaultRowHeight="12.3"/>
  <cols>
    <col min="1" max="1" width="50.71875" style="9" customWidth="1"/>
    <col min="2" max="2" width="9.71875" style="13" hidden="1" customWidth="1"/>
    <col min="3" max="3" width="9" style="9" hidden="1" customWidth="1"/>
    <col min="4" max="4" width="10.5546875" style="9" hidden="1" customWidth="1"/>
    <col min="5" max="5" width="9.27734375" style="9" hidden="1" customWidth="1"/>
    <col min="6" max="6" width="14.44140625" style="9" customWidth="1"/>
    <col min="7" max="7" width="9.71875" style="9" hidden="1" customWidth="1"/>
    <col min="8" max="8" width="8.27734375" style="9" hidden="1" customWidth="1"/>
    <col min="9" max="9" width="14.44140625" style="9" customWidth="1"/>
    <col min="10" max="10" width="10.27734375" style="9" hidden="1" customWidth="1"/>
    <col min="11" max="11" width="9.27734375" style="9" hidden="1" customWidth="1"/>
    <col min="12" max="12" width="14.44140625" style="9" customWidth="1"/>
    <col min="13" max="13" width="10.5546875" style="9" hidden="1" customWidth="1"/>
    <col min="14" max="14" width="9.27734375" style="9" hidden="1" customWidth="1"/>
    <col min="15" max="15" width="14.44140625" style="9" customWidth="1"/>
    <col min="16" max="16" width="10.27734375" style="9" hidden="1" customWidth="1"/>
    <col min="17" max="17" width="9.27734375" style="9" hidden="1" customWidth="1"/>
    <col min="18" max="18" width="14.44140625" style="9" customWidth="1"/>
    <col min="19" max="20" width="9.44140625" style="9" hidden="1" customWidth="1"/>
    <col min="21" max="21" width="16.44140625" style="9" bestFit="1" customWidth="1"/>
    <col min="22" max="22" width="16" style="9" customWidth="1"/>
    <col min="23" max="23" width="15.71875" style="14" customWidth="1"/>
    <col min="24" max="24" width="13.71875" style="14" customWidth="1"/>
    <col min="25" max="25" width="12.44140625" style="5" bestFit="1" customWidth="1"/>
    <col min="26" max="16384" width="9.71875" style="9"/>
  </cols>
  <sheetData>
    <row r="1" spans="1:25" s="8" customFormat="1" ht="20.100000000000001">
      <c r="A1" s="4" t="str">
        <f>Assumptions!B4</f>
        <v>Partners of America</v>
      </c>
      <c r="B1" s="7"/>
      <c r="J1" s="9"/>
      <c r="K1" s="10"/>
      <c r="M1" s="24"/>
      <c r="N1" s="25"/>
      <c r="O1" s="25"/>
      <c r="Q1" s="25"/>
      <c r="R1" s="25"/>
      <c r="S1" s="24"/>
      <c r="T1" s="24"/>
      <c r="U1" s="26"/>
      <c r="X1" s="11"/>
    </row>
    <row r="2" spans="1:25" s="8" customFormat="1" ht="15">
      <c r="A2" s="442" t="str">
        <f>Assumptions!B5</f>
        <v>DONOR:</v>
      </c>
      <c r="F2" s="315" t="str">
        <f>Assumptions!C5</f>
        <v>USDOL</v>
      </c>
      <c r="J2" s="9"/>
      <c r="K2" s="9"/>
      <c r="L2" s="9"/>
      <c r="M2" s="27"/>
      <c r="N2" s="12"/>
      <c r="O2" s="12"/>
      <c r="Q2" s="9"/>
      <c r="W2" s="11"/>
      <c r="X2" s="11"/>
      <c r="Y2" s="12"/>
    </row>
    <row r="3" spans="1:25" s="8" customFormat="1" ht="15">
      <c r="A3" s="442" t="str">
        <f>Assumptions!B6</f>
        <v>Country:</v>
      </c>
      <c r="F3" s="315" t="str">
        <f>Assumptions!C6</f>
        <v>Ecuador</v>
      </c>
      <c r="J3" s="9"/>
      <c r="K3" s="9"/>
      <c r="L3" s="9"/>
      <c r="M3" s="27"/>
      <c r="N3" s="12"/>
      <c r="O3" s="12"/>
      <c r="Q3" s="9"/>
      <c r="S3" s="1025"/>
      <c r="T3" s="1025"/>
      <c r="U3" s="28"/>
      <c r="W3" s="11"/>
      <c r="X3" s="11"/>
      <c r="Y3" s="12"/>
    </row>
    <row r="4" spans="1:25" ht="15">
      <c r="A4" s="442" t="str">
        <f>Assumptions!B7</f>
        <v>Program Name:</v>
      </c>
      <c r="B4" s="16"/>
      <c r="C4" s="8"/>
      <c r="F4" s="315" t="str">
        <f>Assumptions!C7</f>
        <v>Project to Improve Adherence to International Labor Standards in the Agricultural Sector in Ecuador</v>
      </c>
      <c r="P4" s="1026"/>
      <c r="S4" s="1025"/>
      <c r="T4" s="1025"/>
      <c r="U4" s="28"/>
    </row>
    <row r="5" spans="1:25" ht="15">
      <c r="A5" s="442" t="str">
        <f>Assumptions!B8</f>
        <v>Grant Number:</v>
      </c>
      <c r="B5" s="16"/>
      <c r="F5" s="315" t="str">
        <f>Assumptions!C8</f>
        <v>FOA-ILAB-23-28</v>
      </c>
      <c r="P5" s="1026"/>
      <c r="S5" s="1025"/>
      <c r="T5" s="1025"/>
      <c r="U5" s="28"/>
    </row>
    <row r="6" spans="1:25" ht="15">
      <c r="A6" s="442" t="str">
        <f>Assumptions!B9</f>
        <v>Period of Performance:</v>
      </c>
      <c r="B6" s="16"/>
      <c r="E6" s="315"/>
      <c r="F6" s="462" t="str">
        <f>Assumptions!C9</f>
        <v>48 months</v>
      </c>
      <c r="I6" s="462">
        <f>Assumptions!G9</f>
        <v>0</v>
      </c>
      <c r="P6" s="1026"/>
      <c r="S6" s="1025"/>
      <c r="T6" s="1025"/>
      <c r="U6" s="28"/>
    </row>
    <row r="7" spans="1:25" ht="15">
      <c r="A7" s="315"/>
      <c r="B7" s="16"/>
      <c r="P7" s="1026"/>
    </row>
    <row r="8" spans="1:25" ht="20.100000000000001">
      <c r="A8" s="4" t="s">
        <v>289</v>
      </c>
      <c r="B8" s="15"/>
    </row>
    <row r="9" spans="1:25" ht="15.3" thickBot="1">
      <c r="B9" s="16"/>
      <c r="S9" s="8"/>
      <c r="T9" s="8"/>
      <c r="U9" s="8"/>
    </row>
    <row r="10" spans="1:25" s="440" customFormat="1" ht="15.3" thickBot="1">
      <c r="A10" s="436" t="s">
        <v>290</v>
      </c>
      <c r="B10" s="437"/>
      <c r="C10" s="437"/>
      <c r="D10" s="437"/>
      <c r="E10" s="437"/>
      <c r="F10" s="418" t="e">
        <f>#REF!</f>
        <v>#REF!</v>
      </c>
      <c r="G10" s="437"/>
      <c r="H10" s="437"/>
      <c r="I10" s="418" t="e">
        <f>#REF!</f>
        <v>#REF!</v>
      </c>
      <c r="J10" s="437"/>
      <c r="K10" s="437"/>
      <c r="L10" s="418" t="e">
        <f>#REF!</f>
        <v>#REF!</v>
      </c>
      <c r="M10" s="437"/>
      <c r="N10" s="437"/>
      <c r="O10" s="418" t="e">
        <f>#REF!</f>
        <v>#REF!</v>
      </c>
      <c r="P10" s="437"/>
      <c r="Q10" s="437"/>
      <c r="R10" s="418" t="e">
        <f>#REF!</f>
        <v>#REF!</v>
      </c>
      <c r="S10" s="438"/>
      <c r="T10" s="438"/>
      <c r="U10" s="439" t="s">
        <v>71</v>
      </c>
    </row>
    <row r="11" spans="1:25" s="30" customFormat="1" ht="15">
      <c r="A11" s="373"/>
      <c r="B11" s="361"/>
      <c r="C11" s="361"/>
      <c r="D11" s="361"/>
      <c r="E11" s="361"/>
      <c r="F11" s="370"/>
      <c r="G11" s="361"/>
      <c r="H11" s="361"/>
      <c r="I11" s="370"/>
      <c r="J11" s="361"/>
      <c r="K11" s="361"/>
      <c r="L11" s="370"/>
      <c r="M11" s="361"/>
      <c r="N11" s="361"/>
      <c r="O11" s="370"/>
      <c r="P11" s="361"/>
      <c r="Q11" s="361"/>
      <c r="R11" s="370"/>
      <c r="S11" s="371"/>
      <c r="T11" s="371"/>
      <c r="U11" s="372"/>
    </row>
    <row r="12" spans="1:25" s="30" customFormat="1" ht="15">
      <c r="A12" s="367" t="s">
        <v>165</v>
      </c>
      <c r="B12" s="329"/>
      <c r="C12" s="329"/>
      <c r="D12" s="329"/>
      <c r="E12" s="329"/>
      <c r="F12" s="362" t="e">
        <f>#REF!</f>
        <v>#REF!</v>
      </c>
      <c r="G12" s="329"/>
      <c r="H12" s="329"/>
      <c r="I12" s="362" t="e">
        <f>#REF!</f>
        <v>#REF!</v>
      </c>
      <c r="J12" s="329"/>
      <c r="K12" s="329"/>
      <c r="L12" s="362" t="e">
        <f>#REF!</f>
        <v>#REF!</v>
      </c>
      <c r="M12" s="329"/>
      <c r="N12" s="329"/>
      <c r="O12" s="362" t="e">
        <f>#REF!</f>
        <v>#REF!</v>
      </c>
      <c r="P12" s="329"/>
      <c r="Q12" s="329"/>
      <c r="R12" s="362" t="e">
        <f>#REF!</f>
        <v>#REF!</v>
      </c>
      <c r="S12" s="330"/>
      <c r="T12" s="330"/>
      <c r="U12" s="363" t="e">
        <f xml:space="preserve"> SUM(F12,I12,L12,O12,R12)</f>
        <v>#REF!</v>
      </c>
    </row>
    <row r="13" spans="1:25" s="30" customFormat="1" ht="15">
      <c r="A13" s="367" t="s">
        <v>180</v>
      </c>
      <c r="B13" s="329"/>
      <c r="C13" s="329"/>
      <c r="D13" s="329"/>
      <c r="E13" s="329"/>
      <c r="F13" s="362" t="e">
        <f>#REF!</f>
        <v>#REF!</v>
      </c>
      <c r="G13" s="329"/>
      <c r="H13" s="329"/>
      <c r="I13" s="362" t="e">
        <f>#REF!</f>
        <v>#REF!</v>
      </c>
      <c r="J13" s="329"/>
      <c r="K13" s="329"/>
      <c r="L13" s="362" t="e">
        <f>#REF!</f>
        <v>#REF!</v>
      </c>
      <c r="M13" s="329"/>
      <c r="N13" s="329"/>
      <c r="O13" s="362" t="e">
        <f>#REF!</f>
        <v>#REF!</v>
      </c>
      <c r="P13" s="329"/>
      <c r="Q13" s="329"/>
      <c r="R13" s="362" t="e">
        <f>#REF!</f>
        <v>#REF!</v>
      </c>
      <c r="S13" s="330"/>
      <c r="T13" s="330"/>
      <c r="U13" s="363" t="e">
        <f t="shared" ref="U13:U20" si="0" xml:space="preserve"> SUM(F13,I13,L13,O13,R13)</f>
        <v>#REF!</v>
      </c>
    </row>
    <row r="14" spans="1:25" s="30" customFormat="1" ht="15">
      <c r="A14" s="367" t="s">
        <v>184</v>
      </c>
      <c r="B14" s="329"/>
      <c r="C14" s="329"/>
      <c r="D14" s="329"/>
      <c r="E14" s="329"/>
      <c r="F14" s="362" t="e">
        <f>#REF!</f>
        <v>#REF!</v>
      </c>
      <c r="G14" s="329"/>
      <c r="H14" s="329"/>
      <c r="I14" s="362" t="e">
        <f>#REF!</f>
        <v>#REF!</v>
      </c>
      <c r="J14" s="329"/>
      <c r="K14" s="329"/>
      <c r="L14" s="362" t="e">
        <f>#REF!</f>
        <v>#REF!</v>
      </c>
      <c r="M14" s="329"/>
      <c r="N14" s="329"/>
      <c r="O14" s="362" t="e">
        <f>#REF!</f>
        <v>#REF!</v>
      </c>
      <c r="P14" s="329"/>
      <c r="Q14" s="329"/>
      <c r="R14" s="362" t="e">
        <f>#REF!</f>
        <v>#REF!</v>
      </c>
      <c r="S14" s="330"/>
      <c r="T14" s="330"/>
      <c r="U14" s="363" t="e">
        <f t="shared" si="0"/>
        <v>#REF!</v>
      </c>
    </row>
    <row r="15" spans="1:25" s="30" customFormat="1" ht="15">
      <c r="A15" s="367" t="s">
        <v>202</v>
      </c>
      <c r="B15" s="329"/>
      <c r="C15" s="329"/>
      <c r="D15" s="329"/>
      <c r="E15" s="329"/>
      <c r="F15" s="362" t="e">
        <f>#REF!</f>
        <v>#REF!</v>
      </c>
      <c r="G15" s="329"/>
      <c r="H15" s="329"/>
      <c r="I15" s="362" t="e">
        <f>#REF!</f>
        <v>#REF!</v>
      </c>
      <c r="J15" s="329"/>
      <c r="K15" s="329"/>
      <c r="L15" s="362" t="e">
        <f>#REF!</f>
        <v>#REF!</v>
      </c>
      <c r="M15" s="329"/>
      <c r="N15" s="329"/>
      <c r="O15" s="362" t="e">
        <f>#REF!</f>
        <v>#REF!</v>
      </c>
      <c r="P15" s="329"/>
      <c r="Q15" s="329"/>
      <c r="R15" s="362" t="e">
        <f>#REF!</f>
        <v>#REF!</v>
      </c>
      <c r="S15" s="330"/>
      <c r="T15" s="330"/>
      <c r="U15" s="363" t="e">
        <f t="shared" si="0"/>
        <v>#REF!</v>
      </c>
    </row>
    <row r="16" spans="1:25" s="30" customFormat="1" ht="15">
      <c r="A16" s="367" t="s">
        <v>291</v>
      </c>
      <c r="B16" s="329"/>
      <c r="C16" s="329"/>
      <c r="D16" s="329"/>
      <c r="E16" s="329"/>
      <c r="F16" s="362" t="e">
        <f>#REF!</f>
        <v>#REF!</v>
      </c>
      <c r="G16" s="329"/>
      <c r="H16" s="329"/>
      <c r="I16" s="362" t="e">
        <f>#REF!</f>
        <v>#REF!</v>
      </c>
      <c r="J16" s="329"/>
      <c r="K16" s="329"/>
      <c r="L16" s="362" t="e">
        <f>#REF!</f>
        <v>#REF!</v>
      </c>
      <c r="M16" s="329"/>
      <c r="N16" s="329"/>
      <c r="O16" s="362" t="e">
        <f>#REF!</f>
        <v>#REF!</v>
      </c>
      <c r="P16" s="329"/>
      <c r="Q16" s="329"/>
      <c r="R16" s="362" t="e">
        <f>#REF!</f>
        <v>#REF!</v>
      </c>
      <c r="S16" s="330"/>
      <c r="T16" s="330"/>
      <c r="U16" s="363" t="e">
        <f t="shared" si="0"/>
        <v>#REF!</v>
      </c>
    </row>
    <row r="17" spans="1:31" s="30" customFormat="1" ht="15">
      <c r="A17" s="367" t="s">
        <v>292</v>
      </c>
      <c r="B17" s="329"/>
      <c r="C17" s="329"/>
      <c r="D17" s="329"/>
      <c r="E17" s="329"/>
      <c r="F17" s="362" t="e">
        <f>#REF!</f>
        <v>#REF!</v>
      </c>
      <c r="G17" s="329"/>
      <c r="H17" s="329"/>
      <c r="I17" s="362" t="e">
        <f>#REF!</f>
        <v>#REF!</v>
      </c>
      <c r="J17" s="329"/>
      <c r="K17" s="329"/>
      <c r="L17" s="362" t="e">
        <f>#REF!</f>
        <v>#REF!</v>
      </c>
      <c r="M17" s="329"/>
      <c r="N17" s="329"/>
      <c r="O17" s="362" t="e">
        <f>#REF!</f>
        <v>#REF!</v>
      </c>
      <c r="P17" s="329"/>
      <c r="Q17" s="329"/>
      <c r="R17" s="362" t="e">
        <f>#REF!</f>
        <v>#REF!</v>
      </c>
      <c r="S17" s="330"/>
      <c r="T17" s="330"/>
      <c r="U17" s="363" t="e">
        <f t="shared" si="0"/>
        <v>#REF!</v>
      </c>
    </row>
    <row r="18" spans="1:31" s="30" customFormat="1" ht="15">
      <c r="A18" s="367" t="s">
        <v>212</v>
      </c>
      <c r="B18" s="329"/>
      <c r="C18" s="329"/>
      <c r="D18" s="329"/>
      <c r="E18" s="329"/>
      <c r="F18" s="362" t="e">
        <f>#REF!</f>
        <v>#REF!</v>
      </c>
      <c r="G18" s="329"/>
      <c r="H18" s="329"/>
      <c r="I18" s="362" t="e">
        <f>#REF!</f>
        <v>#REF!</v>
      </c>
      <c r="J18" s="329"/>
      <c r="K18" s="329"/>
      <c r="L18" s="362" t="e">
        <f>#REF!</f>
        <v>#REF!</v>
      </c>
      <c r="M18" s="329"/>
      <c r="N18" s="329"/>
      <c r="O18" s="362" t="e">
        <f>#REF!</f>
        <v>#REF!</v>
      </c>
      <c r="P18" s="329"/>
      <c r="Q18" s="329"/>
      <c r="R18" s="362" t="e">
        <f>#REF!</f>
        <v>#REF!</v>
      </c>
      <c r="S18" s="330"/>
      <c r="T18" s="330"/>
      <c r="U18" s="363" t="e">
        <f t="shared" si="0"/>
        <v>#REF!</v>
      </c>
    </row>
    <row r="19" spans="1:31" s="30" customFormat="1" ht="15">
      <c r="A19" s="367" t="s">
        <v>220</v>
      </c>
      <c r="B19" s="329"/>
      <c r="C19" s="329"/>
      <c r="D19" s="329"/>
      <c r="E19" s="329"/>
      <c r="F19" s="362" t="e">
        <f>#REF!</f>
        <v>#REF!</v>
      </c>
      <c r="G19" s="329"/>
      <c r="H19" s="329"/>
      <c r="I19" s="362" t="e">
        <f>#REF!</f>
        <v>#REF!</v>
      </c>
      <c r="J19" s="329"/>
      <c r="K19" s="329"/>
      <c r="L19" s="362" t="e">
        <f>#REF!</f>
        <v>#REF!</v>
      </c>
      <c r="M19" s="329"/>
      <c r="N19" s="329"/>
      <c r="O19" s="362" t="e">
        <f>#REF!</f>
        <v>#REF!</v>
      </c>
      <c r="P19" s="329"/>
      <c r="Q19" s="329"/>
      <c r="R19" s="362" t="e">
        <f>#REF!</f>
        <v>#REF!</v>
      </c>
      <c r="S19" s="330"/>
      <c r="T19" s="330"/>
      <c r="U19" s="363" t="e">
        <f t="shared" si="0"/>
        <v>#REF!</v>
      </c>
    </row>
    <row r="20" spans="1:31" s="30" customFormat="1" ht="15">
      <c r="A20" s="368" t="s">
        <v>293</v>
      </c>
      <c r="B20" s="329"/>
      <c r="C20" s="329"/>
      <c r="D20" s="329"/>
      <c r="E20" s="329"/>
      <c r="F20" s="362" t="e">
        <f>#REF!</f>
        <v>#REF!</v>
      </c>
      <c r="G20" s="329"/>
      <c r="H20" s="329"/>
      <c r="I20" s="362" t="e">
        <f>#REF!</f>
        <v>#REF!</v>
      </c>
      <c r="J20" s="329"/>
      <c r="K20" s="329"/>
      <c r="L20" s="362" t="e">
        <f>#REF!</f>
        <v>#REF!</v>
      </c>
      <c r="M20" s="329"/>
      <c r="N20" s="329"/>
      <c r="O20" s="362" t="e">
        <f>#REF!</f>
        <v>#REF!</v>
      </c>
      <c r="P20" s="329"/>
      <c r="Q20" s="329"/>
      <c r="R20" s="362" t="e">
        <f>#REF!</f>
        <v>#REF!</v>
      </c>
      <c r="S20" s="330"/>
      <c r="T20" s="330"/>
      <c r="U20" s="363" t="e">
        <f t="shared" si="0"/>
        <v>#REF!</v>
      </c>
    </row>
    <row r="21" spans="1:31" s="30" customFormat="1" ht="15">
      <c r="A21" s="367"/>
      <c r="B21" s="329"/>
      <c r="C21" s="329"/>
      <c r="D21" s="329"/>
      <c r="E21" s="329"/>
      <c r="F21" s="362"/>
      <c r="G21" s="329"/>
      <c r="H21" s="329"/>
      <c r="I21" s="362"/>
      <c r="J21" s="329"/>
      <c r="K21" s="329"/>
      <c r="L21" s="362"/>
      <c r="M21" s="329"/>
      <c r="N21" s="329"/>
      <c r="O21" s="362"/>
      <c r="P21" s="329"/>
      <c r="Q21" s="329"/>
      <c r="R21" s="362"/>
      <c r="S21" s="330"/>
      <c r="T21" s="330"/>
      <c r="U21" s="363"/>
    </row>
    <row r="22" spans="1:31" s="30" customFormat="1" ht="15">
      <c r="A22" s="367" t="s">
        <v>294</v>
      </c>
      <c r="B22" s="329"/>
      <c r="C22" s="329"/>
      <c r="D22" s="329"/>
      <c r="E22" s="329"/>
      <c r="F22" s="362" t="e">
        <f>#REF!</f>
        <v>#REF!</v>
      </c>
      <c r="G22" s="329"/>
      <c r="H22" s="329"/>
      <c r="I22" s="362" t="e">
        <f>#REF!</f>
        <v>#REF!</v>
      </c>
      <c r="J22" s="329"/>
      <c r="K22" s="329"/>
      <c r="L22" s="362" t="e">
        <f>#REF!</f>
        <v>#REF!</v>
      </c>
      <c r="M22" s="329"/>
      <c r="N22" s="329"/>
      <c r="O22" s="362" t="e">
        <f>#REF!</f>
        <v>#REF!</v>
      </c>
      <c r="P22" s="329"/>
      <c r="Q22" s="329"/>
      <c r="R22" s="362" t="e">
        <f>#REF!</f>
        <v>#REF!</v>
      </c>
      <c r="S22" s="330"/>
      <c r="T22" s="330"/>
      <c r="U22" s="363" t="e">
        <f t="shared" ref="U22:U23" si="1" xml:space="preserve"> SUM(F22,I22,L22,O22,R22)</f>
        <v>#REF!</v>
      </c>
    </row>
    <row r="23" spans="1:31" s="30" customFormat="1" ht="15">
      <c r="A23" s="367" t="s">
        <v>295</v>
      </c>
      <c r="B23" s="329"/>
      <c r="C23" s="329"/>
      <c r="D23" s="329"/>
      <c r="E23" s="329"/>
      <c r="F23" s="362" t="e">
        <f>#REF!</f>
        <v>#REF!</v>
      </c>
      <c r="G23" s="329"/>
      <c r="H23" s="329"/>
      <c r="I23" s="362" t="e">
        <f>#REF!</f>
        <v>#REF!</v>
      </c>
      <c r="J23" s="329"/>
      <c r="K23" s="329"/>
      <c r="L23" s="362" t="e">
        <f>#REF!</f>
        <v>#REF!</v>
      </c>
      <c r="M23" s="329"/>
      <c r="N23" s="329"/>
      <c r="O23" s="362" t="e">
        <f>#REF!</f>
        <v>#REF!</v>
      </c>
      <c r="P23" s="329"/>
      <c r="Q23" s="329"/>
      <c r="R23" s="362" t="e">
        <f>#REF!</f>
        <v>#REF!</v>
      </c>
      <c r="S23" s="330"/>
      <c r="T23" s="330"/>
      <c r="U23" s="363" t="e">
        <f t="shared" si="1"/>
        <v>#REF!</v>
      </c>
    </row>
    <row r="24" spans="1:31" s="30" customFormat="1" ht="15">
      <c r="A24" s="367"/>
      <c r="B24" s="329"/>
      <c r="C24" s="329"/>
      <c r="D24" s="329"/>
      <c r="E24" s="329"/>
      <c r="F24" s="364"/>
      <c r="G24" s="329"/>
      <c r="H24" s="329"/>
      <c r="I24" s="364"/>
      <c r="J24" s="329"/>
      <c r="K24" s="329"/>
      <c r="L24" s="364"/>
      <c r="M24" s="329"/>
      <c r="N24" s="329"/>
      <c r="O24" s="364"/>
      <c r="P24" s="329"/>
      <c r="Q24" s="329"/>
      <c r="R24" s="364"/>
      <c r="S24" s="330"/>
      <c r="T24" s="330"/>
      <c r="U24" s="363"/>
    </row>
    <row r="25" spans="1:31" s="30" customFormat="1" ht="15">
      <c r="A25" s="367" t="s">
        <v>296</v>
      </c>
      <c r="B25" s="329"/>
      <c r="C25" s="329"/>
      <c r="D25" s="329"/>
      <c r="E25" s="329"/>
      <c r="F25" s="362" t="e">
        <f>#REF!</f>
        <v>#REF!</v>
      </c>
      <c r="G25" s="329"/>
      <c r="H25" s="329"/>
      <c r="I25" s="362" t="e">
        <f>#REF!</f>
        <v>#REF!</v>
      </c>
      <c r="J25" s="329"/>
      <c r="K25" s="329"/>
      <c r="L25" s="362" t="e">
        <f>#REF!</f>
        <v>#REF!</v>
      </c>
      <c r="M25" s="329"/>
      <c r="N25" s="329"/>
      <c r="O25" s="362" t="e">
        <f>#REF!</f>
        <v>#REF!</v>
      </c>
      <c r="P25" s="329"/>
      <c r="Q25" s="329"/>
      <c r="R25" s="362" t="e">
        <f>#REF!</f>
        <v>#REF!</v>
      </c>
      <c r="S25" s="330"/>
      <c r="T25" s="330"/>
      <c r="U25" s="363" t="e">
        <f t="shared" ref="U25:U26" si="2" xml:space="preserve"> SUM(F25,I25,L25,O25,R25)</f>
        <v>#REF!</v>
      </c>
    </row>
    <row r="26" spans="1:31" s="30" customFormat="1" ht="15">
      <c r="A26" s="367" t="s">
        <v>297</v>
      </c>
      <c r="B26" s="329"/>
      <c r="C26" s="329"/>
      <c r="D26" s="329"/>
      <c r="E26" s="329"/>
      <c r="F26" s="362" t="e">
        <f>#REF!</f>
        <v>#REF!</v>
      </c>
      <c r="G26" s="329"/>
      <c r="H26" s="329"/>
      <c r="I26" s="362" t="e">
        <f>#REF!</f>
        <v>#REF!</v>
      </c>
      <c r="J26" s="329"/>
      <c r="K26" s="329"/>
      <c r="L26" s="362" t="e">
        <f>#REF!</f>
        <v>#REF!</v>
      </c>
      <c r="M26" s="329"/>
      <c r="N26" s="329"/>
      <c r="O26" s="362" t="e">
        <f>#REF!</f>
        <v>#REF!</v>
      </c>
      <c r="P26" s="329"/>
      <c r="Q26" s="329"/>
      <c r="R26" s="362" t="e">
        <f>#REF!</f>
        <v>#REF!</v>
      </c>
      <c r="S26" s="330"/>
      <c r="T26" s="330"/>
      <c r="U26" s="363" t="e">
        <f t="shared" si="2"/>
        <v>#REF!</v>
      </c>
    </row>
    <row r="27" spans="1:31" s="30" customFormat="1" ht="15.3" thickBot="1">
      <c r="A27" s="369"/>
      <c r="B27" s="331"/>
      <c r="C27" s="331"/>
      <c r="D27" s="331"/>
      <c r="E27" s="331"/>
      <c r="F27" s="365"/>
      <c r="G27" s="331"/>
      <c r="H27" s="331"/>
      <c r="I27" s="365"/>
      <c r="J27" s="331"/>
      <c r="K27" s="331"/>
      <c r="L27" s="365"/>
      <c r="M27" s="331"/>
      <c r="N27" s="331"/>
      <c r="O27" s="365"/>
      <c r="P27" s="331"/>
      <c r="Q27" s="331"/>
      <c r="R27" s="365"/>
      <c r="S27" s="332"/>
      <c r="T27" s="332"/>
      <c r="U27" s="366"/>
    </row>
    <row r="28" spans="1:31" s="30" customFormat="1" ht="15.3" thickBot="1">
      <c r="A28" s="193" t="s">
        <v>298</v>
      </c>
      <c r="B28" s="333"/>
      <c r="C28" s="333"/>
      <c r="D28" s="333"/>
      <c r="E28" s="333"/>
      <c r="F28" s="194" t="e">
        <f>SUM(F20:F27)</f>
        <v>#REF!</v>
      </c>
      <c r="G28" s="333"/>
      <c r="H28" s="333"/>
      <c r="I28" s="194" t="e">
        <f>SUM(I20:I27)</f>
        <v>#REF!</v>
      </c>
      <c r="J28" s="333"/>
      <c r="K28" s="333"/>
      <c r="L28" s="194" t="e">
        <f>SUM(L20:L27)</f>
        <v>#REF!</v>
      </c>
      <c r="M28" s="333"/>
      <c r="N28" s="333"/>
      <c r="O28" s="194" t="e">
        <f>SUM(O20:O27)</f>
        <v>#REF!</v>
      </c>
      <c r="P28" s="333"/>
      <c r="Q28" s="333"/>
      <c r="R28" s="194" t="e">
        <f>SUM(R20:R27)</f>
        <v>#REF!</v>
      </c>
      <c r="S28" s="334"/>
      <c r="T28" s="334"/>
      <c r="U28" s="195" t="e">
        <f>SUM(E28:T28)</f>
        <v>#REF!</v>
      </c>
    </row>
    <row r="29" spans="1:31" s="14" customFormat="1" ht="15.3" thickTop="1">
      <c r="A29" s="8"/>
      <c r="B29" s="173"/>
      <c r="C29" s="8"/>
      <c r="D29" s="8"/>
      <c r="E29" s="8"/>
      <c r="F29" s="8"/>
      <c r="G29" s="8"/>
      <c r="H29" s="8"/>
      <c r="I29" s="8"/>
      <c r="J29" s="8"/>
      <c r="K29" s="8"/>
      <c r="L29" s="8"/>
      <c r="M29" s="8"/>
      <c r="N29" s="8"/>
      <c r="O29" s="8"/>
      <c r="P29" s="8"/>
      <c r="Q29" s="8"/>
      <c r="R29" s="8"/>
      <c r="S29" s="8"/>
      <c r="T29" s="8"/>
      <c r="U29" s="8"/>
      <c r="V29" s="9"/>
      <c r="W29" s="9"/>
      <c r="Y29" s="5"/>
      <c r="Z29" s="9"/>
      <c r="AA29" s="9"/>
      <c r="AB29" s="9"/>
      <c r="AC29" s="9"/>
      <c r="AD29" s="9"/>
      <c r="AE29" s="9"/>
    </row>
    <row r="30" spans="1:31" s="30" customFormat="1" ht="20.100000000000001">
      <c r="A30" s="4" t="s">
        <v>299</v>
      </c>
      <c r="B30" s="173"/>
      <c r="C30" s="173"/>
      <c r="D30" s="173"/>
      <c r="E30" s="173"/>
      <c r="F30" s="173"/>
      <c r="G30" s="173"/>
      <c r="H30" s="173"/>
      <c r="I30" s="173"/>
      <c r="J30" s="173"/>
      <c r="K30" s="173"/>
      <c r="L30" s="173"/>
      <c r="M30" s="173"/>
      <c r="N30" s="173"/>
      <c r="O30" s="173"/>
      <c r="P30" s="173"/>
      <c r="Q30" s="173"/>
      <c r="R30" s="173"/>
      <c r="S30" s="173"/>
      <c r="T30" s="173"/>
      <c r="U30" s="173"/>
      <c r="V30" s="31"/>
      <c r="W30" s="31"/>
    </row>
    <row r="31" spans="1:31" s="30" customFormat="1" ht="15.3" thickBot="1">
      <c r="A31" s="1027"/>
      <c r="B31" s="173"/>
      <c r="C31" s="173"/>
      <c r="D31" s="173"/>
      <c r="E31" s="173"/>
      <c r="F31" s="173"/>
      <c r="G31" s="173"/>
      <c r="H31" s="173"/>
      <c r="I31" s="173"/>
      <c r="J31" s="173"/>
      <c r="K31" s="173"/>
      <c r="L31" s="173"/>
      <c r="M31" s="173"/>
      <c r="N31" s="173"/>
      <c r="O31" s="173"/>
      <c r="P31" s="173"/>
      <c r="Q31" s="173"/>
      <c r="R31" s="173"/>
      <c r="S31" s="173"/>
      <c r="T31" s="173"/>
      <c r="U31" s="173"/>
      <c r="V31" s="31"/>
      <c r="W31" s="31"/>
    </row>
    <row r="32" spans="1:31" s="440" customFormat="1" ht="15.3" thickBot="1">
      <c r="A32" s="411" t="s">
        <v>290</v>
      </c>
      <c r="B32" s="437"/>
      <c r="C32" s="437"/>
      <c r="D32" s="437"/>
      <c r="E32" s="437"/>
      <c r="F32" s="418" t="e">
        <f>F10</f>
        <v>#REF!</v>
      </c>
      <c r="G32" s="437"/>
      <c r="H32" s="437"/>
      <c r="I32" s="418" t="e">
        <f>I10</f>
        <v>#REF!</v>
      </c>
      <c r="J32" s="437"/>
      <c r="K32" s="437"/>
      <c r="L32" s="418" t="e">
        <f>L10</f>
        <v>#REF!</v>
      </c>
      <c r="M32" s="437"/>
      <c r="N32" s="437"/>
      <c r="O32" s="418" t="e">
        <f>O10</f>
        <v>#REF!</v>
      </c>
      <c r="P32" s="437"/>
      <c r="Q32" s="437"/>
      <c r="R32" s="418" t="e">
        <f>R10</f>
        <v>#REF!</v>
      </c>
      <c r="S32" s="438"/>
      <c r="T32" s="438"/>
      <c r="U32" s="439" t="str">
        <f>U10</f>
        <v>Total</v>
      </c>
    </row>
    <row r="33" spans="1:21" s="30" customFormat="1" ht="15">
      <c r="A33" s="373"/>
      <c r="B33" s="361"/>
      <c r="C33" s="361"/>
      <c r="D33" s="361"/>
      <c r="E33" s="361"/>
      <c r="F33" s="370"/>
      <c r="G33" s="361"/>
      <c r="H33" s="361"/>
      <c r="I33" s="370"/>
      <c r="J33" s="361"/>
      <c r="K33" s="361"/>
      <c r="L33" s="370"/>
      <c r="M33" s="361"/>
      <c r="N33" s="361"/>
      <c r="O33" s="370"/>
      <c r="P33" s="361"/>
      <c r="Q33" s="361"/>
      <c r="R33" s="370"/>
      <c r="S33" s="371"/>
      <c r="T33" s="371"/>
      <c r="U33" s="372"/>
    </row>
    <row r="34" spans="1:21" s="30" customFormat="1" ht="15">
      <c r="A34" s="367" t="s">
        <v>165</v>
      </c>
      <c r="B34" s="329"/>
      <c r="C34" s="329"/>
      <c r="D34" s="329"/>
      <c r="E34" s="329"/>
      <c r="F34" s="362" t="e">
        <f>#REF!</f>
        <v>#REF!</v>
      </c>
      <c r="G34" s="329"/>
      <c r="H34" s="329"/>
      <c r="I34" s="362" t="e">
        <f>#REF!</f>
        <v>#REF!</v>
      </c>
      <c r="J34" s="329"/>
      <c r="K34" s="329"/>
      <c r="L34" s="362" t="e">
        <f>#REF!</f>
        <v>#REF!</v>
      </c>
      <c r="M34" s="329"/>
      <c r="N34" s="329"/>
      <c r="O34" s="362" t="e">
        <f>#REF!</f>
        <v>#REF!</v>
      </c>
      <c r="P34" s="329"/>
      <c r="Q34" s="329"/>
      <c r="R34" s="362" t="e">
        <f>#REF!</f>
        <v>#REF!</v>
      </c>
      <c r="S34" s="330"/>
      <c r="T34" s="330"/>
      <c r="U34" s="363" t="e">
        <f t="shared" ref="U34:U42" si="3" xml:space="preserve"> SUM(F34,I34,L34,O34,R34)</f>
        <v>#REF!</v>
      </c>
    </row>
    <row r="35" spans="1:21" s="30" customFormat="1" ht="15">
      <c r="A35" s="367" t="s">
        <v>180</v>
      </c>
      <c r="B35" s="329"/>
      <c r="C35" s="329"/>
      <c r="D35" s="329"/>
      <c r="E35" s="329"/>
      <c r="F35" s="362" t="e">
        <f>#REF!</f>
        <v>#REF!</v>
      </c>
      <c r="G35" s="329"/>
      <c r="H35" s="329"/>
      <c r="I35" s="362" t="e">
        <f>#REF!</f>
        <v>#REF!</v>
      </c>
      <c r="J35" s="329"/>
      <c r="K35" s="329"/>
      <c r="L35" s="362" t="e">
        <f>#REF!</f>
        <v>#REF!</v>
      </c>
      <c r="M35" s="329"/>
      <c r="N35" s="329"/>
      <c r="O35" s="362" t="e">
        <f>#REF!</f>
        <v>#REF!</v>
      </c>
      <c r="P35" s="329"/>
      <c r="Q35" s="329"/>
      <c r="R35" s="362" t="e">
        <f>#REF!</f>
        <v>#REF!</v>
      </c>
      <c r="S35" s="330"/>
      <c r="T35" s="330"/>
      <c r="U35" s="363" t="e">
        <f t="shared" si="3"/>
        <v>#REF!</v>
      </c>
    </row>
    <row r="36" spans="1:21" s="30" customFormat="1" ht="15">
      <c r="A36" s="367" t="s">
        <v>184</v>
      </c>
      <c r="B36" s="329"/>
      <c r="C36" s="329"/>
      <c r="D36" s="329"/>
      <c r="E36" s="329"/>
      <c r="F36" s="362" t="e">
        <f>#REF!</f>
        <v>#REF!</v>
      </c>
      <c r="G36" s="329"/>
      <c r="H36" s="329"/>
      <c r="I36" s="362" t="e">
        <f>#REF!</f>
        <v>#REF!</v>
      </c>
      <c r="J36" s="329"/>
      <c r="K36" s="329"/>
      <c r="L36" s="362" t="e">
        <f>#REF!</f>
        <v>#REF!</v>
      </c>
      <c r="M36" s="329"/>
      <c r="N36" s="329"/>
      <c r="O36" s="362" t="e">
        <f>#REF!</f>
        <v>#REF!</v>
      </c>
      <c r="P36" s="329"/>
      <c r="Q36" s="329"/>
      <c r="R36" s="362" t="e">
        <f>#REF!</f>
        <v>#REF!</v>
      </c>
      <c r="S36" s="330"/>
      <c r="T36" s="330"/>
      <c r="U36" s="363" t="e">
        <f t="shared" si="3"/>
        <v>#REF!</v>
      </c>
    </row>
    <row r="37" spans="1:21" s="30" customFormat="1" ht="15">
      <c r="A37" s="367" t="s">
        <v>202</v>
      </c>
      <c r="B37" s="329"/>
      <c r="C37" s="329"/>
      <c r="D37" s="329"/>
      <c r="E37" s="329"/>
      <c r="F37" s="362" t="e">
        <f>#REF!</f>
        <v>#REF!</v>
      </c>
      <c r="G37" s="329"/>
      <c r="H37" s="329"/>
      <c r="I37" s="362" t="e">
        <f>#REF!</f>
        <v>#REF!</v>
      </c>
      <c r="J37" s="329"/>
      <c r="K37" s="329"/>
      <c r="L37" s="362" t="e">
        <f>#REF!</f>
        <v>#REF!</v>
      </c>
      <c r="M37" s="329"/>
      <c r="N37" s="329"/>
      <c r="O37" s="362" t="e">
        <f>#REF!</f>
        <v>#REF!</v>
      </c>
      <c r="P37" s="329"/>
      <c r="Q37" s="329"/>
      <c r="R37" s="362" t="e">
        <f>#REF!</f>
        <v>#REF!</v>
      </c>
      <c r="S37" s="330"/>
      <c r="T37" s="330"/>
      <c r="U37" s="363" t="e">
        <f t="shared" si="3"/>
        <v>#REF!</v>
      </c>
    </row>
    <row r="38" spans="1:21" s="30" customFormat="1" ht="15">
      <c r="A38" s="367" t="s">
        <v>291</v>
      </c>
      <c r="B38" s="329"/>
      <c r="C38" s="329"/>
      <c r="D38" s="329"/>
      <c r="E38" s="329"/>
      <c r="F38" s="362" t="e">
        <f>#REF!</f>
        <v>#REF!</v>
      </c>
      <c r="G38" s="329"/>
      <c r="H38" s="329"/>
      <c r="I38" s="362" t="e">
        <f>#REF!</f>
        <v>#REF!</v>
      </c>
      <c r="J38" s="329"/>
      <c r="K38" s="329"/>
      <c r="L38" s="362" t="e">
        <f>#REF!</f>
        <v>#REF!</v>
      </c>
      <c r="M38" s="329"/>
      <c r="N38" s="329"/>
      <c r="O38" s="362" t="e">
        <f>#REF!</f>
        <v>#REF!</v>
      </c>
      <c r="P38" s="329"/>
      <c r="Q38" s="329"/>
      <c r="R38" s="362" t="e">
        <f>#REF!</f>
        <v>#REF!</v>
      </c>
      <c r="S38" s="330"/>
      <c r="T38" s="330"/>
      <c r="U38" s="363" t="e">
        <f t="shared" si="3"/>
        <v>#REF!</v>
      </c>
    </row>
    <row r="39" spans="1:21" s="30" customFormat="1" ht="15">
      <c r="A39" s="367" t="s">
        <v>292</v>
      </c>
      <c r="B39" s="329"/>
      <c r="C39" s="329"/>
      <c r="D39" s="329"/>
      <c r="E39" s="329"/>
      <c r="F39" s="362" t="e">
        <f>#REF!</f>
        <v>#REF!</v>
      </c>
      <c r="G39" s="329"/>
      <c r="H39" s="329"/>
      <c r="I39" s="362" t="e">
        <f>#REF!</f>
        <v>#REF!</v>
      </c>
      <c r="J39" s="329"/>
      <c r="K39" s="329"/>
      <c r="L39" s="362" t="e">
        <f>#REF!</f>
        <v>#REF!</v>
      </c>
      <c r="M39" s="329"/>
      <c r="N39" s="329"/>
      <c r="O39" s="362" t="e">
        <f>#REF!</f>
        <v>#REF!</v>
      </c>
      <c r="P39" s="329"/>
      <c r="Q39" s="329"/>
      <c r="R39" s="362" t="e">
        <f>#REF!</f>
        <v>#REF!</v>
      </c>
      <c r="S39" s="330"/>
      <c r="T39" s="330"/>
      <c r="U39" s="363" t="e">
        <f t="shared" si="3"/>
        <v>#REF!</v>
      </c>
    </row>
    <row r="40" spans="1:21" s="30" customFormat="1" ht="15">
      <c r="A40" s="367" t="s">
        <v>212</v>
      </c>
      <c r="B40" s="329"/>
      <c r="C40" s="329"/>
      <c r="D40" s="329"/>
      <c r="E40" s="329"/>
      <c r="F40" s="362" t="e">
        <f>#REF!</f>
        <v>#REF!</v>
      </c>
      <c r="G40" s="329"/>
      <c r="H40" s="329"/>
      <c r="I40" s="362" t="e">
        <f>#REF!</f>
        <v>#REF!</v>
      </c>
      <c r="J40" s="329"/>
      <c r="K40" s="329"/>
      <c r="L40" s="362" t="e">
        <f>#REF!</f>
        <v>#REF!</v>
      </c>
      <c r="M40" s="329"/>
      <c r="N40" s="329"/>
      <c r="O40" s="362" t="e">
        <f>#REF!</f>
        <v>#REF!</v>
      </c>
      <c r="P40" s="329"/>
      <c r="Q40" s="329"/>
      <c r="R40" s="362" t="e">
        <f>#REF!</f>
        <v>#REF!</v>
      </c>
      <c r="S40" s="330"/>
      <c r="T40" s="330"/>
      <c r="U40" s="363" t="e">
        <f t="shared" si="3"/>
        <v>#REF!</v>
      </c>
    </row>
    <row r="41" spans="1:21" s="30" customFormat="1" ht="15">
      <c r="A41" s="367" t="s">
        <v>220</v>
      </c>
      <c r="B41" s="329"/>
      <c r="C41" s="329"/>
      <c r="D41" s="329"/>
      <c r="E41" s="329"/>
      <c r="F41" s="362" t="e">
        <f>#REF!</f>
        <v>#REF!</v>
      </c>
      <c r="G41" s="329"/>
      <c r="H41" s="329"/>
      <c r="I41" s="362" t="e">
        <f>#REF!</f>
        <v>#REF!</v>
      </c>
      <c r="J41" s="329"/>
      <c r="K41" s="329"/>
      <c r="L41" s="362" t="e">
        <f>#REF!</f>
        <v>#REF!</v>
      </c>
      <c r="M41" s="329"/>
      <c r="N41" s="329"/>
      <c r="O41" s="362" t="e">
        <f>#REF!</f>
        <v>#REF!</v>
      </c>
      <c r="P41" s="329"/>
      <c r="Q41" s="329"/>
      <c r="R41" s="362" t="e">
        <f>#REF!</f>
        <v>#REF!</v>
      </c>
      <c r="S41" s="330"/>
      <c r="T41" s="330"/>
      <c r="U41" s="363" t="e">
        <f t="shared" si="3"/>
        <v>#REF!</v>
      </c>
    </row>
    <row r="42" spans="1:21" s="30" customFormat="1" ht="15">
      <c r="A42" s="368" t="s">
        <v>293</v>
      </c>
      <c r="B42" s="329"/>
      <c r="C42" s="329"/>
      <c r="D42" s="329"/>
      <c r="E42" s="329"/>
      <c r="F42" s="362" t="e">
        <f>#REF!</f>
        <v>#REF!</v>
      </c>
      <c r="G42" s="329"/>
      <c r="H42" s="329"/>
      <c r="I42" s="362" t="e">
        <f>#REF!</f>
        <v>#REF!</v>
      </c>
      <c r="J42" s="329"/>
      <c r="K42" s="329"/>
      <c r="L42" s="362" t="e">
        <f>#REF!</f>
        <v>#REF!</v>
      </c>
      <c r="M42" s="329"/>
      <c r="N42" s="329"/>
      <c r="O42" s="362" t="e">
        <f>#REF!</f>
        <v>#REF!</v>
      </c>
      <c r="P42" s="329"/>
      <c r="Q42" s="329"/>
      <c r="R42" s="362" t="e">
        <f>#REF!</f>
        <v>#REF!</v>
      </c>
      <c r="S42" s="330"/>
      <c r="T42" s="330"/>
      <c r="U42" s="363" t="e">
        <f t="shared" si="3"/>
        <v>#REF!</v>
      </c>
    </row>
    <row r="43" spans="1:21" s="30" customFormat="1" ht="15">
      <c r="A43" s="367"/>
      <c r="B43" s="329"/>
      <c r="C43" s="329"/>
      <c r="D43" s="329"/>
      <c r="E43" s="329"/>
      <c r="F43" s="362"/>
      <c r="G43" s="329"/>
      <c r="H43" s="329"/>
      <c r="I43" s="362"/>
      <c r="J43" s="329"/>
      <c r="K43" s="329"/>
      <c r="L43" s="362"/>
      <c r="M43" s="329"/>
      <c r="N43" s="329"/>
      <c r="O43" s="362"/>
      <c r="P43" s="329"/>
      <c r="Q43" s="329"/>
      <c r="R43" s="362"/>
      <c r="S43" s="330"/>
      <c r="T43" s="330"/>
      <c r="U43" s="363"/>
    </row>
    <row r="44" spans="1:21" s="30" customFormat="1" ht="15">
      <c r="A44" s="367" t="s">
        <v>294</v>
      </c>
      <c r="B44" s="329"/>
      <c r="C44" s="329"/>
      <c r="D44" s="329"/>
      <c r="E44" s="329"/>
      <c r="F44" s="362" t="e">
        <f>#REF!</f>
        <v>#REF!</v>
      </c>
      <c r="G44" s="329"/>
      <c r="H44" s="329"/>
      <c r="I44" s="362" t="e">
        <f>#REF!</f>
        <v>#REF!</v>
      </c>
      <c r="J44" s="329"/>
      <c r="K44" s="329"/>
      <c r="L44" s="362" t="e">
        <f>#REF!</f>
        <v>#REF!</v>
      </c>
      <c r="M44" s="329"/>
      <c r="N44" s="329"/>
      <c r="O44" s="362" t="e">
        <f>#REF!</f>
        <v>#REF!</v>
      </c>
      <c r="P44" s="329"/>
      <c r="Q44" s="329"/>
      <c r="R44" s="362" t="e">
        <f>#REF!</f>
        <v>#REF!</v>
      </c>
      <c r="S44" s="330"/>
      <c r="T44" s="330"/>
      <c r="U44" s="363" t="e">
        <f t="shared" ref="U44:U45" si="4" xml:space="preserve"> SUM(F44,I44,L44,O44,R44)</f>
        <v>#REF!</v>
      </c>
    </row>
    <row r="45" spans="1:21" s="30" customFormat="1" ht="15">
      <c r="A45" s="367" t="s">
        <v>295</v>
      </c>
      <c r="B45" s="329"/>
      <c r="C45" s="329"/>
      <c r="D45" s="329"/>
      <c r="E45" s="329"/>
      <c r="F45" s="362" t="e">
        <f>#REF!</f>
        <v>#REF!</v>
      </c>
      <c r="G45" s="329"/>
      <c r="H45" s="329"/>
      <c r="I45" s="362" t="e">
        <f>#REF!</f>
        <v>#REF!</v>
      </c>
      <c r="J45" s="329"/>
      <c r="K45" s="329"/>
      <c r="L45" s="362" t="e">
        <f>#REF!</f>
        <v>#REF!</v>
      </c>
      <c r="M45" s="329"/>
      <c r="N45" s="329"/>
      <c r="O45" s="362" t="e">
        <f>#REF!</f>
        <v>#REF!</v>
      </c>
      <c r="P45" s="329"/>
      <c r="Q45" s="329"/>
      <c r="R45" s="362" t="e">
        <f>#REF!</f>
        <v>#REF!</v>
      </c>
      <c r="S45" s="330"/>
      <c r="T45" s="330"/>
      <c r="U45" s="363" t="e">
        <f t="shared" si="4"/>
        <v>#REF!</v>
      </c>
    </row>
    <row r="46" spans="1:21" s="30" customFormat="1" ht="15">
      <c r="A46" s="367"/>
      <c r="B46" s="329"/>
      <c r="C46" s="329"/>
      <c r="D46" s="329"/>
      <c r="E46" s="329"/>
      <c r="F46" s="364"/>
      <c r="G46" s="329"/>
      <c r="H46" s="329"/>
      <c r="I46" s="364"/>
      <c r="J46" s="329"/>
      <c r="K46" s="329"/>
      <c r="L46" s="364"/>
      <c r="M46" s="329"/>
      <c r="N46" s="329"/>
      <c r="O46" s="364"/>
      <c r="P46" s="329"/>
      <c r="Q46" s="329"/>
      <c r="R46" s="364"/>
      <c r="S46" s="330"/>
      <c r="T46" s="330"/>
      <c r="U46" s="363"/>
    </row>
    <row r="47" spans="1:21" s="30" customFormat="1" ht="15">
      <c r="A47" s="367" t="s">
        <v>296</v>
      </c>
      <c r="B47" s="329"/>
      <c r="C47" s="329"/>
      <c r="D47" s="329"/>
      <c r="E47" s="329"/>
      <c r="F47" s="362" t="e">
        <f>#REF!</f>
        <v>#REF!</v>
      </c>
      <c r="G47" s="329"/>
      <c r="H47" s="329"/>
      <c r="I47" s="362" t="e">
        <f>#REF!</f>
        <v>#REF!</v>
      </c>
      <c r="J47" s="329"/>
      <c r="K47" s="329"/>
      <c r="L47" s="362" t="e">
        <f>#REF!</f>
        <v>#REF!</v>
      </c>
      <c r="M47" s="329"/>
      <c r="N47" s="329"/>
      <c r="O47" s="362" t="e">
        <f>#REF!</f>
        <v>#REF!</v>
      </c>
      <c r="P47" s="329"/>
      <c r="Q47" s="329"/>
      <c r="R47" s="362" t="e">
        <f>#REF!</f>
        <v>#REF!</v>
      </c>
      <c r="S47" s="330"/>
      <c r="T47" s="330"/>
      <c r="U47" s="363" t="e">
        <f t="shared" ref="U47:U48" si="5" xml:space="preserve"> SUM(F47,I47,L47,O47,R47)</f>
        <v>#REF!</v>
      </c>
    </row>
    <row r="48" spans="1:21" s="30" customFormat="1" ht="15">
      <c r="A48" s="367" t="s">
        <v>297</v>
      </c>
      <c r="B48" s="329"/>
      <c r="C48" s="329"/>
      <c r="D48" s="329"/>
      <c r="E48" s="329"/>
      <c r="F48" s="362" t="e">
        <f>#REF!</f>
        <v>#REF!</v>
      </c>
      <c r="G48" s="329"/>
      <c r="H48" s="329"/>
      <c r="I48" s="362" t="e">
        <f>#REF!</f>
        <v>#REF!</v>
      </c>
      <c r="J48" s="329"/>
      <c r="K48" s="329"/>
      <c r="L48" s="362" t="e">
        <f>#REF!</f>
        <v>#REF!</v>
      </c>
      <c r="M48" s="329"/>
      <c r="N48" s="329"/>
      <c r="O48" s="362" t="e">
        <f>#REF!</f>
        <v>#REF!</v>
      </c>
      <c r="P48" s="329"/>
      <c r="Q48" s="329"/>
      <c r="R48" s="362" t="e">
        <f>#REF!</f>
        <v>#REF!</v>
      </c>
      <c r="S48" s="330"/>
      <c r="T48" s="330"/>
      <c r="U48" s="363" t="e">
        <f t="shared" si="5"/>
        <v>#REF!</v>
      </c>
    </row>
    <row r="49" spans="1:31" s="30" customFormat="1" ht="15.3" thickBot="1">
      <c r="A49" s="369"/>
      <c r="B49" s="331"/>
      <c r="C49" s="331"/>
      <c r="D49" s="331"/>
      <c r="E49" s="331"/>
      <c r="F49" s="365"/>
      <c r="G49" s="331"/>
      <c r="H49" s="331"/>
      <c r="I49" s="365"/>
      <c r="J49" s="331"/>
      <c r="K49" s="331"/>
      <c r="L49" s="365"/>
      <c r="M49" s="331"/>
      <c r="N49" s="331"/>
      <c r="O49" s="365"/>
      <c r="P49" s="331"/>
      <c r="Q49" s="331"/>
      <c r="R49" s="365"/>
      <c r="S49" s="332"/>
      <c r="T49" s="332"/>
      <c r="U49" s="366"/>
    </row>
    <row r="50" spans="1:31" s="30" customFormat="1" ht="15.3" thickBot="1">
      <c r="A50" s="193" t="s">
        <v>298</v>
      </c>
      <c r="B50" s="333"/>
      <c r="C50" s="333"/>
      <c r="D50" s="333"/>
      <c r="E50" s="333"/>
      <c r="F50" s="194" t="e">
        <f>SUM(F42:F49)</f>
        <v>#REF!</v>
      </c>
      <c r="G50" s="333"/>
      <c r="H50" s="333"/>
      <c r="I50" s="194" t="e">
        <f>SUM(I42:I49)</f>
        <v>#REF!</v>
      </c>
      <c r="J50" s="333"/>
      <c r="K50" s="333"/>
      <c r="L50" s="194" t="e">
        <f>SUM(L42:L49)</f>
        <v>#REF!</v>
      </c>
      <c r="M50" s="333"/>
      <c r="N50" s="333"/>
      <c r="O50" s="194" t="e">
        <f>SUM(O42:O49)</f>
        <v>#REF!</v>
      </c>
      <c r="P50" s="333"/>
      <c r="Q50" s="333"/>
      <c r="R50" s="194" t="e">
        <f>SUM(R42:R49)</f>
        <v>#REF!</v>
      </c>
      <c r="S50" s="334"/>
      <c r="T50" s="334"/>
      <c r="U50" s="363" t="e">
        <f xml:space="preserve"> SUM(F50,I50,L50,O50,R50)</f>
        <v>#REF!</v>
      </c>
    </row>
    <row r="51" spans="1:31" s="14" customFormat="1" ht="15.6" thickTop="1" thickBot="1">
      <c r="A51" s="336"/>
      <c r="B51" s="337"/>
      <c r="C51" s="337"/>
      <c r="D51" s="337"/>
      <c r="E51" s="337"/>
      <c r="F51" s="338"/>
      <c r="G51" s="337"/>
      <c r="H51" s="337"/>
      <c r="I51" s="338"/>
      <c r="J51" s="337"/>
      <c r="K51" s="337"/>
      <c r="L51" s="338"/>
      <c r="M51" s="337"/>
      <c r="N51" s="337"/>
      <c r="O51" s="338"/>
      <c r="P51" s="337"/>
      <c r="Q51" s="337"/>
      <c r="R51" s="338"/>
      <c r="S51" s="339"/>
      <c r="T51" s="339"/>
      <c r="U51" s="340"/>
      <c r="V51" s="9"/>
      <c r="W51" s="9"/>
      <c r="Y51" s="5"/>
      <c r="Z51" s="9"/>
      <c r="AA51" s="9"/>
      <c r="AB51" s="9"/>
      <c r="AC51" s="9"/>
      <c r="AD51" s="9"/>
      <c r="AE51" s="9"/>
    </row>
    <row r="52" spans="1:31" s="14" customFormat="1" ht="15.3" thickBot="1">
      <c r="A52" s="192" t="s">
        <v>300</v>
      </c>
      <c r="B52" s="328"/>
      <c r="C52" s="328"/>
      <c r="D52" s="328"/>
      <c r="E52" s="328"/>
      <c r="F52" s="196" t="e">
        <f>SUM(F50,F28)</f>
        <v>#REF!</v>
      </c>
      <c r="G52" s="328"/>
      <c r="H52" s="328"/>
      <c r="I52" s="196" t="e">
        <f>SUM(I50,I28)</f>
        <v>#REF!</v>
      </c>
      <c r="J52" s="328"/>
      <c r="K52" s="328"/>
      <c r="L52" s="196" t="e">
        <f>SUM(L50,L28)</f>
        <v>#REF!</v>
      </c>
      <c r="M52" s="328"/>
      <c r="N52" s="328"/>
      <c r="O52" s="196" t="e">
        <f>SUM(O50,O28)</f>
        <v>#REF!</v>
      </c>
      <c r="P52" s="328"/>
      <c r="Q52" s="328"/>
      <c r="R52" s="196" t="e">
        <f>SUM(R50,R28)</f>
        <v>#REF!</v>
      </c>
      <c r="S52" s="335"/>
      <c r="T52" s="335"/>
      <c r="U52" s="197" t="e">
        <f xml:space="preserve"> SUM(F52,I52,L52,O52,R52)</f>
        <v>#REF!</v>
      </c>
      <c r="V52" s="9"/>
      <c r="W52" s="9"/>
      <c r="Y52" s="5"/>
      <c r="Z52" s="9"/>
      <c r="AA52" s="9"/>
      <c r="AB52" s="9"/>
      <c r="AC52" s="9"/>
      <c r="AD52" s="9"/>
      <c r="AE52" s="9"/>
    </row>
    <row r="53" spans="1:31" s="14" customFormat="1">
      <c r="A53" s="9"/>
      <c r="B53" s="30"/>
      <c r="C53" s="9"/>
      <c r="D53" s="9"/>
      <c r="E53" s="9"/>
      <c r="F53" s="9"/>
      <c r="G53" s="9"/>
      <c r="H53" s="9"/>
      <c r="I53" s="9"/>
      <c r="J53" s="9"/>
      <c r="K53" s="9"/>
      <c r="L53" s="9"/>
      <c r="M53" s="9"/>
      <c r="N53" s="9"/>
      <c r="O53" s="9"/>
      <c r="P53" s="9"/>
      <c r="Q53" s="9"/>
      <c r="R53" s="9"/>
      <c r="S53" s="9"/>
      <c r="T53" s="9"/>
      <c r="U53" s="9"/>
      <c r="V53" s="9"/>
      <c r="W53" s="9"/>
      <c r="Y53" s="5"/>
      <c r="Z53" s="9"/>
      <c r="AA53" s="9"/>
      <c r="AB53" s="9"/>
      <c r="AC53" s="9"/>
      <c r="AD53" s="9"/>
      <c r="AE53" s="9"/>
    </row>
    <row r="54" spans="1:31" s="14" customFormat="1">
      <c r="A54" s="9"/>
      <c r="B54" s="30"/>
      <c r="C54" s="9"/>
      <c r="D54" s="9"/>
      <c r="E54" s="9"/>
      <c r="F54" s="9"/>
      <c r="G54" s="9"/>
      <c r="H54" s="9"/>
      <c r="I54" s="9"/>
      <c r="J54" s="9"/>
      <c r="K54" s="9"/>
      <c r="L54" s="9"/>
      <c r="M54" s="9"/>
      <c r="N54" s="9"/>
      <c r="O54" s="9"/>
      <c r="P54" s="9"/>
      <c r="Q54" s="9"/>
      <c r="R54" s="9"/>
      <c r="S54" s="9"/>
      <c r="T54" s="9"/>
      <c r="U54" s="9"/>
      <c r="V54" s="9"/>
      <c r="W54" s="9"/>
      <c r="Y54" s="5"/>
      <c r="Z54" s="9"/>
      <c r="AA54" s="9"/>
      <c r="AB54" s="9"/>
      <c r="AC54" s="9"/>
      <c r="AD54" s="9"/>
      <c r="AE54" s="9"/>
    </row>
    <row r="55" spans="1:31" s="14" customFormat="1">
      <c r="A55" s="9"/>
      <c r="B55" s="30"/>
      <c r="C55" s="9"/>
      <c r="D55" s="9"/>
      <c r="E55" s="9"/>
      <c r="F55" s="9"/>
      <c r="G55" s="9"/>
      <c r="H55" s="9"/>
      <c r="I55" s="9"/>
      <c r="J55" s="9"/>
      <c r="K55" s="9"/>
      <c r="L55" s="9"/>
      <c r="M55" s="9"/>
      <c r="N55" s="9"/>
      <c r="O55" s="9"/>
      <c r="P55" s="9"/>
      <c r="Q55" s="9"/>
      <c r="R55" s="9"/>
      <c r="S55" s="9"/>
      <c r="T55" s="9"/>
      <c r="U55" s="9"/>
      <c r="V55" s="9"/>
      <c r="W55" s="9"/>
      <c r="Y55" s="5"/>
      <c r="Z55" s="9"/>
      <c r="AA55" s="9"/>
      <c r="AB55" s="9"/>
      <c r="AC55" s="9"/>
      <c r="AD55" s="9"/>
      <c r="AE55" s="9"/>
    </row>
    <row r="56" spans="1:31" s="14" customFormat="1">
      <c r="A56" s="9"/>
      <c r="B56" s="30"/>
      <c r="C56" s="9"/>
      <c r="D56" s="9"/>
      <c r="E56" s="9"/>
      <c r="F56" s="9"/>
      <c r="G56" s="9"/>
      <c r="H56" s="9"/>
      <c r="I56" s="9"/>
      <c r="J56" s="9"/>
      <c r="K56" s="9"/>
      <c r="L56" s="9"/>
      <c r="M56" s="9"/>
      <c r="N56" s="9"/>
      <c r="O56" s="9"/>
      <c r="P56" s="9"/>
      <c r="Q56" s="9"/>
      <c r="R56" s="9"/>
      <c r="S56" s="9"/>
      <c r="T56" s="9"/>
      <c r="U56" s="9"/>
      <c r="V56" s="9"/>
      <c r="W56" s="9"/>
      <c r="Y56" s="5"/>
      <c r="Z56" s="9"/>
      <c r="AA56" s="9"/>
      <c r="AB56" s="9"/>
      <c r="AC56" s="9"/>
      <c r="AD56" s="9"/>
      <c r="AE56" s="9"/>
    </row>
    <row r="57" spans="1:31" s="14" customFormat="1">
      <c r="A57" s="9"/>
      <c r="B57" s="30"/>
      <c r="C57" s="9"/>
      <c r="D57" s="9"/>
      <c r="E57" s="9"/>
      <c r="F57" s="9"/>
      <c r="G57" s="9"/>
      <c r="H57" s="9"/>
      <c r="I57" s="9"/>
      <c r="J57" s="9"/>
      <c r="K57" s="9"/>
      <c r="L57" s="9"/>
      <c r="M57" s="9"/>
      <c r="N57" s="9"/>
      <c r="O57" s="9"/>
      <c r="P57" s="9"/>
      <c r="Q57" s="9"/>
      <c r="R57" s="9"/>
      <c r="S57" s="9"/>
      <c r="T57" s="9"/>
      <c r="U57" s="9"/>
      <c r="V57" s="9"/>
      <c r="W57" s="9"/>
      <c r="Y57" s="5"/>
      <c r="Z57" s="9"/>
      <c r="AA57" s="9"/>
      <c r="AB57" s="9"/>
      <c r="AC57" s="9"/>
      <c r="AD57" s="9"/>
      <c r="AE57" s="9"/>
    </row>
    <row r="58" spans="1:31" s="14" customFormat="1">
      <c r="A58" s="9"/>
      <c r="B58" s="30"/>
      <c r="C58" s="9"/>
      <c r="D58" s="9"/>
      <c r="E58" s="9"/>
      <c r="F58" s="9"/>
      <c r="G58" s="9"/>
      <c r="H58" s="9"/>
      <c r="I58" s="9"/>
      <c r="J58" s="9"/>
      <c r="K58" s="9"/>
      <c r="L58" s="9"/>
      <c r="M58" s="9"/>
      <c r="N58" s="9"/>
      <c r="O58" s="9"/>
      <c r="P58" s="9"/>
      <c r="Q58" s="9"/>
      <c r="R58" s="9"/>
      <c r="S58" s="9"/>
      <c r="T58" s="9"/>
      <c r="U58" s="9"/>
      <c r="V58" s="9"/>
      <c r="W58" s="9"/>
      <c r="Y58" s="5"/>
      <c r="Z58" s="9"/>
      <c r="AA58" s="9"/>
      <c r="AB58" s="9"/>
      <c r="AC58" s="9"/>
      <c r="AD58" s="9"/>
      <c r="AE58" s="9"/>
    </row>
    <row r="59" spans="1:31" s="14" customFormat="1">
      <c r="A59" s="9"/>
      <c r="B59" s="30"/>
      <c r="C59" s="9"/>
      <c r="D59" s="9"/>
      <c r="E59" s="9"/>
      <c r="F59" s="9"/>
      <c r="G59" s="9"/>
      <c r="H59" s="9"/>
      <c r="I59" s="9"/>
      <c r="J59" s="9"/>
      <c r="K59" s="9"/>
      <c r="L59" s="9"/>
      <c r="M59" s="9"/>
      <c r="N59" s="9"/>
      <c r="O59" s="9"/>
      <c r="P59" s="9"/>
      <c r="Q59" s="9"/>
      <c r="R59" s="9"/>
      <c r="S59" s="9"/>
      <c r="T59" s="9"/>
      <c r="U59" s="9"/>
      <c r="V59" s="9"/>
      <c r="W59" s="9"/>
      <c r="Y59" s="5"/>
      <c r="Z59" s="9"/>
      <c r="AA59" s="9"/>
      <c r="AB59" s="9"/>
      <c r="AC59" s="9"/>
      <c r="AD59" s="9"/>
      <c r="AE59" s="9"/>
    </row>
    <row r="60" spans="1:31" s="14" customFormat="1">
      <c r="A60" s="9"/>
      <c r="B60" s="30"/>
      <c r="C60" s="9"/>
      <c r="D60" s="9"/>
      <c r="E60" s="9"/>
      <c r="F60" s="9"/>
      <c r="G60" s="9"/>
      <c r="H60" s="9"/>
      <c r="I60" s="9"/>
      <c r="J60" s="9"/>
      <c r="K60" s="9"/>
      <c r="L60" s="9"/>
      <c r="M60" s="9"/>
      <c r="N60" s="9"/>
      <c r="O60" s="9"/>
      <c r="P60" s="9"/>
      <c r="Q60" s="9"/>
      <c r="R60" s="9"/>
      <c r="S60" s="9"/>
      <c r="T60" s="9"/>
      <c r="U60" s="9"/>
      <c r="V60" s="9"/>
      <c r="W60" s="9"/>
      <c r="Y60" s="5"/>
      <c r="Z60" s="9"/>
      <c r="AA60" s="9"/>
      <c r="AB60" s="9"/>
      <c r="AC60" s="9"/>
      <c r="AD60" s="9"/>
      <c r="AE60" s="9"/>
    </row>
    <row r="61" spans="1:31" s="14" customFormat="1">
      <c r="A61" s="9"/>
      <c r="B61" s="30"/>
      <c r="C61" s="9"/>
      <c r="D61" s="9"/>
      <c r="E61" s="9"/>
      <c r="F61" s="9"/>
      <c r="G61" s="9"/>
      <c r="H61" s="9"/>
      <c r="I61" s="9"/>
      <c r="J61" s="9"/>
      <c r="K61" s="9"/>
      <c r="L61" s="9"/>
      <c r="M61" s="9"/>
      <c r="N61" s="9"/>
      <c r="O61" s="9"/>
      <c r="P61" s="9"/>
      <c r="Q61" s="9"/>
      <c r="R61" s="9"/>
      <c r="S61" s="9"/>
      <c r="T61" s="9"/>
      <c r="U61" s="9"/>
      <c r="V61" s="9"/>
      <c r="W61" s="9"/>
      <c r="Y61" s="5"/>
      <c r="Z61" s="9"/>
      <c r="AA61" s="9"/>
      <c r="AB61" s="9"/>
      <c r="AC61" s="9"/>
      <c r="AD61" s="9"/>
      <c r="AE61" s="9"/>
    </row>
    <row r="62" spans="1:31" s="14" customFormat="1">
      <c r="A62" s="9"/>
      <c r="B62" s="30"/>
      <c r="C62" s="9"/>
      <c r="D62" s="9"/>
      <c r="E62" s="9"/>
      <c r="F62" s="9"/>
      <c r="G62" s="9"/>
      <c r="H62" s="9"/>
      <c r="I62" s="9"/>
      <c r="J62" s="9"/>
      <c r="K62" s="9"/>
      <c r="L62" s="9"/>
      <c r="M62" s="9"/>
      <c r="N62" s="9"/>
      <c r="O62" s="9"/>
      <c r="P62" s="9"/>
      <c r="Q62" s="9"/>
      <c r="R62" s="9"/>
      <c r="S62" s="9"/>
      <c r="T62" s="9"/>
      <c r="U62" s="9"/>
      <c r="V62" s="9"/>
      <c r="W62" s="9"/>
      <c r="Y62" s="5"/>
      <c r="Z62" s="9"/>
      <c r="AA62" s="9"/>
      <c r="AB62" s="9"/>
      <c r="AC62" s="9"/>
      <c r="AD62" s="9"/>
      <c r="AE62" s="9"/>
    </row>
    <row r="63" spans="1:31" s="14" customFormat="1">
      <c r="A63" s="9"/>
      <c r="B63" s="30"/>
      <c r="C63" s="9"/>
      <c r="D63" s="9"/>
      <c r="E63" s="9"/>
      <c r="F63" s="9"/>
      <c r="G63" s="9"/>
      <c r="H63" s="9"/>
      <c r="I63" s="9"/>
      <c r="J63" s="9"/>
      <c r="K63" s="9"/>
      <c r="L63" s="9"/>
      <c r="M63" s="9"/>
      <c r="N63" s="9"/>
      <c r="O63" s="9"/>
      <c r="P63" s="9"/>
      <c r="Q63" s="9"/>
      <c r="R63" s="9"/>
      <c r="S63" s="9"/>
      <c r="T63" s="9"/>
      <c r="U63" s="9"/>
      <c r="V63" s="9"/>
      <c r="W63" s="9"/>
      <c r="Y63" s="5"/>
      <c r="Z63" s="9"/>
      <c r="AA63" s="9"/>
      <c r="AB63" s="9"/>
      <c r="AC63" s="9"/>
      <c r="AD63" s="9"/>
      <c r="AE63" s="9"/>
    </row>
    <row r="64" spans="1:31" s="14" customFormat="1">
      <c r="A64" s="9"/>
      <c r="B64" s="30"/>
      <c r="C64" s="9"/>
      <c r="D64" s="9"/>
      <c r="E64" s="9"/>
      <c r="F64" s="9"/>
      <c r="G64" s="9"/>
      <c r="H64" s="9"/>
      <c r="I64" s="9"/>
      <c r="J64" s="9"/>
      <c r="K64" s="9"/>
      <c r="L64" s="9"/>
      <c r="M64" s="9"/>
      <c r="N64" s="9"/>
      <c r="O64" s="9"/>
      <c r="P64" s="9"/>
      <c r="Q64" s="9"/>
      <c r="R64" s="9"/>
      <c r="S64" s="9"/>
      <c r="T64" s="9"/>
      <c r="U64" s="9"/>
      <c r="V64" s="9"/>
      <c r="W64" s="9"/>
      <c r="Y64" s="5"/>
      <c r="Z64" s="9"/>
      <c r="AA64" s="9"/>
      <c r="AB64" s="9"/>
      <c r="AC64" s="9"/>
      <c r="AD64" s="9"/>
      <c r="AE64" s="9"/>
    </row>
    <row r="65" spans="1:31" s="14" customFormat="1">
      <c r="A65" s="9"/>
      <c r="B65" s="30"/>
      <c r="C65" s="9"/>
      <c r="D65" s="9"/>
      <c r="E65" s="9"/>
      <c r="F65" s="9"/>
      <c r="G65" s="9"/>
      <c r="H65" s="9"/>
      <c r="I65" s="9"/>
      <c r="J65" s="9"/>
      <c r="K65" s="9"/>
      <c r="L65" s="9"/>
      <c r="M65" s="9"/>
      <c r="N65" s="9"/>
      <c r="O65" s="9"/>
      <c r="P65" s="9"/>
      <c r="Q65" s="9"/>
      <c r="R65" s="9"/>
      <c r="S65" s="9"/>
      <c r="T65" s="9"/>
      <c r="U65" s="9"/>
      <c r="V65" s="9"/>
      <c r="W65" s="9"/>
      <c r="Y65" s="5"/>
      <c r="Z65" s="9"/>
      <c r="AA65" s="9"/>
      <c r="AB65" s="9"/>
      <c r="AC65" s="9"/>
      <c r="AD65" s="9"/>
      <c r="AE65" s="9"/>
    </row>
    <row r="66" spans="1:31" s="14" customFormat="1">
      <c r="A66" s="9"/>
      <c r="B66" s="30"/>
      <c r="C66" s="9"/>
      <c r="D66" s="9"/>
      <c r="E66" s="9"/>
      <c r="F66" s="9"/>
      <c r="G66" s="9"/>
      <c r="H66" s="9"/>
      <c r="I66" s="9"/>
      <c r="J66" s="9"/>
      <c r="K66" s="9"/>
      <c r="L66" s="9"/>
      <c r="M66" s="9"/>
      <c r="N66" s="9"/>
      <c r="O66" s="9"/>
      <c r="P66" s="9"/>
      <c r="Q66" s="9"/>
      <c r="R66" s="9"/>
      <c r="S66" s="9"/>
      <c r="T66" s="9"/>
      <c r="U66" s="9"/>
      <c r="V66" s="9"/>
      <c r="W66" s="9"/>
      <c r="Y66" s="5"/>
      <c r="Z66" s="9"/>
      <c r="AA66" s="9"/>
      <c r="AB66" s="9"/>
      <c r="AC66" s="9"/>
      <c r="AD66" s="9"/>
      <c r="AE66" s="9"/>
    </row>
    <row r="67" spans="1:31" s="14" customFormat="1">
      <c r="A67" s="9"/>
      <c r="B67" s="30"/>
      <c r="C67" s="9"/>
      <c r="D67" s="9"/>
      <c r="E67" s="9"/>
      <c r="F67" s="9"/>
      <c r="G67" s="9"/>
      <c r="H67" s="9"/>
      <c r="I67" s="9"/>
      <c r="J67" s="9"/>
      <c r="K67" s="9"/>
      <c r="L67" s="9"/>
      <c r="M67" s="9"/>
      <c r="N67" s="9"/>
      <c r="O67" s="9"/>
      <c r="P67" s="9"/>
      <c r="Q67" s="9"/>
      <c r="R67" s="9"/>
      <c r="S67" s="9"/>
      <c r="T67" s="9"/>
      <c r="U67" s="9"/>
      <c r="V67" s="9"/>
      <c r="W67" s="9"/>
      <c r="Y67" s="5"/>
      <c r="Z67" s="9"/>
      <c r="AA67" s="9"/>
      <c r="AB67" s="9"/>
      <c r="AC67" s="9"/>
      <c r="AD67" s="9"/>
      <c r="AE67" s="9"/>
    </row>
    <row r="68" spans="1:31" s="14" customFormat="1">
      <c r="A68" s="9"/>
      <c r="B68" s="30"/>
      <c r="C68" s="9"/>
      <c r="D68" s="9"/>
      <c r="E68" s="9"/>
      <c r="F68" s="9"/>
      <c r="G68" s="9"/>
      <c r="H68" s="9"/>
      <c r="I68" s="9"/>
      <c r="J68" s="9"/>
      <c r="K68" s="9"/>
      <c r="L68" s="9"/>
      <c r="M68" s="9"/>
      <c r="N68" s="9"/>
      <c r="O68" s="9"/>
      <c r="P68" s="9"/>
      <c r="Q68" s="9"/>
      <c r="R68" s="9"/>
      <c r="S68" s="9"/>
      <c r="T68" s="9"/>
      <c r="U68" s="9"/>
      <c r="V68" s="9"/>
      <c r="W68" s="9"/>
      <c r="Y68" s="5"/>
      <c r="Z68" s="9"/>
      <c r="AA68" s="9"/>
      <c r="AB68" s="9"/>
      <c r="AC68" s="9"/>
      <c r="AD68" s="9"/>
      <c r="AE68" s="9"/>
    </row>
    <row r="69" spans="1:31" s="14" customFormat="1">
      <c r="A69" s="9"/>
      <c r="B69" s="30"/>
      <c r="C69" s="9"/>
      <c r="D69" s="9"/>
      <c r="E69" s="9"/>
      <c r="F69" s="9"/>
      <c r="G69" s="9"/>
      <c r="H69" s="9"/>
      <c r="I69" s="9"/>
      <c r="J69" s="9"/>
      <c r="K69" s="9"/>
      <c r="L69" s="9"/>
      <c r="M69" s="9"/>
      <c r="N69" s="9"/>
      <c r="O69" s="9"/>
      <c r="P69" s="9"/>
      <c r="Q69" s="9"/>
      <c r="R69" s="9"/>
      <c r="S69" s="9"/>
      <c r="T69" s="9"/>
      <c r="U69" s="9"/>
      <c r="V69" s="9"/>
      <c r="W69" s="9"/>
      <c r="Y69" s="5"/>
      <c r="Z69" s="9"/>
      <c r="AA69" s="9"/>
      <c r="AB69" s="9"/>
      <c r="AC69" s="9"/>
      <c r="AD69" s="9"/>
      <c r="AE69" s="9"/>
    </row>
    <row r="70" spans="1:31" s="14" customFormat="1">
      <c r="A70" s="9"/>
      <c r="B70" s="16"/>
      <c r="C70" s="9"/>
      <c r="D70" s="9"/>
      <c r="E70" s="9"/>
      <c r="F70" s="9"/>
      <c r="G70" s="9"/>
      <c r="H70" s="9"/>
      <c r="I70" s="9"/>
      <c r="J70" s="9"/>
      <c r="K70" s="9"/>
      <c r="L70" s="9"/>
      <c r="M70" s="9"/>
      <c r="N70" s="9"/>
      <c r="O70" s="9"/>
      <c r="P70" s="9"/>
      <c r="Q70" s="9"/>
      <c r="R70" s="9"/>
      <c r="S70" s="9"/>
      <c r="T70" s="9"/>
      <c r="U70" s="9"/>
      <c r="V70" s="9"/>
      <c r="W70" s="9"/>
      <c r="Y70" s="5"/>
      <c r="Z70" s="9"/>
      <c r="AA70" s="9"/>
      <c r="AB70" s="9"/>
      <c r="AC70" s="9"/>
      <c r="AD70" s="9"/>
      <c r="AE70" s="9"/>
    </row>
    <row r="71" spans="1:31" s="14" customFormat="1">
      <c r="A71" s="9"/>
      <c r="B71" s="16"/>
      <c r="C71" s="9"/>
      <c r="D71" s="9"/>
      <c r="E71" s="9"/>
      <c r="F71" s="9"/>
      <c r="G71" s="9"/>
      <c r="H71" s="9"/>
      <c r="I71" s="9"/>
      <c r="J71" s="9"/>
      <c r="K71" s="9"/>
      <c r="L71" s="9"/>
      <c r="M71" s="9"/>
      <c r="N71" s="9"/>
      <c r="O71" s="9"/>
      <c r="P71" s="9"/>
      <c r="Q71" s="9"/>
      <c r="R71" s="9"/>
      <c r="S71" s="9"/>
      <c r="T71" s="9"/>
      <c r="U71" s="9"/>
      <c r="V71" s="9"/>
      <c r="W71" s="9"/>
      <c r="Y71" s="5"/>
      <c r="Z71" s="9"/>
      <c r="AA71" s="9"/>
      <c r="AB71" s="9"/>
      <c r="AC71" s="9"/>
      <c r="AD71" s="9"/>
      <c r="AE71" s="9"/>
    </row>
    <row r="72" spans="1:31" s="14" customFormat="1">
      <c r="A72" s="9"/>
      <c r="B72" s="16"/>
      <c r="C72" s="9"/>
      <c r="D72" s="9"/>
      <c r="E72" s="9"/>
      <c r="F72" s="9"/>
      <c r="G72" s="9"/>
      <c r="H72" s="9"/>
      <c r="I72" s="9"/>
      <c r="J72" s="9"/>
      <c r="K72" s="9"/>
      <c r="L72" s="9"/>
      <c r="M72" s="9"/>
      <c r="N72" s="9"/>
      <c r="O72" s="9"/>
      <c r="P72" s="9"/>
      <c r="Q72" s="9"/>
      <c r="R72" s="9"/>
      <c r="S72" s="9"/>
      <c r="T72" s="9"/>
      <c r="U72" s="9"/>
      <c r="V72" s="9"/>
      <c r="W72" s="9"/>
      <c r="Y72" s="5"/>
      <c r="Z72" s="9"/>
      <c r="AA72" s="9"/>
      <c r="AB72" s="9"/>
      <c r="AC72" s="9"/>
      <c r="AD72" s="9"/>
      <c r="AE72" s="9"/>
    </row>
    <row r="73" spans="1:31" s="14" customFormat="1">
      <c r="A73" s="9"/>
      <c r="B73" s="16"/>
      <c r="C73" s="9"/>
      <c r="D73" s="9"/>
      <c r="E73" s="9"/>
      <c r="F73" s="9"/>
      <c r="G73" s="9"/>
      <c r="H73" s="9"/>
      <c r="I73" s="9"/>
      <c r="J73" s="9"/>
      <c r="K73" s="9"/>
      <c r="L73" s="9"/>
      <c r="M73" s="9"/>
      <c r="N73" s="9"/>
      <c r="O73" s="9"/>
      <c r="P73" s="9"/>
      <c r="Q73" s="9"/>
      <c r="R73" s="9"/>
      <c r="S73" s="9"/>
      <c r="T73" s="9"/>
      <c r="U73" s="9"/>
      <c r="V73" s="9"/>
      <c r="W73" s="9"/>
      <c r="Y73" s="5"/>
      <c r="Z73" s="9"/>
      <c r="AA73" s="9"/>
      <c r="AB73" s="9"/>
      <c r="AC73" s="9"/>
      <c r="AD73" s="9"/>
      <c r="AE73" s="9"/>
    </row>
    <row r="74" spans="1:31" s="14" customFormat="1">
      <c r="A74" s="9"/>
      <c r="B74" s="16"/>
      <c r="C74" s="9"/>
      <c r="D74" s="9"/>
      <c r="E74" s="9"/>
      <c r="F74" s="9"/>
      <c r="G74" s="9"/>
      <c r="H74" s="9"/>
      <c r="I74" s="9"/>
      <c r="J74" s="9"/>
      <c r="K74" s="9"/>
      <c r="L74" s="9"/>
      <c r="M74" s="9"/>
      <c r="N74" s="9"/>
      <c r="O74" s="9"/>
      <c r="P74" s="9"/>
      <c r="Q74" s="9"/>
      <c r="R74" s="9"/>
      <c r="S74" s="9"/>
      <c r="T74" s="9"/>
      <c r="U74" s="9"/>
      <c r="V74" s="9"/>
      <c r="W74" s="9"/>
      <c r="Y74" s="5"/>
      <c r="Z74" s="9"/>
      <c r="AA74" s="9"/>
      <c r="AB74" s="9"/>
      <c r="AC74" s="9"/>
      <c r="AD74" s="9"/>
      <c r="AE74" s="9"/>
    </row>
    <row r="75" spans="1:31" s="14" customFormat="1">
      <c r="A75" s="9"/>
      <c r="B75" s="16"/>
      <c r="C75" s="9"/>
      <c r="D75" s="9"/>
      <c r="E75" s="9"/>
      <c r="F75" s="9"/>
      <c r="G75" s="9"/>
      <c r="H75" s="9"/>
      <c r="I75" s="9"/>
      <c r="J75" s="9"/>
      <c r="K75" s="9"/>
      <c r="L75" s="9"/>
      <c r="M75" s="9"/>
      <c r="N75" s="9"/>
      <c r="O75" s="9"/>
      <c r="P75" s="9"/>
      <c r="Q75" s="9"/>
      <c r="R75" s="9"/>
      <c r="S75" s="9"/>
      <c r="T75" s="9"/>
      <c r="U75" s="9"/>
      <c r="V75" s="9"/>
      <c r="W75" s="9"/>
      <c r="Y75" s="5"/>
      <c r="Z75" s="9"/>
      <c r="AA75" s="9"/>
      <c r="AB75" s="9"/>
      <c r="AC75" s="9"/>
      <c r="AD75" s="9"/>
      <c r="AE75" s="9"/>
    </row>
    <row r="76" spans="1:31" s="14" customFormat="1">
      <c r="A76" s="9"/>
      <c r="B76" s="16"/>
      <c r="C76" s="9"/>
      <c r="D76" s="9"/>
      <c r="E76" s="9"/>
      <c r="F76" s="9"/>
      <c r="G76" s="9"/>
      <c r="H76" s="9"/>
      <c r="I76" s="9"/>
      <c r="J76" s="9"/>
      <c r="K76" s="9"/>
      <c r="L76" s="9"/>
      <c r="M76" s="9"/>
      <c r="N76" s="9"/>
      <c r="O76" s="9"/>
      <c r="P76" s="9"/>
      <c r="Q76" s="9"/>
      <c r="R76" s="9"/>
      <c r="S76" s="9"/>
      <c r="T76" s="9"/>
      <c r="U76" s="9"/>
      <c r="V76" s="9"/>
      <c r="W76" s="9"/>
      <c r="Y76" s="5"/>
      <c r="Z76" s="9"/>
      <c r="AA76" s="9"/>
      <c r="AB76" s="9"/>
      <c r="AC76" s="9"/>
      <c r="AD76" s="9"/>
      <c r="AE76" s="9"/>
    </row>
    <row r="77" spans="1:31" s="14" customFormat="1">
      <c r="A77" s="9"/>
      <c r="B77" s="16"/>
      <c r="C77" s="9"/>
      <c r="D77" s="9"/>
      <c r="E77" s="9"/>
      <c r="F77" s="9"/>
      <c r="G77" s="9"/>
      <c r="H77" s="9"/>
      <c r="I77" s="9"/>
      <c r="J77" s="9"/>
      <c r="K77" s="9"/>
      <c r="L77" s="9"/>
      <c r="M77" s="9"/>
      <c r="N77" s="9"/>
      <c r="O77" s="9"/>
      <c r="P77" s="9"/>
      <c r="Q77" s="9"/>
      <c r="R77" s="9"/>
      <c r="S77" s="9"/>
      <c r="T77" s="9"/>
      <c r="U77" s="9"/>
      <c r="V77" s="9"/>
      <c r="W77" s="9"/>
      <c r="Y77" s="5"/>
      <c r="Z77" s="9"/>
      <c r="AA77" s="9"/>
      <c r="AB77" s="9"/>
      <c r="AC77" s="9"/>
      <c r="AD77" s="9"/>
      <c r="AE77" s="9"/>
    </row>
    <row r="78" spans="1:31" s="14" customFormat="1">
      <c r="A78" s="9"/>
      <c r="B78" s="16"/>
      <c r="C78" s="9"/>
      <c r="D78" s="9"/>
      <c r="E78" s="9"/>
      <c r="F78" s="9"/>
      <c r="G78" s="9"/>
      <c r="H78" s="9"/>
      <c r="I78" s="9"/>
      <c r="J78" s="9"/>
      <c r="K78" s="9"/>
      <c r="L78" s="9"/>
      <c r="M78" s="9"/>
      <c r="N78" s="9"/>
      <c r="O78" s="9"/>
      <c r="P78" s="9"/>
      <c r="Q78" s="9"/>
      <c r="R78" s="9"/>
      <c r="S78" s="9"/>
      <c r="T78" s="9"/>
      <c r="U78" s="9"/>
      <c r="V78" s="9"/>
      <c r="W78" s="9"/>
      <c r="Y78" s="5"/>
      <c r="Z78" s="9"/>
      <c r="AA78" s="9"/>
      <c r="AB78" s="9"/>
      <c r="AC78" s="9"/>
      <c r="AD78" s="9"/>
      <c r="AE78" s="9"/>
    </row>
    <row r="79" spans="1:31" s="14" customFormat="1">
      <c r="A79" s="9"/>
      <c r="B79" s="16"/>
      <c r="C79" s="9"/>
      <c r="D79" s="9"/>
      <c r="E79" s="9"/>
      <c r="F79" s="9"/>
      <c r="G79" s="9"/>
      <c r="H79" s="9"/>
      <c r="I79" s="9"/>
      <c r="J79" s="9"/>
      <c r="K79" s="9"/>
      <c r="L79" s="9"/>
      <c r="M79" s="9"/>
      <c r="N79" s="9"/>
      <c r="O79" s="9"/>
      <c r="P79" s="9"/>
      <c r="Q79" s="9"/>
      <c r="R79" s="9"/>
      <c r="S79" s="9"/>
      <c r="T79" s="9"/>
      <c r="U79" s="9"/>
      <c r="V79" s="9"/>
      <c r="W79" s="9"/>
      <c r="Y79" s="5"/>
      <c r="Z79" s="9"/>
      <c r="AA79" s="9"/>
      <c r="AB79" s="9"/>
      <c r="AC79" s="9"/>
      <c r="AD79" s="9"/>
      <c r="AE79" s="9"/>
    </row>
    <row r="80" spans="1:31" s="14" customFormat="1">
      <c r="A80" s="9"/>
      <c r="B80" s="16"/>
      <c r="C80" s="9"/>
      <c r="D80" s="9"/>
      <c r="E80" s="9"/>
      <c r="F80" s="9"/>
      <c r="G80" s="9"/>
      <c r="H80" s="9"/>
      <c r="I80" s="9"/>
      <c r="J80" s="9"/>
      <c r="K80" s="9"/>
      <c r="L80" s="9"/>
      <c r="M80" s="9"/>
      <c r="N80" s="9"/>
      <c r="O80" s="9"/>
      <c r="P80" s="9"/>
      <c r="Q80" s="9"/>
      <c r="R80" s="9"/>
      <c r="S80" s="9"/>
      <c r="T80" s="9"/>
      <c r="U80" s="9"/>
      <c r="V80" s="9"/>
      <c r="W80" s="9"/>
      <c r="Y80" s="5"/>
      <c r="Z80" s="9"/>
      <c r="AA80" s="9"/>
      <c r="AB80" s="9"/>
      <c r="AC80" s="9"/>
      <c r="AD80" s="9"/>
      <c r="AE80" s="9"/>
    </row>
    <row r="81" spans="1:31" s="14" customFormat="1">
      <c r="A81" s="9"/>
      <c r="B81" s="16"/>
      <c r="C81" s="9"/>
      <c r="D81" s="9"/>
      <c r="E81" s="9"/>
      <c r="F81" s="9"/>
      <c r="G81" s="9"/>
      <c r="H81" s="9"/>
      <c r="I81" s="9"/>
      <c r="J81" s="9"/>
      <c r="K81" s="9"/>
      <c r="L81" s="9"/>
      <c r="M81" s="9"/>
      <c r="N81" s="9"/>
      <c r="O81" s="9"/>
      <c r="P81" s="9"/>
      <c r="Q81" s="9"/>
      <c r="R81" s="9"/>
      <c r="S81" s="9"/>
      <c r="T81" s="9"/>
      <c r="U81" s="9"/>
      <c r="V81" s="9"/>
      <c r="W81" s="9"/>
      <c r="Y81" s="5"/>
      <c r="Z81" s="9"/>
      <c r="AA81" s="9"/>
      <c r="AB81" s="9"/>
      <c r="AC81" s="9"/>
      <c r="AD81" s="9"/>
      <c r="AE81" s="9"/>
    </row>
    <row r="82" spans="1:31" s="14" customFormat="1">
      <c r="A82" s="9"/>
      <c r="B82" s="16"/>
      <c r="C82" s="9"/>
      <c r="D82" s="9"/>
      <c r="E82" s="9"/>
      <c r="F82" s="9"/>
      <c r="G82" s="9"/>
      <c r="H82" s="9"/>
      <c r="I82" s="9"/>
      <c r="J82" s="9"/>
      <c r="K82" s="9"/>
      <c r="L82" s="9"/>
      <c r="M82" s="9"/>
      <c r="N82" s="9"/>
      <c r="O82" s="9"/>
      <c r="P82" s="9"/>
      <c r="Q82" s="9"/>
      <c r="R82" s="9"/>
      <c r="S82" s="9"/>
      <c r="T82" s="9"/>
      <c r="U82" s="9"/>
      <c r="V82" s="9"/>
      <c r="W82" s="9"/>
      <c r="Y82" s="5"/>
      <c r="Z82" s="9"/>
      <c r="AA82" s="9"/>
      <c r="AB82" s="9"/>
      <c r="AC82" s="9"/>
      <c r="AD82" s="9"/>
      <c r="AE82" s="9"/>
    </row>
    <row r="83" spans="1:31" s="14" customFormat="1">
      <c r="A83" s="9"/>
      <c r="B83" s="16"/>
      <c r="C83" s="9"/>
      <c r="D83" s="9"/>
      <c r="E83" s="9"/>
      <c r="F83" s="9"/>
      <c r="G83" s="9"/>
      <c r="H83" s="9"/>
      <c r="I83" s="9"/>
      <c r="J83" s="9"/>
      <c r="K83" s="9"/>
      <c r="L83" s="9"/>
      <c r="M83" s="9"/>
      <c r="N83" s="9"/>
      <c r="O83" s="9"/>
      <c r="P83" s="9"/>
      <c r="Q83" s="9"/>
      <c r="R83" s="9"/>
      <c r="S83" s="9"/>
      <c r="T83" s="9"/>
      <c r="U83" s="9"/>
      <c r="V83" s="9"/>
      <c r="W83" s="9"/>
      <c r="Y83" s="5"/>
      <c r="Z83" s="9"/>
      <c r="AA83" s="9"/>
      <c r="AB83" s="9"/>
      <c r="AC83" s="9"/>
      <c r="AD83" s="9"/>
      <c r="AE83" s="9"/>
    </row>
    <row r="84" spans="1:31" s="14" customFormat="1">
      <c r="A84" s="9"/>
      <c r="B84" s="16"/>
      <c r="C84" s="9"/>
      <c r="D84" s="9"/>
      <c r="E84" s="9"/>
      <c r="F84" s="9"/>
      <c r="G84" s="9"/>
      <c r="H84" s="9"/>
      <c r="I84" s="9"/>
      <c r="J84" s="9"/>
      <c r="K84" s="9"/>
      <c r="L84" s="9"/>
      <c r="M84" s="9"/>
      <c r="N84" s="9"/>
      <c r="O84" s="9"/>
      <c r="P84" s="9"/>
      <c r="Q84" s="9"/>
      <c r="R84" s="9"/>
      <c r="S84" s="9"/>
      <c r="T84" s="9"/>
      <c r="U84" s="9"/>
      <c r="V84" s="9"/>
      <c r="W84" s="9"/>
      <c r="Y84" s="5"/>
      <c r="Z84" s="9"/>
      <c r="AA84" s="9"/>
      <c r="AB84" s="9"/>
      <c r="AC84" s="9"/>
      <c r="AD84" s="9"/>
      <c r="AE84" s="9"/>
    </row>
    <row r="85" spans="1:31" s="14" customFormat="1">
      <c r="A85" s="9"/>
      <c r="B85" s="16"/>
      <c r="C85" s="9"/>
      <c r="D85" s="9"/>
      <c r="E85" s="9"/>
      <c r="F85" s="9"/>
      <c r="G85" s="9"/>
      <c r="H85" s="9"/>
      <c r="I85" s="9"/>
      <c r="J85" s="9"/>
      <c r="K85" s="9"/>
      <c r="L85" s="9"/>
      <c r="M85" s="9"/>
      <c r="N85" s="9"/>
      <c r="O85" s="9"/>
      <c r="P85" s="9"/>
      <c r="Q85" s="9"/>
      <c r="R85" s="9"/>
      <c r="S85" s="9"/>
      <c r="T85" s="9"/>
      <c r="U85" s="9"/>
      <c r="V85" s="9"/>
      <c r="W85" s="9"/>
      <c r="Y85" s="5"/>
      <c r="Z85" s="9"/>
      <c r="AA85" s="9"/>
      <c r="AB85" s="9"/>
      <c r="AC85" s="9"/>
      <c r="AD85" s="9"/>
      <c r="AE85" s="9"/>
    </row>
    <row r="86" spans="1:31" s="14" customFormat="1">
      <c r="A86" s="9"/>
      <c r="B86" s="16"/>
      <c r="C86" s="9"/>
      <c r="D86" s="9"/>
      <c r="E86" s="9"/>
      <c r="F86" s="9"/>
      <c r="G86" s="9"/>
      <c r="H86" s="9"/>
      <c r="I86" s="9"/>
      <c r="J86" s="9"/>
      <c r="K86" s="9"/>
      <c r="L86" s="9"/>
      <c r="M86" s="9"/>
      <c r="N86" s="9"/>
      <c r="O86" s="9"/>
      <c r="P86" s="9"/>
      <c r="Q86" s="9"/>
      <c r="R86" s="9"/>
      <c r="S86" s="9"/>
      <c r="T86" s="9"/>
      <c r="U86" s="9"/>
      <c r="V86" s="9"/>
      <c r="W86" s="9"/>
      <c r="Y86" s="5"/>
      <c r="Z86" s="9"/>
      <c r="AA86" s="9"/>
      <c r="AB86" s="9"/>
      <c r="AC86" s="9"/>
      <c r="AD86" s="9"/>
      <c r="AE86" s="9"/>
    </row>
    <row r="87" spans="1:31" s="14" customFormat="1">
      <c r="A87" s="9"/>
      <c r="B87" s="16"/>
      <c r="C87" s="9"/>
      <c r="D87" s="9"/>
      <c r="E87" s="9"/>
      <c r="F87" s="9"/>
      <c r="G87" s="9"/>
      <c r="H87" s="9"/>
      <c r="I87" s="9"/>
      <c r="J87" s="9"/>
      <c r="K87" s="9"/>
      <c r="L87" s="9"/>
      <c r="M87" s="9"/>
      <c r="N87" s="9"/>
      <c r="O87" s="9"/>
      <c r="P87" s="9"/>
      <c r="Q87" s="9"/>
      <c r="R87" s="9"/>
      <c r="S87" s="9"/>
      <c r="T87" s="9"/>
      <c r="U87" s="9"/>
      <c r="V87" s="9"/>
      <c r="W87" s="9"/>
      <c r="Y87" s="5"/>
      <c r="Z87" s="9"/>
      <c r="AA87" s="9"/>
      <c r="AB87" s="9"/>
      <c r="AC87" s="9"/>
      <c r="AD87" s="9"/>
      <c r="AE87" s="9"/>
    </row>
    <row r="88" spans="1:31" s="14" customFormat="1">
      <c r="A88" s="9"/>
      <c r="B88" s="16"/>
      <c r="C88" s="9"/>
      <c r="D88" s="9"/>
      <c r="E88" s="9"/>
      <c r="F88" s="9"/>
      <c r="G88" s="9"/>
      <c r="H88" s="9"/>
      <c r="I88" s="9"/>
      <c r="J88" s="9"/>
      <c r="K88" s="9"/>
      <c r="L88" s="9"/>
      <c r="M88" s="9"/>
      <c r="N88" s="9"/>
      <c r="O88" s="9"/>
      <c r="P88" s="9"/>
      <c r="Q88" s="9"/>
      <c r="R88" s="9"/>
      <c r="S88" s="9"/>
      <c r="T88" s="9"/>
      <c r="U88" s="9"/>
      <c r="V88" s="9"/>
      <c r="W88" s="9"/>
      <c r="Y88" s="5"/>
      <c r="Z88" s="9"/>
      <c r="AA88" s="9"/>
      <c r="AB88" s="9"/>
      <c r="AC88" s="9"/>
      <c r="AD88" s="9"/>
      <c r="AE88" s="9"/>
    </row>
    <row r="89" spans="1:31" s="14" customFormat="1">
      <c r="A89" s="9"/>
      <c r="B89" s="16"/>
      <c r="C89" s="9"/>
      <c r="D89" s="9"/>
      <c r="E89" s="9"/>
      <c r="F89" s="9"/>
      <c r="G89" s="9"/>
      <c r="H89" s="9"/>
      <c r="I89" s="9"/>
      <c r="J89" s="9"/>
      <c r="K89" s="9"/>
      <c r="L89" s="9"/>
      <c r="M89" s="9"/>
      <c r="N89" s="9"/>
      <c r="O89" s="9"/>
      <c r="P89" s="9"/>
      <c r="Q89" s="9"/>
      <c r="R89" s="9"/>
      <c r="S89" s="9"/>
      <c r="T89" s="9"/>
      <c r="U89" s="9"/>
      <c r="V89" s="9"/>
      <c r="W89" s="9"/>
      <c r="Y89" s="5"/>
      <c r="Z89" s="9"/>
      <c r="AA89" s="9"/>
      <c r="AB89" s="9"/>
      <c r="AC89" s="9"/>
      <c r="AD89" s="9"/>
      <c r="AE89" s="9"/>
    </row>
    <row r="90" spans="1:31" s="14" customFormat="1">
      <c r="A90" s="9"/>
      <c r="B90" s="16"/>
      <c r="C90" s="9"/>
      <c r="D90" s="9"/>
      <c r="E90" s="9"/>
      <c r="F90" s="9"/>
      <c r="G90" s="9"/>
      <c r="H90" s="9"/>
      <c r="I90" s="9"/>
      <c r="J90" s="9"/>
      <c r="K90" s="9"/>
      <c r="L90" s="9"/>
      <c r="M90" s="9"/>
      <c r="N90" s="9"/>
      <c r="O90" s="9"/>
      <c r="P90" s="9"/>
      <c r="Q90" s="9"/>
      <c r="R90" s="9"/>
      <c r="S90" s="9"/>
      <c r="T90" s="9"/>
      <c r="U90" s="9"/>
      <c r="V90" s="9"/>
      <c r="W90" s="9"/>
      <c r="Y90" s="5"/>
      <c r="Z90" s="9"/>
      <c r="AA90" s="9"/>
      <c r="AB90" s="9"/>
      <c r="AC90" s="9"/>
      <c r="AD90" s="9"/>
      <c r="AE90" s="9"/>
    </row>
    <row r="91" spans="1:31" s="14" customFormat="1">
      <c r="A91" s="9"/>
      <c r="B91" s="16"/>
      <c r="C91" s="9"/>
      <c r="D91" s="9"/>
      <c r="E91" s="9"/>
      <c r="F91" s="9"/>
      <c r="G91" s="9"/>
      <c r="H91" s="9"/>
      <c r="I91" s="9"/>
      <c r="J91" s="9"/>
      <c r="K91" s="9"/>
      <c r="L91" s="9"/>
      <c r="M91" s="9"/>
      <c r="N91" s="9"/>
      <c r="O91" s="9"/>
      <c r="P91" s="9"/>
      <c r="Q91" s="9"/>
      <c r="R91" s="9"/>
      <c r="S91" s="9"/>
      <c r="T91" s="9"/>
      <c r="U91" s="9"/>
      <c r="V91" s="9"/>
      <c r="W91" s="9"/>
      <c r="Y91" s="5"/>
      <c r="Z91" s="9"/>
      <c r="AA91" s="9"/>
      <c r="AB91" s="9"/>
      <c r="AC91" s="9"/>
      <c r="AD91" s="9"/>
      <c r="AE91" s="9"/>
    </row>
    <row r="92" spans="1:31" s="14" customFormat="1">
      <c r="A92" s="9"/>
      <c r="B92" s="16"/>
      <c r="C92" s="9"/>
      <c r="D92" s="9"/>
      <c r="E92" s="9"/>
      <c r="F92" s="9"/>
      <c r="G92" s="9"/>
      <c r="H92" s="9"/>
      <c r="I92" s="9"/>
      <c r="J92" s="9"/>
      <c r="K92" s="9"/>
      <c r="L92" s="9"/>
      <c r="M92" s="9"/>
      <c r="N92" s="9"/>
      <c r="O92" s="9"/>
      <c r="P92" s="9"/>
      <c r="Q92" s="9"/>
      <c r="R92" s="9"/>
      <c r="S92" s="9"/>
      <c r="T92" s="9"/>
      <c r="U92" s="9"/>
      <c r="V92" s="9"/>
      <c r="W92" s="9"/>
      <c r="Y92" s="5"/>
      <c r="Z92" s="9"/>
      <c r="AA92" s="9"/>
      <c r="AB92" s="9"/>
      <c r="AC92" s="9"/>
      <c r="AD92" s="9"/>
      <c r="AE92" s="9"/>
    </row>
    <row r="93" spans="1:31" s="14" customFormat="1">
      <c r="A93" s="9"/>
      <c r="B93" s="16"/>
      <c r="C93" s="9"/>
      <c r="D93" s="9"/>
      <c r="E93" s="9"/>
      <c r="F93" s="9"/>
      <c r="G93" s="9"/>
      <c r="H93" s="9"/>
      <c r="I93" s="9"/>
      <c r="J93" s="9"/>
      <c r="K93" s="9"/>
      <c r="L93" s="9"/>
      <c r="M93" s="9"/>
      <c r="N93" s="9"/>
      <c r="O93" s="9"/>
      <c r="P93" s="9"/>
      <c r="Q93" s="9"/>
      <c r="R93" s="9"/>
      <c r="S93" s="9"/>
      <c r="T93" s="9"/>
      <c r="U93" s="9"/>
      <c r="V93" s="9"/>
      <c r="W93" s="9"/>
      <c r="Y93" s="5"/>
      <c r="Z93" s="9"/>
      <c r="AA93" s="9"/>
      <c r="AB93" s="9"/>
      <c r="AC93" s="9"/>
      <c r="AD93" s="9"/>
      <c r="AE93" s="9"/>
    </row>
    <row r="94" spans="1:31" s="14" customFormat="1">
      <c r="A94" s="9"/>
      <c r="B94" s="16"/>
      <c r="C94" s="9"/>
      <c r="D94" s="9"/>
      <c r="E94" s="9"/>
      <c r="F94" s="9"/>
      <c r="G94" s="9"/>
      <c r="H94" s="9"/>
      <c r="I94" s="9"/>
      <c r="J94" s="9"/>
      <c r="K94" s="9"/>
      <c r="L94" s="9"/>
      <c r="M94" s="9"/>
      <c r="N94" s="9"/>
      <c r="O94" s="9"/>
      <c r="P94" s="9"/>
      <c r="Q94" s="9"/>
      <c r="R94" s="9"/>
      <c r="S94" s="9"/>
      <c r="T94" s="9"/>
      <c r="U94" s="9"/>
      <c r="V94" s="9"/>
      <c r="W94" s="9"/>
      <c r="Y94" s="5"/>
      <c r="Z94" s="9"/>
      <c r="AA94" s="9"/>
      <c r="AB94" s="9"/>
      <c r="AC94" s="9"/>
      <c r="AD94" s="9"/>
      <c r="AE94" s="9"/>
    </row>
    <row r="95" spans="1:31" s="14" customFormat="1">
      <c r="A95" s="9"/>
      <c r="B95" s="16"/>
      <c r="C95" s="9"/>
      <c r="D95" s="9"/>
      <c r="E95" s="9"/>
      <c r="F95" s="9"/>
      <c r="G95" s="9"/>
      <c r="H95" s="9"/>
      <c r="I95" s="9"/>
      <c r="J95" s="9"/>
      <c r="K95" s="9"/>
      <c r="L95" s="9"/>
      <c r="M95" s="9"/>
      <c r="N95" s="9"/>
      <c r="O95" s="9"/>
      <c r="P95" s="9"/>
      <c r="Q95" s="9"/>
      <c r="R95" s="9"/>
      <c r="S95" s="9"/>
      <c r="T95" s="9"/>
      <c r="U95" s="9"/>
      <c r="V95" s="9"/>
      <c r="W95" s="9"/>
      <c r="Y95" s="5"/>
      <c r="Z95" s="9"/>
      <c r="AA95" s="9"/>
      <c r="AB95" s="9"/>
      <c r="AC95" s="9"/>
      <c r="AD95" s="9"/>
      <c r="AE95" s="9"/>
    </row>
    <row r="96" spans="1:31" s="14" customFormat="1">
      <c r="A96" s="9"/>
      <c r="B96" s="16"/>
      <c r="C96" s="9"/>
      <c r="D96" s="9"/>
      <c r="E96" s="9"/>
      <c r="F96" s="9"/>
      <c r="G96" s="9"/>
      <c r="H96" s="9"/>
      <c r="I96" s="9"/>
      <c r="J96" s="9"/>
      <c r="K96" s="9"/>
      <c r="L96" s="9"/>
      <c r="M96" s="9"/>
      <c r="N96" s="9"/>
      <c r="O96" s="9"/>
      <c r="P96" s="9"/>
      <c r="Q96" s="9"/>
      <c r="R96" s="9"/>
      <c r="S96" s="9"/>
      <c r="T96" s="9"/>
      <c r="U96" s="9"/>
      <c r="V96" s="9"/>
      <c r="W96" s="9"/>
      <c r="Y96" s="5"/>
      <c r="Z96" s="9"/>
      <c r="AA96" s="9"/>
      <c r="AB96" s="9"/>
      <c r="AC96" s="9"/>
      <c r="AD96" s="9"/>
      <c r="AE96" s="9"/>
    </row>
    <row r="97" spans="1:31" s="14" customFormat="1">
      <c r="A97" s="9"/>
      <c r="B97" s="16"/>
      <c r="C97" s="9"/>
      <c r="D97" s="9"/>
      <c r="E97" s="9"/>
      <c r="F97" s="9"/>
      <c r="G97" s="9"/>
      <c r="H97" s="9"/>
      <c r="I97" s="9"/>
      <c r="J97" s="9"/>
      <c r="K97" s="9"/>
      <c r="L97" s="9"/>
      <c r="M97" s="9"/>
      <c r="N97" s="9"/>
      <c r="O97" s="9"/>
      <c r="P97" s="9"/>
      <c r="Q97" s="9"/>
      <c r="R97" s="9"/>
      <c r="S97" s="9"/>
      <c r="T97" s="9"/>
      <c r="U97" s="9"/>
      <c r="V97" s="9"/>
      <c r="W97" s="9"/>
      <c r="Y97" s="5"/>
      <c r="Z97" s="9"/>
      <c r="AA97" s="9"/>
      <c r="AB97" s="9"/>
      <c r="AC97" s="9"/>
      <c r="AD97" s="9"/>
      <c r="AE97" s="9"/>
    </row>
    <row r="98" spans="1:31" s="14" customFormat="1">
      <c r="A98" s="9"/>
      <c r="B98" s="16"/>
      <c r="C98" s="9"/>
      <c r="D98" s="9"/>
      <c r="E98" s="9"/>
      <c r="F98" s="9"/>
      <c r="G98" s="9"/>
      <c r="H98" s="9"/>
      <c r="I98" s="9"/>
      <c r="J98" s="9"/>
      <c r="K98" s="9"/>
      <c r="L98" s="9"/>
      <c r="M98" s="9"/>
      <c r="N98" s="9"/>
      <c r="O98" s="9"/>
      <c r="P98" s="9"/>
      <c r="Q98" s="9"/>
      <c r="R98" s="9"/>
      <c r="S98" s="9"/>
      <c r="T98" s="9"/>
      <c r="U98" s="9"/>
      <c r="V98" s="9"/>
      <c r="W98" s="9"/>
      <c r="Y98" s="5"/>
      <c r="Z98" s="9"/>
      <c r="AA98" s="9"/>
      <c r="AB98" s="9"/>
      <c r="AC98" s="9"/>
      <c r="AD98" s="9"/>
      <c r="AE98" s="9"/>
    </row>
    <row r="99" spans="1:31" s="14" customFormat="1">
      <c r="A99" s="9"/>
      <c r="B99" s="16"/>
      <c r="C99" s="9"/>
      <c r="D99" s="9"/>
      <c r="E99" s="9"/>
      <c r="F99" s="9"/>
      <c r="G99" s="9"/>
      <c r="H99" s="9"/>
      <c r="I99" s="9"/>
      <c r="J99" s="9"/>
      <c r="K99" s="9"/>
      <c r="L99" s="9"/>
      <c r="M99" s="9"/>
      <c r="N99" s="9"/>
      <c r="O99" s="9"/>
      <c r="P99" s="9"/>
      <c r="Q99" s="9"/>
      <c r="R99" s="9"/>
      <c r="S99" s="9"/>
      <c r="T99" s="9"/>
      <c r="U99" s="9"/>
      <c r="V99" s="9"/>
      <c r="W99" s="9"/>
      <c r="Y99" s="5"/>
      <c r="Z99" s="9"/>
      <c r="AA99" s="9"/>
      <c r="AB99" s="9"/>
      <c r="AC99" s="9"/>
      <c r="AD99" s="9"/>
      <c r="AE99" s="9"/>
    </row>
    <row r="100" spans="1:31" s="14" customFormat="1">
      <c r="A100" s="9"/>
      <c r="B100" s="16"/>
      <c r="C100" s="9"/>
      <c r="D100" s="9"/>
      <c r="E100" s="9"/>
      <c r="F100" s="9"/>
      <c r="G100" s="9"/>
      <c r="H100" s="9"/>
      <c r="I100" s="9"/>
      <c r="J100" s="9"/>
      <c r="K100" s="9"/>
      <c r="L100" s="9"/>
      <c r="M100" s="9"/>
      <c r="N100" s="9"/>
      <c r="O100" s="9"/>
      <c r="P100" s="9"/>
      <c r="Q100" s="9"/>
      <c r="R100" s="9"/>
      <c r="S100" s="9"/>
      <c r="T100" s="9"/>
      <c r="U100" s="9"/>
      <c r="V100" s="9"/>
      <c r="W100" s="9"/>
      <c r="Y100" s="5"/>
      <c r="Z100" s="9"/>
      <c r="AA100" s="9"/>
      <c r="AB100" s="9"/>
      <c r="AC100" s="9"/>
      <c r="AD100" s="9"/>
      <c r="AE100" s="9"/>
    </row>
    <row r="101" spans="1:31" s="14" customFormat="1">
      <c r="A101" s="9"/>
      <c r="B101" s="16"/>
      <c r="C101" s="9"/>
      <c r="D101" s="9"/>
      <c r="E101" s="9"/>
      <c r="F101" s="9"/>
      <c r="G101" s="9"/>
      <c r="H101" s="9"/>
      <c r="I101" s="9"/>
      <c r="J101" s="9"/>
      <c r="K101" s="9"/>
      <c r="L101" s="9"/>
      <c r="M101" s="9"/>
      <c r="N101" s="9"/>
      <c r="O101" s="9"/>
      <c r="P101" s="9"/>
      <c r="Q101" s="9"/>
      <c r="R101" s="9"/>
      <c r="S101" s="9"/>
      <c r="T101" s="9"/>
      <c r="U101" s="9"/>
      <c r="V101" s="9"/>
      <c r="W101" s="9"/>
      <c r="Y101" s="5"/>
      <c r="Z101" s="9"/>
      <c r="AA101" s="9"/>
      <c r="AB101" s="9"/>
      <c r="AC101" s="9"/>
      <c r="AD101" s="9"/>
      <c r="AE101" s="9"/>
    </row>
    <row r="102" spans="1:31" s="14" customFormat="1">
      <c r="A102" s="9"/>
      <c r="B102" s="16"/>
      <c r="C102" s="9"/>
      <c r="D102" s="9"/>
      <c r="E102" s="9"/>
      <c r="F102" s="9"/>
      <c r="G102" s="9"/>
      <c r="H102" s="9"/>
      <c r="I102" s="9"/>
      <c r="J102" s="9"/>
      <c r="K102" s="9"/>
      <c r="L102" s="9"/>
      <c r="M102" s="9"/>
      <c r="N102" s="9"/>
      <c r="O102" s="9"/>
      <c r="P102" s="9"/>
      <c r="Q102" s="9"/>
      <c r="R102" s="9"/>
      <c r="S102" s="9"/>
      <c r="T102" s="9"/>
      <c r="U102" s="9"/>
      <c r="V102" s="9"/>
      <c r="W102" s="9"/>
      <c r="Y102" s="5"/>
      <c r="Z102" s="9"/>
      <c r="AA102" s="9"/>
      <c r="AB102" s="9"/>
      <c r="AC102" s="9"/>
      <c r="AD102" s="9"/>
      <c r="AE102" s="9"/>
    </row>
    <row r="103" spans="1:31" s="14" customFormat="1">
      <c r="A103" s="9"/>
      <c r="B103" s="16"/>
      <c r="C103" s="9"/>
      <c r="D103" s="9"/>
      <c r="E103" s="9"/>
      <c r="F103" s="9"/>
      <c r="G103" s="9"/>
      <c r="H103" s="9"/>
      <c r="I103" s="9"/>
      <c r="J103" s="9"/>
      <c r="K103" s="9"/>
      <c r="L103" s="9"/>
      <c r="M103" s="9"/>
      <c r="N103" s="9"/>
      <c r="O103" s="9"/>
      <c r="P103" s="9"/>
      <c r="Q103" s="9"/>
      <c r="R103" s="9"/>
      <c r="S103" s="9"/>
      <c r="T103" s="9"/>
      <c r="U103" s="9"/>
      <c r="V103" s="9"/>
      <c r="W103" s="9"/>
      <c r="Y103" s="5"/>
      <c r="Z103" s="9"/>
      <c r="AA103" s="9"/>
      <c r="AB103" s="9"/>
      <c r="AC103" s="9"/>
      <c r="AD103" s="9"/>
      <c r="AE103" s="9"/>
    </row>
    <row r="104" spans="1:31" s="14" customFormat="1">
      <c r="A104" s="9"/>
      <c r="B104" s="16"/>
      <c r="C104" s="9"/>
      <c r="D104" s="9"/>
      <c r="E104" s="9"/>
      <c r="F104" s="9"/>
      <c r="G104" s="9"/>
      <c r="H104" s="9"/>
      <c r="I104" s="9"/>
      <c r="J104" s="9"/>
      <c r="K104" s="9"/>
      <c r="L104" s="9"/>
      <c r="M104" s="9"/>
      <c r="N104" s="9"/>
      <c r="O104" s="9"/>
      <c r="P104" s="9"/>
      <c r="Q104" s="9"/>
      <c r="R104" s="9"/>
      <c r="S104" s="9"/>
      <c r="T104" s="9"/>
      <c r="U104" s="9"/>
      <c r="V104" s="9"/>
      <c r="W104" s="9"/>
      <c r="Y104" s="5"/>
      <c r="Z104" s="9"/>
      <c r="AA104" s="9"/>
      <c r="AB104" s="9"/>
      <c r="AC104" s="9"/>
      <c r="AD104" s="9"/>
      <c r="AE104" s="9"/>
    </row>
    <row r="105" spans="1:31" s="14" customFormat="1">
      <c r="A105" s="9"/>
      <c r="B105" s="16"/>
      <c r="C105" s="9"/>
      <c r="D105" s="9"/>
      <c r="E105" s="9"/>
      <c r="F105" s="9"/>
      <c r="G105" s="9"/>
      <c r="H105" s="9"/>
      <c r="I105" s="9"/>
      <c r="J105" s="9"/>
      <c r="K105" s="9"/>
      <c r="L105" s="9"/>
      <c r="M105" s="9"/>
      <c r="N105" s="9"/>
      <c r="O105" s="9"/>
      <c r="P105" s="9"/>
      <c r="Q105" s="9"/>
      <c r="R105" s="9"/>
      <c r="S105" s="9"/>
      <c r="T105" s="9"/>
      <c r="U105" s="9"/>
      <c r="V105" s="9"/>
      <c r="W105" s="9"/>
      <c r="Y105" s="5"/>
      <c r="Z105" s="9"/>
      <c r="AA105" s="9"/>
      <c r="AB105" s="9"/>
      <c r="AC105" s="9"/>
      <c r="AD105" s="9"/>
      <c r="AE105" s="9"/>
    </row>
    <row r="106" spans="1:31" s="14" customFormat="1">
      <c r="A106" s="9"/>
      <c r="B106" s="16"/>
      <c r="C106" s="9"/>
      <c r="D106" s="9"/>
      <c r="E106" s="9"/>
      <c r="F106" s="9"/>
      <c r="G106" s="9"/>
      <c r="H106" s="9"/>
      <c r="I106" s="9"/>
      <c r="J106" s="9"/>
      <c r="K106" s="9"/>
      <c r="L106" s="9"/>
      <c r="M106" s="9"/>
      <c r="N106" s="9"/>
      <c r="O106" s="9"/>
      <c r="P106" s="9"/>
      <c r="Q106" s="9"/>
      <c r="R106" s="9"/>
      <c r="S106" s="9"/>
      <c r="T106" s="9"/>
      <c r="U106" s="9"/>
      <c r="V106" s="9"/>
      <c r="W106" s="9"/>
      <c r="Y106" s="5"/>
      <c r="Z106" s="9"/>
      <c r="AA106" s="9"/>
      <c r="AB106" s="9"/>
      <c r="AC106" s="9"/>
      <c r="AD106" s="9"/>
      <c r="AE106" s="9"/>
    </row>
    <row r="107" spans="1:31" s="14" customFormat="1">
      <c r="A107" s="9"/>
      <c r="B107" s="16"/>
      <c r="C107" s="9"/>
      <c r="D107" s="9"/>
      <c r="E107" s="9"/>
      <c r="F107" s="9"/>
      <c r="G107" s="9"/>
      <c r="H107" s="9"/>
      <c r="I107" s="9"/>
      <c r="J107" s="9"/>
      <c r="K107" s="9"/>
      <c r="L107" s="9"/>
      <c r="M107" s="9"/>
      <c r="N107" s="9"/>
      <c r="O107" s="9"/>
      <c r="P107" s="9"/>
      <c r="Q107" s="9"/>
      <c r="R107" s="9"/>
      <c r="S107" s="9"/>
      <c r="T107" s="9"/>
      <c r="U107" s="9"/>
      <c r="V107" s="9"/>
      <c r="W107" s="9"/>
      <c r="Y107" s="5"/>
      <c r="Z107" s="9"/>
      <c r="AA107" s="9"/>
      <c r="AB107" s="9"/>
      <c r="AC107" s="9"/>
      <c r="AD107" s="9"/>
      <c r="AE107" s="9"/>
    </row>
    <row r="108" spans="1:31" s="14" customFormat="1">
      <c r="A108" s="9"/>
      <c r="B108" s="16"/>
      <c r="C108" s="9"/>
      <c r="D108" s="9"/>
      <c r="E108" s="9"/>
      <c r="F108" s="9"/>
      <c r="G108" s="9"/>
      <c r="H108" s="9"/>
      <c r="I108" s="9"/>
      <c r="J108" s="9"/>
      <c r="K108" s="9"/>
      <c r="L108" s="9"/>
      <c r="M108" s="9"/>
      <c r="N108" s="9"/>
      <c r="O108" s="9"/>
      <c r="P108" s="9"/>
      <c r="Q108" s="9"/>
      <c r="R108" s="9"/>
      <c r="S108" s="9"/>
      <c r="T108" s="9"/>
      <c r="U108" s="9"/>
      <c r="V108" s="9"/>
      <c r="W108" s="9"/>
      <c r="Y108" s="5"/>
      <c r="Z108" s="9"/>
      <c r="AA108" s="9"/>
      <c r="AB108" s="9"/>
      <c r="AC108" s="9"/>
      <c r="AD108" s="9"/>
      <c r="AE108" s="9"/>
    </row>
    <row r="109" spans="1:31" s="14" customFormat="1">
      <c r="A109" s="9"/>
      <c r="B109" s="16"/>
      <c r="C109" s="9"/>
      <c r="D109" s="9"/>
      <c r="E109" s="9"/>
      <c r="F109" s="9"/>
      <c r="G109" s="9"/>
      <c r="H109" s="9"/>
      <c r="I109" s="9"/>
      <c r="J109" s="9"/>
      <c r="K109" s="9"/>
      <c r="L109" s="9"/>
      <c r="M109" s="9"/>
      <c r="N109" s="9"/>
      <c r="O109" s="9"/>
      <c r="P109" s="9"/>
      <c r="Q109" s="9"/>
      <c r="R109" s="9"/>
      <c r="S109" s="9"/>
      <c r="T109" s="9"/>
      <c r="U109" s="9"/>
      <c r="V109" s="9"/>
      <c r="W109" s="9"/>
      <c r="Y109" s="5"/>
      <c r="Z109" s="9"/>
      <c r="AA109" s="9"/>
      <c r="AB109" s="9"/>
      <c r="AC109" s="9"/>
      <c r="AD109" s="9"/>
      <c r="AE109" s="9"/>
    </row>
    <row r="110" spans="1:31" s="14" customFormat="1">
      <c r="A110" s="9"/>
      <c r="B110" s="16"/>
      <c r="C110" s="9"/>
      <c r="D110" s="9"/>
      <c r="E110" s="9"/>
      <c r="F110" s="9"/>
      <c r="G110" s="9"/>
      <c r="H110" s="9"/>
      <c r="I110" s="9"/>
      <c r="J110" s="9"/>
      <c r="K110" s="9"/>
      <c r="L110" s="9"/>
      <c r="M110" s="9"/>
      <c r="N110" s="9"/>
      <c r="O110" s="9"/>
      <c r="P110" s="9"/>
      <c r="Q110" s="9"/>
      <c r="R110" s="9"/>
      <c r="S110" s="9"/>
      <c r="T110" s="9"/>
      <c r="U110" s="9"/>
      <c r="V110" s="9"/>
      <c r="W110" s="9"/>
      <c r="Y110" s="5"/>
      <c r="Z110" s="9"/>
      <c r="AA110" s="9"/>
      <c r="AB110" s="9"/>
      <c r="AC110" s="9"/>
      <c r="AD110" s="9"/>
      <c r="AE110" s="9"/>
    </row>
    <row r="111" spans="1:31" s="14" customFormat="1">
      <c r="A111" s="9"/>
      <c r="B111" s="16"/>
      <c r="C111" s="9"/>
      <c r="D111" s="9"/>
      <c r="E111" s="9"/>
      <c r="F111" s="9"/>
      <c r="G111" s="9"/>
      <c r="H111" s="9"/>
      <c r="I111" s="9"/>
      <c r="J111" s="9"/>
      <c r="K111" s="9"/>
      <c r="L111" s="9"/>
      <c r="M111" s="9"/>
      <c r="N111" s="9"/>
      <c r="O111" s="9"/>
      <c r="P111" s="9"/>
      <c r="Q111" s="9"/>
      <c r="R111" s="9"/>
      <c r="S111" s="9"/>
      <c r="T111" s="9"/>
      <c r="U111" s="9"/>
      <c r="V111" s="9"/>
      <c r="W111" s="9"/>
      <c r="Y111" s="5"/>
      <c r="Z111" s="9"/>
      <c r="AA111" s="9"/>
      <c r="AB111" s="9"/>
      <c r="AC111" s="9"/>
      <c r="AD111" s="9"/>
      <c r="AE111" s="9"/>
    </row>
    <row r="112" spans="1:31" s="14" customFormat="1">
      <c r="A112" s="9"/>
      <c r="B112" s="16"/>
      <c r="C112" s="9"/>
      <c r="D112" s="9"/>
      <c r="E112" s="9"/>
      <c r="F112" s="9"/>
      <c r="G112" s="9"/>
      <c r="H112" s="9"/>
      <c r="I112" s="9"/>
      <c r="J112" s="9"/>
      <c r="K112" s="9"/>
      <c r="L112" s="9"/>
      <c r="M112" s="9"/>
      <c r="N112" s="9"/>
      <c r="O112" s="9"/>
      <c r="P112" s="9"/>
      <c r="Q112" s="9"/>
      <c r="R112" s="9"/>
      <c r="S112" s="9"/>
      <c r="T112" s="9"/>
      <c r="U112" s="9"/>
      <c r="V112" s="9"/>
      <c r="W112" s="9"/>
      <c r="Y112" s="5"/>
      <c r="Z112" s="9"/>
      <c r="AA112" s="9"/>
      <c r="AB112" s="9"/>
      <c r="AC112" s="9"/>
      <c r="AD112" s="9"/>
      <c r="AE112" s="9"/>
    </row>
    <row r="113" spans="1:31" s="14" customFormat="1">
      <c r="A113" s="9"/>
      <c r="B113" s="16"/>
      <c r="C113" s="9"/>
      <c r="D113" s="9"/>
      <c r="E113" s="9"/>
      <c r="F113" s="9"/>
      <c r="G113" s="9"/>
      <c r="H113" s="9"/>
      <c r="I113" s="9"/>
      <c r="J113" s="9"/>
      <c r="K113" s="9"/>
      <c r="L113" s="9"/>
      <c r="M113" s="9"/>
      <c r="N113" s="9"/>
      <c r="O113" s="9"/>
      <c r="P113" s="9"/>
      <c r="Q113" s="9"/>
      <c r="R113" s="9"/>
      <c r="S113" s="9"/>
      <c r="T113" s="9"/>
      <c r="U113" s="9"/>
      <c r="V113" s="9"/>
      <c r="W113" s="9"/>
      <c r="Y113" s="5"/>
      <c r="Z113" s="9"/>
      <c r="AA113" s="9"/>
      <c r="AB113" s="9"/>
      <c r="AC113" s="9"/>
      <c r="AD113" s="9"/>
      <c r="AE113" s="9"/>
    </row>
    <row r="114" spans="1:31" s="14" customFormat="1">
      <c r="A114" s="9"/>
      <c r="B114" s="16"/>
      <c r="C114" s="9"/>
      <c r="D114" s="9"/>
      <c r="E114" s="9"/>
      <c r="F114" s="9"/>
      <c r="G114" s="9"/>
      <c r="H114" s="9"/>
      <c r="I114" s="9"/>
      <c r="J114" s="9"/>
      <c r="K114" s="9"/>
      <c r="L114" s="9"/>
      <c r="M114" s="9"/>
      <c r="N114" s="9"/>
      <c r="O114" s="9"/>
      <c r="P114" s="9"/>
      <c r="Q114" s="9"/>
      <c r="R114" s="9"/>
      <c r="S114" s="9"/>
      <c r="T114" s="9"/>
      <c r="U114" s="9"/>
      <c r="V114" s="9"/>
      <c r="W114" s="9"/>
      <c r="Y114" s="5"/>
      <c r="Z114" s="9"/>
      <c r="AA114" s="9"/>
      <c r="AB114" s="9"/>
      <c r="AC114" s="9"/>
      <c r="AD114" s="9"/>
      <c r="AE114" s="9"/>
    </row>
    <row r="115" spans="1:31" s="14" customFormat="1">
      <c r="A115" s="9"/>
      <c r="B115" s="16"/>
      <c r="C115" s="9"/>
      <c r="D115" s="9"/>
      <c r="E115" s="9"/>
      <c r="F115" s="9"/>
      <c r="G115" s="9"/>
      <c r="H115" s="9"/>
      <c r="I115" s="9"/>
      <c r="J115" s="9"/>
      <c r="K115" s="9"/>
      <c r="L115" s="9"/>
      <c r="M115" s="9"/>
      <c r="N115" s="9"/>
      <c r="O115" s="9"/>
      <c r="P115" s="9"/>
      <c r="Q115" s="9"/>
      <c r="R115" s="9"/>
      <c r="S115" s="9"/>
      <c r="T115" s="9"/>
      <c r="U115" s="9"/>
      <c r="V115" s="9"/>
      <c r="W115" s="9"/>
      <c r="Y115" s="5"/>
      <c r="Z115" s="9"/>
      <c r="AA115" s="9"/>
      <c r="AB115" s="9"/>
      <c r="AC115" s="9"/>
      <c r="AD115" s="9"/>
      <c r="AE115" s="9"/>
    </row>
    <row r="116" spans="1:31" s="14" customFormat="1">
      <c r="A116" s="9"/>
      <c r="B116" s="16"/>
      <c r="C116" s="9"/>
      <c r="D116" s="9"/>
      <c r="E116" s="9"/>
      <c r="F116" s="9"/>
      <c r="G116" s="9"/>
      <c r="H116" s="9"/>
      <c r="I116" s="9"/>
      <c r="J116" s="9"/>
      <c r="K116" s="9"/>
      <c r="L116" s="9"/>
      <c r="M116" s="9"/>
      <c r="N116" s="9"/>
      <c r="O116" s="9"/>
      <c r="P116" s="9"/>
      <c r="Q116" s="9"/>
      <c r="R116" s="9"/>
      <c r="S116" s="9"/>
      <c r="T116" s="9"/>
      <c r="U116" s="9"/>
      <c r="V116" s="9"/>
      <c r="W116" s="9"/>
      <c r="Y116" s="5"/>
      <c r="Z116" s="9"/>
      <c r="AA116" s="9"/>
      <c r="AB116" s="9"/>
      <c r="AC116" s="9"/>
      <c r="AD116" s="9"/>
      <c r="AE116" s="9"/>
    </row>
    <row r="117" spans="1:31" s="14" customFormat="1">
      <c r="A117" s="9"/>
      <c r="B117" s="16"/>
      <c r="C117" s="9"/>
      <c r="D117" s="9"/>
      <c r="E117" s="9"/>
      <c r="F117" s="9"/>
      <c r="G117" s="9"/>
      <c r="H117" s="9"/>
      <c r="I117" s="9"/>
      <c r="J117" s="9"/>
      <c r="K117" s="9"/>
      <c r="L117" s="9"/>
      <c r="M117" s="9"/>
      <c r="N117" s="9"/>
      <c r="O117" s="9"/>
      <c r="P117" s="9"/>
      <c r="Q117" s="9"/>
      <c r="R117" s="9"/>
      <c r="S117" s="9"/>
      <c r="T117" s="9"/>
      <c r="U117" s="9"/>
      <c r="V117" s="9"/>
      <c r="W117" s="9"/>
      <c r="Y117" s="5"/>
      <c r="Z117" s="9"/>
      <c r="AA117" s="9"/>
      <c r="AB117" s="9"/>
      <c r="AC117" s="9"/>
      <c r="AD117" s="9"/>
      <c r="AE117" s="9"/>
    </row>
    <row r="118" spans="1:31" s="14" customFormat="1">
      <c r="A118" s="9"/>
      <c r="B118" s="16"/>
      <c r="C118" s="9"/>
      <c r="D118" s="9"/>
      <c r="E118" s="9"/>
      <c r="F118" s="9"/>
      <c r="G118" s="9"/>
      <c r="H118" s="9"/>
      <c r="I118" s="9"/>
      <c r="J118" s="9"/>
      <c r="K118" s="9"/>
      <c r="L118" s="9"/>
      <c r="M118" s="9"/>
      <c r="N118" s="9"/>
      <c r="O118" s="9"/>
      <c r="P118" s="9"/>
      <c r="Q118" s="9"/>
      <c r="R118" s="9"/>
      <c r="S118" s="9"/>
      <c r="T118" s="9"/>
      <c r="U118" s="9"/>
      <c r="V118" s="9"/>
      <c r="W118" s="9"/>
      <c r="Y118" s="5"/>
      <c r="Z118" s="9"/>
      <c r="AA118" s="9"/>
      <c r="AB118" s="9"/>
      <c r="AC118" s="9"/>
      <c r="AD118" s="9"/>
      <c r="AE118" s="9"/>
    </row>
    <row r="119" spans="1:31" s="14" customFormat="1">
      <c r="A119" s="9"/>
      <c r="B119" s="16"/>
      <c r="C119" s="9"/>
      <c r="D119" s="9"/>
      <c r="E119" s="9"/>
      <c r="F119" s="9"/>
      <c r="G119" s="9"/>
      <c r="H119" s="9"/>
      <c r="I119" s="9"/>
      <c r="J119" s="9"/>
      <c r="K119" s="9"/>
      <c r="L119" s="9"/>
      <c r="M119" s="9"/>
      <c r="N119" s="9"/>
      <c r="O119" s="9"/>
      <c r="P119" s="9"/>
      <c r="Q119" s="9"/>
      <c r="R119" s="9"/>
      <c r="S119" s="9"/>
      <c r="T119" s="9"/>
      <c r="U119" s="9"/>
      <c r="V119" s="9"/>
      <c r="W119" s="9"/>
      <c r="Y119" s="5"/>
      <c r="Z119" s="9"/>
      <c r="AA119" s="9"/>
      <c r="AB119" s="9"/>
      <c r="AC119" s="9"/>
      <c r="AD119" s="9"/>
      <c r="AE119" s="9"/>
    </row>
    <row r="120" spans="1:31" s="14" customFormat="1">
      <c r="A120" s="9"/>
      <c r="B120" s="16"/>
      <c r="C120" s="9"/>
      <c r="D120" s="9"/>
      <c r="E120" s="9"/>
      <c r="F120" s="9"/>
      <c r="G120" s="9"/>
      <c r="H120" s="9"/>
      <c r="I120" s="9"/>
      <c r="J120" s="9"/>
      <c r="K120" s="9"/>
      <c r="L120" s="9"/>
      <c r="M120" s="9"/>
      <c r="N120" s="9"/>
      <c r="O120" s="9"/>
      <c r="P120" s="9"/>
      <c r="Q120" s="9"/>
      <c r="R120" s="9"/>
      <c r="S120" s="9"/>
      <c r="T120" s="9"/>
      <c r="U120" s="9"/>
      <c r="V120" s="9"/>
      <c r="W120" s="9"/>
      <c r="Y120" s="5"/>
      <c r="Z120" s="9"/>
      <c r="AA120" s="9"/>
      <c r="AB120" s="9"/>
      <c r="AC120" s="9"/>
      <c r="AD120" s="9"/>
      <c r="AE120" s="9"/>
    </row>
    <row r="121" spans="1:31" s="14" customFormat="1">
      <c r="A121" s="9"/>
      <c r="B121" s="16"/>
      <c r="C121" s="9"/>
      <c r="D121" s="9"/>
      <c r="E121" s="9"/>
      <c r="F121" s="9"/>
      <c r="G121" s="9"/>
      <c r="H121" s="9"/>
      <c r="I121" s="9"/>
      <c r="J121" s="9"/>
      <c r="K121" s="9"/>
      <c r="L121" s="9"/>
      <c r="M121" s="9"/>
      <c r="N121" s="9"/>
      <c r="O121" s="9"/>
      <c r="P121" s="9"/>
      <c r="Q121" s="9"/>
      <c r="R121" s="9"/>
      <c r="S121" s="9"/>
      <c r="T121" s="9"/>
      <c r="U121" s="9"/>
      <c r="V121" s="9"/>
      <c r="W121" s="9"/>
      <c r="Y121" s="5"/>
      <c r="Z121" s="9"/>
      <c r="AA121" s="9"/>
      <c r="AB121" s="9"/>
      <c r="AC121" s="9"/>
      <c r="AD121" s="9"/>
      <c r="AE121" s="9"/>
    </row>
    <row r="122" spans="1:31" s="14" customFormat="1">
      <c r="A122" s="9"/>
      <c r="B122" s="16"/>
      <c r="C122" s="9"/>
      <c r="D122" s="9"/>
      <c r="E122" s="9"/>
      <c r="F122" s="9"/>
      <c r="G122" s="9"/>
      <c r="H122" s="9"/>
      <c r="I122" s="9"/>
      <c r="J122" s="9"/>
      <c r="K122" s="9"/>
      <c r="L122" s="9"/>
      <c r="M122" s="9"/>
      <c r="N122" s="9"/>
      <c r="O122" s="9"/>
      <c r="P122" s="9"/>
      <c r="Q122" s="9"/>
      <c r="R122" s="9"/>
      <c r="S122" s="9"/>
      <c r="T122" s="9"/>
      <c r="U122" s="9"/>
      <c r="V122" s="9"/>
      <c r="W122" s="9"/>
      <c r="Y122" s="5"/>
      <c r="Z122" s="9"/>
      <c r="AA122" s="9"/>
      <c r="AB122" s="9"/>
      <c r="AC122" s="9"/>
      <c r="AD122" s="9"/>
      <c r="AE122" s="9"/>
    </row>
    <row r="123" spans="1:31" s="14" customFormat="1">
      <c r="A123" s="9"/>
      <c r="B123" s="16"/>
      <c r="C123" s="9"/>
      <c r="D123" s="9"/>
      <c r="E123" s="9"/>
      <c r="F123" s="9"/>
      <c r="G123" s="9"/>
      <c r="H123" s="9"/>
      <c r="I123" s="9"/>
      <c r="J123" s="9"/>
      <c r="K123" s="9"/>
      <c r="L123" s="9"/>
      <c r="M123" s="9"/>
      <c r="N123" s="9"/>
      <c r="O123" s="9"/>
      <c r="P123" s="9"/>
      <c r="Q123" s="9"/>
      <c r="R123" s="9"/>
      <c r="S123" s="9"/>
      <c r="T123" s="9"/>
      <c r="U123" s="9"/>
      <c r="V123" s="9"/>
      <c r="W123" s="9"/>
      <c r="Y123" s="5"/>
      <c r="Z123" s="9"/>
      <c r="AA123" s="9"/>
      <c r="AB123" s="9"/>
      <c r="AC123" s="9"/>
      <c r="AD123" s="9"/>
      <c r="AE123" s="9"/>
    </row>
    <row r="124" spans="1:31" s="14" customFormat="1">
      <c r="A124" s="9"/>
      <c r="B124" s="16"/>
      <c r="C124" s="9"/>
      <c r="D124" s="9"/>
      <c r="E124" s="9"/>
      <c r="F124" s="9"/>
      <c r="G124" s="9"/>
      <c r="H124" s="9"/>
      <c r="I124" s="9"/>
      <c r="J124" s="9"/>
      <c r="K124" s="9"/>
      <c r="L124" s="9"/>
      <c r="M124" s="9"/>
      <c r="N124" s="9"/>
      <c r="O124" s="9"/>
      <c r="P124" s="9"/>
      <c r="Q124" s="9"/>
      <c r="R124" s="9"/>
      <c r="S124" s="9"/>
      <c r="T124" s="9"/>
      <c r="U124" s="9"/>
      <c r="V124" s="9"/>
      <c r="W124" s="9"/>
      <c r="Y124" s="5"/>
      <c r="Z124" s="9"/>
      <c r="AA124" s="9"/>
      <c r="AB124" s="9"/>
      <c r="AC124" s="9"/>
      <c r="AD124" s="9"/>
      <c r="AE124" s="9"/>
    </row>
    <row r="125" spans="1:31" s="14" customFormat="1">
      <c r="A125" s="9"/>
      <c r="B125" s="16"/>
      <c r="C125" s="9"/>
      <c r="D125" s="9"/>
      <c r="E125" s="9"/>
      <c r="F125" s="9"/>
      <c r="G125" s="9"/>
      <c r="H125" s="9"/>
      <c r="I125" s="9"/>
      <c r="J125" s="9"/>
      <c r="K125" s="9"/>
      <c r="L125" s="9"/>
      <c r="M125" s="9"/>
      <c r="N125" s="9"/>
      <c r="O125" s="9"/>
      <c r="P125" s="9"/>
      <c r="Q125" s="9"/>
      <c r="R125" s="9"/>
      <c r="S125" s="9"/>
      <c r="T125" s="9"/>
      <c r="U125" s="9"/>
      <c r="V125" s="9"/>
      <c r="W125" s="9"/>
      <c r="Y125" s="5"/>
      <c r="Z125" s="9"/>
      <c r="AA125" s="9"/>
      <c r="AB125" s="9"/>
      <c r="AC125" s="9"/>
      <c r="AD125" s="9"/>
      <c r="AE125" s="9"/>
    </row>
    <row r="126" spans="1:31" s="14" customFormat="1">
      <c r="A126" s="9"/>
      <c r="B126" s="16"/>
      <c r="C126" s="9"/>
      <c r="D126" s="9"/>
      <c r="E126" s="9"/>
      <c r="F126" s="9"/>
      <c r="G126" s="9"/>
      <c r="H126" s="9"/>
      <c r="I126" s="9"/>
      <c r="J126" s="9"/>
      <c r="K126" s="9"/>
      <c r="L126" s="9"/>
      <c r="M126" s="9"/>
      <c r="N126" s="9"/>
      <c r="O126" s="9"/>
      <c r="P126" s="9"/>
      <c r="Q126" s="9"/>
      <c r="R126" s="9"/>
      <c r="S126" s="9"/>
      <c r="T126" s="9"/>
      <c r="U126" s="9"/>
      <c r="V126" s="9"/>
      <c r="W126" s="9"/>
      <c r="Y126" s="5"/>
      <c r="Z126" s="9"/>
      <c r="AA126" s="9"/>
      <c r="AB126" s="9"/>
      <c r="AC126" s="9"/>
      <c r="AD126" s="9"/>
      <c r="AE126" s="9"/>
    </row>
    <row r="127" spans="1:31" s="14" customFormat="1">
      <c r="A127" s="9"/>
      <c r="B127" s="16"/>
      <c r="C127" s="9"/>
      <c r="D127" s="9"/>
      <c r="E127" s="9"/>
      <c r="F127" s="9"/>
      <c r="G127" s="9"/>
      <c r="H127" s="9"/>
      <c r="I127" s="9"/>
      <c r="J127" s="9"/>
      <c r="K127" s="9"/>
      <c r="L127" s="9"/>
      <c r="M127" s="9"/>
      <c r="N127" s="9"/>
      <c r="O127" s="9"/>
      <c r="P127" s="9"/>
      <c r="Q127" s="9"/>
      <c r="R127" s="9"/>
      <c r="S127" s="9"/>
      <c r="T127" s="9"/>
      <c r="U127" s="9"/>
      <c r="V127" s="9"/>
      <c r="W127" s="9"/>
      <c r="Y127" s="5"/>
      <c r="Z127" s="9"/>
      <c r="AA127" s="9"/>
      <c r="AB127" s="9"/>
      <c r="AC127" s="9"/>
      <c r="AD127" s="9"/>
      <c r="AE127" s="9"/>
    </row>
    <row r="128" spans="1:31" s="14" customFormat="1">
      <c r="A128" s="9"/>
      <c r="B128" s="16"/>
      <c r="C128" s="9"/>
      <c r="D128" s="9"/>
      <c r="E128" s="9"/>
      <c r="F128" s="9"/>
      <c r="G128" s="9"/>
      <c r="H128" s="9"/>
      <c r="I128" s="9"/>
      <c r="J128" s="9"/>
      <c r="K128" s="9"/>
      <c r="L128" s="9"/>
      <c r="M128" s="9"/>
      <c r="N128" s="9"/>
      <c r="O128" s="9"/>
      <c r="P128" s="9"/>
      <c r="Q128" s="9"/>
      <c r="R128" s="9"/>
      <c r="S128" s="9"/>
      <c r="T128" s="9"/>
      <c r="U128" s="9"/>
      <c r="V128" s="9"/>
      <c r="W128" s="9"/>
      <c r="Y128" s="5"/>
      <c r="Z128" s="9"/>
      <c r="AA128" s="9"/>
      <c r="AB128" s="9"/>
      <c r="AC128" s="9"/>
      <c r="AD128" s="9"/>
      <c r="AE128" s="9"/>
    </row>
    <row r="129" spans="1:31" s="14" customFormat="1">
      <c r="A129" s="9"/>
      <c r="B129" s="16"/>
      <c r="C129" s="9"/>
      <c r="D129" s="9"/>
      <c r="E129" s="9"/>
      <c r="F129" s="9"/>
      <c r="G129" s="9"/>
      <c r="H129" s="9"/>
      <c r="I129" s="9"/>
      <c r="J129" s="9"/>
      <c r="K129" s="9"/>
      <c r="L129" s="9"/>
      <c r="M129" s="9"/>
      <c r="N129" s="9"/>
      <c r="O129" s="9"/>
      <c r="P129" s="9"/>
      <c r="Q129" s="9"/>
      <c r="R129" s="9"/>
      <c r="S129" s="9"/>
      <c r="T129" s="9"/>
      <c r="U129" s="9"/>
      <c r="V129" s="9"/>
      <c r="W129" s="9"/>
      <c r="Y129" s="5"/>
      <c r="Z129" s="9"/>
      <c r="AA129" s="9"/>
      <c r="AB129" s="9"/>
      <c r="AC129" s="9"/>
      <c r="AD129" s="9"/>
      <c r="AE129" s="9"/>
    </row>
    <row r="130" spans="1:31" s="14" customFormat="1">
      <c r="A130" s="9"/>
      <c r="B130" s="16"/>
      <c r="C130" s="9"/>
      <c r="D130" s="9"/>
      <c r="E130" s="9"/>
      <c r="F130" s="9"/>
      <c r="G130" s="9"/>
      <c r="H130" s="9"/>
      <c r="I130" s="9"/>
      <c r="J130" s="9"/>
      <c r="K130" s="9"/>
      <c r="L130" s="9"/>
      <c r="M130" s="9"/>
      <c r="N130" s="9"/>
      <c r="O130" s="9"/>
      <c r="P130" s="9"/>
      <c r="Q130" s="9"/>
      <c r="R130" s="9"/>
      <c r="S130" s="9"/>
      <c r="T130" s="9"/>
      <c r="U130" s="9"/>
      <c r="V130" s="9"/>
      <c r="W130" s="9"/>
      <c r="Y130" s="5"/>
      <c r="Z130" s="9"/>
      <c r="AA130" s="9"/>
      <c r="AB130" s="9"/>
      <c r="AC130" s="9"/>
      <c r="AD130" s="9"/>
      <c r="AE130" s="9"/>
    </row>
    <row r="131" spans="1:31" s="14" customFormat="1">
      <c r="A131" s="9"/>
      <c r="B131" s="16"/>
      <c r="C131" s="9"/>
      <c r="D131" s="9"/>
      <c r="E131" s="9"/>
      <c r="F131" s="9"/>
      <c r="G131" s="9"/>
      <c r="H131" s="9"/>
      <c r="I131" s="9"/>
      <c r="J131" s="9"/>
      <c r="K131" s="9"/>
      <c r="L131" s="9"/>
      <c r="M131" s="9"/>
      <c r="N131" s="9"/>
      <c r="O131" s="9"/>
      <c r="P131" s="9"/>
      <c r="Q131" s="9"/>
      <c r="R131" s="9"/>
      <c r="S131" s="9"/>
      <c r="T131" s="9"/>
      <c r="U131" s="9"/>
      <c r="V131" s="9"/>
      <c r="W131" s="9"/>
      <c r="Y131" s="5"/>
      <c r="Z131" s="9"/>
      <c r="AA131" s="9"/>
      <c r="AB131" s="9"/>
      <c r="AC131" s="9"/>
      <c r="AD131" s="9"/>
      <c r="AE131" s="9"/>
    </row>
  </sheetData>
  <sheetProtection formatColumns="0" formatRows="0" insertRows="0" autoFilter="0"/>
  <dataValidations disablePrompts="1" count="1">
    <dataValidation type="list" allowBlank="1" showInputMessage="1" showErrorMessage="1" prompt="Select US Costs or Incountry Costs as appropriate" sqref="A31" xr:uid="{00000000-0002-0000-0200-000000000000}">
      <formula1>#REF!</formula1>
    </dataValidation>
  </dataValidations>
  <pageMargins left="0.5" right="0.5" top="0.5" bottom="0.5" header="0" footer="0.25"/>
  <pageSetup scale="61" fitToHeight="0" orientation="landscape" r:id="rId1"/>
  <headerFooter scaleWithDoc="0" alignWithMargins="0">
    <oddFooter>&amp;LUse or disclosure of data contained on this sheet is subject to the restriction on the proprietary statement of this proposal.&amp;RJhpiego, Page &amp;P of &amp;N</oddFooter>
  </headerFooter>
  <rowBreaks count="1" manualBreakCount="1">
    <brk id="29"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54"/>
  <sheetViews>
    <sheetView zoomScale="70" zoomScaleNormal="60" zoomScaleSheetLayoutView="85" workbookViewId="0">
      <pane xSplit="2" ySplit="9" topLeftCell="C10" activePane="bottomRight" state="frozen"/>
      <selection pane="topRight" activeCell="G20" sqref="G20"/>
      <selection pane="bottomLeft" activeCell="G20" sqref="G20"/>
      <selection pane="bottomRight" activeCell="W28" sqref="W28"/>
    </sheetView>
  </sheetViews>
  <sheetFormatPr defaultColWidth="8.71875" defaultRowHeight="15"/>
  <cols>
    <col min="1" max="1" width="8.27734375" style="175" hidden="1" customWidth="1"/>
    <col min="2" max="2" width="54.71875" style="178" bestFit="1" customWidth="1"/>
    <col min="3" max="3" width="17.71875" style="177" bestFit="1" customWidth="1"/>
    <col min="4" max="4" width="5.71875" style="177" hidden="1" customWidth="1"/>
    <col min="5" max="5" width="2.71875" style="177" hidden="1" customWidth="1"/>
    <col min="6" max="6" width="18" style="177" bestFit="1" customWidth="1"/>
    <col min="7" max="7" width="5.71875" style="177" hidden="1" customWidth="1"/>
    <col min="8" max="8" width="2.71875" style="177" hidden="1" customWidth="1"/>
    <col min="9" max="9" width="18.5546875" style="177" bestFit="1" customWidth="1"/>
    <col min="10" max="10" width="5.71875" style="177" hidden="1" customWidth="1"/>
    <col min="11" max="11" width="2.71875" style="177" hidden="1" customWidth="1"/>
    <col min="12" max="12" width="18.71875" style="177" bestFit="1" customWidth="1"/>
    <col min="13" max="13" width="5.71875" style="177" hidden="1" customWidth="1"/>
    <col min="14" max="14" width="2.71875" style="177" hidden="1" customWidth="1"/>
    <col min="15" max="15" width="18.27734375" style="177" bestFit="1" customWidth="1"/>
    <col min="16" max="17" width="5.71875" style="177" hidden="1" customWidth="1"/>
    <col min="18" max="18" width="2.71875" style="177" hidden="1" customWidth="1"/>
    <col min="19" max="19" width="19.27734375" style="177" bestFit="1" customWidth="1"/>
    <col min="20" max="258" width="9.27734375" style="178"/>
    <col min="259" max="259" width="0" style="178" hidden="1" customWidth="1"/>
    <col min="260" max="260" width="54.71875" style="178" bestFit="1" customWidth="1"/>
    <col min="261" max="261" width="17.71875" style="178" bestFit="1" customWidth="1"/>
    <col min="262" max="263" width="0" style="178" hidden="1" customWidth="1"/>
    <col min="264" max="264" width="18" style="178" bestFit="1" customWidth="1"/>
    <col min="265" max="266" width="0" style="178" hidden="1" customWidth="1"/>
    <col min="267" max="267" width="18.5546875" style="178" bestFit="1" customWidth="1"/>
    <col min="268" max="269" width="0" style="178" hidden="1" customWidth="1"/>
    <col min="270" max="270" width="18.71875" style="178" bestFit="1" customWidth="1"/>
    <col min="271" max="272" width="0" style="178" hidden="1" customWidth="1"/>
    <col min="273" max="273" width="18.27734375" style="178" bestFit="1" customWidth="1"/>
    <col min="274" max="274" width="0" style="178" hidden="1" customWidth="1"/>
    <col min="275" max="275" width="19.27734375" style="178" bestFit="1" customWidth="1"/>
    <col min="276" max="514" width="9.27734375" style="178"/>
    <col min="515" max="515" width="0" style="178" hidden="1" customWidth="1"/>
    <col min="516" max="516" width="54.71875" style="178" bestFit="1" customWidth="1"/>
    <col min="517" max="517" width="17.71875" style="178" bestFit="1" customWidth="1"/>
    <col min="518" max="519" width="0" style="178" hidden="1" customWidth="1"/>
    <col min="520" max="520" width="18" style="178" bestFit="1" customWidth="1"/>
    <col min="521" max="522" width="0" style="178" hidden="1" customWidth="1"/>
    <col min="523" max="523" width="18.5546875" style="178" bestFit="1" customWidth="1"/>
    <col min="524" max="525" width="0" style="178" hidden="1" customWidth="1"/>
    <col min="526" max="526" width="18.71875" style="178" bestFit="1" customWidth="1"/>
    <col min="527" max="528" width="0" style="178" hidden="1" customWidth="1"/>
    <col min="529" max="529" width="18.27734375" style="178" bestFit="1" customWidth="1"/>
    <col min="530" max="530" width="0" style="178" hidden="1" customWidth="1"/>
    <col min="531" max="531" width="19.27734375" style="178" bestFit="1" customWidth="1"/>
    <col min="532" max="770" width="9.27734375" style="178"/>
    <col min="771" max="771" width="0" style="178" hidden="1" customWidth="1"/>
    <col min="772" max="772" width="54.71875" style="178" bestFit="1" customWidth="1"/>
    <col min="773" max="773" width="17.71875" style="178" bestFit="1" customWidth="1"/>
    <col min="774" max="775" width="0" style="178" hidden="1" customWidth="1"/>
    <col min="776" max="776" width="18" style="178" bestFit="1" customWidth="1"/>
    <col min="777" max="778" width="0" style="178" hidden="1" customWidth="1"/>
    <col min="779" max="779" width="18.5546875" style="178" bestFit="1" customWidth="1"/>
    <col min="780" max="781" width="0" style="178" hidden="1" customWidth="1"/>
    <col min="782" max="782" width="18.71875" style="178" bestFit="1" customWidth="1"/>
    <col min="783" max="784" width="0" style="178" hidden="1" customWidth="1"/>
    <col min="785" max="785" width="18.27734375" style="178" bestFit="1" customWidth="1"/>
    <col min="786" max="786" width="0" style="178" hidden="1" customWidth="1"/>
    <col min="787" max="787" width="19.27734375" style="178" bestFit="1" customWidth="1"/>
    <col min="788" max="1026" width="9.27734375" style="178"/>
    <col min="1027" max="1027" width="0" style="178" hidden="1" customWidth="1"/>
    <col min="1028" max="1028" width="54.71875" style="178" bestFit="1" customWidth="1"/>
    <col min="1029" max="1029" width="17.71875" style="178" bestFit="1" customWidth="1"/>
    <col min="1030" max="1031" width="0" style="178" hidden="1" customWidth="1"/>
    <col min="1032" max="1032" width="18" style="178" bestFit="1" customWidth="1"/>
    <col min="1033" max="1034" width="0" style="178" hidden="1" customWidth="1"/>
    <col min="1035" max="1035" width="18.5546875" style="178" bestFit="1" customWidth="1"/>
    <col min="1036" max="1037" width="0" style="178" hidden="1" customWidth="1"/>
    <col min="1038" max="1038" width="18.71875" style="178" bestFit="1" customWidth="1"/>
    <col min="1039" max="1040" width="0" style="178" hidden="1" customWidth="1"/>
    <col min="1041" max="1041" width="18.27734375" style="178" bestFit="1" customWidth="1"/>
    <col min="1042" max="1042" width="0" style="178" hidden="1" customWidth="1"/>
    <col min="1043" max="1043" width="19.27734375" style="178" bestFit="1" customWidth="1"/>
    <col min="1044" max="1282" width="9.27734375" style="178"/>
    <col min="1283" max="1283" width="0" style="178" hidden="1" customWidth="1"/>
    <col min="1284" max="1284" width="54.71875" style="178" bestFit="1" customWidth="1"/>
    <col min="1285" max="1285" width="17.71875" style="178" bestFit="1" customWidth="1"/>
    <col min="1286" max="1287" width="0" style="178" hidden="1" customWidth="1"/>
    <col min="1288" max="1288" width="18" style="178" bestFit="1" customWidth="1"/>
    <col min="1289" max="1290" width="0" style="178" hidden="1" customWidth="1"/>
    <col min="1291" max="1291" width="18.5546875" style="178" bestFit="1" customWidth="1"/>
    <col min="1292" max="1293" width="0" style="178" hidden="1" customWidth="1"/>
    <col min="1294" max="1294" width="18.71875" style="178" bestFit="1" customWidth="1"/>
    <col min="1295" max="1296" width="0" style="178" hidden="1" customWidth="1"/>
    <col min="1297" max="1297" width="18.27734375" style="178" bestFit="1" customWidth="1"/>
    <col min="1298" max="1298" width="0" style="178" hidden="1" customWidth="1"/>
    <col min="1299" max="1299" width="19.27734375" style="178" bestFit="1" customWidth="1"/>
    <col min="1300" max="1538" width="9.27734375" style="178"/>
    <col min="1539" max="1539" width="0" style="178" hidden="1" customWidth="1"/>
    <col min="1540" max="1540" width="54.71875" style="178" bestFit="1" customWidth="1"/>
    <col min="1541" max="1541" width="17.71875" style="178" bestFit="1" customWidth="1"/>
    <col min="1542" max="1543" width="0" style="178" hidden="1" customWidth="1"/>
    <col min="1544" max="1544" width="18" style="178" bestFit="1" customWidth="1"/>
    <col min="1545" max="1546" width="0" style="178" hidden="1" customWidth="1"/>
    <col min="1547" max="1547" width="18.5546875" style="178" bestFit="1" customWidth="1"/>
    <col min="1548" max="1549" width="0" style="178" hidden="1" customWidth="1"/>
    <col min="1550" max="1550" width="18.71875" style="178" bestFit="1" customWidth="1"/>
    <col min="1551" max="1552" width="0" style="178" hidden="1" customWidth="1"/>
    <col min="1553" max="1553" width="18.27734375" style="178" bestFit="1" customWidth="1"/>
    <col min="1554" max="1554" width="0" style="178" hidden="1" customWidth="1"/>
    <col min="1555" max="1555" width="19.27734375" style="178" bestFit="1" customWidth="1"/>
    <col min="1556" max="1794" width="9.27734375" style="178"/>
    <col min="1795" max="1795" width="0" style="178" hidden="1" customWidth="1"/>
    <col min="1796" max="1796" width="54.71875" style="178" bestFit="1" customWidth="1"/>
    <col min="1797" max="1797" width="17.71875" style="178" bestFit="1" customWidth="1"/>
    <col min="1798" max="1799" width="0" style="178" hidden="1" customWidth="1"/>
    <col min="1800" max="1800" width="18" style="178" bestFit="1" customWidth="1"/>
    <col min="1801" max="1802" width="0" style="178" hidden="1" customWidth="1"/>
    <col min="1803" max="1803" width="18.5546875" style="178" bestFit="1" customWidth="1"/>
    <col min="1804" max="1805" width="0" style="178" hidden="1" customWidth="1"/>
    <col min="1806" max="1806" width="18.71875" style="178" bestFit="1" customWidth="1"/>
    <col min="1807" max="1808" width="0" style="178" hidden="1" customWidth="1"/>
    <col min="1809" max="1809" width="18.27734375" style="178" bestFit="1" customWidth="1"/>
    <col min="1810" max="1810" width="0" style="178" hidden="1" customWidth="1"/>
    <col min="1811" max="1811" width="19.27734375" style="178" bestFit="1" customWidth="1"/>
    <col min="1812" max="2050" width="9.27734375" style="178"/>
    <col min="2051" max="2051" width="0" style="178" hidden="1" customWidth="1"/>
    <col min="2052" max="2052" width="54.71875" style="178" bestFit="1" customWidth="1"/>
    <col min="2053" max="2053" width="17.71875" style="178" bestFit="1" customWidth="1"/>
    <col min="2054" max="2055" width="0" style="178" hidden="1" customWidth="1"/>
    <col min="2056" max="2056" width="18" style="178" bestFit="1" customWidth="1"/>
    <col min="2057" max="2058" width="0" style="178" hidden="1" customWidth="1"/>
    <col min="2059" max="2059" width="18.5546875" style="178" bestFit="1" customWidth="1"/>
    <col min="2060" max="2061" width="0" style="178" hidden="1" customWidth="1"/>
    <col min="2062" max="2062" width="18.71875" style="178" bestFit="1" customWidth="1"/>
    <col min="2063" max="2064" width="0" style="178" hidden="1" customWidth="1"/>
    <col min="2065" max="2065" width="18.27734375" style="178" bestFit="1" customWidth="1"/>
    <col min="2066" max="2066" width="0" style="178" hidden="1" customWidth="1"/>
    <col min="2067" max="2067" width="19.27734375" style="178" bestFit="1" customWidth="1"/>
    <col min="2068" max="2306" width="9.27734375" style="178"/>
    <col min="2307" max="2307" width="0" style="178" hidden="1" customWidth="1"/>
    <col min="2308" max="2308" width="54.71875" style="178" bestFit="1" customWidth="1"/>
    <col min="2309" max="2309" width="17.71875" style="178" bestFit="1" customWidth="1"/>
    <col min="2310" max="2311" width="0" style="178" hidden="1" customWidth="1"/>
    <col min="2312" max="2312" width="18" style="178" bestFit="1" customWidth="1"/>
    <col min="2313" max="2314" width="0" style="178" hidden="1" customWidth="1"/>
    <col min="2315" max="2315" width="18.5546875" style="178" bestFit="1" customWidth="1"/>
    <col min="2316" max="2317" width="0" style="178" hidden="1" customWidth="1"/>
    <col min="2318" max="2318" width="18.71875" style="178" bestFit="1" customWidth="1"/>
    <col min="2319" max="2320" width="0" style="178" hidden="1" customWidth="1"/>
    <col min="2321" max="2321" width="18.27734375" style="178" bestFit="1" customWidth="1"/>
    <col min="2322" max="2322" width="0" style="178" hidden="1" customWidth="1"/>
    <col min="2323" max="2323" width="19.27734375" style="178" bestFit="1" customWidth="1"/>
    <col min="2324" max="2562" width="9.27734375" style="178"/>
    <col min="2563" max="2563" width="0" style="178" hidden="1" customWidth="1"/>
    <col min="2564" max="2564" width="54.71875" style="178" bestFit="1" customWidth="1"/>
    <col min="2565" max="2565" width="17.71875" style="178" bestFit="1" customWidth="1"/>
    <col min="2566" max="2567" width="0" style="178" hidden="1" customWidth="1"/>
    <col min="2568" max="2568" width="18" style="178" bestFit="1" customWidth="1"/>
    <col min="2569" max="2570" width="0" style="178" hidden="1" customWidth="1"/>
    <col min="2571" max="2571" width="18.5546875" style="178" bestFit="1" customWidth="1"/>
    <col min="2572" max="2573" width="0" style="178" hidden="1" customWidth="1"/>
    <col min="2574" max="2574" width="18.71875" style="178" bestFit="1" customWidth="1"/>
    <col min="2575" max="2576" width="0" style="178" hidden="1" customWidth="1"/>
    <col min="2577" max="2577" width="18.27734375" style="178" bestFit="1" customWidth="1"/>
    <col min="2578" max="2578" width="0" style="178" hidden="1" customWidth="1"/>
    <col min="2579" max="2579" width="19.27734375" style="178" bestFit="1" customWidth="1"/>
    <col min="2580" max="2818" width="9.27734375" style="178"/>
    <col min="2819" max="2819" width="0" style="178" hidden="1" customWidth="1"/>
    <col min="2820" max="2820" width="54.71875" style="178" bestFit="1" customWidth="1"/>
    <col min="2821" max="2821" width="17.71875" style="178" bestFit="1" customWidth="1"/>
    <col min="2822" max="2823" width="0" style="178" hidden="1" customWidth="1"/>
    <col min="2824" max="2824" width="18" style="178" bestFit="1" customWidth="1"/>
    <col min="2825" max="2826" width="0" style="178" hidden="1" customWidth="1"/>
    <col min="2827" max="2827" width="18.5546875" style="178" bestFit="1" customWidth="1"/>
    <col min="2828" max="2829" width="0" style="178" hidden="1" customWidth="1"/>
    <col min="2830" max="2830" width="18.71875" style="178" bestFit="1" customWidth="1"/>
    <col min="2831" max="2832" width="0" style="178" hidden="1" customWidth="1"/>
    <col min="2833" max="2833" width="18.27734375" style="178" bestFit="1" customWidth="1"/>
    <col min="2834" max="2834" width="0" style="178" hidden="1" customWidth="1"/>
    <col min="2835" max="2835" width="19.27734375" style="178" bestFit="1" customWidth="1"/>
    <col min="2836" max="3074" width="9.27734375" style="178"/>
    <col min="3075" max="3075" width="0" style="178" hidden="1" customWidth="1"/>
    <col min="3076" max="3076" width="54.71875" style="178" bestFit="1" customWidth="1"/>
    <col min="3077" max="3077" width="17.71875" style="178" bestFit="1" customWidth="1"/>
    <col min="3078" max="3079" width="0" style="178" hidden="1" customWidth="1"/>
    <col min="3080" max="3080" width="18" style="178" bestFit="1" customWidth="1"/>
    <col min="3081" max="3082" width="0" style="178" hidden="1" customWidth="1"/>
    <col min="3083" max="3083" width="18.5546875" style="178" bestFit="1" customWidth="1"/>
    <col min="3084" max="3085" width="0" style="178" hidden="1" customWidth="1"/>
    <col min="3086" max="3086" width="18.71875" style="178" bestFit="1" customWidth="1"/>
    <col min="3087" max="3088" width="0" style="178" hidden="1" customWidth="1"/>
    <col min="3089" max="3089" width="18.27734375" style="178" bestFit="1" customWidth="1"/>
    <col min="3090" max="3090" width="0" style="178" hidden="1" customWidth="1"/>
    <col min="3091" max="3091" width="19.27734375" style="178" bestFit="1" customWidth="1"/>
    <col min="3092" max="3330" width="9.27734375" style="178"/>
    <col min="3331" max="3331" width="0" style="178" hidden="1" customWidth="1"/>
    <col min="3332" max="3332" width="54.71875" style="178" bestFit="1" customWidth="1"/>
    <col min="3333" max="3333" width="17.71875" style="178" bestFit="1" customWidth="1"/>
    <col min="3334" max="3335" width="0" style="178" hidden="1" customWidth="1"/>
    <col min="3336" max="3336" width="18" style="178" bestFit="1" customWidth="1"/>
    <col min="3337" max="3338" width="0" style="178" hidden="1" customWidth="1"/>
    <col min="3339" max="3339" width="18.5546875" style="178" bestFit="1" customWidth="1"/>
    <col min="3340" max="3341" width="0" style="178" hidden="1" customWidth="1"/>
    <col min="3342" max="3342" width="18.71875" style="178" bestFit="1" customWidth="1"/>
    <col min="3343" max="3344" width="0" style="178" hidden="1" customWidth="1"/>
    <col min="3345" max="3345" width="18.27734375" style="178" bestFit="1" customWidth="1"/>
    <col min="3346" max="3346" width="0" style="178" hidden="1" customWidth="1"/>
    <col min="3347" max="3347" width="19.27734375" style="178" bestFit="1" customWidth="1"/>
    <col min="3348" max="3586" width="9.27734375" style="178"/>
    <col min="3587" max="3587" width="0" style="178" hidden="1" customWidth="1"/>
    <col min="3588" max="3588" width="54.71875" style="178" bestFit="1" customWidth="1"/>
    <col min="3589" max="3589" width="17.71875" style="178" bestFit="1" customWidth="1"/>
    <col min="3590" max="3591" width="0" style="178" hidden="1" customWidth="1"/>
    <col min="3592" max="3592" width="18" style="178" bestFit="1" customWidth="1"/>
    <col min="3593" max="3594" width="0" style="178" hidden="1" customWidth="1"/>
    <col min="3595" max="3595" width="18.5546875" style="178" bestFit="1" customWidth="1"/>
    <col min="3596" max="3597" width="0" style="178" hidden="1" customWidth="1"/>
    <col min="3598" max="3598" width="18.71875" style="178" bestFit="1" customWidth="1"/>
    <col min="3599" max="3600" width="0" style="178" hidden="1" customWidth="1"/>
    <col min="3601" max="3601" width="18.27734375" style="178" bestFit="1" customWidth="1"/>
    <col min="3602" max="3602" width="0" style="178" hidden="1" customWidth="1"/>
    <col min="3603" max="3603" width="19.27734375" style="178" bestFit="1" customWidth="1"/>
    <col min="3604" max="3842" width="9.27734375" style="178"/>
    <col min="3843" max="3843" width="0" style="178" hidden="1" customWidth="1"/>
    <col min="3844" max="3844" width="54.71875" style="178" bestFit="1" customWidth="1"/>
    <col min="3845" max="3845" width="17.71875" style="178" bestFit="1" customWidth="1"/>
    <col min="3846" max="3847" width="0" style="178" hidden="1" customWidth="1"/>
    <col min="3848" max="3848" width="18" style="178" bestFit="1" customWidth="1"/>
    <col min="3849" max="3850" width="0" style="178" hidden="1" customWidth="1"/>
    <col min="3851" max="3851" width="18.5546875" style="178" bestFit="1" customWidth="1"/>
    <col min="3852" max="3853" width="0" style="178" hidden="1" customWidth="1"/>
    <col min="3854" max="3854" width="18.71875" style="178" bestFit="1" customWidth="1"/>
    <col min="3855" max="3856" width="0" style="178" hidden="1" customWidth="1"/>
    <col min="3857" max="3857" width="18.27734375" style="178" bestFit="1" customWidth="1"/>
    <col min="3858" max="3858" width="0" style="178" hidden="1" customWidth="1"/>
    <col min="3859" max="3859" width="19.27734375" style="178" bestFit="1" customWidth="1"/>
    <col min="3860" max="4098" width="9.27734375" style="178"/>
    <col min="4099" max="4099" width="0" style="178" hidden="1" customWidth="1"/>
    <col min="4100" max="4100" width="54.71875" style="178" bestFit="1" customWidth="1"/>
    <col min="4101" max="4101" width="17.71875" style="178" bestFit="1" customWidth="1"/>
    <col min="4102" max="4103" width="0" style="178" hidden="1" customWidth="1"/>
    <col min="4104" max="4104" width="18" style="178" bestFit="1" customWidth="1"/>
    <col min="4105" max="4106" width="0" style="178" hidden="1" customWidth="1"/>
    <col min="4107" max="4107" width="18.5546875" style="178" bestFit="1" customWidth="1"/>
    <col min="4108" max="4109" width="0" style="178" hidden="1" customWidth="1"/>
    <col min="4110" max="4110" width="18.71875" style="178" bestFit="1" customWidth="1"/>
    <col min="4111" max="4112" width="0" style="178" hidden="1" customWidth="1"/>
    <col min="4113" max="4113" width="18.27734375" style="178" bestFit="1" customWidth="1"/>
    <col min="4114" max="4114" width="0" style="178" hidden="1" customWidth="1"/>
    <col min="4115" max="4115" width="19.27734375" style="178" bestFit="1" customWidth="1"/>
    <col min="4116" max="4354" width="9.27734375" style="178"/>
    <col min="4355" max="4355" width="0" style="178" hidden="1" customWidth="1"/>
    <col min="4356" max="4356" width="54.71875" style="178" bestFit="1" customWidth="1"/>
    <col min="4357" max="4357" width="17.71875" style="178" bestFit="1" customWidth="1"/>
    <col min="4358" max="4359" width="0" style="178" hidden="1" customWidth="1"/>
    <col min="4360" max="4360" width="18" style="178" bestFit="1" customWidth="1"/>
    <col min="4361" max="4362" width="0" style="178" hidden="1" customWidth="1"/>
    <col min="4363" max="4363" width="18.5546875" style="178" bestFit="1" customWidth="1"/>
    <col min="4364" max="4365" width="0" style="178" hidden="1" customWidth="1"/>
    <col min="4366" max="4366" width="18.71875" style="178" bestFit="1" customWidth="1"/>
    <col min="4367" max="4368" width="0" style="178" hidden="1" customWidth="1"/>
    <col min="4369" max="4369" width="18.27734375" style="178" bestFit="1" customWidth="1"/>
    <col min="4370" max="4370" width="0" style="178" hidden="1" customWidth="1"/>
    <col min="4371" max="4371" width="19.27734375" style="178" bestFit="1" customWidth="1"/>
    <col min="4372" max="4610" width="9.27734375" style="178"/>
    <col min="4611" max="4611" width="0" style="178" hidden="1" customWidth="1"/>
    <col min="4612" max="4612" width="54.71875" style="178" bestFit="1" customWidth="1"/>
    <col min="4613" max="4613" width="17.71875" style="178" bestFit="1" customWidth="1"/>
    <col min="4614" max="4615" width="0" style="178" hidden="1" customWidth="1"/>
    <col min="4616" max="4616" width="18" style="178" bestFit="1" customWidth="1"/>
    <col min="4617" max="4618" width="0" style="178" hidden="1" customWidth="1"/>
    <col min="4619" max="4619" width="18.5546875" style="178" bestFit="1" customWidth="1"/>
    <col min="4620" max="4621" width="0" style="178" hidden="1" customWidth="1"/>
    <col min="4622" max="4622" width="18.71875" style="178" bestFit="1" customWidth="1"/>
    <col min="4623" max="4624" width="0" style="178" hidden="1" customWidth="1"/>
    <col min="4625" max="4625" width="18.27734375" style="178" bestFit="1" customWidth="1"/>
    <col min="4626" max="4626" width="0" style="178" hidden="1" customWidth="1"/>
    <col min="4627" max="4627" width="19.27734375" style="178" bestFit="1" customWidth="1"/>
    <col min="4628" max="4866" width="9.27734375" style="178"/>
    <col min="4867" max="4867" width="0" style="178" hidden="1" customWidth="1"/>
    <col min="4868" max="4868" width="54.71875" style="178" bestFit="1" customWidth="1"/>
    <col min="4869" max="4869" width="17.71875" style="178" bestFit="1" customWidth="1"/>
    <col min="4870" max="4871" width="0" style="178" hidden="1" customWidth="1"/>
    <col min="4872" max="4872" width="18" style="178" bestFit="1" customWidth="1"/>
    <col min="4873" max="4874" width="0" style="178" hidden="1" customWidth="1"/>
    <col min="4875" max="4875" width="18.5546875" style="178" bestFit="1" customWidth="1"/>
    <col min="4876" max="4877" width="0" style="178" hidden="1" customWidth="1"/>
    <col min="4878" max="4878" width="18.71875" style="178" bestFit="1" customWidth="1"/>
    <col min="4879" max="4880" width="0" style="178" hidden="1" customWidth="1"/>
    <col min="4881" max="4881" width="18.27734375" style="178" bestFit="1" customWidth="1"/>
    <col min="4882" max="4882" width="0" style="178" hidden="1" customWidth="1"/>
    <col min="4883" max="4883" width="19.27734375" style="178" bestFit="1" customWidth="1"/>
    <col min="4884" max="5122" width="9.27734375" style="178"/>
    <col min="5123" max="5123" width="0" style="178" hidden="1" customWidth="1"/>
    <col min="5124" max="5124" width="54.71875" style="178" bestFit="1" customWidth="1"/>
    <col min="5125" max="5125" width="17.71875" style="178" bestFit="1" customWidth="1"/>
    <col min="5126" max="5127" width="0" style="178" hidden="1" customWidth="1"/>
    <col min="5128" max="5128" width="18" style="178" bestFit="1" customWidth="1"/>
    <col min="5129" max="5130" width="0" style="178" hidden="1" customWidth="1"/>
    <col min="5131" max="5131" width="18.5546875" style="178" bestFit="1" customWidth="1"/>
    <col min="5132" max="5133" width="0" style="178" hidden="1" customWidth="1"/>
    <col min="5134" max="5134" width="18.71875" style="178" bestFit="1" customWidth="1"/>
    <col min="5135" max="5136" width="0" style="178" hidden="1" customWidth="1"/>
    <col min="5137" max="5137" width="18.27734375" style="178" bestFit="1" customWidth="1"/>
    <col min="5138" max="5138" width="0" style="178" hidden="1" customWidth="1"/>
    <col min="5139" max="5139" width="19.27734375" style="178" bestFit="1" customWidth="1"/>
    <col min="5140" max="5378" width="9.27734375" style="178"/>
    <col min="5379" max="5379" width="0" style="178" hidden="1" customWidth="1"/>
    <col min="5380" max="5380" width="54.71875" style="178" bestFit="1" customWidth="1"/>
    <col min="5381" max="5381" width="17.71875" style="178" bestFit="1" customWidth="1"/>
    <col min="5382" max="5383" width="0" style="178" hidden="1" customWidth="1"/>
    <col min="5384" max="5384" width="18" style="178" bestFit="1" customWidth="1"/>
    <col min="5385" max="5386" width="0" style="178" hidden="1" customWidth="1"/>
    <col min="5387" max="5387" width="18.5546875" style="178" bestFit="1" customWidth="1"/>
    <col min="5388" max="5389" width="0" style="178" hidden="1" customWidth="1"/>
    <col min="5390" max="5390" width="18.71875" style="178" bestFit="1" customWidth="1"/>
    <col min="5391" max="5392" width="0" style="178" hidden="1" customWidth="1"/>
    <col min="5393" max="5393" width="18.27734375" style="178" bestFit="1" customWidth="1"/>
    <col min="5394" max="5394" width="0" style="178" hidden="1" customWidth="1"/>
    <col min="5395" max="5395" width="19.27734375" style="178" bestFit="1" customWidth="1"/>
    <col min="5396" max="5634" width="9.27734375" style="178"/>
    <col min="5635" max="5635" width="0" style="178" hidden="1" customWidth="1"/>
    <col min="5636" max="5636" width="54.71875" style="178" bestFit="1" customWidth="1"/>
    <col min="5637" max="5637" width="17.71875" style="178" bestFit="1" customWidth="1"/>
    <col min="5638" max="5639" width="0" style="178" hidden="1" customWidth="1"/>
    <col min="5640" max="5640" width="18" style="178" bestFit="1" customWidth="1"/>
    <col min="5641" max="5642" width="0" style="178" hidden="1" customWidth="1"/>
    <col min="5643" max="5643" width="18.5546875" style="178" bestFit="1" customWidth="1"/>
    <col min="5644" max="5645" width="0" style="178" hidden="1" customWidth="1"/>
    <col min="5646" max="5646" width="18.71875" style="178" bestFit="1" customWidth="1"/>
    <col min="5647" max="5648" width="0" style="178" hidden="1" customWidth="1"/>
    <col min="5649" max="5649" width="18.27734375" style="178" bestFit="1" customWidth="1"/>
    <col min="5650" max="5650" width="0" style="178" hidden="1" customWidth="1"/>
    <col min="5651" max="5651" width="19.27734375" style="178" bestFit="1" customWidth="1"/>
    <col min="5652" max="5890" width="9.27734375" style="178"/>
    <col min="5891" max="5891" width="0" style="178" hidden="1" customWidth="1"/>
    <col min="5892" max="5892" width="54.71875" style="178" bestFit="1" customWidth="1"/>
    <col min="5893" max="5893" width="17.71875" style="178" bestFit="1" customWidth="1"/>
    <col min="5894" max="5895" width="0" style="178" hidden="1" customWidth="1"/>
    <col min="5896" max="5896" width="18" style="178" bestFit="1" customWidth="1"/>
    <col min="5897" max="5898" width="0" style="178" hidden="1" customWidth="1"/>
    <col min="5899" max="5899" width="18.5546875" style="178" bestFit="1" customWidth="1"/>
    <col min="5900" max="5901" width="0" style="178" hidden="1" customWidth="1"/>
    <col min="5902" max="5902" width="18.71875" style="178" bestFit="1" customWidth="1"/>
    <col min="5903" max="5904" width="0" style="178" hidden="1" customWidth="1"/>
    <col min="5905" max="5905" width="18.27734375" style="178" bestFit="1" customWidth="1"/>
    <col min="5906" max="5906" width="0" style="178" hidden="1" customWidth="1"/>
    <col min="5907" max="5907" width="19.27734375" style="178" bestFit="1" customWidth="1"/>
    <col min="5908" max="6146" width="9.27734375" style="178"/>
    <col min="6147" max="6147" width="0" style="178" hidden="1" customWidth="1"/>
    <col min="6148" max="6148" width="54.71875" style="178" bestFit="1" customWidth="1"/>
    <col min="6149" max="6149" width="17.71875" style="178" bestFit="1" customWidth="1"/>
    <col min="6150" max="6151" width="0" style="178" hidden="1" customWidth="1"/>
    <col min="6152" max="6152" width="18" style="178" bestFit="1" customWidth="1"/>
    <col min="6153" max="6154" width="0" style="178" hidden="1" customWidth="1"/>
    <col min="6155" max="6155" width="18.5546875" style="178" bestFit="1" customWidth="1"/>
    <col min="6156" max="6157" width="0" style="178" hidden="1" customWidth="1"/>
    <col min="6158" max="6158" width="18.71875" style="178" bestFit="1" customWidth="1"/>
    <col min="6159" max="6160" width="0" style="178" hidden="1" customWidth="1"/>
    <col min="6161" max="6161" width="18.27734375" style="178" bestFit="1" customWidth="1"/>
    <col min="6162" max="6162" width="0" style="178" hidden="1" customWidth="1"/>
    <col min="6163" max="6163" width="19.27734375" style="178" bestFit="1" customWidth="1"/>
    <col min="6164" max="6402" width="9.27734375" style="178"/>
    <col min="6403" max="6403" width="0" style="178" hidden="1" customWidth="1"/>
    <col min="6404" max="6404" width="54.71875" style="178" bestFit="1" customWidth="1"/>
    <col min="6405" max="6405" width="17.71875" style="178" bestFit="1" customWidth="1"/>
    <col min="6406" max="6407" width="0" style="178" hidden="1" customWidth="1"/>
    <col min="6408" max="6408" width="18" style="178" bestFit="1" customWidth="1"/>
    <col min="6409" max="6410" width="0" style="178" hidden="1" customWidth="1"/>
    <col min="6411" max="6411" width="18.5546875" style="178" bestFit="1" customWidth="1"/>
    <col min="6412" max="6413" width="0" style="178" hidden="1" customWidth="1"/>
    <col min="6414" max="6414" width="18.71875" style="178" bestFit="1" customWidth="1"/>
    <col min="6415" max="6416" width="0" style="178" hidden="1" customWidth="1"/>
    <col min="6417" max="6417" width="18.27734375" style="178" bestFit="1" customWidth="1"/>
    <col min="6418" max="6418" width="0" style="178" hidden="1" customWidth="1"/>
    <col min="6419" max="6419" width="19.27734375" style="178" bestFit="1" customWidth="1"/>
    <col min="6420" max="6658" width="9.27734375" style="178"/>
    <col min="6659" max="6659" width="0" style="178" hidden="1" customWidth="1"/>
    <col min="6660" max="6660" width="54.71875" style="178" bestFit="1" customWidth="1"/>
    <col min="6661" max="6661" width="17.71875" style="178" bestFit="1" customWidth="1"/>
    <col min="6662" max="6663" width="0" style="178" hidden="1" customWidth="1"/>
    <col min="6664" max="6664" width="18" style="178" bestFit="1" customWidth="1"/>
    <col min="6665" max="6666" width="0" style="178" hidden="1" customWidth="1"/>
    <col min="6667" max="6667" width="18.5546875" style="178" bestFit="1" customWidth="1"/>
    <col min="6668" max="6669" width="0" style="178" hidden="1" customWidth="1"/>
    <col min="6670" max="6670" width="18.71875" style="178" bestFit="1" customWidth="1"/>
    <col min="6671" max="6672" width="0" style="178" hidden="1" customWidth="1"/>
    <col min="6673" max="6673" width="18.27734375" style="178" bestFit="1" customWidth="1"/>
    <col min="6674" max="6674" width="0" style="178" hidden="1" customWidth="1"/>
    <col min="6675" max="6675" width="19.27734375" style="178" bestFit="1" customWidth="1"/>
    <col min="6676" max="6914" width="9.27734375" style="178"/>
    <col min="6915" max="6915" width="0" style="178" hidden="1" customWidth="1"/>
    <col min="6916" max="6916" width="54.71875" style="178" bestFit="1" customWidth="1"/>
    <col min="6917" max="6917" width="17.71875" style="178" bestFit="1" customWidth="1"/>
    <col min="6918" max="6919" width="0" style="178" hidden="1" customWidth="1"/>
    <col min="6920" max="6920" width="18" style="178" bestFit="1" customWidth="1"/>
    <col min="6921" max="6922" width="0" style="178" hidden="1" customWidth="1"/>
    <col min="6923" max="6923" width="18.5546875" style="178" bestFit="1" customWidth="1"/>
    <col min="6924" max="6925" width="0" style="178" hidden="1" customWidth="1"/>
    <col min="6926" max="6926" width="18.71875" style="178" bestFit="1" customWidth="1"/>
    <col min="6927" max="6928" width="0" style="178" hidden="1" customWidth="1"/>
    <col min="6929" max="6929" width="18.27734375" style="178" bestFit="1" customWidth="1"/>
    <col min="6930" max="6930" width="0" style="178" hidden="1" customWidth="1"/>
    <col min="6931" max="6931" width="19.27734375" style="178" bestFit="1" customWidth="1"/>
    <col min="6932" max="7170" width="9.27734375" style="178"/>
    <col min="7171" max="7171" width="0" style="178" hidden="1" customWidth="1"/>
    <col min="7172" max="7172" width="54.71875" style="178" bestFit="1" customWidth="1"/>
    <col min="7173" max="7173" width="17.71875" style="178" bestFit="1" customWidth="1"/>
    <col min="7174" max="7175" width="0" style="178" hidden="1" customWidth="1"/>
    <col min="7176" max="7176" width="18" style="178" bestFit="1" customWidth="1"/>
    <col min="7177" max="7178" width="0" style="178" hidden="1" customWidth="1"/>
    <col min="7179" max="7179" width="18.5546875" style="178" bestFit="1" customWidth="1"/>
    <col min="7180" max="7181" width="0" style="178" hidden="1" customWidth="1"/>
    <col min="7182" max="7182" width="18.71875" style="178" bestFit="1" customWidth="1"/>
    <col min="7183" max="7184" width="0" style="178" hidden="1" customWidth="1"/>
    <col min="7185" max="7185" width="18.27734375" style="178" bestFit="1" customWidth="1"/>
    <col min="7186" max="7186" width="0" style="178" hidden="1" customWidth="1"/>
    <col min="7187" max="7187" width="19.27734375" style="178" bestFit="1" customWidth="1"/>
    <col min="7188" max="7426" width="9.27734375" style="178"/>
    <col min="7427" max="7427" width="0" style="178" hidden="1" customWidth="1"/>
    <col min="7428" max="7428" width="54.71875" style="178" bestFit="1" customWidth="1"/>
    <col min="7429" max="7429" width="17.71875" style="178" bestFit="1" customWidth="1"/>
    <col min="7430" max="7431" width="0" style="178" hidden="1" customWidth="1"/>
    <col min="7432" max="7432" width="18" style="178" bestFit="1" customWidth="1"/>
    <col min="7433" max="7434" width="0" style="178" hidden="1" customWidth="1"/>
    <col min="7435" max="7435" width="18.5546875" style="178" bestFit="1" customWidth="1"/>
    <col min="7436" max="7437" width="0" style="178" hidden="1" customWidth="1"/>
    <col min="7438" max="7438" width="18.71875" style="178" bestFit="1" customWidth="1"/>
    <col min="7439" max="7440" width="0" style="178" hidden="1" customWidth="1"/>
    <col min="7441" max="7441" width="18.27734375" style="178" bestFit="1" customWidth="1"/>
    <col min="7442" max="7442" width="0" style="178" hidden="1" customWidth="1"/>
    <col min="7443" max="7443" width="19.27734375" style="178" bestFit="1" customWidth="1"/>
    <col min="7444" max="7682" width="9.27734375" style="178"/>
    <col min="7683" max="7683" width="0" style="178" hidden="1" customWidth="1"/>
    <col min="7684" max="7684" width="54.71875" style="178" bestFit="1" customWidth="1"/>
    <col min="7685" max="7685" width="17.71875" style="178" bestFit="1" customWidth="1"/>
    <col min="7686" max="7687" width="0" style="178" hidden="1" customWidth="1"/>
    <col min="7688" max="7688" width="18" style="178" bestFit="1" customWidth="1"/>
    <col min="7689" max="7690" width="0" style="178" hidden="1" customWidth="1"/>
    <col min="7691" max="7691" width="18.5546875" style="178" bestFit="1" customWidth="1"/>
    <col min="7692" max="7693" width="0" style="178" hidden="1" customWidth="1"/>
    <col min="7694" max="7694" width="18.71875" style="178" bestFit="1" customWidth="1"/>
    <col min="7695" max="7696" width="0" style="178" hidden="1" customWidth="1"/>
    <col min="7697" max="7697" width="18.27734375" style="178" bestFit="1" customWidth="1"/>
    <col min="7698" max="7698" width="0" style="178" hidden="1" customWidth="1"/>
    <col min="7699" max="7699" width="19.27734375" style="178" bestFit="1" customWidth="1"/>
    <col min="7700" max="7938" width="9.27734375" style="178"/>
    <col min="7939" max="7939" width="0" style="178" hidden="1" customWidth="1"/>
    <col min="7940" max="7940" width="54.71875" style="178" bestFit="1" customWidth="1"/>
    <col min="7941" max="7941" width="17.71875" style="178" bestFit="1" customWidth="1"/>
    <col min="7942" max="7943" width="0" style="178" hidden="1" customWidth="1"/>
    <col min="7944" max="7944" width="18" style="178" bestFit="1" customWidth="1"/>
    <col min="7945" max="7946" width="0" style="178" hidden="1" customWidth="1"/>
    <col min="7947" max="7947" width="18.5546875" style="178" bestFit="1" customWidth="1"/>
    <col min="7948" max="7949" width="0" style="178" hidden="1" customWidth="1"/>
    <col min="7950" max="7950" width="18.71875" style="178" bestFit="1" customWidth="1"/>
    <col min="7951" max="7952" width="0" style="178" hidden="1" customWidth="1"/>
    <col min="7953" max="7953" width="18.27734375" style="178" bestFit="1" customWidth="1"/>
    <col min="7954" max="7954" width="0" style="178" hidden="1" customWidth="1"/>
    <col min="7955" max="7955" width="19.27734375" style="178" bestFit="1" customWidth="1"/>
    <col min="7956" max="8194" width="9.27734375" style="178"/>
    <col min="8195" max="8195" width="0" style="178" hidden="1" customWidth="1"/>
    <col min="8196" max="8196" width="54.71875" style="178" bestFit="1" customWidth="1"/>
    <col min="8197" max="8197" width="17.71875" style="178" bestFit="1" customWidth="1"/>
    <col min="8198" max="8199" width="0" style="178" hidden="1" customWidth="1"/>
    <col min="8200" max="8200" width="18" style="178" bestFit="1" customWidth="1"/>
    <col min="8201" max="8202" width="0" style="178" hidden="1" customWidth="1"/>
    <col min="8203" max="8203" width="18.5546875" style="178" bestFit="1" customWidth="1"/>
    <col min="8204" max="8205" width="0" style="178" hidden="1" customWidth="1"/>
    <col min="8206" max="8206" width="18.71875" style="178" bestFit="1" customWidth="1"/>
    <col min="8207" max="8208" width="0" style="178" hidden="1" customWidth="1"/>
    <col min="8209" max="8209" width="18.27734375" style="178" bestFit="1" customWidth="1"/>
    <col min="8210" max="8210" width="0" style="178" hidden="1" customWidth="1"/>
    <col min="8211" max="8211" width="19.27734375" style="178" bestFit="1" customWidth="1"/>
    <col min="8212" max="8450" width="9.27734375" style="178"/>
    <col min="8451" max="8451" width="0" style="178" hidden="1" customWidth="1"/>
    <col min="8452" max="8452" width="54.71875" style="178" bestFit="1" customWidth="1"/>
    <col min="8453" max="8453" width="17.71875" style="178" bestFit="1" customWidth="1"/>
    <col min="8454" max="8455" width="0" style="178" hidden="1" customWidth="1"/>
    <col min="8456" max="8456" width="18" style="178" bestFit="1" customWidth="1"/>
    <col min="8457" max="8458" width="0" style="178" hidden="1" customWidth="1"/>
    <col min="8459" max="8459" width="18.5546875" style="178" bestFit="1" customWidth="1"/>
    <col min="8460" max="8461" width="0" style="178" hidden="1" customWidth="1"/>
    <col min="8462" max="8462" width="18.71875" style="178" bestFit="1" customWidth="1"/>
    <col min="8463" max="8464" width="0" style="178" hidden="1" customWidth="1"/>
    <col min="8465" max="8465" width="18.27734375" style="178" bestFit="1" customWidth="1"/>
    <col min="8466" max="8466" width="0" style="178" hidden="1" customWidth="1"/>
    <col min="8467" max="8467" width="19.27734375" style="178" bestFit="1" customWidth="1"/>
    <col min="8468" max="8706" width="9.27734375" style="178"/>
    <col min="8707" max="8707" width="0" style="178" hidden="1" customWidth="1"/>
    <col min="8708" max="8708" width="54.71875" style="178" bestFit="1" customWidth="1"/>
    <col min="8709" max="8709" width="17.71875" style="178" bestFit="1" customWidth="1"/>
    <col min="8710" max="8711" width="0" style="178" hidden="1" customWidth="1"/>
    <col min="8712" max="8712" width="18" style="178" bestFit="1" customWidth="1"/>
    <col min="8713" max="8714" width="0" style="178" hidden="1" customWidth="1"/>
    <col min="8715" max="8715" width="18.5546875" style="178" bestFit="1" customWidth="1"/>
    <col min="8716" max="8717" width="0" style="178" hidden="1" customWidth="1"/>
    <col min="8718" max="8718" width="18.71875" style="178" bestFit="1" customWidth="1"/>
    <col min="8719" max="8720" width="0" style="178" hidden="1" customWidth="1"/>
    <col min="8721" max="8721" width="18.27734375" style="178" bestFit="1" customWidth="1"/>
    <col min="8722" max="8722" width="0" style="178" hidden="1" customWidth="1"/>
    <col min="8723" max="8723" width="19.27734375" style="178" bestFit="1" customWidth="1"/>
    <col min="8724" max="8962" width="9.27734375" style="178"/>
    <col min="8963" max="8963" width="0" style="178" hidden="1" customWidth="1"/>
    <col min="8964" max="8964" width="54.71875" style="178" bestFit="1" customWidth="1"/>
    <col min="8965" max="8965" width="17.71875" style="178" bestFit="1" customWidth="1"/>
    <col min="8966" max="8967" width="0" style="178" hidden="1" customWidth="1"/>
    <col min="8968" max="8968" width="18" style="178" bestFit="1" customWidth="1"/>
    <col min="8969" max="8970" width="0" style="178" hidden="1" customWidth="1"/>
    <col min="8971" max="8971" width="18.5546875" style="178" bestFit="1" customWidth="1"/>
    <col min="8972" max="8973" width="0" style="178" hidden="1" customWidth="1"/>
    <col min="8974" max="8974" width="18.71875" style="178" bestFit="1" customWidth="1"/>
    <col min="8975" max="8976" width="0" style="178" hidden="1" customWidth="1"/>
    <col min="8977" max="8977" width="18.27734375" style="178" bestFit="1" customWidth="1"/>
    <col min="8978" max="8978" width="0" style="178" hidden="1" customWidth="1"/>
    <col min="8979" max="8979" width="19.27734375" style="178" bestFit="1" customWidth="1"/>
    <col min="8980" max="9218" width="9.27734375" style="178"/>
    <col min="9219" max="9219" width="0" style="178" hidden="1" customWidth="1"/>
    <col min="9220" max="9220" width="54.71875" style="178" bestFit="1" customWidth="1"/>
    <col min="9221" max="9221" width="17.71875" style="178" bestFit="1" customWidth="1"/>
    <col min="9222" max="9223" width="0" style="178" hidden="1" customWidth="1"/>
    <col min="9224" max="9224" width="18" style="178" bestFit="1" customWidth="1"/>
    <col min="9225" max="9226" width="0" style="178" hidden="1" customWidth="1"/>
    <col min="9227" max="9227" width="18.5546875" style="178" bestFit="1" customWidth="1"/>
    <col min="9228" max="9229" width="0" style="178" hidden="1" customWidth="1"/>
    <col min="9230" max="9230" width="18.71875" style="178" bestFit="1" customWidth="1"/>
    <col min="9231" max="9232" width="0" style="178" hidden="1" customWidth="1"/>
    <col min="9233" max="9233" width="18.27734375" style="178" bestFit="1" customWidth="1"/>
    <col min="9234" max="9234" width="0" style="178" hidden="1" customWidth="1"/>
    <col min="9235" max="9235" width="19.27734375" style="178" bestFit="1" customWidth="1"/>
    <col min="9236" max="9474" width="9.27734375" style="178"/>
    <col min="9475" max="9475" width="0" style="178" hidden="1" customWidth="1"/>
    <col min="9476" max="9476" width="54.71875" style="178" bestFit="1" customWidth="1"/>
    <col min="9477" max="9477" width="17.71875" style="178" bestFit="1" customWidth="1"/>
    <col min="9478" max="9479" width="0" style="178" hidden="1" customWidth="1"/>
    <col min="9480" max="9480" width="18" style="178" bestFit="1" customWidth="1"/>
    <col min="9481" max="9482" width="0" style="178" hidden="1" customWidth="1"/>
    <col min="9483" max="9483" width="18.5546875" style="178" bestFit="1" customWidth="1"/>
    <col min="9484" max="9485" width="0" style="178" hidden="1" customWidth="1"/>
    <col min="9486" max="9486" width="18.71875" style="178" bestFit="1" customWidth="1"/>
    <col min="9487" max="9488" width="0" style="178" hidden="1" customWidth="1"/>
    <col min="9489" max="9489" width="18.27734375" style="178" bestFit="1" customWidth="1"/>
    <col min="9490" max="9490" width="0" style="178" hidden="1" customWidth="1"/>
    <col min="9491" max="9491" width="19.27734375" style="178" bestFit="1" customWidth="1"/>
    <col min="9492" max="9730" width="9.27734375" style="178"/>
    <col min="9731" max="9731" width="0" style="178" hidden="1" customWidth="1"/>
    <col min="9732" max="9732" width="54.71875" style="178" bestFit="1" customWidth="1"/>
    <col min="9733" max="9733" width="17.71875" style="178" bestFit="1" customWidth="1"/>
    <col min="9734" max="9735" width="0" style="178" hidden="1" customWidth="1"/>
    <col min="9736" max="9736" width="18" style="178" bestFit="1" customWidth="1"/>
    <col min="9737" max="9738" width="0" style="178" hidden="1" customWidth="1"/>
    <col min="9739" max="9739" width="18.5546875" style="178" bestFit="1" customWidth="1"/>
    <col min="9740" max="9741" width="0" style="178" hidden="1" customWidth="1"/>
    <col min="9742" max="9742" width="18.71875" style="178" bestFit="1" customWidth="1"/>
    <col min="9743" max="9744" width="0" style="178" hidden="1" customWidth="1"/>
    <col min="9745" max="9745" width="18.27734375" style="178" bestFit="1" customWidth="1"/>
    <col min="9746" max="9746" width="0" style="178" hidden="1" customWidth="1"/>
    <col min="9747" max="9747" width="19.27734375" style="178" bestFit="1" customWidth="1"/>
    <col min="9748" max="9986" width="9.27734375" style="178"/>
    <col min="9987" max="9987" width="0" style="178" hidden="1" customWidth="1"/>
    <col min="9988" max="9988" width="54.71875" style="178" bestFit="1" customWidth="1"/>
    <col min="9989" max="9989" width="17.71875" style="178" bestFit="1" customWidth="1"/>
    <col min="9990" max="9991" width="0" style="178" hidden="1" customWidth="1"/>
    <col min="9992" max="9992" width="18" style="178" bestFit="1" customWidth="1"/>
    <col min="9993" max="9994" width="0" style="178" hidden="1" customWidth="1"/>
    <col min="9995" max="9995" width="18.5546875" style="178" bestFit="1" customWidth="1"/>
    <col min="9996" max="9997" width="0" style="178" hidden="1" customWidth="1"/>
    <col min="9998" max="9998" width="18.71875" style="178" bestFit="1" customWidth="1"/>
    <col min="9999" max="10000" width="0" style="178" hidden="1" customWidth="1"/>
    <col min="10001" max="10001" width="18.27734375" style="178" bestFit="1" customWidth="1"/>
    <col min="10002" max="10002" width="0" style="178" hidden="1" customWidth="1"/>
    <col min="10003" max="10003" width="19.27734375" style="178" bestFit="1" customWidth="1"/>
    <col min="10004" max="10242" width="9.27734375" style="178"/>
    <col min="10243" max="10243" width="0" style="178" hidden="1" customWidth="1"/>
    <col min="10244" max="10244" width="54.71875" style="178" bestFit="1" customWidth="1"/>
    <col min="10245" max="10245" width="17.71875" style="178" bestFit="1" customWidth="1"/>
    <col min="10246" max="10247" width="0" style="178" hidden="1" customWidth="1"/>
    <col min="10248" max="10248" width="18" style="178" bestFit="1" customWidth="1"/>
    <col min="10249" max="10250" width="0" style="178" hidden="1" customWidth="1"/>
    <col min="10251" max="10251" width="18.5546875" style="178" bestFit="1" customWidth="1"/>
    <col min="10252" max="10253" width="0" style="178" hidden="1" customWidth="1"/>
    <col min="10254" max="10254" width="18.71875" style="178" bestFit="1" customWidth="1"/>
    <col min="10255" max="10256" width="0" style="178" hidden="1" customWidth="1"/>
    <col min="10257" max="10257" width="18.27734375" style="178" bestFit="1" customWidth="1"/>
    <col min="10258" max="10258" width="0" style="178" hidden="1" customWidth="1"/>
    <col min="10259" max="10259" width="19.27734375" style="178" bestFit="1" customWidth="1"/>
    <col min="10260" max="10498" width="9.27734375" style="178"/>
    <col min="10499" max="10499" width="0" style="178" hidden="1" customWidth="1"/>
    <col min="10500" max="10500" width="54.71875" style="178" bestFit="1" customWidth="1"/>
    <col min="10501" max="10501" width="17.71875" style="178" bestFit="1" customWidth="1"/>
    <col min="10502" max="10503" width="0" style="178" hidden="1" customWidth="1"/>
    <col min="10504" max="10504" width="18" style="178" bestFit="1" customWidth="1"/>
    <col min="10505" max="10506" width="0" style="178" hidden="1" customWidth="1"/>
    <col min="10507" max="10507" width="18.5546875" style="178" bestFit="1" customWidth="1"/>
    <col min="10508" max="10509" width="0" style="178" hidden="1" customWidth="1"/>
    <col min="10510" max="10510" width="18.71875" style="178" bestFit="1" customWidth="1"/>
    <col min="10511" max="10512" width="0" style="178" hidden="1" customWidth="1"/>
    <col min="10513" max="10513" width="18.27734375" style="178" bestFit="1" customWidth="1"/>
    <col min="10514" max="10514" width="0" style="178" hidden="1" customWidth="1"/>
    <col min="10515" max="10515" width="19.27734375" style="178" bestFit="1" customWidth="1"/>
    <col min="10516" max="10754" width="9.27734375" style="178"/>
    <col min="10755" max="10755" width="0" style="178" hidden="1" customWidth="1"/>
    <col min="10756" max="10756" width="54.71875" style="178" bestFit="1" customWidth="1"/>
    <col min="10757" max="10757" width="17.71875" style="178" bestFit="1" customWidth="1"/>
    <col min="10758" max="10759" width="0" style="178" hidden="1" customWidth="1"/>
    <col min="10760" max="10760" width="18" style="178" bestFit="1" customWidth="1"/>
    <col min="10761" max="10762" width="0" style="178" hidden="1" customWidth="1"/>
    <col min="10763" max="10763" width="18.5546875" style="178" bestFit="1" customWidth="1"/>
    <col min="10764" max="10765" width="0" style="178" hidden="1" customWidth="1"/>
    <col min="10766" max="10766" width="18.71875" style="178" bestFit="1" customWidth="1"/>
    <col min="10767" max="10768" width="0" style="178" hidden="1" customWidth="1"/>
    <col min="10769" max="10769" width="18.27734375" style="178" bestFit="1" customWidth="1"/>
    <col min="10770" max="10770" width="0" style="178" hidden="1" customWidth="1"/>
    <col min="10771" max="10771" width="19.27734375" style="178" bestFit="1" customWidth="1"/>
    <col min="10772" max="11010" width="9.27734375" style="178"/>
    <col min="11011" max="11011" width="0" style="178" hidden="1" customWidth="1"/>
    <col min="11012" max="11012" width="54.71875" style="178" bestFit="1" customWidth="1"/>
    <col min="11013" max="11013" width="17.71875" style="178" bestFit="1" customWidth="1"/>
    <col min="11014" max="11015" width="0" style="178" hidden="1" customWidth="1"/>
    <col min="11016" max="11016" width="18" style="178" bestFit="1" customWidth="1"/>
    <col min="11017" max="11018" width="0" style="178" hidden="1" customWidth="1"/>
    <col min="11019" max="11019" width="18.5546875" style="178" bestFit="1" customWidth="1"/>
    <col min="11020" max="11021" width="0" style="178" hidden="1" customWidth="1"/>
    <col min="11022" max="11022" width="18.71875" style="178" bestFit="1" customWidth="1"/>
    <col min="11023" max="11024" width="0" style="178" hidden="1" customWidth="1"/>
    <col min="11025" max="11025" width="18.27734375" style="178" bestFit="1" customWidth="1"/>
    <col min="11026" max="11026" width="0" style="178" hidden="1" customWidth="1"/>
    <col min="11027" max="11027" width="19.27734375" style="178" bestFit="1" customWidth="1"/>
    <col min="11028" max="11266" width="9.27734375" style="178"/>
    <col min="11267" max="11267" width="0" style="178" hidden="1" customWidth="1"/>
    <col min="11268" max="11268" width="54.71875" style="178" bestFit="1" customWidth="1"/>
    <col min="11269" max="11269" width="17.71875" style="178" bestFit="1" customWidth="1"/>
    <col min="11270" max="11271" width="0" style="178" hidden="1" customWidth="1"/>
    <col min="11272" max="11272" width="18" style="178" bestFit="1" customWidth="1"/>
    <col min="11273" max="11274" width="0" style="178" hidden="1" customWidth="1"/>
    <col min="11275" max="11275" width="18.5546875" style="178" bestFit="1" customWidth="1"/>
    <col min="11276" max="11277" width="0" style="178" hidden="1" customWidth="1"/>
    <col min="11278" max="11278" width="18.71875" style="178" bestFit="1" customWidth="1"/>
    <col min="11279" max="11280" width="0" style="178" hidden="1" customWidth="1"/>
    <col min="11281" max="11281" width="18.27734375" style="178" bestFit="1" customWidth="1"/>
    <col min="11282" max="11282" width="0" style="178" hidden="1" customWidth="1"/>
    <col min="11283" max="11283" width="19.27734375" style="178" bestFit="1" customWidth="1"/>
    <col min="11284" max="11522" width="9.27734375" style="178"/>
    <col min="11523" max="11523" width="0" style="178" hidden="1" customWidth="1"/>
    <col min="11524" max="11524" width="54.71875" style="178" bestFit="1" customWidth="1"/>
    <col min="11525" max="11525" width="17.71875" style="178" bestFit="1" customWidth="1"/>
    <col min="11526" max="11527" width="0" style="178" hidden="1" customWidth="1"/>
    <col min="11528" max="11528" width="18" style="178" bestFit="1" customWidth="1"/>
    <col min="11529" max="11530" width="0" style="178" hidden="1" customWidth="1"/>
    <col min="11531" max="11531" width="18.5546875" style="178" bestFit="1" customWidth="1"/>
    <col min="11532" max="11533" width="0" style="178" hidden="1" customWidth="1"/>
    <col min="11534" max="11534" width="18.71875" style="178" bestFit="1" customWidth="1"/>
    <col min="11535" max="11536" width="0" style="178" hidden="1" customWidth="1"/>
    <col min="11537" max="11537" width="18.27734375" style="178" bestFit="1" customWidth="1"/>
    <col min="11538" max="11538" width="0" style="178" hidden="1" customWidth="1"/>
    <col min="11539" max="11539" width="19.27734375" style="178" bestFit="1" customWidth="1"/>
    <col min="11540" max="11778" width="9.27734375" style="178"/>
    <col min="11779" max="11779" width="0" style="178" hidden="1" customWidth="1"/>
    <col min="11780" max="11780" width="54.71875" style="178" bestFit="1" customWidth="1"/>
    <col min="11781" max="11781" width="17.71875" style="178" bestFit="1" customWidth="1"/>
    <col min="11782" max="11783" width="0" style="178" hidden="1" customWidth="1"/>
    <col min="11784" max="11784" width="18" style="178" bestFit="1" customWidth="1"/>
    <col min="11785" max="11786" width="0" style="178" hidden="1" customWidth="1"/>
    <col min="11787" max="11787" width="18.5546875" style="178" bestFit="1" customWidth="1"/>
    <col min="11788" max="11789" width="0" style="178" hidden="1" customWidth="1"/>
    <col min="11790" max="11790" width="18.71875" style="178" bestFit="1" customWidth="1"/>
    <col min="11791" max="11792" width="0" style="178" hidden="1" customWidth="1"/>
    <col min="11793" max="11793" width="18.27734375" style="178" bestFit="1" customWidth="1"/>
    <col min="11794" max="11794" width="0" style="178" hidden="1" customWidth="1"/>
    <col min="11795" max="11795" width="19.27734375" style="178" bestFit="1" customWidth="1"/>
    <col min="11796" max="12034" width="9.27734375" style="178"/>
    <col min="12035" max="12035" width="0" style="178" hidden="1" customWidth="1"/>
    <col min="12036" max="12036" width="54.71875" style="178" bestFit="1" customWidth="1"/>
    <col min="12037" max="12037" width="17.71875" style="178" bestFit="1" customWidth="1"/>
    <col min="12038" max="12039" width="0" style="178" hidden="1" customWidth="1"/>
    <col min="12040" max="12040" width="18" style="178" bestFit="1" customWidth="1"/>
    <col min="12041" max="12042" width="0" style="178" hidden="1" customWidth="1"/>
    <col min="12043" max="12043" width="18.5546875" style="178" bestFit="1" customWidth="1"/>
    <col min="12044" max="12045" width="0" style="178" hidden="1" customWidth="1"/>
    <col min="12046" max="12046" width="18.71875" style="178" bestFit="1" customWidth="1"/>
    <col min="12047" max="12048" width="0" style="178" hidden="1" customWidth="1"/>
    <col min="12049" max="12049" width="18.27734375" style="178" bestFit="1" customWidth="1"/>
    <col min="12050" max="12050" width="0" style="178" hidden="1" customWidth="1"/>
    <col min="12051" max="12051" width="19.27734375" style="178" bestFit="1" customWidth="1"/>
    <col min="12052" max="12290" width="9.27734375" style="178"/>
    <col min="12291" max="12291" width="0" style="178" hidden="1" customWidth="1"/>
    <col min="12292" max="12292" width="54.71875" style="178" bestFit="1" customWidth="1"/>
    <col min="12293" max="12293" width="17.71875" style="178" bestFit="1" customWidth="1"/>
    <col min="12294" max="12295" width="0" style="178" hidden="1" customWidth="1"/>
    <col min="12296" max="12296" width="18" style="178" bestFit="1" customWidth="1"/>
    <col min="12297" max="12298" width="0" style="178" hidden="1" customWidth="1"/>
    <col min="12299" max="12299" width="18.5546875" style="178" bestFit="1" customWidth="1"/>
    <col min="12300" max="12301" width="0" style="178" hidden="1" customWidth="1"/>
    <col min="12302" max="12302" width="18.71875" style="178" bestFit="1" customWidth="1"/>
    <col min="12303" max="12304" width="0" style="178" hidden="1" customWidth="1"/>
    <col min="12305" max="12305" width="18.27734375" style="178" bestFit="1" customWidth="1"/>
    <col min="12306" max="12306" width="0" style="178" hidden="1" customWidth="1"/>
    <col min="12307" max="12307" width="19.27734375" style="178" bestFit="1" customWidth="1"/>
    <col min="12308" max="12546" width="9.27734375" style="178"/>
    <col min="12547" max="12547" width="0" style="178" hidden="1" customWidth="1"/>
    <col min="12548" max="12548" width="54.71875" style="178" bestFit="1" customWidth="1"/>
    <col min="12549" max="12549" width="17.71875" style="178" bestFit="1" customWidth="1"/>
    <col min="12550" max="12551" width="0" style="178" hidden="1" customWidth="1"/>
    <col min="12552" max="12552" width="18" style="178" bestFit="1" customWidth="1"/>
    <col min="12553" max="12554" width="0" style="178" hidden="1" customWidth="1"/>
    <col min="12555" max="12555" width="18.5546875" style="178" bestFit="1" customWidth="1"/>
    <col min="12556" max="12557" width="0" style="178" hidden="1" customWidth="1"/>
    <col min="12558" max="12558" width="18.71875" style="178" bestFit="1" customWidth="1"/>
    <col min="12559" max="12560" width="0" style="178" hidden="1" customWidth="1"/>
    <col min="12561" max="12561" width="18.27734375" style="178" bestFit="1" customWidth="1"/>
    <col min="12562" max="12562" width="0" style="178" hidden="1" customWidth="1"/>
    <col min="12563" max="12563" width="19.27734375" style="178" bestFit="1" customWidth="1"/>
    <col min="12564" max="12802" width="9.27734375" style="178"/>
    <col min="12803" max="12803" width="0" style="178" hidden="1" customWidth="1"/>
    <col min="12804" max="12804" width="54.71875" style="178" bestFit="1" customWidth="1"/>
    <col min="12805" max="12805" width="17.71875" style="178" bestFit="1" customWidth="1"/>
    <col min="12806" max="12807" width="0" style="178" hidden="1" customWidth="1"/>
    <col min="12808" max="12808" width="18" style="178" bestFit="1" customWidth="1"/>
    <col min="12809" max="12810" width="0" style="178" hidden="1" customWidth="1"/>
    <col min="12811" max="12811" width="18.5546875" style="178" bestFit="1" customWidth="1"/>
    <col min="12812" max="12813" width="0" style="178" hidden="1" customWidth="1"/>
    <col min="12814" max="12814" width="18.71875" style="178" bestFit="1" customWidth="1"/>
    <col min="12815" max="12816" width="0" style="178" hidden="1" customWidth="1"/>
    <col min="12817" max="12817" width="18.27734375" style="178" bestFit="1" customWidth="1"/>
    <col min="12818" max="12818" width="0" style="178" hidden="1" customWidth="1"/>
    <col min="12819" max="12819" width="19.27734375" style="178" bestFit="1" customWidth="1"/>
    <col min="12820" max="13058" width="9.27734375" style="178"/>
    <col min="13059" max="13059" width="0" style="178" hidden="1" customWidth="1"/>
    <col min="13060" max="13060" width="54.71875" style="178" bestFit="1" customWidth="1"/>
    <col min="13061" max="13061" width="17.71875" style="178" bestFit="1" customWidth="1"/>
    <col min="13062" max="13063" width="0" style="178" hidden="1" customWidth="1"/>
    <col min="13064" max="13064" width="18" style="178" bestFit="1" customWidth="1"/>
    <col min="13065" max="13066" width="0" style="178" hidden="1" customWidth="1"/>
    <col min="13067" max="13067" width="18.5546875" style="178" bestFit="1" customWidth="1"/>
    <col min="13068" max="13069" width="0" style="178" hidden="1" customWidth="1"/>
    <col min="13070" max="13070" width="18.71875" style="178" bestFit="1" customWidth="1"/>
    <col min="13071" max="13072" width="0" style="178" hidden="1" customWidth="1"/>
    <col min="13073" max="13073" width="18.27734375" style="178" bestFit="1" customWidth="1"/>
    <col min="13074" max="13074" width="0" style="178" hidden="1" customWidth="1"/>
    <col min="13075" max="13075" width="19.27734375" style="178" bestFit="1" customWidth="1"/>
    <col min="13076" max="13314" width="9.27734375" style="178"/>
    <col min="13315" max="13315" width="0" style="178" hidden="1" customWidth="1"/>
    <col min="13316" max="13316" width="54.71875" style="178" bestFit="1" customWidth="1"/>
    <col min="13317" max="13317" width="17.71875" style="178" bestFit="1" customWidth="1"/>
    <col min="13318" max="13319" width="0" style="178" hidden="1" customWidth="1"/>
    <col min="13320" max="13320" width="18" style="178" bestFit="1" customWidth="1"/>
    <col min="13321" max="13322" width="0" style="178" hidden="1" customWidth="1"/>
    <col min="13323" max="13323" width="18.5546875" style="178" bestFit="1" customWidth="1"/>
    <col min="13324" max="13325" width="0" style="178" hidden="1" customWidth="1"/>
    <col min="13326" max="13326" width="18.71875" style="178" bestFit="1" customWidth="1"/>
    <col min="13327" max="13328" width="0" style="178" hidden="1" customWidth="1"/>
    <col min="13329" max="13329" width="18.27734375" style="178" bestFit="1" customWidth="1"/>
    <col min="13330" max="13330" width="0" style="178" hidden="1" customWidth="1"/>
    <col min="13331" max="13331" width="19.27734375" style="178" bestFit="1" customWidth="1"/>
    <col min="13332" max="13570" width="9.27734375" style="178"/>
    <col min="13571" max="13571" width="0" style="178" hidden="1" customWidth="1"/>
    <col min="13572" max="13572" width="54.71875" style="178" bestFit="1" customWidth="1"/>
    <col min="13573" max="13573" width="17.71875" style="178" bestFit="1" customWidth="1"/>
    <col min="13574" max="13575" width="0" style="178" hidden="1" customWidth="1"/>
    <col min="13576" max="13576" width="18" style="178" bestFit="1" customWidth="1"/>
    <col min="13577" max="13578" width="0" style="178" hidden="1" customWidth="1"/>
    <col min="13579" max="13579" width="18.5546875" style="178" bestFit="1" customWidth="1"/>
    <col min="13580" max="13581" width="0" style="178" hidden="1" customWidth="1"/>
    <col min="13582" max="13582" width="18.71875" style="178" bestFit="1" customWidth="1"/>
    <col min="13583" max="13584" width="0" style="178" hidden="1" customWidth="1"/>
    <col min="13585" max="13585" width="18.27734375" style="178" bestFit="1" customWidth="1"/>
    <col min="13586" max="13586" width="0" style="178" hidden="1" customWidth="1"/>
    <col min="13587" max="13587" width="19.27734375" style="178" bestFit="1" customWidth="1"/>
    <col min="13588" max="13826" width="9.27734375" style="178"/>
    <col min="13827" max="13827" width="0" style="178" hidden="1" customWidth="1"/>
    <col min="13828" max="13828" width="54.71875" style="178" bestFit="1" customWidth="1"/>
    <col min="13829" max="13829" width="17.71875" style="178" bestFit="1" customWidth="1"/>
    <col min="13830" max="13831" width="0" style="178" hidden="1" customWidth="1"/>
    <col min="13832" max="13832" width="18" style="178" bestFit="1" customWidth="1"/>
    <col min="13833" max="13834" width="0" style="178" hidden="1" customWidth="1"/>
    <col min="13835" max="13835" width="18.5546875" style="178" bestFit="1" customWidth="1"/>
    <col min="13836" max="13837" width="0" style="178" hidden="1" customWidth="1"/>
    <col min="13838" max="13838" width="18.71875" style="178" bestFit="1" customWidth="1"/>
    <col min="13839" max="13840" width="0" style="178" hidden="1" customWidth="1"/>
    <col min="13841" max="13841" width="18.27734375" style="178" bestFit="1" customWidth="1"/>
    <col min="13842" max="13842" width="0" style="178" hidden="1" customWidth="1"/>
    <col min="13843" max="13843" width="19.27734375" style="178" bestFit="1" customWidth="1"/>
    <col min="13844" max="14082" width="9.27734375" style="178"/>
    <col min="14083" max="14083" width="0" style="178" hidden="1" customWidth="1"/>
    <col min="14084" max="14084" width="54.71875" style="178" bestFit="1" customWidth="1"/>
    <col min="14085" max="14085" width="17.71875" style="178" bestFit="1" customWidth="1"/>
    <col min="14086" max="14087" width="0" style="178" hidden="1" customWidth="1"/>
    <col min="14088" max="14088" width="18" style="178" bestFit="1" customWidth="1"/>
    <col min="14089" max="14090" width="0" style="178" hidden="1" customWidth="1"/>
    <col min="14091" max="14091" width="18.5546875" style="178" bestFit="1" customWidth="1"/>
    <col min="14092" max="14093" width="0" style="178" hidden="1" customWidth="1"/>
    <col min="14094" max="14094" width="18.71875" style="178" bestFit="1" customWidth="1"/>
    <col min="14095" max="14096" width="0" style="178" hidden="1" customWidth="1"/>
    <col min="14097" max="14097" width="18.27734375" style="178" bestFit="1" customWidth="1"/>
    <col min="14098" max="14098" width="0" style="178" hidden="1" customWidth="1"/>
    <col min="14099" max="14099" width="19.27734375" style="178" bestFit="1" customWidth="1"/>
    <col min="14100" max="14338" width="9.27734375" style="178"/>
    <col min="14339" max="14339" width="0" style="178" hidden="1" customWidth="1"/>
    <col min="14340" max="14340" width="54.71875" style="178" bestFit="1" customWidth="1"/>
    <col min="14341" max="14341" width="17.71875" style="178" bestFit="1" customWidth="1"/>
    <col min="14342" max="14343" width="0" style="178" hidden="1" customWidth="1"/>
    <col min="14344" max="14344" width="18" style="178" bestFit="1" customWidth="1"/>
    <col min="14345" max="14346" width="0" style="178" hidden="1" customWidth="1"/>
    <col min="14347" max="14347" width="18.5546875" style="178" bestFit="1" customWidth="1"/>
    <col min="14348" max="14349" width="0" style="178" hidden="1" customWidth="1"/>
    <col min="14350" max="14350" width="18.71875" style="178" bestFit="1" customWidth="1"/>
    <col min="14351" max="14352" width="0" style="178" hidden="1" customWidth="1"/>
    <col min="14353" max="14353" width="18.27734375" style="178" bestFit="1" customWidth="1"/>
    <col min="14354" max="14354" width="0" style="178" hidden="1" customWidth="1"/>
    <col min="14355" max="14355" width="19.27734375" style="178" bestFit="1" customWidth="1"/>
    <col min="14356" max="14594" width="9.27734375" style="178"/>
    <col min="14595" max="14595" width="0" style="178" hidden="1" customWidth="1"/>
    <col min="14596" max="14596" width="54.71875" style="178" bestFit="1" customWidth="1"/>
    <col min="14597" max="14597" width="17.71875" style="178" bestFit="1" customWidth="1"/>
    <col min="14598" max="14599" width="0" style="178" hidden="1" customWidth="1"/>
    <col min="14600" max="14600" width="18" style="178" bestFit="1" customWidth="1"/>
    <col min="14601" max="14602" width="0" style="178" hidden="1" customWidth="1"/>
    <col min="14603" max="14603" width="18.5546875" style="178" bestFit="1" customWidth="1"/>
    <col min="14604" max="14605" width="0" style="178" hidden="1" customWidth="1"/>
    <col min="14606" max="14606" width="18.71875" style="178" bestFit="1" customWidth="1"/>
    <col min="14607" max="14608" width="0" style="178" hidden="1" customWidth="1"/>
    <col min="14609" max="14609" width="18.27734375" style="178" bestFit="1" customWidth="1"/>
    <col min="14610" max="14610" width="0" style="178" hidden="1" customWidth="1"/>
    <col min="14611" max="14611" width="19.27734375" style="178" bestFit="1" customWidth="1"/>
    <col min="14612" max="14850" width="9.27734375" style="178"/>
    <col min="14851" max="14851" width="0" style="178" hidden="1" customWidth="1"/>
    <col min="14852" max="14852" width="54.71875" style="178" bestFit="1" customWidth="1"/>
    <col min="14853" max="14853" width="17.71875" style="178" bestFit="1" customWidth="1"/>
    <col min="14854" max="14855" width="0" style="178" hidden="1" customWidth="1"/>
    <col min="14856" max="14856" width="18" style="178" bestFit="1" customWidth="1"/>
    <col min="14857" max="14858" width="0" style="178" hidden="1" customWidth="1"/>
    <col min="14859" max="14859" width="18.5546875" style="178" bestFit="1" customWidth="1"/>
    <col min="14860" max="14861" width="0" style="178" hidden="1" customWidth="1"/>
    <col min="14862" max="14862" width="18.71875" style="178" bestFit="1" customWidth="1"/>
    <col min="14863" max="14864" width="0" style="178" hidden="1" customWidth="1"/>
    <col min="14865" max="14865" width="18.27734375" style="178" bestFit="1" customWidth="1"/>
    <col min="14866" max="14866" width="0" style="178" hidden="1" customWidth="1"/>
    <col min="14867" max="14867" width="19.27734375" style="178" bestFit="1" customWidth="1"/>
    <col min="14868" max="15106" width="9.27734375" style="178"/>
    <col min="15107" max="15107" width="0" style="178" hidden="1" customWidth="1"/>
    <col min="15108" max="15108" width="54.71875" style="178" bestFit="1" customWidth="1"/>
    <col min="15109" max="15109" width="17.71875" style="178" bestFit="1" customWidth="1"/>
    <col min="15110" max="15111" width="0" style="178" hidden="1" customWidth="1"/>
    <col min="15112" max="15112" width="18" style="178" bestFit="1" customWidth="1"/>
    <col min="15113" max="15114" width="0" style="178" hidden="1" customWidth="1"/>
    <col min="15115" max="15115" width="18.5546875" style="178" bestFit="1" customWidth="1"/>
    <col min="15116" max="15117" width="0" style="178" hidden="1" customWidth="1"/>
    <col min="15118" max="15118" width="18.71875" style="178" bestFit="1" customWidth="1"/>
    <col min="15119" max="15120" width="0" style="178" hidden="1" customWidth="1"/>
    <col min="15121" max="15121" width="18.27734375" style="178" bestFit="1" customWidth="1"/>
    <col min="15122" max="15122" width="0" style="178" hidden="1" customWidth="1"/>
    <col min="15123" max="15123" width="19.27734375" style="178" bestFit="1" customWidth="1"/>
    <col min="15124" max="15362" width="9.27734375" style="178"/>
    <col min="15363" max="15363" width="0" style="178" hidden="1" customWidth="1"/>
    <col min="15364" max="15364" width="54.71875" style="178" bestFit="1" customWidth="1"/>
    <col min="15365" max="15365" width="17.71875" style="178" bestFit="1" customWidth="1"/>
    <col min="15366" max="15367" width="0" style="178" hidden="1" customWidth="1"/>
    <col min="15368" max="15368" width="18" style="178" bestFit="1" customWidth="1"/>
    <col min="15369" max="15370" width="0" style="178" hidden="1" customWidth="1"/>
    <col min="15371" max="15371" width="18.5546875" style="178" bestFit="1" customWidth="1"/>
    <col min="15372" max="15373" width="0" style="178" hidden="1" customWidth="1"/>
    <col min="15374" max="15374" width="18.71875" style="178" bestFit="1" customWidth="1"/>
    <col min="15375" max="15376" width="0" style="178" hidden="1" customWidth="1"/>
    <col min="15377" max="15377" width="18.27734375" style="178" bestFit="1" customWidth="1"/>
    <col min="15378" max="15378" width="0" style="178" hidden="1" customWidth="1"/>
    <col min="15379" max="15379" width="19.27734375" style="178" bestFit="1" customWidth="1"/>
    <col min="15380" max="15618" width="9.27734375" style="178"/>
    <col min="15619" max="15619" width="0" style="178" hidden="1" customWidth="1"/>
    <col min="15620" max="15620" width="54.71875" style="178" bestFit="1" customWidth="1"/>
    <col min="15621" max="15621" width="17.71875" style="178" bestFit="1" customWidth="1"/>
    <col min="15622" max="15623" width="0" style="178" hidden="1" customWidth="1"/>
    <col min="15624" max="15624" width="18" style="178" bestFit="1" customWidth="1"/>
    <col min="15625" max="15626" width="0" style="178" hidden="1" customWidth="1"/>
    <col min="15627" max="15627" width="18.5546875" style="178" bestFit="1" customWidth="1"/>
    <col min="15628" max="15629" width="0" style="178" hidden="1" customWidth="1"/>
    <col min="15630" max="15630" width="18.71875" style="178" bestFit="1" customWidth="1"/>
    <col min="15631" max="15632" width="0" style="178" hidden="1" customWidth="1"/>
    <col min="15633" max="15633" width="18.27734375" style="178" bestFit="1" customWidth="1"/>
    <col min="15634" max="15634" width="0" style="178" hidden="1" customWidth="1"/>
    <col min="15635" max="15635" width="19.27734375" style="178" bestFit="1" customWidth="1"/>
    <col min="15636" max="15874" width="9.27734375" style="178"/>
    <col min="15875" max="15875" width="0" style="178" hidden="1" customWidth="1"/>
    <col min="15876" max="15876" width="54.71875" style="178" bestFit="1" customWidth="1"/>
    <col min="15877" max="15877" width="17.71875" style="178" bestFit="1" customWidth="1"/>
    <col min="15878" max="15879" width="0" style="178" hidden="1" customWidth="1"/>
    <col min="15880" max="15880" width="18" style="178" bestFit="1" customWidth="1"/>
    <col min="15881" max="15882" width="0" style="178" hidden="1" customWidth="1"/>
    <col min="15883" max="15883" width="18.5546875" style="178" bestFit="1" customWidth="1"/>
    <col min="15884" max="15885" width="0" style="178" hidden="1" customWidth="1"/>
    <col min="15886" max="15886" width="18.71875" style="178" bestFit="1" customWidth="1"/>
    <col min="15887" max="15888" width="0" style="178" hidden="1" customWidth="1"/>
    <col min="15889" max="15889" width="18.27734375" style="178" bestFit="1" customWidth="1"/>
    <col min="15890" max="15890" width="0" style="178" hidden="1" customWidth="1"/>
    <col min="15891" max="15891" width="19.27734375" style="178" bestFit="1" customWidth="1"/>
    <col min="15892" max="16130" width="9.27734375" style="178"/>
    <col min="16131" max="16131" width="0" style="178" hidden="1" customWidth="1"/>
    <col min="16132" max="16132" width="54.71875" style="178" bestFit="1" customWidth="1"/>
    <col min="16133" max="16133" width="17.71875" style="178" bestFit="1" customWidth="1"/>
    <col min="16134" max="16135" width="0" style="178" hidden="1" customWidth="1"/>
    <col min="16136" max="16136" width="18" style="178" bestFit="1" customWidth="1"/>
    <col min="16137" max="16138" width="0" style="178" hidden="1" customWidth="1"/>
    <col min="16139" max="16139" width="18.5546875" style="178" bestFit="1" customWidth="1"/>
    <col min="16140" max="16141" width="0" style="178" hidden="1" customWidth="1"/>
    <col min="16142" max="16142" width="18.71875" style="178" bestFit="1" customWidth="1"/>
    <col min="16143" max="16144" width="0" style="178" hidden="1" customWidth="1"/>
    <col min="16145" max="16145" width="18.27734375" style="178" bestFit="1" customWidth="1"/>
    <col min="16146" max="16146" width="0" style="178" hidden="1" customWidth="1"/>
    <col min="16147" max="16147" width="19.27734375" style="178" bestFit="1" customWidth="1"/>
    <col min="16148" max="16384" width="9.27734375" style="178"/>
  </cols>
  <sheetData>
    <row r="1" spans="1:20" ht="20.100000000000001">
      <c r="B1" s="4" t="str">
        <f>Assumptions!$B$4</f>
        <v>Partners of America</v>
      </c>
    </row>
    <row r="2" spans="1:20">
      <c r="B2" s="315" t="str">
        <f>CONCATENATE(Assumptions!$B5," ",Assumptions!$C5)</f>
        <v>DONOR: USDOL</v>
      </c>
    </row>
    <row r="3" spans="1:20">
      <c r="B3" s="315" t="str">
        <f>CONCATENATE(Assumptions!$B6," ",Assumptions!$C6)</f>
        <v>Country: Ecuador</v>
      </c>
    </row>
    <row r="4" spans="1:20">
      <c r="B4" s="315" t="str">
        <f>CONCATENATE(Assumptions!$B7," ",Assumptions!$C7)</f>
        <v>Program Name: Project to Improve Adherence to International Labor Standards in the Agricultural Sector in Ecuador</v>
      </c>
    </row>
    <row r="5" spans="1:20">
      <c r="B5" s="315" t="str">
        <f>CONCATENATE(Assumptions!$B8," ",Assumptions!$C8)</f>
        <v>Grant Number: FOA-ILAB-23-28</v>
      </c>
    </row>
    <row r="6" spans="1:20">
      <c r="B6" s="1028"/>
    </row>
    <row r="7" spans="1:20" ht="20.100000000000001">
      <c r="B7" s="176" t="s">
        <v>301</v>
      </c>
    </row>
    <row r="8" spans="1:20" ht="15.3" thickBot="1">
      <c r="B8" s="341"/>
      <c r="C8" s="342"/>
      <c r="D8" s="342"/>
      <c r="E8" s="342"/>
      <c r="F8" s="342"/>
      <c r="G8" s="342"/>
      <c r="H8" s="342"/>
      <c r="I8" s="342"/>
      <c r="J8" s="342"/>
      <c r="K8" s="342"/>
      <c r="L8" s="342"/>
      <c r="M8" s="342"/>
      <c r="N8" s="342"/>
      <c r="O8" s="342"/>
      <c r="P8" s="342"/>
      <c r="Q8" s="342"/>
      <c r="R8" s="342"/>
      <c r="S8" s="342"/>
    </row>
    <row r="9" spans="1:20" ht="15.3" thickBot="1">
      <c r="B9" s="1029" t="s">
        <v>290</v>
      </c>
      <c r="C9" s="1030" t="e">
        <f>#REF!</f>
        <v>#REF!</v>
      </c>
      <c r="D9" s="1031"/>
      <c r="E9" s="1031"/>
      <c r="F9" s="1030" t="e">
        <f>#REF!</f>
        <v>#REF!</v>
      </c>
      <c r="G9" s="1031"/>
      <c r="H9" s="1031"/>
      <c r="I9" s="1030" t="e">
        <f>#REF!</f>
        <v>#REF!</v>
      </c>
      <c r="J9" s="1031"/>
      <c r="K9" s="1031"/>
      <c r="L9" s="1030" t="e">
        <f>#REF!</f>
        <v>#REF!</v>
      </c>
      <c r="M9" s="1031"/>
      <c r="N9" s="1031"/>
      <c r="O9" s="1030" t="e">
        <f>#REF!</f>
        <v>#REF!</v>
      </c>
      <c r="P9" s="1031"/>
      <c r="Q9" s="1031"/>
      <c r="R9" s="1031"/>
      <c r="S9" s="1032" t="s">
        <v>71</v>
      </c>
      <c r="T9" s="346"/>
    </row>
    <row r="10" spans="1:20" ht="15.3" thickTop="1">
      <c r="B10" s="343"/>
      <c r="C10" s="344"/>
      <c r="D10" s="344"/>
      <c r="E10" s="344"/>
      <c r="F10" s="344"/>
      <c r="G10" s="344"/>
      <c r="H10" s="344"/>
      <c r="I10" s="344"/>
      <c r="J10" s="344"/>
      <c r="K10" s="344"/>
      <c r="L10" s="344"/>
      <c r="M10" s="344"/>
      <c r="N10" s="344"/>
      <c r="O10" s="344"/>
      <c r="P10" s="344"/>
      <c r="Q10" s="344"/>
      <c r="R10" s="344"/>
      <c r="S10" s="345"/>
      <c r="T10" s="346"/>
    </row>
    <row r="11" spans="1:20" ht="17.7">
      <c r="A11" s="175" t="s">
        <v>302</v>
      </c>
      <c r="B11" s="182" t="s">
        <v>303</v>
      </c>
      <c r="C11" s="180"/>
      <c r="D11" s="180"/>
      <c r="E11" s="180"/>
      <c r="F11" s="180"/>
      <c r="G11" s="180"/>
      <c r="H11" s="180"/>
      <c r="I11" s="180"/>
      <c r="J11" s="180"/>
      <c r="K11" s="180"/>
      <c r="L11" s="180"/>
      <c r="M11" s="180"/>
      <c r="N11" s="180"/>
      <c r="O11" s="180"/>
      <c r="P11" s="180"/>
      <c r="Q11" s="180"/>
      <c r="R11" s="180"/>
      <c r="S11" s="181"/>
      <c r="T11" s="346"/>
    </row>
    <row r="12" spans="1:20">
      <c r="B12" s="183" t="s">
        <v>304</v>
      </c>
      <c r="C12" s="180" t="e">
        <f>SUM(#REF!,#REF!)</f>
        <v>#REF!</v>
      </c>
      <c r="D12" s="180"/>
      <c r="E12" s="180"/>
      <c r="F12" s="180" t="e">
        <f>SUM(#REF!,#REF!)</f>
        <v>#REF!</v>
      </c>
      <c r="G12" s="180"/>
      <c r="H12" s="180"/>
      <c r="I12" s="180" t="e">
        <f>SUM(#REF!,#REF!)</f>
        <v>#REF!</v>
      </c>
      <c r="J12" s="180"/>
      <c r="K12" s="180"/>
      <c r="L12" s="180" t="e">
        <f>SUM(#REF!,#REF!)</f>
        <v>#REF!</v>
      </c>
      <c r="M12" s="180"/>
      <c r="N12" s="180"/>
      <c r="O12" s="180" t="e">
        <f>SUM(#REF!,#REF!)</f>
        <v>#REF!</v>
      </c>
      <c r="P12" s="180"/>
      <c r="Q12" s="180"/>
      <c r="R12" s="180"/>
      <c r="S12" s="181" t="e">
        <f t="shared" ref="S12:S20" si="0">SUM(C12:O12)</f>
        <v>#REF!</v>
      </c>
      <c r="T12" s="346"/>
    </row>
    <row r="13" spans="1:20">
      <c r="B13" s="183" t="s">
        <v>305</v>
      </c>
      <c r="C13" s="180" t="e">
        <f>SUM(#REF!)</f>
        <v>#REF!</v>
      </c>
      <c r="D13" s="180"/>
      <c r="E13" s="180"/>
      <c r="F13" s="180" t="e">
        <f>SUM(#REF!)</f>
        <v>#REF!</v>
      </c>
      <c r="G13" s="180"/>
      <c r="H13" s="180"/>
      <c r="I13" s="180" t="e">
        <f>SUM(#REF!)</f>
        <v>#REF!</v>
      </c>
      <c r="J13" s="180"/>
      <c r="K13" s="180"/>
      <c r="L13" s="180" t="e">
        <f>SUM(#REF!)</f>
        <v>#REF!</v>
      </c>
      <c r="M13" s="180"/>
      <c r="N13" s="180"/>
      <c r="O13" s="180" t="e">
        <f>SUM(#REF!)</f>
        <v>#REF!</v>
      </c>
      <c r="P13" s="180"/>
      <c r="Q13" s="180"/>
      <c r="R13" s="180"/>
      <c r="S13" s="181" t="e">
        <f t="shared" si="0"/>
        <v>#REF!</v>
      </c>
      <c r="T13" s="346"/>
    </row>
    <row r="14" spans="1:20">
      <c r="B14" s="183" t="s">
        <v>306</v>
      </c>
      <c r="C14" s="180" t="e">
        <f>SUM(#REF!,#REF!)</f>
        <v>#REF!</v>
      </c>
      <c r="D14" s="180"/>
      <c r="E14" s="180"/>
      <c r="F14" s="180" t="e">
        <f>SUM(#REF!,#REF!)</f>
        <v>#REF!</v>
      </c>
      <c r="G14" s="180"/>
      <c r="H14" s="180"/>
      <c r="I14" s="180" t="e">
        <f>SUM(#REF!,#REF!)</f>
        <v>#REF!</v>
      </c>
      <c r="J14" s="180"/>
      <c r="K14" s="180"/>
      <c r="L14" s="180" t="e">
        <f>SUM(#REF!,#REF!)</f>
        <v>#REF!</v>
      </c>
      <c r="M14" s="180"/>
      <c r="N14" s="180"/>
      <c r="O14" s="180" t="e">
        <f>SUM(#REF!,#REF!)</f>
        <v>#REF!</v>
      </c>
      <c r="P14" s="180"/>
      <c r="Q14" s="180"/>
      <c r="R14" s="180"/>
      <c r="S14" s="181" t="e">
        <f>SUM(C14:O14)</f>
        <v>#REF!</v>
      </c>
      <c r="T14" s="346"/>
    </row>
    <row r="15" spans="1:20">
      <c r="B15" s="183" t="s">
        <v>307</v>
      </c>
      <c r="C15" s="180" t="e">
        <f>SUM(#REF!)</f>
        <v>#REF!</v>
      </c>
      <c r="D15" s="180"/>
      <c r="E15" s="180"/>
      <c r="F15" s="180" t="e">
        <f>SUM(#REF!)</f>
        <v>#REF!</v>
      </c>
      <c r="G15" s="180"/>
      <c r="H15" s="180"/>
      <c r="I15" s="180" t="e">
        <f>SUM(#REF!)</f>
        <v>#REF!</v>
      </c>
      <c r="J15" s="180"/>
      <c r="K15" s="180"/>
      <c r="L15" s="180" t="e">
        <f>SUM(#REF!)</f>
        <v>#REF!</v>
      </c>
      <c r="M15" s="180"/>
      <c r="N15" s="180"/>
      <c r="O15" s="180" t="e">
        <f>SUM(#REF!)</f>
        <v>#REF!</v>
      </c>
      <c r="P15" s="180"/>
      <c r="Q15" s="180"/>
      <c r="R15" s="180"/>
      <c r="S15" s="181" t="e">
        <f>SUM(C15:O15)</f>
        <v>#REF!</v>
      </c>
      <c r="T15" s="346"/>
    </row>
    <row r="16" spans="1:20">
      <c r="B16" s="183" t="s">
        <v>308</v>
      </c>
      <c r="C16" s="180" t="e">
        <f>SUM(#REF!,#REF!,#REF!)</f>
        <v>#REF!</v>
      </c>
      <c r="D16" s="184"/>
      <c r="E16" s="180"/>
      <c r="F16" s="180" t="e">
        <f>SUM(#REF!,#REF!,#REF!)</f>
        <v>#REF!</v>
      </c>
      <c r="G16" s="184"/>
      <c r="H16" s="180"/>
      <c r="I16" s="180" t="e">
        <f>SUM(#REF!,#REF!,#REF!)</f>
        <v>#REF!</v>
      </c>
      <c r="J16" s="184"/>
      <c r="K16" s="180"/>
      <c r="L16" s="180" t="e">
        <f>SUM(#REF!,#REF!,#REF!)</f>
        <v>#REF!</v>
      </c>
      <c r="M16" s="184"/>
      <c r="N16" s="180"/>
      <c r="O16" s="180" t="e">
        <f>SUM(#REF!,#REF!,#REF!)</f>
        <v>#REF!</v>
      </c>
      <c r="P16" s="184"/>
      <c r="Q16" s="184"/>
      <c r="R16" s="180"/>
      <c r="S16" s="181" t="e">
        <f t="shared" si="0"/>
        <v>#REF!</v>
      </c>
      <c r="T16" s="346"/>
    </row>
    <row r="17" spans="1:20">
      <c r="B17" s="185" t="s">
        <v>309</v>
      </c>
      <c r="C17" s="180" t="e">
        <f>SUM(#REF!)</f>
        <v>#REF!</v>
      </c>
      <c r="D17" s="180"/>
      <c r="E17" s="180"/>
      <c r="F17" s="180" t="e">
        <f>SUM(#REF!)</f>
        <v>#REF!</v>
      </c>
      <c r="G17" s="180"/>
      <c r="H17" s="180"/>
      <c r="I17" s="180" t="e">
        <f>SUM(#REF!)</f>
        <v>#REF!</v>
      </c>
      <c r="J17" s="180"/>
      <c r="K17" s="180"/>
      <c r="L17" s="180" t="e">
        <f>SUM(#REF!)</f>
        <v>#REF!</v>
      </c>
      <c r="M17" s="180"/>
      <c r="N17" s="180"/>
      <c r="O17" s="180" t="e">
        <f>SUM(#REF!)</f>
        <v>#REF!</v>
      </c>
      <c r="P17" s="180"/>
      <c r="Q17" s="180"/>
      <c r="R17" s="180"/>
      <c r="S17" s="181" t="e">
        <f>SUM(C17:O17)</f>
        <v>#REF!</v>
      </c>
      <c r="T17" s="346"/>
    </row>
    <row r="18" spans="1:20">
      <c r="B18" s="185" t="s">
        <v>310</v>
      </c>
      <c r="C18" s="180" t="e">
        <f>SUM(#REF!)</f>
        <v>#REF!</v>
      </c>
      <c r="D18" s="180"/>
      <c r="E18" s="180"/>
      <c r="F18" s="180" t="e">
        <f>SUM(#REF!)</f>
        <v>#REF!</v>
      </c>
      <c r="G18" s="180"/>
      <c r="H18" s="180"/>
      <c r="I18" s="180" t="e">
        <f>SUM(#REF!)</f>
        <v>#REF!</v>
      </c>
      <c r="J18" s="180"/>
      <c r="K18" s="180"/>
      <c r="L18" s="180" t="e">
        <f>SUM(#REF!)</f>
        <v>#REF!</v>
      </c>
      <c r="M18" s="180"/>
      <c r="N18" s="180"/>
      <c r="O18" s="180" t="e">
        <f>SUM(#REF!)</f>
        <v>#REF!</v>
      </c>
      <c r="P18" s="180"/>
      <c r="Q18" s="180"/>
      <c r="R18" s="180"/>
      <c r="S18" s="181" t="e">
        <f t="shared" si="0"/>
        <v>#REF!</v>
      </c>
      <c r="T18" s="346"/>
    </row>
    <row r="19" spans="1:20">
      <c r="B19" s="183" t="s">
        <v>40</v>
      </c>
      <c r="C19" s="180" t="e">
        <f>#REF!</f>
        <v>#REF!</v>
      </c>
      <c r="D19" s="180"/>
      <c r="E19" s="180"/>
      <c r="F19" s="180" t="e">
        <f>#REF!</f>
        <v>#REF!</v>
      </c>
      <c r="G19" s="180"/>
      <c r="H19" s="180"/>
      <c r="I19" s="180" t="e">
        <f>#REF!</f>
        <v>#REF!</v>
      </c>
      <c r="J19" s="180"/>
      <c r="K19" s="180"/>
      <c r="L19" s="180" t="e">
        <f>#REF!</f>
        <v>#REF!</v>
      </c>
      <c r="M19" s="180"/>
      <c r="N19" s="180"/>
      <c r="O19" s="180" t="e">
        <f>#REF!</f>
        <v>#REF!</v>
      </c>
      <c r="P19" s="180"/>
      <c r="Q19" s="180"/>
      <c r="R19" s="180"/>
      <c r="S19" s="181" t="e">
        <f t="shared" si="0"/>
        <v>#REF!</v>
      </c>
      <c r="T19" s="346"/>
    </row>
    <row r="20" spans="1:20">
      <c r="B20" s="317" t="s">
        <v>311</v>
      </c>
      <c r="C20" s="318" t="e">
        <f>SUM(#REF!)</f>
        <v>#REF!</v>
      </c>
      <c r="D20" s="318"/>
      <c r="E20" s="318"/>
      <c r="F20" s="318" t="e">
        <f>SUM(#REF!)</f>
        <v>#REF!</v>
      </c>
      <c r="G20" s="318"/>
      <c r="H20" s="318"/>
      <c r="I20" s="318" t="e">
        <f>SUM(#REF!)</f>
        <v>#REF!</v>
      </c>
      <c r="J20" s="318"/>
      <c r="K20" s="318"/>
      <c r="L20" s="318" t="e">
        <f>SUM(#REF!)</f>
        <v>#REF!</v>
      </c>
      <c r="M20" s="318"/>
      <c r="N20" s="318"/>
      <c r="O20" s="318" t="e">
        <f>SUM(#REF!)</f>
        <v>#REF!</v>
      </c>
      <c r="P20" s="318"/>
      <c r="Q20" s="318"/>
      <c r="R20" s="318"/>
      <c r="S20" s="319" t="e">
        <f t="shared" si="0"/>
        <v>#REF!</v>
      </c>
      <c r="T20" s="346"/>
    </row>
    <row r="21" spans="1:20" s="179" customFormat="1" ht="16.5">
      <c r="A21" s="186"/>
      <c r="B21" s="189" t="s">
        <v>312</v>
      </c>
      <c r="C21" s="190" t="e">
        <f>SUM(C12:C20)</f>
        <v>#REF!</v>
      </c>
      <c r="D21" s="190"/>
      <c r="E21" s="190"/>
      <c r="F21" s="190" t="e">
        <f>SUM(F12:F20)</f>
        <v>#REF!</v>
      </c>
      <c r="G21" s="190"/>
      <c r="H21" s="190"/>
      <c r="I21" s="190" t="e">
        <f>SUM(I12:I20)</f>
        <v>#REF!</v>
      </c>
      <c r="J21" s="190"/>
      <c r="K21" s="190"/>
      <c r="L21" s="190" t="e">
        <f>SUM(L12:L20)</f>
        <v>#REF!</v>
      </c>
      <c r="M21" s="190"/>
      <c r="N21" s="190"/>
      <c r="O21" s="190" t="e">
        <f>SUM(O12:O20)</f>
        <v>#REF!</v>
      </c>
      <c r="P21" s="190"/>
      <c r="Q21" s="190"/>
      <c r="R21" s="190"/>
      <c r="S21" s="191" t="e">
        <f>SUM(C21:O21)</f>
        <v>#REF!</v>
      </c>
      <c r="T21" s="346"/>
    </row>
    <row r="22" spans="1:20">
      <c r="B22" s="320"/>
      <c r="C22" s="321"/>
      <c r="D22" s="321"/>
      <c r="E22" s="321"/>
      <c r="F22" s="321"/>
      <c r="G22" s="321"/>
      <c r="H22" s="321"/>
      <c r="I22" s="321"/>
      <c r="J22" s="321"/>
      <c r="K22" s="321"/>
      <c r="L22" s="321"/>
      <c r="M22" s="321"/>
      <c r="N22" s="321"/>
      <c r="O22" s="321"/>
      <c r="P22" s="321"/>
      <c r="Q22" s="321"/>
      <c r="R22" s="321"/>
      <c r="S22" s="187"/>
      <c r="T22" s="346"/>
    </row>
    <row r="23" spans="1:20" ht="17.7">
      <c r="B23" s="182" t="s">
        <v>313</v>
      </c>
      <c r="C23" s="180"/>
      <c r="D23" s="180"/>
      <c r="E23" s="180"/>
      <c r="F23" s="180"/>
      <c r="G23" s="180"/>
      <c r="H23" s="180"/>
      <c r="I23" s="180"/>
      <c r="J23" s="180"/>
      <c r="K23" s="180"/>
      <c r="L23" s="180"/>
      <c r="M23" s="180"/>
      <c r="N23" s="180"/>
      <c r="O23" s="180"/>
      <c r="P23" s="180"/>
      <c r="Q23" s="180"/>
      <c r="R23" s="180"/>
      <c r="S23" s="181"/>
      <c r="T23" s="346"/>
    </row>
    <row r="24" spans="1:20">
      <c r="B24" s="183" t="s">
        <v>314</v>
      </c>
      <c r="C24" s="180" t="e">
        <f>#REF!</f>
        <v>#REF!</v>
      </c>
      <c r="D24" s="180"/>
      <c r="E24" s="180"/>
      <c r="F24" s="180" t="e">
        <f>#REF!</f>
        <v>#REF!</v>
      </c>
      <c r="G24" s="180"/>
      <c r="H24" s="180"/>
      <c r="I24" s="180" t="e">
        <f>#REF!</f>
        <v>#REF!</v>
      </c>
      <c r="J24" s="180"/>
      <c r="K24" s="180"/>
      <c r="L24" s="180" t="e">
        <f>#REF!</f>
        <v>#REF!</v>
      </c>
      <c r="M24" s="180"/>
      <c r="N24" s="180"/>
      <c r="O24" s="180" t="e">
        <f>#REF!</f>
        <v>#REF!</v>
      </c>
      <c r="P24" s="180"/>
      <c r="Q24" s="180"/>
      <c r="R24" s="180"/>
      <c r="S24" s="181" t="e">
        <f t="shared" ref="S24:S29" si="1">SUM(O24,C24,F24,I24,L24)</f>
        <v>#REF!</v>
      </c>
      <c r="T24" s="346"/>
    </row>
    <row r="25" spans="1:20">
      <c r="B25" s="183" t="s">
        <v>315</v>
      </c>
      <c r="C25" s="180" t="e">
        <f>#REF!</f>
        <v>#REF!</v>
      </c>
      <c r="D25" s="180"/>
      <c r="E25" s="180"/>
      <c r="F25" s="180" t="e">
        <f>#REF!</f>
        <v>#REF!</v>
      </c>
      <c r="G25" s="180"/>
      <c r="H25" s="180"/>
      <c r="I25" s="180" t="e">
        <f>#REF!</f>
        <v>#REF!</v>
      </c>
      <c r="J25" s="180"/>
      <c r="K25" s="180"/>
      <c r="L25" s="180" t="e">
        <f>#REF!</f>
        <v>#REF!</v>
      </c>
      <c r="M25" s="180"/>
      <c r="N25" s="180"/>
      <c r="O25" s="180" t="e">
        <f>#REF!</f>
        <v>#REF!</v>
      </c>
      <c r="P25" s="180"/>
      <c r="Q25" s="180"/>
      <c r="R25" s="180"/>
      <c r="S25" s="181" t="e">
        <f t="shared" si="1"/>
        <v>#REF!</v>
      </c>
      <c r="T25" s="346"/>
    </row>
    <row r="26" spans="1:20">
      <c r="B26" s="183" t="s">
        <v>316</v>
      </c>
      <c r="C26" s="180" t="e">
        <f>SUM(#REF!)</f>
        <v>#REF!</v>
      </c>
      <c r="D26" s="180"/>
      <c r="E26" s="180"/>
      <c r="F26" s="180" t="e">
        <f>SUM(#REF!)</f>
        <v>#REF!</v>
      </c>
      <c r="G26" s="180"/>
      <c r="H26" s="180"/>
      <c r="I26" s="180" t="e">
        <f>SUM(#REF!)</f>
        <v>#REF!</v>
      </c>
      <c r="J26" s="180"/>
      <c r="K26" s="180"/>
      <c r="L26" s="180" t="e">
        <f>SUM(#REF!)</f>
        <v>#REF!</v>
      </c>
      <c r="M26" s="180"/>
      <c r="N26" s="180"/>
      <c r="O26" s="180" t="e">
        <f>SUM(#REF!)</f>
        <v>#REF!</v>
      </c>
      <c r="P26" s="180"/>
      <c r="Q26" s="180"/>
      <c r="R26" s="180"/>
      <c r="S26" s="181" t="e">
        <f>SUM(O26,C26,F26,I26,L26)</f>
        <v>#REF!</v>
      </c>
      <c r="T26" s="346"/>
    </row>
    <row r="27" spans="1:20">
      <c r="B27" s="183" t="s">
        <v>317</v>
      </c>
      <c r="C27" s="180" t="e">
        <f>#REF!</f>
        <v>#REF!</v>
      </c>
      <c r="D27" s="180"/>
      <c r="E27" s="180"/>
      <c r="F27" s="180" t="e">
        <f>#REF!</f>
        <v>#REF!</v>
      </c>
      <c r="G27" s="180"/>
      <c r="H27" s="180"/>
      <c r="I27" s="180" t="e">
        <f>#REF!</f>
        <v>#REF!</v>
      </c>
      <c r="J27" s="180"/>
      <c r="K27" s="180"/>
      <c r="L27" s="180" t="e">
        <f>#REF!</f>
        <v>#REF!</v>
      </c>
      <c r="M27" s="180"/>
      <c r="N27" s="180"/>
      <c r="O27" s="180" t="e">
        <f>#REF!</f>
        <v>#REF!</v>
      </c>
      <c r="P27" s="180"/>
      <c r="Q27" s="180"/>
      <c r="R27" s="180"/>
      <c r="S27" s="181" t="e">
        <f t="shared" si="1"/>
        <v>#REF!</v>
      </c>
      <c r="T27" s="346"/>
    </row>
    <row r="28" spans="1:20">
      <c r="B28" s="183" t="s">
        <v>69</v>
      </c>
      <c r="C28" s="180" t="e">
        <f>#REF!</f>
        <v>#REF!</v>
      </c>
      <c r="D28" s="180"/>
      <c r="E28" s="180"/>
      <c r="F28" s="180" t="e">
        <f>#REF!</f>
        <v>#REF!</v>
      </c>
      <c r="G28" s="180"/>
      <c r="H28" s="180"/>
      <c r="I28" s="180" t="e">
        <f>#REF!</f>
        <v>#REF!</v>
      </c>
      <c r="J28" s="180"/>
      <c r="K28" s="180"/>
      <c r="L28" s="180" t="e">
        <f>#REF!</f>
        <v>#REF!</v>
      </c>
      <c r="M28" s="180"/>
      <c r="N28" s="180"/>
      <c r="O28" s="180" t="e">
        <f>#REF!</f>
        <v>#REF!</v>
      </c>
      <c r="P28" s="180"/>
      <c r="Q28" s="180"/>
      <c r="R28" s="180"/>
      <c r="S28" s="181" t="e">
        <f t="shared" si="1"/>
        <v>#REF!</v>
      </c>
      <c r="T28" s="346"/>
    </row>
    <row r="29" spans="1:20">
      <c r="B29" s="317" t="s">
        <v>318</v>
      </c>
      <c r="C29" s="318" t="e">
        <f>SUM(#REF!)</f>
        <v>#REF!</v>
      </c>
      <c r="D29" s="318"/>
      <c r="E29" s="318"/>
      <c r="F29" s="318" t="e">
        <f>SUM(#REF!)</f>
        <v>#REF!</v>
      </c>
      <c r="G29" s="318"/>
      <c r="H29" s="318"/>
      <c r="I29" s="318" t="e">
        <f>SUM(#REF!)</f>
        <v>#REF!</v>
      </c>
      <c r="J29" s="318"/>
      <c r="K29" s="318"/>
      <c r="L29" s="318" t="e">
        <f>SUM(#REF!)</f>
        <v>#REF!</v>
      </c>
      <c r="M29" s="318"/>
      <c r="N29" s="318"/>
      <c r="O29" s="318" t="e">
        <f>SUM(#REF!)</f>
        <v>#REF!</v>
      </c>
      <c r="P29" s="318"/>
      <c r="Q29" s="318"/>
      <c r="R29" s="318"/>
      <c r="S29" s="319" t="e">
        <f t="shared" si="1"/>
        <v>#REF!</v>
      </c>
      <c r="T29" s="346"/>
    </row>
    <row r="30" spans="1:20" s="179" customFormat="1" ht="16.5">
      <c r="A30" s="186"/>
      <c r="B30" s="189" t="s">
        <v>319</v>
      </c>
      <c r="C30" s="190" t="e">
        <f>SUM(C23:C29)</f>
        <v>#REF!</v>
      </c>
      <c r="D30" s="190"/>
      <c r="E30" s="190"/>
      <c r="F30" s="190" t="e">
        <f>SUM(F23:F29)</f>
        <v>#REF!</v>
      </c>
      <c r="G30" s="190"/>
      <c r="H30" s="190"/>
      <c r="I30" s="190" t="e">
        <f>SUM(I23:I29)</f>
        <v>#REF!</v>
      </c>
      <c r="J30" s="190"/>
      <c r="K30" s="190"/>
      <c r="L30" s="190" t="e">
        <f>SUM(L23:L29)</f>
        <v>#REF!</v>
      </c>
      <c r="M30" s="190"/>
      <c r="N30" s="190"/>
      <c r="O30" s="190" t="e">
        <f>SUM(O23:O29)</f>
        <v>#REF!</v>
      </c>
      <c r="P30" s="190"/>
      <c r="Q30" s="190"/>
      <c r="R30" s="190"/>
      <c r="S30" s="191" t="e">
        <f>SUM(C30:O30)</f>
        <v>#REF!</v>
      </c>
      <c r="T30" s="346"/>
    </row>
    <row r="31" spans="1:20">
      <c r="B31" s="322"/>
      <c r="C31" s="323"/>
      <c r="D31" s="323"/>
      <c r="E31" s="323"/>
      <c r="F31" s="323"/>
      <c r="G31" s="323"/>
      <c r="H31" s="323"/>
      <c r="I31" s="323"/>
      <c r="J31" s="323"/>
      <c r="K31" s="323"/>
      <c r="L31" s="323"/>
      <c r="M31" s="323"/>
      <c r="N31" s="323"/>
      <c r="O31" s="323"/>
      <c r="P31" s="323"/>
      <c r="Q31" s="323"/>
      <c r="R31" s="323"/>
      <c r="S31" s="324"/>
      <c r="T31" s="346"/>
    </row>
    <row r="32" spans="1:20" s="179" customFormat="1" ht="16.5">
      <c r="A32" s="186"/>
      <c r="B32" s="189" t="s">
        <v>320</v>
      </c>
      <c r="C32" s="190" t="e">
        <f>SUM(C30,C21)</f>
        <v>#REF!</v>
      </c>
      <c r="D32" s="190"/>
      <c r="E32" s="190"/>
      <c r="F32" s="190" t="e">
        <f>SUM(F30,F21)</f>
        <v>#REF!</v>
      </c>
      <c r="G32" s="190"/>
      <c r="H32" s="190"/>
      <c r="I32" s="190" t="e">
        <f>SUM(I30,I21)</f>
        <v>#REF!</v>
      </c>
      <c r="J32" s="190"/>
      <c r="K32" s="190"/>
      <c r="L32" s="190" t="e">
        <f>SUM(L30,L21)</f>
        <v>#REF!</v>
      </c>
      <c r="M32" s="190"/>
      <c r="N32" s="190"/>
      <c r="O32" s="190" t="e">
        <f>SUM(O30,O21)</f>
        <v>#REF!</v>
      </c>
      <c r="P32" s="190"/>
      <c r="Q32" s="190"/>
      <c r="R32" s="190"/>
      <c r="S32" s="191" t="e">
        <f>SUM(C32:O32)</f>
        <v>#REF!</v>
      </c>
      <c r="T32" s="346"/>
    </row>
    <row r="33" spans="2:19">
      <c r="B33" s="325"/>
      <c r="C33" s="326"/>
      <c r="D33" s="326"/>
      <c r="E33" s="326"/>
      <c r="F33" s="326"/>
      <c r="G33" s="326"/>
      <c r="H33" s="326"/>
      <c r="I33" s="326"/>
      <c r="J33" s="326"/>
      <c r="K33" s="326"/>
      <c r="L33" s="326"/>
      <c r="M33" s="326"/>
      <c r="N33" s="326"/>
      <c r="O33" s="326"/>
      <c r="P33" s="326"/>
      <c r="Q33" s="326"/>
      <c r="R33" s="326"/>
      <c r="S33" s="326"/>
    </row>
    <row r="54" spans="1:20" s="177" customFormat="1">
      <c r="A54" s="175"/>
      <c r="B54" s="178"/>
      <c r="C54" s="188"/>
      <c r="T54" s="178"/>
    </row>
  </sheetData>
  <sheetProtection insertRows="0" selectLockedCells="1"/>
  <protectedRanges>
    <protectedRange password="CCBC" sqref="G1:H65535 J1:K65535 M1:N65535 D1:E65535 P1:R65535" name="Range1"/>
  </protectedRanges>
  <conditionalFormatting sqref="B17 B27:B28">
    <cfRule type="cellIs" dxfId="11" priority="1" stopIfTrue="1" operator="equal">
      <formula>0</formula>
    </cfRule>
  </conditionalFormatting>
  <dataValidations count="2">
    <dataValidation allowBlank="1" showInputMessage="1" showErrorMessage="1" prompt="Invalid cell" sqref="JH16 TD16 ACZ16 AMV16 AWR16 BGN16 BQJ16 CAF16 CKB16 CTX16 DDT16 DNP16 DXL16 EHH16 ERD16 FAZ16 FKV16 FUR16 GEN16 GOJ16 GYF16 HIB16 HRX16 IBT16 ILP16 IVL16 JFH16 JPD16 JYZ16 KIV16 KSR16 LCN16 LMJ16 LWF16 MGB16 MPX16 MZT16 NJP16 NTL16 ODH16 OND16 OWZ16 PGV16 PQR16 QAN16 QKJ16 QUF16 REB16 RNX16 RXT16 SHP16 SRL16 TBH16 TLD16 TUZ16 UEV16 UOR16 UYN16 VIJ16 VSF16 WCB16 WLX16 WVT16 G16 J65549 JH65549 TD65549 ACZ65549 AMV65549 AWR65549 BGN65549 BQJ65549 CAF65549 CKB65549 CTX65549 DDT65549 DNP65549 DXL65549 EHH65549 ERD65549 FAZ65549 FKV65549 FUR65549 GEN65549 GOJ65549 GYF65549 HIB65549 HRX65549 IBT65549 ILP65549 IVL65549 JFH65549 JPD65549 JYZ65549 KIV65549 KSR65549 LCN65549 LMJ65549 LWF65549 MGB65549 MPX65549 MZT65549 NJP65549 NTL65549 ODH65549 OND65549 OWZ65549 PGV65549 PQR65549 QAN65549 QKJ65549 QUF65549 REB65549 RNX65549 RXT65549 SHP65549 SRL65549 TBH65549 TLD65549 TUZ65549 UEV65549 UOR65549 UYN65549 VIJ65549 VSF65549 WCB65549 WLX65549 WVT65549 J131085 JH131085 TD131085 ACZ131085 AMV131085 AWR131085 BGN131085 BQJ131085 CAF131085 CKB131085 CTX131085 DDT131085 DNP131085 DXL131085 EHH131085 ERD131085 FAZ131085 FKV131085 FUR131085 GEN131085 GOJ131085 GYF131085 HIB131085 HRX131085 IBT131085 ILP131085 IVL131085 JFH131085 JPD131085 JYZ131085 KIV131085 KSR131085 LCN131085 LMJ131085 LWF131085 MGB131085 MPX131085 MZT131085 NJP131085 NTL131085 ODH131085 OND131085 OWZ131085 PGV131085 PQR131085 QAN131085 QKJ131085 QUF131085 REB131085 RNX131085 RXT131085 SHP131085 SRL131085 TBH131085 TLD131085 TUZ131085 UEV131085 UOR131085 UYN131085 VIJ131085 VSF131085 WCB131085 WLX131085 WVT131085 J196621 JH196621 TD196621 ACZ196621 AMV196621 AWR196621 BGN196621 BQJ196621 CAF196621 CKB196621 CTX196621 DDT196621 DNP196621 DXL196621 EHH196621 ERD196621 FAZ196621 FKV196621 FUR196621 GEN196621 GOJ196621 GYF196621 HIB196621 HRX196621 IBT196621 ILP196621 IVL196621 JFH196621 JPD196621 JYZ196621 KIV196621 KSR196621 LCN196621 LMJ196621 LWF196621 MGB196621 MPX196621 MZT196621 NJP196621 NTL196621 ODH196621 OND196621 OWZ196621 PGV196621 PQR196621 QAN196621 QKJ196621 QUF196621 REB196621 RNX196621 RXT196621 SHP196621 SRL196621 TBH196621 TLD196621 TUZ196621 UEV196621 UOR196621 UYN196621 VIJ196621 VSF196621 WCB196621 WLX196621 WVT196621 J262157 JH262157 TD262157 ACZ262157 AMV262157 AWR262157 BGN262157 BQJ262157 CAF262157 CKB262157 CTX262157 DDT262157 DNP262157 DXL262157 EHH262157 ERD262157 FAZ262157 FKV262157 FUR262157 GEN262157 GOJ262157 GYF262157 HIB262157 HRX262157 IBT262157 ILP262157 IVL262157 JFH262157 JPD262157 JYZ262157 KIV262157 KSR262157 LCN262157 LMJ262157 LWF262157 MGB262157 MPX262157 MZT262157 NJP262157 NTL262157 ODH262157 OND262157 OWZ262157 PGV262157 PQR262157 QAN262157 QKJ262157 QUF262157 REB262157 RNX262157 RXT262157 SHP262157 SRL262157 TBH262157 TLD262157 TUZ262157 UEV262157 UOR262157 UYN262157 VIJ262157 VSF262157 WCB262157 WLX262157 WVT262157 J327693 JH327693 TD327693 ACZ327693 AMV327693 AWR327693 BGN327693 BQJ327693 CAF327693 CKB327693 CTX327693 DDT327693 DNP327693 DXL327693 EHH327693 ERD327693 FAZ327693 FKV327693 FUR327693 GEN327693 GOJ327693 GYF327693 HIB327693 HRX327693 IBT327693 ILP327693 IVL327693 JFH327693 JPD327693 JYZ327693 KIV327693 KSR327693 LCN327693 LMJ327693 LWF327693 MGB327693 MPX327693 MZT327693 NJP327693 NTL327693 ODH327693 OND327693 OWZ327693 PGV327693 PQR327693 QAN327693 QKJ327693 QUF327693 REB327693 RNX327693 RXT327693 SHP327693 SRL327693 TBH327693 TLD327693 TUZ327693 UEV327693 UOR327693 UYN327693 VIJ327693 VSF327693 WCB327693 WLX327693 WVT327693 J393229 JH393229 TD393229 ACZ393229 AMV393229 AWR393229 BGN393229 BQJ393229 CAF393229 CKB393229 CTX393229 DDT393229 DNP393229 DXL393229 EHH393229 ERD393229 FAZ393229 FKV393229 FUR393229 GEN393229 GOJ393229 GYF393229 HIB393229 HRX393229 IBT393229 ILP393229 IVL393229 JFH393229 JPD393229 JYZ393229 KIV393229 KSR393229 LCN393229 LMJ393229 LWF393229 MGB393229 MPX393229 MZT393229 NJP393229 NTL393229 ODH393229 OND393229 OWZ393229 PGV393229 PQR393229 QAN393229 QKJ393229 QUF393229 REB393229 RNX393229 RXT393229 SHP393229 SRL393229 TBH393229 TLD393229 TUZ393229 UEV393229 UOR393229 UYN393229 VIJ393229 VSF393229 WCB393229 WLX393229 WVT393229 J458765 JH458765 TD458765 ACZ458765 AMV458765 AWR458765 BGN458765 BQJ458765 CAF458765 CKB458765 CTX458765 DDT458765 DNP458765 DXL458765 EHH458765 ERD458765 FAZ458765 FKV458765 FUR458765 GEN458765 GOJ458765 GYF458765 HIB458765 HRX458765 IBT458765 ILP458765 IVL458765 JFH458765 JPD458765 JYZ458765 KIV458765 KSR458765 LCN458765 LMJ458765 LWF458765 MGB458765 MPX458765 MZT458765 NJP458765 NTL458765 ODH458765 OND458765 OWZ458765 PGV458765 PQR458765 QAN458765 QKJ458765 QUF458765 REB458765 RNX458765 RXT458765 SHP458765 SRL458765 TBH458765 TLD458765 TUZ458765 UEV458765 UOR458765 UYN458765 VIJ458765 VSF458765 WCB458765 WLX458765 WVT458765 J524301 JH524301 TD524301 ACZ524301 AMV524301 AWR524301 BGN524301 BQJ524301 CAF524301 CKB524301 CTX524301 DDT524301 DNP524301 DXL524301 EHH524301 ERD524301 FAZ524301 FKV524301 FUR524301 GEN524301 GOJ524301 GYF524301 HIB524301 HRX524301 IBT524301 ILP524301 IVL524301 JFH524301 JPD524301 JYZ524301 KIV524301 KSR524301 LCN524301 LMJ524301 LWF524301 MGB524301 MPX524301 MZT524301 NJP524301 NTL524301 ODH524301 OND524301 OWZ524301 PGV524301 PQR524301 QAN524301 QKJ524301 QUF524301 REB524301 RNX524301 RXT524301 SHP524301 SRL524301 TBH524301 TLD524301 TUZ524301 UEV524301 UOR524301 UYN524301 VIJ524301 VSF524301 WCB524301 WLX524301 WVT524301 J589837 JH589837 TD589837 ACZ589837 AMV589837 AWR589837 BGN589837 BQJ589837 CAF589837 CKB589837 CTX589837 DDT589837 DNP589837 DXL589837 EHH589837 ERD589837 FAZ589837 FKV589837 FUR589837 GEN589837 GOJ589837 GYF589837 HIB589837 HRX589837 IBT589837 ILP589837 IVL589837 JFH589837 JPD589837 JYZ589837 KIV589837 KSR589837 LCN589837 LMJ589837 LWF589837 MGB589837 MPX589837 MZT589837 NJP589837 NTL589837 ODH589837 OND589837 OWZ589837 PGV589837 PQR589837 QAN589837 QKJ589837 QUF589837 REB589837 RNX589837 RXT589837 SHP589837 SRL589837 TBH589837 TLD589837 TUZ589837 UEV589837 UOR589837 UYN589837 VIJ589837 VSF589837 WCB589837 WLX589837 WVT589837 J655373 JH655373 TD655373 ACZ655373 AMV655373 AWR655373 BGN655373 BQJ655373 CAF655373 CKB655373 CTX655373 DDT655373 DNP655373 DXL655373 EHH655373 ERD655373 FAZ655373 FKV655373 FUR655373 GEN655373 GOJ655373 GYF655373 HIB655373 HRX655373 IBT655373 ILP655373 IVL655373 JFH655373 JPD655373 JYZ655373 KIV655373 KSR655373 LCN655373 LMJ655373 LWF655373 MGB655373 MPX655373 MZT655373 NJP655373 NTL655373 ODH655373 OND655373 OWZ655373 PGV655373 PQR655373 QAN655373 QKJ655373 QUF655373 REB655373 RNX655373 RXT655373 SHP655373 SRL655373 TBH655373 TLD655373 TUZ655373 UEV655373 UOR655373 UYN655373 VIJ655373 VSF655373 WCB655373 WLX655373 WVT655373 J720909 JH720909 TD720909 ACZ720909 AMV720909 AWR720909 BGN720909 BQJ720909 CAF720909 CKB720909 CTX720909 DDT720909 DNP720909 DXL720909 EHH720909 ERD720909 FAZ720909 FKV720909 FUR720909 GEN720909 GOJ720909 GYF720909 HIB720909 HRX720909 IBT720909 ILP720909 IVL720909 JFH720909 JPD720909 JYZ720909 KIV720909 KSR720909 LCN720909 LMJ720909 LWF720909 MGB720909 MPX720909 MZT720909 NJP720909 NTL720909 ODH720909 OND720909 OWZ720909 PGV720909 PQR720909 QAN720909 QKJ720909 QUF720909 REB720909 RNX720909 RXT720909 SHP720909 SRL720909 TBH720909 TLD720909 TUZ720909 UEV720909 UOR720909 UYN720909 VIJ720909 VSF720909 WCB720909 WLX720909 WVT720909 J786445 JH786445 TD786445 ACZ786445 AMV786445 AWR786445 BGN786445 BQJ786445 CAF786445 CKB786445 CTX786445 DDT786445 DNP786445 DXL786445 EHH786445 ERD786445 FAZ786445 FKV786445 FUR786445 GEN786445 GOJ786445 GYF786445 HIB786445 HRX786445 IBT786445 ILP786445 IVL786445 JFH786445 JPD786445 JYZ786445 KIV786445 KSR786445 LCN786445 LMJ786445 LWF786445 MGB786445 MPX786445 MZT786445 NJP786445 NTL786445 ODH786445 OND786445 OWZ786445 PGV786445 PQR786445 QAN786445 QKJ786445 QUF786445 REB786445 RNX786445 RXT786445 SHP786445 SRL786445 TBH786445 TLD786445 TUZ786445 UEV786445 UOR786445 UYN786445 VIJ786445 VSF786445 WCB786445 WLX786445 WVT786445 J851981 JH851981 TD851981 ACZ851981 AMV851981 AWR851981 BGN851981 BQJ851981 CAF851981 CKB851981 CTX851981 DDT851981 DNP851981 DXL851981 EHH851981 ERD851981 FAZ851981 FKV851981 FUR851981 GEN851981 GOJ851981 GYF851981 HIB851981 HRX851981 IBT851981 ILP851981 IVL851981 JFH851981 JPD851981 JYZ851981 KIV851981 KSR851981 LCN851981 LMJ851981 LWF851981 MGB851981 MPX851981 MZT851981 NJP851981 NTL851981 ODH851981 OND851981 OWZ851981 PGV851981 PQR851981 QAN851981 QKJ851981 QUF851981 REB851981 RNX851981 RXT851981 SHP851981 SRL851981 TBH851981 TLD851981 TUZ851981 UEV851981 UOR851981 UYN851981 VIJ851981 VSF851981 WCB851981 WLX851981 WVT851981 J917517 JH917517 TD917517 ACZ917517 AMV917517 AWR917517 BGN917517 BQJ917517 CAF917517 CKB917517 CTX917517 DDT917517 DNP917517 DXL917517 EHH917517 ERD917517 FAZ917517 FKV917517 FUR917517 GEN917517 GOJ917517 GYF917517 HIB917517 HRX917517 IBT917517 ILP917517 IVL917517 JFH917517 JPD917517 JYZ917517 KIV917517 KSR917517 LCN917517 LMJ917517 LWF917517 MGB917517 MPX917517 MZT917517 NJP917517 NTL917517 ODH917517 OND917517 OWZ917517 PGV917517 PQR917517 QAN917517 QKJ917517 QUF917517 REB917517 RNX917517 RXT917517 SHP917517 SRL917517 TBH917517 TLD917517 TUZ917517 UEV917517 UOR917517 UYN917517 VIJ917517 VSF917517 WCB917517 WLX917517 WVT917517 J983053 JH983053 TD983053 ACZ983053 AMV983053 AWR983053 BGN983053 BQJ983053 CAF983053 CKB983053 CTX983053 DDT983053 DNP983053 DXL983053 EHH983053 ERD983053 FAZ983053 FKV983053 FUR983053 GEN983053 GOJ983053 GYF983053 HIB983053 HRX983053 IBT983053 ILP983053 IVL983053 JFH983053 JPD983053 JYZ983053 KIV983053 KSR983053 LCN983053 LMJ983053 LWF983053 MGB983053 MPX983053 MZT983053 NJP983053 NTL983053 ODH983053 OND983053 OWZ983053 PGV983053 PQR983053 QAN983053 QKJ983053 QUF983053 REB983053 RNX983053 RXT983053 SHP983053 SRL983053 TBH983053 TLD983053 TUZ983053 UEV983053 UOR983053 UYN983053 VIJ983053 VSF983053 WCB983053 WLX983053 WVT983053 JE16 TA16 ACW16 AMS16 AWO16 BGK16 BQG16 CAC16 CJY16 CTU16 DDQ16 DNM16 DXI16 EHE16 ERA16 FAW16 FKS16 FUO16 GEK16 GOG16 GYC16 HHY16 HRU16 IBQ16 ILM16 IVI16 JFE16 JPA16 JYW16 KIS16 KSO16 LCK16 LMG16 LWC16 MFY16 MPU16 MZQ16 NJM16 NTI16 ODE16 ONA16 OWW16 PGS16 PQO16 QAK16 QKG16 QUC16 RDY16 RNU16 RXQ16 SHM16 SRI16 TBE16 TLA16 TUW16 UES16 UOO16 UYK16 VIG16 VSC16 WBY16 WLU16 WVQ16 P131085 G65549 JE65549 TA65549 ACW65549 AMS65549 AWO65549 BGK65549 BQG65549 CAC65549 CJY65549 CTU65549 DDQ65549 DNM65549 DXI65549 EHE65549 ERA65549 FAW65549 FKS65549 FUO65549 GEK65549 GOG65549 GYC65549 HHY65549 HRU65549 IBQ65549 ILM65549 IVI65549 JFE65549 JPA65549 JYW65549 KIS65549 KSO65549 LCK65549 LMG65549 LWC65549 MFY65549 MPU65549 MZQ65549 NJM65549 NTI65549 ODE65549 ONA65549 OWW65549 PGS65549 PQO65549 QAK65549 QKG65549 QUC65549 RDY65549 RNU65549 RXQ65549 SHM65549 SRI65549 TBE65549 TLA65549 TUW65549 UES65549 UOO65549 UYK65549 VIG65549 VSC65549 WBY65549 WLU65549 WVQ65549 G131085 JE131085 TA131085 ACW131085 AMS131085 AWO131085 BGK131085 BQG131085 CAC131085 CJY131085 CTU131085 DDQ131085 DNM131085 DXI131085 EHE131085 ERA131085 FAW131085 FKS131085 FUO131085 GEK131085 GOG131085 GYC131085 HHY131085 HRU131085 IBQ131085 ILM131085 IVI131085 JFE131085 JPA131085 JYW131085 KIS131085 KSO131085 LCK131085 LMG131085 LWC131085 MFY131085 MPU131085 MZQ131085 NJM131085 NTI131085 ODE131085 ONA131085 OWW131085 PGS131085 PQO131085 QAK131085 QKG131085 QUC131085 RDY131085 RNU131085 RXQ131085 SHM131085 SRI131085 TBE131085 TLA131085 TUW131085 UES131085 UOO131085 UYK131085 VIG131085 VSC131085 WBY131085 WLU131085 WVQ131085 G196621 JE196621 TA196621 ACW196621 AMS196621 AWO196621 BGK196621 BQG196621 CAC196621 CJY196621 CTU196621 DDQ196621 DNM196621 DXI196621 EHE196621 ERA196621 FAW196621 FKS196621 FUO196621 GEK196621 GOG196621 GYC196621 HHY196621 HRU196621 IBQ196621 ILM196621 IVI196621 JFE196621 JPA196621 JYW196621 KIS196621 KSO196621 LCK196621 LMG196621 LWC196621 MFY196621 MPU196621 MZQ196621 NJM196621 NTI196621 ODE196621 ONA196621 OWW196621 PGS196621 PQO196621 QAK196621 QKG196621 QUC196621 RDY196621 RNU196621 RXQ196621 SHM196621 SRI196621 TBE196621 TLA196621 TUW196621 UES196621 UOO196621 UYK196621 VIG196621 VSC196621 WBY196621 WLU196621 WVQ196621 G262157 JE262157 TA262157 ACW262157 AMS262157 AWO262157 BGK262157 BQG262157 CAC262157 CJY262157 CTU262157 DDQ262157 DNM262157 DXI262157 EHE262157 ERA262157 FAW262157 FKS262157 FUO262157 GEK262157 GOG262157 GYC262157 HHY262157 HRU262157 IBQ262157 ILM262157 IVI262157 JFE262157 JPA262157 JYW262157 KIS262157 KSO262157 LCK262157 LMG262157 LWC262157 MFY262157 MPU262157 MZQ262157 NJM262157 NTI262157 ODE262157 ONA262157 OWW262157 PGS262157 PQO262157 QAK262157 QKG262157 QUC262157 RDY262157 RNU262157 RXQ262157 SHM262157 SRI262157 TBE262157 TLA262157 TUW262157 UES262157 UOO262157 UYK262157 VIG262157 VSC262157 WBY262157 WLU262157 WVQ262157 G327693 JE327693 TA327693 ACW327693 AMS327693 AWO327693 BGK327693 BQG327693 CAC327693 CJY327693 CTU327693 DDQ327693 DNM327693 DXI327693 EHE327693 ERA327693 FAW327693 FKS327693 FUO327693 GEK327693 GOG327693 GYC327693 HHY327693 HRU327693 IBQ327693 ILM327693 IVI327693 JFE327693 JPA327693 JYW327693 KIS327693 KSO327693 LCK327693 LMG327693 LWC327693 MFY327693 MPU327693 MZQ327693 NJM327693 NTI327693 ODE327693 ONA327693 OWW327693 PGS327693 PQO327693 QAK327693 QKG327693 QUC327693 RDY327693 RNU327693 RXQ327693 SHM327693 SRI327693 TBE327693 TLA327693 TUW327693 UES327693 UOO327693 UYK327693 VIG327693 VSC327693 WBY327693 WLU327693 WVQ327693 G393229 JE393229 TA393229 ACW393229 AMS393229 AWO393229 BGK393229 BQG393229 CAC393229 CJY393229 CTU393229 DDQ393229 DNM393229 DXI393229 EHE393229 ERA393229 FAW393229 FKS393229 FUO393229 GEK393229 GOG393229 GYC393229 HHY393229 HRU393229 IBQ393229 ILM393229 IVI393229 JFE393229 JPA393229 JYW393229 KIS393229 KSO393229 LCK393229 LMG393229 LWC393229 MFY393229 MPU393229 MZQ393229 NJM393229 NTI393229 ODE393229 ONA393229 OWW393229 PGS393229 PQO393229 QAK393229 QKG393229 QUC393229 RDY393229 RNU393229 RXQ393229 SHM393229 SRI393229 TBE393229 TLA393229 TUW393229 UES393229 UOO393229 UYK393229 VIG393229 VSC393229 WBY393229 WLU393229 WVQ393229 G458765 JE458765 TA458765 ACW458765 AMS458765 AWO458765 BGK458765 BQG458765 CAC458765 CJY458765 CTU458765 DDQ458765 DNM458765 DXI458765 EHE458765 ERA458765 FAW458765 FKS458765 FUO458765 GEK458765 GOG458765 GYC458765 HHY458765 HRU458765 IBQ458765 ILM458765 IVI458765 JFE458765 JPA458765 JYW458765 KIS458765 KSO458765 LCK458765 LMG458765 LWC458765 MFY458765 MPU458765 MZQ458765 NJM458765 NTI458765 ODE458765 ONA458765 OWW458765 PGS458765 PQO458765 QAK458765 QKG458765 QUC458765 RDY458765 RNU458765 RXQ458765 SHM458765 SRI458765 TBE458765 TLA458765 TUW458765 UES458765 UOO458765 UYK458765 VIG458765 VSC458765 WBY458765 WLU458765 WVQ458765 G524301 JE524301 TA524301 ACW524301 AMS524301 AWO524301 BGK524301 BQG524301 CAC524301 CJY524301 CTU524301 DDQ524301 DNM524301 DXI524301 EHE524301 ERA524301 FAW524301 FKS524301 FUO524301 GEK524301 GOG524301 GYC524301 HHY524301 HRU524301 IBQ524301 ILM524301 IVI524301 JFE524301 JPA524301 JYW524301 KIS524301 KSO524301 LCK524301 LMG524301 LWC524301 MFY524301 MPU524301 MZQ524301 NJM524301 NTI524301 ODE524301 ONA524301 OWW524301 PGS524301 PQO524301 QAK524301 QKG524301 QUC524301 RDY524301 RNU524301 RXQ524301 SHM524301 SRI524301 TBE524301 TLA524301 TUW524301 UES524301 UOO524301 UYK524301 VIG524301 VSC524301 WBY524301 WLU524301 WVQ524301 G589837 JE589837 TA589837 ACW589837 AMS589837 AWO589837 BGK589837 BQG589837 CAC589837 CJY589837 CTU589837 DDQ589837 DNM589837 DXI589837 EHE589837 ERA589837 FAW589837 FKS589837 FUO589837 GEK589837 GOG589837 GYC589837 HHY589837 HRU589837 IBQ589837 ILM589837 IVI589837 JFE589837 JPA589837 JYW589837 KIS589837 KSO589837 LCK589837 LMG589837 LWC589837 MFY589837 MPU589837 MZQ589837 NJM589837 NTI589837 ODE589837 ONA589837 OWW589837 PGS589837 PQO589837 QAK589837 QKG589837 QUC589837 RDY589837 RNU589837 RXQ589837 SHM589837 SRI589837 TBE589837 TLA589837 TUW589837 UES589837 UOO589837 UYK589837 VIG589837 VSC589837 WBY589837 WLU589837 WVQ589837 G655373 JE655373 TA655373 ACW655373 AMS655373 AWO655373 BGK655373 BQG655373 CAC655373 CJY655373 CTU655373 DDQ655373 DNM655373 DXI655373 EHE655373 ERA655373 FAW655373 FKS655373 FUO655373 GEK655373 GOG655373 GYC655373 HHY655373 HRU655373 IBQ655373 ILM655373 IVI655373 JFE655373 JPA655373 JYW655373 KIS655373 KSO655373 LCK655373 LMG655373 LWC655373 MFY655373 MPU655373 MZQ655373 NJM655373 NTI655373 ODE655373 ONA655373 OWW655373 PGS655373 PQO655373 QAK655373 QKG655373 QUC655373 RDY655373 RNU655373 RXQ655373 SHM655373 SRI655373 TBE655373 TLA655373 TUW655373 UES655373 UOO655373 UYK655373 VIG655373 VSC655373 WBY655373 WLU655373 WVQ655373 G720909 JE720909 TA720909 ACW720909 AMS720909 AWO720909 BGK720909 BQG720909 CAC720909 CJY720909 CTU720909 DDQ720909 DNM720909 DXI720909 EHE720909 ERA720909 FAW720909 FKS720909 FUO720909 GEK720909 GOG720909 GYC720909 HHY720909 HRU720909 IBQ720909 ILM720909 IVI720909 JFE720909 JPA720909 JYW720909 KIS720909 KSO720909 LCK720909 LMG720909 LWC720909 MFY720909 MPU720909 MZQ720909 NJM720909 NTI720909 ODE720909 ONA720909 OWW720909 PGS720909 PQO720909 QAK720909 QKG720909 QUC720909 RDY720909 RNU720909 RXQ720909 SHM720909 SRI720909 TBE720909 TLA720909 TUW720909 UES720909 UOO720909 UYK720909 VIG720909 VSC720909 WBY720909 WLU720909 WVQ720909 G786445 JE786445 TA786445 ACW786445 AMS786445 AWO786445 BGK786445 BQG786445 CAC786445 CJY786445 CTU786445 DDQ786445 DNM786445 DXI786445 EHE786445 ERA786445 FAW786445 FKS786445 FUO786445 GEK786445 GOG786445 GYC786445 HHY786445 HRU786445 IBQ786445 ILM786445 IVI786445 JFE786445 JPA786445 JYW786445 KIS786445 KSO786445 LCK786445 LMG786445 LWC786445 MFY786445 MPU786445 MZQ786445 NJM786445 NTI786445 ODE786445 ONA786445 OWW786445 PGS786445 PQO786445 QAK786445 QKG786445 QUC786445 RDY786445 RNU786445 RXQ786445 SHM786445 SRI786445 TBE786445 TLA786445 TUW786445 UES786445 UOO786445 UYK786445 VIG786445 VSC786445 WBY786445 WLU786445 WVQ786445 G851981 JE851981 TA851981 ACW851981 AMS851981 AWO851981 BGK851981 BQG851981 CAC851981 CJY851981 CTU851981 DDQ851981 DNM851981 DXI851981 EHE851981 ERA851981 FAW851981 FKS851981 FUO851981 GEK851981 GOG851981 GYC851981 HHY851981 HRU851981 IBQ851981 ILM851981 IVI851981 JFE851981 JPA851981 JYW851981 KIS851981 KSO851981 LCK851981 LMG851981 LWC851981 MFY851981 MPU851981 MZQ851981 NJM851981 NTI851981 ODE851981 ONA851981 OWW851981 PGS851981 PQO851981 QAK851981 QKG851981 QUC851981 RDY851981 RNU851981 RXQ851981 SHM851981 SRI851981 TBE851981 TLA851981 TUW851981 UES851981 UOO851981 UYK851981 VIG851981 VSC851981 WBY851981 WLU851981 WVQ851981 G917517 JE917517 TA917517 ACW917517 AMS917517 AWO917517 BGK917517 BQG917517 CAC917517 CJY917517 CTU917517 DDQ917517 DNM917517 DXI917517 EHE917517 ERA917517 FAW917517 FKS917517 FUO917517 GEK917517 GOG917517 GYC917517 HHY917517 HRU917517 IBQ917517 ILM917517 IVI917517 JFE917517 JPA917517 JYW917517 KIS917517 KSO917517 LCK917517 LMG917517 LWC917517 MFY917517 MPU917517 MZQ917517 NJM917517 NTI917517 ODE917517 ONA917517 OWW917517 PGS917517 PQO917517 QAK917517 QKG917517 QUC917517 RDY917517 RNU917517 RXQ917517 SHM917517 SRI917517 TBE917517 TLA917517 TUW917517 UES917517 UOO917517 UYK917517 VIG917517 VSC917517 WBY917517 WLU917517 WVQ917517 G983053 JE983053 TA983053 ACW983053 AMS983053 AWO983053 BGK983053 BQG983053 CAC983053 CJY983053 CTU983053 DDQ983053 DNM983053 DXI983053 EHE983053 ERA983053 FAW983053 FKS983053 FUO983053 GEK983053 GOG983053 GYC983053 HHY983053 HRU983053 IBQ983053 ILM983053 IVI983053 JFE983053 JPA983053 JYW983053 KIS983053 KSO983053 LCK983053 LMG983053 LWC983053 MFY983053 MPU983053 MZQ983053 NJM983053 NTI983053 ODE983053 ONA983053 OWW983053 PGS983053 PQO983053 QAK983053 QKG983053 QUC983053 RDY983053 RNU983053 RXQ983053 SHM983053 SRI983053 TBE983053 TLA983053 TUW983053 UES983053 UOO983053 UYK983053 VIG983053 VSC983053 WBY983053 WLU983053 WVQ983053 JN16 TJ16 ADF16 ANB16 AWX16 BGT16 BQP16 CAL16 CKH16 CUD16 DDZ16 DNV16 DXR16 EHN16 ERJ16 FBF16 FLB16 FUX16 GET16 GOP16 GYL16 HIH16 HSD16 IBZ16 ILV16 IVR16 JFN16 JPJ16 JZF16 KJB16 KSX16 LCT16 LMP16 LWL16 MGH16 MQD16 MZZ16 NJV16 NTR16 ODN16 ONJ16 OXF16 PHB16 PQX16 QAT16 QKP16 QUL16 REH16 ROD16 RXZ16 SHV16 SRR16 TBN16 TLJ16 TVF16 UFB16 UOX16 UYT16 VIP16 VSL16 WCH16 WMD16 WVZ16 M16 P196621 JN65549 TJ65549 ADF65549 ANB65549 AWX65549 BGT65549 BQP65549 CAL65549 CKH65549 CUD65549 DDZ65549 DNV65549 DXR65549 EHN65549 ERJ65549 FBF65549 FLB65549 FUX65549 GET65549 GOP65549 GYL65549 HIH65549 HSD65549 IBZ65549 ILV65549 IVR65549 JFN65549 JPJ65549 JZF65549 KJB65549 KSX65549 LCT65549 LMP65549 LWL65549 MGH65549 MQD65549 MZZ65549 NJV65549 NTR65549 ODN65549 ONJ65549 OXF65549 PHB65549 PQX65549 QAT65549 QKP65549 QUL65549 REH65549 ROD65549 RXZ65549 SHV65549 SRR65549 TBN65549 TLJ65549 TVF65549 UFB65549 UOX65549 UYT65549 VIP65549 VSL65549 WCH65549 WMD65549 WVZ65549 P262157 JN131085 TJ131085 ADF131085 ANB131085 AWX131085 BGT131085 BQP131085 CAL131085 CKH131085 CUD131085 DDZ131085 DNV131085 DXR131085 EHN131085 ERJ131085 FBF131085 FLB131085 FUX131085 GET131085 GOP131085 GYL131085 HIH131085 HSD131085 IBZ131085 ILV131085 IVR131085 JFN131085 JPJ131085 JZF131085 KJB131085 KSX131085 LCT131085 LMP131085 LWL131085 MGH131085 MQD131085 MZZ131085 NJV131085 NTR131085 ODN131085 ONJ131085 OXF131085 PHB131085 PQX131085 QAT131085 QKP131085 QUL131085 REH131085 ROD131085 RXZ131085 SHV131085 SRR131085 TBN131085 TLJ131085 TVF131085 UFB131085 UOX131085 UYT131085 VIP131085 VSL131085 WCH131085 WMD131085 WVZ131085 P327693 JN196621 TJ196621 ADF196621 ANB196621 AWX196621 BGT196621 BQP196621 CAL196621 CKH196621 CUD196621 DDZ196621 DNV196621 DXR196621 EHN196621 ERJ196621 FBF196621 FLB196621 FUX196621 GET196621 GOP196621 GYL196621 HIH196621 HSD196621 IBZ196621 ILV196621 IVR196621 JFN196621 JPJ196621 JZF196621 KJB196621 KSX196621 LCT196621 LMP196621 LWL196621 MGH196621 MQD196621 MZZ196621 NJV196621 NTR196621 ODN196621 ONJ196621 OXF196621 PHB196621 PQX196621 QAT196621 QKP196621 QUL196621 REH196621 ROD196621 RXZ196621 SHV196621 SRR196621 TBN196621 TLJ196621 TVF196621 UFB196621 UOX196621 UYT196621 VIP196621 VSL196621 WCH196621 WMD196621 WVZ196621 P393229 JN262157 TJ262157 ADF262157 ANB262157 AWX262157 BGT262157 BQP262157 CAL262157 CKH262157 CUD262157 DDZ262157 DNV262157 DXR262157 EHN262157 ERJ262157 FBF262157 FLB262157 FUX262157 GET262157 GOP262157 GYL262157 HIH262157 HSD262157 IBZ262157 ILV262157 IVR262157 JFN262157 JPJ262157 JZF262157 KJB262157 KSX262157 LCT262157 LMP262157 LWL262157 MGH262157 MQD262157 MZZ262157 NJV262157 NTR262157 ODN262157 ONJ262157 OXF262157 PHB262157 PQX262157 QAT262157 QKP262157 QUL262157 REH262157 ROD262157 RXZ262157 SHV262157 SRR262157 TBN262157 TLJ262157 TVF262157 UFB262157 UOX262157 UYT262157 VIP262157 VSL262157 WCH262157 WMD262157 WVZ262157 P458765 JN327693 TJ327693 ADF327693 ANB327693 AWX327693 BGT327693 BQP327693 CAL327693 CKH327693 CUD327693 DDZ327693 DNV327693 DXR327693 EHN327693 ERJ327693 FBF327693 FLB327693 FUX327693 GET327693 GOP327693 GYL327693 HIH327693 HSD327693 IBZ327693 ILV327693 IVR327693 JFN327693 JPJ327693 JZF327693 KJB327693 KSX327693 LCT327693 LMP327693 LWL327693 MGH327693 MQD327693 MZZ327693 NJV327693 NTR327693 ODN327693 ONJ327693 OXF327693 PHB327693 PQX327693 QAT327693 QKP327693 QUL327693 REH327693 ROD327693 RXZ327693 SHV327693 SRR327693 TBN327693 TLJ327693 TVF327693 UFB327693 UOX327693 UYT327693 VIP327693 VSL327693 WCH327693 WMD327693 WVZ327693 P524301 JN393229 TJ393229 ADF393229 ANB393229 AWX393229 BGT393229 BQP393229 CAL393229 CKH393229 CUD393229 DDZ393229 DNV393229 DXR393229 EHN393229 ERJ393229 FBF393229 FLB393229 FUX393229 GET393229 GOP393229 GYL393229 HIH393229 HSD393229 IBZ393229 ILV393229 IVR393229 JFN393229 JPJ393229 JZF393229 KJB393229 KSX393229 LCT393229 LMP393229 LWL393229 MGH393229 MQD393229 MZZ393229 NJV393229 NTR393229 ODN393229 ONJ393229 OXF393229 PHB393229 PQX393229 QAT393229 QKP393229 QUL393229 REH393229 ROD393229 RXZ393229 SHV393229 SRR393229 TBN393229 TLJ393229 TVF393229 UFB393229 UOX393229 UYT393229 VIP393229 VSL393229 WCH393229 WMD393229 WVZ393229 P589837 JN458765 TJ458765 ADF458765 ANB458765 AWX458765 BGT458765 BQP458765 CAL458765 CKH458765 CUD458765 DDZ458765 DNV458765 DXR458765 EHN458765 ERJ458765 FBF458765 FLB458765 FUX458765 GET458765 GOP458765 GYL458765 HIH458765 HSD458765 IBZ458765 ILV458765 IVR458765 JFN458765 JPJ458765 JZF458765 KJB458765 KSX458765 LCT458765 LMP458765 LWL458765 MGH458765 MQD458765 MZZ458765 NJV458765 NTR458765 ODN458765 ONJ458765 OXF458765 PHB458765 PQX458765 QAT458765 QKP458765 QUL458765 REH458765 ROD458765 RXZ458765 SHV458765 SRR458765 TBN458765 TLJ458765 TVF458765 UFB458765 UOX458765 UYT458765 VIP458765 VSL458765 WCH458765 WMD458765 WVZ458765 P655373 JN524301 TJ524301 ADF524301 ANB524301 AWX524301 BGT524301 BQP524301 CAL524301 CKH524301 CUD524301 DDZ524301 DNV524301 DXR524301 EHN524301 ERJ524301 FBF524301 FLB524301 FUX524301 GET524301 GOP524301 GYL524301 HIH524301 HSD524301 IBZ524301 ILV524301 IVR524301 JFN524301 JPJ524301 JZF524301 KJB524301 KSX524301 LCT524301 LMP524301 LWL524301 MGH524301 MQD524301 MZZ524301 NJV524301 NTR524301 ODN524301 ONJ524301 OXF524301 PHB524301 PQX524301 QAT524301 QKP524301 QUL524301 REH524301 ROD524301 RXZ524301 SHV524301 SRR524301 TBN524301 TLJ524301 TVF524301 UFB524301 UOX524301 UYT524301 VIP524301 VSL524301 WCH524301 WMD524301 WVZ524301 P720909 JN589837 TJ589837 ADF589837 ANB589837 AWX589837 BGT589837 BQP589837 CAL589837 CKH589837 CUD589837 DDZ589837 DNV589837 DXR589837 EHN589837 ERJ589837 FBF589837 FLB589837 FUX589837 GET589837 GOP589837 GYL589837 HIH589837 HSD589837 IBZ589837 ILV589837 IVR589837 JFN589837 JPJ589837 JZF589837 KJB589837 KSX589837 LCT589837 LMP589837 LWL589837 MGH589837 MQD589837 MZZ589837 NJV589837 NTR589837 ODN589837 ONJ589837 OXF589837 PHB589837 PQX589837 QAT589837 QKP589837 QUL589837 REH589837 ROD589837 RXZ589837 SHV589837 SRR589837 TBN589837 TLJ589837 TVF589837 UFB589837 UOX589837 UYT589837 VIP589837 VSL589837 WCH589837 WMD589837 WVZ589837 P786445 JN655373 TJ655373 ADF655373 ANB655373 AWX655373 BGT655373 BQP655373 CAL655373 CKH655373 CUD655373 DDZ655373 DNV655373 DXR655373 EHN655373 ERJ655373 FBF655373 FLB655373 FUX655373 GET655373 GOP655373 GYL655373 HIH655373 HSD655373 IBZ655373 ILV655373 IVR655373 JFN655373 JPJ655373 JZF655373 KJB655373 KSX655373 LCT655373 LMP655373 LWL655373 MGH655373 MQD655373 MZZ655373 NJV655373 NTR655373 ODN655373 ONJ655373 OXF655373 PHB655373 PQX655373 QAT655373 QKP655373 QUL655373 REH655373 ROD655373 RXZ655373 SHV655373 SRR655373 TBN655373 TLJ655373 TVF655373 UFB655373 UOX655373 UYT655373 VIP655373 VSL655373 WCH655373 WMD655373 WVZ655373 P851981 JN720909 TJ720909 ADF720909 ANB720909 AWX720909 BGT720909 BQP720909 CAL720909 CKH720909 CUD720909 DDZ720909 DNV720909 DXR720909 EHN720909 ERJ720909 FBF720909 FLB720909 FUX720909 GET720909 GOP720909 GYL720909 HIH720909 HSD720909 IBZ720909 ILV720909 IVR720909 JFN720909 JPJ720909 JZF720909 KJB720909 KSX720909 LCT720909 LMP720909 LWL720909 MGH720909 MQD720909 MZZ720909 NJV720909 NTR720909 ODN720909 ONJ720909 OXF720909 PHB720909 PQX720909 QAT720909 QKP720909 QUL720909 REH720909 ROD720909 RXZ720909 SHV720909 SRR720909 TBN720909 TLJ720909 TVF720909 UFB720909 UOX720909 UYT720909 VIP720909 VSL720909 WCH720909 WMD720909 WVZ720909 P917517 JN786445 TJ786445 ADF786445 ANB786445 AWX786445 BGT786445 BQP786445 CAL786445 CKH786445 CUD786445 DDZ786445 DNV786445 DXR786445 EHN786445 ERJ786445 FBF786445 FLB786445 FUX786445 GET786445 GOP786445 GYL786445 HIH786445 HSD786445 IBZ786445 ILV786445 IVR786445 JFN786445 JPJ786445 JZF786445 KJB786445 KSX786445 LCT786445 LMP786445 LWL786445 MGH786445 MQD786445 MZZ786445 NJV786445 NTR786445 ODN786445 ONJ786445 OXF786445 PHB786445 PQX786445 QAT786445 QKP786445 QUL786445 REH786445 ROD786445 RXZ786445 SHV786445 SRR786445 TBN786445 TLJ786445 TVF786445 UFB786445 UOX786445 UYT786445 VIP786445 VSL786445 WCH786445 WMD786445 WVZ786445 P983053 JN851981 TJ851981 ADF851981 ANB851981 AWX851981 BGT851981 BQP851981 CAL851981 CKH851981 CUD851981 DDZ851981 DNV851981 DXR851981 EHN851981 ERJ851981 FBF851981 FLB851981 FUX851981 GET851981 GOP851981 GYL851981 HIH851981 HSD851981 IBZ851981 ILV851981 IVR851981 JFN851981 JPJ851981 JZF851981 KJB851981 KSX851981 LCT851981 LMP851981 LWL851981 MGH851981 MQD851981 MZZ851981 NJV851981 NTR851981 ODN851981 ONJ851981 OXF851981 PHB851981 PQX851981 QAT851981 QKP851981 QUL851981 REH851981 ROD851981 RXZ851981 SHV851981 SRR851981 TBN851981 TLJ851981 TVF851981 UFB851981 UOX851981 UYT851981 VIP851981 VSL851981 WCH851981 WMD851981 WVZ851981 P16 JN917517 TJ917517 ADF917517 ANB917517 AWX917517 BGT917517 BQP917517 CAL917517 CKH917517 CUD917517 DDZ917517 DNV917517 DXR917517 EHN917517 ERJ917517 FBF917517 FLB917517 FUX917517 GET917517 GOP917517 GYL917517 HIH917517 HSD917517 IBZ917517 ILV917517 IVR917517 JFN917517 JPJ917517 JZF917517 KJB917517 KSX917517 LCT917517 LMP917517 LWL917517 MGH917517 MQD917517 MZZ917517 NJV917517 NTR917517 ODN917517 ONJ917517 OXF917517 PHB917517 PQX917517 QAT917517 QKP917517 QUL917517 REH917517 ROD917517 RXZ917517 SHV917517 SRR917517 TBN917517 TLJ917517 TVF917517 UFB917517 UOX917517 UYT917517 VIP917517 VSL917517 WCH917517 WMD917517 WVZ917517 D1:E1048576 JN983053 TJ983053 ADF983053 ANB983053 AWX983053 BGT983053 BQP983053 CAL983053 CKH983053 CUD983053 DDZ983053 DNV983053 DXR983053 EHN983053 ERJ983053 FBF983053 FLB983053 FUX983053 GET983053 GOP983053 GYL983053 HIH983053 HSD983053 IBZ983053 ILV983053 IVR983053 JFN983053 JPJ983053 JZF983053 KJB983053 KSX983053 LCT983053 LMP983053 LWL983053 MGH983053 MQD983053 MZZ983053 NJV983053 NTR983053 ODN983053 ONJ983053 OXF983053 PHB983053 PQX983053 QAT983053 QKP983053 QUL983053 REH983053 ROD983053 RXZ983053 SHV983053 SRR983053 TBN983053 TLJ983053 TVF983053 UFB983053 UOX983053 UYT983053 VIP983053 VSL983053 WCH983053 WMD983053 WVZ983053 JK16 TG16 ADC16 AMY16 AWU16 BGQ16 BQM16 CAI16 CKE16 CUA16 DDW16 DNS16 DXO16 EHK16 ERG16 FBC16 FKY16 FUU16 GEQ16 GOM16 GYI16 HIE16 HSA16 IBW16 ILS16 IVO16 JFK16 JPG16 JZC16 KIY16 KSU16 LCQ16 LMM16 LWI16 MGE16 MQA16 MZW16 NJS16 NTO16 ODK16 ONG16 OXC16 PGY16 PQU16 QAQ16 QKM16 QUI16 REE16 ROA16 RXW16 SHS16 SRO16 TBK16 TLG16 TVC16 UEY16 UOU16 UYQ16 VIM16 VSI16 WCE16 WMA16 WVW16 M65549 JK65549 TG65549 ADC65549 AMY65549 AWU65549 BGQ65549 BQM65549 CAI65549 CKE65549 CUA65549 DDW65549 DNS65549 DXO65549 EHK65549 ERG65549 FBC65549 FKY65549 FUU65549 GEQ65549 GOM65549 GYI65549 HIE65549 HSA65549 IBW65549 ILS65549 IVO65549 JFK65549 JPG65549 JZC65549 KIY65549 KSU65549 LCQ65549 LMM65549 LWI65549 MGE65549 MQA65549 MZW65549 NJS65549 NTO65549 ODK65549 ONG65549 OXC65549 PGY65549 PQU65549 QAQ65549 QKM65549 QUI65549 REE65549 ROA65549 RXW65549 SHS65549 SRO65549 TBK65549 TLG65549 TVC65549 UEY65549 UOU65549 UYQ65549 VIM65549 VSI65549 WCE65549 WMA65549 WVW65549 M131085 JK131085 TG131085 ADC131085 AMY131085 AWU131085 BGQ131085 BQM131085 CAI131085 CKE131085 CUA131085 DDW131085 DNS131085 DXO131085 EHK131085 ERG131085 FBC131085 FKY131085 FUU131085 GEQ131085 GOM131085 GYI131085 HIE131085 HSA131085 IBW131085 ILS131085 IVO131085 JFK131085 JPG131085 JZC131085 KIY131085 KSU131085 LCQ131085 LMM131085 LWI131085 MGE131085 MQA131085 MZW131085 NJS131085 NTO131085 ODK131085 ONG131085 OXC131085 PGY131085 PQU131085 QAQ131085 QKM131085 QUI131085 REE131085 ROA131085 RXW131085 SHS131085 SRO131085 TBK131085 TLG131085 TVC131085 UEY131085 UOU131085 UYQ131085 VIM131085 VSI131085 WCE131085 WMA131085 WVW131085 M196621 JK196621 TG196621 ADC196621 AMY196621 AWU196621 BGQ196621 BQM196621 CAI196621 CKE196621 CUA196621 DDW196621 DNS196621 DXO196621 EHK196621 ERG196621 FBC196621 FKY196621 FUU196621 GEQ196621 GOM196621 GYI196621 HIE196621 HSA196621 IBW196621 ILS196621 IVO196621 JFK196621 JPG196621 JZC196621 KIY196621 KSU196621 LCQ196621 LMM196621 LWI196621 MGE196621 MQA196621 MZW196621 NJS196621 NTO196621 ODK196621 ONG196621 OXC196621 PGY196621 PQU196621 QAQ196621 QKM196621 QUI196621 REE196621 ROA196621 RXW196621 SHS196621 SRO196621 TBK196621 TLG196621 TVC196621 UEY196621 UOU196621 UYQ196621 VIM196621 VSI196621 WCE196621 WMA196621 WVW196621 M262157 JK262157 TG262157 ADC262157 AMY262157 AWU262157 BGQ262157 BQM262157 CAI262157 CKE262157 CUA262157 DDW262157 DNS262157 DXO262157 EHK262157 ERG262157 FBC262157 FKY262157 FUU262157 GEQ262157 GOM262157 GYI262157 HIE262157 HSA262157 IBW262157 ILS262157 IVO262157 JFK262157 JPG262157 JZC262157 KIY262157 KSU262157 LCQ262157 LMM262157 LWI262157 MGE262157 MQA262157 MZW262157 NJS262157 NTO262157 ODK262157 ONG262157 OXC262157 PGY262157 PQU262157 QAQ262157 QKM262157 QUI262157 REE262157 ROA262157 RXW262157 SHS262157 SRO262157 TBK262157 TLG262157 TVC262157 UEY262157 UOU262157 UYQ262157 VIM262157 VSI262157 WCE262157 WMA262157 WVW262157 M327693 JK327693 TG327693 ADC327693 AMY327693 AWU327693 BGQ327693 BQM327693 CAI327693 CKE327693 CUA327693 DDW327693 DNS327693 DXO327693 EHK327693 ERG327693 FBC327693 FKY327693 FUU327693 GEQ327693 GOM327693 GYI327693 HIE327693 HSA327693 IBW327693 ILS327693 IVO327693 JFK327693 JPG327693 JZC327693 KIY327693 KSU327693 LCQ327693 LMM327693 LWI327693 MGE327693 MQA327693 MZW327693 NJS327693 NTO327693 ODK327693 ONG327693 OXC327693 PGY327693 PQU327693 QAQ327693 QKM327693 QUI327693 REE327693 ROA327693 RXW327693 SHS327693 SRO327693 TBK327693 TLG327693 TVC327693 UEY327693 UOU327693 UYQ327693 VIM327693 VSI327693 WCE327693 WMA327693 WVW327693 M393229 JK393229 TG393229 ADC393229 AMY393229 AWU393229 BGQ393229 BQM393229 CAI393229 CKE393229 CUA393229 DDW393229 DNS393229 DXO393229 EHK393229 ERG393229 FBC393229 FKY393229 FUU393229 GEQ393229 GOM393229 GYI393229 HIE393229 HSA393229 IBW393229 ILS393229 IVO393229 JFK393229 JPG393229 JZC393229 KIY393229 KSU393229 LCQ393229 LMM393229 LWI393229 MGE393229 MQA393229 MZW393229 NJS393229 NTO393229 ODK393229 ONG393229 OXC393229 PGY393229 PQU393229 QAQ393229 QKM393229 QUI393229 REE393229 ROA393229 RXW393229 SHS393229 SRO393229 TBK393229 TLG393229 TVC393229 UEY393229 UOU393229 UYQ393229 VIM393229 VSI393229 WCE393229 WMA393229 WVW393229 M458765 JK458765 TG458765 ADC458765 AMY458765 AWU458765 BGQ458765 BQM458765 CAI458765 CKE458765 CUA458765 DDW458765 DNS458765 DXO458765 EHK458765 ERG458765 FBC458765 FKY458765 FUU458765 GEQ458765 GOM458765 GYI458765 HIE458765 HSA458765 IBW458765 ILS458765 IVO458765 JFK458765 JPG458765 JZC458765 KIY458765 KSU458765 LCQ458765 LMM458765 LWI458765 MGE458765 MQA458765 MZW458765 NJS458765 NTO458765 ODK458765 ONG458765 OXC458765 PGY458765 PQU458765 QAQ458765 QKM458765 QUI458765 REE458765 ROA458765 RXW458765 SHS458765 SRO458765 TBK458765 TLG458765 TVC458765 UEY458765 UOU458765 UYQ458765 VIM458765 VSI458765 WCE458765 WMA458765 WVW458765 M524301 JK524301 TG524301 ADC524301 AMY524301 AWU524301 BGQ524301 BQM524301 CAI524301 CKE524301 CUA524301 DDW524301 DNS524301 DXO524301 EHK524301 ERG524301 FBC524301 FKY524301 FUU524301 GEQ524301 GOM524301 GYI524301 HIE524301 HSA524301 IBW524301 ILS524301 IVO524301 JFK524301 JPG524301 JZC524301 KIY524301 KSU524301 LCQ524301 LMM524301 LWI524301 MGE524301 MQA524301 MZW524301 NJS524301 NTO524301 ODK524301 ONG524301 OXC524301 PGY524301 PQU524301 QAQ524301 QKM524301 QUI524301 REE524301 ROA524301 RXW524301 SHS524301 SRO524301 TBK524301 TLG524301 TVC524301 UEY524301 UOU524301 UYQ524301 VIM524301 VSI524301 WCE524301 WMA524301 WVW524301 M589837 JK589837 TG589837 ADC589837 AMY589837 AWU589837 BGQ589837 BQM589837 CAI589837 CKE589837 CUA589837 DDW589837 DNS589837 DXO589837 EHK589837 ERG589837 FBC589837 FKY589837 FUU589837 GEQ589837 GOM589837 GYI589837 HIE589837 HSA589837 IBW589837 ILS589837 IVO589837 JFK589837 JPG589837 JZC589837 KIY589837 KSU589837 LCQ589837 LMM589837 LWI589837 MGE589837 MQA589837 MZW589837 NJS589837 NTO589837 ODK589837 ONG589837 OXC589837 PGY589837 PQU589837 QAQ589837 QKM589837 QUI589837 REE589837 ROA589837 RXW589837 SHS589837 SRO589837 TBK589837 TLG589837 TVC589837 UEY589837 UOU589837 UYQ589837 VIM589837 VSI589837 WCE589837 WMA589837 WVW589837 M655373 JK655373 TG655373 ADC655373 AMY655373 AWU655373 BGQ655373 BQM655373 CAI655373 CKE655373 CUA655373 DDW655373 DNS655373 DXO655373 EHK655373 ERG655373 FBC655373 FKY655373 FUU655373 GEQ655373 GOM655373 GYI655373 HIE655373 HSA655373 IBW655373 ILS655373 IVO655373 JFK655373 JPG655373 JZC655373 KIY655373 KSU655373 LCQ655373 LMM655373 LWI655373 MGE655373 MQA655373 MZW655373 NJS655373 NTO655373 ODK655373 ONG655373 OXC655373 PGY655373 PQU655373 QAQ655373 QKM655373 QUI655373 REE655373 ROA655373 RXW655373 SHS655373 SRO655373 TBK655373 TLG655373 TVC655373 UEY655373 UOU655373 UYQ655373 VIM655373 VSI655373 WCE655373 WMA655373 WVW655373 M720909 JK720909 TG720909 ADC720909 AMY720909 AWU720909 BGQ720909 BQM720909 CAI720909 CKE720909 CUA720909 DDW720909 DNS720909 DXO720909 EHK720909 ERG720909 FBC720909 FKY720909 FUU720909 GEQ720909 GOM720909 GYI720909 HIE720909 HSA720909 IBW720909 ILS720909 IVO720909 JFK720909 JPG720909 JZC720909 KIY720909 KSU720909 LCQ720909 LMM720909 LWI720909 MGE720909 MQA720909 MZW720909 NJS720909 NTO720909 ODK720909 ONG720909 OXC720909 PGY720909 PQU720909 QAQ720909 QKM720909 QUI720909 REE720909 ROA720909 RXW720909 SHS720909 SRO720909 TBK720909 TLG720909 TVC720909 UEY720909 UOU720909 UYQ720909 VIM720909 VSI720909 WCE720909 WMA720909 WVW720909 M786445 JK786445 TG786445 ADC786445 AMY786445 AWU786445 BGQ786445 BQM786445 CAI786445 CKE786445 CUA786445 DDW786445 DNS786445 DXO786445 EHK786445 ERG786445 FBC786445 FKY786445 FUU786445 GEQ786445 GOM786445 GYI786445 HIE786445 HSA786445 IBW786445 ILS786445 IVO786445 JFK786445 JPG786445 JZC786445 KIY786445 KSU786445 LCQ786445 LMM786445 LWI786445 MGE786445 MQA786445 MZW786445 NJS786445 NTO786445 ODK786445 ONG786445 OXC786445 PGY786445 PQU786445 QAQ786445 QKM786445 QUI786445 REE786445 ROA786445 RXW786445 SHS786445 SRO786445 TBK786445 TLG786445 TVC786445 UEY786445 UOU786445 UYQ786445 VIM786445 VSI786445 WCE786445 WMA786445 WVW786445 M851981 JK851981 TG851981 ADC851981 AMY851981 AWU851981 BGQ851981 BQM851981 CAI851981 CKE851981 CUA851981 DDW851981 DNS851981 DXO851981 EHK851981 ERG851981 FBC851981 FKY851981 FUU851981 GEQ851981 GOM851981 GYI851981 HIE851981 HSA851981 IBW851981 ILS851981 IVO851981 JFK851981 JPG851981 JZC851981 KIY851981 KSU851981 LCQ851981 LMM851981 LWI851981 MGE851981 MQA851981 MZW851981 NJS851981 NTO851981 ODK851981 ONG851981 OXC851981 PGY851981 PQU851981 QAQ851981 QKM851981 QUI851981 REE851981 ROA851981 RXW851981 SHS851981 SRO851981 TBK851981 TLG851981 TVC851981 UEY851981 UOU851981 UYQ851981 VIM851981 VSI851981 WCE851981 WMA851981 WVW851981 M917517 JK917517 TG917517 ADC917517 AMY917517 AWU917517 BGQ917517 BQM917517 CAI917517 CKE917517 CUA917517 DDW917517 DNS917517 DXO917517 EHK917517 ERG917517 FBC917517 FKY917517 FUU917517 GEQ917517 GOM917517 GYI917517 HIE917517 HSA917517 IBW917517 ILS917517 IVO917517 JFK917517 JPG917517 JZC917517 KIY917517 KSU917517 LCQ917517 LMM917517 LWI917517 MGE917517 MQA917517 MZW917517 NJS917517 NTO917517 ODK917517 ONG917517 OXC917517 PGY917517 PQU917517 QAQ917517 QKM917517 QUI917517 REE917517 ROA917517 RXW917517 SHS917517 SRO917517 TBK917517 TLG917517 TVC917517 UEY917517 UOU917517 UYQ917517 VIM917517 VSI917517 WCE917517 WMA917517 WVW917517 M983053 JK983053 TG983053 ADC983053 AMY983053 AWU983053 BGQ983053 BQM983053 CAI983053 CKE983053 CUA983053 DDW983053 DNS983053 DXO983053 EHK983053 ERG983053 FBC983053 FKY983053 FUU983053 GEQ983053 GOM983053 GYI983053 HIE983053 HSA983053 IBW983053 ILS983053 IVO983053 JFK983053 JPG983053 JZC983053 KIY983053 KSU983053 LCQ983053 LMM983053 LWI983053 MGE983053 MQA983053 MZW983053 NJS983053 NTO983053 ODK983053 ONG983053 OXC983053 PGY983053 PQU983053 QAQ983053 QKM983053 QUI983053 REE983053 ROA983053 RXW983053 SHS983053 SRO983053 TBK983053 TLG983053 TVC983053 UEY983053 UOU983053 UYQ983053 VIM983053 VSI983053 WCE983053 WMA983053 WVW983053 J16 WVN1:WVO1048576 WLR1:WLS1048576 WBV1:WBW1048576 VRZ1:VSA1048576 VID1:VIE1048576 UYH1:UYI1048576 UOL1:UOM1048576 UEP1:UEQ1048576 TUT1:TUU1048576 TKX1:TKY1048576 TBB1:TBC1048576 SRF1:SRG1048576 SHJ1:SHK1048576 RXN1:RXO1048576 RNR1:RNS1048576 RDV1:RDW1048576 QTZ1:QUA1048576 QKD1:QKE1048576 QAH1:QAI1048576 PQL1:PQM1048576 PGP1:PGQ1048576 OWT1:OWU1048576 OMX1:OMY1048576 ODB1:ODC1048576 NTF1:NTG1048576 NJJ1:NJK1048576 MZN1:MZO1048576 MPR1:MPS1048576 MFV1:MFW1048576 LVZ1:LWA1048576 LMD1:LME1048576 LCH1:LCI1048576 KSL1:KSM1048576 KIP1:KIQ1048576 JYT1:JYU1048576 JOX1:JOY1048576 JFB1:JFC1048576 IVF1:IVG1048576 ILJ1:ILK1048576 IBN1:IBO1048576 HRR1:HRS1048576 HHV1:HHW1048576 GXZ1:GYA1048576 GOD1:GOE1048576 GEH1:GEI1048576 FUL1:FUM1048576 FKP1:FKQ1048576 FAT1:FAU1048576 EQX1:EQY1048576 EHB1:EHC1048576 DXF1:DXG1048576 DNJ1:DNK1048576 DDN1:DDO1048576 CTR1:CTS1048576 CJV1:CJW1048576 BZZ1:CAA1048576 BQD1:BQE1048576 BGH1:BGI1048576 AWL1:AWM1048576 AMP1:AMQ1048576 ACT1:ACU1048576 SX1:SY1048576 JB1:JC1048576 P65549 Q131085 Q196621 Q262157 Q327693 Q393229 Q458765 Q524301 Q589837 Q655373 Q720909 Q786445 Q851981 Q917517 Q983053 Q16 Q65549" xr:uid="{00000000-0002-0000-0300-000000000000}"/>
    <dataValidation allowBlank="1" showInputMessage="1" showErrorMessage="1" promptTitle="Not valid" sqref="J65550:K131084 JH65550:JI131084 TD65550:TE131084 ACZ65550:ADA131084 AMV65550:AMW131084 AWR65550:AWS131084 BGN65550:BGO131084 BQJ65550:BQK131084 CAF65550:CAG131084 CKB65550:CKC131084 CTX65550:CTY131084 DDT65550:DDU131084 DNP65550:DNQ131084 DXL65550:DXM131084 EHH65550:EHI131084 ERD65550:ERE131084 FAZ65550:FBA131084 FKV65550:FKW131084 FUR65550:FUS131084 GEN65550:GEO131084 GOJ65550:GOK131084 GYF65550:GYG131084 HIB65550:HIC131084 HRX65550:HRY131084 IBT65550:IBU131084 ILP65550:ILQ131084 IVL65550:IVM131084 JFH65550:JFI131084 JPD65550:JPE131084 JYZ65550:JZA131084 KIV65550:KIW131084 KSR65550:KSS131084 LCN65550:LCO131084 LMJ65550:LMK131084 LWF65550:LWG131084 MGB65550:MGC131084 MPX65550:MPY131084 MZT65550:MZU131084 NJP65550:NJQ131084 NTL65550:NTM131084 ODH65550:ODI131084 OND65550:ONE131084 OWZ65550:OXA131084 PGV65550:PGW131084 PQR65550:PQS131084 QAN65550:QAO131084 QKJ65550:QKK131084 QUF65550:QUG131084 REB65550:REC131084 RNX65550:RNY131084 RXT65550:RXU131084 SHP65550:SHQ131084 SRL65550:SRM131084 TBH65550:TBI131084 TLD65550:TLE131084 TUZ65550:TVA131084 UEV65550:UEW131084 UOR65550:UOS131084 UYN65550:UYO131084 VIJ65550:VIK131084 VSF65550:VSG131084 WCB65550:WCC131084 WLX65550:WLY131084 WVT65550:WVU131084 J131086:K196620 JH131086:JI196620 TD131086:TE196620 ACZ131086:ADA196620 AMV131086:AMW196620 AWR131086:AWS196620 BGN131086:BGO196620 BQJ131086:BQK196620 CAF131086:CAG196620 CKB131086:CKC196620 CTX131086:CTY196620 DDT131086:DDU196620 DNP131086:DNQ196620 DXL131086:DXM196620 EHH131086:EHI196620 ERD131086:ERE196620 FAZ131086:FBA196620 FKV131086:FKW196620 FUR131086:FUS196620 GEN131086:GEO196620 GOJ131086:GOK196620 GYF131086:GYG196620 HIB131086:HIC196620 HRX131086:HRY196620 IBT131086:IBU196620 ILP131086:ILQ196620 IVL131086:IVM196620 JFH131086:JFI196620 JPD131086:JPE196620 JYZ131086:JZA196620 KIV131086:KIW196620 KSR131086:KSS196620 LCN131086:LCO196620 LMJ131086:LMK196620 LWF131086:LWG196620 MGB131086:MGC196620 MPX131086:MPY196620 MZT131086:MZU196620 NJP131086:NJQ196620 NTL131086:NTM196620 ODH131086:ODI196620 OND131086:ONE196620 OWZ131086:OXA196620 PGV131086:PGW196620 PQR131086:PQS196620 QAN131086:QAO196620 QKJ131086:QKK196620 QUF131086:QUG196620 REB131086:REC196620 RNX131086:RNY196620 RXT131086:RXU196620 SHP131086:SHQ196620 SRL131086:SRM196620 TBH131086:TBI196620 TLD131086:TLE196620 TUZ131086:TVA196620 UEV131086:UEW196620 UOR131086:UOS196620 UYN131086:UYO196620 VIJ131086:VIK196620 VSF131086:VSG196620 WCB131086:WCC196620 WLX131086:WLY196620 WVT131086:WVU196620 J196622:K262156 JH196622:JI262156 TD196622:TE262156 ACZ196622:ADA262156 AMV196622:AMW262156 AWR196622:AWS262156 BGN196622:BGO262156 BQJ196622:BQK262156 CAF196622:CAG262156 CKB196622:CKC262156 CTX196622:CTY262156 DDT196622:DDU262156 DNP196622:DNQ262156 DXL196622:DXM262156 EHH196622:EHI262156 ERD196622:ERE262156 FAZ196622:FBA262156 FKV196622:FKW262156 FUR196622:FUS262156 GEN196622:GEO262156 GOJ196622:GOK262156 GYF196622:GYG262156 HIB196622:HIC262156 HRX196622:HRY262156 IBT196622:IBU262156 ILP196622:ILQ262156 IVL196622:IVM262156 JFH196622:JFI262156 JPD196622:JPE262156 JYZ196622:JZA262156 KIV196622:KIW262156 KSR196622:KSS262156 LCN196622:LCO262156 LMJ196622:LMK262156 LWF196622:LWG262156 MGB196622:MGC262156 MPX196622:MPY262156 MZT196622:MZU262156 NJP196622:NJQ262156 NTL196622:NTM262156 ODH196622:ODI262156 OND196622:ONE262156 OWZ196622:OXA262156 PGV196622:PGW262156 PQR196622:PQS262156 QAN196622:QAO262156 QKJ196622:QKK262156 QUF196622:QUG262156 REB196622:REC262156 RNX196622:RNY262156 RXT196622:RXU262156 SHP196622:SHQ262156 SRL196622:SRM262156 TBH196622:TBI262156 TLD196622:TLE262156 TUZ196622:TVA262156 UEV196622:UEW262156 UOR196622:UOS262156 UYN196622:UYO262156 VIJ196622:VIK262156 VSF196622:VSG262156 WCB196622:WCC262156 WLX196622:WLY262156 WVT196622:WVU262156 J262158:K327692 JH262158:JI327692 TD262158:TE327692 ACZ262158:ADA327692 AMV262158:AMW327692 AWR262158:AWS327692 BGN262158:BGO327692 BQJ262158:BQK327692 CAF262158:CAG327692 CKB262158:CKC327692 CTX262158:CTY327692 DDT262158:DDU327692 DNP262158:DNQ327692 DXL262158:DXM327692 EHH262158:EHI327692 ERD262158:ERE327692 FAZ262158:FBA327692 FKV262158:FKW327692 FUR262158:FUS327692 GEN262158:GEO327692 GOJ262158:GOK327692 GYF262158:GYG327692 HIB262158:HIC327692 HRX262158:HRY327692 IBT262158:IBU327692 ILP262158:ILQ327692 IVL262158:IVM327692 JFH262158:JFI327692 JPD262158:JPE327692 JYZ262158:JZA327692 KIV262158:KIW327692 KSR262158:KSS327692 LCN262158:LCO327692 LMJ262158:LMK327692 LWF262158:LWG327692 MGB262158:MGC327692 MPX262158:MPY327692 MZT262158:MZU327692 NJP262158:NJQ327692 NTL262158:NTM327692 ODH262158:ODI327692 OND262158:ONE327692 OWZ262158:OXA327692 PGV262158:PGW327692 PQR262158:PQS327692 QAN262158:QAO327692 QKJ262158:QKK327692 QUF262158:QUG327692 REB262158:REC327692 RNX262158:RNY327692 RXT262158:RXU327692 SHP262158:SHQ327692 SRL262158:SRM327692 TBH262158:TBI327692 TLD262158:TLE327692 TUZ262158:TVA327692 UEV262158:UEW327692 UOR262158:UOS327692 UYN262158:UYO327692 VIJ262158:VIK327692 VSF262158:VSG327692 WCB262158:WCC327692 WLX262158:WLY327692 WVT262158:WVU327692 J327694:K393228 JH327694:JI393228 TD327694:TE393228 ACZ327694:ADA393228 AMV327694:AMW393228 AWR327694:AWS393228 BGN327694:BGO393228 BQJ327694:BQK393228 CAF327694:CAG393228 CKB327694:CKC393228 CTX327694:CTY393228 DDT327694:DDU393228 DNP327694:DNQ393228 DXL327694:DXM393228 EHH327694:EHI393228 ERD327694:ERE393228 FAZ327694:FBA393228 FKV327694:FKW393228 FUR327694:FUS393228 GEN327694:GEO393228 GOJ327694:GOK393228 GYF327694:GYG393228 HIB327694:HIC393228 HRX327694:HRY393228 IBT327694:IBU393228 ILP327694:ILQ393228 IVL327694:IVM393228 JFH327694:JFI393228 JPD327694:JPE393228 JYZ327694:JZA393228 KIV327694:KIW393228 KSR327694:KSS393228 LCN327694:LCO393228 LMJ327694:LMK393228 LWF327694:LWG393228 MGB327694:MGC393228 MPX327694:MPY393228 MZT327694:MZU393228 NJP327694:NJQ393228 NTL327694:NTM393228 ODH327694:ODI393228 OND327694:ONE393228 OWZ327694:OXA393228 PGV327694:PGW393228 PQR327694:PQS393228 QAN327694:QAO393228 QKJ327694:QKK393228 QUF327694:QUG393228 REB327694:REC393228 RNX327694:RNY393228 RXT327694:RXU393228 SHP327694:SHQ393228 SRL327694:SRM393228 TBH327694:TBI393228 TLD327694:TLE393228 TUZ327694:TVA393228 UEV327694:UEW393228 UOR327694:UOS393228 UYN327694:UYO393228 VIJ327694:VIK393228 VSF327694:VSG393228 WCB327694:WCC393228 WLX327694:WLY393228 WVT327694:WVU393228 J393230:K458764 JH393230:JI458764 TD393230:TE458764 ACZ393230:ADA458764 AMV393230:AMW458764 AWR393230:AWS458764 BGN393230:BGO458764 BQJ393230:BQK458764 CAF393230:CAG458764 CKB393230:CKC458764 CTX393230:CTY458764 DDT393230:DDU458764 DNP393230:DNQ458764 DXL393230:DXM458764 EHH393230:EHI458764 ERD393230:ERE458764 FAZ393230:FBA458764 FKV393230:FKW458764 FUR393230:FUS458764 GEN393230:GEO458764 GOJ393230:GOK458764 GYF393230:GYG458764 HIB393230:HIC458764 HRX393230:HRY458764 IBT393230:IBU458764 ILP393230:ILQ458764 IVL393230:IVM458764 JFH393230:JFI458764 JPD393230:JPE458764 JYZ393230:JZA458764 KIV393230:KIW458764 KSR393230:KSS458764 LCN393230:LCO458764 LMJ393230:LMK458764 LWF393230:LWG458764 MGB393230:MGC458764 MPX393230:MPY458764 MZT393230:MZU458764 NJP393230:NJQ458764 NTL393230:NTM458764 ODH393230:ODI458764 OND393230:ONE458764 OWZ393230:OXA458764 PGV393230:PGW458764 PQR393230:PQS458764 QAN393230:QAO458764 QKJ393230:QKK458764 QUF393230:QUG458764 REB393230:REC458764 RNX393230:RNY458764 RXT393230:RXU458764 SHP393230:SHQ458764 SRL393230:SRM458764 TBH393230:TBI458764 TLD393230:TLE458764 TUZ393230:TVA458764 UEV393230:UEW458764 UOR393230:UOS458764 UYN393230:UYO458764 VIJ393230:VIK458764 VSF393230:VSG458764 WCB393230:WCC458764 WLX393230:WLY458764 WVT393230:WVU458764 J458766:K524300 JH458766:JI524300 TD458766:TE524300 ACZ458766:ADA524300 AMV458766:AMW524300 AWR458766:AWS524300 BGN458766:BGO524300 BQJ458766:BQK524300 CAF458766:CAG524300 CKB458766:CKC524300 CTX458766:CTY524300 DDT458766:DDU524300 DNP458766:DNQ524300 DXL458766:DXM524300 EHH458766:EHI524300 ERD458766:ERE524300 FAZ458766:FBA524300 FKV458766:FKW524300 FUR458766:FUS524300 GEN458766:GEO524300 GOJ458766:GOK524300 GYF458766:GYG524300 HIB458766:HIC524300 HRX458766:HRY524300 IBT458766:IBU524300 ILP458766:ILQ524300 IVL458766:IVM524300 JFH458766:JFI524300 JPD458766:JPE524300 JYZ458766:JZA524300 KIV458766:KIW524300 KSR458766:KSS524300 LCN458766:LCO524300 LMJ458766:LMK524300 LWF458766:LWG524300 MGB458766:MGC524300 MPX458766:MPY524300 MZT458766:MZU524300 NJP458766:NJQ524300 NTL458766:NTM524300 ODH458766:ODI524300 OND458766:ONE524300 OWZ458766:OXA524300 PGV458766:PGW524300 PQR458766:PQS524300 QAN458766:QAO524300 QKJ458766:QKK524300 QUF458766:QUG524300 REB458766:REC524300 RNX458766:RNY524300 RXT458766:RXU524300 SHP458766:SHQ524300 SRL458766:SRM524300 TBH458766:TBI524300 TLD458766:TLE524300 TUZ458766:TVA524300 UEV458766:UEW524300 UOR458766:UOS524300 UYN458766:UYO524300 VIJ458766:VIK524300 VSF458766:VSG524300 WCB458766:WCC524300 WLX458766:WLY524300 WVT458766:WVU524300 J524302:K589836 JH524302:JI589836 TD524302:TE589836 ACZ524302:ADA589836 AMV524302:AMW589836 AWR524302:AWS589836 BGN524302:BGO589836 BQJ524302:BQK589836 CAF524302:CAG589836 CKB524302:CKC589836 CTX524302:CTY589836 DDT524302:DDU589836 DNP524302:DNQ589836 DXL524302:DXM589836 EHH524302:EHI589836 ERD524302:ERE589836 FAZ524302:FBA589836 FKV524302:FKW589836 FUR524302:FUS589836 GEN524302:GEO589836 GOJ524302:GOK589836 GYF524302:GYG589836 HIB524302:HIC589836 HRX524302:HRY589836 IBT524302:IBU589836 ILP524302:ILQ589836 IVL524302:IVM589836 JFH524302:JFI589836 JPD524302:JPE589836 JYZ524302:JZA589836 KIV524302:KIW589836 KSR524302:KSS589836 LCN524302:LCO589836 LMJ524302:LMK589836 LWF524302:LWG589836 MGB524302:MGC589836 MPX524302:MPY589836 MZT524302:MZU589836 NJP524302:NJQ589836 NTL524302:NTM589836 ODH524302:ODI589836 OND524302:ONE589836 OWZ524302:OXA589836 PGV524302:PGW589836 PQR524302:PQS589836 QAN524302:QAO589836 QKJ524302:QKK589836 QUF524302:QUG589836 REB524302:REC589836 RNX524302:RNY589836 RXT524302:RXU589836 SHP524302:SHQ589836 SRL524302:SRM589836 TBH524302:TBI589836 TLD524302:TLE589836 TUZ524302:TVA589836 UEV524302:UEW589836 UOR524302:UOS589836 UYN524302:UYO589836 VIJ524302:VIK589836 VSF524302:VSG589836 WCB524302:WCC589836 WLX524302:WLY589836 WVT524302:WVU589836 J589838:K655372 JH589838:JI655372 TD589838:TE655372 ACZ589838:ADA655372 AMV589838:AMW655372 AWR589838:AWS655372 BGN589838:BGO655372 BQJ589838:BQK655372 CAF589838:CAG655372 CKB589838:CKC655372 CTX589838:CTY655372 DDT589838:DDU655372 DNP589838:DNQ655372 DXL589838:DXM655372 EHH589838:EHI655372 ERD589838:ERE655372 FAZ589838:FBA655372 FKV589838:FKW655372 FUR589838:FUS655372 GEN589838:GEO655372 GOJ589838:GOK655372 GYF589838:GYG655372 HIB589838:HIC655372 HRX589838:HRY655372 IBT589838:IBU655372 ILP589838:ILQ655372 IVL589838:IVM655372 JFH589838:JFI655372 JPD589838:JPE655372 JYZ589838:JZA655372 KIV589838:KIW655372 KSR589838:KSS655372 LCN589838:LCO655372 LMJ589838:LMK655372 LWF589838:LWG655372 MGB589838:MGC655372 MPX589838:MPY655372 MZT589838:MZU655372 NJP589838:NJQ655372 NTL589838:NTM655372 ODH589838:ODI655372 OND589838:ONE655372 OWZ589838:OXA655372 PGV589838:PGW655372 PQR589838:PQS655372 QAN589838:QAO655372 QKJ589838:QKK655372 QUF589838:QUG655372 REB589838:REC655372 RNX589838:RNY655372 RXT589838:RXU655372 SHP589838:SHQ655372 SRL589838:SRM655372 TBH589838:TBI655372 TLD589838:TLE655372 TUZ589838:TVA655372 UEV589838:UEW655372 UOR589838:UOS655372 UYN589838:UYO655372 VIJ589838:VIK655372 VSF589838:VSG655372 WCB589838:WCC655372 WLX589838:WLY655372 WVT589838:WVU655372 J655374:K720908 JH655374:JI720908 TD655374:TE720908 ACZ655374:ADA720908 AMV655374:AMW720908 AWR655374:AWS720908 BGN655374:BGO720908 BQJ655374:BQK720908 CAF655374:CAG720908 CKB655374:CKC720908 CTX655374:CTY720908 DDT655374:DDU720908 DNP655374:DNQ720908 DXL655374:DXM720908 EHH655374:EHI720908 ERD655374:ERE720908 FAZ655374:FBA720908 FKV655374:FKW720908 FUR655374:FUS720908 GEN655374:GEO720908 GOJ655374:GOK720908 GYF655374:GYG720908 HIB655374:HIC720908 HRX655374:HRY720908 IBT655374:IBU720908 ILP655374:ILQ720908 IVL655374:IVM720908 JFH655374:JFI720908 JPD655374:JPE720908 JYZ655374:JZA720908 KIV655374:KIW720908 KSR655374:KSS720908 LCN655374:LCO720908 LMJ655374:LMK720908 LWF655374:LWG720908 MGB655374:MGC720908 MPX655374:MPY720908 MZT655374:MZU720908 NJP655374:NJQ720908 NTL655374:NTM720908 ODH655374:ODI720908 OND655374:ONE720908 OWZ655374:OXA720908 PGV655374:PGW720908 PQR655374:PQS720908 QAN655374:QAO720908 QKJ655374:QKK720908 QUF655374:QUG720908 REB655374:REC720908 RNX655374:RNY720908 RXT655374:RXU720908 SHP655374:SHQ720908 SRL655374:SRM720908 TBH655374:TBI720908 TLD655374:TLE720908 TUZ655374:TVA720908 UEV655374:UEW720908 UOR655374:UOS720908 UYN655374:UYO720908 VIJ655374:VIK720908 VSF655374:VSG720908 WCB655374:WCC720908 WLX655374:WLY720908 WVT655374:WVU720908 J720910:K786444 JH720910:JI786444 TD720910:TE786444 ACZ720910:ADA786444 AMV720910:AMW786444 AWR720910:AWS786444 BGN720910:BGO786444 BQJ720910:BQK786444 CAF720910:CAG786444 CKB720910:CKC786444 CTX720910:CTY786444 DDT720910:DDU786444 DNP720910:DNQ786444 DXL720910:DXM786444 EHH720910:EHI786444 ERD720910:ERE786444 FAZ720910:FBA786444 FKV720910:FKW786444 FUR720910:FUS786444 GEN720910:GEO786444 GOJ720910:GOK786444 GYF720910:GYG786444 HIB720910:HIC786444 HRX720910:HRY786444 IBT720910:IBU786444 ILP720910:ILQ786444 IVL720910:IVM786444 JFH720910:JFI786444 JPD720910:JPE786444 JYZ720910:JZA786444 KIV720910:KIW786444 KSR720910:KSS786444 LCN720910:LCO786444 LMJ720910:LMK786444 LWF720910:LWG786444 MGB720910:MGC786444 MPX720910:MPY786444 MZT720910:MZU786444 NJP720910:NJQ786444 NTL720910:NTM786444 ODH720910:ODI786444 OND720910:ONE786444 OWZ720910:OXA786444 PGV720910:PGW786444 PQR720910:PQS786444 QAN720910:QAO786444 QKJ720910:QKK786444 QUF720910:QUG786444 REB720910:REC786444 RNX720910:RNY786444 RXT720910:RXU786444 SHP720910:SHQ786444 SRL720910:SRM786444 TBH720910:TBI786444 TLD720910:TLE786444 TUZ720910:TVA786444 UEV720910:UEW786444 UOR720910:UOS786444 UYN720910:UYO786444 VIJ720910:VIK786444 VSF720910:VSG786444 WCB720910:WCC786444 WLX720910:WLY786444 WVT720910:WVU786444 J786446:K851980 JH786446:JI851980 TD786446:TE851980 ACZ786446:ADA851980 AMV786446:AMW851980 AWR786446:AWS851980 BGN786446:BGO851980 BQJ786446:BQK851980 CAF786446:CAG851980 CKB786446:CKC851980 CTX786446:CTY851980 DDT786446:DDU851980 DNP786446:DNQ851980 DXL786446:DXM851980 EHH786446:EHI851980 ERD786446:ERE851980 FAZ786446:FBA851980 FKV786446:FKW851980 FUR786446:FUS851980 GEN786446:GEO851980 GOJ786446:GOK851980 GYF786446:GYG851980 HIB786446:HIC851980 HRX786446:HRY851980 IBT786446:IBU851980 ILP786446:ILQ851980 IVL786446:IVM851980 JFH786446:JFI851980 JPD786446:JPE851980 JYZ786446:JZA851980 KIV786446:KIW851980 KSR786446:KSS851980 LCN786446:LCO851980 LMJ786446:LMK851980 LWF786446:LWG851980 MGB786446:MGC851980 MPX786446:MPY851980 MZT786446:MZU851980 NJP786446:NJQ851980 NTL786446:NTM851980 ODH786446:ODI851980 OND786446:ONE851980 OWZ786446:OXA851980 PGV786446:PGW851980 PQR786446:PQS851980 QAN786446:QAO851980 QKJ786446:QKK851980 QUF786446:QUG851980 REB786446:REC851980 RNX786446:RNY851980 RXT786446:RXU851980 SHP786446:SHQ851980 SRL786446:SRM851980 TBH786446:TBI851980 TLD786446:TLE851980 TUZ786446:TVA851980 UEV786446:UEW851980 UOR786446:UOS851980 UYN786446:UYO851980 VIJ786446:VIK851980 VSF786446:VSG851980 WCB786446:WCC851980 WLX786446:WLY851980 WVT786446:WVU851980 J851982:K917516 JH851982:JI917516 TD851982:TE917516 ACZ851982:ADA917516 AMV851982:AMW917516 AWR851982:AWS917516 BGN851982:BGO917516 BQJ851982:BQK917516 CAF851982:CAG917516 CKB851982:CKC917516 CTX851982:CTY917516 DDT851982:DDU917516 DNP851982:DNQ917516 DXL851982:DXM917516 EHH851982:EHI917516 ERD851982:ERE917516 FAZ851982:FBA917516 FKV851982:FKW917516 FUR851982:FUS917516 GEN851982:GEO917516 GOJ851982:GOK917516 GYF851982:GYG917516 HIB851982:HIC917516 HRX851982:HRY917516 IBT851982:IBU917516 ILP851982:ILQ917516 IVL851982:IVM917516 JFH851982:JFI917516 JPD851982:JPE917516 JYZ851982:JZA917516 KIV851982:KIW917516 KSR851982:KSS917516 LCN851982:LCO917516 LMJ851982:LMK917516 LWF851982:LWG917516 MGB851982:MGC917516 MPX851982:MPY917516 MZT851982:MZU917516 NJP851982:NJQ917516 NTL851982:NTM917516 ODH851982:ODI917516 OND851982:ONE917516 OWZ851982:OXA917516 PGV851982:PGW917516 PQR851982:PQS917516 QAN851982:QAO917516 QKJ851982:QKK917516 QUF851982:QUG917516 REB851982:REC917516 RNX851982:RNY917516 RXT851982:RXU917516 SHP851982:SHQ917516 SRL851982:SRM917516 TBH851982:TBI917516 TLD851982:TLE917516 TUZ851982:TVA917516 UEV851982:UEW917516 UOR851982:UOS917516 UYN851982:UYO917516 VIJ851982:VIK917516 VSF851982:VSG917516 WCB851982:WCC917516 WLX851982:WLY917516 WVT851982:WVU917516 J917518:K983052 JH917518:JI983052 TD917518:TE983052 ACZ917518:ADA983052 AMV917518:AMW983052 AWR917518:AWS983052 BGN917518:BGO983052 BQJ917518:BQK983052 CAF917518:CAG983052 CKB917518:CKC983052 CTX917518:CTY983052 DDT917518:DDU983052 DNP917518:DNQ983052 DXL917518:DXM983052 EHH917518:EHI983052 ERD917518:ERE983052 FAZ917518:FBA983052 FKV917518:FKW983052 FUR917518:FUS983052 GEN917518:GEO983052 GOJ917518:GOK983052 GYF917518:GYG983052 HIB917518:HIC983052 HRX917518:HRY983052 IBT917518:IBU983052 ILP917518:ILQ983052 IVL917518:IVM983052 JFH917518:JFI983052 JPD917518:JPE983052 JYZ917518:JZA983052 KIV917518:KIW983052 KSR917518:KSS983052 LCN917518:LCO983052 LMJ917518:LMK983052 LWF917518:LWG983052 MGB917518:MGC983052 MPX917518:MPY983052 MZT917518:MZU983052 NJP917518:NJQ983052 NTL917518:NTM983052 ODH917518:ODI983052 OND917518:ONE983052 OWZ917518:OXA983052 PGV917518:PGW983052 PQR917518:PQS983052 QAN917518:QAO983052 QKJ917518:QKK983052 QUF917518:QUG983052 REB917518:REC983052 RNX917518:RNY983052 RXT917518:RXU983052 SHP917518:SHQ983052 SRL917518:SRM983052 TBH917518:TBI983052 TLD917518:TLE983052 TUZ917518:TVA983052 UEV917518:UEW983052 UOR917518:UOS983052 UYN917518:UYO983052 VIJ917518:VIK983052 VSF917518:VSG983052 WCB917518:WCC983052 WLX917518:WLY983052 WVT917518:WVU983052 M65550:N131084 JK65550:JL131084 TG65550:TH131084 ADC65550:ADD131084 AMY65550:AMZ131084 AWU65550:AWV131084 BGQ65550:BGR131084 BQM65550:BQN131084 CAI65550:CAJ131084 CKE65550:CKF131084 CUA65550:CUB131084 DDW65550:DDX131084 DNS65550:DNT131084 DXO65550:DXP131084 EHK65550:EHL131084 ERG65550:ERH131084 FBC65550:FBD131084 FKY65550:FKZ131084 FUU65550:FUV131084 GEQ65550:GER131084 GOM65550:GON131084 GYI65550:GYJ131084 HIE65550:HIF131084 HSA65550:HSB131084 IBW65550:IBX131084 ILS65550:ILT131084 IVO65550:IVP131084 JFK65550:JFL131084 JPG65550:JPH131084 JZC65550:JZD131084 KIY65550:KIZ131084 KSU65550:KSV131084 LCQ65550:LCR131084 LMM65550:LMN131084 LWI65550:LWJ131084 MGE65550:MGF131084 MQA65550:MQB131084 MZW65550:MZX131084 NJS65550:NJT131084 NTO65550:NTP131084 ODK65550:ODL131084 ONG65550:ONH131084 OXC65550:OXD131084 PGY65550:PGZ131084 PQU65550:PQV131084 QAQ65550:QAR131084 QKM65550:QKN131084 QUI65550:QUJ131084 REE65550:REF131084 ROA65550:ROB131084 RXW65550:RXX131084 SHS65550:SHT131084 SRO65550:SRP131084 TBK65550:TBL131084 TLG65550:TLH131084 TVC65550:TVD131084 UEY65550:UEZ131084 UOU65550:UOV131084 UYQ65550:UYR131084 VIM65550:VIN131084 VSI65550:VSJ131084 WCE65550:WCF131084 WMA65550:WMB131084 WVW65550:WVX131084 M131086:N196620 JK131086:JL196620 TG131086:TH196620 ADC131086:ADD196620 AMY131086:AMZ196620 AWU131086:AWV196620 BGQ131086:BGR196620 BQM131086:BQN196620 CAI131086:CAJ196620 CKE131086:CKF196620 CUA131086:CUB196620 DDW131086:DDX196620 DNS131086:DNT196620 DXO131086:DXP196620 EHK131086:EHL196620 ERG131086:ERH196620 FBC131086:FBD196620 FKY131086:FKZ196620 FUU131086:FUV196620 GEQ131086:GER196620 GOM131086:GON196620 GYI131086:GYJ196620 HIE131086:HIF196620 HSA131086:HSB196620 IBW131086:IBX196620 ILS131086:ILT196620 IVO131086:IVP196620 JFK131086:JFL196620 JPG131086:JPH196620 JZC131086:JZD196620 KIY131086:KIZ196620 KSU131086:KSV196620 LCQ131086:LCR196620 LMM131086:LMN196620 LWI131086:LWJ196620 MGE131086:MGF196620 MQA131086:MQB196620 MZW131086:MZX196620 NJS131086:NJT196620 NTO131086:NTP196620 ODK131086:ODL196620 ONG131086:ONH196620 OXC131086:OXD196620 PGY131086:PGZ196620 PQU131086:PQV196620 QAQ131086:QAR196620 QKM131086:QKN196620 QUI131086:QUJ196620 REE131086:REF196620 ROA131086:ROB196620 RXW131086:RXX196620 SHS131086:SHT196620 SRO131086:SRP196620 TBK131086:TBL196620 TLG131086:TLH196620 TVC131086:TVD196620 UEY131086:UEZ196620 UOU131086:UOV196620 UYQ131086:UYR196620 VIM131086:VIN196620 VSI131086:VSJ196620 WCE131086:WCF196620 WMA131086:WMB196620 WVW131086:WVX196620 M196622:N262156 JK196622:JL262156 TG196622:TH262156 ADC196622:ADD262156 AMY196622:AMZ262156 AWU196622:AWV262156 BGQ196622:BGR262156 BQM196622:BQN262156 CAI196622:CAJ262156 CKE196622:CKF262156 CUA196622:CUB262156 DDW196622:DDX262156 DNS196622:DNT262156 DXO196622:DXP262156 EHK196622:EHL262156 ERG196622:ERH262156 FBC196622:FBD262156 FKY196622:FKZ262156 FUU196622:FUV262156 GEQ196622:GER262156 GOM196622:GON262156 GYI196622:GYJ262156 HIE196622:HIF262156 HSA196622:HSB262156 IBW196622:IBX262156 ILS196622:ILT262156 IVO196622:IVP262156 JFK196622:JFL262156 JPG196622:JPH262156 JZC196622:JZD262156 KIY196622:KIZ262156 KSU196622:KSV262156 LCQ196622:LCR262156 LMM196622:LMN262156 LWI196622:LWJ262156 MGE196622:MGF262156 MQA196622:MQB262156 MZW196622:MZX262156 NJS196622:NJT262156 NTO196622:NTP262156 ODK196622:ODL262156 ONG196622:ONH262156 OXC196622:OXD262156 PGY196622:PGZ262156 PQU196622:PQV262156 QAQ196622:QAR262156 QKM196622:QKN262156 QUI196622:QUJ262156 REE196622:REF262156 ROA196622:ROB262156 RXW196622:RXX262156 SHS196622:SHT262156 SRO196622:SRP262156 TBK196622:TBL262156 TLG196622:TLH262156 TVC196622:TVD262156 UEY196622:UEZ262156 UOU196622:UOV262156 UYQ196622:UYR262156 VIM196622:VIN262156 VSI196622:VSJ262156 WCE196622:WCF262156 WMA196622:WMB262156 WVW196622:WVX262156 M262158:N327692 JK262158:JL327692 TG262158:TH327692 ADC262158:ADD327692 AMY262158:AMZ327692 AWU262158:AWV327692 BGQ262158:BGR327692 BQM262158:BQN327692 CAI262158:CAJ327692 CKE262158:CKF327692 CUA262158:CUB327692 DDW262158:DDX327692 DNS262158:DNT327692 DXO262158:DXP327692 EHK262158:EHL327692 ERG262158:ERH327692 FBC262158:FBD327692 FKY262158:FKZ327692 FUU262158:FUV327692 GEQ262158:GER327692 GOM262158:GON327692 GYI262158:GYJ327692 HIE262158:HIF327692 HSA262158:HSB327692 IBW262158:IBX327692 ILS262158:ILT327692 IVO262158:IVP327692 JFK262158:JFL327692 JPG262158:JPH327692 JZC262158:JZD327692 KIY262158:KIZ327692 KSU262158:KSV327692 LCQ262158:LCR327692 LMM262158:LMN327692 LWI262158:LWJ327692 MGE262158:MGF327692 MQA262158:MQB327692 MZW262158:MZX327692 NJS262158:NJT327692 NTO262158:NTP327692 ODK262158:ODL327692 ONG262158:ONH327692 OXC262158:OXD327692 PGY262158:PGZ327692 PQU262158:PQV327692 QAQ262158:QAR327692 QKM262158:QKN327692 QUI262158:QUJ327692 REE262158:REF327692 ROA262158:ROB327692 RXW262158:RXX327692 SHS262158:SHT327692 SRO262158:SRP327692 TBK262158:TBL327692 TLG262158:TLH327692 TVC262158:TVD327692 UEY262158:UEZ327692 UOU262158:UOV327692 UYQ262158:UYR327692 VIM262158:VIN327692 VSI262158:VSJ327692 WCE262158:WCF327692 WMA262158:WMB327692 WVW262158:WVX327692 M327694:N393228 JK327694:JL393228 TG327694:TH393228 ADC327694:ADD393228 AMY327694:AMZ393228 AWU327694:AWV393228 BGQ327694:BGR393228 BQM327694:BQN393228 CAI327694:CAJ393228 CKE327694:CKF393228 CUA327694:CUB393228 DDW327694:DDX393228 DNS327694:DNT393228 DXO327694:DXP393228 EHK327694:EHL393228 ERG327694:ERH393228 FBC327694:FBD393228 FKY327694:FKZ393228 FUU327694:FUV393228 GEQ327694:GER393228 GOM327694:GON393228 GYI327694:GYJ393228 HIE327694:HIF393228 HSA327694:HSB393228 IBW327694:IBX393228 ILS327694:ILT393228 IVO327694:IVP393228 JFK327694:JFL393228 JPG327694:JPH393228 JZC327694:JZD393228 KIY327694:KIZ393228 KSU327694:KSV393228 LCQ327694:LCR393228 LMM327694:LMN393228 LWI327694:LWJ393228 MGE327694:MGF393228 MQA327694:MQB393228 MZW327694:MZX393228 NJS327694:NJT393228 NTO327694:NTP393228 ODK327694:ODL393228 ONG327694:ONH393228 OXC327694:OXD393228 PGY327694:PGZ393228 PQU327694:PQV393228 QAQ327694:QAR393228 QKM327694:QKN393228 QUI327694:QUJ393228 REE327694:REF393228 ROA327694:ROB393228 RXW327694:RXX393228 SHS327694:SHT393228 SRO327694:SRP393228 TBK327694:TBL393228 TLG327694:TLH393228 TVC327694:TVD393228 UEY327694:UEZ393228 UOU327694:UOV393228 UYQ327694:UYR393228 VIM327694:VIN393228 VSI327694:VSJ393228 WCE327694:WCF393228 WMA327694:WMB393228 WVW327694:WVX393228 M393230:N458764 JK393230:JL458764 TG393230:TH458764 ADC393230:ADD458764 AMY393230:AMZ458764 AWU393230:AWV458764 BGQ393230:BGR458764 BQM393230:BQN458764 CAI393230:CAJ458764 CKE393230:CKF458764 CUA393230:CUB458764 DDW393230:DDX458764 DNS393230:DNT458764 DXO393230:DXP458764 EHK393230:EHL458764 ERG393230:ERH458764 FBC393230:FBD458764 FKY393230:FKZ458764 FUU393230:FUV458764 GEQ393230:GER458764 GOM393230:GON458764 GYI393230:GYJ458764 HIE393230:HIF458764 HSA393230:HSB458764 IBW393230:IBX458764 ILS393230:ILT458764 IVO393230:IVP458764 JFK393230:JFL458764 JPG393230:JPH458764 JZC393230:JZD458764 KIY393230:KIZ458764 KSU393230:KSV458764 LCQ393230:LCR458764 LMM393230:LMN458764 LWI393230:LWJ458764 MGE393230:MGF458764 MQA393230:MQB458764 MZW393230:MZX458764 NJS393230:NJT458764 NTO393230:NTP458764 ODK393230:ODL458764 ONG393230:ONH458764 OXC393230:OXD458764 PGY393230:PGZ458764 PQU393230:PQV458764 QAQ393230:QAR458764 QKM393230:QKN458764 QUI393230:QUJ458764 REE393230:REF458764 ROA393230:ROB458764 RXW393230:RXX458764 SHS393230:SHT458764 SRO393230:SRP458764 TBK393230:TBL458764 TLG393230:TLH458764 TVC393230:TVD458764 UEY393230:UEZ458764 UOU393230:UOV458764 UYQ393230:UYR458764 VIM393230:VIN458764 VSI393230:VSJ458764 WCE393230:WCF458764 WMA393230:WMB458764 WVW393230:WVX458764 M458766:N524300 JK458766:JL524300 TG458766:TH524300 ADC458766:ADD524300 AMY458766:AMZ524300 AWU458766:AWV524300 BGQ458766:BGR524300 BQM458766:BQN524300 CAI458766:CAJ524300 CKE458766:CKF524300 CUA458766:CUB524300 DDW458766:DDX524300 DNS458766:DNT524300 DXO458766:DXP524300 EHK458766:EHL524300 ERG458766:ERH524300 FBC458766:FBD524300 FKY458766:FKZ524300 FUU458766:FUV524300 GEQ458766:GER524300 GOM458766:GON524300 GYI458766:GYJ524300 HIE458766:HIF524300 HSA458766:HSB524300 IBW458766:IBX524300 ILS458766:ILT524300 IVO458766:IVP524300 JFK458766:JFL524300 JPG458766:JPH524300 JZC458766:JZD524300 KIY458766:KIZ524300 KSU458766:KSV524300 LCQ458766:LCR524300 LMM458766:LMN524300 LWI458766:LWJ524300 MGE458766:MGF524300 MQA458766:MQB524300 MZW458766:MZX524300 NJS458766:NJT524300 NTO458766:NTP524300 ODK458766:ODL524300 ONG458766:ONH524300 OXC458766:OXD524300 PGY458766:PGZ524300 PQU458766:PQV524300 QAQ458766:QAR524300 QKM458766:QKN524300 QUI458766:QUJ524300 REE458766:REF524300 ROA458766:ROB524300 RXW458766:RXX524300 SHS458766:SHT524300 SRO458766:SRP524300 TBK458766:TBL524300 TLG458766:TLH524300 TVC458766:TVD524300 UEY458766:UEZ524300 UOU458766:UOV524300 UYQ458766:UYR524300 VIM458766:VIN524300 VSI458766:VSJ524300 WCE458766:WCF524300 WMA458766:WMB524300 WVW458766:WVX524300 M524302:N589836 JK524302:JL589836 TG524302:TH589836 ADC524302:ADD589836 AMY524302:AMZ589836 AWU524302:AWV589836 BGQ524302:BGR589836 BQM524302:BQN589836 CAI524302:CAJ589836 CKE524302:CKF589836 CUA524302:CUB589836 DDW524302:DDX589836 DNS524302:DNT589836 DXO524302:DXP589836 EHK524302:EHL589836 ERG524302:ERH589836 FBC524302:FBD589836 FKY524302:FKZ589836 FUU524302:FUV589836 GEQ524302:GER589836 GOM524302:GON589836 GYI524302:GYJ589836 HIE524302:HIF589836 HSA524302:HSB589836 IBW524302:IBX589836 ILS524302:ILT589836 IVO524302:IVP589836 JFK524302:JFL589836 JPG524302:JPH589836 JZC524302:JZD589836 KIY524302:KIZ589836 KSU524302:KSV589836 LCQ524302:LCR589836 LMM524302:LMN589836 LWI524302:LWJ589836 MGE524302:MGF589836 MQA524302:MQB589836 MZW524302:MZX589836 NJS524302:NJT589836 NTO524302:NTP589836 ODK524302:ODL589836 ONG524302:ONH589836 OXC524302:OXD589836 PGY524302:PGZ589836 PQU524302:PQV589836 QAQ524302:QAR589836 QKM524302:QKN589836 QUI524302:QUJ589836 REE524302:REF589836 ROA524302:ROB589836 RXW524302:RXX589836 SHS524302:SHT589836 SRO524302:SRP589836 TBK524302:TBL589836 TLG524302:TLH589836 TVC524302:TVD589836 UEY524302:UEZ589836 UOU524302:UOV589836 UYQ524302:UYR589836 VIM524302:VIN589836 VSI524302:VSJ589836 WCE524302:WCF589836 WMA524302:WMB589836 WVW524302:WVX589836 M589838:N655372 JK589838:JL655372 TG589838:TH655372 ADC589838:ADD655372 AMY589838:AMZ655372 AWU589838:AWV655372 BGQ589838:BGR655372 BQM589838:BQN655372 CAI589838:CAJ655372 CKE589838:CKF655372 CUA589838:CUB655372 DDW589838:DDX655372 DNS589838:DNT655372 DXO589838:DXP655372 EHK589838:EHL655372 ERG589838:ERH655372 FBC589838:FBD655372 FKY589838:FKZ655372 FUU589838:FUV655372 GEQ589838:GER655372 GOM589838:GON655372 GYI589838:GYJ655372 HIE589838:HIF655372 HSA589838:HSB655372 IBW589838:IBX655372 ILS589838:ILT655372 IVO589838:IVP655372 JFK589838:JFL655372 JPG589838:JPH655372 JZC589838:JZD655372 KIY589838:KIZ655372 KSU589838:KSV655372 LCQ589838:LCR655372 LMM589838:LMN655372 LWI589838:LWJ655372 MGE589838:MGF655372 MQA589838:MQB655372 MZW589838:MZX655372 NJS589838:NJT655372 NTO589838:NTP655372 ODK589838:ODL655372 ONG589838:ONH655372 OXC589838:OXD655372 PGY589838:PGZ655372 PQU589838:PQV655372 QAQ589838:QAR655372 QKM589838:QKN655372 QUI589838:QUJ655372 REE589838:REF655372 ROA589838:ROB655372 RXW589838:RXX655372 SHS589838:SHT655372 SRO589838:SRP655372 TBK589838:TBL655372 TLG589838:TLH655372 TVC589838:TVD655372 UEY589838:UEZ655372 UOU589838:UOV655372 UYQ589838:UYR655372 VIM589838:VIN655372 VSI589838:VSJ655372 WCE589838:WCF655372 WMA589838:WMB655372 WVW589838:WVX655372 M655374:N720908 JK655374:JL720908 TG655374:TH720908 ADC655374:ADD720908 AMY655374:AMZ720908 AWU655374:AWV720908 BGQ655374:BGR720908 BQM655374:BQN720908 CAI655374:CAJ720908 CKE655374:CKF720908 CUA655374:CUB720908 DDW655374:DDX720908 DNS655374:DNT720908 DXO655374:DXP720908 EHK655374:EHL720908 ERG655374:ERH720908 FBC655374:FBD720908 FKY655374:FKZ720908 FUU655374:FUV720908 GEQ655374:GER720908 GOM655374:GON720908 GYI655374:GYJ720908 HIE655374:HIF720908 HSA655374:HSB720908 IBW655374:IBX720908 ILS655374:ILT720908 IVO655374:IVP720908 JFK655374:JFL720908 JPG655374:JPH720908 JZC655374:JZD720908 KIY655374:KIZ720908 KSU655374:KSV720908 LCQ655374:LCR720908 LMM655374:LMN720908 LWI655374:LWJ720908 MGE655374:MGF720908 MQA655374:MQB720908 MZW655374:MZX720908 NJS655374:NJT720908 NTO655374:NTP720908 ODK655374:ODL720908 ONG655374:ONH720908 OXC655374:OXD720908 PGY655374:PGZ720908 PQU655374:PQV720908 QAQ655374:QAR720908 QKM655374:QKN720908 QUI655374:QUJ720908 REE655374:REF720908 ROA655374:ROB720908 RXW655374:RXX720908 SHS655374:SHT720908 SRO655374:SRP720908 TBK655374:TBL720908 TLG655374:TLH720908 TVC655374:TVD720908 UEY655374:UEZ720908 UOU655374:UOV720908 UYQ655374:UYR720908 VIM655374:VIN720908 VSI655374:VSJ720908 WCE655374:WCF720908 WMA655374:WMB720908 WVW655374:WVX720908 M720910:N786444 JK720910:JL786444 TG720910:TH786444 ADC720910:ADD786444 AMY720910:AMZ786444 AWU720910:AWV786444 BGQ720910:BGR786444 BQM720910:BQN786444 CAI720910:CAJ786444 CKE720910:CKF786444 CUA720910:CUB786444 DDW720910:DDX786444 DNS720910:DNT786444 DXO720910:DXP786444 EHK720910:EHL786444 ERG720910:ERH786444 FBC720910:FBD786444 FKY720910:FKZ786444 FUU720910:FUV786444 GEQ720910:GER786444 GOM720910:GON786444 GYI720910:GYJ786444 HIE720910:HIF786444 HSA720910:HSB786444 IBW720910:IBX786444 ILS720910:ILT786444 IVO720910:IVP786444 JFK720910:JFL786444 JPG720910:JPH786444 JZC720910:JZD786444 KIY720910:KIZ786444 KSU720910:KSV786444 LCQ720910:LCR786444 LMM720910:LMN786444 LWI720910:LWJ786444 MGE720910:MGF786444 MQA720910:MQB786444 MZW720910:MZX786444 NJS720910:NJT786444 NTO720910:NTP786444 ODK720910:ODL786444 ONG720910:ONH786444 OXC720910:OXD786444 PGY720910:PGZ786444 PQU720910:PQV786444 QAQ720910:QAR786444 QKM720910:QKN786444 QUI720910:QUJ786444 REE720910:REF786444 ROA720910:ROB786444 RXW720910:RXX786444 SHS720910:SHT786444 SRO720910:SRP786444 TBK720910:TBL786444 TLG720910:TLH786444 TVC720910:TVD786444 UEY720910:UEZ786444 UOU720910:UOV786444 UYQ720910:UYR786444 VIM720910:VIN786444 VSI720910:VSJ786444 WCE720910:WCF786444 WMA720910:WMB786444 WVW720910:WVX786444 M786446:N851980 JK786446:JL851980 TG786446:TH851980 ADC786446:ADD851980 AMY786446:AMZ851980 AWU786446:AWV851980 BGQ786446:BGR851980 BQM786446:BQN851980 CAI786446:CAJ851980 CKE786446:CKF851980 CUA786446:CUB851980 DDW786446:DDX851980 DNS786446:DNT851980 DXO786446:DXP851980 EHK786446:EHL851980 ERG786446:ERH851980 FBC786446:FBD851980 FKY786446:FKZ851980 FUU786446:FUV851980 GEQ786446:GER851980 GOM786446:GON851980 GYI786446:GYJ851980 HIE786446:HIF851980 HSA786446:HSB851980 IBW786446:IBX851980 ILS786446:ILT851980 IVO786446:IVP851980 JFK786446:JFL851980 JPG786446:JPH851980 JZC786446:JZD851980 KIY786446:KIZ851980 KSU786446:KSV851980 LCQ786446:LCR851980 LMM786446:LMN851980 LWI786446:LWJ851980 MGE786446:MGF851980 MQA786446:MQB851980 MZW786446:MZX851980 NJS786446:NJT851980 NTO786446:NTP851980 ODK786446:ODL851980 ONG786446:ONH851980 OXC786446:OXD851980 PGY786446:PGZ851980 PQU786446:PQV851980 QAQ786446:QAR851980 QKM786446:QKN851980 QUI786446:QUJ851980 REE786446:REF851980 ROA786446:ROB851980 RXW786446:RXX851980 SHS786446:SHT851980 SRO786446:SRP851980 TBK786446:TBL851980 TLG786446:TLH851980 TVC786446:TVD851980 UEY786446:UEZ851980 UOU786446:UOV851980 UYQ786446:UYR851980 VIM786446:VIN851980 VSI786446:VSJ851980 WCE786446:WCF851980 WMA786446:WMB851980 WVW786446:WVX851980 M851982:N917516 JK851982:JL917516 TG851982:TH917516 ADC851982:ADD917516 AMY851982:AMZ917516 AWU851982:AWV917516 BGQ851982:BGR917516 BQM851982:BQN917516 CAI851982:CAJ917516 CKE851982:CKF917516 CUA851982:CUB917516 DDW851982:DDX917516 DNS851982:DNT917516 DXO851982:DXP917516 EHK851982:EHL917516 ERG851982:ERH917516 FBC851982:FBD917516 FKY851982:FKZ917516 FUU851982:FUV917516 GEQ851982:GER917516 GOM851982:GON917516 GYI851982:GYJ917516 HIE851982:HIF917516 HSA851982:HSB917516 IBW851982:IBX917516 ILS851982:ILT917516 IVO851982:IVP917516 JFK851982:JFL917516 JPG851982:JPH917516 JZC851982:JZD917516 KIY851982:KIZ917516 KSU851982:KSV917516 LCQ851982:LCR917516 LMM851982:LMN917516 LWI851982:LWJ917516 MGE851982:MGF917516 MQA851982:MQB917516 MZW851982:MZX917516 NJS851982:NJT917516 NTO851982:NTP917516 ODK851982:ODL917516 ONG851982:ONH917516 OXC851982:OXD917516 PGY851982:PGZ917516 PQU851982:PQV917516 QAQ851982:QAR917516 QKM851982:QKN917516 QUI851982:QUJ917516 REE851982:REF917516 ROA851982:ROB917516 RXW851982:RXX917516 SHS851982:SHT917516 SRO851982:SRP917516 TBK851982:TBL917516 TLG851982:TLH917516 TVC851982:TVD917516 UEY851982:UEZ917516 UOU851982:UOV917516 UYQ851982:UYR917516 VIM851982:VIN917516 VSI851982:VSJ917516 WCE851982:WCF917516 WMA851982:WMB917516 WVW851982:WVX917516 M917518:N983052 JK917518:JL983052 TG917518:TH983052 ADC917518:ADD983052 AMY917518:AMZ983052 AWU917518:AWV983052 BGQ917518:BGR983052 BQM917518:BQN983052 CAI917518:CAJ983052 CKE917518:CKF983052 CUA917518:CUB983052 DDW917518:DDX983052 DNS917518:DNT983052 DXO917518:DXP983052 EHK917518:EHL983052 ERG917518:ERH983052 FBC917518:FBD983052 FKY917518:FKZ983052 FUU917518:FUV983052 GEQ917518:GER983052 GOM917518:GON983052 GYI917518:GYJ983052 HIE917518:HIF983052 HSA917518:HSB983052 IBW917518:IBX983052 ILS917518:ILT983052 IVO917518:IVP983052 JFK917518:JFL983052 JPG917518:JPH983052 JZC917518:JZD983052 KIY917518:KIZ983052 KSU917518:KSV983052 LCQ917518:LCR983052 LMM917518:LMN983052 LWI917518:LWJ983052 MGE917518:MGF983052 MQA917518:MQB983052 MZW917518:MZX983052 NJS917518:NJT983052 NTO917518:NTP983052 ODK917518:ODL983052 ONG917518:ONH983052 OXC917518:OXD983052 PGY917518:PGZ983052 PQU917518:PQV983052 QAQ917518:QAR983052 QKM917518:QKN983052 QUI917518:QUJ983052 REE917518:REF983052 ROA917518:ROB983052 RXW917518:RXX983052 SHS917518:SHT983052 SRO917518:SRP983052 TBK917518:TBL983052 TLG917518:TLH983052 TVC917518:TVD983052 UEY917518:UEZ983052 UOU917518:UOV983052 UYQ917518:UYR983052 VIM917518:VIN983052 VSI917518:VSJ983052 WCE917518:WCF983052 WMA917518:WMB983052 WVW917518:WVX983052 M983054:N1048576 JK983054:JL1048576 TG983054:TH1048576 ADC983054:ADD1048576 AMY983054:AMZ1048576 AWU983054:AWV1048576 BGQ983054:BGR1048576 BQM983054:BQN1048576 CAI983054:CAJ1048576 CKE983054:CKF1048576 CUA983054:CUB1048576 DDW983054:DDX1048576 DNS983054:DNT1048576 DXO983054:DXP1048576 EHK983054:EHL1048576 ERG983054:ERH1048576 FBC983054:FBD1048576 FKY983054:FKZ1048576 FUU983054:FUV1048576 GEQ983054:GER1048576 GOM983054:GON1048576 GYI983054:GYJ1048576 HIE983054:HIF1048576 HSA983054:HSB1048576 IBW983054:IBX1048576 ILS983054:ILT1048576 IVO983054:IVP1048576 JFK983054:JFL1048576 JPG983054:JPH1048576 JZC983054:JZD1048576 KIY983054:KIZ1048576 KSU983054:KSV1048576 LCQ983054:LCR1048576 LMM983054:LMN1048576 LWI983054:LWJ1048576 MGE983054:MGF1048576 MQA983054:MQB1048576 MZW983054:MZX1048576 NJS983054:NJT1048576 NTO983054:NTP1048576 ODK983054:ODL1048576 ONG983054:ONH1048576 OXC983054:OXD1048576 PGY983054:PGZ1048576 PQU983054:PQV1048576 QAQ983054:QAR1048576 QKM983054:QKN1048576 QUI983054:QUJ1048576 REE983054:REF1048576 ROA983054:ROB1048576 RXW983054:RXX1048576 SHS983054:SHT1048576 SRO983054:SRP1048576 TBK983054:TBL1048576 TLG983054:TLH1048576 TVC983054:TVD1048576 UEY983054:UEZ1048576 UOU983054:UOV1048576 UYQ983054:UYR1048576 VIM983054:VIN1048576 VSI983054:VSJ1048576 WCE983054:WCF1048576 WMA983054:WMB1048576 WVW983054:WVX1048576 G65550:H131084 JE65550:JF131084 TA65550:TB131084 ACW65550:ACX131084 AMS65550:AMT131084 AWO65550:AWP131084 BGK65550:BGL131084 BQG65550:BQH131084 CAC65550:CAD131084 CJY65550:CJZ131084 CTU65550:CTV131084 DDQ65550:DDR131084 DNM65550:DNN131084 DXI65550:DXJ131084 EHE65550:EHF131084 ERA65550:ERB131084 FAW65550:FAX131084 FKS65550:FKT131084 FUO65550:FUP131084 GEK65550:GEL131084 GOG65550:GOH131084 GYC65550:GYD131084 HHY65550:HHZ131084 HRU65550:HRV131084 IBQ65550:IBR131084 ILM65550:ILN131084 IVI65550:IVJ131084 JFE65550:JFF131084 JPA65550:JPB131084 JYW65550:JYX131084 KIS65550:KIT131084 KSO65550:KSP131084 LCK65550:LCL131084 LMG65550:LMH131084 LWC65550:LWD131084 MFY65550:MFZ131084 MPU65550:MPV131084 MZQ65550:MZR131084 NJM65550:NJN131084 NTI65550:NTJ131084 ODE65550:ODF131084 ONA65550:ONB131084 OWW65550:OWX131084 PGS65550:PGT131084 PQO65550:PQP131084 QAK65550:QAL131084 QKG65550:QKH131084 QUC65550:QUD131084 RDY65550:RDZ131084 RNU65550:RNV131084 RXQ65550:RXR131084 SHM65550:SHN131084 SRI65550:SRJ131084 TBE65550:TBF131084 TLA65550:TLB131084 TUW65550:TUX131084 UES65550:UET131084 UOO65550:UOP131084 UYK65550:UYL131084 VIG65550:VIH131084 VSC65550:VSD131084 WBY65550:WBZ131084 WLU65550:WLV131084 WVQ65550:WVR131084 G131086:H196620 JE131086:JF196620 TA131086:TB196620 ACW131086:ACX196620 AMS131086:AMT196620 AWO131086:AWP196620 BGK131086:BGL196620 BQG131086:BQH196620 CAC131086:CAD196620 CJY131086:CJZ196620 CTU131086:CTV196620 DDQ131086:DDR196620 DNM131086:DNN196620 DXI131086:DXJ196620 EHE131086:EHF196620 ERA131086:ERB196620 FAW131086:FAX196620 FKS131086:FKT196620 FUO131086:FUP196620 GEK131086:GEL196620 GOG131086:GOH196620 GYC131086:GYD196620 HHY131086:HHZ196620 HRU131086:HRV196620 IBQ131086:IBR196620 ILM131086:ILN196620 IVI131086:IVJ196620 JFE131086:JFF196620 JPA131086:JPB196620 JYW131086:JYX196620 KIS131086:KIT196620 KSO131086:KSP196620 LCK131086:LCL196620 LMG131086:LMH196620 LWC131086:LWD196620 MFY131086:MFZ196620 MPU131086:MPV196620 MZQ131086:MZR196620 NJM131086:NJN196620 NTI131086:NTJ196620 ODE131086:ODF196620 ONA131086:ONB196620 OWW131086:OWX196620 PGS131086:PGT196620 PQO131086:PQP196620 QAK131086:QAL196620 QKG131086:QKH196620 QUC131086:QUD196620 RDY131086:RDZ196620 RNU131086:RNV196620 RXQ131086:RXR196620 SHM131086:SHN196620 SRI131086:SRJ196620 TBE131086:TBF196620 TLA131086:TLB196620 TUW131086:TUX196620 UES131086:UET196620 UOO131086:UOP196620 UYK131086:UYL196620 VIG131086:VIH196620 VSC131086:VSD196620 WBY131086:WBZ196620 WLU131086:WLV196620 WVQ131086:WVR196620 G196622:H262156 JE196622:JF262156 TA196622:TB262156 ACW196622:ACX262156 AMS196622:AMT262156 AWO196622:AWP262156 BGK196622:BGL262156 BQG196622:BQH262156 CAC196622:CAD262156 CJY196622:CJZ262156 CTU196622:CTV262156 DDQ196622:DDR262156 DNM196622:DNN262156 DXI196622:DXJ262156 EHE196622:EHF262156 ERA196622:ERB262156 FAW196622:FAX262156 FKS196622:FKT262156 FUO196622:FUP262156 GEK196622:GEL262156 GOG196622:GOH262156 GYC196622:GYD262156 HHY196622:HHZ262156 HRU196622:HRV262156 IBQ196622:IBR262156 ILM196622:ILN262156 IVI196622:IVJ262156 JFE196622:JFF262156 JPA196622:JPB262156 JYW196622:JYX262156 KIS196622:KIT262156 KSO196622:KSP262156 LCK196622:LCL262156 LMG196622:LMH262156 LWC196622:LWD262156 MFY196622:MFZ262156 MPU196622:MPV262156 MZQ196622:MZR262156 NJM196622:NJN262156 NTI196622:NTJ262156 ODE196622:ODF262156 ONA196622:ONB262156 OWW196622:OWX262156 PGS196622:PGT262156 PQO196622:PQP262156 QAK196622:QAL262156 QKG196622:QKH262156 QUC196622:QUD262156 RDY196622:RDZ262156 RNU196622:RNV262156 RXQ196622:RXR262156 SHM196622:SHN262156 SRI196622:SRJ262156 TBE196622:TBF262156 TLA196622:TLB262156 TUW196622:TUX262156 UES196622:UET262156 UOO196622:UOP262156 UYK196622:UYL262156 VIG196622:VIH262156 VSC196622:VSD262156 WBY196622:WBZ262156 WLU196622:WLV262156 WVQ196622:WVR262156 G262158:H327692 JE262158:JF327692 TA262158:TB327692 ACW262158:ACX327692 AMS262158:AMT327692 AWO262158:AWP327692 BGK262158:BGL327692 BQG262158:BQH327692 CAC262158:CAD327692 CJY262158:CJZ327692 CTU262158:CTV327692 DDQ262158:DDR327692 DNM262158:DNN327692 DXI262158:DXJ327692 EHE262158:EHF327692 ERA262158:ERB327692 FAW262158:FAX327692 FKS262158:FKT327692 FUO262158:FUP327692 GEK262158:GEL327692 GOG262158:GOH327692 GYC262158:GYD327692 HHY262158:HHZ327692 HRU262158:HRV327692 IBQ262158:IBR327692 ILM262158:ILN327692 IVI262158:IVJ327692 JFE262158:JFF327692 JPA262158:JPB327692 JYW262158:JYX327692 KIS262158:KIT327692 KSO262158:KSP327692 LCK262158:LCL327692 LMG262158:LMH327692 LWC262158:LWD327692 MFY262158:MFZ327692 MPU262158:MPV327692 MZQ262158:MZR327692 NJM262158:NJN327692 NTI262158:NTJ327692 ODE262158:ODF327692 ONA262158:ONB327692 OWW262158:OWX327692 PGS262158:PGT327692 PQO262158:PQP327692 QAK262158:QAL327692 QKG262158:QKH327692 QUC262158:QUD327692 RDY262158:RDZ327692 RNU262158:RNV327692 RXQ262158:RXR327692 SHM262158:SHN327692 SRI262158:SRJ327692 TBE262158:TBF327692 TLA262158:TLB327692 TUW262158:TUX327692 UES262158:UET327692 UOO262158:UOP327692 UYK262158:UYL327692 VIG262158:VIH327692 VSC262158:VSD327692 WBY262158:WBZ327692 WLU262158:WLV327692 WVQ262158:WVR327692 G327694:H393228 JE327694:JF393228 TA327694:TB393228 ACW327694:ACX393228 AMS327694:AMT393228 AWO327694:AWP393228 BGK327694:BGL393228 BQG327694:BQH393228 CAC327694:CAD393228 CJY327694:CJZ393228 CTU327694:CTV393228 DDQ327694:DDR393228 DNM327694:DNN393228 DXI327694:DXJ393228 EHE327694:EHF393228 ERA327694:ERB393228 FAW327694:FAX393228 FKS327694:FKT393228 FUO327694:FUP393228 GEK327694:GEL393228 GOG327694:GOH393228 GYC327694:GYD393228 HHY327694:HHZ393228 HRU327694:HRV393228 IBQ327694:IBR393228 ILM327694:ILN393228 IVI327694:IVJ393228 JFE327694:JFF393228 JPA327694:JPB393228 JYW327694:JYX393228 KIS327694:KIT393228 KSO327694:KSP393228 LCK327694:LCL393228 LMG327694:LMH393228 LWC327694:LWD393228 MFY327694:MFZ393228 MPU327694:MPV393228 MZQ327694:MZR393228 NJM327694:NJN393228 NTI327694:NTJ393228 ODE327694:ODF393228 ONA327694:ONB393228 OWW327694:OWX393228 PGS327694:PGT393228 PQO327694:PQP393228 QAK327694:QAL393228 QKG327694:QKH393228 QUC327694:QUD393228 RDY327694:RDZ393228 RNU327694:RNV393228 RXQ327694:RXR393228 SHM327694:SHN393228 SRI327694:SRJ393228 TBE327694:TBF393228 TLA327694:TLB393228 TUW327694:TUX393228 UES327694:UET393228 UOO327694:UOP393228 UYK327694:UYL393228 VIG327694:VIH393228 VSC327694:VSD393228 WBY327694:WBZ393228 WLU327694:WLV393228 WVQ327694:WVR393228 G393230:H458764 JE393230:JF458764 TA393230:TB458764 ACW393230:ACX458764 AMS393230:AMT458764 AWO393230:AWP458764 BGK393230:BGL458764 BQG393230:BQH458764 CAC393230:CAD458764 CJY393230:CJZ458764 CTU393230:CTV458764 DDQ393230:DDR458764 DNM393230:DNN458764 DXI393230:DXJ458764 EHE393230:EHF458764 ERA393230:ERB458764 FAW393230:FAX458764 FKS393230:FKT458764 FUO393230:FUP458764 GEK393230:GEL458764 GOG393230:GOH458764 GYC393230:GYD458764 HHY393230:HHZ458764 HRU393230:HRV458764 IBQ393230:IBR458764 ILM393230:ILN458764 IVI393230:IVJ458764 JFE393230:JFF458764 JPA393230:JPB458764 JYW393230:JYX458764 KIS393230:KIT458764 KSO393230:KSP458764 LCK393230:LCL458764 LMG393230:LMH458764 LWC393230:LWD458764 MFY393230:MFZ458764 MPU393230:MPV458764 MZQ393230:MZR458764 NJM393230:NJN458764 NTI393230:NTJ458764 ODE393230:ODF458764 ONA393230:ONB458764 OWW393230:OWX458764 PGS393230:PGT458764 PQO393230:PQP458764 QAK393230:QAL458764 QKG393230:QKH458764 QUC393230:QUD458764 RDY393230:RDZ458764 RNU393230:RNV458764 RXQ393230:RXR458764 SHM393230:SHN458764 SRI393230:SRJ458764 TBE393230:TBF458764 TLA393230:TLB458764 TUW393230:TUX458764 UES393230:UET458764 UOO393230:UOP458764 UYK393230:UYL458764 VIG393230:VIH458764 VSC393230:VSD458764 WBY393230:WBZ458764 WLU393230:WLV458764 WVQ393230:WVR458764 G458766:H524300 JE458766:JF524300 TA458766:TB524300 ACW458766:ACX524300 AMS458766:AMT524300 AWO458766:AWP524300 BGK458766:BGL524300 BQG458766:BQH524300 CAC458766:CAD524300 CJY458766:CJZ524300 CTU458766:CTV524300 DDQ458766:DDR524300 DNM458766:DNN524300 DXI458766:DXJ524300 EHE458766:EHF524300 ERA458766:ERB524300 FAW458766:FAX524300 FKS458766:FKT524300 FUO458766:FUP524300 GEK458766:GEL524300 GOG458766:GOH524300 GYC458766:GYD524300 HHY458766:HHZ524300 HRU458766:HRV524300 IBQ458766:IBR524300 ILM458766:ILN524300 IVI458766:IVJ524300 JFE458766:JFF524300 JPA458766:JPB524300 JYW458766:JYX524300 KIS458766:KIT524300 KSO458766:KSP524300 LCK458766:LCL524300 LMG458766:LMH524300 LWC458766:LWD524300 MFY458766:MFZ524300 MPU458766:MPV524300 MZQ458766:MZR524300 NJM458766:NJN524300 NTI458766:NTJ524300 ODE458766:ODF524300 ONA458766:ONB524300 OWW458766:OWX524300 PGS458766:PGT524300 PQO458766:PQP524300 QAK458766:QAL524300 QKG458766:QKH524300 QUC458766:QUD524300 RDY458766:RDZ524300 RNU458766:RNV524300 RXQ458766:RXR524300 SHM458766:SHN524300 SRI458766:SRJ524300 TBE458766:TBF524300 TLA458766:TLB524300 TUW458766:TUX524300 UES458766:UET524300 UOO458766:UOP524300 UYK458766:UYL524300 VIG458766:VIH524300 VSC458766:VSD524300 WBY458766:WBZ524300 WLU458766:WLV524300 WVQ458766:WVR524300 G524302:H589836 JE524302:JF589836 TA524302:TB589836 ACW524302:ACX589836 AMS524302:AMT589836 AWO524302:AWP589836 BGK524302:BGL589836 BQG524302:BQH589836 CAC524302:CAD589836 CJY524302:CJZ589836 CTU524302:CTV589836 DDQ524302:DDR589836 DNM524302:DNN589836 DXI524302:DXJ589836 EHE524302:EHF589836 ERA524302:ERB589836 FAW524302:FAX589836 FKS524302:FKT589836 FUO524302:FUP589836 GEK524302:GEL589836 GOG524302:GOH589836 GYC524302:GYD589836 HHY524302:HHZ589836 HRU524302:HRV589836 IBQ524302:IBR589836 ILM524302:ILN589836 IVI524302:IVJ589836 JFE524302:JFF589836 JPA524302:JPB589836 JYW524302:JYX589836 KIS524302:KIT589836 KSO524302:KSP589836 LCK524302:LCL589836 LMG524302:LMH589836 LWC524302:LWD589836 MFY524302:MFZ589836 MPU524302:MPV589836 MZQ524302:MZR589836 NJM524302:NJN589836 NTI524302:NTJ589836 ODE524302:ODF589836 ONA524302:ONB589836 OWW524302:OWX589836 PGS524302:PGT589836 PQO524302:PQP589836 QAK524302:QAL589836 QKG524302:QKH589836 QUC524302:QUD589836 RDY524302:RDZ589836 RNU524302:RNV589836 RXQ524302:RXR589836 SHM524302:SHN589836 SRI524302:SRJ589836 TBE524302:TBF589836 TLA524302:TLB589836 TUW524302:TUX589836 UES524302:UET589836 UOO524302:UOP589836 UYK524302:UYL589836 VIG524302:VIH589836 VSC524302:VSD589836 WBY524302:WBZ589836 WLU524302:WLV589836 WVQ524302:WVR589836 G589838:H655372 JE589838:JF655372 TA589838:TB655372 ACW589838:ACX655372 AMS589838:AMT655372 AWO589838:AWP655372 BGK589838:BGL655372 BQG589838:BQH655372 CAC589838:CAD655372 CJY589838:CJZ655372 CTU589838:CTV655372 DDQ589838:DDR655372 DNM589838:DNN655372 DXI589838:DXJ655372 EHE589838:EHF655372 ERA589838:ERB655372 FAW589838:FAX655372 FKS589838:FKT655372 FUO589838:FUP655372 GEK589838:GEL655372 GOG589838:GOH655372 GYC589838:GYD655372 HHY589838:HHZ655372 HRU589838:HRV655372 IBQ589838:IBR655372 ILM589838:ILN655372 IVI589838:IVJ655372 JFE589838:JFF655372 JPA589838:JPB655372 JYW589838:JYX655372 KIS589838:KIT655372 KSO589838:KSP655372 LCK589838:LCL655372 LMG589838:LMH655372 LWC589838:LWD655372 MFY589838:MFZ655372 MPU589838:MPV655372 MZQ589838:MZR655372 NJM589838:NJN655372 NTI589838:NTJ655372 ODE589838:ODF655372 ONA589838:ONB655372 OWW589838:OWX655372 PGS589838:PGT655372 PQO589838:PQP655372 QAK589838:QAL655372 QKG589838:QKH655372 QUC589838:QUD655372 RDY589838:RDZ655372 RNU589838:RNV655372 RXQ589838:RXR655372 SHM589838:SHN655372 SRI589838:SRJ655372 TBE589838:TBF655372 TLA589838:TLB655372 TUW589838:TUX655372 UES589838:UET655372 UOO589838:UOP655372 UYK589838:UYL655372 VIG589838:VIH655372 VSC589838:VSD655372 WBY589838:WBZ655372 WLU589838:WLV655372 WVQ589838:WVR655372 G655374:H720908 JE655374:JF720908 TA655374:TB720908 ACW655374:ACX720908 AMS655374:AMT720908 AWO655374:AWP720908 BGK655374:BGL720908 BQG655374:BQH720908 CAC655374:CAD720908 CJY655374:CJZ720908 CTU655374:CTV720908 DDQ655374:DDR720908 DNM655374:DNN720908 DXI655374:DXJ720908 EHE655374:EHF720908 ERA655374:ERB720908 FAW655374:FAX720908 FKS655374:FKT720908 FUO655374:FUP720908 GEK655374:GEL720908 GOG655374:GOH720908 GYC655374:GYD720908 HHY655374:HHZ720908 HRU655374:HRV720908 IBQ655374:IBR720908 ILM655374:ILN720908 IVI655374:IVJ720908 JFE655374:JFF720908 JPA655374:JPB720908 JYW655374:JYX720908 KIS655374:KIT720908 KSO655374:KSP720908 LCK655374:LCL720908 LMG655374:LMH720908 LWC655374:LWD720908 MFY655374:MFZ720908 MPU655374:MPV720908 MZQ655374:MZR720908 NJM655374:NJN720908 NTI655374:NTJ720908 ODE655374:ODF720908 ONA655374:ONB720908 OWW655374:OWX720908 PGS655374:PGT720908 PQO655374:PQP720908 QAK655374:QAL720908 QKG655374:QKH720908 QUC655374:QUD720908 RDY655374:RDZ720908 RNU655374:RNV720908 RXQ655374:RXR720908 SHM655374:SHN720908 SRI655374:SRJ720908 TBE655374:TBF720908 TLA655374:TLB720908 TUW655374:TUX720908 UES655374:UET720908 UOO655374:UOP720908 UYK655374:UYL720908 VIG655374:VIH720908 VSC655374:VSD720908 WBY655374:WBZ720908 WLU655374:WLV720908 WVQ655374:WVR720908 G720910:H786444 JE720910:JF786444 TA720910:TB786444 ACW720910:ACX786444 AMS720910:AMT786444 AWO720910:AWP786444 BGK720910:BGL786444 BQG720910:BQH786444 CAC720910:CAD786444 CJY720910:CJZ786444 CTU720910:CTV786444 DDQ720910:DDR786444 DNM720910:DNN786444 DXI720910:DXJ786444 EHE720910:EHF786444 ERA720910:ERB786444 FAW720910:FAX786444 FKS720910:FKT786444 FUO720910:FUP786444 GEK720910:GEL786444 GOG720910:GOH786444 GYC720910:GYD786444 HHY720910:HHZ786444 HRU720910:HRV786444 IBQ720910:IBR786444 ILM720910:ILN786444 IVI720910:IVJ786444 JFE720910:JFF786444 JPA720910:JPB786444 JYW720910:JYX786444 KIS720910:KIT786444 KSO720910:KSP786444 LCK720910:LCL786444 LMG720910:LMH786444 LWC720910:LWD786444 MFY720910:MFZ786444 MPU720910:MPV786444 MZQ720910:MZR786444 NJM720910:NJN786444 NTI720910:NTJ786444 ODE720910:ODF786444 ONA720910:ONB786444 OWW720910:OWX786444 PGS720910:PGT786444 PQO720910:PQP786444 QAK720910:QAL786444 QKG720910:QKH786444 QUC720910:QUD786444 RDY720910:RDZ786444 RNU720910:RNV786444 RXQ720910:RXR786444 SHM720910:SHN786444 SRI720910:SRJ786444 TBE720910:TBF786444 TLA720910:TLB786444 TUW720910:TUX786444 UES720910:UET786444 UOO720910:UOP786444 UYK720910:UYL786444 VIG720910:VIH786444 VSC720910:VSD786444 WBY720910:WBZ786444 WLU720910:WLV786444 WVQ720910:WVR786444 G786446:H851980 JE786446:JF851980 TA786446:TB851980 ACW786446:ACX851980 AMS786446:AMT851980 AWO786446:AWP851980 BGK786446:BGL851980 BQG786446:BQH851980 CAC786446:CAD851980 CJY786446:CJZ851980 CTU786446:CTV851980 DDQ786446:DDR851980 DNM786446:DNN851980 DXI786446:DXJ851980 EHE786446:EHF851980 ERA786446:ERB851980 FAW786446:FAX851980 FKS786446:FKT851980 FUO786446:FUP851980 GEK786446:GEL851980 GOG786446:GOH851980 GYC786446:GYD851980 HHY786446:HHZ851980 HRU786446:HRV851980 IBQ786446:IBR851980 ILM786446:ILN851980 IVI786446:IVJ851980 JFE786446:JFF851980 JPA786446:JPB851980 JYW786446:JYX851980 KIS786446:KIT851980 KSO786446:KSP851980 LCK786446:LCL851980 LMG786446:LMH851980 LWC786446:LWD851980 MFY786446:MFZ851980 MPU786446:MPV851980 MZQ786446:MZR851980 NJM786446:NJN851980 NTI786446:NTJ851980 ODE786446:ODF851980 ONA786446:ONB851980 OWW786446:OWX851980 PGS786446:PGT851980 PQO786446:PQP851980 QAK786446:QAL851980 QKG786446:QKH851980 QUC786446:QUD851980 RDY786446:RDZ851980 RNU786446:RNV851980 RXQ786446:RXR851980 SHM786446:SHN851980 SRI786446:SRJ851980 TBE786446:TBF851980 TLA786446:TLB851980 TUW786446:TUX851980 UES786446:UET851980 UOO786446:UOP851980 UYK786446:UYL851980 VIG786446:VIH851980 VSC786446:VSD851980 WBY786446:WBZ851980 WLU786446:WLV851980 WVQ786446:WVR851980 G851982:H917516 JE851982:JF917516 TA851982:TB917516 ACW851982:ACX917516 AMS851982:AMT917516 AWO851982:AWP917516 BGK851982:BGL917516 BQG851982:BQH917516 CAC851982:CAD917516 CJY851982:CJZ917516 CTU851982:CTV917516 DDQ851982:DDR917516 DNM851982:DNN917516 DXI851982:DXJ917516 EHE851982:EHF917516 ERA851982:ERB917516 FAW851982:FAX917516 FKS851982:FKT917516 FUO851982:FUP917516 GEK851982:GEL917516 GOG851982:GOH917516 GYC851982:GYD917516 HHY851982:HHZ917516 HRU851982:HRV917516 IBQ851982:IBR917516 ILM851982:ILN917516 IVI851982:IVJ917516 JFE851982:JFF917516 JPA851982:JPB917516 JYW851982:JYX917516 KIS851982:KIT917516 KSO851982:KSP917516 LCK851982:LCL917516 LMG851982:LMH917516 LWC851982:LWD917516 MFY851982:MFZ917516 MPU851982:MPV917516 MZQ851982:MZR917516 NJM851982:NJN917516 NTI851982:NTJ917516 ODE851982:ODF917516 ONA851982:ONB917516 OWW851982:OWX917516 PGS851982:PGT917516 PQO851982:PQP917516 QAK851982:QAL917516 QKG851982:QKH917516 QUC851982:QUD917516 RDY851982:RDZ917516 RNU851982:RNV917516 RXQ851982:RXR917516 SHM851982:SHN917516 SRI851982:SRJ917516 TBE851982:TBF917516 TLA851982:TLB917516 TUW851982:TUX917516 UES851982:UET917516 UOO851982:UOP917516 UYK851982:UYL917516 VIG851982:VIH917516 VSC851982:VSD917516 WBY851982:WBZ917516 WLU851982:WLV917516 WVQ851982:WVR917516 G917518:H983052 JE917518:JF983052 TA917518:TB983052 ACW917518:ACX983052 AMS917518:AMT983052 AWO917518:AWP983052 BGK917518:BGL983052 BQG917518:BQH983052 CAC917518:CAD983052 CJY917518:CJZ983052 CTU917518:CTV983052 DDQ917518:DDR983052 DNM917518:DNN983052 DXI917518:DXJ983052 EHE917518:EHF983052 ERA917518:ERB983052 FAW917518:FAX983052 FKS917518:FKT983052 FUO917518:FUP983052 GEK917518:GEL983052 GOG917518:GOH983052 GYC917518:GYD983052 HHY917518:HHZ983052 HRU917518:HRV983052 IBQ917518:IBR983052 ILM917518:ILN983052 IVI917518:IVJ983052 JFE917518:JFF983052 JPA917518:JPB983052 JYW917518:JYX983052 KIS917518:KIT983052 KSO917518:KSP983052 LCK917518:LCL983052 LMG917518:LMH983052 LWC917518:LWD983052 MFY917518:MFZ983052 MPU917518:MPV983052 MZQ917518:MZR983052 NJM917518:NJN983052 NTI917518:NTJ983052 ODE917518:ODF983052 ONA917518:ONB983052 OWW917518:OWX983052 PGS917518:PGT983052 PQO917518:PQP983052 QAK917518:QAL983052 QKG917518:QKH983052 QUC917518:QUD983052 RDY917518:RDZ983052 RNU917518:RNV983052 RXQ917518:RXR983052 SHM917518:SHN983052 SRI917518:SRJ983052 TBE917518:TBF983052 TLA917518:TLB983052 TUW917518:TUX983052 UES917518:UET983052 UOO917518:UOP983052 UYK917518:UYL983052 VIG917518:VIH983052 VSC917518:VSD983052 WBY917518:WBZ983052 WLU917518:WLV983052 WVQ917518:WVR983052 G983054:H1048576 JE983054:JF1048576 TA983054:TB1048576 ACW983054:ACX1048576 AMS983054:AMT1048576 AWO983054:AWP1048576 BGK983054:BGL1048576 BQG983054:BQH1048576 CAC983054:CAD1048576 CJY983054:CJZ1048576 CTU983054:CTV1048576 DDQ983054:DDR1048576 DNM983054:DNN1048576 DXI983054:DXJ1048576 EHE983054:EHF1048576 ERA983054:ERB1048576 FAW983054:FAX1048576 FKS983054:FKT1048576 FUO983054:FUP1048576 GEK983054:GEL1048576 GOG983054:GOH1048576 GYC983054:GYD1048576 HHY983054:HHZ1048576 HRU983054:HRV1048576 IBQ983054:IBR1048576 ILM983054:ILN1048576 IVI983054:IVJ1048576 JFE983054:JFF1048576 JPA983054:JPB1048576 JYW983054:JYX1048576 KIS983054:KIT1048576 KSO983054:KSP1048576 LCK983054:LCL1048576 LMG983054:LMH1048576 LWC983054:LWD1048576 MFY983054:MFZ1048576 MPU983054:MPV1048576 MZQ983054:MZR1048576 NJM983054:NJN1048576 NTI983054:NTJ1048576 ODE983054:ODF1048576 ONA983054:ONB1048576 OWW983054:OWX1048576 PGS983054:PGT1048576 PQO983054:PQP1048576 QAK983054:QAL1048576 QKG983054:QKH1048576 QUC983054:QUD1048576 RDY983054:RDZ1048576 RNU983054:RNV1048576 RXQ983054:RXR1048576 SHM983054:SHN1048576 SRI983054:SRJ1048576 TBE983054:TBF1048576 TLA983054:TLB1048576 TUW983054:TUX1048576 UES983054:UET1048576 UOO983054:UOP1048576 UYK983054:UYL1048576 VIG983054:VIH1048576 VSC983054:VSD1048576 WBY983054:WBZ1048576 WLU983054:WLV1048576 WVQ983054:WVR1048576 J983054:K1048576 JH983054:JI1048576 TD983054:TE1048576 ACZ983054:ADA1048576 AMV983054:AMW1048576 AWR983054:AWS1048576 BGN983054:BGO1048576 BQJ983054:BQK1048576 CAF983054:CAG1048576 CKB983054:CKC1048576 CTX983054:CTY1048576 DDT983054:DDU1048576 DNP983054:DNQ1048576 DXL983054:DXM1048576 EHH983054:EHI1048576 ERD983054:ERE1048576 FAZ983054:FBA1048576 FKV983054:FKW1048576 FUR983054:FUS1048576 GEN983054:GEO1048576 GOJ983054:GOK1048576 GYF983054:GYG1048576 HIB983054:HIC1048576 HRX983054:HRY1048576 IBT983054:IBU1048576 ILP983054:ILQ1048576 IVL983054:IVM1048576 JFH983054:JFI1048576 JPD983054:JPE1048576 JYZ983054:JZA1048576 KIV983054:KIW1048576 KSR983054:KSS1048576 LCN983054:LCO1048576 LMJ983054:LMK1048576 LWF983054:LWG1048576 MGB983054:MGC1048576 MPX983054:MPY1048576 MZT983054:MZU1048576 NJP983054:NJQ1048576 NTL983054:NTM1048576 ODH983054:ODI1048576 OND983054:ONE1048576 OWZ983054:OXA1048576 PGV983054:PGW1048576 PQR983054:PQS1048576 QAN983054:QAO1048576 QKJ983054:QKK1048576 QUF983054:QUG1048576 REB983054:REC1048576 RNX983054:RNY1048576 RXT983054:RXU1048576 SHP983054:SHQ1048576 SRL983054:SRM1048576 TBH983054:TBI1048576 TLD983054:TLE1048576 TUZ983054:TVA1048576 UEV983054:UEW1048576 UOR983054:UOS1048576 UYN983054:UYO1048576 VIJ983054:VIK1048576 VSF983054:VSG1048576 WCB983054:WCC1048576 WLX983054:WLY1048576 WVT983054:WVU1048576 JF16 TB16 ACX16 AMT16 AWP16 BGL16 BQH16 CAD16 CJZ16 CTV16 DDR16 DNN16 DXJ16 EHF16 ERB16 FAX16 FKT16 FUP16 GEL16 GOH16 GYD16 HHZ16 HRV16 IBR16 ILN16 IVJ16 JFF16 JPB16 JYX16 KIT16 KSP16 LCL16 LMH16 LWD16 MFZ16 MPV16 MZR16 NJN16 NTJ16 ODF16 ONB16 OWX16 PGT16 PQP16 QAL16 QKH16 QUD16 RDZ16 RNV16 RXR16 SHN16 SRJ16 TBF16 TLB16 TUX16 UET16 UOP16 UYL16 VIH16 VSD16 WBZ16 WLV16 WVR16 K16 H65549 JF65549 TB65549 ACX65549 AMT65549 AWP65549 BGL65549 BQH65549 CAD65549 CJZ65549 CTV65549 DDR65549 DNN65549 DXJ65549 EHF65549 ERB65549 FAX65549 FKT65549 FUP65549 GEL65549 GOH65549 GYD65549 HHZ65549 HRV65549 IBR65549 ILN65549 IVJ65549 JFF65549 JPB65549 JYX65549 KIT65549 KSP65549 LCL65549 LMH65549 LWD65549 MFZ65549 MPV65549 MZR65549 NJN65549 NTJ65549 ODF65549 ONB65549 OWX65549 PGT65549 PQP65549 QAL65549 QKH65549 QUD65549 RDZ65549 RNV65549 RXR65549 SHN65549 SRJ65549 TBF65549 TLB65549 TUX65549 UET65549 UOP65549 UYL65549 VIH65549 VSD65549 WBZ65549 WLV65549 WVR65549 H131085 JF131085 TB131085 ACX131085 AMT131085 AWP131085 BGL131085 BQH131085 CAD131085 CJZ131085 CTV131085 DDR131085 DNN131085 DXJ131085 EHF131085 ERB131085 FAX131085 FKT131085 FUP131085 GEL131085 GOH131085 GYD131085 HHZ131085 HRV131085 IBR131085 ILN131085 IVJ131085 JFF131085 JPB131085 JYX131085 KIT131085 KSP131085 LCL131085 LMH131085 LWD131085 MFZ131085 MPV131085 MZR131085 NJN131085 NTJ131085 ODF131085 ONB131085 OWX131085 PGT131085 PQP131085 QAL131085 QKH131085 QUD131085 RDZ131085 RNV131085 RXR131085 SHN131085 SRJ131085 TBF131085 TLB131085 TUX131085 UET131085 UOP131085 UYL131085 VIH131085 VSD131085 WBZ131085 WLV131085 WVR131085 H196621 JF196621 TB196621 ACX196621 AMT196621 AWP196621 BGL196621 BQH196621 CAD196621 CJZ196621 CTV196621 DDR196621 DNN196621 DXJ196621 EHF196621 ERB196621 FAX196621 FKT196621 FUP196621 GEL196621 GOH196621 GYD196621 HHZ196621 HRV196621 IBR196621 ILN196621 IVJ196621 JFF196621 JPB196621 JYX196621 KIT196621 KSP196621 LCL196621 LMH196621 LWD196621 MFZ196621 MPV196621 MZR196621 NJN196621 NTJ196621 ODF196621 ONB196621 OWX196621 PGT196621 PQP196621 QAL196621 QKH196621 QUD196621 RDZ196621 RNV196621 RXR196621 SHN196621 SRJ196621 TBF196621 TLB196621 TUX196621 UET196621 UOP196621 UYL196621 VIH196621 VSD196621 WBZ196621 WLV196621 WVR196621 H262157 JF262157 TB262157 ACX262157 AMT262157 AWP262157 BGL262157 BQH262157 CAD262157 CJZ262157 CTV262157 DDR262157 DNN262157 DXJ262157 EHF262157 ERB262157 FAX262157 FKT262157 FUP262157 GEL262157 GOH262157 GYD262157 HHZ262157 HRV262157 IBR262157 ILN262157 IVJ262157 JFF262157 JPB262157 JYX262157 KIT262157 KSP262157 LCL262157 LMH262157 LWD262157 MFZ262157 MPV262157 MZR262157 NJN262157 NTJ262157 ODF262157 ONB262157 OWX262157 PGT262157 PQP262157 QAL262157 QKH262157 QUD262157 RDZ262157 RNV262157 RXR262157 SHN262157 SRJ262157 TBF262157 TLB262157 TUX262157 UET262157 UOP262157 UYL262157 VIH262157 VSD262157 WBZ262157 WLV262157 WVR262157 H327693 JF327693 TB327693 ACX327693 AMT327693 AWP327693 BGL327693 BQH327693 CAD327693 CJZ327693 CTV327693 DDR327693 DNN327693 DXJ327693 EHF327693 ERB327693 FAX327693 FKT327693 FUP327693 GEL327693 GOH327693 GYD327693 HHZ327693 HRV327693 IBR327693 ILN327693 IVJ327693 JFF327693 JPB327693 JYX327693 KIT327693 KSP327693 LCL327693 LMH327693 LWD327693 MFZ327693 MPV327693 MZR327693 NJN327693 NTJ327693 ODF327693 ONB327693 OWX327693 PGT327693 PQP327693 QAL327693 QKH327693 QUD327693 RDZ327693 RNV327693 RXR327693 SHN327693 SRJ327693 TBF327693 TLB327693 TUX327693 UET327693 UOP327693 UYL327693 VIH327693 VSD327693 WBZ327693 WLV327693 WVR327693 H393229 JF393229 TB393229 ACX393229 AMT393229 AWP393229 BGL393229 BQH393229 CAD393229 CJZ393229 CTV393229 DDR393229 DNN393229 DXJ393229 EHF393229 ERB393229 FAX393229 FKT393229 FUP393229 GEL393229 GOH393229 GYD393229 HHZ393229 HRV393229 IBR393229 ILN393229 IVJ393229 JFF393229 JPB393229 JYX393229 KIT393229 KSP393229 LCL393229 LMH393229 LWD393229 MFZ393229 MPV393229 MZR393229 NJN393229 NTJ393229 ODF393229 ONB393229 OWX393229 PGT393229 PQP393229 QAL393229 QKH393229 QUD393229 RDZ393229 RNV393229 RXR393229 SHN393229 SRJ393229 TBF393229 TLB393229 TUX393229 UET393229 UOP393229 UYL393229 VIH393229 VSD393229 WBZ393229 WLV393229 WVR393229 H458765 JF458765 TB458765 ACX458765 AMT458765 AWP458765 BGL458765 BQH458765 CAD458765 CJZ458765 CTV458765 DDR458765 DNN458765 DXJ458765 EHF458765 ERB458765 FAX458765 FKT458765 FUP458765 GEL458765 GOH458765 GYD458765 HHZ458765 HRV458765 IBR458765 ILN458765 IVJ458765 JFF458765 JPB458765 JYX458765 KIT458765 KSP458765 LCL458765 LMH458765 LWD458765 MFZ458765 MPV458765 MZR458765 NJN458765 NTJ458765 ODF458765 ONB458765 OWX458765 PGT458765 PQP458765 QAL458765 QKH458765 QUD458765 RDZ458765 RNV458765 RXR458765 SHN458765 SRJ458765 TBF458765 TLB458765 TUX458765 UET458765 UOP458765 UYL458765 VIH458765 VSD458765 WBZ458765 WLV458765 WVR458765 H524301 JF524301 TB524301 ACX524301 AMT524301 AWP524301 BGL524301 BQH524301 CAD524301 CJZ524301 CTV524301 DDR524301 DNN524301 DXJ524301 EHF524301 ERB524301 FAX524301 FKT524301 FUP524301 GEL524301 GOH524301 GYD524301 HHZ524301 HRV524301 IBR524301 ILN524301 IVJ524301 JFF524301 JPB524301 JYX524301 KIT524301 KSP524301 LCL524301 LMH524301 LWD524301 MFZ524301 MPV524301 MZR524301 NJN524301 NTJ524301 ODF524301 ONB524301 OWX524301 PGT524301 PQP524301 QAL524301 QKH524301 QUD524301 RDZ524301 RNV524301 RXR524301 SHN524301 SRJ524301 TBF524301 TLB524301 TUX524301 UET524301 UOP524301 UYL524301 VIH524301 VSD524301 WBZ524301 WLV524301 WVR524301 H589837 JF589837 TB589837 ACX589837 AMT589837 AWP589837 BGL589837 BQH589837 CAD589837 CJZ589837 CTV589837 DDR589837 DNN589837 DXJ589837 EHF589837 ERB589837 FAX589837 FKT589837 FUP589837 GEL589837 GOH589837 GYD589837 HHZ589837 HRV589837 IBR589837 ILN589837 IVJ589837 JFF589837 JPB589837 JYX589837 KIT589837 KSP589837 LCL589837 LMH589837 LWD589837 MFZ589837 MPV589837 MZR589837 NJN589837 NTJ589837 ODF589837 ONB589837 OWX589837 PGT589837 PQP589837 QAL589837 QKH589837 QUD589837 RDZ589837 RNV589837 RXR589837 SHN589837 SRJ589837 TBF589837 TLB589837 TUX589837 UET589837 UOP589837 UYL589837 VIH589837 VSD589837 WBZ589837 WLV589837 WVR589837 H655373 JF655373 TB655373 ACX655373 AMT655373 AWP655373 BGL655373 BQH655373 CAD655373 CJZ655373 CTV655373 DDR655373 DNN655373 DXJ655373 EHF655373 ERB655373 FAX655373 FKT655373 FUP655373 GEL655373 GOH655373 GYD655373 HHZ655373 HRV655373 IBR655373 ILN655373 IVJ655373 JFF655373 JPB655373 JYX655373 KIT655373 KSP655373 LCL655373 LMH655373 LWD655373 MFZ655373 MPV655373 MZR655373 NJN655373 NTJ655373 ODF655373 ONB655373 OWX655373 PGT655373 PQP655373 QAL655373 QKH655373 QUD655373 RDZ655373 RNV655373 RXR655373 SHN655373 SRJ655373 TBF655373 TLB655373 TUX655373 UET655373 UOP655373 UYL655373 VIH655373 VSD655373 WBZ655373 WLV655373 WVR655373 H720909 JF720909 TB720909 ACX720909 AMT720909 AWP720909 BGL720909 BQH720909 CAD720909 CJZ720909 CTV720909 DDR720909 DNN720909 DXJ720909 EHF720909 ERB720909 FAX720909 FKT720909 FUP720909 GEL720909 GOH720909 GYD720909 HHZ720909 HRV720909 IBR720909 ILN720909 IVJ720909 JFF720909 JPB720909 JYX720909 KIT720909 KSP720909 LCL720909 LMH720909 LWD720909 MFZ720909 MPV720909 MZR720909 NJN720909 NTJ720909 ODF720909 ONB720909 OWX720909 PGT720909 PQP720909 QAL720909 QKH720909 QUD720909 RDZ720909 RNV720909 RXR720909 SHN720909 SRJ720909 TBF720909 TLB720909 TUX720909 UET720909 UOP720909 UYL720909 VIH720909 VSD720909 WBZ720909 WLV720909 WVR720909 H786445 JF786445 TB786445 ACX786445 AMT786445 AWP786445 BGL786445 BQH786445 CAD786445 CJZ786445 CTV786445 DDR786445 DNN786445 DXJ786445 EHF786445 ERB786445 FAX786445 FKT786445 FUP786445 GEL786445 GOH786445 GYD786445 HHZ786445 HRV786445 IBR786445 ILN786445 IVJ786445 JFF786445 JPB786445 JYX786445 KIT786445 KSP786445 LCL786445 LMH786445 LWD786445 MFZ786445 MPV786445 MZR786445 NJN786445 NTJ786445 ODF786445 ONB786445 OWX786445 PGT786445 PQP786445 QAL786445 QKH786445 QUD786445 RDZ786445 RNV786445 RXR786445 SHN786445 SRJ786445 TBF786445 TLB786445 TUX786445 UET786445 UOP786445 UYL786445 VIH786445 VSD786445 WBZ786445 WLV786445 WVR786445 H851981 JF851981 TB851981 ACX851981 AMT851981 AWP851981 BGL851981 BQH851981 CAD851981 CJZ851981 CTV851981 DDR851981 DNN851981 DXJ851981 EHF851981 ERB851981 FAX851981 FKT851981 FUP851981 GEL851981 GOH851981 GYD851981 HHZ851981 HRV851981 IBR851981 ILN851981 IVJ851981 JFF851981 JPB851981 JYX851981 KIT851981 KSP851981 LCL851981 LMH851981 LWD851981 MFZ851981 MPV851981 MZR851981 NJN851981 NTJ851981 ODF851981 ONB851981 OWX851981 PGT851981 PQP851981 QAL851981 QKH851981 QUD851981 RDZ851981 RNV851981 RXR851981 SHN851981 SRJ851981 TBF851981 TLB851981 TUX851981 UET851981 UOP851981 UYL851981 VIH851981 VSD851981 WBZ851981 WLV851981 WVR851981 H917517 JF917517 TB917517 ACX917517 AMT917517 AWP917517 BGL917517 BQH917517 CAD917517 CJZ917517 CTV917517 DDR917517 DNN917517 DXJ917517 EHF917517 ERB917517 FAX917517 FKT917517 FUP917517 GEL917517 GOH917517 GYD917517 HHZ917517 HRV917517 IBR917517 ILN917517 IVJ917517 JFF917517 JPB917517 JYX917517 KIT917517 KSP917517 LCL917517 LMH917517 LWD917517 MFZ917517 MPV917517 MZR917517 NJN917517 NTJ917517 ODF917517 ONB917517 OWX917517 PGT917517 PQP917517 QAL917517 QKH917517 QUD917517 RDZ917517 RNV917517 RXR917517 SHN917517 SRJ917517 TBF917517 TLB917517 TUX917517 UET917517 UOP917517 UYL917517 VIH917517 VSD917517 WBZ917517 WLV917517 WVR917517 H983053 JF983053 TB983053 ACX983053 AMT983053 AWP983053 BGL983053 BQH983053 CAD983053 CJZ983053 CTV983053 DDR983053 DNN983053 DXJ983053 EHF983053 ERB983053 FAX983053 FKT983053 FUP983053 GEL983053 GOH983053 GYD983053 HHZ983053 HRV983053 IBR983053 ILN983053 IVJ983053 JFF983053 JPB983053 JYX983053 KIT983053 KSP983053 LCL983053 LMH983053 LWD983053 MFZ983053 MPV983053 MZR983053 NJN983053 NTJ983053 ODF983053 ONB983053 OWX983053 PGT983053 PQP983053 QAL983053 QKH983053 QUD983053 RDZ983053 RNV983053 RXR983053 SHN983053 SRJ983053 TBF983053 TLB983053 TUX983053 UET983053 UOP983053 UYL983053 VIH983053 VSD983053 WBZ983053 WLV983053 WVR983053 P196622:P262156 JN65550:JN131084 TJ65550:TJ131084 ADF65550:ADF131084 ANB65550:ANB131084 AWX65550:AWX131084 BGT65550:BGT131084 BQP65550:BQP131084 CAL65550:CAL131084 CKH65550:CKH131084 CUD65550:CUD131084 DDZ65550:DDZ131084 DNV65550:DNV131084 DXR65550:DXR131084 EHN65550:EHN131084 ERJ65550:ERJ131084 FBF65550:FBF131084 FLB65550:FLB131084 FUX65550:FUX131084 GET65550:GET131084 GOP65550:GOP131084 GYL65550:GYL131084 HIH65550:HIH131084 HSD65550:HSD131084 IBZ65550:IBZ131084 ILV65550:ILV131084 IVR65550:IVR131084 JFN65550:JFN131084 JPJ65550:JPJ131084 JZF65550:JZF131084 KJB65550:KJB131084 KSX65550:KSX131084 LCT65550:LCT131084 LMP65550:LMP131084 LWL65550:LWL131084 MGH65550:MGH131084 MQD65550:MQD131084 MZZ65550:MZZ131084 NJV65550:NJV131084 NTR65550:NTR131084 ODN65550:ODN131084 ONJ65550:ONJ131084 OXF65550:OXF131084 PHB65550:PHB131084 PQX65550:PQX131084 QAT65550:QAT131084 QKP65550:QKP131084 QUL65550:QUL131084 REH65550:REH131084 ROD65550:ROD131084 RXZ65550:RXZ131084 SHV65550:SHV131084 SRR65550:SRR131084 TBN65550:TBN131084 TLJ65550:TLJ131084 TVF65550:TVF131084 UFB65550:UFB131084 UOX65550:UOX131084 UYT65550:UYT131084 VIP65550:VIP131084 VSL65550:VSL131084 WCH65550:WCH131084 WMD65550:WMD131084 WVZ65550:WVZ131084 P262158:P327692 JN131086:JN196620 TJ131086:TJ196620 ADF131086:ADF196620 ANB131086:ANB196620 AWX131086:AWX196620 BGT131086:BGT196620 BQP131086:BQP196620 CAL131086:CAL196620 CKH131086:CKH196620 CUD131086:CUD196620 DDZ131086:DDZ196620 DNV131086:DNV196620 DXR131086:DXR196620 EHN131086:EHN196620 ERJ131086:ERJ196620 FBF131086:FBF196620 FLB131086:FLB196620 FUX131086:FUX196620 GET131086:GET196620 GOP131086:GOP196620 GYL131086:GYL196620 HIH131086:HIH196620 HSD131086:HSD196620 IBZ131086:IBZ196620 ILV131086:ILV196620 IVR131086:IVR196620 JFN131086:JFN196620 JPJ131086:JPJ196620 JZF131086:JZF196620 KJB131086:KJB196620 KSX131086:KSX196620 LCT131086:LCT196620 LMP131086:LMP196620 LWL131086:LWL196620 MGH131086:MGH196620 MQD131086:MQD196620 MZZ131086:MZZ196620 NJV131086:NJV196620 NTR131086:NTR196620 ODN131086:ODN196620 ONJ131086:ONJ196620 OXF131086:OXF196620 PHB131086:PHB196620 PQX131086:PQX196620 QAT131086:QAT196620 QKP131086:QKP196620 QUL131086:QUL196620 REH131086:REH196620 ROD131086:ROD196620 RXZ131086:RXZ196620 SHV131086:SHV196620 SRR131086:SRR196620 TBN131086:TBN196620 TLJ131086:TLJ196620 TVF131086:TVF196620 UFB131086:UFB196620 UOX131086:UOX196620 UYT131086:UYT196620 VIP131086:VIP196620 VSL131086:VSL196620 WCH131086:WCH196620 WMD131086:WMD196620 WVZ131086:WVZ196620 P327694:P393228 JN196622:JN262156 TJ196622:TJ262156 ADF196622:ADF262156 ANB196622:ANB262156 AWX196622:AWX262156 BGT196622:BGT262156 BQP196622:BQP262156 CAL196622:CAL262156 CKH196622:CKH262156 CUD196622:CUD262156 DDZ196622:DDZ262156 DNV196622:DNV262156 DXR196622:DXR262156 EHN196622:EHN262156 ERJ196622:ERJ262156 FBF196622:FBF262156 FLB196622:FLB262156 FUX196622:FUX262156 GET196622:GET262156 GOP196622:GOP262156 GYL196622:GYL262156 HIH196622:HIH262156 HSD196622:HSD262156 IBZ196622:IBZ262156 ILV196622:ILV262156 IVR196622:IVR262156 JFN196622:JFN262156 JPJ196622:JPJ262156 JZF196622:JZF262156 KJB196622:KJB262156 KSX196622:KSX262156 LCT196622:LCT262156 LMP196622:LMP262156 LWL196622:LWL262156 MGH196622:MGH262156 MQD196622:MQD262156 MZZ196622:MZZ262156 NJV196622:NJV262156 NTR196622:NTR262156 ODN196622:ODN262156 ONJ196622:ONJ262156 OXF196622:OXF262156 PHB196622:PHB262156 PQX196622:PQX262156 QAT196622:QAT262156 QKP196622:QKP262156 QUL196622:QUL262156 REH196622:REH262156 ROD196622:ROD262156 RXZ196622:RXZ262156 SHV196622:SHV262156 SRR196622:SRR262156 TBN196622:TBN262156 TLJ196622:TLJ262156 TVF196622:TVF262156 UFB196622:UFB262156 UOX196622:UOX262156 UYT196622:UYT262156 VIP196622:VIP262156 VSL196622:VSL262156 WCH196622:WCH262156 WMD196622:WMD262156 WVZ196622:WVZ262156 P393230:P458764 JN262158:JN327692 TJ262158:TJ327692 ADF262158:ADF327692 ANB262158:ANB327692 AWX262158:AWX327692 BGT262158:BGT327692 BQP262158:BQP327692 CAL262158:CAL327692 CKH262158:CKH327692 CUD262158:CUD327692 DDZ262158:DDZ327692 DNV262158:DNV327692 DXR262158:DXR327692 EHN262158:EHN327692 ERJ262158:ERJ327692 FBF262158:FBF327692 FLB262158:FLB327692 FUX262158:FUX327692 GET262158:GET327692 GOP262158:GOP327692 GYL262158:GYL327692 HIH262158:HIH327692 HSD262158:HSD327692 IBZ262158:IBZ327692 ILV262158:ILV327692 IVR262158:IVR327692 JFN262158:JFN327692 JPJ262158:JPJ327692 JZF262158:JZF327692 KJB262158:KJB327692 KSX262158:KSX327692 LCT262158:LCT327692 LMP262158:LMP327692 LWL262158:LWL327692 MGH262158:MGH327692 MQD262158:MQD327692 MZZ262158:MZZ327692 NJV262158:NJV327692 NTR262158:NTR327692 ODN262158:ODN327692 ONJ262158:ONJ327692 OXF262158:OXF327692 PHB262158:PHB327692 PQX262158:PQX327692 QAT262158:QAT327692 QKP262158:QKP327692 QUL262158:QUL327692 REH262158:REH327692 ROD262158:ROD327692 RXZ262158:RXZ327692 SHV262158:SHV327692 SRR262158:SRR327692 TBN262158:TBN327692 TLJ262158:TLJ327692 TVF262158:TVF327692 UFB262158:UFB327692 UOX262158:UOX327692 UYT262158:UYT327692 VIP262158:VIP327692 VSL262158:VSL327692 WCH262158:WCH327692 WMD262158:WMD327692 WVZ262158:WVZ327692 P458766:P524300 JN327694:JN393228 TJ327694:TJ393228 ADF327694:ADF393228 ANB327694:ANB393228 AWX327694:AWX393228 BGT327694:BGT393228 BQP327694:BQP393228 CAL327694:CAL393228 CKH327694:CKH393228 CUD327694:CUD393228 DDZ327694:DDZ393228 DNV327694:DNV393228 DXR327694:DXR393228 EHN327694:EHN393228 ERJ327694:ERJ393228 FBF327694:FBF393228 FLB327694:FLB393228 FUX327694:FUX393228 GET327694:GET393228 GOP327694:GOP393228 GYL327694:GYL393228 HIH327694:HIH393228 HSD327694:HSD393228 IBZ327694:IBZ393228 ILV327694:ILV393228 IVR327694:IVR393228 JFN327694:JFN393228 JPJ327694:JPJ393228 JZF327694:JZF393228 KJB327694:KJB393228 KSX327694:KSX393228 LCT327694:LCT393228 LMP327694:LMP393228 LWL327694:LWL393228 MGH327694:MGH393228 MQD327694:MQD393228 MZZ327694:MZZ393228 NJV327694:NJV393228 NTR327694:NTR393228 ODN327694:ODN393228 ONJ327694:ONJ393228 OXF327694:OXF393228 PHB327694:PHB393228 PQX327694:PQX393228 QAT327694:QAT393228 QKP327694:QKP393228 QUL327694:QUL393228 REH327694:REH393228 ROD327694:ROD393228 RXZ327694:RXZ393228 SHV327694:SHV393228 SRR327694:SRR393228 TBN327694:TBN393228 TLJ327694:TLJ393228 TVF327694:TVF393228 UFB327694:UFB393228 UOX327694:UOX393228 UYT327694:UYT393228 VIP327694:VIP393228 VSL327694:VSL393228 WCH327694:WCH393228 WMD327694:WMD393228 WVZ327694:WVZ393228 P524302:P589836 JN393230:JN458764 TJ393230:TJ458764 ADF393230:ADF458764 ANB393230:ANB458764 AWX393230:AWX458764 BGT393230:BGT458764 BQP393230:BQP458764 CAL393230:CAL458764 CKH393230:CKH458764 CUD393230:CUD458764 DDZ393230:DDZ458764 DNV393230:DNV458764 DXR393230:DXR458764 EHN393230:EHN458764 ERJ393230:ERJ458764 FBF393230:FBF458764 FLB393230:FLB458764 FUX393230:FUX458764 GET393230:GET458764 GOP393230:GOP458764 GYL393230:GYL458764 HIH393230:HIH458764 HSD393230:HSD458764 IBZ393230:IBZ458764 ILV393230:ILV458764 IVR393230:IVR458764 JFN393230:JFN458764 JPJ393230:JPJ458764 JZF393230:JZF458764 KJB393230:KJB458764 KSX393230:KSX458764 LCT393230:LCT458764 LMP393230:LMP458764 LWL393230:LWL458764 MGH393230:MGH458764 MQD393230:MQD458764 MZZ393230:MZZ458764 NJV393230:NJV458764 NTR393230:NTR458764 ODN393230:ODN458764 ONJ393230:ONJ458764 OXF393230:OXF458764 PHB393230:PHB458764 PQX393230:PQX458764 QAT393230:QAT458764 QKP393230:QKP458764 QUL393230:QUL458764 REH393230:REH458764 ROD393230:ROD458764 RXZ393230:RXZ458764 SHV393230:SHV458764 SRR393230:SRR458764 TBN393230:TBN458764 TLJ393230:TLJ458764 TVF393230:TVF458764 UFB393230:UFB458764 UOX393230:UOX458764 UYT393230:UYT458764 VIP393230:VIP458764 VSL393230:VSL458764 WCH393230:WCH458764 WMD393230:WMD458764 WVZ393230:WVZ458764 P589838:P655372 JN458766:JN524300 TJ458766:TJ524300 ADF458766:ADF524300 ANB458766:ANB524300 AWX458766:AWX524300 BGT458766:BGT524300 BQP458766:BQP524300 CAL458766:CAL524300 CKH458766:CKH524300 CUD458766:CUD524300 DDZ458766:DDZ524300 DNV458766:DNV524300 DXR458766:DXR524300 EHN458766:EHN524300 ERJ458766:ERJ524300 FBF458766:FBF524300 FLB458766:FLB524300 FUX458766:FUX524300 GET458766:GET524300 GOP458766:GOP524300 GYL458766:GYL524300 HIH458766:HIH524300 HSD458766:HSD524300 IBZ458766:IBZ524300 ILV458766:ILV524300 IVR458766:IVR524300 JFN458766:JFN524300 JPJ458766:JPJ524300 JZF458766:JZF524300 KJB458766:KJB524300 KSX458766:KSX524300 LCT458766:LCT524300 LMP458766:LMP524300 LWL458766:LWL524300 MGH458766:MGH524300 MQD458766:MQD524300 MZZ458766:MZZ524300 NJV458766:NJV524300 NTR458766:NTR524300 ODN458766:ODN524300 ONJ458766:ONJ524300 OXF458766:OXF524300 PHB458766:PHB524300 PQX458766:PQX524300 QAT458766:QAT524300 QKP458766:QKP524300 QUL458766:QUL524300 REH458766:REH524300 ROD458766:ROD524300 RXZ458766:RXZ524300 SHV458766:SHV524300 SRR458766:SRR524300 TBN458766:TBN524300 TLJ458766:TLJ524300 TVF458766:TVF524300 UFB458766:UFB524300 UOX458766:UOX524300 UYT458766:UYT524300 VIP458766:VIP524300 VSL458766:VSL524300 WCH458766:WCH524300 WMD458766:WMD524300 WVZ458766:WVZ524300 P655374:P720908 JN524302:JN589836 TJ524302:TJ589836 ADF524302:ADF589836 ANB524302:ANB589836 AWX524302:AWX589836 BGT524302:BGT589836 BQP524302:BQP589836 CAL524302:CAL589836 CKH524302:CKH589836 CUD524302:CUD589836 DDZ524302:DDZ589836 DNV524302:DNV589836 DXR524302:DXR589836 EHN524302:EHN589836 ERJ524302:ERJ589836 FBF524302:FBF589836 FLB524302:FLB589836 FUX524302:FUX589836 GET524302:GET589836 GOP524302:GOP589836 GYL524302:GYL589836 HIH524302:HIH589836 HSD524302:HSD589836 IBZ524302:IBZ589836 ILV524302:ILV589836 IVR524302:IVR589836 JFN524302:JFN589836 JPJ524302:JPJ589836 JZF524302:JZF589836 KJB524302:KJB589836 KSX524302:KSX589836 LCT524302:LCT589836 LMP524302:LMP589836 LWL524302:LWL589836 MGH524302:MGH589836 MQD524302:MQD589836 MZZ524302:MZZ589836 NJV524302:NJV589836 NTR524302:NTR589836 ODN524302:ODN589836 ONJ524302:ONJ589836 OXF524302:OXF589836 PHB524302:PHB589836 PQX524302:PQX589836 QAT524302:QAT589836 QKP524302:QKP589836 QUL524302:QUL589836 REH524302:REH589836 ROD524302:ROD589836 RXZ524302:RXZ589836 SHV524302:SHV589836 SRR524302:SRR589836 TBN524302:TBN589836 TLJ524302:TLJ589836 TVF524302:TVF589836 UFB524302:UFB589836 UOX524302:UOX589836 UYT524302:UYT589836 VIP524302:VIP589836 VSL524302:VSL589836 WCH524302:WCH589836 WMD524302:WMD589836 WVZ524302:WVZ589836 P720910:P786444 JN589838:JN655372 TJ589838:TJ655372 ADF589838:ADF655372 ANB589838:ANB655372 AWX589838:AWX655372 BGT589838:BGT655372 BQP589838:BQP655372 CAL589838:CAL655372 CKH589838:CKH655372 CUD589838:CUD655372 DDZ589838:DDZ655372 DNV589838:DNV655372 DXR589838:DXR655372 EHN589838:EHN655372 ERJ589838:ERJ655372 FBF589838:FBF655372 FLB589838:FLB655372 FUX589838:FUX655372 GET589838:GET655372 GOP589838:GOP655372 GYL589838:GYL655372 HIH589838:HIH655372 HSD589838:HSD655372 IBZ589838:IBZ655372 ILV589838:ILV655372 IVR589838:IVR655372 JFN589838:JFN655372 JPJ589838:JPJ655372 JZF589838:JZF655372 KJB589838:KJB655372 KSX589838:KSX655372 LCT589838:LCT655372 LMP589838:LMP655372 LWL589838:LWL655372 MGH589838:MGH655372 MQD589838:MQD655372 MZZ589838:MZZ655372 NJV589838:NJV655372 NTR589838:NTR655372 ODN589838:ODN655372 ONJ589838:ONJ655372 OXF589838:OXF655372 PHB589838:PHB655372 PQX589838:PQX655372 QAT589838:QAT655372 QKP589838:QKP655372 QUL589838:QUL655372 REH589838:REH655372 ROD589838:ROD655372 RXZ589838:RXZ655372 SHV589838:SHV655372 SRR589838:SRR655372 TBN589838:TBN655372 TLJ589838:TLJ655372 TVF589838:TVF655372 UFB589838:UFB655372 UOX589838:UOX655372 UYT589838:UYT655372 VIP589838:VIP655372 VSL589838:VSL655372 WCH589838:WCH655372 WMD589838:WMD655372 WVZ589838:WVZ655372 P786446:P851980 JN655374:JN720908 TJ655374:TJ720908 ADF655374:ADF720908 ANB655374:ANB720908 AWX655374:AWX720908 BGT655374:BGT720908 BQP655374:BQP720908 CAL655374:CAL720908 CKH655374:CKH720908 CUD655374:CUD720908 DDZ655374:DDZ720908 DNV655374:DNV720908 DXR655374:DXR720908 EHN655374:EHN720908 ERJ655374:ERJ720908 FBF655374:FBF720908 FLB655374:FLB720908 FUX655374:FUX720908 GET655374:GET720908 GOP655374:GOP720908 GYL655374:GYL720908 HIH655374:HIH720908 HSD655374:HSD720908 IBZ655374:IBZ720908 ILV655374:ILV720908 IVR655374:IVR720908 JFN655374:JFN720908 JPJ655374:JPJ720908 JZF655374:JZF720908 KJB655374:KJB720908 KSX655374:KSX720908 LCT655374:LCT720908 LMP655374:LMP720908 LWL655374:LWL720908 MGH655374:MGH720908 MQD655374:MQD720908 MZZ655374:MZZ720908 NJV655374:NJV720908 NTR655374:NTR720908 ODN655374:ODN720908 ONJ655374:ONJ720908 OXF655374:OXF720908 PHB655374:PHB720908 PQX655374:PQX720908 QAT655374:QAT720908 QKP655374:QKP720908 QUL655374:QUL720908 REH655374:REH720908 ROD655374:ROD720908 RXZ655374:RXZ720908 SHV655374:SHV720908 SRR655374:SRR720908 TBN655374:TBN720908 TLJ655374:TLJ720908 TVF655374:TVF720908 UFB655374:UFB720908 UOX655374:UOX720908 UYT655374:UYT720908 VIP655374:VIP720908 VSL655374:VSL720908 WCH655374:WCH720908 WMD655374:WMD720908 WVZ655374:WVZ720908 P851982:P917516 JN720910:JN786444 TJ720910:TJ786444 ADF720910:ADF786444 ANB720910:ANB786444 AWX720910:AWX786444 BGT720910:BGT786444 BQP720910:BQP786444 CAL720910:CAL786444 CKH720910:CKH786444 CUD720910:CUD786444 DDZ720910:DDZ786444 DNV720910:DNV786444 DXR720910:DXR786444 EHN720910:EHN786444 ERJ720910:ERJ786444 FBF720910:FBF786444 FLB720910:FLB786444 FUX720910:FUX786444 GET720910:GET786444 GOP720910:GOP786444 GYL720910:GYL786444 HIH720910:HIH786444 HSD720910:HSD786444 IBZ720910:IBZ786444 ILV720910:ILV786444 IVR720910:IVR786444 JFN720910:JFN786444 JPJ720910:JPJ786444 JZF720910:JZF786444 KJB720910:KJB786444 KSX720910:KSX786444 LCT720910:LCT786444 LMP720910:LMP786444 LWL720910:LWL786444 MGH720910:MGH786444 MQD720910:MQD786444 MZZ720910:MZZ786444 NJV720910:NJV786444 NTR720910:NTR786444 ODN720910:ODN786444 ONJ720910:ONJ786444 OXF720910:OXF786444 PHB720910:PHB786444 PQX720910:PQX786444 QAT720910:QAT786444 QKP720910:QKP786444 QUL720910:QUL786444 REH720910:REH786444 ROD720910:ROD786444 RXZ720910:RXZ786444 SHV720910:SHV786444 SRR720910:SRR786444 TBN720910:TBN786444 TLJ720910:TLJ786444 TVF720910:TVF786444 UFB720910:UFB786444 UOX720910:UOX786444 UYT720910:UYT786444 VIP720910:VIP786444 VSL720910:VSL786444 WCH720910:WCH786444 WMD720910:WMD786444 WVZ720910:WVZ786444 P917518:P983052 JN786446:JN851980 TJ786446:TJ851980 ADF786446:ADF851980 ANB786446:ANB851980 AWX786446:AWX851980 BGT786446:BGT851980 BQP786446:BQP851980 CAL786446:CAL851980 CKH786446:CKH851980 CUD786446:CUD851980 DDZ786446:DDZ851980 DNV786446:DNV851980 DXR786446:DXR851980 EHN786446:EHN851980 ERJ786446:ERJ851980 FBF786446:FBF851980 FLB786446:FLB851980 FUX786446:FUX851980 GET786446:GET851980 GOP786446:GOP851980 GYL786446:GYL851980 HIH786446:HIH851980 HSD786446:HSD851980 IBZ786446:IBZ851980 ILV786446:ILV851980 IVR786446:IVR851980 JFN786446:JFN851980 JPJ786446:JPJ851980 JZF786446:JZF851980 KJB786446:KJB851980 KSX786446:KSX851980 LCT786446:LCT851980 LMP786446:LMP851980 LWL786446:LWL851980 MGH786446:MGH851980 MQD786446:MQD851980 MZZ786446:MZZ851980 NJV786446:NJV851980 NTR786446:NTR851980 ODN786446:ODN851980 ONJ786446:ONJ851980 OXF786446:OXF851980 PHB786446:PHB851980 PQX786446:PQX851980 QAT786446:QAT851980 QKP786446:QKP851980 QUL786446:QUL851980 REH786446:REH851980 ROD786446:ROD851980 RXZ786446:RXZ851980 SHV786446:SHV851980 SRR786446:SRR851980 TBN786446:TBN851980 TLJ786446:TLJ851980 TVF786446:TVF851980 UFB786446:UFB851980 UOX786446:UOX851980 UYT786446:UYT851980 VIP786446:VIP851980 VSL786446:VSL851980 WCH786446:WCH851980 WMD786446:WMD851980 WVZ786446:WVZ851980 P983054:P1048576 JN851982:JN917516 TJ851982:TJ917516 ADF851982:ADF917516 ANB851982:ANB917516 AWX851982:AWX917516 BGT851982:BGT917516 BQP851982:BQP917516 CAL851982:CAL917516 CKH851982:CKH917516 CUD851982:CUD917516 DDZ851982:DDZ917516 DNV851982:DNV917516 DXR851982:DXR917516 EHN851982:EHN917516 ERJ851982:ERJ917516 FBF851982:FBF917516 FLB851982:FLB917516 FUX851982:FUX917516 GET851982:GET917516 GOP851982:GOP917516 GYL851982:GYL917516 HIH851982:HIH917516 HSD851982:HSD917516 IBZ851982:IBZ917516 ILV851982:ILV917516 IVR851982:IVR917516 JFN851982:JFN917516 JPJ851982:JPJ917516 JZF851982:JZF917516 KJB851982:KJB917516 KSX851982:KSX917516 LCT851982:LCT917516 LMP851982:LMP917516 LWL851982:LWL917516 MGH851982:MGH917516 MQD851982:MQD917516 MZZ851982:MZZ917516 NJV851982:NJV917516 NTR851982:NTR917516 ODN851982:ODN917516 ONJ851982:ONJ917516 OXF851982:OXF917516 PHB851982:PHB917516 PQX851982:PQX917516 QAT851982:QAT917516 QKP851982:QKP917516 QUL851982:QUL917516 REH851982:REH917516 ROD851982:ROD917516 RXZ851982:RXZ917516 SHV851982:SHV917516 SRR851982:SRR917516 TBN851982:TBN917516 TLJ851982:TLJ917516 TVF851982:TVF917516 UFB851982:UFB917516 UOX851982:UOX917516 UYT851982:UYT917516 VIP851982:VIP917516 VSL851982:VSL917516 WCH851982:WCH917516 WMD851982:WMD917516 WVZ851982:WVZ917516 P1:P15 JN917518:JN983052 TJ917518:TJ983052 ADF917518:ADF983052 ANB917518:ANB983052 AWX917518:AWX983052 BGT917518:BGT983052 BQP917518:BQP983052 CAL917518:CAL983052 CKH917518:CKH983052 CUD917518:CUD983052 DDZ917518:DDZ983052 DNV917518:DNV983052 DXR917518:DXR983052 EHN917518:EHN983052 ERJ917518:ERJ983052 FBF917518:FBF983052 FLB917518:FLB983052 FUX917518:FUX983052 GET917518:GET983052 GOP917518:GOP983052 GYL917518:GYL983052 HIH917518:HIH983052 HSD917518:HSD983052 IBZ917518:IBZ983052 ILV917518:ILV983052 IVR917518:IVR983052 JFN917518:JFN983052 JPJ917518:JPJ983052 JZF917518:JZF983052 KJB917518:KJB983052 KSX917518:KSX983052 LCT917518:LCT983052 LMP917518:LMP983052 LWL917518:LWL983052 MGH917518:MGH983052 MQD917518:MQD983052 MZZ917518:MZZ983052 NJV917518:NJV983052 NTR917518:NTR983052 ODN917518:ODN983052 ONJ917518:ONJ983052 OXF917518:OXF983052 PHB917518:PHB983052 PQX917518:PQX983052 QAT917518:QAT983052 QKP917518:QKP983052 QUL917518:QUL983052 REH917518:REH983052 ROD917518:ROD983052 RXZ917518:RXZ983052 SHV917518:SHV983052 SRR917518:SRR983052 TBN917518:TBN983052 TLJ917518:TLJ983052 TVF917518:TVF983052 UFB917518:UFB983052 UOX917518:UOX983052 UYT917518:UYT983052 VIP917518:VIP983052 VSL917518:VSL983052 WCH917518:WCH983052 WMD917518:WMD983052 WVZ917518:WVZ983052 P17:P65548 JN983054:JN1048576 TJ983054:TJ1048576 ADF983054:ADF1048576 ANB983054:ANB1048576 AWX983054:AWX1048576 BGT983054:BGT1048576 BQP983054:BQP1048576 CAL983054:CAL1048576 CKH983054:CKH1048576 CUD983054:CUD1048576 DDZ983054:DDZ1048576 DNV983054:DNV1048576 DXR983054:DXR1048576 EHN983054:EHN1048576 ERJ983054:ERJ1048576 FBF983054:FBF1048576 FLB983054:FLB1048576 FUX983054:FUX1048576 GET983054:GET1048576 GOP983054:GOP1048576 GYL983054:GYL1048576 HIH983054:HIH1048576 HSD983054:HSD1048576 IBZ983054:IBZ1048576 ILV983054:ILV1048576 IVR983054:IVR1048576 JFN983054:JFN1048576 JPJ983054:JPJ1048576 JZF983054:JZF1048576 KJB983054:KJB1048576 KSX983054:KSX1048576 LCT983054:LCT1048576 LMP983054:LMP1048576 LWL983054:LWL1048576 MGH983054:MGH1048576 MQD983054:MQD1048576 MZZ983054:MZZ1048576 NJV983054:NJV1048576 NTR983054:NTR1048576 ODN983054:ODN1048576 ONJ983054:ONJ1048576 OXF983054:OXF1048576 PHB983054:PHB1048576 PQX983054:PQX1048576 QAT983054:QAT1048576 QKP983054:QKP1048576 QUL983054:QUL1048576 REH983054:REH1048576 ROD983054:ROD1048576 RXZ983054:RXZ1048576 SHV983054:SHV1048576 SRR983054:SRR1048576 TBN983054:TBN1048576 TLJ983054:TLJ1048576 TVF983054:TVF1048576 UFB983054:UFB1048576 UOX983054:UOX1048576 UYT983054:UYT1048576 VIP983054:VIP1048576 VSL983054:VSL1048576 WCH983054:WCH1048576 WMD983054:WMD1048576 WVZ983054:WVZ1048576 JI16 TE16 ADA16 AMW16 AWS16 BGO16 BQK16 CAG16 CKC16 CTY16 DDU16 DNQ16 DXM16 EHI16 ERE16 FBA16 FKW16 FUS16 GEO16 GOK16 GYG16 HIC16 HRY16 IBU16 ILQ16 IVM16 JFI16 JPE16 JZA16 KIW16 KSS16 LCO16 LMK16 LWG16 MGC16 MPY16 MZU16 NJQ16 NTM16 ODI16 ONE16 OXA16 PGW16 PQS16 QAO16 QKK16 QUG16 REC16 RNY16 RXU16 SHQ16 SRM16 TBI16 TLE16 TVA16 UEW16 UOS16 UYO16 VIK16 VSG16 WCC16 WLY16 WVU16 N16 K65549 JI65549 TE65549 ADA65549 AMW65549 AWS65549 BGO65549 BQK65549 CAG65549 CKC65549 CTY65549 DDU65549 DNQ65549 DXM65549 EHI65549 ERE65549 FBA65549 FKW65549 FUS65549 GEO65549 GOK65549 GYG65549 HIC65549 HRY65549 IBU65549 ILQ65549 IVM65549 JFI65549 JPE65549 JZA65549 KIW65549 KSS65549 LCO65549 LMK65549 LWG65549 MGC65549 MPY65549 MZU65549 NJQ65549 NTM65549 ODI65549 ONE65549 OXA65549 PGW65549 PQS65549 QAO65549 QKK65549 QUG65549 REC65549 RNY65549 RXU65549 SHQ65549 SRM65549 TBI65549 TLE65549 TVA65549 UEW65549 UOS65549 UYO65549 VIK65549 VSG65549 WCC65549 WLY65549 WVU65549 K131085 JI131085 TE131085 ADA131085 AMW131085 AWS131085 BGO131085 BQK131085 CAG131085 CKC131085 CTY131085 DDU131085 DNQ131085 DXM131085 EHI131085 ERE131085 FBA131085 FKW131085 FUS131085 GEO131085 GOK131085 GYG131085 HIC131085 HRY131085 IBU131085 ILQ131085 IVM131085 JFI131085 JPE131085 JZA131085 KIW131085 KSS131085 LCO131085 LMK131085 LWG131085 MGC131085 MPY131085 MZU131085 NJQ131085 NTM131085 ODI131085 ONE131085 OXA131085 PGW131085 PQS131085 QAO131085 QKK131085 QUG131085 REC131085 RNY131085 RXU131085 SHQ131085 SRM131085 TBI131085 TLE131085 TVA131085 UEW131085 UOS131085 UYO131085 VIK131085 VSG131085 WCC131085 WLY131085 WVU131085 K196621 JI196621 TE196621 ADA196621 AMW196621 AWS196621 BGO196621 BQK196621 CAG196621 CKC196621 CTY196621 DDU196621 DNQ196621 DXM196621 EHI196621 ERE196621 FBA196621 FKW196621 FUS196621 GEO196621 GOK196621 GYG196621 HIC196621 HRY196621 IBU196621 ILQ196621 IVM196621 JFI196621 JPE196621 JZA196621 KIW196621 KSS196621 LCO196621 LMK196621 LWG196621 MGC196621 MPY196621 MZU196621 NJQ196621 NTM196621 ODI196621 ONE196621 OXA196621 PGW196621 PQS196621 QAO196621 QKK196621 QUG196621 REC196621 RNY196621 RXU196621 SHQ196621 SRM196621 TBI196621 TLE196621 TVA196621 UEW196621 UOS196621 UYO196621 VIK196621 VSG196621 WCC196621 WLY196621 WVU196621 K262157 JI262157 TE262157 ADA262157 AMW262157 AWS262157 BGO262157 BQK262157 CAG262157 CKC262157 CTY262157 DDU262157 DNQ262157 DXM262157 EHI262157 ERE262157 FBA262157 FKW262157 FUS262157 GEO262157 GOK262157 GYG262157 HIC262157 HRY262157 IBU262157 ILQ262157 IVM262157 JFI262157 JPE262157 JZA262157 KIW262157 KSS262157 LCO262157 LMK262157 LWG262157 MGC262157 MPY262157 MZU262157 NJQ262157 NTM262157 ODI262157 ONE262157 OXA262157 PGW262157 PQS262157 QAO262157 QKK262157 QUG262157 REC262157 RNY262157 RXU262157 SHQ262157 SRM262157 TBI262157 TLE262157 TVA262157 UEW262157 UOS262157 UYO262157 VIK262157 VSG262157 WCC262157 WLY262157 WVU262157 K327693 JI327693 TE327693 ADA327693 AMW327693 AWS327693 BGO327693 BQK327693 CAG327693 CKC327693 CTY327693 DDU327693 DNQ327693 DXM327693 EHI327693 ERE327693 FBA327693 FKW327693 FUS327693 GEO327693 GOK327693 GYG327693 HIC327693 HRY327693 IBU327693 ILQ327693 IVM327693 JFI327693 JPE327693 JZA327693 KIW327693 KSS327693 LCO327693 LMK327693 LWG327693 MGC327693 MPY327693 MZU327693 NJQ327693 NTM327693 ODI327693 ONE327693 OXA327693 PGW327693 PQS327693 QAO327693 QKK327693 QUG327693 REC327693 RNY327693 RXU327693 SHQ327693 SRM327693 TBI327693 TLE327693 TVA327693 UEW327693 UOS327693 UYO327693 VIK327693 VSG327693 WCC327693 WLY327693 WVU327693 K393229 JI393229 TE393229 ADA393229 AMW393229 AWS393229 BGO393229 BQK393229 CAG393229 CKC393229 CTY393229 DDU393229 DNQ393229 DXM393229 EHI393229 ERE393229 FBA393229 FKW393229 FUS393229 GEO393229 GOK393229 GYG393229 HIC393229 HRY393229 IBU393229 ILQ393229 IVM393229 JFI393229 JPE393229 JZA393229 KIW393229 KSS393229 LCO393229 LMK393229 LWG393229 MGC393229 MPY393229 MZU393229 NJQ393229 NTM393229 ODI393229 ONE393229 OXA393229 PGW393229 PQS393229 QAO393229 QKK393229 QUG393229 REC393229 RNY393229 RXU393229 SHQ393229 SRM393229 TBI393229 TLE393229 TVA393229 UEW393229 UOS393229 UYO393229 VIK393229 VSG393229 WCC393229 WLY393229 WVU393229 K458765 JI458765 TE458765 ADA458765 AMW458765 AWS458765 BGO458765 BQK458765 CAG458765 CKC458765 CTY458765 DDU458765 DNQ458765 DXM458765 EHI458765 ERE458765 FBA458765 FKW458765 FUS458765 GEO458765 GOK458765 GYG458765 HIC458765 HRY458765 IBU458765 ILQ458765 IVM458765 JFI458765 JPE458765 JZA458765 KIW458765 KSS458765 LCO458765 LMK458765 LWG458765 MGC458765 MPY458765 MZU458765 NJQ458765 NTM458765 ODI458765 ONE458765 OXA458765 PGW458765 PQS458765 QAO458765 QKK458765 QUG458765 REC458765 RNY458765 RXU458765 SHQ458765 SRM458765 TBI458765 TLE458765 TVA458765 UEW458765 UOS458765 UYO458765 VIK458765 VSG458765 WCC458765 WLY458765 WVU458765 K524301 JI524301 TE524301 ADA524301 AMW524301 AWS524301 BGO524301 BQK524301 CAG524301 CKC524301 CTY524301 DDU524301 DNQ524301 DXM524301 EHI524301 ERE524301 FBA524301 FKW524301 FUS524301 GEO524301 GOK524301 GYG524301 HIC524301 HRY524301 IBU524301 ILQ524301 IVM524301 JFI524301 JPE524301 JZA524301 KIW524301 KSS524301 LCO524301 LMK524301 LWG524301 MGC524301 MPY524301 MZU524301 NJQ524301 NTM524301 ODI524301 ONE524301 OXA524301 PGW524301 PQS524301 QAO524301 QKK524301 QUG524301 REC524301 RNY524301 RXU524301 SHQ524301 SRM524301 TBI524301 TLE524301 TVA524301 UEW524301 UOS524301 UYO524301 VIK524301 VSG524301 WCC524301 WLY524301 WVU524301 K589837 JI589837 TE589837 ADA589837 AMW589837 AWS589837 BGO589837 BQK589837 CAG589837 CKC589837 CTY589837 DDU589837 DNQ589837 DXM589837 EHI589837 ERE589837 FBA589837 FKW589837 FUS589837 GEO589837 GOK589837 GYG589837 HIC589837 HRY589837 IBU589837 ILQ589837 IVM589837 JFI589837 JPE589837 JZA589837 KIW589837 KSS589837 LCO589837 LMK589837 LWG589837 MGC589837 MPY589837 MZU589837 NJQ589837 NTM589837 ODI589837 ONE589837 OXA589837 PGW589837 PQS589837 QAO589837 QKK589837 QUG589837 REC589837 RNY589837 RXU589837 SHQ589837 SRM589837 TBI589837 TLE589837 TVA589837 UEW589837 UOS589837 UYO589837 VIK589837 VSG589837 WCC589837 WLY589837 WVU589837 K655373 JI655373 TE655373 ADA655373 AMW655373 AWS655373 BGO655373 BQK655373 CAG655373 CKC655373 CTY655373 DDU655373 DNQ655373 DXM655373 EHI655373 ERE655373 FBA655373 FKW655373 FUS655373 GEO655373 GOK655373 GYG655373 HIC655373 HRY655373 IBU655373 ILQ655373 IVM655373 JFI655373 JPE655373 JZA655373 KIW655373 KSS655373 LCO655373 LMK655373 LWG655373 MGC655373 MPY655373 MZU655373 NJQ655373 NTM655373 ODI655373 ONE655373 OXA655373 PGW655373 PQS655373 QAO655373 QKK655373 QUG655373 REC655373 RNY655373 RXU655373 SHQ655373 SRM655373 TBI655373 TLE655373 TVA655373 UEW655373 UOS655373 UYO655373 VIK655373 VSG655373 WCC655373 WLY655373 WVU655373 K720909 JI720909 TE720909 ADA720909 AMW720909 AWS720909 BGO720909 BQK720909 CAG720909 CKC720909 CTY720909 DDU720909 DNQ720909 DXM720909 EHI720909 ERE720909 FBA720909 FKW720909 FUS720909 GEO720909 GOK720909 GYG720909 HIC720909 HRY720909 IBU720909 ILQ720909 IVM720909 JFI720909 JPE720909 JZA720909 KIW720909 KSS720909 LCO720909 LMK720909 LWG720909 MGC720909 MPY720909 MZU720909 NJQ720909 NTM720909 ODI720909 ONE720909 OXA720909 PGW720909 PQS720909 QAO720909 QKK720909 QUG720909 REC720909 RNY720909 RXU720909 SHQ720909 SRM720909 TBI720909 TLE720909 TVA720909 UEW720909 UOS720909 UYO720909 VIK720909 VSG720909 WCC720909 WLY720909 WVU720909 K786445 JI786445 TE786445 ADA786445 AMW786445 AWS786445 BGO786445 BQK786445 CAG786445 CKC786445 CTY786445 DDU786445 DNQ786445 DXM786445 EHI786445 ERE786445 FBA786445 FKW786445 FUS786445 GEO786445 GOK786445 GYG786445 HIC786445 HRY786445 IBU786445 ILQ786445 IVM786445 JFI786445 JPE786445 JZA786445 KIW786445 KSS786445 LCO786445 LMK786445 LWG786445 MGC786445 MPY786445 MZU786445 NJQ786445 NTM786445 ODI786445 ONE786445 OXA786445 PGW786445 PQS786445 QAO786445 QKK786445 QUG786445 REC786445 RNY786445 RXU786445 SHQ786445 SRM786445 TBI786445 TLE786445 TVA786445 UEW786445 UOS786445 UYO786445 VIK786445 VSG786445 WCC786445 WLY786445 WVU786445 K851981 JI851981 TE851981 ADA851981 AMW851981 AWS851981 BGO851981 BQK851981 CAG851981 CKC851981 CTY851981 DDU851981 DNQ851981 DXM851981 EHI851981 ERE851981 FBA851981 FKW851981 FUS851981 GEO851981 GOK851981 GYG851981 HIC851981 HRY851981 IBU851981 ILQ851981 IVM851981 JFI851981 JPE851981 JZA851981 KIW851981 KSS851981 LCO851981 LMK851981 LWG851981 MGC851981 MPY851981 MZU851981 NJQ851981 NTM851981 ODI851981 ONE851981 OXA851981 PGW851981 PQS851981 QAO851981 QKK851981 QUG851981 REC851981 RNY851981 RXU851981 SHQ851981 SRM851981 TBI851981 TLE851981 TVA851981 UEW851981 UOS851981 UYO851981 VIK851981 VSG851981 WCC851981 WLY851981 WVU851981 K917517 JI917517 TE917517 ADA917517 AMW917517 AWS917517 BGO917517 BQK917517 CAG917517 CKC917517 CTY917517 DDU917517 DNQ917517 DXM917517 EHI917517 ERE917517 FBA917517 FKW917517 FUS917517 GEO917517 GOK917517 GYG917517 HIC917517 HRY917517 IBU917517 ILQ917517 IVM917517 JFI917517 JPE917517 JZA917517 KIW917517 KSS917517 LCO917517 LMK917517 LWG917517 MGC917517 MPY917517 MZU917517 NJQ917517 NTM917517 ODI917517 ONE917517 OXA917517 PGW917517 PQS917517 QAO917517 QKK917517 QUG917517 REC917517 RNY917517 RXU917517 SHQ917517 SRM917517 TBI917517 TLE917517 TVA917517 UEW917517 UOS917517 UYO917517 VIK917517 VSG917517 WCC917517 WLY917517 WVU917517 K983053 JI983053 TE983053 ADA983053 AMW983053 AWS983053 BGO983053 BQK983053 CAG983053 CKC983053 CTY983053 DDU983053 DNQ983053 DXM983053 EHI983053 ERE983053 FBA983053 FKW983053 FUS983053 GEO983053 GOK983053 GYG983053 HIC983053 HRY983053 IBU983053 ILQ983053 IVM983053 JFI983053 JPE983053 JZA983053 KIW983053 KSS983053 LCO983053 LMK983053 LWG983053 MGC983053 MPY983053 MZU983053 NJQ983053 NTM983053 ODI983053 ONE983053 OXA983053 PGW983053 PQS983053 QAO983053 QKK983053 QUG983053 REC983053 RNY983053 RXU983053 SHQ983053 SRM983053 TBI983053 TLE983053 TVA983053 UEW983053 UOS983053 UYO983053 VIK983053 VSG983053 WCC983053 WLY983053 WVU983053 JL16 TH16 ADD16 AMZ16 AWV16 BGR16 BQN16 CAJ16 CKF16 CUB16 DDX16 DNT16 DXP16 EHL16 ERH16 FBD16 FKZ16 FUV16 GER16 GON16 GYJ16 HIF16 HSB16 IBX16 ILT16 IVP16 JFL16 JPH16 JZD16 KIZ16 KSV16 LCR16 LMN16 LWJ16 MGF16 MQB16 MZX16 NJT16 NTP16 ODL16 ONH16 OXD16 PGZ16 PQV16 QAR16 QKN16 QUJ16 REF16 ROB16 RXX16 SHT16 SRP16 TBL16 TLH16 TVD16 UEZ16 UOV16 UYR16 VIN16 VSJ16 WCF16 WMB16 WVX16 N65549 JL65549 TH65549 ADD65549 AMZ65549 AWV65549 BGR65549 BQN65549 CAJ65549 CKF65549 CUB65549 DDX65549 DNT65549 DXP65549 EHL65549 ERH65549 FBD65549 FKZ65549 FUV65549 GER65549 GON65549 GYJ65549 HIF65549 HSB65549 IBX65549 ILT65549 IVP65549 JFL65549 JPH65549 JZD65549 KIZ65549 KSV65549 LCR65549 LMN65549 LWJ65549 MGF65549 MQB65549 MZX65549 NJT65549 NTP65549 ODL65549 ONH65549 OXD65549 PGZ65549 PQV65549 QAR65549 QKN65549 QUJ65549 REF65549 ROB65549 RXX65549 SHT65549 SRP65549 TBL65549 TLH65549 TVD65549 UEZ65549 UOV65549 UYR65549 VIN65549 VSJ65549 WCF65549 WMB65549 WVX65549 N131085 JL131085 TH131085 ADD131085 AMZ131085 AWV131085 BGR131085 BQN131085 CAJ131085 CKF131085 CUB131085 DDX131085 DNT131085 DXP131085 EHL131085 ERH131085 FBD131085 FKZ131085 FUV131085 GER131085 GON131085 GYJ131085 HIF131085 HSB131085 IBX131085 ILT131085 IVP131085 JFL131085 JPH131085 JZD131085 KIZ131085 KSV131085 LCR131085 LMN131085 LWJ131085 MGF131085 MQB131085 MZX131085 NJT131085 NTP131085 ODL131085 ONH131085 OXD131085 PGZ131085 PQV131085 QAR131085 QKN131085 QUJ131085 REF131085 ROB131085 RXX131085 SHT131085 SRP131085 TBL131085 TLH131085 TVD131085 UEZ131085 UOV131085 UYR131085 VIN131085 VSJ131085 WCF131085 WMB131085 WVX131085 N196621 JL196621 TH196621 ADD196621 AMZ196621 AWV196621 BGR196621 BQN196621 CAJ196621 CKF196621 CUB196621 DDX196621 DNT196621 DXP196621 EHL196621 ERH196621 FBD196621 FKZ196621 FUV196621 GER196621 GON196621 GYJ196621 HIF196621 HSB196621 IBX196621 ILT196621 IVP196621 JFL196621 JPH196621 JZD196621 KIZ196621 KSV196621 LCR196621 LMN196621 LWJ196621 MGF196621 MQB196621 MZX196621 NJT196621 NTP196621 ODL196621 ONH196621 OXD196621 PGZ196621 PQV196621 QAR196621 QKN196621 QUJ196621 REF196621 ROB196621 RXX196621 SHT196621 SRP196621 TBL196621 TLH196621 TVD196621 UEZ196621 UOV196621 UYR196621 VIN196621 VSJ196621 WCF196621 WMB196621 WVX196621 N262157 JL262157 TH262157 ADD262157 AMZ262157 AWV262157 BGR262157 BQN262157 CAJ262157 CKF262157 CUB262157 DDX262157 DNT262157 DXP262157 EHL262157 ERH262157 FBD262157 FKZ262157 FUV262157 GER262157 GON262157 GYJ262157 HIF262157 HSB262157 IBX262157 ILT262157 IVP262157 JFL262157 JPH262157 JZD262157 KIZ262157 KSV262157 LCR262157 LMN262157 LWJ262157 MGF262157 MQB262157 MZX262157 NJT262157 NTP262157 ODL262157 ONH262157 OXD262157 PGZ262157 PQV262157 QAR262157 QKN262157 QUJ262157 REF262157 ROB262157 RXX262157 SHT262157 SRP262157 TBL262157 TLH262157 TVD262157 UEZ262157 UOV262157 UYR262157 VIN262157 VSJ262157 WCF262157 WMB262157 WVX262157 N327693 JL327693 TH327693 ADD327693 AMZ327693 AWV327693 BGR327693 BQN327693 CAJ327693 CKF327693 CUB327693 DDX327693 DNT327693 DXP327693 EHL327693 ERH327693 FBD327693 FKZ327693 FUV327693 GER327693 GON327693 GYJ327693 HIF327693 HSB327693 IBX327693 ILT327693 IVP327693 JFL327693 JPH327693 JZD327693 KIZ327693 KSV327693 LCR327693 LMN327693 LWJ327693 MGF327693 MQB327693 MZX327693 NJT327693 NTP327693 ODL327693 ONH327693 OXD327693 PGZ327693 PQV327693 QAR327693 QKN327693 QUJ327693 REF327693 ROB327693 RXX327693 SHT327693 SRP327693 TBL327693 TLH327693 TVD327693 UEZ327693 UOV327693 UYR327693 VIN327693 VSJ327693 WCF327693 WMB327693 WVX327693 N393229 JL393229 TH393229 ADD393229 AMZ393229 AWV393229 BGR393229 BQN393229 CAJ393229 CKF393229 CUB393229 DDX393229 DNT393229 DXP393229 EHL393229 ERH393229 FBD393229 FKZ393229 FUV393229 GER393229 GON393229 GYJ393229 HIF393229 HSB393229 IBX393229 ILT393229 IVP393229 JFL393229 JPH393229 JZD393229 KIZ393229 KSV393229 LCR393229 LMN393229 LWJ393229 MGF393229 MQB393229 MZX393229 NJT393229 NTP393229 ODL393229 ONH393229 OXD393229 PGZ393229 PQV393229 QAR393229 QKN393229 QUJ393229 REF393229 ROB393229 RXX393229 SHT393229 SRP393229 TBL393229 TLH393229 TVD393229 UEZ393229 UOV393229 UYR393229 VIN393229 VSJ393229 WCF393229 WMB393229 WVX393229 N458765 JL458765 TH458765 ADD458765 AMZ458765 AWV458765 BGR458765 BQN458765 CAJ458765 CKF458765 CUB458765 DDX458765 DNT458765 DXP458765 EHL458765 ERH458765 FBD458765 FKZ458765 FUV458765 GER458765 GON458765 GYJ458765 HIF458765 HSB458765 IBX458765 ILT458765 IVP458765 JFL458765 JPH458765 JZD458765 KIZ458765 KSV458765 LCR458765 LMN458765 LWJ458765 MGF458765 MQB458765 MZX458765 NJT458765 NTP458765 ODL458765 ONH458765 OXD458765 PGZ458765 PQV458765 QAR458765 QKN458765 QUJ458765 REF458765 ROB458765 RXX458765 SHT458765 SRP458765 TBL458765 TLH458765 TVD458765 UEZ458765 UOV458765 UYR458765 VIN458765 VSJ458765 WCF458765 WMB458765 WVX458765 N524301 JL524301 TH524301 ADD524301 AMZ524301 AWV524301 BGR524301 BQN524301 CAJ524301 CKF524301 CUB524301 DDX524301 DNT524301 DXP524301 EHL524301 ERH524301 FBD524301 FKZ524301 FUV524301 GER524301 GON524301 GYJ524301 HIF524301 HSB524301 IBX524301 ILT524301 IVP524301 JFL524301 JPH524301 JZD524301 KIZ524301 KSV524301 LCR524301 LMN524301 LWJ524301 MGF524301 MQB524301 MZX524301 NJT524301 NTP524301 ODL524301 ONH524301 OXD524301 PGZ524301 PQV524301 QAR524301 QKN524301 QUJ524301 REF524301 ROB524301 RXX524301 SHT524301 SRP524301 TBL524301 TLH524301 TVD524301 UEZ524301 UOV524301 UYR524301 VIN524301 VSJ524301 WCF524301 WMB524301 WVX524301 N589837 JL589837 TH589837 ADD589837 AMZ589837 AWV589837 BGR589837 BQN589837 CAJ589837 CKF589837 CUB589837 DDX589837 DNT589837 DXP589837 EHL589837 ERH589837 FBD589837 FKZ589837 FUV589837 GER589837 GON589837 GYJ589837 HIF589837 HSB589837 IBX589837 ILT589837 IVP589837 JFL589837 JPH589837 JZD589837 KIZ589837 KSV589837 LCR589837 LMN589837 LWJ589837 MGF589837 MQB589837 MZX589837 NJT589837 NTP589837 ODL589837 ONH589837 OXD589837 PGZ589837 PQV589837 QAR589837 QKN589837 QUJ589837 REF589837 ROB589837 RXX589837 SHT589837 SRP589837 TBL589837 TLH589837 TVD589837 UEZ589837 UOV589837 UYR589837 VIN589837 VSJ589837 WCF589837 WMB589837 WVX589837 N655373 JL655373 TH655373 ADD655373 AMZ655373 AWV655373 BGR655373 BQN655373 CAJ655373 CKF655373 CUB655373 DDX655373 DNT655373 DXP655373 EHL655373 ERH655373 FBD655373 FKZ655373 FUV655373 GER655373 GON655373 GYJ655373 HIF655373 HSB655373 IBX655373 ILT655373 IVP655373 JFL655373 JPH655373 JZD655373 KIZ655373 KSV655373 LCR655373 LMN655373 LWJ655373 MGF655373 MQB655373 MZX655373 NJT655373 NTP655373 ODL655373 ONH655373 OXD655373 PGZ655373 PQV655373 QAR655373 QKN655373 QUJ655373 REF655373 ROB655373 RXX655373 SHT655373 SRP655373 TBL655373 TLH655373 TVD655373 UEZ655373 UOV655373 UYR655373 VIN655373 VSJ655373 WCF655373 WMB655373 WVX655373 N720909 JL720909 TH720909 ADD720909 AMZ720909 AWV720909 BGR720909 BQN720909 CAJ720909 CKF720909 CUB720909 DDX720909 DNT720909 DXP720909 EHL720909 ERH720909 FBD720909 FKZ720909 FUV720909 GER720909 GON720909 GYJ720909 HIF720909 HSB720909 IBX720909 ILT720909 IVP720909 JFL720909 JPH720909 JZD720909 KIZ720909 KSV720909 LCR720909 LMN720909 LWJ720909 MGF720909 MQB720909 MZX720909 NJT720909 NTP720909 ODL720909 ONH720909 OXD720909 PGZ720909 PQV720909 QAR720909 QKN720909 QUJ720909 REF720909 ROB720909 RXX720909 SHT720909 SRP720909 TBL720909 TLH720909 TVD720909 UEZ720909 UOV720909 UYR720909 VIN720909 VSJ720909 WCF720909 WMB720909 WVX720909 N786445 JL786445 TH786445 ADD786445 AMZ786445 AWV786445 BGR786445 BQN786445 CAJ786445 CKF786445 CUB786445 DDX786445 DNT786445 DXP786445 EHL786445 ERH786445 FBD786445 FKZ786445 FUV786445 GER786445 GON786445 GYJ786445 HIF786445 HSB786445 IBX786445 ILT786445 IVP786445 JFL786445 JPH786445 JZD786445 KIZ786445 KSV786445 LCR786445 LMN786445 LWJ786445 MGF786445 MQB786445 MZX786445 NJT786445 NTP786445 ODL786445 ONH786445 OXD786445 PGZ786445 PQV786445 QAR786445 QKN786445 QUJ786445 REF786445 ROB786445 RXX786445 SHT786445 SRP786445 TBL786445 TLH786445 TVD786445 UEZ786445 UOV786445 UYR786445 VIN786445 VSJ786445 WCF786445 WMB786445 WVX786445 N851981 JL851981 TH851981 ADD851981 AMZ851981 AWV851981 BGR851981 BQN851981 CAJ851981 CKF851981 CUB851981 DDX851981 DNT851981 DXP851981 EHL851981 ERH851981 FBD851981 FKZ851981 FUV851981 GER851981 GON851981 GYJ851981 HIF851981 HSB851981 IBX851981 ILT851981 IVP851981 JFL851981 JPH851981 JZD851981 KIZ851981 KSV851981 LCR851981 LMN851981 LWJ851981 MGF851981 MQB851981 MZX851981 NJT851981 NTP851981 ODL851981 ONH851981 OXD851981 PGZ851981 PQV851981 QAR851981 QKN851981 QUJ851981 REF851981 ROB851981 RXX851981 SHT851981 SRP851981 TBL851981 TLH851981 TVD851981 UEZ851981 UOV851981 UYR851981 VIN851981 VSJ851981 WCF851981 WMB851981 WVX851981 N917517 JL917517 TH917517 ADD917517 AMZ917517 AWV917517 BGR917517 BQN917517 CAJ917517 CKF917517 CUB917517 DDX917517 DNT917517 DXP917517 EHL917517 ERH917517 FBD917517 FKZ917517 FUV917517 GER917517 GON917517 GYJ917517 HIF917517 HSB917517 IBX917517 ILT917517 IVP917517 JFL917517 JPH917517 JZD917517 KIZ917517 KSV917517 LCR917517 LMN917517 LWJ917517 MGF917517 MQB917517 MZX917517 NJT917517 NTP917517 ODL917517 ONH917517 OXD917517 PGZ917517 PQV917517 QAR917517 QKN917517 QUJ917517 REF917517 ROB917517 RXX917517 SHT917517 SRP917517 TBL917517 TLH917517 TVD917517 UEZ917517 UOV917517 UYR917517 VIN917517 VSJ917517 WCF917517 WMB917517 WVX917517 N983053 JL983053 TH983053 ADD983053 AMZ983053 AWV983053 BGR983053 BQN983053 CAJ983053 CKF983053 CUB983053 DDX983053 DNT983053 DXP983053 EHL983053 ERH983053 FBD983053 FKZ983053 FUV983053 GER983053 GON983053 GYJ983053 HIF983053 HSB983053 IBX983053 ILT983053 IVP983053 JFL983053 JPH983053 JZD983053 KIZ983053 KSV983053 LCR983053 LMN983053 LWJ983053 MGF983053 MQB983053 MZX983053 NJT983053 NTP983053 ODL983053 ONH983053 OXD983053 PGZ983053 PQV983053 QAR983053 QKN983053 QUJ983053 REF983053 ROB983053 RXX983053 SHT983053 SRP983053 TBL983053 TLH983053 TVD983053 UEZ983053 UOV983053 UYR983053 VIN983053 VSJ983053 WCF983053 WMB983053 WVX983053 J1:K15 WVZ1:WVZ15 WMD1:WMD15 WCH1:WCH15 VSL1:VSL15 VIP1:VIP15 UYT1:UYT15 UOX1:UOX15 UFB1:UFB15 TVF1:TVF15 TLJ1:TLJ15 TBN1:TBN15 SRR1:SRR15 SHV1:SHV15 RXZ1:RXZ15 ROD1:ROD15 REH1:REH15 QUL1:QUL15 QKP1:QKP15 QAT1:QAT15 PQX1:PQX15 PHB1:PHB15 OXF1:OXF15 ONJ1:ONJ15 ODN1:ODN15 NTR1:NTR15 NJV1:NJV15 MZZ1:MZZ15 MQD1:MQD15 MGH1:MGH15 LWL1:LWL15 LMP1:LMP15 LCT1:LCT15 KSX1:KSX15 KJB1:KJB15 JZF1:JZF15 JPJ1:JPJ15 JFN1:JFN15 IVR1:IVR15 ILV1:ILV15 IBZ1:IBZ15 HSD1:HSD15 HIH1:HIH15 GYL1:GYL15 GOP1:GOP15 GET1:GET15 FUX1:FUX15 FLB1:FLB15 FBF1:FBF15 ERJ1:ERJ15 EHN1:EHN15 DXR1:DXR15 DNV1:DNV15 DDZ1:DDZ15 CUD1:CUD15 CKH1:CKH15 CAL1:CAL15 BQP1:BQP15 BGT1:BGT15 AWX1:AWX15 ANB1:ANB15 ADF1:ADF15 TJ1:TJ15 JN1:JN15 P65550:P131084 WVQ1:WVR15 WLU1:WLV15 WBY1:WBZ15 VSC1:VSD15 VIG1:VIH15 UYK1:UYL15 UOO1:UOP15 UES1:UET15 TUW1:TUX15 TLA1:TLB15 TBE1:TBF15 SRI1:SRJ15 SHM1:SHN15 RXQ1:RXR15 RNU1:RNV15 RDY1:RDZ15 QUC1:QUD15 QKG1:QKH15 QAK1:QAL15 PQO1:PQP15 PGS1:PGT15 OWW1:OWX15 ONA1:ONB15 ODE1:ODF15 NTI1:NTJ15 NJM1:NJN15 MZQ1:MZR15 MPU1:MPV15 MFY1:MFZ15 LWC1:LWD15 LMG1:LMH15 LCK1:LCL15 KSO1:KSP15 KIS1:KIT15 JYW1:JYX15 JPA1:JPB15 JFE1:JFF15 IVI1:IVJ15 ILM1:ILN15 IBQ1:IBR15 HRU1:HRV15 HHY1:HHZ15 GYC1:GYD15 GOG1:GOH15 GEK1:GEL15 FUO1:FUP15 FKS1:FKT15 FAW1:FAX15 ERA1:ERB15 EHE1:EHF15 DXI1:DXJ15 DNM1:DNN15 DDQ1:DDR15 CTU1:CTV15 CJY1:CJZ15 CAC1:CAD15 BQG1:BQH15 BGK1:BGL15 AWO1:AWP15 AMS1:AMT15 ACW1:ACX15 TA1:TB15 JE1:JF15 G1:H15 WVW1:WVX15 WMA1:WMB15 WCE1:WCF15 VSI1:VSJ15 VIM1:VIN15 UYQ1:UYR15 UOU1:UOV15 UEY1:UEZ15 TVC1:TVD15 TLG1:TLH15 TBK1:TBL15 SRO1:SRP15 SHS1:SHT15 RXW1:RXX15 ROA1:ROB15 REE1:REF15 QUI1:QUJ15 QKM1:QKN15 QAQ1:QAR15 PQU1:PQV15 PGY1:PGZ15 OXC1:OXD15 ONG1:ONH15 ODK1:ODL15 NTO1:NTP15 NJS1:NJT15 MZW1:MZX15 MQA1:MQB15 MGE1:MGF15 LWI1:LWJ15 LMM1:LMN15 LCQ1:LCR15 KSU1:KSV15 KIY1:KIZ15 JZC1:JZD15 JPG1:JPH15 JFK1:JFL15 IVO1:IVP15 ILS1:ILT15 IBW1:IBX15 HSA1:HSB15 HIE1:HIF15 GYI1:GYJ15 GOM1:GON15 GEQ1:GER15 FUU1:FUV15 FKY1:FKZ15 FBC1:FBD15 ERG1:ERH15 EHK1:EHL15 DXO1:DXP15 DNS1:DNT15 DDW1:DDX15 CUA1:CUB15 CKE1:CKF15 CAI1:CAJ15 BQM1:BQN15 BGQ1:BGR15 AWU1:AWV15 AMY1:AMZ15 ADC1:ADD15 TG1:TH15 JK1:JL15 M1:N15 WVT1:WVU15 WLX1:WLY15 WCB1:WCC15 VSF1:VSG15 VIJ1:VIK15 UYN1:UYO15 UOR1:UOS15 UEV1:UEW15 TUZ1:TVA15 TLD1:TLE15 TBH1:TBI15 SRL1:SRM15 SHP1:SHQ15 RXT1:RXU15 RNX1:RNY15 REB1:REC15 QUF1:QUG15 QKJ1:QKK15 QAN1:QAO15 PQR1:PQS15 PGV1:PGW15 OWZ1:OXA15 OND1:ONE15 ODH1:ODI15 NTL1:NTM15 NJP1:NJQ15 MZT1:MZU15 MPX1:MPY15 MGB1:MGC15 LWF1:LWG15 LMJ1:LMK15 LCN1:LCO15 KSR1:KSS15 KIV1:KIW15 JYZ1:JZA15 JPD1:JPE15 JFH1:JFI15 IVL1:IVM15 ILP1:ILQ15 IBT1:IBU15 HRX1:HRY15 HIB1:HIC15 GYF1:GYG15 GOJ1:GOK15 GEN1:GEO15 FUR1:FUS15 FKV1:FKW15 FAZ1:FBA15 ERD1:ERE15 EHH1:EHI15 DXL1:DXM15 DNP1:DNQ15 DDT1:DDU15 CTX1:CTY15 CKB1:CKC15 CAF1:CAG15 BQJ1:BQK15 BGN1:BGO15 AWR1:AWS15 AMV1:AMW15 ACZ1:ADA15 TD1:TE15 JH1:JI15 H16 JH17:JI65548 J17:K65548 WVZ17:WVZ65548 WMD17:WMD65548 WCH17:WCH65548 VSL17:VSL65548 VIP17:VIP65548 UYT17:UYT65548 UOX17:UOX65548 UFB17:UFB65548 TVF17:TVF65548 TLJ17:TLJ65548 TBN17:TBN65548 SRR17:SRR65548 SHV17:SHV65548 RXZ17:RXZ65548 ROD17:ROD65548 REH17:REH65548 QUL17:QUL65548 QKP17:QKP65548 QAT17:QAT65548 PQX17:PQX65548 PHB17:PHB65548 OXF17:OXF65548 ONJ17:ONJ65548 ODN17:ODN65548 NTR17:NTR65548 NJV17:NJV65548 MZZ17:MZZ65548 MQD17:MQD65548 MGH17:MGH65548 LWL17:LWL65548 LMP17:LMP65548 LCT17:LCT65548 KSX17:KSX65548 KJB17:KJB65548 JZF17:JZF65548 JPJ17:JPJ65548 JFN17:JFN65548 IVR17:IVR65548 ILV17:ILV65548 IBZ17:IBZ65548 HSD17:HSD65548 HIH17:HIH65548 GYL17:GYL65548 GOP17:GOP65548 GET17:GET65548 FUX17:FUX65548 FLB17:FLB65548 FBF17:FBF65548 ERJ17:ERJ65548 EHN17:EHN65548 DXR17:DXR65548 DNV17:DNV65548 DDZ17:DDZ65548 CUD17:CUD65548 CKH17:CKH65548 CAL17:CAL65548 BQP17:BQP65548 BGT17:BGT65548 AWX17:AWX65548 ANB17:ANB65548 ADF17:ADF65548 TJ17:TJ65548 JN17:JN65548 TD17:TE65548 WVQ17:WVR65548 WLU17:WLV65548 WBY17:WBZ65548 VSC17:VSD65548 VIG17:VIH65548 UYK17:UYL65548 UOO17:UOP65548 UES17:UET65548 TUW17:TUX65548 TLA17:TLB65548 TBE17:TBF65548 SRI17:SRJ65548 SHM17:SHN65548 RXQ17:RXR65548 RNU17:RNV65548 RDY17:RDZ65548 QUC17:QUD65548 QKG17:QKH65548 QAK17:QAL65548 PQO17:PQP65548 PGS17:PGT65548 OWW17:OWX65548 ONA17:ONB65548 ODE17:ODF65548 NTI17:NTJ65548 NJM17:NJN65548 MZQ17:MZR65548 MPU17:MPV65548 MFY17:MFZ65548 LWC17:LWD65548 LMG17:LMH65548 LCK17:LCL65548 KSO17:KSP65548 KIS17:KIT65548 JYW17:JYX65548 JPA17:JPB65548 JFE17:JFF65548 IVI17:IVJ65548 ILM17:ILN65548 IBQ17:IBR65548 HRU17:HRV65548 HHY17:HHZ65548 GYC17:GYD65548 GOG17:GOH65548 GEK17:GEL65548 FUO17:FUP65548 FKS17:FKT65548 FAW17:FAX65548 ERA17:ERB65548 EHE17:EHF65548 DXI17:DXJ65548 DNM17:DNN65548 DDQ17:DDR65548 CTU17:CTV65548 CJY17:CJZ65548 CAC17:CAD65548 BQG17:BQH65548 BGK17:BGL65548 AWO17:AWP65548 AMS17:AMT65548 ACW17:ACX65548 TA17:TB65548 JE17:JF65548 G17:H65548 WVW17:WVX65548 WMA17:WMB65548 WCE17:WCF65548 VSI17:VSJ65548 VIM17:VIN65548 UYQ17:UYR65548 UOU17:UOV65548 UEY17:UEZ65548 TVC17:TVD65548 TLG17:TLH65548 TBK17:TBL65548 SRO17:SRP65548 SHS17:SHT65548 RXW17:RXX65548 ROA17:ROB65548 REE17:REF65548 QUI17:QUJ65548 QKM17:QKN65548 QAQ17:QAR65548 PQU17:PQV65548 PGY17:PGZ65548 OXC17:OXD65548 ONG17:ONH65548 ODK17:ODL65548 NTO17:NTP65548 NJS17:NJT65548 MZW17:MZX65548 MQA17:MQB65548 MGE17:MGF65548 LWI17:LWJ65548 LMM17:LMN65548 LCQ17:LCR65548 KSU17:KSV65548 KIY17:KIZ65548 JZC17:JZD65548 JPG17:JPH65548 JFK17:JFL65548 IVO17:IVP65548 ILS17:ILT65548 IBW17:IBX65548 HSA17:HSB65548 HIE17:HIF65548 GYI17:GYJ65548 GOM17:GON65548 GEQ17:GER65548 FUU17:FUV65548 FKY17:FKZ65548 FBC17:FBD65548 ERG17:ERH65548 EHK17:EHL65548 DXO17:DXP65548 DNS17:DNT65548 DDW17:DDX65548 CUA17:CUB65548 CKE17:CKF65548 CAI17:CAJ65548 BQM17:BQN65548 BGQ17:BGR65548 AWU17:AWV65548 AMY17:AMZ65548 ADC17:ADD65548 TG17:TH65548 JK17:JL65548 M17:N65548 WVT17:WVU65548 WLX17:WLY65548 WCB17:WCC65548 VSF17:VSG65548 VIJ17:VIK65548 UYN17:UYO65548 UOR17:UOS65548 UEV17:UEW65548 TUZ17:TVA65548 TLD17:TLE65548 TBH17:TBI65548 SRL17:SRM65548 SHP17:SHQ65548 RXT17:RXU65548 RNX17:RNY65548 REB17:REC65548 QUF17:QUG65548 QKJ17:QKK65548 QAN17:QAO65548 PQR17:PQS65548 PGV17:PGW65548 OWZ17:OXA65548 OND17:ONE65548 ODH17:ODI65548 NTL17:NTM65548 NJP17:NJQ65548 MZT17:MZU65548 MPX17:MPY65548 MGB17:MGC65548 LWF17:LWG65548 LMJ17:LMK65548 LCN17:LCO65548 KSR17:KSS65548 KIV17:KIW65548 JYZ17:JZA65548 JPD17:JPE65548 JFH17:JFI65548 IVL17:IVM65548 ILP17:ILQ65548 IBT17:IBU65548 HRX17:HRY65548 HIB17:HIC65548 GYF17:GYG65548 GOJ17:GOK65548 GEN17:GEO65548 FUR17:FUS65548 FKV17:FKW65548 FAZ17:FBA65548 ERD17:ERE65548 EHH17:EHI65548 DXL17:DXM65548 DNP17:DNQ65548 DDT17:DDU65548 CTX17:CTY65548 CKB17:CKC65548 CAF17:CAG65548 BQJ17:BQK65548 BGN17:BGO65548 AWR17:AWS65548 AMV17:AMW65548 ACZ17:ADA65548 P131086:P196620 Q196622:R262156 Q262158:R327692 Q327694:R393228 Q393230:R458764 Q458766:R524300 Q524302:R589836 Q589838:R655372 Q655374:R720908 Q720910:R786444 Q786446:R851980 Q851982:R917516 Q917518:R983052 Q983054:R1048576 Q1:R15 Q17:R65548 Q65550:R131084 Q131086:R196620 R16 R65549 R131085 R196621 R262157 R327693 R393229 R458765 R524301 R589837 R655373 R720909 R786445 R851981 R917517 R983053" xr:uid="{00000000-0002-0000-0300-000001000000}"/>
  </dataValidations>
  <pageMargins left="0.5" right="0.5" top="0.5" bottom="0.5" header="0" footer="0.25"/>
  <pageSetup scale="50"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59"/>
  <sheetViews>
    <sheetView zoomScale="85" zoomScaleNormal="85" workbookViewId="0">
      <pane xSplit="1" ySplit="10" topLeftCell="B11" activePane="bottomRight" state="frozen"/>
      <selection pane="topRight" activeCell="B1" sqref="B1"/>
      <selection pane="bottomLeft" activeCell="A11" sqref="A11"/>
      <selection pane="bottomRight" activeCell="W32" sqref="W32"/>
    </sheetView>
  </sheetViews>
  <sheetFormatPr defaultColWidth="9.27734375" defaultRowHeight="15"/>
  <cols>
    <col min="1" max="1" width="41" style="33" customWidth="1"/>
    <col min="2" max="2" width="14.71875" style="3" customWidth="1"/>
    <col min="3" max="3" width="14.71875" style="3" hidden="1" customWidth="1"/>
    <col min="4" max="4" width="2.71875" style="3" hidden="1" customWidth="1"/>
    <col min="5" max="5" width="14.71875" style="3" customWidth="1"/>
    <col min="6" max="6" width="14.71875" style="3" hidden="1" customWidth="1"/>
    <col min="7" max="7" width="2.71875" style="3" hidden="1" customWidth="1"/>
    <col min="8" max="8" width="14.71875" style="3" customWidth="1"/>
    <col min="9" max="9" width="14.71875" style="3" hidden="1" customWidth="1"/>
    <col min="10" max="10" width="2.71875" style="3" hidden="1" customWidth="1"/>
    <col min="11" max="11" width="14.71875" style="3" customWidth="1"/>
    <col min="12" max="12" width="14.71875" style="3" hidden="1" customWidth="1"/>
    <col min="13" max="13" width="2.71875" style="3" hidden="1" customWidth="1"/>
    <col min="14" max="14" width="14.71875" style="3" customWidth="1"/>
    <col min="15" max="15" width="14.71875" style="3" hidden="1" customWidth="1"/>
    <col min="16" max="16" width="2.71875" style="3" hidden="1" customWidth="1"/>
    <col min="17" max="17" width="16.27734375" style="3" bestFit="1" customWidth="1"/>
    <col min="18" max="18" width="13.71875" style="33" hidden="1" customWidth="1"/>
    <col min="19" max="19" width="4.27734375" style="33" customWidth="1"/>
    <col min="20" max="20" width="12.27734375" style="32" customWidth="1"/>
    <col min="21" max="21" width="11.44140625" style="33" customWidth="1"/>
    <col min="22" max="22" width="10.27734375" style="33" bestFit="1" customWidth="1"/>
    <col min="23" max="23" width="9.27734375" style="33"/>
    <col min="24" max="24" width="9.27734375" style="33" bestFit="1" customWidth="1"/>
    <col min="25" max="16384" width="9.27734375" style="33"/>
  </cols>
  <sheetData>
    <row r="1" spans="1:21" ht="20.100000000000001">
      <c r="A1" s="4" t="str">
        <f>Assumptions!$B$4</f>
        <v>Partners of America</v>
      </c>
    </row>
    <row r="2" spans="1:21">
      <c r="A2" s="315" t="str">
        <f>CONCATENATE(Assumptions!$B5," ",Assumptions!$C5)</f>
        <v>DONOR: USDOL</v>
      </c>
      <c r="R2" s="3"/>
      <c r="S2" s="3"/>
    </row>
    <row r="3" spans="1:21">
      <c r="A3" s="315" t="str">
        <f>CONCATENATE(Assumptions!$B6," ",Assumptions!$C6)</f>
        <v>Country: Ecuador</v>
      </c>
    </row>
    <row r="4" spans="1:21">
      <c r="A4" s="315" t="str">
        <f>CONCATENATE(Assumptions!$B7," ",Assumptions!$C7)</f>
        <v>Program Name: Project to Improve Adherence to International Labor Standards in the Agricultural Sector in Ecuador</v>
      </c>
    </row>
    <row r="5" spans="1:21">
      <c r="A5" s="315" t="str">
        <f>CONCATENATE(Assumptions!$B8," ",Assumptions!$C8)</f>
        <v>Grant Number: FOA-ILAB-23-28</v>
      </c>
      <c r="U5" s="32"/>
    </row>
    <row r="6" spans="1:21">
      <c r="A6" s="1033"/>
      <c r="U6" s="32"/>
    </row>
    <row r="7" spans="1:21" ht="20.100000000000001">
      <c r="A7" s="2" t="s">
        <v>321</v>
      </c>
      <c r="U7" s="32"/>
    </row>
    <row r="8" spans="1:21" ht="15.3" thickBot="1">
      <c r="A8" s="347"/>
      <c r="B8" s="348"/>
      <c r="C8" s="348"/>
      <c r="D8" s="348"/>
      <c r="E8" s="348"/>
      <c r="F8" s="348"/>
      <c r="G8" s="348"/>
      <c r="H8" s="348"/>
      <c r="I8" s="348"/>
      <c r="J8" s="348"/>
      <c r="K8" s="348"/>
      <c r="L8" s="348"/>
      <c r="M8" s="348"/>
      <c r="N8" s="348"/>
      <c r="O8" s="348"/>
      <c r="P8" s="348"/>
      <c r="Q8" s="348"/>
      <c r="R8" s="347"/>
      <c r="U8" s="32"/>
    </row>
    <row r="9" spans="1:21" ht="15.3" thickBot="1">
      <c r="A9" s="1126" t="s">
        <v>322</v>
      </c>
      <c r="B9" s="1128" t="str">
        <f>Assumptions!G20</f>
        <v>Year 1</v>
      </c>
      <c r="C9" s="1129"/>
      <c r="D9" s="1034"/>
      <c r="E9" s="1128" t="str">
        <f>Assumptions!J20</f>
        <v>Year 2</v>
      </c>
      <c r="F9" s="1129"/>
      <c r="G9" s="1034"/>
      <c r="H9" s="1128" t="str">
        <f>Assumptions!M20</f>
        <v>Year 3</v>
      </c>
      <c r="I9" s="1129"/>
      <c r="J9" s="1034"/>
      <c r="K9" s="1128" t="str">
        <f>Assumptions!P20</f>
        <v>Year 4</v>
      </c>
      <c r="L9" s="1129"/>
      <c r="M9" s="1034"/>
      <c r="N9" s="1128" t="str">
        <f>Assumptions!S20</f>
        <v>Year 5</v>
      </c>
      <c r="O9" s="1129"/>
      <c r="P9" s="1034"/>
      <c r="Q9" s="1124" t="s">
        <v>71</v>
      </c>
      <c r="R9" s="1125"/>
      <c r="S9" s="36"/>
      <c r="U9" s="32"/>
    </row>
    <row r="10" spans="1:21" ht="28.8" thickTop="1" thickBot="1">
      <c r="A10" s="1127"/>
      <c r="B10" s="354" t="s">
        <v>323</v>
      </c>
      <c r="C10" s="354" t="s">
        <v>324</v>
      </c>
      <c r="D10" s="1035"/>
      <c r="E10" s="354" t="s">
        <v>323</v>
      </c>
      <c r="F10" s="354" t="s">
        <v>324</v>
      </c>
      <c r="G10" s="1035"/>
      <c r="H10" s="354" t="s">
        <v>323</v>
      </c>
      <c r="I10" s="354" t="s">
        <v>324</v>
      </c>
      <c r="J10" s="1035"/>
      <c r="K10" s="354" t="s">
        <v>323</v>
      </c>
      <c r="L10" s="354" t="s">
        <v>324</v>
      </c>
      <c r="M10" s="1035"/>
      <c r="N10" s="354" t="s">
        <v>323</v>
      </c>
      <c r="O10" s="354" t="s">
        <v>324</v>
      </c>
      <c r="P10" s="1035"/>
      <c r="Q10" s="355" t="s">
        <v>323</v>
      </c>
      <c r="R10" s="357" t="s">
        <v>324</v>
      </c>
      <c r="S10" s="356"/>
      <c r="T10" s="360" t="s">
        <v>325</v>
      </c>
      <c r="U10" s="32"/>
    </row>
    <row r="11" spans="1:21" ht="15.3" thickTop="1">
      <c r="A11" s="349"/>
      <c r="B11" s="350"/>
      <c r="C11" s="350"/>
      <c r="D11" s="350"/>
      <c r="E11" s="350"/>
      <c r="F11" s="350"/>
      <c r="G11" s="350"/>
      <c r="H11" s="350"/>
      <c r="I11" s="350"/>
      <c r="J11" s="350"/>
      <c r="K11" s="350"/>
      <c r="L11" s="350"/>
      <c r="M11" s="350"/>
      <c r="N11" s="350"/>
      <c r="O11" s="350"/>
      <c r="P11" s="350"/>
      <c r="Q11" s="351"/>
      <c r="R11" s="358"/>
      <c r="S11" s="36"/>
      <c r="T11" s="32" t="s">
        <v>326</v>
      </c>
      <c r="U11" s="32"/>
    </row>
    <row r="12" spans="1:21" s="6" customFormat="1">
      <c r="A12" s="204" t="s">
        <v>327</v>
      </c>
      <c r="B12" s="1036" t="e">
        <f>B35-SUM(B13:B33)</f>
        <v>#REF!</v>
      </c>
      <c r="C12" s="1036"/>
      <c r="D12" s="1036"/>
      <c r="E12" s="1036" t="e">
        <f>E35-SUM(E13:E33)</f>
        <v>#REF!</v>
      </c>
      <c r="F12" s="1036"/>
      <c r="G12" s="1036"/>
      <c r="H12" s="1036" t="e">
        <f>H35-SUM(H13:H33)</f>
        <v>#REF!</v>
      </c>
      <c r="I12" s="1036"/>
      <c r="J12" s="1036"/>
      <c r="K12" s="1036" t="e">
        <f>K35-SUM(K13:K33)</f>
        <v>#REF!</v>
      </c>
      <c r="L12" s="1036"/>
      <c r="M12" s="1036"/>
      <c r="N12" s="1036" t="e">
        <f>N35-SUM(N13:N33)</f>
        <v>#REF!</v>
      </c>
      <c r="O12" s="1036"/>
      <c r="P12" s="1036"/>
      <c r="Q12" s="1037" t="e">
        <f>SUM(B12,E12,H12,K12,N12)</f>
        <v>#REF!</v>
      </c>
      <c r="R12" s="1038" t="e">
        <f>SUM(C12,F12,I12,L12,O12,#REF!,#REF!,#REF!,#REF!,#REF!)</f>
        <v>#REF!</v>
      </c>
      <c r="S12" s="1039"/>
      <c r="T12" s="32" t="e">
        <f>SUM(B12:P12)</f>
        <v>#REF!</v>
      </c>
      <c r="U12" s="32"/>
    </row>
    <row r="13" spans="1:21">
      <c r="A13" s="1040"/>
      <c r="B13" s="89"/>
      <c r="C13" s="89"/>
      <c r="D13" s="89"/>
      <c r="E13" s="89"/>
      <c r="F13" s="89"/>
      <c r="G13" s="89"/>
      <c r="H13" s="89"/>
      <c r="I13" s="89"/>
      <c r="J13" s="89"/>
      <c r="K13" s="89"/>
      <c r="L13" s="89"/>
      <c r="M13" s="89"/>
      <c r="N13" s="89"/>
      <c r="O13" s="89"/>
      <c r="P13" s="89"/>
      <c r="Q13" s="92"/>
      <c r="R13" s="1038"/>
      <c r="S13" s="36"/>
      <c r="U13" s="32"/>
    </row>
    <row r="14" spans="1:21" s="6" customFormat="1">
      <c r="A14" s="204" t="e">
        <f>#REF!</f>
        <v>#REF!</v>
      </c>
      <c r="B14" s="1036" t="e">
        <f>#REF!</f>
        <v>#REF!</v>
      </c>
      <c r="C14" s="1036"/>
      <c r="D14" s="1036"/>
      <c r="E14" s="1036" t="e">
        <f>#REF!</f>
        <v>#REF!</v>
      </c>
      <c r="F14" s="1036"/>
      <c r="G14" s="1036"/>
      <c r="H14" s="1036" t="e">
        <f>#REF!</f>
        <v>#REF!</v>
      </c>
      <c r="I14" s="1036"/>
      <c r="J14" s="1036"/>
      <c r="K14" s="1036" t="e">
        <f>#REF!</f>
        <v>#REF!</v>
      </c>
      <c r="L14" s="1036"/>
      <c r="M14" s="1036"/>
      <c r="N14" s="1036" t="e">
        <f>#REF!</f>
        <v>#REF!</v>
      </c>
      <c r="O14" s="1036"/>
      <c r="P14" s="1036"/>
      <c r="Q14" s="1037" t="e">
        <f>SUM(B14,E14,H14,K14,N14)</f>
        <v>#REF!</v>
      </c>
      <c r="R14" s="1038">
        <f>SUM(O14,L14,I14,F14,C14)</f>
        <v>0</v>
      </c>
      <c r="S14" s="1039"/>
      <c r="T14" s="32" t="e">
        <f>SUM(B14:P14)</f>
        <v>#REF!</v>
      </c>
      <c r="U14" s="32"/>
    </row>
    <row r="15" spans="1:21">
      <c r="A15" s="1040"/>
      <c r="B15" s="89"/>
      <c r="C15" s="89"/>
      <c r="D15" s="89"/>
      <c r="E15" s="89"/>
      <c r="F15" s="89"/>
      <c r="G15" s="89"/>
      <c r="H15" s="89"/>
      <c r="I15" s="89"/>
      <c r="J15" s="89"/>
      <c r="K15" s="89"/>
      <c r="L15" s="89"/>
      <c r="M15" s="89"/>
      <c r="N15" s="89"/>
      <c r="O15" s="89"/>
      <c r="P15" s="89"/>
      <c r="Q15" s="92"/>
      <c r="R15" s="1038"/>
      <c r="S15" s="36"/>
      <c r="U15" s="32"/>
    </row>
    <row r="16" spans="1:21" s="6" customFormat="1">
      <c r="A16" s="204" t="e">
        <f>#REF!</f>
        <v>#REF!</v>
      </c>
      <c r="B16" s="1036" t="e">
        <f>#REF!</f>
        <v>#REF!</v>
      </c>
      <c r="C16" s="1036"/>
      <c r="D16" s="1036"/>
      <c r="E16" s="1036" t="e">
        <f>#REF!</f>
        <v>#REF!</v>
      </c>
      <c r="F16" s="1036"/>
      <c r="G16" s="1036"/>
      <c r="H16" s="1036" t="e">
        <f>#REF!</f>
        <v>#REF!</v>
      </c>
      <c r="I16" s="1036"/>
      <c r="J16" s="1036"/>
      <c r="K16" s="1036" t="e">
        <f>#REF!</f>
        <v>#REF!</v>
      </c>
      <c r="L16" s="1036"/>
      <c r="M16" s="1036"/>
      <c r="N16" s="1036" t="e">
        <f>#REF!</f>
        <v>#REF!</v>
      </c>
      <c r="O16" s="1036"/>
      <c r="P16" s="1036"/>
      <c r="Q16" s="1037" t="e">
        <f>SUM(B16,E16,H16,K16,N16)</f>
        <v>#REF!</v>
      </c>
      <c r="R16" s="1038">
        <f>SUM(O16,L16,I16,F16,C16)</f>
        <v>0</v>
      </c>
      <c r="S16" s="1039"/>
      <c r="T16" s="32" t="e">
        <f>SUM(B16:P16)</f>
        <v>#REF!</v>
      </c>
      <c r="U16" s="32"/>
    </row>
    <row r="17" spans="1:21">
      <c r="A17" s="1040"/>
      <c r="B17" s="89"/>
      <c r="C17" s="89"/>
      <c r="D17" s="89"/>
      <c r="E17" s="89"/>
      <c r="F17" s="89"/>
      <c r="G17" s="89"/>
      <c r="H17" s="89"/>
      <c r="I17" s="89"/>
      <c r="J17" s="89"/>
      <c r="K17" s="89"/>
      <c r="L17" s="89"/>
      <c r="M17" s="89"/>
      <c r="N17" s="89"/>
      <c r="O17" s="89"/>
      <c r="P17" s="89"/>
      <c r="Q17" s="92"/>
      <c r="R17" s="1038"/>
      <c r="S17" s="36"/>
      <c r="U17" s="32"/>
    </row>
    <row r="18" spans="1:21" s="6" customFormat="1">
      <c r="A18" s="204" t="e">
        <f>#REF!</f>
        <v>#REF!</v>
      </c>
      <c r="B18" s="1036" t="e">
        <f>#REF!</f>
        <v>#REF!</v>
      </c>
      <c r="C18" s="1036"/>
      <c r="D18" s="1036"/>
      <c r="E18" s="1036" t="e">
        <f>#REF!</f>
        <v>#REF!</v>
      </c>
      <c r="F18" s="1036"/>
      <c r="G18" s="1036"/>
      <c r="H18" s="1036" t="e">
        <f>#REF!</f>
        <v>#REF!</v>
      </c>
      <c r="I18" s="1036"/>
      <c r="J18" s="1036"/>
      <c r="K18" s="1036" t="e">
        <f>#REF!</f>
        <v>#REF!</v>
      </c>
      <c r="L18" s="1036"/>
      <c r="M18" s="1036"/>
      <c r="N18" s="1036" t="e">
        <f>#REF!</f>
        <v>#REF!</v>
      </c>
      <c r="O18" s="1036"/>
      <c r="P18" s="1036"/>
      <c r="Q18" s="1037" t="e">
        <f>SUM(B18,E18,H18,K18,N18)</f>
        <v>#REF!</v>
      </c>
      <c r="R18" s="1038">
        <f>SUM(O18,L18,I18,F18,C18)</f>
        <v>0</v>
      </c>
      <c r="S18" s="1039"/>
      <c r="T18" s="32" t="e">
        <f>SUM(B18:P18)</f>
        <v>#REF!</v>
      </c>
      <c r="U18" s="32"/>
    </row>
    <row r="19" spans="1:21">
      <c r="A19" s="1040"/>
      <c r="B19" s="89"/>
      <c r="C19" s="89"/>
      <c r="D19" s="89"/>
      <c r="E19" s="89"/>
      <c r="F19" s="89"/>
      <c r="G19" s="89"/>
      <c r="H19" s="89"/>
      <c r="I19" s="89"/>
      <c r="J19" s="89"/>
      <c r="K19" s="89"/>
      <c r="L19" s="89"/>
      <c r="M19" s="89"/>
      <c r="N19" s="89"/>
      <c r="O19" s="89"/>
      <c r="P19" s="89"/>
      <c r="Q19" s="92"/>
      <c r="R19" s="1038"/>
      <c r="S19" s="36"/>
      <c r="U19" s="32"/>
    </row>
    <row r="20" spans="1:21" s="6" customFormat="1">
      <c r="A20" s="204" t="e">
        <f>#REF!</f>
        <v>#REF!</v>
      </c>
      <c r="B20" s="1036" t="e">
        <f>#REF!</f>
        <v>#REF!</v>
      </c>
      <c r="C20" s="1036"/>
      <c r="D20" s="1036"/>
      <c r="E20" s="1036" t="e">
        <f>#REF!</f>
        <v>#REF!</v>
      </c>
      <c r="F20" s="1036"/>
      <c r="G20" s="1036"/>
      <c r="H20" s="1036" t="e">
        <f>#REF!</f>
        <v>#REF!</v>
      </c>
      <c r="I20" s="1036"/>
      <c r="J20" s="1036"/>
      <c r="K20" s="1036" t="e">
        <f>#REF!</f>
        <v>#REF!</v>
      </c>
      <c r="L20" s="1036"/>
      <c r="M20" s="1036"/>
      <c r="N20" s="1036" t="e">
        <f>#REF!</f>
        <v>#REF!</v>
      </c>
      <c r="O20" s="1036"/>
      <c r="P20" s="1036"/>
      <c r="Q20" s="1037" t="e">
        <f>SUM(B20,E20,H20,K20,N20)</f>
        <v>#REF!</v>
      </c>
      <c r="R20" s="1038">
        <f>SUM(O20,L20,I20,F20,C20)</f>
        <v>0</v>
      </c>
      <c r="S20" s="1039"/>
      <c r="T20" s="32" t="e">
        <f>SUM(B20:P20)</f>
        <v>#REF!</v>
      </c>
      <c r="U20" s="32"/>
    </row>
    <row r="21" spans="1:21">
      <c r="A21" s="1040"/>
      <c r="B21" s="89"/>
      <c r="C21" s="89"/>
      <c r="D21" s="89"/>
      <c r="E21" s="89"/>
      <c r="F21" s="89"/>
      <c r="G21" s="89"/>
      <c r="H21" s="89"/>
      <c r="I21" s="89"/>
      <c r="J21" s="89"/>
      <c r="K21" s="89"/>
      <c r="L21" s="89"/>
      <c r="M21" s="89"/>
      <c r="N21" s="89"/>
      <c r="O21" s="89"/>
      <c r="P21" s="89"/>
      <c r="Q21" s="92"/>
      <c r="R21" s="1038"/>
      <c r="S21" s="36"/>
      <c r="U21" s="32"/>
    </row>
    <row r="22" spans="1:21" s="6" customFormat="1">
      <c r="A22" s="204" t="e">
        <f>#REF!</f>
        <v>#REF!</v>
      </c>
      <c r="B22" s="1036" t="e">
        <f>#REF!</f>
        <v>#REF!</v>
      </c>
      <c r="C22" s="1036"/>
      <c r="D22" s="1036"/>
      <c r="E22" s="1036" t="e">
        <f>#REF!</f>
        <v>#REF!</v>
      </c>
      <c r="F22" s="1036"/>
      <c r="G22" s="1036"/>
      <c r="H22" s="1036" t="e">
        <f>#REF!</f>
        <v>#REF!</v>
      </c>
      <c r="I22" s="1036"/>
      <c r="J22" s="1036"/>
      <c r="K22" s="1036" t="e">
        <f>#REF!</f>
        <v>#REF!</v>
      </c>
      <c r="L22" s="1036"/>
      <c r="M22" s="1036"/>
      <c r="N22" s="1036" t="e">
        <f>#REF!</f>
        <v>#REF!</v>
      </c>
      <c r="O22" s="1036"/>
      <c r="P22" s="1036"/>
      <c r="Q22" s="1037" t="e">
        <f>SUM(B22,E22,H22,K22,N22)</f>
        <v>#REF!</v>
      </c>
      <c r="R22" s="1038">
        <f>SUM(O22,L22,I22,F22,C22)</f>
        <v>0</v>
      </c>
      <c r="S22" s="1039"/>
      <c r="T22" s="32" t="e">
        <f>SUM(B22:P22)</f>
        <v>#REF!</v>
      </c>
      <c r="U22" s="32"/>
    </row>
    <row r="23" spans="1:21">
      <c r="A23" s="1040"/>
      <c r="B23" s="89"/>
      <c r="C23" s="89"/>
      <c r="D23" s="89"/>
      <c r="E23" s="89"/>
      <c r="F23" s="89"/>
      <c r="G23" s="89"/>
      <c r="H23" s="89"/>
      <c r="I23" s="89"/>
      <c r="J23" s="89"/>
      <c r="K23" s="89"/>
      <c r="L23" s="89"/>
      <c r="M23" s="89"/>
      <c r="N23" s="89"/>
      <c r="O23" s="89"/>
      <c r="P23" s="89"/>
      <c r="Q23" s="92"/>
      <c r="R23" s="1038"/>
      <c r="S23" s="36"/>
      <c r="U23" s="32"/>
    </row>
    <row r="24" spans="1:21" s="6" customFormat="1">
      <c r="A24" s="204" t="e">
        <f>#REF!</f>
        <v>#REF!</v>
      </c>
      <c r="B24" s="1036" t="e">
        <f>#REF!</f>
        <v>#REF!</v>
      </c>
      <c r="C24" s="1036"/>
      <c r="D24" s="1036"/>
      <c r="E24" s="1036" t="e">
        <f>#REF!</f>
        <v>#REF!</v>
      </c>
      <c r="F24" s="1036"/>
      <c r="G24" s="1036"/>
      <c r="H24" s="1036" t="e">
        <f>#REF!</f>
        <v>#REF!</v>
      </c>
      <c r="I24" s="1036"/>
      <c r="J24" s="1036"/>
      <c r="K24" s="1036" t="e">
        <f>#REF!</f>
        <v>#REF!</v>
      </c>
      <c r="L24" s="1036"/>
      <c r="M24" s="1036"/>
      <c r="N24" s="1036" t="e">
        <f>#REF!</f>
        <v>#REF!</v>
      </c>
      <c r="O24" s="1036"/>
      <c r="P24" s="1036"/>
      <c r="Q24" s="1037" t="e">
        <f>SUM(B24,E24,H24,K24,N24)</f>
        <v>#REF!</v>
      </c>
      <c r="R24" s="1038">
        <f>SUM(O24,L24,I24,F24,C24)</f>
        <v>0</v>
      </c>
      <c r="S24" s="1039"/>
      <c r="T24" s="32" t="e">
        <f>SUM(B24:P24)</f>
        <v>#REF!</v>
      </c>
      <c r="U24" s="32"/>
    </row>
    <row r="25" spans="1:21">
      <c r="A25" s="1040"/>
      <c r="B25" s="89"/>
      <c r="C25" s="89"/>
      <c r="D25" s="89"/>
      <c r="E25" s="89"/>
      <c r="F25" s="89"/>
      <c r="G25" s="89"/>
      <c r="H25" s="89"/>
      <c r="I25" s="89"/>
      <c r="J25" s="89"/>
      <c r="K25" s="89"/>
      <c r="L25" s="89"/>
      <c r="M25" s="89"/>
      <c r="N25" s="89"/>
      <c r="O25" s="89"/>
      <c r="P25" s="89"/>
      <c r="Q25" s="92"/>
      <c r="R25" s="1038"/>
      <c r="S25" s="36"/>
      <c r="U25" s="32"/>
    </row>
    <row r="26" spans="1:21" s="6" customFormat="1">
      <c r="A26" s="204" t="e">
        <f>#REF!</f>
        <v>#REF!</v>
      </c>
      <c r="B26" s="1036" t="e">
        <f>#REF!</f>
        <v>#REF!</v>
      </c>
      <c r="C26" s="1036"/>
      <c r="D26" s="1036"/>
      <c r="E26" s="1036" t="e">
        <f>#REF!</f>
        <v>#REF!</v>
      </c>
      <c r="F26" s="1036"/>
      <c r="G26" s="1036"/>
      <c r="H26" s="1036" t="e">
        <f>#REF!</f>
        <v>#REF!</v>
      </c>
      <c r="I26" s="1036"/>
      <c r="J26" s="1036"/>
      <c r="K26" s="1036" t="e">
        <f>#REF!</f>
        <v>#REF!</v>
      </c>
      <c r="L26" s="1036"/>
      <c r="M26" s="1036"/>
      <c r="N26" s="1036" t="e">
        <f>#REF!</f>
        <v>#REF!</v>
      </c>
      <c r="O26" s="1036"/>
      <c r="P26" s="1036"/>
      <c r="Q26" s="1037" t="e">
        <f>SUM(B26,E26,H26,K26,N26)</f>
        <v>#REF!</v>
      </c>
      <c r="R26" s="1038">
        <f>SUM(O26,L26,I26,F26,C26)</f>
        <v>0</v>
      </c>
      <c r="S26" s="1039"/>
      <c r="T26" s="32" t="e">
        <f>SUM(B26:P26)</f>
        <v>#REF!</v>
      </c>
      <c r="U26" s="32"/>
    </row>
    <row r="27" spans="1:21">
      <c r="A27" s="1040"/>
      <c r="B27" s="89"/>
      <c r="C27" s="89"/>
      <c r="D27" s="89"/>
      <c r="E27" s="89"/>
      <c r="F27" s="89"/>
      <c r="G27" s="89"/>
      <c r="H27" s="89"/>
      <c r="I27" s="89"/>
      <c r="J27" s="89"/>
      <c r="K27" s="89"/>
      <c r="L27" s="89"/>
      <c r="M27" s="89"/>
      <c r="N27" s="89"/>
      <c r="O27" s="89"/>
      <c r="P27" s="89"/>
      <c r="Q27" s="92"/>
      <c r="R27" s="1038"/>
      <c r="S27" s="36"/>
      <c r="U27" s="32"/>
    </row>
    <row r="28" spans="1:21" s="6" customFormat="1">
      <c r="A28" s="204" t="e">
        <f>#REF!</f>
        <v>#REF!</v>
      </c>
      <c r="B28" s="1036" t="e">
        <f>#REF!</f>
        <v>#REF!</v>
      </c>
      <c r="C28" s="1036"/>
      <c r="D28" s="1036"/>
      <c r="E28" s="1036" t="e">
        <f>#REF!</f>
        <v>#REF!</v>
      </c>
      <c r="F28" s="1036"/>
      <c r="G28" s="1036"/>
      <c r="H28" s="1036" t="e">
        <f>#REF!</f>
        <v>#REF!</v>
      </c>
      <c r="I28" s="1036"/>
      <c r="J28" s="1036"/>
      <c r="K28" s="1036" t="e">
        <f>#REF!</f>
        <v>#REF!</v>
      </c>
      <c r="L28" s="1036"/>
      <c r="M28" s="1036"/>
      <c r="N28" s="1036" t="e">
        <f>#REF!</f>
        <v>#REF!</v>
      </c>
      <c r="O28" s="1036"/>
      <c r="P28" s="1036"/>
      <c r="Q28" s="1037" t="e">
        <f>SUM(B28,E28,H28,K28,N28)</f>
        <v>#REF!</v>
      </c>
      <c r="R28" s="1038">
        <f>SUM(O28,L28,I28,F28,C28)</f>
        <v>0</v>
      </c>
      <c r="S28" s="1039"/>
      <c r="T28" s="32" t="e">
        <f>SUM(B28:P28)</f>
        <v>#REF!</v>
      </c>
      <c r="U28" s="32"/>
    </row>
    <row r="29" spans="1:21">
      <c r="A29" s="1040"/>
      <c r="B29" s="89"/>
      <c r="C29" s="89"/>
      <c r="D29" s="89"/>
      <c r="E29" s="89"/>
      <c r="F29" s="89"/>
      <c r="G29" s="89"/>
      <c r="H29" s="89"/>
      <c r="I29" s="89"/>
      <c r="J29" s="89"/>
      <c r="K29" s="89"/>
      <c r="L29" s="89"/>
      <c r="M29" s="89"/>
      <c r="N29" s="89"/>
      <c r="O29" s="89"/>
      <c r="P29" s="89"/>
      <c r="Q29" s="92"/>
      <c r="R29" s="1038"/>
      <c r="S29" s="36"/>
      <c r="U29" s="32"/>
    </row>
    <row r="30" spans="1:21" s="6" customFormat="1">
      <c r="A30" s="204" t="e">
        <f>#REF!</f>
        <v>#REF!</v>
      </c>
      <c r="B30" s="1036" t="e">
        <f>#REF!</f>
        <v>#REF!</v>
      </c>
      <c r="C30" s="1036"/>
      <c r="D30" s="1036"/>
      <c r="E30" s="1036" t="e">
        <f>#REF!</f>
        <v>#REF!</v>
      </c>
      <c r="F30" s="1036"/>
      <c r="G30" s="1036"/>
      <c r="H30" s="1036" t="e">
        <f>#REF!</f>
        <v>#REF!</v>
      </c>
      <c r="I30" s="1036"/>
      <c r="J30" s="1036"/>
      <c r="K30" s="1036" t="e">
        <f>#REF!</f>
        <v>#REF!</v>
      </c>
      <c r="L30" s="1036"/>
      <c r="M30" s="1036"/>
      <c r="N30" s="1036" t="e">
        <f>#REF!</f>
        <v>#REF!</v>
      </c>
      <c r="O30" s="1036"/>
      <c r="P30" s="1036"/>
      <c r="Q30" s="1037" t="e">
        <f>SUM(B30,E30,H30,K30,N30)</f>
        <v>#REF!</v>
      </c>
      <c r="R30" s="1038">
        <f>SUM(O30,L30,I30,F30,C30)</f>
        <v>0</v>
      </c>
      <c r="S30" s="1039"/>
      <c r="T30" s="32" t="e">
        <f>SUM(B30:P30)</f>
        <v>#REF!</v>
      </c>
      <c r="U30" s="32"/>
    </row>
    <row r="31" spans="1:21">
      <c r="A31" s="1040"/>
      <c r="B31" s="89"/>
      <c r="C31" s="89"/>
      <c r="D31" s="89"/>
      <c r="E31" s="89"/>
      <c r="F31" s="89"/>
      <c r="G31" s="89"/>
      <c r="H31" s="89"/>
      <c r="I31" s="89"/>
      <c r="J31" s="89"/>
      <c r="K31" s="89"/>
      <c r="L31" s="89"/>
      <c r="M31" s="89"/>
      <c r="N31" s="89"/>
      <c r="O31" s="89"/>
      <c r="P31" s="89"/>
      <c r="Q31" s="92"/>
      <c r="R31" s="1038"/>
      <c r="S31" s="36"/>
      <c r="U31" s="32"/>
    </row>
    <row r="32" spans="1:21" s="6" customFormat="1">
      <c r="A32" s="204"/>
      <c r="B32" s="1036"/>
      <c r="C32" s="1036"/>
      <c r="D32" s="1036"/>
      <c r="E32" s="1036"/>
      <c r="F32" s="1036"/>
      <c r="G32" s="1036"/>
      <c r="H32" s="1036"/>
      <c r="I32" s="1036"/>
      <c r="J32" s="1036"/>
      <c r="K32" s="1036"/>
      <c r="L32" s="1036"/>
      <c r="M32" s="1036"/>
      <c r="N32" s="1036"/>
      <c r="O32" s="1036"/>
      <c r="P32" s="1036"/>
      <c r="Q32" s="1037">
        <f>SUM(N32,K32,H32,E32,B32)</f>
        <v>0</v>
      </c>
      <c r="R32" s="1038">
        <f>SUM(O32,L32,I32,F32,C32)</f>
        <v>0</v>
      </c>
      <c r="S32" s="1039"/>
      <c r="T32" s="32">
        <f>SUM(B32:P32)</f>
        <v>0</v>
      </c>
      <c r="U32" s="32"/>
    </row>
    <row r="33" spans="1:21">
      <c r="A33" s="1040"/>
      <c r="B33" s="89"/>
      <c r="C33" s="89"/>
      <c r="D33" s="89"/>
      <c r="E33" s="89"/>
      <c r="F33" s="89"/>
      <c r="G33" s="89"/>
      <c r="H33" s="89"/>
      <c r="I33" s="89"/>
      <c r="J33" s="89"/>
      <c r="K33" s="89"/>
      <c r="L33" s="89"/>
      <c r="M33" s="89"/>
      <c r="N33" s="89"/>
      <c r="O33" s="89"/>
      <c r="P33" s="89"/>
      <c r="Q33" s="92"/>
      <c r="R33" s="1038"/>
      <c r="S33" s="36"/>
      <c r="U33" s="32"/>
    </row>
    <row r="34" spans="1:21">
      <c r="A34" s="34"/>
      <c r="B34" s="89"/>
      <c r="C34" s="89"/>
      <c r="D34" s="89"/>
      <c r="E34" s="89"/>
      <c r="F34" s="89"/>
      <c r="G34" s="89"/>
      <c r="H34" s="89"/>
      <c r="I34" s="89"/>
      <c r="J34" s="89"/>
      <c r="K34" s="89"/>
      <c r="L34" s="89"/>
      <c r="M34" s="89"/>
      <c r="N34" s="89"/>
      <c r="O34" s="89"/>
      <c r="P34" s="89"/>
      <c r="Q34" s="92"/>
      <c r="R34" s="1038"/>
      <c r="S34" s="36"/>
      <c r="U34" s="32"/>
    </row>
    <row r="35" spans="1:21" s="6" customFormat="1">
      <c r="A35" s="1041" t="s">
        <v>328</v>
      </c>
      <c r="B35" s="1042" t="e">
        <f>#REF!</f>
        <v>#REF!</v>
      </c>
      <c r="C35" s="1042">
        <f>SUM(C11:C34)</f>
        <v>0</v>
      </c>
      <c r="D35" s="1042"/>
      <c r="E35" s="1042" t="e">
        <f>#REF!</f>
        <v>#REF!</v>
      </c>
      <c r="F35" s="1042">
        <f>SUM(F11:F34)</f>
        <v>0</v>
      </c>
      <c r="G35" s="1042"/>
      <c r="H35" s="1042" t="e">
        <f>#REF!</f>
        <v>#REF!</v>
      </c>
      <c r="I35" s="1042">
        <f>SUM(I11:I34)</f>
        <v>0</v>
      </c>
      <c r="J35" s="1042"/>
      <c r="K35" s="1042" t="e">
        <f>#REF!</f>
        <v>#REF!</v>
      </c>
      <c r="L35" s="1042">
        <f>SUM(L11:L34)</f>
        <v>0</v>
      </c>
      <c r="M35" s="1042"/>
      <c r="N35" s="1042" t="e">
        <f>#REF!</f>
        <v>#REF!</v>
      </c>
      <c r="O35" s="1042">
        <f>SUM(O11:O34)</f>
        <v>0</v>
      </c>
      <c r="P35" s="1042"/>
      <c r="Q35" s="1037" t="e">
        <f>SUM(B35,E35,H35,K35,N35)</f>
        <v>#REF!</v>
      </c>
      <c r="R35" s="1038">
        <f>SUM(O35,L35,I35,F35,C35)</f>
        <v>0</v>
      </c>
      <c r="S35" s="1039"/>
      <c r="T35" s="32" t="e">
        <f>SUM(B35:P35)</f>
        <v>#REF!</v>
      </c>
      <c r="U35" s="32"/>
    </row>
    <row r="36" spans="1:21" ht="15.3" thickBot="1">
      <c r="A36" s="93"/>
      <c r="B36" s="94"/>
      <c r="C36" s="94"/>
      <c r="D36" s="94"/>
      <c r="E36" s="94"/>
      <c r="F36" s="94"/>
      <c r="G36" s="94"/>
      <c r="H36" s="94"/>
      <c r="I36" s="94"/>
      <c r="J36" s="94"/>
      <c r="K36" s="94"/>
      <c r="L36" s="94"/>
      <c r="M36" s="94"/>
      <c r="N36" s="94"/>
      <c r="O36" s="94"/>
      <c r="P36" s="94"/>
      <c r="Q36" s="95"/>
      <c r="R36" s="359"/>
      <c r="S36" s="36"/>
      <c r="U36" s="32"/>
    </row>
    <row r="37" spans="1:21" ht="15.3" thickTop="1">
      <c r="A37" s="352"/>
      <c r="B37" s="353"/>
      <c r="C37" s="353"/>
      <c r="D37" s="353"/>
      <c r="E37" s="353"/>
      <c r="F37" s="353"/>
      <c r="G37" s="353"/>
      <c r="H37" s="353"/>
      <c r="I37" s="353"/>
      <c r="J37" s="353"/>
      <c r="K37" s="353"/>
      <c r="L37" s="353"/>
      <c r="M37" s="353"/>
      <c r="N37" s="353"/>
      <c r="O37" s="353"/>
      <c r="P37" s="353"/>
      <c r="Q37" s="353"/>
      <c r="R37" s="352"/>
    </row>
    <row r="59" spans="1:24" s="3" customFormat="1">
      <c r="A59" s="33"/>
      <c r="B59" s="35"/>
      <c r="R59" s="33"/>
      <c r="S59" s="33"/>
      <c r="T59" s="32"/>
      <c r="U59" s="33"/>
      <c r="V59" s="33"/>
      <c r="W59" s="33"/>
      <c r="X59" s="33"/>
    </row>
  </sheetData>
  <mergeCells count="7">
    <mergeCell ref="Q9:R9"/>
    <mergeCell ref="A9:A10"/>
    <mergeCell ref="B9:C9"/>
    <mergeCell ref="E9:F9"/>
    <mergeCell ref="H9:I9"/>
    <mergeCell ref="K9:L9"/>
    <mergeCell ref="N9:O9"/>
  </mergeCells>
  <pageMargins left="0.5" right="0.5" top="0.5" bottom="0.5" header="0" footer="0.25"/>
  <pageSetup scale="63" fitToHeight="0" orientation="landscape" r:id="rId1"/>
  <headerFooter scaleWithDoc="0" alignWithMargins="0">
    <oddFooter>&amp;LUse or disclosure of data contained on this sheet is subject to the restriction on the proprietary statement of this proposal.&amp;RJhpiego, Page &amp;P of &amp;N</oddFooter>
  </headerFooter>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pageSetUpPr fitToPage="1"/>
  </sheetPr>
  <dimension ref="A1:V294"/>
  <sheetViews>
    <sheetView zoomScale="70" zoomScaleNormal="75" zoomScaleSheetLayoutView="70" workbookViewId="0">
      <pane xSplit="2" ySplit="10" topLeftCell="C201" activePane="bottomRight" state="frozen"/>
      <selection pane="topRight" activeCell="G20" sqref="G20"/>
      <selection pane="bottomLeft" activeCell="G20" sqref="G20"/>
      <selection pane="bottomRight" activeCell="T18" sqref="T18"/>
    </sheetView>
  </sheetViews>
  <sheetFormatPr defaultColWidth="9.71875" defaultRowHeight="12.3"/>
  <cols>
    <col min="1" max="1" width="50.71875" style="9" customWidth="1"/>
    <col min="2" max="2" width="9" style="9" customWidth="1"/>
    <col min="3" max="3" width="10.5546875" style="9" customWidth="1"/>
    <col min="4" max="4" width="8.27734375" style="9" hidden="1" customWidth="1"/>
    <col min="5" max="5" width="14.44140625" style="9" hidden="1" customWidth="1"/>
    <col min="6" max="6" width="9.71875" style="9" customWidth="1"/>
    <col min="7" max="8" width="2.71875" style="9" hidden="1" customWidth="1"/>
    <col min="9" max="9" width="10.27734375" style="9" customWidth="1"/>
    <col min="10" max="11" width="2.71875" style="9" hidden="1" customWidth="1"/>
    <col min="12" max="12" width="10.5546875" style="9" customWidth="1"/>
    <col min="13" max="14" width="2.71875" style="9" hidden="1" customWidth="1"/>
    <col min="15" max="15" width="10.27734375" style="9" customWidth="1"/>
    <col min="16" max="17" width="2.71875" style="9" hidden="1" customWidth="1"/>
    <col min="18" max="18" width="9.44140625" style="9" customWidth="1"/>
    <col min="19" max="19" width="14.5546875" style="9" customWidth="1"/>
    <col min="20" max="20" width="15.71875" style="14" customWidth="1"/>
    <col min="21" max="21" width="13.71875" style="14" customWidth="1"/>
    <col min="22" max="16384" width="9.71875" style="9"/>
  </cols>
  <sheetData>
    <row r="1" spans="1:22" s="8" customFormat="1" ht="20.100000000000001">
      <c r="A1" s="4" t="str">
        <f>Assumptions!$B$4</f>
        <v>Partners of America</v>
      </c>
      <c r="I1" s="9"/>
      <c r="J1" s="10"/>
      <c r="L1" s="24"/>
      <c r="M1" s="25"/>
      <c r="N1" s="25"/>
      <c r="P1" s="25"/>
      <c r="Q1" s="25"/>
      <c r="R1" s="24"/>
      <c r="S1" s="26"/>
      <c r="T1" s="11"/>
      <c r="U1" s="11"/>
    </row>
    <row r="2" spans="1:22" s="8" customFormat="1" ht="15">
      <c r="A2" s="315" t="str">
        <f>CONCATENATE(Assumptions!$B5," ",Assumptions!$C5)</f>
        <v>DONOR: USDOL</v>
      </c>
      <c r="I2" s="9"/>
      <c r="J2" s="9"/>
      <c r="K2" s="9"/>
      <c r="L2" s="27"/>
      <c r="M2" s="12"/>
      <c r="N2" s="12"/>
      <c r="P2" s="9"/>
      <c r="Q2" s="9" t="s">
        <v>329</v>
      </c>
      <c r="R2" s="1043"/>
      <c r="S2" s="28"/>
      <c r="T2" s="11"/>
      <c r="U2" s="11"/>
    </row>
    <row r="3" spans="1:22" s="8" customFormat="1" ht="15">
      <c r="A3" s="315" t="str">
        <f>CONCATENATE(Assumptions!$B6," ",Assumptions!$C6)</f>
        <v>Country: Ecuador</v>
      </c>
      <c r="D3" s="9"/>
      <c r="E3" s="9"/>
      <c r="I3" s="9"/>
      <c r="J3" s="9"/>
      <c r="K3" s="9"/>
      <c r="L3" s="27"/>
      <c r="M3" s="12"/>
      <c r="N3" s="12"/>
      <c r="P3" s="9"/>
      <c r="Q3" s="9" t="s">
        <v>330</v>
      </c>
      <c r="R3" s="1043"/>
      <c r="S3" s="28"/>
      <c r="T3" s="11"/>
      <c r="U3" s="11"/>
    </row>
    <row r="4" spans="1:22" ht="15">
      <c r="A4" s="315" t="str">
        <f>CONCATENATE(Assumptions!$B7," ",Assumptions!$C7)</f>
        <v>Program Name: Project to Improve Adherence to International Labor Standards in the Agricultural Sector in Ecuador</v>
      </c>
      <c r="O4" s="1026"/>
    </row>
    <row r="5" spans="1:22" ht="15">
      <c r="A5" s="315" t="str">
        <f>CONCATENATE(Assumptions!$B8," ",Assumptions!$C8)</f>
        <v>Grant Number: FOA-ILAB-23-28</v>
      </c>
      <c r="O5" s="1026"/>
    </row>
    <row r="6" spans="1:22" ht="15">
      <c r="A6" s="315"/>
      <c r="O6" s="1026"/>
    </row>
    <row r="7" spans="1:22" ht="20.100000000000001">
      <c r="A7" s="4" t="s">
        <v>331</v>
      </c>
    </row>
    <row r="8" spans="1:22" ht="15.3" thickBot="1">
      <c r="A8" s="1044"/>
      <c r="B8" s="1044"/>
      <c r="C8" s="1044"/>
      <c r="D8" s="1044"/>
      <c r="E8" s="1044"/>
      <c r="F8" s="1044"/>
      <c r="G8" s="1044"/>
      <c r="H8" s="1044"/>
      <c r="I8" s="1044"/>
      <c r="J8" s="1044"/>
      <c r="K8" s="1044"/>
      <c r="L8" s="1044"/>
      <c r="M8" s="1044"/>
      <c r="N8" s="1044"/>
      <c r="O8" s="1044"/>
      <c r="P8" s="1044"/>
      <c r="Q8" s="1044"/>
      <c r="R8" s="1045"/>
      <c r="S8" s="1045"/>
    </row>
    <row r="9" spans="1:22" s="435" customFormat="1" ht="51" customHeight="1">
      <c r="A9" s="431" t="s">
        <v>332</v>
      </c>
      <c r="B9" s="432"/>
      <c r="C9" s="1130" t="e">
        <f>#REF!</f>
        <v>#REF!</v>
      </c>
      <c r="D9" s="1131"/>
      <c r="E9" s="1131"/>
      <c r="F9" s="1130" t="e">
        <f>#REF!</f>
        <v>#REF!</v>
      </c>
      <c r="G9" s="1131"/>
      <c r="H9" s="1131"/>
      <c r="I9" s="1132" t="str">
        <f>Assumptions!M20</f>
        <v>Year 3</v>
      </c>
      <c r="J9" s="1134"/>
      <c r="K9" s="1133"/>
      <c r="L9" s="1130" t="e">
        <f>#REF!</f>
        <v>#REF!</v>
      </c>
      <c r="M9" s="1131"/>
      <c r="N9" s="1131"/>
      <c r="O9" s="1130" t="e">
        <f>#REF!</f>
        <v>#REF!</v>
      </c>
      <c r="P9" s="1131"/>
      <c r="Q9" s="1131"/>
      <c r="R9" s="1132" t="s">
        <v>71</v>
      </c>
      <c r="S9" s="1133"/>
      <c r="T9" s="433" t="s">
        <v>333</v>
      </c>
      <c r="U9" s="434"/>
    </row>
    <row r="10" spans="1:22" s="5" customFormat="1" ht="12.6" thickBot="1">
      <c r="A10" s="1046" t="s">
        <v>334</v>
      </c>
      <c r="B10" s="1047" t="s">
        <v>204</v>
      </c>
      <c r="C10" s="1048" t="s">
        <v>335</v>
      </c>
      <c r="D10" s="1049"/>
      <c r="E10" s="1049"/>
      <c r="F10" s="1049" t="s">
        <v>335</v>
      </c>
      <c r="G10" s="1049"/>
      <c r="H10" s="1049"/>
      <c r="I10" s="1049" t="s">
        <v>335</v>
      </c>
      <c r="J10" s="1049"/>
      <c r="K10" s="1049"/>
      <c r="L10" s="1049" t="s">
        <v>335</v>
      </c>
      <c r="M10" s="1049"/>
      <c r="N10" s="1049"/>
      <c r="O10" s="1049" t="s">
        <v>335</v>
      </c>
      <c r="P10" s="1049"/>
      <c r="Q10" s="1049"/>
      <c r="R10" s="1048" t="s">
        <v>336</v>
      </c>
      <c r="S10" s="1047" t="s">
        <v>337</v>
      </c>
      <c r="T10" s="1050" t="s">
        <v>338</v>
      </c>
      <c r="U10" s="17"/>
      <c r="V10" s="5" t="s">
        <v>339</v>
      </c>
    </row>
    <row r="11" spans="1:22" s="5" customFormat="1" ht="12.6" thickTop="1">
      <c r="A11" s="40"/>
      <c r="B11" s="1051"/>
      <c r="C11" s="1052"/>
      <c r="D11" s="1053"/>
      <c r="E11" s="1053"/>
      <c r="F11" s="1053"/>
      <c r="G11" s="1053"/>
      <c r="H11" s="1053"/>
      <c r="I11" s="1053"/>
      <c r="J11" s="1053"/>
      <c r="K11" s="1053"/>
      <c r="L11" s="1053"/>
      <c r="M11" s="1053"/>
      <c r="N11" s="1053"/>
      <c r="O11" s="1053"/>
      <c r="P11" s="1053"/>
      <c r="Q11" s="1053"/>
      <c r="R11" s="1052"/>
      <c r="S11" s="1051"/>
      <c r="T11" s="1054"/>
      <c r="U11" s="17"/>
      <c r="V11" s="104" t="e">
        <f>IF(SUM(S12:S190)=0,"hide","show")</f>
        <v>#REF!</v>
      </c>
    </row>
    <row r="12" spans="1:22" s="5" customFormat="1" ht="16.5">
      <c r="A12" s="374" t="e">
        <f>#REF!</f>
        <v>#REF!</v>
      </c>
      <c r="B12" s="316"/>
      <c r="C12" s="22"/>
      <c r="D12" s="44"/>
      <c r="E12" s="44"/>
      <c r="F12" s="21"/>
      <c r="G12" s="44"/>
      <c r="H12" s="44"/>
      <c r="I12" s="21"/>
      <c r="J12" s="44"/>
      <c r="K12" s="44"/>
      <c r="L12" s="21"/>
      <c r="M12" s="44"/>
      <c r="N12" s="44"/>
      <c r="O12" s="21"/>
      <c r="P12" s="44"/>
      <c r="Q12" s="44"/>
      <c r="R12" s="22"/>
      <c r="S12" s="96"/>
      <c r="T12" s="42"/>
      <c r="U12" s="9"/>
      <c r="V12" s="5" t="e">
        <f>IF(SUM(S20:S190)=0,"hide","show")</f>
        <v>#REF!</v>
      </c>
    </row>
    <row r="13" spans="1:22" s="5" customFormat="1" ht="15">
      <c r="A13" s="1055" t="e">
        <f>#REF!</f>
        <v>#REF!</v>
      </c>
      <c r="B13" s="316"/>
      <c r="C13" s="22"/>
      <c r="D13" s="23"/>
      <c r="E13" s="23"/>
      <c r="F13" s="21"/>
      <c r="G13" s="23"/>
      <c r="H13" s="23"/>
      <c r="I13" s="21"/>
      <c r="J13" s="23"/>
      <c r="K13" s="23"/>
      <c r="L13" s="21"/>
      <c r="M13" s="23"/>
      <c r="N13" s="23"/>
      <c r="O13" s="21"/>
      <c r="P13" s="23"/>
      <c r="Q13" s="23"/>
      <c r="R13" s="22"/>
      <c r="S13" s="96"/>
      <c r="T13" s="42"/>
      <c r="U13" s="9"/>
      <c r="V13" s="5" t="e">
        <f>IF(SUM(S14:S18)=0,"hide","show")</f>
        <v>#REF!</v>
      </c>
    </row>
    <row r="14" spans="1:22" s="5" customFormat="1">
      <c r="A14" s="375" t="e">
        <f>#REF!</f>
        <v>#REF!</v>
      </c>
      <c r="B14" s="1056" t="s">
        <v>336</v>
      </c>
      <c r="C14" s="22" t="e">
        <f>#REF!</f>
        <v>#REF!</v>
      </c>
      <c r="D14" s="18"/>
      <c r="E14" s="18"/>
      <c r="F14" s="21" t="e">
        <f>#REF!</f>
        <v>#REF!</v>
      </c>
      <c r="G14" s="18"/>
      <c r="H14" s="18"/>
      <c r="I14" s="21" t="e">
        <f>#REF!</f>
        <v>#REF!</v>
      </c>
      <c r="J14" s="18"/>
      <c r="K14" s="18"/>
      <c r="L14" s="21" t="e">
        <f>#REF!</f>
        <v>#REF!</v>
      </c>
      <c r="M14" s="18"/>
      <c r="N14" s="18"/>
      <c r="O14" s="21" t="e">
        <f>#REF!</f>
        <v>#REF!</v>
      </c>
      <c r="P14" s="18"/>
      <c r="Q14" s="18"/>
      <c r="R14" s="22" t="e">
        <f>C14+F14+I14+L14+O14</f>
        <v>#REF!</v>
      </c>
      <c r="S14" s="96" t="e">
        <f>#REF!</f>
        <v>#REF!</v>
      </c>
      <c r="T14" s="42"/>
      <c r="U14" s="9"/>
      <c r="V14" s="5" t="e">
        <f>IF(S14=0,"hide","show")</f>
        <v>#REF!</v>
      </c>
    </row>
    <row r="15" spans="1:22" s="5" customFormat="1">
      <c r="A15" s="375" t="e">
        <f>#REF!</f>
        <v>#REF!</v>
      </c>
      <c r="B15" s="1056" t="s">
        <v>336</v>
      </c>
      <c r="C15" s="22" t="e">
        <f>#REF!</f>
        <v>#REF!</v>
      </c>
      <c r="D15" s="18"/>
      <c r="E15" s="18"/>
      <c r="F15" s="21" t="e">
        <f>#REF!</f>
        <v>#REF!</v>
      </c>
      <c r="G15" s="18"/>
      <c r="H15" s="18"/>
      <c r="I15" s="21" t="e">
        <f>#REF!</f>
        <v>#REF!</v>
      </c>
      <c r="J15" s="18"/>
      <c r="K15" s="18"/>
      <c r="L15" s="21" t="e">
        <f>#REF!</f>
        <v>#REF!</v>
      </c>
      <c r="M15" s="18"/>
      <c r="N15" s="18"/>
      <c r="O15" s="21" t="e">
        <f>#REF!</f>
        <v>#REF!</v>
      </c>
      <c r="P15" s="18"/>
      <c r="Q15" s="18"/>
      <c r="R15" s="22" t="e">
        <f>C15+F15+I15+L15+O15</f>
        <v>#REF!</v>
      </c>
      <c r="S15" s="96" t="e">
        <f>#REF!</f>
        <v>#REF!</v>
      </c>
      <c r="T15" s="42"/>
      <c r="U15" s="9"/>
      <c r="V15" s="5" t="e">
        <f>IF(S15=0,"hide","show")</f>
        <v>#REF!</v>
      </c>
    </row>
    <row r="16" spans="1:22" s="5" customFormat="1">
      <c r="A16" s="375" t="e">
        <f>#REF!</f>
        <v>#REF!</v>
      </c>
      <c r="B16" s="1056" t="s">
        <v>336</v>
      </c>
      <c r="C16" s="22" t="e">
        <f>#REF!</f>
        <v>#REF!</v>
      </c>
      <c r="D16" s="18"/>
      <c r="E16" s="18"/>
      <c r="F16" s="21" t="e">
        <f>#REF!</f>
        <v>#REF!</v>
      </c>
      <c r="G16" s="18"/>
      <c r="H16" s="18"/>
      <c r="I16" s="21" t="e">
        <f>#REF!</f>
        <v>#REF!</v>
      </c>
      <c r="J16" s="18"/>
      <c r="K16" s="18"/>
      <c r="L16" s="21" t="e">
        <f>#REF!</f>
        <v>#REF!</v>
      </c>
      <c r="M16" s="18"/>
      <c r="N16" s="18"/>
      <c r="O16" s="21" t="e">
        <f>#REF!</f>
        <v>#REF!</v>
      </c>
      <c r="P16" s="18"/>
      <c r="Q16" s="18"/>
      <c r="R16" s="22" t="e">
        <f>C16+F16+I16+L16+O16</f>
        <v>#REF!</v>
      </c>
      <c r="S16" s="96" t="e">
        <f>#REF!</f>
        <v>#REF!</v>
      </c>
      <c r="T16" s="42"/>
      <c r="U16" s="9"/>
      <c r="V16" s="5" t="e">
        <f>IF(S16=0,"hide","show")</f>
        <v>#REF!</v>
      </c>
    </row>
    <row r="17" spans="1:22" s="5" customFormat="1">
      <c r="A17" s="375" t="e">
        <f>#REF!</f>
        <v>#REF!</v>
      </c>
      <c r="B17" s="1056" t="s">
        <v>336</v>
      </c>
      <c r="C17" s="22" t="e">
        <f>#REF!</f>
        <v>#REF!</v>
      </c>
      <c r="D17" s="18"/>
      <c r="E17" s="18"/>
      <c r="F17" s="21" t="e">
        <f>#REF!</f>
        <v>#REF!</v>
      </c>
      <c r="G17" s="18"/>
      <c r="H17" s="18"/>
      <c r="I17" s="21" t="e">
        <f>#REF!</f>
        <v>#REF!</v>
      </c>
      <c r="J17" s="18"/>
      <c r="K17" s="18"/>
      <c r="L17" s="21" t="e">
        <f>#REF!</f>
        <v>#REF!</v>
      </c>
      <c r="M17" s="18"/>
      <c r="N17" s="18"/>
      <c r="O17" s="21" t="e">
        <f>#REF!</f>
        <v>#REF!</v>
      </c>
      <c r="P17" s="18"/>
      <c r="Q17" s="18"/>
      <c r="R17" s="22" t="e">
        <f>C17+F17+I17+L17+O17</f>
        <v>#REF!</v>
      </c>
      <c r="S17" s="96" t="e">
        <f>#REF!</f>
        <v>#REF!</v>
      </c>
      <c r="T17" s="42"/>
      <c r="U17" s="9"/>
      <c r="V17" s="5" t="e">
        <f>IF(S17=0,"hide","show")</f>
        <v>#REF!</v>
      </c>
    </row>
    <row r="18" spans="1:22" s="5" customFormat="1">
      <c r="A18" s="375" t="e">
        <f>#REF!</f>
        <v>#REF!</v>
      </c>
      <c r="B18" s="1056" t="s">
        <v>336</v>
      </c>
      <c r="C18" s="22" t="e">
        <f>#REF!</f>
        <v>#REF!</v>
      </c>
      <c r="D18" s="18"/>
      <c r="E18" s="18"/>
      <c r="F18" s="21" t="e">
        <f>#REF!</f>
        <v>#REF!</v>
      </c>
      <c r="G18" s="18"/>
      <c r="H18" s="18"/>
      <c r="I18" s="21" t="e">
        <f>#REF!</f>
        <v>#REF!</v>
      </c>
      <c r="J18" s="18"/>
      <c r="K18" s="18"/>
      <c r="L18" s="21" t="e">
        <f>#REF!</f>
        <v>#REF!</v>
      </c>
      <c r="M18" s="18"/>
      <c r="N18" s="18"/>
      <c r="O18" s="21" t="e">
        <f>#REF!</f>
        <v>#REF!</v>
      </c>
      <c r="P18" s="18"/>
      <c r="Q18" s="18"/>
      <c r="R18" s="22" t="e">
        <f>C18+F18+I18+L18+O18</f>
        <v>#REF!</v>
      </c>
      <c r="S18" s="96" t="e">
        <f>#REF!</f>
        <v>#REF!</v>
      </c>
      <c r="T18" s="42"/>
      <c r="U18" s="9"/>
      <c r="V18" s="5" t="e">
        <f>IF(S18=0,"hide","show")</f>
        <v>#REF!</v>
      </c>
    </row>
    <row r="19" spans="1:22" s="5" customFormat="1">
      <c r="A19" s="39"/>
      <c r="B19" s="1056"/>
      <c r="C19" s="22"/>
      <c r="D19" s="41"/>
      <c r="E19" s="41"/>
      <c r="F19" s="21"/>
      <c r="G19" s="41"/>
      <c r="H19" s="41"/>
      <c r="I19" s="21"/>
      <c r="J19" s="41"/>
      <c r="K19" s="41"/>
      <c r="L19" s="21"/>
      <c r="M19" s="41"/>
      <c r="N19" s="41"/>
      <c r="O19" s="21"/>
      <c r="P19" s="23"/>
      <c r="Q19" s="23"/>
      <c r="R19" s="22"/>
      <c r="S19" s="96"/>
      <c r="T19" s="42"/>
      <c r="U19" s="9"/>
      <c r="V19" s="104" t="e">
        <f>IF(SUM(S20:S110)=0,"hide","show")</f>
        <v>#REF!</v>
      </c>
    </row>
    <row r="20" spans="1:22" s="5" customFormat="1" ht="15">
      <c r="A20" s="1055" t="e">
        <f>#REF!</f>
        <v>#REF!</v>
      </c>
      <c r="B20" s="316"/>
      <c r="C20" s="22"/>
      <c r="D20" s="23"/>
      <c r="E20" s="23"/>
      <c r="F20" s="21"/>
      <c r="G20" s="23"/>
      <c r="H20" s="23"/>
      <c r="I20" s="21"/>
      <c r="J20" s="23"/>
      <c r="K20" s="23"/>
      <c r="L20" s="21"/>
      <c r="M20" s="23"/>
      <c r="N20" s="23"/>
      <c r="O20" s="21"/>
      <c r="P20" s="23"/>
      <c r="Q20" s="23"/>
      <c r="R20" s="22"/>
      <c r="S20" s="96"/>
      <c r="T20" s="42"/>
      <c r="U20" s="9"/>
      <c r="V20" s="5" t="e">
        <f>IF(SUM(S21:S25)=0,"hide","show")</f>
        <v>#REF!</v>
      </c>
    </row>
    <row r="21" spans="1:22" s="5" customFormat="1">
      <c r="A21" s="375" t="e">
        <f>#REF!</f>
        <v>#REF!</v>
      </c>
      <c r="B21" s="1056" t="s">
        <v>336</v>
      </c>
      <c r="C21" s="22" t="e">
        <f>#REF!</f>
        <v>#REF!</v>
      </c>
      <c r="D21" s="18"/>
      <c r="E21" s="18"/>
      <c r="F21" s="21" t="e">
        <f>#REF!</f>
        <v>#REF!</v>
      </c>
      <c r="G21" s="18"/>
      <c r="H21" s="18"/>
      <c r="I21" s="21" t="e">
        <f>#REF!</f>
        <v>#REF!</v>
      </c>
      <c r="J21" s="18"/>
      <c r="K21" s="18"/>
      <c r="L21" s="21" t="e">
        <f>#REF!</f>
        <v>#REF!</v>
      </c>
      <c r="M21" s="18"/>
      <c r="N21" s="18"/>
      <c r="O21" s="21" t="e">
        <f>#REF!</f>
        <v>#REF!</v>
      </c>
      <c r="P21" s="18"/>
      <c r="Q21" s="18"/>
      <c r="R21" s="22" t="e">
        <f>C21+F21+I21+L21+O21</f>
        <v>#REF!</v>
      </c>
      <c r="S21" s="96" t="e">
        <f>#REF!</f>
        <v>#REF!</v>
      </c>
      <c r="T21" s="42"/>
      <c r="U21" s="9"/>
      <c r="V21" s="5" t="e">
        <f>IF(S21=0,"hide","show")</f>
        <v>#REF!</v>
      </c>
    </row>
    <row r="22" spans="1:22" s="5" customFormat="1">
      <c r="A22" s="375" t="e">
        <f>#REF!</f>
        <v>#REF!</v>
      </c>
      <c r="B22" s="1056" t="s">
        <v>336</v>
      </c>
      <c r="C22" s="22" t="e">
        <f>#REF!</f>
        <v>#REF!</v>
      </c>
      <c r="D22" s="18"/>
      <c r="E22" s="18"/>
      <c r="F22" s="21" t="e">
        <f>#REF!</f>
        <v>#REF!</v>
      </c>
      <c r="G22" s="18"/>
      <c r="H22" s="18"/>
      <c r="I22" s="21" t="e">
        <f>#REF!</f>
        <v>#REF!</v>
      </c>
      <c r="J22" s="18"/>
      <c r="K22" s="18"/>
      <c r="L22" s="21" t="e">
        <f>#REF!</f>
        <v>#REF!</v>
      </c>
      <c r="M22" s="18"/>
      <c r="N22" s="18"/>
      <c r="O22" s="21" t="e">
        <f>#REF!</f>
        <v>#REF!</v>
      </c>
      <c r="P22" s="18"/>
      <c r="Q22" s="18"/>
      <c r="R22" s="22" t="e">
        <f>C22+F22+I22+L22+O22</f>
        <v>#REF!</v>
      </c>
      <c r="S22" s="96" t="e">
        <f>#REF!</f>
        <v>#REF!</v>
      </c>
      <c r="T22" s="42"/>
      <c r="U22" s="9"/>
      <c r="V22" s="5" t="e">
        <f>IF(S22=0,"hide","show")</f>
        <v>#REF!</v>
      </c>
    </row>
    <row r="23" spans="1:22" s="5" customFormat="1">
      <c r="A23" s="375" t="e">
        <f>#REF!</f>
        <v>#REF!</v>
      </c>
      <c r="B23" s="1056" t="s">
        <v>336</v>
      </c>
      <c r="C23" s="22" t="e">
        <f>#REF!</f>
        <v>#REF!</v>
      </c>
      <c r="D23" s="18"/>
      <c r="E23" s="18"/>
      <c r="F23" s="21" t="e">
        <f>#REF!</f>
        <v>#REF!</v>
      </c>
      <c r="G23" s="18"/>
      <c r="H23" s="18"/>
      <c r="I23" s="21" t="e">
        <f>#REF!</f>
        <v>#REF!</v>
      </c>
      <c r="J23" s="18"/>
      <c r="K23" s="18"/>
      <c r="L23" s="21" t="e">
        <f>#REF!</f>
        <v>#REF!</v>
      </c>
      <c r="M23" s="18"/>
      <c r="N23" s="18"/>
      <c r="O23" s="21" t="e">
        <f>#REF!</f>
        <v>#REF!</v>
      </c>
      <c r="P23" s="18"/>
      <c r="Q23" s="18"/>
      <c r="R23" s="22" t="e">
        <f>C23+F23+I23+L23+O23</f>
        <v>#REF!</v>
      </c>
      <c r="S23" s="96" t="e">
        <f>#REF!</f>
        <v>#REF!</v>
      </c>
      <c r="T23" s="42"/>
      <c r="U23" s="9"/>
      <c r="V23" s="5" t="e">
        <f>IF(S23=0,"hide","show")</f>
        <v>#REF!</v>
      </c>
    </row>
    <row r="24" spans="1:22" s="5" customFormat="1">
      <c r="A24" s="375" t="e">
        <f>#REF!</f>
        <v>#REF!</v>
      </c>
      <c r="B24" s="1056" t="s">
        <v>336</v>
      </c>
      <c r="C24" s="22" t="e">
        <f>#REF!</f>
        <v>#REF!</v>
      </c>
      <c r="D24" s="18"/>
      <c r="E24" s="18"/>
      <c r="F24" s="21" t="e">
        <f>#REF!</f>
        <v>#REF!</v>
      </c>
      <c r="G24" s="18"/>
      <c r="H24" s="18"/>
      <c r="I24" s="21" t="e">
        <f>#REF!</f>
        <v>#REF!</v>
      </c>
      <c r="J24" s="18"/>
      <c r="K24" s="18"/>
      <c r="L24" s="21" t="e">
        <f>#REF!</f>
        <v>#REF!</v>
      </c>
      <c r="M24" s="18"/>
      <c r="N24" s="18"/>
      <c r="O24" s="21" t="e">
        <f>#REF!</f>
        <v>#REF!</v>
      </c>
      <c r="P24" s="18"/>
      <c r="Q24" s="18"/>
      <c r="R24" s="22" t="e">
        <f>C24+F24+I24+L24+O24</f>
        <v>#REF!</v>
      </c>
      <c r="S24" s="96" t="e">
        <f>#REF!</f>
        <v>#REF!</v>
      </c>
      <c r="T24" s="42"/>
      <c r="U24" s="9"/>
      <c r="V24" s="5" t="e">
        <f>IF(S24=0,"hide","show")</f>
        <v>#REF!</v>
      </c>
    </row>
    <row r="25" spans="1:22" s="5" customFormat="1">
      <c r="A25" s="375" t="e">
        <f>#REF!</f>
        <v>#REF!</v>
      </c>
      <c r="B25" s="1056" t="s">
        <v>336</v>
      </c>
      <c r="C25" s="22" t="e">
        <f>#REF!</f>
        <v>#REF!</v>
      </c>
      <c r="D25" s="18"/>
      <c r="E25" s="18"/>
      <c r="F25" s="21" t="e">
        <f>#REF!</f>
        <v>#REF!</v>
      </c>
      <c r="G25" s="18"/>
      <c r="H25" s="18"/>
      <c r="I25" s="21" t="e">
        <f>#REF!</f>
        <v>#REF!</v>
      </c>
      <c r="J25" s="18"/>
      <c r="K25" s="18"/>
      <c r="L25" s="21" t="e">
        <f>#REF!</f>
        <v>#REF!</v>
      </c>
      <c r="M25" s="18"/>
      <c r="N25" s="18"/>
      <c r="O25" s="21" t="e">
        <f>#REF!</f>
        <v>#REF!</v>
      </c>
      <c r="P25" s="18"/>
      <c r="Q25" s="18"/>
      <c r="R25" s="22" t="e">
        <f>C25+F25+I25+L25+O25</f>
        <v>#REF!</v>
      </c>
      <c r="S25" s="96" t="e">
        <f>#REF!</f>
        <v>#REF!</v>
      </c>
      <c r="T25" s="42"/>
      <c r="U25" s="9"/>
      <c r="V25" s="5" t="e">
        <f>IF(S25=0,"hide","show")</f>
        <v>#REF!</v>
      </c>
    </row>
    <row r="26" spans="1:22" s="5" customFormat="1">
      <c r="A26" s="39"/>
      <c r="B26" s="1056"/>
      <c r="C26" s="22"/>
      <c r="D26" s="41"/>
      <c r="E26" s="41"/>
      <c r="F26" s="21"/>
      <c r="G26" s="41"/>
      <c r="H26" s="41"/>
      <c r="I26" s="21"/>
      <c r="J26" s="41"/>
      <c r="K26" s="41"/>
      <c r="L26" s="21"/>
      <c r="M26" s="41"/>
      <c r="N26" s="41"/>
      <c r="O26" s="21"/>
      <c r="P26" s="23"/>
      <c r="Q26" s="23"/>
      <c r="R26" s="22"/>
      <c r="S26" s="96"/>
      <c r="T26" s="42"/>
      <c r="U26" s="9"/>
      <c r="V26" s="104" t="e">
        <f>IF(SUM(S27:S190)=0,"hide","show")</f>
        <v>#REF!</v>
      </c>
    </row>
    <row r="27" spans="1:22" s="5" customFormat="1" ht="15">
      <c r="A27" s="1055" t="e">
        <f>#REF!</f>
        <v>#REF!</v>
      </c>
      <c r="B27" s="1056"/>
      <c r="C27" s="22"/>
      <c r="D27" s="41"/>
      <c r="E27" s="41"/>
      <c r="F27" s="21"/>
      <c r="G27" s="41"/>
      <c r="H27" s="41"/>
      <c r="I27" s="21"/>
      <c r="J27" s="41"/>
      <c r="K27" s="41"/>
      <c r="L27" s="21"/>
      <c r="M27" s="41"/>
      <c r="N27" s="41"/>
      <c r="O27" s="21"/>
      <c r="P27" s="23"/>
      <c r="Q27" s="23"/>
      <c r="R27" s="22"/>
      <c r="S27" s="96"/>
      <c r="T27" s="42"/>
      <c r="U27" s="9"/>
      <c r="V27" s="5" t="e">
        <f>IF(SUM(S28:S190)=0,"hide","show")</f>
        <v>#REF!</v>
      </c>
    </row>
    <row r="28" spans="1:22" s="5" customFormat="1" ht="14.1">
      <c r="A28" s="376" t="e">
        <f>#REF!</f>
        <v>#REF!</v>
      </c>
      <c r="B28" s="1056"/>
      <c r="C28" s="22"/>
      <c r="D28" s="21"/>
      <c r="E28" s="21"/>
      <c r="F28" s="21"/>
      <c r="G28" s="21"/>
      <c r="H28" s="21"/>
      <c r="I28" s="21"/>
      <c r="J28" s="18"/>
      <c r="K28" s="21"/>
      <c r="L28" s="21"/>
      <c r="M28" s="21"/>
      <c r="N28" s="21"/>
      <c r="O28" s="21"/>
      <c r="P28" s="23"/>
      <c r="Q28" s="23"/>
      <c r="R28" s="22"/>
      <c r="S28" s="96"/>
      <c r="T28" s="42"/>
      <c r="U28" s="9"/>
      <c r="V28" s="5" t="e">
        <f>IF(SUM(S29:S110)=0,"hide","show")</f>
        <v>#REF!</v>
      </c>
    </row>
    <row r="29" spans="1:22" s="5" customFormat="1">
      <c r="A29" s="375" t="e">
        <f>#REF!</f>
        <v>#REF!</v>
      </c>
      <c r="B29" s="1056" t="s">
        <v>336</v>
      </c>
      <c r="C29" s="22" t="e">
        <f>#REF!</f>
        <v>#REF!</v>
      </c>
      <c r="D29" s="18"/>
      <c r="E29" s="18"/>
      <c r="F29" s="21" t="e">
        <f>#REF!</f>
        <v>#REF!</v>
      </c>
      <c r="G29" s="18"/>
      <c r="H29" s="18"/>
      <c r="I29" s="21" t="e">
        <f>#REF!</f>
        <v>#REF!</v>
      </c>
      <c r="J29" s="18"/>
      <c r="K29" s="18"/>
      <c r="L29" s="21" t="e">
        <f>#REF!</f>
        <v>#REF!</v>
      </c>
      <c r="M29" s="18"/>
      <c r="N29" s="18"/>
      <c r="O29" s="21" t="e">
        <f>#REF!</f>
        <v>#REF!</v>
      </c>
      <c r="P29" s="18"/>
      <c r="Q29" s="18"/>
      <c r="R29" s="22" t="e">
        <f t="shared" ref="R29:R60" si="0">C29+F29+I29+L29+O29</f>
        <v>#REF!</v>
      </c>
      <c r="S29" s="96" t="e">
        <f>#REF!</f>
        <v>#REF!</v>
      </c>
      <c r="T29" s="42"/>
      <c r="U29" s="9"/>
      <c r="V29" s="5" t="e">
        <f>IF(S29=0,"hide","show")</f>
        <v>#REF!</v>
      </c>
    </row>
    <row r="30" spans="1:22" s="5" customFormat="1">
      <c r="A30" s="375" t="e">
        <f>#REF!</f>
        <v>#REF!</v>
      </c>
      <c r="B30" s="1056" t="s">
        <v>336</v>
      </c>
      <c r="C30" s="22" t="e">
        <f>#REF!</f>
        <v>#REF!</v>
      </c>
      <c r="D30" s="18"/>
      <c r="E30" s="18"/>
      <c r="F30" s="21" t="e">
        <f>#REF!</f>
        <v>#REF!</v>
      </c>
      <c r="G30" s="18"/>
      <c r="H30" s="18"/>
      <c r="I30" s="21" t="e">
        <f>#REF!</f>
        <v>#REF!</v>
      </c>
      <c r="J30" s="18"/>
      <c r="K30" s="18"/>
      <c r="L30" s="21" t="e">
        <f>#REF!</f>
        <v>#REF!</v>
      </c>
      <c r="M30" s="18"/>
      <c r="N30" s="18"/>
      <c r="O30" s="21" t="e">
        <f>#REF!</f>
        <v>#REF!</v>
      </c>
      <c r="P30" s="18"/>
      <c r="Q30" s="18"/>
      <c r="R30" s="22" t="e">
        <f t="shared" si="0"/>
        <v>#REF!</v>
      </c>
      <c r="S30" s="96" t="e">
        <f>#REF!</f>
        <v>#REF!</v>
      </c>
      <c r="T30" s="42"/>
      <c r="U30" s="9"/>
      <c r="V30" s="5" t="e">
        <f t="shared" ref="V30:V93" si="1">IF(S30=0,"hide","show")</f>
        <v>#REF!</v>
      </c>
    </row>
    <row r="31" spans="1:22" s="5" customFormat="1">
      <c r="A31" s="375" t="e">
        <f>#REF!</f>
        <v>#REF!</v>
      </c>
      <c r="B31" s="1056" t="s">
        <v>336</v>
      </c>
      <c r="C31" s="22" t="e">
        <f>#REF!</f>
        <v>#REF!</v>
      </c>
      <c r="D31" s="18"/>
      <c r="E31" s="18"/>
      <c r="F31" s="21" t="e">
        <f>#REF!</f>
        <v>#REF!</v>
      </c>
      <c r="G31" s="18"/>
      <c r="H31" s="18"/>
      <c r="I31" s="21" t="e">
        <f>#REF!</f>
        <v>#REF!</v>
      </c>
      <c r="J31" s="18"/>
      <c r="K31" s="18"/>
      <c r="L31" s="21" t="e">
        <f>#REF!</f>
        <v>#REF!</v>
      </c>
      <c r="M31" s="18"/>
      <c r="N31" s="18"/>
      <c r="O31" s="21" t="e">
        <f>#REF!</f>
        <v>#REF!</v>
      </c>
      <c r="P31" s="18"/>
      <c r="Q31" s="18"/>
      <c r="R31" s="22" t="e">
        <f t="shared" si="0"/>
        <v>#REF!</v>
      </c>
      <c r="S31" s="96" t="e">
        <f>#REF!</f>
        <v>#REF!</v>
      </c>
      <c r="T31" s="42"/>
      <c r="U31" s="9"/>
      <c r="V31" s="5" t="e">
        <f t="shared" si="1"/>
        <v>#REF!</v>
      </c>
    </row>
    <row r="32" spans="1:22" s="5" customFormat="1">
      <c r="A32" s="375" t="e">
        <f>#REF!</f>
        <v>#REF!</v>
      </c>
      <c r="B32" s="1056" t="s">
        <v>336</v>
      </c>
      <c r="C32" s="22" t="e">
        <f>#REF!</f>
        <v>#REF!</v>
      </c>
      <c r="D32" s="18"/>
      <c r="E32" s="18"/>
      <c r="F32" s="21" t="e">
        <f>#REF!</f>
        <v>#REF!</v>
      </c>
      <c r="G32" s="18"/>
      <c r="H32" s="18"/>
      <c r="I32" s="21" t="e">
        <f>#REF!</f>
        <v>#REF!</v>
      </c>
      <c r="J32" s="18"/>
      <c r="K32" s="18"/>
      <c r="L32" s="21" t="e">
        <f>#REF!</f>
        <v>#REF!</v>
      </c>
      <c r="M32" s="18"/>
      <c r="N32" s="18"/>
      <c r="O32" s="21" t="e">
        <f>#REF!</f>
        <v>#REF!</v>
      </c>
      <c r="P32" s="18"/>
      <c r="Q32" s="18"/>
      <c r="R32" s="22" t="e">
        <f t="shared" si="0"/>
        <v>#REF!</v>
      </c>
      <c r="S32" s="96" t="e">
        <f>#REF!</f>
        <v>#REF!</v>
      </c>
      <c r="T32" s="42"/>
      <c r="U32" s="9"/>
      <c r="V32" s="5" t="e">
        <f t="shared" si="1"/>
        <v>#REF!</v>
      </c>
    </row>
    <row r="33" spans="1:22" s="5" customFormat="1">
      <c r="A33" s="375" t="e">
        <f>#REF!</f>
        <v>#REF!</v>
      </c>
      <c r="B33" s="1056" t="s">
        <v>336</v>
      </c>
      <c r="C33" s="22" t="e">
        <f>#REF!</f>
        <v>#REF!</v>
      </c>
      <c r="D33" s="18"/>
      <c r="E33" s="18"/>
      <c r="F33" s="21" t="e">
        <f>#REF!</f>
        <v>#REF!</v>
      </c>
      <c r="G33" s="18"/>
      <c r="H33" s="18"/>
      <c r="I33" s="21" t="e">
        <f>#REF!</f>
        <v>#REF!</v>
      </c>
      <c r="J33" s="18"/>
      <c r="K33" s="18"/>
      <c r="L33" s="21" t="e">
        <f>#REF!</f>
        <v>#REF!</v>
      </c>
      <c r="M33" s="18"/>
      <c r="N33" s="18"/>
      <c r="O33" s="21" t="e">
        <f>#REF!</f>
        <v>#REF!</v>
      </c>
      <c r="P33" s="18"/>
      <c r="Q33" s="18"/>
      <c r="R33" s="22" t="e">
        <f t="shared" si="0"/>
        <v>#REF!</v>
      </c>
      <c r="S33" s="96" t="e">
        <f>#REF!</f>
        <v>#REF!</v>
      </c>
      <c r="T33" s="42"/>
      <c r="U33" s="9"/>
      <c r="V33" s="5" t="e">
        <f t="shared" si="1"/>
        <v>#REF!</v>
      </c>
    </row>
    <row r="34" spans="1:22" s="5" customFormat="1">
      <c r="A34" s="375" t="e">
        <f>#REF!</f>
        <v>#REF!</v>
      </c>
      <c r="B34" s="1056" t="s">
        <v>336</v>
      </c>
      <c r="C34" s="22" t="e">
        <f>#REF!</f>
        <v>#REF!</v>
      </c>
      <c r="D34" s="18"/>
      <c r="E34" s="18"/>
      <c r="F34" s="21" t="e">
        <f>#REF!</f>
        <v>#REF!</v>
      </c>
      <c r="G34" s="18"/>
      <c r="H34" s="18"/>
      <c r="I34" s="21" t="e">
        <f>#REF!</f>
        <v>#REF!</v>
      </c>
      <c r="J34" s="18"/>
      <c r="K34" s="18"/>
      <c r="L34" s="21" t="e">
        <f>#REF!</f>
        <v>#REF!</v>
      </c>
      <c r="M34" s="18"/>
      <c r="N34" s="18"/>
      <c r="O34" s="21" t="e">
        <f>#REF!</f>
        <v>#REF!</v>
      </c>
      <c r="P34" s="18"/>
      <c r="Q34" s="18"/>
      <c r="R34" s="22" t="e">
        <f t="shared" si="0"/>
        <v>#REF!</v>
      </c>
      <c r="S34" s="96" t="e">
        <f>#REF!</f>
        <v>#REF!</v>
      </c>
      <c r="T34" s="42"/>
      <c r="U34" s="9"/>
      <c r="V34" s="5" t="e">
        <f t="shared" si="1"/>
        <v>#REF!</v>
      </c>
    </row>
    <row r="35" spans="1:22" s="5" customFormat="1">
      <c r="A35" s="375" t="e">
        <f>#REF!</f>
        <v>#REF!</v>
      </c>
      <c r="B35" s="1056" t="s">
        <v>336</v>
      </c>
      <c r="C35" s="22" t="e">
        <f>#REF!</f>
        <v>#REF!</v>
      </c>
      <c r="D35" s="18"/>
      <c r="E35" s="18"/>
      <c r="F35" s="21" t="e">
        <f>#REF!</f>
        <v>#REF!</v>
      </c>
      <c r="G35" s="18"/>
      <c r="H35" s="18"/>
      <c r="I35" s="21" t="e">
        <f>#REF!</f>
        <v>#REF!</v>
      </c>
      <c r="J35" s="18"/>
      <c r="K35" s="18"/>
      <c r="L35" s="21" t="e">
        <f>#REF!</f>
        <v>#REF!</v>
      </c>
      <c r="M35" s="18"/>
      <c r="N35" s="18"/>
      <c r="O35" s="21" t="e">
        <f>#REF!</f>
        <v>#REF!</v>
      </c>
      <c r="P35" s="18"/>
      <c r="Q35" s="18"/>
      <c r="R35" s="22" t="e">
        <f t="shared" si="0"/>
        <v>#REF!</v>
      </c>
      <c r="S35" s="96" t="e">
        <f>#REF!</f>
        <v>#REF!</v>
      </c>
      <c r="T35" s="42"/>
      <c r="U35" s="9"/>
      <c r="V35" s="5" t="e">
        <f t="shared" si="1"/>
        <v>#REF!</v>
      </c>
    </row>
    <row r="36" spans="1:22" s="5" customFormat="1">
      <c r="A36" s="375" t="e">
        <f>#REF!</f>
        <v>#REF!</v>
      </c>
      <c r="B36" s="1056" t="s">
        <v>336</v>
      </c>
      <c r="C36" s="22" t="e">
        <f>#REF!</f>
        <v>#REF!</v>
      </c>
      <c r="D36" s="18"/>
      <c r="E36" s="18"/>
      <c r="F36" s="21" t="e">
        <f>#REF!</f>
        <v>#REF!</v>
      </c>
      <c r="G36" s="18"/>
      <c r="H36" s="18"/>
      <c r="I36" s="21" t="e">
        <f>#REF!</f>
        <v>#REF!</v>
      </c>
      <c r="J36" s="18"/>
      <c r="K36" s="18"/>
      <c r="L36" s="21" t="e">
        <f>#REF!</f>
        <v>#REF!</v>
      </c>
      <c r="M36" s="18"/>
      <c r="N36" s="18"/>
      <c r="O36" s="21" t="e">
        <f>#REF!</f>
        <v>#REF!</v>
      </c>
      <c r="P36" s="18"/>
      <c r="Q36" s="18"/>
      <c r="R36" s="22" t="e">
        <f t="shared" si="0"/>
        <v>#REF!</v>
      </c>
      <c r="S36" s="96" t="e">
        <f>#REF!</f>
        <v>#REF!</v>
      </c>
      <c r="T36" s="42"/>
      <c r="U36" s="9"/>
      <c r="V36" s="5" t="e">
        <f t="shared" si="1"/>
        <v>#REF!</v>
      </c>
    </row>
    <row r="37" spans="1:22" s="5" customFormat="1">
      <c r="A37" s="375" t="e">
        <f>#REF!</f>
        <v>#REF!</v>
      </c>
      <c r="B37" s="1056" t="s">
        <v>336</v>
      </c>
      <c r="C37" s="22" t="e">
        <f>#REF!</f>
        <v>#REF!</v>
      </c>
      <c r="D37" s="18"/>
      <c r="E37" s="18"/>
      <c r="F37" s="21" t="e">
        <f>#REF!</f>
        <v>#REF!</v>
      </c>
      <c r="G37" s="18"/>
      <c r="H37" s="18"/>
      <c r="I37" s="21" t="e">
        <f>#REF!</f>
        <v>#REF!</v>
      </c>
      <c r="J37" s="18"/>
      <c r="K37" s="18"/>
      <c r="L37" s="21" t="e">
        <f>#REF!</f>
        <v>#REF!</v>
      </c>
      <c r="M37" s="18"/>
      <c r="N37" s="18"/>
      <c r="O37" s="21" t="e">
        <f>#REF!</f>
        <v>#REF!</v>
      </c>
      <c r="P37" s="18"/>
      <c r="Q37" s="18"/>
      <c r="R37" s="22" t="e">
        <f t="shared" si="0"/>
        <v>#REF!</v>
      </c>
      <c r="S37" s="96" t="e">
        <f>#REF!</f>
        <v>#REF!</v>
      </c>
      <c r="T37" s="42"/>
      <c r="U37" s="9"/>
      <c r="V37" s="5" t="e">
        <f t="shared" si="1"/>
        <v>#REF!</v>
      </c>
    </row>
    <row r="38" spans="1:22" s="5" customFormat="1">
      <c r="A38" s="375" t="e">
        <f>#REF!</f>
        <v>#REF!</v>
      </c>
      <c r="B38" s="1056" t="s">
        <v>336</v>
      </c>
      <c r="C38" s="22" t="e">
        <f>#REF!</f>
        <v>#REF!</v>
      </c>
      <c r="D38" s="18"/>
      <c r="E38" s="18"/>
      <c r="F38" s="21" t="e">
        <f>#REF!</f>
        <v>#REF!</v>
      </c>
      <c r="G38" s="18"/>
      <c r="H38" s="18"/>
      <c r="I38" s="21" t="e">
        <f>#REF!</f>
        <v>#REF!</v>
      </c>
      <c r="J38" s="18"/>
      <c r="K38" s="18"/>
      <c r="L38" s="21" t="e">
        <f>#REF!</f>
        <v>#REF!</v>
      </c>
      <c r="M38" s="18"/>
      <c r="N38" s="18"/>
      <c r="O38" s="21" t="e">
        <f>#REF!</f>
        <v>#REF!</v>
      </c>
      <c r="P38" s="18"/>
      <c r="Q38" s="18"/>
      <c r="R38" s="22" t="e">
        <f t="shared" si="0"/>
        <v>#REF!</v>
      </c>
      <c r="S38" s="96" t="e">
        <f>#REF!</f>
        <v>#REF!</v>
      </c>
      <c r="T38" s="42"/>
      <c r="U38" s="9"/>
      <c r="V38" s="5" t="e">
        <f t="shared" si="1"/>
        <v>#REF!</v>
      </c>
    </row>
    <row r="39" spans="1:22" s="5" customFormat="1">
      <c r="A39" s="375" t="e">
        <f>#REF!</f>
        <v>#REF!</v>
      </c>
      <c r="B39" s="1056" t="s">
        <v>336</v>
      </c>
      <c r="C39" s="22" t="e">
        <f>#REF!</f>
        <v>#REF!</v>
      </c>
      <c r="D39" s="18"/>
      <c r="E39" s="18"/>
      <c r="F39" s="21" t="e">
        <f>#REF!</f>
        <v>#REF!</v>
      </c>
      <c r="G39" s="18"/>
      <c r="H39" s="18"/>
      <c r="I39" s="21" t="e">
        <f>#REF!</f>
        <v>#REF!</v>
      </c>
      <c r="J39" s="18"/>
      <c r="K39" s="18"/>
      <c r="L39" s="21" t="e">
        <f>#REF!</f>
        <v>#REF!</v>
      </c>
      <c r="M39" s="18"/>
      <c r="N39" s="18"/>
      <c r="O39" s="21" t="e">
        <f>#REF!</f>
        <v>#REF!</v>
      </c>
      <c r="P39" s="18"/>
      <c r="Q39" s="18"/>
      <c r="R39" s="22" t="e">
        <f t="shared" si="0"/>
        <v>#REF!</v>
      </c>
      <c r="S39" s="96" t="e">
        <f>#REF!</f>
        <v>#REF!</v>
      </c>
      <c r="T39" s="42"/>
      <c r="U39" s="9"/>
      <c r="V39" s="5" t="e">
        <f t="shared" si="1"/>
        <v>#REF!</v>
      </c>
    </row>
    <row r="40" spans="1:22" s="5" customFormat="1">
      <c r="A40" s="375" t="e">
        <f>#REF!</f>
        <v>#REF!</v>
      </c>
      <c r="B40" s="1056" t="s">
        <v>336</v>
      </c>
      <c r="C40" s="22" t="e">
        <f>#REF!</f>
        <v>#REF!</v>
      </c>
      <c r="D40" s="18"/>
      <c r="E40" s="18"/>
      <c r="F40" s="21" t="e">
        <f>#REF!</f>
        <v>#REF!</v>
      </c>
      <c r="G40" s="18"/>
      <c r="H40" s="18"/>
      <c r="I40" s="21" t="e">
        <f>#REF!</f>
        <v>#REF!</v>
      </c>
      <c r="J40" s="18"/>
      <c r="K40" s="18"/>
      <c r="L40" s="21" t="e">
        <f>#REF!</f>
        <v>#REF!</v>
      </c>
      <c r="M40" s="18"/>
      <c r="N40" s="18"/>
      <c r="O40" s="21" t="e">
        <f>#REF!</f>
        <v>#REF!</v>
      </c>
      <c r="P40" s="18"/>
      <c r="Q40" s="18"/>
      <c r="R40" s="22" t="e">
        <f t="shared" si="0"/>
        <v>#REF!</v>
      </c>
      <c r="S40" s="96" t="e">
        <f>#REF!</f>
        <v>#REF!</v>
      </c>
      <c r="T40" s="42"/>
      <c r="U40" s="9"/>
      <c r="V40" s="5" t="e">
        <f t="shared" si="1"/>
        <v>#REF!</v>
      </c>
    </row>
    <row r="41" spans="1:22" s="5" customFormat="1">
      <c r="A41" s="375" t="e">
        <f>#REF!</f>
        <v>#REF!</v>
      </c>
      <c r="B41" s="1056" t="s">
        <v>336</v>
      </c>
      <c r="C41" s="22" t="e">
        <f>#REF!</f>
        <v>#REF!</v>
      </c>
      <c r="D41" s="18"/>
      <c r="E41" s="18"/>
      <c r="F41" s="21" t="e">
        <f>#REF!</f>
        <v>#REF!</v>
      </c>
      <c r="G41" s="18"/>
      <c r="H41" s="18"/>
      <c r="I41" s="21" t="e">
        <f>#REF!</f>
        <v>#REF!</v>
      </c>
      <c r="J41" s="18"/>
      <c r="K41" s="18"/>
      <c r="L41" s="21" t="e">
        <f>#REF!</f>
        <v>#REF!</v>
      </c>
      <c r="M41" s="18"/>
      <c r="N41" s="18"/>
      <c r="O41" s="21" t="e">
        <f>#REF!</f>
        <v>#REF!</v>
      </c>
      <c r="P41" s="18"/>
      <c r="Q41" s="18"/>
      <c r="R41" s="22" t="e">
        <f t="shared" si="0"/>
        <v>#REF!</v>
      </c>
      <c r="S41" s="96" t="e">
        <f>#REF!</f>
        <v>#REF!</v>
      </c>
      <c r="T41" s="42"/>
      <c r="U41" s="9"/>
      <c r="V41" s="5" t="e">
        <f t="shared" si="1"/>
        <v>#REF!</v>
      </c>
    </row>
    <row r="42" spans="1:22" s="5" customFormat="1">
      <c r="A42" s="375" t="e">
        <f>#REF!</f>
        <v>#REF!</v>
      </c>
      <c r="B42" s="1056" t="s">
        <v>336</v>
      </c>
      <c r="C42" s="22" t="e">
        <f>#REF!</f>
        <v>#REF!</v>
      </c>
      <c r="D42" s="18"/>
      <c r="E42" s="18"/>
      <c r="F42" s="21" t="e">
        <f>#REF!</f>
        <v>#REF!</v>
      </c>
      <c r="G42" s="18"/>
      <c r="H42" s="18"/>
      <c r="I42" s="21" t="e">
        <f>#REF!</f>
        <v>#REF!</v>
      </c>
      <c r="J42" s="18"/>
      <c r="K42" s="18"/>
      <c r="L42" s="21" t="e">
        <f>#REF!</f>
        <v>#REF!</v>
      </c>
      <c r="M42" s="18"/>
      <c r="N42" s="18"/>
      <c r="O42" s="21" t="e">
        <f>#REF!</f>
        <v>#REF!</v>
      </c>
      <c r="P42" s="18"/>
      <c r="Q42" s="18"/>
      <c r="R42" s="22" t="e">
        <f t="shared" si="0"/>
        <v>#REF!</v>
      </c>
      <c r="S42" s="96" t="e">
        <f>#REF!</f>
        <v>#REF!</v>
      </c>
      <c r="T42" s="42"/>
      <c r="U42" s="9"/>
      <c r="V42" s="5" t="e">
        <f t="shared" si="1"/>
        <v>#REF!</v>
      </c>
    </row>
    <row r="43" spans="1:22" s="5" customFormat="1">
      <c r="A43" s="375" t="e">
        <f>#REF!</f>
        <v>#REF!</v>
      </c>
      <c r="B43" s="1056" t="s">
        <v>336</v>
      </c>
      <c r="C43" s="22" t="e">
        <f>#REF!</f>
        <v>#REF!</v>
      </c>
      <c r="D43" s="18"/>
      <c r="E43" s="18"/>
      <c r="F43" s="21" t="e">
        <f>#REF!</f>
        <v>#REF!</v>
      </c>
      <c r="G43" s="18"/>
      <c r="H43" s="18"/>
      <c r="I43" s="21" t="e">
        <f>#REF!</f>
        <v>#REF!</v>
      </c>
      <c r="J43" s="18"/>
      <c r="K43" s="18"/>
      <c r="L43" s="21" t="e">
        <f>#REF!</f>
        <v>#REF!</v>
      </c>
      <c r="M43" s="18"/>
      <c r="N43" s="18"/>
      <c r="O43" s="21" t="e">
        <f>#REF!</f>
        <v>#REF!</v>
      </c>
      <c r="P43" s="18"/>
      <c r="Q43" s="18"/>
      <c r="R43" s="22" t="e">
        <f t="shared" si="0"/>
        <v>#REF!</v>
      </c>
      <c r="S43" s="96" t="e">
        <f>#REF!</f>
        <v>#REF!</v>
      </c>
      <c r="T43" s="42"/>
      <c r="U43" s="9"/>
      <c r="V43" s="5" t="e">
        <f t="shared" si="1"/>
        <v>#REF!</v>
      </c>
    </row>
    <row r="44" spans="1:22" s="5" customFormat="1">
      <c r="A44" s="375" t="e">
        <f>#REF!</f>
        <v>#REF!</v>
      </c>
      <c r="B44" s="1056" t="s">
        <v>336</v>
      </c>
      <c r="C44" s="22" t="e">
        <f>#REF!</f>
        <v>#REF!</v>
      </c>
      <c r="D44" s="18"/>
      <c r="E44" s="18"/>
      <c r="F44" s="21" t="e">
        <f>#REF!</f>
        <v>#REF!</v>
      </c>
      <c r="G44" s="18"/>
      <c r="H44" s="18"/>
      <c r="I44" s="21" t="e">
        <f>#REF!</f>
        <v>#REF!</v>
      </c>
      <c r="J44" s="18"/>
      <c r="K44" s="18"/>
      <c r="L44" s="21" t="e">
        <f>#REF!</f>
        <v>#REF!</v>
      </c>
      <c r="M44" s="18"/>
      <c r="N44" s="18"/>
      <c r="O44" s="21" t="e">
        <f>#REF!</f>
        <v>#REF!</v>
      </c>
      <c r="P44" s="18"/>
      <c r="Q44" s="18"/>
      <c r="R44" s="22" t="e">
        <f t="shared" si="0"/>
        <v>#REF!</v>
      </c>
      <c r="S44" s="96" t="e">
        <f>#REF!</f>
        <v>#REF!</v>
      </c>
      <c r="T44" s="42"/>
      <c r="U44" s="9"/>
      <c r="V44" s="5" t="e">
        <f t="shared" si="1"/>
        <v>#REF!</v>
      </c>
    </row>
    <row r="45" spans="1:22" s="5" customFormat="1">
      <c r="A45" s="375" t="e">
        <f>#REF!</f>
        <v>#REF!</v>
      </c>
      <c r="B45" s="1056" t="s">
        <v>336</v>
      </c>
      <c r="C45" s="22" t="e">
        <f>#REF!</f>
        <v>#REF!</v>
      </c>
      <c r="D45" s="18"/>
      <c r="E45" s="18"/>
      <c r="F45" s="21" t="e">
        <f>#REF!</f>
        <v>#REF!</v>
      </c>
      <c r="G45" s="18"/>
      <c r="H45" s="18"/>
      <c r="I45" s="21" t="e">
        <f>#REF!</f>
        <v>#REF!</v>
      </c>
      <c r="J45" s="18"/>
      <c r="K45" s="18"/>
      <c r="L45" s="21" t="e">
        <f>#REF!</f>
        <v>#REF!</v>
      </c>
      <c r="M45" s="18"/>
      <c r="N45" s="18"/>
      <c r="O45" s="21" t="e">
        <f>#REF!</f>
        <v>#REF!</v>
      </c>
      <c r="P45" s="18"/>
      <c r="Q45" s="18"/>
      <c r="R45" s="22" t="e">
        <f t="shared" si="0"/>
        <v>#REF!</v>
      </c>
      <c r="S45" s="96" t="e">
        <f>#REF!</f>
        <v>#REF!</v>
      </c>
      <c r="T45" s="42"/>
      <c r="U45" s="9"/>
      <c r="V45" s="5" t="e">
        <f t="shared" si="1"/>
        <v>#REF!</v>
      </c>
    </row>
    <row r="46" spans="1:22" s="5" customFormat="1">
      <c r="A46" s="375" t="e">
        <f>#REF!</f>
        <v>#REF!</v>
      </c>
      <c r="B46" s="1056" t="s">
        <v>336</v>
      </c>
      <c r="C46" s="22" t="e">
        <f>#REF!</f>
        <v>#REF!</v>
      </c>
      <c r="D46" s="18"/>
      <c r="E46" s="18"/>
      <c r="F46" s="21" t="e">
        <f>#REF!</f>
        <v>#REF!</v>
      </c>
      <c r="G46" s="18"/>
      <c r="H46" s="18"/>
      <c r="I46" s="21" t="e">
        <f>#REF!</f>
        <v>#REF!</v>
      </c>
      <c r="J46" s="18"/>
      <c r="K46" s="18"/>
      <c r="L46" s="21" t="e">
        <f>#REF!</f>
        <v>#REF!</v>
      </c>
      <c r="M46" s="18"/>
      <c r="N46" s="18"/>
      <c r="O46" s="21" t="e">
        <f>#REF!</f>
        <v>#REF!</v>
      </c>
      <c r="P46" s="18"/>
      <c r="Q46" s="18"/>
      <c r="R46" s="22" t="e">
        <f t="shared" si="0"/>
        <v>#REF!</v>
      </c>
      <c r="S46" s="96" t="e">
        <f>#REF!</f>
        <v>#REF!</v>
      </c>
      <c r="T46" s="42"/>
      <c r="U46" s="9"/>
      <c r="V46" s="5" t="e">
        <f t="shared" si="1"/>
        <v>#REF!</v>
      </c>
    </row>
    <row r="47" spans="1:22" s="5" customFormat="1">
      <c r="A47" s="375" t="e">
        <f>#REF!</f>
        <v>#REF!</v>
      </c>
      <c r="B47" s="1056" t="s">
        <v>336</v>
      </c>
      <c r="C47" s="22" t="e">
        <f>#REF!</f>
        <v>#REF!</v>
      </c>
      <c r="D47" s="18"/>
      <c r="E47" s="18"/>
      <c r="F47" s="21" t="e">
        <f>#REF!</f>
        <v>#REF!</v>
      </c>
      <c r="G47" s="18"/>
      <c r="H47" s="18"/>
      <c r="I47" s="21" t="e">
        <f>#REF!</f>
        <v>#REF!</v>
      </c>
      <c r="J47" s="18"/>
      <c r="K47" s="18"/>
      <c r="L47" s="21" t="e">
        <f>#REF!</f>
        <v>#REF!</v>
      </c>
      <c r="M47" s="18"/>
      <c r="N47" s="18"/>
      <c r="O47" s="21" t="e">
        <f>#REF!</f>
        <v>#REF!</v>
      </c>
      <c r="P47" s="18"/>
      <c r="Q47" s="18"/>
      <c r="R47" s="22" t="e">
        <f t="shared" si="0"/>
        <v>#REF!</v>
      </c>
      <c r="S47" s="96" t="e">
        <f>#REF!</f>
        <v>#REF!</v>
      </c>
      <c r="T47" s="42"/>
      <c r="U47" s="9"/>
      <c r="V47" s="5" t="e">
        <f t="shared" si="1"/>
        <v>#REF!</v>
      </c>
    </row>
    <row r="48" spans="1:22" s="5" customFormat="1">
      <c r="A48" s="375" t="e">
        <f>#REF!</f>
        <v>#REF!</v>
      </c>
      <c r="B48" s="1056" t="s">
        <v>336</v>
      </c>
      <c r="C48" s="22" t="e">
        <f>#REF!</f>
        <v>#REF!</v>
      </c>
      <c r="D48" s="18"/>
      <c r="E48" s="18"/>
      <c r="F48" s="21" t="e">
        <f>#REF!</f>
        <v>#REF!</v>
      </c>
      <c r="G48" s="18"/>
      <c r="H48" s="18"/>
      <c r="I48" s="21" t="e">
        <f>#REF!</f>
        <v>#REF!</v>
      </c>
      <c r="J48" s="18"/>
      <c r="K48" s="18"/>
      <c r="L48" s="21" t="e">
        <f>#REF!</f>
        <v>#REF!</v>
      </c>
      <c r="M48" s="18"/>
      <c r="N48" s="18"/>
      <c r="O48" s="21" t="e">
        <f>#REF!</f>
        <v>#REF!</v>
      </c>
      <c r="P48" s="18"/>
      <c r="Q48" s="18"/>
      <c r="R48" s="22" t="e">
        <f t="shared" si="0"/>
        <v>#REF!</v>
      </c>
      <c r="S48" s="96" t="e">
        <f>#REF!</f>
        <v>#REF!</v>
      </c>
      <c r="T48" s="42"/>
      <c r="U48" s="9"/>
      <c r="V48" s="5" t="e">
        <f t="shared" si="1"/>
        <v>#REF!</v>
      </c>
    </row>
    <row r="49" spans="1:22" s="5" customFormat="1">
      <c r="A49" s="375" t="e">
        <f>#REF!</f>
        <v>#REF!</v>
      </c>
      <c r="B49" s="1056" t="s">
        <v>336</v>
      </c>
      <c r="C49" s="22" t="e">
        <f>#REF!</f>
        <v>#REF!</v>
      </c>
      <c r="D49" s="18"/>
      <c r="E49" s="18"/>
      <c r="F49" s="21" t="e">
        <f>#REF!</f>
        <v>#REF!</v>
      </c>
      <c r="G49" s="18"/>
      <c r="H49" s="18"/>
      <c r="I49" s="21" t="e">
        <f>#REF!</f>
        <v>#REF!</v>
      </c>
      <c r="J49" s="18"/>
      <c r="K49" s="18"/>
      <c r="L49" s="21" t="e">
        <f>#REF!</f>
        <v>#REF!</v>
      </c>
      <c r="M49" s="18"/>
      <c r="N49" s="18"/>
      <c r="O49" s="21" t="e">
        <f>#REF!</f>
        <v>#REF!</v>
      </c>
      <c r="P49" s="18"/>
      <c r="Q49" s="18"/>
      <c r="R49" s="22" t="e">
        <f t="shared" si="0"/>
        <v>#REF!</v>
      </c>
      <c r="S49" s="96" t="e">
        <f>#REF!</f>
        <v>#REF!</v>
      </c>
      <c r="T49" s="42"/>
      <c r="U49" s="9"/>
      <c r="V49" s="5" t="e">
        <f t="shared" si="1"/>
        <v>#REF!</v>
      </c>
    </row>
    <row r="50" spans="1:22" s="5" customFormat="1">
      <c r="A50" s="375" t="e">
        <f>#REF!</f>
        <v>#REF!</v>
      </c>
      <c r="B50" s="1056" t="s">
        <v>336</v>
      </c>
      <c r="C50" s="22" t="e">
        <f>#REF!</f>
        <v>#REF!</v>
      </c>
      <c r="D50" s="18"/>
      <c r="E50" s="18"/>
      <c r="F50" s="21" t="e">
        <f>#REF!</f>
        <v>#REF!</v>
      </c>
      <c r="G50" s="18"/>
      <c r="H50" s="18"/>
      <c r="I50" s="21" t="e">
        <f>#REF!</f>
        <v>#REF!</v>
      </c>
      <c r="J50" s="18"/>
      <c r="K50" s="18"/>
      <c r="L50" s="21" t="e">
        <f>#REF!</f>
        <v>#REF!</v>
      </c>
      <c r="M50" s="18"/>
      <c r="N50" s="18"/>
      <c r="O50" s="21" t="e">
        <f>#REF!</f>
        <v>#REF!</v>
      </c>
      <c r="P50" s="18"/>
      <c r="Q50" s="18"/>
      <c r="R50" s="22" t="e">
        <f t="shared" si="0"/>
        <v>#REF!</v>
      </c>
      <c r="S50" s="96" t="e">
        <f>#REF!</f>
        <v>#REF!</v>
      </c>
      <c r="T50" s="42"/>
      <c r="U50" s="9"/>
      <c r="V50" s="5" t="e">
        <f t="shared" si="1"/>
        <v>#REF!</v>
      </c>
    </row>
    <row r="51" spans="1:22" s="5" customFormat="1">
      <c r="A51" s="375" t="e">
        <f>#REF!</f>
        <v>#REF!</v>
      </c>
      <c r="B51" s="1056" t="s">
        <v>336</v>
      </c>
      <c r="C51" s="22" t="e">
        <f>#REF!</f>
        <v>#REF!</v>
      </c>
      <c r="D51" s="18"/>
      <c r="E51" s="18"/>
      <c r="F51" s="21" t="e">
        <f>#REF!</f>
        <v>#REF!</v>
      </c>
      <c r="G51" s="18"/>
      <c r="H51" s="18"/>
      <c r="I51" s="21" t="e">
        <f>#REF!</f>
        <v>#REF!</v>
      </c>
      <c r="J51" s="18"/>
      <c r="K51" s="18"/>
      <c r="L51" s="21" t="e">
        <f>#REF!</f>
        <v>#REF!</v>
      </c>
      <c r="M51" s="18"/>
      <c r="N51" s="18"/>
      <c r="O51" s="21" t="e">
        <f>#REF!</f>
        <v>#REF!</v>
      </c>
      <c r="P51" s="18"/>
      <c r="Q51" s="18"/>
      <c r="R51" s="22" t="e">
        <f t="shared" si="0"/>
        <v>#REF!</v>
      </c>
      <c r="S51" s="96" t="e">
        <f>#REF!</f>
        <v>#REF!</v>
      </c>
      <c r="T51" s="42"/>
      <c r="U51" s="9"/>
      <c r="V51" s="5" t="e">
        <f t="shared" si="1"/>
        <v>#REF!</v>
      </c>
    </row>
    <row r="52" spans="1:22" s="5" customFormat="1">
      <c r="A52" s="375" t="e">
        <f>#REF!</f>
        <v>#REF!</v>
      </c>
      <c r="B52" s="1056" t="s">
        <v>336</v>
      </c>
      <c r="C52" s="22" t="e">
        <f>#REF!</f>
        <v>#REF!</v>
      </c>
      <c r="D52" s="18"/>
      <c r="E52" s="18"/>
      <c r="F52" s="21" t="e">
        <f>#REF!</f>
        <v>#REF!</v>
      </c>
      <c r="G52" s="18"/>
      <c r="H52" s="18"/>
      <c r="I52" s="21" t="e">
        <f>#REF!</f>
        <v>#REF!</v>
      </c>
      <c r="J52" s="18"/>
      <c r="K52" s="18"/>
      <c r="L52" s="21" t="e">
        <f>#REF!</f>
        <v>#REF!</v>
      </c>
      <c r="M52" s="18"/>
      <c r="N52" s="18"/>
      <c r="O52" s="21" t="e">
        <f>#REF!</f>
        <v>#REF!</v>
      </c>
      <c r="P52" s="18"/>
      <c r="Q52" s="18"/>
      <c r="R52" s="22" t="e">
        <f t="shared" si="0"/>
        <v>#REF!</v>
      </c>
      <c r="S52" s="96" t="e">
        <f>#REF!</f>
        <v>#REF!</v>
      </c>
      <c r="T52" s="42"/>
      <c r="U52" s="9"/>
      <c r="V52" s="5" t="e">
        <f t="shared" si="1"/>
        <v>#REF!</v>
      </c>
    </row>
    <row r="53" spans="1:22" s="5" customFormat="1">
      <c r="A53" s="375" t="e">
        <f>#REF!</f>
        <v>#REF!</v>
      </c>
      <c r="B53" s="1056" t="s">
        <v>336</v>
      </c>
      <c r="C53" s="22" t="e">
        <f>#REF!</f>
        <v>#REF!</v>
      </c>
      <c r="D53" s="18"/>
      <c r="E53" s="18"/>
      <c r="F53" s="21" t="e">
        <f>#REF!</f>
        <v>#REF!</v>
      </c>
      <c r="G53" s="18"/>
      <c r="H53" s="18"/>
      <c r="I53" s="21" t="e">
        <f>#REF!</f>
        <v>#REF!</v>
      </c>
      <c r="J53" s="18"/>
      <c r="K53" s="18"/>
      <c r="L53" s="21" t="e">
        <f>#REF!</f>
        <v>#REF!</v>
      </c>
      <c r="M53" s="18"/>
      <c r="N53" s="18"/>
      <c r="O53" s="21" t="e">
        <f>#REF!</f>
        <v>#REF!</v>
      </c>
      <c r="P53" s="18"/>
      <c r="Q53" s="18"/>
      <c r="R53" s="22" t="e">
        <f t="shared" si="0"/>
        <v>#REF!</v>
      </c>
      <c r="S53" s="96" t="e">
        <f>#REF!</f>
        <v>#REF!</v>
      </c>
      <c r="T53" s="42"/>
      <c r="U53" s="9"/>
      <c r="V53" s="5" t="e">
        <f t="shared" si="1"/>
        <v>#REF!</v>
      </c>
    </row>
    <row r="54" spans="1:22" s="5" customFormat="1">
      <c r="A54" s="375" t="e">
        <f>#REF!</f>
        <v>#REF!</v>
      </c>
      <c r="B54" s="1056" t="s">
        <v>336</v>
      </c>
      <c r="C54" s="22" t="e">
        <f>#REF!</f>
        <v>#REF!</v>
      </c>
      <c r="D54" s="18"/>
      <c r="E54" s="18"/>
      <c r="F54" s="21" t="e">
        <f>#REF!</f>
        <v>#REF!</v>
      </c>
      <c r="G54" s="18"/>
      <c r="H54" s="18"/>
      <c r="I54" s="21" t="e">
        <f>#REF!</f>
        <v>#REF!</v>
      </c>
      <c r="J54" s="18"/>
      <c r="K54" s="18"/>
      <c r="L54" s="21" t="e">
        <f>#REF!</f>
        <v>#REF!</v>
      </c>
      <c r="M54" s="18"/>
      <c r="N54" s="18"/>
      <c r="O54" s="21" t="e">
        <f>#REF!</f>
        <v>#REF!</v>
      </c>
      <c r="P54" s="18"/>
      <c r="Q54" s="18"/>
      <c r="R54" s="22" t="e">
        <f t="shared" si="0"/>
        <v>#REF!</v>
      </c>
      <c r="S54" s="96" t="e">
        <f>#REF!</f>
        <v>#REF!</v>
      </c>
      <c r="T54" s="42"/>
      <c r="U54" s="9"/>
      <c r="V54" s="5" t="e">
        <f t="shared" si="1"/>
        <v>#REF!</v>
      </c>
    </row>
    <row r="55" spans="1:22" s="5" customFormat="1">
      <c r="A55" s="375" t="e">
        <f>#REF!</f>
        <v>#REF!</v>
      </c>
      <c r="B55" s="1056" t="s">
        <v>336</v>
      </c>
      <c r="C55" s="22" t="e">
        <f>#REF!</f>
        <v>#REF!</v>
      </c>
      <c r="D55" s="18"/>
      <c r="E55" s="18"/>
      <c r="F55" s="21" t="e">
        <f>#REF!</f>
        <v>#REF!</v>
      </c>
      <c r="G55" s="18"/>
      <c r="H55" s="18"/>
      <c r="I55" s="21" t="e">
        <f>#REF!</f>
        <v>#REF!</v>
      </c>
      <c r="J55" s="18"/>
      <c r="K55" s="18"/>
      <c r="L55" s="21" t="e">
        <f>#REF!</f>
        <v>#REF!</v>
      </c>
      <c r="M55" s="18"/>
      <c r="N55" s="18"/>
      <c r="O55" s="21" t="e">
        <f>#REF!</f>
        <v>#REF!</v>
      </c>
      <c r="P55" s="18"/>
      <c r="Q55" s="18"/>
      <c r="R55" s="22" t="e">
        <f t="shared" si="0"/>
        <v>#REF!</v>
      </c>
      <c r="S55" s="96" t="e">
        <f>#REF!</f>
        <v>#REF!</v>
      </c>
      <c r="T55" s="42"/>
      <c r="U55" s="9"/>
      <c r="V55" s="5" t="e">
        <f t="shared" si="1"/>
        <v>#REF!</v>
      </c>
    </row>
    <row r="56" spans="1:22" s="5" customFormat="1">
      <c r="A56" s="375" t="e">
        <f>#REF!</f>
        <v>#REF!</v>
      </c>
      <c r="B56" s="1056" t="s">
        <v>336</v>
      </c>
      <c r="C56" s="22" t="e">
        <f>#REF!</f>
        <v>#REF!</v>
      </c>
      <c r="D56" s="18"/>
      <c r="E56" s="18"/>
      <c r="F56" s="21" t="e">
        <f>#REF!</f>
        <v>#REF!</v>
      </c>
      <c r="G56" s="18"/>
      <c r="H56" s="18"/>
      <c r="I56" s="21" t="e">
        <f>#REF!</f>
        <v>#REF!</v>
      </c>
      <c r="J56" s="18"/>
      <c r="K56" s="18"/>
      <c r="L56" s="21" t="e">
        <f>#REF!</f>
        <v>#REF!</v>
      </c>
      <c r="M56" s="18"/>
      <c r="N56" s="18"/>
      <c r="O56" s="21" t="e">
        <f>#REF!</f>
        <v>#REF!</v>
      </c>
      <c r="P56" s="18"/>
      <c r="Q56" s="18"/>
      <c r="R56" s="22" t="e">
        <f t="shared" si="0"/>
        <v>#REF!</v>
      </c>
      <c r="S56" s="96" t="e">
        <f>#REF!</f>
        <v>#REF!</v>
      </c>
      <c r="T56" s="42"/>
      <c r="U56" s="9"/>
      <c r="V56" s="5" t="e">
        <f t="shared" si="1"/>
        <v>#REF!</v>
      </c>
    </row>
    <row r="57" spans="1:22" s="5" customFormat="1">
      <c r="A57" s="375" t="e">
        <f>#REF!</f>
        <v>#REF!</v>
      </c>
      <c r="B57" s="1056" t="s">
        <v>336</v>
      </c>
      <c r="C57" s="22" t="e">
        <f>#REF!</f>
        <v>#REF!</v>
      </c>
      <c r="D57" s="18"/>
      <c r="E57" s="18"/>
      <c r="F57" s="21" t="e">
        <f>#REF!</f>
        <v>#REF!</v>
      </c>
      <c r="G57" s="18"/>
      <c r="H57" s="18"/>
      <c r="I57" s="21" t="e">
        <f>#REF!</f>
        <v>#REF!</v>
      </c>
      <c r="J57" s="18"/>
      <c r="K57" s="18"/>
      <c r="L57" s="21" t="e">
        <f>#REF!</f>
        <v>#REF!</v>
      </c>
      <c r="M57" s="18"/>
      <c r="N57" s="18"/>
      <c r="O57" s="21" t="e">
        <f>#REF!</f>
        <v>#REF!</v>
      </c>
      <c r="P57" s="18"/>
      <c r="Q57" s="18"/>
      <c r="R57" s="22" t="e">
        <f t="shared" si="0"/>
        <v>#REF!</v>
      </c>
      <c r="S57" s="96" t="e">
        <f>#REF!</f>
        <v>#REF!</v>
      </c>
      <c r="T57" s="42"/>
      <c r="U57" s="9"/>
      <c r="V57" s="5" t="e">
        <f t="shared" si="1"/>
        <v>#REF!</v>
      </c>
    </row>
    <row r="58" spans="1:22" s="5" customFormat="1">
      <c r="A58" s="375" t="e">
        <f>#REF!</f>
        <v>#REF!</v>
      </c>
      <c r="B58" s="1056" t="s">
        <v>336</v>
      </c>
      <c r="C58" s="22" t="e">
        <f>#REF!</f>
        <v>#REF!</v>
      </c>
      <c r="D58" s="18"/>
      <c r="E58" s="18"/>
      <c r="F58" s="21" t="e">
        <f>#REF!</f>
        <v>#REF!</v>
      </c>
      <c r="G58" s="18"/>
      <c r="H58" s="18"/>
      <c r="I58" s="21" t="e">
        <f>#REF!</f>
        <v>#REF!</v>
      </c>
      <c r="J58" s="18"/>
      <c r="K58" s="18"/>
      <c r="L58" s="21" t="e">
        <f>#REF!</f>
        <v>#REF!</v>
      </c>
      <c r="M58" s="18"/>
      <c r="N58" s="18"/>
      <c r="O58" s="21" t="e">
        <f>#REF!</f>
        <v>#REF!</v>
      </c>
      <c r="P58" s="18"/>
      <c r="Q58" s="18"/>
      <c r="R58" s="22" t="e">
        <f t="shared" si="0"/>
        <v>#REF!</v>
      </c>
      <c r="S58" s="96" t="e">
        <f>#REF!</f>
        <v>#REF!</v>
      </c>
      <c r="T58" s="42"/>
      <c r="U58" s="9"/>
      <c r="V58" s="5" t="e">
        <f t="shared" si="1"/>
        <v>#REF!</v>
      </c>
    </row>
    <row r="59" spans="1:22" s="5" customFormat="1">
      <c r="A59" s="375" t="e">
        <f>#REF!</f>
        <v>#REF!</v>
      </c>
      <c r="B59" s="1056" t="s">
        <v>336</v>
      </c>
      <c r="C59" s="22" t="e">
        <f>#REF!</f>
        <v>#REF!</v>
      </c>
      <c r="D59" s="18"/>
      <c r="E59" s="18"/>
      <c r="F59" s="21" t="e">
        <f>#REF!</f>
        <v>#REF!</v>
      </c>
      <c r="G59" s="18"/>
      <c r="H59" s="18"/>
      <c r="I59" s="21" t="e">
        <f>#REF!</f>
        <v>#REF!</v>
      </c>
      <c r="J59" s="18"/>
      <c r="K59" s="18"/>
      <c r="L59" s="21" t="e">
        <f>#REF!</f>
        <v>#REF!</v>
      </c>
      <c r="M59" s="18"/>
      <c r="N59" s="18"/>
      <c r="O59" s="21" t="e">
        <f>#REF!</f>
        <v>#REF!</v>
      </c>
      <c r="P59" s="18"/>
      <c r="Q59" s="18"/>
      <c r="R59" s="22" t="e">
        <f t="shared" si="0"/>
        <v>#REF!</v>
      </c>
      <c r="S59" s="96" t="e">
        <f>#REF!</f>
        <v>#REF!</v>
      </c>
      <c r="T59" s="42"/>
      <c r="U59" s="9"/>
      <c r="V59" s="5" t="e">
        <f t="shared" si="1"/>
        <v>#REF!</v>
      </c>
    </row>
    <row r="60" spans="1:22" s="5" customFormat="1">
      <c r="A60" s="375" t="e">
        <f>#REF!</f>
        <v>#REF!</v>
      </c>
      <c r="B60" s="1056" t="s">
        <v>336</v>
      </c>
      <c r="C60" s="22" t="e">
        <f>#REF!</f>
        <v>#REF!</v>
      </c>
      <c r="D60" s="18"/>
      <c r="E60" s="18"/>
      <c r="F60" s="21" t="e">
        <f>#REF!</f>
        <v>#REF!</v>
      </c>
      <c r="G60" s="18"/>
      <c r="H60" s="18"/>
      <c r="I60" s="21" t="e">
        <f>#REF!</f>
        <v>#REF!</v>
      </c>
      <c r="J60" s="18"/>
      <c r="K60" s="18"/>
      <c r="L60" s="21" t="e">
        <f>#REF!</f>
        <v>#REF!</v>
      </c>
      <c r="M60" s="18"/>
      <c r="N60" s="18"/>
      <c r="O60" s="21" t="e">
        <f>#REF!</f>
        <v>#REF!</v>
      </c>
      <c r="P60" s="18"/>
      <c r="Q60" s="18"/>
      <c r="R60" s="22" t="e">
        <f t="shared" si="0"/>
        <v>#REF!</v>
      </c>
      <c r="S60" s="96" t="e">
        <f>#REF!</f>
        <v>#REF!</v>
      </c>
      <c r="T60" s="42"/>
      <c r="U60" s="9"/>
      <c r="V60" s="5" t="e">
        <f t="shared" si="1"/>
        <v>#REF!</v>
      </c>
    </row>
    <row r="61" spans="1:22" s="5" customFormat="1">
      <c r="A61" s="375" t="e">
        <f>#REF!</f>
        <v>#REF!</v>
      </c>
      <c r="B61" s="1056" t="s">
        <v>336</v>
      </c>
      <c r="C61" s="22" t="e">
        <f>#REF!</f>
        <v>#REF!</v>
      </c>
      <c r="D61" s="18"/>
      <c r="E61" s="18"/>
      <c r="F61" s="21" t="e">
        <f>#REF!</f>
        <v>#REF!</v>
      </c>
      <c r="G61" s="18"/>
      <c r="H61" s="18"/>
      <c r="I61" s="21" t="e">
        <f>#REF!</f>
        <v>#REF!</v>
      </c>
      <c r="J61" s="18"/>
      <c r="K61" s="18"/>
      <c r="L61" s="21" t="e">
        <f>#REF!</f>
        <v>#REF!</v>
      </c>
      <c r="M61" s="18"/>
      <c r="N61" s="18"/>
      <c r="O61" s="21" t="e">
        <f>#REF!</f>
        <v>#REF!</v>
      </c>
      <c r="P61" s="18"/>
      <c r="Q61" s="18"/>
      <c r="R61" s="22" t="e">
        <f t="shared" ref="R61:R92" si="2">C61+F61+I61+L61+O61</f>
        <v>#REF!</v>
      </c>
      <c r="S61" s="96" t="e">
        <f>#REF!</f>
        <v>#REF!</v>
      </c>
      <c r="T61" s="42"/>
      <c r="U61" s="9"/>
      <c r="V61" s="5" t="e">
        <f t="shared" si="1"/>
        <v>#REF!</v>
      </c>
    </row>
    <row r="62" spans="1:22" s="5" customFormat="1">
      <c r="A62" s="375" t="e">
        <f>#REF!</f>
        <v>#REF!</v>
      </c>
      <c r="B62" s="1056" t="s">
        <v>336</v>
      </c>
      <c r="C62" s="22" t="e">
        <f>#REF!</f>
        <v>#REF!</v>
      </c>
      <c r="D62" s="18"/>
      <c r="E62" s="18"/>
      <c r="F62" s="21" t="e">
        <f>#REF!</f>
        <v>#REF!</v>
      </c>
      <c r="G62" s="18"/>
      <c r="H62" s="18"/>
      <c r="I62" s="21" t="e">
        <f>#REF!</f>
        <v>#REF!</v>
      </c>
      <c r="J62" s="18"/>
      <c r="K62" s="18"/>
      <c r="L62" s="21" t="e">
        <f>#REF!</f>
        <v>#REF!</v>
      </c>
      <c r="M62" s="18"/>
      <c r="N62" s="18"/>
      <c r="O62" s="21" t="e">
        <f>#REF!</f>
        <v>#REF!</v>
      </c>
      <c r="P62" s="18"/>
      <c r="Q62" s="18"/>
      <c r="R62" s="22" t="e">
        <f t="shared" si="2"/>
        <v>#REF!</v>
      </c>
      <c r="S62" s="96" t="e">
        <f>#REF!</f>
        <v>#REF!</v>
      </c>
      <c r="T62" s="42"/>
      <c r="U62" s="9"/>
      <c r="V62" s="5" t="e">
        <f t="shared" si="1"/>
        <v>#REF!</v>
      </c>
    </row>
    <row r="63" spans="1:22" s="5" customFormat="1">
      <c r="A63" s="375" t="e">
        <f>#REF!</f>
        <v>#REF!</v>
      </c>
      <c r="B63" s="1056" t="s">
        <v>336</v>
      </c>
      <c r="C63" s="22" t="e">
        <f>#REF!</f>
        <v>#REF!</v>
      </c>
      <c r="D63" s="18"/>
      <c r="E63" s="18"/>
      <c r="F63" s="21" t="e">
        <f>#REF!</f>
        <v>#REF!</v>
      </c>
      <c r="G63" s="18"/>
      <c r="H63" s="18"/>
      <c r="I63" s="21" t="e">
        <f>#REF!</f>
        <v>#REF!</v>
      </c>
      <c r="J63" s="18"/>
      <c r="K63" s="18"/>
      <c r="L63" s="21" t="e">
        <f>#REF!</f>
        <v>#REF!</v>
      </c>
      <c r="M63" s="18"/>
      <c r="N63" s="18"/>
      <c r="O63" s="21" t="e">
        <f>#REF!</f>
        <v>#REF!</v>
      </c>
      <c r="P63" s="18"/>
      <c r="Q63" s="18"/>
      <c r="R63" s="22" t="e">
        <f t="shared" si="2"/>
        <v>#REF!</v>
      </c>
      <c r="S63" s="96" t="e">
        <f>#REF!</f>
        <v>#REF!</v>
      </c>
      <c r="T63" s="42"/>
      <c r="U63" s="9"/>
      <c r="V63" s="5" t="e">
        <f t="shared" si="1"/>
        <v>#REF!</v>
      </c>
    </row>
    <row r="64" spans="1:22" s="5" customFormat="1">
      <c r="A64" s="375" t="e">
        <f>#REF!</f>
        <v>#REF!</v>
      </c>
      <c r="B64" s="1056" t="s">
        <v>336</v>
      </c>
      <c r="C64" s="22" t="e">
        <f>#REF!</f>
        <v>#REF!</v>
      </c>
      <c r="D64" s="18"/>
      <c r="E64" s="18"/>
      <c r="F64" s="21" t="e">
        <f>#REF!</f>
        <v>#REF!</v>
      </c>
      <c r="G64" s="18"/>
      <c r="H64" s="18"/>
      <c r="I64" s="21" t="e">
        <f>#REF!</f>
        <v>#REF!</v>
      </c>
      <c r="J64" s="18"/>
      <c r="K64" s="18"/>
      <c r="L64" s="21" t="e">
        <f>#REF!</f>
        <v>#REF!</v>
      </c>
      <c r="M64" s="18"/>
      <c r="N64" s="18"/>
      <c r="O64" s="21" t="e">
        <f>#REF!</f>
        <v>#REF!</v>
      </c>
      <c r="P64" s="18"/>
      <c r="Q64" s="18"/>
      <c r="R64" s="22" t="e">
        <f t="shared" si="2"/>
        <v>#REF!</v>
      </c>
      <c r="S64" s="96" t="e">
        <f>#REF!</f>
        <v>#REF!</v>
      </c>
      <c r="T64" s="42"/>
      <c r="U64" s="9"/>
      <c r="V64" s="5" t="e">
        <f t="shared" si="1"/>
        <v>#REF!</v>
      </c>
    </row>
    <row r="65" spans="1:22" s="5" customFormat="1">
      <c r="A65" s="375" t="e">
        <f>#REF!</f>
        <v>#REF!</v>
      </c>
      <c r="B65" s="1056" t="s">
        <v>336</v>
      </c>
      <c r="C65" s="22" t="e">
        <f>#REF!</f>
        <v>#REF!</v>
      </c>
      <c r="D65" s="18"/>
      <c r="E65" s="18"/>
      <c r="F65" s="21" t="e">
        <f>#REF!</f>
        <v>#REF!</v>
      </c>
      <c r="G65" s="18"/>
      <c r="H65" s="18"/>
      <c r="I65" s="21" t="e">
        <f>#REF!</f>
        <v>#REF!</v>
      </c>
      <c r="J65" s="18"/>
      <c r="K65" s="18"/>
      <c r="L65" s="21" t="e">
        <f>#REF!</f>
        <v>#REF!</v>
      </c>
      <c r="M65" s="18"/>
      <c r="N65" s="18"/>
      <c r="O65" s="21" t="e">
        <f>#REF!</f>
        <v>#REF!</v>
      </c>
      <c r="P65" s="18"/>
      <c r="Q65" s="18"/>
      <c r="R65" s="22" t="e">
        <f t="shared" si="2"/>
        <v>#REF!</v>
      </c>
      <c r="S65" s="96" t="e">
        <f>#REF!</f>
        <v>#REF!</v>
      </c>
      <c r="T65" s="42"/>
      <c r="U65" s="9"/>
      <c r="V65" s="5" t="e">
        <f t="shared" si="1"/>
        <v>#REF!</v>
      </c>
    </row>
    <row r="66" spans="1:22" s="5" customFormat="1">
      <c r="A66" s="375" t="e">
        <f>#REF!</f>
        <v>#REF!</v>
      </c>
      <c r="B66" s="1056" t="s">
        <v>336</v>
      </c>
      <c r="C66" s="22" t="e">
        <f>#REF!</f>
        <v>#REF!</v>
      </c>
      <c r="D66" s="18"/>
      <c r="E66" s="18"/>
      <c r="F66" s="21" t="e">
        <f>#REF!</f>
        <v>#REF!</v>
      </c>
      <c r="G66" s="18"/>
      <c r="H66" s="18"/>
      <c r="I66" s="21" t="e">
        <f>#REF!</f>
        <v>#REF!</v>
      </c>
      <c r="J66" s="18"/>
      <c r="K66" s="18"/>
      <c r="L66" s="21" t="e">
        <f>#REF!</f>
        <v>#REF!</v>
      </c>
      <c r="M66" s="18"/>
      <c r="N66" s="18"/>
      <c r="O66" s="21" t="e">
        <f>#REF!</f>
        <v>#REF!</v>
      </c>
      <c r="P66" s="18"/>
      <c r="Q66" s="18"/>
      <c r="R66" s="22" t="e">
        <f t="shared" si="2"/>
        <v>#REF!</v>
      </c>
      <c r="S66" s="96" t="e">
        <f>#REF!</f>
        <v>#REF!</v>
      </c>
      <c r="T66" s="42"/>
      <c r="U66" s="9"/>
      <c r="V66" s="5" t="e">
        <f t="shared" si="1"/>
        <v>#REF!</v>
      </c>
    </row>
    <row r="67" spans="1:22" s="5" customFormat="1">
      <c r="A67" s="375" t="e">
        <f>#REF!</f>
        <v>#REF!</v>
      </c>
      <c r="B67" s="1056" t="s">
        <v>336</v>
      </c>
      <c r="C67" s="22" t="e">
        <f>#REF!</f>
        <v>#REF!</v>
      </c>
      <c r="D67" s="18"/>
      <c r="E67" s="18"/>
      <c r="F67" s="21" t="e">
        <f>#REF!</f>
        <v>#REF!</v>
      </c>
      <c r="G67" s="18"/>
      <c r="H67" s="18"/>
      <c r="I67" s="21" t="e">
        <f>#REF!</f>
        <v>#REF!</v>
      </c>
      <c r="J67" s="18"/>
      <c r="K67" s="18"/>
      <c r="L67" s="21" t="e">
        <f>#REF!</f>
        <v>#REF!</v>
      </c>
      <c r="M67" s="18"/>
      <c r="N67" s="18"/>
      <c r="O67" s="21" t="e">
        <f>#REF!</f>
        <v>#REF!</v>
      </c>
      <c r="P67" s="18"/>
      <c r="Q67" s="18"/>
      <c r="R67" s="22" t="e">
        <f t="shared" si="2"/>
        <v>#REF!</v>
      </c>
      <c r="S67" s="96" t="e">
        <f>#REF!</f>
        <v>#REF!</v>
      </c>
      <c r="T67" s="42"/>
      <c r="U67" s="9"/>
      <c r="V67" s="5" t="e">
        <f t="shared" si="1"/>
        <v>#REF!</v>
      </c>
    </row>
    <row r="68" spans="1:22" s="5" customFormat="1">
      <c r="A68" s="375" t="e">
        <f>#REF!</f>
        <v>#REF!</v>
      </c>
      <c r="B68" s="1056" t="s">
        <v>336</v>
      </c>
      <c r="C68" s="22" t="e">
        <f>#REF!</f>
        <v>#REF!</v>
      </c>
      <c r="D68" s="18"/>
      <c r="E68" s="18"/>
      <c r="F68" s="21" t="e">
        <f>#REF!</f>
        <v>#REF!</v>
      </c>
      <c r="G68" s="18"/>
      <c r="H68" s="18"/>
      <c r="I68" s="21" t="e">
        <f>#REF!</f>
        <v>#REF!</v>
      </c>
      <c r="J68" s="18"/>
      <c r="K68" s="18"/>
      <c r="L68" s="21" t="e">
        <f>#REF!</f>
        <v>#REF!</v>
      </c>
      <c r="M68" s="18"/>
      <c r="N68" s="18"/>
      <c r="O68" s="21" t="e">
        <f>#REF!</f>
        <v>#REF!</v>
      </c>
      <c r="P68" s="18"/>
      <c r="Q68" s="18"/>
      <c r="R68" s="22" t="e">
        <f t="shared" si="2"/>
        <v>#REF!</v>
      </c>
      <c r="S68" s="96" t="e">
        <f>#REF!</f>
        <v>#REF!</v>
      </c>
      <c r="T68" s="42"/>
      <c r="U68" s="9"/>
      <c r="V68" s="5" t="e">
        <f t="shared" si="1"/>
        <v>#REF!</v>
      </c>
    </row>
    <row r="69" spans="1:22" s="5" customFormat="1">
      <c r="A69" s="375" t="e">
        <f>#REF!</f>
        <v>#REF!</v>
      </c>
      <c r="B69" s="1056" t="s">
        <v>336</v>
      </c>
      <c r="C69" s="22" t="e">
        <f>#REF!</f>
        <v>#REF!</v>
      </c>
      <c r="D69" s="18"/>
      <c r="E69" s="18"/>
      <c r="F69" s="21" t="e">
        <f>#REF!</f>
        <v>#REF!</v>
      </c>
      <c r="G69" s="18"/>
      <c r="H69" s="18"/>
      <c r="I69" s="21" t="e">
        <f>#REF!</f>
        <v>#REF!</v>
      </c>
      <c r="J69" s="18"/>
      <c r="K69" s="18"/>
      <c r="L69" s="21" t="e">
        <f>#REF!</f>
        <v>#REF!</v>
      </c>
      <c r="M69" s="18"/>
      <c r="N69" s="18"/>
      <c r="O69" s="21" t="e">
        <f>#REF!</f>
        <v>#REF!</v>
      </c>
      <c r="P69" s="18"/>
      <c r="Q69" s="18"/>
      <c r="R69" s="22" t="e">
        <f t="shared" si="2"/>
        <v>#REF!</v>
      </c>
      <c r="S69" s="96" t="e">
        <f>#REF!</f>
        <v>#REF!</v>
      </c>
      <c r="T69" s="42"/>
      <c r="U69" s="9"/>
      <c r="V69" s="5" t="e">
        <f t="shared" si="1"/>
        <v>#REF!</v>
      </c>
    </row>
    <row r="70" spans="1:22" s="5" customFormat="1">
      <c r="A70" s="375" t="e">
        <f>#REF!</f>
        <v>#REF!</v>
      </c>
      <c r="B70" s="1056" t="s">
        <v>336</v>
      </c>
      <c r="C70" s="22" t="e">
        <f>#REF!</f>
        <v>#REF!</v>
      </c>
      <c r="D70" s="18"/>
      <c r="E70" s="18"/>
      <c r="F70" s="21" t="e">
        <f>#REF!</f>
        <v>#REF!</v>
      </c>
      <c r="G70" s="18"/>
      <c r="H70" s="18"/>
      <c r="I70" s="21" t="e">
        <f>#REF!</f>
        <v>#REF!</v>
      </c>
      <c r="J70" s="18"/>
      <c r="K70" s="18"/>
      <c r="L70" s="21" t="e">
        <f>#REF!</f>
        <v>#REF!</v>
      </c>
      <c r="M70" s="18"/>
      <c r="N70" s="18"/>
      <c r="O70" s="21" t="e">
        <f>#REF!</f>
        <v>#REF!</v>
      </c>
      <c r="P70" s="18"/>
      <c r="Q70" s="18"/>
      <c r="R70" s="22" t="e">
        <f t="shared" si="2"/>
        <v>#REF!</v>
      </c>
      <c r="S70" s="96" t="e">
        <f>#REF!</f>
        <v>#REF!</v>
      </c>
      <c r="T70" s="42"/>
      <c r="U70" s="9"/>
      <c r="V70" s="5" t="e">
        <f t="shared" si="1"/>
        <v>#REF!</v>
      </c>
    </row>
    <row r="71" spans="1:22" s="5" customFormat="1">
      <c r="A71" s="375" t="e">
        <f>#REF!</f>
        <v>#REF!</v>
      </c>
      <c r="B71" s="1056" t="s">
        <v>336</v>
      </c>
      <c r="C71" s="22" t="e">
        <f>#REF!</f>
        <v>#REF!</v>
      </c>
      <c r="D71" s="18"/>
      <c r="E71" s="18"/>
      <c r="F71" s="21" t="e">
        <f>#REF!</f>
        <v>#REF!</v>
      </c>
      <c r="G71" s="18"/>
      <c r="H71" s="18"/>
      <c r="I71" s="21" t="e">
        <f>#REF!</f>
        <v>#REF!</v>
      </c>
      <c r="J71" s="18"/>
      <c r="K71" s="18"/>
      <c r="L71" s="21" t="e">
        <f>#REF!</f>
        <v>#REF!</v>
      </c>
      <c r="M71" s="18"/>
      <c r="N71" s="18"/>
      <c r="O71" s="21" t="e">
        <f>#REF!</f>
        <v>#REF!</v>
      </c>
      <c r="P71" s="18"/>
      <c r="Q71" s="18"/>
      <c r="R71" s="22" t="e">
        <f t="shared" si="2"/>
        <v>#REF!</v>
      </c>
      <c r="S71" s="96" t="e">
        <f>#REF!</f>
        <v>#REF!</v>
      </c>
      <c r="T71" s="42"/>
      <c r="U71" s="9"/>
      <c r="V71" s="5" t="e">
        <f t="shared" si="1"/>
        <v>#REF!</v>
      </c>
    </row>
    <row r="72" spans="1:22" s="5" customFormat="1">
      <c r="A72" s="375" t="e">
        <f>#REF!</f>
        <v>#REF!</v>
      </c>
      <c r="B72" s="1056" t="s">
        <v>336</v>
      </c>
      <c r="C72" s="22" t="e">
        <f>#REF!</f>
        <v>#REF!</v>
      </c>
      <c r="D72" s="18"/>
      <c r="E72" s="18"/>
      <c r="F72" s="21" t="e">
        <f>#REF!</f>
        <v>#REF!</v>
      </c>
      <c r="G72" s="18"/>
      <c r="H72" s="18"/>
      <c r="I72" s="21" t="e">
        <f>#REF!</f>
        <v>#REF!</v>
      </c>
      <c r="J72" s="18"/>
      <c r="K72" s="18"/>
      <c r="L72" s="21" t="e">
        <f>#REF!</f>
        <v>#REF!</v>
      </c>
      <c r="M72" s="18"/>
      <c r="N72" s="18"/>
      <c r="O72" s="21" t="e">
        <f>#REF!</f>
        <v>#REF!</v>
      </c>
      <c r="P72" s="18"/>
      <c r="Q72" s="18"/>
      <c r="R72" s="22" t="e">
        <f t="shared" si="2"/>
        <v>#REF!</v>
      </c>
      <c r="S72" s="96" t="e">
        <f>#REF!</f>
        <v>#REF!</v>
      </c>
      <c r="T72" s="42"/>
      <c r="U72" s="9"/>
      <c r="V72" s="5" t="e">
        <f t="shared" si="1"/>
        <v>#REF!</v>
      </c>
    </row>
    <row r="73" spans="1:22" s="5" customFormat="1">
      <c r="A73" s="375" t="e">
        <f>#REF!</f>
        <v>#REF!</v>
      </c>
      <c r="B73" s="1056" t="s">
        <v>336</v>
      </c>
      <c r="C73" s="22" t="e">
        <f>#REF!</f>
        <v>#REF!</v>
      </c>
      <c r="D73" s="18"/>
      <c r="E73" s="18"/>
      <c r="F73" s="21" t="e">
        <f>#REF!</f>
        <v>#REF!</v>
      </c>
      <c r="G73" s="18"/>
      <c r="H73" s="18"/>
      <c r="I73" s="21" t="e">
        <f>#REF!</f>
        <v>#REF!</v>
      </c>
      <c r="J73" s="18"/>
      <c r="K73" s="18"/>
      <c r="L73" s="21" t="e">
        <f>#REF!</f>
        <v>#REF!</v>
      </c>
      <c r="M73" s="18"/>
      <c r="N73" s="18"/>
      <c r="O73" s="21" t="e">
        <f>#REF!</f>
        <v>#REF!</v>
      </c>
      <c r="P73" s="18"/>
      <c r="Q73" s="18"/>
      <c r="R73" s="22" t="e">
        <f t="shared" si="2"/>
        <v>#REF!</v>
      </c>
      <c r="S73" s="96" t="e">
        <f>#REF!</f>
        <v>#REF!</v>
      </c>
      <c r="T73" s="42"/>
      <c r="U73" s="9"/>
      <c r="V73" s="5" t="e">
        <f t="shared" si="1"/>
        <v>#REF!</v>
      </c>
    </row>
    <row r="74" spans="1:22" s="5" customFormat="1">
      <c r="A74" s="375" t="e">
        <f>#REF!</f>
        <v>#REF!</v>
      </c>
      <c r="B74" s="1056" t="s">
        <v>336</v>
      </c>
      <c r="C74" s="22" t="e">
        <f>#REF!</f>
        <v>#REF!</v>
      </c>
      <c r="D74" s="18"/>
      <c r="E74" s="18"/>
      <c r="F74" s="21" t="e">
        <f>#REF!</f>
        <v>#REF!</v>
      </c>
      <c r="G74" s="18"/>
      <c r="H74" s="18"/>
      <c r="I74" s="21" t="e">
        <f>#REF!</f>
        <v>#REF!</v>
      </c>
      <c r="J74" s="18"/>
      <c r="K74" s="18"/>
      <c r="L74" s="21" t="e">
        <f>#REF!</f>
        <v>#REF!</v>
      </c>
      <c r="M74" s="18"/>
      <c r="N74" s="18"/>
      <c r="O74" s="21" t="e">
        <f>#REF!</f>
        <v>#REF!</v>
      </c>
      <c r="P74" s="18"/>
      <c r="Q74" s="18"/>
      <c r="R74" s="22" t="e">
        <f t="shared" si="2"/>
        <v>#REF!</v>
      </c>
      <c r="S74" s="96" t="e">
        <f>#REF!</f>
        <v>#REF!</v>
      </c>
      <c r="T74" s="42"/>
      <c r="U74" s="9"/>
      <c r="V74" s="5" t="e">
        <f t="shared" si="1"/>
        <v>#REF!</v>
      </c>
    </row>
    <row r="75" spans="1:22" s="5" customFormat="1">
      <c r="A75" s="375" t="e">
        <f>#REF!</f>
        <v>#REF!</v>
      </c>
      <c r="B75" s="1056" t="s">
        <v>336</v>
      </c>
      <c r="C75" s="22" t="e">
        <f>#REF!</f>
        <v>#REF!</v>
      </c>
      <c r="D75" s="18"/>
      <c r="E75" s="18"/>
      <c r="F75" s="21" t="e">
        <f>#REF!</f>
        <v>#REF!</v>
      </c>
      <c r="G75" s="18"/>
      <c r="H75" s="18"/>
      <c r="I75" s="21" t="e">
        <f>#REF!</f>
        <v>#REF!</v>
      </c>
      <c r="J75" s="18"/>
      <c r="K75" s="18"/>
      <c r="L75" s="21" t="e">
        <f>#REF!</f>
        <v>#REF!</v>
      </c>
      <c r="M75" s="18"/>
      <c r="N75" s="18"/>
      <c r="O75" s="21" t="e">
        <f>#REF!</f>
        <v>#REF!</v>
      </c>
      <c r="P75" s="18"/>
      <c r="Q75" s="18"/>
      <c r="R75" s="22" t="e">
        <f t="shared" si="2"/>
        <v>#REF!</v>
      </c>
      <c r="S75" s="96" t="e">
        <f>#REF!</f>
        <v>#REF!</v>
      </c>
      <c r="T75" s="42"/>
      <c r="U75" s="9"/>
      <c r="V75" s="5" t="e">
        <f t="shared" si="1"/>
        <v>#REF!</v>
      </c>
    </row>
    <row r="76" spans="1:22" s="5" customFormat="1">
      <c r="A76" s="375" t="e">
        <f>#REF!</f>
        <v>#REF!</v>
      </c>
      <c r="B76" s="1056" t="s">
        <v>336</v>
      </c>
      <c r="C76" s="22" t="e">
        <f>#REF!</f>
        <v>#REF!</v>
      </c>
      <c r="D76" s="18"/>
      <c r="E76" s="18"/>
      <c r="F76" s="21" t="e">
        <f>#REF!</f>
        <v>#REF!</v>
      </c>
      <c r="G76" s="18"/>
      <c r="H76" s="18"/>
      <c r="I76" s="21" t="e">
        <f>#REF!</f>
        <v>#REF!</v>
      </c>
      <c r="J76" s="18"/>
      <c r="K76" s="18"/>
      <c r="L76" s="21" t="e">
        <f>#REF!</f>
        <v>#REF!</v>
      </c>
      <c r="M76" s="18"/>
      <c r="N76" s="18"/>
      <c r="O76" s="21" t="e">
        <f>#REF!</f>
        <v>#REF!</v>
      </c>
      <c r="P76" s="18"/>
      <c r="Q76" s="18"/>
      <c r="R76" s="22" t="e">
        <f t="shared" si="2"/>
        <v>#REF!</v>
      </c>
      <c r="S76" s="96" t="e">
        <f>#REF!</f>
        <v>#REF!</v>
      </c>
      <c r="T76" s="42"/>
      <c r="U76" s="9"/>
      <c r="V76" s="5" t="e">
        <f t="shared" si="1"/>
        <v>#REF!</v>
      </c>
    </row>
    <row r="77" spans="1:22" s="5" customFormat="1">
      <c r="A77" s="375" t="e">
        <f>#REF!</f>
        <v>#REF!</v>
      </c>
      <c r="B77" s="1056" t="s">
        <v>336</v>
      </c>
      <c r="C77" s="22" t="e">
        <f>#REF!</f>
        <v>#REF!</v>
      </c>
      <c r="D77" s="18"/>
      <c r="E77" s="18"/>
      <c r="F77" s="21" t="e">
        <f>#REF!</f>
        <v>#REF!</v>
      </c>
      <c r="G77" s="18"/>
      <c r="H77" s="18"/>
      <c r="I77" s="21" t="e">
        <f>#REF!</f>
        <v>#REF!</v>
      </c>
      <c r="J77" s="18"/>
      <c r="K77" s="18"/>
      <c r="L77" s="21" t="e">
        <f>#REF!</f>
        <v>#REF!</v>
      </c>
      <c r="M77" s="18"/>
      <c r="N77" s="18"/>
      <c r="O77" s="21" t="e">
        <f>#REF!</f>
        <v>#REF!</v>
      </c>
      <c r="P77" s="18"/>
      <c r="Q77" s="18"/>
      <c r="R77" s="22" t="e">
        <f t="shared" si="2"/>
        <v>#REF!</v>
      </c>
      <c r="S77" s="96" t="e">
        <f>#REF!</f>
        <v>#REF!</v>
      </c>
      <c r="T77" s="42"/>
      <c r="U77" s="9"/>
      <c r="V77" s="5" t="e">
        <f t="shared" si="1"/>
        <v>#REF!</v>
      </c>
    </row>
    <row r="78" spans="1:22" s="5" customFormat="1">
      <c r="A78" s="375" t="e">
        <f>#REF!</f>
        <v>#REF!</v>
      </c>
      <c r="B78" s="1056" t="s">
        <v>336</v>
      </c>
      <c r="C78" s="22" t="e">
        <f>#REF!</f>
        <v>#REF!</v>
      </c>
      <c r="D78" s="18"/>
      <c r="E78" s="18"/>
      <c r="F78" s="21" t="e">
        <f>#REF!</f>
        <v>#REF!</v>
      </c>
      <c r="G78" s="18"/>
      <c r="H78" s="18"/>
      <c r="I78" s="21" t="e">
        <f>#REF!</f>
        <v>#REF!</v>
      </c>
      <c r="J78" s="18"/>
      <c r="K78" s="18"/>
      <c r="L78" s="21" t="e">
        <f>#REF!</f>
        <v>#REF!</v>
      </c>
      <c r="M78" s="18"/>
      <c r="N78" s="18"/>
      <c r="O78" s="21" t="e">
        <f>#REF!</f>
        <v>#REF!</v>
      </c>
      <c r="P78" s="18"/>
      <c r="Q78" s="18"/>
      <c r="R78" s="22" t="e">
        <f t="shared" si="2"/>
        <v>#REF!</v>
      </c>
      <c r="S78" s="96" t="e">
        <f>#REF!</f>
        <v>#REF!</v>
      </c>
      <c r="T78" s="42"/>
      <c r="U78" s="9"/>
      <c r="V78" s="5" t="e">
        <f t="shared" si="1"/>
        <v>#REF!</v>
      </c>
    </row>
    <row r="79" spans="1:22" s="5" customFormat="1">
      <c r="A79" s="375" t="e">
        <f>#REF!</f>
        <v>#REF!</v>
      </c>
      <c r="B79" s="1056" t="s">
        <v>336</v>
      </c>
      <c r="C79" s="22" t="e">
        <f>#REF!</f>
        <v>#REF!</v>
      </c>
      <c r="D79" s="18"/>
      <c r="E79" s="18"/>
      <c r="F79" s="21" t="e">
        <f>#REF!</f>
        <v>#REF!</v>
      </c>
      <c r="G79" s="18"/>
      <c r="H79" s="18"/>
      <c r="I79" s="21" t="e">
        <f>#REF!</f>
        <v>#REF!</v>
      </c>
      <c r="J79" s="18"/>
      <c r="K79" s="18"/>
      <c r="L79" s="21" t="e">
        <f>#REF!</f>
        <v>#REF!</v>
      </c>
      <c r="M79" s="18"/>
      <c r="N79" s="18"/>
      <c r="O79" s="21" t="e">
        <f>#REF!</f>
        <v>#REF!</v>
      </c>
      <c r="P79" s="18"/>
      <c r="Q79" s="18"/>
      <c r="R79" s="22" t="e">
        <f t="shared" si="2"/>
        <v>#REF!</v>
      </c>
      <c r="S79" s="96" t="e">
        <f>#REF!</f>
        <v>#REF!</v>
      </c>
      <c r="T79" s="42"/>
      <c r="U79" s="9"/>
      <c r="V79" s="5" t="e">
        <f t="shared" si="1"/>
        <v>#REF!</v>
      </c>
    </row>
    <row r="80" spans="1:22" s="5" customFormat="1">
      <c r="A80" s="375" t="e">
        <f>#REF!</f>
        <v>#REF!</v>
      </c>
      <c r="B80" s="1056" t="s">
        <v>336</v>
      </c>
      <c r="C80" s="22" t="e">
        <f>#REF!</f>
        <v>#REF!</v>
      </c>
      <c r="D80" s="18"/>
      <c r="E80" s="18"/>
      <c r="F80" s="21" t="e">
        <f>#REF!</f>
        <v>#REF!</v>
      </c>
      <c r="G80" s="18"/>
      <c r="H80" s="18"/>
      <c r="I80" s="21" t="e">
        <f>#REF!</f>
        <v>#REF!</v>
      </c>
      <c r="J80" s="18"/>
      <c r="K80" s="18"/>
      <c r="L80" s="21" t="e">
        <f>#REF!</f>
        <v>#REF!</v>
      </c>
      <c r="M80" s="18"/>
      <c r="N80" s="18"/>
      <c r="O80" s="21" t="e">
        <f>#REF!</f>
        <v>#REF!</v>
      </c>
      <c r="P80" s="18"/>
      <c r="Q80" s="18"/>
      <c r="R80" s="22" t="e">
        <f t="shared" si="2"/>
        <v>#REF!</v>
      </c>
      <c r="S80" s="96" t="e">
        <f>#REF!</f>
        <v>#REF!</v>
      </c>
      <c r="T80" s="42"/>
      <c r="U80" s="9"/>
      <c r="V80" s="5" t="e">
        <f t="shared" si="1"/>
        <v>#REF!</v>
      </c>
    </row>
    <row r="81" spans="1:22" s="5" customFormat="1">
      <c r="A81" s="375" t="e">
        <f>#REF!</f>
        <v>#REF!</v>
      </c>
      <c r="B81" s="1056" t="s">
        <v>336</v>
      </c>
      <c r="C81" s="22" t="e">
        <f>#REF!</f>
        <v>#REF!</v>
      </c>
      <c r="D81" s="18"/>
      <c r="E81" s="18"/>
      <c r="F81" s="21" t="e">
        <f>#REF!</f>
        <v>#REF!</v>
      </c>
      <c r="G81" s="18"/>
      <c r="H81" s="18"/>
      <c r="I81" s="21" t="e">
        <f>#REF!</f>
        <v>#REF!</v>
      </c>
      <c r="J81" s="18"/>
      <c r="K81" s="18"/>
      <c r="L81" s="21" t="e">
        <f>#REF!</f>
        <v>#REF!</v>
      </c>
      <c r="M81" s="18"/>
      <c r="N81" s="18"/>
      <c r="O81" s="21" t="e">
        <f>#REF!</f>
        <v>#REF!</v>
      </c>
      <c r="P81" s="18"/>
      <c r="Q81" s="18"/>
      <c r="R81" s="22" t="e">
        <f t="shared" si="2"/>
        <v>#REF!</v>
      </c>
      <c r="S81" s="96" t="e">
        <f>#REF!</f>
        <v>#REF!</v>
      </c>
      <c r="T81" s="42"/>
      <c r="U81" s="9"/>
      <c r="V81" s="5" t="e">
        <f t="shared" si="1"/>
        <v>#REF!</v>
      </c>
    </row>
    <row r="82" spans="1:22" s="5" customFormat="1">
      <c r="A82" s="375" t="e">
        <f>#REF!</f>
        <v>#REF!</v>
      </c>
      <c r="B82" s="1056" t="s">
        <v>336</v>
      </c>
      <c r="C82" s="22" t="e">
        <f>#REF!</f>
        <v>#REF!</v>
      </c>
      <c r="D82" s="18"/>
      <c r="E82" s="18"/>
      <c r="F82" s="21" t="e">
        <f>#REF!</f>
        <v>#REF!</v>
      </c>
      <c r="G82" s="18"/>
      <c r="H82" s="18"/>
      <c r="I82" s="21" t="e">
        <f>#REF!</f>
        <v>#REF!</v>
      </c>
      <c r="J82" s="18"/>
      <c r="K82" s="18"/>
      <c r="L82" s="21" t="e">
        <f>#REF!</f>
        <v>#REF!</v>
      </c>
      <c r="M82" s="18"/>
      <c r="N82" s="18"/>
      <c r="O82" s="21" t="e">
        <f>#REF!</f>
        <v>#REF!</v>
      </c>
      <c r="P82" s="18"/>
      <c r="Q82" s="18"/>
      <c r="R82" s="22" t="e">
        <f t="shared" si="2"/>
        <v>#REF!</v>
      </c>
      <c r="S82" s="96" t="e">
        <f>#REF!</f>
        <v>#REF!</v>
      </c>
      <c r="T82" s="42"/>
      <c r="U82" s="9"/>
      <c r="V82" s="5" t="e">
        <f t="shared" si="1"/>
        <v>#REF!</v>
      </c>
    </row>
    <row r="83" spans="1:22" s="5" customFormat="1">
      <c r="A83" s="375" t="e">
        <f>#REF!</f>
        <v>#REF!</v>
      </c>
      <c r="B83" s="1056" t="s">
        <v>336</v>
      </c>
      <c r="C83" s="22" t="e">
        <f>#REF!</f>
        <v>#REF!</v>
      </c>
      <c r="D83" s="18"/>
      <c r="E83" s="18"/>
      <c r="F83" s="21" t="e">
        <f>#REF!</f>
        <v>#REF!</v>
      </c>
      <c r="G83" s="18"/>
      <c r="H83" s="18"/>
      <c r="I83" s="21" t="e">
        <f>#REF!</f>
        <v>#REF!</v>
      </c>
      <c r="J83" s="18"/>
      <c r="K83" s="18"/>
      <c r="L83" s="21" t="e">
        <f>#REF!</f>
        <v>#REF!</v>
      </c>
      <c r="M83" s="18"/>
      <c r="N83" s="18"/>
      <c r="O83" s="21" t="e">
        <f>#REF!</f>
        <v>#REF!</v>
      </c>
      <c r="P83" s="18"/>
      <c r="Q83" s="18"/>
      <c r="R83" s="22" t="e">
        <f t="shared" si="2"/>
        <v>#REF!</v>
      </c>
      <c r="S83" s="96" t="e">
        <f>#REF!</f>
        <v>#REF!</v>
      </c>
      <c r="T83" s="42"/>
      <c r="U83" s="9"/>
      <c r="V83" s="5" t="e">
        <f t="shared" si="1"/>
        <v>#REF!</v>
      </c>
    </row>
    <row r="84" spans="1:22" s="5" customFormat="1">
      <c r="A84" s="375" t="e">
        <f>#REF!</f>
        <v>#REF!</v>
      </c>
      <c r="B84" s="1056" t="s">
        <v>336</v>
      </c>
      <c r="C84" s="22" t="e">
        <f>#REF!</f>
        <v>#REF!</v>
      </c>
      <c r="D84" s="18"/>
      <c r="E84" s="18"/>
      <c r="F84" s="21" t="e">
        <f>#REF!</f>
        <v>#REF!</v>
      </c>
      <c r="G84" s="18"/>
      <c r="H84" s="18"/>
      <c r="I84" s="21" t="e">
        <f>#REF!</f>
        <v>#REF!</v>
      </c>
      <c r="J84" s="18"/>
      <c r="K84" s="18"/>
      <c r="L84" s="21" t="e">
        <f>#REF!</f>
        <v>#REF!</v>
      </c>
      <c r="M84" s="18"/>
      <c r="N84" s="18"/>
      <c r="O84" s="21" t="e">
        <f>#REF!</f>
        <v>#REF!</v>
      </c>
      <c r="P84" s="18"/>
      <c r="Q84" s="18"/>
      <c r="R84" s="22" t="e">
        <f t="shared" si="2"/>
        <v>#REF!</v>
      </c>
      <c r="S84" s="96" t="e">
        <f>#REF!</f>
        <v>#REF!</v>
      </c>
      <c r="T84" s="42"/>
      <c r="U84" s="9"/>
      <c r="V84" s="5" t="e">
        <f t="shared" si="1"/>
        <v>#REF!</v>
      </c>
    </row>
    <row r="85" spans="1:22" s="5" customFormat="1">
      <c r="A85" s="375" t="e">
        <f>#REF!</f>
        <v>#REF!</v>
      </c>
      <c r="B85" s="1056" t="s">
        <v>336</v>
      </c>
      <c r="C85" s="22" t="e">
        <f>#REF!</f>
        <v>#REF!</v>
      </c>
      <c r="D85" s="18"/>
      <c r="E85" s="18"/>
      <c r="F85" s="21" t="e">
        <f>#REF!</f>
        <v>#REF!</v>
      </c>
      <c r="G85" s="18"/>
      <c r="H85" s="18"/>
      <c r="I85" s="21" t="e">
        <f>#REF!</f>
        <v>#REF!</v>
      </c>
      <c r="J85" s="18"/>
      <c r="K85" s="18"/>
      <c r="L85" s="21" t="e">
        <f>#REF!</f>
        <v>#REF!</v>
      </c>
      <c r="M85" s="18"/>
      <c r="N85" s="18"/>
      <c r="O85" s="21" t="e">
        <f>#REF!</f>
        <v>#REF!</v>
      </c>
      <c r="P85" s="18"/>
      <c r="Q85" s="18"/>
      <c r="R85" s="22" t="e">
        <f t="shared" si="2"/>
        <v>#REF!</v>
      </c>
      <c r="S85" s="96" t="e">
        <f>#REF!</f>
        <v>#REF!</v>
      </c>
      <c r="T85" s="42"/>
      <c r="U85" s="9"/>
      <c r="V85" s="5" t="e">
        <f t="shared" si="1"/>
        <v>#REF!</v>
      </c>
    </row>
    <row r="86" spans="1:22" s="5" customFormat="1">
      <c r="A86" s="375" t="e">
        <f>#REF!</f>
        <v>#REF!</v>
      </c>
      <c r="B86" s="1056" t="s">
        <v>336</v>
      </c>
      <c r="C86" s="22" t="e">
        <f>#REF!</f>
        <v>#REF!</v>
      </c>
      <c r="D86" s="18"/>
      <c r="E86" s="18"/>
      <c r="F86" s="21" t="e">
        <f>#REF!</f>
        <v>#REF!</v>
      </c>
      <c r="G86" s="18"/>
      <c r="H86" s="18"/>
      <c r="I86" s="21" t="e">
        <f>#REF!</f>
        <v>#REF!</v>
      </c>
      <c r="J86" s="18"/>
      <c r="K86" s="18"/>
      <c r="L86" s="21" t="e">
        <f>#REF!</f>
        <v>#REF!</v>
      </c>
      <c r="M86" s="18"/>
      <c r="N86" s="18"/>
      <c r="O86" s="21" t="e">
        <f>#REF!</f>
        <v>#REF!</v>
      </c>
      <c r="P86" s="18"/>
      <c r="Q86" s="18"/>
      <c r="R86" s="22" t="e">
        <f t="shared" si="2"/>
        <v>#REF!</v>
      </c>
      <c r="S86" s="96" t="e">
        <f>#REF!</f>
        <v>#REF!</v>
      </c>
      <c r="T86" s="42"/>
      <c r="U86" s="9"/>
      <c r="V86" s="5" t="e">
        <f t="shared" si="1"/>
        <v>#REF!</v>
      </c>
    </row>
    <row r="87" spans="1:22" s="5" customFormat="1">
      <c r="A87" s="375" t="e">
        <f>#REF!</f>
        <v>#REF!</v>
      </c>
      <c r="B87" s="1056" t="s">
        <v>336</v>
      </c>
      <c r="C87" s="22" t="e">
        <f>#REF!</f>
        <v>#REF!</v>
      </c>
      <c r="D87" s="18"/>
      <c r="E87" s="18"/>
      <c r="F87" s="21" t="e">
        <f>#REF!</f>
        <v>#REF!</v>
      </c>
      <c r="G87" s="18"/>
      <c r="H87" s="18"/>
      <c r="I87" s="21" t="e">
        <f>#REF!</f>
        <v>#REF!</v>
      </c>
      <c r="J87" s="18"/>
      <c r="K87" s="18"/>
      <c r="L87" s="21" t="e">
        <f>#REF!</f>
        <v>#REF!</v>
      </c>
      <c r="M87" s="18"/>
      <c r="N87" s="18"/>
      <c r="O87" s="21" t="e">
        <f>#REF!</f>
        <v>#REF!</v>
      </c>
      <c r="P87" s="18"/>
      <c r="Q87" s="18"/>
      <c r="R87" s="22" t="e">
        <f t="shared" si="2"/>
        <v>#REF!</v>
      </c>
      <c r="S87" s="96" t="e">
        <f>#REF!</f>
        <v>#REF!</v>
      </c>
      <c r="T87" s="42"/>
      <c r="U87" s="9"/>
      <c r="V87" s="5" t="e">
        <f t="shared" si="1"/>
        <v>#REF!</v>
      </c>
    </row>
    <row r="88" spans="1:22" s="5" customFormat="1">
      <c r="A88" s="375" t="e">
        <f>#REF!</f>
        <v>#REF!</v>
      </c>
      <c r="B88" s="1056" t="s">
        <v>336</v>
      </c>
      <c r="C88" s="22" t="e">
        <f>#REF!</f>
        <v>#REF!</v>
      </c>
      <c r="D88" s="18"/>
      <c r="E88" s="18"/>
      <c r="F88" s="21" t="e">
        <f>#REF!</f>
        <v>#REF!</v>
      </c>
      <c r="G88" s="18"/>
      <c r="H88" s="18"/>
      <c r="I88" s="21" t="e">
        <f>#REF!</f>
        <v>#REF!</v>
      </c>
      <c r="J88" s="18"/>
      <c r="K88" s="18"/>
      <c r="L88" s="21" t="e">
        <f>#REF!</f>
        <v>#REF!</v>
      </c>
      <c r="M88" s="18"/>
      <c r="N88" s="18"/>
      <c r="O88" s="21" t="e">
        <f>#REF!</f>
        <v>#REF!</v>
      </c>
      <c r="P88" s="18"/>
      <c r="Q88" s="18"/>
      <c r="R88" s="22" t="e">
        <f t="shared" si="2"/>
        <v>#REF!</v>
      </c>
      <c r="S88" s="96" t="e">
        <f>#REF!</f>
        <v>#REF!</v>
      </c>
      <c r="T88" s="42"/>
      <c r="U88" s="9"/>
      <c r="V88" s="5" t="e">
        <f t="shared" si="1"/>
        <v>#REF!</v>
      </c>
    </row>
    <row r="89" spans="1:22" s="5" customFormat="1">
      <c r="A89" s="375" t="e">
        <f>#REF!</f>
        <v>#REF!</v>
      </c>
      <c r="B89" s="1056" t="s">
        <v>336</v>
      </c>
      <c r="C89" s="22" t="e">
        <f>#REF!</f>
        <v>#REF!</v>
      </c>
      <c r="D89" s="18"/>
      <c r="E89" s="18"/>
      <c r="F89" s="21" t="e">
        <f>#REF!</f>
        <v>#REF!</v>
      </c>
      <c r="G89" s="18"/>
      <c r="H89" s="18"/>
      <c r="I89" s="21" t="e">
        <f>#REF!</f>
        <v>#REF!</v>
      </c>
      <c r="J89" s="18"/>
      <c r="K89" s="18"/>
      <c r="L89" s="21" t="e">
        <f>#REF!</f>
        <v>#REF!</v>
      </c>
      <c r="M89" s="18"/>
      <c r="N89" s="18"/>
      <c r="O89" s="21" t="e">
        <f>#REF!</f>
        <v>#REF!</v>
      </c>
      <c r="P89" s="18"/>
      <c r="Q89" s="18"/>
      <c r="R89" s="22" t="e">
        <f t="shared" si="2"/>
        <v>#REF!</v>
      </c>
      <c r="S89" s="96" t="e">
        <f>#REF!</f>
        <v>#REF!</v>
      </c>
      <c r="T89" s="42"/>
      <c r="U89" s="9"/>
      <c r="V89" s="5" t="e">
        <f t="shared" si="1"/>
        <v>#REF!</v>
      </c>
    </row>
    <row r="90" spans="1:22" s="5" customFormat="1">
      <c r="A90" s="375" t="e">
        <f>#REF!</f>
        <v>#REF!</v>
      </c>
      <c r="B90" s="1056" t="s">
        <v>336</v>
      </c>
      <c r="C90" s="22" t="e">
        <f>#REF!</f>
        <v>#REF!</v>
      </c>
      <c r="D90" s="18"/>
      <c r="E90" s="18"/>
      <c r="F90" s="21" t="e">
        <f>#REF!</f>
        <v>#REF!</v>
      </c>
      <c r="G90" s="18"/>
      <c r="H90" s="18"/>
      <c r="I90" s="21" t="e">
        <f>#REF!</f>
        <v>#REF!</v>
      </c>
      <c r="J90" s="18"/>
      <c r="K90" s="18"/>
      <c r="L90" s="21" t="e">
        <f>#REF!</f>
        <v>#REF!</v>
      </c>
      <c r="M90" s="18"/>
      <c r="N90" s="18"/>
      <c r="O90" s="21" t="e">
        <f>#REF!</f>
        <v>#REF!</v>
      </c>
      <c r="P90" s="18"/>
      <c r="Q90" s="18"/>
      <c r="R90" s="22" t="e">
        <f t="shared" si="2"/>
        <v>#REF!</v>
      </c>
      <c r="S90" s="96" t="e">
        <f>#REF!</f>
        <v>#REF!</v>
      </c>
      <c r="T90" s="42"/>
      <c r="U90" s="9"/>
      <c r="V90" s="5" t="e">
        <f t="shared" si="1"/>
        <v>#REF!</v>
      </c>
    </row>
    <row r="91" spans="1:22" s="5" customFormat="1">
      <c r="A91" s="375" t="e">
        <f>#REF!</f>
        <v>#REF!</v>
      </c>
      <c r="B91" s="1056" t="s">
        <v>336</v>
      </c>
      <c r="C91" s="22" t="e">
        <f>#REF!</f>
        <v>#REF!</v>
      </c>
      <c r="D91" s="18"/>
      <c r="E91" s="18"/>
      <c r="F91" s="21" t="e">
        <f>#REF!</f>
        <v>#REF!</v>
      </c>
      <c r="G91" s="18"/>
      <c r="H91" s="18"/>
      <c r="I91" s="21" t="e">
        <f>#REF!</f>
        <v>#REF!</v>
      </c>
      <c r="J91" s="18"/>
      <c r="K91" s="18"/>
      <c r="L91" s="21" t="e">
        <f>#REF!</f>
        <v>#REF!</v>
      </c>
      <c r="M91" s="18"/>
      <c r="N91" s="18"/>
      <c r="O91" s="21" t="e">
        <f>#REF!</f>
        <v>#REF!</v>
      </c>
      <c r="P91" s="18"/>
      <c r="Q91" s="18"/>
      <c r="R91" s="22" t="e">
        <f t="shared" si="2"/>
        <v>#REF!</v>
      </c>
      <c r="S91" s="96" t="e">
        <f>#REF!</f>
        <v>#REF!</v>
      </c>
      <c r="T91" s="42"/>
      <c r="U91" s="9"/>
      <c r="V91" s="5" t="e">
        <f t="shared" si="1"/>
        <v>#REF!</v>
      </c>
    </row>
    <row r="92" spans="1:22" s="5" customFormat="1">
      <c r="A92" s="375" t="e">
        <f>#REF!</f>
        <v>#REF!</v>
      </c>
      <c r="B92" s="1056" t="s">
        <v>336</v>
      </c>
      <c r="C92" s="22" t="e">
        <f>#REF!</f>
        <v>#REF!</v>
      </c>
      <c r="D92" s="18"/>
      <c r="E92" s="18"/>
      <c r="F92" s="21" t="e">
        <f>#REF!</f>
        <v>#REF!</v>
      </c>
      <c r="G92" s="18"/>
      <c r="H92" s="18"/>
      <c r="I92" s="21" t="e">
        <f>#REF!</f>
        <v>#REF!</v>
      </c>
      <c r="J92" s="18"/>
      <c r="K92" s="18"/>
      <c r="L92" s="21" t="e">
        <f>#REF!</f>
        <v>#REF!</v>
      </c>
      <c r="M92" s="18"/>
      <c r="N92" s="18"/>
      <c r="O92" s="21" t="e">
        <f>#REF!</f>
        <v>#REF!</v>
      </c>
      <c r="P92" s="18"/>
      <c r="Q92" s="18"/>
      <c r="R92" s="22" t="e">
        <f t="shared" si="2"/>
        <v>#REF!</v>
      </c>
      <c r="S92" s="96" t="e">
        <f>#REF!</f>
        <v>#REF!</v>
      </c>
      <c r="T92" s="42"/>
      <c r="U92" s="9"/>
      <c r="V92" s="5" t="e">
        <f t="shared" si="1"/>
        <v>#REF!</v>
      </c>
    </row>
    <row r="93" spans="1:22" s="5" customFormat="1">
      <c r="A93" s="375" t="e">
        <f>#REF!</f>
        <v>#REF!</v>
      </c>
      <c r="B93" s="1056" t="s">
        <v>336</v>
      </c>
      <c r="C93" s="22" t="e">
        <f>#REF!</f>
        <v>#REF!</v>
      </c>
      <c r="D93" s="18"/>
      <c r="E93" s="18"/>
      <c r="F93" s="21" t="e">
        <f>#REF!</f>
        <v>#REF!</v>
      </c>
      <c r="G93" s="18"/>
      <c r="H93" s="18"/>
      <c r="I93" s="21" t="e">
        <f>#REF!</f>
        <v>#REF!</v>
      </c>
      <c r="J93" s="18"/>
      <c r="K93" s="18"/>
      <c r="L93" s="21" t="e">
        <f>#REF!</f>
        <v>#REF!</v>
      </c>
      <c r="M93" s="18"/>
      <c r="N93" s="18"/>
      <c r="O93" s="21" t="e">
        <f>#REF!</f>
        <v>#REF!</v>
      </c>
      <c r="P93" s="18"/>
      <c r="Q93" s="18"/>
      <c r="R93" s="22" t="e">
        <f t="shared" ref="R93:R114" si="3">C93+F93+I93+L93+O93</f>
        <v>#REF!</v>
      </c>
      <c r="S93" s="96" t="e">
        <f>#REF!</f>
        <v>#REF!</v>
      </c>
      <c r="T93" s="42"/>
      <c r="U93" s="9"/>
      <c r="V93" s="5" t="e">
        <f t="shared" si="1"/>
        <v>#REF!</v>
      </c>
    </row>
    <row r="94" spans="1:22" s="5" customFormat="1">
      <c r="A94" s="375" t="e">
        <f>#REF!</f>
        <v>#REF!</v>
      </c>
      <c r="B94" s="1056" t="s">
        <v>336</v>
      </c>
      <c r="C94" s="22" t="e">
        <f>#REF!</f>
        <v>#REF!</v>
      </c>
      <c r="D94" s="18"/>
      <c r="E94" s="18"/>
      <c r="F94" s="21" t="e">
        <f>#REF!</f>
        <v>#REF!</v>
      </c>
      <c r="G94" s="18"/>
      <c r="H94" s="18"/>
      <c r="I94" s="21" t="e">
        <f>#REF!</f>
        <v>#REF!</v>
      </c>
      <c r="J94" s="18"/>
      <c r="K94" s="18"/>
      <c r="L94" s="21" t="e">
        <f>#REF!</f>
        <v>#REF!</v>
      </c>
      <c r="M94" s="18"/>
      <c r="N94" s="18"/>
      <c r="O94" s="21" t="e">
        <f>#REF!</f>
        <v>#REF!</v>
      </c>
      <c r="P94" s="18"/>
      <c r="Q94" s="18"/>
      <c r="R94" s="22" t="e">
        <f t="shared" si="3"/>
        <v>#REF!</v>
      </c>
      <c r="S94" s="96" t="e">
        <f>#REF!</f>
        <v>#REF!</v>
      </c>
      <c r="T94" s="42"/>
      <c r="U94" s="9"/>
      <c r="V94" s="5" t="e">
        <f t="shared" ref="V94:V106" si="4">IF(S94=0,"hide","show")</f>
        <v>#REF!</v>
      </c>
    </row>
    <row r="95" spans="1:22" s="5" customFormat="1">
      <c r="A95" s="375" t="e">
        <f>#REF!</f>
        <v>#REF!</v>
      </c>
      <c r="B95" s="1056" t="s">
        <v>336</v>
      </c>
      <c r="C95" s="22" t="e">
        <f>#REF!</f>
        <v>#REF!</v>
      </c>
      <c r="D95" s="18"/>
      <c r="E95" s="18"/>
      <c r="F95" s="21" t="e">
        <f>#REF!</f>
        <v>#REF!</v>
      </c>
      <c r="G95" s="18"/>
      <c r="H95" s="18"/>
      <c r="I95" s="21" t="e">
        <f>#REF!</f>
        <v>#REF!</v>
      </c>
      <c r="J95" s="18"/>
      <c r="K95" s="18"/>
      <c r="L95" s="21" t="e">
        <f>#REF!</f>
        <v>#REF!</v>
      </c>
      <c r="M95" s="18"/>
      <c r="N95" s="18"/>
      <c r="O95" s="21" t="e">
        <f>#REF!</f>
        <v>#REF!</v>
      </c>
      <c r="P95" s="18"/>
      <c r="Q95" s="18"/>
      <c r="R95" s="22" t="e">
        <f t="shared" si="3"/>
        <v>#REF!</v>
      </c>
      <c r="S95" s="96" t="e">
        <f>#REF!</f>
        <v>#REF!</v>
      </c>
      <c r="T95" s="42"/>
      <c r="U95" s="9"/>
      <c r="V95" s="5" t="e">
        <f t="shared" si="4"/>
        <v>#REF!</v>
      </c>
    </row>
    <row r="96" spans="1:22" s="5" customFormat="1">
      <c r="A96" s="375" t="e">
        <f>#REF!</f>
        <v>#REF!</v>
      </c>
      <c r="B96" s="1056" t="s">
        <v>336</v>
      </c>
      <c r="C96" s="22" t="e">
        <f>#REF!</f>
        <v>#REF!</v>
      </c>
      <c r="D96" s="18"/>
      <c r="E96" s="18"/>
      <c r="F96" s="21" t="e">
        <f>#REF!</f>
        <v>#REF!</v>
      </c>
      <c r="G96" s="18"/>
      <c r="H96" s="18"/>
      <c r="I96" s="21" t="e">
        <f>#REF!</f>
        <v>#REF!</v>
      </c>
      <c r="J96" s="18"/>
      <c r="K96" s="18"/>
      <c r="L96" s="21" t="e">
        <f>#REF!</f>
        <v>#REF!</v>
      </c>
      <c r="M96" s="18"/>
      <c r="N96" s="18"/>
      <c r="O96" s="21" t="e">
        <f>#REF!</f>
        <v>#REF!</v>
      </c>
      <c r="P96" s="18"/>
      <c r="Q96" s="18"/>
      <c r="R96" s="22" t="e">
        <f t="shared" si="3"/>
        <v>#REF!</v>
      </c>
      <c r="S96" s="96" t="e">
        <f>#REF!</f>
        <v>#REF!</v>
      </c>
      <c r="T96" s="42"/>
      <c r="U96" s="9"/>
      <c r="V96" s="5" t="e">
        <f t="shared" si="4"/>
        <v>#REF!</v>
      </c>
    </row>
    <row r="97" spans="1:22" s="5" customFormat="1">
      <c r="A97" s="375" t="e">
        <f>#REF!</f>
        <v>#REF!</v>
      </c>
      <c r="B97" s="1056" t="s">
        <v>336</v>
      </c>
      <c r="C97" s="22" t="e">
        <f>#REF!</f>
        <v>#REF!</v>
      </c>
      <c r="D97" s="18"/>
      <c r="E97" s="18"/>
      <c r="F97" s="21" t="e">
        <f>#REF!</f>
        <v>#REF!</v>
      </c>
      <c r="G97" s="18"/>
      <c r="H97" s="18"/>
      <c r="I97" s="21" t="e">
        <f>#REF!</f>
        <v>#REF!</v>
      </c>
      <c r="J97" s="18"/>
      <c r="K97" s="18"/>
      <c r="L97" s="21" t="e">
        <f>#REF!</f>
        <v>#REF!</v>
      </c>
      <c r="M97" s="18"/>
      <c r="N97" s="18"/>
      <c r="O97" s="21" t="e">
        <f>#REF!</f>
        <v>#REF!</v>
      </c>
      <c r="P97" s="18"/>
      <c r="Q97" s="18"/>
      <c r="R97" s="22" t="e">
        <f t="shared" si="3"/>
        <v>#REF!</v>
      </c>
      <c r="S97" s="96" t="e">
        <f>#REF!</f>
        <v>#REF!</v>
      </c>
      <c r="T97" s="42"/>
      <c r="U97" s="9"/>
      <c r="V97" s="5" t="e">
        <f t="shared" si="4"/>
        <v>#REF!</v>
      </c>
    </row>
    <row r="98" spans="1:22" s="5" customFormat="1">
      <c r="A98" s="375" t="e">
        <f>#REF!</f>
        <v>#REF!</v>
      </c>
      <c r="B98" s="1056" t="s">
        <v>336</v>
      </c>
      <c r="C98" s="22" t="e">
        <f>#REF!</f>
        <v>#REF!</v>
      </c>
      <c r="D98" s="18"/>
      <c r="E98" s="18"/>
      <c r="F98" s="21" t="e">
        <f>#REF!</f>
        <v>#REF!</v>
      </c>
      <c r="G98" s="18"/>
      <c r="H98" s="18"/>
      <c r="I98" s="21" t="e">
        <f>#REF!</f>
        <v>#REF!</v>
      </c>
      <c r="J98" s="18"/>
      <c r="K98" s="18"/>
      <c r="L98" s="21" t="e">
        <f>#REF!</f>
        <v>#REF!</v>
      </c>
      <c r="M98" s="18"/>
      <c r="N98" s="18"/>
      <c r="O98" s="21" t="e">
        <f>#REF!</f>
        <v>#REF!</v>
      </c>
      <c r="P98" s="18"/>
      <c r="Q98" s="18"/>
      <c r="R98" s="22" t="e">
        <f t="shared" si="3"/>
        <v>#REF!</v>
      </c>
      <c r="S98" s="96" t="e">
        <f>#REF!</f>
        <v>#REF!</v>
      </c>
      <c r="T98" s="42"/>
      <c r="U98" s="9"/>
      <c r="V98" s="5" t="e">
        <f t="shared" si="4"/>
        <v>#REF!</v>
      </c>
    </row>
    <row r="99" spans="1:22" s="5" customFormat="1">
      <c r="A99" s="375" t="e">
        <f>#REF!</f>
        <v>#REF!</v>
      </c>
      <c r="B99" s="1056" t="s">
        <v>336</v>
      </c>
      <c r="C99" s="22" t="e">
        <f>#REF!</f>
        <v>#REF!</v>
      </c>
      <c r="D99" s="18"/>
      <c r="E99" s="18"/>
      <c r="F99" s="21" t="e">
        <f>#REF!</f>
        <v>#REF!</v>
      </c>
      <c r="G99" s="18"/>
      <c r="H99" s="18"/>
      <c r="I99" s="21" t="e">
        <f>#REF!</f>
        <v>#REF!</v>
      </c>
      <c r="J99" s="18"/>
      <c r="K99" s="18"/>
      <c r="L99" s="21" t="e">
        <f>#REF!</f>
        <v>#REF!</v>
      </c>
      <c r="M99" s="18"/>
      <c r="N99" s="18"/>
      <c r="O99" s="21" t="e">
        <f>#REF!</f>
        <v>#REF!</v>
      </c>
      <c r="P99" s="18"/>
      <c r="Q99" s="18"/>
      <c r="R99" s="22" t="e">
        <f t="shared" si="3"/>
        <v>#REF!</v>
      </c>
      <c r="S99" s="96" t="e">
        <f>#REF!</f>
        <v>#REF!</v>
      </c>
      <c r="T99" s="42"/>
      <c r="U99" s="9"/>
      <c r="V99" s="5" t="e">
        <f t="shared" si="4"/>
        <v>#REF!</v>
      </c>
    </row>
    <row r="100" spans="1:22" s="5" customFormat="1">
      <c r="A100" s="375" t="e">
        <f>#REF!</f>
        <v>#REF!</v>
      </c>
      <c r="B100" s="1056" t="s">
        <v>336</v>
      </c>
      <c r="C100" s="22" t="e">
        <f>#REF!</f>
        <v>#REF!</v>
      </c>
      <c r="D100" s="18"/>
      <c r="E100" s="18"/>
      <c r="F100" s="21" t="e">
        <f>#REF!</f>
        <v>#REF!</v>
      </c>
      <c r="G100" s="18"/>
      <c r="H100" s="18"/>
      <c r="I100" s="21" t="e">
        <f>#REF!</f>
        <v>#REF!</v>
      </c>
      <c r="J100" s="18"/>
      <c r="K100" s="18"/>
      <c r="L100" s="21" t="e">
        <f>#REF!</f>
        <v>#REF!</v>
      </c>
      <c r="M100" s="18"/>
      <c r="N100" s="18"/>
      <c r="O100" s="21" t="e">
        <f>#REF!</f>
        <v>#REF!</v>
      </c>
      <c r="P100" s="18"/>
      <c r="Q100" s="18"/>
      <c r="R100" s="22" t="e">
        <f t="shared" si="3"/>
        <v>#REF!</v>
      </c>
      <c r="S100" s="96" t="e">
        <f>#REF!</f>
        <v>#REF!</v>
      </c>
      <c r="T100" s="42"/>
      <c r="U100" s="9"/>
      <c r="V100" s="5" t="e">
        <f t="shared" si="4"/>
        <v>#REF!</v>
      </c>
    </row>
    <row r="101" spans="1:22" s="5" customFormat="1">
      <c r="A101" s="375" t="e">
        <f>#REF!</f>
        <v>#REF!</v>
      </c>
      <c r="B101" s="1056" t="s">
        <v>336</v>
      </c>
      <c r="C101" s="22" t="e">
        <f>#REF!</f>
        <v>#REF!</v>
      </c>
      <c r="D101" s="18"/>
      <c r="E101" s="18"/>
      <c r="F101" s="21" t="e">
        <f>#REF!</f>
        <v>#REF!</v>
      </c>
      <c r="G101" s="18"/>
      <c r="H101" s="18"/>
      <c r="I101" s="21" t="e">
        <f>#REF!</f>
        <v>#REF!</v>
      </c>
      <c r="J101" s="18"/>
      <c r="K101" s="18"/>
      <c r="L101" s="21" t="e">
        <f>#REF!</f>
        <v>#REF!</v>
      </c>
      <c r="M101" s="18"/>
      <c r="N101" s="18"/>
      <c r="O101" s="21" t="e">
        <f>#REF!</f>
        <v>#REF!</v>
      </c>
      <c r="P101" s="18"/>
      <c r="Q101" s="18"/>
      <c r="R101" s="22" t="e">
        <f t="shared" si="3"/>
        <v>#REF!</v>
      </c>
      <c r="S101" s="96" t="e">
        <f>#REF!</f>
        <v>#REF!</v>
      </c>
      <c r="T101" s="42"/>
      <c r="U101" s="9"/>
      <c r="V101" s="5" t="e">
        <f t="shared" si="4"/>
        <v>#REF!</v>
      </c>
    </row>
    <row r="102" spans="1:22" s="5" customFormat="1">
      <c r="A102" s="375" t="e">
        <f>#REF!</f>
        <v>#REF!</v>
      </c>
      <c r="B102" s="1056" t="s">
        <v>336</v>
      </c>
      <c r="C102" s="22" t="e">
        <f>#REF!</f>
        <v>#REF!</v>
      </c>
      <c r="D102" s="18"/>
      <c r="E102" s="18"/>
      <c r="F102" s="21" t="e">
        <f>#REF!</f>
        <v>#REF!</v>
      </c>
      <c r="G102" s="18"/>
      <c r="H102" s="18"/>
      <c r="I102" s="21" t="e">
        <f>#REF!</f>
        <v>#REF!</v>
      </c>
      <c r="J102" s="18"/>
      <c r="K102" s="18"/>
      <c r="L102" s="21" t="e">
        <f>#REF!</f>
        <v>#REF!</v>
      </c>
      <c r="M102" s="18"/>
      <c r="N102" s="18"/>
      <c r="O102" s="21" t="e">
        <f>#REF!</f>
        <v>#REF!</v>
      </c>
      <c r="P102" s="18"/>
      <c r="Q102" s="18"/>
      <c r="R102" s="22" t="e">
        <f t="shared" si="3"/>
        <v>#REF!</v>
      </c>
      <c r="S102" s="96" t="e">
        <f>#REF!</f>
        <v>#REF!</v>
      </c>
      <c r="T102" s="42"/>
      <c r="U102" s="9"/>
      <c r="V102" s="5" t="e">
        <f t="shared" si="4"/>
        <v>#REF!</v>
      </c>
    </row>
    <row r="103" spans="1:22" s="5" customFormat="1">
      <c r="A103" s="375" t="e">
        <f>#REF!</f>
        <v>#REF!</v>
      </c>
      <c r="B103" s="1056" t="s">
        <v>336</v>
      </c>
      <c r="C103" s="22" t="e">
        <f>#REF!</f>
        <v>#REF!</v>
      </c>
      <c r="D103" s="18"/>
      <c r="E103" s="18"/>
      <c r="F103" s="21" t="e">
        <f>#REF!</f>
        <v>#REF!</v>
      </c>
      <c r="G103" s="18"/>
      <c r="H103" s="18"/>
      <c r="I103" s="21" t="e">
        <f>#REF!</f>
        <v>#REF!</v>
      </c>
      <c r="J103" s="18"/>
      <c r="K103" s="18"/>
      <c r="L103" s="21" t="e">
        <f>#REF!</f>
        <v>#REF!</v>
      </c>
      <c r="M103" s="18"/>
      <c r="N103" s="18"/>
      <c r="O103" s="21" t="e">
        <f>#REF!</f>
        <v>#REF!</v>
      </c>
      <c r="P103" s="18"/>
      <c r="Q103" s="18"/>
      <c r="R103" s="22" t="e">
        <f t="shared" si="3"/>
        <v>#REF!</v>
      </c>
      <c r="S103" s="96" t="e">
        <f>#REF!</f>
        <v>#REF!</v>
      </c>
      <c r="T103" s="42"/>
      <c r="U103" s="9"/>
      <c r="V103" s="5" t="e">
        <f t="shared" si="4"/>
        <v>#REF!</v>
      </c>
    </row>
    <row r="104" spans="1:22" s="5" customFormat="1">
      <c r="A104" s="375" t="e">
        <f>#REF!</f>
        <v>#REF!</v>
      </c>
      <c r="B104" s="1056" t="s">
        <v>336</v>
      </c>
      <c r="C104" s="22" t="e">
        <f>#REF!</f>
        <v>#REF!</v>
      </c>
      <c r="D104" s="18"/>
      <c r="E104" s="18"/>
      <c r="F104" s="21" t="e">
        <f>#REF!</f>
        <v>#REF!</v>
      </c>
      <c r="G104" s="18"/>
      <c r="H104" s="18"/>
      <c r="I104" s="21" t="e">
        <f>#REF!</f>
        <v>#REF!</v>
      </c>
      <c r="J104" s="18"/>
      <c r="K104" s="18"/>
      <c r="L104" s="21" t="e">
        <f>#REF!</f>
        <v>#REF!</v>
      </c>
      <c r="M104" s="18"/>
      <c r="N104" s="18"/>
      <c r="O104" s="21" t="e">
        <f>#REF!</f>
        <v>#REF!</v>
      </c>
      <c r="P104" s="18"/>
      <c r="Q104" s="18"/>
      <c r="R104" s="22" t="e">
        <f t="shared" si="3"/>
        <v>#REF!</v>
      </c>
      <c r="S104" s="96" t="e">
        <f>#REF!</f>
        <v>#REF!</v>
      </c>
      <c r="T104" s="42"/>
      <c r="U104" s="9"/>
      <c r="V104" s="5" t="e">
        <f t="shared" si="4"/>
        <v>#REF!</v>
      </c>
    </row>
    <row r="105" spans="1:22" s="5" customFormat="1">
      <c r="A105" s="375" t="e">
        <f>#REF!</f>
        <v>#REF!</v>
      </c>
      <c r="B105" s="1056" t="s">
        <v>336</v>
      </c>
      <c r="C105" s="22" t="e">
        <f>#REF!</f>
        <v>#REF!</v>
      </c>
      <c r="D105" s="18"/>
      <c r="E105" s="18"/>
      <c r="F105" s="21" t="e">
        <f>#REF!</f>
        <v>#REF!</v>
      </c>
      <c r="G105" s="18"/>
      <c r="H105" s="18"/>
      <c r="I105" s="21" t="e">
        <f>#REF!</f>
        <v>#REF!</v>
      </c>
      <c r="J105" s="18"/>
      <c r="K105" s="18"/>
      <c r="L105" s="21" t="e">
        <f>#REF!</f>
        <v>#REF!</v>
      </c>
      <c r="M105" s="18"/>
      <c r="N105" s="18"/>
      <c r="O105" s="21" t="e">
        <f>#REF!</f>
        <v>#REF!</v>
      </c>
      <c r="P105" s="18"/>
      <c r="Q105" s="18"/>
      <c r="R105" s="22" t="e">
        <f t="shared" si="3"/>
        <v>#REF!</v>
      </c>
      <c r="S105" s="96" t="e">
        <f>#REF!</f>
        <v>#REF!</v>
      </c>
      <c r="T105" s="42"/>
      <c r="U105" s="9"/>
      <c r="V105" s="5" t="e">
        <f t="shared" si="4"/>
        <v>#REF!</v>
      </c>
    </row>
    <row r="106" spans="1:22" s="5" customFormat="1">
      <c r="A106" s="375" t="e">
        <f>#REF!</f>
        <v>#REF!</v>
      </c>
      <c r="B106" s="1056" t="s">
        <v>336</v>
      </c>
      <c r="C106" s="22" t="e">
        <f>#REF!</f>
        <v>#REF!</v>
      </c>
      <c r="D106" s="18"/>
      <c r="E106" s="18"/>
      <c r="F106" s="21" t="e">
        <f>#REF!</f>
        <v>#REF!</v>
      </c>
      <c r="G106" s="18"/>
      <c r="H106" s="18"/>
      <c r="I106" s="21" t="e">
        <f>#REF!</f>
        <v>#REF!</v>
      </c>
      <c r="J106" s="18"/>
      <c r="K106" s="18"/>
      <c r="L106" s="21" t="e">
        <f>#REF!</f>
        <v>#REF!</v>
      </c>
      <c r="M106" s="18"/>
      <c r="N106" s="18"/>
      <c r="O106" s="21" t="e">
        <f>#REF!</f>
        <v>#REF!</v>
      </c>
      <c r="P106" s="18"/>
      <c r="Q106" s="18"/>
      <c r="R106" s="22" t="e">
        <f t="shared" si="3"/>
        <v>#REF!</v>
      </c>
      <c r="S106" s="96" t="e">
        <f>#REF!</f>
        <v>#REF!</v>
      </c>
      <c r="T106" s="42"/>
      <c r="U106" s="9"/>
      <c r="V106" s="5" t="e">
        <f t="shared" si="4"/>
        <v>#REF!</v>
      </c>
    </row>
    <row r="107" spans="1:22" s="5" customFormat="1">
      <c r="A107" s="375" t="e">
        <f>#REF!</f>
        <v>#REF!</v>
      </c>
      <c r="B107" s="1056" t="s">
        <v>336</v>
      </c>
      <c r="C107" s="22" t="e">
        <f>#REF!</f>
        <v>#REF!</v>
      </c>
      <c r="D107" s="18"/>
      <c r="E107" s="18"/>
      <c r="F107" s="21" t="e">
        <f>#REF!</f>
        <v>#REF!</v>
      </c>
      <c r="G107" s="18"/>
      <c r="H107" s="18"/>
      <c r="I107" s="21" t="e">
        <f>#REF!</f>
        <v>#REF!</v>
      </c>
      <c r="J107" s="18"/>
      <c r="K107" s="18"/>
      <c r="L107" s="21" t="e">
        <f>#REF!</f>
        <v>#REF!</v>
      </c>
      <c r="M107" s="18"/>
      <c r="N107" s="18"/>
      <c r="O107" s="21" t="e">
        <f>#REF!</f>
        <v>#REF!</v>
      </c>
      <c r="P107" s="18"/>
      <c r="Q107" s="18"/>
      <c r="R107" s="22" t="e">
        <f t="shared" si="3"/>
        <v>#REF!</v>
      </c>
      <c r="S107" s="96" t="e">
        <f>#REF!</f>
        <v>#REF!</v>
      </c>
      <c r="T107" s="42"/>
      <c r="U107" s="9"/>
      <c r="V107" s="5" t="e">
        <f t="shared" ref="V107:V114" si="5">IF(S107=0,"hide","show")</f>
        <v>#REF!</v>
      </c>
    </row>
    <row r="108" spans="1:22" s="5" customFormat="1">
      <c r="A108" s="375" t="e">
        <f>#REF!</f>
        <v>#REF!</v>
      </c>
      <c r="B108" s="1056" t="s">
        <v>336</v>
      </c>
      <c r="C108" s="22" t="e">
        <f>#REF!</f>
        <v>#REF!</v>
      </c>
      <c r="D108" s="18"/>
      <c r="E108" s="18"/>
      <c r="F108" s="21" t="e">
        <f>#REF!</f>
        <v>#REF!</v>
      </c>
      <c r="G108" s="18"/>
      <c r="H108" s="18"/>
      <c r="I108" s="21" t="e">
        <f>#REF!</f>
        <v>#REF!</v>
      </c>
      <c r="J108" s="18"/>
      <c r="K108" s="18"/>
      <c r="L108" s="21" t="e">
        <f>#REF!</f>
        <v>#REF!</v>
      </c>
      <c r="M108" s="18"/>
      <c r="N108" s="18"/>
      <c r="O108" s="21" t="e">
        <f>#REF!</f>
        <v>#REF!</v>
      </c>
      <c r="P108" s="18"/>
      <c r="Q108" s="18"/>
      <c r="R108" s="22" t="e">
        <f t="shared" si="3"/>
        <v>#REF!</v>
      </c>
      <c r="S108" s="96" t="e">
        <f>#REF!</f>
        <v>#REF!</v>
      </c>
      <c r="T108" s="42"/>
      <c r="U108" s="9"/>
      <c r="V108" s="5" t="e">
        <f t="shared" si="5"/>
        <v>#REF!</v>
      </c>
    </row>
    <row r="109" spans="1:22" s="5" customFormat="1">
      <c r="A109" s="375" t="e">
        <f>#REF!</f>
        <v>#REF!</v>
      </c>
      <c r="B109" s="1056" t="s">
        <v>336</v>
      </c>
      <c r="C109" s="22" t="e">
        <f>#REF!</f>
        <v>#REF!</v>
      </c>
      <c r="D109" s="18"/>
      <c r="E109" s="18"/>
      <c r="F109" s="21" t="e">
        <f>#REF!</f>
        <v>#REF!</v>
      </c>
      <c r="G109" s="18"/>
      <c r="H109" s="18"/>
      <c r="I109" s="21" t="e">
        <f>#REF!</f>
        <v>#REF!</v>
      </c>
      <c r="J109" s="18"/>
      <c r="K109" s="18"/>
      <c r="L109" s="21" t="e">
        <f>#REF!</f>
        <v>#REF!</v>
      </c>
      <c r="M109" s="18"/>
      <c r="N109" s="18"/>
      <c r="O109" s="21" t="e">
        <f>#REF!</f>
        <v>#REF!</v>
      </c>
      <c r="P109" s="18"/>
      <c r="Q109" s="18"/>
      <c r="R109" s="22" t="e">
        <f t="shared" si="3"/>
        <v>#REF!</v>
      </c>
      <c r="S109" s="96" t="e">
        <f>#REF!</f>
        <v>#REF!</v>
      </c>
      <c r="T109" s="42"/>
      <c r="U109" s="9"/>
      <c r="V109" s="5" t="e">
        <f t="shared" si="5"/>
        <v>#REF!</v>
      </c>
    </row>
    <row r="110" spans="1:22" s="5" customFormat="1">
      <c r="A110" s="375" t="e">
        <f>#REF!</f>
        <v>#REF!</v>
      </c>
      <c r="B110" s="1056" t="s">
        <v>336</v>
      </c>
      <c r="C110" s="22" t="e">
        <f>#REF!</f>
        <v>#REF!</v>
      </c>
      <c r="D110" s="18"/>
      <c r="E110" s="18"/>
      <c r="F110" s="21" t="e">
        <f>#REF!</f>
        <v>#REF!</v>
      </c>
      <c r="G110" s="18"/>
      <c r="H110" s="18"/>
      <c r="I110" s="21" t="e">
        <f>#REF!</f>
        <v>#REF!</v>
      </c>
      <c r="J110" s="18"/>
      <c r="K110" s="18"/>
      <c r="L110" s="21" t="e">
        <f>#REF!</f>
        <v>#REF!</v>
      </c>
      <c r="M110" s="18"/>
      <c r="N110" s="18"/>
      <c r="O110" s="21" t="e">
        <f>#REF!</f>
        <v>#REF!</v>
      </c>
      <c r="P110" s="18"/>
      <c r="Q110" s="18"/>
      <c r="R110" s="22" t="e">
        <f t="shared" si="3"/>
        <v>#REF!</v>
      </c>
      <c r="S110" s="96" t="e">
        <f>#REF!</f>
        <v>#REF!</v>
      </c>
      <c r="T110" s="42"/>
      <c r="U110" s="9"/>
      <c r="V110" s="5" t="e">
        <f t="shared" si="5"/>
        <v>#REF!</v>
      </c>
    </row>
    <row r="111" spans="1:22" s="5" customFormat="1">
      <c r="A111" s="375" t="e">
        <f>#REF!</f>
        <v>#REF!</v>
      </c>
      <c r="B111" s="1056" t="s">
        <v>336</v>
      </c>
      <c r="C111" s="22" t="e">
        <f>#REF!</f>
        <v>#REF!</v>
      </c>
      <c r="D111" s="18"/>
      <c r="E111" s="18"/>
      <c r="F111" s="21" t="e">
        <f>#REF!</f>
        <v>#REF!</v>
      </c>
      <c r="G111" s="18"/>
      <c r="H111" s="18"/>
      <c r="I111" s="21" t="e">
        <f>#REF!</f>
        <v>#REF!</v>
      </c>
      <c r="J111" s="18"/>
      <c r="K111" s="18"/>
      <c r="L111" s="21" t="e">
        <f>#REF!</f>
        <v>#REF!</v>
      </c>
      <c r="M111" s="18"/>
      <c r="N111" s="18"/>
      <c r="O111" s="21" t="e">
        <f>#REF!</f>
        <v>#REF!</v>
      </c>
      <c r="P111" s="18"/>
      <c r="Q111" s="18"/>
      <c r="R111" s="22" t="e">
        <f t="shared" si="3"/>
        <v>#REF!</v>
      </c>
      <c r="S111" s="96" t="e">
        <f>#REF!</f>
        <v>#REF!</v>
      </c>
      <c r="T111" s="42"/>
      <c r="U111" s="9"/>
      <c r="V111" s="5" t="e">
        <f t="shared" si="5"/>
        <v>#REF!</v>
      </c>
    </row>
    <row r="112" spans="1:22" s="5" customFormat="1">
      <c r="A112" s="375" t="e">
        <f>#REF!</f>
        <v>#REF!</v>
      </c>
      <c r="B112" s="1056" t="s">
        <v>336</v>
      </c>
      <c r="C112" s="22" t="e">
        <f>#REF!</f>
        <v>#REF!</v>
      </c>
      <c r="D112" s="18"/>
      <c r="E112" s="18"/>
      <c r="F112" s="21" t="e">
        <f>#REF!</f>
        <v>#REF!</v>
      </c>
      <c r="G112" s="18"/>
      <c r="H112" s="18"/>
      <c r="I112" s="21" t="e">
        <f>#REF!</f>
        <v>#REF!</v>
      </c>
      <c r="J112" s="18"/>
      <c r="K112" s="18"/>
      <c r="L112" s="21" t="e">
        <f>#REF!</f>
        <v>#REF!</v>
      </c>
      <c r="M112" s="18"/>
      <c r="N112" s="18"/>
      <c r="O112" s="21" t="e">
        <f>#REF!</f>
        <v>#REF!</v>
      </c>
      <c r="P112" s="18"/>
      <c r="Q112" s="18"/>
      <c r="R112" s="22" t="e">
        <f t="shared" si="3"/>
        <v>#REF!</v>
      </c>
      <c r="S112" s="96" t="e">
        <f>#REF!</f>
        <v>#REF!</v>
      </c>
      <c r="T112" s="42"/>
      <c r="U112" s="9"/>
      <c r="V112" s="5" t="e">
        <f t="shared" si="5"/>
        <v>#REF!</v>
      </c>
    </row>
    <row r="113" spans="1:22" s="5" customFormat="1">
      <c r="A113" s="375" t="e">
        <f>#REF!</f>
        <v>#REF!</v>
      </c>
      <c r="B113" s="1056" t="s">
        <v>336</v>
      </c>
      <c r="C113" s="22" t="e">
        <f>#REF!</f>
        <v>#REF!</v>
      </c>
      <c r="D113" s="18"/>
      <c r="E113" s="18"/>
      <c r="F113" s="21" t="e">
        <f>#REF!</f>
        <v>#REF!</v>
      </c>
      <c r="G113" s="18"/>
      <c r="H113" s="18"/>
      <c r="I113" s="21" t="e">
        <f>#REF!</f>
        <v>#REF!</v>
      </c>
      <c r="J113" s="18"/>
      <c r="K113" s="18"/>
      <c r="L113" s="21" t="e">
        <f>#REF!</f>
        <v>#REF!</v>
      </c>
      <c r="M113" s="18"/>
      <c r="N113" s="18"/>
      <c r="O113" s="21" t="e">
        <f>#REF!</f>
        <v>#REF!</v>
      </c>
      <c r="P113" s="18"/>
      <c r="Q113" s="18"/>
      <c r="R113" s="22" t="e">
        <f t="shared" si="3"/>
        <v>#REF!</v>
      </c>
      <c r="S113" s="96" t="e">
        <f>#REF!</f>
        <v>#REF!</v>
      </c>
      <c r="T113" s="42"/>
      <c r="U113" s="9"/>
      <c r="V113" s="5" t="e">
        <f t="shared" si="5"/>
        <v>#REF!</v>
      </c>
    </row>
    <row r="114" spans="1:22" s="5" customFormat="1">
      <c r="A114" s="375" t="e">
        <f>#REF!</f>
        <v>#REF!</v>
      </c>
      <c r="B114" s="1056" t="s">
        <v>336</v>
      </c>
      <c r="C114" s="22" t="e">
        <f>#REF!</f>
        <v>#REF!</v>
      </c>
      <c r="D114" s="18"/>
      <c r="E114" s="18"/>
      <c r="F114" s="21" t="e">
        <f>#REF!</f>
        <v>#REF!</v>
      </c>
      <c r="G114" s="18"/>
      <c r="H114" s="18"/>
      <c r="I114" s="21" t="e">
        <f>#REF!</f>
        <v>#REF!</v>
      </c>
      <c r="J114" s="18"/>
      <c r="K114" s="18"/>
      <c r="L114" s="21" t="e">
        <f>#REF!</f>
        <v>#REF!</v>
      </c>
      <c r="M114" s="18"/>
      <c r="N114" s="18"/>
      <c r="O114" s="21" t="e">
        <f>#REF!</f>
        <v>#REF!</v>
      </c>
      <c r="P114" s="18"/>
      <c r="Q114" s="18"/>
      <c r="R114" s="22" t="e">
        <f t="shared" si="3"/>
        <v>#REF!</v>
      </c>
      <c r="S114" s="96" t="e">
        <f>#REF!</f>
        <v>#REF!</v>
      </c>
      <c r="T114" s="42"/>
      <c r="U114" s="9"/>
      <c r="V114" s="5" t="e">
        <f t="shared" si="5"/>
        <v>#REF!</v>
      </c>
    </row>
    <row r="115" spans="1:22" s="5" customFormat="1">
      <c r="A115" s="375"/>
      <c r="B115" s="1056"/>
      <c r="C115" s="22"/>
      <c r="D115" s="18"/>
      <c r="E115" s="18"/>
      <c r="F115" s="21"/>
      <c r="G115" s="18"/>
      <c r="H115" s="18"/>
      <c r="I115" s="21"/>
      <c r="J115" s="18"/>
      <c r="K115" s="18"/>
      <c r="L115" s="21"/>
      <c r="M115" s="18"/>
      <c r="N115" s="18"/>
      <c r="O115" s="21"/>
      <c r="P115" s="18"/>
      <c r="Q115" s="18"/>
      <c r="R115" s="22"/>
      <c r="S115" s="96"/>
      <c r="T115" s="42"/>
      <c r="U115" s="9"/>
      <c r="V115" s="104" t="e">
        <f>IF(SUM(S117:S190)=0,"hide","show")</f>
        <v>#REF!</v>
      </c>
    </row>
    <row r="116" spans="1:22" s="5" customFormat="1" ht="14.1">
      <c r="A116" s="376" t="e">
        <f>#REF!</f>
        <v>#REF!</v>
      </c>
      <c r="B116" s="1056"/>
      <c r="C116" s="22"/>
      <c r="D116" s="21"/>
      <c r="E116" s="21"/>
      <c r="F116" s="21"/>
      <c r="G116" s="21"/>
      <c r="H116" s="21"/>
      <c r="I116" s="21"/>
      <c r="J116" s="21"/>
      <c r="K116" s="21"/>
      <c r="L116" s="21"/>
      <c r="M116" s="21"/>
      <c r="N116" s="21"/>
      <c r="O116" s="21"/>
      <c r="P116" s="23"/>
      <c r="Q116" s="23"/>
      <c r="R116" s="22"/>
      <c r="S116" s="96"/>
      <c r="T116" s="42"/>
      <c r="U116" s="9"/>
      <c r="V116" s="5" t="e">
        <f>IF(SUM(S117:S190)=0,"hide","show")</f>
        <v>#REF!</v>
      </c>
    </row>
    <row r="117" spans="1:22" s="5" customFormat="1">
      <c r="A117" s="375" t="e">
        <f>#REF!</f>
        <v>#REF!</v>
      </c>
      <c r="B117" s="1056" t="s">
        <v>336</v>
      </c>
      <c r="C117" s="22" t="e">
        <f>#REF!</f>
        <v>#REF!</v>
      </c>
      <c r="D117" s="18"/>
      <c r="E117" s="18"/>
      <c r="F117" s="21" t="e">
        <f>#REF!</f>
        <v>#REF!</v>
      </c>
      <c r="G117" s="18"/>
      <c r="H117" s="18"/>
      <c r="I117" s="21" t="e">
        <f>#REF!</f>
        <v>#REF!</v>
      </c>
      <c r="J117" s="18"/>
      <c r="K117" s="18"/>
      <c r="L117" s="21" t="e">
        <f>#REF!</f>
        <v>#REF!</v>
      </c>
      <c r="M117" s="18"/>
      <c r="N117" s="18"/>
      <c r="O117" s="21" t="e">
        <f>#REF!</f>
        <v>#REF!</v>
      </c>
      <c r="P117" s="18"/>
      <c r="Q117" s="18"/>
      <c r="R117" s="22" t="e">
        <f t="shared" ref="R117:R148" si="6">C117+F117+I117+L117+O117</f>
        <v>#REF!</v>
      </c>
      <c r="S117" s="96" t="e">
        <f>#REF!</f>
        <v>#REF!</v>
      </c>
      <c r="T117" s="42"/>
      <c r="U117" s="9"/>
      <c r="V117" s="5" t="e">
        <f>IF(S117=0,"hide","show")</f>
        <v>#REF!</v>
      </c>
    </row>
    <row r="118" spans="1:22" s="5" customFormat="1">
      <c r="A118" s="375" t="e">
        <f>#REF!</f>
        <v>#REF!</v>
      </c>
      <c r="B118" s="1056" t="s">
        <v>336</v>
      </c>
      <c r="C118" s="22" t="e">
        <f>#REF!</f>
        <v>#REF!</v>
      </c>
      <c r="D118" s="18"/>
      <c r="E118" s="18"/>
      <c r="F118" s="21" t="e">
        <f>#REF!</f>
        <v>#REF!</v>
      </c>
      <c r="G118" s="18"/>
      <c r="H118" s="18"/>
      <c r="I118" s="21" t="e">
        <f>#REF!</f>
        <v>#REF!</v>
      </c>
      <c r="J118" s="18"/>
      <c r="K118" s="18"/>
      <c r="L118" s="21" t="e">
        <f>#REF!</f>
        <v>#REF!</v>
      </c>
      <c r="M118" s="18"/>
      <c r="N118" s="18"/>
      <c r="O118" s="21" t="e">
        <f>#REF!</f>
        <v>#REF!</v>
      </c>
      <c r="P118" s="18"/>
      <c r="Q118" s="18"/>
      <c r="R118" s="22" t="e">
        <f t="shared" si="6"/>
        <v>#REF!</v>
      </c>
      <c r="S118" s="96" t="e">
        <f>#REF!</f>
        <v>#REF!</v>
      </c>
      <c r="T118" s="42"/>
      <c r="U118" s="9"/>
      <c r="V118" s="5" t="e">
        <f t="shared" ref="V118:V181" si="7">IF(S118=0,"hide","show")</f>
        <v>#REF!</v>
      </c>
    </row>
    <row r="119" spans="1:22" s="5" customFormat="1">
      <c r="A119" s="375" t="e">
        <f>#REF!</f>
        <v>#REF!</v>
      </c>
      <c r="B119" s="1056" t="s">
        <v>336</v>
      </c>
      <c r="C119" s="22" t="e">
        <f>#REF!</f>
        <v>#REF!</v>
      </c>
      <c r="D119" s="18"/>
      <c r="E119" s="18"/>
      <c r="F119" s="21" t="e">
        <f>#REF!</f>
        <v>#REF!</v>
      </c>
      <c r="G119" s="18"/>
      <c r="H119" s="18"/>
      <c r="I119" s="21" t="e">
        <f>#REF!</f>
        <v>#REF!</v>
      </c>
      <c r="J119" s="18"/>
      <c r="K119" s="18"/>
      <c r="L119" s="21" t="e">
        <f>#REF!</f>
        <v>#REF!</v>
      </c>
      <c r="M119" s="18"/>
      <c r="N119" s="18"/>
      <c r="O119" s="21" t="e">
        <f>#REF!</f>
        <v>#REF!</v>
      </c>
      <c r="P119" s="18"/>
      <c r="Q119" s="18"/>
      <c r="R119" s="22" t="e">
        <f t="shared" si="6"/>
        <v>#REF!</v>
      </c>
      <c r="S119" s="96" t="e">
        <f>#REF!</f>
        <v>#REF!</v>
      </c>
      <c r="T119" s="42"/>
      <c r="U119" s="9"/>
      <c r="V119" s="5" t="e">
        <f t="shared" si="7"/>
        <v>#REF!</v>
      </c>
    </row>
    <row r="120" spans="1:22" s="5" customFormat="1">
      <c r="A120" s="375" t="e">
        <f>#REF!</f>
        <v>#REF!</v>
      </c>
      <c r="B120" s="1056" t="s">
        <v>336</v>
      </c>
      <c r="C120" s="22" t="e">
        <f>#REF!</f>
        <v>#REF!</v>
      </c>
      <c r="D120" s="18"/>
      <c r="E120" s="18"/>
      <c r="F120" s="21" t="e">
        <f>#REF!</f>
        <v>#REF!</v>
      </c>
      <c r="G120" s="18"/>
      <c r="H120" s="18"/>
      <c r="I120" s="21" t="e">
        <f>#REF!</f>
        <v>#REF!</v>
      </c>
      <c r="J120" s="18"/>
      <c r="K120" s="18"/>
      <c r="L120" s="21" t="e">
        <f>#REF!</f>
        <v>#REF!</v>
      </c>
      <c r="M120" s="18"/>
      <c r="N120" s="18"/>
      <c r="O120" s="21" t="e">
        <f>#REF!</f>
        <v>#REF!</v>
      </c>
      <c r="P120" s="18"/>
      <c r="Q120" s="18"/>
      <c r="R120" s="22" t="e">
        <f t="shared" si="6"/>
        <v>#REF!</v>
      </c>
      <c r="S120" s="96" t="e">
        <f>#REF!</f>
        <v>#REF!</v>
      </c>
      <c r="T120" s="42"/>
      <c r="U120" s="9"/>
      <c r="V120" s="5" t="e">
        <f t="shared" si="7"/>
        <v>#REF!</v>
      </c>
    </row>
    <row r="121" spans="1:22" s="5" customFormat="1">
      <c r="A121" s="375" t="e">
        <f>#REF!</f>
        <v>#REF!</v>
      </c>
      <c r="B121" s="1056" t="s">
        <v>336</v>
      </c>
      <c r="C121" s="22" t="e">
        <f>#REF!</f>
        <v>#REF!</v>
      </c>
      <c r="D121" s="18"/>
      <c r="E121" s="18"/>
      <c r="F121" s="21" t="e">
        <f>#REF!</f>
        <v>#REF!</v>
      </c>
      <c r="G121" s="18"/>
      <c r="H121" s="18"/>
      <c r="I121" s="21" t="e">
        <f>#REF!</f>
        <v>#REF!</v>
      </c>
      <c r="J121" s="18"/>
      <c r="K121" s="18"/>
      <c r="L121" s="21" t="e">
        <f>#REF!</f>
        <v>#REF!</v>
      </c>
      <c r="M121" s="18"/>
      <c r="N121" s="18"/>
      <c r="O121" s="21" t="e">
        <f>#REF!</f>
        <v>#REF!</v>
      </c>
      <c r="P121" s="18"/>
      <c r="Q121" s="18"/>
      <c r="R121" s="22" t="e">
        <f t="shared" si="6"/>
        <v>#REF!</v>
      </c>
      <c r="S121" s="96" t="e">
        <f>#REF!</f>
        <v>#REF!</v>
      </c>
      <c r="T121" s="42"/>
      <c r="U121" s="9"/>
      <c r="V121" s="5" t="e">
        <f t="shared" si="7"/>
        <v>#REF!</v>
      </c>
    </row>
    <row r="122" spans="1:22" s="5" customFormat="1">
      <c r="A122" s="375" t="e">
        <f>#REF!</f>
        <v>#REF!</v>
      </c>
      <c r="B122" s="1056" t="s">
        <v>336</v>
      </c>
      <c r="C122" s="22" t="e">
        <f>#REF!</f>
        <v>#REF!</v>
      </c>
      <c r="D122" s="18"/>
      <c r="E122" s="18"/>
      <c r="F122" s="21" t="e">
        <f>#REF!</f>
        <v>#REF!</v>
      </c>
      <c r="G122" s="18"/>
      <c r="H122" s="18"/>
      <c r="I122" s="21" t="e">
        <f>#REF!</f>
        <v>#REF!</v>
      </c>
      <c r="J122" s="18"/>
      <c r="K122" s="18"/>
      <c r="L122" s="21" t="e">
        <f>#REF!</f>
        <v>#REF!</v>
      </c>
      <c r="M122" s="18"/>
      <c r="N122" s="18"/>
      <c r="O122" s="21" t="e">
        <f>#REF!</f>
        <v>#REF!</v>
      </c>
      <c r="P122" s="18"/>
      <c r="Q122" s="18"/>
      <c r="R122" s="22" t="e">
        <f t="shared" si="6"/>
        <v>#REF!</v>
      </c>
      <c r="S122" s="96" t="e">
        <f>#REF!</f>
        <v>#REF!</v>
      </c>
      <c r="T122" s="42"/>
      <c r="U122" s="9"/>
      <c r="V122" s="5" t="e">
        <f t="shared" si="7"/>
        <v>#REF!</v>
      </c>
    </row>
    <row r="123" spans="1:22" s="5" customFormat="1">
      <c r="A123" s="375" t="e">
        <f>#REF!</f>
        <v>#REF!</v>
      </c>
      <c r="B123" s="1056" t="s">
        <v>336</v>
      </c>
      <c r="C123" s="22" t="e">
        <f>#REF!</f>
        <v>#REF!</v>
      </c>
      <c r="D123" s="18"/>
      <c r="E123" s="18"/>
      <c r="F123" s="21" t="e">
        <f>#REF!</f>
        <v>#REF!</v>
      </c>
      <c r="G123" s="18"/>
      <c r="H123" s="18"/>
      <c r="I123" s="21" t="e">
        <f>#REF!</f>
        <v>#REF!</v>
      </c>
      <c r="J123" s="18"/>
      <c r="K123" s="18"/>
      <c r="L123" s="21" t="e">
        <f>#REF!</f>
        <v>#REF!</v>
      </c>
      <c r="M123" s="18"/>
      <c r="N123" s="18"/>
      <c r="O123" s="21" t="e">
        <f>#REF!</f>
        <v>#REF!</v>
      </c>
      <c r="P123" s="18"/>
      <c r="Q123" s="18"/>
      <c r="R123" s="22" t="e">
        <f t="shared" si="6"/>
        <v>#REF!</v>
      </c>
      <c r="S123" s="96" t="e">
        <f>#REF!</f>
        <v>#REF!</v>
      </c>
      <c r="T123" s="42"/>
      <c r="U123" s="9"/>
      <c r="V123" s="5" t="e">
        <f t="shared" si="7"/>
        <v>#REF!</v>
      </c>
    </row>
    <row r="124" spans="1:22" s="5" customFormat="1">
      <c r="A124" s="375" t="e">
        <f>#REF!</f>
        <v>#REF!</v>
      </c>
      <c r="B124" s="1056" t="s">
        <v>336</v>
      </c>
      <c r="C124" s="22" t="e">
        <f>#REF!</f>
        <v>#REF!</v>
      </c>
      <c r="D124" s="18"/>
      <c r="E124" s="18"/>
      <c r="F124" s="21" t="e">
        <f>#REF!</f>
        <v>#REF!</v>
      </c>
      <c r="G124" s="18"/>
      <c r="H124" s="18"/>
      <c r="I124" s="21" t="e">
        <f>#REF!</f>
        <v>#REF!</v>
      </c>
      <c r="J124" s="18"/>
      <c r="K124" s="18"/>
      <c r="L124" s="21" t="e">
        <f>#REF!</f>
        <v>#REF!</v>
      </c>
      <c r="M124" s="18"/>
      <c r="N124" s="18"/>
      <c r="O124" s="21" t="e">
        <f>#REF!</f>
        <v>#REF!</v>
      </c>
      <c r="P124" s="18"/>
      <c r="Q124" s="18"/>
      <c r="R124" s="22" t="e">
        <f t="shared" si="6"/>
        <v>#REF!</v>
      </c>
      <c r="S124" s="96" t="e">
        <f>#REF!</f>
        <v>#REF!</v>
      </c>
      <c r="T124" s="42"/>
      <c r="U124" s="9"/>
      <c r="V124" s="5" t="e">
        <f t="shared" si="7"/>
        <v>#REF!</v>
      </c>
    </row>
    <row r="125" spans="1:22" s="5" customFormat="1">
      <c r="A125" s="375" t="e">
        <f>#REF!</f>
        <v>#REF!</v>
      </c>
      <c r="B125" s="1056" t="s">
        <v>336</v>
      </c>
      <c r="C125" s="22" t="e">
        <f>#REF!</f>
        <v>#REF!</v>
      </c>
      <c r="D125" s="18"/>
      <c r="E125" s="18"/>
      <c r="F125" s="21" t="e">
        <f>#REF!</f>
        <v>#REF!</v>
      </c>
      <c r="G125" s="18"/>
      <c r="H125" s="18"/>
      <c r="I125" s="21" t="e">
        <f>#REF!</f>
        <v>#REF!</v>
      </c>
      <c r="J125" s="18"/>
      <c r="K125" s="18"/>
      <c r="L125" s="21" t="e">
        <f>#REF!</f>
        <v>#REF!</v>
      </c>
      <c r="M125" s="18"/>
      <c r="N125" s="18"/>
      <c r="O125" s="21" t="e">
        <f>#REF!</f>
        <v>#REF!</v>
      </c>
      <c r="P125" s="18"/>
      <c r="Q125" s="18"/>
      <c r="R125" s="22" t="e">
        <f t="shared" si="6"/>
        <v>#REF!</v>
      </c>
      <c r="S125" s="96" t="e">
        <f>#REF!</f>
        <v>#REF!</v>
      </c>
      <c r="T125" s="42"/>
      <c r="U125" s="9"/>
      <c r="V125" s="5" t="e">
        <f t="shared" si="7"/>
        <v>#REF!</v>
      </c>
    </row>
    <row r="126" spans="1:22" s="5" customFormat="1">
      <c r="A126" s="375" t="e">
        <f>#REF!</f>
        <v>#REF!</v>
      </c>
      <c r="B126" s="1056" t="s">
        <v>336</v>
      </c>
      <c r="C126" s="22" t="e">
        <f>#REF!</f>
        <v>#REF!</v>
      </c>
      <c r="D126" s="18"/>
      <c r="E126" s="18"/>
      <c r="F126" s="21" t="e">
        <f>#REF!</f>
        <v>#REF!</v>
      </c>
      <c r="G126" s="18"/>
      <c r="H126" s="18"/>
      <c r="I126" s="21" t="e">
        <f>#REF!</f>
        <v>#REF!</v>
      </c>
      <c r="J126" s="18"/>
      <c r="K126" s="18"/>
      <c r="L126" s="21" t="e">
        <f>#REF!</f>
        <v>#REF!</v>
      </c>
      <c r="M126" s="18"/>
      <c r="N126" s="18"/>
      <c r="O126" s="21" t="e">
        <f>#REF!</f>
        <v>#REF!</v>
      </c>
      <c r="P126" s="18"/>
      <c r="Q126" s="18"/>
      <c r="R126" s="22" t="e">
        <f t="shared" si="6"/>
        <v>#REF!</v>
      </c>
      <c r="S126" s="96" t="e">
        <f>#REF!</f>
        <v>#REF!</v>
      </c>
      <c r="T126" s="42"/>
      <c r="U126" s="9"/>
      <c r="V126" s="5" t="e">
        <f t="shared" si="7"/>
        <v>#REF!</v>
      </c>
    </row>
    <row r="127" spans="1:22" s="5" customFormat="1">
      <c r="A127" s="375" t="e">
        <f>#REF!</f>
        <v>#REF!</v>
      </c>
      <c r="B127" s="1056" t="s">
        <v>336</v>
      </c>
      <c r="C127" s="22" t="e">
        <f>#REF!</f>
        <v>#REF!</v>
      </c>
      <c r="D127" s="18"/>
      <c r="E127" s="18"/>
      <c r="F127" s="21" t="e">
        <f>#REF!</f>
        <v>#REF!</v>
      </c>
      <c r="G127" s="18"/>
      <c r="H127" s="18"/>
      <c r="I127" s="21" t="e">
        <f>#REF!</f>
        <v>#REF!</v>
      </c>
      <c r="J127" s="18"/>
      <c r="K127" s="18"/>
      <c r="L127" s="21" t="e">
        <f>#REF!</f>
        <v>#REF!</v>
      </c>
      <c r="M127" s="18"/>
      <c r="N127" s="18"/>
      <c r="O127" s="21" t="e">
        <f>#REF!</f>
        <v>#REF!</v>
      </c>
      <c r="P127" s="18"/>
      <c r="Q127" s="18"/>
      <c r="R127" s="22" t="e">
        <f t="shared" si="6"/>
        <v>#REF!</v>
      </c>
      <c r="S127" s="96" t="e">
        <f>#REF!</f>
        <v>#REF!</v>
      </c>
      <c r="T127" s="42"/>
      <c r="U127" s="9"/>
      <c r="V127" s="5" t="e">
        <f t="shared" si="7"/>
        <v>#REF!</v>
      </c>
    </row>
    <row r="128" spans="1:22" s="5" customFormat="1">
      <c r="A128" s="375" t="e">
        <f>#REF!</f>
        <v>#REF!</v>
      </c>
      <c r="B128" s="1056" t="s">
        <v>336</v>
      </c>
      <c r="C128" s="22" t="e">
        <f>#REF!</f>
        <v>#REF!</v>
      </c>
      <c r="D128" s="18"/>
      <c r="E128" s="18"/>
      <c r="F128" s="21" t="e">
        <f>#REF!</f>
        <v>#REF!</v>
      </c>
      <c r="G128" s="18"/>
      <c r="H128" s="18"/>
      <c r="I128" s="21" t="e">
        <f>#REF!</f>
        <v>#REF!</v>
      </c>
      <c r="J128" s="18"/>
      <c r="K128" s="18"/>
      <c r="L128" s="21" t="e">
        <f>#REF!</f>
        <v>#REF!</v>
      </c>
      <c r="M128" s="18"/>
      <c r="N128" s="18"/>
      <c r="O128" s="21" t="e">
        <f>#REF!</f>
        <v>#REF!</v>
      </c>
      <c r="P128" s="18"/>
      <c r="Q128" s="18"/>
      <c r="R128" s="22" t="e">
        <f t="shared" si="6"/>
        <v>#REF!</v>
      </c>
      <c r="S128" s="96" t="e">
        <f>#REF!</f>
        <v>#REF!</v>
      </c>
      <c r="T128" s="42"/>
      <c r="U128" s="9"/>
      <c r="V128" s="5" t="e">
        <f t="shared" si="7"/>
        <v>#REF!</v>
      </c>
    </row>
    <row r="129" spans="1:22" s="5" customFormat="1">
      <c r="A129" s="375" t="e">
        <f>#REF!</f>
        <v>#REF!</v>
      </c>
      <c r="B129" s="1056" t="s">
        <v>336</v>
      </c>
      <c r="C129" s="22" t="e">
        <f>#REF!</f>
        <v>#REF!</v>
      </c>
      <c r="D129" s="18"/>
      <c r="E129" s="18"/>
      <c r="F129" s="21" t="e">
        <f>#REF!</f>
        <v>#REF!</v>
      </c>
      <c r="G129" s="18"/>
      <c r="H129" s="18"/>
      <c r="I129" s="21" t="e">
        <f>#REF!</f>
        <v>#REF!</v>
      </c>
      <c r="J129" s="18"/>
      <c r="K129" s="18"/>
      <c r="L129" s="21" t="e">
        <f>#REF!</f>
        <v>#REF!</v>
      </c>
      <c r="M129" s="18"/>
      <c r="N129" s="18"/>
      <c r="O129" s="21" t="e">
        <f>#REF!</f>
        <v>#REF!</v>
      </c>
      <c r="P129" s="18"/>
      <c r="Q129" s="18"/>
      <c r="R129" s="22" t="e">
        <f t="shared" si="6"/>
        <v>#REF!</v>
      </c>
      <c r="S129" s="96" t="e">
        <f>#REF!</f>
        <v>#REF!</v>
      </c>
      <c r="T129" s="42"/>
      <c r="U129" s="9"/>
      <c r="V129" s="5" t="e">
        <f t="shared" si="7"/>
        <v>#REF!</v>
      </c>
    </row>
    <row r="130" spans="1:22" s="5" customFormat="1">
      <c r="A130" s="375" t="e">
        <f>#REF!</f>
        <v>#REF!</v>
      </c>
      <c r="B130" s="1056" t="s">
        <v>336</v>
      </c>
      <c r="C130" s="22" t="e">
        <f>#REF!</f>
        <v>#REF!</v>
      </c>
      <c r="D130" s="18"/>
      <c r="E130" s="18"/>
      <c r="F130" s="21" t="e">
        <f>#REF!</f>
        <v>#REF!</v>
      </c>
      <c r="G130" s="18"/>
      <c r="H130" s="18"/>
      <c r="I130" s="21" t="e">
        <f>#REF!</f>
        <v>#REF!</v>
      </c>
      <c r="J130" s="18"/>
      <c r="K130" s="18"/>
      <c r="L130" s="21" t="e">
        <f>#REF!</f>
        <v>#REF!</v>
      </c>
      <c r="M130" s="18"/>
      <c r="N130" s="18"/>
      <c r="O130" s="21" t="e">
        <f>#REF!</f>
        <v>#REF!</v>
      </c>
      <c r="P130" s="18"/>
      <c r="Q130" s="18"/>
      <c r="R130" s="22" t="e">
        <f t="shared" si="6"/>
        <v>#REF!</v>
      </c>
      <c r="S130" s="96" t="e">
        <f>#REF!</f>
        <v>#REF!</v>
      </c>
      <c r="T130" s="42"/>
      <c r="U130" s="9"/>
      <c r="V130" s="5" t="e">
        <f t="shared" si="7"/>
        <v>#REF!</v>
      </c>
    </row>
    <row r="131" spans="1:22" s="5" customFormat="1">
      <c r="A131" s="375" t="e">
        <f>#REF!</f>
        <v>#REF!</v>
      </c>
      <c r="B131" s="1056" t="s">
        <v>336</v>
      </c>
      <c r="C131" s="22" t="e">
        <f>#REF!</f>
        <v>#REF!</v>
      </c>
      <c r="D131" s="18"/>
      <c r="E131" s="18"/>
      <c r="F131" s="21" t="e">
        <f>#REF!</f>
        <v>#REF!</v>
      </c>
      <c r="G131" s="18"/>
      <c r="H131" s="18"/>
      <c r="I131" s="21" t="e">
        <f>#REF!</f>
        <v>#REF!</v>
      </c>
      <c r="J131" s="18"/>
      <c r="K131" s="18"/>
      <c r="L131" s="21" t="e">
        <f>#REF!</f>
        <v>#REF!</v>
      </c>
      <c r="M131" s="18"/>
      <c r="N131" s="18"/>
      <c r="O131" s="21" t="e">
        <f>#REF!</f>
        <v>#REF!</v>
      </c>
      <c r="P131" s="18"/>
      <c r="Q131" s="18"/>
      <c r="R131" s="22" t="e">
        <f t="shared" si="6"/>
        <v>#REF!</v>
      </c>
      <c r="S131" s="96" t="e">
        <f>#REF!</f>
        <v>#REF!</v>
      </c>
      <c r="T131" s="42"/>
      <c r="U131" s="9"/>
      <c r="V131" s="5" t="e">
        <f t="shared" si="7"/>
        <v>#REF!</v>
      </c>
    </row>
    <row r="132" spans="1:22" s="5" customFormat="1">
      <c r="A132" s="375" t="e">
        <f>#REF!</f>
        <v>#REF!</v>
      </c>
      <c r="B132" s="1056" t="s">
        <v>336</v>
      </c>
      <c r="C132" s="22" t="e">
        <f>#REF!</f>
        <v>#REF!</v>
      </c>
      <c r="D132" s="18"/>
      <c r="E132" s="18"/>
      <c r="F132" s="21" t="e">
        <f>#REF!</f>
        <v>#REF!</v>
      </c>
      <c r="G132" s="18"/>
      <c r="H132" s="18"/>
      <c r="I132" s="21" t="e">
        <f>#REF!</f>
        <v>#REF!</v>
      </c>
      <c r="J132" s="18"/>
      <c r="K132" s="18"/>
      <c r="L132" s="21" t="e">
        <f>#REF!</f>
        <v>#REF!</v>
      </c>
      <c r="M132" s="18"/>
      <c r="N132" s="18"/>
      <c r="O132" s="21" t="e">
        <f>#REF!</f>
        <v>#REF!</v>
      </c>
      <c r="P132" s="18"/>
      <c r="Q132" s="18"/>
      <c r="R132" s="22" t="e">
        <f t="shared" si="6"/>
        <v>#REF!</v>
      </c>
      <c r="S132" s="96" t="e">
        <f>#REF!</f>
        <v>#REF!</v>
      </c>
      <c r="T132" s="42"/>
      <c r="U132" s="9"/>
      <c r="V132" s="5" t="e">
        <f t="shared" si="7"/>
        <v>#REF!</v>
      </c>
    </row>
    <row r="133" spans="1:22" s="5" customFormat="1">
      <c r="A133" s="375" t="e">
        <f>#REF!</f>
        <v>#REF!</v>
      </c>
      <c r="B133" s="1056" t="s">
        <v>336</v>
      </c>
      <c r="C133" s="22" t="e">
        <f>#REF!</f>
        <v>#REF!</v>
      </c>
      <c r="D133" s="18"/>
      <c r="E133" s="18"/>
      <c r="F133" s="21" t="e">
        <f>#REF!</f>
        <v>#REF!</v>
      </c>
      <c r="G133" s="18"/>
      <c r="H133" s="18"/>
      <c r="I133" s="21" t="e">
        <f>#REF!</f>
        <v>#REF!</v>
      </c>
      <c r="J133" s="18"/>
      <c r="K133" s="18"/>
      <c r="L133" s="21" t="e">
        <f>#REF!</f>
        <v>#REF!</v>
      </c>
      <c r="M133" s="18"/>
      <c r="N133" s="18"/>
      <c r="O133" s="21" t="e">
        <f>#REF!</f>
        <v>#REF!</v>
      </c>
      <c r="P133" s="18"/>
      <c r="Q133" s="18"/>
      <c r="R133" s="22" t="e">
        <f t="shared" si="6"/>
        <v>#REF!</v>
      </c>
      <c r="S133" s="96" t="e">
        <f>#REF!</f>
        <v>#REF!</v>
      </c>
      <c r="T133" s="42"/>
      <c r="U133" s="9"/>
      <c r="V133" s="5" t="e">
        <f t="shared" si="7"/>
        <v>#REF!</v>
      </c>
    </row>
    <row r="134" spans="1:22" s="5" customFormat="1">
      <c r="A134" s="375" t="e">
        <f>#REF!</f>
        <v>#REF!</v>
      </c>
      <c r="B134" s="1056" t="s">
        <v>336</v>
      </c>
      <c r="C134" s="22" t="e">
        <f>#REF!</f>
        <v>#REF!</v>
      </c>
      <c r="D134" s="18"/>
      <c r="E134" s="18"/>
      <c r="F134" s="21" t="e">
        <f>#REF!</f>
        <v>#REF!</v>
      </c>
      <c r="G134" s="18"/>
      <c r="H134" s="18"/>
      <c r="I134" s="21" t="e">
        <f>#REF!</f>
        <v>#REF!</v>
      </c>
      <c r="J134" s="18"/>
      <c r="K134" s="18"/>
      <c r="L134" s="21" t="e">
        <f>#REF!</f>
        <v>#REF!</v>
      </c>
      <c r="M134" s="18"/>
      <c r="N134" s="18"/>
      <c r="O134" s="21" t="e">
        <f>#REF!</f>
        <v>#REF!</v>
      </c>
      <c r="P134" s="18"/>
      <c r="Q134" s="18"/>
      <c r="R134" s="22" t="e">
        <f t="shared" si="6"/>
        <v>#REF!</v>
      </c>
      <c r="S134" s="96" t="e">
        <f>#REF!</f>
        <v>#REF!</v>
      </c>
      <c r="T134" s="42"/>
      <c r="U134" s="9"/>
      <c r="V134" s="5" t="e">
        <f t="shared" si="7"/>
        <v>#REF!</v>
      </c>
    </row>
    <row r="135" spans="1:22" s="5" customFormat="1">
      <c r="A135" s="375" t="e">
        <f>#REF!</f>
        <v>#REF!</v>
      </c>
      <c r="B135" s="1056" t="s">
        <v>336</v>
      </c>
      <c r="C135" s="22" t="e">
        <f>#REF!</f>
        <v>#REF!</v>
      </c>
      <c r="D135" s="18"/>
      <c r="E135" s="18"/>
      <c r="F135" s="21" t="e">
        <f>#REF!</f>
        <v>#REF!</v>
      </c>
      <c r="G135" s="18"/>
      <c r="H135" s="18"/>
      <c r="I135" s="21" t="e">
        <f>#REF!</f>
        <v>#REF!</v>
      </c>
      <c r="J135" s="18"/>
      <c r="K135" s="18"/>
      <c r="L135" s="21" t="e">
        <f>#REF!</f>
        <v>#REF!</v>
      </c>
      <c r="M135" s="18"/>
      <c r="N135" s="18"/>
      <c r="O135" s="21" t="e">
        <f>#REF!</f>
        <v>#REF!</v>
      </c>
      <c r="P135" s="18"/>
      <c r="Q135" s="18"/>
      <c r="R135" s="22" t="e">
        <f t="shared" si="6"/>
        <v>#REF!</v>
      </c>
      <c r="S135" s="96" t="e">
        <f>#REF!</f>
        <v>#REF!</v>
      </c>
      <c r="T135" s="42"/>
      <c r="U135" s="9"/>
      <c r="V135" s="5" t="e">
        <f t="shared" si="7"/>
        <v>#REF!</v>
      </c>
    </row>
    <row r="136" spans="1:22" s="5" customFormat="1">
      <c r="A136" s="375" t="e">
        <f>#REF!</f>
        <v>#REF!</v>
      </c>
      <c r="B136" s="1056" t="s">
        <v>336</v>
      </c>
      <c r="C136" s="22" t="e">
        <f>#REF!</f>
        <v>#REF!</v>
      </c>
      <c r="D136" s="18"/>
      <c r="E136" s="18"/>
      <c r="F136" s="21" t="e">
        <f>#REF!</f>
        <v>#REF!</v>
      </c>
      <c r="G136" s="18"/>
      <c r="H136" s="18"/>
      <c r="I136" s="21" t="e">
        <f>#REF!</f>
        <v>#REF!</v>
      </c>
      <c r="J136" s="18"/>
      <c r="K136" s="18"/>
      <c r="L136" s="21" t="e">
        <f>#REF!</f>
        <v>#REF!</v>
      </c>
      <c r="M136" s="18"/>
      <c r="N136" s="18"/>
      <c r="O136" s="21" t="e">
        <f>#REF!</f>
        <v>#REF!</v>
      </c>
      <c r="P136" s="18"/>
      <c r="Q136" s="18"/>
      <c r="R136" s="22" t="e">
        <f t="shared" si="6"/>
        <v>#REF!</v>
      </c>
      <c r="S136" s="96" t="e">
        <f>#REF!</f>
        <v>#REF!</v>
      </c>
      <c r="T136" s="42"/>
      <c r="U136" s="9"/>
      <c r="V136" s="5" t="e">
        <f t="shared" si="7"/>
        <v>#REF!</v>
      </c>
    </row>
    <row r="137" spans="1:22" s="5" customFormat="1">
      <c r="A137" s="375" t="e">
        <f>#REF!</f>
        <v>#REF!</v>
      </c>
      <c r="B137" s="1056" t="s">
        <v>336</v>
      </c>
      <c r="C137" s="22" t="e">
        <f>#REF!</f>
        <v>#REF!</v>
      </c>
      <c r="D137" s="18"/>
      <c r="E137" s="18"/>
      <c r="F137" s="21" t="e">
        <f>#REF!</f>
        <v>#REF!</v>
      </c>
      <c r="G137" s="18"/>
      <c r="H137" s="18"/>
      <c r="I137" s="21" t="e">
        <f>#REF!</f>
        <v>#REF!</v>
      </c>
      <c r="J137" s="18"/>
      <c r="K137" s="18"/>
      <c r="L137" s="21" t="e">
        <f>#REF!</f>
        <v>#REF!</v>
      </c>
      <c r="M137" s="18"/>
      <c r="N137" s="18"/>
      <c r="O137" s="21" t="e">
        <f>#REF!</f>
        <v>#REF!</v>
      </c>
      <c r="P137" s="18"/>
      <c r="Q137" s="18"/>
      <c r="R137" s="22" t="e">
        <f t="shared" si="6"/>
        <v>#REF!</v>
      </c>
      <c r="S137" s="96" t="e">
        <f>#REF!</f>
        <v>#REF!</v>
      </c>
      <c r="T137" s="42"/>
      <c r="U137" s="9"/>
      <c r="V137" s="5" t="e">
        <f t="shared" si="7"/>
        <v>#REF!</v>
      </c>
    </row>
    <row r="138" spans="1:22" s="5" customFormat="1">
      <c r="A138" s="375" t="e">
        <f>#REF!</f>
        <v>#REF!</v>
      </c>
      <c r="B138" s="1056" t="s">
        <v>336</v>
      </c>
      <c r="C138" s="22" t="e">
        <f>#REF!</f>
        <v>#REF!</v>
      </c>
      <c r="D138" s="18"/>
      <c r="E138" s="18"/>
      <c r="F138" s="21" t="e">
        <f>#REF!</f>
        <v>#REF!</v>
      </c>
      <c r="G138" s="18"/>
      <c r="H138" s="18"/>
      <c r="I138" s="21" t="e">
        <f>#REF!</f>
        <v>#REF!</v>
      </c>
      <c r="J138" s="18"/>
      <c r="K138" s="18"/>
      <c r="L138" s="21" t="e">
        <f>#REF!</f>
        <v>#REF!</v>
      </c>
      <c r="M138" s="18"/>
      <c r="N138" s="18"/>
      <c r="O138" s="21" t="e">
        <f>#REF!</f>
        <v>#REF!</v>
      </c>
      <c r="P138" s="18"/>
      <c r="Q138" s="18"/>
      <c r="R138" s="22" t="e">
        <f t="shared" si="6"/>
        <v>#REF!</v>
      </c>
      <c r="S138" s="96" t="e">
        <f>#REF!</f>
        <v>#REF!</v>
      </c>
      <c r="T138" s="42"/>
      <c r="U138" s="9"/>
      <c r="V138" s="5" t="e">
        <f t="shared" si="7"/>
        <v>#REF!</v>
      </c>
    </row>
    <row r="139" spans="1:22" s="5" customFormat="1">
      <c r="A139" s="375" t="e">
        <f>#REF!</f>
        <v>#REF!</v>
      </c>
      <c r="B139" s="1056" t="s">
        <v>336</v>
      </c>
      <c r="C139" s="22" t="e">
        <f>#REF!</f>
        <v>#REF!</v>
      </c>
      <c r="D139" s="18"/>
      <c r="E139" s="18"/>
      <c r="F139" s="21" t="e">
        <f>#REF!</f>
        <v>#REF!</v>
      </c>
      <c r="G139" s="18"/>
      <c r="H139" s="18"/>
      <c r="I139" s="21" t="e">
        <f>#REF!</f>
        <v>#REF!</v>
      </c>
      <c r="J139" s="18"/>
      <c r="K139" s="18"/>
      <c r="L139" s="21" t="e">
        <f>#REF!</f>
        <v>#REF!</v>
      </c>
      <c r="M139" s="18"/>
      <c r="N139" s="18"/>
      <c r="O139" s="21" t="e">
        <f>#REF!</f>
        <v>#REF!</v>
      </c>
      <c r="P139" s="18"/>
      <c r="Q139" s="18"/>
      <c r="R139" s="22" t="e">
        <f t="shared" si="6"/>
        <v>#REF!</v>
      </c>
      <c r="S139" s="96" t="e">
        <f>#REF!</f>
        <v>#REF!</v>
      </c>
      <c r="T139" s="42"/>
      <c r="U139" s="9"/>
      <c r="V139" s="5" t="e">
        <f t="shared" si="7"/>
        <v>#REF!</v>
      </c>
    </row>
    <row r="140" spans="1:22" s="5" customFormat="1">
      <c r="A140" s="375" t="e">
        <f>#REF!</f>
        <v>#REF!</v>
      </c>
      <c r="B140" s="1056" t="s">
        <v>336</v>
      </c>
      <c r="C140" s="22" t="e">
        <f>#REF!</f>
        <v>#REF!</v>
      </c>
      <c r="D140" s="18"/>
      <c r="E140" s="18"/>
      <c r="F140" s="21" t="e">
        <f>#REF!</f>
        <v>#REF!</v>
      </c>
      <c r="G140" s="18"/>
      <c r="H140" s="18"/>
      <c r="I140" s="21" t="e">
        <f>#REF!</f>
        <v>#REF!</v>
      </c>
      <c r="J140" s="18"/>
      <c r="K140" s="18"/>
      <c r="L140" s="21" t="e">
        <f>#REF!</f>
        <v>#REF!</v>
      </c>
      <c r="M140" s="18"/>
      <c r="N140" s="18"/>
      <c r="O140" s="21" t="e">
        <f>#REF!</f>
        <v>#REF!</v>
      </c>
      <c r="P140" s="18"/>
      <c r="Q140" s="18"/>
      <c r="R140" s="22" t="e">
        <f t="shared" si="6"/>
        <v>#REF!</v>
      </c>
      <c r="S140" s="96" t="e">
        <f>#REF!</f>
        <v>#REF!</v>
      </c>
      <c r="T140" s="42"/>
      <c r="U140" s="9"/>
      <c r="V140" s="5" t="e">
        <f t="shared" si="7"/>
        <v>#REF!</v>
      </c>
    </row>
    <row r="141" spans="1:22" s="5" customFormat="1">
      <c r="A141" s="375" t="e">
        <f>#REF!</f>
        <v>#REF!</v>
      </c>
      <c r="B141" s="1056" t="s">
        <v>336</v>
      </c>
      <c r="C141" s="22" t="e">
        <f>#REF!</f>
        <v>#REF!</v>
      </c>
      <c r="D141" s="18"/>
      <c r="E141" s="18"/>
      <c r="F141" s="21" t="e">
        <f>#REF!</f>
        <v>#REF!</v>
      </c>
      <c r="G141" s="18"/>
      <c r="H141" s="18"/>
      <c r="I141" s="21" t="e">
        <f>#REF!</f>
        <v>#REF!</v>
      </c>
      <c r="J141" s="18"/>
      <c r="K141" s="18"/>
      <c r="L141" s="21" t="e">
        <f>#REF!</f>
        <v>#REF!</v>
      </c>
      <c r="M141" s="18"/>
      <c r="N141" s="18"/>
      <c r="O141" s="21" t="e">
        <f>#REF!</f>
        <v>#REF!</v>
      </c>
      <c r="P141" s="18"/>
      <c r="Q141" s="18"/>
      <c r="R141" s="22" t="e">
        <f t="shared" si="6"/>
        <v>#REF!</v>
      </c>
      <c r="S141" s="96" t="e">
        <f>#REF!</f>
        <v>#REF!</v>
      </c>
      <c r="T141" s="42"/>
      <c r="U141" s="9"/>
      <c r="V141" s="5" t="e">
        <f t="shared" si="7"/>
        <v>#REF!</v>
      </c>
    </row>
    <row r="142" spans="1:22" s="5" customFormat="1">
      <c r="A142" s="375" t="e">
        <f>#REF!</f>
        <v>#REF!</v>
      </c>
      <c r="B142" s="1056" t="s">
        <v>336</v>
      </c>
      <c r="C142" s="22" t="e">
        <f>#REF!</f>
        <v>#REF!</v>
      </c>
      <c r="D142" s="18"/>
      <c r="E142" s="18"/>
      <c r="F142" s="21" t="e">
        <f>#REF!</f>
        <v>#REF!</v>
      </c>
      <c r="G142" s="18"/>
      <c r="H142" s="18"/>
      <c r="I142" s="21" t="e">
        <f>#REF!</f>
        <v>#REF!</v>
      </c>
      <c r="J142" s="18"/>
      <c r="K142" s="18"/>
      <c r="L142" s="21" t="e">
        <f>#REF!</f>
        <v>#REF!</v>
      </c>
      <c r="M142" s="18"/>
      <c r="N142" s="18"/>
      <c r="O142" s="21" t="e">
        <f>#REF!</f>
        <v>#REF!</v>
      </c>
      <c r="P142" s="18"/>
      <c r="Q142" s="18"/>
      <c r="R142" s="22" t="e">
        <f t="shared" si="6"/>
        <v>#REF!</v>
      </c>
      <c r="S142" s="96" t="e">
        <f>#REF!</f>
        <v>#REF!</v>
      </c>
      <c r="T142" s="42"/>
      <c r="U142" s="9"/>
      <c r="V142" s="5" t="e">
        <f t="shared" si="7"/>
        <v>#REF!</v>
      </c>
    </row>
    <row r="143" spans="1:22" s="5" customFormat="1">
      <c r="A143" s="375" t="e">
        <f>#REF!</f>
        <v>#REF!</v>
      </c>
      <c r="B143" s="1056" t="s">
        <v>336</v>
      </c>
      <c r="C143" s="22" t="e">
        <f>#REF!</f>
        <v>#REF!</v>
      </c>
      <c r="D143" s="18"/>
      <c r="E143" s="18"/>
      <c r="F143" s="21" t="e">
        <f>#REF!</f>
        <v>#REF!</v>
      </c>
      <c r="G143" s="18"/>
      <c r="H143" s="18"/>
      <c r="I143" s="21" t="e">
        <f>#REF!</f>
        <v>#REF!</v>
      </c>
      <c r="J143" s="18"/>
      <c r="K143" s="18"/>
      <c r="L143" s="21" t="e">
        <f>#REF!</f>
        <v>#REF!</v>
      </c>
      <c r="M143" s="18"/>
      <c r="N143" s="18"/>
      <c r="O143" s="21" t="e">
        <f>#REF!</f>
        <v>#REF!</v>
      </c>
      <c r="P143" s="18"/>
      <c r="Q143" s="18"/>
      <c r="R143" s="22" t="e">
        <f t="shared" si="6"/>
        <v>#REF!</v>
      </c>
      <c r="S143" s="96" t="e">
        <f>#REF!</f>
        <v>#REF!</v>
      </c>
      <c r="T143" s="42"/>
      <c r="U143" s="9"/>
      <c r="V143" s="5" t="e">
        <f t="shared" si="7"/>
        <v>#REF!</v>
      </c>
    </row>
    <row r="144" spans="1:22" s="5" customFormat="1">
      <c r="A144" s="375" t="e">
        <f>#REF!</f>
        <v>#REF!</v>
      </c>
      <c r="B144" s="1056" t="s">
        <v>336</v>
      </c>
      <c r="C144" s="22" t="e">
        <f>#REF!</f>
        <v>#REF!</v>
      </c>
      <c r="D144" s="18"/>
      <c r="E144" s="18"/>
      <c r="F144" s="21" t="e">
        <f>#REF!</f>
        <v>#REF!</v>
      </c>
      <c r="G144" s="18"/>
      <c r="H144" s="18"/>
      <c r="I144" s="21" t="e">
        <f>#REF!</f>
        <v>#REF!</v>
      </c>
      <c r="J144" s="18"/>
      <c r="K144" s="18"/>
      <c r="L144" s="21" t="e">
        <f>#REF!</f>
        <v>#REF!</v>
      </c>
      <c r="M144" s="18"/>
      <c r="N144" s="18"/>
      <c r="O144" s="21" t="e">
        <f>#REF!</f>
        <v>#REF!</v>
      </c>
      <c r="P144" s="18"/>
      <c r="Q144" s="18"/>
      <c r="R144" s="22" t="e">
        <f t="shared" si="6"/>
        <v>#REF!</v>
      </c>
      <c r="S144" s="96" t="e">
        <f>#REF!</f>
        <v>#REF!</v>
      </c>
      <c r="T144" s="42"/>
      <c r="U144" s="9"/>
      <c r="V144" s="5" t="e">
        <f t="shared" si="7"/>
        <v>#REF!</v>
      </c>
    </row>
    <row r="145" spans="1:22" s="5" customFormat="1">
      <c r="A145" s="375" t="e">
        <f>#REF!</f>
        <v>#REF!</v>
      </c>
      <c r="B145" s="1056" t="s">
        <v>336</v>
      </c>
      <c r="C145" s="22" t="e">
        <f>#REF!</f>
        <v>#REF!</v>
      </c>
      <c r="D145" s="18"/>
      <c r="E145" s="18"/>
      <c r="F145" s="21" t="e">
        <f>#REF!</f>
        <v>#REF!</v>
      </c>
      <c r="G145" s="18"/>
      <c r="H145" s="18"/>
      <c r="I145" s="21" t="e">
        <f>#REF!</f>
        <v>#REF!</v>
      </c>
      <c r="J145" s="18"/>
      <c r="K145" s="18"/>
      <c r="L145" s="21" t="e">
        <f>#REF!</f>
        <v>#REF!</v>
      </c>
      <c r="M145" s="18"/>
      <c r="N145" s="18"/>
      <c r="O145" s="21" t="e">
        <f>#REF!</f>
        <v>#REF!</v>
      </c>
      <c r="P145" s="18"/>
      <c r="Q145" s="18"/>
      <c r="R145" s="22" t="e">
        <f t="shared" si="6"/>
        <v>#REF!</v>
      </c>
      <c r="S145" s="96" t="e">
        <f>#REF!</f>
        <v>#REF!</v>
      </c>
      <c r="T145" s="42"/>
      <c r="U145" s="9"/>
      <c r="V145" s="5" t="e">
        <f t="shared" si="7"/>
        <v>#REF!</v>
      </c>
    </row>
    <row r="146" spans="1:22" s="5" customFormat="1">
      <c r="A146" s="375" t="e">
        <f>#REF!</f>
        <v>#REF!</v>
      </c>
      <c r="B146" s="1056" t="s">
        <v>336</v>
      </c>
      <c r="C146" s="22" t="e">
        <f>#REF!</f>
        <v>#REF!</v>
      </c>
      <c r="D146" s="18"/>
      <c r="E146" s="18"/>
      <c r="F146" s="21" t="e">
        <f>#REF!</f>
        <v>#REF!</v>
      </c>
      <c r="G146" s="18"/>
      <c r="H146" s="18"/>
      <c r="I146" s="21" t="e">
        <f>#REF!</f>
        <v>#REF!</v>
      </c>
      <c r="J146" s="18"/>
      <c r="K146" s="18"/>
      <c r="L146" s="21" t="e">
        <f>#REF!</f>
        <v>#REF!</v>
      </c>
      <c r="M146" s="18"/>
      <c r="N146" s="18"/>
      <c r="O146" s="21" t="e">
        <f>#REF!</f>
        <v>#REF!</v>
      </c>
      <c r="P146" s="18"/>
      <c r="Q146" s="18"/>
      <c r="R146" s="22" t="e">
        <f t="shared" si="6"/>
        <v>#REF!</v>
      </c>
      <c r="S146" s="96" t="e">
        <f>#REF!</f>
        <v>#REF!</v>
      </c>
      <c r="T146" s="42"/>
      <c r="U146" s="9"/>
      <c r="V146" s="5" t="e">
        <f t="shared" si="7"/>
        <v>#REF!</v>
      </c>
    </row>
    <row r="147" spans="1:22" s="5" customFormat="1">
      <c r="A147" s="375" t="e">
        <f>#REF!</f>
        <v>#REF!</v>
      </c>
      <c r="B147" s="1056" t="s">
        <v>336</v>
      </c>
      <c r="C147" s="22" t="e">
        <f>#REF!</f>
        <v>#REF!</v>
      </c>
      <c r="D147" s="18"/>
      <c r="E147" s="18"/>
      <c r="F147" s="21" t="e">
        <f>#REF!</f>
        <v>#REF!</v>
      </c>
      <c r="G147" s="18"/>
      <c r="H147" s="18"/>
      <c r="I147" s="21" t="e">
        <f>#REF!</f>
        <v>#REF!</v>
      </c>
      <c r="J147" s="18"/>
      <c r="K147" s="18"/>
      <c r="L147" s="21" t="e">
        <f>#REF!</f>
        <v>#REF!</v>
      </c>
      <c r="M147" s="18"/>
      <c r="N147" s="18"/>
      <c r="O147" s="21" t="e">
        <f>#REF!</f>
        <v>#REF!</v>
      </c>
      <c r="P147" s="18"/>
      <c r="Q147" s="18"/>
      <c r="R147" s="22" t="e">
        <f t="shared" si="6"/>
        <v>#REF!</v>
      </c>
      <c r="S147" s="96" t="e">
        <f>#REF!</f>
        <v>#REF!</v>
      </c>
      <c r="T147" s="42"/>
      <c r="U147" s="9"/>
      <c r="V147" s="5" t="e">
        <f t="shared" si="7"/>
        <v>#REF!</v>
      </c>
    </row>
    <row r="148" spans="1:22" s="5" customFormat="1">
      <c r="A148" s="375" t="e">
        <f>#REF!</f>
        <v>#REF!</v>
      </c>
      <c r="B148" s="1056" t="s">
        <v>336</v>
      </c>
      <c r="C148" s="22" t="e">
        <f>#REF!</f>
        <v>#REF!</v>
      </c>
      <c r="D148" s="18"/>
      <c r="E148" s="18"/>
      <c r="F148" s="21" t="e">
        <f>#REF!</f>
        <v>#REF!</v>
      </c>
      <c r="G148" s="18"/>
      <c r="H148" s="18"/>
      <c r="I148" s="21" t="e">
        <f>#REF!</f>
        <v>#REF!</v>
      </c>
      <c r="J148" s="18"/>
      <c r="K148" s="18"/>
      <c r="L148" s="21" t="e">
        <f>#REF!</f>
        <v>#REF!</v>
      </c>
      <c r="M148" s="18"/>
      <c r="N148" s="18"/>
      <c r="O148" s="21" t="e">
        <f>#REF!</f>
        <v>#REF!</v>
      </c>
      <c r="P148" s="18"/>
      <c r="Q148" s="18"/>
      <c r="R148" s="22" t="e">
        <f t="shared" si="6"/>
        <v>#REF!</v>
      </c>
      <c r="S148" s="96" t="e">
        <f>#REF!</f>
        <v>#REF!</v>
      </c>
      <c r="T148" s="42"/>
      <c r="U148" s="9"/>
      <c r="V148" s="5" t="e">
        <f t="shared" si="7"/>
        <v>#REF!</v>
      </c>
    </row>
    <row r="149" spans="1:22" s="5" customFormat="1">
      <c r="A149" s="375" t="e">
        <f>#REF!</f>
        <v>#REF!</v>
      </c>
      <c r="B149" s="1056" t="s">
        <v>336</v>
      </c>
      <c r="C149" s="22" t="e">
        <f>#REF!</f>
        <v>#REF!</v>
      </c>
      <c r="D149" s="18"/>
      <c r="E149" s="18"/>
      <c r="F149" s="21" t="e">
        <f>#REF!</f>
        <v>#REF!</v>
      </c>
      <c r="G149" s="18"/>
      <c r="H149" s="18"/>
      <c r="I149" s="21" t="e">
        <f>#REF!</f>
        <v>#REF!</v>
      </c>
      <c r="J149" s="18"/>
      <c r="K149" s="18"/>
      <c r="L149" s="21" t="e">
        <f>#REF!</f>
        <v>#REF!</v>
      </c>
      <c r="M149" s="18"/>
      <c r="N149" s="18"/>
      <c r="O149" s="21" t="e">
        <f>#REF!</f>
        <v>#REF!</v>
      </c>
      <c r="P149" s="18"/>
      <c r="Q149" s="18"/>
      <c r="R149" s="22" t="e">
        <f t="shared" ref="R149:R180" si="8">C149+F149+I149+L149+O149</f>
        <v>#REF!</v>
      </c>
      <c r="S149" s="96" t="e">
        <f>#REF!</f>
        <v>#REF!</v>
      </c>
      <c r="T149" s="42"/>
      <c r="U149" s="9"/>
      <c r="V149" s="5" t="e">
        <f t="shared" si="7"/>
        <v>#REF!</v>
      </c>
    </row>
    <row r="150" spans="1:22" s="5" customFormat="1">
      <c r="A150" s="375" t="e">
        <f>#REF!</f>
        <v>#REF!</v>
      </c>
      <c r="B150" s="1056" t="s">
        <v>336</v>
      </c>
      <c r="C150" s="22" t="e">
        <f>#REF!</f>
        <v>#REF!</v>
      </c>
      <c r="D150" s="18"/>
      <c r="E150" s="18"/>
      <c r="F150" s="21" t="e">
        <f>#REF!</f>
        <v>#REF!</v>
      </c>
      <c r="G150" s="18"/>
      <c r="H150" s="18"/>
      <c r="I150" s="21" t="e">
        <f>#REF!</f>
        <v>#REF!</v>
      </c>
      <c r="J150" s="18"/>
      <c r="K150" s="18"/>
      <c r="L150" s="21" t="e">
        <f>#REF!</f>
        <v>#REF!</v>
      </c>
      <c r="M150" s="18"/>
      <c r="N150" s="18"/>
      <c r="O150" s="21" t="e">
        <f>#REF!</f>
        <v>#REF!</v>
      </c>
      <c r="P150" s="18"/>
      <c r="Q150" s="18"/>
      <c r="R150" s="22" t="e">
        <f t="shared" si="8"/>
        <v>#REF!</v>
      </c>
      <c r="S150" s="96" t="e">
        <f>#REF!</f>
        <v>#REF!</v>
      </c>
      <c r="T150" s="42"/>
      <c r="U150" s="9"/>
      <c r="V150" s="5" t="e">
        <f t="shared" si="7"/>
        <v>#REF!</v>
      </c>
    </row>
    <row r="151" spans="1:22" s="5" customFormat="1">
      <c r="A151" s="375" t="e">
        <f>#REF!</f>
        <v>#REF!</v>
      </c>
      <c r="B151" s="1056" t="s">
        <v>336</v>
      </c>
      <c r="C151" s="22" t="e">
        <f>#REF!</f>
        <v>#REF!</v>
      </c>
      <c r="D151" s="18"/>
      <c r="E151" s="18"/>
      <c r="F151" s="21" t="e">
        <f>#REF!</f>
        <v>#REF!</v>
      </c>
      <c r="G151" s="18"/>
      <c r="H151" s="18"/>
      <c r="I151" s="21" t="e">
        <f>#REF!</f>
        <v>#REF!</v>
      </c>
      <c r="J151" s="18"/>
      <c r="K151" s="18"/>
      <c r="L151" s="21" t="e">
        <f>#REF!</f>
        <v>#REF!</v>
      </c>
      <c r="M151" s="18"/>
      <c r="N151" s="18"/>
      <c r="O151" s="21" t="e">
        <f>#REF!</f>
        <v>#REF!</v>
      </c>
      <c r="P151" s="18"/>
      <c r="Q151" s="18"/>
      <c r="R151" s="22" t="e">
        <f t="shared" si="8"/>
        <v>#REF!</v>
      </c>
      <c r="S151" s="96" t="e">
        <f>#REF!</f>
        <v>#REF!</v>
      </c>
      <c r="T151" s="42"/>
      <c r="U151" s="9"/>
      <c r="V151" s="5" t="e">
        <f t="shared" si="7"/>
        <v>#REF!</v>
      </c>
    </row>
    <row r="152" spans="1:22" s="5" customFormat="1">
      <c r="A152" s="375" t="e">
        <f>#REF!</f>
        <v>#REF!</v>
      </c>
      <c r="B152" s="1056" t="s">
        <v>336</v>
      </c>
      <c r="C152" s="22" t="e">
        <f>#REF!</f>
        <v>#REF!</v>
      </c>
      <c r="D152" s="18"/>
      <c r="E152" s="18"/>
      <c r="F152" s="21" t="e">
        <f>#REF!</f>
        <v>#REF!</v>
      </c>
      <c r="G152" s="18"/>
      <c r="H152" s="18"/>
      <c r="I152" s="21" t="e">
        <f>#REF!</f>
        <v>#REF!</v>
      </c>
      <c r="J152" s="18"/>
      <c r="K152" s="18"/>
      <c r="L152" s="21" t="e">
        <f>#REF!</f>
        <v>#REF!</v>
      </c>
      <c r="M152" s="18"/>
      <c r="N152" s="18"/>
      <c r="O152" s="21" t="e">
        <f>#REF!</f>
        <v>#REF!</v>
      </c>
      <c r="P152" s="18"/>
      <c r="Q152" s="18"/>
      <c r="R152" s="22" t="e">
        <f t="shared" si="8"/>
        <v>#REF!</v>
      </c>
      <c r="S152" s="96" t="e">
        <f>#REF!</f>
        <v>#REF!</v>
      </c>
      <c r="T152" s="42"/>
      <c r="U152" s="9"/>
      <c r="V152" s="5" t="e">
        <f t="shared" si="7"/>
        <v>#REF!</v>
      </c>
    </row>
    <row r="153" spans="1:22" s="5" customFormat="1">
      <c r="A153" s="375" t="e">
        <f>#REF!</f>
        <v>#REF!</v>
      </c>
      <c r="B153" s="1056" t="s">
        <v>336</v>
      </c>
      <c r="C153" s="22" t="e">
        <f>#REF!</f>
        <v>#REF!</v>
      </c>
      <c r="D153" s="18"/>
      <c r="E153" s="18"/>
      <c r="F153" s="21" t="e">
        <f>#REF!</f>
        <v>#REF!</v>
      </c>
      <c r="G153" s="18"/>
      <c r="H153" s="18"/>
      <c r="I153" s="21" t="e">
        <f>#REF!</f>
        <v>#REF!</v>
      </c>
      <c r="J153" s="18"/>
      <c r="K153" s="18"/>
      <c r="L153" s="21" t="e">
        <f>#REF!</f>
        <v>#REF!</v>
      </c>
      <c r="M153" s="18"/>
      <c r="N153" s="18"/>
      <c r="O153" s="21" t="e">
        <f>#REF!</f>
        <v>#REF!</v>
      </c>
      <c r="P153" s="18"/>
      <c r="Q153" s="18"/>
      <c r="R153" s="22" t="e">
        <f t="shared" si="8"/>
        <v>#REF!</v>
      </c>
      <c r="S153" s="96" t="e">
        <f>#REF!</f>
        <v>#REF!</v>
      </c>
      <c r="T153" s="42"/>
      <c r="U153" s="9"/>
      <c r="V153" s="5" t="e">
        <f t="shared" si="7"/>
        <v>#REF!</v>
      </c>
    </row>
    <row r="154" spans="1:22" s="5" customFormat="1">
      <c r="A154" s="375" t="e">
        <f>#REF!</f>
        <v>#REF!</v>
      </c>
      <c r="B154" s="1056" t="s">
        <v>336</v>
      </c>
      <c r="C154" s="22" t="e">
        <f>#REF!</f>
        <v>#REF!</v>
      </c>
      <c r="D154" s="18"/>
      <c r="E154" s="18"/>
      <c r="F154" s="21" t="e">
        <f>#REF!</f>
        <v>#REF!</v>
      </c>
      <c r="G154" s="18"/>
      <c r="H154" s="18"/>
      <c r="I154" s="21" t="e">
        <f>#REF!</f>
        <v>#REF!</v>
      </c>
      <c r="J154" s="18"/>
      <c r="K154" s="18"/>
      <c r="L154" s="21" t="e">
        <f>#REF!</f>
        <v>#REF!</v>
      </c>
      <c r="M154" s="18"/>
      <c r="N154" s="18"/>
      <c r="O154" s="21" t="e">
        <f>#REF!</f>
        <v>#REF!</v>
      </c>
      <c r="P154" s="18"/>
      <c r="Q154" s="18"/>
      <c r="R154" s="22" t="e">
        <f t="shared" si="8"/>
        <v>#REF!</v>
      </c>
      <c r="S154" s="96" t="e">
        <f>#REF!</f>
        <v>#REF!</v>
      </c>
      <c r="T154" s="42"/>
      <c r="U154" s="9"/>
      <c r="V154" s="5" t="e">
        <f t="shared" si="7"/>
        <v>#REF!</v>
      </c>
    </row>
    <row r="155" spans="1:22" s="5" customFormat="1">
      <c r="A155" s="375" t="e">
        <f>#REF!</f>
        <v>#REF!</v>
      </c>
      <c r="B155" s="1056" t="s">
        <v>336</v>
      </c>
      <c r="C155" s="22" t="e">
        <f>#REF!</f>
        <v>#REF!</v>
      </c>
      <c r="D155" s="18"/>
      <c r="E155" s="18"/>
      <c r="F155" s="21" t="e">
        <f>#REF!</f>
        <v>#REF!</v>
      </c>
      <c r="G155" s="18"/>
      <c r="H155" s="18"/>
      <c r="I155" s="21" t="e">
        <f>#REF!</f>
        <v>#REF!</v>
      </c>
      <c r="J155" s="18"/>
      <c r="K155" s="18"/>
      <c r="L155" s="21" t="e">
        <f>#REF!</f>
        <v>#REF!</v>
      </c>
      <c r="M155" s="18"/>
      <c r="N155" s="18"/>
      <c r="O155" s="21" t="e">
        <f>#REF!</f>
        <v>#REF!</v>
      </c>
      <c r="P155" s="18"/>
      <c r="Q155" s="18"/>
      <c r="R155" s="22" t="e">
        <f t="shared" si="8"/>
        <v>#REF!</v>
      </c>
      <c r="S155" s="96" t="e">
        <f>#REF!</f>
        <v>#REF!</v>
      </c>
      <c r="T155" s="42"/>
      <c r="U155" s="9"/>
      <c r="V155" s="5" t="e">
        <f t="shared" si="7"/>
        <v>#REF!</v>
      </c>
    </row>
    <row r="156" spans="1:22" s="5" customFormat="1">
      <c r="A156" s="375" t="e">
        <f>#REF!</f>
        <v>#REF!</v>
      </c>
      <c r="B156" s="1056" t="s">
        <v>336</v>
      </c>
      <c r="C156" s="22" t="e">
        <f>#REF!</f>
        <v>#REF!</v>
      </c>
      <c r="D156" s="18"/>
      <c r="E156" s="18"/>
      <c r="F156" s="21" t="e">
        <f>#REF!</f>
        <v>#REF!</v>
      </c>
      <c r="G156" s="18"/>
      <c r="H156" s="18"/>
      <c r="I156" s="21" t="e">
        <f>#REF!</f>
        <v>#REF!</v>
      </c>
      <c r="J156" s="18"/>
      <c r="K156" s="18"/>
      <c r="L156" s="21" t="e">
        <f>#REF!</f>
        <v>#REF!</v>
      </c>
      <c r="M156" s="18"/>
      <c r="N156" s="18"/>
      <c r="O156" s="21" t="e">
        <f>#REF!</f>
        <v>#REF!</v>
      </c>
      <c r="P156" s="18"/>
      <c r="Q156" s="18"/>
      <c r="R156" s="22" t="e">
        <f t="shared" si="8"/>
        <v>#REF!</v>
      </c>
      <c r="S156" s="96" t="e">
        <f>#REF!</f>
        <v>#REF!</v>
      </c>
      <c r="T156" s="42"/>
      <c r="U156" s="9"/>
      <c r="V156" s="5" t="e">
        <f t="shared" si="7"/>
        <v>#REF!</v>
      </c>
    </row>
    <row r="157" spans="1:22" s="5" customFormat="1">
      <c r="A157" s="375" t="e">
        <f>#REF!</f>
        <v>#REF!</v>
      </c>
      <c r="B157" s="1056" t="s">
        <v>336</v>
      </c>
      <c r="C157" s="22" t="e">
        <f>#REF!</f>
        <v>#REF!</v>
      </c>
      <c r="D157" s="18"/>
      <c r="E157" s="18"/>
      <c r="F157" s="21" t="e">
        <f>#REF!</f>
        <v>#REF!</v>
      </c>
      <c r="G157" s="18"/>
      <c r="H157" s="18"/>
      <c r="I157" s="21" t="e">
        <f>#REF!</f>
        <v>#REF!</v>
      </c>
      <c r="J157" s="18"/>
      <c r="K157" s="18"/>
      <c r="L157" s="21" t="e">
        <f>#REF!</f>
        <v>#REF!</v>
      </c>
      <c r="M157" s="18"/>
      <c r="N157" s="18"/>
      <c r="O157" s="21" t="e">
        <f>#REF!</f>
        <v>#REF!</v>
      </c>
      <c r="P157" s="18"/>
      <c r="Q157" s="18"/>
      <c r="R157" s="22" t="e">
        <f t="shared" si="8"/>
        <v>#REF!</v>
      </c>
      <c r="S157" s="96" t="e">
        <f>#REF!</f>
        <v>#REF!</v>
      </c>
      <c r="T157" s="42"/>
      <c r="U157" s="9"/>
      <c r="V157" s="5" t="e">
        <f t="shared" si="7"/>
        <v>#REF!</v>
      </c>
    </row>
    <row r="158" spans="1:22" s="5" customFormat="1">
      <c r="A158" s="375" t="e">
        <f>#REF!</f>
        <v>#REF!</v>
      </c>
      <c r="B158" s="1056" t="s">
        <v>336</v>
      </c>
      <c r="C158" s="22" t="e">
        <f>#REF!</f>
        <v>#REF!</v>
      </c>
      <c r="D158" s="18"/>
      <c r="E158" s="18"/>
      <c r="F158" s="21" t="e">
        <f>#REF!</f>
        <v>#REF!</v>
      </c>
      <c r="G158" s="18"/>
      <c r="H158" s="18"/>
      <c r="I158" s="21" t="e">
        <f>#REF!</f>
        <v>#REF!</v>
      </c>
      <c r="J158" s="18"/>
      <c r="K158" s="18"/>
      <c r="L158" s="21" t="e">
        <f>#REF!</f>
        <v>#REF!</v>
      </c>
      <c r="M158" s="18"/>
      <c r="N158" s="18"/>
      <c r="O158" s="21" t="e">
        <f>#REF!</f>
        <v>#REF!</v>
      </c>
      <c r="P158" s="18"/>
      <c r="Q158" s="18"/>
      <c r="R158" s="22" t="e">
        <f t="shared" si="8"/>
        <v>#REF!</v>
      </c>
      <c r="S158" s="96" t="e">
        <f>#REF!</f>
        <v>#REF!</v>
      </c>
      <c r="T158" s="42"/>
      <c r="U158" s="9"/>
      <c r="V158" s="5" t="e">
        <f t="shared" si="7"/>
        <v>#REF!</v>
      </c>
    </row>
    <row r="159" spans="1:22" s="5" customFormat="1">
      <c r="A159" s="375" t="e">
        <f>#REF!</f>
        <v>#REF!</v>
      </c>
      <c r="B159" s="1056" t="s">
        <v>336</v>
      </c>
      <c r="C159" s="22" t="e">
        <f>#REF!</f>
        <v>#REF!</v>
      </c>
      <c r="D159" s="18"/>
      <c r="E159" s="18"/>
      <c r="F159" s="21" t="e">
        <f>#REF!</f>
        <v>#REF!</v>
      </c>
      <c r="G159" s="18"/>
      <c r="H159" s="18"/>
      <c r="I159" s="21" t="e">
        <f>#REF!</f>
        <v>#REF!</v>
      </c>
      <c r="J159" s="18"/>
      <c r="K159" s="18"/>
      <c r="L159" s="21" t="e">
        <f>#REF!</f>
        <v>#REF!</v>
      </c>
      <c r="M159" s="18"/>
      <c r="N159" s="18"/>
      <c r="O159" s="21" t="e">
        <f>#REF!</f>
        <v>#REF!</v>
      </c>
      <c r="P159" s="18"/>
      <c r="Q159" s="18"/>
      <c r="R159" s="22" t="e">
        <f t="shared" si="8"/>
        <v>#REF!</v>
      </c>
      <c r="S159" s="96" t="e">
        <f>#REF!</f>
        <v>#REF!</v>
      </c>
      <c r="T159" s="42"/>
      <c r="U159" s="9"/>
      <c r="V159" s="5" t="e">
        <f t="shared" si="7"/>
        <v>#REF!</v>
      </c>
    </row>
    <row r="160" spans="1:22" s="5" customFormat="1">
      <c r="A160" s="375" t="e">
        <f>#REF!</f>
        <v>#REF!</v>
      </c>
      <c r="B160" s="1056" t="s">
        <v>336</v>
      </c>
      <c r="C160" s="22" t="e">
        <f>#REF!</f>
        <v>#REF!</v>
      </c>
      <c r="D160" s="18"/>
      <c r="E160" s="18"/>
      <c r="F160" s="21" t="e">
        <f>#REF!</f>
        <v>#REF!</v>
      </c>
      <c r="G160" s="18"/>
      <c r="H160" s="18"/>
      <c r="I160" s="21" t="e">
        <f>#REF!</f>
        <v>#REF!</v>
      </c>
      <c r="J160" s="18"/>
      <c r="K160" s="18"/>
      <c r="L160" s="21" t="e">
        <f>#REF!</f>
        <v>#REF!</v>
      </c>
      <c r="M160" s="18"/>
      <c r="N160" s="18"/>
      <c r="O160" s="21" t="e">
        <f>#REF!</f>
        <v>#REF!</v>
      </c>
      <c r="P160" s="18"/>
      <c r="Q160" s="18"/>
      <c r="R160" s="22" t="e">
        <f t="shared" si="8"/>
        <v>#REF!</v>
      </c>
      <c r="S160" s="96" t="e">
        <f>#REF!</f>
        <v>#REF!</v>
      </c>
      <c r="T160" s="42"/>
      <c r="U160" s="9"/>
      <c r="V160" s="5" t="e">
        <f t="shared" si="7"/>
        <v>#REF!</v>
      </c>
    </row>
    <row r="161" spans="1:22" s="5" customFormat="1">
      <c r="A161" s="375" t="e">
        <f>#REF!</f>
        <v>#REF!</v>
      </c>
      <c r="B161" s="1056" t="s">
        <v>336</v>
      </c>
      <c r="C161" s="22" t="e">
        <f>#REF!</f>
        <v>#REF!</v>
      </c>
      <c r="D161" s="18"/>
      <c r="E161" s="18"/>
      <c r="F161" s="21" t="e">
        <f>#REF!</f>
        <v>#REF!</v>
      </c>
      <c r="G161" s="18"/>
      <c r="H161" s="18"/>
      <c r="I161" s="21" t="e">
        <f>#REF!</f>
        <v>#REF!</v>
      </c>
      <c r="J161" s="18"/>
      <c r="K161" s="18"/>
      <c r="L161" s="21" t="e">
        <f>#REF!</f>
        <v>#REF!</v>
      </c>
      <c r="M161" s="18"/>
      <c r="N161" s="18"/>
      <c r="O161" s="21" t="e">
        <f>#REF!</f>
        <v>#REF!</v>
      </c>
      <c r="P161" s="18"/>
      <c r="Q161" s="18"/>
      <c r="R161" s="22" t="e">
        <f t="shared" si="8"/>
        <v>#REF!</v>
      </c>
      <c r="S161" s="96" t="e">
        <f>#REF!</f>
        <v>#REF!</v>
      </c>
      <c r="T161" s="42"/>
      <c r="U161" s="9"/>
      <c r="V161" s="5" t="e">
        <f t="shared" si="7"/>
        <v>#REF!</v>
      </c>
    </row>
    <row r="162" spans="1:22" s="5" customFormat="1">
      <c r="A162" s="375" t="e">
        <f>#REF!</f>
        <v>#REF!</v>
      </c>
      <c r="B162" s="1056" t="s">
        <v>336</v>
      </c>
      <c r="C162" s="22" t="e">
        <f>#REF!</f>
        <v>#REF!</v>
      </c>
      <c r="D162" s="18"/>
      <c r="E162" s="18"/>
      <c r="F162" s="21" t="e">
        <f>#REF!</f>
        <v>#REF!</v>
      </c>
      <c r="G162" s="18"/>
      <c r="H162" s="18"/>
      <c r="I162" s="21" t="e">
        <f>#REF!</f>
        <v>#REF!</v>
      </c>
      <c r="J162" s="18"/>
      <c r="K162" s="18"/>
      <c r="L162" s="21" t="e">
        <f>#REF!</f>
        <v>#REF!</v>
      </c>
      <c r="M162" s="18"/>
      <c r="N162" s="18"/>
      <c r="O162" s="21" t="e">
        <f>#REF!</f>
        <v>#REF!</v>
      </c>
      <c r="P162" s="18"/>
      <c r="Q162" s="18"/>
      <c r="R162" s="22" t="e">
        <f t="shared" si="8"/>
        <v>#REF!</v>
      </c>
      <c r="S162" s="96" t="e">
        <f>#REF!</f>
        <v>#REF!</v>
      </c>
      <c r="T162" s="42"/>
      <c r="U162" s="9"/>
      <c r="V162" s="5" t="e">
        <f t="shared" si="7"/>
        <v>#REF!</v>
      </c>
    </row>
    <row r="163" spans="1:22" s="5" customFormat="1">
      <c r="A163" s="375" t="e">
        <f>#REF!</f>
        <v>#REF!</v>
      </c>
      <c r="B163" s="1056" t="s">
        <v>336</v>
      </c>
      <c r="C163" s="22" t="e">
        <f>#REF!</f>
        <v>#REF!</v>
      </c>
      <c r="D163" s="18"/>
      <c r="E163" s="18"/>
      <c r="F163" s="21" t="e">
        <f>#REF!</f>
        <v>#REF!</v>
      </c>
      <c r="G163" s="18"/>
      <c r="H163" s="18"/>
      <c r="I163" s="21" t="e">
        <f>#REF!</f>
        <v>#REF!</v>
      </c>
      <c r="J163" s="18"/>
      <c r="K163" s="18"/>
      <c r="L163" s="21" t="e">
        <f>#REF!</f>
        <v>#REF!</v>
      </c>
      <c r="M163" s="18"/>
      <c r="N163" s="18"/>
      <c r="O163" s="21" t="e">
        <f>#REF!</f>
        <v>#REF!</v>
      </c>
      <c r="P163" s="18"/>
      <c r="Q163" s="18"/>
      <c r="R163" s="22" t="e">
        <f t="shared" si="8"/>
        <v>#REF!</v>
      </c>
      <c r="S163" s="96" t="e">
        <f>#REF!</f>
        <v>#REF!</v>
      </c>
      <c r="T163" s="42"/>
      <c r="U163" s="9"/>
      <c r="V163" s="5" t="e">
        <f t="shared" si="7"/>
        <v>#REF!</v>
      </c>
    </row>
    <row r="164" spans="1:22" s="5" customFormat="1">
      <c r="A164" s="375" t="e">
        <f>#REF!</f>
        <v>#REF!</v>
      </c>
      <c r="B164" s="1056" t="s">
        <v>336</v>
      </c>
      <c r="C164" s="22" t="e">
        <f>#REF!</f>
        <v>#REF!</v>
      </c>
      <c r="D164" s="18"/>
      <c r="E164" s="18"/>
      <c r="F164" s="21" t="e">
        <f>#REF!</f>
        <v>#REF!</v>
      </c>
      <c r="G164" s="18"/>
      <c r="H164" s="18"/>
      <c r="I164" s="21" t="e">
        <f>#REF!</f>
        <v>#REF!</v>
      </c>
      <c r="J164" s="18"/>
      <c r="K164" s="18"/>
      <c r="L164" s="21" t="e">
        <f>#REF!</f>
        <v>#REF!</v>
      </c>
      <c r="M164" s="18"/>
      <c r="N164" s="18"/>
      <c r="O164" s="21" t="e">
        <f>#REF!</f>
        <v>#REF!</v>
      </c>
      <c r="P164" s="18"/>
      <c r="Q164" s="18"/>
      <c r="R164" s="22" t="e">
        <f t="shared" si="8"/>
        <v>#REF!</v>
      </c>
      <c r="S164" s="96" t="e">
        <f>#REF!</f>
        <v>#REF!</v>
      </c>
      <c r="T164" s="42"/>
      <c r="U164" s="9"/>
      <c r="V164" s="5" t="e">
        <f t="shared" si="7"/>
        <v>#REF!</v>
      </c>
    </row>
    <row r="165" spans="1:22" s="5" customFormat="1">
      <c r="A165" s="375" t="e">
        <f>#REF!</f>
        <v>#REF!</v>
      </c>
      <c r="B165" s="1056" t="s">
        <v>336</v>
      </c>
      <c r="C165" s="22" t="e">
        <f>#REF!</f>
        <v>#REF!</v>
      </c>
      <c r="D165" s="18"/>
      <c r="E165" s="18"/>
      <c r="F165" s="21" t="e">
        <f>#REF!</f>
        <v>#REF!</v>
      </c>
      <c r="G165" s="18"/>
      <c r="H165" s="18"/>
      <c r="I165" s="21" t="e">
        <f>#REF!</f>
        <v>#REF!</v>
      </c>
      <c r="J165" s="18"/>
      <c r="K165" s="18"/>
      <c r="L165" s="21" t="e">
        <f>#REF!</f>
        <v>#REF!</v>
      </c>
      <c r="M165" s="18"/>
      <c r="N165" s="18"/>
      <c r="O165" s="21" t="e">
        <f>#REF!</f>
        <v>#REF!</v>
      </c>
      <c r="P165" s="18"/>
      <c r="Q165" s="18"/>
      <c r="R165" s="22" t="e">
        <f t="shared" si="8"/>
        <v>#REF!</v>
      </c>
      <c r="S165" s="96" t="e">
        <f>#REF!</f>
        <v>#REF!</v>
      </c>
      <c r="T165" s="42"/>
      <c r="U165" s="9"/>
      <c r="V165" s="5" t="e">
        <f t="shared" si="7"/>
        <v>#REF!</v>
      </c>
    </row>
    <row r="166" spans="1:22" s="5" customFormat="1">
      <c r="A166" s="375" t="e">
        <f>#REF!</f>
        <v>#REF!</v>
      </c>
      <c r="B166" s="1056" t="s">
        <v>336</v>
      </c>
      <c r="C166" s="22" t="e">
        <f>#REF!</f>
        <v>#REF!</v>
      </c>
      <c r="D166" s="18"/>
      <c r="E166" s="18"/>
      <c r="F166" s="21" t="e">
        <f>#REF!</f>
        <v>#REF!</v>
      </c>
      <c r="G166" s="18"/>
      <c r="H166" s="18"/>
      <c r="I166" s="21" t="e">
        <f>#REF!</f>
        <v>#REF!</v>
      </c>
      <c r="J166" s="18"/>
      <c r="K166" s="18"/>
      <c r="L166" s="21" t="e">
        <f>#REF!</f>
        <v>#REF!</v>
      </c>
      <c r="M166" s="18"/>
      <c r="N166" s="18"/>
      <c r="O166" s="21" t="e">
        <f>#REF!</f>
        <v>#REF!</v>
      </c>
      <c r="P166" s="18"/>
      <c r="Q166" s="18"/>
      <c r="R166" s="22" t="e">
        <f t="shared" si="8"/>
        <v>#REF!</v>
      </c>
      <c r="S166" s="96" t="e">
        <f>#REF!</f>
        <v>#REF!</v>
      </c>
      <c r="T166" s="42"/>
      <c r="U166" s="9"/>
      <c r="V166" s="5" t="e">
        <f t="shared" si="7"/>
        <v>#REF!</v>
      </c>
    </row>
    <row r="167" spans="1:22" s="5" customFormat="1">
      <c r="A167" s="375" t="e">
        <f>#REF!</f>
        <v>#REF!</v>
      </c>
      <c r="B167" s="1056" t="s">
        <v>336</v>
      </c>
      <c r="C167" s="22" t="e">
        <f>#REF!</f>
        <v>#REF!</v>
      </c>
      <c r="D167" s="18"/>
      <c r="E167" s="18"/>
      <c r="F167" s="21" t="e">
        <f>#REF!</f>
        <v>#REF!</v>
      </c>
      <c r="G167" s="18"/>
      <c r="H167" s="18"/>
      <c r="I167" s="21" t="e">
        <f>#REF!</f>
        <v>#REF!</v>
      </c>
      <c r="J167" s="18"/>
      <c r="K167" s="18"/>
      <c r="L167" s="21" t="e">
        <f>#REF!</f>
        <v>#REF!</v>
      </c>
      <c r="M167" s="18"/>
      <c r="N167" s="18"/>
      <c r="O167" s="21" t="e">
        <f>#REF!</f>
        <v>#REF!</v>
      </c>
      <c r="P167" s="18"/>
      <c r="Q167" s="18"/>
      <c r="R167" s="22" t="e">
        <f t="shared" si="8"/>
        <v>#REF!</v>
      </c>
      <c r="S167" s="96" t="e">
        <f>#REF!</f>
        <v>#REF!</v>
      </c>
      <c r="T167" s="42"/>
      <c r="U167" s="9"/>
      <c r="V167" s="5" t="e">
        <f t="shared" si="7"/>
        <v>#REF!</v>
      </c>
    </row>
    <row r="168" spans="1:22" s="5" customFormat="1">
      <c r="A168" s="375" t="e">
        <f>#REF!</f>
        <v>#REF!</v>
      </c>
      <c r="B168" s="1056" t="s">
        <v>336</v>
      </c>
      <c r="C168" s="22" t="e">
        <f>#REF!</f>
        <v>#REF!</v>
      </c>
      <c r="D168" s="18"/>
      <c r="E168" s="18"/>
      <c r="F168" s="21" t="e">
        <f>#REF!</f>
        <v>#REF!</v>
      </c>
      <c r="G168" s="18"/>
      <c r="H168" s="18"/>
      <c r="I168" s="21" t="e">
        <f>#REF!</f>
        <v>#REF!</v>
      </c>
      <c r="J168" s="18"/>
      <c r="K168" s="18"/>
      <c r="L168" s="21" t="e">
        <f>#REF!</f>
        <v>#REF!</v>
      </c>
      <c r="M168" s="18"/>
      <c r="N168" s="18"/>
      <c r="O168" s="21" t="e">
        <f>#REF!</f>
        <v>#REF!</v>
      </c>
      <c r="P168" s="18"/>
      <c r="Q168" s="18"/>
      <c r="R168" s="22" t="e">
        <f t="shared" si="8"/>
        <v>#REF!</v>
      </c>
      <c r="S168" s="96" t="e">
        <f>#REF!</f>
        <v>#REF!</v>
      </c>
      <c r="T168" s="42"/>
      <c r="U168" s="9"/>
      <c r="V168" s="5" t="e">
        <f t="shared" si="7"/>
        <v>#REF!</v>
      </c>
    </row>
    <row r="169" spans="1:22" s="5" customFormat="1">
      <c r="A169" s="375" t="e">
        <f>#REF!</f>
        <v>#REF!</v>
      </c>
      <c r="B169" s="1056" t="s">
        <v>336</v>
      </c>
      <c r="C169" s="22" t="e">
        <f>#REF!</f>
        <v>#REF!</v>
      </c>
      <c r="D169" s="18"/>
      <c r="E169" s="18"/>
      <c r="F169" s="21" t="e">
        <f>#REF!</f>
        <v>#REF!</v>
      </c>
      <c r="G169" s="18"/>
      <c r="H169" s="18"/>
      <c r="I169" s="21" t="e">
        <f>#REF!</f>
        <v>#REF!</v>
      </c>
      <c r="J169" s="18"/>
      <c r="K169" s="18"/>
      <c r="L169" s="21" t="e">
        <f>#REF!</f>
        <v>#REF!</v>
      </c>
      <c r="M169" s="18"/>
      <c r="N169" s="18"/>
      <c r="O169" s="21" t="e">
        <f>#REF!</f>
        <v>#REF!</v>
      </c>
      <c r="P169" s="18"/>
      <c r="Q169" s="18"/>
      <c r="R169" s="22" t="e">
        <f t="shared" si="8"/>
        <v>#REF!</v>
      </c>
      <c r="S169" s="96" t="e">
        <f>#REF!</f>
        <v>#REF!</v>
      </c>
      <c r="T169" s="42"/>
      <c r="U169" s="9"/>
      <c r="V169" s="5" t="e">
        <f t="shared" si="7"/>
        <v>#REF!</v>
      </c>
    </row>
    <row r="170" spans="1:22" s="5" customFormat="1">
      <c r="A170" s="375" t="e">
        <f>#REF!</f>
        <v>#REF!</v>
      </c>
      <c r="B170" s="1056" t="s">
        <v>336</v>
      </c>
      <c r="C170" s="22" t="e">
        <f>#REF!</f>
        <v>#REF!</v>
      </c>
      <c r="D170" s="18"/>
      <c r="E170" s="18"/>
      <c r="F170" s="21" t="e">
        <f>#REF!</f>
        <v>#REF!</v>
      </c>
      <c r="G170" s="18"/>
      <c r="H170" s="18"/>
      <c r="I170" s="21" t="e">
        <f>#REF!</f>
        <v>#REF!</v>
      </c>
      <c r="J170" s="18"/>
      <c r="K170" s="18"/>
      <c r="L170" s="21" t="e">
        <f>#REF!</f>
        <v>#REF!</v>
      </c>
      <c r="M170" s="18"/>
      <c r="N170" s="18"/>
      <c r="O170" s="21" t="e">
        <f>#REF!</f>
        <v>#REF!</v>
      </c>
      <c r="P170" s="18"/>
      <c r="Q170" s="18"/>
      <c r="R170" s="22" t="e">
        <f t="shared" si="8"/>
        <v>#REF!</v>
      </c>
      <c r="S170" s="96" t="e">
        <f>#REF!</f>
        <v>#REF!</v>
      </c>
      <c r="T170" s="42"/>
      <c r="U170" s="9"/>
      <c r="V170" s="5" t="e">
        <f t="shared" si="7"/>
        <v>#REF!</v>
      </c>
    </row>
    <row r="171" spans="1:22" s="5" customFormat="1">
      <c r="A171" s="375" t="e">
        <f>#REF!</f>
        <v>#REF!</v>
      </c>
      <c r="B171" s="1056" t="s">
        <v>336</v>
      </c>
      <c r="C171" s="22" t="e">
        <f>#REF!</f>
        <v>#REF!</v>
      </c>
      <c r="D171" s="18"/>
      <c r="E171" s="18"/>
      <c r="F171" s="21" t="e">
        <f>#REF!</f>
        <v>#REF!</v>
      </c>
      <c r="G171" s="18"/>
      <c r="H171" s="18"/>
      <c r="I171" s="21" t="e">
        <f>#REF!</f>
        <v>#REF!</v>
      </c>
      <c r="J171" s="18"/>
      <c r="K171" s="18"/>
      <c r="L171" s="21" t="e">
        <f>#REF!</f>
        <v>#REF!</v>
      </c>
      <c r="M171" s="18"/>
      <c r="N171" s="18"/>
      <c r="O171" s="21" t="e">
        <f>#REF!</f>
        <v>#REF!</v>
      </c>
      <c r="P171" s="18"/>
      <c r="Q171" s="18"/>
      <c r="R171" s="22" t="e">
        <f t="shared" si="8"/>
        <v>#REF!</v>
      </c>
      <c r="S171" s="96" t="e">
        <f>#REF!</f>
        <v>#REF!</v>
      </c>
      <c r="T171" s="42"/>
      <c r="U171" s="9"/>
      <c r="V171" s="5" t="e">
        <f t="shared" si="7"/>
        <v>#REF!</v>
      </c>
    </row>
    <row r="172" spans="1:22" s="5" customFormat="1">
      <c r="A172" s="375" t="e">
        <f>#REF!</f>
        <v>#REF!</v>
      </c>
      <c r="B172" s="1056" t="s">
        <v>336</v>
      </c>
      <c r="C172" s="22" t="e">
        <f>#REF!</f>
        <v>#REF!</v>
      </c>
      <c r="D172" s="18"/>
      <c r="E172" s="18"/>
      <c r="F172" s="21" t="e">
        <f>#REF!</f>
        <v>#REF!</v>
      </c>
      <c r="G172" s="18"/>
      <c r="H172" s="18"/>
      <c r="I172" s="21" t="e">
        <f>#REF!</f>
        <v>#REF!</v>
      </c>
      <c r="J172" s="18"/>
      <c r="K172" s="18"/>
      <c r="L172" s="21" t="e">
        <f>#REF!</f>
        <v>#REF!</v>
      </c>
      <c r="M172" s="18"/>
      <c r="N172" s="18"/>
      <c r="O172" s="21" t="e">
        <f>#REF!</f>
        <v>#REF!</v>
      </c>
      <c r="P172" s="18"/>
      <c r="Q172" s="18"/>
      <c r="R172" s="22" t="e">
        <f t="shared" si="8"/>
        <v>#REF!</v>
      </c>
      <c r="S172" s="96" t="e">
        <f>#REF!</f>
        <v>#REF!</v>
      </c>
      <c r="T172" s="42"/>
      <c r="U172" s="9"/>
      <c r="V172" s="5" t="e">
        <f t="shared" si="7"/>
        <v>#REF!</v>
      </c>
    </row>
    <row r="173" spans="1:22" s="5" customFormat="1">
      <c r="A173" s="375" t="e">
        <f>#REF!</f>
        <v>#REF!</v>
      </c>
      <c r="B173" s="1056" t="s">
        <v>336</v>
      </c>
      <c r="C173" s="22" t="e">
        <f>#REF!</f>
        <v>#REF!</v>
      </c>
      <c r="D173" s="18"/>
      <c r="E173" s="18"/>
      <c r="F173" s="21" t="e">
        <f>#REF!</f>
        <v>#REF!</v>
      </c>
      <c r="G173" s="18"/>
      <c r="H173" s="18"/>
      <c r="I173" s="21" t="e">
        <f>#REF!</f>
        <v>#REF!</v>
      </c>
      <c r="J173" s="18"/>
      <c r="K173" s="18"/>
      <c r="L173" s="21" t="e">
        <f>#REF!</f>
        <v>#REF!</v>
      </c>
      <c r="M173" s="18"/>
      <c r="N173" s="18"/>
      <c r="O173" s="21" t="e">
        <f>#REF!</f>
        <v>#REF!</v>
      </c>
      <c r="P173" s="18"/>
      <c r="Q173" s="18"/>
      <c r="R173" s="22" t="e">
        <f t="shared" si="8"/>
        <v>#REF!</v>
      </c>
      <c r="S173" s="96" t="e">
        <f>#REF!</f>
        <v>#REF!</v>
      </c>
      <c r="T173" s="42"/>
      <c r="U173" s="9"/>
      <c r="V173" s="5" t="e">
        <f t="shared" si="7"/>
        <v>#REF!</v>
      </c>
    </row>
    <row r="174" spans="1:22" s="5" customFormat="1">
      <c r="A174" s="375" t="e">
        <f>#REF!</f>
        <v>#REF!</v>
      </c>
      <c r="B174" s="1056" t="s">
        <v>336</v>
      </c>
      <c r="C174" s="22" t="e">
        <f>#REF!</f>
        <v>#REF!</v>
      </c>
      <c r="D174" s="18"/>
      <c r="E174" s="18"/>
      <c r="F174" s="21" t="e">
        <f>#REF!</f>
        <v>#REF!</v>
      </c>
      <c r="G174" s="18"/>
      <c r="H174" s="18"/>
      <c r="I174" s="21" t="e">
        <f>#REF!</f>
        <v>#REF!</v>
      </c>
      <c r="J174" s="18"/>
      <c r="K174" s="18"/>
      <c r="L174" s="21" t="e">
        <f>#REF!</f>
        <v>#REF!</v>
      </c>
      <c r="M174" s="18"/>
      <c r="N174" s="18"/>
      <c r="O174" s="21" t="e">
        <f>#REF!</f>
        <v>#REF!</v>
      </c>
      <c r="P174" s="18"/>
      <c r="Q174" s="18"/>
      <c r="R174" s="22" t="e">
        <f t="shared" si="8"/>
        <v>#REF!</v>
      </c>
      <c r="S174" s="96" t="e">
        <f>#REF!</f>
        <v>#REF!</v>
      </c>
      <c r="T174" s="42"/>
      <c r="U174" s="9"/>
      <c r="V174" s="5" t="e">
        <f t="shared" si="7"/>
        <v>#REF!</v>
      </c>
    </row>
    <row r="175" spans="1:22" s="5" customFormat="1">
      <c r="A175" s="375" t="e">
        <f>#REF!</f>
        <v>#REF!</v>
      </c>
      <c r="B175" s="1056" t="s">
        <v>336</v>
      </c>
      <c r="C175" s="22" t="e">
        <f>#REF!</f>
        <v>#REF!</v>
      </c>
      <c r="D175" s="18"/>
      <c r="E175" s="18"/>
      <c r="F175" s="21" t="e">
        <f>#REF!</f>
        <v>#REF!</v>
      </c>
      <c r="G175" s="18"/>
      <c r="H175" s="18"/>
      <c r="I175" s="21" t="e">
        <f>#REF!</f>
        <v>#REF!</v>
      </c>
      <c r="J175" s="18"/>
      <c r="K175" s="18"/>
      <c r="L175" s="21" t="e">
        <f>#REF!</f>
        <v>#REF!</v>
      </c>
      <c r="M175" s="18"/>
      <c r="N175" s="18"/>
      <c r="O175" s="21" t="e">
        <f>#REF!</f>
        <v>#REF!</v>
      </c>
      <c r="P175" s="18"/>
      <c r="Q175" s="18"/>
      <c r="R175" s="22" t="e">
        <f t="shared" si="8"/>
        <v>#REF!</v>
      </c>
      <c r="S175" s="96" t="e">
        <f>#REF!</f>
        <v>#REF!</v>
      </c>
      <c r="T175" s="42"/>
      <c r="U175" s="9"/>
      <c r="V175" s="5" t="e">
        <f t="shared" si="7"/>
        <v>#REF!</v>
      </c>
    </row>
    <row r="176" spans="1:22" s="5" customFormat="1">
      <c r="A176" s="375" t="e">
        <f>#REF!</f>
        <v>#REF!</v>
      </c>
      <c r="B176" s="1056" t="s">
        <v>336</v>
      </c>
      <c r="C176" s="22" t="e">
        <f>#REF!</f>
        <v>#REF!</v>
      </c>
      <c r="D176" s="18"/>
      <c r="E176" s="18"/>
      <c r="F176" s="21" t="e">
        <f>#REF!</f>
        <v>#REF!</v>
      </c>
      <c r="G176" s="18"/>
      <c r="H176" s="18"/>
      <c r="I176" s="21" t="e">
        <f>#REF!</f>
        <v>#REF!</v>
      </c>
      <c r="J176" s="18"/>
      <c r="K176" s="18"/>
      <c r="L176" s="21" t="e">
        <f>#REF!</f>
        <v>#REF!</v>
      </c>
      <c r="M176" s="18"/>
      <c r="N176" s="18"/>
      <c r="O176" s="21" t="e">
        <f>#REF!</f>
        <v>#REF!</v>
      </c>
      <c r="P176" s="18"/>
      <c r="Q176" s="18"/>
      <c r="R176" s="22" t="e">
        <f t="shared" si="8"/>
        <v>#REF!</v>
      </c>
      <c r="S176" s="96" t="e">
        <f>#REF!</f>
        <v>#REF!</v>
      </c>
      <c r="T176" s="42"/>
      <c r="U176" s="9"/>
      <c r="V176" s="5" t="e">
        <f t="shared" si="7"/>
        <v>#REF!</v>
      </c>
    </row>
    <row r="177" spans="1:22" s="5" customFormat="1">
      <c r="A177" s="375" t="e">
        <f>#REF!</f>
        <v>#REF!</v>
      </c>
      <c r="B177" s="1056" t="s">
        <v>336</v>
      </c>
      <c r="C177" s="22" t="e">
        <f>#REF!</f>
        <v>#REF!</v>
      </c>
      <c r="D177" s="18"/>
      <c r="E177" s="18"/>
      <c r="F177" s="21" t="e">
        <f>#REF!</f>
        <v>#REF!</v>
      </c>
      <c r="G177" s="18"/>
      <c r="H177" s="18"/>
      <c r="I177" s="21" t="e">
        <f>#REF!</f>
        <v>#REF!</v>
      </c>
      <c r="J177" s="18"/>
      <c r="K177" s="18"/>
      <c r="L177" s="21" t="e">
        <f>#REF!</f>
        <v>#REF!</v>
      </c>
      <c r="M177" s="18"/>
      <c r="N177" s="18"/>
      <c r="O177" s="21" t="e">
        <f>#REF!</f>
        <v>#REF!</v>
      </c>
      <c r="P177" s="18"/>
      <c r="Q177" s="18"/>
      <c r="R177" s="22" t="e">
        <f t="shared" si="8"/>
        <v>#REF!</v>
      </c>
      <c r="S177" s="96" t="e">
        <f>#REF!</f>
        <v>#REF!</v>
      </c>
      <c r="T177" s="42"/>
      <c r="U177" s="9"/>
      <c r="V177" s="5" t="e">
        <f t="shared" si="7"/>
        <v>#REF!</v>
      </c>
    </row>
    <row r="178" spans="1:22" s="5" customFormat="1">
      <c r="A178" s="375" t="e">
        <f>#REF!</f>
        <v>#REF!</v>
      </c>
      <c r="B178" s="1056" t="s">
        <v>336</v>
      </c>
      <c r="C178" s="22" t="e">
        <f>#REF!</f>
        <v>#REF!</v>
      </c>
      <c r="D178" s="18"/>
      <c r="E178" s="18"/>
      <c r="F178" s="21" t="e">
        <f>#REF!</f>
        <v>#REF!</v>
      </c>
      <c r="G178" s="18"/>
      <c r="H178" s="18"/>
      <c r="I178" s="21" t="e">
        <f>#REF!</f>
        <v>#REF!</v>
      </c>
      <c r="J178" s="18"/>
      <c r="K178" s="18"/>
      <c r="L178" s="21" t="e">
        <f>#REF!</f>
        <v>#REF!</v>
      </c>
      <c r="M178" s="18"/>
      <c r="N178" s="18"/>
      <c r="O178" s="21" t="e">
        <f>#REF!</f>
        <v>#REF!</v>
      </c>
      <c r="P178" s="18"/>
      <c r="Q178" s="18"/>
      <c r="R178" s="22" t="e">
        <f t="shared" si="8"/>
        <v>#REF!</v>
      </c>
      <c r="S178" s="96" t="e">
        <f>#REF!</f>
        <v>#REF!</v>
      </c>
      <c r="T178" s="42"/>
      <c r="U178" s="9"/>
      <c r="V178" s="5" t="e">
        <f t="shared" si="7"/>
        <v>#REF!</v>
      </c>
    </row>
    <row r="179" spans="1:22" s="5" customFormat="1">
      <c r="A179" s="375" t="e">
        <f>#REF!</f>
        <v>#REF!</v>
      </c>
      <c r="B179" s="1056" t="s">
        <v>336</v>
      </c>
      <c r="C179" s="22" t="e">
        <f>#REF!</f>
        <v>#REF!</v>
      </c>
      <c r="D179" s="18"/>
      <c r="E179" s="18"/>
      <c r="F179" s="21" t="e">
        <f>#REF!</f>
        <v>#REF!</v>
      </c>
      <c r="G179" s="18"/>
      <c r="H179" s="18"/>
      <c r="I179" s="21" t="e">
        <f>#REF!</f>
        <v>#REF!</v>
      </c>
      <c r="J179" s="18"/>
      <c r="K179" s="18"/>
      <c r="L179" s="21" t="e">
        <f>#REF!</f>
        <v>#REF!</v>
      </c>
      <c r="M179" s="18"/>
      <c r="N179" s="18"/>
      <c r="O179" s="21" t="e">
        <f>#REF!</f>
        <v>#REF!</v>
      </c>
      <c r="P179" s="18"/>
      <c r="Q179" s="18"/>
      <c r="R179" s="22" t="e">
        <f t="shared" si="8"/>
        <v>#REF!</v>
      </c>
      <c r="S179" s="96" t="e">
        <f>#REF!</f>
        <v>#REF!</v>
      </c>
      <c r="T179" s="42"/>
      <c r="U179" s="9"/>
      <c r="V179" s="5" t="e">
        <f t="shared" si="7"/>
        <v>#REF!</v>
      </c>
    </row>
    <row r="180" spans="1:22" s="5" customFormat="1">
      <c r="A180" s="375" t="e">
        <f>#REF!</f>
        <v>#REF!</v>
      </c>
      <c r="B180" s="1056" t="s">
        <v>336</v>
      </c>
      <c r="C180" s="22" t="e">
        <f>#REF!</f>
        <v>#REF!</v>
      </c>
      <c r="D180" s="18"/>
      <c r="E180" s="18"/>
      <c r="F180" s="21" t="e">
        <f>#REF!</f>
        <v>#REF!</v>
      </c>
      <c r="G180" s="18"/>
      <c r="H180" s="18"/>
      <c r="I180" s="21" t="e">
        <f>#REF!</f>
        <v>#REF!</v>
      </c>
      <c r="J180" s="18"/>
      <c r="K180" s="18"/>
      <c r="L180" s="21" t="e">
        <f>#REF!</f>
        <v>#REF!</v>
      </c>
      <c r="M180" s="18"/>
      <c r="N180" s="18"/>
      <c r="O180" s="21" t="e">
        <f>#REF!</f>
        <v>#REF!</v>
      </c>
      <c r="P180" s="18"/>
      <c r="Q180" s="18"/>
      <c r="R180" s="22" t="e">
        <f t="shared" si="8"/>
        <v>#REF!</v>
      </c>
      <c r="S180" s="96" t="e">
        <f>#REF!</f>
        <v>#REF!</v>
      </c>
      <c r="T180" s="42"/>
      <c r="U180" s="9"/>
      <c r="V180" s="5" t="e">
        <f t="shared" si="7"/>
        <v>#REF!</v>
      </c>
    </row>
    <row r="181" spans="1:22" s="5" customFormat="1">
      <c r="A181" s="375" t="e">
        <f>#REF!</f>
        <v>#REF!</v>
      </c>
      <c r="B181" s="1056" t="s">
        <v>336</v>
      </c>
      <c r="C181" s="22" t="e">
        <f>#REF!</f>
        <v>#REF!</v>
      </c>
      <c r="D181" s="18"/>
      <c r="E181" s="18"/>
      <c r="F181" s="21" t="e">
        <f>#REF!</f>
        <v>#REF!</v>
      </c>
      <c r="G181" s="18"/>
      <c r="H181" s="18"/>
      <c r="I181" s="21" t="e">
        <f>#REF!</f>
        <v>#REF!</v>
      </c>
      <c r="J181" s="18"/>
      <c r="K181" s="18"/>
      <c r="L181" s="21" t="e">
        <f>#REF!</f>
        <v>#REF!</v>
      </c>
      <c r="M181" s="18"/>
      <c r="N181" s="18"/>
      <c r="O181" s="21" t="e">
        <f>#REF!</f>
        <v>#REF!</v>
      </c>
      <c r="P181" s="18"/>
      <c r="Q181" s="18"/>
      <c r="R181" s="22" t="e">
        <f t="shared" ref="R181:R190" si="9">C181+F181+I181+L181+O181</f>
        <v>#REF!</v>
      </c>
      <c r="S181" s="96" t="e">
        <f>#REF!</f>
        <v>#REF!</v>
      </c>
      <c r="T181" s="42"/>
      <c r="U181" s="9"/>
      <c r="V181" s="5" t="e">
        <f t="shared" si="7"/>
        <v>#REF!</v>
      </c>
    </row>
    <row r="182" spans="1:22" s="5" customFormat="1">
      <c r="A182" s="375" t="e">
        <f>#REF!</f>
        <v>#REF!</v>
      </c>
      <c r="B182" s="1056" t="s">
        <v>336</v>
      </c>
      <c r="C182" s="22" t="e">
        <f>#REF!</f>
        <v>#REF!</v>
      </c>
      <c r="D182" s="18"/>
      <c r="E182" s="18"/>
      <c r="F182" s="21" t="e">
        <f>#REF!</f>
        <v>#REF!</v>
      </c>
      <c r="G182" s="18"/>
      <c r="H182" s="18"/>
      <c r="I182" s="21" t="e">
        <f>#REF!</f>
        <v>#REF!</v>
      </c>
      <c r="J182" s="18"/>
      <c r="K182" s="18"/>
      <c r="L182" s="21" t="e">
        <f>#REF!</f>
        <v>#REF!</v>
      </c>
      <c r="M182" s="18"/>
      <c r="N182" s="18"/>
      <c r="O182" s="21" t="e">
        <f>#REF!</f>
        <v>#REF!</v>
      </c>
      <c r="P182" s="18"/>
      <c r="Q182" s="18"/>
      <c r="R182" s="22" t="e">
        <f t="shared" si="9"/>
        <v>#REF!</v>
      </c>
      <c r="S182" s="96" t="e">
        <f>#REF!</f>
        <v>#REF!</v>
      </c>
      <c r="T182" s="42"/>
      <c r="U182" s="9"/>
      <c r="V182" s="5" t="e">
        <f t="shared" ref="V182:V189" si="10">IF(S182=0,"hide","show")</f>
        <v>#REF!</v>
      </c>
    </row>
    <row r="183" spans="1:22" s="5" customFormat="1">
      <c r="A183" s="375" t="e">
        <f>#REF!</f>
        <v>#REF!</v>
      </c>
      <c r="B183" s="1056" t="s">
        <v>336</v>
      </c>
      <c r="C183" s="22" t="e">
        <f>#REF!</f>
        <v>#REF!</v>
      </c>
      <c r="D183" s="18"/>
      <c r="E183" s="18"/>
      <c r="F183" s="21" t="e">
        <f>#REF!</f>
        <v>#REF!</v>
      </c>
      <c r="G183" s="18"/>
      <c r="H183" s="18"/>
      <c r="I183" s="21" t="e">
        <f>#REF!</f>
        <v>#REF!</v>
      </c>
      <c r="J183" s="18"/>
      <c r="K183" s="18"/>
      <c r="L183" s="21" t="e">
        <f>#REF!</f>
        <v>#REF!</v>
      </c>
      <c r="M183" s="18"/>
      <c r="N183" s="18"/>
      <c r="O183" s="21" t="e">
        <f>#REF!</f>
        <v>#REF!</v>
      </c>
      <c r="P183" s="18"/>
      <c r="Q183" s="18"/>
      <c r="R183" s="22" t="e">
        <f t="shared" si="9"/>
        <v>#REF!</v>
      </c>
      <c r="S183" s="96" t="e">
        <f>#REF!</f>
        <v>#REF!</v>
      </c>
      <c r="T183" s="42"/>
      <c r="U183" s="9"/>
      <c r="V183" s="5" t="e">
        <f t="shared" si="10"/>
        <v>#REF!</v>
      </c>
    </row>
    <row r="184" spans="1:22" s="5" customFormat="1">
      <c r="A184" s="375" t="e">
        <f>#REF!</f>
        <v>#REF!</v>
      </c>
      <c r="B184" s="1056" t="s">
        <v>336</v>
      </c>
      <c r="C184" s="22" t="e">
        <f>#REF!</f>
        <v>#REF!</v>
      </c>
      <c r="D184" s="18"/>
      <c r="E184" s="18"/>
      <c r="F184" s="21" t="e">
        <f>#REF!</f>
        <v>#REF!</v>
      </c>
      <c r="G184" s="18"/>
      <c r="H184" s="18"/>
      <c r="I184" s="21" t="e">
        <f>#REF!</f>
        <v>#REF!</v>
      </c>
      <c r="J184" s="18"/>
      <c r="K184" s="18"/>
      <c r="L184" s="21" t="e">
        <f>#REF!</f>
        <v>#REF!</v>
      </c>
      <c r="M184" s="18"/>
      <c r="N184" s="18"/>
      <c r="O184" s="21" t="e">
        <f>#REF!</f>
        <v>#REF!</v>
      </c>
      <c r="P184" s="18"/>
      <c r="Q184" s="18"/>
      <c r="R184" s="22" t="e">
        <f t="shared" si="9"/>
        <v>#REF!</v>
      </c>
      <c r="S184" s="96" t="e">
        <f>#REF!</f>
        <v>#REF!</v>
      </c>
      <c r="T184" s="42"/>
      <c r="U184" s="9"/>
      <c r="V184" s="5" t="e">
        <f t="shared" si="10"/>
        <v>#REF!</v>
      </c>
    </row>
    <row r="185" spans="1:22" s="5" customFormat="1">
      <c r="A185" s="375" t="e">
        <f>#REF!</f>
        <v>#REF!</v>
      </c>
      <c r="B185" s="1056" t="s">
        <v>336</v>
      </c>
      <c r="C185" s="22" t="e">
        <f>#REF!</f>
        <v>#REF!</v>
      </c>
      <c r="D185" s="18"/>
      <c r="E185" s="18"/>
      <c r="F185" s="21" t="e">
        <f>#REF!</f>
        <v>#REF!</v>
      </c>
      <c r="G185" s="18"/>
      <c r="H185" s="18"/>
      <c r="I185" s="21" t="e">
        <f>#REF!</f>
        <v>#REF!</v>
      </c>
      <c r="J185" s="18"/>
      <c r="K185" s="18"/>
      <c r="L185" s="21" t="e">
        <f>#REF!</f>
        <v>#REF!</v>
      </c>
      <c r="M185" s="18"/>
      <c r="N185" s="18"/>
      <c r="O185" s="21" t="e">
        <f>#REF!</f>
        <v>#REF!</v>
      </c>
      <c r="P185" s="18"/>
      <c r="Q185" s="18"/>
      <c r="R185" s="22" t="e">
        <f t="shared" si="9"/>
        <v>#REF!</v>
      </c>
      <c r="S185" s="96" t="e">
        <f>#REF!</f>
        <v>#REF!</v>
      </c>
      <c r="T185" s="42"/>
      <c r="U185" s="9"/>
      <c r="V185" s="5" t="e">
        <f t="shared" si="10"/>
        <v>#REF!</v>
      </c>
    </row>
    <row r="186" spans="1:22" s="5" customFormat="1">
      <c r="A186" s="375" t="e">
        <f>#REF!</f>
        <v>#REF!</v>
      </c>
      <c r="B186" s="1056" t="s">
        <v>336</v>
      </c>
      <c r="C186" s="22" t="e">
        <f>#REF!</f>
        <v>#REF!</v>
      </c>
      <c r="D186" s="18"/>
      <c r="E186" s="18"/>
      <c r="F186" s="21" t="e">
        <f>#REF!</f>
        <v>#REF!</v>
      </c>
      <c r="G186" s="18"/>
      <c r="H186" s="18"/>
      <c r="I186" s="21" t="e">
        <f>#REF!</f>
        <v>#REF!</v>
      </c>
      <c r="J186" s="18"/>
      <c r="K186" s="18"/>
      <c r="L186" s="21" t="e">
        <f>#REF!</f>
        <v>#REF!</v>
      </c>
      <c r="M186" s="18"/>
      <c r="N186" s="18"/>
      <c r="O186" s="21" t="e">
        <f>#REF!</f>
        <v>#REF!</v>
      </c>
      <c r="P186" s="18"/>
      <c r="Q186" s="18"/>
      <c r="R186" s="22" t="e">
        <f t="shared" si="9"/>
        <v>#REF!</v>
      </c>
      <c r="S186" s="96" t="e">
        <f>#REF!</f>
        <v>#REF!</v>
      </c>
      <c r="T186" s="42"/>
      <c r="U186" s="9"/>
      <c r="V186" s="5" t="e">
        <f t="shared" si="10"/>
        <v>#REF!</v>
      </c>
    </row>
    <row r="187" spans="1:22" s="5" customFormat="1">
      <c r="A187" s="375" t="e">
        <f>#REF!</f>
        <v>#REF!</v>
      </c>
      <c r="B187" s="1056" t="s">
        <v>336</v>
      </c>
      <c r="C187" s="22" t="e">
        <f>#REF!</f>
        <v>#REF!</v>
      </c>
      <c r="D187" s="18"/>
      <c r="E187" s="18"/>
      <c r="F187" s="21" t="e">
        <f>#REF!</f>
        <v>#REF!</v>
      </c>
      <c r="G187" s="18"/>
      <c r="H187" s="18"/>
      <c r="I187" s="21" t="e">
        <f>#REF!</f>
        <v>#REF!</v>
      </c>
      <c r="J187" s="18"/>
      <c r="K187" s="18"/>
      <c r="L187" s="21" t="e">
        <f>#REF!</f>
        <v>#REF!</v>
      </c>
      <c r="M187" s="18"/>
      <c r="N187" s="18"/>
      <c r="O187" s="21" t="e">
        <f>#REF!</f>
        <v>#REF!</v>
      </c>
      <c r="P187" s="18"/>
      <c r="Q187" s="18"/>
      <c r="R187" s="22" t="e">
        <f t="shared" si="9"/>
        <v>#REF!</v>
      </c>
      <c r="S187" s="96" t="e">
        <f>#REF!</f>
        <v>#REF!</v>
      </c>
      <c r="T187" s="42"/>
      <c r="U187" s="9"/>
      <c r="V187" s="5" t="e">
        <f t="shared" si="10"/>
        <v>#REF!</v>
      </c>
    </row>
    <row r="188" spans="1:22" s="5" customFormat="1">
      <c r="A188" s="375" t="e">
        <f>#REF!</f>
        <v>#REF!</v>
      </c>
      <c r="B188" s="1056" t="s">
        <v>336</v>
      </c>
      <c r="C188" s="22" t="e">
        <f>#REF!</f>
        <v>#REF!</v>
      </c>
      <c r="D188" s="18"/>
      <c r="E188" s="18"/>
      <c r="F188" s="21" t="e">
        <f>#REF!</f>
        <v>#REF!</v>
      </c>
      <c r="G188" s="18"/>
      <c r="H188" s="18"/>
      <c r="I188" s="21" t="e">
        <f>#REF!</f>
        <v>#REF!</v>
      </c>
      <c r="J188" s="18"/>
      <c r="K188" s="18"/>
      <c r="L188" s="21" t="e">
        <f>#REF!</f>
        <v>#REF!</v>
      </c>
      <c r="M188" s="18"/>
      <c r="N188" s="18"/>
      <c r="O188" s="21" t="e">
        <f>#REF!</f>
        <v>#REF!</v>
      </c>
      <c r="P188" s="18"/>
      <c r="Q188" s="18"/>
      <c r="R188" s="22" t="e">
        <f t="shared" si="9"/>
        <v>#REF!</v>
      </c>
      <c r="S188" s="96" t="e">
        <f>#REF!</f>
        <v>#REF!</v>
      </c>
      <c r="T188" s="42"/>
      <c r="U188" s="9"/>
      <c r="V188" s="5" t="e">
        <f t="shared" si="10"/>
        <v>#REF!</v>
      </c>
    </row>
    <row r="189" spans="1:22" s="5" customFormat="1">
      <c r="A189" s="375" t="e">
        <f>#REF!</f>
        <v>#REF!</v>
      </c>
      <c r="B189" s="1056" t="s">
        <v>336</v>
      </c>
      <c r="C189" s="22" t="e">
        <f>#REF!</f>
        <v>#REF!</v>
      </c>
      <c r="D189" s="18"/>
      <c r="E189" s="18"/>
      <c r="F189" s="21" t="e">
        <f>#REF!</f>
        <v>#REF!</v>
      </c>
      <c r="G189" s="18"/>
      <c r="H189" s="18"/>
      <c r="I189" s="21" t="e">
        <f>#REF!</f>
        <v>#REF!</v>
      </c>
      <c r="J189" s="18"/>
      <c r="K189" s="18"/>
      <c r="L189" s="21" t="e">
        <f>#REF!</f>
        <v>#REF!</v>
      </c>
      <c r="M189" s="18"/>
      <c r="N189" s="18"/>
      <c r="O189" s="21" t="e">
        <f>#REF!</f>
        <v>#REF!</v>
      </c>
      <c r="P189" s="18"/>
      <c r="Q189" s="18"/>
      <c r="R189" s="22" t="e">
        <f t="shared" si="9"/>
        <v>#REF!</v>
      </c>
      <c r="S189" s="96" t="e">
        <f>#REF!</f>
        <v>#REF!</v>
      </c>
      <c r="T189" s="42"/>
      <c r="U189" s="9"/>
      <c r="V189" s="5" t="e">
        <f t="shared" si="10"/>
        <v>#REF!</v>
      </c>
    </row>
    <row r="190" spans="1:22" s="5" customFormat="1">
      <c r="A190" s="375" t="e">
        <f>#REF!</f>
        <v>#REF!</v>
      </c>
      <c r="B190" s="1056" t="s">
        <v>336</v>
      </c>
      <c r="C190" s="22" t="e">
        <f>#REF!</f>
        <v>#REF!</v>
      </c>
      <c r="D190" s="18"/>
      <c r="E190" s="18"/>
      <c r="F190" s="21" t="e">
        <f>#REF!</f>
        <v>#REF!</v>
      </c>
      <c r="G190" s="18"/>
      <c r="H190" s="18"/>
      <c r="I190" s="21" t="e">
        <f>#REF!</f>
        <v>#REF!</v>
      </c>
      <c r="J190" s="18"/>
      <c r="K190" s="18"/>
      <c r="L190" s="21" t="e">
        <f>#REF!</f>
        <v>#REF!</v>
      </c>
      <c r="M190" s="18"/>
      <c r="N190" s="18"/>
      <c r="O190" s="21" t="e">
        <f>#REF!</f>
        <v>#REF!</v>
      </c>
      <c r="P190" s="18"/>
      <c r="Q190" s="18"/>
      <c r="R190" s="22" t="e">
        <f t="shared" si="9"/>
        <v>#REF!</v>
      </c>
      <c r="S190" s="96" t="e">
        <f>#REF!</f>
        <v>#REF!</v>
      </c>
      <c r="T190" s="42"/>
      <c r="U190" s="9"/>
      <c r="V190" s="5" t="e">
        <f>IF(S190=0,"hide","show")</f>
        <v>#REF!</v>
      </c>
    </row>
    <row r="191" spans="1:22" s="5" customFormat="1">
      <c r="A191" s="375"/>
      <c r="B191" s="1056"/>
      <c r="C191" s="22"/>
      <c r="D191" s="18"/>
      <c r="E191" s="18"/>
      <c r="F191" s="21"/>
      <c r="G191" s="18"/>
      <c r="H191" s="18"/>
      <c r="I191" s="21"/>
      <c r="J191" s="18"/>
      <c r="K191" s="18"/>
      <c r="L191" s="21"/>
      <c r="M191" s="18"/>
      <c r="N191" s="18"/>
      <c r="O191" s="21"/>
      <c r="P191" s="18"/>
      <c r="Q191" s="18"/>
      <c r="R191" s="22"/>
      <c r="S191" s="96"/>
      <c r="T191" s="42"/>
      <c r="U191" s="9"/>
      <c r="V191" s="104" t="e">
        <f>IF(SUM(S193:S212)=0,"hide","show")</f>
        <v>#REF!</v>
      </c>
    </row>
    <row r="192" spans="1:22" s="5" customFormat="1" ht="16.5">
      <c r="A192" s="374" t="e">
        <f>#REF!</f>
        <v>#REF!</v>
      </c>
      <c r="B192" s="316"/>
      <c r="C192" s="22"/>
      <c r="D192" s="23"/>
      <c r="E192" s="23"/>
      <c r="F192" s="21"/>
      <c r="G192" s="23"/>
      <c r="H192" s="23"/>
      <c r="I192" s="21"/>
      <c r="J192" s="23"/>
      <c r="K192" s="23"/>
      <c r="L192" s="21"/>
      <c r="M192" s="23"/>
      <c r="N192" s="23"/>
      <c r="O192" s="21"/>
      <c r="P192" s="23"/>
      <c r="Q192" s="23"/>
      <c r="R192" s="22"/>
      <c r="S192" s="96"/>
      <c r="T192" s="42"/>
      <c r="U192" s="9"/>
      <c r="V192" s="5" t="e">
        <f>IF(SUM(S194:S212)=0,"hide","show")</f>
        <v>#REF!</v>
      </c>
    </row>
    <row r="193" spans="1:22" s="5" customFormat="1" ht="15">
      <c r="A193" s="1055" t="e">
        <f>#REF!</f>
        <v>#REF!</v>
      </c>
      <c r="B193" s="316"/>
      <c r="C193" s="22"/>
      <c r="D193" s="23"/>
      <c r="E193" s="23"/>
      <c r="F193" s="21"/>
      <c r="G193" s="23"/>
      <c r="H193" s="23"/>
      <c r="I193" s="21"/>
      <c r="J193" s="23"/>
      <c r="K193" s="23"/>
      <c r="L193" s="21"/>
      <c r="M193" s="23"/>
      <c r="N193" s="23"/>
      <c r="O193" s="21"/>
      <c r="P193" s="23"/>
      <c r="Q193" s="23"/>
      <c r="R193" s="22"/>
      <c r="S193" s="96"/>
      <c r="T193" s="42"/>
      <c r="U193" s="9"/>
      <c r="V193" s="5" t="e">
        <f>IF(SUM(S194:S198)=0,"hide","show")</f>
        <v>#REF!</v>
      </c>
    </row>
    <row r="194" spans="1:22" s="5" customFormat="1">
      <c r="A194" s="375" t="e">
        <f>#REF!</f>
        <v>#REF!</v>
      </c>
      <c r="B194" s="1056" t="s">
        <v>336</v>
      </c>
      <c r="C194" s="22" t="e">
        <f>#REF!</f>
        <v>#REF!</v>
      </c>
      <c r="D194" s="18"/>
      <c r="E194" s="18"/>
      <c r="F194" s="21" t="e">
        <f>#REF!</f>
        <v>#REF!</v>
      </c>
      <c r="G194" s="18"/>
      <c r="H194" s="18"/>
      <c r="I194" s="21" t="e">
        <f>#REF!</f>
        <v>#REF!</v>
      </c>
      <c r="J194" s="18"/>
      <c r="K194" s="18"/>
      <c r="L194" s="21" t="e">
        <f>#REF!</f>
        <v>#REF!</v>
      </c>
      <c r="M194" s="18"/>
      <c r="N194" s="18"/>
      <c r="O194" s="21" t="e">
        <f>#REF!</f>
        <v>#REF!</v>
      </c>
      <c r="P194" s="18"/>
      <c r="Q194" s="18"/>
      <c r="R194" s="22" t="e">
        <f>C194+F194+I194+L194+O194</f>
        <v>#REF!</v>
      </c>
      <c r="S194" s="96" t="e">
        <f>#REF!</f>
        <v>#REF!</v>
      </c>
      <c r="T194" s="42"/>
      <c r="U194" s="9"/>
      <c r="V194" s="5" t="e">
        <f>IF(S194=0,"hide","show")</f>
        <v>#REF!</v>
      </c>
    </row>
    <row r="195" spans="1:22" s="5" customFormat="1">
      <c r="A195" s="375" t="e">
        <f>#REF!</f>
        <v>#REF!</v>
      </c>
      <c r="B195" s="1056" t="s">
        <v>336</v>
      </c>
      <c r="C195" s="22" t="e">
        <f>#REF!</f>
        <v>#REF!</v>
      </c>
      <c r="D195" s="18"/>
      <c r="E195" s="18"/>
      <c r="F195" s="21" t="e">
        <f>#REF!</f>
        <v>#REF!</v>
      </c>
      <c r="G195" s="18"/>
      <c r="H195" s="18"/>
      <c r="I195" s="21" t="e">
        <f>#REF!</f>
        <v>#REF!</v>
      </c>
      <c r="J195" s="18"/>
      <c r="K195" s="18"/>
      <c r="L195" s="21" t="e">
        <f>#REF!</f>
        <v>#REF!</v>
      </c>
      <c r="M195" s="18"/>
      <c r="N195" s="18"/>
      <c r="O195" s="21" t="e">
        <f>#REF!</f>
        <v>#REF!</v>
      </c>
      <c r="P195" s="18"/>
      <c r="Q195" s="18"/>
      <c r="R195" s="22" t="e">
        <f>C195+F195+I195+L195+O195</f>
        <v>#REF!</v>
      </c>
      <c r="S195" s="96" t="e">
        <f>#REF!</f>
        <v>#REF!</v>
      </c>
      <c r="T195" s="42"/>
      <c r="U195" s="9"/>
      <c r="V195" s="5" t="e">
        <f>IF(S195=0,"hide","show")</f>
        <v>#REF!</v>
      </c>
    </row>
    <row r="196" spans="1:22" s="5" customFormat="1">
      <c r="A196" s="375" t="e">
        <f>#REF!</f>
        <v>#REF!</v>
      </c>
      <c r="B196" s="1056" t="s">
        <v>336</v>
      </c>
      <c r="C196" s="22" t="e">
        <f>#REF!</f>
        <v>#REF!</v>
      </c>
      <c r="D196" s="18"/>
      <c r="E196" s="18"/>
      <c r="F196" s="21" t="e">
        <f>#REF!</f>
        <v>#REF!</v>
      </c>
      <c r="G196" s="18"/>
      <c r="H196" s="18"/>
      <c r="I196" s="21" t="e">
        <f>#REF!</f>
        <v>#REF!</v>
      </c>
      <c r="J196" s="18"/>
      <c r="K196" s="18"/>
      <c r="L196" s="21" t="e">
        <f>#REF!</f>
        <v>#REF!</v>
      </c>
      <c r="M196" s="18"/>
      <c r="N196" s="18"/>
      <c r="O196" s="21" t="e">
        <f>#REF!</f>
        <v>#REF!</v>
      </c>
      <c r="P196" s="18"/>
      <c r="Q196" s="18"/>
      <c r="R196" s="22" t="e">
        <f>C196+F196+I196+L196+O196</f>
        <v>#REF!</v>
      </c>
      <c r="S196" s="96" t="e">
        <f>#REF!</f>
        <v>#REF!</v>
      </c>
      <c r="T196" s="42"/>
      <c r="U196" s="9"/>
      <c r="V196" s="5" t="e">
        <f>IF(S196=0,"hide","show")</f>
        <v>#REF!</v>
      </c>
    </row>
    <row r="197" spans="1:22" s="5" customFormat="1">
      <c r="A197" s="375" t="e">
        <f>#REF!</f>
        <v>#REF!</v>
      </c>
      <c r="B197" s="1056" t="s">
        <v>336</v>
      </c>
      <c r="C197" s="22" t="e">
        <f>#REF!</f>
        <v>#REF!</v>
      </c>
      <c r="D197" s="18"/>
      <c r="E197" s="18"/>
      <c r="F197" s="21" t="e">
        <f>#REF!</f>
        <v>#REF!</v>
      </c>
      <c r="G197" s="18"/>
      <c r="H197" s="18"/>
      <c r="I197" s="21" t="e">
        <f>#REF!</f>
        <v>#REF!</v>
      </c>
      <c r="J197" s="18"/>
      <c r="K197" s="18"/>
      <c r="L197" s="21" t="e">
        <f>#REF!</f>
        <v>#REF!</v>
      </c>
      <c r="M197" s="18"/>
      <c r="N197" s="18"/>
      <c r="O197" s="21" t="e">
        <f>#REF!</f>
        <v>#REF!</v>
      </c>
      <c r="P197" s="18"/>
      <c r="Q197" s="18"/>
      <c r="R197" s="22" t="e">
        <f>C197+F197+I197+L197+O197</f>
        <v>#REF!</v>
      </c>
      <c r="S197" s="96" t="e">
        <f>#REF!</f>
        <v>#REF!</v>
      </c>
      <c r="T197" s="42"/>
      <c r="U197" s="9"/>
      <c r="V197" s="5" t="e">
        <f>IF(S197=0,"hide","show")</f>
        <v>#REF!</v>
      </c>
    </row>
    <row r="198" spans="1:22" s="5" customFormat="1">
      <c r="A198" s="375" t="e">
        <f>#REF!</f>
        <v>#REF!</v>
      </c>
      <c r="B198" s="1056" t="s">
        <v>336</v>
      </c>
      <c r="C198" s="22" t="e">
        <f>#REF!</f>
        <v>#REF!</v>
      </c>
      <c r="D198" s="18"/>
      <c r="E198" s="18"/>
      <c r="F198" s="21" t="e">
        <f>#REF!</f>
        <v>#REF!</v>
      </c>
      <c r="G198" s="18"/>
      <c r="H198" s="18"/>
      <c r="I198" s="21" t="e">
        <f>#REF!</f>
        <v>#REF!</v>
      </c>
      <c r="J198" s="18"/>
      <c r="K198" s="18"/>
      <c r="L198" s="21" t="e">
        <f>#REF!</f>
        <v>#REF!</v>
      </c>
      <c r="M198" s="18"/>
      <c r="N198" s="18"/>
      <c r="O198" s="21" t="e">
        <f>#REF!</f>
        <v>#REF!</v>
      </c>
      <c r="P198" s="18"/>
      <c r="Q198" s="18"/>
      <c r="R198" s="22" t="e">
        <f>C198+F198+I198+L198+O198</f>
        <v>#REF!</v>
      </c>
      <c r="S198" s="96" t="e">
        <f>#REF!</f>
        <v>#REF!</v>
      </c>
      <c r="T198" s="42"/>
      <c r="U198" s="9"/>
      <c r="V198" s="5" t="e">
        <f>IF(S198=0,"hide","show")</f>
        <v>#REF!</v>
      </c>
    </row>
    <row r="199" spans="1:22" s="5" customFormat="1">
      <c r="A199" s="375"/>
      <c r="B199" s="1056"/>
      <c r="C199" s="22"/>
      <c r="D199" s="18"/>
      <c r="E199" s="18"/>
      <c r="F199" s="21"/>
      <c r="G199" s="18"/>
      <c r="H199" s="18"/>
      <c r="I199" s="21"/>
      <c r="J199" s="18"/>
      <c r="K199" s="18"/>
      <c r="L199" s="21"/>
      <c r="M199" s="18"/>
      <c r="N199" s="18"/>
      <c r="O199" s="21"/>
      <c r="P199" s="18"/>
      <c r="Q199" s="18"/>
      <c r="R199" s="22"/>
      <c r="S199" s="96"/>
      <c r="T199" s="42"/>
      <c r="U199" s="9"/>
      <c r="V199" s="5" t="e">
        <f>IF(SUM(S201:S205)=0,"hide","show")</f>
        <v>#REF!</v>
      </c>
    </row>
    <row r="200" spans="1:22" s="5" customFormat="1" ht="15">
      <c r="A200" s="1055" t="e">
        <f>#REF!</f>
        <v>#REF!</v>
      </c>
      <c r="B200" s="316"/>
      <c r="C200" s="22"/>
      <c r="D200" s="23"/>
      <c r="E200" s="23"/>
      <c r="F200" s="21"/>
      <c r="G200" s="23"/>
      <c r="H200" s="23"/>
      <c r="I200" s="21"/>
      <c r="J200" s="23"/>
      <c r="K200" s="23"/>
      <c r="L200" s="21"/>
      <c r="M200" s="23"/>
      <c r="N200" s="23"/>
      <c r="O200" s="21"/>
      <c r="P200" s="23"/>
      <c r="Q200" s="23"/>
      <c r="R200" s="22"/>
      <c r="S200" s="96"/>
      <c r="T200" s="42"/>
      <c r="U200" s="9"/>
      <c r="V200" s="5" t="e">
        <f>IF(SUM(S201:S205)=0,"hide","show")</f>
        <v>#REF!</v>
      </c>
    </row>
    <row r="201" spans="1:22" s="5" customFormat="1">
      <c r="A201" s="375" t="e">
        <f>#REF!</f>
        <v>#REF!</v>
      </c>
      <c r="B201" s="1056" t="s">
        <v>336</v>
      </c>
      <c r="C201" s="22" t="e">
        <f>#REF!</f>
        <v>#REF!</v>
      </c>
      <c r="D201" s="18"/>
      <c r="E201" s="18"/>
      <c r="F201" s="21" t="e">
        <f>#REF!</f>
        <v>#REF!</v>
      </c>
      <c r="G201" s="18"/>
      <c r="H201" s="18"/>
      <c r="I201" s="21" t="e">
        <f>#REF!</f>
        <v>#REF!</v>
      </c>
      <c r="J201" s="18"/>
      <c r="K201" s="18"/>
      <c r="L201" s="21" t="e">
        <f>#REF!</f>
        <v>#REF!</v>
      </c>
      <c r="M201" s="18"/>
      <c r="N201" s="18"/>
      <c r="O201" s="21" t="e">
        <f>#REF!</f>
        <v>#REF!</v>
      </c>
      <c r="P201" s="18"/>
      <c r="Q201" s="18"/>
      <c r="R201" s="22" t="e">
        <f>C201+F201+I201+L201+O201</f>
        <v>#REF!</v>
      </c>
      <c r="S201" s="96" t="e">
        <f>#REF!</f>
        <v>#REF!</v>
      </c>
      <c r="T201" s="42"/>
      <c r="U201" s="9"/>
      <c r="V201" s="5" t="e">
        <f>IF(S201=0,"hide","show")</f>
        <v>#REF!</v>
      </c>
    </row>
    <row r="202" spans="1:22" s="5" customFormat="1">
      <c r="A202" s="375" t="e">
        <f>#REF!</f>
        <v>#REF!</v>
      </c>
      <c r="B202" s="1056" t="s">
        <v>336</v>
      </c>
      <c r="C202" s="22" t="e">
        <f>#REF!</f>
        <v>#REF!</v>
      </c>
      <c r="D202" s="18"/>
      <c r="E202" s="18"/>
      <c r="F202" s="21" t="e">
        <f>#REF!</f>
        <v>#REF!</v>
      </c>
      <c r="G202" s="18"/>
      <c r="H202" s="18"/>
      <c r="I202" s="21" t="e">
        <f>#REF!</f>
        <v>#REF!</v>
      </c>
      <c r="J202" s="18"/>
      <c r="K202" s="18"/>
      <c r="L202" s="21" t="e">
        <f>#REF!</f>
        <v>#REF!</v>
      </c>
      <c r="M202" s="18"/>
      <c r="N202" s="18"/>
      <c r="O202" s="21" t="e">
        <f>#REF!</f>
        <v>#REF!</v>
      </c>
      <c r="P202" s="18"/>
      <c r="Q202" s="18"/>
      <c r="R202" s="22" t="e">
        <f>C202+F202+I202+L202+O202</f>
        <v>#REF!</v>
      </c>
      <c r="S202" s="96" t="e">
        <f>#REF!</f>
        <v>#REF!</v>
      </c>
      <c r="T202" s="42"/>
      <c r="U202" s="9"/>
      <c r="V202" s="5" t="e">
        <f>IF(S202=0,"hide","show")</f>
        <v>#REF!</v>
      </c>
    </row>
    <row r="203" spans="1:22" s="5" customFormat="1">
      <c r="A203" s="375" t="e">
        <f>#REF!</f>
        <v>#REF!</v>
      </c>
      <c r="B203" s="1056" t="s">
        <v>336</v>
      </c>
      <c r="C203" s="22" t="e">
        <f>#REF!</f>
        <v>#REF!</v>
      </c>
      <c r="D203" s="18"/>
      <c r="E203" s="18"/>
      <c r="F203" s="21" t="e">
        <f>#REF!</f>
        <v>#REF!</v>
      </c>
      <c r="G203" s="18"/>
      <c r="H203" s="18"/>
      <c r="I203" s="21" t="e">
        <f>#REF!</f>
        <v>#REF!</v>
      </c>
      <c r="J203" s="18"/>
      <c r="K203" s="18"/>
      <c r="L203" s="21" t="e">
        <f>#REF!</f>
        <v>#REF!</v>
      </c>
      <c r="M203" s="18"/>
      <c r="N203" s="18"/>
      <c r="O203" s="21" t="e">
        <f>#REF!</f>
        <v>#REF!</v>
      </c>
      <c r="P203" s="18"/>
      <c r="Q203" s="18"/>
      <c r="R203" s="22" t="e">
        <f>C203+F203+I203+L203+O203</f>
        <v>#REF!</v>
      </c>
      <c r="S203" s="96" t="e">
        <f>#REF!</f>
        <v>#REF!</v>
      </c>
      <c r="T203" s="42"/>
      <c r="U203" s="9"/>
      <c r="V203" s="5" t="e">
        <f>IF(S203=0,"hide","show")</f>
        <v>#REF!</v>
      </c>
    </row>
    <row r="204" spans="1:22" s="5" customFormat="1">
      <c r="A204" s="375" t="e">
        <f>#REF!</f>
        <v>#REF!</v>
      </c>
      <c r="B204" s="1056" t="s">
        <v>336</v>
      </c>
      <c r="C204" s="22" t="e">
        <f>#REF!</f>
        <v>#REF!</v>
      </c>
      <c r="D204" s="18"/>
      <c r="E204" s="18"/>
      <c r="F204" s="21" t="e">
        <f>#REF!</f>
        <v>#REF!</v>
      </c>
      <c r="G204" s="18"/>
      <c r="H204" s="18"/>
      <c r="I204" s="21" t="e">
        <f>#REF!</f>
        <v>#REF!</v>
      </c>
      <c r="J204" s="18"/>
      <c r="K204" s="18"/>
      <c r="L204" s="21" t="e">
        <f>#REF!</f>
        <v>#REF!</v>
      </c>
      <c r="M204" s="18"/>
      <c r="N204" s="18"/>
      <c r="O204" s="21" t="e">
        <f>#REF!</f>
        <v>#REF!</v>
      </c>
      <c r="P204" s="18"/>
      <c r="Q204" s="18"/>
      <c r="R204" s="22" t="e">
        <f>C204+F204+I204+L204+O204</f>
        <v>#REF!</v>
      </c>
      <c r="S204" s="96" t="e">
        <f>#REF!</f>
        <v>#REF!</v>
      </c>
      <c r="T204" s="42"/>
      <c r="U204" s="9"/>
      <c r="V204" s="5" t="e">
        <f>IF(S204=0,"hide","show")</f>
        <v>#REF!</v>
      </c>
    </row>
    <row r="205" spans="1:22" s="5" customFormat="1">
      <c r="A205" s="375" t="e">
        <f>#REF!</f>
        <v>#REF!</v>
      </c>
      <c r="B205" s="1056" t="s">
        <v>336</v>
      </c>
      <c r="C205" s="22" t="e">
        <f>#REF!</f>
        <v>#REF!</v>
      </c>
      <c r="D205" s="18"/>
      <c r="E205" s="18"/>
      <c r="F205" s="21" t="e">
        <f>#REF!</f>
        <v>#REF!</v>
      </c>
      <c r="G205" s="18"/>
      <c r="H205" s="18"/>
      <c r="I205" s="21" t="e">
        <f>#REF!</f>
        <v>#REF!</v>
      </c>
      <c r="J205" s="18"/>
      <c r="K205" s="18"/>
      <c r="L205" s="21" t="e">
        <f>#REF!</f>
        <v>#REF!</v>
      </c>
      <c r="M205" s="18"/>
      <c r="N205" s="18"/>
      <c r="O205" s="21" t="e">
        <f>#REF!</f>
        <v>#REF!</v>
      </c>
      <c r="P205" s="18"/>
      <c r="Q205" s="18"/>
      <c r="R205" s="22" t="e">
        <f>C205+F205+I205+L205+O205</f>
        <v>#REF!</v>
      </c>
      <c r="S205" s="96" t="e">
        <f>#REF!</f>
        <v>#REF!</v>
      </c>
      <c r="T205" s="42"/>
      <c r="U205" s="9"/>
      <c r="V205" s="5" t="e">
        <f>IF(S205=0,"hide","show")</f>
        <v>#REF!</v>
      </c>
    </row>
    <row r="206" spans="1:22" s="5" customFormat="1">
      <c r="A206" s="375"/>
      <c r="B206" s="1056"/>
      <c r="C206" s="22"/>
      <c r="D206" s="18"/>
      <c r="E206" s="18"/>
      <c r="F206" s="21"/>
      <c r="G206" s="18"/>
      <c r="H206" s="18"/>
      <c r="I206" s="21"/>
      <c r="J206" s="18"/>
      <c r="K206" s="18"/>
      <c r="L206" s="21"/>
      <c r="M206" s="18"/>
      <c r="N206" s="18"/>
      <c r="O206" s="21"/>
      <c r="P206" s="18"/>
      <c r="Q206" s="18"/>
      <c r="R206" s="22"/>
      <c r="S206" s="96"/>
      <c r="T206" s="42"/>
      <c r="U206" s="9"/>
      <c r="V206" s="5" t="e">
        <f>IF(SUM(S208:S212)=0,"hide","show")</f>
        <v>#REF!</v>
      </c>
    </row>
    <row r="207" spans="1:22" s="5" customFormat="1" ht="15">
      <c r="A207" s="1055" t="e">
        <f>#REF!</f>
        <v>#REF!</v>
      </c>
      <c r="B207" s="316"/>
      <c r="C207" s="22"/>
      <c r="D207" s="23"/>
      <c r="E207" s="23"/>
      <c r="F207" s="21"/>
      <c r="G207" s="23"/>
      <c r="H207" s="23"/>
      <c r="I207" s="21"/>
      <c r="J207" s="23"/>
      <c r="K207" s="23"/>
      <c r="L207" s="21"/>
      <c r="M207" s="23"/>
      <c r="N207" s="23"/>
      <c r="O207" s="21"/>
      <c r="P207" s="23"/>
      <c r="Q207" s="23"/>
      <c r="R207" s="22"/>
      <c r="S207" s="96"/>
      <c r="T207" s="42"/>
      <c r="U207" s="9"/>
      <c r="V207" s="5" t="e">
        <f>IF(SUM(S208:S212)=0,"hide","show")</f>
        <v>#REF!</v>
      </c>
    </row>
    <row r="208" spans="1:22" s="5" customFormat="1">
      <c r="A208" s="375" t="e">
        <f>#REF!</f>
        <v>#REF!</v>
      </c>
      <c r="B208" s="1056" t="s">
        <v>336</v>
      </c>
      <c r="C208" s="22" t="e">
        <f>#REF!</f>
        <v>#REF!</v>
      </c>
      <c r="D208" s="18"/>
      <c r="E208" s="18"/>
      <c r="F208" s="21" t="e">
        <f>#REF!</f>
        <v>#REF!</v>
      </c>
      <c r="G208" s="18"/>
      <c r="H208" s="18"/>
      <c r="I208" s="21" t="e">
        <f>#REF!</f>
        <v>#REF!</v>
      </c>
      <c r="J208" s="18"/>
      <c r="K208" s="18"/>
      <c r="L208" s="21" t="e">
        <f>#REF!</f>
        <v>#REF!</v>
      </c>
      <c r="M208" s="18"/>
      <c r="N208" s="18"/>
      <c r="O208" s="21" t="e">
        <f>#REF!</f>
        <v>#REF!</v>
      </c>
      <c r="P208" s="18"/>
      <c r="Q208" s="18"/>
      <c r="R208" s="22" t="e">
        <f>C208+F208+I208+L208+O208</f>
        <v>#REF!</v>
      </c>
      <c r="S208" s="96" t="e">
        <f>#REF!</f>
        <v>#REF!</v>
      </c>
      <c r="T208" s="42"/>
      <c r="U208" s="9"/>
      <c r="V208" s="5" t="e">
        <f>IF(S208=0,"hide","show")</f>
        <v>#REF!</v>
      </c>
    </row>
    <row r="209" spans="1:22" s="5" customFormat="1">
      <c r="A209" s="375" t="e">
        <f>#REF!</f>
        <v>#REF!</v>
      </c>
      <c r="B209" s="1056" t="s">
        <v>336</v>
      </c>
      <c r="C209" s="22" t="e">
        <f>#REF!</f>
        <v>#REF!</v>
      </c>
      <c r="D209" s="18"/>
      <c r="E209" s="18"/>
      <c r="F209" s="21" t="e">
        <f>#REF!</f>
        <v>#REF!</v>
      </c>
      <c r="G209" s="18"/>
      <c r="H209" s="18"/>
      <c r="I209" s="21" t="e">
        <f>#REF!</f>
        <v>#REF!</v>
      </c>
      <c r="J209" s="18"/>
      <c r="K209" s="18"/>
      <c r="L209" s="21" t="e">
        <f>#REF!</f>
        <v>#REF!</v>
      </c>
      <c r="M209" s="18"/>
      <c r="N209" s="18"/>
      <c r="O209" s="21" t="e">
        <f>#REF!</f>
        <v>#REF!</v>
      </c>
      <c r="P209" s="18"/>
      <c r="Q209" s="18"/>
      <c r="R209" s="22" t="e">
        <f>C209+F209+I209+L209+O209</f>
        <v>#REF!</v>
      </c>
      <c r="S209" s="96" t="e">
        <f>#REF!</f>
        <v>#REF!</v>
      </c>
      <c r="T209" s="42"/>
      <c r="U209" s="9"/>
      <c r="V209" s="5" t="e">
        <f>IF(S209=0,"hide","show")</f>
        <v>#REF!</v>
      </c>
    </row>
    <row r="210" spans="1:22" s="5" customFormat="1">
      <c r="A210" s="375" t="e">
        <f>#REF!</f>
        <v>#REF!</v>
      </c>
      <c r="B210" s="1056" t="s">
        <v>336</v>
      </c>
      <c r="C210" s="22" t="e">
        <f>#REF!</f>
        <v>#REF!</v>
      </c>
      <c r="D210" s="18"/>
      <c r="E210" s="18"/>
      <c r="F210" s="21" t="e">
        <f>#REF!</f>
        <v>#REF!</v>
      </c>
      <c r="G210" s="18"/>
      <c r="H210" s="18"/>
      <c r="I210" s="21" t="e">
        <f>#REF!</f>
        <v>#REF!</v>
      </c>
      <c r="J210" s="18"/>
      <c r="K210" s="18"/>
      <c r="L210" s="21" t="e">
        <f>#REF!</f>
        <v>#REF!</v>
      </c>
      <c r="M210" s="18"/>
      <c r="N210" s="18"/>
      <c r="O210" s="21" t="e">
        <f>#REF!</f>
        <v>#REF!</v>
      </c>
      <c r="P210" s="18"/>
      <c r="Q210" s="18"/>
      <c r="R210" s="22" t="e">
        <f>C210+F210+I210+L210+O210</f>
        <v>#REF!</v>
      </c>
      <c r="S210" s="96" t="e">
        <f>#REF!</f>
        <v>#REF!</v>
      </c>
      <c r="T210" s="42"/>
      <c r="U210" s="9"/>
      <c r="V210" s="5" t="e">
        <f>IF(S210=0,"hide","show")</f>
        <v>#REF!</v>
      </c>
    </row>
    <row r="211" spans="1:22" s="5" customFormat="1">
      <c r="A211" s="375" t="e">
        <f>#REF!</f>
        <v>#REF!</v>
      </c>
      <c r="B211" s="1056" t="s">
        <v>336</v>
      </c>
      <c r="C211" s="22" t="e">
        <f>#REF!</f>
        <v>#REF!</v>
      </c>
      <c r="D211" s="18"/>
      <c r="E211" s="18"/>
      <c r="F211" s="21" t="e">
        <f>#REF!</f>
        <v>#REF!</v>
      </c>
      <c r="G211" s="18"/>
      <c r="H211" s="18"/>
      <c r="I211" s="21" t="e">
        <f>#REF!</f>
        <v>#REF!</v>
      </c>
      <c r="J211" s="18"/>
      <c r="K211" s="18"/>
      <c r="L211" s="21" t="e">
        <f>#REF!</f>
        <v>#REF!</v>
      </c>
      <c r="M211" s="18"/>
      <c r="N211" s="18"/>
      <c r="O211" s="21" t="e">
        <f>#REF!</f>
        <v>#REF!</v>
      </c>
      <c r="P211" s="18"/>
      <c r="Q211" s="18"/>
      <c r="R211" s="22" t="e">
        <f>C211+F211+I211+L211+O211</f>
        <v>#REF!</v>
      </c>
      <c r="S211" s="96" t="e">
        <f>#REF!</f>
        <v>#REF!</v>
      </c>
      <c r="T211" s="42"/>
      <c r="U211" s="9"/>
      <c r="V211" s="5" t="e">
        <f>IF(S211=0,"hide","show")</f>
        <v>#REF!</v>
      </c>
    </row>
    <row r="212" spans="1:22" s="5" customFormat="1">
      <c r="A212" s="375" t="e">
        <f>#REF!</f>
        <v>#REF!</v>
      </c>
      <c r="B212" s="1056" t="s">
        <v>336</v>
      </c>
      <c r="C212" s="22" t="e">
        <f>#REF!</f>
        <v>#REF!</v>
      </c>
      <c r="D212" s="18"/>
      <c r="E212" s="18"/>
      <c r="F212" s="21" t="e">
        <f>#REF!</f>
        <v>#REF!</v>
      </c>
      <c r="G212" s="18"/>
      <c r="H212" s="18"/>
      <c r="I212" s="21" t="e">
        <f>#REF!</f>
        <v>#REF!</v>
      </c>
      <c r="J212" s="18"/>
      <c r="K212" s="18"/>
      <c r="L212" s="21" t="e">
        <f>#REF!</f>
        <v>#REF!</v>
      </c>
      <c r="M212" s="18"/>
      <c r="N212" s="18"/>
      <c r="O212" s="21" t="e">
        <f>#REF!</f>
        <v>#REF!</v>
      </c>
      <c r="P212" s="18"/>
      <c r="Q212" s="18"/>
      <c r="R212" s="22" t="e">
        <f>C212+F212+I212+L212+O212</f>
        <v>#REF!</v>
      </c>
      <c r="S212" s="96" t="e">
        <f>#REF!</f>
        <v>#REF!</v>
      </c>
      <c r="T212" s="42"/>
      <c r="U212" s="9"/>
      <c r="V212" s="5" t="e">
        <f>IF(S212=0,"hide","show")</f>
        <v>#REF!</v>
      </c>
    </row>
    <row r="213" spans="1:22" s="5" customFormat="1">
      <c r="A213" s="375"/>
      <c r="B213" s="1056"/>
      <c r="C213" s="22"/>
      <c r="D213" s="18"/>
      <c r="E213" s="18"/>
      <c r="F213" s="21"/>
      <c r="G213" s="18"/>
      <c r="H213" s="18"/>
      <c r="I213" s="21"/>
      <c r="J213" s="18"/>
      <c r="K213" s="18"/>
      <c r="L213" s="21"/>
      <c r="M213" s="18"/>
      <c r="N213" s="18"/>
      <c r="O213" s="21"/>
      <c r="P213" s="18"/>
      <c r="Q213" s="18"/>
      <c r="R213" s="22"/>
      <c r="S213" s="96"/>
      <c r="T213" s="42"/>
      <c r="U213" s="9"/>
      <c r="V213" s="5" t="e">
        <f>IF(SUM(S215:S219)=0,"hide","show")</f>
        <v>#REF!</v>
      </c>
    </row>
    <row r="214" spans="1:22" s="5" customFormat="1" ht="16.5">
      <c r="A214" s="374" t="e">
        <f>#REF!</f>
        <v>#REF!</v>
      </c>
      <c r="B214" s="316"/>
      <c r="C214" s="22"/>
      <c r="D214" s="23"/>
      <c r="E214" s="23"/>
      <c r="F214" s="21"/>
      <c r="G214" s="23"/>
      <c r="H214" s="23"/>
      <c r="I214" s="21"/>
      <c r="J214" s="23"/>
      <c r="K214" s="23"/>
      <c r="L214" s="21"/>
      <c r="M214" s="23"/>
      <c r="N214" s="23"/>
      <c r="O214" s="21"/>
      <c r="P214" s="23"/>
      <c r="Q214" s="23"/>
      <c r="R214" s="22"/>
      <c r="S214" s="96"/>
      <c r="T214" s="42"/>
      <c r="U214" s="9"/>
      <c r="V214" s="5" t="e">
        <f>IF(SUM(S215:S219)=0,"hide","show")</f>
        <v>#REF!</v>
      </c>
    </row>
    <row r="215" spans="1:22" s="5" customFormat="1">
      <c r="A215" s="375" t="e">
        <f>#REF!</f>
        <v>#REF!</v>
      </c>
      <c r="B215" s="1056" t="s">
        <v>336</v>
      </c>
      <c r="C215" s="22" t="e">
        <f>#REF!</f>
        <v>#REF!</v>
      </c>
      <c r="D215" s="18"/>
      <c r="E215" s="18"/>
      <c r="F215" s="21" t="e">
        <f>#REF!</f>
        <v>#REF!</v>
      </c>
      <c r="G215" s="18"/>
      <c r="H215" s="18"/>
      <c r="I215" s="21" t="e">
        <f>#REF!</f>
        <v>#REF!</v>
      </c>
      <c r="J215" s="18"/>
      <c r="K215" s="18"/>
      <c r="L215" s="21" t="e">
        <f>#REF!</f>
        <v>#REF!</v>
      </c>
      <c r="M215" s="18"/>
      <c r="N215" s="18"/>
      <c r="O215" s="21" t="e">
        <f>#REF!</f>
        <v>#REF!</v>
      </c>
      <c r="P215" s="18"/>
      <c r="Q215" s="18"/>
      <c r="R215" s="22" t="e">
        <f>C215+F215+I215+L215+O215</f>
        <v>#REF!</v>
      </c>
      <c r="S215" s="96" t="e">
        <f>#REF!</f>
        <v>#REF!</v>
      </c>
      <c r="T215" s="42"/>
      <c r="U215" s="9"/>
      <c r="V215" s="5" t="e">
        <f>IF(S215=0,"hide","show")</f>
        <v>#REF!</v>
      </c>
    </row>
    <row r="216" spans="1:22" s="5" customFormat="1">
      <c r="A216" s="375" t="e">
        <f>#REF!</f>
        <v>#REF!</v>
      </c>
      <c r="B216" s="1056" t="s">
        <v>336</v>
      </c>
      <c r="C216" s="22" t="e">
        <f>#REF!</f>
        <v>#REF!</v>
      </c>
      <c r="D216" s="18"/>
      <c r="E216" s="18"/>
      <c r="F216" s="21" t="e">
        <f>#REF!</f>
        <v>#REF!</v>
      </c>
      <c r="G216" s="18"/>
      <c r="H216" s="18"/>
      <c r="I216" s="21" t="e">
        <f>#REF!</f>
        <v>#REF!</v>
      </c>
      <c r="J216" s="18"/>
      <c r="K216" s="18"/>
      <c r="L216" s="21" t="e">
        <f>#REF!</f>
        <v>#REF!</v>
      </c>
      <c r="M216" s="18"/>
      <c r="N216" s="18"/>
      <c r="O216" s="21" t="e">
        <f>#REF!</f>
        <v>#REF!</v>
      </c>
      <c r="P216" s="18"/>
      <c r="Q216" s="18"/>
      <c r="R216" s="22" t="e">
        <f>C216+F216+I216+L216+O216</f>
        <v>#REF!</v>
      </c>
      <c r="S216" s="96" t="e">
        <f>#REF!</f>
        <v>#REF!</v>
      </c>
      <c r="T216" s="42"/>
      <c r="U216" s="9"/>
      <c r="V216" s="5" t="e">
        <f>IF(S216=0,"hide","show")</f>
        <v>#REF!</v>
      </c>
    </row>
    <row r="217" spans="1:22" s="5" customFormat="1">
      <c r="A217" s="375" t="e">
        <f>#REF!</f>
        <v>#REF!</v>
      </c>
      <c r="B217" s="1056" t="s">
        <v>336</v>
      </c>
      <c r="C217" s="22" t="e">
        <f>#REF!</f>
        <v>#REF!</v>
      </c>
      <c r="D217" s="18"/>
      <c r="E217" s="18"/>
      <c r="F217" s="21" t="e">
        <f>#REF!</f>
        <v>#REF!</v>
      </c>
      <c r="G217" s="18"/>
      <c r="H217" s="18"/>
      <c r="I217" s="21" t="e">
        <f>#REF!</f>
        <v>#REF!</v>
      </c>
      <c r="J217" s="18"/>
      <c r="K217" s="18"/>
      <c r="L217" s="21" t="e">
        <f>#REF!</f>
        <v>#REF!</v>
      </c>
      <c r="M217" s="18"/>
      <c r="N217" s="18"/>
      <c r="O217" s="21" t="e">
        <f>#REF!</f>
        <v>#REF!</v>
      </c>
      <c r="P217" s="18"/>
      <c r="Q217" s="18"/>
      <c r="R217" s="22" t="e">
        <f>C217+F217+I217+L217+O217</f>
        <v>#REF!</v>
      </c>
      <c r="S217" s="96" t="e">
        <f>#REF!</f>
        <v>#REF!</v>
      </c>
      <c r="T217" s="42"/>
      <c r="U217" s="9"/>
      <c r="V217" s="5" t="e">
        <f>IF(S217=0,"hide","show")</f>
        <v>#REF!</v>
      </c>
    </row>
    <row r="218" spans="1:22" s="5" customFormat="1">
      <c r="A218" s="375" t="e">
        <f>#REF!</f>
        <v>#REF!</v>
      </c>
      <c r="B218" s="1056" t="s">
        <v>336</v>
      </c>
      <c r="C218" s="22" t="e">
        <f>#REF!</f>
        <v>#REF!</v>
      </c>
      <c r="D218" s="18"/>
      <c r="E218" s="18"/>
      <c r="F218" s="21" t="e">
        <f>#REF!</f>
        <v>#REF!</v>
      </c>
      <c r="G218" s="18"/>
      <c r="H218" s="18"/>
      <c r="I218" s="21" t="e">
        <f>#REF!</f>
        <v>#REF!</v>
      </c>
      <c r="J218" s="18"/>
      <c r="K218" s="18"/>
      <c r="L218" s="21" t="e">
        <f>#REF!</f>
        <v>#REF!</v>
      </c>
      <c r="M218" s="18"/>
      <c r="N218" s="18"/>
      <c r="O218" s="21" t="e">
        <f>#REF!</f>
        <v>#REF!</v>
      </c>
      <c r="P218" s="18"/>
      <c r="Q218" s="18"/>
      <c r="R218" s="22" t="e">
        <f>C218+F218+I218+L218+O218</f>
        <v>#REF!</v>
      </c>
      <c r="S218" s="96" t="e">
        <f>#REF!</f>
        <v>#REF!</v>
      </c>
      <c r="T218" s="42"/>
      <c r="U218" s="9"/>
      <c r="V218" s="5" t="e">
        <f>IF(S218=0,"hide","show")</f>
        <v>#REF!</v>
      </c>
    </row>
    <row r="219" spans="1:22" s="5" customFormat="1">
      <c r="A219" s="375" t="e">
        <f>#REF!</f>
        <v>#REF!</v>
      </c>
      <c r="B219" s="1056" t="s">
        <v>336</v>
      </c>
      <c r="C219" s="22" t="e">
        <f>#REF!</f>
        <v>#REF!</v>
      </c>
      <c r="D219" s="18"/>
      <c r="E219" s="18"/>
      <c r="F219" s="21" t="e">
        <f>#REF!</f>
        <v>#REF!</v>
      </c>
      <c r="G219" s="18"/>
      <c r="H219" s="18"/>
      <c r="I219" s="21" t="e">
        <f>#REF!</f>
        <v>#REF!</v>
      </c>
      <c r="J219" s="18"/>
      <c r="K219" s="18"/>
      <c r="L219" s="21" t="e">
        <f>#REF!</f>
        <v>#REF!</v>
      </c>
      <c r="M219" s="18"/>
      <c r="N219" s="18"/>
      <c r="O219" s="21" t="e">
        <f>#REF!</f>
        <v>#REF!</v>
      </c>
      <c r="P219" s="18"/>
      <c r="Q219" s="18"/>
      <c r="R219" s="22" t="e">
        <f>C219+F219+I219+L219+O219</f>
        <v>#REF!</v>
      </c>
      <c r="S219" s="96" t="e">
        <f>#REF!</f>
        <v>#REF!</v>
      </c>
      <c r="T219" s="42"/>
      <c r="U219" s="9"/>
      <c r="V219" s="5" t="e">
        <f>IF(S219=0,"hide","show")</f>
        <v>#REF!</v>
      </c>
    </row>
    <row r="220" spans="1:22" s="5" customFormat="1">
      <c r="A220" s="1057"/>
      <c r="B220" s="316"/>
      <c r="C220" s="22"/>
      <c r="D220" s="23"/>
      <c r="E220" s="23"/>
      <c r="F220" s="21"/>
      <c r="G220" s="23"/>
      <c r="H220" s="23"/>
      <c r="I220" s="21"/>
      <c r="J220" s="23"/>
      <c r="K220" s="23"/>
      <c r="L220" s="21"/>
      <c r="M220" s="23"/>
      <c r="N220" s="23"/>
      <c r="O220" s="21"/>
      <c r="P220" s="23"/>
      <c r="Q220" s="23"/>
      <c r="R220" s="22"/>
      <c r="S220" s="96"/>
      <c r="T220" s="42"/>
      <c r="U220" s="9"/>
      <c r="V220" s="5" t="e">
        <f>IF(SUM(S222:S228)=0,"hide","show")</f>
        <v>#REF!</v>
      </c>
    </row>
    <row r="221" spans="1:22" s="5" customFormat="1" ht="12.75" customHeight="1">
      <c r="A221" s="1058" t="e">
        <f>#REF!</f>
        <v>#REF!</v>
      </c>
      <c r="B221" s="316"/>
      <c r="C221" s="43" t="e">
        <f>SUM(C13:C19)</f>
        <v>#REF!</v>
      </c>
      <c r="D221" s="23"/>
      <c r="E221" s="18"/>
      <c r="F221" s="97" t="e">
        <f>SUM(F13:F19)</f>
        <v>#REF!</v>
      </c>
      <c r="G221" s="23"/>
      <c r="H221" s="18"/>
      <c r="I221" s="97" t="e">
        <f>SUM(I13:I19)</f>
        <v>#REF!</v>
      </c>
      <c r="J221" s="23"/>
      <c r="K221" s="18"/>
      <c r="L221" s="97" t="e">
        <f>SUM(L13:L19)</f>
        <v>#REF!</v>
      </c>
      <c r="M221" s="23"/>
      <c r="N221" s="18"/>
      <c r="O221" s="97" t="e">
        <f>SUM(O13:O19)</f>
        <v>#REF!</v>
      </c>
      <c r="P221" s="23"/>
      <c r="Q221" s="18"/>
      <c r="R221" s="22" t="e">
        <f t="shared" ref="R221:R228" si="11">C221+F221+I221+L221+O221</f>
        <v>#REF!</v>
      </c>
      <c r="S221" s="96" t="e">
        <f>#REF!</f>
        <v>#REF!</v>
      </c>
      <c r="T221" s="42"/>
      <c r="U221" s="9"/>
      <c r="V221" s="5" t="e">
        <f>IF(S221=0,"hide","show")</f>
        <v>#REF!</v>
      </c>
    </row>
    <row r="222" spans="1:22" s="5" customFormat="1" ht="12.75" customHeight="1">
      <c r="A222" s="1058" t="e">
        <f>#REF!</f>
        <v>#REF!</v>
      </c>
      <c r="B222" s="316"/>
      <c r="C222" s="43" t="e">
        <f>SUM(C20:C26)</f>
        <v>#REF!</v>
      </c>
      <c r="D222" s="23"/>
      <c r="E222" s="18"/>
      <c r="F222" s="97" t="e">
        <f>SUM(F20:F26)</f>
        <v>#REF!</v>
      </c>
      <c r="G222" s="23"/>
      <c r="H222" s="18"/>
      <c r="I222" s="97" t="e">
        <f>SUM(I20:I26)</f>
        <v>#REF!</v>
      </c>
      <c r="J222" s="23"/>
      <c r="K222" s="18"/>
      <c r="L222" s="97" t="e">
        <f>SUM(L20:L26)</f>
        <v>#REF!</v>
      </c>
      <c r="M222" s="23"/>
      <c r="N222" s="18"/>
      <c r="O222" s="97" t="e">
        <f>SUM(O20:O26)</f>
        <v>#REF!</v>
      </c>
      <c r="P222" s="23"/>
      <c r="Q222" s="18"/>
      <c r="R222" s="22" t="e">
        <f t="shared" si="11"/>
        <v>#REF!</v>
      </c>
      <c r="S222" s="96" t="e">
        <f>#REF!</f>
        <v>#REF!</v>
      </c>
      <c r="T222" s="42"/>
      <c r="U222" s="9"/>
      <c r="V222" s="5" t="e">
        <f t="shared" ref="V222:V228" si="12">IF(S222=0,"hide","show")</f>
        <v>#REF!</v>
      </c>
    </row>
    <row r="223" spans="1:22" s="5" customFormat="1" ht="12.75" customHeight="1">
      <c r="A223" s="1058" t="e">
        <f>#REF!</f>
        <v>#REF!</v>
      </c>
      <c r="B223" s="316"/>
      <c r="C223" s="43" t="e">
        <f>SUM(C28:C115)</f>
        <v>#REF!</v>
      </c>
      <c r="D223" s="23"/>
      <c r="E223" s="18"/>
      <c r="F223" s="97" t="e">
        <f>SUM(F28:F115)</f>
        <v>#REF!</v>
      </c>
      <c r="G223" s="23"/>
      <c r="H223" s="18"/>
      <c r="I223" s="97" t="e">
        <f>SUM(I28:I115)</f>
        <v>#REF!</v>
      </c>
      <c r="J223" s="23"/>
      <c r="K223" s="18"/>
      <c r="L223" s="97" t="e">
        <f>SUM(L28:L115)</f>
        <v>#REF!</v>
      </c>
      <c r="M223" s="23"/>
      <c r="N223" s="18"/>
      <c r="O223" s="97" t="e">
        <f>SUM(O28:O115)</f>
        <v>#REF!</v>
      </c>
      <c r="P223" s="23"/>
      <c r="Q223" s="18"/>
      <c r="R223" s="22" t="e">
        <f t="shared" si="11"/>
        <v>#REF!</v>
      </c>
      <c r="S223" s="96" t="e">
        <f>#REF!</f>
        <v>#REF!</v>
      </c>
      <c r="T223" s="42"/>
      <c r="U223" s="9"/>
      <c r="V223" s="5" t="e">
        <f t="shared" si="12"/>
        <v>#REF!</v>
      </c>
    </row>
    <row r="224" spans="1:22" s="5" customFormat="1" ht="12.75" customHeight="1">
      <c r="A224" s="1058" t="e">
        <f>#REF!</f>
        <v>#REF!</v>
      </c>
      <c r="B224" s="316"/>
      <c r="C224" s="43" t="e">
        <f>SUM(C116:C191)</f>
        <v>#REF!</v>
      </c>
      <c r="D224" s="44"/>
      <c r="E224" s="18"/>
      <c r="F224" s="97" t="e">
        <f>SUM(F116:F191)</f>
        <v>#REF!</v>
      </c>
      <c r="G224" s="44"/>
      <c r="H224" s="18"/>
      <c r="I224" s="97" t="e">
        <f>SUM(I116:I191)</f>
        <v>#REF!</v>
      </c>
      <c r="J224" s="44"/>
      <c r="K224" s="18"/>
      <c r="L224" s="97" t="e">
        <f>SUM(L116:L191)</f>
        <v>#REF!</v>
      </c>
      <c r="M224" s="44"/>
      <c r="N224" s="18"/>
      <c r="O224" s="97" t="e">
        <f>SUM(O116:O191)</f>
        <v>#REF!</v>
      </c>
      <c r="P224" s="44"/>
      <c r="Q224" s="18"/>
      <c r="R224" s="22" t="e">
        <f t="shared" si="11"/>
        <v>#REF!</v>
      </c>
      <c r="S224" s="96" t="e">
        <f>#REF!</f>
        <v>#REF!</v>
      </c>
      <c r="T224" s="42"/>
      <c r="U224" s="9"/>
      <c r="V224" s="5" t="e">
        <f t="shared" si="12"/>
        <v>#REF!</v>
      </c>
    </row>
    <row r="225" spans="1:22" s="5" customFormat="1" ht="12.75" customHeight="1">
      <c r="A225" s="1058" t="e">
        <f>#REF!</f>
        <v>#REF!</v>
      </c>
      <c r="B225" s="316"/>
      <c r="C225" s="43" t="e">
        <f>SUM(C193:C199)</f>
        <v>#REF!</v>
      </c>
      <c r="D225" s="44"/>
      <c r="E225" s="18"/>
      <c r="F225" s="97" t="e">
        <f>SUM(F193:F199)</f>
        <v>#REF!</v>
      </c>
      <c r="G225" s="44"/>
      <c r="H225" s="18"/>
      <c r="I225" s="97" t="e">
        <f>SUM(I193:I199)</f>
        <v>#REF!</v>
      </c>
      <c r="J225" s="44"/>
      <c r="K225" s="18"/>
      <c r="L225" s="97" t="e">
        <f>SUM(L193:L199)</f>
        <v>#REF!</v>
      </c>
      <c r="M225" s="44"/>
      <c r="N225" s="18"/>
      <c r="O225" s="97" t="e">
        <f>SUM(O193:O199)</f>
        <v>#REF!</v>
      </c>
      <c r="P225" s="44"/>
      <c r="Q225" s="18"/>
      <c r="R225" s="22" t="e">
        <f t="shared" si="11"/>
        <v>#REF!</v>
      </c>
      <c r="S225" s="96" t="e">
        <f>#REF!</f>
        <v>#REF!</v>
      </c>
      <c r="T225" s="42"/>
      <c r="U225" s="9"/>
      <c r="V225" s="5" t="e">
        <f t="shared" si="12"/>
        <v>#REF!</v>
      </c>
    </row>
    <row r="226" spans="1:22" s="5" customFormat="1" ht="12.75" customHeight="1">
      <c r="A226" s="1058" t="e">
        <f>#REF!</f>
        <v>#REF!</v>
      </c>
      <c r="B226" s="316"/>
      <c r="C226" s="43" t="e">
        <f>SUM(C200:C206)</f>
        <v>#REF!</v>
      </c>
      <c r="D226" s="44"/>
      <c r="E226" s="18"/>
      <c r="F226" s="97" t="e">
        <f>SUM(F200:F206)</f>
        <v>#REF!</v>
      </c>
      <c r="G226" s="44"/>
      <c r="H226" s="18"/>
      <c r="I226" s="97" t="e">
        <f>SUM(I200:I206)</f>
        <v>#REF!</v>
      </c>
      <c r="J226" s="44"/>
      <c r="K226" s="18"/>
      <c r="L226" s="97" t="e">
        <f>SUM(L200:L206)</f>
        <v>#REF!</v>
      </c>
      <c r="M226" s="44"/>
      <c r="N226" s="18"/>
      <c r="O226" s="97" t="e">
        <f>SUM(O200:O206)</f>
        <v>#REF!</v>
      </c>
      <c r="P226" s="44"/>
      <c r="Q226" s="18"/>
      <c r="R226" s="22" t="e">
        <f t="shared" si="11"/>
        <v>#REF!</v>
      </c>
      <c r="S226" s="96" t="e">
        <f>#REF!</f>
        <v>#REF!</v>
      </c>
      <c r="T226" s="42"/>
      <c r="U226" s="9"/>
      <c r="V226" s="5" t="e">
        <f t="shared" si="12"/>
        <v>#REF!</v>
      </c>
    </row>
    <row r="227" spans="1:22" s="5" customFormat="1" ht="12.75" customHeight="1">
      <c r="A227" s="1058" t="e">
        <f>#REF!</f>
        <v>#REF!</v>
      </c>
      <c r="B227" s="316"/>
      <c r="C227" s="43" t="e">
        <f>SUM(C207:C213)</f>
        <v>#REF!</v>
      </c>
      <c r="D227" s="44"/>
      <c r="E227" s="18"/>
      <c r="F227" s="97" t="e">
        <f>SUM(F207:F213)</f>
        <v>#REF!</v>
      </c>
      <c r="G227" s="44"/>
      <c r="H227" s="18"/>
      <c r="I227" s="97" t="e">
        <f>SUM(I207:I213)</f>
        <v>#REF!</v>
      </c>
      <c r="J227" s="44"/>
      <c r="K227" s="18"/>
      <c r="L227" s="97" t="e">
        <f>SUM(L207:L213)</f>
        <v>#REF!</v>
      </c>
      <c r="M227" s="44"/>
      <c r="N227" s="18"/>
      <c r="O227" s="97" t="e">
        <f>SUM(O207:O213)</f>
        <v>#REF!</v>
      </c>
      <c r="P227" s="44"/>
      <c r="Q227" s="18"/>
      <c r="R227" s="22" t="e">
        <f t="shared" si="11"/>
        <v>#REF!</v>
      </c>
      <c r="S227" s="96" t="e">
        <f>#REF!</f>
        <v>#REF!</v>
      </c>
      <c r="T227" s="42"/>
      <c r="U227" s="9"/>
      <c r="V227" s="5" t="e">
        <f t="shared" si="12"/>
        <v>#REF!</v>
      </c>
    </row>
    <row r="228" spans="1:22" s="5" customFormat="1" ht="12.75" customHeight="1">
      <c r="A228" s="1058" t="e">
        <f>#REF!</f>
        <v>#REF!</v>
      </c>
      <c r="B228" s="316"/>
      <c r="C228" s="43" t="e">
        <f>SUM(C214:C219)</f>
        <v>#REF!</v>
      </c>
      <c r="D228" s="44"/>
      <c r="E228" s="18"/>
      <c r="F228" s="97" t="e">
        <f>SUM(F214:F219)</f>
        <v>#REF!</v>
      </c>
      <c r="G228" s="44"/>
      <c r="H228" s="18"/>
      <c r="I228" s="97" t="e">
        <f>SUM(I214:I219)</f>
        <v>#REF!</v>
      </c>
      <c r="J228" s="44"/>
      <c r="K228" s="18"/>
      <c r="L228" s="97" t="e">
        <f>SUM(L214:L219)</f>
        <v>#REF!</v>
      </c>
      <c r="M228" s="44"/>
      <c r="N228" s="18"/>
      <c r="O228" s="97" t="e">
        <f>SUM(O214:O219)</f>
        <v>#REF!</v>
      </c>
      <c r="P228" s="44"/>
      <c r="Q228" s="18"/>
      <c r="R228" s="22" t="e">
        <f t="shared" si="11"/>
        <v>#REF!</v>
      </c>
      <c r="S228" s="96" t="e">
        <f>#REF!</f>
        <v>#REF!</v>
      </c>
      <c r="T228" s="42"/>
      <c r="U228" s="9"/>
      <c r="V228" s="5" t="e">
        <f t="shared" si="12"/>
        <v>#REF!</v>
      </c>
    </row>
    <row r="229" spans="1:22" s="5" customFormat="1" ht="12.75" customHeight="1">
      <c r="A229" s="1059"/>
      <c r="B229" s="316"/>
      <c r="C229" s="22"/>
      <c r="D229" s="44"/>
      <c r="E229" s="23"/>
      <c r="F229" s="21"/>
      <c r="G229" s="44"/>
      <c r="H229" s="23"/>
      <c r="I229" s="21"/>
      <c r="J229" s="44"/>
      <c r="K229" s="23"/>
      <c r="L229" s="21"/>
      <c r="M229" s="44"/>
      <c r="N229" s="23"/>
      <c r="O229" s="21"/>
      <c r="P229" s="44"/>
      <c r="Q229" s="23"/>
      <c r="R229" s="22"/>
      <c r="S229" s="96"/>
      <c r="T229" s="42"/>
      <c r="U229" s="9"/>
      <c r="V229" s="5" t="e">
        <f>IF(S230=0,"hide","show")</f>
        <v>#REF!</v>
      </c>
    </row>
    <row r="230" spans="1:22" s="5" customFormat="1" ht="12.75" customHeight="1" thickBot="1">
      <c r="A230" s="377" t="s">
        <v>340</v>
      </c>
      <c r="B230" s="378"/>
      <c r="C230" s="45" t="e">
        <f>SUM(C12:C219)/100%</f>
        <v>#REF!</v>
      </c>
      <c r="D230" s="46"/>
      <c r="E230" s="98"/>
      <c r="F230" s="99" t="e">
        <f>SUM(F12:F219)/100%</f>
        <v>#REF!</v>
      </c>
      <c r="G230" s="46"/>
      <c r="H230" s="98"/>
      <c r="I230" s="99" t="e">
        <f>SUM(I12:I219)/100%</f>
        <v>#REF!</v>
      </c>
      <c r="J230" s="46"/>
      <c r="K230" s="98"/>
      <c r="L230" s="99" t="e">
        <f>SUM(L12:L219)/100%</f>
        <v>#REF!</v>
      </c>
      <c r="M230" s="46"/>
      <c r="N230" s="98"/>
      <c r="O230" s="99" t="e">
        <f>SUM(O12:O219)/100%</f>
        <v>#REF!</v>
      </c>
      <c r="P230" s="46"/>
      <c r="Q230" s="98"/>
      <c r="R230" s="45" t="e">
        <f>SUM(R20:R219)/100%</f>
        <v>#REF!</v>
      </c>
      <c r="S230" s="47" t="e">
        <f>SUM(S13:S219)/100%</f>
        <v>#REF!</v>
      </c>
      <c r="T230" s="48" t="e">
        <f>SUM(S12:S219)</f>
        <v>#REF!</v>
      </c>
      <c r="U230" s="19"/>
      <c r="V230" s="5" t="e">
        <f>IF(S230=0,"hide","show")</f>
        <v>#REF!</v>
      </c>
    </row>
    <row r="231" spans="1:22" ht="12.75" customHeight="1">
      <c r="A231" s="379"/>
      <c r="B231" s="379"/>
      <c r="C231" s="379"/>
      <c r="D231" s="379"/>
      <c r="E231" s="379"/>
      <c r="F231" s="379"/>
      <c r="G231" s="379"/>
      <c r="H231" s="379"/>
      <c r="I231" s="379"/>
      <c r="J231" s="379"/>
      <c r="K231" s="379"/>
      <c r="L231" s="379"/>
      <c r="M231" s="379"/>
      <c r="N231" s="379"/>
      <c r="O231" s="379"/>
      <c r="P231" s="379"/>
      <c r="Q231" s="379"/>
      <c r="R231" s="379"/>
      <c r="S231" s="379"/>
      <c r="T231" s="9"/>
    </row>
    <row r="232" spans="1:22" ht="12.75" customHeight="1">
      <c r="T232" s="9"/>
    </row>
    <row r="233" spans="1:22" ht="12.75" customHeight="1">
      <c r="T233" s="9"/>
    </row>
    <row r="234" spans="1:22" ht="12.75" customHeight="1">
      <c r="T234" s="9"/>
    </row>
    <row r="235" spans="1:22" ht="12.75" customHeight="1">
      <c r="T235" s="9"/>
    </row>
    <row r="236" spans="1:22" ht="12.75" customHeight="1">
      <c r="T236" s="9"/>
    </row>
    <row r="237" spans="1:22" ht="12.75" customHeight="1">
      <c r="T237" s="9"/>
    </row>
    <row r="238" spans="1:22" ht="12.75" customHeight="1">
      <c r="T238" s="9"/>
    </row>
    <row r="239" spans="1:22" ht="12.75" customHeight="1">
      <c r="T239" s="9"/>
    </row>
    <row r="240" spans="1:22" ht="12.75" customHeight="1">
      <c r="T240" s="9"/>
    </row>
    <row r="241" spans="20:20" ht="12.75" customHeight="1">
      <c r="T241" s="9"/>
    </row>
    <row r="242" spans="20:20" ht="12.75" customHeight="1">
      <c r="T242" s="9"/>
    </row>
    <row r="243" spans="20:20" ht="12.75" customHeight="1">
      <c r="T243" s="9"/>
    </row>
    <row r="244" spans="20:20">
      <c r="T244" s="9"/>
    </row>
    <row r="245" spans="20:20">
      <c r="T245" s="9"/>
    </row>
    <row r="246" spans="20:20">
      <c r="T246" s="9"/>
    </row>
    <row r="247" spans="20:20">
      <c r="T247" s="9"/>
    </row>
    <row r="248" spans="20:20">
      <c r="T248" s="9"/>
    </row>
    <row r="249" spans="20:20">
      <c r="T249" s="9"/>
    </row>
    <row r="250" spans="20:20">
      <c r="T250" s="9"/>
    </row>
    <row r="251" spans="20:20">
      <c r="T251" s="9"/>
    </row>
    <row r="252" spans="20:20">
      <c r="T252" s="9"/>
    </row>
    <row r="253" spans="20:20">
      <c r="T253" s="9"/>
    </row>
    <row r="254" spans="20:20">
      <c r="T254" s="9"/>
    </row>
    <row r="255" spans="20:20">
      <c r="T255" s="9"/>
    </row>
    <row r="256" spans="20:20">
      <c r="T256" s="9"/>
    </row>
    <row r="257" spans="20:20">
      <c r="T257" s="9"/>
    </row>
    <row r="258" spans="20:20">
      <c r="T258" s="9"/>
    </row>
    <row r="259" spans="20:20">
      <c r="T259" s="9"/>
    </row>
    <row r="260" spans="20:20">
      <c r="T260" s="9"/>
    </row>
    <row r="261" spans="20:20">
      <c r="T261" s="9"/>
    </row>
    <row r="262" spans="20:20">
      <c r="T262" s="9"/>
    </row>
    <row r="263" spans="20:20">
      <c r="T263" s="9"/>
    </row>
    <row r="264" spans="20:20">
      <c r="T264" s="9"/>
    </row>
    <row r="265" spans="20:20">
      <c r="T265" s="9"/>
    </row>
    <row r="266" spans="20:20">
      <c r="T266" s="9"/>
    </row>
    <row r="267" spans="20:20">
      <c r="T267" s="9"/>
    </row>
    <row r="268" spans="20:20">
      <c r="T268" s="9"/>
    </row>
    <row r="269" spans="20:20">
      <c r="T269" s="9"/>
    </row>
    <row r="270" spans="20:20">
      <c r="T270" s="9"/>
    </row>
    <row r="271" spans="20:20">
      <c r="T271" s="9"/>
    </row>
    <row r="272" spans="20:20">
      <c r="T272" s="9"/>
    </row>
    <row r="273" spans="20:20">
      <c r="T273" s="9"/>
    </row>
    <row r="274" spans="20:20">
      <c r="T274" s="9"/>
    </row>
    <row r="275" spans="20:20">
      <c r="T275" s="9"/>
    </row>
    <row r="276" spans="20:20">
      <c r="T276" s="9"/>
    </row>
    <row r="277" spans="20:20">
      <c r="T277" s="9"/>
    </row>
    <row r="278" spans="20:20">
      <c r="T278" s="9"/>
    </row>
    <row r="279" spans="20:20">
      <c r="T279" s="9"/>
    </row>
    <row r="280" spans="20:20">
      <c r="T280" s="9"/>
    </row>
    <row r="281" spans="20:20">
      <c r="T281" s="9"/>
    </row>
    <row r="282" spans="20:20">
      <c r="T282" s="9"/>
    </row>
    <row r="283" spans="20:20">
      <c r="T283" s="9"/>
    </row>
    <row r="284" spans="20:20">
      <c r="T284" s="9"/>
    </row>
    <row r="285" spans="20:20">
      <c r="T285" s="9"/>
    </row>
    <row r="286" spans="20:20">
      <c r="T286" s="9"/>
    </row>
    <row r="287" spans="20:20">
      <c r="T287" s="9"/>
    </row>
    <row r="288" spans="20:20">
      <c r="T288" s="9"/>
    </row>
    <row r="289" spans="20:20">
      <c r="T289" s="9"/>
    </row>
    <row r="290" spans="20:20">
      <c r="T290" s="9"/>
    </row>
    <row r="291" spans="20:20">
      <c r="T291" s="9"/>
    </row>
    <row r="292" spans="20:20">
      <c r="T292" s="9"/>
    </row>
    <row r="293" spans="20:20">
      <c r="T293" s="9"/>
    </row>
    <row r="294" spans="20:20">
      <c r="T294" s="9"/>
    </row>
  </sheetData>
  <sheetProtection formatColumns="0" formatRows="0" insertRows="0" autoFilter="0"/>
  <autoFilter ref="V10:V230" xr:uid="{00000000-0009-0000-0000-000007000000}"/>
  <mergeCells count="6">
    <mergeCell ref="C9:E9"/>
    <mergeCell ref="R9:S9"/>
    <mergeCell ref="O9:Q9"/>
    <mergeCell ref="F9:H9"/>
    <mergeCell ref="I9:K9"/>
    <mergeCell ref="L9:N9"/>
  </mergeCells>
  <phoneticPr fontId="0" type="noConversion"/>
  <conditionalFormatting sqref="A14:A18">
    <cfRule type="cellIs" dxfId="10" priority="3" stopIfTrue="1" operator="equal">
      <formula>0</formula>
    </cfRule>
  </conditionalFormatting>
  <conditionalFormatting sqref="A21:A25 A117:A191 A194:A199 A201:A206 A208:A213 A215:A219">
    <cfRule type="cellIs" dxfId="9" priority="4" stopIfTrue="1" operator="equal">
      <formula>0</formula>
    </cfRule>
  </conditionalFormatting>
  <conditionalFormatting sqref="A29:A115">
    <cfRule type="cellIs" dxfId="8" priority="1" stopIfTrue="1" operator="equal">
      <formula>0</formula>
    </cfRule>
  </conditionalFormatting>
  <conditionalFormatting sqref="A221:A222">
    <cfRule type="cellIs" dxfId="7" priority="2" stopIfTrue="1" operator="equal">
      <formula>0</formula>
    </cfRule>
  </conditionalFormatting>
  <pageMargins left="0.5" right="0.5" top="0.5" bottom="0.5" header="0" footer="0.25"/>
  <pageSetup scale="69"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499984740745262"/>
    <pageSetUpPr fitToPage="1"/>
  </sheetPr>
  <dimension ref="A1:AG141"/>
  <sheetViews>
    <sheetView zoomScale="70" zoomScaleNormal="70" zoomScaleSheetLayoutView="70" workbookViewId="0">
      <pane xSplit="3" ySplit="12" topLeftCell="D20" activePane="bottomRight" state="frozen"/>
      <selection pane="topRight" activeCell="V1" sqref="V1:AH1048576"/>
      <selection pane="bottomLeft" activeCell="V1" sqref="V1:AH1048576"/>
      <selection pane="bottomRight" activeCell="H49" sqref="H49"/>
    </sheetView>
  </sheetViews>
  <sheetFormatPr defaultColWidth="9.71875" defaultRowHeight="12.3"/>
  <cols>
    <col min="1" max="1" width="15.44140625" style="19" bestFit="1" customWidth="1"/>
    <col min="2" max="2" width="14.44140625" style="9" customWidth="1"/>
    <col min="3" max="3" width="48.44140625" style="9" bestFit="1" customWidth="1"/>
    <col min="4" max="4" width="9.27734375" style="13" hidden="1" customWidth="1"/>
    <col min="5" max="5" width="39.5546875" style="9" hidden="1" customWidth="1"/>
    <col min="6" max="6" width="10.5546875" style="9" hidden="1" customWidth="1"/>
    <col min="7" max="7" width="8.71875" style="9" hidden="1" customWidth="1"/>
    <col min="8" max="8" width="16.44140625" style="9" bestFit="1" customWidth="1"/>
    <col min="9" max="9" width="14.44140625" style="9" customWidth="1"/>
    <col min="10" max="10" width="9.71875" style="9" hidden="1" customWidth="1"/>
    <col min="11" max="11" width="8.27734375" style="9" hidden="1" customWidth="1"/>
    <col min="12" max="12" width="14.44140625" style="9" customWidth="1"/>
    <col min="13" max="13" width="10.27734375" style="9" hidden="1" customWidth="1"/>
    <col min="14" max="14" width="9.27734375" style="9" hidden="1" customWidth="1"/>
    <col min="15" max="15" width="14.44140625" style="9" customWidth="1"/>
    <col min="16" max="16" width="10.5546875" style="9" hidden="1" customWidth="1"/>
    <col min="17" max="17" width="9.27734375" style="9" hidden="1" customWidth="1"/>
    <col min="18" max="18" width="14.44140625" style="9" customWidth="1"/>
    <col min="19" max="19" width="10.27734375" style="9" hidden="1" customWidth="1"/>
    <col min="20" max="20" width="9.27734375" style="9" hidden="1" customWidth="1"/>
    <col min="21" max="21" width="14.44140625" style="9" customWidth="1"/>
    <col min="22" max="22" width="14.44140625" style="9" hidden="1" customWidth="1"/>
    <col min="23" max="23" width="9.44140625" style="9" hidden="1" customWidth="1"/>
    <col min="24" max="24" width="16" style="9" customWidth="1"/>
    <col min="25" max="25" width="15.71875" style="14" customWidth="1"/>
    <col min="26" max="26" width="13.71875" style="14" customWidth="1"/>
    <col min="27" max="27" width="12.44140625" style="5" bestFit="1" customWidth="1"/>
    <col min="28" max="16384" width="9.71875" style="9"/>
  </cols>
  <sheetData>
    <row r="1" spans="1:27" s="8" customFormat="1" ht="20.100000000000001">
      <c r="A1" s="19"/>
      <c r="B1" s="4" t="str">
        <f>Assumptions!B4</f>
        <v>Partners of America</v>
      </c>
      <c r="C1" s="4"/>
      <c r="H1" s="26"/>
      <c r="M1" s="9"/>
      <c r="N1" s="10"/>
      <c r="P1" s="24"/>
      <c r="Q1" s="25"/>
      <c r="R1" s="25"/>
      <c r="T1" s="25"/>
      <c r="U1" s="25"/>
      <c r="V1" s="25"/>
      <c r="W1" s="24"/>
      <c r="Z1" s="11"/>
    </row>
    <row r="2" spans="1:27" s="8" customFormat="1" ht="15">
      <c r="A2" s="19"/>
      <c r="B2" s="442" t="str">
        <f>Assumptions!B5</f>
        <v>DONOR:</v>
      </c>
      <c r="C2" s="464" t="str">
        <f>Assumptions!C5</f>
        <v>USDOL</v>
      </c>
      <c r="G2" s="315"/>
      <c r="M2" s="9"/>
      <c r="N2" s="9"/>
      <c r="O2" s="9"/>
      <c r="P2" s="27"/>
      <c r="Q2" s="12"/>
      <c r="R2" s="12"/>
      <c r="T2" s="9"/>
      <c r="Y2" s="11"/>
      <c r="Z2" s="11"/>
      <c r="AA2" s="12"/>
    </row>
    <row r="3" spans="1:27" s="8" customFormat="1" ht="15">
      <c r="A3" s="19"/>
      <c r="B3" s="442" t="str">
        <f>Assumptions!B6</f>
        <v>Country:</v>
      </c>
      <c r="C3" s="464" t="str">
        <f>Assumptions!C6</f>
        <v>Ecuador</v>
      </c>
      <c r="G3" s="315"/>
      <c r="H3" s="28"/>
      <c r="I3" s="9"/>
      <c r="M3" s="9"/>
      <c r="N3" s="9"/>
      <c r="O3" s="9"/>
      <c r="P3" s="27"/>
      <c r="Q3" s="12"/>
      <c r="R3" s="12"/>
      <c r="T3" s="9"/>
      <c r="W3" s="1025"/>
      <c r="Y3" s="11"/>
      <c r="Z3" s="11"/>
      <c r="AA3" s="12"/>
    </row>
    <row r="4" spans="1:27" ht="15">
      <c r="B4" s="442" t="str">
        <f>Assumptions!B7</f>
        <v>Program Name:</v>
      </c>
      <c r="C4" s="464" t="str">
        <f>Assumptions!C7</f>
        <v>Project to Improve Adherence to International Labor Standards in the Agricultural Sector in Ecuador</v>
      </c>
      <c r="D4" s="8"/>
      <c r="G4" s="315"/>
      <c r="H4" s="28"/>
      <c r="I4"/>
      <c r="S4" s="1026"/>
      <c r="W4" s="1025"/>
    </row>
    <row r="5" spans="1:27" ht="15">
      <c r="B5" s="442" t="str">
        <f>Assumptions!B8</f>
        <v>Grant Number:</v>
      </c>
      <c r="C5" s="464" t="str">
        <f>Assumptions!C8</f>
        <v>FOA-ILAB-23-28</v>
      </c>
      <c r="D5" s="9"/>
      <c r="G5" s="315"/>
      <c r="H5" s="28"/>
      <c r="S5" s="1026"/>
      <c r="W5" s="1025"/>
    </row>
    <row r="6" spans="1:27" ht="15">
      <c r="B6" s="442" t="str">
        <f>Assumptions!B9</f>
        <v>Period of Performance:</v>
      </c>
      <c r="C6" s="466" t="str">
        <f>Assumptions!C9</f>
        <v>48 months</v>
      </c>
      <c r="D6" s="9"/>
      <c r="F6" s="315"/>
      <c r="G6" s="462"/>
      <c r="H6" s="463">
        <f>Assumptions!G9</f>
        <v>0</v>
      </c>
      <c r="S6" s="1026"/>
    </row>
    <row r="7" spans="1:27" ht="15">
      <c r="B7" s="315"/>
      <c r="C7" s="315"/>
      <c r="D7" s="16"/>
      <c r="S7" s="1026"/>
    </row>
    <row r="8" spans="1:27" ht="20.100000000000001">
      <c r="B8" s="4" t="s">
        <v>341</v>
      </c>
      <c r="C8" s="315"/>
      <c r="D8" s="16"/>
      <c r="S8" s="1026"/>
    </row>
    <row r="9" spans="1:27" ht="15" hidden="1">
      <c r="B9" s="315"/>
      <c r="C9" s="315"/>
      <c r="D9" s="16"/>
      <c r="S9" s="1026"/>
    </row>
    <row r="10" spans="1:27" ht="15">
      <c r="D10" s="9"/>
      <c r="F10" s="425"/>
      <c r="H10" s="442" t="s">
        <v>342</v>
      </c>
      <c r="I10" s="465" t="s">
        <v>343</v>
      </c>
    </row>
    <row r="11" spans="1:27" ht="15.3" thickBot="1">
      <c r="D11" s="16"/>
      <c r="H11" s="8"/>
      <c r="W11" s="8"/>
    </row>
    <row r="12" spans="1:27" s="440" customFormat="1" ht="30.3" thickBot="1">
      <c r="A12" s="445" t="s">
        <v>344</v>
      </c>
      <c r="B12" s="411" t="s">
        <v>345</v>
      </c>
      <c r="C12" s="438" t="s">
        <v>346</v>
      </c>
      <c r="D12" s="446" t="s">
        <v>347</v>
      </c>
      <c r="E12" s="438" t="s">
        <v>346</v>
      </c>
      <c r="F12" s="437"/>
      <c r="G12" s="437"/>
      <c r="H12" s="418" t="s">
        <v>71</v>
      </c>
      <c r="I12" s="454" t="e">
        <f>#REF!</f>
        <v>#REF!</v>
      </c>
      <c r="J12" s="437"/>
      <c r="K12" s="437"/>
      <c r="L12" s="418" t="e">
        <f>#REF!</f>
        <v>#REF!</v>
      </c>
      <c r="M12" s="437"/>
      <c r="N12" s="437"/>
      <c r="O12" s="418" t="e">
        <f>#REF!</f>
        <v>#REF!</v>
      </c>
      <c r="P12" s="437"/>
      <c r="Q12" s="437"/>
      <c r="R12" s="418" t="e">
        <f>#REF!</f>
        <v>#REF!</v>
      </c>
      <c r="S12" s="437"/>
      <c r="T12" s="437"/>
      <c r="U12" s="418" t="e">
        <f>#REF!</f>
        <v>#REF!</v>
      </c>
      <c r="V12" s="418"/>
      <c r="W12" s="438"/>
    </row>
    <row r="13" spans="1:27" s="30" customFormat="1" ht="15">
      <c r="A13" s="31"/>
      <c r="B13" s="373"/>
      <c r="C13" s="381"/>
      <c r="D13" s="361"/>
      <c r="E13" s="361"/>
      <c r="F13" s="361"/>
      <c r="G13" s="361"/>
      <c r="H13" s="370"/>
      <c r="I13" s="455"/>
      <c r="J13" s="361"/>
      <c r="K13" s="361"/>
      <c r="L13" s="370"/>
      <c r="M13" s="361"/>
      <c r="N13" s="361"/>
      <c r="O13" s="370"/>
      <c r="P13" s="361"/>
      <c r="Q13" s="361"/>
      <c r="R13" s="370"/>
      <c r="S13" s="361"/>
      <c r="T13" s="361"/>
      <c r="U13" s="370"/>
      <c r="V13" s="370"/>
      <c r="W13" s="371"/>
    </row>
    <row r="14" spans="1:27" s="30" customFormat="1" ht="15">
      <c r="A14" s="410" t="s">
        <v>162</v>
      </c>
      <c r="B14" s="380" t="s">
        <v>348</v>
      </c>
      <c r="C14" s="329" t="s">
        <v>349</v>
      </c>
      <c r="D14" s="384"/>
      <c r="E14" s="329"/>
      <c r="F14" s="329"/>
      <c r="G14" s="329"/>
      <c r="H14" s="458" t="e">
        <f>SUM(I14,L14,O14,R14,U14)</f>
        <v>#REF!</v>
      </c>
      <c r="I14" s="460" t="e">
        <f>SUM('US Costs by Sponsored Class'!I14,'Incountry Costs by GL USD'!I15)</f>
        <v>#REF!</v>
      </c>
      <c r="J14" s="452"/>
      <c r="K14" s="452"/>
      <c r="L14" s="451" t="e">
        <f>SUM('US Costs by Sponsored Class'!L14,'Incountry Costs by GL USD'!L15)</f>
        <v>#REF!</v>
      </c>
      <c r="M14" s="452"/>
      <c r="N14" s="452"/>
      <c r="O14" s="451" t="e">
        <f>SUM('US Costs by Sponsored Class'!O14,'Incountry Costs by GL USD'!O15)</f>
        <v>#REF!</v>
      </c>
      <c r="P14" s="452"/>
      <c r="Q14" s="452"/>
      <c r="R14" s="451" t="e">
        <f>SUM('US Costs by Sponsored Class'!R14,'Incountry Costs by GL USD'!R15)</f>
        <v>#REF!</v>
      </c>
      <c r="S14" s="452"/>
      <c r="T14" s="452"/>
      <c r="U14" s="451" t="e">
        <f>SUM('US Costs by Sponsored Class'!U14,'Incountry Costs by GL USD'!U15)</f>
        <v>#REF!</v>
      </c>
      <c r="V14" s="451"/>
      <c r="W14" s="453"/>
    </row>
    <row r="15" spans="1:27" s="30" customFormat="1" ht="15">
      <c r="A15" s="410"/>
      <c r="B15" s="380" t="s">
        <v>350</v>
      </c>
      <c r="C15" s="329" t="s">
        <v>351</v>
      </c>
      <c r="D15" s="384"/>
      <c r="E15" s="329"/>
      <c r="F15" s="329"/>
      <c r="G15" s="329"/>
      <c r="H15" s="458" t="e">
        <f>SUM(I15,L15,O15,R15,U15)</f>
        <v>#REF!</v>
      </c>
      <c r="I15" s="460" t="e">
        <f>'US Costs by Sponsored Class'!I15</f>
        <v>#REF!</v>
      </c>
      <c r="J15" s="452"/>
      <c r="K15" s="452"/>
      <c r="L15" s="451" t="e">
        <f>'US Costs by Sponsored Class'!L15</f>
        <v>#REF!</v>
      </c>
      <c r="M15" s="452"/>
      <c r="N15" s="452"/>
      <c r="O15" s="451" t="e">
        <f>'US Costs by Sponsored Class'!O15</f>
        <v>#REF!</v>
      </c>
      <c r="P15" s="452"/>
      <c r="Q15" s="452"/>
      <c r="R15" s="451" t="e">
        <f>'US Costs by Sponsored Class'!R15</f>
        <v>#REF!</v>
      </c>
      <c r="S15" s="452"/>
      <c r="T15" s="452"/>
      <c r="U15" s="451" t="e">
        <f>'US Costs by Sponsored Class'!U15</f>
        <v>#REF!</v>
      </c>
      <c r="V15" s="451"/>
      <c r="W15" s="453"/>
    </row>
    <row r="16" spans="1:27" s="30" customFormat="1" ht="15">
      <c r="A16" s="410"/>
      <c r="B16" s="380"/>
      <c r="C16" s="329"/>
      <c r="F16" s="329"/>
      <c r="G16" s="329"/>
      <c r="H16" s="458"/>
      <c r="I16" s="460"/>
      <c r="J16" s="452"/>
      <c r="K16" s="452"/>
      <c r="L16" s="451"/>
      <c r="M16" s="452"/>
      <c r="N16" s="452"/>
      <c r="O16" s="451"/>
      <c r="P16" s="452"/>
      <c r="Q16" s="452"/>
      <c r="R16" s="451"/>
      <c r="S16" s="452"/>
      <c r="T16" s="452"/>
      <c r="U16" s="451"/>
      <c r="V16" s="451"/>
      <c r="W16" s="453"/>
    </row>
    <row r="17" spans="1:23" s="30" customFormat="1" ht="15">
      <c r="A17" s="410" t="s">
        <v>180</v>
      </c>
      <c r="B17" s="380" t="s">
        <v>352</v>
      </c>
      <c r="C17" s="329" t="s">
        <v>180</v>
      </c>
      <c r="D17" s="384"/>
      <c r="E17" s="329"/>
      <c r="F17" s="329"/>
      <c r="G17" s="329"/>
      <c r="H17" s="458" t="e">
        <f>SUM(I17,L17,O17,R17,U17)</f>
        <v>#REF!</v>
      </c>
      <c r="I17" s="460" t="e">
        <f>SUM('US Costs by Sponsored Class'!I16,'Incountry Costs by GL USD'!I16)</f>
        <v>#REF!</v>
      </c>
      <c r="J17" s="452"/>
      <c r="K17" s="452"/>
      <c r="L17" s="451" t="e">
        <f>SUM('US Costs by Sponsored Class'!L16,'Incountry Costs by GL USD'!L16)</f>
        <v>#REF!</v>
      </c>
      <c r="M17" s="452"/>
      <c r="N17" s="452"/>
      <c r="O17" s="451" t="e">
        <f>SUM('US Costs by Sponsored Class'!O16,'Incountry Costs by GL USD'!O16)</f>
        <v>#REF!</v>
      </c>
      <c r="P17" s="452"/>
      <c r="Q17" s="452"/>
      <c r="R17" s="451" t="e">
        <f>SUM('US Costs by Sponsored Class'!R16,'Incountry Costs by GL USD'!R16)</f>
        <v>#REF!</v>
      </c>
      <c r="S17" s="452"/>
      <c r="T17" s="452"/>
      <c r="U17" s="451" t="e">
        <f>SUM('US Costs by Sponsored Class'!U16,'Incountry Costs by GL USD'!U16)</f>
        <v>#REF!</v>
      </c>
      <c r="V17" s="451"/>
      <c r="W17" s="453"/>
    </row>
    <row r="18" spans="1:23" s="30" customFormat="1" ht="15">
      <c r="A18" s="410"/>
      <c r="B18" s="380"/>
      <c r="C18" s="329"/>
      <c r="D18" s="384"/>
      <c r="E18" s="329"/>
      <c r="F18" s="329"/>
      <c r="G18" s="329"/>
      <c r="H18" s="458"/>
      <c r="I18" s="460"/>
      <c r="J18" s="452"/>
      <c r="K18" s="452"/>
      <c r="L18" s="451"/>
      <c r="M18" s="452"/>
      <c r="N18" s="452"/>
      <c r="O18" s="451"/>
      <c r="P18" s="452"/>
      <c r="Q18" s="452"/>
      <c r="R18" s="451"/>
      <c r="S18" s="452"/>
      <c r="T18" s="452"/>
      <c r="U18" s="451"/>
      <c r="V18" s="451"/>
      <c r="W18" s="453"/>
    </row>
    <row r="19" spans="1:23" s="30" customFormat="1" ht="15">
      <c r="A19" s="410" t="s">
        <v>184</v>
      </c>
      <c r="B19" s="380" t="s">
        <v>353</v>
      </c>
      <c r="C19" s="329" t="s">
        <v>354</v>
      </c>
      <c r="D19" s="329"/>
      <c r="E19" s="329"/>
      <c r="F19" s="329"/>
      <c r="G19" s="329"/>
      <c r="H19" s="458" t="e">
        <f>SUM(I19,L19,O19,R19,U19)</f>
        <v>#REF!</v>
      </c>
      <c r="I19" s="460" t="e">
        <f>SUM('US Costs by Sponsored Class'!I18,'Incountry Costs by GL USD'!I17)</f>
        <v>#REF!</v>
      </c>
      <c r="J19" s="452"/>
      <c r="K19" s="452"/>
      <c r="L19" s="451" t="e">
        <f>SUM('US Costs by Sponsored Class'!L18,'Incountry Costs by GL USD'!L17)</f>
        <v>#REF!</v>
      </c>
      <c r="M19" s="452"/>
      <c r="N19" s="452"/>
      <c r="O19" s="451" t="e">
        <f>SUM('US Costs by Sponsored Class'!O18,'Incountry Costs by GL USD'!O17)</f>
        <v>#REF!</v>
      </c>
      <c r="P19" s="452"/>
      <c r="Q19" s="452"/>
      <c r="R19" s="451" t="e">
        <f>SUM('US Costs by Sponsored Class'!R18,'Incountry Costs by GL USD'!R17)</f>
        <v>#REF!</v>
      </c>
      <c r="S19" s="452"/>
      <c r="T19" s="452"/>
      <c r="U19" s="451" t="e">
        <f>SUM('US Costs by Sponsored Class'!U18,'Incountry Costs by GL USD'!U17)</f>
        <v>#REF!</v>
      </c>
      <c r="V19" s="451"/>
      <c r="W19" s="453"/>
    </row>
    <row r="20" spans="1:23" s="30" customFormat="1" ht="15">
      <c r="A20" s="410"/>
      <c r="B20" s="380" t="s">
        <v>355</v>
      </c>
      <c r="C20" s="329" t="s">
        <v>356</v>
      </c>
      <c r="D20" s="329"/>
      <c r="E20" s="329"/>
      <c r="F20" s="329"/>
      <c r="G20" s="329"/>
      <c r="H20" s="458" t="e">
        <f>SUM(I20,L20,O20,R20,U20)</f>
        <v>#REF!</v>
      </c>
      <c r="I20" s="460" t="e">
        <f>SUM('US Costs by Sponsored Class'!H19,'Incountry Costs by GL USD'!I18:I19)</f>
        <v>#REF!</v>
      </c>
      <c r="J20" s="452"/>
      <c r="K20" s="452"/>
      <c r="L20" s="451" t="e">
        <f>SUM('US Costs by Sponsored Class'!K19,'Incountry Costs by GL USD'!L18:L19)</f>
        <v>#REF!</v>
      </c>
      <c r="M20" s="452"/>
      <c r="N20" s="452"/>
      <c r="O20" s="451" t="e">
        <f>SUM('US Costs by Sponsored Class'!N19,'Incountry Costs by GL USD'!O18:O19)</f>
        <v>#REF!</v>
      </c>
      <c r="P20" s="452"/>
      <c r="Q20" s="452"/>
      <c r="R20" s="451" t="e">
        <f>SUM('US Costs by Sponsored Class'!Q19,'Incountry Costs by GL USD'!R18:R19)</f>
        <v>#REF!</v>
      </c>
      <c r="S20" s="452"/>
      <c r="T20" s="452"/>
      <c r="U20" s="451" t="e">
        <f>SUM('US Costs by Sponsored Class'!T19,'Incountry Costs by GL USD'!U18:U19)</f>
        <v>#REF!</v>
      </c>
      <c r="V20" s="451"/>
      <c r="W20" s="453"/>
    </row>
    <row r="21" spans="1:23" s="30" customFormat="1" ht="15">
      <c r="A21" s="410"/>
      <c r="B21" s="380"/>
      <c r="C21" s="329"/>
      <c r="D21" s="384"/>
      <c r="E21" s="329"/>
      <c r="F21" s="329"/>
      <c r="G21" s="329"/>
      <c r="H21" s="458"/>
      <c r="I21" s="460"/>
      <c r="J21" s="452"/>
      <c r="K21" s="452"/>
      <c r="L21" s="451"/>
      <c r="M21" s="452"/>
      <c r="N21" s="452"/>
      <c r="O21" s="451"/>
      <c r="P21" s="452"/>
      <c r="Q21" s="452"/>
      <c r="R21" s="451"/>
      <c r="S21" s="452"/>
      <c r="T21" s="452"/>
      <c r="U21" s="451"/>
      <c r="V21" s="451"/>
      <c r="W21" s="453"/>
    </row>
    <row r="22" spans="1:23" s="30" customFormat="1" ht="15">
      <c r="A22" s="410" t="s">
        <v>206</v>
      </c>
      <c r="B22" s="380" t="s">
        <v>357</v>
      </c>
      <c r="C22" s="329" t="s">
        <v>358</v>
      </c>
      <c r="D22" s="384"/>
      <c r="E22" s="329"/>
      <c r="F22" s="329"/>
      <c r="G22" s="329"/>
      <c r="H22" s="458" t="e">
        <f>SUM(I22,L22,O22,R22,U22)</f>
        <v>#REF!</v>
      </c>
      <c r="I22" s="460" t="e">
        <f>SUM('US Costs by Sponsored Class'!I21:I22,'Incountry Costs by GL USD'!I20:I29)</f>
        <v>#REF!</v>
      </c>
      <c r="J22" s="452"/>
      <c r="K22" s="452"/>
      <c r="L22" s="451" t="e">
        <f>SUM('US Costs by Sponsored Class'!L21:L22,'Incountry Costs by GL USD'!L20:L29)</f>
        <v>#REF!</v>
      </c>
      <c r="M22" s="452"/>
      <c r="N22" s="452"/>
      <c r="O22" s="451" t="e">
        <f>SUM('US Costs by Sponsored Class'!O21:O22,'Incountry Costs by GL USD'!O20:O29)</f>
        <v>#REF!</v>
      </c>
      <c r="P22" s="452"/>
      <c r="Q22" s="452"/>
      <c r="R22" s="451" t="e">
        <f>SUM('US Costs by Sponsored Class'!R21:R22,'Incountry Costs by GL USD'!R20:R29)</f>
        <v>#REF!</v>
      </c>
      <c r="S22" s="452"/>
      <c r="T22" s="452"/>
      <c r="U22" s="451" t="e">
        <f>SUM('US Costs by Sponsored Class'!U21:U22,'Incountry Costs by GL USD'!U20:U29)</f>
        <v>#REF!</v>
      </c>
      <c r="V22" s="451"/>
      <c r="W22" s="453"/>
    </row>
    <row r="23" spans="1:23" s="30" customFormat="1" ht="15">
      <c r="A23" s="410"/>
      <c r="B23" s="380"/>
      <c r="C23" s="329"/>
      <c r="D23" s="384"/>
      <c r="E23" s="329"/>
      <c r="F23" s="329"/>
      <c r="G23" s="329"/>
      <c r="H23" s="458"/>
      <c r="I23" s="460"/>
      <c r="J23" s="452"/>
      <c r="K23" s="452"/>
      <c r="L23" s="451"/>
      <c r="M23" s="452"/>
      <c r="N23" s="452"/>
      <c r="O23" s="451"/>
      <c r="P23" s="452"/>
      <c r="Q23" s="452"/>
      <c r="R23" s="451"/>
      <c r="S23" s="452"/>
      <c r="T23" s="452"/>
      <c r="U23" s="451"/>
      <c r="V23" s="451"/>
      <c r="W23" s="453"/>
    </row>
    <row r="24" spans="1:23" s="30" customFormat="1" ht="15" hidden="1">
      <c r="A24" s="410"/>
      <c r="B24" s="380"/>
      <c r="C24" s="329"/>
      <c r="D24" s="384" t="s">
        <v>359</v>
      </c>
      <c r="E24" s="329" t="s">
        <v>360</v>
      </c>
      <c r="F24" s="329"/>
      <c r="G24" s="329"/>
      <c r="H24" s="458"/>
      <c r="I24" s="460"/>
      <c r="J24" s="452"/>
      <c r="K24" s="452"/>
      <c r="L24" s="451"/>
      <c r="M24" s="452"/>
      <c r="N24" s="452"/>
      <c r="O24" s="451"/>
      <c r="P24" s="452"/>
      <c r="Q24" s="452"/>
      <c r="R24" s="451"/>
      <c r="S24" s="452"/>
      <c r="T24" s="452"/>
      <c r="U24" s="451"/>
      <c r="V24" s="451"/>
      <c r="W24" s="453"/>
    </row>
    <row r="25" spans="1:23" s="30" customFormat="1" ht="15" hidden="1">
      <c r="A25" s="410"/>
      <c r="B25" s="380"/>
      <c r="C25" s="329"/>
      <c r="D25" s="384" t="s">
        <v>361</v>
      </c>
      <c r="E25" s="329" t="s">
        <v>362</v>
      </c>
      <c r="F25" s="329"/>
      <c r="G25" s="329"/>
      <c r="H25" s="458"/>
      <c r="I25" s="460"/>
      <c r="J25" s="452"/>
      <c r="K25" s="452"/>
      <c r="L25" s="451"/>
      <c r="M25" s="452"/>
      <c r="N25" s="452"/>
      <c r="O25" s="451"/>
      <c r="P25" s="452"/>
      <c r="Q25" s="452"/>
      <c r="R25" s="451"/>
      <c r="S25" s="452"/>
      <c r="T25" s="452"/>
      <c r="U25" s="451"/>
      <c r="V25" s="451"/>
      <c r="W25" s="453"/>
    </row>
    <row r="26" spans="1:23" s="30" customFormat="1" ht="15" hidden="1">
      <c r="A26" s="410"/>
      <c r="B26" s="380"/>
      <c r="C26" s="329"/>
      <c r="D26" s="384" t="s">
        <v>363</v>
      </c>
      <c r="E26" s="329" t="s">
        <v>364</v>
      </c>
      <c r="F26" s="329"/>
      <c r="G26" s="329"/>
      <c r="H26" s="458"/>
      <c r="I26" s="460"/>
      <c r="J26" s="452"/>
      <c r="K26" s="452"/>
      <c r="L26" s="451"/>
      <c r="M26" s="452"/>
      <c r="N26" s="452"/>
      <c r="O26" s="451"/>
      <c r="P26" s="452"/>
      <c r="Q26" s="452"/>
      <c r="R26" s="451"/>
      <c r="S26" s="452"/>
      <c r="T26" s="452"/>
      <c r="U26" s="451"/>
      <c r="V26" s="451"/>
      <c r="W26" s="453"/>
    </row>
    <row r="27" spans="1:23" s="30" customFormat="1" ht="15" hidden="1">
      <c r="A27" s="410"/>
      <c r="B27" s="380"/>
      <c r="C27" s="329"/>
      <c r="D27" s="384" t="s">
        <v>365</v>
      </c>
      <c r="E27" s="329" t="s">
        <v>366</v>
      </c>
      <c r="F27" s="329"/>
      <c r="G27" s="329"/>
      <c r="H27" s="458"/>
      <c r="I27" s="460"/>
      <c r="J27" s="452"/>
      <c r="K27" s="452"/>
      <c r="L27" s="451"/>
      <c r="M27" s="452"/>
      <c r="N27" s="452"/>
      <c r="O27" s="451"/>
      <c r="P27" s="452"/>
      <c r="Q27" s="452"/>
      <c r="R27" s="451"/>
      <c r="S27" s="452"/>
      <c r="T27" s="452"/>
      <c r="U27" s="451"/>
      <c r="V27" s="451"/>
      <c r="W27" s="453"/>
    </row>
    <row r="28" spans="1:23" s="30" customFormat="1" ht="15" hidden="1">
      <c r="A28" s="410"/>
      <c r="B28" s="380"/>
      <c r="C28" s="329"/>
      <c r="D28" s="384" t="s">
        <v>367</v>
      </c>
      <c r="E28" s="329" t="s">
        <v>368</v>
      </c>
      <c r="F28" s="329"/>
      <c r="G28" s="329"/>
      <c r="H28" s="458"/>
      <c r="I28" s="460"/>
      <c r="J28" s="452"/>
      <c r="K28" s="452"/>
      <c r="L28" s="451"/>
      <c r="M28" s="452"/>
      <c r="N28" s="452"/>
      <c r="O28" s="451"/>
      <c r="P28" s="452"/>
      <c r="Q28" s="452"/>
      <c r="R28" s="451"/>
      <c r="S28" s="452"/>
      <c r="T28" s="452"/>
      <c r="U28" s="451"/>
      <c r="V28" s="451"/>
      <c r="W28" s="453"/>
    </row>
    <row r="29" spans="1:23" s="30" customFormat="1" ht="15">
      <c r="A29" s="410"/>
      <c r="B29" s="380"/>
      <c r="C29" s="329"/>
      <c r="D29" s="384"/>
      <c r="E29" s="329"/>
      <c r="F29" s="329"/>
      <c r="G29" s="329"/>
      <c r="H29" s="458"/>
      <c r="I29" s="460"/>
      <c r="J29" s="452"/>
      <c r="K29" s="452"/>
      <c r="L29" s="451"/>
      <c r="M29" s="452"/>
      <c r="N29" s="452"/>
      <c r="O29" s="451"/>
      <c r="P29" s="452"/>
      <c r="Q29" s="452"/>
      <c r="R29" s="451"/>
      <c r="S29" s="452"/>
      <c r="T29" s="452"/>
      <c r="U29" s="451"/>
      <c r="V29" s="451"/>
      <c r="W29" s="453"/>
    </row>
    <row r="30" spans="1:23" s="30" customFormat="1" ht="15">
      <c r="A30" s="410" t="s">
        <v>202</v>
      </c>
      <c r="B30" s="380" t="s">
        <v>369</v>
      </c>
      <c r="C30" s="329" t="s">
        <v>202</v>
      </c>
      <c r="D30" s="329"/>
      <c r="E30" s="329"/>
      <c r="F30" s="329"/>
      <c r="G30" s="329"/>
      <c r="H30" s="458" t="e">
        <f>SUM(I30,L30,O30,R30,U30)</f>
        <v>#REF!</v>
      </c>
      <c r="I30" s="460" t="e">
        <f>SUM('US Costs by Sponsored Class'!I29,'Incountry Costs by GL USD'!I30)</f>
        <v>#REF!</v>
      </c>
      <c r="J30" s="452"/>
      <c r="K30" s="452"/>
      <c r="L30" s="451" t="e">
        <f>SUM('US Costs by Sponsored Class'!L29,'Incountry Costs by GL USD'!L30)</f>
        <v>#REF!</v>
      </c>
      <c r="M30" s="452"/>
      <c r="N30" s="452"/>
      <c r="O30" s="451" t="e">
        <f>SUM('US Costs by Sponsored Class'!O29,'Incountry Costs by GL USD'!O30)</f>
        <v>#REF!</v>
      </c>
      <c r="P30" s="452"/>
      <c r="Q30" s="452"/>
      <c r="R30" s="451" t="e">
        <f>SUM('US Costs by Sponsored Class'!R29,'Incountry Costs by GL USD'!R30)</f>
        <v>#REF!</v>
      </c>
      <c r="S30" s="452"/>
      <c r="T30" s="452"/>
      <c r="U30" s="451" t="e">
        <f>SUM('US Costs by Sponsored Class'!U29,'Incountry Costs by GL USD'!U30)</f>
        <v>#REF!</v>
      </c>
      <c r="V30" s="451"/>
      <c r="W30" s="453"/>
    </row>
    <row r="31" spans="1:23" s="30" customFormat="1" ht="15">
      <c r="A31" s="410"/>
      <c r="B31" s="380"/>
      <c r="C31" s="329"/>
      <c r="D31" s="384"/>
      <c r="E31" s="329"/>
      <c r="F31" s="329"/>
      <c r="G31" s="329"/>
      <c r="H31" s="458"/>
      <c r="I31" s="460"/>
      <c r="J31" s="452"/>
      <c r="K31" s="452"/>
      <c r="L31" s="451"/>
      <c r="M31" s="452"/>
      <c r="N31" s="452"/>
      <c r="O31" s="451"/>
      <c r="P31" s="452"/>
      <c r="Q31" s="452"/>
      <c r="R31" s="451"/>
      <c r="S31" s="452"/>
      <c r="T31" s="452"/>
      <c r="U31" s="451"/>
      <c r="V31" s="451"/>
      <c r="W31" s="453"/>
    </row>
    <row r="32" spans="1:23" s="30" customFormat="1" ht="15">
      <c r="A32" s="410" t="s">
        <v>212</v>
      </c>
      <c r="B32" s="380" t="s">
        <v>370</v>
      </c>
      <c r="C32" s="329" t="s">
        <v>371</v>
      </c>
      <c r="D32" s="329"/>
      <c r="E32" s="329"/>
      <c r="F32" s="329"/>
      <c r="G32" s="329"/>
      <c r="H32" s="458" t="e">
        <f>SUM(I32,L32,O32,R32,U32)</f>
        <v>#REF!</v>
      </c>
      <c r="I32" s="460" t="e">
        <f>SUM('US Costs by Sponsored Class'!I31,'Incountry Costs by GL USD'!I32:I44)</f>
        <v>#REF!</v>
      </c>
      <c r="J32" s="452"/>
      <c r="K32" s="452"/>
      <c r="L32" s="451" t="e">
        <f>SUM('US Costs by Sponsored Class'!L31,'Incountry Costs by GL USD'!L32:L44)</f>
        <v>#REF!</v>
      </c>
      <c r="M32" s="452"/>
      <c r="N32" s="452"/>
      <c r="O32" s="451" t="e">
        <f>SUM('US Costs by Sponsored Class'!O31,'Incountry Costs by GL USD'!O32:O44)</f>
        <v>#REF!</v>
      </c>
      <c r="P32" s="452"/>
      <c r="Q32" s="452"/>
      <c r="R32" s="451" t="e">
        <f>SUM('US Costs by Sponsored Class'!R31,'Incountry Costs by GL USD'!R32:R44)</f>
        <v>#REF!</v>
      </c>
      <c r="S32" s="452"/>
      <c r="T32" s="452"/>
      <c r="U32" s="451" t="e">
        <f>SUM('US Costs by Sponsored Class'!U31,'Incountry Costs by GL USD'!U32:U44)</f>
        <v>#REF!</v>
      </c>
      <c r="V32" s="451"/>
      <c r="W32" s="453"/>
    </row>
    <row r="33" spans="1:23" s="30" customFormat="1" ht="15">
      <c r="A33" s="410"/>
      <c r="B33" s="380" t="s">
        <v>372</v>
      </c>
      <c r="C33" s="329" t="s">
        <v>373</v>
      </c>
      <c r="D33" s="329"/>
      <c r="E33" s="329"/>
      <c r="F33" s="329"/>
      <c r="G33" s="329"/>
      <c r="H33" s="458" t="e">
        <f>SUM(I33,L33,O33,R33,U33)</f>
        <v>#REF!</v>
      </c>
      <c r="I33" s="460" t="e">
        <f>SUM('US Costs by Sponsored Class'!I32,'Incountry Costs by GL USD'!I45)</f>
        <v>#REF!</v>
      </c>
      <c r="J33" s="452"/>
      <c r="K33" s="452"/>
      <c r="L33" s="451" t="e">
        <f>SUM('US Costs by Sponsored Class'!L32,'Incountry Costs by GL USD'!L45)</f>
        <v>#REF!</v>
      </c>
      <c r="M33" s="452"/>
      <c r="N33" s="452"/>
      <c r="O33" s="451" t="e">
        <f>SUM('US Costs by Sponsored Class'!O32,'Incountry Costs by GL USD'!O45)</f>
        <v>#REF!</v>
      </c>
      <c r="P33" s="452"/>
      <c r="Q33" s="452"/>
      <c r="R33" s="451" t="e">
        <f>SUM('US Costs by Sponsored Class'!R32,'Incountry Costs by GL USD'!R45)</f>
        <v>#REF!</v>
      </c>
      <c r="S33" s="452"/>
      <c r="T33" s="452"/>
      <c r="U33" s="451" t="e">
        <f>SUM('US Costs by Sponsored Class'!U32,'Incountry Costs by GL USD'!U45)</f>
        <v>#REF!</v>
      </c>
      <c r="V33" s="451"/>
      <c r="W33" s="453"/>
    </row>
    <row r="34" spans="1:23" s="30" customFormat="1" ht="15">
      <c r="A34" s="410"/>
      <c r="B34" s="380" t="s">
        <v>374</v>
      </c>
      <c r="C34" s="329" t="s">
        <v>375</v>
      </c>
      <c r="D34" s="329"/>
      <c r="E34" s="329"/>
      <c r="F34" s="329"/>
      <c r="G34" s="329"/>
      <c r="H34" s="458" t="e">
        <f>SUM(I34,L34,O34,R34,U34)</f>
        <v>#REF!</v>
      </c>
      <c r="I34" s="460" t="e">
        <f>SUM('US Costs by Sponsored Class'!I33,'Incountry Costs by GL USD'!I46)</f>
        <v>#REF!</v>
      </c>
      <c r="J34" s="452"/>
      <c r="K34" s="452"/>
      <c r="L34" s="451" t="e">
        <f>SUM('US Costs by Sponsored Class'!L33,'Incountry Costs by GL USD'!L46)</f>
        <v>#REF!</v>
      </c>
      <c r="M34" s="452"/>
      <c r="N34" s="452"/>
      <c r="O34" s="451" t="e">
        <f>SUM('US Costs by Sponsored Class'!O33,'Incountry Costs by GL USD'!O46)</f>
        <v>#REF!</v>
      </c>
      <c r="P34" s="452"/>
      <c r="Q34" s="452"/>
      <c r="R34" s="451" t="e">
        <f>SUM('US Costs by Sponsored Class'!R33,'Incountry Costs by GL USD'!R46)</f>
        <v>#REF!</v>
      </c>
      <c r="S34" s="452"/>
      <c r="T34" s="452"/>
      <c r="U34" s="451" t="e">
        <f>SUM('US Costs by Sponsored Class'!U33,'Incountry Costs by GL USD'!U46)</f>
        <v>#REF!</v>
      </c>
      <c r="V34" s="451"/>
      <c r="W34" s="453"/>
    </row>
    <row r="35" spans="1:23" s="30" customFormat="1" ht="15">
      <c r="A35" s="31"/>
      <c r="B35" s="380" t="s">
        <v>376</v>
      </c>
      <c r="C35" s="329" t="s">
        <v>377</v>
      </c>
      <c r="D35" s="329"/>
      <c r="E35" s="329"/>
      <c r="F35" s="329"/>
      <c r="G35" s="329"/>
      <c r="H35" s="458" t="e">
        <f>SUM(I35,L35,O35,R35,U35)</f>
        <v>#REF!</v>
      </c>
      <c r="I35" s="460" t="e">
        <f>SUM('US Costs by Sponsored Class'!I34,'Incountry Costs by GL USD'!I31)</f>
        <v>#REF!</v>
      </c>
      <c r="J35" s="452"/>
      <c r="K35" s="452"/>
      <c r="L35" s="451" t="e">
        <f>SUM('US Costs by Sponsored Class'!L34,'Incountry Costs by GL USD'!L31)</f>
        <v>#REF!</v>
      </c>
      <c r="M35" s="452"/>
      <c r="N35" s="452"/>
      <c r="O35" s="451" t="e">
        <f>SUM('US Costs by Sponsored Class'!O34,'Incountry Costs by GL USD'!O31)</f>
        <v>#REF!</v>
      </c>
      <c r="P35" s="452"/>
      <c r="Q35" s="452"/>
      <c r="R35" s="451" t="e">
        <f>SUM('US Costs by Sponsored Class'!R34,'Incountry Costs by GL USD'!R31)</f>
        <v>#REF!</v>
      </c>
      <c r="S35" s="452"/>
      <c r="T35" s="452"/>
      <c r="U35" s="451" t="e">
        <f>SUM('US Costs by Sponsored Class'!U34,'Incountry Costs by GL USD'!U31)</f>
        <v>#REF!</v>
      </c>
      <c r="V35" s="451"/>
      <c r="W35" s="453"/>
    </row>
    <row r="36" spans="1:23" s="30" customFormat="1" ht="15">
      <c r="A36" s="410"/>
      <c r="B36" s="380"/>
      <c r="C36" s="329"/>
      <c r="D36" s="384"/>
      <c r="E36" s="329"/>
      <c r="F36" s="329"/>
      <c r="G36" s="329"/>
      <c r="H36" s="458"/>
      <c r="I36" s="460"/>
      <c r="J36" s="452"/>
      <c r="K36" s="452"/>
      <c r="L36" s="451"/>
      <c r="M36" s="452"/>
      <c r="N36" s="452"/>
      <c r="O36" s="451"/>
      <c r="P36" s="452"/>
      <c r="Q36" s="452"/>
      <c r="R36" s="451"/>
      <c r="S36" s="452"/>
      <c r="T36" s="452"/>
      <c r="U36" s="451"/>
      <c r="V36" s="451"/>
      <c r="W36" s="453"/>
    </row>
    <row r="37" spans="1:23" s="30" customFormat="1" ht="15">
      <c r="A37" s="410" t="s">
        <v>378</v>
      </c>
      <c r="B37" s="380" t="s">
        <v>379</v>
      </c>
      <c r="C37" s="329" t="s">
        <v>380</v>
      </c>
      <c r="D37" s="329"/>
      <c r="E37" s="329"/>
      <c r="F37" s="329"/>
      <c r="G37" s="329"/>
      <c r="H37" s="458" t="e">
        <f>SUM(I37,L37,O37,R37,U37)</f>
        <v>#REF!</v>
      </c>
      <c r="I37" s="460" t="e">
        <f>SUM('US Costs by Sponsored Class'!I36,'Incountry Costs by GL USD'!I47)</f>
        <v>#REF!</v>
      </c>
      <c r="J37" s="452"/>
      <c r="K37" s="452"/>
      <c r="L37" s="451" t="e">
        <f>SUM('US Costs by Sponsored Class'!L36,'Incountry Costs by GL USD'!L47)</f>
        <v>#REF!</v>
      </c>
      <c r="M37" s="452"/>
      <c r="N37" s="452"/>
      <c r="O37" s="451" t="e">
        <f>SUM('US Costs by Sponsored Class'!O36,'Incountry Costs by GL USD'!O47)</f>
        <v>#REF!</v>
      </c>
      <c r="P37" s="452"/>
      <c r="Q37" s="452"/>
      <c r="R37" s="451" t="e">
        <f>SUM('US Costs by Sponsored Class'!R36,'Incountry Costs by GL USD'!R47)</f>
        <v>#REF!</v>
      </c>
      <c r="S37" s="452"/>
      <c r="T37" s="452"/>
      <c r="U37" s="451" t="e">
        <f>SUM('US Costs by Sponsored Class'!U36,'Incountry Costs by GL USD'!U47)</f>
        <v>#REF!</v>
      </c>
      <c r="V37" s="451"/>
      <c r="W37" s="453"/>
    </row>
    <row r="38" spans="1:23" s="30" customFormat="1" ht="15">
      <c r="A38" s="31"/>
      <c r="B38" s="380" t="s">
        <v>381</v>
      </c>
      <c r="C38" s="329" t="s">
        <v>382</v>
      </c>
      <c r="D38" s="329"/>
      <c r="E38" s="329"/>
      <c r="F38" s="329"/>
      <c r="G38" s="329"/>
      <c r="H38" s="458" t="e">
        <f>SUM(I38,L38,O38,R38,U38)</f>
        <v>#REF!</v>
      </c>
      <c r="I38" s="460" t="e">
        <f>SUM('US Costs by Sponsored Class'!I37,'Incountry Costs by GL USD'!I48)</f>
        <v>#REF!</v>
      </c>
      <c r="J38" s="452"/>
      <c r="K38" s="452"/>
      <c r="L38" s="451" t="e">
        <f>SUM('US Costs by Sponsored Class'!L37,'Incountry Costs by GL USD'!L48)</f>
        <v>#REF!</v>
      </c>
      <c r="M38" s="452"/>
      <c r="N38" s="452"/>
      <c r="O38" s="451" t="e">
        <f>SUM('US Costs by Sponsored Class'!O37,'Incountry Costs by GL USD'!O48)</f>
        <v>#REF!</v>
      </c>
      <c r="P38" s="452"/>
      <c r="Q38" s="452"/>
      <c r="R38" s="451" t="e">
        <f>SUM('US Costs by Sponsored Class'!R37,'Incountry Costs by GL USD'!R48)</f>
        <v>#REF!</v>
      </c>
      <c r="S38" s="452"/>
      <c r="T38" s="452"/>
      <c r="U38" s="451" t="e">
        <f>SUM('US Costs by Sponsored Class'!U37,'Incountry Costs by GL USD'!U48)</f>
        <v>#REF!</v>
      </c>
      <c r="V38" s="451"/>
      <c r="W38" s="453"/>
    </row>
    <row r="39" spans="1:23" s="30" customFormat="1" ht="15">
      <c r="A39" s="31"/>
      <c r="B39" s="380" t="s">
        <v>383</v>
      </c>
      <c r="C39" s="329" t="s">
        <v>384</v>
      </c>
      <c r="D39" s="329"/>
      <c r="E39" s="329"/>
      <c r="F39" s="329"/>
      <c r="G39" s="329"/>
      <c r="H39" s="458" t="e">
        <f>SUM(I39,L39,O39,R39,U39)</f>
        <v>#REF!</v>
      </c>
      <c r="I39" s="460" t="e">
        <f>SUM('US Costs by Sponsored Class'!I38,'Incountry Costs by GL USD'!I49:I54)</f>
        <v>#REF!</v>
      </c>
      <c r="J39" s="452"/>
      <c r="K39" s="452"/>
      <c r="L39" s="451" t="e">
        <f>SUM('US Costs by Sponsored Class'!L38,'Incountry Costs by GL USD'!L49:L54)</f>
        <v>#REF!</v>
      </c>
      <c r="M39" s="452"/>
      <c r="N39" s="452"/>
      <c r="O39" s="451" t="e">
        <f>SUM('US Costs by Sponsored Class'!O38,'Incountry Costs by GL USD'!O49:O54)</f>
        <v>#REF!</v>
      </c>
      <c r="P39" s="452"/>
      <c r="Q39" s="452"/>
      <c r="R39" s="451" t="e">
        <f>SUM('US Costs by Sponsored Class'!R38,'Incountry Costs by GL USD'!R49:R54)</f>
        <v>#REF!</v>
      </c>
      <c r="S39" s="452"/>
      <c r="T39" s="452"/>
      <c r="U39" s="451" t="e">
        <f>SUM('US Costs by Sponsored Class'!U38,'Incountry Costs by GL USD'!U49:U54)</f>
        <v>#REF!</v>
      </c>
      <c r="V39" s="451"/>
      <c r="W39" s="453"/>
    </row>
    <row r="40" spans="1:23" s="30" customFormat="1" ht="15">
      <c r="A40" s="31"/>
      <c r="B40" s="380" t="s">
        <v>385</v>
      </c>
      <c r="C40" s="329" t="s">
        <v>386</v>
      </c>
      <c r="D40" s="329"/>
      <c r="E40" s="329"/>
      <c r="F40" s="329"/>
      <c r="G40" s="329"/>
      <c r="H40" s="458" t="e">
        <f>SUM(I40,L40,O40,R40,U40)</f>
        <v>#REF!</v>
      </c>
      <c r="I40" s="460" t="e">
        <f>SUM('US Costs by Sponsored Class'!I39,'Incountry Costs by GL USD'!I55:I56)</f>
        <v>#REF!</v>
      </c>
      <c r="J40" s="452"/>
      <c r="K40" s="452"/>
      <c r="L40" s="451" t="e">
        <f>SUM('US Costs by Sponsored Class'!L39,'Incountry Costs by GL USD'!L55:L56)</f>
        <v>#REF!</v>
      </c>
      <c r="M40" s="452"/>
      <c r="N40" s="452"/>
      <c r="O40" s="451" t="e">
        <f>SUM('US Costs by Sponsored Class'!O39,'Incountry Costs by GL USD'!O55:O56)</f>
        <v>#REF!</v>
      </c>
      <c r="P40" s="452"/>
      <c r="Q40" s="452"/>
      <c r="R40" s="451" t="e">
        <f>SUM('US Costs by Sponsored Class'!R39,'Incountry Costs by GL USD'!R55:R56)</f>
        <v>#REF!</v>
      </c>
      <c r="S40" s="452"/>
      <c r="T40" s="452"/>
      <c r="U40" s="451" t="e">
        <f>SUM('US Costs by Sponsored Class'!U39,'Incountry Costs by GL USD'!U55:U56)</f>
        <v>#REF!</v>
      </c>
      <c r="V40" s="451"/>
      <c r="W40" s="453"/>
    </row>
    <row r="41" spans="1:23" s="30" customFormat="1" ht="15">
      <c r="A41" s="31"/>
      <c r="B41" s="380"/>
      <c r="C41" s="329"/>
      <c r="D41" s="329"/>
      <c r="E41" s="329"/>
      <c r="F41" s="329"/>
      <c r="G41" s="329"/>
      <c r="H41" s="458"/>
      <c r="I41" s="460"/>
      <c r="J41" s="452"/>
      <c r="K41" s="452"/>
      <c r="L41" s="451"/>
      <c r="M41" s="452"/>
      <c r="N41" s="452"/>
      <c r="O41" s="451"/>
      <c r="P41" s="452"/>
      <c r="Q41" s="452"/>
      <c r="R41" s="451"/>
      <c r="S41" s="452"/>
      <c r="T41" s="452"/>
      <c r="U41" s="451"/>
      <c r="V41" s="451"/>
      <c r="W41" s="453"/>
    </row>
    <row r="42" spans="1:23" s="30" customFormat="1" ht="15">
      <c r="A42" s="31"/>
      <c r="B42" s="368" t="s">
        <v>293</v>
      </c>
      <c r="C42" s="329"/>
      <c r="D42" s="329"/>
      <c r="E42" s="329"/>
      <c r="F42" s="329"/>
      <c r="G42" s="329"/>
      <c r="H42" s="458" t="e">
        <f>SUM(I42,L42,O42,R42,U42)</f>
        <v>#REF!</v>
      </c>
      <c r="I42" s="460" t="e">
        <f>SUM(I13:I41)</f>
        <v>#REF!</v>
      </c>
      <c r="J42" s="452"/>
      <c r="K42" s="452"/>
      <c r="L42" s="460" t="e">
        <f>SUM(L13:L41)</f>
        <v>#REF!</v>
      </c>
      <c r="M42" s="452"/>
      <c r="N42" s="452"/>
      <c r="O42" s="460" t="e">
        <f>SUM(O13:O41)</f>
        <v>#REF!</v>
      </c>
      <c r="P42" s="452"/>
      <c r="Q42" s="452"/>
      <c r="R42" s="460" t="e">
        <f>SUM(R13:R41)</f>
        <v>#REF!</v>
      </c>
      <c r="S42" s="452"/>
      <c r="T42" s="452"/>
      <c r="U42" s="460" t="e">
        <f>SUM(U13:U41)</f>
        <v>#REF!</v>
      </c>
      <c r="V42" s="451"/>
      <c r="W42" s="453"/>
    </row>
    <row r="43" spans="1:23" s="30" customFormat="1" ht="15">
      <c r="A43" s="31"/>
      <c r="B43" s="367"/>
      <c r="C43" s="329"/>
      <c r="D43" s="329"/>
      <c r="E43" s="329"/>
      <c r="F43" s="329"/>
      <c r="G43" s="329"/>
      <c r="H43" s="458"/>
      <c r="I43" s="460"/>
      <c r="J43" s="452"/>
      <c r="K43" s="452"/>
      <c r="L43" s="451"/>
      <c r="M43" s="452"/>
      <c r="N43" s="452"/>
      <c r="O43" s="451"/>
      <c r="P43" s="452"/>
      <c r="Q43" s="452"/>
      <c r="R43" s="451"/>
      <c r="S43" s="452"/>
      <c r="T43" s="452"/>
      <c r="U43" s="451"/>
      <c r="V43" s="451"/>
      <c r="W43" s="453"/>
    </row>
    <row r="44" spans="1:23" s="30" customFormat="1" ht="15">
      <c r="A44" s="31"/>
      <c r="B44" s="380" t="s">
        <v>387</v>
      </c>
      <c r="C44" s="329" t="s">
        <v>388</v>
      </c>
      <c r="D44" s="329"/>
      <c r="E44" s="329"/>
      <c r="F44" s="329"/>
      <c r="G44" s="329"/>
      <c r="H44" s="458" t="e">
        <f>SUM(I44,L44,O44,R44,U44)</f>
        <v>#REF!</v>
      </c>
      <c r="I44" s="460" t="e">
        <f>'US Costs by Sponsored Class'!I43</f>
        <v>#REF!</v>
      </c>
      <c r="J44" s="452"/>
      <c r="K44" s="452"/>
      <c r="L44" s="451" t="e">
        <f>'US Costs by Sponsored Class'!L43</f>
        <v>#REF!</v>
      </c>
      <c r="M44" s="452"/>
      <c r="N44" s="452"/>
      <c r="O44" s="451" t="e">
        <f>'US Costs by Sponsored Class'!O43</f>
        <v>#REF!</v>
      </c>
      <c r="P44" s="452"/>
      <c r="Q44" s="452"/>
      <c r="R44" s="451" t="e">
        <f>'US Costs by Sponsored Class'!R43</f>
        <v>#REF!</v>
      </c>
      <c r="S44" s="452"/>
      <c r="T44" s="452"/>
      <c r="U44" s="451" t="e">
        <f>'US Costs by Sponsored Class'!U43</f>
        <v>#REF!</v>
      </c>
      <c r="V44" s="451"/>
      <c r="W44" s="453"/>
    </row>
    <row r="45" spans="1:23" s="30" customFormat="1" ht="15">
      <c r="A45" s="31"/>
      <c r="B45" s="367"/>
      <c r="C45" s="382"/>
      <c r="D45" s="329"/>
      <c r="E45" s="329"/>
      <c r="F45" s="329"/>
      <c r="G45" s="329"/>
      <c r="H45" s="458"/>
      <c r="I45" s="460"/>
      <c r="J45" s="452"/>
      <c r="K45" s="452"/>
      <c r="L45" s="451"/>
      <c r="M45" s="452"/>
      <c r="N45" s="452"/>
      <c r="O45" s="451"/>
      <c r="P45" s="452"/>
      <c r="Q45" s="452"/>
      <c r="R45" s="451"/>
      <c r="S45" s="452"/>
      <c r="T45" s="452"/>
      <c r="U45" s="451"/>
      <c r="V45" s="451"/>
      <c r="W45" s="453"/>
    </row>
    <row r="46" spans="1:23" s="30" customFormat="1" ht="15">
      <c r="A46" s="31"/>
      <c r="B46" s="380" t="s">
        <v>389</v>
      </c>
      <c r="C46" s="329" t="s">
        <v>390</v>
      </c>
      <c r="D46" s="329"/>
      <c r="E46" s="329"/>
      <c r="F46" s="329"/>
      <c r="G46" s="329"/>
      <c r="H46" s="458" t="e">
        <f>SUM(I46,L46,O46,R46,U46)</f>
        <v>#REF!</v>
      </c>
      <c r="I46" s="460" t="e">
        <f>'US Costs by Sponsored Class'!I45</f>
        <v>#REF!</v>
      </c>
      <c r="J46" s="452"/>
      <c r="K46" s="452"/>
      <c r="L46" s="451" t="e">
        <f>'US Costs by Sponsored Class'!L45</f>
        <v>#REF!</v>
      </c>
      <c r="M46" s="452"/>
      <c r="N46" s="452"/>
      <c r="O46" s="451" t="e">
        <f>'US Costs by Sponsored Class'!O45</f>
        <v>#REF!</v>
      </c>
      <c r="P46" s="452"/>
      <c r="Q46" s="452"/>
      <c r="R46" s="451" t="e">
        <f>'US Costs by Sponsored Class'!R45</f>
        <v>#REF!</v>
      </c>
      <c r="S46" s="452"/>
      <c r="T46" s="452"/>
      <c r="U46" s="451" t="e">
        <f>'US Costs by Sponsored Class'!U45</f>
        <v>#REF!</v>
      </c>
      <c r="V46" s="451"/>
      <c r="W46" s="453"/>
    </row>
    <row r="47" spans="1:23" s="30" customFormat="1" ht="15.3" thickBot="1">
      <c r="A47" s="31"/>
      <c r="B47" s="369"/>
      <c r="C47" s="383"/>
      <c r="D47" s="331"/>
      <c r="E47" s="331"/>
      <c r="F47" s="331"/>
      <c r="G47" s="331"/>
      <c r="H47" s="459"/>
      <c r="I47" s="456"/>
      <c r="J47" s="331"/>
      <c r="K47" s="331"/>
      <c r="L47" s="365"/>
      <c r="M47" s="331"/>
      <c r="N47" s="331"/>
      <c r="O47" s="365"/>
      <c r="P47" s="331"/>
      <c r="Q47" s="331"/>
      <c r="R47" s="365"/>
      <c r="S47" s="331"/>
      <c r="T47" s="331"/>
      <c r="U47" s="365"/>
      <c r="V47" s="365"/>
      <c r="W47" s="332"/>
    </row>
    <row r="48" spans="1:23" s="30" customFormat="1" ht="15.3" thickBot="1">
      <c r="A48" s="31"/>
      <c r="B48" s="413" t="s">
        <v>298</v>
      </c>
      <c r="C48" s="414"/>
      <c r="D48" s="327"/>
      <c r="E48" s="327"/>
      <c r="F48" s="327"/>
      <c r="G48" s="327"/>
      <c r="H48" s="196" t="e">
        <f>SUM(I48,L48,O48,R48,U48)</f>
        <v>#REF!</v>
      </c>
      <c r="I48" s="457" t="e">
        <f>SUM(I42:I47)</f>
        <v>#REF!</v>
      </c>
      <c r="J48" s="327"/>
      <c r="K48" s="327"/>
      <c r="L48" s="412" t="e">
        <f>SUM(L42:L47)</f>
        <v>#REF!</v>
      </c>
      <c r="M48" s="327"/>
      <c r="N48" s="327"/>
      <c r="O48" s="412" t="e">
        <f>SUM(O42:O47)</f>
        <v>#REF!</v>
      </c>
      <c r="P48" s="327"/>
      <c r="Q48" s="327"/>
      <c r="R48" s="412" t="e">
        <f>SUM(R42:R47)</f>
        <v>#REF!</v>
      </c>
      <c r="S48" s="327"/>
      <c r="T48" s="327"/>
      <c r="U48" s="412" t="e">
        <f>SUM(U42:U47)</f>
        <v>#REF!</v>
      </c>
      <c r="V48" s="412"/>
      <c r="W48" s="328"/>
    </row>
    <row r="49" spans="1:33" s="14" customFormat="1">
      <c r="A49" s="29"/>
      <c r="B49" s="9"/>
      <c r="C49" s="9"/>
      <c r="D49" s="30"/>
      <c r="E49" s="9"/>
      <c r="F49" s="9"/>
      <c r="G49" s="9"/>
      <c r="H49" s="9"/>
      <c r="I49" s="9"/>
      <c r="J49" s="9"/>
      <c r="K49" s="9"/>
      <c r="L49" s="9"/>
      <c r="M49" s="9"/>
      <c r="N49" s="9"/>
      <c r="O49" s="9"/>
      <c r="P49" s="9"/>
      <c r="Q49" s="9"/>
      <c r="R49" s="9"/>
      <c r="S49" s="9"/>
      <c r="T49" s="9"/>
      <c r="U49" s="9"/>
      <c r="V49" s="9"/>
      <c r="W49" s="9"/>
      <c r="X49" s="9"/>
      <c r="Y49" s="9"/>
      <c r="AA49" s="5"/>
      <c r="AB49" s="9"/>
      <c r="AC49" s="9"/>
      <c r="AD49" s="9"/>
      <c r="AE49" s="9"/>
      <c r="AF49" s="9"/>
      <c r="AG49" s="9"/>
    </row>
    <row r="50" spans="1:33" s="14" customFormat="1">
      <c r="A50" s="31"/>
      <c r="B50" s="9" t="s">
        <v>391</v>
      </c>
      <c r="C50" s="9"/>
      <c r="D50" s="30"/>
      <c r="E50" s="9"/>
      <c r="F50" s="9"/>
      <c r="G50" s="9"/>
      <c r="H50" s="174"/>
      <c r="I50" s="174"/>
      <c r="J50" s="9"/>
      <c r="K50" s="9"/>
      <c r="L50" s="174"/>
      <c r="M50" s="9"/>
      <c r="N50" s="9"/>
      <c r="O50" s="174"/>
      <c r="P50" s="9"/>
      <c r="Q50" s="9"/>
      <c r="R50" s="174"/>
      <c r="S50" s="9"/>
      <c r="T50" s="9"/>
      <c r="U50" s="174"/>
      <c r="V50" s="174"/>
      <c r="W50" s="9"/>
      <c r="X50" s="9"/>
      <c r="Y50" s="9"/>
      <c r="AA50" s="5"/>
      <c r="AB50" s="9"/>
      <c r="AC50" s="9"/>
      <c r="AD50" s="9"/>
      <c r="AE50" s="9"/>
      <c r="AF50" s="9"/>
      <c r="AG50" s="9"/>
    </row>
    <row r="51" spans="1:33" s="14" customFormat="1">
      <c r="A51" s="29"/>
      <c r="B51" s="9"/>
      <c r="C51" s="9"/>
      <c r="D51" s="30"/>
      <c r="E51" s="9"/>
      <c r="F51" s="9"/>
      <c r="G51" s="9"/>
      <c r="H51" s="9"/>
      <c r="I51" s="9"/>
      <c r="J51" s="9"/>
      <c r="K51" s="9"/>
      <c r="L51" s="9"/>
      <c r="M51" s="9"/>
      <c r="N51" s="9"/>
      <c r="O51" s="9"/>
      <c r="P51" s="9"/>
      <c r="Q51" s="9"/>
      <c r="R51" s="9"/>
      <c r="S51" s="9"/>
      <c r="T51" s="9"/>
      <c r="U51" s="9"/>
      <c r="V51" s="9"/>
      <c r="W51" s="9"/>
      <c r="X51" s="9"/>
      <c r="Y51" s="9"/>
      <c r="AA51" s="5"/>
      <c r="AB51" s="9"/>
      <c r="AC51" s="9"/>
      <c r="AD51" s="9"/>
      <c r="AE51" s="9"/>
      <c r="AF51" s="9"/>
      <c r="AG51" s="9"/>
    </row>
    <row r="52" spans="1:33" s="14" customFormat="1">
      <c r="A52" s="29"/>
      <c r="B52" s="9"/>
      <c r="C52" s="9"/>
      <c r="D52" s="30"/>
      <c r="E52" s="9"/>
      <c r="F52" s="9"/>
      <c r="G52" s="9"/>
      <c r="H52" s="9"/>
      <c r="I52" s="9"/>
      <c r="J52" s="9"/>
      <c r="K52" s="9"/>
      <c r="L52" s="9"/>
      <c r="M52" s="9"/>
      <c r="N52" s="9"/>
      <c r="O52" s="9"/>
      <c r="P52" s="9"/>
      <c r="Q52" s="9"/>
      <c r="R52" s="9"/>
      <c r="S52" s="9"/>
      <c r="T52" s="9"/>
      <c r="U52" s="9"/>
      <c r="V52" s="9"/>
      <c r="W52" s="9"/>
      <c r="X52" s="9"/>
      <c r="Y52" s="9"/>
      <c r="AA52" s="5"/>
      <c r="AB52" s="9"/>
      <c r="AC52" s="9"/>
      <c r="AD52" s="9"/>
      <c r="AE52" s="9"/>
      <c r="AF52" s="9"/>
      <c r="AG52" s="9"/>
    </row>
    <row r="53" spans="1:33" s="14" customFormat="1">
      <c r="A53" s="29"/>
      <c r="B53" s="9"/>
      <c r="C53" s="9"/>
      <c r="D53" s="30"/>
      <c r="E53" s="9"/>
      <c r="F53" s="9"/>
      <c r="G53" s="9"/>
      <c r="H53" s="9"/>
      <c r="I53" s="9"/>
      <c r="J53" s="9"/>
      <c r="K53" s="9"/>
      <c r="L53" s="9"/>
      <c r="M53" s="9"/>
      <c r="N53" s="9"/>
      <c r="O53" s="9"/>
      <c r="P53" s="9"/>
      <c r="Q53" s="9"/>
      <c r="R53" s="9"/>
      <c r="S53" s="9"/>
      <c r="T53" s="9"/>
      <c r="U53" s="9"/>
      <c r="V53" s="9"/>
      <c r="W53" s="9"/>
      <c r="X53" s="9"/>
      <c r="Y53" s="9"/>
      <c r="AA53" s="5"/>
      <c r="AB53" s="9"/>
      <c r="AC53" s="9"/>
      <c r="AD53" s="9"/>
      <c r="AE53" s="9"/>
      <c r="AF53" s="9"/>
      <c r="AG53" s="9"/>
    </row>
    <row r="54" spans="1:33" s="14" customFormat="1">
      <c r="A54" s="29"/>
      <c r="B54" s="9"/>
      <c r="C54" s="9"/>
      <c r="D54" s="30"/>
      <c r="E54" s="9"/>
      <c r="F54" s="9"/>
      <c r="G54" s="9"/>
      <c r="H54" s="9"/>
      <c r="I54" s="9"/>
      <c r="J54" s="9"/>
      <c r="K54" s="9"/>
      <c r="L54" s="9"/>
      <c r="M54" s="9"/>
      <c r="N54" s="9"/>
      <c r="O54" s="9"/>
      <c r="P54" s="9"/>
      <c r="Q54" s="9"/>
      <c r="R54" s="9"/>
      <c r="S54" s="9"/>
      <c r="T54" s="9"/>
      <c r="U54" s="9"/>
      <c r="V54" s="9"/>
      <c r="W54" s="9"/>
      <c r="X54" s="9"/>
      <c r="Y54" s="9"/>
      <c r="AA54" s="5"/>
      <c r="AB54" s="9"/>
      <c r="AC54" s="9"/>
      <c r="AD54" s="9"/>
      <c r="AE54" s="9"/>
      <c r="AF54" s="9"/>
      <c r="AG54" s="9"/>
    </row>
    <row r="55" spans="1:33" s="14" customFormat="1">
      <c r="A55" s="29"/>
      <c r="B55" s="9"/>
      <c r="C55" s="9"/>
      <c r="D55" s="30"/>
      <c r="E55" s="9"/>
      <c r="F55" s="9"/>
      <c r="G55" s="9"/>
      <c r="H55" s="9"/>
      <c r="I55" s="9"/>
      <c r="J55" s="9"/>
      <c r="K55" s="9"/>
      <c r="L55" s="9"/>
      <c r="M55" s="9"/>
      <c r="N55" s="9"/>
      <c r="O55" s="9"/>
      <c r="P55" s="9"/>
      <c r="Q55" s="9"/>
      <c r="R55" s="9"/>
      <c r="S55" s="9"/>
      <c r="T55" s="9"/>
      <c r="U55" s="9"/>
      <c r="V55" s="9"/>
      <c r="W55" s="9"/>
      <c r="X55" s="9"/>
      <c r="Y55" s="9"/>
      <c r="AA55" s="5"/>
      <c r="AB55" s="9"/>
      <c r="AC55" s="9"/>
      <c r="AD55" s="9"/>
      <c r="AE55" s="9"/>
      <c r="AF55" s="9"/>
      <c r="AG55" s="9"/>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c r="C57" s="9"/>
      <c r="D57" s="30"/>
      <c r="E57" s="9"/>
      <c r="F57" s="9"/>
      <c r="G57" s="9"/>
      <c r="H57" s="9"/>
      <c r="I57" s="9"/>
      <c r="J57" s="9"/>
      <c r="K57" s="9"/>
      <c r="L57" s="9"/>
      <c r="M57" s="9"/>
      <c r="N57" s="9"/>
      <c r="O57" s="9"/>
      <c r="P57" s="9"/>
      <c r="Q57" s="9"/>
      <c r="R57" s="9"/>
      <c r="S57" s="9"/>
      <c r="T57" s="9"/>
      <c r="U57" s="9"/>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16"/>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16"/>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16"/>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16"/>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16"/>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16"/>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16"/>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2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2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c r="A140" s="29"/>
      <c r="D140" s="16"/>
    </row>
    <row r="141" spans="1:33">
      <c r="A141" s="29"/>
      <c r="D141" s="16"/>
    </row>
  </sheetData>
  <sheetProtection formatColumns="0" formatRows="0" insertRows="0" autoFilter="0"/>
  <pageMargins left="0.5" right="0.5" top="0.5" bottom="0.5" header="0" footer="0.25"/>
  <pageSetup scale="58"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499984740745262"/>
    <pageSetUpPr fitToPage="1"/>
  </sheetPr>
  <dimension ref="A1:AG140"/>
  <sheetViews>
    <sheetView zoomScale="70" zoomScaleNormal="70" zoomScaleSheetLayoutView="70" workbookViewId="0">
      <pane xSplit="3" ySplit="12" topLeftCell="D13" activePane="bottomRight" state="frozen"/>
      <selection pane="topRight" activeCell="B43" sqref="B43"/>
      <selection pane="bottomLeft" activeCell="B43" sqref="B43"/>
      <selection pane="bottomRight" activeCell="U41" sqref="U41"/>
    </sheetView>
  </sheetViews>
  <sheetFormatPr defaultColWidth="9.71875" defaultRowHeight="12.3"/>
  <cols>
    <col min="1" max="1" width="15.44140625" style="19" bestFit="1" customWidth="1"/>
    <col min="2" max="2" width="14.44140625" style="9" customWidth="1"/>
    <col min="3" max="3" width="48.44140625" style="9" bestFit="1" customWidth="1"/>
    <col min="4" max="4" width="9.27734375" style="13" customWidth="1"/>
    <col min="5" max="5" width="39.5546875" style="9" customWidth="1"/>
    <col min="6" max="6" width="10.5546875" style="9" hidden="1" customWidth="1"/>
    <col min="7" max="7" width="9.27734375" style="9" hidden="1" customWidth="1"/>
    <col min="8" max="8" width="18.71875" style="9" bestFit="1" customWidth="1"/>
    <col min="9" max="9" width="14.44140625" style="9" customWidth="1"/>
    <col min="10" max="10" width="9.71875" style="9" hidden="1" customWidth="1"/>
    <col min="11" max="11" width="8.27734375" style="9" hidden="1" customWidth="1"/>
    <col min="12" max="12" width="14.44140625" style="9" customWidth="1"/>
    <col min="13" max="13" width="10.27734375" style="9" hidden="1" customWidth="1"/>
    <col min="14" max="14" width="9.27734375" style="9" hidden="1" customWidth="1"/>
    <col min="15" max="15" width="14.44140625" style="9" customWidth="1"/>
    <col min="16" max="16" width="10.5546875" style="9" hidden="1" customWidth="1"/>
    <col min="17" max="17" width="9.27734375" style="9" hidden="1" customWidth="1"/>
    <col min="18" max="18" width="14.44140625" style="9" customWidth="1"/>
    <col min="19" max="19" width="10.27734375" style="9" hidden="1" customWidth="1"/>
    <col min="20" max="20" width="9.27734375" style="9" hidden="1" customWidth="1"/>
    <col min="21" max="21" width="14.44140625" style="9" customWidth="1"/>
    <col min="22" max="22" width="14.44140625" style="9" hidden="1" customWidth="1"/>
    <col min="23" max="23" width="9.44140625" style="9" hidden="1" customWidth="1"/>
    <col min="24" max="24" width="16" style="9" customWidth="1"/>
    <col min="25" max="25" width="15.71875" style="14" customWidth="1"/>
    <col min="26" max="26" width="13.71875" style="14" customWidth="1"/>
    <col min="27" max="27" width="12.44140625" style="5" bestFit="1" customWidth="1"/>
    <col min="28" max="16384" width="9.71875" style="9"/>
  </cols>
  <sheetData>
    <row r="1" spans="1:27" s="8" customFormat="1" ht="20.100000000000001">
      <c r="A1" s="19"/>
      <c r="B1" s="4" t="str">
        <f>Assumptions!B4</f>
        <v>Partners of America</v>
      </c>
      <c r="C1" s="4"/>
      <c r="M1" s="9"/>
      <c r="N1" s="10"/>
      <c r="P1" s="24"/>
      <c r="Q1" s="25"/>
      <c r="R1" s="25"/>
      <c r="T1" s="25"/>
      <c r="U1" s="25"/>
      <c r="V1" s="25"/>
      <c r="W1" s="24"/>
      <c r="Z1" s="11"/>
    </row>
    <row r="2" spans="1:27" s="8" customFormat="1" ht="15">
      <c r="A2" s="19"/>
      <c r="B2" s="442" t="str">
        <f>Assumptions!B5</f>
        <v>DONOR:</v>
      </c>
      <c r="C2" s="464" t="str">
        <f>Assumptions!C5</f>
        <v>USDOL</v>
      </c>
      <c r="M2" s="9"/>
      <c r="N2" s="9"/>
      <c r="O2" s="9"/>
      <c r="P2" s="27"/>
      <c r="Q2" s="12"/>
      <c r="R2" s="12"/>
      <c r="T2" s="9"/>
      <c r="Y2" s="11"/>
      <c r="Z2" s="11"/>
      <c r="AA2" s="12"/>
    </row>
    <row r="3" spans="1:27" s="8" customFormat="1" ht="15">
      <c r="A3" s="19"/>
      <c r="B3" s="442" t="str">
        <f>Assumptions!B6</f>
        <v>Country:</v>
      </c>
      <c r="C3" s="464" t="str">
        <f>Assumptions!C6</f>
        <v>Ecuador</v>
      </c>
      <c r="G3" s="9"/>
      <c r="I3" s="9"/>
      <c r="M3" s="9"/>
      <c r="N3" s="9"/>
      <c r="O3" s="9"/>
      <c r="P3" s="27"/>
      <c r="Q3" s="12"/>
      <c r="R3" s="12"/>
      <c r="T3" s="9"/>
      <c r="W3" s="1025"/>
      <c r="Y3" s="11"/>
      <c r="Z3" s="11"/>
      <c r="AA3" s="12"/>
    </row>
    <row r="4" spans="1:27" ht="15">
      <c r="B4" s="442" t="str">
        <f>Assumptions!B7</f>
        <v>Program Name:</v>
      </c>
      <c r="C4" s="464" t="str">
        <f>Assumptions!C7</f>
        <v>Project to Improve Adherence to International Labor Standards in the Agricultural Sector in Ecuador</v>
      </c>
      <c r="D4" s="16"/>
      <c r="I4"/>
      <c r="S4" s="1026"/>
      <c r="W4" s="1025"/>
    </row>
    <row r="5" spans="1:27" ht="15">
      <c r="B5" s="442" t="str">
        <f>Assumptions!B8</f>
        <v>Grant Number:</v>
      </c>
      <c r="C5" s="464" t="str">
        <f>Assumptions!C8</f>
        <v>FOA-ILAB-23-28</v>
      </c>
      <c r="D5" s="16"/>
      <c r="S5" s="1026"/>
      <c r="W5" s="1025"/>
    </row>
    <row r="6" spans="1:27" ht="15">
      <c r="B6" s="442" t="str">
        <f>Assumptions!B9</f>
        <v>Period of Performance:</v>
      </c>
      <c r="C6" s="466" t="str">
        <f>Assumptions!C9</f>
        <v>48 months</v>
      </c>
      <c r="D6" s="467"/>
      <c r="E6" s="463">
        <f>Assumptions!G9</f>
        <v>0</v>
      </c>
      <c r="S6" s="1026"/>
    </row>
    <row r="7" spans="1:27" ht="15">
      <c r="B7" s="315"/>
      <c r="C7" s="315"/>
      <c r="D7" s="16"/>
      <c r="S7" s="1026"/>
    </row>
    <row r="8" spans="1:27" ht="20.100000000000001">
      <c r="B8" s="4" t="s">
        <v>392</v>
      </c>
      <c r="C8" s="315"/>
      <c r="D8" s="16"/>
      <c r="S8" s="1026"/>
    </row>
    <row r="9" spans="1:27" ht="15" hidden="1">
      <c r="B9" s="315"/>
      <c r="C9" s="315"/>
      <c r="D9" s="16"/>
      <c r="H9" s="443"/>
      <c r="S9" s="1026"/>
    </row>
    <row r="10" spans="1:27" ht="17.7">
      <c r="D10" s="429" t="s">
        <v>342</v>
      </c>
      <c r="E10" s="430" t="s">
        <v>343</v>
      </c>
      <c r="F10" s="425"/>
    </row>
    <row r="11" spans="1:27" ht="15.3" thickBot="1">
      <c r="D11" s="16"/>
      <c r="H11" s="173"/>
      <c r="W11" s="8"/>
    </row>
    <row r="12" spans="1:27" s="440" customFormat="1" ht="30.3" thickBot="1">
      <c r="A12" s="445" t="s">
        <v>344</v>
      </c>
      <c r="B12" s="411" t="s">
        <v>345</v>
      </c>
      <c r="C12" s="438" t="s">
        <v>346</v>
      </c>
      <c r="D12" s="446" t="s">
        <v>347</v>
      </c>
      <c r="E12" s="438" t="s">
        <v>346</v>
      </c>
      <c r="F12" s="437"/>
      <c r="G12" s="437"/>
      <c r="H12" s="449" t="s">
        <v>393</v>
      </c>
      <c r="I12" s="418" t="e">
        <f>#REF!</f>
        <v>#REF!</v>
      </c>
      <c r="J12" s="437"/>
      <c r="K12" s="437"/>
      <c r="L12" s="418" t="e">
        <f>#REF!</f>
        <v>#REF!</v>
      </c>
      <c r="M12" s="437"/>
      <c r="N12" s="437"/>
      <c r="O12" s="418" t="e">
        <f>#REF!</f>
        <v>#REF!</v>
      </c>
      <c r="P12" s="437"/>
      <c r="Q12" s="437"/>
      <c r="R12" s="418" t="e">
        <f>#REF!</f>
        <v>#REF!</v>
      </c>
      <c r="S12" s="437"/>
      <c r="T12" s="437"/>
      <c r="U12" s="418" t="e">
        <f>#REF!</f>
        <v>#REF!</v>
      </c>
      <c r="V12" s="418"/>
      <c r="W12" s="438"/>
    </row>
    <row r="13" spans="1:27" s="30" customFormat="1" ht="15">
      <c r="A13" s="31"/>
      <c r="B13" s="373"/>
      <c r="C13" s="381"/>
      <c r="D13" s="361"/>
      <c r="E13" s="361"/>
      <c r="F13" s="361"/>
      <c r="G13" s="361"/>
      <c r="H13" s="361"/>
      <c r="I13" s="370"/>
      <c r="J13" s="361"/>
      <c r="K13" s="361"/>
      <c r="L13" s="370"/>
      <c r="M13" s="361"/>
      <c r="N13" s="361"/>
      <c r="O13" s="370"/>
      <c r="P13" s="361"/>
      <c r="Q13" s="361"/>
      <c r="R13" s="370"/>
      <c r="S13" s="361"/>
      <c r="T13" s="361"/>
      <c r="U13" s="370"/>
      <c r="V13" s="370"/>
      <c r="W13" s="371"/>
    </row>
    <row r="14" spans="1:27" s="30" customFormat="1" ht="15">
      <c r="A14" s="410" t="s">
        <v>162</v>
      </c>
      <c r="B14" s="380" t="s">
        <v>348</v>
      </c>
      <c r="C14" s="329" t="s">
        <v>349</v>
      </c>
      <c r="D14" s="384" t="s">
        <v>394</v>
      </c>
      <c r="E14" s="329" t="s">
        <v>395</v>
      </c>
      <c r="F14" s="329"/>
      <c r="G14" s="329"/>
      <c r="H14" s="448" t="e">
        <f>SUM(I14,L14,O14,R14,U14)</f>
        <v>#REF!</v>
      </c>
      <c r="I14" s="451" t="e">
        <f>SUMIF(#REF!,$B$14,#REF!)</f>
        <v>#REF!</v>
      </c>
      <c r="J14" s="452"/>
      <c r="K14" s="452"/>
      <c r="L14" s="451" t="e">
        <f>SUMIF(#REF!,$B$14,#REF!)</f>
        <v>#REF!</v>
      </c>
      <c r="M14" s="452"/>
      <c r="N14" s="452"/>
      <c r="O14" s="451" t="e">
        <f>SUMIF(#REF!,$B$14,#REF!)</f>
        <v>#REF!</v>
      </c>
      <c r="P14" s="452"/>
      <c r="Q14" s="452"/>
      <c r="R14" s="451" t="e">
        <f>SUMIF(#REF!,$B$14,#REF!)</f>
        <v>#REF!</v>
      </c>
      <c r="S14" s="452"/>
      <c r="T14" s="452"/>
      <c r="U14" s="451" t="e">
        <f>SUMIF(#REF!,$B$14,#REF!)</f>
        <v>#REF!</v>
      </c>
      <c r="V14" s="451"/>
      <c r="W14" s="453"/>
    </row>
    <row r="15" spans="1:27" s="30" customFormat="1" ht="15">
      <c r="A15" s="410"/>
      <c r="B15" s="380" t="s">
        <v>350</v>
      </c>
      <c r="C15" s="329" t="s">
        <v>351</v>
      </c>
      <c r="D15" s="384" t="s">
        <v>396</v>
      </c>
      <c r="E15" s="329" t="s">
        <v>397</v>
      </c>
      <c r="F15" s="329"/>
      <c r="G15" s="329"/>
      <c r="H15" s="448" t="e">
        <f t="shared" ref="H15:H16" si="0">SUM(I15,L15,O15,R15,U15)</f>
        <v>#REF!</v>
      </c>
      <c r="I15" s="451" t="e">
        <f>SUMIF(#REF!,$B$15,#REF!)</f>
        <v>#REF!</v>
      </c>
      <c r="J15" s="452"/>
      <c r="K15" s="452"/>
      <c r="L15" s="451" t="e">
        <f>SUMIF(#REF!,$B$15,#REF!)</f>
        <v>#REF!</v>
      </c>
      <c r="M15" s="452"/>
      <c r="N15" s="452"/>
      <c r="O15" s="451" t="e">
        <f>SUMIF(#REF!,$B$15,#REF!)</f>
        <v>#REF!</v>
      </c>
      <c r="P15" s="452"/>
      <c r="Q15" s="452"/>
      <c r="R15" s="451" t="e">
        <f>SUMIF(#REF!,$B$15,#REF!)</f>
        <v>#REF!</v>
      </c>
      <c r="S15" s="452"/>
      <c r="T15" s="452"/>
      <c r="U15" s="451" t="e">
        <f>SUMIF(#REF!,$B$15,#REF!)</f>
        <v>#REF!</v>
      </c>
      <c r="V15" s="451"/>
      <c r="W15" s="453"/>
    </row>
    <row r="16" spans="1:27" s="30" customFormat="1" ht="15">
      <c r="A16" s="410" t="s">
        <v>180</v>
      </c>
      <c r="B16" s="380" t="s">
        <v>352</v>
      </c>
      <c r="C16" s="329" t="s">
        <v>180</v>
      </c>
      <c r="D16" s="384" t="s">
        <v>398</v>
      </c>
      <c r="E16" s="329" t="s">
        <v>399</v>
      </c>
      <c r="F16" s="329"/>
      <c r="G16" s="329"/>
      <c r="H16" s="448" t="e">
        <f t="shared" si="0"/>
        <v>#REF!</v>
      </c>
      <c r="I16" s="451" t="e">
        <f>SUMIF(#REF!,$B$16,#REF!)</f>
        <v>#REF!</v>
      </c>
      <c r="J16" s="452"/>
      <c r="K16" s="452"/>
      <c r="L16" s="451" t="e">
        <f>SUMIF(#REF!,$B$16,#REF!)</f>
        <v>#REF!</v>
      </c>
      <c r="M16" s="452"/>
      <c r="N16" s="452"/>
      <c r="O16" s="451" t="e">
        <f>SUMIF(#REF!,$B$16,#REF!)</f>
        <v>#REF!</v>
      </c>
      <c r="P16" s="452"/>
      <c r="Q16" s="452"/>
      <c r="R16" s="451" t="e">
        <f>SUMIF(#REF!,$B$16,#REF!)</f>
        <v>#REF!</v>
      </c>
      <c r="S16" s="452"/>
      <c r="T16" s="452"/>
      <c r="U16" s="451" t="e">
        <f>SUMIF(#REF!,$B$16,#REF!)</f>
        <v>#REF!</v>
      </c>
      <c r="V16" s="451"/>
      <c r="W16" s="453"/>
    </row>
    <row r="17" spans="1:23" s="30" customFormat="1" ht="15">
      <c r="A17" s="410"/>
      <c r="B17" s="380"/>
      <c r="C17" s="329"/>
      <c r="D17" s="384" t="s">
        <v>400</v>
      </c>
      <c r="E17" s="329" t="s">
        <v>401</v>
      </c>
      <c r="F17" s="329"/>
      <c r="G17" s="329"/>
      <c r="H17" s="448"/>
      <c r="I17" s="451"/>
      <c r="J17" s="452"/>
      <c r="K17" s="452"/>
      <c r="L17" s="451"/>
      <c r="M17" s="452"/>
      <c r="N17" s="452"/>
      <c r="O17" s="451"/>
      <c r="P17" s="452"/>
      <c r="Q17" s="452"/>
      <c r="R17" s="451"/>
      <c r="S17" s="452"/>
      <c r="T17" s="452"/>
      <c r="U17" s="451"/>
      <c r="V17" s="451"/>
      <c r="W17" s="453"/>
    </row>
    <row r="18" spans="1:23" s="30" customFormat="1" ht="15">
      <c r="A18" s="410" t="s">
        <v>184</v>
      </c>
      <c r="B18" s="380" t="s">
        <v>353</v>
      </c>
      <c r="C18" s="329" t="s">
        <v>354</v>
      </c>
      <c r="D18" s="329"/>
      <c r="E18" s="329"/>
      <c r="F18" s="329"/>
      <c r="G18" s="329"/>
      <c r="H18" s="448" t="e">
        <f t="shared" ref="H18:H19" si="1">SUM(I18,L18,O18,R18,U18)</f>
        <v>#REF!</v>
      </c>
      <c r="I18" s="451" t="e">
        <f>SUMIF(#REF!,$B$18,#REF!)</f>
        <v>#REF!</v>
      </c>
      <c r="J18" s="452"/>
      <c r="K18" s="452"/>
      <c r="L18" s="451" t="e">
        <f>SUMIF(#REF!,$B$18,#REF!)</f>
        <v>#REF!</v>
      </c>
      <c r="M18" s="452"/>
      <c r="N18" s="452"/>
      <c r="O18" s="451" t="e">
        <f>SUMIF(#REF!,$B$18,#REF!)</f>
        <v>#REF!</v>
      </c>
      <c r="P18" s="452"/>
      <c r="Q18" s="452"/>
      <c r="R18" s="451" t="e">
        <f>SUMIF(#REF!,$B$18,#REF!)</f>
        <v>#REF!</v>
      </c>
      <c r="S18" s="452"/>
      <c r="T18" s="452"/>
      <c r="U18" s="451" t="e">
        <f>SUMIF(#REF!,$B$18,#REF!)</f>
        <v>#REF!</v>
      </c>
      <c r="V18" s="451"/>
      <c r="W18" s="453"/>
    </row>
    <row r="19" spans="1:23" s="30" customFormat="1" ht="15">
      <c r="A19" s="410"/>
      <c r="B19" s="380" t="s">
        <v>355</v>
      </c>
      <c r="C19" s="329" t="s">
        <v>356</v>
      </c>
      <c r="D19" s="329"/>
      <c r="E19" s="329"/>
      <c r="F19" s="329"/>
      <c r="G19" s="329"/>
      <c r="H19" s="448" t="e">
        <f t="shared" si="1"/>
        <v>#REF!</v>
      </c>
      <c r="I19" s="451" t="e">
        <f>SUMIF(#REF!,$B$19,#REF!)</f>
        <v>#REF!</v>
      </c>
      <c r="J19" s="452"/>
      <c r="K19" s="452"/>
      <c r="L19" s="451" t="e">
        <f>SUMIF(#REF!,$B$19,#REF!)</f>
        <v>#REF!</v>
      </c>
      <c r="M19" s="452"/>
      <c r="N19" s="452"/>
      <c r="O19" s="451" t="e">
        <f>SUMIF(#REF!,$B$19,#REF!)</f>
        <v>#REF!</v>
      </c>
      <c r="P19" s="452"/>
      <c r="Q19" s="452"/>
      <c r="R19" s="451" t="e">
        <f>SUMIF(#REF!,$B$19,#REF!)</f>
        <v>#REF!</v>
      </c>
      <c r="S19" s="452"/>
      <c r="T19" s="452"/>
      <c r="U19" s="451" t="e">
        <f>SUMIF(#REF!,$B$19,#REF!)</f>
        <v>#REF!</v>
      </c>
      <c r="V19" s="451"/>
      <c r="W19" s="453"/>
    </row>
    <row r="20" spans="1:23" s="30" customFormat="1" ht="15">
      <c r="A20" s="410"/>
      <c r="B20" s="380"/>
      <c r="C20" s="329"/>
      <c r="D20" s="384"/>
      <c r="E20" s="329"/>
      <c r="F20" s="329"/>
      <c r="G20" s="329"/>
      <c r="H20" s="448"/>
      <c r="I20" s="451"/>
      <c r="J20" s="452"/>
      <c r="K20" s="452"/>
      <c r="L20" s="451"/>
      <c r="M20" s="452"/>
      <c r="N20" s="452"/>
      <c r="O20" s="451"/>
      <c r="P20" s="452"/>
      <c r="Q20" s="452"/>
      <c r="R20" s="451"/>
      <c r="S20" s="452"/>
      <c r="T20" s="452"/>
      <c r="U20" s="451"/>
      <c r="V20" s="451"/>
      <c r="W20" s="453"/>
    </row>
    <row r="21" spans="1:23" s="30" customFormat="1" ht="15">
      <c r="A21" s="410" t="s">
        <v>206</v>
      </c>
      <c r="B21" s="380" t="s">
        <v>357</v>
      </c>
      <c r="C21" s="329" t="s">
        <v>358</v>
      </c>
      <c r="D21" s="384" t="s">
        <v>402</v>
      </c>
      <c r="E21" s="329" t="s">
        <v>403</v>
      </c>
      <c r="F21" s="329"/>
      <c r="G21" s="329"/>
      <c r="H21" s="448" t="e">
        <f t="shared" ref="H21:H22" si="2">SUM(I21,L21,O21,R21,U21)</f>
        <v>#REF!</v>
      </c>
      <c r="I21" s="451" t="e">
        <f>SUMIF(#REF!,$B$21,#REF!)</f>
        <v>#REF!</v>
      </c>
      <c r="J21" s="452"/>
      <c r="K21" s="452"/>
      <c r="L21" s="451" t="e">
        <f>SUMIF(#REF!,$B$21,#REF!)</f>
        <v>#REF!</v>
      </c>
      <c r="M21" s="452"/>
      <c r="N21" s="452"/>
      <c r="O21" s="451" t="e">
        <f>SUMIF(#REF!,$B$21,#REF!)</f>
        <v>#REF!</v>
      </c>
      <c r="P21" s="452"/>
      <c r="Q21" s="452"/>
      <c r="R21" s="451" t="e">
        <f>SUMIF(#REF!,$B$21,#REF!)</f>
        <v>#REF!</v>
      </c>
      <c r="S21" s="452"/>
      <c r="T21" s="452"/>
      <c r="U21" s="451" t="e">
        <f>SUMIF(#REF!,$B$21,#REF!)</f>
        <v>#REF!</v>
      </c>
      <c r="V21" s="451"/>
      <c r="W21" s="453"/>
    </row>
    <row r="22" spans="1:23" s="30" customFormat="1" ht="15">
      <c r="A22" s="410"/>
      <c r="B22" s="380"/>
      <c r="C22" s="329"/>
      <c r="D22" s="384" t="s">
        <v>404</v>
      </c>
      <c r="E22" s="329" t="s">
        <v>405</v>
      </c>
      <c r="F22" s="329"/>
      <c r="G22" s="329"/>
      <c r="H22" s="448" t="e">
        <f t="shared" si="2"/>
        <v>#REF!</v>
      </c>
      <c r="I22" s="451" t="e">
        <f>SUMIF(#REF!,$B$21,#REF!)</f>
        <v>#REF!</v>
      </c>
      <c r="J22" s="452"/>
      <c r="K22" s="452"/>
      <c r="L22" s="451" t="e">
        <f>SUMIF(#REF!,$B$21,#REF!)</f>
        <v>#REF!</v>
      </c>
      <c r="M22" s="452"/>
      <c r="N22" s="452"/>
      <c r="O22" s="451" t="e">
        <f>SUMIF(#REF!,$B$21,#REF!)</f>
        <v>#REF!</v>
      </c>
      <c r="P22" s="452"/>
      <c r="Q22" s="452"/>
      <c r="R22" s="451" t="e">
        <f>SUMIF(#REF!,$B$21,#REF!)</f>
        <v>#REF!</v>
      </c>
      <c r="S22" s="452"/>
      <c r="T22" s="452"/>
      <c r="U22" s="451" t="e">
        <f>SUMIF(#REF!,$B$21,#REF!)</f>
        <v>#REF!</v>
      </c>
      <c r="V22" s="451"/>
      <c r="W22" s="453"/>
    </row>
    <row r="23" spans="1:23" s="30" customFormat="1" ht="15" hidden="1">
      <c r="A23" s="410"/>
      <c r="B23" s="380"/>
      <c r="C23" s="329"/>
      <c r="D23" s="384" t="s">
        <v>359</v>
      </c>
      <c r="E23" s="329" t="s">
        <v>360</v>
      </c>
      <c r="F23" s="329"/>
      <c r="G23" s="329"/>
      <c r="H23" s="448" t="e">
        <f>SUM(I23,L23,O23,R23,U23,#REF!,#REF!,#REF!,#REF!,#REF!)</f>
        <v>#REF!</v>
      </c>
      <c r="I23" s="451"/>
      <c r="J23" s="452"/>
      <c r="K23" s="452"/>
      <c r="L23" s="451"/>
      <c r="M23" s="452"/>
      <c r="N23" s="452"/>
      <c r="O23" s="451"/>
      <c r="P23" s="452"/>
      <c r="Q23" s="452"/>
      <c r="R23" s="451"/>
      <c r="S23" s="452"/>
      <c r="T23" s="452"/>
      <c r="U23" s="451"/>
      <c r="V23" s="451"/>
      <c r="W23" s="453"/>
    </row>
    <row r="24" spans="1:23" s="30" customFormat="1" ht="15" hidden="1">
      <c r="A24" s="410"/>
      <c r="B24" s="380"/>
      <c r="C24" s="329"/>
      <c r="D24" s="384" t="s">
        <v>361</v>
      </c>
      <c r="E24" s="329" t="s">
        <v>362</v>
      </c>
      <c r="F24" s="329"/>
      <c r="G24" s="329"/>
      <c r="H24" s="448" t="e">
        <f>SUM(I24,L24,O24,R24,U24,#REF!,#REF!,#REF!,#REF!,#REF!)</f>
        <v>#REF!</v>
      </c>
      <c r="I24" s="451"/>
      <c r="J24" s="452"/>
      <c r="K24" s="452"/>
      <c r="L24" s="451"/>
      <c r="M24" s="452"/>
      <c r="N24" s="452"/>
      <c r="O24" s="451"/>
      <c r="P24" s="452"/>
      <c r="Q24" s="452"/>
      <c r="R24" s="451"/>
      <c r="S24" s="452"/>
      <c r="T24" s="452"/>
      <c r="U24" s="451"/>
      <c r="V24" s="451"/>
      <c r="W24" s="453"/>
    </row>
    <row r="25" spans="1:23" s="30" customFormat="1" ht="15" hidden="1">
      <c r="A25" s="410"/>
      <c r="B25" s="380"/>
      <c r="C25" s="329"/>
      <c r="D25" s="384" t="s">
        <v>363</v>
      </c>
      <c r="E25" s="329" t="s">
        <v>364</v>
      </c>
      <c r="F25" s="329"/>
      <c r="G25" s="329"/>
      <c r="H25" s="448" t="e">
        <f>SUM(I25,L25,O25,R25,U25,#REF!,#REF!,#REF!,#REF!,#REF!)</f>
        <v>#REF!</v>
      </c>
      <c r="I25" s="451"/>
      <c r="J25" s="452"/>
      <c r="K25" s="452"/>
      <c r="L25" s="451"/>
      <c r="M25" s="452"/>
      <c r="N25" s="452"/>
      <c r="O25" s="451"/>
      <c r="P25" s="452"/>
      <c r="Q25" s="452"/>
      <c r="R25" s="451"/>
      <c r="S25" s="452"/>
      <c r="T25" s="452"/>
      <c r="U25" s="451"/>
      <c r="V25" s="451"/>
      <c r="W25" s="453"/>
    </row>
    <row r="26" spans="1:23" s="30" customFormat="1" ht="15" hidden="1">
      <c r="A26" s="410"/>
      <c r="B26" s="380"/>
      <c r="C26" s="329"/>
      <c r="D26" s="384" t="s">
        <v>365</v>
      </c>
      <c r="E26" s="329" t="s">
        <v>366</v>
      </c>
      <c r="F26" s="329"/>
      <c r="G26" s="329"/>
      <c r="H26" s="448" t="e">
        <f>SUM(I26,L26,O26,R26,U26,#REF!,#REF!,#REF!,#REF!,#REF!)</f>
        <v>#REF!</v>
      </c>
      <c r="I26" s="451"/>
      <c r="J26" s="452"/>
      <c r="K26" s="452"/>
      <c r="L26" s="451"/>
      <c r="M26" s="452"/>
      <c r="N26" s="452"/>
      <c r="O26" s="451"/>
      <c r="P26" s="452"/>
      <c r="Q26" s="452"/>
      <c r="R26" s="451"/>
      <c r="S26" s="452"/>
      <c r="T26" s="452"/>
      <c r="U26" s="451"/>
      <c r="V26" s="451"/>
      <c r="W26" s="453"/>
    </row>
    <row r="27" spans="1:23" s="30" customFormat="1" ht="15" hidden="1">
      <c r="A27" s="410"/>
      <c r="B27" s="380"/>
      <c r="C27" s="329"/>
      <c r="D27" s="384" t="s">
        <v>367</v>
      </c>
      <c r="E27" s="329" t="s">
        <v>368</v>
      </c>
      <c r="F27" s="329"/>
      <c r="G27" s="329"/>
      <c r="H27" s="448" t="e">
        <f>SUM(I27,L27,O27,R27,U27,#REF!,#REF!,#REF!,#REF!,#REF!)</f>
        <v>#REF!</v>
      </c>
      <c r="I27" s="451"/>
      <c r="J27" s="452"/>
      <c r="K27" s="452"/>
      <c r="L27" s="451"/>
      <c r="M27" s="452"/>
      <c r="N27" s="452"/>
      <c r="O27" s="451"/>
      <c r="P27" s="452"/>
      <c r="Q27" s="452"/>
      <c r="R27" s="451"/>
      <c r="S27" s="452"/>
      <c r="T27" s="452"/>
      <c r="U27" s="451"/>
      <c r="V27" s="451"/>
      <c r="W27" s="453"/>
    </row>
    <row r="28" spans="1:23" s="30" customFormat="1" ht="15">
      <c r="A28" s="410"/>
      <c r="B28" s="380"/>
      <c r="C28" s="329"/>
      <c r="D28" s="384"/>
      <c r="E28" s="329"/>
      <c r="F28" s="329"/>
      <c r="G28" s="329"/>
      <c r="H28" s="448"/>
      <c r="I28" s="451"/>
      <c r="J28" s="452"/>
      <c r="K28" s="452"/>
      <c r="L28" s="451"/>
      <c r="M28" s="452"/>
      <c r="N28" s="452"/>
      <c r="O28" s="451"/>
      <c r="P28" s="452"/>
      <c r="Q28" s="452"/>
      <c r="R28" s="451"/>
      <c r="S28" s="452"/>
      <c r="T28" s="452"/>
      <c r="U28" s="451"/>
      <c r="V28" s="451"/>
      <c r="W28" s="453"/>
    </row>
    <row r="29" spans="1:23" s="30" customFormat="1" ht="15">
      <c r="A29" s="410" t="s">
        <v>202</v>
      </c>
      <c r="B29" s="380" t="s">
        <v>369</v>
      </c>
      <c r="C29" s="329" t="s">
        <v>202</v>
      </c>
      <c r="D29" s="329"/>
      <c r="E29" s="329"/>
      <c r="F29" s="329"/>
      <c r="G29" s="329"/>
      <c r="H29" s="448" t="e">
        <f>SUM(I29,L29,O29,R29,U29)</f>
        <v>#REF!</v>
      </c>
      <c r="I29" s="451" t="e">
        <f>SUMIF(#REF!,$B$29,#REF!)</f>
        <v>#REF!</v>
      </c>
      <c r="J29" s="452"/>
      <c r="K29" s="452"/>
      <c r="L29" s="451" t="e">
        <f>SUMIF(#REF!,$B$29,#REF!)</f>
        <v>#REF!</v>
      </c>
      <c r="M29" s="452"/>
      <c r="N29" s="452"/>
      <c r="O29" s="451" t="e">
        <f>SUMIF(#REF!,$B$29,#REF!)</f>
        <v>#REF!</v>
      </c>
      <c r="P29" s="452"/>
      <c r="Q29" s="452"/>
      <c r="R29" s="451" t="e">
        <f>SUMIF(#REF!,$B$29,#REF!)</f>
        <v>#REF!</v>
      </c>
      <c r="S29" s="452"/>
      <c r="T29" s="452"/>
      <c r="U29" s="451" t="e">
        <f>SUMIF(#REF!,$B$29,#REF!)</f>
        <v>#REF!</v>
      </c>
      <c r="V29" s="451"/>
      <c r="W29" s="453"/>
    </row>
    <row r="30" spans="1:23" s="30" customFormat="1" ht="15">
      <c r="A30" s="410"/>
      <c r="B30" s="380"/>
      <c r="C30" s="329"/>
      <c r="D30" s="384"/>
      <c r="E30" s="329"/>
      <c r="F30" s="329"/>
      <c r="G30" s="329"/>
      <c r="H30" s="448"/>
      <c r="I30" s="451"/>
      <c r="J30" s="452"/>
      <c r="K30" s="452"/>
      <c r="L30" s="451"/>
      <c r="M30" s="452"/>
      <c r="N30" s="452"/>
      <c r="O30" s="451"/>
      <c r="P30" s="452"/>
      <c r="Q30" s="452"/>
      <c r="R30" s="451"/>
      <c r="S30" s="452"/>
      <c r="T30" s="452"/>
      <c r="U30" s="451"/>
      <c r="V30" s="451"/>
      <c r="W30" s="453"/>
    </row>
    <row r="31" spans="1:23" s="30" customFormat="1" ht="15">
      <c r="A31" s="410" t="s">
        <v>212</v>
      </c>
      <c r="B31" s="380" t="s">
        <v>370</v>
      </c>
      <c r="C31" s="329" t="s">
        <v>371</v>
      </c>
      <c r="D31" s="329"/>
      <c r="E31" s="329"/>
      <c r="F31" s="329"/>
      <c r="G31" s="329"/>
      <c r="H31" s="448" t="e">
        <f t="shared" ref="H31:H34" si="3">SUM(I31,L31,O31,R31,U31)</f>
        <v>#REF!</v>
      </c>
      <c r="I31" s="451" t="e">
        <f>SUMIF(#REF!,$B$31,#REF!)</f>
        <v>#REF!</v>
      </c>
      <c r="J31" s="452"/>
      <c r="K31" s="452"/>
      <c r="L31" s="451" t="e">
        <f>SUMIF(#REF!,$B$31,#REF!)</f>
        <v>#REF!</v>
      </c>
      <c r="M31" s="452"/>
      <c r="N31" s="452"/>
      <c r="O31" s="451" t="e">
        <f>SUMIF(#REF!,$B$31,#REF!)</f>
        <v>#REF!</v>
      </c>
      <c r="P31" s="452"/>
      <c r="Q31" s="452"/>
      <c r="R31" s="451" t="e">
        <f>SUMIF(#REF!,$B$31,#REF!)</f>
        <v>#REF!</v>
      </c>
      <c r="S31" s="452"/>
      <c r="T31" s="452"/>
      <c r="U31" s="451" t="e">
        <f>SUMIF(#REF!,$B$31,#REF!)</f>
        <v>#REF!</v>
      </c>
      <c r="V31" s="451"/>
      <c r="W31" s="453"/>
    </row>
    <row r="32" spans="1:23" s="30" customFormat="1" ht="15">
      <c r="A32" s="410"/>
      <c r="B32" s="380" t="s">
        <v>372</v>
      </c>
      <c r="C32" s="329" t="s">
        <v>373</v>
      </c>
      <c r="D32" s="329"/>
      <c r="E32" s="329"/>
      <c r="F32" s="329"/>
      <c r="G32" s="329"/>
      <c r="H32" s="448" t="e">
        <f t="shared" si="3"/>
        <v>#REF!</v>
      </c>
      <c r="I32" s="451" t="e">
        <f>SUMIF(#REF!,$B$32,#REF!)</f>
        <v>#REF!</v>
      </c>
      <c r="J32" s="452"/>
      <c r="K32" s="452"/>
      <c r="L32" s="451" t="e">
        <f>SUMIF(#REF!,$B$32,#REF!)</f>
        <v>#REF!</v>
      </c>
      <c r="M32" s="452"/>
      <c r="N32" s="452"/>
      <c r="O32" s="451" t="e">
        <f>SUMIF(#REF!,$B$32,#REF!)</f>
        <v>#REF!</v>
      </c>
      <c r="P32" s="452"/>
      <c r="Q32" s="452"/>
      <c r="R32" s="451" t="e">
        <f>SUMIF(#REF!,$B$32,#REF!)</f>
        <v>#REF!</v>
      </c>
      <c r="S32" s="452"/>
      <c r="T32" s="452"/>
      <c r="U32" s="451" t="e">
        <f>SUMIF(#REF!,$B$32,#REF!)</f>
        <v>#REF!</v>
      </c>
      <c r="V32" s="451"/>
      <c r="W32" s="453"/>
    </row>
    <row r="33" spans="1:33" s="30" customFormat="1" ht="15">
      <c r="A33" s="410"/>
      <c r="B33" s="380" t="s">
        <v>374</v>
      </c>
      <c r="C33" s="329" t="s">
        <v>375</v>
      </c>
      <c r="D33" s="329"/>
      <c r="E33" s="329"/>
      <c r="F33" s="329"/>
      <c r="G33" s="329"/>
      <c r="H33" s="448" t="e">
        <f t="shared" si="3"/>
        <v>#REF!</v>
      </c>
      <c r="I33" s="451" t="e">
        <f>SUMIF(#REF!,$B$33,#REF!)</f>
        <v>#REF!</v>
      </c>
      <c r="J33" s="452"/>
      <c r="K33" s="452"/>
      <c r="L33" s="451" t="e">
        <f>SUMIF(#REF!,$B$33,#REF!)</f>
        <v>#REF!</v>
      </c>
      <c r="M33" s="452"/>
      <c r="N33" s="452"/>
      <c r="O33" s="451" t="e">
        <f>SUMIF(#REF!,$B$33,#REF!)</f>
        <v>#REF!</v>
      </c>
      <c r="P33" s="452"/>
      <c r="Q33" s="452"/>
      <c r="R33" s="451" t="e">
        <f>SUMIF(#REF!,$B$33,#REF!)</f>
        <v>#REF!</v>
      </c>
      <c r="S33" s="452"/>
      <c r="T33" s="452"/>
      <c r="U33" s="451" t="e">
        <f>SUMIF(#REF!,$B$33,#REF!)</f>
        <v>#REF!</v>
      </c>
      <c r="V33" s="451"/>
      <c r="W33" s="453"/>
    </row>
    <row r="34" spans="1:33" s="30" customFormat="1" ht="15">
      <c r="A34" s="31"/>
      <c r="B34" s="380" t="s">
        <v>376</v>
      </c>
      <c r="C34" s="329" t="s">
        <v>377</v>
      </c>
      <c r="D34" s="329"/>
      <c r="E34" s="329"/>
      <c r="F34" s="329"/>
      <c r="G34" s="329"/>
      <c r="H34" s="448" t="e">
        <f t="shared" si="3"/>
        <v>#REF!</v>
      </c>
      <c r="I34" s="451" t="e">
        <f>SUMIF(#REF!,$B$34,#REF!)</f>
        <v>#REF!</v>
      </c>
      <c r="J34" s="452"/>
      <c r="K34" s="452"/>
      <c r="L34" s="451" t="e">
        <f>SUMIF(#REF!,$B$34,#REF!)</f>
        <v>#REF!</v>
      </c>
      <c r="M34" s="452"/>
      <c r="N34" s="452"/>
      <c r="O34" s="451" t="e">
        <f>SUMIF(#REF!,$B$34,#REF!)</f>
        <v>#REF!</v>
      </c>
      <c r="P34" s="452"/>
      <c r="Q34" s="452"/>
      <c r="R34" s="451" t="e">
        <f>SUMIF(#REF!,$B$34,#REF!)</f>
        <v>#REF!</v>
      </c>
      <c r="S34" s="452"/>
      <c r="T34" s="452"/>
      <c r="U34" s="451" t="e">
        <f>SUMIF(#REF!,$B$34,#REF!)</f>
        <v>#REF!</v>
      </c>
      <c r="V34" s="451"/>
      <c r="W34" s="453"/>
    </row>
    <row r="35" spans="1:33" s="30" customFormat="1" ht="15">
      <c r="A35" s="410"/>
      <c r="B35" s="380"/>
      <c r="C35" s="329"/>
      <c r="D35" s="384"/>
      <c r="E35" s="329"/>
      <c r="F35" s="329"/>
      <c r="G35" s="329"/>
      <c r="H35" s="448"/>
      <c r="I35" s="451"/>
      <c r="J35" s="452"/>
      <c r="K35" s="452"/>
      <c r="L35" s="451"/>
      <c r="M35" s="452"/>
      <c r="N35" s="452"/>
      <c r="O35" s="451"/>
      <c r="P35" s="452"/>
      <c r="Q35" s="452"/>
      <c r="R35" s="451"/>
      <c r="S35" s="452"/>
      <c r="T35" s="452"/>
      <c r="U35" s="451"/>
      <c r="V35" s="451"/>
      <c r="W35" s="453"/>
    </row>
    <row r="36" spans="1:33" s="30" customFormat="1" ht="15">
      <c r="A36" s="410" t="s">
        <v>378</v>
      </c>
      <c r="B36" s="380" t="s">
        <v>379</v>
      </c>
      <c r="C36" s="329" t="s">
        <v>380</v>
      </c>
      <c r="D36" s="329"/>
      <c r="E36" s="329"/>
      <c r="F36" s="329"/>
      <c r="G36" s="329"/>
      <c r="H36" s="448" t="e">
        <f t="shared" ref="H36:H39" si="4">SUM(I36,L36,O36,R36,U36)</f>
        <v>#REF!</v>
      </c>
      <c r="I36" s="451" t="e">
        <f>SUMIF(#REF!,$B$36,#REF!)</f>
        <v>#REF!</v>
      </c>
      <c r="J36" s="452"/>
      <c r="K36" s="452"/>
      <c r="L36" s="451" t="e">
        <f>SUMIF(#REF!,$B$36,#REF!)</f>
        <v>#REF!</v>
      </c>
      <c r="M36" s="452"/>
      <c r="N36" s="452"/>
      <c r="O36" s="451" t="e">
        <f>SUMIF(#REF!,$B$36,#REF!)</f>
        <v>#REF!</v>
      </c>
      <c r="P36" s="452"/>
      <c r="Q36" s="452"/>
      <c r="R36" s="451" t="e">
        <f>SUMIF(#REF!,$B$36,#REF!)</f>
        <v>#REF!</v>
      </c>
      <c r="S36" s="452"/>
      <c r="T36" s="452"/>
      <c r="U36" s="451" t="e">
        <f>SUMIF(#REF!,$B$36,#REF!)</f>
        <v>#REF!</v>
      </c>
      <c r="V36" s="451"/>
      <c r="W36" s="453"/>
    </row>
    <row r="37" spans="1:33" s="30" customFormat="1" ht="15">
      <c r="A37" s="31"/>
      <c r="B37" s="380" t="s">
        <v>381</v>
      </c>
      <c r="C37" s="329" t="s">
        <v>382</v>
      </c>
      <c r="D37" s="329"/>
      <c r="E37" s="329"/>
      <c r="F37" s="329"/>
      <c r="G37" s="329"/>
      <c r="H37" s="448" t="e">
        <f t="shared" si="4"/>
        <v>#REF!</v>
      </c>
      <c r="I37" s="451" t="e">
        <f>SUMIF(#REF!,$B$37,#REF!)</f>
        <v>#REF!</v>
      </c>
      <c r="J37" s="452"/>
      <c r="K37" s="452"/>
      <c r="L37" s="451" t="e">
        <f>SUMIF(#REF!,$B$37,#REF!)</f>
        <v>#REF!</v>
      </c>
      <c r="M37" s="452"/>
      <c r="N37" s="452"/>
      <c r="O37" s="451" t="e">
        <f>SUMIF(#REF!,$B$37,#REF!)</f>
        <v>#REF!</v>
      </c>
      <c r="P37" s="452"/>
      <c r="Q37" s="452"/>
      <c r="R37" s="451" t="e">
        <f>SUMIF(#REF!,$B$37,#REF!)</f>
        <v>#REF!</v>
      </c>
      <c r="S37" s="452"/>
      <c r="T37" s="452"/>
      <c r="U37" s="451" t="e">
        <f>SUMIF(#REF!,$B$37,#REF!)</f>
        <v>#REF!</v>
      </c>
      <c r="V37" s="451"/>
      <c r="W37" s="453"/>
    </row>
    <row r="38" spans="1:33" s="30" customFormat="1" ht="15">
      <c r="A38" s="31"/>
      <c r="B38" s="380" t="s">
        <v>383</v>
      </c>
      <c r="C38" s="329" t="s">
        <v>384</v>
      </c>
      <c r="D38" s="329"/>
      <c r="E38" s="329"/>
      <c r="F38" s="329"/>
      <c r="G38" s="329"/>
      <c r="H38" s="448" t="e">
        <f t="shared" si="4"/>
        <v>#REF!</v>
      </c>
      <c r="I38" s="451" t="e">
        <f>SUMIF(#REF!,$B$38,#REF!)</f>
        <v>#REF!</v>
      </c>
      <c r="J38" s="452"/>
      <c r="K38" s="452"/>
      <c r="L38" s="451" t="e">
        <f>SUMIF(#REF!,$B$38,#REF!)</f>
        <v>#REF!</v>
      </c>
      <c r="M38" s="452"/>
      <c r="N38" s="452"/>
      <c r="O38" s="451" t="e">
        <f>SUMIF(#REF!,$B$38,#REF!)</f>
        <v>#REF!</v>
      </c>
      <c r="P38" s="452"/>
      <c r="Q38" s="452"/>
      <c r="R38" s="451" t="e">
        <f>SUMIF(#REF!,$B$38,#REF!)</f>
        <v>#REF!</v>
      </c>
      <c r="S38" s="452"/>
      <c r="T38" s="452"/>
      <c r="U38" s="451" t="e">
        <f>SUMIF(#REF!,$B$38,#REF!)</f>
        <v>#REF!</v>
      </c>
      <c r="V38" s="451"/>
      <c r="W38" s="453"/>
    </row>
    <row r="39" spans="1:33" s="30" customFormat="1" ht="15">
      <c r="A39" s="31"/>
      <c r="B39" s="380" t="s">
        <v>385</v>
      </c>
      <c r="C39" s="329" t="s">
        <v>386</v>
      </c>
      <c r="D39" s="329"/>
      <c r="E39" s="329"/>
      <c r="F39" s="329"/>
      <c r="G39" s="329"/>
      <c r="H39" s="448" t="e">
        <f t="shared" si="4"/>
        <v>#REF!</v>
      </c>
      <c r="I39" s="451" t="e">
        <f>SUMIF(#REF!,$B$39,#REF!)</f>
        <v>#REF!</v>
      </c>
      <c r="J39" s="452"/>
      <c r="K39" s="452"/>
      <c r="L39" s="451" t="e">
        <f>SUMIF(#REF!,$B$39,#REF!)</f>
        <v>#REF!</v>
      </c>
      <c r="M39" s="452"/>
      <c r="N39" s="452"/>
      <c r="O39" s="451" t="e">
        <f>SUMIF(#REF!,$B$39,#REF!)</f>
        <v>#REF!</v>
      </c>
      <c r="P39" s="452"/>
      <c r="Q39" s="452"/>
      <c r="R39" s="451" t="e">
        <f>SUMIF(#REF!,$B$39,#REF!)</f>
        <v>#REF!</v>
      </c>
      <c r="S39" s="452"/>
      <c r="T39" s="452"/>
      <c r="U39" s="451" t="e">
        <f>SUMIF(#REF!,$B$39,#REF!)</f>
        <v>#REF!</v>
      </c>
      <c r="V39" s="451"/>
      <c r="W39" s="453"/>
    </row>
    <row r="40" spans="1:33" s="30" customFormat="1" ht="15">
      <c r="A40" s="31"/>
      <c r="B40" s="380"/>
      <c r="C40" s="329"/>
      <c r="D40" s="329"/>
      <c r="E40" s="329"/>
      <c r="F40" s="329"/>
      <c r="G40" s="329"/>
      <c r="H40" s="448"/>
      <c r="I40" s="451"/>
      <c r="J40" s="452"/>
      <c r="K40" s="452"/>
      <c r="L40" s="451"/>
      <c r="M40" s="452"/>
      <c r="N40" s="452"/>
      <c r="O40" s="451"/>
      <c r="P40" s="452"/>
      <c r="Q40" s="452"/>
      <c r="R40" s="451"/>
      <c r="S40" s="452"/>
      <c r="T40" s="452"/>
      <c r="U40" s="451"/>
      <c r="V40" s="451"/>
      <c r="W40" s="453"/>
    </row>
    <row r="41" spans="1:33" s="30" customFormat="1" ht="15">
      <c r="A41" s="31"/>
      <c r="B41" s="368" t="s">
        <v>293</v>
      </c>
      <c r="C41" s="329"/>
      <c r="D41" s="329"/>
      <c r="E41" s="329"/>
      <c r="F41" s="329"/>
      <c r="G41" s="329"/>
      <c r="H41" s="448" t="e">
        <f>SUM(I41,L41,O41,R41,U41)</f>
        <v>#REF!</v>
      </c>
      <c r="I41" s="451" t="e">
        <f>SUM(L13:L40)</f>
        <v>#REF!</v>
      </c>
      <c r="J41" s="452"/>
      <c r="K41" s="452"/>
      <c r="L41" s="451" t="e">
        <f>SUM(O13:O40)</f>
        <v>#REF!</v>
      </c>
      <c r="M41" s="452"/>
      <c r="N41" s="452"/>
      <c r="O41" s="451" t="e">
        <f>SUM(R13:R40)</f>
        <v>#REF!</v>
      </c>
      <c r="P41" s="452"/>
      <c r="Q41" s="452"/>
      <c r="R41" s="451" t="e">
        <f>SUM(U13:U40)</f>
        <v>#REF!</v>
      </c>
      <c r="S41" s="452"/>
      <c r="T41" s="452"/>
      <c r="U41" s="451">
        <f>SUM(X13:X40)</f>
        <v>0</v>
      </c>
      <c r="V41" s="451"/>
      <c r="W41" s="453"/>
    </row>
    <row r="42" spans="1:33" s="30" customFormat="1" ht="15">
      <c r="A42" s="31"/>
      <c r="B42" s="367"/>
      <c r="C42" s="329"/>
      <c r="D42" s="329"/>
      <c r="E42" s="329"/>
      <c r="F42" s="329"/>
      <c r="G42" s="329"/>
      <c r="H42" s="448"/>
      <c r="I42" s="451"/>
      <c r="J42" s="452"/>
      <c r="K42" s="452"/>
      <c r="L42" s="451"/>
      <c r="M42" s="452"/>
      <c r="N42" s="452"/>
      <c r="O42" s="451"/>
      <c r="P42" s="452"/>
      <c r="Q42" s="452"/>
      <c r="R42" s="451"/>
      <c r="S42" s="452"/>
      <c r="T42" s="452"/>
      <c r="U42" s="451"/>
      <c r="V42" s="451"/>
      <c r="W42" s="453"/>
    </row>
    <row r="43" spans="1:33" s="30" customFormat="1" ht="15">
      <c r="A43" s="31"/>
      <c r="B43" s="380" t="s">
        <v>387</v>
      </c>
      <c r="C43" s="329" t="s">
        <v>388</v>
      </c>
      <c r="D43" s="329"/>
      <c r="E43" s="329"/>
      <c r="F43" s="329"/>
      <c r="G43" s="329"/>
      <c r="H43" s="448" t="e">
        <f>SUM(I43,L43,O43,R43,U43)</f>
        <v>#REF!</v>
      </c>
      <c r="I43" s="451" t="e">
        <f>SUMIF(#REF!,$B$43,#REF!)</f>
        <v>#REF!</v>
      </c>
      <c r="J43" s="452"/>
      <c r="K43" s="452"/>
      <c r="L43" s="451" t="e">
        <f>SUMIF(#REF!,$B$43,#REF!)</f>
        <v>#REF!</v>
      </c>
      <c r="M43" s="452"/>
      <c r="N43" s="452"/>
      <c r="O43" s="451" t="e">
        <f>SUMIF(#REF!,$B$43,#REF!)</f>
        <v>#REF!</v>
      </c>
      <c r="P43" s="452"/>
      <c r="Q43" s="452"/>
      <c r="R43" s="451" t="e">
        <f>SUMIF(#REF!,$B$43,#REF!)</f>
        <v>#REF!</v>
      </c>
      <c r="S43" s="452"/>
      <c r="T43" s="452"/>
      <c r="U43" s="451" t="e">
        <f>SUMIF(#REF!,$B$43,#REF!)</f>
        <v>#REF!</v>
      </c>
      <c r="V43" s="451"/>
      <c r="W43" s="453"/>
    </row>
    <row r="44" spans="1:33" s="30" customFormat="1" ht="15">
      <c r="A44" s="31"/>
      <c r="B44" s="367"/>
      <c r="C44" s="382"/>
      <c r="D44" s="329"/>
      <c r="E44" s="329"/>
      <c r="F44" s="329"/>
      <c r="G44" s="329"/>
      <c r="H44" s="448"/>
      <c r="I44" s="451"/>
      <c r="J44" s="452"/>
      <c r="K44" s="452"/>
      <c r="L44" s="451"/>
      <c r="M44" s="452"/>
      <c r="N44" s="452"/>
      <c r="O44" s="451"/>
      <c r="P44" s="452"/>
      <c r="Q44" s="452"/>
      <c r="R44" s="451"/>
      <c r="S44" s="452"/>
      <c r="T44" s="452"/>
      <c r="U44" s="451"/>
      <c r="V44" s="451"/>
      <c r="W44" s="453"/>
    </row>
    <row r="45" spans="1:33" s="30" customFormat="1" ht="15">
      <c r="A45" s="31"/>
      <c r="B45" s="380" t="s">
        <v>389</v>
      </c>
      <c r="C45" s="329" t="s">
        <v>390</v>
      </c>
      <c r="D45" s="329"/>
      <c r="E45" s="329"/>
      <c r="F45" s="329"/>
      <c r="G45" s="329"/>
      <c r="H45" s="448" t="e">
        <f>SUM(I45,L45,O45,R45,U45)</f>
        <v>#REF!</v>
      </c>
      <c r="I45" s="451" t="e">
        <f>SUMIF(#REF!,$B$45,#REF!)</f>
        <v>#REF!</v>
      </c>
      <c r="J45" s="452"/>
      <c r="K45" s="452"/>
      <c r="L45" s="451" t="e">
        <f>SUMIF(#REF!,$B$45,#REF!)</f>
        <v>#REF!</v>
      </c>
      <c r="M45" s="452"/>
      <c r="N45" s="452"/>
      <c r="O45" s="451" t="e">
        <f>SUMIF(#REF!,$B$45,#REF!)</f>
        <v>#REF!</v>
      </c>
      <c r="P45" s="452"/>
      <c r="Q45" s="452"/>
      <c r="R45" s="451" t="e">
        <f>SUMIF(#REF!,$B$45,#REF!)</f>
        <v>#REF!</v>
      </c>
      <c r="S45" s="452"/>
      <c r="T45" s="452"/>
      <c r="U45" s="451" t="e">
        <f>SUMIF(#REF!,$B$45,#REF!)</f>
        <v>#REF!</v>
      </c>
      <c r="V45" s="451"/>
      <c r="W45" s="453"/>
    </row>
    <row r="46" spans="1:33" s="30" customFormat="1" ht="15.3" thickBot="1">
      <c r="A46" s="31"/>
      <c r="B46" s="369"/>
      <c r="C46" s="383"/>
      <c r="D46" s="331"/>
      <c r="E46" s="331"/>
      <c r="F46" s="331"/>
      <c r="G46" s="331"/>
      <c r="H46" s="448"/>
      <c r="I46" s="365"/>
      <c r="J46" s="331"/>
      <c r="K46" s="331"/>
      <c r="L46" s="365"/>
      <c r="M46" s="331"/>
      <c r="N46" s="331"/>
      <c r="O46" s="365"/>
      <c r="P46" s="331"/>
      <c r="Q46" s="331"/>
      <c r="R46" s="365"/>
      <c r="S46" s="331"/>
      <c r="T46" s="331"/>
      <c r="U46" s="365"/>
      <c r="V46" s="365"/>
      <c r="W46" s="332"/>
    </row>
    <row r="47" spans="1:33" s="30" customFormat="1" ht="15.3" thickBot="1">
      <c r="A47" s="31"/>
      <c r="B47" s="413" t="s">
        <v>298</v>
      </c>
      <c r="C47" s="414"/>
      <c r="D47" s="327"/>
      <c r="E47" s="327"/>
      <c r="F47" s="327"/>
      <c r="G47" s="327"/>
      <c r="H47" s="412" t="e">
        <f>SUM(H41:H46)</f>
        <v>#REF!</v>
      </c>
      <c r="I47" s="412" t="e">
        <f>SUM(I41:I46)</f>
        <v>#REF!</v>
      </c>
      <c r="J47" s="327"/>
      <c r="K47" s="327"/>
      <c r="L47" s="412" t="e">
        <f>SUM(L41:L46)</f>
        <v>#REF!</v>
      </c>
      <c r="M47" s="327"/>
      <c r="N47" s="327"/>
      <c r="O47" s="412" t="e">
        <f>SUM(O41:O46)</f>
        <v>#REF!</v>
      </c>
      <c r="P47" s="327"/>
      <c r="Q47" s="327"/>
      <c r="R47" s="412" t="e">
        <f>SUM(R41:R46)</f>
        <v>#REF!</v>
      </c>
      <c r="S47" s="327"/>
      <c r="T47" s="327"/>
      <c r="U47" s="412" t="e">
        <f>SUM(U41:U46)</f>
        <v>#REF!</v>
      </c>
      <c r="V47" s="412"/>
      <c r="W47" s="328"/>
    </row>
    <row r="48" spans="1:33" s="14" customFormat="1">
      <c r="A48" s="29"/>
      <c r="B48" s="9"/>
      <c r="C48" s="9"/>
      <c r="D48" s="30"/>
      <c r="E48" s="9"/>
      <c r="F48" s="9"/>
      <c r="G48" s="9"/>
      <c r="H48" s="9"/>
      <c r="I48" s="9"/>
      <c r="J48" s="9"/>
      <c r="K48" s="9"/>
      <c r="L48" s="9"/>
      <c r="M48" s="9"/>
      <c r="N48" s="9"/>
      <c r="O48" s="9"/>
      <c r="P48" s="9"/>
      <c r="Q48" s="9"/>
      <c r="R48" s="9"/>
      <c r="S48" s="9"/>
      <c r="T48" s="9"/>
      <c r="U48" s="9"/>
      <c r="V48" s="9"/>
      <c r="W48" s="9"/>
      <c r="X48" s="9"/>
      <c r="Y48" s="9"/>
      <c r="AA48" s="5"/>
      <c r="AB48" s="9"/>
      <c r="AC48" s="9"/>
      <c r="AD48" s="9"/>
      <c r="AE48" s="9"/>
      <c r="AF48" s="9"/>
      <c r="AG48" s="9"/>
    </row>
    <row r="49" spans="1:33" s="14" customFormat="1">
      <c r="A49" s="31"/>
      <c r="B49" s="9" t="s">
        <v>391</v>
      </c>
      <c r="C49" s="9"/>
      <c r="D49" s="30"/>
      <c r="E49" s="9"/>
      <c r="F49" s="9"/>
      <c r="G49" s="9"/>
      <c r="H49" s="9"/>
      <c r="I49" s="174" t="e">
        <f>SUM(#REF!,#REF!,#REF!)</f>
        <v>#REF!</v>
      </c>
      <c r="J49" s="9"/>
      <c r="K49" s="9"/>
      <c r="L49" s="174" t="e">
        <f>SUM(#REF!,#REF!,#REF!)</f>
        <v>#REF!</v>
      </c>
      <c r="M49" s="9"/>
      <c r="N49" s="9"/>
      <c r="O49" s="174" t="e">
        <f>SUM(#REF!,#REF!,#REF!)</f>
        <v>#REF!</v>
      </c>
      <c r="P49" s="9"/>
      <c r="Q49" s="9"/>
      <c r="R49" s="174" t="e">
        <f>SUM(#REF!,#REF!,#REF!)</f>
        <v>#REF!</v>
      </c>
      <c r="S49" s="9"/>
      <c r="T49" s="9"/>
      <c r="U49" s="174" t="e">
        <f>SUM(#REF!,#REF!,#REF!)</f>
        <v>#REF!</v>
      </c>
      <c r="V49" s="174"/>
      <c r="W49" s="9"/>
      <c r="X49" s="9"/>
      <c r="Y49" s="9"/>
      <c r="AA49" s="5"/>
      <c r="AB49" s="9"/>
      <c r="AC49" s="9"/>
      <c r="AD49" s="9"/>
      <c r="AE49" s="9"/>
      <c r="AF49" s="9"/>
      <c r="AG49" s="9"/>
    </row>
    <row r="50" spans="1:33" s="14" customFormat="1">
      <c r="A50" s="29"/>
      <c r="B50" s="9"/>
      <c r="C50" s="9"/>
      <c r="D50" s="30"/>
      <c r="E50" s="9"/>
      <c r="F50" s="9"/>
      <c r="G50" s="9"/>
      <c r="H50" s="9"/>
      <c r="I50" s="9"/>
      <c r="J50" s="9"/>
      <c r="K50" s="9"/>
      <c r="L50" s="9"/>
      <c r="M50" s="9"/>
      <c r="N50" s="9"/>
      <c r="O50" s="9"/>
      <c r="P50" s="9"/>
      <c r="Q50" s="9"/>
      <c r="R50" s="9"/>
      <c r="S50" s="9"/>
      <c r="T50" s="9"/>
      <c r="U50" s="9"/>
      <c r="V50" s="9"/>
      <c r="W50" s="9"/>
      <c r="X50" s="9"/>
      <c r="Y50" s="9"/>
      <c r="AA50" s="5"/>
      <c r="AB50" s="9"/>
      <c r="AC50" s="9"/>
      <c r="AD50" s="9"/>
      <c r="AE50" s="9"/>
      <c r="AF50" s="9"/>
      <c r="AG50" s="9"/>
    </row>
    <row r="51" spans="1:33" s="14" customFormat="1">
      <c r="A51" s="29"/>
      <c r="B51" s="9"/>
      <c r="C51" s="9"/>
      <c r="D51" s="30"/>
      <c r="E51" s="9"/>
      <c r="F51" s="9"/>
      <c r="G51" s="9"/>
      <c r="H51" s="9"/>
      <c r="I51" s="9"/>
      <c r="J51" s="9"/>
      <c r="K51" s="9"/>
      <c r="L51" s="9"/>
      <c r="M51" s="9"/>
      <c r="N51" s="9"/>
      <c r="O51" s="9"/>
      <c r="P51" s="9"/>
      <c r="Q51" s="9"/>
      <c r="R51" s="9"/>
      <c r="S51" s="9"/>
      <c r="T51" s="9"/>
      <c r="U51" s="9"/>
      <c r="V51" s="9"/>
      <c r="W51" s="9"/>
      <c r="X51" s="9"/>
      <c r="Y51" s="9"/>
      <c r="AA51" s="5"/>
      <c r="AB51" s="9"/>
      <c r="AC51" s="9"/>
      <c r="AD51" s="9"/>
      <c r="AE51" s="9"/>
      <c r="AF51" s="9"/>
      <c r="AG51" s="9"/>
    </row>
    <row r="52" spans="1:33" s="14" customFormat="1">
      <c r="A52" s="29"/>
      <c r="B52" s="9"/>
      <c r="C52" s="9"/>
      <c r="D52" s="30"/>
      <c r="E52" s="9"/>
      <c r="F52" s="9"/>
      <c r="G52" s="9"/>
      <c r="H52" s="9"/>
      <c r="I52" s="9"/>
      <c r="J52" s="9"/>
      <c r="K52" s="9"/>
      <c r="L52" s="9"/>
      <c r="M52" s="9"/>
      <c r="N52" s="9"/>
      <c r="O52" s="9"/>
      <c r="P52" s="9"/>
      <c r="Q52" s="9"/>
      <c r="R52" s="9"/>
      <c r="S52" s="9"/>
      <c r="T52" s="9"/>
      <c r="U52" s="9"/>
      <c r="V52" s="9"/>
      <c r="W52" s="9"/>
      <c r="X52" s="9"/>
      <c r="Y52" s="9"/>
      <c r="AA52" s="5"/>
      <c r="AB52" s="9"/>
      <c r="AC52" s="9"/>
      <c r="AD52" s="9"/>
      <c r="AE52" s="9"/>
      <c r="AF52" s="9"/>
      <c r="AG52" s="9"/>
    </row>
    <row r="53" spans="1:33" s="14" customFormat="1">
      <c r="A53" s="29"/>
      <c r="B53" s="9"/>
      <c r="C53" s="9"/>
      <c r="D53" s="30"/>
      <c r="E53" s="9"/>
      <c r="F53" s="9"/>
      <c r="G53" s="9"/>
      <c r="H53" s="9"/>
      <c r="I53" s="9"/>
      <c r="J53" s="9"/>
      <c r="K53" s="9"/>
      <c r="L53" s="9"/>
      <c r="M53" s="9"/>
      <c r="N53" s="9"/>
      <c r="O53" s="9"/>
      <c r="P53" s="9"/>
      <c r="Q53" s="9"/>
      <c r="R53" s="9"/>
      <c r="S53" s="9"/>
      <c r="T53" s="9"/>
      <c r="U53" s="9"/>
      <c r="V53" s="9"/>
      <c r="W53" s="9"/>
      <c r="X53" s="9"/>
      <c r="Y53" s="9"/>
      <c r="AA53" s="5"/>
      <c r="AB53" s="9"/>
      <c r="AC53" s="9"/>
      <c r="AD53" s="9"/>
      <c r="AE53" s="9"/>
      <c r="AF53" s="9"/>
      <c r="AG53" s="9"/>
    </row>
    <row r="54" spans="1:33" s="14" customFormat="1">
      <c r="A54" s="29"/>
      <c r="B54" s="9"/>
      <c r="C54" s="9"/>
      <c r="D54" s="30"/>
      <c r="E54" s="9"/>
      <c r="F54" s="9"/>
      <c r="G54" s="9"/>
      <c r="H54" s="9"/>
      <c r="I54" s="9"/>
      <c r="J54" s="9"/>
      <c r="K54" s="9"/>
      <c r="L54" s="9"/>
      <c r="M54" s="9"/>
      <c r="N54" s="9"/>
      <c r="O54" s="9"/>
      <c r="P54" s="9"/>
      <c r="Q54" s="9"/>
      <c r="R54" s="9"/>
      <c r="S54" s="9"/>
      <c r="T54" s="9"/>
      <c r="U54" s="9"/>
      <c r="V54" s="9"/>
      <c r="W54" s="9"/>
      <c r="X54" s="9"/>
      <c r="Y54" s="9"/>
      <c r="AA54" s="5"/>
      <c r="AB54" s="9"/>
      <c r="AC54" s="9"/>
      <c r="AD54" s="9"/>
      <c r="AE54" s="9"/>
      <c r="AF54" s="9"/>
      <c r="AG54" s="9"/>
    </row>
    <row r="55" spans="1:33" s="14" customFormat="1">
      <c r="A55" s="29"/>
      <c r="B55" s="9"/>
      <c r="C55" s="9"/>
      <c r="D55" s="30"/>
      <c r="E55" s="9"/>
      <c r="F55" s="9"/>
      <c r="G55" s="9"/>
      <c r="H55" s="9"/>
      <c r="I55" s="9"/>
      <c r="J55" s="9"/>
      <c r="K55" s="9"/>
      <c r="L55" s="9"/>
      <c r="M55" s="9"/>
      <c r="N55" s="9"/>
      <c r="O55" s="9"/>
      <c r="P55" s="9"/>
      <c r="Q55" s="9"/>
      <c r="R55" s="9"/>
      <c r="S55" s="9"/>
      <c r="T55" s="9"/>
      <c r="U55" s="9"/>
      <c r="V55" s="9"/>
      <c r="W55" s="9"/>
      <c r="X55" s="9"/>
      <c r="Y55" s="9"/>
      <c r="AA55" s="5"/>
      <c r="AB55" s="9"/>
      <c r="AC55" s="9"/>
      <c r="AD55" s="9"/>
      <c r="AE55" s="9"/>
      <c r="AF55" s="9"/>
      <c r="AG55" s="9"/>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c r="C57" s="9"/>
      <c r="D57" s="30"/>
      <c r="E57" s="9"/>
      <c r="F57" s="9"/>
      <c r="G57" s="9"/>
      <c r="H57" s="9"/>
      <c r="I57" s="9"/>
      <c r="J57" s="9"/>
      <c r="K57" s="9"/>
      <c r="L57" s="9"/>
      <c r="M57" s="9"/>
      <c r="N57" s="9"/>
      <c r="O57" s="9"/>
      <c r="P57" s="9"/>
      <c r="Q57" s="9"/>
      <c r="R57" s="9"/>
      <c r="S57" s="9"/>
      <c r="T57" s="9"/>
      <c r="U57" s="9"/>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16"/>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16"/>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16"/>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16"/>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16"/>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16"/>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16"/>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16"/>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2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c r="A139" s="29"/>
      <c r="D139" s="16"/>
    </row>
    <row r="140" spans="1:33">
      <c r="A140" s="29"/>
      <c r="D140" s="16"/>
    </row>
  </sheetData>
  <sheetProtection formatColumns="0" formatRows="0" insertRows="0" autoFilter="0"/>
  <pageMargins left="0.5" right="0.5" top="0.5" bottom="0.5" header="0" footer="0.25"/>
  <pageSetup scale="47"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499984740745262"/>
    <pageSetUpPr fitToPage="1"/>
  </sheetPr>
  <dimension ref="A1:AG149"/>
  <sheetViews>
    <sheetView zoomScale="60" zoomScaleNormal="60" zoomScaleSheetLayoutView="70" workbookViewId="0">
      <pane xSplit="7" ySplit="13" topLeftCell="H14" activePane="bottomRight" state="frozen"/>
      <selection pane="topRight" activeCell="B43" sqref="B43"/>
      <selection pane="bottomLeft" activeCell="B43" sqref="B43"/>
      <selection pane="bottomRight" activeCell="H59" sqref="H59"/>
    </sheetView>
  </sheetViews>
  <sheetFormatPr defaultColWidth="9.71875" defaultRowHeight="12.3"/>
  <cols>
    <col min="1" max="1" width="15.44140625" style="19" bestFit="1" customWidth="1"/>
    <col min="2" max="2" width="15.5546875" style="9" customWidth="1"/>
    <col min="3" max="3" width="29" style="9" customWidth="1"/>
    <col min="4" max="4" width="12.27734375" style="13" customWidth="1"/>
    <col min="5" max="5" width="49.27734375" style="9" bestFit="1" customWidth="1"/>
    <col min="6" max="6" width="10.5546875" style="9" hidden="1" customWidth="1"/>
    <col min="7" max="7" width="9.27734375" style="9" hidden="1" customWidth="1"/>
    <col min="8" max="9" width="20.71875" style="9" customWidth="1"/>
    <col min="10" max="11" width="20.71875" style="9" hidden="1" customWidth="1"/>
    <col min="12" max="12" width="20.71875" style="9" customWidth="1"/>
    <col min="13" max="14" width="20.71875" style="9" hidden="1" customWidth="1"/>
    <col min="15" max="15" width="20.71875" style="9" customWidth="1"/>
    <col min="16" max="17" width="20.71875" style="9" hidden="1" customWidth="1"/>
    <col min="18" max="18" width="20.71875" style="9" customWidth="1"/>
    <col min="19" max="20" width="20.71875" style="9" hidden="1" customWidth="1"/>
    <col min="21" max="21" width="20.71875" style="9" customWidth="1"/>
    <col min="22" max="23" width="20.71875" style="9" hidden="1" customWidth="1"/>
    <col min="24" max="24" width="16" style="9" customWidth="1"/>
    <col min="25" max="25" width="15.71875" style="14" customWidth="1"/>
    <col min="26" max="26" width="13.71875" style="14" customWidth="1"/>
    <col min="27" max="27" width="12.44140625" style="5" bestFit="1" customWidth="1"/>
    <col min="28" max="16384" width="9.71875" style="9"/>
  </cols>
  <sheetData>
    <row r="1" spans="1:27" s="8" customFormat="1" ht="20.100000000000001">
      <c r="A1" s="19"/>
      <c r="C1" s="4"/>
      <c r="D1" s="441" t="s">
        <v>327</v>
      </c>
      <c r="M1" s="9"/>
      <c r="N1" s="10"/>
      <c r="P1" s="24"/>
      <c r="Q1" s="25"/>
      <c r="R1" s="25"/>
      <c r="T1" s="25"/>
      <c r="U1" s="25"/>
      <c r="V1" s="25"/>
      <c r="W1" s="24"/>
      <c r="Z1" s="11"/>
    </row>
    <row r="2" spans="1:27" s="8" customFormat="1" ht="15">
      <c r="A2" s="19"/>
      <c r="C2" s="315"/>
      <c r="D2" s="442" t="str">
        <f>Assumptions!B5</f>
        <v>DONOR:</v>
      </c>
      <c r="E2" s="315" t="str">
        <f>Assumptions!C5</f>
        <v>USDOL</v>
      </c>
      <c r="M2" s="9"/>
      <c r="N2" s="9"/>
      <c r="O2" s="9"/>
      <c r="P2" s="27"/>
      <c r="Q2" s="12"/>
      <c r="R2" s="12"/>
      <c r="T2" s="9"/>
      <c r="V2" s="9"/>
      <c r="Y2" s="11"/>
      <c r="Z2" s="11"/>
      <c r="AA2" s="12"/>
    </row>
    <row r="3" spans="1:27" s="8" customFormat="1" ht="15">
      <c r="A3" s="19"/>
      <c r="C3" s="315"/>
      <c r="D3" s="442" t="str">
        <f>Assumptions!B6</f>
        <v>Country:</v>
      </c>
      <c r="E3" s="315" t="str">
        <f>Assumptions!C6</f>
        <v>Ecuador</v>
      </c>
      <c r="M3" s="9"/>
      <c r="N3" s="9"/>
      <c r="O3" s="9"/>
      <c r="P3" s="27"/>
      <c r="Q3" s="12"/>
      <c r="R3" s="12"/>
      <c r="T3" s="9"/>
      <c r="V3" s="9"/>
      <c r="W3" s="1025"/>
      <c r="Y3" s="11"/>
      <c r="Z3" s="11"/>
      <c r="AA3" s="12"/>
    </row>
    <row r="4" spans="1:27" ht="15">
      <c r="C4" s="315"/>
      <c r="D4" s="442" t="str">
        <f>Assumptions!B7</f>
        <v>Program Name:</v>
      </c>
      <c r="E4" s="315" t="str">
        <f>Assumptions!C7</f>
        <v>Project to Improve Adherence to International Labor Standards in the Agricultural Sector in Ecuador</v>
      </c>
      <c r="F4" s="8"/>
      <c r="S4" s="1026"/>
      <c r="W4" s="1025"/>
    </row>
    <row r="5" spans="1:27" ht="15">
      <c r="C5" s="315"/>
      <c r="D5" s="442" t="str">
        <f>Assumptions!B8</f>
        <v>Grant Number:</v>
      </c>
      <c r="E5" s="315" t="str">
        <f>Assumptions!C8</f>
        <v>FOA-ILAB-23-28</v>
      </c>
      <c r="I5"/>
      <c r="S5" s="1026"/>
      <c r="W5" s="1025"/>
    </row>
    <row r="6" spans="1:27" ht="15">
      <c r="C6" s="315"/>
      <c r="D6" s="442" t="str">
        <f>Assumptions!B9</f>
        <v>Period of Performance:</v>
      </c>
      <c r="E6" s="463" t="str">
        <f>Assumptions!C9</f>
        <v>48 months</v>
      </c>
      <c r="H6" s="462">
        <f>Assumptions!G9</f>
        <v>0</v>
      </c>
      <c r="S6" s="1026"/>
    </row>
    <row r="7" spans="1:27" ht="15">
      <c r="C7" s="315"/>
      <c r="D7" s="315"/>
      <c r="T7" s="5"/>
      <c r="V7" s="5"/>
      <c r="Y7" s="9"/>
      <c r="Z7" s="9"/>
      <c r="AA7" s="9"/>
    </row>
    <row r="8" spans="1:27" ht="20.100000000000001">
      <c r="C8" s="315"/>
      <c r="D8" s="4" t="s">
        <v>406</v>
      </c>
      <c r="T8" s="5"/>
      <c r="V8" s="5"/>
      <c r="Y8" s="9"/>
      <c r="Z8" s="9"/>
      <c r="AA8" s="9"/>
    </row>
    <row r="9" spans="1:27" ht="15">
      <c r="C9" s="315"/>
      <c r="D9" s="315" t="s">
        <v>407</v>
      </c>
      <c r="T9" s="5"/>
      <c r="V9" s="5"/>
      <c r="Y9" s="9"/>
      <c r="Z9" s="9"/>
      <c r="AA9" s="9"/>
    </row>
    <row r="10" spans="1:27" s="105" customFormat="1" ht="20.100000000000001">
      <c r="A10" s="19"/>
      <c r="C10" s="4"/>
      <c r="D10" s="409" t="s">
        <v>408</v>
      </c>
      <c r="E10" s="443"/>
      <c r="F10" s="443"/>
      <c r="G10" s="443"/>
      <c r="H10" s="443"/>
      <c r="I10" s="9"/>
      <c r="J10" s="9"/>
      <c r="K10" s="9"/>
      <c r="L10" s="9"/>
      <c r="M10" s="9"/>
      <c r="N10" s="9"/>
      <c r="O10" s="9"/>
      <c r="P10" s="9"/>
      <c r="Q10" s="9"/>
      <c r="R10" s="9"/>
      <c r="S10" s="9"/>
    </row>
    <row r="11" spans="1:27" s="105" customFormat="1" ht="20.100000000000001">
      <c r="A11" s="19"/>
      <c r="C11" s="4"/>
      <c r="D11" s="443"/>
      <c r="E11" s="429" t="s">
        <v>409</v>
      </c>
      <c r="F11" s="444"/>
      <c r="G11" s="444"/>
      <c r="H11" s="9"/>
      <c r="I11" s="450" t="s">
        <v>410</v>
      </c>
      <c r="J11" s="447"/>
      <c r="K11" s="447"/>
      <c r="L11" s="450" t="s">
        <v>411</v>
      </c>
      <c r="M11" s="447"/>
      <c r="N11" s="447"/>
      <c r="O11" s="450" t="s">
        <v>412</v>
      </c>
      <c r="P11" s="447"/>
      <c r="Q11" s="447"/>
      <c r="R11" s="450" t="s">
        <v>413</v>
      </c>
      <c r="S11" s="447"/>
      <c r="T11" s="447"/>
      <c r="U11" s="450" t="s">
        <v>414</v>
      </c>
      <c r="V11" s="447"/>
      <c r="W11" s="447"/>
    </row>
    <row r="12" spans="1:27" s="30" customFormat="1" ht="15.3" thickBot="1">
      <c r="A12" s="19"/>
      <c r="B12" s="1060"/>
      <c r="C12" s="1060"/>
      <c r="D12" s="173"/>
      <c r="E12" s="173"/>
      <c r="F12" s="173"/>
      <c r="G12" s="173"/>
      <c r="H12" s="173"/>
      <c r="I12" s="173"/>
      <c r="J12" s="173"/>
      <c r="K12" s="173"/>
      <c r="L12" s="173"/>
      <c r="M12" s="173"/>
      <c r="N12" s="173"/>
      <c r="O12" s="173"/>
      <c r="P12" s="173"/>
      <c r="Q12" s="173"/>
      <c r="R12" s="173"/>
      <c r="S12" s="173"/>
      <c r="T12" s="173"/>
      <c r="U12" s="173"/>
      <c r="V12" s="173"/>
      <c r="W12" s="173"/>
      <c r="X12" s="31"/>
      <c r="Y12" s="31"/>
    </row>
    <row r="13" spans="1:27" s="440" customFormat="1" ht="30.3" thickBot="1">
      <c r="A13" s="445" t="s">
        <v>344</v>
      </c>
      <c r="B13" s="411" t="s">
        <v>345</v>
      </c>
      <c r="C13" s="438" t="s">
        <v>346</v>
      </c>
      <c r="D13" s="446" t="s">
        <v>347</v>
      </c>
      <c r="E13" s="438" t="s">
        <v>346</v>
      </c>
      <c r="F13" s="437"/>
      <c r="G13" s="437"/>
      <c r="H13" s="449" t="s">
        <v>393</v>
      </c>
      <c r="I13" s="418" t="e">
        <f>#REF!</f>
        <v>#REF!</v>
      </c>
      <c r="J13" s="437"/>
      <c r="K13" s="437"/>
      <c r="L13" s="418" t="e">
        <f>#REF!</f>
        <v>#REF!</v>
      </c>
      <c r="M13" s="437"/>
      <c r="N13" s="437"/>
      <c r="O13" s="418" t="e">
        <f>#REF!</f>
        <v>#REF!</v>
      </c>
      <c r="P13" s="437"/>
      <c r="Q13" s="437"/>
      <c r="R13" s="418" t="e">
        <f>#REF!</f>
        <v>#REF!</v>
      </c>
      <c r="S13" s="437"/>
      <c r="T13" s="437"/>
      <c r="U13" s="418" t="e">
        <f>#REF!</f>
        <v>#REF!</v>
      </c>
      <c r="V13" s="437"/>
      <c r="W13" s="438"/>
    </row>
    <row r="14" spans="1:27" s="30" customFormat="1" ht="15">
      <c r="A14" s="31"/>
      <c r="B14" s="373"/>
      <c r="C14" s="371"/>
      <c r="D14" s="371"/>
      <c r="E14" s="361"/>
      <c r="F14" s="361"/>
      <c r="G14" s="361"/>
      <c r="H14" s="361"/>
      <c r="I14" s="370"/>
      <c r="J14" s="370"/>
      <c r="K14" s="370"/>
      <c r="L14" s="370"/>
      <c r="M14" s="370"/>
      <c r="N14" s="370"/>
      <c r="O14" s="370"/>
      <c r="P14" s="370"/>
      <c r="Q14" s="370"/>
      <c r="R14" s="370"/>
      <c r="S14" s="370"/>
      <c r="T14" s="370"/>
      <c r="U14" s="370"/>
      <c r="V14" s="370"/>
      <c r="W14" s="370"/>
    </row>
    <row r="15" spans="1:27" s="30" customFormat="1" ht="15">
      <c r="A15" s="410" t="s">
        <v>162</v>
      </c>
      <c r="B15" s="380" t="s">
        <v>348</v>
      </c>
      <c r="C15" s="384" t="s">
        <v>415</v>
      </c>
      <c r="D15" s="384" t="s">
        <v>416</v>
      </c>
      <c r="E15" s="329" t="s">
        <v>417</v>
      </c>
      <c r="F15" s="329"/>
      <c r="G15" s="329"/>
      <c r="H15" s="448" t="e">
        <f>SUM(I15,L15,O15,R15,U15)</f>
        <v>#REF!</v>
      </c>
      <c r="I15" s="451" t="e">
        <f>SUMIF(#REF!,$D$15,#REF!)</f>
        <v>#REF!</v>
      </c>
      <c r="J15" s="452"/>
      <c r="K15" s="452"/>
      <c r="L15" s="451" t="e">
        <f>SUMIF(#REF!,$D$15,#REF!)</f>
        <v>#REF!</v>
      </c>
      <c r="M15" s="452"/>
      <c r="N15" s="452"/>
      <c r="O15" s="451" t="e">
        <f>SUMIF(#REF!,$D$15,#REF!)</f>
        <v>#REF!</v>
      </c>
      <c r="P15" s="452"/>
      <c r="Q15" s="452"/>
      <c r="R15" s="451" t="e">
        <f>SUMIF(#REF!,$D$15,#REF!)</f>
        <v>#REF!</v>
      </c>
      <c r="S15" s="452"/>
      <c r="T15" s="452"/>
      <c r="U15" s="451" t="e">
        <f>SUMIF(#REF!,$D$15,#REF!)</f>
        <v>#REF!</v>
      </c>
      <c r="V15" s="452"/>
      <c r="W15" s="453"/>
    </row>
    <row r="16" spans="1:27" s="30" customFormat="1" ht="15">
      <c r="A16" s="410" t="s">
        <v>180</v>
      </c>
      <c r="B16" s="380" t="s">
        <v>352</v>
      </c>
      <c r="C16" s="384" t="s">
        <v>180</v>
      </c>
      <c r="D16" s="384" t="s">
        <v>418</v>
      </c>
      <c r="E16" s="329" t="s">
        <v>419</v>
      </c>
      <c r="F16" s="329"/>
      <c r="G16" s="329"/>
      <c r="H16" s="448" t="e">
        <f t="shared" ref="H16:H56" si="0">SUM(I16,L16,O16,R16,U16)</f>
        <v>#REF!</v>
      </c>
      <c r="I16" s="451" t="e">
        <f>SUMIF(#REF!,$D$16,#REF!)</f>
        <v>#REF!</v>
      </c>
      <c r="J16" s="452"/>
      <c r="K16" s="452"/>
      <c r="L16" s="451" t="e">
        <f>SUMIF(#REF!,$D$16,#REF!)</f>
        <v>#REF!</v>
      </c>
      <c r="M16" s="452"/>
      <c r="N16" s="452"/>
      <c r="O16" s="451" t="e">
        <f>SUMIF(#REF!,$D$16,#REF!)</f>
        <v>#REF!</v>
      </c>
      <c r="P16" s="452"/>
      <c r="Q16" s="452"/>
      <c r="R16" s="451" t="e">
        <f>SUMIF(#REF!,$D$16,#REF!)</f>
        <v>#REF!</v>
      </c>
      <c r="S16" s="452"/>
      <c r="T16" s="452"/>
      <c r="U16" s="451" t="e">
        <f>SUMIF(#REF!,$D$16,#REF!)</f>
        <v>#REF!</v>
      </c>
      <c r="V16" s="452"/>
      <c r="W16" s="453"/>
    </row>
    <row r="17" spans="1:23" s="30" customFormat="1" ht="15">
      <c r="A17" s="410" t="s">
        <v>184</v>
      </c>
      <c r="B17" s="380" t="s">
        <v>353</v>
      </c>
      <c r="C17" s="329" t="s">
        <v>354</v>
      </c>
      <c r="D17" s="384" t="s">
        <v>420</v>
      </c>
      <c r="E17" s="329" t="s">
        <v>421</v>
      </c>
      <c r="F17" s="329"/>
      <c r="G17" s="329"/>
      <c r="H17" s="448" t="e">
        <f t="shared" si="0"/>
        <v>#REF!</v>
      </c>
      <c r="I17" s="451" t="e">
        <f>SUMIF(#REF!,$D$17,#REF!)</f>
        <v>#REF!</v>
      </c>
      <c r="J17" s="452"/>
      <c r="K17" s="452"/>
      <c r="L17" s="451" t="e">
        <f>SUMIF(#REF!,$D$17,#REF!)</f>
        <v>#REF!</v>
      </c>
      <c r="M17" s="452"/>
      <c r="N17" s="452"/>
      <c r="O17" s="451" t="e">
        <f>SUMIF(#REF!,$D$17,#REF!)</f>
        <v>#REF!</v>
      </c>
      <c r="P17" s="452"/>
      <c r="Q17" s="452"/>
      <c r="R17" s="451" t="e">
        <f>SUMIF(#REF!,$D$17,#REF!)</f>
        <v>#REF!</v>
      </c>
      <c r="S17" s="452"/>
      <c r="T17" s="452"/>
      <c r="U17" s="451" t="e">
        <f>SUMIF(#REF!,$D$17,#REF!)</f>
        <v>#REF!</v>
      </c>
      <c r="V17" s="452"/>
      <c r="W17" s="453"/>
    </row>
    <row r="18" spans="1:23" s="30" customFormat="1" ht="15">
      <c r="A18" s="29"/>
      <c r="B18" s="380" t="s">
        <v>355</v>
      </c>
      <c r="C18" s="329" t="s">
        <v>356</v>
      </c>
      <c r="D18" s="384" t="s">
        <v>422</v>
      </c>
      <c r="E18" s="329" t="s">
        <v>356</v>
      </c>
      <c r="F18" s="329"/>
      <c r="G18" s="329"/>
      <c r="H18" s="448" t="e">
        <f t="shared" si="0"/>
        <v>#REF!</v>
      </c>
      <c r="I18" s="451" t="e">
        <f>SUMIF(#REF!,$D$18,#REF!)</f>
        <v>#REF!</v>
      </c>
      <c r="J18" s="452"/>
      <c r="K18" s="452"/>
      <c r="L18" s="451" t="e">
        <f>SUMIF(#REF!,$D$18,#REF!)</f>
        <v>#REF!</v>
      </c>
      <c r="M18" s="452"/>
      <c r="N18" s="452"/>
      <c r="O18" s="451" t="e">
        <f>SUMIF(#REF!,$D$18,#REF!)</f>
        <v>#REF!</v>
      </c>
      <c r="P18" s="452"/>
      <c r="Q18" s="452"/>
      <c r="R18" s="451" t="e">
        <f>SUMIF(#REF!,$D$18,#REF!)</f>
        <v>#REF!</v>
      </c>
      <c r="S18" s="452"/>
      <c r="T18" s="452"/>
      <c r="U18" s="451" t="e">
        <f>SUMIF(#REF!,$D$18,#REF!)</f>
        <v>#REF!</v>
      </c>
      <c r="V18" s="452"/>
      <c r="W18" s="453"/>
    </row>
    <row r="19" spans="1:23" s="30" customFormat="1" ht="15">
      <c r="A19" s="29"/>
      <c r="B19" s="367"/>
      <c r="C19" s="329"/>
      <c r="D19" s="384" t="s">
        <v>423</v>
      </c>
      <c r="E19" s="329" t="s">
        <v>424</v>
      </c>
      <c r="F19" s="329"/>
      <c r="G19" s="329"/>
      <c r="H19" s="448" t="e">
        <f t="shared" si="0"/>
        <v>#REF!</v>
      </c>
      <c r="I19" s="451" t="e">
        <f>SUMIF(#REF!,$D$19,#REF!)</f>
        <v>#REF!</v>
      </c>
      <c r="J19" s="452"/>
      <c r="K19" s="452"/>
      <c r="L19" s="451" t="e">
        <f>SUMIF(#REF!,$D$19,#REF!)</f>
        <v>#REF!</v>
      </c>
      <c r="M19" s="452"/>
      <c r="N19" s="452"/>
      <c r="O19" s="451" t="e">
        <f>SUMIF(#REF!,$D$19,#REF!)</f>
        <v>#REF!</v>
      </c>
      <c r="P19" s="452"/>
      <c r="Q19" s="452"/>
      <c r="R19" s="451" t="e">
        <f>SUMIF(#REF!,$D$19,#REF!)</f>
        <v>#REF!</v>
      </c>
      <c r="S19" s="452"/>
      <c r="T19" s="452"/>
      <c r="U19" s="451" t="e">
        <f>SUMIF(#REF!,$D$19,#REF!)</f>
        <v>#REF!</v>
      </c>
      <c r="V19" s="452"/>
      <c r="W19" s="453"/>
    </row>
    <row r="20" spans="1:23" s="30" customFormat="1" ht="15">
      <c r="A20" s="410" t="s">
        <v>206</v>
      </c>
      <c r="B20" s="380" t="s">
        <v>357</v>
      </c>
      <c r="C20" s="384" t="s">
        <v>358</v>
      </c>
      <c r="D20" s="384" t="s">
        <v>402</v>
      </c>
      <c r="E20" s="329" t="s">
        <v>403</v>
      </c>
      <c r="F20" s="329"/>
      <c r="G20" s="329"/>
      <c r="H20" s="448" t="e">
        <f t="shared" si="0"/>
        <v>#REF!</v>
      </c>
      <c r="I20" s="451" t="e">
        <f>SUMIF(#REF!,$D$20,#REF!)</f>
        <v>#REF!</v>
      </c>
      <c r="J20" s="452"/>
      <c r="K20" s="452"/>
      <c r="L20" s="451" t="e">
        <f>SUMIF(#REF!,$D$20,#REF!)</f>
        <v>#REF!</v>
      </c>
      <c r="M20" s="452"/>
      <c r="N20" s="452"/>
      <c r="O20" s="451" t="e">
        <f>SUMIF(#REF!,$D$20,#REF!)</f>
        <v>#REF!</v>
      </c>
      <c r="P20" s="452"/>
      <c r="Q20" s="452"/>
      <c r="R20" s="451" t="e">
        <f>SUMIF(#REF!,$D$20,#REF!)</f>
        <v>#REF!</v>
      </c>
      <c r="S20" s="452"/>
      <c r="T20" s="452"/>
      <c r="U20" s="451" t="e">
        <f>SUMIF(#REF!,$D$20,#REF!)</f>
        <v>#REF!</v>
      </c>
      <c r="V20" s="452"/>
      <c r="W20" s="453"/>
    </row>
    <row r="21" spans="1:23" s="30" customFormat="1" ht="15">
      <c r="A21" s="410"/>
      <c r="B21" s="380" t="s">
        <v>357</v>
      </c>
      <c r="C21" s="384" t="s">
        <v>358</v>
      </c>
      <c r="D21" s="384" t="s">
        <v>404</v>
      </c>
      <c r="E21" s="329" t="s">
        <v>405</v>
      </c>
      <c r="F21" s="329"/>
      <c r="G21" s="329"/>
      <c r="H21" s="448" t="e">
        <f t="shared" si="0"/>
        <v>#REF!</v>
      </c>
      <c r="I21" s="451" t="e">
        <f>SUMIF(#REF!,$D$21,#REF!)</f>
        <v>#REF!</v>
      </c>
      <c r="J21" s="452"/>
      <c r="K21" s="452"/>
      <c r="L21" s="451" t="e">
        <f>SUMIF(#REF!,$D$21,#REF!)</f>
        <v>#REF!</v>
      </c>
      <c r="M21" s="452"/>
      <c r="N21" s="452"/>
      <c r="O21" s="451" t="e">
        <f>SUMIF(#REF!,$D$21,#REF!)</f>
        <v>#REF!</v>
      </c>
      <c r="P21" s="452"/>
      <c r="Q21" s="452"/>
      <c r="R21" s="451" t="e">
        <f>SUMIF(#REF!,$D$21,#REF!)</f>
        <v>#REF!</v>
      </c>
      <c r="S21" s="452"/>
      <c r="T21" s="452"/>
      <c r="U21" s="451" t="e">
        <f>SUMIF(#REF!,$D$21,#REF!)</f>
        <v>#REF!</v>
      </c>
      <c r="V21" s="452"/>
      <c r="W21" s="453"/>
    </row>
    <row r="22" spans="1:23" s="30" customFormat="1" ht="15">
      <c r="A22" s="31"/>
      <c r="B22" s="380" t="s">
        <v>357</v>
      </c>
      <c r="C22" s="384" t="s">
        <v>358</v>
      </c>
      <c r="D22" s="384">
        <v>633027</v>
      </c>
      <c r="E22" s="329" t="s">
        <v>425</v>
      </c>
      <c r="F22" s="329"/>
      <c r="G22" s="329"/>
      <c r="H22" s="448" t="e">
        <f t="shared" si="0"/>
        <v>#REF!</v>
      </c>
      <c r="I22" s="451" t="e">
        <f>SUMIF(#REF!,$D$22,#REF!)</f>
        <v>#REF!</v>
      </c>
      <c r="J22" s="451" t="e">
        <f>SUMIF(#REF!,$D$22,#REF!)</f>
        <v>#REF!</v>
      </c>
      <c r="K22" s="451" t="e">
        <f>SUMIF(#REF!,$D$22,#REF!)</f>
        <v>#REF!</v>
      </c>
      <c r="L22" s="451" t="e">
        <f>SUMIF(#REF!,$D$22,#REF!)</f>
        <v>#REF!</v>
      </c>
      <c r="M22" s="451" t="e">
        <f>SUMIF(#REF!,$D$22,#REF!)</f>
        <v>#REF!</v>
      </c>
      <c r="N22" s="451" t="e">
        <f>SUMIF(#REF!,$D$22,#REF!)</f>
        <v>#REF!</v>
      </c>
      <c r="O22" s="451" t="e">
        <f>SUMIF(#REF!,$D$22,#REF!)</f>
        <v>#REF!</v>
      </c>
      <c r="P22" s="451" t="e">
        <f>SUMIF(#REF!,$D$22,#REF!)</f>
        <v>#REF!</v>
      </c>
      <c r="Q22" s="451" t="e">
        <f>SUMIF(#REF!,$D$22,#REF!)</f>
        <v>#REF!</v>
      </c>
      <c r="R22" s="451" t="e">
        <f>SUMIF(#REF!,$D$22,#REF!)</f>
        <v>#REF!</v>
      </c>
      <c r="S22" s="451" t="e">
        <f>SUMIF(#REF!,$D$22,#REF!)</f>
        <v>#REF!</v>
      </c>
      <c r="T22" s="451" t="e">
        <f>SUMIF(#REF!,$D$22,#REF!)</f>
        <v>#REF!</v>
      </c>
      <c r="U22" s="451" t="e">
        <f>SUMIF(#REF!,$D$22,#REF!)</f>
        <v>#REF!</v>
      </c>
      <c r="V22" s="451" t="e">
        <f>SUMIF(#REF!,$D$22,#REF!)</f>
        <v>#REF!</v>
      </c>
      <c r="W22" s="451" t="e">
        <f>SUMIF(#REF!,$D$22,#REF!)</f>
        <v>#REF!</v>
      </c>
    </row>
    <row r="23" spans="1:23" s="30" customFormat="1" ht="15">
      <c r="B23" s="380" t="s">
        <v>357</v>
      </c>
      <c r="C23" s="384" t="s">
        <v>358</v>
      </c>
      <c r="D23" s="384" t="s">
        <v>359</v>
      </c>
      <c r="E23" s="329" t="s">
        <v>360</v>
      </c>
      <c r="F23" s="329"/>
      <c r="G23" s="329"/>
      <c r="H23" s="448" t="e">
        <f t="shared" si="0"/>
        <v>#REF!</v>
      </c>
      <c r="I23" s="451" t="e">
        <f>SUMIF(#REF!,$D$23,#REF!)</f>
        <v>#REF!</v>
      </c>
      <c r="J23" s="452"/>
      <c r="K23" s="452"/>
      <c r="L23" s="451" t="e">
        <f>SUMIF(#REF!,$D$23,#REF!)</f>
        <v>#REF!</v>
      </c>
      <c r="M23" s="452"/>
      <c r="N23" s="452"/>
      <c r="O23" s="451" t="e">
        <f>SUMIF(#REF!,$D$23,#REF!)</f>
        <v>#REF!</v>
      </c>
      <c r="P23" s="452"/>
      <c r="Q23" s="452"/>
      <c r="R23" s="451" t="e">
        <f>SUMIF(#REF!,$D$23,#REF!)</f>
        <v>#REF!</v>
      </c>
      <c r="S23" s="452"/>
      <c r="T23" s="452"/>
      <c r="U23" s="451" t="e">
        <f>SUMIF(#REF!,$D$23,#REF!)</f>
        <v>#REF!</v>
      </c>
      <c r="V23" s="452"/>
      <c r="W23" s="453"/>
    </row>
    <row r="24" spans="1:23" s="30" customFormat="1" ht="15">
      <c r="B24" s="380" t="s">
        <v>357</v>
      </c>
      <c r="C24" s="384" t="s">
        <v>358</v>
      </c>
      <c r="D24" s="384">
        <v>630064</v>
      </c>
      <c r="E24" s="329" t="s">
        <v>426</v>
      </c>
      <c r="F24" s="329"/>
      <c r="G24" s="329"/>
      <c r="H24" s="448" t="e">
        <f t="shared" si="0"/>
        <v>#REF!</v>
      </c>
      <c r="I24" s="451">
        <v>0</v>
      </c>
      <c r="J24" s="452"/>
      <c r="K24" s="452"/>
      <c r="L24" s="451" t="e">
        <f>SUMIF(#REF!,$D$23,#REF!)</f>
        <v>#REF!</v>
      </c>
      <c r="M24" s="452"/>
      <c r="N24" s="452"/>
      <c r="O24" s="451" t="e">
        <f>SUMIF(#REF!,$D$23,#REF!)</f>
        <v>#REF!</v>
      </c>
      <c r="P24" s="452"/>
      <c r="Q24" s="452"/>
      <c r="R24" s="451" t="e">
        <f>SUMIF(#REF!,$D$23,#REF!)</f>
        <v>#REF!</v>
      </c>
      <c r="S24" s="452"/>
      <c r="T24" s="452"/>
      <c r="U24" s="451" t="e">
        <f>SUMIF(#REF!,$D$23,#REF!)</f>
        <v>#REF!</v>
      </c>
      <c r="V24" s="452"/>
      <c r="W24" s="453"/>
    </row>
    <row r="25" spans="1:23" s="30" customFormat="1" ht="15">
      <c r="B25" s="380" t="s">
        <v>357</v>
      </c>
      <c r="C25" s="384" t="s">
        <v>358</v>
      </c>
      <c r="D25" s="384">
        <v>633002</v>
      </c>
      <c r="E25" s="329" t="s">
        <v>427</v>
      </c>
      <c r="F25" s="329"/>
      <c r="G25" s="329"/>
      <c r="H25" s="448" t="e">
        <f t="shared" si="0"/>
        <v>#REF!</v>
      </c>
      <c r="I25" s="451">
        <v>0</v>
      </c>
      <c r="J25" s="452"/>
      <c r="K25" s="452"/>
      <c r="L25" s="451" t="e">
        <f>SUMIF(#REF!,$D$23,#REF!)</f>
        <v>#REF!</v>
      </c>
      <c r="M25" s="452"/>
      <c r="N25" s="452"/>
      <c r="O25" s="451" t="e">
        <f>SUMIF(#REF!,$D$23,#REF!)</f>
        <v>#REF!</v>
      </c>
      <c r="P25" s="452"/>
      <c r="Q25" s="452"/>
      <c r="R25" s="451" t="e">
        <f>SUMIF(#REF!,$D$23,#REF!)</f>
        <v>#REF!</v>
      </c>
      <c r="S25" s="452"/>
      <c r="T25" s="452"/>
      <c r="U25" s="451" t="e">
        <f>SUMIF(#REF!,$D$23,#REF!)</f>
        <v>#REF!</v>
      </c>
      <c r="V25" s="452"/>
      <c r="W25" s="453"/>
    </row>
    <row r="26" spans="1:23" s="30" customFormat="1" ht="15">
      <c r="A26" s="410"/>
      <c r="B26" s="380" t="s">
        <v>357</v>
      </c>
      <c r="C26" s="384" t="s">
        <v>358</v>
      </c>
      <c r="D26" s="384" t="s">
        <v>361</v>
      </c>
      <c r="E26" s="329" t="s">
        <v>362</v>
      </c>
      <c r="F26" s="329"/>
      <c r="G26" s="329"/>
      <c r="H26" s="448" t="e">
        <f t="shared" si="0"/>
        <v>#REF!</v>
      </c>
      <c r="I26" s="451" t="e">
        <f>SUMIF(#REF!,$D$26,#REF!)</f>
        <v>#REF!</v>
      </c>
      <c r="J26" s="452"/>
      <c r="K26" s="452"/>
      <c r="L26" s="451" t="e">
        <f>SUMIF(#REF!,$D$26,#REF!)</f>
        <v>#REF!</v>
      </c>
      <c r="M26" s="452"/>
      <c r="N26" s="452"/>
      <c r="O26" s="451" t="e">
        <f>SUMIF(#REF!,$D$26,#REF!)</f>
        <v>#REF!</v>
      </c>
      <c r="P26" s="452"/>
      <c r="Q26" s="452"/>
      <c r="R26" s="451" t="e">
        <f>SUMIF(#REF!,$D$26,#REF!)</f>
        <v>#REF!</v>
      </c>
      <c r="S26" s="452"/>
      <c r="T26" s="452"/>
      <c r="U26" s="451" t="e">
        <f>SUMIF(#REF!,$D$26,#REF!)</f>
        <v>#REF!</v>
      </c>
      <c r="V26" s="452"/>
      <c r="W26" s="453"/>
    </row>
    <row r="27" spans="1:23" s="30" customFormat="1" ht="15">
      <c r="B27" s="380" t="s">
        <v>357</v>
      </c>
      <c r="C27" s="384" t="s">
        <v>358</v>
      </c>
      <c r="D27" s="384" t="s">
        <v>363</v>
      </c>
      <c r="E27" s="329" t="s">
        <v>364</v>
      </c>
      <c r="F27" s="329"/>
      <c r="G27" s="329"/>
      <c r="H27" s="448" t="e">
        <f t="shared" si="0"/>
        <v>#REF!</v>
      </c>
      <c r="I27" s="451" t="e">
        <f>SUMIF(#REF!,$D$27,#REF!)</f>
        <v>#REF!</v>
      </c>
      <c r="J27" s="452"/>
      <c r="K27" s="452"/>
      <c r="L27" s="451" t="e">
        <f>SUMIF(#REF!,$D$27,#REF!)</f>
        <v>#REF!</v>
      </c>
      <c r="M27" s="452"/>
      <c r="N27" s="452"/>
      <c r="O27" s="451" t="e">
        <f>SUMIF(#REF!,$D$27,#REF!)</f>
        <v>#REF!</v>
      </c>
      <c r="P27" s="452"/>
      <c r="Q27" s="452"/>
      <c r="R27" s="451" t="e">
        <f>SUMIF(#REF!,$D$27,#REF!)</f>
        <v>#REF!</v>
      </c>
      <c r="S27" s="452"/>
      <c r="T27" s="452"/>
      <c r="U27" s="451" t="e">
        <f>SUMIF(#REF!,$D$27,#REF!)</f>
        <v>#REF!</v>
      </c>
      <c r="V27" s="452"/>
      <c r="W27" s="453"/>
    </row>
    <row r="28" spans="1:23" s="30" customFormat="1" ht="15">
      <c r="A28" s="410"/>
      <c r="B28" s="380" t="s">
        <v>357</v>
      </c>
      <c r="C28" s="384" t="s">
        <v>358</v>
      </c>
      <c r="D28" s="384" t="s">
        <v>365</v>
      </c>
      <c r="E28" s="329" t="s">
        <v>366</v>
      </c>
      <c r="F28" s="329"/>
      <c r="G28" s="329"/>
      <c r="H28" s="448" t="e">
        <f t="shared" si="0"/>
        <v>#REF!</v>
      </c>
      <c r="I28" s="451" t="e">
        <f>SUMIF(#REF!,$D$28,#REF!)</f>
        <v>#REF!</v>
      </c>
      <c r="J28" s="452"/>
      <c r="K28" s="452"/>
      <c r="L28" s="451" t="e">
        <f>SUMIF(#REF!,$D$28,#REF!)</f>
        <v>#REF!</v>
      </c>
      <c r="M28" s="452"/>
      <c r="N28" s="452"/>
      <c r="O28" s="451" t="e">
        <f>SUMIF(#REF!,$D$28,#REF!)</f>
        <v>#REF!</v>
      </c>
      <c r="P28" s="452"/>
      <c r="Q28" s="452"/>
      <c r="R28" s="451" t="e">
        <f>SUMIF(#REF!,$D$28,#REF!)</f>
        <v>#REF!</v>
      </c>
      <c r="S28" s="452"/>
      <c r="T28" s="452"/>
      <c r="U28" s="451" t="e">
        <f>SUMIF(#REF!,$D$28,#REF!)</f>
        <v>#REF!</v>
      </c>
      <c r="V28" s="452"/>
      <c r="W28" s="453"/>
    </row>
    <row r="29" spans="1:23" s="30" customFormat="1" ht="15">
      <c r="A29" s="410"/>
      <c r="B29" s="380" t="s">
        <v>357</v>
      </c>
      <c r="C29" s="384" t="s">
        <v>358</v>
      </c>
      <c r="D29" s="384" t="s">
        <v>367</v>
      </c>
      <c r="E29" s="329" t="s">
        <v>368</v>
      </c>
      <c r="F29" s="329"/>
      <c r="G29" s="329"/>
      <c r="H29" s="448" t="e">
        <f t="shared" si="0"/>
        <v>#REF!</v>
      </c>
      <c r="I29" s="451" t="e">
        <f>SUMIF(#REF!,$D$29,#REF!)</f>
        <v>#REF!</v>
      </c>
      <c r="J29" s="452"/>
      <c r="K29" s="452"/>
      <c r="L29" s="451" t="e">
        <f>SUMIF(#REF!,$D$29,#REF!)</f>
        <v>#REF!</v>
      </c>
      <c r="M29" s="452"/>
      <c r="N29" s="452"/>
      <c r="O29" s="451" t="e">
        <f>SUMIF(#REF!,$D$29,#REF!)</f>
        <v>#REF!</v>
      </c>
      <c r="P29" s="452"/>
      <c r="Q29" s="452"/>
      <c r="R29" s="451" t="e">
        <f>SUMIF(#REF!,$D$29,#REF!)</f>
        <v>#REF!</v>
      </c>
      <c r="S29" s="452"/>
      <c r="T29" s="452"/>
      <c r="U29" s="451" t="e">
        <f>SUMIF(#REF!,$D$29,#REF!)</f>
        <v>#REF!</v>
      </c>
      <c r="V29" s="452"/>
      <c r="W29" s="453"/>
    </row>
    <row r="30" spans="1:23" s="30" customFormat="1" ht="15">
      <c r="A30" s="410" t="s">
        <v>202</v>
      </c>
      <c r="B30" s="380" t="s">
        <v>369</v>
      </c>
      <c r="C30" s="329" t="s">
        <v>202</v>
      </c>
      <c r="D30" s="384" t="s">
        <v>428</v>
      </c>
      <c r="E30" s="329" t="s">
        <v>429</v>
      </c>
      <c r="F30" s="329"/>
      <c r="G30" s="329"/>
      <c r="H30" s="448" t="e">
        <f t="shared" si="0"/>
        <v>#REF!</v>
      </c>
      <c r="I30" s="451" t="e">
        <f>SUMIF(#REF!,$D$30,#REF!)</f>
        <v>#REF!</v>
      </c>
      <c r="J30" s="452"/>
      <c r="K30" s="452"/>
      <c r="L30" s="451" t="e">
        <f>SUMIF(#REF!,$D$30,#REF!)</f>
        <v>#REF!</v>
      </c>
      <c r="M30" s="452"/>
      <c r="N30" s="452"/>
      <c r="O30" s="451" t="e">
        <f>SUMIF(#REF!,$D$30,#REF!)</f>
        <v>#REF!</v>
      </c>
      <c r="P30" s="452"/>
      <c r="Q30" s="452"/>
      <c r="R30" s="451" t="e">
        <f>SUMIF(#REF!,$D$30,#REF!)</f>
        <v>#REF!</v>
      </c>
      <c r="S30" s="452"/>
      <c r="T30" s="452"/>
      <c r="U30" s="451" t="e">
        <f>SUMIF(#REF!,$D$30,#REF!)</f>
        <v>#REF!</v>
      </c>
      <c r="V30" s="452"/>
      <c r="W30" s="453"/>
    </row>
    <row r="31" spans="1:23" s="30" customFormat="1" ht="15">
      <c r="A31" s="410" t="s">
        <v>212</v>
      </c>
      <c r="B31" s="380" t="s">
        <v>376</v>
      </c>
      <c r="C31" s="384" t="s">
        <v>377</v>
      </c>
      <c r="D31" s="384" t="s">
        <v>430</v>
      </c>
      <c r="E31" s="329" t="s">
        <v>431</v>
      </c>
      <c r="F31" s="329"/>
      <c r="G31" s="329"/>
      <c r="H31" s="448" t="e">
        <f t="shared" si="0"/>
        <v>#REF!</v>
      </c>
      <c r="I31" s="451" t="e">
        <f>SUMIF(#REF!,$D$31,#REF!)</f>
        <v>#REF!</v>
      </c>
      <c r="J31" s="452"/>
      <c r="K31" s="452"/>
      <c r="L31" s="451" t="e">
        <f>SUMIF(#REF!,$D$31,#REF!)</f>
        <v>#REF!</v>
      </c>
      <c r="M31" s="452"/>
      <c r="N31" s="452"/>
      <c r="O31" s="451" t="e">
        <f>SUMIF(#REF!,$D$31,#REF!)</f>
        <v>#REF!</v>
      </c>
      <c r="P31" s="452"/>
      <c r="Q31" s="452"/>
      <c r="R31" s="451" t="e">
        <f>SUMIF(#REF!,$D$31,#REF!)</f>
        <v>#REF!</v>
      </c>
      <c r="S31" s="452"/>
      <c r="T31" s="452"/>
      <c r="U31" s="451" t="e">
        <f>SUMIF(#REF!,$D$31,#REF!)</f>
        <v>#REF!</v>
      </c>
      <c r="V31" s="452"/>
      <c r="W31" s="453"/>
    </row>
    <row r="32" spans="1:23" s="30" customFormat="1" ht="15">
      <c r="B32" s="380" t="s">
        <v>370</v>
      </c>
      <c r="C32" s="384" t="s">
        <v>371</v>
      </c>
      <c r="D32" s="384" t="s">
        <v>432</v>
      </c>
      <c r="E32" s="329" t="s">
        <v>433</v>
      </c>
      <c r="F32" s="329"/>
      <c r="G32" s="329"/>
      <c r="H32" s="448" t="e">
        <f t="shared" si="0"/>
        <v>#REF!</v>
      </c>
      <c r="I32" s="451" t="e">
        <f>SUMIF(#REF!,$D$32,#REF!)</f>
        <v>#REF!</v>
      </c>
      <c r="J32" s="452"/>
      <c r="K32" s="452"/>
      <c r="L32" s="451" t="e">
        <f>SUMIF(#REF!,$D$32,#REF!)</f>
        <v>#REF!</v>
      </c>
      <c r="M32" s="452"/>
      <c r="N32" s="452"/>
      <c r="O32" s="451" t="e">
        <f>SUMIF(#REF!,$D$32,#REF!)</f>
        <v>#REF!</v>
      </c>
      <c r="P32" s="452"/>
      <c r="Q32" s="452"/>
      <c r="R32" s="451" t="e">
        <f>SUMIF(#REF!,$D$32,#REF!)</f>
        <v>#REF!</v>
      </c>
      <c r="S32" s="452"/>
      <c r="T32" s="452"/>
      <c r="U32" s="451" t="e">
        <f>SUMIF(#REF!,$D$32,#REF!)</f>
        <v>#REF!</v>
      </c>
      <c r="V32" s="452"/>
      <c r="W32" s="453"/>
    </row>
    <row r="33" spans="1:23" s="30" customFormat="1" ht="15">
      <c r="A33" s="410"/>
      <c r="B33" s="380" t="s">
        <v>370</v>
      </c>
      <c r="C33" s="384" t="s">
        <v>371</v>
      </c>
      <c r="D33" s="384" t="s">
        <v>434</v>
      </c>
      <c r="E33" s="329" t="s">
        <v>435</v>
      </c>
      <c r="F33" s="329"/>
      <c r="G33" s="329"/>
      <c r="H33" s="448" t="e">
        <f t="shared" si="0"/>
        <v>#REF!</v>
      </c>
      <c r="I33" s="451" t="e">
        <f>SUMIF(#REF!,$D$33,#REF!)</f>
        <v>#REF!</v>
      </c>
      <c r="J33" s="452"/>
      <c r="K33" s="452"/>
      <c r="L33" s="451" t="e">
        <f>SUMIF(#REF!,$D$33,#REF!)</f>
        <v>#REF!</v>
      </c>
      <c r="M33" s="452"/>
      <c r="N33" s="452"/>
      <c r="O33" s="451" t="e">
        <f>SUMIF(#REF!,$D$33,#REF!)</f>
        <v>#REF!</v>
      </c>
      <c r="P33" s="452"/>
      <c r="Q33" s="452"/>
      <c r="R33" s="451" t="e">
        <f>SUMIF(#REF!,$D$33,#REF!)</f>
        <v>#REF!</v>
      </c>
      <c r="S33" s="452"/>
      <c r="T33" s="452"/>
      <c r="U33" s="451" t="e">
        <f>SUMIF(#REF!,$D$33,#REF!)</f>
        <v>#REF!</v>
      </c>
      <c r="V33" s="452"/>
      <c r="W33" s="453"/>
    </row>
    <row r="34" spans="1:23" s="30" customFormat="1" ht="15">
      <c r="B34" s="380" t="s">
        <v>370</v>
      </c>
      <c r="C34" s="384" t="s">
        <v>371</v>
      </c>
      <c r="D34" s="384" t="s">
        <v>436</v>
      </c>
      <c r="E34" s="329" t="s">
        <v>437</v>
      </c>
      <c r="F34" s="329"/>
      <c r="G34" s="329"/>
      <c r="H34" s="448" t="e">
        <f t="shared" si="0"/>
        <v>#REF!</v>
      </c>
      <c r="I34" s="451" t="e">
        <f>SUMIF(#REF!,$D$34,#REF!)</f>
        <v>#REF!</v>
      </c>
      <c r="J34" s="452"/>
      <c r="K34" s="452"/>
      <c r="L34" s="451" t="e">
        <f>SUMIF(#REF!,$D$34,#REF!)</f>
        <v>#REF!</v>
      </c>
      <c r="M34" s="452"/>
      <c r="N34" s="452"/>
      <c r="O34" s="451" t="e">
        <f>SUMIF(#REF!,$D$34,#REF!)</f>
        <v>#REF!</v>
      </c>
      <c r="P34" s="452"/>
      <c r="Q34" s="452"/>
      <c r="R34" s="451" t="e">
        <f>SUMIF(#REF!,$D$34,#REF!)</f>
        <v>#REF!</v>
      </c>
      <c r="S34" s="452"/>
      <c r="T34" s="452"/>
      <c r="U34" s="451" t="e">
        <f>SUMIF(#REF!,$D$34,#REF!)</f>
        <v>#REF!</v>
      </c>
      <c r="V34" s="452"/>
      <c r="W34" s="453"/>
    </row>
    <row r="35" spans="1:23" s="30" customFormat="1" ht="15">
      <c r="B35" s="380" t="s">
        <v>370</v>
      </c>
      <c r="C35" s="384" t="s">
        <v>371</v>
      </c>
      <c r="D35" s="384" t="s">
        <v>438</v>
      </c>
      <c r="E35" s="329" t="s">
        <v>439</v>
      </c>
      <c r="F35" s="329"/>
      <c r="G35" s="329"/>
      <c r="H35" s="448" t="e">
        <f t="shared" si="0"/>
        <v>#REF!</v>
      </c>
      <c r="I35" s="451" t="e">
        <f>SUMIF(#REF!,$D$35,#REF!)</f>
        <v>#REF!</v>
      </c>
      <c r="J35" s="452"/>
      <c r="K35" s="452"/>
      <c r="L35" s="451" t="e">
        <f>SUMIF(#REF!,$D$35,#REF!)</f>
        <v>#REF!</v>
      </c>
      <c r="M35" s="452"/>
      <c r="N35" s="452"/>
      <c r="O35" s="451" t="e">
        <f>SUMIF(#REF!,$D$35,#REF!)</f>
        <v>#REF!</v>
      </c>
      <c r="P35" s="452"/>
      <c r="Q35" s="452"/>
      <c r="R35" s="451" t="e">
        <f>SUMIF(#REF!,$D$35,#REF!)</f>
        <v>#REF!</v>
      </c>
      <c r="S35" s="452"/>
      <c r="T35" s="452"/>
      <c r="U35" s="451" t="e">
        <f>SUMIF(#REF!,$D$35,#REF!)</f>
        <v>#REF!</v>
      </c>
      <c r="V35" s="452"/>
      <c r="W35" s="453"/>
    </row>
    <row r="36" spans="1:23" s="30" customFormat="1" ht="15">
      <c r="A36" s="410"/>
      <c r="B36" s="380" t="s">
        <v>370</v>
      </c>
      <c r="C36" s="384" t="s">
        <v>371</v>
      </c>
      <c r="D36" s="384" t="s">
        <v>440</v>
      </c>
      <c r="E36" s="329" t="s">
        <v>441</v>
      </c>
      <c r="F36" s="329"/>
      <c r="G36" s="329"/>
      <c r="H36" s="448" t="e">
        <f t="shared" si="0"/>
        <v>#REF!</v>
      </c>
      <c r="I36" s="451" t="e">
        <f>SUMIF(#REF!,$D$36,#REF!)</f>
        <v>#REF!</v>
      </c>
      <c r="J36" s="452"/>
      <c r="K36" s="452"/>
      <c r="L36" s="451" t="e">
        <f>SUMIF(#REF!,$D$36,#REF!)</f>
        <v>#REF!</v>
      </c>
      <c r="M36" s="452"/>
      <c r="N36" s="452"/>
      <c r="O36" s="451" t="e">
        <f>SUMIF(#REF!,$D$36,#REF!)</f>
        <v>#REF!</v>
      </c>
      <c r="P36" s="452"/>
      <c r="Q36" s="452"/>
      <c r="R36" s="451" t="e">
        <f>SUMIF(#REF!,$D$36,#REF!)</f>
        <v>#REF!</v>
      </c>
      <c r="S36" s="452"/>
      <c r="T36" s="452"/>
      <c r="U36" s="451" t="e">
        <f>SUMIF(#REF!,$D$36,#REF!)</f>
        <v>#REF!</v>
      </c>
      <c r="V36" s="452"/>
      <c r="W36" s="453"/>
    </row>
    <row r="37" spans="1:23" s="30" customFormat="1" ht="15">
      <c r="A37" s="410"/>
      <c r="B37" s="380" t="s">
        <v>370</v>
      </c>
      <c r="C37" s="384" t="s">
        <v>371</v>
      </c>
      <c r="D37" s="384" t="s">
        <v>442</v>
      </c>
      <c r="E37" s="329" t="s">
        <v>443</v>
      </c>
      <c r="F37" s="329"/>
      <c r="G37" s="329"/>
      <c r="H37" s="448" t="e">
        <f t="shared" si="0"/>
        <v>#REF!</v>
      </c>
      <c r="I37" s="451" t="e">
        <f>SUMIF(#REF!,$D$37,#REF!)</f>
        <v>#REF!</v>
      </c>
      <c r="J37" s="452"/>
      <c r="K37" s="452"/>
      <c r="L37" s="451" t="e">
        <f>SUMIF(#REF!,$D$37,#REF!)</f>
        <v>#REF!</v>
      </c>
      <c r="M37" s="452"/>
      <c r="N37" s="452"/>
      <c r="O37" s="451" t="e">
        <f>SUMIF(#REF!,$D$37,#REF!)</f>
        <v>#REF!</v>
      </c>
      <c r="P37" s="452"/>
      <c r="Q37" s="452"/>
      <c r="R37" s="451" t="e">
        <f>SUMIF(#REF!,$D$37,#REF!)</f>
        <v>#REF!</v>
      </c>
      <c r="S37" s="452"/>
      <c r="T37" s="452"/>
      <c r="U37" s="451" t="e">
        <f>SUMIF(#REF!,$D$37,#REF!)</f>
        <v>#REF!</v>
      </c>
      <c r="V37" s="452"/>
      <c r="W37" s="453"/>
    </row>
    <row r="38" spans="1:23" s="30" customFormat="1" ht="15">
      <c r="B38" s="380" t="s">
        <v>370</v>
      </c>
      <c r="C38" s="384" t="s">
        <v>371</v>
      </c>
      <c r="D38" s="384" t="s">
        <v>444</v>
      </c>
      <c r="E38" s="329" t="s">
        <v>445</v>
      </c>
      <c r="F38" s="329"/>
      <c r="G38" s="329"/>
      <c r="H38" s="448" t="e">
        <f t="shared" si="0"/>
        <v>#REF!</v>
      </c>
      <c r="I38" s="451" t="e">
        <f>SUMIF(#REF!,$D$38,#REF!)</f>
        <v>#REF!</v>
      </c>
      <c r="J38" s="452"/>
      <c r="K38" s="452"/>
      <c r="L38" s="451" t="e">
        <f>SUMIF(#REF!,$D$38,#REF!)</f>
        <v>#REF!</v>
      </c>
      <c r="M38" s="452"/>
      <c r="N38" s="452"/>
      <c r="O38" s="451" t="e">
        <f>SUMIF(#REF!,$D$38,#REF!)</f>
        <v>#REF!</v>
      </c>
      <c r="P38" s="452"/>
      <c r="Q38" s="452"/>
      <c r="R38" s="451" t="e">
        <f>SUMIF(#REF!,$D$38,#REF!)</f>
        <v>#REF!</v>
      </c>
      <c r="S38" s="452"/>
      <c r="T38" s="452"/>
      <c r="U38" s="451" t="e">
        <f>SUMIF(#REF!,$D$38,#REF!)</f>
        <v>#REF!</v>
      </c>
      <c r="V38" s="452"/>
      <c r="W38" s="453"/>
    </row>
    <row r="39" spans="1:23" s="30" customFormat="1" ht="15">
      <c r="A39" s="31"/>
      <c r="B39" s="380" t="s">
        <v>370</v>
      </c>
      <c r="C39" s="384" t="s">
        <v>371</v>
      </c>
      <c r="D39" s="384" t="s">
        <v>446</v>
      </c>
      <c r="E39" s="329" t="s">
        <v>447</v>
      </c>
      <c r="F39" s="329"/>
      <c r="G39" s="329"/>
      <c r="H39" s="448" t="e">
        <f t="shared" si="0"/>
        <v>#REF!</v>
      </c>
      <c r="I39" s="451" t="e">
        <f>SUMIF(#REF!,$D$39,#REF!)</f>
        <v>#REF!</v>
      </c>
      <c r="J39" s="452"/>
      <c r="K39" s="452"/>
      <c r="L39" s="451" t="e">
        <f>SUMIF(#REF!,$D$39,#REF!)</f>
        <v>#REF!</v>
      </c>
      <c r="M39" s="452"/>
      <c r="N39" s="452"/>
      <c r="O39" s="451" t="e">
        <f>SUMIF(#REF!,$D$39,#REF!)</f>
        <v>#REF!</v>
      </c>
      <c r="P39" s="452"/>
      <c r="Q39" s="452"/>
      <c r="R39" s="451" t="e">
        <f>SUMIF(#REF!,$D$39,#REF!)</f>
        <v>#REF!</v>
      </c>
      <c r="S39" s="452"/>
      <c r="T39" s="452"/>
      <c r="U39" s="451" t="e">
        <f>SUMIF(#REF!,$D$39,#REF!)</f>
        <v>#REF!</v>
      </c>
      <c r="V39" s="452"/>
      <c r="W39" s="453"/>
    </row>
    <row r="40" spans="1:23" s="30" customFormat="1" ht="15">
      <c r="A40" s="31"/>
      <c r="B40" s="380" t="s">
        <v>370</v>
      </c>
      <c r="C40" s="384" t="s">
        <v>371</v>
      </c>
      <c r="D40" s="384" t="s">
        <v>448</v>
      </c>
      <c r="E40" s="329" t="s">
        <v>449</v>
      </c>
      <c r="F40" s="329"/>
      <c r="G40" s="329"/>
      <c r="H40" s="448" t="e">
        <f t="shared" si="0"/>
        <v>#REF!</v>
      </c>
      <c r="I40" s="451" t="e">
        <f>SUMIF(#REF!,$D$40,#REF!)</f>
        <v>#REF!</v>
      </c>
      <c r="J40" s="452"/>
      <c r="K40" s="452"/>
      <c r="L40" s="451" t="e">
        <f>SUMIF(#REF!,$D$40,#REF!)</f>
        <v>#REF!</v>
      </c>
      <c r="M40" s="452"/>
      <c r="N40" s="452"/>
      <c r="O40" s="451" t="e">
        <f>SUMIF(#REF!,$D$40,#REF!)</f>
        <v>#REF!</v>
      </c>
      <c r="P40" s="452"/>
      <c r="Q40" s="452"/>
      <c r="R40" s="451" t="e">
        <f>SUMIF(#REF!,$D$40,#REF!)</f>
        <v>#REF!</v>
      </c>
      <c r="S40" s="452"/>
      <c r="T40" s="452"/>
      <c r="U40" s="451" t="e">
        <f>SUMIF(#REF!,$D$40,#REF!)</f>
        <v>#REF!</v>
      </c>
      <c r="V40" s="452"/>
      <c r="W40" s="453"/>
    </row>
    <row r="41" spans="1:23" s="30" customFormat="1" ht="15">
      <c r="A41" s="31"/>
      <c r="B41" s="380" t="s">
        <v>370</v>
      </c>
      <c r="C41" s="384" t="s">
        <v>371</v>
      </c>
      <c r="D41" s="384" t="s">
        <v>450</v>
      </c>
      <c r="E41" s="329" t="s">
        <v>451</v>
      </c>
      <c r="F41" s="329"/>
      <c r="G41" s="329"/>
      <c r="H41" s="448" t="e">
        <f t="shared" si="0"/>
        <v>#REF!</v>
      </c>
      <c r="I41" s="451" t="e">
        <f>SUMIF(#REF!,$D$41,#REF!)</f>
        <v>#REF!</v>
      </c>
      <c r="J41" s="452"/>
      <c r="K41" s="452"/>
      <c r="L41" s="451" t="e">
        <f>SUMIF(#REF!,$D$41,#REF!)</f>
        <v>#REF!</v>
      </c>
      <c r="M41" s="452"/>
      <c r="N41" s="452"/>
      <c r="O41" s="451" t="e">
        <f>SUMIF(#REF!,$D$41,#REF!)</f>
        <v>#REF!</v>
      </c>
      <c r="P41" s="452"/>
      <c r="Q41" s="452"/>
      <c r="R41" s="451" t="e">
        <f>SUMIF(#REF!,$D$41,#REF!)</f>
        <v>#REF!</v>
      </c>
      <c r="S41" s="452"/>
      <c r="T41" s="452"/>
      <c r="U41" s="451" t="e">
        <f>SUMIF(#REF!,$D$41,#REF!)</f>
        <v>#REF!</v>
      </c>
      <c r="V41" s="452"/>
      <c r="W41" s="453"/>
    </row>
    <row r="42" spans="1:23" s="30" customFormat="1" ht="15">
      <c r="A42" s="31"/>
      <c r="B42" s="380" t="s">
        <v>370</v>
      </c>
      <c r="C42" s="384" t="s">
        <v>371</v>
      </c>
      <c r="D42" s="384" t="s">
        <v>452</v>
      </c>
      <c r="E42" s="329" t="s">
        <v>453</v>
      </c>
      <c r="F42" s="329"/>
      <c r="G42" s="329"/>
      <c r="H42" s="448" t="e">
        <f t="shared" si="0"/>
        <v>#REF!</v>
      </c>
      <c r="I42" s="451" t="e">
        <f>SUMIF(#REF!,$D$42,#REF!)</f>
        <v>#REF!</v>
      </c>
      <c r="J42" s="452"/>
      <c r="K42" s="452"/>
      <c r="L42" s="451" t="e">
        <f>SUMIF(#REF!,$D$42,#REF!)</f>
        <v>#REF!</v>
      </c>
      <c r="M42" s="452"/>
      <c r="N42" s="452"/>
      <c r="O42" s="451" t="e">
        <f>SUMIF(#REF!,$D$42,#REF!)</f>
        <v>#REF!</v>
      </c>
      <c r="P42" s="452"/>
      <c r="Q42" s="452"/>
      <c r="R42" s="451" t="e">
        <f>SUMIF(#REF!,$D$42,#REF!)</f>
        <v>#REF!</v>
      </c>
      <c r="S42" s="452"/>
      <c r="T42" s="452"/>
      <c r="U42" s="451" t="e">
        <f>SUMIF(#REF!,$D$42,#REF!)</f>
        <v>#REF!</v>
      </c>
      <c r="V42" s="452"/>
      <c r="W42" s="453"/>
    </row>
    <row r="43" spans="1:23" s="30" customFormat="1" ht="15">
      <c r="A43" s="31"/>
      <c r="B43" s="380" t="s">
        <v>370</v>
      </c>
      <c r="C43" s="384" t="s">
        <v>371</v>
      </c>
      <c r="D43" s="384" t="s">
        <v>454</v>
      </c>
      <c r="E43" s="329" t="s">
        <v>455</v>
      </c>
      <c r="F43" s="329"/>
      <c r="G43" s="329"/>
      <c r="H43" s="448" t="e">
        <f t="shared" si="0"/>
        <v>#REF!</v>
      </c>
      <c r="I43" s="451" t="e">
        <f>SUMIF(#REF!,$D$43,#REF!)</f>
        <v>#REF!</v>
      </c>
      <c r="J43" s="452"/>
      <c r="K43" s="452"/>
      <c r="L43" s="451" t="e">
        <f>SUMIF(#REF!,$D$43,#REF!)</f>
        <v>#REF!</v>
      </c>
      <c r="M43" s="452"/>
      <c r="N43" s="452"/>
      <c r="O43" s="451" t="e">
        <f>SUMIF(#REF!,$D$43,#REF!)</f>
        <v>#REF!</v>
      </c>
      <c r="P43" s="452"/>
      <c r="Q43" s="452"/>
      <c r="R43" s="451" t="e">
        <f>SUMIF(#REF!,$D$43,#REF!)</f>
        <v>#REF!</v>
      </c>
      <c r="S43" s="452"/>
      <c r="T43" s="452"/>
      <c r="U43" s="451" t="e">
        <f>SUMIF(#REF!,$D$43,#REF!)</f>
        <v>#REF!</v>
      </c>
      <c r="V43" s="452"/>
      <c r="W43" s="453"/>
    </row>
    <row r="44" spans="1:23" s="30" customFormat="1" ht="15">
      <c r="A44" s="31"/>
      <c r="B44" s="380" t="s">
        <v>370</v>
      </c>
      <c r="C44" s="384" t="s">
        <v>371</v>
      </c>
      <c r="D44" s="384" t="s">
        <v>456</v>
      </c>
      <c r="E44" s="329" t="s">
        <v>457</v>
      </c>
      <c r="F44" s="329"/>
      <c r="G44" s="329"/>
      <c r="H44" s="448" t="e">
        <f t="shared" si="0"/>
        <v>#REF!</v>
      </c>
      <c r="I44" s="451" t="e">
        <f>SUMIF(#REF!,$D$44,#REF!)</f>
        <v>#REF!</v>
      </c>
      <c r="J44" s="452"/>
      <c r="K44" s="452"/>
      <c r="L44" s="451" t="e">
        <f>SUMIF(#REF!,$D$44,#REF!)</f>
        <v>#REF!</v>
      </c>
      <c r="M44" s="452"/>
      <c r="N44" s="452"/>
      <c r="O44" s="451" t="e">
        <f>SUMIF(#REF!,$D$44,#REF!)</f>
        <v>#REF!</v>
      </c>
      <c r="P44" s="452"/>
      <c r="Q44" s="452"/>
      <c r="R44" s="451" t="e">
        <f>SUMIF(#REF!,$D$44,#REF!)</f>
        <v>#REF!</v>
      </c>
      <c r="S44" s="452"/>
      <c r="T44" s="452"/>
      <c r="U44" s="451" t="e">
        <f>SUMIF(#REF!,$D$44,#REF!)</f>
        <v>#REF!</v>
      </c>
      <c r="V44" s="452"/>
      <c r="W44" s="453"/>
    </row>
    <row r="45" spans="1:23" s="30" customFormat="1" ht="15">
      <c r="A45" s="31"/>
      <c r="B45" s="380" t="s">
        <v>372</v>
      </c>
      <c r="C45" s="384" t="s">
        <v>371</v>
      </c>
      <c r="D45" s="384" t="s">
        <v>458</v>
      </c>
      <c r="E45" s="329" t="s">
        <v>459</v>
      </c>
      <c r="F45" s="329"/>
      <c r="G45" s="329"/>
      <c r="H45" s="448" t="e">
        <f t="shared" si="0"/>
        <v>#REF!</v>
      </c>
      <c r="I45" s="451" t="e">
        <f>SUMIF(#REF!,$D$45,#REF!)</f>
        <v>#REF!</v>
      </c>
      <c r="J45" s="452"/>
      <c r="K45" s="452"/>
      <c r="L45" s="451" t="e">
        <f>SUMIF(#REF!,$D$45,#REF!)</f>
        <v>#REF!</v>
      </c>
      <c r="M45" s="452"/>
      <c r="N45" s="452"/>
      <c r="O45" s="451" t="e">
        <f>SUMIF(#REF!,$D$45,#REF!)</f>
        <v>#REF!</v>
      </c>
      <c r="P45" s="452"/>
      <c r="Q45" s="452"/>
      <c r="R45" s="451" t="e">
        <f>SUMIF(#REF!,$D$45,#REF!)</f>
        <v>#REF!</v>
      </c>
      <c r="S45" s="452"/>
      <c r="T45" s="452"/>
      <c r="U45" s="451" t="e">
        <f>SUMIF(#REF!,$D$45,#REF!)</f>
        <v>#REF!</v>
      </c>
      <c r="V45" s="452"/>
      <c r="W45" s="453"/>
    </row>
    <row r="46" spans="1:23" s="30" customFormat="1" ht="15">
      <c r="A46" s="31"/>
      <c r="B46" s="380" t="s">
        <v>374</v>
      </c>
      <c r="C46" s="329" t="s">
        <v>375</v>
      </c>
      <c r="D46" s="384" t="s">
        <v>460</v>
      </c>
      <c r="E46" s="329" t="s">
        <v>461</v>
      </c>
      <c r="F46" s="329"/>
      <c r="G46" s="329"/>
      <c r="H46" s="448" t="e">
        <f t="shared" si="0"/>
        <v>#REF!</v>
      </c>
      <c r="I46" s="451" t="e">
        <f>SUMIF(#REF!,$D$46,#REF!)</f>
        <v>#REF!</v>
      </c>
      <c r="J46" s="452"/>
      <c r="K46" s="452"/>
      <c r="L46" s="451" t="e">
        <f>SUMIF(#REF!,$D$46,#REF!)</f>
        <v>#REF!</v>
      </c>
      <c r="M46" s="452"/>
      <c r="N46" s="452"/>
      <c r="O46" s="451" t="e">
        <f>SUMIF(#REF!,$D$46,#REF!)</f>
        <v>#REF!</v>
      </c>
      <c r="P46" s="452"/>
      <c r="Q46" s="452"/>
      <c r="R46" s="451" t="e">
        <f>SUMIF(#REF!,$D$46,#REF!)</f>
        <v>#REF!</v>
      </c>
      <c r="S46" s="452"/>
      <c r="T46" s="452"/>
      <c r="U46" s="451" t="e">
        <f>SUMIF(#REF!,$D$46,#REF!)</f>
        <v>#REF!</v>
      </c>
      <c r="V46" s="452"/>
      <c r="W46" s="453"/>
    </row>
    <row r="47" spans="1:23" s="30" customFormat="1" ht="15">
      <c r="A47" s="410" t="s">
        <v>378</v>
      </c>
      <c r="B47" s="380" t="s">
        <v>379</v>
      </c>
      <c r="C47" s="384" t="s">
        <v>380</v>
      </c>
      <c r="D47" s="384" t="s">
        <v>379</v>
      </c>
      <c r="E47" s="329" t="s">
        <v>380</v>
      </c>
      <c r="F47" s="329"/>
      <c r="G47" s="329"/>
      <c r="H47" s="448" t="e">
        <f t="shared" si="0"/>
        <v>#REF!</v>
      </c>
      <c r="I47" s="451" t="e">
        <f>SUMIF(#REF!,$D$47,#REF!)</f>
        <v>#REF!</v>
      </c>
      <c r="J47" s="452"/>
      <c r="K47" s="452"/>
      <c r="L47" s="451" t="e">
        <f>SUMIF(#REF!,$D$47,#REF!)</f>
        <v>#REF!</v>
      </c>
      <c r="M47" s="452"/>
      <c r="N47" s="452"/>
      <c r="O47" s="451" t="e">
        <f>SUMIF(#REF!,$D$47,#REF!)</f>
        <v>#REF!</v>
      </c>
      <c r="P47" s="452"/>
      <c r="Q47" s="452"/>
      <c r="R47" s="451" t="e">
        <f>SUMIF(#REF!,$D$47,#REF!)</f>
        <v>#REF!</v>
      </c>
      <c r="S47" s="452"/>
      <c r="T47" s="452"/>
      <c r="U47" s="451" t="e">
        <f>SUMIF(#REF!,$D$47,#REF!)</f>
        <v>#REF!</v>
      </c>
      <c r="V47" s="452"/>
      <c r="W47" s="453"/>
    </row>
    <row r="48" spans="1:23" s="30" customFormat="1" ht="15">
      <c r="B48" s="380" t="s">
        <v>381</v>
      </c>
      <c r="C48" s="329" t="s">
        <v>382</v>
      </c>
      <c r="D48" s="384" t="s">
        <v>462</v>
      </c>
      <c r="E48" s="329" t="s">
        <v>463</v>
      </c>
      <c r="F48" s="329"/>
      <c r="G48" s="329"/>
      <c r="H48" s="448" t="e">
        <f t="shared" si="0"/>
        <v>#REF!</v>
      </c>
      <c r="I48" s="451" t="e">
        <f>SUMIF(#REF!,$D$48,#REF!)</f>
        <v>#REF!</v>
      </c>
      <c r="J48" s="452"/>
      <c r="K48" s="452"/>
      <c r="L48" s="451" t="e">
        <f>SUMIF(#REF!,$D$48,#REF!)</f>
        <v>#REF!</v>
      </c>
      <c r="M48" s="452"/>
      <c r="N48" s="452"/>
      <c r="O48" s="451" t="e">
        <f>SUMIF(#REF!,$D$48,#REF!)</f>
        <v>#REF!</v>
      </c>
      <c r="P48" s="452"/>
      <c r="Q48" s="452"/>
      <c r="R48" s="451" t="e">
        <f>SUMIF(#REF!,$D$48,#REF!)</f>
        <v>#REF!</v>
      </c>
      <c r="S48" s="452"/>
      <c r="T48" s="452"/>
      <c r="U48" s="451" t="e">
        <f>SUMIF(#REF!,$D$48,#REF!)</f>
        <v>#REF!</v>
      </c>
      <c r="V48" s="452"/>
      <c r="W48" s="453"/>
    </row>
    <row r="49" spans="1:33" s="30" customFormat="1" ht="15">
      <c r="A49" s="31"/>
      <c r="B49" s="380" t="s">
        <v>383</v>
      </c>
      <c r="C49" s="329" t="s">
        <v>384</v>
      </c>
      <c r="D49" s="384" t="s">
        <v>464</v>
      </c>
      <c r="E49" s="329" t="s">
        <v>465</v>
      </c>
      <c r="F49" s="329"/>
      <c r="G49" s="329"/>
      <c r="H49" s="448" t="e">
        <f t="shared" si="0"/>
        <v>#REF!</v>
      </c>
      <c r="I49" s="451" t="e">
        <f>SUMIF(#REF!,$D$49,#REF!)</f>
        <v>#REF!</v>
      </c>
      <c r="J49" s="452"/>
      <c r="K49" s="452"/>
      <c r="L49" s="451" t="e">
        <f>SUMIF(#REF!,$D$49,#REF!)</f>
        <v>#REF!</v>
      </c>
      <c r="M49" s="452"/>
      <c r="N49" s="452"/>
      <c r="O49" s="451" t="e">
        <f>SUMIF(#REF!,$D$49,#REF!)</f>
        <v>#REF!</v>
      </c>
      <c r="P49" s="452"/>
      <c r="Q49" s="452"/>
      <c r="R49" s="451" t="e">
        <f>SUMIF(#REF!,$D$49,#REF!)</f>
        <v>#REF!</v>
      </c>
      <c r="S49" s="452"/>
      <c r="T49" s="452"/>
      <c r="U49" s="451" t="e">
        <f>SUMIF(#REF!,$D$49,#REF!)</f>
        <v>#REF!</v>
      </c>
      <c r="V49" s="452"/>
      <c r="W49" s="453"/>
    </row>
    <row r="50" spans="1:33" s="30" customFormat="1" ht="15">
      <c r="A50" s="31"/>
      <c r="B50" s="380" t="s">
        <v>383</v>
      </c>
      <c r="C50" s="329" t="s">
        <v>384</v>
      </c>
      <c r="D50" s="384" t="s">
        <v>466</v>
      </c>
      <c r="E50" s="329" t="s">
        <v>467</v>
      </c>
      <c r="F50" s="329"/>
      <c r="G50" s="329"/>
      <c r="H50" s="448" t="e">
        <f t="shared" si="0"/>
        <v>#REF!</v>
      </c>
      <c r="I50" s="451" t="e">
        <f>SUMIF(#REF!,$D$50,#REF!)</f>
        <v>#REF!</v>
      </c>
      <c r="J50" s="452"/>
      <c r="K50" s="452"/>
      <c r="L50" s="451" t="e">
        <f>SUMIF(#REF!,$D$50,#REF!)</f>
        <v>#REF!</v>
      </c>
      <c r="M50" s="452"/>
      <c r="N50" s="452"/>
      <c r="O50" s="451" t="e">
        <f>SUMIF(#REF!,$D$50,#REF!)</f>
        <v>#REF!</v>
      </c>
      <c r="P50" s="452"/>
      <c r="Q50" s="452"/>
      <c r="R50" s="451" t="e">
        <f>SUMIF(#REF!,$D$50,#REF!)</f>
        <v>#REF!</v>
      </c>
      <c r="S50" s="452"/>
      <c r="T50" s="452"/>
      <c r="U50" s="451" t="e">
        <f>SUMIF(#REF!,$D$50,#REF!)</f>
        <v>#REF!</v>
      </c>
      <c r="V50" s="452"/>
      <c r="W50" s="453"/>
    </row>
    <row r="51" spans="1:33" s="30" customFormat="1" ht="15">
      <c r="A51" s="31"/>
      <c r="B51" s="380" t="s">
        <v>383</v>
      </c>
      <c r="C51" s="329" t="s">
        <v>384</v>
      </c>
      <c r="D51" s="384" t="s">
        <v>468</v>
      </c>
      <c r="E51" s="329" t="s">
        <v>469</v>
      </c>
      <c r="F51" s="329"/>
      <c r="G51" s="329"/>
      <c r="H51" s="448" t="e">
        <f t="shared" si="0"/>
        <v>#REF!</v>
      </c>
      <c r="I51" s="451" t="e">
        <f>SUMIF(#REF!,$D$51,#REF!)</f>
        <v>#REF!</v>
      </c>
      <c r="J51" s="452"/>
      <c r="K51" s="452"/>
      <c r="L51" s="451" t="e">
        <f>SUMIF(#REF!,$D$51,#REF!)</f>
        <v>#REF!</v>
      </c>
      <c r="M51" s="452"/>
      <c r="N51" s="452"/>
      <c r="O51" s="451" t="e">
        <f>SUMIF(#REF!,$D$51,#REF!)</f>
        <v>#REF!</v>
      </c>
      <c r="P51" s="452"/>
      <c r="Q51" s="452"/>
      <c r="R51" s="451" t="e">
        <f>SUMIF(#REF!,$D$51,#REF!)</f>
        <v>#REF!</v>
      </c>
      <c r="S51" s="452"/>
      <c r="T51" s="452"/>
      <c r="U51" s="451" t="e">
        <f>SUMIF(#REF!,$D$51,#REF!)</f>
        <v>#REF!</v>
      </c>
      <c r="V51" s="452"/>
      <c r="W51" s="453"/>
    </row>
    <row r="52" spans="1:33" s="30" customFormat="1" ht="15">
      <c r="A52" s="31"/>
      <c r="B52" s="380" t="s">
        <v>383</v>
      </c>
      <c r="C52" s="329" t="s">
        <v>384</v>
      </c>
      <c r="D52" s="384" t="s">
        <v>470</v>
      </c>
      <c r="E52" s="329" t="s">
        <v>471</v>
      </c>
      <c r="F52" s="329"/>
      <c r="G52" s="329"/>
      <c r="H52" s="448" t="e">
        <f t="shared" si="0"/>
        <v>#REF!</v>
      </c>
      <c r="I52" s="451" t="e">
        <f>SUMIF(#REF!,$D$52,#REF!)</f>
        <v>#REF!</v>
      </c>
      <c r="J52" s="452"/>
      <c r="K52" s="452"/>
      <c r="L52" s="451" t="e">
        <f>SUMIF(#REF!,$D$52,#REF!)</f>
        <v>#REF!</v>
      </c>
      <c r="M52" s="452"/>
      <c r="N52" s="452"/>
      <c r="O52" s="451" t="e">
        <f>SUMIF(#REF!,$D$52,#REF!)</f>
        <v>#REF!</v>
      </c>
      <c r="P52" s="452"/>
      <c r="Q52" s="452"/>
      <c r="R52" s="451" t="e">
        <f>SUMIF(#REF!,$D$52,#REF!)</f>
        <v>#REF!</v>
      </c>
      <c r="S52" s="452"/>
      <c r="T52" s="452"/>
      <c r="U52" s="451" t="e">
        <f>SUMIF(#REF!,$D$52,#REF!)</f>
        <v>#REF!</v>
      </c>
      <c r="V52" s="452"/>
      <c r="W52" s="453"/>
    </row>
    <row r="53" spans="1:33" s="30" customFormat="1" ht="15">
      <c r="A53" s="31"/>
      <c r="B53" s="380" t="s">
        <v>383</v>
      </c>
      <c r="C53" s="329" t="s">
        <v>384</v>
      </c>
      <c r="D53" s="384" t="s">
        <v>472</v>
      </c>
      <c r="E53" s="329" t="s">
        <v>83</v>
      </c>
      <c r="F53" s="329"/>
      <c r="G53" s="329"/>
      <c r="H53" s="448" t="e">
        <f t="shared" si="0"/>
        <v>#REF!</v>
      </c>
      <c r="I53" s="451" t="e">
        <f>SUMIF(#REF!,$D$53,#REF!)</f>
        <v>#REF!</v>
      </c>
      <c r="J53" s="452"/>
      <c r="K53" s="452"/>
      <c r="L53" s="451" t="e">
        <f>SUMIF(#REF!,$D$53,#REF!)</f>
        <v>#REF!</v>
      </c>
      <c r="M53" s="452"/>
      <c r="N53" s="452"/>
      <c r="O53" s="451" t="e">
        <f>SUMIF(#REF!,$D$53,#REF!)</f>
        <v>#REF!</v>
      </c>
      <c r="P53" s="452"/>
      <c r="Q53" s="452"/>
      <c r="R53" s="451" t="e">
        <f>SUMIF(#REF!,$D$53,#REF!)</f>
        <v>#REF!</v>
      </c>
      <c r="S53" s="452"/>
      <c r="T53" s="452"/>
      <c r="U53" s="451" t="e">
        <f>SUMIF(#REF!,$D$53,#REF!)</f>
        <v>#REF!</v>
      </c>
      <c r="V53" s="452"/>
      <c r="W53" s="453"/>
    </row>
    <row r="54" spans="1:33" s="30" customFormat="1" ht="15">
      <c r="A54" s="29"/>
      <c r="B54" s="380" t="s">
        <v>383</v>
      </c>
      <c r="C54" s="329" t="s">
        <v>384</v>
      </c>
      <c r="D54" s="384" t="s">
        <v>473</v>
      </c>
      <c r="E54" s="329" t="s">
        <v>474</v>
      </c>
      <c r="F54" s="329"/>
      <c r="G54" s="329"/>
      <c r="H54" s="448" t="e">
        <f t="shared" si="0"/>
        <v>#REF!</v>
      </c>
      <c r="I54" s="451" t="e">
        <f>SUMIF(#REF!,$D$54,#REF!)</f>
        <v>#REF!</v>
      </c>
      <c r="J54" s="452"/>
      <c r="K54" s="452"/>
      <c r="L54" s="451" t="e">
        <f>SUMIF(#REF!,$D$54,#REF!)</f>
        <v>#REF!</v>
      </c>
      <c r="M54" s="452"/>
      <c r="N54" s="452"/>
      <c r="O54" s="451" t="e">
        <f>SUMIF(#REF!,$D$54,#REF!)</f>
        <v>#REF!</v>
      </c>
      <c r="P54" s="452"/>
      <c r="Q54" s="452"/>
      <c r="R54" s="451" t="e">
        <f>SUMIF(#REF!,$D$54,#REF!)</f>
        <v>#REF!</v>
      </c>
      <c r="S54" s="452"/>
      <c r="T54" s="452"/>
      <c r="U54" s="451" t="e">
        <f>SUMIF(#REF!,$D$54,#REF!)</f>
        <v>#REF!</v>
      </c>
      <c r="V54" s="452"/>
      <c r="W54" s="453"/>
    </row>
    <row r="55" spans="1:33" s="30" customFormat="1" ht="15">
      <c r="A55" s="29"/>
      <c r="B55" s="380" t="s">
        <v>385</v>
      </c>
      <c r="C55" s="329" t="s">
        <v>475</v>
      </c>
      <c r="D55" s="384" t="s">
        <v>476</v>
      </c>
      <c r="E55" s="329" t="s">
        <v>477</v>
      </c>
      <c r="F55" s="329"/>
      <c r="G55" s="329"/>
      <c r="H55" s="448" t="e">
        <f t="shared" si="0"/>
        <v>#REF!</v>
      </c>
      <c r="I55" s="451" t="e">
        <f>SUMIF(#REF!,$D$55,#REF!)</f>
        <v>#REF!</v>
      </c>
      <c r="J55" s="452"/>
      <c r="K55" s="452"/>
      <c r="L55" s="451" t="e">
        <f>SUMIF(#REF!,$D$55,#REF!)</f>
        <v>#REF!</v>
      </c>
      <c r="M55" s="452"/>
      <c r="N55" s="452"/>
      <c r="O55" s="451" t="e">
        <f>SUMIF(#REF!,$D$55,#REF!)</f>
        <v>#REF!</v>
      </c>
      <c r="P55" s="452"/>
      <c r="Q55" s="452"/>
      <c r="R55" s="451" t="e">
        <f>SUMIF(#REF!,$D$55,#REF!)</f>
        <v>#REF!</v>
      </c>
      <c r="S55" s="452"/>
      <c r="T55" s="452"/>
      <c r="U55" s="451" t="e">
        <f>SUMIF(#REF!,$D$55,#REF!)</f>
        <v>#REF!</v>
      </c>
      <c r="V55" s="452"/>
      <c r="W55" s="453"/>
    </row>
    <row r="56" spans="1:33" s="30" customFormat="1" ht="15">
      <c r="A56" s="29"/>
      <c r="B56" s="380" t="s">
        <v>385</v>
      </c>
      <c r="C56" s="329" t="s">
        <v>475</v>
      </c>
      <c r="D56" s="384" t="s">
        <v>478</v>
      </c>
      <c r="E56" s="329" t="s">
        <v>479</v>
      </c>
      <c r="F56" s="329"/>
      <c r="G56" s="329"/>
      <c r="H56" s="448" t="e">
        <f t="shared" si="0"/>
        <v>#REF!</v>
      </c>
      <c r="I56" s="451" t="e">
        <f>SUMIF(#REF!,$D$56,#REF!)</f>
        <v>#REF!</v>
      </c>
      <c r="J56" s="452"/>
      <c r="K56" s="452"/>
      <c r="L56" s="451" t="e">
        <f>SUMIF(#REF!,$D$56,#REF!)</f>
        <v>#REF!</v>
      </c>
      <c r="M56" s="452"/>
      <c r="N56" s="452"/>
      <c r="O56" s="451" t="e">
        <f>SUMIF(#REF!,$D$56,#REF!)</f>
        <v>#REF!</v>
      </c>
      <c r="P56" s="452"/>
      <c r="Q56" s="452"/>
      <c r="R56" s="451" t="e">
        <f>SUMIF(#REF!,$D$56,#REF!)</f>
        <v>#REF!</v>
      </c>
      <c r="S56" s="452"/>
      <c r="T56" s="452"/>
      <c r="U56" s="451" t="e">
        <f>SUMIF(#REF!,$D$56,#REF!)</f>
        <v>#REF!</v>
      </c>
      <c r="V56" s="452"/>
      <c r="W56" s="453"/>
    </row>
    <row r="57" spans="1:33" s="30" customFormat="1" ht="15.3" thickBot="1">
      <c r="A57" s="29"/>
      <c r="B57" s="369"/>
      <c r="C57" s="383"/>
      <c r="D57" s="331"/>
      <c r="E57" s="331"/>
      <c r="F57" s="331"/>
      <c r="G57" s="331"/>
      <c r="H57" s="331"/>
      <c r="I57" s="365"/>
      <c r="J57" s="331"/>
      <c r="K57" s="331"/>
      <c r="L57" s="365"/>
      <c r="M57" s="331"/>
      <c r="N57" s="331"/>
      <c r="O57" s="365"/>
      <c r="P57" s="331"/>
      <c r="Q57" s="331"/>
      <c r="R57" s="365"/>
      <c r="S57" s="331"/>
      <c r="T57" s="331"/>
      <c r="U57" s="365"/>
      <c r="V57" s="331"/>
      <c r="W57" s="332"/>
    </row>
    <row r="58" spans="1:33" s="30" customFormat="1" ht="15.3" thickBot="1">
      <c r="A58" s="29"/>
      <c r="B58" s="413" t="s">
        <v>298</v>
      </c>
      <c r="C58" s="414"/>
      <c r="D58" s="413" t="s">
        <v>298</v>
      </c>
      <c r="E58" s="327"/>
      <c r="F58" s="327"/>
      <c r="G58" s="327"/>
      <c r="H58" s="412" t="e">
        <f>SUM(I58,L58,O58,R58,U58)</f>
        <v>#REF!</v>
      </c>
      <c r="I58" s="412" t="e">
        <f>SUM(I14:I57)</f>
        <v>#REF!</v>
      </c>
      <c r="J58" s="327"/>
      <c r="K58" s="327"/>
      <c r="L58" s="412" t="e">
        <f>SUM(L14:L57)</f>
        <v>#REF!</v>
      </c>
      <c r="M58" s="327"/>
      <c r="N58" s="327"/>
      <c r="O58" s="412" t="e">
        <f>SUM(O14:O57)</f>
        <v>#REF!</v>
      </c>
      <c r="P58" s="327"/>
      <c r="Q58" s="327"/>
      <c r="R58" s="412" t="e">
        <f>SUM(R14:R57)</f>
        <v>#REF!</v>
      </c>
      <c r="S58" s="327"/>
      <c r="T58" s="327"/>
      <c r="U58" s="412" t="e">
        <f>SUM(U14:U57)</f>
        <v>#REF!</v>
      </c>
      <c r="V58" s="327"/>
      <c r="W58" s="328"/>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t="s">
        <v>391</v>
      </c>
      <c r="C60" s="9"/>
      <c r="D60" s="30"/>
      <c r="E60" s="9"/>
      <c r="F60" s="9"/>
      <c r="G60" s="9"/>
      <c r="H60" s="9"/>
      <c r="I60" s="174"/>
      <c r="J60" s="9"/>
      <c r="K60" s="9"/>
      <c r="L60" s="174"/>
      <c r="M60" s="9"/>
      <c r="N60" s="9"/>
      <c r="O60" s="174"/>
      <c r="P60" s="9"/>
      <c r="Q60" s="9"/>
      <c r="R60" s="174"/>
      <c r="S60" s="9"/>
      <c r="T60" s="9"/>
      <c r="U60" s="174"/>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30"/>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30"/>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30"/>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30"/>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30"/>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30"/>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30"/>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30"/>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30"/>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30"/>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2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2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2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1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1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s="14" customFormat="1">
      <c r="A140" s="19"/>
      <c r="B140" s="9"/>
      <c r="C140" s="9"/>
      <c r="D140" s="16"/>
      <c r="E140" s="9"/>
      <c r="F140" s="9"/>
      <c r="G140" s="9"/>
      <c r="H140" s="9"/>
      <c r="I140" s="9"/>
      <c r="J140" s="9"/>
      <c r="K140" s="9"/>
      <c r="L140" s="9"/>
      <c r="M140" s="9"/>
      <c r="N140" s="9"/>
      <c r="O140" s="9"/>
      <c r="P140" s="9"/>
      <c r="Q140" s="9"/>
      <c r="R140" s="9"/>
      <c r="S140" s="9"/>
      <c r="T140" s="9"/>
      <c r="U140" s="9"/>
      <c r="V140" s="9"/>
      <c r="W140" s="9"/>
      <c r="X140" s="9"/>
      <c r="Y140" s="9"/>
      <c r="AA140" s="5"/>
      <c r="AB140" s="9"/>
      <c r="AC140" s="9"/>
      <c r="AD140" s="9"/>
      <c r="AE140" s="9"/>
      <c r="AF140" s="9"/>
      <c r="AG140" s="9"/>
    </row>
    <row r="141" spans="1:33" s="14" customFormat="1">
      <c r="A141" s="19"/>
      <c r="B141" s="9"/>
      <c r="C141" s="9"/>
      <c r="D141" s="16"/>
      <c r="E141" s="9"/>
      <c r="F141" s="9"/>
      <c r="G141" s="9"/>
      <c r="H141" s="9"/>
      <c r="I141" s="9"/>
      <c r="J141" s="9"/>
      <c r="K141" s="9"/>
      <c r="L141" s="9"/>
      <c r="M141" s="9"/>
      <c r="N141" s="9"/>
      <c r="O141" s="9"/>
      <c r="P141" s="9"/>
      <c r="Q141" s="9"/>
      <c r="R141" s="9"/>
      <c r="S141" s="9"/>
      <c r="T141" s="9"/>
      <c r="U141" s="9"/>
      <c r="V141" s="9"/>
      <c r="W141" s="9"/>
      <c r="X141" s="9"/>
      <c r="Y141" s="9"/>
      <c r="AA141" s="5"/>
      <c r="AB141" s="9"/>
      <c r="AC141" s="9"/>
      <c r="AD141" s="9"/>
      <c r="AE141" s="9"/>
      <c r="AF141" s="9"/>
      <c r="AG141" s="9"/>
    </row>
    <row r="142" spans="1:33" s="14" customFormat="1">
      <c r="A142" s="19"/>
      <c r="B142" s="9"/>
      <c r="C142" s="9"/>
      <c r="D142" s="16"/>
      <c r="E142" s="9"/>
      <c r="F142" s="9"/>
      <c r="G142" s="9"/>
      <c r="H142" s="9"/>
      <c r="I142" s="9"/>
      <c r="J142" s="9"/>
      <c r="K142" s="9"/>
      <c r="L142" s="9"/>
      <c r="M142" s="9"/>
      <c r="N142" s="9"/>
      <c r="O142" s="9"/>
      <c r="P142" s="9"/>
      <c r="Q142" s="9"/>
      <c r="R142" s="9"/>
      <c r="S142" s="9"/>
      <c r="T142" s="9"/>
      <c r="U142" s="9"/>
      <c r="V142" s="9"/>
      <c r="W142" s="9"/>
      <c r="X142" s="9"/>
      <c r="Y142" s="9"/>
      <c r="AA142" s="5"/>
      <c r="AB142" s="9"/>
      <c r="AC142" s="9"/>
      <c r="AD142" s="9"/>
      <c r="AE142" s="9"/>
      <c r="AF142" s="9"/>
      <c r="AG142" s="9"/>
    </row>
    <row r="143" spans="1:33" s="14" customFormat="1">
      <c r="A143" s="19"/>
      <c r="B143" s="9"/>
      <c r="C143" s="9"/>
      <c r="D143" s="16"/>
      <c r="E143" s="9"/>
      <c r="F143" s="9"/>
      <c r="G143" s="9"/>
      <c r="H143" s="9"/>
      <c r="I143" s="9"/>
      <c r="J143" s="9"/>
      <c r="K143" s="9"/>
      <c r="L143" s="9"/>
      <c r="M143" s="9"/>
      <c r="N143" s="9"/>
      <c r="O143" s="9"/>
      <c r="P143" s="9"/>
      <c r="Q143" s="9"/>
      <c r="R143" s="9"/>
      <c r="S143" s="9"/>
      <c r="T143" s="9"/>
      <c r="U143" s="9"/>
      <c r="V143" s="9"/>
      <c r="W143" s="9"/>
      <c r="X143" s="9"/>
      <c r="Y143" s="9"/>
      <c r="AA143" s="5"/>
      <c r="AB143" s="9"/>
      <c r="AC143" s="9"/>
      <c r="AD143" s="9"/>
      <c r="AE143" s="9"/>
      <c r="AF143" s="9"/>
      <c r="AG143" s="9"/>
    </row>
    <row r="144" spans="1:33" s="14" customFormat="1">
      <c r="A144" s="19"/>
      <c r="B144" s="9"/>
      <c r="C144" s="9"/>
      <c r="D144" s="16"/>
      <c r="E144" s="9"/>
      <c r="F144" s="9"/>
      <c r="G144" s="9"/>
      <c r="H144" s="9"/>
      <c r="I144" s="9"/>
      <c r="J144" s="9"/>
      <c r="K144" s="9"/>
      <c r="L144" s="9"/>
      <c r="M144" s="9"/>
      <c r="N144" s="9"/>
      <c r="O144" s="9"/>
      <c r="P144" s="9"/>
      <c r="Q144" s="9"/>
      <c r="R144" s="9"/>
      <c r="S144" s="9"/>
      <c r="T144" s="9"/>
      <c r="U144" s="9"/>
      <c r="V144" s="9"/>
      <c r="W144" s="9"/>
      <c r="X144" s="9"/>
      <c r="Y144" s="9"/>
      <c r="AA144" s="5"/>
      <c r="AB144" s="9"/>
      <c r="AC144" s="9"/>
      <c r="AD144" s="9"/>
      <c r="AE144" s="9"/>
      <c r="AF144" s="9"/>
      <c r="AG144" s="9"/>
    </row>
    <row r="145" spans="1:33" s="14" customFormat="1">
      <c r="A145" s="19"/>
      <c r="B145" s="9"/>
      <c r="C145" s="9"/>
      <c r="D145" s="16"/>
      <c r="E145" s="9"/>
      <c r="F145" s="9"/>
      <c r="G145" s="9"/>
      <c r="H145" s="9"/>
      <c r="I145" s="9"/>
      <c r="J145" s="9"/>
      <c r="K145" s="9"/>
      <c r="L145" s="9"/>
      <c r="M145" s="9"/>
      <c r="N145" s="9"/>
      <c r="O145" s="9"/>
      <c r="P145" s="9"/>
      <c r="Q145" s="9"/>
      <c r="R145" s="9"/>
      <c r="S145" s="9"/>
      <c r="T145" s="9"/>
      <c r="U145" s="9"/>
      <c r="V145" s="9"/>
      <c r="W145" s="9"/>
      <c r="X145" s="9"/>
      <c r="Y145" s="9"/>
      <c r="AA145" s="5"/>
      <c r="AB145" s="9"/>
      <c r="AC145" s="9"/>
      <c r="AD145" s="9"/>
      <c r="AE145" s="9"/>
      <c r="AF145" s="9"/>
      <c r="AG145" s="9"/>
    </row>
    <row r="146" spans="1:33" s="14" customFormat="1">
      <c r="A146" s="19"/>
      <c r="B146" s="9"/>
      <c r="C146" s="9"/>
      <c r="D146" s="16"/>
      <c r="E146" s="9"/>
      <c r="F146" s="9"/>
      <c r="G146" s="9"/>
      <c r="H146" s="9"/>
      <c r="I146" s="9"/>
      <c r="J146" s="9"/>
      <c r="K146" s="9"/>
      <c r="L146" s="9"/>
      <c r="M146" s="9"/>
      <c r="N146" s="9"/>
      <c r="O146" s="9"/>
      <c r="P146" s="9"/>
      <c r="Q146" s="9"/>
      <c r="R146" s="9"/>
      <c r="S146" s="9"/>
      <c r="T146" s="9"/>
      <c r="U146" s="9"/>
      <c r="V146" s="9"/>
      <c r="W146" s="9"/>
      <c r="X146" s="9"/>
      <c r="Y146" s="9"/>
      <c r="AA146" s="5"/>
      <c r="AB146" s="9"/>
      <c r="AC146" s="9"/>
      <c r="AD146" s="9"/>
      <c r="AE146" s="9"/>
      <c r="AF146" s="9"/>
      <c r="AG146" s="9"/>
    </row>
    <row r="147" spans="1:33" s="14" customFormat="1">
      <c r="A147" s="19"/>
      <c r="B147" s="9"/>
      <c r="C147" s="9"/>
      <c r="D147" s="16"/>
      <c r="E147" s="9"/>
      <c r="F147" s="9"/>
      <c r="G147" s="9"/>
      <c r="H147" s="9"/>
      <c r="I147" s="9"/>
      <c r="J147" s="9"/>
      <c r="K147" s="9"/>
      <c r="L147" s="9"/>
      <c r="M147" s="9"/>
      <c r="N147" s="9"/>
      <c r="O147" s="9"/>
      <c r="P147" s="9"/>
      <c r="Q147" s="9"/>
      <c r="R147" s="9"/>
      <c r="S147" s="9"/>
      <c r="T147" s="9"/>
      <c r="U147" s="9"/>
      <c r="V147" s="9"/>
      <c r="W147" s="9"/>
      <c r="X147" s="9"/>
      <c r="Y147" s="9"/>
      <c r="AA147" s="5"/>
      <c r="AB147" s="9"/>
      <c r="AC147" s="9"/>
      <c r="AD147" s="9"/>
      <c r="AE147" s="9"/>
      <c r="AF147" s="9"/>
      <c r="AG147" s="9"/>
    </row>
    <row r="148" spans="1:33" s="14" customFormat="1">
      <c r="A148" s="19"/>
      <c r="B148" s="9"/>
      <c r="C148" s="9"/>
      <c r="D148" s="16"/>
      <c r="E148" s="9"/>
      <c r="F148" s="9"/>
      <c r="G148" s="9"/>
      <c r="H148" s="9"/>
      <c r="I148" s="9"/>
      <c r="J148" s="9"/>
      <c r="K148" s="9"/>
      <c r="L148" s="9"/>
      <c r="M148" s="9"/>
      <c r="N148" s="9"/>
      <c r="O148" s="9"/>
      <c r="P148" s="9"/>
      <c r="Q148" s="9"/>
      <c r="R148" s="9"/>
      <c r="S148" s="9"/>
      <c r="T148" s="9"/>
      <c r="U148" s="9"/>
      <c r="V148" s="9"/>
      <c r="W148" s="9"/>
      <c r="X148" s="9"/>
      <c r="Y148" s="9"/>
      <c r="AA148" s="5"/>
      <c r="AB148" s="9"/>
      <c r="AC148" s="9"/>
      <c r="AD148" s="9"/>
      <c r="AE148" s="9"/>
      <c r="AF148" s="9"/>
      <c r="AG148" s="9"/>
    </row>
    <row r="149" spans="1:33" s="14" customFormat="1">
      <c r="A149" s="19"/>
      <c r="B149" s="9"/>
      <c r="C149" s="9"/>
      <c r="D149" s="16"/>
      <c r="E149" s="9"/>
      <c r="F149" s="9"/>
      <c r="G149" s="9"/>
      <c r="H149" s="9"/>
      <c r="I149" s="9"/>
      <c r="J149" s="9"/>
      <c r="K149" s="9"/>
      <c r="L149" s="9"/>
      <c r="M149" s="9"/>
      <c r="N149" s="9"/>
      <c r="O149" s="9"/>
      <c r="P149" s="9"/>
      <c r="Q149" s="9"/>
      <c r="R149" s="9"/>
      <c r="S149" s="9"/>
      <c r="T149" s="9"/>
      <c r="U149" s="9"/>
      <c r="V149" s="9"/>
      <c r="W149" s="9"/>
      <c r="X149" s="9"/>
      <c r="Y149" s="9"/>
      <c r="AA149" s="5"/>
      <c r="AB149" s="9"/>
      <c r="AC149" s="9"/>
      <c r="AD149" s="9"/>
      <c r="AE149" s="9"/>
      <c r="AF149" s="9"/>
      <c r="AG149" s="9"/>
    </row>
  </sheetData>
  <sheetProtection formatColumns="0" formatRows="0" insertRows="0" autoFilter="0"/>
  <dataValidations count="1">
    <dataValidation type="list" allowBlank="1" showInputMessage="1" showErrorMessage="1" prompt="Select US Costs or Incountry Costs as appropriate" sqref="B12:C12" xr:uid="{00000000-0002-0000-0A00-000000000000}">
      <formula1>#REF!</formula1>
    </dataValidation>
  </dataValidations>
  <pageMargins left="0.5" right="0.5" top="0.5" bottom="0.5" header="0" footer="0.25"/>
  <pageSetup scale="45" fitToHeight="0" orientation="landscape" r:id="rId1"/>
  <headerFooter scaleWithDoc="0" alignWithMargins="0">
    <oddFooter>&amp;LUse or disclosure of data contained on this sheet is subject to the restriction on the proprietary statement of this proposal.&amp;RJhpiego,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499984740745262"/>
    <pageSetUpPr fitToPage="1"/>
  </sheetPr>
  <dimension ref="A1:AG146"/>
  <sheetViews>
    <sheetView zoomScale="70" zoomScaleNormal="70" zoomScaleSheetLayoutView="70" workbookViewId="0">
      <pane xSplit="7" ySplit="13" topLeftCell="H14" activePane="bottomRight" state="frozen"/>
      <selection pane="topRight" activeCell="B43" sqref="B43"/>
      <selection pane="bottomLeft" activeCell="B43" sqref="B43"/>
      <selection pane="bottomRight" activeCell="O39" sqref="O39"/>
    </sheetView>
  </sheetViews>
  <sheetFormatPr defaultColWidth="9.71875" defaultRowHeight="12.3"/>
  <cols>
    <col min="1" max="1" width="15.44140625" style="19" bestFit="1" customWidth="1"/>
    <col min="2" max="2" width="15.5546875" style="9" customWidth="1"/>
    <col min="3" max="3" width="29" style="9" customWidth="1"/>
    <col min="4" max="4" width="12.27734375" style="13" customWidth="1"/>
    <col min="5" max="5" width="49.27734375" style="9" bestFit="1" customWidth="1"/>
    <col min="6" max="6" width="10.5546875" style="9" hidden="1" customWidth="1"/>
    <col min="7" max="7" width="9.27734375" style="9" hidden="1" customWidth="1"/>
    <col min="8" max="9" width="20.71875" style="9" customWidth="1"/>
    <col min="10" max="11" width="20.71875" style="9" hidden="1" customWidth="1"/>
    <col min="12" max="12" width="20.71875" style="9" customWidth="1"/>
    <col min="13" max="14" width="20.71875" style="9" hidden="1" customWidth="1"/>
    <col min="15" max="15" width="20.71875" style="9" customWidth="1"/>
    <col min="16" max="17" width="20.71875" style="9" hidden="1" customWidth="1"/>
    <col min="18" max="18" width="20.71875" style="9" customWidth="1"/>
    <col min="19" max="20" width="20.71875" style="9" hidden="1" customWidth="1"/>
    <col min="21" max="21" width="20.71875" style="9" customWidth="1"/>
    <col min="22" max="23" width="20.71875" style="9" hidden="1" customWidth="1"/>
    <col min="24" max="24" width="16" style="9" customWidth="1"/>
    <col min="25" max="25" width="15.71875" style="14" customWidth="1"/>
    <col min="26" max="26" width="13.71875" style="14" customWidth="1"/>
    <col min="27" max="27" width="12.44140625" style="5" bestFit="1" customWidth="1"/>
    <col min="28" max="16384" width="9.71875" style="9"/>
  </cols>
  <sheetData>
    <row r="1" spans="1:27" s="8" customFormat="1" ht="20.100000000000001">
      <c r="A1" s="19"/>
      <c r="C1" s="4"/>
      <c r="D1" s="441" t="s">
        <v>327</v>
      </c>
      <c r="M1" s="9"/>
      <c r="N1" s="10"/>
      <c r="P1" s="24"/>
      <c r="Q1" s="25"/>
      <c r="R1" s="25"/>
      <c r="T1" s="25"/>
      <c r="U1" s="25"/>
      <c r="V1" s="25"/>
      <c r="W1" s="24"/>
      <c r="Z1" s="11"/>
    </row>
    <row r="2" spans="1:27" s="8" customFormat="1" ht="15">
      <c r="A2" s="19"/>
      <c r="C2" s="315"/>
      <c r="D2" s="442" t="str">
        <f>Assumptions!B5</f>
        <v>DONOR:</v>
      </c>
      <c r="E2" s="315" t="str">
        <f>'Incountry Costs by GL USD'!E2</f>
        <v>USDOL</v>
      </c>
      <c r="M2" s="9"/>
      <c r="N2" s="9"/>
      <c r="O2" s="9"/>
      <c r="P2" s="27"/>
      <c r="Q2" s="12"/>
      <c r="R2" s="12"/>
      <c r="T2" s="9"/>
      <c r="V2" s="9"/>
      <c r="Y2" s="11"/>
      <c r="Z2" s="11"/>
      <c r="AA2" s="12"/>
    </row>
    <row r="3" spans="1:27" s="8" customFormat="1" ht="15">
      <c r="A3" s="19"/>
      <c r="C3" s="315"/>
      <c r="D3" s="442" t="str">
        <f>Assumptions!B6</f>
        <v>Country:</v>
      </c>
      <c r="E3" s="315" t="str">
        <f>'Incountry Costs by GL USD'!E3</f>
        <v>Ecuador</v>
      </c>
      <c r="M3" s="9"/>
      <c r="N3" s="9"/>
      <c r="O3" s="9"/>
      <c r="P3" s="27"/>
      <c r="Q3" s="12"/>
      <c r="R3" s="12"/>
      <c r="T3" s="9"/>
      <c r="V3" s="9"/>
      <c r="W3" s="1025"/>
      <c r="Y3" s="11"/>
      <c r="Z3" s="11"/>
      <c r="AA3" s="12"/>
    </row>
    <row r="4" spans="1:27" ht="15">
      <c r="C4" s="315"/>
      <c r="D4" s="442" t="str">
        <f>Assumptions!B7</f>
        <v>Program Name:</v>
      </c>
      <c r="E4" s="315" t="str">
        <f>'Incountry Costs by GL USD'!E4</f>
        <v>Project to Improve Adherence to International Labor Standards in the Agricultural Sector in Ecuador</v>
      </c>
      <c r="F4" s="8"/>
      <c r="S4" s="1026"/>
      <c r="W4" s="1025"/>
    </row>
    <row r="5" spans="1:27" ht="15">
      <c r="C5" s="315"/>
      <c r="D5" s="442" t="str">
        <f>Assumptions!B8</f>
        <v>Grant Number:</v>
      </c>
      <c r="E5" s="315" t="str">
        <f>'Incountry Costs by GL USD'!E5</f>
        <v>FOA-ILAB-23-28</v>
      </c>
      <c r="I5"/>
      <c r="S5" s="1026"/>
      <c r="W5" s="1025"/>
    </row>
    <row r="6" spans="1:27" ht="15">
      <c r="C6" s="315"/>
      <c r="D6" s="442" t="str">
        <f>Assumptions!B9</f>
        <v>Period of Performance:</v>
      </c>
      <c r="E6" s="462" t="str">
        <f>'Incountry Costs by GL USD'!E6</f>
        <v>48 months</v>
      </c>
      <c r="H6" s="462">
        <f>'Incountry Costs by GL USD'!H6</f>
        <v>0</v>
      </c>
      <c r="S6" s="1026"/>
    </row>
    <row r="7" spans="1:27" ht="15">
      <c r="C7" s="315"/>
      <c r="D7" s="315"/>
      <c r="T7" s="5"/>
      <c r="V7" s="5"/>
      <c r="Y7" s="9"/>
      <c r="Z7" s="9"/>
      <c r="AA7" s="9"/>
    </row>
    <row r="8" spans="1:27" ht="20.100000000000001">
      <c r="C8" s="315"/>
      <c r="D8" s="4" t="s">
        <v>406</v>
      </c>
      <c r="T8" s="5"/>
      <c r="V8" s="5"/>
      <c r="Y8" s="9"/>
      <c r="Z8" s="9"/>
      <c r="AA8" s="9"/>
    </row>
    <row r="9" spans="1:27" ht="15">
      <c r="C9" s="315"/>
      <c r="D9" s="315" t="s">
        <v>407</v>
      </c>
      <c r="T9" s="5"/>
      <c r="V9" s="5"/>
      <c r="Y9" s="9"/>
      <c r="Z9" s="9"/>
      <c r="AA9" s="9"/>
    </row>
    <row r="10" spans="1:27" s="30" customFormat="1" ht="20.100000000000001">
      <c r="A10" s="19"/>
      <c r="C10" s="4"/>
      <c r="D10" s="409" t="s">
        <v>480</v>
      </c>
      <c r="E10" s="173"/>
      <c r="F10" s="173"/>
      <c r="G10" s="173"/>
      <c r="I10" s="415" t="s">
        <v>481</v>
      </c>
      <c r="J10" s="416"/>
      <c r="K10" s="416"/>
      <c r="L10" s="417">
        <f>er</f>
        <v>0</v>
      </c>
      <c r="M10" s="173"/>
      <c r="N10" s="173"/>
      <c r="O10" s="173" t="s">
        <v>482</v>
      </c>
      <c r="P10" s="173"/>
      <c r="Q10" s="173"/>
      <c r="R10" s="173"/>
      <c r="S10" s="173"/>
      <c r="T10" s="173"/>
      <c r="U10" s="173"/>
      <c r="V10" s="415" t="s">
        <v>481</v>
      </c>
      <c r="W10" s="416"/>
      <c r="X10" s="31"/>
    </row>
    <row r="11" spans="1:27" s="105" customFormat="1" ht="20.100000000000001">
      <c r="A11" s="19"/>
      <c r="C11" s="4"/>
      <c r="D11" s="443"/>
      <c r="E11" s="429" t="s">
        <v>409</v>
      </c>
      <c r="F11" s="444"/>
      <c r="G11" s="444"/>
      <c r="H11" s="9"/>
      <c r="I11" s="468" t="str">
        <f>'Incountry Costs by GL USD'!I11</f>
        <v>21 - 987654321</v>
      </c>
      <c r="J11" s="468"/>
      <c r="K11" s="468"/>
      <c r="L11" s="468" t="str">
        <f>'Incountry Costs by GL USD'!L11</f>
        <v>22 - 987654322</v>
      </c>
      <c r="M11" s="468"/>
      <c r="N11" s="468"/>
      <c r="O11" s="468" t="str">
        <f>'Incountry Costs by GL USD'!O11</f>
        <v>23 - 987654323</v>
      </c>
      <c r="P11" s="468"/>
      <c r="Q11" s="468"/>
      <c r="R11" s="468" t="str">
        <f>'Incountry Costs by GL USD'!R11</f>
        <v>24 - 987654324</v>
      </c>
      <c r="S11" s="468"/>
      <c r="T11" s="468"/>
      <c r="U11" s="468" t="str">
        <f>'Incountry Costs by GL USD'!U11</f>
        <v>25 - 987654325</v>
      </c>
      <c r="V11" s="468"/>
      <c r="W11" s="468"/>
    </row>
    <row r="12" spans="1:27" s="30" customFormat="1" ht="15.3" thickBot="1">
      <c r="A12" s="19"/>
      <c r="B12" s="1060"/>
      <c r="C12" s="1060"/>
      <c r="D12" s="173"/>
      <c r="E12" s="173"/>
      <c r="F12" s="173"/>
      <c r="G12" s="173"/>
      <c r="H12" s="173"/>
      <c r="I12" s="173"/>
      <c r="J12" s="173"/>
      <c r="K12" s="173"/>
      <c r="L12" s="173"/>
      <c r="M12" s="173"/>
      <c r="N12" s="173"/>
      <c r="O12" s="173"/>
      <c r="P12" s="173"/>
      <c r="Q12" s="173"/>
      <c r="R12" s="173"/>
      <c r="S12" s="173"/>
      <c r="T12" s="173"/>
      <c r="U12" s="173"/>
      <c r="V12" s="173"/>
      <c r="W12" s="173"/>
      <c r="X12" s="31"/>
      <c r="Y12" s="31"/>
    </row>
    <row r="13" spans="1:27" s="440" customFormat="1" ht="30.3" thickBot="1">
      <c r="A13" s="445" t="s">
        <v>344</v>
      </c>
      <c r="B13" s="411" t="s">
        <v>345</v>
      </c>
      <c r="C13" s="438" t="s">
        <v>346</v>
      </c>
      <c r="D13" s="446" t="s">
        <v>347</v>
      </c>
      <c r="E13" s="438" t="s">
        <v>346</v>
      </c>
      <c r="F13" s="437"/>
      <c r="G13" s="437"/>
      <c r="H13" s="449" t="s">
        <v>393</v>
      </c>
      <c r="I13" s="418" t="e">
        <f>#REF!</f>
        <v>#REF!</v>
      </c>
      <c r="J13" s="437"/>
      <c r="K13" s="437"/>
      <c r="L13" s="418" t="e">
        <f>#REF!</f>
        <v>#REF!</v>
      </c>
      <c r="M13" s="437"/>
      <c r="N13" s="437"/>
      <c r="O13" s="418" t="e">
        <f>#REF!</f>
        <v>#REF!</v>
      </c>
      <c r="P13" s="437"/>
      <c r="Q13" s="437"/>
      <c r="R13" s="418" t="e">
        <f>#REF!</f>
        <v>#REF!</v>
      </c>
      <c r="S13" s="437"/>
      <c r="T13" s="437"/>
      <c r="U13" s="418" t="e">
        <f>#REF!</f>
        <v>#REF!</v>
      </c>
      <c r="V13" s="437"/>
      <c r="W13" s="438"/>
    </row>
    <row r="14" spans="1:27" s="30" customFormat="1" ht="15">
      <c r="A14" s="31"/>
      <c r="B14" s="373"/>
      <c r="C14" s="371"/>
      <c r="D14" s="371"/>
      <c r="E14" s="361"/>
      <c r="F14" s="361"/>
      <c r="G14" s="361"/>
      <c r="H14" s="361"/>
      <c r="I14" s="370"/>
      <c r="J14" s="370"/>
      <c r="K14" s="370"/>
      <c r="L14" s="370"/>
      <c r="M14" s="370"/>
      <c r="N14" s="370"/>
      <c r="O14" s="370"/>
      <c r="P14" s="370"/>
      <c r="Q14" s="370"/>
      <c r="R14" s="370"/>
      <c r="S14" s="370"/>
      <c r="T14" s="370"/>
      <c r="U14" s="370"/>
      <c r="V14" s="370"/>
      <c r="W14" s="370"/>
    </row>
    <row r="15" spans="1:27" s="30" customFormat="1" ht="15">
      <c r="A15" s="410" t="s">
        <v>162</v>
      </c>
      <c r="B15" s="380" t="s">
        <v>348</v>
      </c>
      <c r="C15" s="384" t="s">
        <v>415</v>
      </c>
      <c r="D15" s="384" t="s">
        <v>416</v>
      </c>
      <c r="E15" s="329" t="s">
        <v>417</v>
      </c>
      <c r="F15" s="329"/>
      <c r="G15" s="329"/>
      <c r="H15" s="448" t="e">
        <f>'Incountry Costs by GL USD'!H15*$L$10</f>
        <v>#REF!</v>
      </c>
      <c r="I15" s="451" t="e">
        <f>'Incountry Costs by GL USD'!I15*$L$10</f>
        <v>#REF!</v>
      </c>
      <c r="J15" s="452"/>
      <c r="K15" s="452"/>
      <c r="L15" s="451" t="e">
        <f>'Incountry Costs by GL USD'!L15*$L$10</f>
        <v>#REF!</v>
      </c>
      <c r="M15" s="452"/>
      <c r="N15" s="452"/>
      <c r="O15" s="451" t="e">
        <f>'Incountry Costs by GL USD'!O15*$L$10</f>
        <v>#REF!</v>
      </c>
      <c r="P15" s="452"/>
      <c r="Q15" s="452"/>
      <c r="R15" s="451" t="e">
        <f>'Incountry Costs by GL USD'!R15*$L$10</f>
        <v>#REF!</v>
      </c>
      <c r="S15" s="452"/>
      <c r="T15" s="452"/>
      <c r="U15" s="451" t="e">
        <f>'Incountry Costs by GL USD'!U15*$L$10</f>
        <v>#REF!</v>
      </c>
      <c r="V15" s="452"/>
      <c r="W15" s="453"/>
    </row>
    <row r="16" spans="1:27" s="30" customFormat="1" ht="15">
      <c r="A16" s="410" t="s">
        <v>180</v>
      </c>
      <c r="B16" s="380" t="s">
        <v>352</v>
      </c>
      <c r="C16" s="384" t="s">
        <v>180</v>
      </c>
      <c r="D16" s="384" t="s">
        <v>418</v>
      </c>
      <c r="E16" s="329" t="s">
        <v>419</v>
      </c>
      <c r="F16" s="329"/>
      <c r="G16" s="329"/>
      <c r="H16" s="448" t="e">
        <f>'Incountry Costs by GL USD'!H16*$L$10</f>
        <v>#REF!</v>
      </c>
      <c r="I16" s="451" t="e">
        <f>'Incountry Costs by GL USD'!I16*$L$10</f>
        <v>#REF!</v>
      </c>
      <c r="J16" s="452"/>
      <c r="K16" s="452"/>
      <c r="L16" s="451" t="e">
        <f>'Incountry Costs by GL USD'!L16*$L$10</f>
        <v>#REF!</v>
      </c>
      <c r="M16" s="452"/>
      <c r="N16" s="452"/>
      <c r="O16" s="451" t="e">
        <f>'Incountry Costs by GL USD'!O16*$L$10</f>
        <v>#REF!</v>
      </c>
      <c r="P16" s="452"/>
      <c r="Q16" s="452"/>
      <c r="R16" s="451" t="e">
        <f>'Incountry Costs by GL USD'!R16*$L$10</f>
        <v>#REF!</v>
      </c>
      <c r="S16" s="452"/>
      <c r="T16" s="452"/>
      <c r="U16" s="451" t="e">
        <f>'Incountry Costs by GL USD'!U16*$L$10</f>
        <v>#REF!</v>
      </c>
      <c r="V16" s="452"/>
      <c r="W16" s="453"/>
    </row>
    <row r="17" spans="1:23" s="30" customFormat="1" ht="15">
      <c r="A17" s="410" t="s">
        <v>184</v>
      </c>
      <c r="B17" s="380" t="s">
        <v>353</v>
      </c>
      <c r="C17" s="329" t="s">
        <v>354</v>
      </c>
      <c r="D17" s="384" t="s">
        <v>420</v>
      </c>
      <c r="E17" s="329" t="s">
        <v>421</v>
      </c>
      <c r="F17" s="329"/>
      <c r="G17" s="329"/>
      <c r="H17" s="448" t="e">
        <f>'Incountry Costs by GL USD'!H17*$L$10</f>
        <v>#REF!</v>
      </c>
      <c r="I17" s="451" t="e">
        <f>'Incountry Costs by GL USD'!I17*$L$10</f>
        <v>#REF!</v>
      </c>
      <c r="J17" s="452"/>
      <c r="K17" s="452"/>
      <c r="L17" s="451" t="e">
        <f>'Incountry Costs by GL USD'!L17*$L$10</f>
        <v>#REF!</v>
      </c>
      <c r="M17" s="452"/>
      <c r="N17" s="452"/>
      <c r="O17" s="451" t="e">
        <f>'Incountry Costs by GL USD'!O17*$L$10</f>
        <v>#REF!</v>
      </c>
      <c r="P17" s="452"/>
      <c r="Q17" s="452"/>
      <c r="R17" s="451" t="e">
        <f>'Incountry Costs by GL USD'!R17*$L$10</f>
        <v>#REF!</v>
      </c>
      <c r="S17" s="452"/>
      <c r="T17" s="452"/>
      <c r="U17" s="451" t="e">
        <f>'Incountry Costs by GL USD'!U17*$L$10</f>
        <v>#REF!</v>
      </c>
      <c r="V17" s="452"/>
      <c r="W17" s="453"/>
    </row>
    <row r="18" spans="1:23" s="30" customFormat="1" ht="15">
      <c r="A18" s="29"/>
      <c r="B18" s="380" t="s">
        <v>355</v>
      </c>
      <c r="C18" s="329" t="s">
        <v>356</v>
      </c>
      <c r="D18" s="384" t="s">
        <v>422</v>
      </c>
      <c r="E18" s="329" t="s">
        <v>356</v>
      </c>
      <c r="F18" s="329"/>
      <c r="G18" s="329"/>
      <c r="H18" s="448" t="e">
        <f>'Incountry Costs by GL USD'!H18*$L$10</f>
        <v>#REF!</v>
      </c>
      <c r="I18" s="451" t="e">
        <f>'Incountry Costs by GL USD'!I18*$L$10</f>
        <v>#REF!</v>
      </c>
      <c r="J18" s="452"/>
      <c r="K18" s="452"/>
      <c r="L18" s="451" t="e">
        <f>'Incountry Costs by GL USD'!L18*$L$10</f>
        <v>#REF!</v>
      </c>
      <c r="M18" s="452"/>
      <c r="N18" s="452"/>
      <c r="O18" s="451" t="e">
        <f>'Incountry Costs by GL USD'!O18*$L$10</f>
        <v>#REF!</v>
      </c>
      <c r="P18" s="452"/>
      <c r="Q18" s="452"/>
      <c r="R18" s="451" t="e">
        <f>'Incountry Costs by GL USD'!R18*$L$10</f>
        <v>#REF!</v>
      </c>
      <c r="S18" s="452"/>
      <c r="T18" s="452"/>
      <c r="U18" s="451" t="e">
        <f>'Incountry Costs by GL USD'!U18*$L$10</f>
        <v>#REF!</v>
      </c>
      <c r="V18" s="452"/>
      <c r="W18" s="453"/>
    </row>
    <row r="19" spans="1:23" s="30" customFormat="1" ht="15">
      <c r="A19" s="29"/>
      <c r="B19" s="367"/>
      <c r="C19" s="329"/>
      <c r="D19" s="384" t="s">
        <v>423</v>
      </c>
      <c r="E19" s="329" t="s">
        <v>424</v>
      </c>
      <c r="F19" s="329"/>
      <c r="G19" s="329"/>
      <c r="H19" s="448" t="e">
        <f>'Incountry Costs by GL USD'!H19*$L$10</f>
        <v>#REF!</v>
      </c>
      <c r="I19" s="451" t="e">
        <f>'Incountry Costs by GL USD'!I19*$L$10</f>
        <v>#REF!</v>
      </c>
      <c r="J19" s="452"/>
      <c r="K19" s="452"/>
      <c r="L19" s="451" t="e">
        <f>'Incountry Costs by GL USD'!L19*$L$10</f>
        <v>#REF!</v>
      </c>
      <c r="M19" s="452"/>
      <c r="N19" s="452"/>
      <c r="O19" s="451" t="e">
        <f>'Incountry Costs by GL USD'!O19*$L$10</f>
        <v>#REF!</v>
      </c>
      <c r="P19" s="452"/>
      <c r="Q19" s="452"/>
      <c r="R19" s="451" t="e">
        <f>'Incountry Costs by GL USD'!R19*$L$10</f>
        <v>#REF!</v>
      </c>
      <c r="S19" s="452"/>
      <c r="T19" s="452"/>
      <c r="U19" s="451" t="e">
        <f>'Incountry Costs by GL USD'!U19*$L$10</f>
        <v>#REF!</v>
      </c>
      <c r="V19" s="452"/>
      <c r="W19" s="453"/>
    </row>
    <row r="20" spans="1:23" s="30" customFormat="1" ht="15">
      <c r="A20" s="410" t="s">
        <v>206</v>
      </c>
      <c r="B20" s="380" t="s">
        <v>357</v>
      </c>
      <c r="C20" s="384" t="s">
        <v>358</v>
      </c>
      <c r="D20" s="384" t="s">
        <v>402</v>
      </c>
      <c r="E20" s="329" t="s">
        <v>403</v>
      </c>
      <c r="F20" s="329"/>
      <c r="G20" s="329"/>
      <c r="H20" s="448" t="e">
        <f>'Incountry Costs by GL USD'!H20*$L$10</f>
        <v>#REF!</v>
      </c>
      <c r="I20" s="451" t="e">
        <f>'Incountry Costs by GL USD'!I20*$L$10</f>
        <v>#REF!</v>
      </c>
      <c r="J20" s="452"/>
      <c r="K20" s="452"/>
      <c r="L20" s="451" t="e">
        <f>'Incountry Costs by GL USD'!L20*$L$10</f>
        <v>#REF!</v>
      </c>
      <c r="M20" s="452"/>
      <c r="N20" s="452"/>
      <c r="O20" s="451" t="e">
        <f>'Incountry Costs by GL USD'!O20*$L$10</f>
        <v>#REF!</v>
      </c>
      <c r="P20" s="452"/>
      <c r="Q20" s="452"/>
      <c r="R20" s="451" t="e">
        <f>'Incountry Costs by GL USD'!R20*$L$10</f>
        <v>#REF!</v>
      </c>
      <c r="S20" s="452"/>
      <c r="T20" s="452"/>
      <c r="U20" s="451" t="e">
        <f>'Incountry Costs by GL USD'!U20*$L$10</f>
        <v>#REF!</v>
      </c>
      <c r="V20" s="452"/>
      <c r="W20" s="453"/>
    </row>
    <row r="21" spans="1:23" s="30" customFormat="1" ht="15">
      <c r="A21" s="410"/>
      <c r="B21" s="380" t="s">
        <v>357</v>
      </c>
      <c r="C21" s="384" t="s">
        <v>358</v>
      </c>
      <c r="D21" s="384" t="s">
        <v>404</v>
      </c>
      <c r="E21" s="329" t="s">
        <v>405</v>
      </c>
      <c r="F21" s="329"/>
      <c r="G21" s="329"/>
      <c r="H21" s="448" t="e">
        <f>'Incountry Costs by GL USD'!H21*$L$10</f>
        <v>#REF!</v>
      </c>
      <c r="I21" s="451" t="e">
        <f>'Incountry Costs by GL USD'!I21*$L$10</f>
        <v>#REF!</v>
      </c>
      <c r="J21" s="452"/>
      <c r="K21" s="452"/>
      <c r="L21" s="451" t="e">
        <f>'Incountry Costs by GL USD'!L21*$L$10</f>
        <v>#REF!</v>
      </c>
      <c r="M21" s="452"/>
      <c r="N21" s="452"/>
      <c r="O21" s="451" t="e">
        <f>'Incountry Costs by GL USD'!O21*$L$10</f>
        <v>#REF!</v>
      </c>
      <c r="P21" s="452"/>
      <c r="Q21" s="452"/>
      <c r="R21" s="451" t="e">
        <f>'Incountry Costs by GL USD'!R21*$L$10</f>
        <v>#REF!</v>
      </c>
      <c r="S21" s="452"/>
      <c r="T21" s="452"/>
      <c r="U21" s="451" t="e">
        <f>'Incountry Costs by GL USD'!U21*$L$10</f>
        <v>#REF!</v>
      </c>
      <c r="V21" s="452"/>
      <c r="W21" s="453"/>
    </row>
    <row r="22" spans="1:23" s="30" customFormat="1" ht="15">
      <c r="B22" s="380" t="s">
        <v>357</v>
      </c>
      <c r="C22" s="384" t="s">
        <v>358</v>
      </c>
      <c r="D22" s="384" t="s">
        <v>359</v>
      </c>
      <c r="E22" s="329" t="s">
        <v>360</v>
      </c>
      <c r="F22" s="329"/>
      <c r="G22" s="329"/>
      <c r="H22" s="448" t="e">
        <f>'Incountry Costs by GL USD'!H23*$L$10</f>
        <v>#REF!</v>
      </c>
      <c r="I22" s="451" t="e">
        <f>'Incountry Costs by GL USD'!I23*$L$10</f>
        <v>#REF!</v>
      </c>
      <c r="J22" s="452"/>
      <c r="K22" s="452"/>
      <c r="L22" s="451" t="e">
        <f>'Incountry Costs by GL USD'!L23*$L$10</f>
        <v>#REF!</v>
      </c>
      <c r="M22" s="452"/>
      <c r="N22" s="452"/>
      <c r="O22" s="451" t="e">
        <f>'Incountry Costs by GL USD'!O23*$L$10</f>
        <v>#REF!</v>
      </c>
      <c r="P22" s="452"/>
      <c r="Q22" s="452"/>
      <c r="R22" s="451" t="e">
        <f>'Incountry Costs by GL USD'!R23*$L$10</f>
        <v>#REF!</v>
      </c>
      <c r="S22" s="452"/>
      <c r="T22" s="452"/>
      <c r="U22" s="451" t="e">
        <f>'Incountry Costs by GL USD'!U23*$L$10</f>
        <v>#REF!</v>
      </c>
      <c r="V22" s="452"/>
      <c r="W22" s="453"/>
    </row>
    <row r="23" spans="1:23" s="30" customFormat="1" ht="15">
      <c r="A23" s="410"/>
      <c r="B23" s="380" t="s">
        <v>357</v>
      </c>
      <c r="C23" s="384" t="s">
        <v>358</v>
      </c>
      <c r="D23" s="384" t="s">
        <v>361</v>
      </c>
      <c r="E23" s="329" t="s">
        <v>362</v>
      </c>
      <c r="F23" s="329"/>
      <c r="G23" s="329"/>
      <c r="H23" s="448" t="e">
        <f>'Incountry Costs by GL USD'!H26*$L$10</f>
        <v>#REF!</v>
      </c>
      <c r="I23" s="451" t="e">
        <f>'Incountry Costs by GL USD'!I26*$L$10</f>
        <v>#REF!</v>
      </c>
      <c r="J23" s="452"/>
      <c r="K23" s="452"/>
      <c r="L23" s="451" t="e">
        <f>'Incountry Costs by GL USD'!L26*$L$10</f>
        <v>#REF!</v>
      </c>
      <c r="M23" s="452"/>
      <c r="N23" s="452"/>
      <c r="O23" s="451" t="e">
        <f>'Incountry Costs by GL USD'!O26*$L$10</f>
        <v>#REF!</v>
      </c>
      <c r="P23" s="452"/>
      <c r="Q23" s="452"/>
      <c r="R23" s="451" t="e">
        <f>'Incountry Costs by GL USD'!R26*$L$10</f>
        <v>#REF!</v>
      </c>
      <c r="S23" s="452"/>
      <c r="T23" s="452"/>
      <c r="U23" s="451" t="e">
        <f>'Incountry Costs by GL USD'!U26*$L$10</f>
        <v>#REF!</v>
      </c>
      <c r="V23" s="452"/>
      <c r="W23" s="453"/>
    </row>
    <row r="24" spans="1:23" s="30" customFormat="1" ht="15">
      <c r="B24" s="380" t="s">
        <v>357</v>
      </c>
      <c r="C24" s="384" t="s">
        <v>358</v>
      </c>
      <c r="D24" s="384" t="s">
        <v>363</v>
      </c>
      <c r="E24" s="329" t="s">
        <v>364</v>
      </c>
      <c r="F24" s="329"/>
      <c r="G24" s="329"/>
      <c r="H24" s="448" t="e">
        <f>'Incountry Costs by GL USD'!H27*$L$10</f>
        <v>#REF!</v>
      </c>
      <c r="I24" s="451" t="e">
        <f>'Incountry Costs by GL USD'!I27*$L$10</f>
        <v>#REF!</v>
      </c>
      <c r="J24" s="452"/>
      <c r="K24" s="452"/>
      <c r="L24" s="451" t="e">
        <f>'Incountry Costs by GL USD'!L27*$L$10</f>
        <v>#REF!</v>
      </c>
      <c r="M24" s="452"/>
      <c r="N24" s="452"/>
      <c r="O24" s="451" t="e">
        <f>'Incountry Costs by GL USD'!O27*$L$10</f>
        <v>#REF!</v>
      </c>
      <c r="P24" s="452"/>
      <c r="Q24" s="452"/>
      <c r="R24" s="451" t="e">
        <f>'Incountry Costs by GL USD'!R27*$L$10</f>
        <v>#REF!</v>
      </c>
      <c r="S24" s="452"/>
      <c r="T24" s="452"/>
      <c r="U24" s="451" t="e">
        <f>'Incountry Costs by GL USD'!U27*$L$10</f>
        <v>#REF!</v>
      </c>
      <c r="V24" s="452"/>
      <c r="W24" s="453"/>
    </row>
    <row r="25" spans="1:23" s="30" customFormat="1" ht="15">
      <c r="A25" s="410"/>
      <c r="B25" s="380" t="s">
        <v>357</v>
      </c>
      <c r="C25" s="384" t="s">
        <v>358</v>
      </c>
      <c r="D25" s="384" t="s">
        <v>365</v>
      </c>
      <c r="E25" s="329" t="s">
        <v>366</v>
      </c>
      <c r="F25" s="329"/>
      <c r="G25" s="329"/>
      <c r="H25" s="448" t="e">
        <f>'Incountry Costs by GL USD'!H28*$L$10</f>
        <v>#REF!</v>
      </c>
      <c r="I25" s="451" t="e">
        <f>'Incountry Costs by GL USD'!I28*$L$10</f>
        <v>#REF!</v>
      </c>
      <c r="J25" s="452"/>
      <c r="K25" s="452"/>
      <c r="L25" s="451" t="e">
        <f>'Incountry Costs by GL USD'!L28*$L$10</f>
        <v>#REF!</v>
      </c>
      <c r="M25" s="452"/>
      <c r="N25" s="452"/>
      <c r="O25" s="451" t="e">
        <f>'Incountry Costs by GL USD'!O28*$L$10</f>
        <v>#REF!</v>
      </c>
      <c r="P25" s="452"/>
      <c r="Q25" s="452"/>
      <c r="R25" s="451" t="e">
        <f>'Incountry Costs by GL USD'!R28*$L$10</f>
        <v>#REF!</v>
      </c>
      <c r="S25" s="452"/>
      <c r="T25" s="452"/>
      <c r="U25" s="451" t="e">
        <f>'Incountry Costs by GL USD'!U28*$L$10</f>
        <v>#REF!</v>
      </c>
      <c r="V25" s="452"/>
      <c r="W25" s="453"/>
    </row>
    <row r="26" spans="1:23" s="30" customFormat="1" ht="15">
      <c r="A26" s="410"/>
      <c r="B26" s="380" t="s">
        <v>357</v>
      </c>
      <c r="C26" s="384" t="s">
        <v>358</v>
      </c>
      <c r="D26" s="384" t="s">
        <v>367</v>
      </c>
      <c r="E26" s="329" t="s">
        <v>368</v>
      </c>
      <c r="F26" s="329"/>
      <c r="G26" s="329"/>
      <c r="H26" s="448" t="e">
        <f>'Incountry Costs by GL USD'!H29*$L$10</f>
        <v>#REF!</v>
      </c>
      <c r="I26" s="451" t="e">
        <f>'Incountry Costs by GL USD'!I29*$L$10</f>
        <v>#REF!</v>
      </c>
      <c r="J26" s="452"/>
      <c r="K26" s="452"/>
      <c r="L26" s="451" t="e">
        <f>'Incountry Costs by GL USD'!L29*$L$10</f>
        <v>#REF!</v>
      </c>
      <c r="M26" s="452"/>
      <c r="N26" s="452"/>
      <c r="O26" s="451" t="e">
        <f>'Incountry Costs by GL USD'!O29*$L$10</f>
        <v>#REF!</v>
      </c>
      <c r="P26" s="452"/>
      <c r="Q26" s="452"/>
      <c r="R26" s="451" t="e">
        <f>'Incountry Costs by GL USD'!R29*$L$10</f>
        <v>#REF!</v>
      </c>
      <c r="S26" s="452"/>
      <c r="T26" s="452"/>
      <c r="U26" s="451" t="e">
        <f>'Incountry Costs by GL USD'!U29*$L$10</f>
        <v>#REF!</v>
      </c>
      <c r="V26" s="452"/>
      <c r="W26" s="453"/>
    </row>
    <row r="27" spans="1:23" s="30" customFormat="1" ht="15">
      <c r="A27" s="410" t="s">
        <v>202</v>
      </c>
      <c r="B27" s="380" t="s">
        <v>369</v>
      </c>
      <c r="C27" s="329" t="s">
        <v>202</v>
      </c>
      <c r="D27" s="384" t="s">
        <v>428</v>
      </c>
      <c r="E27" s="329" t="s">
        <v>429</v>
      </c>
      <c r="F27" s="329"/>
      <c r="G27" s="329"/>
      <c r="H27" s="448" t="e">
        <f>'Incountry Costs by GL USD'!H30*$L$10</f>
        <v>#REF!</v>
      </c>
      <c r="I27" s="451" t="e">
        <f>'Incountry Costs by GL USD'!I30*$L$10</f>
        <v>#REF!</v>
      </c>
      <c r="J27" s="452"/>
      <c r="K27" s="452"/>
      <c r="L27" s="451" t="e">
        <f>'Incountry Costs by GL USD'!L30*$L$10</f>
        <v>#REF!</v>
      </c>
      <c r="M27" s="452"/>
      <c r="N27" s="452"/>
      <c r="O27" s="451" t="e">
        <f>'Incountry Costs by GL USD'!O30*$L$10</f>
        <v>#REF!</v>
      </c>
      <c r="P27" s="452"/>
      <c r="Q27" s="452"/>
      <c r="R27" s="451" t="e">
        <f>'Incountry Costs by GL USD'!R30*$L$10</f>
        <v>#REF!</v>
      </c>
      <c r="S27" s="452"/>
      <c r="T27" s="452"/>
      <c r="U27" s="451" t="e">
        <f>'Incountry Costs by GL USD'!U30*$L$10</f>
        <v>#REF!</v>
      </c>
      <c r="V27" s="452"/>
      <c r="W27" s="453"/>
    </row>
    <row r="28" spans="1:23" s="30" customFormat="1" ht="15">
      <c r="A28" s="410" t="s">
        <v>212</v>
      </c>
      <c r="B28" s="380" t="s">
        <v>376</v>
      </c>
      <c r="C28" s="384" t="s">
        <v>377</v>
      </c>
      <c r="D28" s="384" t="s">
        <v>430</v>
      </c>
      <c r="E28" s="329" t="s">
        <v>431</v>
      </c>
      <c r="F28" s="329"/>
      <c r="G28" s="329"/>
      <c r="H28" s="448" t="e">
        <f>'Incountry Costs by GL USD'!H31*$L$10</f>
        <v>#REF!</v>
      </c>
      <c r="I28" s="451" t="e">
        <f>'Incountry Costs by GL USD'!I31*$L$10</f>
        <v>#REF!</v>
      </c>
      <c r="J28" s="452"/>
      <c r="K28" s="452"/>
      <c r="L28" s="451" t="e">
        <f>'Incountry Costs by GL USD'!L31*$L$10</f>
        <v>#REF!</v>
      </c>
      <c r="M28" s="452"/>
      <c r="N28" s="452"/>
      <c r="O28" s="451" t="e">
        <f>'Incountry Costs by GL USD'!O31*$L$10</f>
        <v>#REF!</v>
      </c>
      <c r="P28" s="452"/>
      <c r="Q28" s="452"/>
      <c r="R28" s="451" t="e">
        <f>'Incountry Costs by GL USD'!R31*$L$10</f>
        <v>#REF!</v>
      </c>
      <c r="S28" s="452"/>
      <c r="T28" s="452"/>
      <c r="U28" s="451" t="e">
        <f>'Incountry Costs by GL USD'!U31*$L$10</f>
        <v>#REF!</v>
      </c>
      <c r="V28" s="452"/>
      <c r="W28" s="453"/>
    </row>
    <row r="29" spans="1:23" s="30" customFormat="1" ht="15">
      <c r="B29" s="380" t="s">
        <v>370</v>
      </c>
      <c r="C29" s="384" t="s">
        <v>371</v>
      </c>
      <c r="D29" s="384" t="s">
        <v>432</v>
      </c>
      <c r="E29" s="329" t="s">
        <v>433</v>
      </c>
      <c r="F29" s="329"/>
      <c r="G29" s="329"/>
      <c r="H29" s="448" t="e">
        <f>'Incountry Costs by GL USD'!H32*$L$10</f>
        <v>#REF!</v>
      </c>
      <c r="I29" s="451" t="e">
        <f>'Incountry Costs by GL USD'!I32*$L$10</f>
        <v>#REF!</v>
      </c>
      <c r="J29" s="452"/>
      <c r="K29" s="452"/>
      <c r="L29" s="451" t="e">
        <f>'Incountry Costs by GL USD'!L32*$L$10</f>
        <v>#REF!</v>
      </c>
      <c r="M29" s="452"/>
      <c r="N29" s="452"/>
      <c r="O29" s="451" t="e">
        <f>'Incountry Costs by GL USD'!O32*$L$10</f>
        <v>#REF!</v>
      </c>
      <c r="P29" s="452"/>
      <c r="Q29" s="452"/>
      <c r="R29" s="451" t="e">
        <f>'Incountry Costs by GL USD'!R32*$L$10</f>
        <v>#REF!</v>
      </c>
      <c r="S29" s="452"/>
      <c r="T29" s="452"/>
      <c r="U29" s="451" t="e">
        <f>'Incountry Costs by GL USD'!U32*$L$10</f>
        <v>#REF!</v>
      </c>
      <c r="V29" s="452"/>
      <c r="W29" s="453"/>
    </row>
    <row r="30" spans="1:23" s="30" customFormat="1" ht="15">
      <c r="A30" s="410"/>
      <c r="B30" s="380" t="s">
        <v>370</v>
      </c>
      <c r="C30" s="384" t="s">
        <v>371</v>
      </c>
      <c r="D30" s="384" t="s">
        <v>434</v>
      </c>
      <c r="E30" s="329" t="s">
        <v>435</v>
      </c>
      <c r="F30" s="329"/>
      <c r="G30" s="329"/>
      <c r="H30" s="448" t="e">
        <f>'Incountry Costs by GL USD'!H33*$L$10</f>
        <v>#REF!</v>
      </c>
      <c r="I30" s="451" t="e">
        <f>'Incountry Costs by GL USD'!I33*$L$10</f>
        <v>#REF!</v>
      </c>
      <c r="J30" s="452"/>
      <c r="K30" s="452"/>
      <c r="L30" s="451" t="e">
        <f>'Incountry Costs by GL USD'!L33*$L$10</f>
        <v>#REF!</v>
      </c>
      <c r="M30" s="452"/>
      <c r="N30" s="452"/>
      <c r="O30" s="451" t="e">
        <f>'Incountry Costs by GL USD'!O33*$L$10</f>
        <v>#REF!</v>
      </c>
      <c r="P30" s="452"/>
      <c r="Q30" s="452"/>
      <c r="R30" s="451" t="e">
        <f>'Incountry Costs by GL USD'!R33*$L$10</f>
        <v>#REF!</v>
      </c>
      <c r="S30" s="452"/>
      <c r="T30" s="452"/>
      <c r="U30" s="451" t="e">
        <f>'Incountry Costs by GL USD'!U33*$L$10</f>
        <v>#REF!</v>
      </c>
      <c r="V30" s="452"/>
      <c r="W30" s="453"/>
    </row>
    <row r="31" spans="1:23" s="30" customFormat="1" ht="15">
      <c r="B31" s="380" t="s">
        <v>370</v>
      </c>
      <c r="C31" s="384" t="s">
        <v>371</v>
      </c>
      <c r="D31" s="384" t="s">
        <v>436</v>
      </c>
      <c r="E31" s="329" t="s">
        <v>437</v>
      </c>
      <c r="F31" s="329"/>
      <c r="G31" s="329"/>
      <c r="H31" s="448" t="e">
        <f>'Incountry Costs by GL USD'!H34*$L$10</f>
        <v>#REF!</v>
      </c>
      <c r="I31" s="451" t="e">
        <f>'Incountry Costs by GL USD'!I34*$L$10</f>
        <v>#REF!</v>
      </c>
      <c r="J31" s="452"/>
      <c r="K31" s="452"/>
      <c r="L31" s="451" t="e">
        <f>'Incountry Costs by GL USD'!L34*$L$10</f>
        <v>#REF!</v>
      </c>
      <c r="M31" s="452"/>
      <c r="N31" s="452"/>
      <c r="O31" s="451" t="e">
        <f>'Incountry Costs by GL USD'!O34*$L$10</f>
        <v>#REF!</v>
      </c>
      <c r="P31" s="452"/>
      <c r="Q31" s="452"/>
      <c r="R31" s="451" t="e">
        <f>'Incountry Costs by GL USD'!R34*$L$10</f>
        <v>#REF!</v>
      </c>
      <c r="S31" s="452"/>
      <c r="T31" s="452"/>
      <c r="U31" s="451" t="e">
        <f>'Incountry Costs by GL USD'!U34*$L$10</f>
        <v>#REF!</v>
      </c>
      <c r="V31" s="452"/>
      <c r="W31" s="453"/>
    </row>
    <row r="32" spans="1:23" s="30" customFormat="1" ht="15">
      <c r="B32" s="380" t="s">
        <v>370</v>
      </c>
      <c r="C32" s="384" t="s">
        <v>371</v>
      </c>
      <c r="D32" s="384" t="s">
        <v>438</v>
      </c>
      <c r="E32" s="329" t="s">
        <v>439</v>
      </c>
      <c r="F32" s="329"/>
      <c r="G32" s="329"/>
      <c r="H32" s="448" t="e">
        <f>'Incountry Costs by GL USD'!H35*$L$10</f>
        <v>#REF!</v>
      </c>
      <c r="I32" s="451" t="e">
        <f>'Incountry Costs by GL USD'!I35*$L$10</f>
        <v>#REF!</v>
      </c>
      <c r="J32" s="452"/>
      <c r="K32" s="452"/>
      <c r="L32" s="451" t="e">
        <f>'Incountry Costs by GL USD'!L35*$L$10</f>
        <v>#REF!</v>
      </c>
      <c r="M32" s="452"/>
      <c r="N32" s="452"/>
      <c r="O32" s="451" t="e">
        <f>'Incountry Costs by GL USD'!O35*$L$10</f>
        <v>#REF!</v>
      </c>
      <c r="P32" s="452"/>
      <c r="Q32" s="452"/>
      <c r="R32" s="451" t="e">
        <f>'Incountry Costs by GL USD'!R35*$L$10</f>
        <v>#REF!</v>
      </c>
      <c r="S32" s="452"/>
      <c r="T32" s="452"/>
      <c r="U32" s="451" t="e">
        <f>'Incountry Costs by GL USD'!U35*$L$10</f>
        <v>#REF!</v>
      </c>
      <c r="V32" s="452"/>
      <c r="W32" s="453"/>
    </row>
    <row r="33" spans="1:23" s="30" customFormat="1" ht="15">
      <c r="A33" s="410"/>
      <c r="B33" s="380" t="s">
        <v>370</v>
      </c>
      <c r="C33" s="384" t="s">
        <v>371</v>
      </c>
      <c r="D33" s="384" t="s">
        <v>440</v>
      </c>
      <c r="E33" s="329" t="s">
        <v>441</v>
      </c>
      <c r="F33" s="329"/>
      <c r="G33" s="329"/>
      <c r="H33" s="448" t="e">
        <f>'Incountry Costs by GL USD'!H36*$L$10</f>
        <v>#REF!</v>
      </c>
      <c r="I33" s="451" t="e">
        <f>'Incountry Costs by GL USD'!I36*$L$10</f>
        <v>#REF!</v>
      </c>
      <c r="J33" s="452"/>
      <c r="K33" s="452"/>
      <c r="L33" s="451" t="e">
        <f>'Incountry Costs by GL USD'!L36*$L$10</f>
        <v>#REF!</v>
      </c>
      <c r="M33" s="452"/>
      <c r="N33" s="452"/>
      <c r="O33" s="451" t="e">
        <f>'Incountry Costs by GL USD'!O36*$L$10</f>
        <v>#REF!</v>
      </c>
      <c r="P33" s="452"/>
      <c r="Q33" s="452"/>
      <c r="R33" s="451" t="e">
        <f>'Incountry Costs by GL USD'!R36*$L$10</f>
        <v>#REF!</v>
      </c>
      <c r="S33" s="452"/>
      <c r="T33" s="452"/>
      <c r="U33" s="451" t="e">
        <f>'Incountry Costs by GL USD'!U36*$L$10</f>
        <v>#REF!</v>
      </c>
      <c r="V33" s="452"/>
      <c r="W33" s="453"/>
    </row>
    <row r="34" spans="1:23" s="30" customFormat="1" ht="15">
      <c r="A34" s="410"/>
      <c r="B34" s="380" t="s">
        <v>370</v>
      </c>
      <c r="C34" s="384" t="s">
        <v>371</v>
      </c>
      <c r="D34" s="384" t="s">
        <v>442</v>
      </c>
      <c r="E34" s="329" t="s">
        <v>443</v>
      </c>
      <c r="F34" s="329"/>
      <c r="G34" s="329"/>
      <c r="H34" s="448" t="e">
        <f>'Incountry Costs by GL USD'!H37*$L$10</f>
        <v>#REF!</v>
      </c>
      <c r="I34" s="451" t="e">
        <f>'Incountry Costs by GL USD'!I37*$L$10</f>
        <v>#REF!</v>
      </c>
      <c r="J34" s="452"/>
      <c r="K34" s="452"/>
      <c r="L34" s="451" t="e">
        <f>'Incountry Costs by GL USD'!L37*$L$10</f>
        <v>#REF!</v>
      </c>
      <c r="M34" s="452"/>
      <c r="N34" s="452"/>
      <c r="O34" s="451" t="e">
        <f>'Incountry Costs by GL USD'!O37*$L$10</f>
        <v>#REF!</v>
      </c>
      <c r="P34" s="452"/>
      <c r="Q34" s="452"/>
      <c r="R34" s="451" t="e">
        <f>'Incountry Costs by GL USD'!R37*$L$10</f>
        <v>#REF!</v>
      </c>
      <c r="S34" s="452"/>
      <c r="T34" s="452"/>
      <c r="U34" s="451" t="e">
        <f>'Incountry Costs by GL USD'!U37*$L$10</f>
        <v>#REF!</v>
      </c>
      <c r="V34" s="452"/>
      <c r="W34" s="453"/>
    </row>
    <row r="35" spans="1:23" s="30" customFormat="1" ht="15">
      <c r="B35" s="380" t="s">
        <v>370</v>
      </c>
      <c r="C35" s="384" t="s">
        <v>371</v>
      </c>
      <c r="D35" s="384" t="s">
        <v>444</v>
      </c>
      <c r="E35" s="329" t="s">
        <v>445</v>
      </c>
      <c r="F35" s="329"/>
      <c r="G35" s="329"/>
      <c r="H35" s="448" t="e">
        <f>'Incountry Costs by GL USD'!H38*$L$10</f>
        <v>#REF!</v>
      </c>
      <c r="I35" s="451" t="e">
        <f>'Incountry Costs by GL USD'!I38*$L$10</f>
        <v>#REF!</v>
      </c>
      <c r="J35" s="452"/>
      <c r="K35" s="452"/>
      <c r="L35" s="451" t="e">
        <f>'Incountry Costs by GL USD'!L38*$L$10</f>
        <v>#REF!</v>
      </c>
      <c r="M35" s="452"/>
      <c r="N35" s="452"/>
      <c r="O35" s="451" t="e">
        <f>'Incountry Costs by GL USD'!O38*$L$10</f>
        <v>#REF!</v>
      </c>
      <c r="P35" s="452"/>
      <c r="Q35" s="452"/>
      <c r="R35" s="451" t="e">
        <f>'Incountry Costs by GL USD'!R38*$L$10</f>
        <v>#REF!</v>
      </c>
      <c r="S35" s="452"/>
      <c r="T35" s="452"/>
      <c r="U35" s="451" t="e">
        <f>'Incountry Costs by GL USD'!U38*$L$10</f>
        <v>#REF!</v>
      </c>
      <c r="V35" s="452"/>
      <c r="W35" s="453"/>
    </row>
    <row r="36" spans="1:23" s="30" customFormat="1" ht="15">
      <c r="A36" s="31"/>
      <c r="B36" s="380" t="s">
        <v>370</v>
      </c>
      <c r="C36" s="384" t="s">
        <v>371</v>
      </c>
      <c r="D36" s="384" t="s">
        <v>446</v>
      </c>
      <c r="E36" s="329" t="s">
        <v>447</v>
      </c>
      <c r="F36" s="329"/>
      <c r="G36" s="329"/>
      <c r="H36" s="448" t="e">
        <f>'Incountry Costs by GL USD'!H39*$L$10</f>
        <v>#REF!</v>
      </c>
      <c r="I36" s="451" t="e">
        <f>'Incountry Costs by GL USD'!I39*$L$10</f>
        <v>#REF!</v>
      </c>
      <c r="J36" s="452"/>
      <c r="K36" s="452"/>
      <c r="L36" s="451" t="e">
        <f>'Incountry Costs by GL USD'!L39*$L$10</f>
        <v>#REF!</v>
      </c>
      <c r="M36" s="452"/>
      <c r="N36" s="452"/>
      <c r="O36" s="451" t="e">
        <f>'Incountry Costs by GL USD'!O39*$L$10</f>
        <v>#REF!</v>
      </c>
      <c r="P36" s="452"/>
      <c r="Q36" s="452"/>
      <c r="R36" s="451" t="e">
        <f>'Incountry Costs by GL USD'!R39*$L$10</f>
        <v>#REF!</v>
      </c>
      <c r="S36" s="452"/>
      <c r="T36" s="452"/>
      <c r="U36" s="451" t="e">
        <f>'Incountry Costs by GL USD'!U39*$L$10</f>
        <v>#REF!</v>
      </c>
      <c r="V36" s="452"/>
      <c r="W36" s="453"/>
    </row>
    <row r="37" spans="1:23" s="30" customFormat="1" ht="15">
      <c r="A37" s="31"/>
      <c r="B37" s="380" t="s">
        <v>370</v>
      </c>
      <c r="C37" s="384" t="s">
        <v>371</v>
      </c>
      <c r="D37" s="384" t="s">
        <v>448</v>
      </c>
      <c r="E37" s="329" t="s">
        <v>449</v>
      </c>
      <c r="F37" s="329"/>
      <c r="G37" s="329"/>
      <c r="H37" s="448" t="e">
        <f>'Incountry Costs by GL USD'!H40*$L$10</f>
        <v>#REF!</v>
      </c>
      <c r="I37" s="451" t="e">
        <f>'Incountry Costs by GL USD'!I40*$L$10</f>
        <v>#REF!</v>
      </c>
      <c r="J37" s="452"/>
      <c r="K37" s="452"/>
      <c r="L37" s="451" t="e">
        <f>'Incountry Costs by GL USD'!L40*$L$10</f>
        <v>#REF!</v>
      </c>
      <c r="M37" s="452"/>
      <c r="N37" s="452"/>
      <c r="O37" s="451" t="e">
        <f>'Incountry Costs by GL USD'!O40*$L$10</f>
        <v>#REF!</v>
      </c>
      <c r="P37" s="452"/>
      <c r="Q37" s="452"/>
      <c r="R37" s="451" t="e">
        <f>'Incountry Costs by GL USD'!R40*$L$10</f>
        <v>#REF!</v>
      </c>
      <c r="S37" s="452"/>
      <c r="T37" s="452"/>
      <c r="U37" s="451" t="e">
        <f>'Incountry Costs by GL USD'!U40*$L$10</f>
        <v>#REF!</v>
      </c>
      <c r="V37" s="452"/>
      <c r="W37" s="453"/>
    </row>
    <row r="38" spans="1:23" s="30" customFormat="1" ht="15">
      <c r="A38" s="31"/>
      <c r="B38" s="380" t="s">
        <v>370</v>
      </c>
      <c r="C38" s="384" t="s">
        <v>371</v>
      </c>
      <c r="D38" s="384" t="s">
        <v>450</v>
      </c>
      <c r="E38" s="329" t="s">
        <v>451</v>
      </c>
      <c r="F38" s="329"/>
      <c r="G38" s="329"/>
      <c r="H38" s="448" t="e">
        <f>'Incountry Costs by GL USD'!H41*$L$10</f>
        <v>#REF!</v>
      </c>
      <c r="I38" s="451" t="e">
        <f>'Incountry Costs by GL USD'!I41*$L$10</f>
        <v>#REF!</v>
      </c>
      <c r="J38" s="452"/>
      <c r="K38" s="452"/>
      <c r="L38" s="451" t="e">
        <f>'Incountry Costs by GL USD'!L41*$L$10</f>
        <v>#REF!</v>
      </c>
      <c r="M38" s="452"/>
      <c r="N38" s="452"/>
      <c r="O38" s="451" t="e">
        <f>'Incountry Costs by GL USD'!O41*$L$10</f>
        <v>#REF!</v>
      </c>
      <c r="P38" s="452"/>
      <c r="Q38" s="452"/>
      <c r="R38" s="451" t="e">
        <f>'Incountry Costs by GL USD'!R41*$L$10</f>
        <v>#REF!</v>
      </c>
      <c r="S38" s="452"/>
      <c r="T38" s="452"/>
      <c r="U38" s="451" t="e">
        <f>'Incountry Costs by GL USD'!U41*$L$10</f>
        <v>#REF!</v>
      </c>
      <c r="V38" s="452"/>
      <c r="W38" s="453"/>
    </row>
    <row r="39" spans="1:23" s="30" customFormat="1" ht="15">
      <c r="A39" s="31"/>
      <c r="B39" s="380" t="s">
        <v>370</v>
      </c>
      <c r="C39" s="384" t="s">
        <v>371</v>
      </c>
      <c r="D39" s="384" t="s">
        <v>452</v>
      </c>
      <c r="E39" s="329" t="s">
        <v>453</v>
      </c>
      <c r="F39" s="329"/>
      <c r="G39" s="329"/>
      <c r="H39" s="448" t="e">
        <f>'Incountry Costs by GL USD'!H42*$L$10</f>
        <v>#REF!</v>
      </c>
      <c r="I39" s="451" t="e">
        <f>'Incountry Costs by GL USD'!I42*$L$10</f>
        <v>#REF!</v>
      </c>
      <c r="J39" s="452"/>
      <c r="K39" s="452"/>
      <c r="L39" s="451" t="e">
        <f>'Incountry Costs by GL USD'!L42*$L$10</f>
        <v>#REF!</v>
      </c>
      <c r="M39" s="452"/>
      <c r="N39" s="452"/>
      <c r="O39" s="451" t="e">
        <f>'Incountry Costs by GL USD'!O42*$L$10</f>
        <v>#REF!</v>
      </c>
      <c r="P39" s="452"/>
      <c r="Q39" s="452"/>
      <c r="R39" s="451" t="e">
        <f>'Incountry Costs by GL USD'!R42*$L$10</f>
        <v>#REF!</v>
      </c>
      <c r="S39" s="452"/>
      <c r="T39" s="452"/>
      <c r="U39" s="451" t="e">
        <f>'Incountry Costs by GL USD'!U42*$L$10</f>
        <v>#REF!</v>
      </c>
      <c r="V39" s="452"/>
      <c r="W39" s="453"/>
    </row>
    <row r="40" spans="1:23" s="30" customFormat="1" ht="15">
      <c r="A40" s="31"/>
      <c r="B40" s="380" t="s">
        <v>370</v>
      </c>
      <c r="C40" s="384" t="s">
        <v>371</v>
      </c>
      <c r="D40" s="384" t="s">
        <v>454</v>
      </c>
      <c r="E40" s="329" t="s">
        <v>455</v>
      </c>
      <c r="F40" s="329"/>
      <c r="G40" s="329"/>
      <c r="H40" s="448" t="e">
        <f>'Incountry Costs by GL USD'!H43*$L$10</f>
        <v>#REF!</v>
      </c>
      <c r="I40" s="451" t="e">
        <f>'Incountry Costs by GL USD'!I43*$L$10</f>
        <v>#REF!</v>
      </c>
      <c r="J40" s="452"/>
      <c r="K40" s="452"/>
      <c r="L40" s="451" t="e">
        <f>'Incountry Costs by GL USD'!L43*$L$10</f>
        <v>#REF!</v>
      </c>
      <c r="M40" s="452"/>
      <c r="N40" s="452"/>
      <c r="O40" s="451" t="e">
        <f>'Incountry Costs by GL USD'!O43*$L$10</f>
        <v>#REF!</v>
      </c>
      <c r="P40" s="452"/>
      <c r="Q40" s="452"/>
      <c r="R40" s="451" t="e">
        <f>'Incountry Costs by GL USD'!R43*$L$10</f>
        <v>#REF!</v>
      </c>
      <c r="S40" s="452"/>
      <c r="T40" s="452"/>
      <c r="U40" s="451" t="e">
        <f>'Incountry Costs by GL USD'!U43*$L$10</f>
        <v>#REF!</v>
      </c>
      <c r="V40" s="452"/>
      <c r="W40" s="453"/>
    </row>
    <row r="41" spans="1:23" s="30" customFormat="1" ht="15">
      <c r="A41" s="31"/>
      <c r="B41" s="380" t="s">
        <v>370</v>
      </c>
      <c r="C41" s="384" t="s">
        <v>371</v>
      </c>
      <c r="D41" s="384" t="s">
        <v>458</v>
      </c>
      <c r="E41" s="329" t="s">
        <v>459</v>
      </c>
      <c r="F41" s="329"/>
      <c r="G41" s="329"/>
      <c r="H41" s="448" t="e">
        <f>'Incountry Costs by GL USD'!H45*$L$10</f>
        <v>#REF!</v>
      </c>
      <c r="I41" s="451" t="e">
        <f>'Incountry Costs by GL USD'!I45*$L$10</f>
        <v>#REF!</v>
      </c>
      <c r="J41" s="452"/>
      <c r="K41" s="452"/>
      <c r="L41" s="451" t="e">
        <f>'Incountry Costs by GL USD'!L45*$L$10</f>
        <v>#REF!</v>
      </c>
      <c r="M41" s="452"/>
      <c r="N41" s="452"/>
      <c r="O41" s="451" t="e">
        <f>'Incountry Costs by GL USD'!O45*$L$10</f>
        <v>#REF!</v>
      </c>
      <c r="P41" s="452"/>
      <c r="Q41" s="452"/>
      <c r="R41" s="451" t="e">
        <f>'Incountry Costs by GL USD'!R45*$L$10</f>
        <v>#REF!</v>
      </c>
      <c r="S41" s="452"/>
      <c r="T41" s="452"/>
      <c r="U41" s="451" t="e">
        <f>'Incountry Costs by GL USD'!U45*$L$10</f>
        <v>#REF!</v>
      </c>
      <c r="V41" s="452"/>
      <c r="W41" s="453"/>
    </row>
    <row r="42" spans="1:23" s="30" customFormat="1" ht="15">
      <c r="A42" s="31"/>
      <c r="B42" s="380" t="s">
        <v>370</v>
      </c>
      <c r="C42" s="384" t="s">
        <v>371</v>
      </c>
      <c r="D42" s="384" t="s">
        <v>456</v>
      </c>
      <c r="E42" s="329" t="s">
        <v>457</v>
      </c>
      <c r="F42" s="329"/>
      <c r="G42" s="329"/>
      <c r="H42" s="448" t="e">
        <f>'Incountry Costs by GL USD'!H44*$L$10</f>
        <v>#REF!</v>
      </c>
      <c r="I42" s="451" t="e">
        <f>'Incountry Costs by GL USD'!I44*$L$10</f>
        <v>#REF!</v>
      </c>
      <c r="J42" s="452"/>
      <c r="K42" s="452"/>
      <c r="L42" s="451" t="e">
        <f>'Incountry Costs by GL USD'!L44*$L$10</f>
        <v>#REF!</v>
      </c>
      <c r="M42" s="452"/>
      <c r="N42" s="452"/>
      <c r="O42" s="451" t="e">
        <f>'Incountry Costs by GL USD'!O44*$L$10</f>
        <v>#REF!</v>
      </c>
      <c r="P42" s="452"/>
      <c r="Q42" s="452"/>
      <c r="R42" s="451" t="e">
        <f>'Incountry Costs by GL USD'!R44*$L$10</f>
        <v>#REF!</v>
      </c>
      <c r="S42" s="452"/>
      <c r="T42" s="452"/>
      <c r="U42" s="451" t="e">
        <f>'Incountry Costs by GL USD'!U44*$L$10</f>
        <v>#REF!</v>
      </c>
      <c r="V42" s="452"/>
      <c r="W42" s="453"/>
    </row>
    <row r="43" spans="1:23" s="30" customFormat="1" ht="15">
      <c r="A43" s="31"/>
      <c r="B43" s="380" t="s">
        <v>374</v>
      </c>
      <c r="C43" s="329" t="s">
        <v>375</v>
      </c>
      <c r="D43" s="384" t="s">
        <v>460</v>
      </c>
      <c r="E43" s="329" t="s">
        <v>461</v>
      </c>
      <c r="F43" s="329"/>
      <c r="G43" s="329"/>
      <c r="H43" s="448" t="e">
        <f>'Incountry Costs by GL USD'!H46*$L$10</f>
        <v>#REF!</v>
      </c>
      <c r="I43" s="451" t="e">
        <f>'Incountry Costs by GL USD'!I46*$L$10</f>
        <v>#REF!</v>
      </c>
      <c r="J43" s="452"/>
      <c r="K43" s="452"/>
      <c r="L43" s="451" t="e">
        <f>'Incountry Costs by GL USD'!L46*$L$10</f>
        <v>#REF!</v>
      </c>
      <c r="M43" s="452"/>
      <c r="N43" s="452"/>
      <c r="O43" s="451" t="e">
        <f>'Incountry Costs by GL USD'!O46*$L$10</f>
        <v>#REF!</v>
      </c>
      <c r="P43" s="452"/>
      <c r="Q43" s="452"/>
      <c r="R43" s="451" t="e">
        <f>'Incountry Costs by GL USD'!R46*$L$10</f>
        <v>#REF!</v>
      </c>
      <c r="S43" s="452"/>
      <c r="T43" s="452"/>
      <c r="U43" s="451" t="e">
        <f>'Incountry Costs by GL USD'!U46*$L$10</f>
        <v>#REF!</v>
      </c>
      <c r="V43" s="452"/>
      <c r="W43" s="453"/>
    </row>
    <row r="44" spans="1:23" s="30" customFormat="1" ht="15">
      <c r="A44" s="410" t="s">
        <v>378</v>
      </c>
      <c r="B44" s="380" t="s">
        <v>379</v>
      </c>
      <c r="C44" s="384" t="s">
        <v>380</v>
      </c>
      <c r="D44" s="384" t="s">
        <v>379</v>
      </c>
      <c r="E44" s="329" t="s">
        <v>380</v>
      </c>
      <c r="F44" s="329"/>
      <c r="G44" s="329"/>
      <c r="H44" s="448" t="e">
        <f>'Incountry Costs by GL USD'!H47*$L$10</f>
        <v>#REF!</v>
      </c>
      <c r="I44" s="451" t="e">
        <f>'Incountry Costs by GL USD'!I47*$L$10</f>
        <v>#REF!</v>
      </c>
      <c r="J44" s="452"/>
      <c r="K44" s="452"/>
      <c r="L44" s="451" t="e">
        <f>'Incountry Costs by GL USD'!L47*$L$10</f>
        <v>#REF!</v>
      </c>
      <c r="M44" s="452"/>
      <c r="N44" s="452"/>
      <c r="O44" s="451" t="e">
        <f>'Incountry Costs by GL USD'!O47*$L$10</f>
        <v>#REF!</v>
      </c>
      <c r="P44" s="452"/>
      <c r="Q44" s="452"/>
      <c r="R44" s="451" t="e">
        <f>'Incountry Costs by GL USD'!R47*$L$10</f>
        <v>#REF!</v>
      </c>
      <c r="S44" s="452"/>
      <c r="T44" s="452"/>
      <c r="U44" s="451" t="e">
        <f>'Incountry Costs by GL USD'!U47*$L$10</f>
        <v>#REF!</v>
      </c>
      <c r="V44" s="452"/>
      <c r="W44" s="453"/>
    </row>
    <row r="45" spans="1:23" s="30" customFormat="1" ht="15">
      <c r="B45" s="380" t="s">
        <v>381</v>
      </c>
      <c r="C45" s="329" t="s">
        <v>382</v>
      </c>
      <c r="D45" s="384" t="s">
        <v>462</v>
      </c>
      <c r="E45" s="329" t="s">
        <v>463</v>
      </c>
      <c r="F45" s="329"/>
      <c r="G45" s="329"/>
      <c r="H45" s="448" t="e">
        <f>'Incountry Costs by GL USD'!H48*$L$10</f>
        <v>#REF!</v>
      </c>
      <c r="I45" s="451" t="e">
        <f>'Incountry Costs by GL USD'!I48*$L$10</f>
        <v>#REF!</v>
      </c>
      <c r="J45" s="452"/>
      <c r="K45" s="452"/>
      <c r="L45" s="451" t="e">
        <f>'Incountry Costs by GL USD'!L48*$L$10</f>
        <v>#REF!</v>
      </c>
      <c r="M45" s="452"/>
      <c r="N45" s="452"/>
      <c r="O45" s="451" t="e">
        <f>'Incountry Costs by GL USD'!O48*$L$10</f>
        <v>#REF!</v>
      </c>
      <c r="P45" s="452"/>
      <c r="Q45" s="452"/>
      <c r="R45" s="451" t="e">
        <f>'Incountry Costs by GL USD'!R48*$L$10</f>
        <v>#REF!</v>
      </c>
      <c r="S45" s="452"/>
      <c r="T45" s="452"/>
      <c r="U45" s="451" t="e">
        <f>'Incountry Costs by GL USD'!U48*$L$10</f>
        <v>#REF!</v>
      </c>
      <c r="V45" s="452"/>
      <c r="W45" s="453"/>
    </row>
    <row r="46" spans="1:23" s="30" customFormat="1" ht="15">
      <c r="A46" s="31"/>
      <c r="B46" s="380" t="s">
        <v>383</v>
      </c>
      <c r="C46" s="329" t="s">
        <v>384</v>
      </c>
      <c r="D46" s="384" t="s">
        <v>464</v>
      </c>
      <c r="E46" s="329" t="s">
        <v>465</v>
      </c>
      <c r="F46" s="329"/>
      <c r="G46" s="329"/>
      <c r="H46" s="448" t="e">
        <f>'Incountry Costs by GL USD'!H49*$L$10</f>
        <v>#REF!</v>
      </c>
      <c r="I46" s="451" t="e">
        <f>'Incountry Costs by GL USD'!I49*$L$10</f>
        <v>#REF!</v>
      </c>
      <c r="J46" s="452"/>
      <c r="K46" s="452"/>
      <c r="L46" s="451" t="e">
        <f>'Incountry Costs by GL USD'!L49*$L$10</f>
        <v>#REF!</v>
      </c>
      <c r="M46" s="452"/>
      <c r="N46" s="452"/>
      <c r="O46" s="451" t="e">
        <f>'Incountry Costs by GL USD'!O49*$L$10</f>
        <v>#REF!</v>
      </c>
      <c r="P46" s="452"/>
      <c r="Q46" s="452"/>
      <c r="R46" s="451" t="e">
        <f>'Incountry Costs by GL USD'!R49*$L$10</f>
        <v>#REF!</v>
      </c>
      <c r="S46" s="452"/>
      <c r="T46" s="452"/>
      <c r="U46" s="451" t="e">
        <f>'Incountry Costs by GL USD'!U49*$L$10</f>
        <v>#REF!</v>
      </c>
      <c r="V46" s="452"/>
      <c r="W46" s="453"/>
    </row>
    <row r="47" spans="1:23" s="30" customFormat="1" ht="15">
      <c r="A47" s="31"/>
      <c r="B47" s="380" t="s">
        <v>383</v>
      </c>
      <c r="C47" s="329" t="s">
        <v>384</v>
      </c>
      <c r="D47" s="384" t="s">
        <v>466</v>
      </c>
      <c r="E47" s="329" t="s">
        <v>467</v>
      </c>
      <c r="F47" s="329"/>
      <c r="G47" s="329"/>
      <c r="H47" s="448" t="e">
        <f>'Incountry Costs by GL USD'!H50*$L$10</f>
        <v>#REF!</v>
      </c>
      <c r="I47" s="451" t="e">
        <f>'Incountry Costs by GL USD'!I50*$L$10</f>
        <v>#REF!</v>
      </c>
      <c r="J47" s="452"/>
      <c r="K47" s="452"/>
      <c r="L47" s="451" t="e">
        <f>'Incountry Costs by GL USD'!L50*$L$10</f>
        <v>#REF!</v>
      </c>
      <c r="M47" s="452"/>
      <c r="N47" s="452"/>
      <c r="O47" s="451" t="e">
        <f>'Incountry Costs by GL USD'!O50*$L$10</f>
        <v>#REF!</v>
      </c>
      <c r="P47" s="452"/>
      <c r="Q47" s="452"/>
      <c r="R47" s="451" t="e">
        <f>'Incountry Costs by GL USD'!R50*$L$10</f>
        <v>#REF!</v>
      </c>
      <c r="S47" s="452"/>
      <c r="T47" s="452"/>
      <c r="U47" s="451" t="e">
        <f>'Incountry Costs by GL USD'!U50*$L$10</f>
        <v>#REF!</v>
      </c>
      <c r="V47" s="452"/>
      <c r="W47" s="453"/>
    </row>
    <row r="48" spans="1:23" s="30" customFormat="1" ht="15">
      <c r="A48" s="31"/>
      <c r="B48" s="380" t="s">
        <v>383</v>
      </c>
      <c r="C48" s="329" t="s">
        <v>384</v>
      </c>
      <c r="D48" s="384" t="s">
        <v>468</v>
      </c>
      <c r="E48" s="329" t="s">
        <v>469</v>
      </c>
      <c r="F48" s="329"/>
      <c r="G48" s="329"/>
      <c r="H48" s="448" t="e">
        <f>'Incountry Costs by GL USD'!H51*$L$10</f>
        <v>#REF!</v>
      </c>
      <c r="I48" s="451" t="e">
        <f>'Incountry Costs by GL USD'!I51*$L$10</f>
        <v>#REF!</v>
      </c>
      <c r="J48" s="452"/>
      <c r="K48" s="452"/>
      <c r="L48" s="451" t="e">
        <f>'Incountry Costs by GL USD'!L51*$L$10</f>
        <v>#REF!</v>
      </c>
      <c r="M48" s="452"/>
      <c r="N48" s="452"/>
      <c r="O48" s="451" t="e">
        <f>'Incountry Costs by GL USD'!O51*$L$10</f>
        <v>#REF!</v>
      </c>
      <c r="P48" s="452"/>
      <c r="Q48" s="452"/>
      <c r="R48" s="451" t="e">
        <f>'Incountry Costs by GL USD'!R51*$L$10</f>
        <v>#REF!</v>
      </c>
      <c r="S48" s="452"/>
      <c r="T48" s="452"/>
      <c r="U48" s="451" t="e">
        <f>'Incountry Costs by GL USD'!U51*$L$10</f>
        <v>#REF!</v>
      </c>
      <c r="V48" s="452"/>
      <c r="W48" s="453"/>
    </row>
    <row r="49" spans="1:33" s="30" customFormat="1" ht="15">
      <c r="A49" s="31"/>
      <c r="B49" s="380" t="s">
        <v>383</v>
      </c>
      <c r="C49" s="329" t="s">
        <v>384</v>
      </c>
      <c r="D49" s="384" t="s">
        <v>470</v>
      </c>
      <c r="E49" s="329" t="s">
        <v>471</v>
      </c>
      <c r="F49" s="329"/>
      <c r="G49" s="329"/>
      <c r="H49" s="448" t="e">
        <f>'Incountry Costs by GL USD'!H52*$L$10</f>
        <v>#REF!</v>
      </c>
      <c r="I49" s="451" t="e">
        <f>'Incountry Costs by GL USD'!I52*$L$10</f>
        <v>#REF!</v>
      </c>
      <c r="J49" s="452"/>
      <c r="K49" s="452"/>
      <c r="L49" s="451" t="e">
        <f>'Incountry Costs by GL USD'!L52*$L$10</f>
        <v>#REF!</v>
      </c>
      <c r="M49" s="452"/>
      <c r="N49" s="452"/>
      <c r="O49" s="451" t="e">
        <f>'Incountry Costs by GL USD'!O52*$L$10</f>
        <v>#REF!</v>
      </c>
      <c r="P49" s="452"/>
      <c r="Q49" s="452"/>
      <c r="R49" s="451" t="e">
        <f>'Incountry Costs by GL USD'!R52*$L$10</f>
        <v>#REF!</v>
      </c>
      <c r="S49" s="452"/>
      <c r="T49" s="452"/>
      <c r="U49" s="451" t="e">
        <f>'Incountry Costs by GL USD'!U52*$L$10</f>
        <v>#REF!</v>
      </c>
      <c r="V49" s="452"/>
      <c r="W49" s="453"/>
    </row>
    <row r="50" spans="1:33" s="30" customFormat="1" ht="15">
      <c r="A50" s="31"/>
      <c r="B50" s="380" t="s">
        <v>383</v>
      </c>
      <c r="C50" s="329" t="s">
        <v>384</v>
      </c>
      <c r="D50" s="384" t="s">
        <v>472</v>
      </c>
      <c r="E50" s="329" t="s">
        <v>83</v>
      </c>
      <c r="F50" s="329"/>
      <c r="G50" s="329"/>
      <c r="H50" s="448" t="e">
        <f>'Incountry Costs by GL USD'!H53*$L$10</f>
        <v>#REF!</v>
      </c>
      <c r="I50" s="451" t="e">
        <f>'Incountry Costs by GL USD'!I53*$L$10</f>
        <v>#REF!</v>
      </c>
      <c r="J50" s="452"/>
      <c r="K50" s="452"/>
      <c r="L50" s="451" t="e">
        <f>'Incountry Costs by GL USD'!L53*$L$10</f>
        <v>#REF!</v>
      </c>
      <c r="M50" s="452"/>
      <c r="N50" s="452"/>
      <c r="O50" s="451" t="e">
        <f>'Incountry Costs by GL USD'!O53*$L$10</f>
        <v>#REF!</v>
      </c>
      <c r="P50" s="452"/>
      <c r="Q50" s="452"/>
      <c r="R50" s="451" t="e">
        <f>'Incountry Costs by GL USD'!R53*$L$10</f>
        <v>#REF!</v>
      </c>
      <c r="S50" s="452"/>
      <c r="T50" s="452"/>
      <c r="U50" s="451" t="e">
        <f>'Incountry Costs by GL USD'!U53*$L$10</f>
        <v>#REF!</v>
      </c>
      <c r="V50" s="452"/>
      <c r="W50" s="453"/>
    </row>
    <row r="51" spans="1:33" s="30" customFormat="1" ht="15">
      <c r="A51" s="29"/>
      <c r="B51" s="380" t="s">
        <v>383</v>
      </c>
      <c r="C51" s="329" t="s">
        <v>384</v>
      </c>
      <c r="D51" s="384" t="s">
        <v>473</v>
      </c>
      <c r="E51" s="329" t="s">
        <v>474</v>
      </c>
      <c r="F51" s="329"/>
      <c r="G51" s="329"/>
      <c r="H51" s="448" t="e">
        <f>'Incountry Costs by GL USD'!H54*$L$10</f>
        <v>#REF!</v>
      </c>
      <c r="I51" s="451" t="e">
        <f>'Incountry Costs by GL USD'!I54*$L$10</f>
        <v>#REF!</v>
      </c>
      <c r="J51" s="452"/>
      <c r="K51" s="452"/>
      <c r="L51" s="451" t="e">
        <f>'Incountry Costs by GL USD'!L54*$L$10</f>
        <v>#REF!</v>
      </c>
      <c r="M51" s="452"/>
      <c r="N51" s="452"/>
      <c r="O51" s="451" t="e">
        <f>'Incountry Costs by GL USD'!O54*$L$10</f>
        <v>#REF!</v>
      </c>
      <c r="P51" s="452"/>
      <c r="Q51" s="452"/>
      <c r="R51" s="451" t="e">
        <f>'Incountry Costs by GL USD'!R54*$L$10</f>
        <v>#REF!</v>
      </c>
      <c r="S51" s="452"/>
      <c r="T51" s="452"/>
      <c r="U51" s="451" t="e">
        <f>'Incountry Costs by GL USD'!U54*$L$10</f>
        <v>#REF!</v>
      </c>
      <c r="V51" s="452"/>
      <c r="W51" s="453"/>
    </row>
    <row r="52" spans="1:33" s="30" customFormat="1" ht="15">
      <c r="A52" s="29"/>
      <c r="B52" s="380" t="s">
        <v>385</v>
      </c>
      <c r="C52" s="329" t="s">
        <v>475</v>
      </c>
      <c r="D52" s="384" t="s">
        <v>476</v>
      </c>
      <c r="E52" s="329" t="s">
        <v>477</v>
      </c>
      <c r="F52" s="329"/>
      <c r="G52" s="329"/>
      <c r="H52" s="448" t="e">
        <f>'Incountry Costs by GL USD'!H55*$L$10</f>
        <v>#REF!</v>
      </c>
      <c r="I52" s="451" t="e">
        <f>'Incountry Costs by GL USD'!I55*$L$10</f>
        <v>#REF!</v>
      </c>
      <c r="J52" s="452"/>
      <c r="K52" s="452"/>
      <c r="L52" s="451" t="e">
        <f>'Incountry Costs by GL USD'!L55*$L$10</f>
        <v>#REF!</v>
      </c>
      <c r="M52" s="452"/>
      <c r="N52" s="452"/>
      <c r="O52" s="451" t="e">
        <f>'Incountry Costs by GL USD'!O55*$L$10</f>
        <v>#REF!</v>
      </c>
      <c r="P52" s="452"/>
      <c r="Q52" s="452"/>
      <c r="R52" s="451" t="e">
        <f>'Incountry Costs by GL USD'!R55*$L$10</f>
        <v>#REF!</v>
      </c>
      <c r="S52" s="452"/>
      <c r="T52" s="452"/>
      <c r="U52" s="451" t="e">
        <f>'Incountry Costs by GL USD'!U55*$L$10</f>
        <v>#REF!</v>
      </c>
      <c r="V52" s="452"/>
      <c r="W52" s="453"/>
    </row>
    <row r="53" spans="1:33" s="30" customFormat="1" ht="15">
      <c r="A53" s="29"/>
      <c r="B53" s="380" t="s">
        <v>385</v>
      </c>
      <c r="C53" s="329" t="s">
        <v>475</v>
      </c>
      <c r="D53" s="384" t="s">
        <v>478</v>
      </c>
      <c r="E53" s="329" t="s">
        <v>479</v>
      </c>
      <c r="F53" s="329"/>
      <c r="G53" s="329"/>
      <c r="H53" s="448" t="e">
        <f>'Incountry Costs by GL USD'!H56*$L$10</f>
        <v>#REF!</v>
      </c>
      <c r="I53" s="451" t="e">
        <f>'Incountry Costs by GL USD'!I56*$L$10</f>
        <v>#REF!</v>
      </c>
      <c r="J53" s="452"/>
      <c r="K53" s="452"/>
      <c r="L53" s="451" t="e">
        <f>'Incountry Costs by GL USD'!L56*$L$10</f>
        <v>#REF!</v>
      </c>
      <c r="M53" s="452"/>
      <c r="N53" s="452"/>
      <c r="O53" s="451" t="e">
        <f>'Incountry Costs by GL USD'!O56*$L$10</f>
        <v>#REF!</v>
      </c>
      <c r="P53" s="452"/>
      <c r="Q53" s="452"/>
      <c r="R53" s="451" t="e">
        <f>'Incountry Costs by GL USD'!R56*$L$10</f>
        <v>#REF!</v>
      </c>
      <c r="S53" s="452"/>
      <c r="T53" s="452"/>
      <c r="U53" s="451" t="e">
        <f>'Incountry Costs by GL USD'!U56*$L$10</f>
        <v>#REF!</v>
      </c>
      <c r="V53" s="452"/>
      <c r="W53" s="453"/>
    </row>
    <row r="54" spans="1:33" s="30" customFormat="1" ht="15.3" thickBot="1">
      <c r="A54" s="29"/>
      <c r="B54" s="369"/>
      <c r="C54" s="383"/>
      <c r="D54" s="331"/>
      <c r="E54" s="331"/>
      <c r="F54" s="331"/>
      <c r="G54" s="331"/>
      <c r="H54" s="331"/>
      <c r="I54" s="365"/>
      <c r="J54" s="331"/>
      <c r="K54" s="331"/>
      <c r="L54" s="365"/>
      <c r="M54" s="331"/>
      <c r="N54" s="331"/>
      <c r="O54" s="365"/>
      <c r="P54" s="331"/>
      <c r="Q54" s="331"/>
      <c r="R54" s="365"/>
      <c r="S54" s="331"/>
      <c r="T54" s="331"/>
      <c r="U54" s="365"/>
      <c r="V54" s="331"/>
      <c r="W54" s="332"/>
    </row>
    <row r="55" spans="1:33" s="30" customFormat="1" ht="15.3" thickBot="1">
      <c r="A55" s="29"/>
      <c r="B55" s="413" t="s">
        <v>298</v>
      </c>
      <c r="C55" s="414"/>
      <c r="D55" s="413" t="s">
        <v>298</v>
      </c>
      <c r="E55" s="327"/>
      <c r="F55" s="327"/>
      <c r="G55" s="327"/>
      <c r="H55" s="412" t="e">
        <f>SUM(I55,L55,O55,R55,U55,#REF!,#REF!,#REF!,#REF!,#REF!)</f>
        <v>#REF!</v>
      </c>
      <c r="I55" s="412" t="e">
        <f>SUM(I14:I54)</f>
        <v>#REF!</v>
      </c>
      <c r="J55" s="327"/>
      <c r="K55" s="327"/>
      <c r="L55" s="412" t="e">
        <f>SUM(L14:L54)</f>
        <v>#REF!</v>
      </c>
      <c r="M55" s="327"/>
      <c r="N55" s="327"/>
      <c r="O55" s="412" t="e">
        <f>SUM(O14:O54)</f>
        <v>#REF!</v>
      </c>
      <c r="P55" s="327"/>
      <c r="Q55" s="327"/>
      <c r="R55" s="412" t="e">
        <f>SUM(R14:R54)</f>
        <v>#REF!</v>
      </c>
      <c r="S55" s="327"/>
      <c r="T55" s="327"/>
      <c r="U55" s="412" t="e">
        <f>SUM(U14:U54)</f>
        <v>#REF!</v>
      </c>
      <c r="V55" s="327"/>
      <c r="W55" s="328"/>
    </row>
    <row r="56" spans="1:33" s="14" customFormat="1">
      <c r="A56" s="29"/>
      <c r="B56" s="9"/>
      <c r="C56" s="9"/>
      <c r="D56" s="30"/>
      <c r="E56" s="9"/>
      <c r="F56" s="9"/>
      <c r="G56" s="9"/>
      <c r="H56" s="9"/>
      <c r="I56" s="9"/>
      <c r="J56" s="9"/>
      <c r="K56" s="9"/>
      <c r="L56" s="9"/>
      <c r="M56" s="9"/>
      <c r="N56" s="9"/>
      <c r="O56" s="9"/>
      <c r="P56" s="9"/>
      <c r="Q56" s="9"/>
      <c r="R56" s="9"/>
      <c r="S56" s="9"/>
      <c r="T56" s="9"/>
      <c r="U56" s="9"/>
      <c r="V56" s="9"/>
      <c r="W56" s="9"/>
      <c r="X56" s="9"/>
      <c r="Y56" s="9"/>
      <c r="AA56" s="5"/>
      <c r="AB56" s="9"/>
      <c r="AC56" s="9"/>
      <c r="AD56" s="9"/>
      <c r="AE56" s="9"/>
      <c r="AF56" s="9"/>
      <c r="AG56" s="9"/>
    </row>
    <row r="57" spans="1:33" s="14" customFormat="1">
      <c r="A57" s="29"/>
      <c r="B57" s="9" t="s">
        <v>391</v>
      </c>
      <c r="C57" s="9"/>
      <c r="D57" s="30"/>
      <c r="E57" s="9"/>
      <c r="F57" s="9"/>
      <c r="G57" s="9"/>
      <c r="H57" s="9"/>
      <c r="I57" s="174" t="e">
        <f>#REF!</f>
        <v>#REF!</v>
      </c>
      <c r="J57" s="9"/>
      <c r="K57" s="9"/>
      <c r="L57" s="174" t="e">
        <f>#REF!</f>
        <v>#REF!</v>
      </c>
      <c r="M57" s="9"/>
      <c r="N57" s="9"/>
      <c r="O57" s="174" t="e">
        <f>#REF!</f>
        <v>#REF!</v>
      </c>
      <c r="P57" s="9"/>
      <c r="Q57" s="9"/>
      <c r="R57" s="174" t="e">
        <f>#REF!</f>
        <v>#REF!</v>
      </c>
      <c r="S57" s="9"/>
      <c r="T57" s="9"/>
      <c r="U57" s="174" t="e">
        <f>#REF!</f>
        <v>#REF!</v>
      </c>
      <c r="V57" s="9"/>
      <c r="W57" s="9"/>
      <c r="X57" s="9"/>
      <c r="Y57" s="9"/>
      <c r="AA57" s="5"/>
      <c r="AB57" s="9"/>
      <c r="AC57" s="9"/>
      <c r="AD57" s="9"/>
      <c r="AE57" s="9"/>
      <c r="AF57" s="9"/>
      <c r="AG57" s="9"/>
    </row>
    <row r="58" spans="1:33" s="14" customFormat="1">
      <c r="A58" s="29"/>
      <c r="B58" s="9"/>
      <c r="C58" s="9"/>
      <c r="D58" s="30"/>
      <c r="E58" s="9"/>
      <c r="F58" s="9"/>
      <c r="G58" s="9"/>
      <c r="H58" s="9"/>
      <c r="I58" s="9"/>
      <c r="J58" s="9"/>
      <c r="K58" s="9"/>
      <c r="L58" s="9"/>
      <c r="M58" s="9"/>
      <c r="N58" s="9"/>
      <c r="O58" s="9"/>
      <c r="P58" s="9"/>
      <c r="Q58" s="9"/>
      <c r="R58" s="9"/>
      <c r="S58" s="9"/>
      <c r="T58" s="9"/>
      <c r="U58" s="9"/>
      <c r="V58" s="9"/>
      <c r="W58" s="9"/>
      <c r="X58" s="9"/>
      <c r="Y58" s="9"/>
      <c r="AA58" s="5"/>
      <c r="AB58" s="9"/>
      <c r="AC58" s="9"/>
      <c r="AD58" s="9"/>
      <c r="AE58" s="9"/>
      <c r="AF58" s="9"/>
      <c r="AG58" s="9"/>
    </row>
    <row r="59" spans="1:33" s="14" customFormat="1">
      <c r="A59" s="29"/>
      <c r="B59" s="9"/>
      <c r="C59" s="9"/>
      <c r="D59" s="30"/>
      <c r="E59" s="9"/>
      <c r="F59" s="9"/>
      <c r="G59" s="9"/>
      <c r="H59" s="9"/>
      <c r="I59" s="9"/>
      <c r="J59" s="9"/>
      <c r="K59" s="9"/>
      <c r="L59" s="9"/>
      <c r="M59" s="9"/>
      <c r="N59" s="9"/>
      <c r="O59" s="9"/>
      <c r="P59" s="9"/>
      <c r="Q59" s="9"/>
      <c r="R59" s="9"/>
      <c r="S59" s="9"/>
      <c r="T59" s="9"/>
      <c r="U59" s="9"/>
      <c r="V59" s="9"/>
      <c r="W59" s="9"/>
      <c r="X59" s="9"/>
      <c r="Y59" s="9"/>
      <c r="AA59" s="5"/>
      <c r="AB59" s="9"/>
      <c r="AC59" s="9"/>
      <c r="AD59" s="9"/>
      <c r="AE59" s="9"/>
      <c r="AF59" s="9"/>
      <c r="AG59" s="9"/>
    </row>
    <row r="60" spans="1:33" s="14" customFormat="1">
      <c r="A60" s="29"/>
      <c r="B60" s="9"/>
      <c r="C60" s="9"/>
      <c r="D60" s="30"/>
      <c r="E60" s="9"/>
      <c r="F60" s="9"/>
      <c r="G60" s="9"/>
      <c r="H60" s="9"/>
      <c r="I60" s="9"/>
      <c r="J60" s="9"/>
      <c r="K60" s="9"/>
      <c r="L60" s="9"/>
      <c r="M60" s="9"/>
      <c r="N60" s="9"/>
      <c r="O60" s="9"/>
      <c r="P60" s="9"/>
      <c r="Q60" s="9"/>
      <c r="R60" s="9"/>
      <c r="S60" s="9"/>
      <c r="T60" s="9"/>
      <c r="U60" s="9"/>
      <c r="V60" s="9"/>
      <c r="W60" s="9"/>
      <c r="X60" s="9"/>
      <c r="Y60" s="9"/>
      <c r="AA60" s="5"/>
      <c r="AB60" s="9"/>
      <c r="AC60" s="9"/>
      <c r="AD60" s="9"/>
      <c r="AE60" s="9"/>
      <c r="AF60" s="9"/>
      <c r="AG60" s="9"/>
    </row>
    <row r="61" spans="1:33" s="14" customFormat="1">
      <c r="A61" s="29"/>
      <c r="B61" s="9"/>
      <c r="C61" s="9"/>
      <c r="D61" s="30"/>
      <c r="E61" s="9"/>
      <c r="F61" s="9"/>
      <c r="G61" s="9"/>
      <c r="H61" s="9"/>
      <c r="I61" s="9"/>
      <c r="J61" s="9"/>
      <c r="K61" s="9"/>
      <c r="L61" s="9"/>
      <c r="M61" s="9"/>
      <c r="N61" s="9"/>
      <c r="O61" s="9"/>
      <c r="P61" s="9"/>
      <c r="Q61" s="9"/>
      <c r="R61" s="9"/>
      <c r="S61" s="9"/>
      <c r="T61" s="9"/>
      <c r="U61" s="9"/>
      <c r="V61" s="9"/>
      <c r="W61" s="9"/>
      <c r="X61" s="9"/>
      <c r="Y61" s="9"/>
      <c r="AA61" s="5"/>
      <c r="AB61" s="9"/>
      <c r="AC61" s="9"/>
      <c r="AD61" s="9"/>
      <c r="AE61" s="9"/>
      <c r="AF61" s="9"/>
      <c r="AG61" s="9"/>
    </row>
    <row r="62" spans="1:33" s="14" customFormat="1">
      <c r="A62" s="29"/>
      <c r="B62" s="9"/>
      <c r="C62" s="9"/>
      <c r="D62" s="30"/>
      <c r="E62" s="9"/>
      <c r="F62" s="9"/>
      <c r="G62" s="9"/>
      <c r="H62" s="9"/>
      <c r="I62" s="9"/>
      <c r="J62" s="9"/>
      <c r="K62" s="9"/>
      <c r="L62" s="9"/>
      <c r="M62" s="9"/>
      <c r="N62" s="9"/>
      <c r="O62" s="9"/>
      <c r="P62" s="9"/>
      <c r="Q62" s="9"/>
      <c r="R62" s="9"/>
      <c r="S62" s="9"/>
      <c r="T62" s="9"/>
      <c r="U62" s="9"/>
      <c r="V62" s="9"/>
      <c r="W62" s="9"/>
      <c r="X62" s="9"/>
      <c r="Y62" s="9"/>
      <c r="AA62" s="5"/>
      <c r="AB62" s="9"/>
      <c r="AC62" s="9"/>
      <c r="AD62" s="9"/>
      <c r="AE62" s="9"/>
      <c r="AF62" s="9"/>
      <c r="AG62" s="9"/>
    </row>
    <row r="63" spans="1:33" s="14" customFormat="1">
      <c r="A63" s="29"/>
      <c r="B63" s="9"/>
      <c r="C63" s="9"/>
      <c r="D63" s="30"/>
      <c r="E63" s="9"/>
      <c r="F63" s="9"/>
      <c r="G63" s="9"/>
      <c r="H63" s="9"/>
      <c r="I63" s="9"/>
      <c r="J63" s="9"/>
      <c r="K63" s="9"/>
      <c r="L63" s="9"/>
      <c r="M63" s="9"/>
      <c r="N63" s="9"/>
      <c r="O63" s="9"/>
      <c r="P63" s="9"/>
      <c r="Q63" s="9"/>
      <c r="R63" s="9"/>
      <c r="S63" s="9"/>
      <c r="T63" s="9"/>
      <c r="U63" s="9"/>
      <c r="V63" s="9"/>
      <c r="W63" s="9"/>
      <c r="X63" s="9"/>
      <c r="Y63" s="9"/>
      <c r="AA63" s="5"/>
      <c r="AB63" s="9"/>
      <c r="AC63" s="9"/>
      <c r="AD63" s="9"/>
      <c r="AE63" s="9"/>
      <c r="AF63" s="9"/>
      <c r="AG63" s="9"/>
    </row>
    <row r="64" spans="1:33" s="14" customFormat="1">
      <c r="A64" s="29"/>
      <c r="B64" s="9"/>
      <c r="C64" s="9"/>
      <c r="D64" s="30"/>
      <c r="E64" s="9"/>
      <c r="F64" s="9"/>
      <c r="G64" s="9"/>
      <c r="H64" s="9"/>
      <c r="I64" s="9"/>
      <c r="J64" s="9"/>
      <c r="K64" s="9"/>
      <c r="L64" s="9"/>
      <c r="M64" s="9"/>
      <c r="N64" s="9"/>
      <c r="O64" s="9"/>
      <c r="P64" s="9"/>
      <c r="Q64" s="9"/>
      <c r="R64" s="9"/>
      <c r="S64" s="9"/>
      <c r="T64" s="9"/>
      <c r="U64" s="9"/>
      <c r="V64" s="9"/>
      <c r="W64" s="9"/>
      <c r="X64" s="9"/>
      <c r="Y64" s="9"/>
      <c r="AA64" s="5"/>
      <c r="AB64" s="9"/>
      <c r="AC64" s="9"/>
      <c r="AD64" s="9"/>
      <c r="AE64" s="9"/>
      <c r="AF64" s="9"/>
      <c r="AG64" s="9"/>
    </row>
    <row r="65" spans="1:33" s="14" customFormat="1">
      <c r="A65" s="29"/>
      <c r="B65" s="9"/>
      <c r="C65" s="9"/>
      <c r="D65" s="30"/>
      <c r="E65" s="9"/>
      <c r="F65" s="9"/>
      <c r="G65" s="9"/>
      <c r="H65" s="9"/>
      <c r="I65" s="9"/>
      <c r="J65" s="9"/>
      <c r="K65" s="9"/>
      <c r="L65" s="9"/>
      <c r="M65" s="9"/>
      <c r="N65" s="9"/>
      <c r="O65" s="9"/>
      <c r="P65" s="9"/>
      <c r="Q65" s="9"/>
      <c r="R65" s="9"/>
      <c r="S65" s="9"/>
      <c r="T65" s="9"/>
      <c r="U65" s="9"/>
      <c r="V65" s="9"/>
      <c r="W65" s="9"/>
      <c r="X65" s="9"/>
      <c r="Y65" s="9"/>
      <c r="AA65" s="5"/>
      <c r="AB65" s="9"/>
      <c r="AC65" s="9"/>
      <c r="AD65" s="9"/>
      <c r="AE65" s="9"/>
      <c r="AF65" s="9"/>
      <c r="AG65" s="9"/>
    </row>
    <row r="66" spans="1:33" s="14" customFormat="1">
      <c r="A66" s="29"/>
      <c r="B66" s="9"/>
      <c r="C66" s="9"/>
      <c r="D66" s="30"/>
      <c r="E66" s="9"/>
      <c r="F66" s="9"/>
      <c r="G66" s="9"/>
      <c r="H66" s="9"/>
      <c r="I66" s="9"/>
      <c r="J66" s="9"/>
      <c r="K66" s="9"/>
      <c r="L66" s="9"/>
      <c r="M66" s="9"/>
      <c r="N66" s="9"/>
      <c r="O66" s="9"/>
      <c r="P66" s="9"/>
      <c r="Q66" s="9"/>
      <c r="R66" s="9"/>
      <c r="S66" s="9"/>
      <c r="T66" s="9"/>
      <c r="U66" s="9"/>
      <c r="V66" s="9"/>
      <c r="W66" s="9"/>
      <c r="X66" s="9"/>
      <c r="Y66" s="9"/>
      <c r="AA66" s="5"/>
      <c r="AB66" s="9"/>
      <c r="AC66" s="9"/>
      <c r="AD66" s="9"/>
      <c r="AE66" s="9"/>
      <c r="AF66" s="9"/>
      <c r="AG66" s="9"/>
    </row>
    <row r="67" spans="1:33" s="14" customFormat="1">
      <c r="A67" s="29"/>
      <c r="B67" s="9"/>
      <c r="C67" s="9"/>
      <c r="D67" s="30"/>
      <c r="E67" s="9"/>
      <c r="F67" s="9"/>
      <c r="G67" s="9"/>
      <c r="H67" s="9"/>
      <c r="I67" s="9"/>
      <c r="J67" s="9"/>
      <c r="K67" s="9"/>
      <c r="L67" s="9"/>
      <c r="M67" s="9"/>
      <c r="N67" s="9"/>
      <c r="O67" s="9"/>
      <c r="P67" s="9"/>
      <c r="Q67" s="9"/>
      <c r="R67" s="9"/>
      <c r="S67" s="9"/>
      <c r="T67" s="9"/>
      <c r="U67" s="9"/>
      <c r="V67" s="9"/>
      <c r="W67" s="9"/>
      <c r="X67" s="9"/>
      <c r="Y67" s="9"/>
      <c r="AA67" s="5"/>
      <c r="AB67" s="9"/>
      <c r="AC67" s="9"/>
      <c r="AD67" s="9"/>
      <c r="AE67" s="9"/>
      <c r="AF67" s="9"/>
      <c r="AG67" s="9"/>
    </row>
    <row r="68" spans="1:33" s="14" customFormat="1">
      <c r="A68" s="29"/>
      <c r="B68" s="9"/>
      <c r="C68" s="9"/>
      <c r="D68" s="30"/>
      <c r="E68" s="9"/>
      <c r="F68" s="9"/>
      <c r="G68" s="9"/>
      <c r="H68" s="9"/>
      <c r="I68" s="9"/>
      <c r="J68" s="9"/>
      <c r="K68" s="9"/>
      <c r="L68" s="9"/>
      <c r="M68" s="9"/>
      <c r="N68" s="9"/>
      <c r="O68" s="9"/>
      <c r="P68" s="9"/>
      <c r="Q68" s="9"/>
      <c r="R68" s="9"/>
      <c r="S68" s="9"/>
      <c r="T68" s="9"/>
      <c r="U68" s="9"/>
      <c r="V68" s="9"/>
      <c r="W68" s="9"/>
      <c r="X68" s="9"/>
      <c r="Y68" s="9"/>
      <c r="AA68" s="5"/>
      <c r="AB68" s="9"/>
      <c r="AC68" s="9"/>
      <c r="AD68" s="9"/>
      <c r="AE68" s="9"/>
      <c r="AF68" s="9"/>
      <c r="AG68" s="9"/>
    </row>
    <row r="69" spans="1:33" s="14" customFormat="1">
      <c r="A69" s="29"/>
      <c r="B69" s="9"/>
      <c r="C69" s="9"/>
      <c r="D69" s="30"/>
      <c r="E69" s="9"/>
      <c r="F69" s="9"/>
      <c r="G69" s="9"/>
      <c r="H69" s="9"/>
      <c r="I69" s="9"/>
      <c r="J69" s="9"/>
      <c r="K69" s="9"/>
      <c r="L69" s="9"/>
      <c r="M69" s="9"/>
      <c r="N69" s="9"/>
      <c r="O69" s="9"/>
      <c r="P69" s="9"/>
      <c r="Q69" s="9"/>
      <c r="R69" s="9"/>
      <c r="S69" s="9"/>
      <c r="T69" s="9"/>
      <c r="U69" s="9"/>
      <c r="V69" s="9"/>
      <c r="W69" s="9"/>
      <c r="X69" s="9"/>
      <c r="Y69" s="9"/>
      <c r="AA69" s="5"/>
      <c r="AB69" s="9"/>
      <c r="AC69" s="9"/>
      <c r="AD69" s="9"/>
      <c r="AE69" s="9"/>
      <c r="AF69" s="9"/>
      <c r="AG69" s="9"/>
    </row>
    <row r="70" spans="1:33" s="14" customFormat="1">
      <c r="A70" s="29"/>
      <c r="B70" s="9"/>
      <c r="C70" s="9"/>
      <c r="D70" s="30"/>
      <c r="E70" s="9"/>
      <c r="F70" s="9"/>
      <c r="G70" s="9"/>
      <c r="H70" s="9"/>
      <c r="I70" s="9"/>
      <c r="J70" s="9"/>
      <c r="K70" s="9"/>
      <c r="L70" s="9"/>
      <c r="M70" s="9"/>
      <c r="N70" s="9"/>
      <c r="O70" s="9"/>
      <c r="P70" s="9"/>
      <c r="Q70" s="9"/>
      <c r="R70" s="9"/>
      <c r="S70" s="9"/>
      <c r="T70" s="9"/>
      <c r="U70" s="9"/>
      <c r="V70" s="9"/>
      <c r="W70" s="9"/>
      <c r="X70" s="9"/>
      <c r="Y70" s="9"/>
      <c r="AA70" s="5"/>
      <c r="AB70" s="9"/>
      <c r="AC70" s="9"/>
      <c r="AD70" s="9"/>
      <c r="AE70" s="9"/>
      <c r="AF70" s="9"/>
      <c r="AG70" s="9"/>
    </row>
    <row r="71" spans="1:33" s="14" customFormat="1">
      <c r="A71" s="29"/>
      <c r="B71" s="9"/>
      <c r="C71" s="9"/>
      <c r="D71" s="30"/>
      <c r="E71" s="9"/>
      <c r="F71" s="9"/>
      <c r="G71" s="9"/>
      <c r="H71" s="9"/>
      <c r="I71" s="9"/>
      <c r="J71" s="9"/>
      <c r="K71" s="9"/>
      <c r="L71" s="9"/>
      <c r="M71" s="9"/>
      <c r="N71" s="9"/>
      <c r="O71" s="9"/>
      <c r="P71" s="9"/>
      <c r="Q71" s="9"/>
      <c r="R71" s="9"/>
      <c r="S71" s="9"/>
      <c r="T71" s="9"/>
      <c r="U71" s="9"/>
      <c r="V71" s="9"/>
      <c r="W71" s="9"/>
      <c r="X71" s="9"/>
      <c r="Y71" s="9"/>
      <c r="AA71" s="5"/>
      <c r="AB71" s="9"/>
      <c r="AC71" s="9"/>
      <c r="AD71" s="9"/>
      <c r="AE71" s="9"/>
      <c r="AF71" s="9"/>
      <c r="AG71" s="9"/>
    </row>
    <row r="72" spans="1:33" s="14" customFormat="1">
      <c r="A72" s="29"/>
      <c r="B72" s="9"/>
      <c r="C72" s="9"/>
      <c r="D72" s="30"/>
      <c r="E72" s="9"/>
      <c r="F72" s="9"/>
      <c r="G72" s="9"/>
      <c r="H72" s="9"/>
      <c r="I72" s="9"/>
      <c r="J72" s="9"/>
      <c r="K72" s="9"/>
      <c r="L72" s="9"/>
      <c r="M72" s="9"/>
      <c r="N72" s="9"/>
      <c r="O72" s="9"/>
      <c r="P72" s="9"/>
      <c r="Q72" s="9"/>
      <c r="R72" s="9"/>
      <c r="S72" s="9"/>
      <c r="T72" s="9"/>
      <c r="U72" s="9"/>
      <c r="V72" s="9"/>
      <c r="W72" s="9"/>
      <c r="X72" s="9"/>
      <c r="Y72" s="9"/>
      <c r="AA72" s="5"/>
      <c r="AB72" s="9"/>
      <c r="AC72" s="9"/>
      <c r="AD72" s="9"/>
      <c r="AE72" s="9"/>
      <c r="AF72" s="9"/>
      <c r="AG72" s="9"/>
    </row>
    <row r="73" spans="1:33" s="14" customFormat="1">
      <c r="A73" s="29"/>
      <c r="B73" s="9"/>
      <c r="C73" s="9"/>
      <c r="D73" s="30"/>
      <c r="E73" s="9"/>
      <c r="F73" s="9"/>
      <c r="G73" s="9"/>
      <c r="H73" s="9"/>
      <c r="I73" s="9"/>
      <c r="J73" s="9"/>
      <c r="K73" s="9"/>
      <c r="L73" s="9"/>
      <c r="M73" s="9"/>
      <c r="N73" s="9"/>
      <c r="O73" s="9"/>
      <c r="P73" s="9"/>
      <c r="Q73" s="9"/>
      <c r="R73" s="9"/>
      <c r="S73" s="9"/>
      <c r="T73" s="9"/>
      <c r="U73" s="9"/>
      <c r="V73" s="9"/>
      <c r="W73" s="9"/>
      <c r="X73" s="9"/>
      <c r="Y73" s="9"/>
      <c r="AA73" s="5"/>
      <c r="AB73" s="9"/>
      <c r="AC73" s="9"/>
      <c r="AD73" s="9"/>
      <c r="AE73" s="9"/>
      <c r="AF73" s="9"/>
      <c r="AG73" s="9"/>
    </row>
    <row r="74" spans="1:33" s="14" customFormat="1">
      <c r="A74" s="29"/>
      <c r="B74" s="9"/>
      <c r="C74" s="9"/>
      <c r="D74" s="30"/>
      <c r="E74" s="9"/>
      <c r="F74" s="9"/>
      <c r="G74" s="9"/>
      <c r="H74" s="9"/>
      <c r="I74" s="9"/>
      <c r="J74" s="9"/>
      <c r="K74" s="9"/>
      <c r="L74" s="9"/>
      <c r="M74" s="9"/>
      <c r="N74" s="9"/>
      <c r="O74" s="9"/>
      <c r="P74" s="9"/>
      <c r="Q74" s="9"/>
      <c r="R74" s="9"/>
      <c r="S74" s="9"/>
      <c r="T74" s="9"/>
      <c r="U74" s="9"/>
      <c r="V74" s="9"/>
      <c r="W74" s="9"/>
      <c r="X74" s="9"/>
      <c r="Y74" s="9"/>
      <c r="AA74" s="5"/>
      <c r="AB74" s="9"/>
      <c r="AC74" s="9"/>
      <c r="AD74" s="9"/>
      <c r="AE74" s="9"/>
      <c r="AF74" s="9"/>
      <c r="AG74" s="9"/>
    </row>
    <row r="75" spans="1:33" s="14" customFormat="1">
      <c r="A75" s="29"/>
      <c r="B75" s="9"/>
      <c r="C75" s="9"/>
      <c r="D75" s="30"/>
      <c r="E75" s="9"/>
      <c r="F75" s="9"/>
      <c r="G75" s="9"/>
      <c r="H75" s="9"/>
      <c r="I75" s="9"/>
      <c r="J75" s="9"/>
      <c r="K75" s="9"/>
      <c r="L75" s="9"/>
      <c r="M75" s="9"/>
      <c r="N75" s="9"/>
      <c r="O75" s="9"/>
      <c r="P75" s="9"/>
      <c r="Q75" s="9"/>
      <c r="R75" s="9"/>
      <c r="S75" s="9"/>
      <c r="T75" s="9"/>
      <c r="U75" s="9"/>
      <c r="V75" s="9"/>
      <c r="W75" s="9"/>
      <c r="X75" s="9"/>
      <c r="Y75" s="9"/>
      <c r="AA75" s="5"/>
      <c r="AB75" s="9"/>
      <c r="AC75" s="9"/>
      <c r="AD75" s="9"/>
      <c r="AE75" s="9"/>
      <c r="AF75" s="9"/>
      <c r="AG75" s="9"/>
    </row>
    <row r="76" spans="1:33" s="14" customFormat="1">
      <c r="A76" s="29"/>
      <c r="B76" s="9"/>
      <c r="C76" s="9"/>
      <c r="D76" s="30"/>
      <c r="E76" s="9"/>
      <c r="F76" s="9"/>
      <c r="G76" s="9"/>
      <c r="H76" s="9"/>
      <c r="I76" s="9"/>
      <c r="J76" s="9"/>
      <c r="K76" s="9"/>
      <c r="L76" s="9"/>
      <c r="M76" s="9"/>
      <c r="N76" s="9"/>
      <c r="O76" s="9"/>
      <c r="P76" s="9"/>
      <c r="Q76" s="9"/>
      <c r="R76" s="9"/>
      <c r="S76" s="9"/>
      <c r="T76" s="9"/>
      <c r="U76" s="9"/>
      <c r="V76" s="9"/>
      <c r="W76" s="9"/>
      <c r="X76" s="9"/>
      <c r="Y76" s="9"/>
      <c r="AA76" s="5"/>
      <c r="AB76" s="9"/>
      <c r="AC76" s="9"/>
      <c r="AD76" s="9"/>
      <c r="AE76" s="9"/>
      <c r="AF76" s="9"/>
      <c r="AG76" s="9"/>
    </row>
    <row r="77" spans="1:33" s="14" customFormat="1">
      <c r="A77" s="29"/>
      <c r="B77" s="9"/>
      <c r="C77" s="9"/>
      <c r="D77" s="30"/>
      <c r="E77" s="9"/>
      <c r="F77" s="9"/>
      <c r="G77" s="9"/>
      <c r="H77" s="9"/>
      <c r="I77" s="9"/>
      <c r="J77" s="9"/>
      <c r="K77" s="9"/>
      <c r="L77" s="9"/>
      <c r="M77" s="9"/>
      <c r="N77" s="9"/>
      <c r="O77" s="9"/>
      <c r="P77" s="9"/>
      <c r="Q77" s="9"/>
      <c r="R77" s="9"/>
      <c r="S77" s="9"/>
      <c r="T77" s="9"/>
      <c r="U77" s="9"/>
      <c r="V77" s="9"/>
      <c r="W77" s="9"/>
      <c r="X77" s="9"/>
      <c r="Y77" s="9"/>
      <c r="AA77" s="5"/>
      <c r="AB77" s="9"/>
      <c r="AC77" s="9"/>
      <c r="AD77" s="9"/>
      <c r="AE77" s="9"/>
      <c r="AF77" s="9"/>
      <c r="AG77" s="9"/>
    </row>
    <row r="78" spans="1:33" s="14" customFormat="1">
      <c r="A78" s="29"/>
      <c r="B78" s="9"/>
      <c r="C78" s="9"/>
      <c r="D78" s="30"/>
      <c r="E78" s="9"/>
      <c r="F78" s="9"/>
      <c r="G78" s="9"/>
      <c r="H78" s="9"/>
      <c r="I78" s="9"/>
      <c r="J78" s="9"/>
      <c r="K78" s="9"/>
      <c r="L78" s="9"/>
      <c r="M78" s="9"/>
      <c r="N78" s="9"/>
      <c r="O78" s="9"/>
      <c r="P78" s="9"/>
      <c r="Q78" s="9"/>
      <c r="R78" s="9"/>
      <c r="S78" s="9"/>
      <c r="T78" s="9"/>
      <c r="U78" s="9"/>
      <c r="V78" s="9"/>
      <c r="W78" s="9"/>
      <c r="X78" s="9"/>
      <c r="Y78" s="9"/>
      <c r="AA78" s="5"/>
      <c r="AB78" s="9"/>
      <c r="AC78" s="9"/>
      <c r="AD78" s="9"/>
      <c r="AE78" s="9"/>
      <c r="AF78" s="9"/>
      <c r="AG78" s="9"/>
    </row>
    <row r="79" spans="1:33" s="14" customFormat="1">
      <c r="A79" s="29"/>
      <c r="B79" s="9"/>
      <c r="C79" s="9"/>
      <c r="D79" s="30"/>
      <c r="E79" s="9"/>
      <c r="F79" s="9"/>
      <c r="G79" s="9"/>
      <c r="H79" s="9"/>
      <c r="I79" s="9"/>
      <c r="J79" s="9"/>
      <c r="K79" s="9"/>
      <c r="L79" s="9"/>
      <c r="M79" s="9"/>
      <c r="N79" s="9"/>
      <c r="O79" s="9"/>
      <c r="P79" s="9"/>
      <c r="Q79" s="9"/>
      <c r="R79" s="9"/>
      <c r="S79" s="9"/>
      <c r="T79" s="9"/>
      <c r="U79" s="9"/>
      <c r="V79" s="9"/>
      <c r="W79" s="9"/>
      <c r="X79" s="9"/>
      <c r="Y79" s="9"/>
      <c r="AA79" s="5"/>
      <c r="AB79" s="9"/>
      <c r="AC79" s="9"/>
      <c r="AD79" s="9"/>
      <c r="AE79" s="9"/>
      <c r="AF79" s="9"/>
      <c r="AG79" s="9"/>
    </row>
    <row r="80" spans="1:33" s="14" customFormat="1">
      <c r="A80" s="29"/>
      <c r="B80" s="9"/>
      <c r="C80" s="9"/>
      <c r="D80" s="30"/>
      <c r="E80" s="9"/>
      <c r="F80" s="9"/>
      <c r="G80" s="9"/>
      <c r="H80" s="9"/>
      <c r="I80" s="9"/>
      <c r="J80" s="9"/>
      <c r="K80" s="9"/>
      <c r="L80" s="9"/>
      <c r="M80" s="9"/>
      <c r="N80" s="9"/>
      <c r="O80" s="9"/>
      <c r="P80" s="9"/>
      <c r="Q80" s="9"/>
      <c r="R80" s="9"/>
      <c r="S80" s="9"/>
      <c r="T80" s="9"/>
      <c r="U80" s="9"/>
      <c r="V80" s="9"/>
      <c r="W80" s="9"/>
      <c r="X80" s="9"/>
      <c r="Y80" s="9"/>
      <c r="AA80" s="5"/>
      <c r="AB80" s="9"/>
      <c r="AC80" s="9"/>
      <c r="AD80" s="9"/>
      <c r="AE80" s="9"/>
      <c r="AF80" s="9"/>
      <c r="AG80" s="9"/>
    </row>
    <row r="81" spans="1:33" s="14" customFormat="1">
      <c r="A81" s="29"/>
      <c r="B81" s="9"/>
      <c r="C81" s="9"/>
      <c r="D81" s="30"/>
      <c r="E81" s="9"/>
      <c r="F81" s="9"/>
      <c r="G81" s="9"/>
      <c r="H81" s="9"/>
      <c r="I81" s="9"/>
      <c r="J81" s="9"/>
      <c r="K81" s="9"/>
      <c r="L81" s="9"/>
      <c r="M81" s="9"/>
      <c r="N81" s="9"/>
      <c r="O81" s="9"/>
      <c r="P81" s="9"/>
      <c r="Q81" s="9"/>
      <c r="R81" s="9"/>
      <c r="S81" s="9"/>
      <c r="T81" s="9"/>
      <c r="U81" s="9"/>
      <c r="V81" s="9"/>
      <c r="W81" s="9"/>
      <c r="X81" s="9"/>
      <c r="Y81" s="9"/>
      <c r="AA81" s="5"/>
      <c r="AB81" s="9"/>
      <c r="AC81" s="9"/>
      <c r="AD81" s="9"/>
      <c r="AE81" s="9"/>
      <c r="AF81" s="9"/>
      <c r="AG81" s="9"/>
    </row>
    <row r="82" spans="1:33" s="14" customFormat="1">
      <c r="A82" s="29"/>
      <c r="B82" s="9"/>
      <c r="C82" s="9"/>
      <c r="D82" s="30"/>
      <c r="E82" s="9"/>
      <c r="F82" s="9"/>
      <c r="G82" s="9"/>
      <c r="H82" s="9"/>
      <c r="I82" s="9"/>
      <c r="J82" s="9"/>
      <c r="K82" s="9"/>
      <c r="L82" s="9"/>
      <c r="M82" s="9"/>
      <c r="N82" s="9"/>
      <c r="O82" s="9"/>
      <c r="P82" s="9"/>
      <c r="Q82" s="9"/>
      <c r="R82" s="9"/>
      <c r="S82" s="9"/>
      <c r="T82" s="9"/>
      <c r="U82" s="9"/>
      <c r="V82" s="9"/>
      <c r="W82" s="9"/>
      <c r="X82" s="9"/>
      <c r="Y82" s="9"/>
      <c r="AA82" s="5"/>
      <c r="AB82" s="9"/>
      <c r="AC82" s="9"/>
      <c r="AD82" s="9"/>
      <c r="AE82" s="9"/>
      <c r="AF82" s="9"/>
      <c r="AG82" s="9"/>
    </row>
    <row r="83" spans="1:33" s="14" customFormat="1">
      <c r="A83" s="29"/>
      <c r="B83" s="9"/>
      <c r="C83" s="9"/>
      <c r="D83" s="30"/>
      <c r="E83" s="9"/>
      <c r="F83" s="9"/>
      <c r="G83" s="9"/>
      <c r="H83" s="9"/>
      <c r="I83" s="9"/>
      <c r="J83" s="9"/>
      <c r="K83" s="9"/>
      <c r="L83" s="9"/>
      <c r="M83" s="9"/>
      <c r="N83" s="9"/>
      <c r="O83" s="9"/>
      <c r="P83" s="9"/>
      <c r="Q83" s="9"/>
      <c r="R83" s="9"/>
      <c r="S83" s="9"/>
      <c r="T83" s="9"/>
      <c r="U83" s="9"/>
      <c r="V83" s="9"/>
      <c r="W83" s="9"/>
      <c r="X83" s="9"/>
      <c r="Y83" s="9"/>
      <c r="AA83" s="5"/>
      <c r="AB83" s="9"/>
      <c r="AC83" s="9"/>
      <c r="AD83" s="9"/>
      <c r="AE83" s="9"/>
      <c r="AF83" s="9"/>
      <c r="AG83" s="9"/>
    </row>
    <row r="84" spans="1:33" s="14" customFormat="1">
      <c r="A84" s="29"/>
      <c r="B84" s="9"/>
      <c r="C84" s="9"/>
      <c r="D84" s="30"/>
      <c r="E84" s="9"/>
      <c r="F84" s="9"/>
      <c r="G84" s="9"/>
      <c r="H84" s="9"/>
      <c r="I84" s="9"/>
      <c r="J84" s="9"/>
      <c r="K84" s="9"/>
      <c r="L84" s="9"/>
      <c r="M84" s="9"/>
      <c r="N84" s="9"/>
      <c r="O84" s="9"/>
      <c r="P84" s="9"/>
      <c r="Q84" s="9"/>
      <c r="R84" s="9"/>
      <c r="S84" s="9"/>
      <c r="T84" s="9"/>
      <c r="U84" s="9"/>
      <c r="V84" s="9"/>
      <c r="W84" s="9"/>
      <c r="X84" s="9"/>
      <c r="Y84" s="9"/>
      <c r="AA84" s="5"/>
      <c r="AB84" s="9"/>
      <c r="AC84" s="9"/>
      <c r="AD84" s="9"/>
      <c r="AE84" s="9"/>
      <c r="AF84" s="9"/>
      <c r="AG84" s="9"/>
    </row>
    <row r="85" spans="1:33" s="14" customFormat="1">
      <c r="A85" s="29"/>
      <c r="B85" s="9"/>
      <c r="C85" s="9"/>
      <c r="D85" s="16"/>
      <c r="E85" s="9"/>
      <c r="F85" s="9"/>
      <c r="G85" s="9"/>
      <c r="H85" s="9"/>
      <c r="I85" s="9"/>
      <c r="J85" s="9"/>
      <c r="K85" s="9"/>
      <c r="L85" s="9"/>
      <c r="M85" s="9"/>
      <c r="N85" s="9"/>
      <c r="O85" s="9"/>
      <c r="P85" s="9"/>
      <c r="Q85" s="9"/>
      <c r="R85" s="9"/>
      <c r="S85" s="9"/>
      <c r="T85" s="9"/>
      <c r="U85" s="9"/>
      <c r="V85" s="9"/>
      <c r="W85" s="9"/>
      <c r="X85" s="9"/>
      <c r="Y85" s="9"/>
      <c r="AA85" s="5"/>
      <c r="AB85" s="9"/>
      <c r="AC85" s="9"/>
      <c r="AD85" s="9"/>
      <c r="AE85" s="9"/>
      <c r="AF85" s="9"/>
      <c r="AG85" s="9"/>
    </row>
    <row r="86" spans="1:33" s="14" customFormat="1">
      <c r="A86" s="29"/>
      <c r="B86" s="9"/>
      <c r="C86" s="9"/>
      <c r="D86" s="16"/>
      <c r="E86" s="9"/>
      <c r="F86" s="9"/>
      <c r="G86" s="9"/>
      <c r="H86" s="9"/>
      <c r="I86" s="9"/>
      <c r="J86" s="9"/>
      <c r="K86" s="9"/>
      <c r="L86" s="9"/>
      <c r="M86" s="9"/>
      <c r="N86" s="9"/>
      <c r="O86" s="9"/>
      <c r="P86" s="9"/>
      <c r="Q86" s="9"/>
      <c r="R86" s="9"/>
      <c r="S86" s="9"/>
      <c r="T86" s="9"/>
      <c r="U86" s="9"/>
      <c r="V86" s="9"/>
      <c r="W86" s="9"/>
      <c r="X86" s="9"/>
      <c r="Y86" s="9"/>
      <c r="AA86" s="5"/>
      <c r="AB86" s="9"/>
      <c r="AC86" s="9"/>
      <c r="AD86" s="9"/>
      <c r="AE86" s="9"/>
      <c r="AF86" s="9"/>
      <c r="AG86" s="9"/>
    </row>
    <row r="87" spans="1:33" s="14" customFormat="1">
      <c r="A87" s="29"/>
      <c r="B87" s="9"/>
      <c r="C87" s="9"/>
      <c r="D87" s="16"/>
      <c r="E87" s="9"/>
      <c r="F87" s="9"/>
      <c r="G87" s="9"/>
      <c r="H87" s="9"/>
      <c r="I87" s="9"/>
      <c r="J87" s="9"/>
      <c r="K87" s="9"/>
      <c r="L87" s="9"/>
      <c r="M87" s="9"/>
      <c r="N87" s="9"/>
      <c r="O87" s="9"/>
      <c r="P87" s="9"/>
      <c r="Q87" s="9"/>
      <c r="R87" s="9"/>
      <c r="S87" s="9"/>
      <c r="T87" s="9"/>
      <c r="U87" s="9"/>
      <c r="V87" s="9"/>
      <c r="W87" s="9"/>
      <c r="X87" s="9"/>
      <c r="Y87" s="9"/>
      <c r="AA87" s="5"/>
      <c r="AB87" s="9"/>
      <c r="AC87" s="9"/>
      <c r="AD87" s="9"/>
      <c r="AE87" s="9"/>
      <c r="AF87" s="9"/>
      <c r="AG87" s="9"/>
    </row>
    <row r="88" spans="1:33" s="14" customFormat="1">
      <c r="A88" s="29"/>
      <c r="B88" s="9"/>
      <c r="C88" s="9"/>
      <c r="D88" s="16"/>
      <c r="E88" s="9"/>
      <c r="F88" s="9"/>
      <c r="G88" s="9"/>
      <c r="H88" s="9"/>
      <c r="I88" s="9"/>
      <c r="J88" s="9"/>
      <c r="K88" s="9"/>
      <c r="L88" s="9"/>
      <c r="M88" s="9"/>
      <c r="N88" s="9"/>
      <c r="O88" s="9"/>
      <c r="P88" s="9"/>
      <c r="Q88" s="9"/>
      <c r="R88" s="9"/>
      <c r="S88" s="9"/>
      <c r="T88" s="9"/>
      <c r="U88" s="9"/>
      <c r="V88" s="9"/>
      <c r="W88" s="9"/>
      <c r="X88" s="9"/>
      <c r="Y88" s="9"/>
      <c r="AA88" s="5"/>
      <c r="AB88" s="9"/>
      <c r="AC88" s="9"/>
      <c r="AD88" s="9"/>
      <c r="AE88" s="9"/>
      <c r="AF88" s="9"/>
      <c r="AG88" s="9"/>
    </row>
    <row r="89" spans="1:33" s="14" customFormat="1">
      <c r="A89" s="29"/>
      <c r="B89" s="9"/>
      <c r="C89" s="9"/>
      <c r="D89" s="16"/>
      <c r="E89" s="9"/>
      <c r="F89" s="9"/>
      <c r="G89" s="9"/>
      <c r="H89" s="9"/>
      <c r="I89" s="9"/>
      <c r="J89" s="9"/>
      <c r="K89" s="9"/>
      <c r="L89" s="9"/>
      <c r="M89" s="9"/>
      <c r="N89" s="9"/>
      <c r="O89" s="9"/>
      <c r="P89" s="9"/>
      <c r="Q89" s="9"/>
      <c r="R89" s="9"/>
      <c r="S89" s="9"/>
      <c r="T89" s="9"/>
      <c r="U89" s="9"/>
      <c r="V89" s="9"/>
      <c r="W89" s="9"/>
      <c r="X89" s="9"/>
      <c r="Y89" s="9"/>
      <c r="AA89" s="5"/>
      <c r="AB89" s="9"/>
      <c r="AC89" s="9"/>
      <c r="AD89" s="9"/>
      <c r="AE89" s="9"/>
      <c r="AF89" s="9"/>
      <c r="AG89" s="9"/>
    </row>
    <row r="90" spans="1:33" s="14" customFormat="1">
      <c r="A90" s="29"/>
      <c r="B90" s="9"/>
      <c r="C90" s="9"/>
      <c r="D90" s="16"/>
      <c r="E90" s="9"/>
      <c r="F90" s="9"/>
      <c r="G90" s="9"/>
      <c r="H90" s="9"/>
      <c r="I90" s="9"/>
      <c r="J90" s="9"/>
      <c r="K90" s="9"/>
      <c r="L90" s="9"/>
      <c r="M90" s="9"/>
      <c r="N90" s="9"/>
      <c r="O90" s="9"/>
      <c r="P90" s="9"/>
      <c r="Q90" s="9"/>
      <c r="R90" s="9"/>
      <c r="S90" s="9"/>
      <c r="T90" s="9"/>
      <c r="U90" s="9"/>
      <c r="V90" s="9"/>
      <c r="W90" s="9"/>
      <c r="X90" s="9"/>
      <c r="Y90" s="9"/>
      <c r="AA90" s="5"/>
      <c r="AB90" s="9"/>
      <c r="AC90" s="9"/>
      <c r="AD90" s="9"/>
      <c r="AE90" s="9"/>
      <c r="AF90" s="9"/>
      <c r="AG90" s="9"/>
    </row>
    <row r="91" spans="1:33" s="14" customFormat="1">
      <c r="A91" s="29"/>
      <c r="B91" s="9"/>
      <c r="C91" s="9"/>
      <c r="D91" s="16"/>
      <c r="E91" s="9"/>
      <c r="F91" s="9"/>
      <c r="G91" s="9"/>
      <c r="H91" s="9"/>
      <c r="I91" s="9"/>
      <c r="J91" s="9"/>
      <c r="K91" s="9"/>
      <c r="L91" s="9"/>
      <c r="M91" s="9"/>
      <c r="N91" s="9"/>
      <c r="O91" s="9"/>
      <c r="P91" s="9"/>
      <c r="Q91" s="9"/>
      <c r="R91" s="9"/>
      <c r="S91" s="9"/>
      <c r="T91" s="9"/>
      <c r="U91" s="9"/>
      <c r="V91" s="9"/>
      <c r="W91" s="9"/>
      <c r="X91" s="9"/>
      <c r="Y91" s="9"/>
      <c r="AA91" s="5"/>
      <c r="AB91" s="9"/>
      <c r="AC91" s="9"/>
      <c r="AD91" s="9"/>
      <c r="AE91" s="9"/>
      <c r="AF91" s="9"/>
      <c r="AG91" s="9"/>
    </row>
    <row r="92" spans="1:33" s="14" customFormat="1">
      <c r="A92" s="29"/>
      <c r="B92" s="9"/>
      <c r="C92" s="9"/>
      <c r="D92" s="16"/>
      <c r="E92" s="9"/>
      <c r="F92" s="9"/>
      <c r="G92" s="9"/>
      <c r="H92" s="9"/>
      <c r="I92" s="9"/>
      <c r="J92" s="9"/>
      <c r="K92" s="9"/>
      <c r="L92" s="9"/>
      <c r="M92" s="9"/>
      <c r="N92" s="9"/>
      <c r="O92" s="9"/>
      <c r="P92" s="9"/>
      <c r="Q92" s="9"/>
      <c r="R92" s="9"/>
      <c r="S92" s="9"/>
      <c r="T92" s="9"/>
      <c r="U92" s="9"/>
      <c r="V92" s="9"/>
      <c r="W92" s="9"/>
      <c r="X92" s="9"/>
      <c r="Y92" s="9"/>
      <c r="AA92" s="5"/>
      <c r="AB92" s="9"/>
      <c r="AC92" s="9"/>
      <c r="AD92" s="9"/>
      <c r="AE92" s="9"/>
      <c r="AF92" s="9"/>
      <c r="AG92" s="9"/>
    </row>
    <row r="93" spans="1:33" s="14" customFormat="1">
      <c r="A93" s="29"/>
      <c r="B93" s="9"/>
      <c r="C93" s="9"/>
      <c r="D93" s="16"/>
      <c r="E93" s="9"/>
      <c r="F93" s="9"/>
      <c r="G93" s="9"/>
      <c r="H93" s="9"/>
      <c r="I93" s="9"/>
      <c r="J93" s="9"/>
      <c r="K93" s="9"/>
      <c r="L93" s="9"/>
      <c r="M93" s="9"/>
      <c r="N93" s="9"/>
      <c r="O93" s="9"/>
      <c r="P93" s="9"/>
      <c r="Q93" s="9"/>
      <c r="R93" s="9"/>
      <c r="S93" s="9"/>
      <c r="T93" s="9"/>
      <c r="U93" s="9"/>
      <c r="V93" s="9"/>
      <c r="W93" s="9"/>
      <c r="X93" s="9"/>
      <c r="Y93" s="9"/>
      <c r="AA93" s="5"/>
      <c r="AB93" s="9"/>
      <c r="AC93" s="9"/>
      <c r="AD93" s="9"/>
      <c r="AE93" s="9"/>
      <c r="AF93" s="9"/>
      <c r="AG93" s="9"/>
    </row>
    <row r="94" spans="1:33" s="14" customFormat="1">
      <c r="A94" s="29"/>
      <c r="B94" s="9"/>
      <c r="C94" s="9"/>
      <c r="D94" s="16"/>
      <c r="E94" s="9"/>
      <c r="F94" s="9"/>
      <c r="G94" s="9"/>
      <c r="H94" s="9"/>
      <c r="I94" s="9"/>
      <c r="J94" s="9"/>
      <c r="K94" s="9"/>
      <c r="L94" s="9"/>
      <c r="M94" s="9"/>
      <c r="N94" s="9"/>
      <c r="O94" s="9"/>
      <c r="P94" s="9"/>
      <c r="Q94" s="9"/>
      <c r="R94" s="9"/>
      <c r="S94" s="9"/>
      <c r="T94" s="9"/>
      <c r="U94" s="9"/>
      <c r="V94" s="9"/>
      <c r="W94" s="9"/>
      <c r="X94" s="9"/>
      <c r="Y94" s="9"/>
      <c r="AA94" s="5"/>
      <c r="AB94" s="9"/>
      <c r="AC94" s="9"/>
      <c r="AD94" s="9"/>
      <c r="AE94" s="9"/>
      <c r="AF94" s="9"/>
      <c r="AG94" s="9"/>
    </row>
    <row r="95" spans="1:33" s="14" customFormat="1">
      <c r="A95" s="29"/>
      <c r="B95" s="9"/>
      <c r="C95" s="9"/>
      <c r="D95" s="16"/>
      <c r="E95" s="9"/>
      <c r="F95" s="9"/>
      <c r="G95" s="9"/>
      <c r="H95" s="9"/>
      <c r="I95" s="9"/>
      <c r="J95" s="9"/>
      <c r="K95" s="9"/>
      <c r="L95" s="9"/>
      <c r="M95" s="9"/>
      <c r="N95" s="9"/>
      <c r="O95" s="9"/>
      <c r="P95" s="9"/>
      <c r="Q95" s="9"/>
      <c r="R95" s="9"/>
      <c r="S95" s="9"/>
      <c r="T95" s="9"/>
      <c r="U95" s="9"/>
      <c r="V95" s="9"/>
      <c r="W95" s="9"/>
      <c r="X95" s="9"/>
      <c r="Y95" s="9"/>
      <c r="AA95" s="5"/>
      <c r="AB95" s="9"/>
      <c r="AC95" s="9"/>
      <c r="AD95" s="9"/>
      <c r="AE95" s="9"/>
      <c r="AF95" s="9"/>
      <c r="AG95" s="9"/>
    </row>
    <row r="96" spans="1:33" s="14" customFormat="1">
      <c r="A96" s="29"/>
      <c r="B96" s="9"/>
      <c r="C96" s="9"/>
      <c r="D96" s="16"/>
      <c r="E96" s="9"/>
      <c r="F96" s="9"/>
      <c r="G96" s="9"/>
      <c r="H96" s="9"/>
      <c r="I96" s="9"/>
      <c r="J96" s="9"/>
      <c r="K96" s="9"/>
      <c r="L96" s="9"/>
      <c r="M96" s="9"/>
      <c r="N96" s="9"/>
      <c r="O96" s="9"/>
      <c r="P96" s="9"/>
      <c r="Q96" s="9"/>
      <c r="R96" s="9"/>
      <c r="S96" s="9"/>
      <c r="T96" s="9"/>
      <c r="U96" s="9"/>
      <c r="V96" s="9"/>
      <c r="W96" s="9"/>
      <c r="X96" s="9"/>
      <c r="Y96" s="9"/>
      <c r="AA96" s="5"/>
      <c r="AB96" s="9"/>
      <c r="AC96" s="9"/>
      <c r="AD96" s="9"/>
      <c r="AE96" s="9"/>
      <c r="AF96" s="9"/>
      <c r="AG96" s="9"/>
    </row>
    <row r="97" spans="1:33" s="14" customFormat="1">
      <c r="A97" s="29"/>
      <c r="B97" s="9"/>
      <c r="C97" s="9"/>
      <c r="D97" s="16"/>
      <c r="E97" s="9"/>
      <c r="F97" s="9"/>
      <c r="G97" s="9"/>
      <c r="H97" s="9"/>
      <c r="I97" s="9"/>
      <c r="J97" s="9"/>
      <c r="K97" s="9"/>
      <c r="L97" s="9"/>
      <c r="M97" s="9"/>
      <c r="N97" s="9"/>
      <c r="O97" s="9"/>
      <c r="P97" s="9"/>
      <c r="Q97" s="9"/>
      <c r="R97" s="9"/>
      <c r="S97" s="9"/>
      <c r="T97" s="9"/>
      <c r="U97" s="9"/>
      <c r="V97" s="9"/>
      <c r="W97" s="9"/>
      <c r="X97" s="9"/>
      <c r="Y97" s="9"/>
      <c r="AA97" s="5"/>
      <c r="AB97" s="9"/>
      <c r="AC97" s="9"/>
      <c r="AD97" s="9"/>
      <c r="AE97" s="9"/>
      <c r="AF97" s="9"/>
      <c r="AG97" s="9"/>
    </row>
    <row r="98" spans="1:33" s="14" customFormat="1">
      <c r="A98" s="29"/>
      <c r="B98" s="9"/>
      <c r="C98" s="9"/>
      <c r="D98" s="16"/>
      <c r="E98" s="9"/>
      <c r="F98" s="9"/>
      <c r="G98" s="9"/>
      <c r="H98" s="9"/>
      <c r="I98" s="9"/>
      <c r="J98" s="9"/>
      <c r="K98" s="9"/>
      <c r="L98" s="9"/>
      <c r="M98" s="9"/>
      <c r="N98" s="9"/>
      <c r="O98" s="9"/>
      <c r="P98" s="9"/>
      <c r="Q98" s="9"/>
      <c r="R98" s="9"/>
      <c r="S98" s="9"/>
      <c r="T98" s="9"/>
      <c r="U98" s="9"/>
      <c r="V98" s="9"/>
      <c r="W98" s="9"/>
      <c r="X98" s="9"/>
      <c r="Y98" s="9"/>
      <c r="AA98" s="5"/>
      <c r="AB98" s="9"/>
      <c r="AC98" s="9"/>
      <c r="AD98" s="9"/>
      <c r="AE98" s="9"/>
      <c r="AF98" s="9"/>
      <c r="AG98" s="9"/>
    </row>
    <row r="99" spans="1:33" s="14" customFormat="1">
      <c r="A99" s="29"/>
      <c r="B99" s="9"/>
      <c r="C99" s="9"/>
      <c r="D99" s="16"/>
      <c r="E99" s="9"/>
      <c r="F99" s="9"/>
      <c r="G99" s="9"/>
      <c r="H99" s="9"/>
      <c r="I99" s="9"/>
      <c r="J99" s="9"/>
      <c r="K99" s="9"/>
      <c r="L99" s="9"/>
      <c r="M99" s="9"/>
      <c r="N99" s="9"/>
      <c r="O99" s="9"/>
      <c r="P99" s="9"/>
      <c r="Q99" s="9"/>
      <c r="R99" s="9"/>
      <c r="S99" s="9"/>
      <c r="T99" s="9"/>
      <c r="U99" s="9"/>
      <c r="V99" s="9"/>
      <c r="W99" s="9"/>
      <c r="X99" s="9"/>
      <c r="Y99" s="9"/>
      <c r="AA99" s="5"/>
      <c r="AB99" s="9"/>
      <c r="AC99" s="9"/>
      <c r="AD99" s="9"/>
      <c r="AE99" s="9"/>
      <c r="AF99" s="9"/>
      <c r="AG99" s="9"/>
    </row>
    <row r="100" spans="1:33" s="14" customFormat="1">
      <c r="A100" s="29"/>
      <c r="B100" s="9"/>
      <c r="C100" s="9"/>
      <c r="D100" s="16"/>
      <c r="E100" s="9"/>
      <c r="F100" s="9"/>
      <c r="G100" s="9"/>
      <c r="H100" s="9"/>
      <c r="I100" s="9"/>
      <c r="J100" s="9"/>
      <c r="K100" s="9"/>
      <c r="L100" s="9"/>
      <c r="M100" s="9"/>
      <c r="N100" s="9"/>
      <c r="O100" s="9"/>
      <c r="P100" s="9"/>
      <c r="Q100" s="9"/>
      <c r="R100" s="9"/>
      <c r="S100" s="9"/>
      <c r="T100" s="9"/>
      <c r="U100" s="9"/>
      <c r="V100" s="9"/>
      <c r="W100" s="9"/>
      <c r="X100" s="9"/>
      <c r="Y100" s="9"/>
      <c r="AA100" s="5"/>
      <c r="AB100" s="9"/>
      <c r="AC100" s="9"/>
      <c r="AD100" s="9"/>
      <c r="AE100" s="9"/>
      <c r="AF100" s="9"/>
      <c r="AG100" s="9"/>
    </row>
    <row r="101" spans="1:33" s="14" customFormat="1">
      <c r="A101" s="29"/>
      <c r="B101" s="9"/>
      <c r="C101" s="9"/>
      <c r="D101" s="16"/>
      <c r="E101" s="9"/>
      <c r="F101" s="9"/>
      <c r="G101" s="9"/>
      <c r="H101" s="9"/>
      <c r="I101" s="9"/>
      <c r="J101" s="9"/>
      <c r="K101" s="9"/>
      <c r="L101" s="9"/>
      <c r="M101" s="9"/>
      <c r="N101" s="9"/>
      <c r="O101" s="9"/>
      <c r="P101" s="9"/>
      <c r="Q101" s="9"/>
      <c r="R101" s="9"/>
      <c r="S101" s="9"/>
      <c r="T101" s="9"/>
      <c r="U101" s="9"/>
      <c r="V101" s="9"/>
      <c r="W101" s="9"/>
      <c r="X101" s="9"/>
      <c r="Y101" s="9"/>
      <c r="AA101" s="5"/>
      <c r="AB101" s="9"/>
      <c r="AC101" s="9"/>
      <c r="AD101" s="9"/>
      <c r="AE101" s="9"/>
      <c r="AF101" s="9"/>
      <c r="AG101" s="9"/>
    </row>
    <row r="102" spans="1:33" s="14" customFormat="1">
      <c r="A102" s="29"/>
      <c r="B102" s="9"/>
      <c r="C102" s="9"/>
      <c r="D102" s="16"/>
      <c r="E102" s="9"/>
      <c r="F102" s="9"/>
      <c r="G102" s="9"/>
      <c r="H102" s="9"/>
      <c r="I102" s="9"/>
      <c r="J102" s="9"/>
      <c r="K102" s="9"/>
      <c r="L102" s="9"/>
      <c r="M102" s="9"/>
      <c r="N102" s="9"/>
      <c r="O102" s="9"/>
      <c r="P102" s="9"/>
      <c r="Q102" s="9"/>
      <c r="R102" s="9"/>
      <c r="S102" s="9"/>
      <c r="T102" s="9"/>
      <c r="U102" s="9"/>
      <c r="V102" s="9"/>
      <c r="W102" s="9"/>
      <c r="X102" s="9"/>
      <c r="Y102" s="9"/>
      <c r="AA102" s="5"/>
      <c r="AB102" s="9"/>
      <c r="AC102" s="9"/>
      <c r="AD102" s="9"/>
      <c r="AE102" s="9"/>
      <c r="AF102" s="9"/>
      <c r="AG102" s="9"/>
    </row>
    <row r="103" spans="1:33" s="14" customFormat="1">
      <c r="A103" s="29"/>
      <c r="B103" s="9"/>
      <c r="C103" s="9"/>
      <c r="D103" s="16"/>
      <c r="E103" s="9"/>
      <c r="F103" s="9"/>
      <c r="G103" s="9"/>
      <c r="H103" s="9"/>
      <c r="I103" s="9"/>
      <c r="J103" s="9"/>
      <c r="K103" s="9"/>
      <c r="L103" s="9"/>
      <c r="M103" s="9"/>
      <c r="N103" s="9"/>
      <c r="O103" s="9"/>
      <c r="P103" s="9"/>
      <c r="Q103" s="9"/>
      <c r="R103" s="9"/>
      <c r="S103" s="9"/>
      <c r="T103" s="9"/>
      <c r="U103" s="9"/>
      <c r="V103" s="9"/>
      <c r="W103" s="9"/>
      <c r="X103" s="9"/>
      <c r="Y103" s="9"/>
      <c r="AA103" s="5"/>
      <c r="AB103" s="9"/>
      <c r="AC103" s="9"/>
      <c r="AD103" s="9"/>
      <c r="AE103" s="9"/>
      <c r="AF103" s="9"/>
      <c r="AG103" s="9"/>
    </row>
    <row r="104" spans="1:33" s="14" customFormat="1">
      <c r="A104" s="29"/>
      <c r="B104" s="9"/>
      <c r="C104" s="9"/>
      <c r="D104" s="16"/>
      <c r="E104" s="9"/>
      <c r="F104" s="9"/>
      <c r="G104" s="9"/>
      <c r="H104" s="9"/>
      <c r="I104" s="9"/>
      <c r="J104" s="9"/>
      <c r="K104" s="9"/>
      <c r="L104" s="9"/>
      <c r="M104" s="9"/>
      <c r="N104" s="9"/>
      <c r="O104" s="9"/>
      <c r="P104" s="9"/>
      <c r="Q104" s="9"/>
      <c r="R104" s="9"/>
      <c r="S104" s="9"/>
      <c r="T104" s="9"/>
      <c r="U104" s="9"/>
      <c r="V104" s="9"/>
      <c r="W104" s="9"/>
      <c r="X104" s="9"/>
      <c r="Y104" s="9"/>
      <c r="AA104" s="5"/>
      <c r="AB104" s="9"/>
      <c r="AC104" s="9"/>
      <c r="AD104" s="9"/>
      <c r="AE104" s="9"/>
      <c r="AF104" s="9"/>
      <c r="AG104" s="9"/>
    </row>
    <row r="105" spans="1:33" s="14" customFormat="1">
      <c r="A105" s="29"/>
      <c r="B105" s="9"/>
      <c r="C105" s="9"/>
      <c r="D105" s="16"/>
      <c r="E105" s="9"/>
      <c r="F105" s="9"/>
      <c r="G105" s="9"/>
      <c r="H105" s="9"/>
      <c r="I105" s="9"/>
      <c r="J105" s="9"/>
      <c r="K105" s="9"/>
      <c r="L105" s="9"/>
      <c r="M105" s="9"/>
      <c r="N105" s="9"/>
      <c r="O105" s="9"/>
      <c r="P105" s="9"/>
      <c r="Q105" s="9"/>
      <c r="R105" s="9"/>
      <c r="S105" s="9"/>
      <c r="T105" s="9"/>
      <c r="U105" s="9"/>
      <c r="V105" s="9"/>
      <c r="W105" s="9"/>
      <c r="X105" s="9"/>
      <c r="Y105" s="9"/>
      <c r="AA105" s="5"/>
      <c r="AB105" s="9"/>
      <c r="AC105" s="9"/>
      <c r="AD105" s="9"/>
      <c r="AE105" s="9"/>
      <c r="AF105" s="9"/>
      <c r="AG105" s="9"/>
    </row>
    <row r="106" spans="1:33" s="14" customFormat="1">
      <c r="A106" s="29"/>
      <c r="B106" s="9"/>
      <c r="C106" s="9"/>
      <c r="D106" s="16"/>
      <c r="E106" s="9"/>
      <c r="F106" s="9"/>
      <c r="G106" s="9"/>
      <c r="H106" s="9"/>
      <c r="I106" s="9"/>
      <c r="J106" s="9"/>
      <c r="K106" s="9"/>
      <c r="L106" s="9"/>
      <c r="M106" s="9"/>
      <c r="N106" s="9"/>
      <c r="O106" s="9"/>
      <c r="P106" s="9"/>
      <c r="Q106" s="9"/>
      <c r="R106" s="9"/>
      <c r="S106" s="9"/>
      <c r="T106" s="9"/>
      <c r="U106" s="9"/>
      <c r="V106" s="9"/>
      <c r="W106" s="9"/>
      <c r="X106" s="9"/>
      <c r="Y106" s="9"/>
      <c r="AA106" s="5"/>
      <c r="AB106" s="9"/>
      <c r="AC106" s="9"/>
      <c r="AD106" s="9"/>
      <c r="AE106" s="9"/>
      <c r="AF106" s="9"/>
      <c r="AG106" s="9"/>
    </row>
    <row r="107" spans="1:33" s="14" customFormat="1">
      <c r="A107" s="29"/>
      <c r="B107" s="9"/>
      <c r="C107" s="9"/>
      <c r="D107" s="16"/>
      <c r="E107" s="9"/>
      <c r="F107" s="9"/>
      <c r="G107" s="9"/>
      <c r="H107" s="9"/>
      <c r="I107" s="9"/>
      <c r="J107" s="9"/>
      <c r="K107" s="9"/>
      <c r="L107" s="9"/>
      <c r="M107" s="9"/>
      <c r="N107" s="9"/>
      <c r="O107" s="9"/>
      <c r="P107" s="9"/>
      <c r="Q107" s="9"/>
      <c r="R107" s="9"/>
      <c r="S107" s="9"/>
      <c r="T107" s="9"/>
      <c r="U107" s="9"/>
      <c r="V107" s="9"/>
      <c r="W107" s="9"/>
      <c r="X107" s="9"/>
      <c r="Y107" s="9"/>
      <c r="AA107" s="5"/>
      <c r="AB107" s="9"/>
      <c r="AC107" s="9"/>
      <c r="AD107" s="9"/>
      <c r="AE107" s="9"/>
      <c r="AF107" s="9"/>
      <c r="AG107" s="9"/>
    </row>
    <row r="108" spans="1:33" s="14" customFormat="1">
      <c r="A108" s="29"/>
      <c r="B108" s="9"/>
      <c r="C108" s="9"/>
      <c r="D108" s="16"/>
      <c r="E108" s="9"/>
      <c r="F108" s="9"/>
      <c r="G108" s="9"/>
      <c r="H108" s="9"/>
      <c r="I108" s="9"/>
      <c r="J108" s="9"/>
      <c r="K108" s="9"/>
      <c r="L108" s="9"/>
      <c r="M108" s="9"/>
      <c r="N108" s="9"/>
      <c r="O108" s="9"/>
      <c r="P108" s="9"/>
      <c r="Q108" s="9"/>
      <c r="R108" s="9"/>
      <c r="S108" s="9"/>
      <c r="T108" s="9"/>
      <c r="U108" s="9"/>
      <c r="V108" s="9"/>
      <c r="W108" s="9"/>
      <c r="X108" s="9"/>
      <c r="Y108" s="9"/>
      <c r="AA108" s="5"/>
      <c r="AB108" s="9"/>
      <c r="AC108" s="9"/>
      <c r="AD108" s="9"/>
      <c r="AE108" s="9"/>
      <c r="AF108" s="9"/>
      <c r="AG108" s="9"/>
    </row>
    <row r="109" spans="1:33" s="14" customFormat="1">
      <c r="A109" s="29"/>
      <c r="B109" s="9"/>
      <c r="C109" s="9"/>
      <c r="D109" s="16"/>
      <c r="E109" s="9"/>
      <c r="F109" s="9"/>
      <c r="G109" s="9"/>
      <c r="H109" s="9"/>
      <c r="I109" s="9"/>
      <c r="J109" s="9"/>
      <c r="K109" s="9"/>
      <c r="L109" s="9"/>
      <c r="M109" s="9"/>
      <c r="N109" s="9"/>
      <c r="O109" s="9"/>
      <c r="P109" s="9"/>
      <c r="Q109" s="9"/>
      <c r="R109" s="9"/>
      <c r="S109" s="9"/>
      <c r="T109" s="9"/>
      <c r="U109" s="9"/>
      <c r="V109" s="9"/>
      <c r="W109" s="9"/>
      <c r="X109" s="9"/>
      <c r="Y109" s="9"/>
      <c r="AA109" s="5"/>
      <c r="AB109" s="9"/>
      <c r="AC109" s="9"/>
      <c r="AD109" s="9"/>
      <c r="AE109" s="9"/>
      <c r="AF109" s="9"/>
      <c r="AG109" s="9"/>
    </row>
    <row r="110" spans="1:33" s="14" customFormat="1">
      <c r="A110" s="29"/>
      <c r="B110" s="9"/>
      <c r="C110" s="9"/>
      <c r="D110" s="16"/>
      <c r="E110" s="9"/>
      <c r="F110" s="9"/>
      <c r="G110" s="9"/>
      <c r="H110" s="9"/>
      <c r="I110" s="9"/>
      <c r="J110" s="9"/>
      <c r="K110" s="9"/>
      <c r="L110" s="9"/>
      <c r="M110" s="9"/>
      <c r="N110" s="9"/>
      <c r="O110" s="9"/>
      <c r="P110" s="9"/>
      <c r="Q110" s="9"/>
      <c r="R110" s="9"/>
      <c r="S110" s="9"/>
      <c r="T110" s="9"/>
      <c r="U110" s="9"/>
      <c r="V110" s="9"/>
      <c r="W110" s="9"/>
      <c r="X110" s="9"/>
      <c r="Y110" s="9"/>
      <c r="AA110" s="5"/>
      <c r="AB110" s="9"/>
      <c r="AC110" s="9"/>
      <c r="AD110" s="9"/>
      <c r="AE110" s="9"/>
      <c r="AF110" s="9"/>
      <c r="AG110" s="9"/>
    </row>
    <row r="111" spans="1:33" s="14" customFormat="1">
      <c r="A111" s="29"/>
      <c r="B111" s="9"/>
      <c r="C111" s="9"/>
      <c r="D111" s="16"/>
      <c r="E111" s="9"/>
      <c r="F111" s="9"/>
      <c r="G111" s="9"/>
      <c r="H111" s="9"/>
      <c r="I111" s="9"/>
      <c r="J111" s="9"/>
      <c r="K111" s="9"/>
      <c r="L111" s="9"/>
      <c r="M111" s="9"/>
      <c r="N111" s="9"/>
      <c r="O111" s="9"/>
      <c r="P111" s="9"/>
      <c r="Q111" s="9"/>
      <c r="R111" s="9"/>
      <c r="S111" s="9"/>
      <c r="T111" s="9"/>
      <c r="U111" s="9"/>
      <c r="V111" s="9"/>
      <c r="W111" s="9"/>
      <c r="X111" s="9"/>
      <c r="Y111" s="9"/>
      <c r="AA111" s="5"/>
      <c r="AB111" s="9"/>
      <c r="AC111" s="9"/>
      <c r="AD111" s="9"/>
      <c r="AE111" s="9"/>
      <c r="AF111" s="9"/>
      <c r="AG111" s="9"/>
    </row>
    <row r="112" spans="1:33" s="14" customFormat="1">
      <c r="A112" s="29"/>
      <c r="B112" s="9"/>
      <c r="C112" s="9"/>
      <c r="D112" s="16"/>
      <c r="E112" s="9"/>
      <c r="F112" s="9"/>
      <c r="G112" s="9"/>
      <c r="H112" s="9"/>
      <c r="I112" s="9"/>
      <c r="J112" s="9"/>
      <c r="K112" s="9"/>
      <c r="L112" s="9"/>
      <c r="M112" s="9"/>
      <c r="N112" s="9"/>
      <c r="O112" s="9"/>
      <c r="P112" s="9"/>
      <c r="Q112" s="9"/>
      <c r="R112" s="9"/>
      <c r="S112" s="9"/>
      <c r="T112" s="9"/>
      <c r="U112" s="9"/>
      <c r="V112" s="9"/>
      <c r="W112" s="9"/>
      <c r="X112" s="9"/>
      <c r="Y112" s="9"/>
      <c r="AA112" s="5"/>
      <c r="AB112" s="9"/>
      <c r="AC112" s="9"/>
      <c r="AD112" s="9"/>
      <c r="AE112" s="9"/>
      <c r="AF112" s="9"/>
      <c r="AG112" s="9"/>
    </row>
    <row r="113" spans="1:33" s="14" customFormat="1">
      <c r="A113" s="29"/>
      <c r="B113" s="9"/>
      <c r="C113" s="9"/>
      <c r="D113" s="16"/>
      <c r="E113" s="9"/>
      <c r="F113" s="9"/>
      <c r="G113" s="9"/>
      <c r="H113" s="9"/>
      <c r="I113" s="9"/>
      <c r="J113" s="9"/>
      <c r="K113" s="9"/>
      <c r="L113" s="9"/>
      <c r="M113" s="9"/>
      <c r="N113" s="9"/>
      <c r="O113" s="9"/>
      <c r="P113" s="9"/>
      <c r="Q113" s="9"/>
      <c r="R113" s="9"/>
      <c r="S113" s="9"/>
      <c r="T113" s="9"/>
      <c r="U113" s="9"/>
      <c r="V113" s="9"/>
      <c r="W113" s="9"/>
      <c r="X113" s="9"/>
      <c r="Y113" s="9"/>
      <c r="AA113" s="5"/>
      <c r="AB113" s="9"/>
      <c r="AC113" s="9"/>
      <c r="AD113" s="9"/>
      <c r="AE113" s="9"/>
      <c r="AF113" s="9"/>
      <c r="AG113" s="9"/>
    </row>
    <row r="114" spans="1:33" s="14" customFormat="1">
      <c r="A114" s="29"/>
      <c r="B114" s="9"/>
      <c r="C114" s="9"/>
      <c r="D114" s="16"/>
      <c r="E114" s="9"/>
      <c r="F114" s="9"/>
      <c r="G114" s="9"/>
      <c r="H114" s="9"/>
      <c r="I114" s="9"/>
      <c r="J114" s="9"/>
      <c r="K114" s="9"/>
      <c r="L114" s="9"/>
      <c r="M114" s="9"/>
      <c r="N114" s="9"/>
      <c r="O114" s="9"/>
      <c r="P114" s="9"/>
      <c r="Q114" s="9"/>
      <c r="R114" s="9"/>
      <c r="S114" s="9"/>
      <c r="T114" s="9"/>
      <c r="U114" s="9"/>
      <c r="V114" s="9"/>
      <c r="W114" s="9"/>
      <c r="X114" s="9"/>
      <c r="Y114" s="9"/>
      <c r="AA114" s="5"/>
      <c r="AB114" s="9"/>
      <c r="AC114" s="9"/>
      <c r="AD114" s="9"/>
      <c r="AE114" s="9"/>
      <c r="AF114" s="9"/>
      <c r="AG114" s="9"/>
    </row>
    <row r="115" spans="1:33" s="14" customFormat="1">
      <c r="A115" s="29"/>
      <c r="B115" s="9"/>
      <c r="C115" s="9"/>
      <c r="D115" s="16"/>
      <c r="E115" s="9"/>
      <c r="F115" s="9"/>
      <c r="G115" s="9"/>
      <c r="H115" s="9"/>
      <c r="I115" s="9"/>
      <c r="J115" s="9"/>
      <c r="K115" s="9"/>
      <c r="L115" s="9"/>
      <c r="M115" s="9"/>
      <c r="N115" s="9"/>
      <c r="O115" s="9"/>
      <c r="P115" s="9"/>
      <c r="Q115" s="9"/>
      <c r="R115" s="9"/>
      <c r="S115" s="9"/>
      <c r="T115" s="9"/>
      <c r="U115" s="9"/>
      <c r="V115" s="9"/>
      <c r="W115" s="9"/>
      <c r="X115" s="9"/>
      <c r="Y115" s="9"/>
      <c r="AA115" s="5"/>
      <c r="AB115" s="9"/>
      <c r="AC115" s="9"/>
      <c r="AD115" s="9"/>
      <c r="AE115" s="9"/>
      <c r="AF115" s="9"/>
      <c r="AG115" s="9"/>
    </row>
    <row r="116" spans="1:33" s="14" customFormat="1">
      <c r="A116" s="29"/>
      <c r="B116" s="9"/>
      <c r="C116" s="9"/>
      <c r="D116" s="16"/>
      <c r="E116" s="9"/>
      <c r="F116" s="9"/>
      <c r="G116" s="9"/>
      <c r="H116" s="9"/>
      <c r="I116" s="9"/>
      <c r="J116" s="9"/>
      <c r="K116" s="9"/>
      <c r="L116" s="9"/>
      <c r="M116" s="9"/>
      <c r="N116" s="9"/>
      <c r="O116" s="9"/>
      <c r="P116" s="9"/>
      <c r="Q116" s="9"/>
      <c r="R116" s="9"/>
      <c r="S116" s="9"/>
      <c r="T116" s="9"/>
      <c r="U116" s="9"/>
      <c r="V116" s="9"/>
      <c r="W116" s="9"/>
      <c r="X116" s="9"/>
      <c r="Y116" s="9"/>
      <c r="AA116" s="5"/>
      <c r="AB116" s="9"/>
      <c r="AC116" s="9"/>
      <c r="AD116" s="9"/>
      <c r="AE116" s="9"/>
      <c r="AF116" s="9"/>
      <c r="AG116" s="9"/>
    </row>
    <row r="117" spans="1:33" s="14" customFormat="1">
      <c r="A117" s="29"/>
      <c r="B117" s="9"/>
      <c r="C117" s="9"/>
      <c r="D117" s="16"/>
      <c r="E117" s="9"/>
      <c r="F117" s="9"/>
      <c r="G117" s="9"/>
      <c r="H117" s="9"/>
      <c r="I117" s="9"/>
      <c r="J117" s="9"/>
      <c r="K117" s="9"/>
      <c r="L117" s="9"/>
      <c r="M117" s="9"/>
      <c r="N117" s="9"/>
      <c r="O117" s="9"/>
      <c r="P117" s="9"/>
      <c r="Q117" s="9"/>
      <c r="R117" s="9"/>
      <c r="S117" s="9"/>
      <c r="T117" s="9"/>
      <c r="U117" s="9"/>
      <c r="V117" s="9"/>
      <c r="W117" s="9"/>
      <c r="X117" s="9"/>
      <c r="Y117" s="9"/>
      <c r="AA117" s="5"/>
      <c r="AB117" s="9"/>
      <c r="AC117" s="9"/>
      <c r="AD117" s="9"/>
      <c r="AE117" s="9"/>
      <c r="AF117" s="9"/>
      <c r="AG117" s="9"/>
    </row>
    <row r="118" spans="1:33" s="14" customFormat="1">
      <c r="A118" s="29"/>
      <c r="B118" s="9"/>
      <c r="C118" s="9"/>
      <c r="D118" s="16"/>
      <c r="E118" s="9"/>
      <c r="F118" s="9"/>
      <c r="G118" s="9"/>
      <c r="H118" s="9"/>
      <c r="I118" s="9"/>
      <c r="J118" s="9"/>
      <c r="K118" s="9"/>
      <c r="L118" s="9"/>
      <c r="M118" s="9"/>
      <c r="N118" s="9"/>
      <c r="O118" s="9"/>
      <c r="P118" s="9"/>
      <c r="Q118" s="9"/>
      <c r="R118" s="9"/>
      <c r="S118" s="9"/>
      <c r="T118" s="9"/>
      <c r="U118" s="9"/>
      <c r="V118" s="9"/>
      <c r="W118" s="9"/>
      <c r="X118" s="9"/>
      <c r="Y118" s="9"/>
      <c r="AA118" s="5"/>
      <c r="AB118" s="9"/>
      <c r="AC118" s="9"/>
      <c r="AD118" s="9"/>
      <c r="AE118" s="9"/>
      <c r="AF118" s="9"/>
      <c r="AG118" s="9"/>
    </row>
    <row r="119" spans="1:33" s="14" customFormat="1">
      <c r="A119" s="29"/>
      <c r="B119" s="9"/>
      <c r="C119" s="9"/>
      <c r="D119" s="16"/>
      <c r="E119" s="9"/>
      <c r="F119" s="9"/>
      <c r="G119" s="9"/>
      <c r="H119" s="9"/>
      <c r="I119" s="9"/>
      <c r="J119" s="9"/>
      <c r="K119" s="9"/>
      <c r="L119" s="9"/>
      <c r="M119" s="9"/>
      <c r="N119" s="9"/>
      <c r="O119" s="9"/>
      <c r="P119" s="9"/>
      <c r="Q119" s="9"/>
      <c r="R119" s="9"/>
      <c r="S119" s="9"/>
      <c r="T119" s="9"/>
      <c r="U119" s="9"/>
      <c r="V119" s="9"/>
      <c r="W119" s="9"/>
      <c r="X119" s="9"/>
      <c r="Y119" s="9"/>
      <c r="AA119" s="5"/>
      <c r="AB119" s="9"/>
      <c r="AC119" s="9"/>
      <c r="AD119" s="9"/>
      <c r="AE119" s="9"/>
      <c r="AF119" s="9"/>
      <c r="AG119" s="9"/>
    </row>
    <row r="120" spans="1:33" s="14" customFormat="1">
      <c r="A120" s="29"/>
      <c r="B120" s="9"/>
      <c r="C120" s="9"/>
      <c r="D120" s="16"/>
      <c r="E120" s="9"/>
      <c r="F120" s="9"/>
      <c r="G120" s="9"/>
      <c r="H120" s="9"/>
      <c r="I120" s="9"/>
      <c r="J120" s="9"/>
      <c r="K120" s="9"/>
      <c r="L120" s="9"/>
      <c r="M120" s="9"/>
      <c r="N120" s="9"/>
      <c r="O120" s="9"/>
      <c r="P120" s="9"/>
      <c r="Q120" s="9"/>
      <c r="R120" s="9"/>
      <c r="S120" s="9"/>
      <c r="T120" s="9"/>
      <c r="U120" s="9"/>
      <c r="V120" s="9"/>
      <c r="W120" s="9"/>
      <c r="X120" s="9"/>
      <c r="Y120" s="9"/>
      <c r="AA120" s="5"/>
      <c r="AB120" s="9"/>
      <c r="AC120" s="9"/>
      <c r="AD120" s="9"/>
      <c r="AE120" s="9"/>
      <c r="AF120" s="9"/>
      <c r="AG120" s="9"/>
    </row>
    <row r="121" spans="1:33" s="14" customFormat="1">
      <c r="A121" s="29"/>
      <c r="B121" s="9"/>
      <c r="C121" s="9"/>
      <c r="D121" s="16"/>
      <c r="E121" s="9"/>
      <c r="F121" s="9"/>
      <c r="G121" s="9"/>
      <c r="H121" s="9"/>
      <c r="I121" s="9"/>
      <c r="J121" s="9"/>
      <c r="K121" s="9"/>
      <c r="L121" s="9"/>
      <c r="M121" s="9"/>
      <c r="N121" s="9"/>
      <c r="O121" s="9"/>
      <c r="P121" s="9"/>
      <c r="Q121" s="9"/>
      <c r="R121" s="9"/>
      <c r="S121" s="9"/>
      <c r="T121" s="9"/>
      <c r="U121" s="9"/>
      <c r="V121" s="9"/>
      <c r="W121" s="9"/>
      <c r="X121" s="9"/>
      <c r="Y121" s="9"/>
      <c r="AA121" s="5"/>
      <c r="AB121" s="9"/>
      <c r="AC121" s="9"/>
      <c r="AD121" s="9"/>
      <c r="AE121" s="9"/>
      <c r="AF121" s="9"/>
      <c r="AG121" s="9"/>
    </row>
    <row r="122" spans="1:33" s="14" customFormat="1">
      <c r="A122" s="29"/>
      <c r="B122" s="9"/>
      <c r="C122" s="9"/>
      <c r="D122" s="16"/>
      <c r="E122" s="9"/>
      <c r="F122" s="9"/>
      <c r="G122" s="9"/>
      <c r="H122" s="9"/>
      <c r="I122" s="9"/>
      <c r="J122" s="9"/>
      <c r="K122" s="9"/>
      <c r="L122" s="9"/>
      <c r="M122" s="9"/>
      <c r="N122" s="9"/>
      <c r="O122" s="9"/>
      <c r="P122" s="9"/>
      <c r="Q122" s="9"/>
      <c r="R122" s="9"/>
      <c r="S122" s="9"/>
      <c r="T122" s="9"/>
      <c r="U122" s="9"/>
      <c r="V122" s="9"/>
      <c r="W122" s="9"/>
      <c r="X122" s="9"/>
      <c r="Y122" s="9"/>
      <c r="AA122" s="5"/>
      <c r="AB122" s="9"/>
      <c r="AC122" s="9"/>
      <c r="AD122" s="9"/>
      <c r="AE122" s="9"/>
      <c r="AF122" s="9"/>
      <c r="AG122" s="9"/>
    </row>
    <row r="123" spans="1:33" s="14" customFormat="1">
      <c r="A123" s="29"/>
      <c r="B123" s="9"/>
      <c r="C123" s="9"/>
      <c r="D123" s="16"/>
      <c r="E123" s="9"/>
      <c r="F123" s="9"/>
      <c r="G123" s="9"/>
      <c r="H123" s="9"/>
      <c r="I123" s="9"/>
      <c r="J123" s="9"/>
      <c r="K123" s="9"/>
      <c r="L123" s="9"/>
      <c r="M123" s="9"/>
      <c r="N123" s="9"/>
      <c r="O123" s="9"/>
      <c r="P123" s="9"/>
      <c r="Q123" s="9"/>
      <c r="R123" s="9"/>
      <c r="S123" s="9"/>
      <c r="T123" s="9"/>
      <c r="U123" s="9"/>
      <c r="V123" s="9"/>
      <c r="W123" s="9"/>
      <c r="X123" s="9"/>
      <c r="Y123" s="9"/>
      <c r="AA123" s="5"/>
      <c r="AB123" s="9"/>
      <c r="AC123" s="9"/>
      <c r="AD123" s="9"/>
      <c r="AE123" s="9"/>
      <c r="AF123" s="9"/>
      <c r="AG123" s="9"/>
    </row>
    <row r="124" spans="1:33" s="14" customFormat="1">
      <c r="A124" s="29"/>
      <c r="B124" s="9"/>
      <c r="C124" s="9"/>
      <c r="D124" s="16"/>
      <c r="E124" s="9"/>
      <c r="F124" s="9"/>
      <c r="G124" s="9"/>
      <c r="H124" s="9"/>
      <c r="I124" s="9"/>
      <c r="J124" s="9"/>
      <c r="K124" s="9"/>
      <c r="L124" s="9"/>
      <c r="M124" s="9"/>
      <c r="N124" s="9"/>
      <c r="O124" s="9"/>
      <c r="P124" s="9"/>
      <c r="Q124" s="9"/>
      <c r="R124" s="9"/>
      <c r="S124" s="9"/>
      <c r="T124" s="9"/>
      <c r="U124" s="9"/>
      <c r="V124" s="9"/>
      <c r="W124" s="9"/>
      <c r="X124" s="9"/>
      <c r="Y124" s="9"/>
      <c r="AA124" s="5"/>
      <c r="AB124" s="9"/>
      <c r="AC124" s="9"/>
      <c r="AD124" s="9"/>
      <c r="AE124" s="9"/>
      <c r="AF124" s="9"/>
      <c r="AG124" s="9"/>
    </row>
    <row r="125" spans="1:33" s="14" customFormat="1">
      <c r="A125" s="29"/>
      <c r="B125" s="9"/>
      <c r="C125" s="9"/>
      <c r="D125" s="16"/>
      <c r="E125" s="9"/>
      <c r="F125" s="9"/>
      <c r="G125" s="9"/>
      <c r="H125" s="9"/>
      <c r="I125" s="9"/>
      <c r="J125" s="9"/>
      <c r="K125" s="9"/>
      <c r="L125" s="9"/>
      <c r="M125" s="9"/>
      <c r="N125" s="9"/>
      <c r="O125" s="9"/>
      <c r="P125" s="9"/>
      <c r="Q125" s="9"/>
      <c r="R125" s="9"/>
      <c r="S125" s="9"/>
      <c r="T125" s="9"/>
      <c r="U125" s="9"/>
      <c r="V125" s="9"/>
      <c r="W125" s="9"/>
      <c r="X125" s="9"/>
      <c r="Y125" s="9"/>
      <c r="AA125" s="5"/>
      <c r="AB125" s="9"/>
      <c r="AC125" s="9"/>
      <c r="AD125" s="9"/>
      <c r="AE125" s="9"/>
      <c r="AF125" s="9"/>
      <c r="AG125" s="9"/>
    </row>
    <row r="126" spans="1:33" s="14" customFormat="1">
      <c r="A126" s="29"/>
      <c r="B126" s="9"/>
      <c r="C126" s="9"/>
      <c r="D126" s="16"/>
      <c r="E126" s="9"/>
      <c r="F126" s="9"/>
      <c r="G126" s="9"/>
      <c r="H126" s="9"/>
      <c r="I126" s="9"/>
      <c r="J126" s="9"/>
      <c r="K126" s="9"/>
      <c r="L126" s="9"/>
      <c r="M126" s="9"/>
      <c r="N126" s="9"/>
      <c r="O126" s="9"/>
      <c r="P126" s="9"/>
      <c r="Q126" s="9"/>
      <c r="R126" s="9"/>
      <c r="S126" s="9"/>
      <c r="T126" s="9"/>
      <c r="U126" s="9"/>
      <c r="V126" s="9"/>
      <c r="W126" s="9"/>
      <c r="X126" s="9"/>
      <c r="Y126" s="9"/>
      <c r="AA126" s="5"/>
      <c r="AB126" s="9"/>
      <c r="AC126" s="9"/>
      <c r="AD126" s="9"/>
      <c r="AE126" s="9"/>
      <c r="AF126" s="9"/>
      <c r="AG126" s="9"/>
    </row>
    <row r="127" spans="1:33" s="14" customFormat="1">
      <c r="A127" s="29"/>
      <c r="B127" s="9"/>
      <c r="C127" s="9"/>
      <c r="D127" s="16"/>
      <c r="E127" s="9"/>
      <c r="F127" s="9"/>
      <c r="G127" s="9"/>
      <c r="H127" s="9"/>
      <c r="I127" s="9"/>
      <c r="J127" s="9"/>
      <c r="K127" s="9"/>
      <c r="L127" s="9"/>
      <c r="M127" s="9"/>
      <c r="N127" s="9"/>
      <c r="O127" s="9"/>
      <c r="P127" s="9"/>
      <c r="Q127" s="9"/>
      <c r="R127" s="9"/>
      <c r="S127" s="9"/>
      <c r="T127" s="9"/>
      <c r="U127" s="9"/>
      <c r="V127" s="9"/>
      <c r="W127" s="9"/>
      <c r="X127" s="9"/>
      <c r="Y127" s="9"/>
      <c r="AA127" s="5"/>
      <c r="AB127" s="9"/>
      <c r="AC127" s="9"/>
      <c r="AD127" s="9"/>
      <c r="AE127" s="9"/>
      <c r="AF127" s="9"/>
      <c r="AG127" s="9"/>
    </row>
    <row r="128" spans="1:33" s="14" customFormat="1">
      <c r="A128" s="29"/>
      <c r="B128" s="9"/>
      <c r="C128" s="9"/>
      <c r="D128" s="16"/>
      <c r="E128" s="9"/>
      <c r="F128" s="9"/>
      <c r="G128" s="9"/>
      <c r="H128" s="9"/>
      <c r="I128" s="9"/>
      <c r="J128" s="9"/>
      <c r="K128" s="9"/>
      <c r="L128" s="9"/>
      <c r="M128" s="9"/>
      <c r="N128" s="9"/>
      <c r="O128" s="9"/>
      <c r="P128" s="9"/>
      <c r="Q128" s="9"/>
      <c r="R128" s="9"/>
      <c r="S128" s="9"/>
      <c r="T128" s="9"/>
      <c r="U128" s="9"/>
      <c r="V128" s="9"/>
      <c r="W128" s="9"/>
      <c r="X128" s="9"/>
      <c r="Y128" s="9"/>
      <c r="AA128" s="5"/>
      <c r="AB128" s="9"/>
      <c r="AC128" s="9"/>
      <c r="AD128" s="9"/>
      <c r="AE128" s="9"/>
      <c r="AF128" s="9"/>
      <c r="AG128" s="9"/>
    </row>
    <row r="129" spans="1:33" s="14" customFormat="1">
      <c r="A129" s="29"/>
      <c r="B129" s="9"/>
      <c r="C129" s="9"/>
      <c r="D129" s="16"/>
      <c r="E129" s="9"/>
      <c r="F129" s="9"/>
      <c r="G129" s="9"/>
      <c r="H129" s="9"/>
      <c r="I129" s="9"/>
      <c r="J129" s="9"/>
      <c r="K129" s="9"/>
      <c r="L129" s="9"/>
      <c r="M129" s="9"/>
      <c r="N129" s="9"/>
      <c r="O129" s="9"/>
      <c r="P129" s="9"/>
      <c r="Q129" s="9"/>
      <c r="R129" s="9"/>
      <c r="S129" s="9"/>
      <c r="T129" s="9"/>
      <c r="U129" s="9"/>
      <c r="V129" s="9"/>
      <c r="W129" s="9"/>
      <c r="X129" s="9"/>
      <c r="Y129" s="9"/>
      <c r="AA129" s="5"/>
      <c r="AB129" s="9"/>
      <c r="AC129" s="9"/>
      <c r="AD129" s="9"/>
      <c r="AE129" s="9"/>
      <c r="AF129" s="9"/>
      <c r="AG129" s="9"/>
    </row>
    <row r="130" spans="1:33" s="14" customFormat="1">
      <c r="A130" s="29"/>
      <c r="B130" s="9"/>
      <c r="C130" s="9"/>
      <c r="D130" s="16"/>
      <c r="E130" s="9"/>
      <c r="F130" s="9"/>
      <c r="G130" s="9"/>
      <c r="H130" s="9"/>
      <c r="I130" s="9"/>
      <c r="J130" s="9"/>
      <c r="K130" s="9"/>
      <c r="L130" s="9"/>
      <c r="M130" s="9"/>
      <c r="N130" s="9"/>
      <c r="O130" s="9"/>
      <c r="P130" s="9"/>
      <c r="Q130" s="9"/>
      <c r="R130" s="9"/>
      <c r="S130" s="9"/>
      <c r="T130" s="9"/>
      <c r="U130" s="9"/>
      <c r="V130" s="9"/>
      <c r="W130" s="9"/>
      <c r="X130" s="9"/>
      <c r="Y130" s="9"/>
      <c r="AA130" s="5"/>
      <c r="AB130" s="9"/>
      <c r="AC130" s="9"/>
      <c r="AD130" s="9"/>
      <c r="AE130" s="9"/>
      <c r="AF130" s="9"/>
      <c r="AG130" s="9"/>
    </row>
    <row r="131" spans="1:33" s="14" customFormat="1">
      <c r="A131" s="29"/>
      <c r="B131" s="9"/>
      <c r="C131" s="9"/>
      <c r="D131" s="16"/>
      <c r="E131" s="9"/>
      <c r="F131" s="9"/>
      <c r="G131" s="9"/>
      <c r="H131" s="9"/>
      <c r="I131" s="9"/>
      <c r="J131" s="9"/>
      <c r="K131" s="9"/>
      <c r="L131" s="9"/>
      <c r="M131" s="9"/>
      <c r="N131" s="9"/>
      <c r="O131" s="9"/>
      <c r="P131" s="9"/>
      <c r="Q131" s="9"/>
      <c r="R131" s="9"/>
      <c r="S131" s="9"/>
      <c r="T131" s="9"/>
      <c r="U131" s="9"/>
      <c r="V131" s="9"/>
      <c r="W131" s="9"/>
      <c r="X131" s="9"/>
      <c r="Y131" s="9"/>
      <c r="AA131" s="5"/>
      <c r="AB131" s="9"/>
      <c r="AC131" s="9"/>
      <c r="AD131" s="9"/>
      <c r="AE131" s="9"/>
      <c r="AF131" s="9"/>
      <c r="AG131" s="9"/>
    </row>
    <row r="132" spans="1:33" s="14" customFormat="1">
      <c r="A132" s="29"/>
      <c r="B132" s="9"/>
      <c r="C132" s="9"/>
      <c r="D132" s="16"/>
      <c r="E132" s="9"/>
      <c r="F132" s="9"/>
      <c r="G132" s="9"/>
      <c r="H132" s="9"/>
      <c r="I132" s="9"/>
      <c r="J132" s="9"/>
      <c r="K132" s="9"/>
      <c r="L132" s="9"/>
      <c r="M132" s="9"/>
      <c r="N132" s="9"/>
      <c r="O132" s="9"/>
      <c r="P132" s="9"/>
      <c r="Q132" s="9"/>
      <c r="R132" s="9"/>
      <c r="S132" s="9"/>
      <c r="T132" s="9"/>
      <c r="U132" s="9"/>
      <c r="V132" s="9"/>
      <c r="W132" s="9"/>
      <c r="X132" s="9"/>
      <c r="Y132" s="9"/>
      <c r="AA132" s="5"/>
      <c r="AB132" s="9"/>
      <c r="AC132" s="9"/>
      <c r="AD132" s="9"/>
      <c r="AE132" s="9"/>
      <c r="AF132" s="9"/>
      <c r="AG132" s="9"/>
    </row>
    <row r="133" spans="1:33" s="14" customFormat="1">
      <c r="A133" s="29"/>
      <c r="B133" s="9"/>
      <c r="C133" s="9"/>
      <c r="D133" s="16"/>
      <c r="E133" s="9"/>
      <c r="F133" s="9"/>
      <c r="G133" s="9"/>
      <c r="H133" s="9"/>
      <c r="I133" s="9"/>
      <c r="J133" s="9"/>
      <c r="K133" s="9"/>
      <c r="L133" s="9"/>
      <c r="M133" s="9"/>
      <c r="N133" s="9"/>
      <c r="O133" s="9"/>
      <c r="P133" s="9"/>
      <c r="Q133" s="9"/>
      <c r="R133" s="9"/>
      <c r="S133" s="9"/>
      <c r="T133" s="9"/>
      <c r="U133" s="9"/>
      <c r="V133" s="9"/>
      <c r="W133" s="9"/>
      <c r="X133" s="9"/>
      <c r="Y133" s="9"/>
      <c r="AA133" s="5"/>
      <c r="AB133" s="9"/>
      <c r="AC133" s="9"/>
      <c r="AD133" s="9"/>
      <c r="AE133" s="9"/>
      <c r="AF133" s="9"/>
      <c r="AG133" s="9"/>
    </row>
    <row r="134" spans="1:33" s="14" customFormat="1">
      <c r="A134" s="29"/>
      <c r="B134" s="9"/>
      <c r="C134" s="9"/>
      <c r="D134" s="16"/>
      <c r="E134" s="9"/>
      <c r="F134" s="9"/>
      <c r="G134" s="9"/>
      <c r="H134" s="9"/>
      <c r="I134" s="9"/>
      <c r="J134" s="9"/>
      <c r="K134" s="9"/>
      <c r="L134" s="9"/>
      <c r="M134" s="9"/>
      <c r="N134" s="9"/>
      <c r="O134" s="9"/>
      <c r="P134" s="9"/>
      <c r="Q134" s="9"/>
      <c r="R134" s="9"/>
      <c r="S134" s="9"/>
      <c r="T134" s="9"/>
      <c r="U134" s="9"/>
      <c r="V134" s="9"/>
      <c r="W134" s="9"/>
      <c r="X134" s="9"/>
      <c r="Y134" s="9"/>
      <c r="AA134" s="5"/>
      <c r="AB134" s="9"/>
      <c r="AC134" s="9"/>
      <c r="AD134" s="9"/>
      <c r="AE134" s="9"/>
      <c r="AF134" s="9"/>
      <c r="AG134" s="9"/>
    </row>
    <row r="135" spans="1:33" s="14" customFormat="1">
      <c r="A135" s="19"/>
      <c r="B135" s="9"/>
      <c r="C135" s="9"/>
      <c r="D135" s="16"/>
      <c r="E135" s="9"/>
      <c r="F135" s="9"/>
      <c r="G135" s="9"/>
      <c r="H135" s="9"/>
      <c r="I135" s="9"/>
      <c r="J135" s="9"/>
      <c r="K135" s="9"/>
      <c r="L135" s="9"/>
      <c r="M135" s="9"/>
      <c r="N135" s="9"/>
      <c r="O135" s="9"/>
      <c r="P135" s="9"/>
      <c r="Q135" s="9"/>
      <c r="R135" s="9"/>
      <c r="S135" s="9"/>
      <c r="T135" s="9"/>
      <c r="U135" s="9"/>
      <c r="V135" s="9"/>
      <c r="W135" s="9"/>
      <c r="X135" s="9"/>
      <c r="Y135" s="9"/>
      <c r="AA135" s="5"/>
      <c r="AB135" s="9"/>
      <c r="AC135" s="9"/>
      <c r="AD135" s="9"/>
      <c r="AE135" s="9"/>
      <c r="AF135" s="9"/>
      <c r="AG135" s="9"/>
    </row>
    <row r="136" spans="1:33" s="14" customFormat="1">
      <c r="A136" s="19"/>
      <c r="B136" s="9"/>
      <c r="C136" s="9"/>
      <c r="D136" s="16"/>
      <c r="E136" s="9"/>
      <c r="F136" s="9"/>
      <c r="G136" s="9"/>
      <c r="H136" s="9"/>
      <c r="I136" s="9"/>
      <c r="J136" s="9"/>
      <c r="K136" s="9"/>
      <c r="L136" s="9"/>
      <c r="M136" s="9"/>
      <c r="N136" s="9"/>
      <c r="O136" s="9"/>
      <c r="P136" s="9"/>
      <c r="Q136" s="9"/>
      <c r="R136" s="9"/>
      <c r="S136" s="9"/>
      <c r="T136" s="9"/>
      <c r="U136" s="9"/>
      <c r="V136" s="9"/>
      <c r="W136" s="9"/>
      <c r="X136" s="9"/>
      <c r="Y136" s="9"/>
      <c r="AA136" s="5"/>
      <c r="AB136" s="9"/>
      <c r="AC136" s="9"/>
      <c r="AD136" s="9"/>
      <c r="AE136" s="9"/>
      <c r="AF136" s="9"/>
      <c r="AG136" s="9"/>
    </row>
    <row r="137" spans="1:33" s="14" customFormat="1">
      <c r="A137" s="19"/>
      <c r="B137" s="9"/>
      <c r="C137" s="9"/>
      <c r="D137" s="16"/>
      <c r="E137" s="9"/>
      <c r="F137" s="9"/>
      <c r="G137" s="9"/>
      <c r="H137" s="9"/>
      <c r="I137" s="9"/>
      <c r="J137" s="9"/>
      <c r="K137" s="9"/>
      <c r="L137" s="9"/>
      <c r="M137" s="9"/>
      <c r="N137" s="9"/>
      <c r="O137" s="9"/>
      <c r="P137" s="9"/>
      <c r="Q137" s="9"/>
      <c r="R137" s="9"/>
      <c r="S137" s="9"/>
      <c r="T137" s="9"/>
      <c r="U137" s="9"/>
      <c r="V137" s="9"/>
      <c r="W137" s="9"/>
      <c r="X137" s="9"/>
      <c r="Y137" s="9"/>
      <c r="AA137" s="5"/>
      <c r="AB137" s="9"/>
      <c r="AC137" s="9"/>
      <c r="AD137" s="9"/>
      <c r="AE137" s="9"/>
      <c r="AF137" s="9"/>
      <c r="AG137" s="9"/>
    </row>
    <row r="138" spans="1:33" s="14" customFormat="1">
      <c r="A138" s="19"/>
      <c r="B138" s="9"/>
      <c r="C138" s="9"/>
      <c r="D138" s="16"/>
      <c r="E138" s="9"/>
      <c r="F138" s="9"/>
      <c r="G138" s="9"/>
      <c r="H138" s="9"/>
      <c r="I138" s="9"/>
      <c r="J138" s="9"/>
      <c r="K138" s="9"/>
      <c r="L138" s="9"/>
      <c r="M138" s="9"/>
      <c r="N138" s="9"/>
      <c r="O138" s="9"/>
      <c r="P138" s="9"/>
      <c r="Q138" s="9"/>
      <c r="R138" s="9"/>
      <c r="S138" s="9"/>
      <c r="T138" s="9"/>
      <c r="U138" s="9"/>
      <c r="V138" s="9"/>
      <c r="W138" s="9"/>
      <c r="X138" s="9"/>
      <c r="Y138" s="9"/>
      <c r="AA138" s="5"/>
      <c r="AB138" s="9"/>
      <c r="AC138" s="9"/>
      <c r="AD138" s="9"/>
      <c r="AE138" s="9"/>
      <c r="AF138" s="9"/>
      <c r="AG138" s="9"/>
    </row>
    <row r="139" spans="1:33" s="14" customFormat="1">
      <c r="A139" s="19"/>
      <c r="B139" s="9"/>
      <c r="C139" s="9"/>
      <c r="D139" s="16"/>
      <c r="E139" s="9"/>
      <c r="F139" s="9"/>
      <c r="G139" s="9"/>
      <c r="H139" s="9"/>
      <c r="I139" s="9"/>
      <c r="J139" s="9"/>
      <c r="K139" s="9"/>
      <c r="L139" s="9"/>
      <c r="M139" s="9"/>
      <c r="N139" s="9"/>
      <c r="O139" s="9"/>
      <c r="P139" s="9"/>
      <c r="Q139" s="9"/>
      <c r="R139" s="9"/>
      <c r="S139" s="9"/>
      <c r="T139" s="9"/>
      <c r="U139" s="9"/>
      <c r="V139" s="9"/>
      <c r="W139" s="9"/>
      <c r="X139" s="9"/>
      <c r="Y139" s="9"/>
      <c r="AA139" s="5"/>
      <c r="AB139" s="9"/>
      <c r="AC139" s="9"/>
      <c r="AD139" s="9"/>
      <c r="AE139" s="9"/>
      <c r="AF139" s="9"/>
      <c r="AG139" s="9"/>
    </row>
    <row r="140" spans="1:33" s="14" customFormat="1">
      <c r="A140" s="19"/>
      <c r="B140" s="9"/>
      <c r="C140" s="9"/>
      <c r="D140" s="16"/>
      <c r="E140" s="9"/>
      <c r="F140" s="9"/>
      <c r="G140" s="9"/>
      <c r="H140" s="9"/>
      <c r="I140" s="9"/>
      <c r="J140" s="9"/>
      <c r="K140" s="9"/>
      <c r="L140" s="9"/>
      <c r="M140" s="9"/>
      <c r="N140" s="9"/>
      <c r="O140" s="9"/>
      <c r="P140" s="9"/>
      <c r="Q140" s="9"/>
      <c r="R140" s="9"/>
      <c r="S140" s="9"/>
      <c r="T140" s="9"/>
      <c r="U140" s="9"/>
      <c r="V140" s="9"/>
      <c r="W140" s="9"/>
      <c r="X140" s="9"/>
      <c r="Y140" s="9"/>
      <c r="AA140" s="5"/>
      <c r="AB140" s="9"/>
      <c r="AC140" s="9"/>
      <c r="AD140" s="9"/>
      <c r="AE140" s="9"/>
      <c r="AF140" s="9"/>
      <c r="AG140" s="9"/>
    </row>
    <row r="141" spans="1:33" s="14" customFormat="1">
      <c r="A141" s="19"/>
      <c r="B141" s="9"/>
      <c r="C141" s="9"/>
      <c r="D141" s="16"/>
      <c r="E141" s="9"/>
      <c r="F141" s="9"/>
      <c r="G141" s="9"/>
      <c r="H141" s="9"/>
      <c r="I141" s="9"/>
      <c r="J141" s="9"/>
      <c r="K141" s="9"/>
      <c r="L141" s="9"/>
      <c r="M141" s="9"/>
      <c r="N141" s="9"/>
      <c r="O141" s="9"/>
      <c r="P141" s="9"/>
      <c r="Q141" s="9"/>
      <c r="R141" s="9"/>
      <c r="S141" s="9"/>
      <c r="T141" s="9"/>
      <c r="U141" s="9"/>
      <c r="V141" s="9"/>
      <c r="W141" s="9"/>
      <c r="X141" s="9"/>
      <c r="Y141" s="9"/>
      <c r="AA141" s="5"/>
      <c r="AB141" s="9"/>
      <c r="AC141" s="9"/>
      <c r="AD141" s="9"/>
      <c r="AE141" s="9"/>
      <c r="AF141" s="9"/>
      <c r="AG141" s="9"/>
    </row>
    <row r="142" spans="1:33" s="14" customFormat="1">
      <c r="A142" s="19"/>
      <c r="B142" s="9"/>
      <c r="C142" s="9"/>
      <c r="D142" s="16"/>
      <c r="E142" s="9"/>
      <c r="F142" s="9"/>
      <c r="G142" s="9"/>
      <c r="H142" s="9"/>
      <c r="I142" s="9"/>
      <c r="J142" s="9"/>
      <c r="K142" s="9"/>
      <c r="L142" s="9"/>
      <c r="M142" s="9"/>
      <c r="N142" s="9"/>
      <c r="O142" s="9"/>
      <c r="P142" s="9"/>
      <c r="Q142" s="9"/>
      <c r="R142" s="9"/>
      <c r="S142" s="9"/>
      <c r="T142" s="9"/>
      <c r="U142" s="9"/>
      <c r="V142" s="9"/>
      <c r="W142" s="9"/>
      <c r="X142" s="9"/>
      <c r="Y142" s="9"/>
      <c r="AA142" s="5"/>
      <c r="AB142" s="9"/>
      <c r="AC142" s="9"/>
      <c r="AD142" s="9"/>
      <c r="AE142" s="9"/>
      <c r="AF142" s="9"/>
      <c r="AG142" s="9"/>
    </row>
    <row r="143" spans="1:33" s="14" customFormat="1">
      <c r="A143" s="19"/>
      <c r="B143" s="9"/>
      <c r="C143" s="9"/>
      <c r="D143" s="16"/>
      <c r="E143" s="9"/>
      <c r="F143" s="9"/>
      <c r="G143" s="9"/>
      <c r="H143" s="9"/>
      <c r="I143" s="9"/>
      <c r="J143" s="9"/>
      <c r="K143" s="9"/>
      <c r="L143" s="9"/>
      <c r="M143" s="9"/>
      <c r="N143" s="9"/>
      <c r="O143" s="9"/>
      <c r="P143" s="9"/>
      <c r="Q143" s="9"/>
      <c r="R143" s="9"/>
      <c r="S143" s="9"/>
      <c r="T143" s="9"/>
      <c r="U143" s="9"/>
      <c r="V143" s="9"/>
      <c r="W143" s="9"/>
      <c r="X143" s="9"/>
      <c r="Y143" s="9"/>
      <c r="AA143" s="5"/>
      <c r="AB143" s="9"/>
      <c r="AC143" s="9"/>
      <c r="AD143" s="9"/>
      <c r="AE143" s="9"/>
      <c r="AF143" s="9"/>
      <c r="AG143" s="9"/>
    </row>
    <row r="144" spans="1:33" s="14" customFormat="1">
      <c r="A144" s="19"/>
      <c r="B144" s="9"/>
      <c r="C144" s="9"/>
      <c r="D144" s="16"/>
      <c r="E144" s="9"/>
      <c r="F144" s="9"/>
      <c r="G144" s="9"/>
      <c r="H144" s="9"/>
      <c r="I144" s="9"/>
      <c r="J144" s="9"/>
      <c r="K144" s="9"/>
      <c r="L144" s="9"/>
      <c r="M144" s="9"/>
      <c r="N144" s="9"/>
      <c r="O144" s="9"/>
      <c r="P144" s="9"/>
      <c r="Q144" s="9"/>
      <c r="R144" s="9"/>
      <c r="S144" s="9"/>
      <c r="T144" s="9"/>
      <c r="U144" s="9"/>
      <c r="V144" s="9"/>
      <c r="W144" s="9"/>
      <c r="X144" s="9"/>
      <c r="Y144" s="9"/>
      <c r="AA144" s="5"/>
      <c r="AB144" s="9"/>
      <c r="AC144" s="9"/>
      <c r="AD144" s="9"/>
      <c r="AE144" s="9"/>
      <c r="AF144" s="9"/>
      <c r="AG144" s="9"/>
    </row>
    <row r="145" spans="1:33" s="14" customFormat="1">
      <c r="A145" s="19"/>
      <c r="B145" s="9"/>
      <c r="C145" s="9"/>
      <c r="D145" s="16"/>
      <c r="E145" s="9"/>
      <c r="F145" s="9"/>
      <c r="G145" s="9"/>
      <c r="H145" s="9"/>
      <c r="I145" s="9"/>
      <c r="J145" s="9"/>
      <c r="K145" s="9"/>
      <c r="L145" s="9"/>
      <c r="M145" s="9"/>
      <c r="N145" s="9"/>
      <c r="O145" s="9"/>
      <c r="P145" s="9"/>
      <c r="Q145" s="9"/>
      <c r="R145" s="9"/>
      <c r="S145" s="9"/>
      <c r="T145" s="9"/>
      <c r="U145" s="9"/>
      <c r="V145" s="9"/>
      <c r="W145" s="9"/>
      <c r="X145" s="9"/>
      <c r="Y145" s="9"/>
      <c r="AA145" s="5"/>
      <c r="AB145" s="9"/>
      <c r="AC145" s="9"/>
      <c r="AD145" s="9"/>
      <c r="AE145" s="9"/>
      <c r="AF145" s="9"/>
      <c r="AG145" s="9"/>
    </row>
    <row r="146" spans="1:33" s="14" customFormat="1">
      <c r="A146" s="19"/>
      <c r="B146" s="9"/>
      <c r="C146" s="9"/>
      <c r="D146" s="16"/>
      <c r="E146" s="9"/>
      <c r="F146" s="9"/>
      <c r="G146" s="9"/>
      <c r="H146" s="9"/>
      <c r="I146" s="9"/>
      <c r="J146" s="9"/>
      <c r="K146" s="9"/>
      <c r="L146" s="9"/>
      <c r="M146" s="9"/>
      <c r="N146" s="9"/>
      <c r="O146" s="9"/>
      <c r="P146" s="9"/>
      <c r="Q146" s="9"/>
      <c r="R146" s="9"/>
      <c r="S146" s="9"/>
      <c r="T146" s="9"/>
      <c r="U146" s="9"/>
      <c r="V146" s="9"/>
      <c r="W146" s="9"/>
      <c r="X146" s="9"/>
      <c r="Y146" s="9"/>
      <c r="AA146" s="5"/>
      <c r="AB146" s="9"/>
      <c r="AC146" s="9"/>
      <c r="AD146" s="9"/>
      <c r="AE146" s="9"/>
      <c r="AF146" s="9"/>
      <c r="AG146" s="9"/>
    </row>
  </sheetData>
  <sheetProtection formatColumns="0" formatRows="0" insertRows="0" autoFilter="0"/>
  <dataValidations count="1">
    <dataValidation type="list" allowBlank="1" showInputMessage="1" showErrorMessage="1" prompt="Select US Costs or Incountry Costs as appropriate" sqref="B12:C12" xr:uid="{00000000-0002-0000-0B00-000000000000}">
      <formula1>#REF!</formula1>
    </dataValidation>
  </dataValidations>
  <pageMargins left="0.5" right="0.5" top="0.5" bottom="0.5" header="0" footer="0.25"/>
  <pageSetup scale="45" fitToHeight="0" orientation="landscape" r:id="rId1"/>
  <headerFooter scaleWithDoc="0" alignWithMargins="0">
    <oddFooter>&amp;LUse or disclosure of data contained on this sheet is subject to the restriction on the proprietary statement of this proposal.&amp;RJhpiego, 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X50"/>
  <sheetViews>
    <sheetView workbookViewId="0"/>
  </sheetViews>
  <sheetFormatPr defaultColWidth="8.71875" defaultRowHeight="12.3"/>
  <cols>
    <col min="1" max="1" width="13.5546875" bestFit="1" customWidth="1"/>
    <col min="2" max="2" width="27.44140625" bestFit="1" customWidth="1"/>
    <col min="3" max="3" width="7" bestFit="1" customWidth="1"/>
    <col min="4" max="4" width="38.71875" bestFit="1" customWidth="1"/>
    <col min="5" max="5" width="13.27734375" customWidth="1"/>
    <col min="8" max="8" width="6" bestFit="1" customWidth="1"/>
    <col min="9" max="9" width="6.71875" bestFit="1" customWidth="1"/>
  </cols>
  <sheetData>
    <row r="1" spans="1:24" s="105" customFormat="1" ht="20.100000000000001">
      <c r="A1" s="4" t="str">
        <f>Assumptions!$B$4</f>
        <v>Partners of America</v>
      </c>
      <c r="K1" s="396"/>
      <c r="L1" s="106"/>
      <c r="W1" s="106"/>
      <c r="X1" s="106"/>
    </row>
    <row r="2" spans="1:24" s="105" customFormat="1" ht="15">
      <c r="A2" s="315" t="str">
        <f>CONCATENATE(Assumptions!$B5," ",Assumptions!$C5)</f>
        <v>DONOR: USDOL</v>
      </c>
      <c r="K2" s="396"/>
      <c r="L2" s="106"/>
      <c r="W2" s="106"/>
      <c r="X2" s="106"/>
    </row>
    <row r="3" spans="1:24" s="105" customFormat="1" ht="15">
      <c r="A3" s="315" t="str">
        <f>CONCATENATE(Assumptions!$B6," ",Assumptions!$C6)</f>
        <v>Country: Ecuador</v>
      </c>
      <c r="W3" s="106"/>
      <c r="X3" s="106"/>
    </row>
    <row r="4" spans="1:24" s="105" customFormat="1" ht="15">
      <c r="A4" s="315" t="str">
        <f>CONCATENATE(Assumptions!$B7," ",Assumptions!$C7)</f>
        <v>Program Name: Project to Improve Adherence to International Labor Standards in the Agricultural Sector in Ecuador</v>
      </c>
      <c r="G4" s="426" t="s">
        <v>483</v>
      </c>
      <c r="H4" s="406"/>
      <c r="I4" s="407"/>
      <c r="J4" s="407"/>
      <c r="K4" s="406"/>
      <c r="L4" s="406"/>
      <c r="M4" s="406"/>
      <c r="N4" s="406"/>
      <c r="O4" s="406"/>
      <c r="P4" s="107"/>
      <c r="S4" s="107"/>
      <c r="V4" s="107"/>
      <c r="W4" s="107"/>
      <c r="X4" s="107"/>
    </row>
    <row r="5" spans="1:24" ht="15">
      <c r="A5" s="315" t="str">
        <f>CONCATENATE(Assumptions!$B8," ",Assumptions!$C8)</f>
        <v>Grant Number: FOA-ILAB-23-28</v>
      </c>
      <c r="G5" s="405" t="s">
        <v>484</v>
      </c>
      <c r="H5" s="408"/>
      <c r="I5" s="408"/>
      <c r="J5" s="408"/>
      <c r="K5" s="408"/>
      <c r="L5" s="408"/>
      <c r="M5" s="408"/>
      <c r="N5" s="408"/>
      <c r="O5" s="408"/>
    </row>
    <row r="6" spans="1:24">
      <c r="G6" s="428" t="s">
        <v>485</v>
      </c>
      <c r="H6" s="408"/>
      <c r="I6" s="408"/>
      <c r="J6" s="408"/>
    </row>
    <row r="7" spans="1:24" ht="20.100000000000001">
      <c r="A7" s="2" t="s">
        <v>486</v>
      </c>
    </row>
    <row r="8" spans="1:24" s="1" customFormat="1">
      <c r="A8" s="76"/>
    </row>
    <row r="10" spans="1:24" s="395" customFormat="1" ht="36.9">
      <c r="A10" s="130" t="s">
        <v>344</v>
      </c>
      <c r="B10" s="130" t="s">
        <v>345</v>
      </c>
      <c r="C10" s="130" t="s">
        <v>487</v>
      </c>
      <c r="D10" s="130" t="s">
        <v>346</v>
      </c>
      <c r="E10" s="130" t="s">
        <v>488</v>
      </c>
      <c r="G10" s="399" t="s">
        <v>488</v>
      </c>
      <c r="H10" s="400"/>
      <c r="I10" s="399" t="s">
        <v>489</v>
      </c>
      <c r="J10" s="400"/>
      <c r="K10" s="399" t="s">
        <v>490</v>
      </c>
      <c r="L10" s="400"/>
      <c r="O10" s="427"/>
    </row>
    <row r="11" spans="1:24" s="395" customFormat="1" ht="24.6">
      <c r="A11" s="387" t="s">
        <v>491</v>
      </c>
      <c r="B11" s="387"/>
      <c r="C11" s="387"/>
      <c r="D11" s="387"/>
      <c r="E11" s="387" t="s">
        <v>492</v>
      </c>
      <c r="F11" s="394"/>
      <c r="G11" s="397" t="s">
        <v>493</v>
      </c>
      <c r="H11" s="398"/>
      <c r="I11" s="401" t="s">
        <v>336</v>
      </c>
      <c r="J11" s="398"/>
      <c r="K11" s="397" t="s">
        <v>493</v>
      </c>
      <c r="L11" s="398"/>
    </row>
    <row r="12" spans="1:24" s="386" customFormat="1" ht="10.199999999999999"/>
    <row r="13" spans="1:24" s="390" customFormat="1" ht="10.5">
      <c r="A13" s="388"/>
      <c r="B13" s="388"/>
      <c r="C13" s="388"/>
      <c r="D13" s="388"/>
      <c r="E13" s="389" t="s">
        <v>494</v>
      </c>
      <c r="F13" s="389" t="s">
        <v>481</v>
      </c>
      <c r="G13" s="404">
        <v>1</v>
      </c>
      <c r="I13" s="390" t="s">
        <v>495</v>
      </c>
      <c r="J13" s="402">
        <v>1</v>
      </c>
      <c r="K13" s="389" t="s">
        <v>496</v>
      </c>
      <c r="L13" s="403">
        <v>12</v>
      </c>
    </row>
    <row r="14" spans="1:24">
      <c r="A14" s="76"/>
      <c r="B14" s="76"/>
      <c r="C14" s="76"/>
      <c r="D14" s="76"/>
    </row>
    <row r="15" spans="1:24" s="386" customFormat="1" ht="10.5">
      <c r="A15" s="385"/>
      <c r="B15" s="385"/>
      <c r="C15" s="385"/>
      <c r="D15" s="385"/>
      <c r="E15" s="385"/>
    </row>
    <row r="16" spans="1:24">
      <c r="A16" s="1" t="s">
        <v>162</v>
      </c>
      <c r="B16" s="1" t="s">
        <v>415</v>
      </c>
      <c r="C16">
        <v>616112</v>
      </c>
      <c r="D16" s="1" t="s">
        <v>497</v>
      </c>
      <c r="E16" s="391"/>
      <c r="F16" s="9" t="s">
        <v>498</v>
      </c>
      <c r="G16" s="423">
        <f>E16/$G$13</f>
        <v>0</v>
      </c>
      <c r="H16" s="9" t="s">
        <v>498</v>
      </c>
      <c r="K16" s="423">
        <f t="shared" ref="K16:K49" si="0">G16/$L$13</f>
        <v>0</v>
      </c>
      <c r="L16" s="392" t="s">
        <v>499</v>
      </c>
    </row>
    <row r="17" spans="1:12">
      <c r="A17" s="1" t="s">
        <v>180</v>
      </c>
      <c r="B17" s="1" t="s">
        <v>180</v>
      </c>
      <c r="C17">
        <v>620112</v>
      </c>
      <c r="D17" s="1" t="s">
        <v>500</v>
      </c>
      <c r="E17" s="391"/>
      <c r="F17" s="9" t="s">
        <v>498</v>
      </c>
      <c r="G17" s="423">
        <f t="shared" ref="G17:G49" si="1">E17/$G$13</f>
        <v>0</v>
      </c>
      <c r="H17" s="9" t="s">
        <v>498</v>
      </c>
      <c r="K17" s="423">
        <f t="shared" si="0"/>
        <v>0</v>
      </c>
      <c r="L17" s="392" t="s">
        <v>499</v>
      </c>
    </row>
    <row r="18" spans="1:12">
      <c r="A18" s="1" t="s">
        <v>184</v>
      </c>
      <c r="B18" s="1" t="s">
        <v>501</v>
      </c>
      <c r="C18">
        <v>652102</v>
      </c>
      <c r="D18" s="393" t="s">
        <v>502</v>
      </c>
      <c r="E18" s="391"/>
      <c r="F18" s="9" t="s">
        <v>498</v>
      </c>
      <c r="G18" s="423">
        <f t="shared" si="1"/>
        <v>0</v>
      </c>
      <c r="H18" s="9" t="s">
        <v>498</v>
      </c>
      <c r="K18" s="423">
        <f t="shared" si="0"/>
        <v>0</v>
      </c>
      <c r="L18" s="392" t="s">
        <v>499</v>
      </c>
    </row>
    <row r="19" spans="1:12">
      <c r="A19" s="1" t="s">
        <v>206</v>
      </c>
      <c r="B19" s="1" t="s">
        <v>358</v>
      </c>
      <c r="C19">
        <v>635001</v>
      </c>
      <c r="D19" s="393" t="s">
        <v>503</v>
      </c>
      <c r="E19" s="391"/>
      <c r="F19" s="9" t="s">
        <v>498</v>
      </c>
      <c r="G19" s="423">
        <f t="shared" si="1"/>
        <v>0</v>
      </c>
      <c r="H19" s="9" t="s">
        <v>498</v>
      </c>
      <c r="K19" s="423">
        <f t="shared" si="0"/>
        <v>0</v>
      </c>
      <c r="L19" s="392" t="s">
        <v>499</v>
      </c>
    </row>
    <row r="20" spans="1:12">
      <c r="B20" s="1" t="s">
        <v>358</v>
      </c>
      <c r="C20">
        <v>635010</v>
      </c>
      <c r="D20" s="393" t="s">
        <v>366</v>
      </c>
      <c r="E20" s="391"/>
      <c r="F20" s="9" t="s">
        <v>498</v>
      </c>
      <c r="G20" s="423">
        <f t="shared" si="1"/>
        <v>0</v>
      </c>
      <c r="H20" s="9" t="s">
        <v>498</v>
      </c>
      <c r="K20" s="423">
        <f t="shared" si="0"/>
        <v>0</v>
      </c>
      <c r="L20" s="392" t="s">
        <v>499</v>
      </c>
    </row>
    <row r="21" spans="1:12">
      <c r="B21" s="1" t="s">
        <v>358</v>
      </c>
      <c r="C21">
        <v>633032</v>
      </c>
      <c r="D21" s="393" t="s">
        <v>504</v>
      </c>
      <c r="E21" s="391"/>
      <c r="F21" s="9" t="s">
        <v>498</v>
      </c>
      <c r="G21" s="423">
        <f t="shared" si="1"/>
        <v>0</v>
      </c>
      <c r="H21" s="9" t="s">
        <v>498</v>
      </c>
      <c r="K21" s="423">
        <f t="shared" si="0"/>
        <v>0</v>
      </c>
      <c r="L21" s="392" t="s">
        <v>499</v>
      </c>
    </row>
    <row r="22" spans="1:12">
      <c r="B22" s="1" t="s">
        <v>358</v>
      </c>
      <c r="C22">
        <v>640282</v>
      </c>
      <c r="D22" s="393" t="s">
        <v>505</v>
      </c>
      <c r="E22" s="391"/>
      <c r="F22" s="9" t="s">
        <v>498</v>
      </c>
      <c r="G22" s="423">
        <f t="shared" si="1"/>
        <v>0</v>
      </c>
      <c r="H22" s="9" t="s">
        <v>498</v>
      </c>
      <c r="K22" s="423">
        <f t="shared" si="0"/>
        <v>0</v>
      </c>
      <c r="L22" s="392" t="s">
        <v>499</v>
      </c>
    </row>
    <row r="23" spans="1:12">
      <c r="A23" s="1" t="s">
        <v>202</v>
      </c>
      <c r="B23" s="1" t="s">
        <v>202</v>
      </c>
      <c r="C23">
        <v>653400</v>
      </c>
      <c r="D23" s="393" t="s">
        <v>429</v>
      </c>
      <c r="E23" s="391"/>
      <c r="F23" s="9" t="s">
        <v>498</v>
      </c>
      <c r="G23" s="423">
        <f t="shared" si="1"/>
        <v>0</v>
      </c>
      <c r="H23" s="9" t="s">
        <v>498</v>
      </c>
      <c r="K23" s="423">
        <f t="shared" si="0"/>
        <v>0</v>
      </c>
      <c r="L23" s="392" t="s">
        <v>499</v>
      </c>
    </row>
    <row r="24" spans="1:12">
      <c r="A24" s="1" t="s">
        <v>212</v>
      </c>
      <c r="B24" s="1" t="s">
        <v>371</v>
      </c>
      <c r="C24">
        <v>640341</v>
      </c>
      <c r="D24" s="393" t="s">
        <v>506</v>
      </c>
      <c r="E24" s="391"/>
      <c r="F24" s="9" t="s">
        <v>498</v>
      </c>
      <c r="G24" s="423">
        <f t="shared" si="1"/>
        <v>0</v>
      </c>
      <c r="H24" s="9" t="s">
        <v>498</v>
      </c>
      <c r="K24" s="423">
        <f t="shared" si="0"/>
        <v>0</v>
      </c>
      <c r="L24" s="392" t="s">
        <v>499</v>
      </c>
    </row>
    <row r="25" spans="1:12">
      <c r="B25" s="1" t="s">
        <v>371</v>
      </c>
      <c r="C25">
        <v>640318</v>
      </c>
      <c r="D25" s="393" t="s">
        <v>507</v>
      </c>
      <c r="E25" s="391"/>
      <c r="F25" s="9" t="s">
        <v>498</v>
      </c>
      <c r="G25" s="423">
        <f t="shared" si="1"/>
        <v>0</v>
      </c>
      <c r="H25" s="9" t="s">
        <v>498</v>
      </c>
      <c r="K25" s="423">
        <f t="shared" si="0"/>
        <v>0</v>
      </c>
      <c r="L25" s="392" t="s">
        <v>499</v>
      </c>
    </row>
    <row r="26" spans="1:12">
      <c r="B26" s="1" t="s">
        <v>371</v>
      </c>
      <c r="C26">
        <v>640361</v>
      </c>
      <c r="D26" s="393" t="s">
        <v>508</v>
      </c>
      <c r="E26" s="391"/>
      <c r="F26" s="9" t="s">
        <v>498</v>
      </c>
      <c r="G26" s="423">
        <f t="shared" si="1"/>
        <v>0</v>
      </c>
      <c r="H26" s="9" t="s">
        <v>498</v>
      </c>
      <c r="K26" s="423">
        <f t="shared" si="0"/>
        <v>0</v>
      </c>
      <c r="L26" s="392" t="s">
        <v>499</v>
      </c>
    </row>
    <row r="27" spans="1:12">
      <c r="B27" s="1" t="s">
        <v>371</v>
      </c>
      <c r="C27">
        <v>640351</v>
      </c>
      <c r="D27" s="393" t="s">
        <v>509</v>
      </c>
      <c r="E27" s="391"/>
      <c r="F27" s="9" t="s">
        <v>498</v>
      </c>
      <c r="G27" s="423">
        <f t="shared" si="1"/>
        <v>0</v>
      </c>
      <c r="H27" s="9" t="s">
        <v>498</v>
      </c>
      <c r="K27" s="423">
        <f t="shared" si="0"/>
        <v>0</v>
      </c>
      <c r="L27" s="392" t="s">
        <v>499</v>
      </c>
    </row>
    <row r="28" spans="1:12">
      <c r="B28" s="1" t="s">
        <v>371</v>
      </c>
      <c r="C28">
        <v>640205</v>
      </c>
      <c r="D28" s="393" t="s">
        <v>510</v>
      </c>
      <c r="E28" s="391"/>
      <c r="F28" s="9" t="s">
        <v>498</v>
      </c>
      <c r="G28" s="423">
        <f t="shared" si="1"/>
        <v>0</v>
      </c>
      <c r="H28" s="9" t="s">
        <v>498</v>
      </c>
      <c r="K28" s="423">
        <f t="shared" si="0"/>
        <v>0</v>
      </c>
      <c r="L28" s="392" t="s">
        <v>499</v>
      </c>
    </row>
    <row r="29" spans="1:12">
      <c r="B29" s="1" t="s">
        <v>371</v>
      </c>
      <c r="C29">
        <v>642501</v>
      </c>
      <c r="D29" s="393" t="s">
        <v>511</v>
      </c>
      <c r="E29" s="391"/>
      <c r="F29" s="9" t="s">
        <v>498</v>
      </c>
      <c r="G29" s="423">
        <f t="shared" si="1"/>
        <v>0</v>
      </c>
      <c r="H29" s="9" t="s">
        <v>498</v>
      </c>
      <c r="K29" s="423">
        <f t="shared" si="0"/>
        <v>0</v>
      </c>
      <c r="L29" s="392" t="s">
        <v>499</v>
      </c>
    </row>
    <row r="30" spans="1:12">
      <c r="B30" s="1" t="s">
        <v>371</v>
      </c>
      <c r="C30">
        <v>642501</v>
      </c>
      <c r="D30" s="393" t="s">
        <v>512</v>
      </c>
      <c r="E30" s="391"/>
      <c r="F30" s="9" t="s">
        <v>498</v>
      </c>
      <c r="G30" s="423">
        <f t="shared" si="1"/>
        <v>0</v>
      </c>
      <c r="H30" s="9" t="s">
        <v>498</v>
      </c>
      <c r="K30" s="423">
        <f t="shared" si="0"/>
        <v>0</v>
      </c>
      <c r="L30" s="392" t="s">
        <v>499</v>
      </c>
    </row>
    <row r="31" spans="1:12">
      <c r="B31" s="1" t="s">
        <v>371</v>
      </c>
      <c r="C31">
        <v>640318</v>
      </c>
      <c r="D31" s="393" t="s">
        <v>513</v>
      </c>
      <c r="E31" s="391"/>
      <c r="F31" s="9" t="s">
        <v>498</v>
      </c>
      <c r="G31" s="423">
        <f t="shared" si="1"/>
        <v>0</v>
      </c>
      <c r="H31" s="9" t="s">
        <v>498</v>
      </c>
      <c r="K31" s="423">
        <f t="shared" si="0"/>
        <v>0</v>
      </c>
      <c r="L31" s="392" t="s">
        <v>499</v>
      </c>
    </row>
    <row r="32" spans="1:12">
      <c r="B32" s="1" t="s">
        <v>371</v>
      </c>
      <c r="C32">
        <v>640301</v>
      </c>
      <c r="D32" s="393" t="s">
        <v>514</v>
      </c>
      <c r="E32" s="391"/>
      <c r="F32" s="9" t="s">
        <v>498</v>
      </c>
      <c r="G32" s="423">
        <f t="shared" si="1"/>
        <v>0</v>
      </c>
      <c r="H32" s="9" t="s">
        <v>498</v>
      </c>
      <c r="K32" s="423">
        <f t="shared" si="0"/>
        <v>0</v>
      </c>
      <c r="L32" s="392" t="s">
        <v>499</v>
      </c>
    </row>
    <row r="33" spans="1:12">
      <c r="B33" s="1" t="s">
        <v>371</v>
      </c>
      <c r="C33">
        <v>640301</v>
      </c>
      <c r="D33" s="393" t="s">
        <v>515</v>
      </c>
      <c r="E33" s="391"/>
      <c r="F33" s="9" t="s">
        <v>498</v>
      </c>
      <c r="G33" s="423">
        <f t="shared" si="1"/>
        <v>0</v>
      </c>
      <c r="H33" s="9" t="s">
        <v>498</v>
      </c>
      <c r="K33" s="423">
        <f t="shared" si="0"/>
        <v>0</v>
      </c>
      <c r="L33" s="392" t="s">
        <v>499</v>
      </c>
    </row>
    <row r="34" spans="1:12">
      <c r="B34" s="1" t="s">
        <v>371</v>
      </c>
      <c r="C34">
        <v>640321</v>
      </c>
      <c r="D34" s="393" t="s">
        <v>516</v>
      </c>
      <c r="E34" s="391"/>
      <c r="F34" s="9" t="s">
        <v>498</v>
      </c>
      <c r="G34" s="423">
        <f t="shared" si="1"/>
        <v>0</v>
      </c>
      <c r="H34" s="9" t="s">
        <v>498</v>
      </c>
      <c r="K34" s="423">
        <f t="shared" si="0"/>
        <v>0</v>
      </c>
      <c r="L34" s="392" t="s">
        <v>499</v>
      </c>
    </row>
    <row r="35" spans="1:12">
      <c r="B35" s="1" t="s">
        <v>371</v>
      </c>
      <c r="C35">
        <v>642501</v>
      </c>
      <c r="D35" s="393" t="s">
        <v>517</v>
      </c>
      <c r="E35" s="391"/>
      <c r="F35" s="9" t="s">
        <v>498</v>
      </c>
      <c r="G35" s="423">
        <f t="shared" si="1"/>
        <v>0</v>
      </c>
      <c r="H35" s="9" t="s">
        <v>498</v>
      </c>
      <c r="K35" s="423">
        <f t="shared" si="0"/>
        <v>0</v>
      </c>
      <c r="L35" s="392" t="s">
        <v>499</v>
      </c>
    </row>
    <row r="36" spans="1:12">
      <c r="B36" s="1" t="s">
        <v>371</v>
      </c>
      <c r="C36">
        <v>640301</v>
      </c>
      <c r="D36" s="393" t="s">
        <v>518</v>
      </c>
      <c r="E36" s="391"/>
      <c r="F36" s="9" t="s">
        <v>498</v>
      </c>
      <c r="G36" s="423">
        <f t="shared" si="1"/>
        <v>0</v>
      </c>
      <c r="H36" s="9" t="s">
        <v>498</v>
      </c>
      <c r="K36" s="423">
        <f t="shared" si="0"/>
        <v>0</v>
      </c>
      <c r="L36" s="392" t="s">
        <v>499</v>
      </c>
    </row>
    <row r="37" spans="1:12">
      <c r="B37" s="1" t="s">
        <v>371</v>
      </c>
      <c r="C37">
        <v>640455</v>
      </c>
      <c r="D37" s="393" t="s">
        <v>519</v>
      </c>
      <c r="E37" s="391"/>
      <c r="F37" s="9" t="s">
        <v>498</v>
      </c>
      <c r="G37" s="423">
        <f t="shared" si="1"/>
        <v>0</v>
      </c>
      <c r="H37" s="9" t="s">
        <v>498</v>
      </c>
      <c r="K37" s="423">
        <f t="shared" si="0"/>
        <v>0</v>
      </c>
      <c r="L37" s="392" t="s">
        <v>499</v>
      </c>
    </row>
    <row r="38" spans="1:12">
      <c r="A38" s="1" t="s">
        <v>378</v>
      </c>
      <c r="B38" s="1" t="s">
        <v>380</v>
      </c>
      <c r="C38">
        <v>640102</v>
      </c>
      <c r="D38" s="393" t="s">
        <v>520</v>
      </c>
      <c r="E38" s="391"/>
      <c r="F38" s="9" t="s">
        <v>498</v>
      </c>
      <c r="G38" s="423">
        <f t="shared" si="1"/>
        <v>0</v>
      </c>
      <c r="H38" s="9" t="s">
        <v>498</v>
      </c>
      <c r="K38" s="423">
        <f t="shared" si="0"/>
        <v>0</v>
      </c>
      <c r="L38" s="392" t="s">
        <v>499</v>
      </c>
    </row>
    <row r="39" spans="1:12">
      <c r="B39" s="1" t="s">
        <v>380</v>
      </c>
      <c r="C39">
        <v>640102</v>
      </c>
      <c r="D39" s="393" t="s">
        <v>521</v>
      </c>
      <c r="E39" s="391"/>
      <c r="F39" s="9" t="s">
        <v>498</v>
      </c>
      <c r="G39" s="423">
        <f t="shared" si="1"/>
        <v>0</v>
      </c>
      <c r="H39" s="9" t="s">
        <v>498</v>
      </c>
      <c r="K39" s="423">
        <f t="shared" si="0"/>
        <v>0</v>
      </c>
      <c r="L39" s="392" t="s">
        <v>499</v>
      </c>
    </row>
    <row r="40" spans="1:12">
      <c r="B40" s="1" t="s">
        <v>384</v>
      </c>
      <c r="C40">
        <v>651851</v>
      </c>
      <c r="D40" s="393" t="s">
        <v>522</v>
      </c>
      <c r="E40" s="391"/>
      <c r="F40" s="9" t="s">
        <v>498</v>
      </c>
      <c r="G40" s="423">
        <f t="shared" si="1"/>
        <v>0</v>
      </c>
      <c r="H40" s="9" t="s">
        <v>498</v>
      </c>
      <c r="K40" s="423">
        <f t="shared" si="0"/>
        <v>0</v>
      </c>
      <c r="L40" s="392" t="s">
        <v>499</v>
      </c>
    </row>
    <row r="41" spans="1:12">
      <c r="B41" s="1" t="s">
        <v>384</v>
      </c>
      <c r="C41">
        <v>642211</v>
      </c>
      <c r="D41" s="393" t="s">
        <v>523</v>
      </c>
      <c r="E41" s="391"/>
      <c r="F41" s="9" t="s">
        <v>498</v>
      </c>
      <c r="G41" s="423">
        <f t="shared" si="1"/>
        <v>0</v>
      </c>
      <c r="H41" s="9" t="s">
        <v>498</v>
      </c>
      <c r="K41" s="423">
        <f t="shared" si="0"/>
        <v>0</v>
      </c>
      <c r="L41" s="392" t="s">
        <v>499</v>
      </c>
    </row>
    <row r="42" spans="1:12">
      <c r="B42" s="1" t="s">
        <v>384</v>
      </c>
      <c r="C42">
        <v>642002</v>
      </c>
      <c r="D42" s="393" t="s">
        <v>524</v>
      </c>
      <c r="E42" s="391"/>
      <c r="F42" s="9" t="s">
        <v>498</v>
      </c>
      <c r="G42" s="423">
        <f t="shared" si="1"/>
        <v>0</v>
      </c>
      <c r="H42" s="9" t="s">
        <v>498</v>
      </c>
      <c r="K42" s="423">
        <f t="shared" si="0"/>
        <v>0</v>
      </c>
      <c r="L42" s="392" t="s">
        <v>499</v>
      </c>
    </row>
    <row r="43" spans="1:12">
      <c r="B43" s="1" t="s">
        <v>384</v>
      </c>
      <c r="C43">
        <v>640403</v>
      </c>
      <c r="D43" s="393" t="s">
        <v>525</v>
      </c>
      <c r="E43" s="391"/>
      <c r="F43" s="9" t="s">
        <v>498</v>
      </c>
      <c r="G43" s="423">
        <f t="shared" si="1"/>
        <v>0</v>
      </c>
      <c r="H43" s="9" t="s">
        <v>498</v>
      </c>
      <c r="K43" s="423">
        <f t="shared" si="0"/>
        <v>0</v>
      </c>
      <c r="L43" s="392" t="s">
        <v>499</v>
      </c>
    </row>
    <row r="44" spans="1:12">
      <c r="B44" s="1" t="s">
        <v>384</v>
      </c>
      <c r="C44">
        <v>642002</v>
      </c>
      <c r="D44" s="393" t="s">
        <v>526</v>
      </c>
      <c r="E44" s="391"/>
      <c r="F44" s="9" t="s">
        <v>498</v>
      </c>
      <c r="G44" s="423">
        <f t="shared" si="1"/>
        <v>0</v>
      </c>
      <c r="H44" s="9" t="s">
        <v>498</v>
      </c>
      <c r="K44" s="423">
        <f t="shared" si="0"/>
        <v>0</v>
      </c>
      <c r="L44" s="392" t="s">
        <v>499</v>
      </c>
    </row>
    <row r="45" spans="1:12">
      <c r="B45" s="1" t="s">
        <v>382</v>
      </c>
      <c r="C45">
        <v>641402</v>
      </c>
      <c r="D45" s="393" t="s">
        <v>527</v>
      </c>
      <c r="E45" s="391"/>
      <c r="F45" s="9" t="s">
        <v>498</v>
      </c>
      <c r="G45" s="423">
        <f t="shared" si="1"/>
        <v>0</v>
      </c>
      <c r="H45" s="9" t="s">
        <v>498</v>
      </c>
      <c r="K45" s="423">
        <f t="shared" si="0"/>
        <v>0</v>
      </c>
      <c r="L45" s="392" t="s">
        <v>499</v>
      </c>
    </row>
    <row r="46" spans="1:12">
      <c r="B46" s="1" t="s">
        <v>382</v>
      </c>
      <c r="C46">
        <v>641402</v>
      </c>
      <c r="D46" s="393" t="s">
        <v>528</v>
      </c>
      <c r="E46" s="391"/>
      <c r="F46" s="9" t="s">
        <v>498</v>
      </c>
      <c r="G46" s="423">
        <f t="shared" si="1"/>
        <v>0</v>
      </c>
      <c r="H46" s="9" t="s">
        <v>498</v>
      </c>
      <c r="K46" s="423">
        <f t="shared" si="0"/>
        <v>0</v>
      </c>
      <c r="L46" s="392" t="s">
        <v>499</v>
      </c>
    </row>
    <row r="47" spans="1:12">
      <c r="B47" s="1" t="s">
        <v>382</v>
      </c>
      <c r="C47">
        <v>641402</v>
      </c>
      <c r="D47" s="393" t="s">
        <v>529</v>
      </c>
      <c r="E47" s="391"/>
      <c r="F47" s="9" t="s">
        <v>498</v>
      </c>
      <c r="G47" s="423">
        <f t="shared" si="1"/>
        <v>0</v>
      </c>
      <c r="H47" s="9" t="s">
        <v>498</v>
      </c>
      <c r="K47" s="423">
        <f t="shared" si="0"/>
        <v>0</v>
      </c>
      <c r="L47" s="392" t="s">
        <v>499</v>
      </c>
    </row>
    <row r="48" spans="1:12">
      <c r="D48" s="393" t="s">
        <v>530</v>
      </c>
      <c r="E48" s="391"/>
      <c r="F48" s="9" t="s">
        <v>498</v>
      </c>
      <c r="G48" s="423">
        <f t="shared" si="1"/>
        <v>0</v>
      </c>
      <c r="H48" s="9" t="s">
        <v>498</v>
      </c>
      <c r="K48" s="423">
        <f t="shared" si="0"/>
        <v>0</v>
      </c>
      <c r="L48" s="392" t="s">
        <v>499</v>
      </c>
    </row>
    <row r="49" spans="4:12">
      <c r="D49" s="393" t="s">
        <v>530</v>
      </c>
      <c r="E49" s="391"/>
      <c r="F49" s="9" t="s">
        <v>498</v>
      </c>
      <c r="G49" s="423">
        <f t="shared" si="1"/>
        <v>0</v>
      </c>
      <c r="H49" s="9" t="s">
        <v>498</v>
      </c>
      <c r="K49" s="423">
        <f t="shared" si="0"/>
        <v>0</v>
      </c>
      <c r="L49" s="392" t="s">
        <v>499</v>
      </c>
    </row>
    <row r="50" spans="4:12">
      <c r="D50" s="419" t="s">
        <v>71</v>
      </c>
      <c r="E50" s="420">
        <f>SUM(E16:E49)</f>
        <v>0</v>
      </c>
      <c r="F50" s="421" t="s">
        <v>498</v>
      </c>
      <c r="G50" s="424">
        <f>SUM(G16:G49)</f>
        <v>0</v>
      </c>
      <c r="H50" s="421" t="s">
        <v>498</v>
      </c>
      <c r="I50" s="420"/>
      <c r="J50" s="420"/>
      <c r="K50" s="424">
        <f>SUM(K16:K49)</f>
        <v>0</v>
      </c>
      <c r="L50" s="422" t="s">
        <v>531</v>
      </c>
    </row>
  </sheetData>
  <pageMargins left="0.5" right="0.5" top="0.5" bottom="0.5" header="0.25" footer="0.25"/>
  <pageSetup scale="6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theme="8" tint="0.59999389629810485"/>
    <pageSetUpPr fitToPage="1"/>
  </sheetPr>
  <dimension ref="A1:Y295"/>
  <sheetViews>
    <sheetView tabSelected="1" topLeftCell="A7" zoomScale="70" zoomScaleNormal="70" workbookViewId="0">
      <pane ySplit="4" topLeftCell="A11" activePane="bottomLeft" state="frozen"/>
      <selection activeCell="A7" sqref="A7"/>
      <selection pane="bottomLeft" activeCell="A11" sqref="A11:XFD15"/>
    </sheetView>
  </sheetViews>
  <sheetFormatPr defaultColWidth="9.27734375" defaultRowHeight="15.3"/>
  <cols>
    <col min="1" max="1" width="15.94140625" style="590" bestFit="1" customWidth="1"/>
    <col min="2" max="2" width="8.71875" style="590" bestFit="1" customWidth="1"/>
    <col min="3" max="3" width="8.5" style="590" bestFit="1" customWidth="1"/>
    <col min="4" max="4" width="48.109375" style="1118" customWidth="1"/>
    <col min="5" max="5" width="7.83203125" style="590" customWidth="1"/>
    <col min="6" max="6" width="10.83203125" style="590" customWidth="1"/>
    <col min="7" max="7" width="9.71875" style="590" customWidth="1"/>
    <col min="8" max="8" width="10" style="590" customWidth="1"/>
    <col min="9" max="9" width="9.27734375" style="590" customWidth="1"/>
    <col min="10" max="10" width="8.5546875" style="590" customWidth="1"/>
    <col min="11" max="11" width="0.1640625" style="590" customWidth="1"/>
    <col min="12" max="12" width="9.71875" style="590" customWidth="1"/>
    <col min="13" max="13" width="10.27734375" style="590" customWidth="1"/>
    <col min="14" max="14" width="0.5546875" style="590" customWidth="1"/>
    <col min="15" max="15" width="8.5546875" style="590" customWidth="1"/>
    <col min="16" max="16" width="10.27734375" style="590" customWidth="1"/>
    <col min="17" max="17" width="6.5546875" style="590" customWidth="1"/>
    <col min="18" max="18" width="9.71875" style="590" customWidth="1"/>
    <col min="19" max="19" width="10.27734375" style="590" customWidth="1"/>
    <col min="20" max="20" width="6.5546875" style="590" customWidth="1"/>
    <col min="21" max="21" width="8.5546875" style="590" customWidth="1"/>
    <col min="22" max="22" width="10.27734375" style="590" customWidth="1"/>
    <col min="23" max="23" width="11.27734375" style="591" bestFit="1" customWidth="1"/>
    <col min="24" max="16384" width="9.27734375" style="590"/>
  </cols>
  <sheetData>
    <row r="1" spans="1:25" hidden="1">
      <c r="D1" s="1105" t="s">
        <v>2</v>
      </c>
      <c r="E1" s="479"/>
    </row>
    <row r="2" spans="1:25" hidden="1">
      <c r="D2" s="1105" t="s">
        <v>3</v>
      </c>
      <c r="E2" s="479" t="str">
        <f>Assumptions!C5</f>
        <v>USDOL</v>
      </c>
      <c r="W2" s="590"/>
    </row>
    <row r="3" spans="1:25" hidden="1">
      <c r="D3" s="1105" t="s">
        <v>5</v>
      </c>
      <c r="E3" s="479" t="str">
        <f>Assumptions!C6</f>
        <v>Ecuador</v>
      </c>
      <c r="W3" s="590"/>
    </row>
    <row r="4" spans="1:25" hidden="1">
      <c r="D4" s="1105" t="s">
        <v>7</v>
      </c>
      <c r="E4" s="479" t="str">
        <f>Assumptions!C7</f>
        <v>Project to Improve Adherence to International Labor Standards in the Agricultural Sector in Ecuador</v>
      </c>
      <c r="I4" s="668"/>
      <c r="W4" s="590"/>
    </row>
    <row r="5" spans="1:25" hidden="1">
      <c r="D5" s="1105" t="s">
        <v>9</v>
      </c>
      <c r="E5" s="479" t="str">
        <f>Assumptions!C8</f>
        <v>FOA-ILAB-23-28</v>
      </c>
      <c r="I5" s="999"/>
      <c r="L5" s="999"/>
      <c r="O5" s="999"/>
      <c r="R5" s="999"/>
      <c r="U5" s="999"/>
      <c r="W5" s="590"/>
    </row>
    <row r="6" spans="1:25" ht="15.6" hidden="1" thickBot="1">
      <c r="D6" s="1105" t="s">
        <v>11</v>
      </c>
      <c r="E6" s="479" t="str">
        <f>Assumptions!C9</f>
        <v>48 months</v>
      </c>
      <c r="F6" s="585"/>
      <c r="G6" s="584"/>
      <c r="I6" s="999"/>
      <c r="L6" s="999"/>
      <c r="O6" s="999"/>
      <c r="R6" s="999"/>
      <c r="U6" s="999"/>
      <c r="W6" s="590"/>
    </row>
    <row r="7" spans="1:25">
      <c r="A7" s="1096" t="s">
        <v>903</v>
      </c>
      <c r="B7" s="1097" t="s">
        <v>904</v>
      </c>
      <c r="C7" s="735"/>
      <c r="D7" s="1105"/>
      <c r="M7" s="999"/>
      <c r="P7" s="999"/>
      <c r="S7" s="999"/>
      <c r="V7" s="999"/>
      <c r="W7" s="999"/>
    </row>
    <row r="8" spans="1:25">
      <c r="A8" s="1098" t="s">
        <v>905</v>
      </c>
      <c r="B8" s="1099">
        <v>20200</v>
      </c>
      <c r="C8" s="735"/>
      <c r="D8" s="1105"/>
      <c r="M8" s="999"/>
      <c r="P8" s="999"/>
      <c r="S8" s="999"/>
      <c r="V8" s="999"/>
      <c r="W8" s="999"/>
    </row>
    <row r="9" spans="1:25" ht="15.6" thickBot="1">
      <c r="A9" s="1100" t="s">
        <v>906</v>
      </c>
      <c r="B9" s="1101" t="s">
        <v>907</v>
      </c>
      <c r="C9" s="735"/>
      <c r="D9" s="1106"/>
      <c r="Y9" s="593"/>
    </row>
    <row r="10" spans="1:25" s="591" customFormat="1" ht="30.3" thickBot="1">
      <c r="A10" s="1014" t="s">
        <v>911</v>
      </c>
      <c r="B10" s="1014" t="s">
        <v>912</v>
      </c>
      <c r="C10" s="1014" t="s">
        <v>913</v>
      </c>
      <c r="D10" s="1107" t="s">
        <v>532</v>
      </c>
      <c r="E10" s="595" t="s">
        <v>335</v>
      </c>
      <c r="F10" s="595"/>
      <c r="G10" s="595" t="s">
        <v>533</v>
      </c>
      <c r="H10" s="595" t="s">
        <v>43</v>
      </c>
      <c r="I10" s="595" t="s">
        <v>534</v>
      </c>
      <c r="J10" s="596"/>
      <c r="K10" s="1135" t="str">
        <f>'Line-Item Budget'!J10</f>
        <v>Year 1</v>
      </c>
      <c r="L10" s="1136"/>
      <c r="M10" s="1137"/>
      <c r="N10" s="1135" t="str">
        <f>'Line-Item Budget'!L10</f>
        <v>Year 2</v>
      </c>
      <c r="O10" s="1136"/>
      <c r="P10" s="1137"/>
      <c r="Q10" s="1135" t="str">
        <f>'Line-Item Budget'!N10</f>
        <v>Year 3</v>
      </c>
      <c r="R10" s="1136"/>
      <c r="S10" s="1137"/>
      <c r="T10" s="1135" t="str">
        <f>'Line-Item Budget'!P10</f>
        <v>Year 4</v>
      </c>
      <c r="U10" s="1136"/>
      <c r="V10" s="1137"/>
      <c r="W10" s="597" t="s">
        <v>71</v>
      </c>
      <c r="Y10" s="593"/>
    </row>
    <row r="11" spans="1:25" s="591" customFormat="1" ht="14.25" customHeight="1" thickBot="1">
      <c r="A11" s="736"/>
      <c r="B11" s="736"/>
      <c r="C11" s="736"/>
      <c r="D11" s="1108"/>
      <c r="E11" s="599"/>
      <c r="F11" s="599"/>
      <c r="G11" s="599"/>
      <c r="H11" s="599"/>
      <c r="I11" s="599"/>
      <c r="J11" s="600"/>
      <c r="K11" s="1138" t="s">
        <v>535</v>
      </c>
      <c r="L11" s="1139"/>
      <c r="M11" s="601" t="s">
        <v>536</v>
      </c>
      <c r="N11" s="1138" t="s">
        <v>535</v>
      </c>
      <c r="O11" s="1139"/>
      <c r="P11" s="601" t="s">
        <v>536</v>
      </c>
      <c r="Q11" s="1138" t="s">
        <v>535</v>
      </c>
      <c r="R11" s="1139"/>
      <c r="S11" s="601" t="s">
        <v>536</v>
      </c>
      <c r="T11" s="1138" t="s">
        <v>535</v>
      </c>
      <c r="U11" s="1139"/>
      <c r="V11" s="601" t="s">
        <v>536</v>
      </c>
      <c r="W11" s="602"/>
      <c r="Y11" s="593"/>
    </row>
    <row r="12" spans="1:25" s="591" customFormat="1" ht="15.9" thickTop="1" thickBot="1">
      <c r="A12" s="1014"/>
      <c r="B12" s="1014"/>
      <c r="C12" s="1014"/>
      <c r="D12" s="603" t="s">
        <v>537</v>
      </c>
      <c r="E12" s="604">
        <v>0.04</v>
      </c>
      <c r="F12" s="605"/>
      <c r="G12" s="605"/>
      <c r="H12" s="605"/>
      <c r="I12" s="605"/>
      <c r="J12" s="606"/>
      <c r="K12" s="607"/>
      <c r="L12" s="607"/>
      <c r="M12" s="608">
        <v>1</v>
      </c>
      <c r="N12" s="607"/>
      <c r="O12" s="607"/>
      <c r="P12" s="608">
        <f>$M$12*SUM(1+$E$12)</f>
        <v>1.04</v>
      </c>
      <c r="Q12" s="607"/>
      <c r="R12" s="607"/>
      <c r="S12" s="608">
        <f>$P$12*SUM(1+$E$12)</f>
        <v>1.0816000000000001</v>
      </c>
      <c r="T12" s="607"/>
      <c r="U12" s="607"/>
      <c r="V12" s="608">
        <f>$S$12*SUM(1+$E$12)</f>
        <v>1.1248640000000001</v>
      </c>
      <c r="W12" s="609"/>
      <c r="Y12" s="593"/>
    </row>
    <row r="13" spans="1:25" ht="15.6" thickBot="1">
      <c r="D13" s="1103" t="s">
        <v>538</v>
      </c>
      <c r="E13" s="610"/>
      <c r="F13" s="610"/>
      <c r="G13" s="610"/>
      <c r="H13" s="610"/>
      <c r="I13" s="610"/>
      <c r="J13" s="610"/>
      <c r="K13" s="610"/>
      <c r="L13" s="610"/>
      <c r="M13" s="610"/>
      <c r="N13" s="610"/>
      <c r="O13" s="610"/>
      <c r="P13" s="610"/>
      <c r="Q13" s="610"/>
      <c r="R13" s="610"/>
      <c r="S13" s="610"/>
      <c r="T13" s="610"/>
      <c r="U13" s="610"/>
      <c r="V13" s="610"/>
      <c r="W13" s="611"/>
      <c r="Y13" s="593"/>
    </row>
    <row r="14" spans="1:25" ht="30.3" thickBot="1">
      <c r="A14" s="1014" t="s">
        <v>911</v>
      </c>
      <c r="B14" s="1014" t="s">
        <v>912</v>
      </c>
      <c r="C14" s="1014" t="s">
        <v>913</v>
      </c>
      <c r="D14" s="1109"/>
      <c r="E14" s="612"/>
      <c r="F14" s="612"/>
      <c r="G14" s="612"/>
      <c r="H14" s="612"/>
      <c r="I14" s="612"/>
      <c r="J14" s="612"/>
      <c r="K14" s="612"/>
      <c r="L14" s="612"/>
      <c r="M14" s="612"/>
      <c r="N14" s="612"/>
      <c r="O14" s="612"/>
      <c r="P14" s="612"/>
      <c r="Q14" s="612"/>
      <c r="R14" s="612"/>
      <c r="S14" s="612"/>
      <c r="T14" s="612"/>
      <c r="U14" s="612"/>
      <c r="V14" s="612"/>
      <c r="W14" s="613"/>
      <c r="Y14" s="593"/>
    </row>
    <row r="15" spans="1:25" ht="48" customHeight="1" thickTop="1" thickBot="1">
      <c r="A15" s="1102"/>
      <c r="B15" s="1102"/>
      <c r="C15" s="1102"/>
      <c r="D15" s="1148" t="s">
        <v>240</v>
      </c>
      <c r="E15" s="1149"/>
      <c r="F15" s="1149"/>
      <c r="G15" s="1149"/>
      <c r="H15" s="1150"/>
      <c r="I15" s="614">
        <v>1</v>
      </c>
      <c r="J15" s="615"/>
      <c r="K15" s="1151">
        <f>3*6</f>
        <v>18</v>
      </c>
      <c r="L15" s="1152"/>
      <c r="M15" s="616">
        <f>SUM(L17:L21)</f>
        <v>5400</v>
      </c>
      <c r="N15" s="1140">
        <v>0</v>
      </c>
      <c r="O15" s="1141"/>
      <c r="P15" s="617">
        <f>SUM(O17:O21)</f>
        <v>0</v>
      </c>
      <c r="Q15" s="1140">
        <v>0</v>
      </c>
      <c r="R15" s="1141"/>
      <c r="S15" s="617">
        <f>SUM(R17:R21)</f>
        <v>0</v>
      </c>
      <c r="T15" s="1142">
        <v>0</v>
      </c>
      <c r="U15" s="1140"/>
      <c r="V15" s="617">
        <f>SUM(U17:U21)</f>
        <v>0</v>
      </c>
      <c r="W15" s="618">
        <f>SUM(M15,P15,S15,V15)</f>
        <v>5400</v>
      </c>
      <c r="Y15" s="593"/>
    </row>
    <row r="16" spans="1:25" ht="15.9" thickTop="1" thickBot="1">
      <c r="A16" s="1102"/>
      <c r="B16" s="1102"/>
      <c r="C16" s="1102"/>
      <c r="D16" s="619" t="s">
        <v>539</v>
      </c>
      <c r="E16" s="620"/>
      <c r="F16" s="620"/>
      <c r="G16" s="620"/>
      <c r="H16" s="621"/>
      <c r="I16" s="620"/>
      <c r="J16" s="620"/>
      <c r="K16" s="622"/>
      <c r="L16" s="620"/>
      <c r="M16" s="621"/>
      <c r="N16" s="622"/>
      <c r="O16" s="620"/>
      <c r="P16" s="623"/>
      <c r="Q16" s="622"/>
      <c r="R16" s="620"/>
      <c r="S16" s="623"/>
      <c r="T16" s="622"/>
      <c r="U16" s="620"/>
      <c r="V16" s="623"/>
      <c r="W16" s="618"/>
      <c r="Y16" s="593"/>
    </row>
    <row r="17" spans="1:25" ht="15.9" hidden="1" thickTop="1" thickBot="1">
      <c r="A17" s="1102"/>
      <c r="B17" s="1102"/>
      <c r="C17" s="1102"/>
      <c r="D17" s="1103" t="s">
        <v>540</v>
      </c>
      <c r="E17" s="626"/>
      <c r="F17" s="627" t="s">
        <v>541</v>
      </c>
      <c r="G17" s="626">
        <f>parttransp</f>
        <v>4</v>
      </c>
      <c r="H17" s="627" t="s">
        <v>542</v>
      </c>
      <c r="I17" s="628">
        <f>IF(E17=0,0,I15)</f>
        <v>0</v>
      </c>
      <c r="J17" s="628">
        <f t="shared" ref="J17:J20" si="0">E17*G17*I17</f>
        <v>0</v>
      </c>
      <c r="K17" s="629"/>
      <c r="L17" s="628">
        <f>$J17*K15*M$12</f>
        <v>0</v>
      </c>
      <c r="N17" s="629"/>
      <c r="O17" s="628">
        <f>$J17*N15*P$12</f>
        <v>0</v>
      </c>
      <c r="P17" s="630"/>
      <c r="Q17" s="629"/>
      <c r="R17" s="628">
        <f>$J17*Q15*S$12</f>
        <v>0</v>
      </c>
      <c r="S17" s="630"/>
      <c r="T17" s="629"/>
      <c r="U17" s="628">
        <f>$J17*T15*V$12</f>
        <v>0</v>
      </c>
      <c r="V17" s="630"/>
      <c r="W17" s="618">
        <f t="shared" ref="W17:W21" si="1">U17+R17+O17+L17</f>
        <v>0</v>
      </c>
      <c r="Y17" s="593"/>
    </row>
    <row r="18" spans="1:25" ht="15.9" hidden="1" thickTop="1" thickBot="1">
      <c r="A18" s="1102"/>
      <c r="B18" s="1102"/>
      <c r="C18" s="1102"/>
      <c r="D18" s="1103" t="s">
        <v>543</v>
      </c>
      <c r="E18" s="626"/>
      <c r="F18" s="627" t="s">
        <v>541</v>
      </c>
      <c r="G18" s="626">
        <f>coffee+lunch</f>
        <v>16</v>
      </c>
      <c r="H18" s="627" t="s">
        <v>542</v>
      </c>
      <c r="I18" s="628">
        <f>IF(E18=0,0,I15)</f>
        <v>0</v>
      </c>
      <c r="J18" s="628">
        <f>E18*G18*I18</f>
        <v>0</v>
      </c>
      <c r="K18" s="629"/>
      <c r="L18" s="628">
        <f>$J18*K15*M$12</f>
        <v>0</v>
      </c>
      <c r="N18" s="629"/>
      <c r="O18" s="628">
        <f>$J18*N15*P$12</f>
        <v>0</v>
      </c>
      <c r="P18" s="630"/>
      <c r="Q18" s="629"/>
      <c r="R18" s="628">
        <f>$J18*Q15*S$12</f>
        <v>0</v>
      </c>
      <c r="S18" s="630"/>
      <c r="T18" s="629"/>
      <c r="U18" s="628">
        <f>$J18*T15*V$12</f>
        <v>0</v>
      </c>
      <c r="V18" s="630"/>
      <c r="W18" s="618">
        <f t="shared" si="1"/>
        <v>0</v>
      </c>
      <c r="Y18" s="593"/>
    </row>
    <row r="19" spans="1:25" ht="15.9" hidden="1" thickTop="1" thickBot="1">
      <c r="A19" s="1102"/>
      <c r="B19" s="1102"/>
      <c r="C19" s="1102"/>
      <c r="D19" s="1103" t="s">
        <v>544</v>
      </c>
      <c r="E19" s="626"/>
      <c r="F19" s="627" t="s">
        <v>545</v>
      </c>
      <c r="G19" s="626">
        <f>print</f>
        <v>50</v>
      </c>
      <c r="H19" s="632" t="str">
        <f>F19</f>
        <v>activity</v>
      </c>
      <c r="I19" s="628">
        <f>IF(E19=0,0,1)</f>
        <v>0</v>
      </c>
      <c r="J19" s="628">
        <f t="shared" si="0"/>
        <v>0</v>
      </c>
      <c r="K19" s="629"/>
      <c r="L19" s="628">
        <f>$J19*K15*M$12</f>
        <v>0</v>
      </c>
      <c r="N19" s="629"/>
      <c r="O19" s="628">
        <f>$J19*N15*P$12</f>
        <v>0</v>
      </c>
      <c r="P19" s="630"/>
      <c r="Q19" s="629"/>
      <c r="R19" s="628">
        <f>$J19*Q15*S$12</f>
        <v>0</v>
      </c>
      <c r="S19" s="630"/>
      <c r="T19" s="629"/>
      <c r="U19" s="628">
        <f>$J19*T15*V$12</f>
        <v>0</v>
      </c>
      <c r="V19" s="630"/>
      <c r="W19" s="618">
        <f t="shared" si="1"/>
        <v>0</v>
      </c>
      <c r="Y19" s="593"/>
    </row>
    <row r="20" spans="1:25" ht="15.6" thickTop="1">
      <c r="A20" s="1102" t="s">
        <v>987</v>
      </c>
      <c r="B20" s="1102">
        <v>81000</v>
      </c>
      <c r="C20" s="1102" t="s">
        <v>910</v>
      </c>
      <c r="D20" s="1103" t="s">
        <v>546</v>
      </c>
      <c r="E20" s="626">
        <v>1</v>
      </c>
      <c r="F20" s="627" t="s">
        <v>541</v>
      </c>
      <c r="G20" s="626">
        <f>localcons</f>
        <v>300</v>
      </c>
      <c r="H20" s="627" t="s">
        <v>542</v>
      </c>
      <c r="I20" s="626">
        <v>1</v>
      </c>
      <c r="J20" s="628">
        <f t="shared" si="0"/>
        <v>300</v>
      </c>
      <c r="K20" s="629"/>
      <c r="L20" s="628">
        <f>$J20*K15*M$12</f>
        <v>5400</v>
      </c>
      <c r="N20" s="629"/>
      <c r="O20" s="628">
        <f>$J20*N15*P$12</f>
        <v>0</v>
      </c>
      <c r="P20" s="630"/>
      <c r="Q20" s="629"/>
      <c r="R20" s="628">
        <f>$J20*Q15*S$12</f>
        <v>0</v>
      </c>
      <c r="S20" s="630"/>
      <c r="T20" s="629"/>
      <c r="U20" s="628">
        <f>$J20*T15*V$12</f>
        <v>0</v>
      </c>
      <c r="V20" s="630"/>
      <c r="W20" s="618">
        <f t="shared" si="1"/>
        <v>5400</v>
      </c>
      <c r="Y20" s="593"/>
    </row>
    <row r="21" spans="1:25" ht="15.6" hidden="1" thickTop="1">
      <c r="A21" s="1102"/>
      <c r="B21" s="1102"/>
      <c r="C21" s="1102"/>
      <c r="D21" s="1103"/>
      <c r="E21" s="628"/>
      <c r="F21" s="628"/>
      <c r="G21" s="628"/>
      <c r="H21" s="628"/>
      <c r="I21" s="628"/>
      <c r="J21" s="628"/>
      <c r="K21" s="629"/>
      <c r="L21" s="628"/>
      <c r="N21" s="629"/>
      <c r="O21" s="628"/>
      <c r="P21" s="630"/>
      <c r="Q21" s="629"/>
      <c r="R21" s="628"/>
      <c r="S21" s="630"/>
      <c r="T21" s="629"/>
      <c r="U21" s="628"/>
      <c r="V21" s="630"/>
      <c r="W21" s="618">
        <f t="shared" si="1"/>
        <v>0</v>
      </c>
      <c r="Y21" s="593"/>
    </row>
    <row r="22" spans="1:25">
      <c r="A22" s="1102"/>
      <c r="B22" s="1102"/>
      <c r="C22" s="1102"/>
      <c r="D22" s="644" t="s">
        <v>547</v>
      </c>
      <c r="E22" s="645"/>
      <c r="F22" s="645"/>
      <c r="G22" s="646"/>
      <c r="H22" s="1146">
        <f>SUM(J16:J21)</f>
        <v>300</v>
      </c>
      <c r="I22" s="1147"/>
      <c r="J22" s="647"/>
      <c r="K22" s="648"/>
      <c r="L22" s="648"/>
      <c r="M22" s="621"/>
      <c r="N22" s="648"/>
      <c r="O22" s="648"/>
      <c r="P22" s="621"/>
      <c r="Q22" s="648"/>
      <c r="R22" s="648"/>
      <c r="S22" s="621"/>
      <c r="T22" s="648"/>
      <c r="U22" s="648"/>
      <c r="V22" s="621"/>
      <c r="W22" s="649"/>
      <c r="Y22" s="593"/>
    </row>
    <row r="23" spans="1:25" ht="13.5" customHeight="1" thickBot="1">
      <c r="A23" s="1102"/>
      <c r="B23" s="1102"/>
      <c r="C23" s="1102"/>
      <c r="D23" s="1110"/>
      <c r="E23" s="650"/>
      <c r="F23" s="650"/>
      <c r="G23" s="650"/>
      <c r="H23" s="650"/>
      <c r="I23" s="650"/>
      <c r="J23" s="612"/>
      <c r="K23" s="612"/>
      <c r="L23" s="612"/>
      <c r="M23" s="612"/>
      <c r="N23" s="612"/>
      <c r="O23" s="612"/>
      <c r="P23" s="612"/>
      <c r="Q23" s="612"/>
      <c r="R23" s="612"/>
      <c r="S23" s="612"/>
      <c r="T23" s="612"/>
      <c r="U23" s="612"/>
      <c r="V23" s="612"/>
      <c r="W23" s="613"/>
      <c r="Y23" s="593"/>
    </row>
    <row r="24" spans="1:25" ht="57.4" customHeight="1" thickTop="1" thickBot="1">
      <c r="A24" s="1102"/>
      <c r="B24" s="1102"/>
      <c r="C24" s="1102"/>
      <c r="D24" s="1143" t="s">
        <v>242</v>
      </c>
      <c r="E24" s="1144"/>
      <c r="F24" s="1144"/>
      <c r="G24" s="1144"/>
      <c r="H24" s="1145"/>
      <c r="I24" s="614">
        <v>1</v>
      </c>
      <c r="J24" s="615"/>
      <c r="K24" s="1151">
        <v>12</v>
      </c>
      <c r="L24" s="1152"/>
      <c r="M24" s="616">
        <f>SUM(L26:L31)</f>
        <v>4800</v>
      </c>
      <c r="N24" s="1140">
        <v>12</v>
      </c>
      <c r="O24" s="1141"/>
      <c r="P24" s="617">
        <f>SUM(O26:O31)</f>
        <v>3744</v>
      </c>
      <c r="Q24" s="1140">
        <v>0</v>
      </c>
      <c r="R24" s="1141"/>
      <c r="S24" s="617">
        <f>SUM(R26:R31)</f>
        <v>0</v>
      </c>
      <c r="T24" s="1142">
        <v>0</v>
      </c>
      <c r="U24" s="1140"/>
      <c r="V24" s="617">
        <f>SUM(U26:U31)</f>
        <v>0</v>
      </c>
      <c r="W24" s="618">
        <f>SUM(M24,P24,S24,V24,)</f>
        <v>8544</v>
      </c>
      <c r="Y24" s="593"/>
    </row>
    <row r="25" spans="1:25" ht="15.9" thickTop="1" thickBot="1">
      <c r="A25" s="1102"/>
      <c r="B25" s="1102"/>
      <c r="C25" s="1102"/>
      <c r="D25" s="619" t="s">
        <v>548</v>
      </c>
      <c r="E25" s="620"/>
      <c r="F25" s="620"/>
      <c r="G25" s="620"/>
      <c r="H25" s="621"/>
      <c r="I25" s="620"/>
      <c r="J25" s="620"/>
      <c r="K25" s="622"/>
      <c r="L25" s="620"/>
      <c r="M25" s="621"/>
      <c r="N25" s="622"/>
      <c r="O25" s="620"/>
      <c r="P25" s="623"/>
      <c r="Q25" s="622"/>
      <c r="R25" s="620"/>
      <c r="S25" s="623"/>
      <c r="T25" s="622"/>
      <c r="U25" s="620"/>
      <c r="V25" s="623"/>
      <c r="W25" s="618"/>
      <c r="Y25" s="593"/>
    </row>
    <row r="26" spans="1:25" ht="15.9" hidden="1" thickTop="1" thickBot="1">
      <c r="A26" s="1102"/>
      <c r="B26" s="1102"/>
      <c r="C26" s="1102"/>
      <c r="D26" s="1103" t="s">
        <v>540</v>
      </c>
      <c r="E26" s="626"/>
      <c r="F26" s="627" t="s">
        <v>541</v>
      </c>
      <c r="G26" s="626">
        <f>parttransp</f>
        <v>4</v>
      </c>
      <c r="H26" s="627" t="s">
        <v>542</v>
      </c>
      <c r="I26" s="628">
        <f>IF(E26=0,0,I24)</f>
        <v>0</v>
      </c>
      <c r="J26" s="628">
        <f t="shared" ref="J26:J30" si="2">E26*G26*I26</f>
        <v>0</v>
      </c>
      <c r="K26" s="629"/>
      <c r="L26" s="628">
        <f>$J26*K24*M$12</f>
        <v>0</v>
      </c>
      <c r="N26" s="629"/>
      <c r="O26" s="628">
        <f>$J26*N24*P$12</f>
        <v>0</v>
      </c>
      <c r="P26" s="630"/>
      <c r="Q26" s="629"/>
      <c r="R26" s="628">
        <f>$J26*Q24*S$12</f>
        <v>0</v>
      </c>
      <c r="S26" s="630"/>
      <c r="T26" s="629"/>
      <c r="U26" s="628">
        <f>$J26*T24*V$12</f>
        <v>0</v>
      </c>
      <c r="V26" s="630"/>
      <c r="W26" s="618">
        <f t="shared" ref="W26:W30" si="3">U26+R26+O26+L26</f>
        <v>0</v>
      </c>
      <c r="Y26" s="593"/>
    </row>
    <row r="27" spans="1:25" ht="15.9" hidden="1" thickTop="1" thickBot="1">
      <c r="A27" s="1102"/>
      <c r="B27" s="1102"/>
      <c r="C27" s="1102"/>
      <c r="D27" s="1103" t="s">
        <v>543</v>
      </c>
      <c r="E27" s="626"/>
      <c r="F27" s="627" t="s">
        <v>541</v>
      </c>
      <c r="G27" s="626">
        <f>coffee+lunch</f>
        <v>16</v>
      </c>
      <c r="H27" s="627" t="s">
        <v>542</v>
      </c>
      <c r="I27" s="628">
        <f>IF(E27=0,0,I24)</f>
        <v>0</v>
      </c>
      <c r="J27" s="628">
        <f t="shared" si="2"/>
        <v>0</v>
      </c>
      <c r="K27" s="629"/>
      <c r="L27" s="628">
        <f>$J27*K24*M$12</f>
        <v>0</v>
      </c>
      <c r="N27" s="629"/>
      <c r="O27" s="628">
        <f>$J27*N24*P$12</f>
        <v>0</v>
      </c>
      <c r="P27" s="630"/>
      <c r="Q27" s="629"/>
      <c r="R27" s="628">
        <f>$J27*Q24*S$12</f>
        <v>0</v>
      </c>
      <c r="S27" s="630"/>
      <c r="T27" s="629"/>
      <c r="U27" s="628">
        <f>$J27*T24*V$12</f>
        <v>0</v>
      </c>
      <c r="V27" s="630"/>
      <c r="W27" s="618">
        <f t="shared" si="3"/>
        <v>0</v>
      </c>
      <c r="Y27" s="593"/>
    </row>
    <row r="28" spans="1:25" ht="15.9" hidden="1" thickTop="1" thickBot="1">
      <c r="A28" s="1102"/>
      <c r="B28" s="1102"/>
      <c r="C28" s="1102"/>
      <c r="D28" s="1103" t="s">
        <v>122</v>
      </c>
      <c r="E28" s="626"/>
      <c r="F28" s="627" t="s">
        <v>549</v>
      </c>
      <c r="G28" s="626">
        <v>25</v>
      </c>
      <c r="H28" s="632" t="str">
        <f>F28</f>
        <v>workshop</v>
      </c>
      <c r="I28" s="628">
        <f>IF(E28=0,0,1)</f>
        <v>0</v>
      </c>
      <c r="J28" s="628">
        <f t="shared" si="2"/>
        <v>0</v>
      </c>
      <c r="K28" s="629"/>
      <c r="L28" s="628">
        <f>$J28*K24*M$12</f>
        <v>0</v>
      </c>
      <c r="N28" s="629"/>
      <c r="O28" s="628">
        <f>$J28*N24*P$12</f>
        <v>0</v>
      </c>
      <c r="P28" s="630"/>
      <c r="Q28" s="629"/>
      <c r="R28" s="628">
        <f>$J28*Q24*S$12</f>
        <v>0</v>
      </c>
      <c r="S28" s="630"/>
      <c r="T28" s="629"/>
      <c r="U28" s="628">
        <f>$J28*T24*V$12</f>
        <v>0</v>
      </c>
      <c r="V28" s="630"/>
      <c r="W28" s="618">
        <f t="shared" si="3"/>
        <v>0</v>
      </c>
      <c r="Y28" s="593"/>
    </row>
    <row r="29" spans="1:25" ht="15.9" thickTop="1" thickBot="1">
      <c r="A29" s="1102" t="s">
        <v>989</v>
      </c>
      <c r="B29" s="1102">
        <v>85300</v>
      </c>
      <c r="C29" s="1102" t="s">
        <v>910</v>
      </c>
      <c r="D29" s="1103" t="s">
        <v>550</v>
      </c>
      <c r="E29" s="626">
        <v>6</v>
      </c>
      <c r="F29" s="627" t="s">
        <v>551</v>
      </c>
      <c r="G29" s="626">
        <v>200</v>
      </c>
      <c r="H29" s="632" t="str">
        <f>F29</f>
        <v>canton</v>
      </c>
      <c r="I29" s="628">
        <f>IF(E29=0,0,1)</f>
        <v>1</v>
      </c>
      <c r="J29" s="628">
        <f t="shared" si="2"/>
        <v>1200</v>
      </c>
      <c r="K29" s="629"/>
      <c r="L29" s="628">
        <f>$J29*M$12</f>
        <v>1200</v>
      </c>
      <c r="N29" s="629"/>
      <c r="O29" s="628"/>
      <c r="P29" s="630"/>
      <c r="Q29" s="629"/>
      <c r="R29" s="628">
        <f>$J29*Q24*S$12</f>
        <v>0</v>
      </c>
      <c r="S29" s="630"/>
      <c r="T29" s="629"/>
      <c r="U29" s="628">
        <f>$J29*T24*V$12</f>
        <v>0</v>
      </c>
      <c r="V29" s="630"/>
      <c r="W29" s="618">
        <f t="shared" si="3"/>
        <v>1200</v>
      </c>
      <c r="Y29" s="593"/>
    </row>
    <row r="30" spans="1:25" ht="15.6" thickTop="1">
      <c r="A30" s="1102" t="s">
        <v>990</v>
      </c>
      <c r="B30" s="1102">
        <v>81000</v>
      </c>
      <c r="C30" s="1102" t="s">
        <v>910</v>
      </c>
      <c r="D30" s="1103" t="s">
        <v>552</v>
      </c>
      <c r="E30" s="626">
        <v>1</v>
      </c>
      <c r="F30" s="627" t="s">
        <v>541</v>
      </c>
      <c r="G30" s="626">
        <f>localcons</f>
        <v>300</v>
      </c>
      <c r="H30" s="627" t="s">
        <v>542</v>
      </c>
      <c r="I30" s="626">
        <v>1</v>
      </c>
      <c r="J30" s="628">
        <f t="shared" si="2"/>
        <v>300</v>
      </c>
      <c r="K30" s="629"/>
      <c r="L30" s="628">
        <f>$J30*K24*M$12</f>
        <v>3600</v>
      </c>
      <c r="N30" s="629"/>
      <c r="O30" s="628">
        <f>$J30*N24*P$12</f>
        <v>3744</v>
      </c>
      <c r="P30" s="630"/>
      <c r="Q30" s="629"/>
      <c r="R30" s="628">
        <f>$J30*Q24*S$12</f>
        <v>0</v>
      </c>
      <c r="S30" s="630"/>
      <c r="T30" s="629"/>
      <c r="U30" s="628">
        <f>$J30*T24*V$12</f>
        <v>0</v>
      </c>
      <c r="V30" s="630"/>
      <c r="W30" s="618">
        <f t="shared" si="3"/>
        <v>7344</v>
      </c>
      <c r="Y30" s="593"/>
    </row>
    <row r="31" spans="1:25" hidden="1">
      <c r="A31" s="1102"/>
      <c r="B31" s="1102"/>
      <c r="C31" s="1102"/>
      <c r="D31" s="1103"/>
      <c r="E31" s="628"/>
      <c r="F31" s="628"/>
      <c r="G31" s="628"/>
      <c r="H31" s="628"/>
      <c r="I31" s="628"/>
      <c r="J31" s="628"/>
      <c r="K31" s="629"/>
      <c r="L31" s="628"/>
      <c r="N31" s="629"/>
      <c r="O31" s="628"/>
      <c r="P31" s="630"/>
      <c r="Q31" s="629"/>
      <c r="R31" s="628"/>
      <c r="S31" s="630"/>
      <c r="T31" s="629"/>
      <c r="U31" s="628"/>
      <c r="V31" s="630"/>
      <c r="W31" s="631"/>
      <c r="Y31" s="593"/>
    </row>
    <row r="32" spans="1:25">
      <c r="A32" s="1102"/>
      <c r="B32" s="1102"/>
      <c r="C32" s="1102"/>
      <c r="D32" s="644" t="s">
        <v>547</v>
      </c>
      <c r="E32" s="645"/>
      <c r="F32" s="645"/>
      <c r="G32" s="646"/>
      <c r="H32" s="1146">
        <f>SUM(J25:J31)</f>
        <v>1500</v>
      </c>
      <c r="I32" s="1147"/>
      <c r="J32" s="647"/>
      <c r="K32" s="648"/>
      <c r="L32" s="648"/>
      <c r="M32" s="621"/>
      <c r="N32" s="648"/>
      <c r="O32" s="648"/>
      <c r="P32" s="621"/>
      <c r="Q32" s="648"/>
      <c r="R32" s="648"/>
      <c r="S32" s="621"/>
      <c r="T32" s="648"/>
      <c r="U32" s="648"/>
      <c r="V32" s="621"/>
      <c r="W32" s="649"/>
      <c r="Y32" s="593"/>
    </row>
    <row r="33" spans="1:25" ht="13.5" customHeight="1" thickBot="1">
      <c r="A33" s="1102"/>
      <c r="B33" s="1102"/>
      <c r="C33" s="1102"/>
      <c r="D33" s="1110"/>
      <c r="E33" s="650"/>
      <c r="F33" s="650"/>
      <c r="G33" s="650"/>
      <c r="H33" s="650"/>
      <c r="I33" s="650"/>
      <c r="J33" s="612"/>
      <c r="K33" s="612"/>
      <c r="L33" s="612"/>
      <c r="M33" s="612"/>
      <c r="N33" s="612"/>
      <c r="O33" s="612"/>
      <c r="P33" s="612"/>
      <c r="Q33" s="612"/>
      <c r="R33" s="612"/>
      <c r="S33" s="612"/>
      <c r="T33" s="612"/>
      <c r="U33" s="612"/>
      <c r="V33" s="612"/>
      <c r="W33" s="613"/>
      <c r="Y33" s="593"/>
    </row>
    <row r="34" spans="1:25" ht="31.5" hidden="1" customHeight="1" thickTop="1" thickBot="1">
      <c r="A34" s="1102"/>
      <c r="B34" s="1102"/>
      <c r="C34" s="1102"/>
      <c r="D34" s="1143" t="s">
        <v>243</v>
      </c>
      <c r="E34" s="1144"/>
      <c r="F34" s="1144"/>
      <c r="G34" s="1144"/>
      <c r="H34" s="1145"/>
      <c r="I34" s="614">
        <v>1</v>
      </c>
      <c r="J34" s="615"/>
      <c r="K34" s="1151"/>
      <c r="L34" s="1152"/>
      <c r="M34" s="616">
        <f>SUM(L36:L39)</f>
        <v>0</v>
      </c>
      <c r="N34" s="1140">
        <f>3*6</f>
        <v>18</v>
      </c>
      <c r="O34" s="1141"/>
      <c r="P34" s="617">
        <f>SUM(O36:O39)</f>
        <v>0</v>
      </c>
      <c r="Q34" s="1140">
        <f>3*6</f>
        <v>18</v>
      </c>
      <c r="R34" s="1141"/>
      <c r="S34" s="617">
        <f>SUM(R36:R39)</f>
        <v>0</v>
      </c>
      <c r="T34" s="1142">
        <f>2*6</f>
        <v>12</v>
      </c>
      <c r="U34" s="1140"/>
      <c r="V34" s="617">
        <f>SUM(U36:U39)</f>
        <v>0</v>
      </c>
      <c r="W34" s="618">
        <f>SUM(M34,P34,S34,V34,)</f>
        <v>0</v>
      </c>
      <c r="Y34" s="593"/>
    </row>
    <row r="35" spans="1:25" ht="15.9" hidden="1" thickTop="1" thickBot="1">
      <c r="A35" s="1102"/>
      <c r="B35" s="1102"/>
      <c r="C35" s="1102"/>
      <c r="D35" s="619" t="s">
        <v>539</v>
      </c>
      <c r="E35" s="620"/>
      <c r="F35" s="620"/>
      <c r="G35" s="620"/>
      <c r="H35" s="621"/>
      <c r="I35" s="620"/>
      <c r="J35" s="620"/>
      <c r="K35" s="622"/>
      <c r="L35" s="620"/>
      <c r="M35" s="621"/>
      <c r="N35" s="622"/>
      <c r="O35" s="620"/>
      <c r="P35" s="623"/>
      <c r="Q35" s="622"/>
      <c r="R35" s="620"/>
      <c r="S35" s="623"/>
      <c r="T35" s="622"/>
      <c r="U35" s="620"/>
      <c r="V35" s="623"/>
      <c r="W35" s="618">
        <f t="shared" ref="W35:W38" si="4">U35+R35+O35+L35</f>
        <v>0</v>
      </c>
      <c r="Y35" s="593"/>
    </row>
    <row r="36" spans="1:25" ht="15.9" hidden="1" thickTop="1" thickBot="1">
      <c r="A36" s="1102"/>
      <c r="B36" s="1102"/>
      <c r="C36" s="1102"/>
      <c r="D36" s="1103" t="s">
        <v>540</v>
      </c>
      <c r="E36" s="626"/>
      <c r="F36" s="627" t="s">
        <v>541</v>
      </c>
      <c r="G36" s="626">
        <f>parttransp</f>
        <v>4</v>
      </c>
      <c r="H36" s="627" t="s">
        <v>542</v>
      </c>
      <c r="I36" s="628">
        <f>IF(E36=0,0,I34)</f>
        <v>0</v>
      </c>
      <c r="J36" s="628">
        <f>E36*G36*I36</f>
        <v>0</v>
      </c>
      <c r="K36" s="629"/>
      <c r="L36" s="628">
        <f>$J36*K34*M$12</f>
        <v>0</v>
      </c>
      <c r="N36" s="629"/>
      <c r="O36" s="628">
        <f>$J36*N34*P$12</f>
        <v>0</v>
      </c>
      <c r="P36" s="630"/>
      <c r="Q36" s="629"/>
      <c r="R36" s="628">
        <f>$J36*Q34*S$12</f>
        <v>0</v>
      </c>
      <c r="S36" s="630"/>
      <c r="T36" s="629"/>
      <c r="U36" s="628">
        <f>$J36*T34*V$12</f>
        <v>0</v>
      </c>
      <c r="V36" s="630"/>
      <c r="W36" s="618">
        <f t="shared" si="4"/>
        <v>0</v>
      </c>
      <c r="Y36" s="593"/>
    </row>
    <row r="37" spans="1:25" ht="15.9" hidden="1" thickTop="1" thickBot="1">
      <c r="A37" s="1102"/>
      <c r="B37" s="1102"/>
      <c r="C37" s="1102"/>
      <c r="D37" s="1103" t="s">
        <v>543</v>
      </c>
      <c r="E37" s="626"/>
      <c r="F37" s="627" t="s">
        <v>541</v>
      </c>
      <c r="G37" s="626">
        <f>coffee+lunch</f>
        <v>16</v>
      </c>
      <c r="H37" s="627" t="s">
        <v>542</v>
      </c>
      <c r="I37" s="628">
        <f>IF(E37=0,0,I34)</f>
        <v>0</v>
      </c>
      <c r="J37" s="628">
        <f>E37*G37*I37</f>
        <v>0</v>
      </c>
      <c r="K37" s="629"/>
      <c r="L37" s="628">
        <f>$J37*K34*M$12</f>
        <v>0</v>
      </c>
      <c r="N37" s="629"/>
      <c r="O37" s="628">
        <f>$J37*N34*P$12</f>
        <v>0</v>
      </c>
      <c r="P37" s="630"/>
      <c r="Q37" s="629"/>
      <c r="R37" s="628">
        <f>$J37*Q34*S$12</f>
        <v>0</v>
      </c>
      <c r="S37" s="630"/>
      <c r="T37" s="629"/>
      <c r="U37" s="628">
        <f>$J37*T34*V$12</f>
        <v>0</v>
      </c>
      <c r="V37" s="630"/>
      <c r="W37" s="618">
        <f t="shared" si="4"/>
        <v>0</v>
      </c>
      <c r="Y37" s="593"/>
    </row>
    <row r="38" spans="1:25" ht="15.6" hidden="1" thickTop="1">
      <c r="A38" s="1102"/>
      <c r="B38" s="1102"/>
      <c r="C38" s="1102"/>
      <c r="D38" s="1103" t="s">
        <v>544</v>
      </c>
      <c r="E38" s="626"/>
      <c r="F38" s="627" t="s">
        <v>545</v>
      </c>
      <c r="G38" s="626">
        <v>15</v>
      </c>
      <c r="H38" s="632" t="str">
        <f>F38</f>
        <v>activity</v>
      </c>
      <c r="I38" s="628">
        <f>IF(E38=0,0,1)</f>
        <v>0</v>
      </c>
      <c r="J38" s="628">
        <f t="shared" ref="J38" si="5">E38*G38*I38</f>
        <v>0</v>
      </c>
      <c r="K38" s="629"/>
      <c r="L38" s="628">
        <f>$J38*K34*M$12</f>
        <v>0</v>
      </c>
      <c r="N38" s="629"/>
      <c r="O38" s="628">
        <f>$J38*N34*P$12</f>
        <v>0</v>
      </c>
      <c r="P38" s="630"/>
      <c r="Q38" s="629"/>
      <c r="R38" s="628">
        <f>$J38*Q34*S$12</f>
        <v>0</v>
      </c>
      <c r="S38" s="630"/>
      <c r="T38" s="629"/>
      <c r="U38" s="628">
        <f>$J38*T34*V$12</f>
        <v>0</v>
      </c>
      <c r="V38" s="630"/>
      <c r="W38" s="618">
        <f t="shared" si="4"/>
        <v>0</v>
      </c>
      <c r="Y38" s="593"/>
    </row>
    <row r="39" spans="1:25" hidden="1">
      <c r="A39" s="1102"/>
      <c r="B39" s="1102"/>
      <c r="C39" s="1102"/>
      <c r="D39" s="1103"/>
      <c r="E39" s="628"/>
      <c r="F39" s="628"/>
      <c r="G39" s="628"/>
      <c r="H39" s="628"/>
      <c r="I39" s="628"/>
      <c r="J39" s="628"/>
      <c r="K39" s="629"/>
      <c r="L39" s="628"/>
      <c r="N39" s="629"/>
      <c r="O39" s="628"/>
      <c r="P39" s="630"/>
      <c r="Q39" s="629"/>
      <c r="R39" s="628"/>
      <c r="S39" s="630"/>
      <c r="T39" s="629"/>
      <c r="U39" s="628"/>
      <c r="V39" s="630"/>
      <c r="W39" s="631"/>
      <c r="Y39" s="593"/>
    </row>
    <row r="40" spans="1:25" hidden="1">
      <c r="A40" s="1102"/>
      <c r="B40" s="1102"/>
      <c r="C40" s="1102"/>
      <c r="D40" s="644" t="s">
        <v>547</v>
      </c>
      <c r="E40" s="645"/>
      <c r="F40" s="645"/>
      <c r="G40" s="646"/>
      <c r="H40" s="1146">
        <f>SUM(J35:J39)</f>
        <v>0</v>
      </c>
      <c r="I40" s="1147"/>
      <c r="J40" s="647"/>
      <c r="K40" s="648"/>
      <c r="L40" s="648"/>
      <c r="M40" s="621"/>
      <c r="N40" s="648"/>
      <c r="O40" s="648"/>
      <c r="P40" s="621"/>
      <c r="Q40" s="648"/>
      <c r="R40" s="648"/>
      <c r="S40" s="621"/>
      <c r="T40" s="648"/>
      <c r="U40" s="648"/>
      <c r="V40" s="621"/>
      <c r="W40" s="649"/>
      <c r="Y40" s="593"/>
    </row>
    <row r="41" spans="1:25" ht="13.5" hidden="1" customHeight="1" thickBot="1">
      <c r="A41" s="1102"/>
      <c r="B41" s="1102"/>
      <c r="C41" s="1102"/>
      <c r="D41" s="1110"/>
      <c r="E41" s="650"/>
      <c r="F41" s="650"/>
      <c r="G41" s="650"/>
      <c r="H41" s="650"/>
      <c r="I41" s="650"/>
      <c r="J41" s="612"/>
      <c r="K41" s="612"/>
      <c r="L41" s="612"/>
      <c r="M41" s="612"/>
      <c r="N41" s="612"/>
      <c r="O41" s="612"/>
      <c r="P41" s="612"/>
      <c r="Q41" s="612"/>
      <c r="R41" s="612"/>
      <c r="S41" s="612"/>
      <c r="T41" s="612"/>
      <c r="U41" s="612"/>
      <c r="V41" s="612"/>
      <c r="W41" s="613"/>
      <c r="Y41" s="593"/>
    </row>
    <row r="42" spans="1:25" ht="51" customHeight="1" thickTop="1" thickBot="1">
      <c r="A42" s="1102"/>
      <c r="B42" s="1102"/>
      <c r="C42" s="1102"/>
      <c r="D42" s="1143" t="s">
        <v>244</v>
      </c>
      <c r="E42" s="1144"/>
      <c r="F42" s="1144"/>
      <c r="G42" s="1144"/>
      <c r="H42" s="1145"/>
      <c r="I42" s="614">
        <v>1</v>
      </c>
      <c r="J42" s="615"/>
      <c r="K42" s="1151"/>
      <c r="L42" s="1152"/>
      <c r="M42" s="616">
        <f>SUM(L44:L46)</f>
        <v>0</v>
      </c>
      <c r="N42" s="1140">
        <v>6</v>
      </c>
      <c r="O42" s="1141"/>
      <c r="P42" s="617">
        <f>SUM(O44:O46)</f>
        <v>2184</v>
      </c>
      <c r="Q42" s="1140">
        <v>6</v>
      </c>
      <c r="R42" s="1141"/>
      <c r="S42" s="617">
        <f>SUM(R44:R46)</f>
        <v>2271.36</v>
      </c>
      <c r="T42" s="1142">
        <v>3</v>
      </c>
      <c r="U42" s="1140"/>
      <c r="V42" s="617">
        <f>SUM(U44:U46)</f>
        <v>1181.1071999999999</v>
      </c>
      <c r="W42" s="618">
        <f>SUM(M42,P42,S42,V42,)</f>
        <v>5636.467200000001</v>
      </c>
      <c r="Y42" s="593"/>
    </row>
    <row r="43" spans="1:25" ht="15.9" thickTop="1" thickBot="1">
      <c r="A43" s="1102"/>
      <c r="B43" s="1102"/>
      <c r="C43" s="1102"/>
      <c r="D43" s="619" t="s">
        <v>539</v>
      </c>
      <c r="E43" s="620"/>
      <c r="F43" s="620"/>
      <c r="G43" s="620"/>
      <c r="H43" s="621"/>
      <c r="I43" s="620"/>
      <c r="J43" s="620"/>
      <c r="K43" s="622"/>
      <c r="L43" s="620"/>
      <c r="M43" s="621"/>
      <c r="N43" s="622"/>
      <c r="O43" s="620"/>
      <c r="P43" s="623"/>
      <c r="Q43" s="622"/>
      <c r="R43" s="620"/>
      <c r="S43" s="623"/>
      <c r="T43" s="622"/>
      <c r="U43" s="620"/>
      <c r="V43" s="623"/>
      <c r="W43" s="618"/>
      <c r="Y43" s="593"/>
    </row>
    <row r="44" spans="1:25" ht="15.9" thickTop="1" thickBot="1">
      <c r="A44" s="1102" t="s">
        <v>991</v>
      </c>
      <c r="B44" s="1102">
        <v>86000</v>
      </c>
      <c r="C44" s="1102" t="s">
        <v>910</v>
      </c>
      <c r="D44" s="1103" t="s">
        <v>553</v>
      </c>
      <c r="E44" s="626">
        <v>15</v>
      </c>
      <c r="F44" s="627" t="s">
        <v>541</v>
      </c>
      <c r="G44" s="626">
        <f>parttransp</f>
        <v>4</v>
      </c>
      <c r="H44" s="627" t="s">
        <v>542</v>
      </c>
      <c r="I44" s="628">
        <f>IF(E44=0,0,I42)</f>
        <v>1</v>
      </c>
      <c r="J44" s="628">
        <f t="shared" ref="J44:J51" si="6">E44*G44*I44</f>
        <v>60</v>
      </c>
      <c r="K44" s="629"/>
      <c r="L44" s="628">
        <f>$J44*K42*M$12</f>
        <v>0</v>
      </c>
      <c r="N44" s="629"/>
      <c r="O44" s="628">
        <f>$J44*N42*P$12</f>
        <v>374.40000000000003</v>
      </c>
      <c r="P44" s="630"/>
      <c r="Q44" s="629"/>
      <c r="R44" s="628">
        <f>$J44*Q42*S$12</f>
        <v>389.37600000000003</v>
      </c>
      <c r="S44" s="630"/>
      <c r="T44" s="629"/>
      <c r="U44" s="628">
        <f>$J44*T42*V$12</f>
        <v>202.47552000000002</v>
      </c>
      <c r="V44" s="630"/>
      <c r="W44" s="618">
        <f t="shared" ref="W44:W58" si="7">U44+R44+O44+L44</f>
        <v>966.25152000000003</v>
      </c>
      <c r="Y44" s="593"/>
    </row>
    <row r="45" spans="1:25" ht="15.9" thickTop="1" thickBot="1">
      <c r="A45" s="1102" t="s">
        <v>992</v>
      </c>
      <c r="B45" s="1102">
        <v>87000</v>
      </c>
      <c r="C45" s="1102" t="s">
        <v>910</v>
      </c>
      <c r="D45" s="1103" t="s">
        <v>543</v>
      </c>
      <c r="E45" s="626">
        <v>15</v>
      </c>
      <c r="F45" s="627" t="s">
        <v>541</v>
      </c>
      <c r="G45" s="626">
        <f>coffee+lunch</f>
        <v>16</v>
      </c>
      <c r="H45" s="627" t="s">
        <v>542</v>
      </c>
      <c r="I45" s="628">
        <f>IF(E45=0,0,I42)</f>
        <v>1</v>
      </c>
      <c r="J45" s="628">
        <f t="shared" si="6"/>
        <v>240</v>
      </c>
      <c r="K45" s="629"/>
      <c r="L45" s="628">
        <f>$J45*K42*M$12</f>
        <v>0</v>
      </c>
      <c r="N45" s="629"/>
      <c r="O45" s="628">
        <f>$J45*N42*P$12</f>
        <v>1497.6000000000001</v>
      </c>
      <c r="P45" s="630"/>
      <c r="Q45" s="629"/>
      <c r="R45" s="628">
        <f>$J45*Q42*S$12</f>
        <v>1557.5040000000001</v>
      </c>
      <c r="S45" s="630"/>
      <c r="T45" s="629"/>
      <c r="U45" s="628">
        <f>$J45*T42*V$12</f>
        <v>809.90208000000007</v>
      </c>
      <c r="V45" s="630"/>
      <c r="W45" s="618">
        <f t="shared" si="7"/>
        <v>3865.0060800000001</v>
      </c>
      <c r="Y45" s="593"/>
    </row>
    <row r="46" spans="1:25" ht="15.9" thickTop="1" thickBot="1">
      <c r="A46" s="1102" t="s">
        <v>993</v>
      </c>
      <c r="B46" s="1102">
        <v>85300</v>
      </c>
      <c r="C46" s="1102" t="s">
        <v>910</v>
      </c>
      <c r="D46" s="1103" t="s">
        <v>544</v>
      </c>
      <c r="E46" s="626">
        <v>1</v>
      </c>
      <c r="F46" s="627" t="s">
        <v>545</v>
      </c>
      <c r="G46" s="626">
        <f>print</f>
        <v>50</v>
      </c>
      <c r="H46" s="632" t="str">
        <f>F46</f>
        <v>activity</v>
      </c>
      <c r="I46" s="628">
        <f>IF(E46=0,0,1)</f>
        <v>1</v>
      </c>
      <c r="J46" s="628">
        <f t="shared" si="6"/>
        <v>50</v>
      </c>
      <c r="K46" s="629"/>
      <c r="L46" s="628">
        <f>$J46*K42*M$12</f>
        <v>0</v>
      </c>
      <c r="N46" s="629"/>
      <c r="O46" s="628">
        <f>$J46*N42*P$12</f>
        <v>312</v>
      </c>
      <c r="P46" s="630"/>
      <c r="Q46" s="629"/>
      <c r="R46" s="628">
        <f>$J46*Q42*S$12</f>
        <v>324.48</v>
      </c>
      <c r="S46" s="630"/>
      <c r="T46" s="629"/>
      <c r="U46" s="628">
        <f>$J46*T42*V$12</f>
        <v>168.7296</v>
      </c>
      <c r="V46" s="630"/>
      <c r="W46" s="618">
        <f t="shared" si="7"/>
        <v>805.20960000000002</v>
      </c>
      <c r="Y46" s="593"/>
    </row>
    <row r="47" spans="1:25" ht="15.9" hidden="1" thickTop="1" thickBot="1">
      <c r="A47" s="1102"/>
      <c r="B47" s="1102"/>
      <c r="C47" s="1102"/>
      <c r="D47" s="633" t="s">
        <v>554</v>
      </c>
      <c r="E47" s="628"/>
      <c r="F47" s="634"/>
      <c r="G47" s="628"/>
      <c r="H47" s="628"/>
      <c r="I47" s="628"/>
      <c r="J47" s="628"/>
      <c r="K47" s="629"/>
      <c r="L47" s="628"/>
      <c r="N47" s="629"/>
      <c r="O47" s="628"/>
      <c r="P47" s="630"/>
      <c r="Q47" s="629"/>
      <c r="R47" s="628"/>
      <c r="S47" s="630"/>
      <c r="T47" s="629"/>
      <c r="U47" s="628"/>
      <c r="V47" s="630"/>
      <c r="W47" s="618"/>
      <c r="Y47" s="593"/>
    </row>
    <row r="48" spans="1:25" ht="15.9" hidden="1" thickTop="1" thickBot="1">
      <c r="A48" s="1102"/>
      <c r="B48" s="1102"/>
      <c r="C48" s="1102"/>
      <c r="D48" s="1103" t="s">
        <v>555</v>
      </c>
      <c r="E48" s="626">
        <v>2</v>
      </c>
      <c r="F48" s="627" t="s">
        <v>541</v>
      </c>
      <c r="G48" s="626">
        <f>localairfare</f>
        <v>175</v>
      </c>
      <c r="H48" s="627" t="s">
        <v>556</v>
      </c>
      <c r="I48" s="628">
        <f>IF(E48=0,0,1)</f>
        <v>1</v>
      </c>
      <c r="J48" s="628">
        <f t="shared" si="6"/>
        <v>350</v>
      </c>
      <c r="K48" s="629"/>
      <c r="L48" s="628">
        <f>$J48*K$42*M$12</f>
        <v>0</v>
      </c>
      <c r="N48" s="629"/>
      <c r="O48" s="628">
        <f>$J48*N$42*P$12</f>
        <v>2184</v>
      </c>
      <c r="P48" s="630"/>
      <c r="Q48" s="629"/>
      <c r="R48" s="628">
        <f>$J48*Q$42*S$12</f>
        <v>2271.36</v>
      </c>
      <c r="S48" s="630"/>
      <c r="T48" s="629"/>
      <c r="U48" s="628">
        <f>$J48*T$42*V$12</f>
        <v>1181.1072000000001</v>
      </c>
      <c r="V48" s="630"/>
      <c r="W48" s="618"/>
      <c r="Y48" s="593"/>
    </row>
    <row r="49" spans="1:25" ht="15.9" hidden="1" thickTop="1" thickBot="1">
      <c r="A49" s="1102"/>
      <c r="B49" s="1102"/>
      <c r="C49" s="1102"/>
      <c r="D49" s="1103" t="s">
        <v>557</v>
      </c>
      <c r="E49" s="626">
        <v>2</v>
      </c>
      <c r="F49" s="627" t="s">
        <v>541</v>
      </c>
      <c r="G49" s="626">
        <f>partground</f>
        <v>9</v>
      </c>
      <c r="H49" s="627" t="s">
        <v>542</v>
      </c>
      <c r="I49" s="628">
        <f>IF(E49=0,0,1)</f>
        <v>1</v>
      </c>
      <c r="J49" s="628">
        <f t="shared" si="6"/>
        <v>18</v>
      </c>
      <c r="K49" s="629"/>
      <c r="L49" s="628">
        <f>$J49*K$42*M$12</f>
        <v>0</v>
      </c>
      <c r="N49" s="629"/>
      <c r="O49" s="628">
        <f>$J49*N$42*P$12</f>
        <v>112.32000000000001</v>
      </c>
      <c r="P49" s="630"/>
      <c r="Q49" s="629"/>
      <c r="R49" s="628">
        <f>$J49*Q$42*S$12</f>
        <v>116.81280000000001</v>
      </c>
      <c r="S49" s="630"/>
      <c r="T49" s="629"/>
      <c r="U49" s="628">
        <f>$J49*T$42*V$12</f>
        <v>60.742656000000004</v>
      </c>
      <c r="V49" s="630"/>
      <c r="W49" s="618"/>
      <c r="Y49" s="593"/>
    </row>
    <row r="50" spans="1:25" ht="15.9" hidden="1" thickTop="1" thickBot="1">
      <c r="A50" s="1102"/>
      <c r="B50" s="1102"/>
      <c r="C50" s="1102"/>
      <c r="D50" s="1103" t="s">
        <v>48</v>
      </c>
      <c r="E50" s="626"/>
      <c r="F50" s="627" t="s">
        <v>541</v>
      </c>
      <c r="G50" s="626">
        <f>partlodg</f>
        <v>25</v>
      </c>
      <c r="H50" s="627" t="s">
        <v>542</v>
      </c>
      <c r="I50" s="628">
        <f t="shared" ref="I50:I51" si="8">IF(E50=0,0,1)</f>
        <v>0</v>
      </c>
      <c r="J50" s="628">
        <f t="shared" si="6"/>
        <v>0</v>
      </c>
      <c r="K50" s="629"/>
      <c r="L50" s="628">
        <f>$J50*K$42*M$12</f>
        <v>0</v>
      </c>
      <c r="N50" s="629"/>
      <c r="O50" s="628">
        <f>$J50*N$42*P$12</f>
        <v>0</v>
      </c>
      <c r="P50" s="630"/>
      <c r="Q50" s="629"/>
      <c r="R50" s="628">
        <f>$J50*Q$42*S$12</f>
        <v>0</v>
      </c>
      <c r="S50" s="630"/>
      <c r="T50" s="629"/>
      <c r="U50" s="628">
        <f>$J50*T$42*V$12</f>
        <v>0</v>
      </c>
      <c r="V50" s="630"/>
      <c r="W50" s="618">
        <f t="shared" si="7"/>
        <v>0</v>
      </c>
      <c r="Y50" s="593"/>
    </row>
    <row r="51" spans="1:25" ht="15.9" hidden="1" thickTop="1" thickBot="1">
      <c r="A51" s="1102"/>
      <c r="B51" s="1102"/>
      <c r="C51" s="1102"/>
      <c r="D51" s="1103" t="s">
        <v>70</v>
      </c>
      <c r="E51" s="628"/>
      <c r="F51" s="627" t="s">
        <v>541</v>
      </c>
      <c r="G51" s="626">
        <f>partmeals</f>
        <v>47</v>
      </c>
      <c r="H51" s="627" t="s">
        <v>542</v>
      </c>
      <c r="I51" s="628">
        <f t="shared" si="8"/>
        <v>0</v>
      </c>
      <c r="J51" s="628">
        <f t="shared" si="6"/>
        <v>0</v>
      </c>
      <c r="K51" s="629"/>
      <c r="L51" s="628">
        <f>$J51*K$42*M$12</f>
        <v>0</v>
      </c>
      <c r="N51" s="629"/>
      <c r="O51" s="628">
        <f>$J51*N$42*P$12</f>
        <v>0</v>
      </c>
      <c r="P51" s="630"/>
      <c r="Q51" s="629"/>
      <c r="R51" s="628">
        <f>$J51*Q$42*S$12</f>
        <v>0</v>
      </c>
      <c r="S51" s="630"/>
      <c r="T51" s="629"/>
      <c r="U51" s="628">
        <f>$J51*T$42*V$12</f>
        <v>0</v>
      </c>
      <c r="V51" s="630"/>
      <c r="W51" s="618">
        <f t="shared" si="7"/>
        <v>0</v>
      </c>
      <c r="Y51" s="593"/>
    </row>
    <row r="52" spans="1:25" ht="15.9" hidden="1" thickTop="1" thickBot="1">
      <c r="A52" s="1102"/>
      <c r="B52" s="1102"/>
      <c r="C52" s="1102"/>
      <c r="D52" s="1103"/>
      <c r="E52" s="628"/>
      <c r="F52" s="628"/>
      <c r="G52" s="628"/>
      <c r="H52" s="628"/>
      <c r="I52" s="628"/>
      <c r="J52" s="628"/>
      <c r="K52" s="629"/>
      <c r="L52" s="628"/>
      <c r="N52" s="629"/>
      <c r="O52" s="628"/>
      <c r="P52" s="630"/>
      <c r="Q52" s="629"/>
      <c r="R52" s="628"/>
      <c r="S52" s="630"/>
      <c r="T52" s="629"/>
      <c r="U52" s="628"/>
      <c r="V52" s="630"/>
      <c r="W52" s="618">
        <f t="shared" si="7"/>
        <v>0</v>
      </c>
      <c r="Y52" s="593"/>
    </row>
    <row r="53" spans="1:25" ht="15.9" thickTop="1" thickBot="1">
      <c r="A53" s="1102"/>
      <c r="B53" s="1102"/>
      <c r="C53" s="1102"/>
      <c r="D53" s="644" t="s">
        <v>547</v>
      </c>
      <c r="E53" s="645"/>
      <c r="F53" s="645"/>
      <c r="G53" s="646"/>
      <c r="H53" s="1146">
        <f>SUM(J43:J52)</f>
        <v>718</v>
      </c>
      <c r="I53" s="1147"/>
      <c r="J53" s="647"/>
      <c r="K53" s="648"/>
      <c r="L53" s="648"/>
      <c r="M53" s="621"/>
      <c r="N53" s="648"/>
      <c r="O53" s="648"/>
      <c r="P53" s="621"/>
      <c r="Q53" s="648"/>
      <c r="R53" s="648"/>
      <c r="S53" s="621"/>
      <c r="T53" s="648"/>
      <c r="U53" s="648"/>
      <c r="V53" s="621"/>
      <c r="W53" s="618"/>
      <c r="Y53" s="593"/>
    </row>
    <row r="54" spans="1:25" ht="13.5" customHeight="1" thickTop="1" thickBot="1">
      <c r="A54" s="1102"/>
      <c r="B54" s="1102"/>
      <c r="C54" s="1102"/>
      <c r="D54" s="1110"/>
      <c r="E54" s="650"/>
      <c r="F54" s="650"/>
      <c r="G54" s="650"/>
      <c r="H54" s="650"/>
      <c r="I54" s="650"/>
      <c r="J54" s="612"/>
      <c r="K54" s="612"/>
      <c r="L54" s="612"/>
      <c r="M54" s="612"/>
      <c r="N54" s="612"/>
      <c r="O54" s="612"/>
      <c r="P54" s="612"/>
      <c r="Q54" s="612"/>
      <c r="R54" s="612"/>
      <c r="S54" s="612"/>
      <c r="T54" s="612"/>
      <c r="U54" s="612"/>
      <c r="V54" s="612"/>
      <c r="W54" s="618"/>
      <c r="Y54" s="593"/>
    </row>
    <row r="55" spans="1:25" ht="43.5" customHeight="1" thickTop="1" thickBot="1">
      <c r="A55" s="1102"/>
      <c r="B55" s="1102"/>
      <c r="C55" s="1102"/>
      <c r="D55" s="1143" t="s">
        <v>558</v>
      </c>
      <c r="E55" s="1144"/>
      <c r="F55" s="1144"/>
      <c r="G55" s="1144"/>
      <c r="H55" s="1145"/>
      <c r="I55" s="614">
        <v>1</v>
      </c>
      <c r="J55" s="615"/>
      <c r="K55" s="1151">
        <v>1</v>
      </c>
      <c r="L55" s="1152"/>
      <c r="M55" s="616">
        <f>SUM(L57)</f>
        <v>75000</v>
      </c>
      <c r="N55" s="1140">
        <v>1</v>
      </c>
      <c r="O55" s="1141"/>
      <c r="P55" s="617">
        <f>SUM(O57)</f>
        <v>0</v>
      </c>
      <c r="Q55" s="1140">
        <v>1</v>
      </c>
      <c r="R55" s="1141"/>
      <c r="S55" s="617">
        <f>SUM(R57)</f>
        <v>0</v>
      </c>
      <c r="T55" s="1142">
        <v>1</v>
      </c>
      <c r="U55" s="1140"/>
      <c r="V55" s="617">
        <f>SUM(U57)</f>
        <v>0</v>
      </c>
      <c r="W55" s="618">
        <f>SUM(M55,P55,S55,V55,)</f>
        <v>75000</v>
      </c>
      <c r="Y55" s="593"/>
    </row>
    <row r="56" spans="1:25" ht="15.9" thickTop="1" thickBot="1">
      <c r="A56" s="1102"/>
      <c r="B56" s="1102"/>
      <c r="C56" s="1102"/>
      <c r="D56" s="619" t="s">
        <v>539</v>
      </c>
      <c r="E56" s="620"/>
      <c r="F56" s="620"/>
      <c r="G56" s="620"/>
      <c r="H56" s="621"/>
      <c r="I56" s="620"/>
      <c r="J56" s="620"/>
      <c r="K56" s="622"/>
      <c r="L56" s="620"/>
      <c r="M56" s="621"/>
      <c r="N56" s="622"/>
      <c r="O56" s="620"/>
      <c r="P56" s="623"/>
      <c r="Q56" s="622"/>
      <c r="R56" s="620"/>
      <c r="S56" s="623"/>
      <c r="T56" s="622"/>
      <c r="U56" s="620"/>
      <c r="V56" s="623"/>
      <c r="W56" s="618">
        <f t="shared" si="7"/>
        <v>0</v>
      </c>
      <c r="Y56" s="593"/>
    </row>
    <row r="57" spans="1:25" ht="15.6" thickTop="1">
      <c r="A57" s="1102" t="s">
        <v>994</v>
      </c>
      <c r="B57" s="1102">
        <v>81010</v>
      </c>
      <c r="C57" s="1102" t="s">
        <v>910</v>
      </c>
      <c r="D57" s="1103" t="s">
        <v>559</v>
      </c>
      <c r="E57" s="626">
        <v>1</v>
      </c>
      <c r="F57" s="627" t="s">
        <v>560</v>
      </c>
      <c r="G57" s="626">
        <v>75000</v>
      </c>
      <c r="H57" s="627" t="s">
        <v>561</v>
      </c>
      <c r="I57" s="626">
        <v>0</v>
      </c>
      <c r="J57" s="628">
        <f t="shared" ref="J57:J69" si="9">E57*G57*I57</f>
        <v>0</v>
      </c>
      <c r="K57" s="629"/>
      <c r="L57" s="628">
        <f>G57</f>
        <v>75000</v>
      </c>
      <c r="N57" s="629"/>
      <c r="O57" s="628">
        <f>$J57*N55*P$12</f>
        <v>0</v>
      </c>
      <c r="P57" s="630"/>
      <c r="Q57" s="629"/>
      <c r="R57" s="628">
        <f>$J57*Q55*S$12</f>
        <v>0</v>
      </c>
      <c r="S57" s="630"/>
      <c r="T57" s="629"/>
      <c r="U57" s="628">
        <f>$J57*T55*V$12</f>
        <v>0</v>
      </c>
      <c r="V57" s="630"/>
      <c r="W57" s="618">
        <f t="shared" si="7"/>
        <v>75000</v>
      </c>
      <c r="Y57" s="593"/>
    </row>
    <row r="58" spans="1:25" ht="15.9" hidden="1" thickTop="1" thickBot="1">
      <c r="A58" s="1102"/>
      <c r="B58" s="1102"/>
      <c r="C58" s="1102"/>
      <c r="D58" s="1103"/>
      <c r="E58" s="628"/>
      <c r="F58" s="628"/>
      <c r="G58" s="628"/>
      <c r="H58" s="628"/>
      <c r="I58" s="628"/>
      <c r="J58" s="628"/>
      <c r="K58" s="629"/>
      <c r="L58" s="628"/>
      <c r="N58" s="629"/>
      <c r="O58" s="628"/>
      <c r="P58" s="630"/>
      <c r="Q58" s="629"/>
      <c r="R58" s="628"/>
      <c r="S58" s="630"/>
      <c r="T58" s="629"/>
      <c r="U58" s="628"/>
      <c r="V58" s="630"/>
      <c r="W58" s="618">
        <f t="shared" si="7"/>
        <v>0</v>
      </c>
      <c r="Y58" s="593"/>
    </row>
    <row r="59" spans="1:25" ht="15.9" hidden="1" thickTop="1" thickBot="1">
      <c r="A59" s="1102"/>
      <c r="B59" s="1102"/>
      <c r="C59" s="1102"/>
      <c r="D59" s="633" t="s">
        <v>562</v>
      </c>
      <c r="E59" s="628"/>
      <c r="F59" s="634"/>
      <c r="G59" s="628"/>
      <c r="H59" s="628"/>
      <c r="I59" s="628"/>
      <c r="J59" s="628"/>
      <c r="K59" s="629"/>
      <c r="L59" s="628"/>
      <c r="N59" s="629"/>
      <c r="O59" s="628"/>
      <c r="P59" s="630"/>
      <c r="Q59" s="629"/>
      <c r="R59" s="628"/>
      <c r="S59" s="630"/>
      <c r="T59" s="629"/>
      <c r="U59" s="628"/>
      <c r="V59" s="630"/>
      <c r="W59" s="618">
        <v>0</v>
      </c>
      <c r="Y59" s="593"/>
    </row>
    <row r="60" spans="1:25" ht="15.9" hidden="1" thickTop="1" thickBot="1">
      <c r="A60" s="1102"/>
      <c r="B60" s="1102"/>
      <c r="C60" s="1102"/>
      <c r="D60" s="1103" t="s">
        <v>555</v>
      </c>
      <c r="E60" s="626">
        <v>2</v>
      </c>
      <c r="F60" s="627" t="s">
        <v>541</v>
      </c>
      <c r="G60" s="626">
        <f>localairfare</f>
        <v>175</v>
      </c>
      <c r="H60" s="627" t="s">
        <v>556</v>
      </c>
      <c r="I60" s="628">
        <f>IF(E60=0,0,1)</f>
        <v>1</v>
      </c>
      <c r="J60" s="628">
        <f t="shared" si="9"/>
        <v>350</v>
      </c>
      <c r="K60" s="629"/>
      <c r="L60" s="628">
        <f>$J60*$K$55*M$12</f>
        <v>350</v>
      </c>
      <c r="N60" s="629"/>
      <c r="O60" s="628">
        <f>$J60*$N$55*P$12</f>
        <v>364</v>
      </c>
      <c r="P60" s="630"/>
      <c r="Q60" s="629"/>
      <c r="R60" s="628">
        <f>$J60*$Q$55*S$12</f>
        <v>378.56000000000006</v>
      </c>
      <c r="S60" s="630"/>
      <c r="T60" s="629"/>
      <c r="U60" s="628">
        <f>$J60*$T$55*V$12</f>
        <v>393.70240000000001</v>
      </c>
      <c r="V60" s="630"/>
      <c r="W60" s="618">
        <v>0</v>
      </c>
      <c r="Y60" s="593"/>
    </row>
    <row r="61" spans="1:25" ht="15.9" hidden="1" thickTop="1" thickBot="1">
      <c r="A61" s="1102"/>
      <c r="B61" s="1102"/>
      <c r="C61" s="1102"/>
      <c r="D61" s="1103" t="s">
        <v>557</v>
      </c>
      <c r="E61" s="626">
        <v>2</v>
      </c>
      <c r="F61" s="627" t="s">
        <v>541</v>
      </c>
      <c r="G61" s="626">
        <f>partground</f>
        <v>9</v>
      </c>
      <c r="H61" s="627" t="s">
        <v>542</v>
      </c>
      <c r="I61" s="628">
        <f>IF(E61=0,0,1)</f>
        <v>1</v>
      </c>
      <c r="J61" s="628">
        <f t="shared" si="9"/>
        <v>18</v>
      </c>
      <c r="K61" s="629"/>
      <c r="L61" s="628">
        <f>$J61*$K$55*M$12</f>
        <v>18</v>
      </c>
      <c r="N61" s="629"/>
      <c r="O61" s="628">
        <f>$J61*$N$55*P$12</f>
        <v>18.72</v>
      </c>
      <c r="P61" s="630"/>
      <c r="Q61" s="629"/>
      <c r="R61" s="628">
        <f>$J61*$Q$55*S$12</f>
        <v>19.468800000000002</v>
      </c>
      <c r="S61" s="630"/>
      <c r="T61" s="629"/>
      <c r="U61" s="628">
        <f>$J61*$T$55*V$12</f>
        <v>20.247552000000002</v>
      </c>
      <c r="V61" s="630"/>
      <c r="W61" s="618">
        <v>0</v>
      </c>
      <c r="Y61" s="593"/>
    </row>
    <row r="62" spans="1:25" ht="15.9" hidden="1" thickTop="1" thickBot="1">
      <c r="A62" s="1102"/>
      <c r="B62" s="1102"/>
      <c r="C62" s="1102"/>
      <c r="D62" s="1103" t="s">
        <v>48</v>
      </c>
      <c r="E62" s="628">
        <f>E60+E61</f>
        <v>4</v>
      </c>
      <c r="F62" s="627" t="s">
        <v>541</v>
      </c>
      <c r="G62" s="626">
        <f>partlodg</f>
        <v>25</v>
      </c>
      <c r="H62" s="627" t="s">
        <v>542</v>
      </c>
      <c r="I62" s="628">
        <f t="shared" ref="I62:I63" si="10">IF(E62=0,0,1)</f>
        <v>1</v>
      </c>
      <c r="J62" s="628">
        <f t="shared" si="9"/>
        <v>100</v>
      </c>
      <c r="K62" s="629"/>
      <c r="L62" s="628">
        <f>$J62*$K$55*M$12</f>
        <v>100</v>
      </c>
      <c r="N62" s="629"/>
      <c r="O62" s="628">
        <f>$J62*$N$55*P$12</f>
        <v>104</v>
      </c>
      <c r="P62" s="630"/>
      <c r="Q62" s="629"/>
      <c r="R62" s="628">
        <f>$J62*$Q$55*S$12</f>
        <v>108.16000000000001</v>
      </c>
      <c r="S62" s="630"/>
      <c r="T62" s="629"/>
      <c r="U62" s="628">
        <f>$J62*$T$55*V$12</f>
        <v>112.4864</v>
      </c>
      <c r="V62" s="630"/>
      <c r="W62" s="618">
        <v>0</v>
      </c>
      <c r="Y62" s="593"/>
    </row>
    <row r="63" spans="1:25" ht="15.9" hidden="1" thickTop="1" thickBot="1">
      <c r="A63" s="1102"/>
      <c r="B63" s="1102"/>
      <c r="C63" s="1102"/>
      <c r="D63" s="1103" t="s">
        <v>70</v>
      </c>
      <c r="E63" s="628">
        <f>E62</f>
        <v>4</v>
      </c>
      <c r="F63" s="627" t="s">
        <v>541</v>
      </c>
      <c r="G63" s="626">
        <f>partmeals</f>
        <v>47</v>
      </c>
      <c r="H63" s="627" t="s">
        <v>542</v>
      </c>
      <c r="I63" s="628">
        <f t="shared" si="10"/>
        <v>1</v>
      </c>
      <c r="J63" s="628">
        <f t="shared" si="9"/>
        <v>188</v>
      </c>
      <c r="K63" s="629"/>
      <c r="L63" s="628">
        <f>$J63*$K$55*M$12</f>
        <v>188</v>
      </c>
      <c r="N63" s="629"/>
      <c r="O63" s="628">
        <f>$J63*$N$55*P$12</f>
        <v>195.52</v>
      </c>
      <c r="P63" s="630"/>
      <c r="Q63" s="629"/>
      <c r="R63" s="628">
        <f>$J63*$Q$55*S$12</f>
        <v>203.34080000000003</v>
      </c>
      <c r="S63" s="630"/>
      <c r="T63" s="629"/>
      <c r="U63" s="628">
        <f>$J63*$T$55*V$12</f>
        <v>211.47443200000001</v>
      </c>
      <c r="V63" s="630"/>
      <c r="W63" s="618">
        <v>0</v>
      </c>
      <c r="Y63" s="593"/>
    </row>
    <row r="64" spans="1:25" ht="15" hidden="1" customHeight="1" thickTop="1" thickBot="1">
      <c r="A64" s="1102"/>
      <c r="B64" s="1102"/>
      <c r="C64" s="1102"/>
      <c r="D64" s="1103"/>
      <c r="E64" s="628"/>
      <c r="F64" s="627"/>
      <c r="G64" s="628"/>
      <c r="H64" s="628"/>
      <c r="I64" s="628"/>
      <c r="J64" s="628"/>
      <c r="K64" s="629"/>
      <c r="L64" s="628"/>
      <c r="N64" s="629"/>
      <c r="O64" s="628"/>
      <c r="P64" s="982"/>
      <c r="Q64" s="629"/>
      <c r="R64" s="628"/>
      <c r="S64" s="982"/>
      <c r="T64" s="629"/>
      <c r="U64" s="628"/>
      <c r="V64" s="630"/>
      <c r="W64" s="618">
        <v>0</v>
      </c>
      <c r="Y64" s="593"/>
    </row>
    <row r="65" spans="1:25" ht="15.9" hidden="1" thickTop="1" thickBot="1">
      <c r="A65" s="1102"/>
      <c r="B65" s="1102"/>
      <c r="C65" s="1102"/>
      <c r="D65" s="633" t="str">
        <f>D59</f>
        <v>Staff from outside site</v>
      </c>
      <c r="E65" s="628"/>
      <c r="F65" s="634"/>
      <c r="G65" s="628"/>
      <c r="H65" s="628"/>
      <c r="I65" s="628"/>
      <c r="J65" s="628"/>
      <c r="K65" s="629"/>
      <c r="L65" s="628"/>
      <c r="N65" s="629"/>
      <c r="O65" s="628"/>
      <c r="P65" s="982"/>
      <c r="Q65" s="629"/>
      <c r="R65" s="628"/>
      <c r="S65" s="982"/>
      <c r="T65" s="629"/>
      <c r="U65" s="628"/>
      <c r="V65" s="630"/>
      <c r="W65" s="618">
        <v>0</v>
      </c>
      <c r="Y65" s="593"/>
    </row>
    <row r="66" spans="1:25" ht="15.9" hidden="1" thickTop="1" thickBot="1">
      <c r="A66" s="1102"/>
      <c r="B66" s="1102"/>
      <c r="C66" s="1102"/>
      <c r="D66" s="1103" t="s">
        <v>563</v>
      </c>
      <c r="E66" s="626">
        <v>2</v>
      </c>
      <c r="F66" s="627" t="s">
        <v>541</v>
      </c>
      <c r="G66" s="626">
        <f>partground</f>
        <v>9</v>
      </c>
      <c r="H66" s="627" t="s">
        <v>556</v>
      </c>
      <c r="I66" s="628">
        <f>IF(E66=0,0,1)</f>
        <v>1</v>
      </c>
      <c r="J66" s="628">
        <f t="shared" si="9"/>
        <v>18</v>
      </c>
      <c r="K66" s="629"/>
      <c r="L66" s="628">
        <f>$J66*K$55*M$12</f>
        <v>18</v>
      </c>
      <c r="N66" s="629"/>
      <c r="O66" s="628">
        <f>$J66*N$55*P$12</f>
        <v>18.72</v>
      </c>
      <c r="P66" s="630"/>
      <c r="Q66" s="629"/>
      <c r="R66" s="628">
        <f>$J66*Q$55*S$12</f>
        <v>19.468800000000002</v>
      </c>
      <c r="S66" s="630"/>
      <c r="T66" s="629"/>
      <c r="U66" s="628">
        <f>$J66*T$55*V$12</f>
        <v>20.247552000000002</v>
      </c>
      <c r="V66" s="630"/>
      <c r="W66" s="618">
        <v>0</v>
      </c>
      <c r="Y66" s="593"/>
    </row>
    <row r="67" spans="1:25" ht="15.6" hidden="1" thickTop="1">
      <c r="A67" s="1102"/>
      <c r="B67" s="1102"/>
      <c r="C67" s="1102"/>
      <c r="D67" s="1103" t="s">
        <v>564</v>
      </c>
      <c r="E67" s="626">
        <v>2</v>
      </c>
      <c r="F67" s="627" t="s">
        <v>541</v>
      </c>
      <c r="G67" s="626">
        <f>partground</f>
        <v>9</v>
      </c>
      <c r="H67" s="627" t="s">
        <v>542</v>
      </c>
      <c r="I67" s="628">
        <f>IF(E67=0,0,1)</f>
        <v>1</v>
      </c>
      <c r="J67" s="628">
        <f t="shared" si="9"/>
        <v>18</v>
      </c>
      <c r="K67" s="629"/>
      <c r="L67" s="628">
        <f>$J67*K$55*M$12</f>
        <v>18</v>
      </c>
      <c r="N67" s="629"/>
      <c r="O67" s="628">
        <f>$J67*N$55*P$12</f>
        <v>18.72</v>
      </c>
      <c r="P67" s="630"/>
      <c r="Q67" s="629"/>
      <c r="R67" s="628">
        <f>$J67*Q$55*S$12</f>
        <v>19.468800000000002</v>
      </c>
      <c r="S67" s="630"/>
      <c r="T67" s="629"/>
      <c r="U67" s="628">
        <f>$J67*T$55*V$12</f>
        <v>20.247552000000002</v>
      </c>
      <c r="V67" s="630"/>
      <c r="W67" s="618">
        <v>0</v>
      </c>
      <c r="Y67" s="593"/>
    </row>
    <row r="68" spans="1:25" ht="15.9" hidden="1" thickTop="1" thickBot="1">
      <c r="A68" s="1102"/>
      <c r="B68" s="1102"/>
      <c r="C68" s="1102"/>
      <c r="D68" s="1103" t="s">
        <v>48</v>
      </c>
      <c r="E68" s="628"/>
      <c r="F68" s="627" t="s">
        <v>541</v>
      </c>
      <c r="G68" s="626">
        <f>partlodg</f>
        <v>25</v>
      </c>
      <c r="H68" s="627" t="s">
        <v>542</v>
      </c>
      <c r="I68" s="628">
        <f t="shared" ref="I68:I69" si="11">IF(E68=0,0,1)</f>
        <v>0</v>
      </c>
      <c r="J68" s="628">
        <f t="shared" si="9"/>
        <v>0</v>
      </c>
      <c r="K68" s="629"/>
      <c r="L68" s="628">
        <f>$J68*K$55*M$12</f>
        <v>0</v>
      </c>
      <c r="N68" s="629"/>
      <c r="O68" s="628">
        <f>$J68*N$55*P$12</f>
        <v>0</v>
      </c>
      <c r="P68" s="630"/>
      <c r="Q68" s="629"/>
      <c r="R68" s="628">
        <f>$J68*Q$55*S$12</f>
        <v>0</v>
      </c>
      <c r="S68" s="630"/>
      <c r="T68" s="629"/>
      <c r="U68" s="628">
        <f>$J68*T$55*V$12</f>
        <v>0</v>
      </c>
      <c r="V68" s="630"/>
      <c r="W68" s="618">
        <v>0</v>
      </c>
      <c r="Y68" s="593"/>
    </row>
    <row r="69" spans="1:25" ht="15.6" hidden="1" thickTop="1">
      <c r="A69" s="1102"/>
      <c r="B69" s="1102"/>
      <c r="C69" s="1102"/>
      <c r="D69" s="1103" t="s">
        <v>70</v>
      </c>
      <c r="E69" s="628"/>
      <c r="F69" s="627" t="s">
        <v>541</v>
      </c>
      <c r="G69" s="626">
        <f>partmeals</f>
        <v>47</v>
      </c>
      <c r="H69" s="627" t="s">
        <v>542</v>
      </c>
      <c r="I69" s="628">
        <f t="shared" si="11"/>
        <v>0</v>
      </c>
      <c r="J69" s="628">
        <f t="shared" si="9"/>
        <v>0</v>
      </c>
      <c r="K69" s="629"/>
      <c r="L69" s="628">
        <f>$J69*K$55*M$12</f>
        <v>0</v>
      </c>
      <c r="N69" s="629"/>
      <c r="O69" s="628">
        <f>$J69*N$55*P$12</f>
        <v>0</v>
      </c>
      <c r="P69" s="630"/>
      <c r="Q69" s="629"/>
      <c r="R69" s="628">
        <f>$J69*Q$55*S$12</f>
        <v>0</v>
      </c>
      <c r="S69" s="630"/>
      <c r="T69" s="629"/>
      <c r="U69" s="628">
        <f>$J69*T$55*V$12</f>
        <v>0</v>
      </c>
      <c r="V69" s="630"/>
      <c r="W69" s="618">
        <v>0</v>
      </c>
      <c r="Y69" s="593"/>
    </row>
    <row r="70" spans="1:25" hidden="1">
      <c r="A70" s="1102"/>
      <c r="B70" s="1102"/>
      <c r="C70" s="1102"/>
      <c r="D70" s="1103"/>
      <c r="E70" s="628"/>
      <c r="F70" s="628"/>
      <c r="G70" s="628"/>
      <c r="H70" s="628"/>
      <c r="I70" s="628"/>
      <c r="J70" s="628"/>
      <c r="K70" s="629"/>
      <c r="L70" s="628">
        <f>$J70*$K$55*M$12</f>
        <v>0</v>
      </c>
      <c r="N70" s="629"/>
      <c r="O70" s="628">
        <f>$J70*$N$55*P$12</f>
        <v>0</v>
      </c>
      <c r="P70" s="630"/>
      <c r="Q70" s="629"/>
      <c r="R70" s="628">
        <f>$J70*$Q$55*S$12</f>
        <v>0</v>
      </c>
      <c r="S70" s="630"/>
      <c r="T70" s="629"/>
      <c r="U70" s="628"/>
      <c r="V70" s="630"/>
      <c r="W70" s="631"/>
      <c r="Y70" s="593"/>
    </row>
    <row r="71" spans="1:25">
      <c r="A71" s="1102"/>
      <c r="B71" s="1102"/>
      <c r="C71" s="1102"/>
      <c r="D71" s="644" t="s">
        <v>547</v>
      </c>
      <c r="E71" s="645"/>
      <c r="F71" s="645"/>
      <c r="G71" s="646"/>
      <c r="H71" s="1146">
        <f>SUM(J56:J70)</f>
        <v>692</v>
      </c>
      <c r="I71" s="1147"/>
      <c r="J71" s="647"/>
      <c r="K71" s="648"/>
      <c r="L71" s="648"/>
      <c r="M71" s="621"/>
      <c r="N71" s="648"/>
      <c r="O71" s="648"/>
      <c r="P71" s="621"/>
      <c r="Q71" s="648"/>
      <c r="R71" s="648"/>
      <c r="S71" s="621"/>
      <c r="T71" s="648"/>
      <c r="U71" s="648"/>
      <c r="V71" s="621"/>
      <c r="W71" s="649"/>
      <c r="Y71" s="593"/>
    </row>
    <row r="72" spans="1:25" ht="13.5" customHeight="1" thickBot="1">
      <c r="A72" s="1102"/>
      <c r="B72" s="1102"/>
      <c r="C72" s="1102"/>
      <c r="D72" s="1110"/>
      <c r="E72" s="650"/>
      <c r="F72" s="650"/>
      <c r="G72" s="650"/>
      <c r="H72" s="650"/>
      <c r="I72" s="650"/>
      <c r="J72" s="612"/>
      <c r="K72" s="612"/>
      <c r="L72" s="612"/>
      <c r="M72" s="612"/>
      <c r="N72" s="612"/>
      <c r="O72" s="612"/>
      <c r="P72" s="612"/>
      <c r="Q72" s="612"/>
      <c r="R72" s="612"/>
      <c r="S72" s="612"/>
      <c r="T72" s="612"/>
      <c r="U72" s="612"/>
      <c r="V72" s="612"/>
      <c r="W72" s="613"/>
      <c r="Y72" s="593"/>
    </row>
    <row r="73" spans="1:25" ht="32.25" customHeight="1" thickTop="1" thickBot="1">
      <c r="A73" s="1102"/>
      <c r="B73" s="1102"/>
      <c r="C73" s="1102"/>
      <c r="D73" s="1156" t="s">
        <v>565</v>
      </c>
      <c r="E73" s="1157"/>
      <c r="F73" s="1157"/>
      <c r="G73" s="1157"/>
      <c r="H73" s="1158"/>
      <c r="I73" s="614">
        <v>1</v>
      </c>
      <c r="J73" s="615"/>
      <c r="K73" s="1151"/>
      <c r="L73" s="1152"/>
      <c r="M73" s="616">
        <f>SUM(L75:L77)</f>
        <v>0</v>
      </c>
      <c r="N73" s="1140">
        <f>3*6</f>
        <v>18</v>
      </c>
      <c r="O73" s="1141"/>
      <c r="P73" s="617">
        <f>SUM(O75:O77)</f>
        <v>5896.8</v>
      </c>
      <c r="Q73" s="1140">
        <v>18</v>
      </c>
      <c r="R73" s="1141"/>
      <c r="S73" s="617">
        <f>SUM(R75:R77)</f>
        <v>6132.6720000000014</v>
      </c>
      <c r="T73" s="1142">
        <v>12</v>
      </c>
      <c r="U73" s="1140"/>
      <c r="V73" s="617">
        <f>SUM(U75:U77)</f>
        <v>4251.9859200000001</v>
      </c>
      <c r="W73" s="618">
        <f>SUM(M73,P73,S73,V73,)</f>
        <v>16281.457920000001</v>
      </c>
      <c r="Y73" s="593"/>
    </row>
    <row r="74" spans="1:25" ht="15.9" thickTop="1" thickBot="1">
      <c r="A74" s="1102"/>
      <c r="B74" s="1102"/>
      <c r="C74" s="1102"/>
      <c r="D74" s="619" t="s">
        <v>566</v>
      </c>
      <c r="E74" s="620"/>
      <c r="F74" s="620"/>
      <c r="G74" s="620"/>
      <c r="H74" s="621"/>
      <c r="I74" s="620"/>
      <c r="J74" s="620"/>
      <c r="K74" s="622"/>
      <c r="L74" s="620"/>
      <c r="M74" s="621"/>
      <c r="N74" s="622"/>
      <c r="O74" s="620"/>
      <c r="P74" s="623"/>
      <c r="Q74" s="622"/>
      <c r="R74" s="620"/>
      <c r="S74" s="623"/>
      <c r="T74" s="622"/>
      <c r="U74" s="620"/>
      <c r="V74" s="623"/>
      <c r="W74" s="618">
        <f t="shared" ref="W74:W89" si="12">U74+R74+O74+L74</f>
        <v>0</v>
      </c>
      <c r="Y74" s="593"/>
    </row>
    <row r="75" spans="1:25" ht="15.9" thickTop="1" thickBot="1">
      <c r="A75" s="1102" t="s">
        <v>995</v>
      </c>
      <c r="B75" s="1102">
        <v>86000</v>
      </c>
      <c r="C75" s="1102" t="s">
        <v>910</v>
      </c>
      <c r="D75" s="1103" t="s">
        <v>540</v>
      </c>
      <c r="E75" s="626">
        <v>15</v>
      </c>
      <c r="F75" s="627" t="s">
        <v>541</v>
      </c>
      <c r="G75" s="626">
        <f>parttransp</f>
        <v>4</v>
      </c>
      <c r="H75" s="627" t="s">
        <v>542</v>
      </c>
      <c r="I75" s="628">
        <f>IF(E75=0,0,I73)</f>
        <v>1</v>
      </c>
      <c r="J75" s="628">
        <f t="shared" ref="J75:J77" si="13">E75*G75*I75</f>
        <v>60</v>
      </c>
      <c r="K75" s="629"/>
      <c r="L75" s="628">
        <f>$J75*K73*M$12</f>
        <v>0</v>
      </c>
      <c r="N75" s="629"/>
      <c r="O75" s="628">
        <f>$J75*N73*P$12</f>
        <v>1123.2</v>
      </c>
      <c r="P75" s="630"/>
      <c r="Q75" s="629"/>
      <c r="R75" s="628">
        <f>$J75*Q73*S$12</f>
        <v>1168.1280000000002</v>
      </c>
      <c r="S75" s="630"/>
      <c r="T75" s="629"/>
      <c r="U75" s="628">
        <f>$J75*T73*V$12</f>
        <v>809.90208000000007</v>
      </c>
      <c r="V75" s="630"/>
      <c r="W75" s="618">
        <f t="shared" si="12"/>
        <v>3101.2300800000003</v>
      </c>
      <c r="Y75" s="593"/>
    </row>
    <row r="76" spans="1:25" ht="15.9" thickTop="1" thickBot="1">
      <c r="A76" s="1102" t="s">
        <v>996</v>
      </c>
      <c r="B76" s="1102">
        <v>87000</v>
      </c>
      <c r="C76" s="1102" t="s">
        <v>910</v>
      </c>
      <c r="D76" s="1103" t="s">
        <v>543</v>
      </c>
      <c r="E76" s="626">
        <v>15</v>
      </c>
      <c r="F76" s="627" t="s">
        <v>541</v>
      </c>
      <c r="G76" s="626">
        <f>coffee+lunch</f>
        <v>16</v>
      </c>
      <c r="H76" s="627" t="s">
        <v>542</v>
      </c>
      <c r="I76" s="628">
        <f>IF(E76=0,0,I73)</f>
        <v>1</v>
      </c>
      <c r="J76" s="628">
        <f t="shared" si="13"/>
        <v>240</v>
      </c>
      <c r="K76" s="629"/>
      <c r="L76" s="628">
        <f>$J76*K73*M$12</f>
        <v>0</v>
      </c>
      <c r="N76" s="629"/>
      <c r="O76" s="628">
        <f>$J76*N73*P$12</f>
        <v>4492.8</v>
      </c>
      <c r="P76" s="630"/>
      <c r="Q76" s="629"/>
      <c r="R76" s="628">
        <f>$J76*Q73*S$12</f>
        <v>4672.5120000000006</v>
      </c>
      <c r="S76" s="630"/>
      <c r="T76" s="629"/>
      <c r="U76" s="628">
        <f>$J76*T73*V$12</f>
        <v>3239.6083200000003</v>
      </c>
      <c r="V76" s="630"/>
      <c r="W76" s="618">
        <f t="shared" si="12"/>
        <v>12404.920320000001</v>
      </c>
      <c r="Y76" s="593"/>
    </row>
    <row r="77" spans="1:25" ht="15.6" thickTop="1">
      <c r="A77" s="1102" t="s">
        <v>997</v>
      </c>
      <c r="B77" s="1102">
        <v>85300</v>
      </c>
      <c r="C77" s="1102" t="s">
        <v>910</v>
      </c>
      <c r="D77" s="1103" t="s">
        <v>544</v>
      </c>
      <c r="E77" s="626">
        <v>1</v>
      </c>
      <c r="F77" s="627" t="s">
        <v>545</v>
      </c>
      <c r="G77" s="626">
        <v>15</v>
      </c>
      <c r="H77" s="632" t="str">
        <f>F77</f>
        <v>activity</v>
      </c>
      <c r="I77" s="628">
        <f>IF(E77=0,0,1)</f>
        <v>1</v>
      </c>
      <c r="J77" s="628">
        <f t="shared" si="13"/>
        <v>15</v>
      </c>
      <c r="K77" s="629"/>
      <c r="L77" s="628">
        <f>$J77*K73*M$12</f>
        <v>0</v>
      </c>
      <c r="N77" s="629"/>
      <c r="O77" s="628">
        <f>$J77*N73*P$12</f>
        <v>280.8</v>
      </c>
      <c r="P77" s="630"/>
      <c r="Q77" s="629"/>
      <c r="R77" s="628">
        <f>$J77*Q73*S$12</f>
        <v>292.03200000000004</v>
      </c>
      <c r="S77" s="630"/>
      <c r="T77" s="629"/>
      <c r="U77" s="628">
        <f>$J77*T73*V$12</f>
        <v>202.47552000000002</v>
      </c>
      <c r="V77" s="630"/>
      <c r="W77" s="618">
        <f t="shared" si="12"/>
        <v>775.30752000000007</v>
      </c>
      <c r="Y77" s="593"/>
    </row>
    <row r="78" spans="1:25" ht="15.9" hidden="1" thickTop="1" thickBot="1">
      <c r="A78" s="1102"/>
      <c r="B78" s="1102"/>
      <c r="C78" s="1102"/>
      <c r="D78" s="1103"/>
      <c r="E78" s="628"/>
      <c r="F78" s="628"/>
      <c r="G78" s="628"/>
      <c r="H78" s="634"/>
      <c r="I78" s="628"/>
      <c r="J78" s="628"/>
      <c r="K78" s="629"/>
      <c r="L78" s="628"/>
      <c r="N78" s="629"/>
      <c r="O78" s="628"/>
      <c r="P78" s="982"/>
      <c r="Q78" s="629"/>
      <c r="R78" s="628"/>
      <c r="S78" s="982"/>
      <c r="T78" s="629"/>
      <c r="U78" s="628"/>
      <c r="V78" s="982"/>
      <c r="W78" s="618">
        <f t="shared" si="12"/>
        <v>0</v>
      </c>
      <c r="Y78" s="593"/>
    </row>
    <row r="79" spans="1:25" ht="15.9" hidden="1" thickTop="1" thickBot="1">
      <c r="A79" s="1102"/>
      <c r="B79" s="1102"/>
      <c r="C79" s="1102"/>
      <c r="D79" s="633" t="s">
        <v>562</v>
      </c>
      <c r="E79" s="628"/>
      <c r="F79" s="634"/>
      <c r="G79" s="628"/>
      <c r="H79" s="628"/>
      <c r="I79" s="628"/>
      <c r="J79" s="628"/>
      <c r="K79" s="629"/>
      <c r="L79" s="628"/>
      <c r="N79" s="629"/>
      <c r="O79" s="628"/>
      <c r="P79" s="630"/>
      <c r="Q79" s="629"/>
      <c r="R79" s="628"/>
      <c r="S79" s="630"/>
      <c r="T79" s="629"/>
      <c r="U79" s="628"/>
      <c r="V79" s="630"/>
      <c r="W79" s="618">
        <v>0</v>
      </c>
      <c r="Y79" s="593"/>
    </row>
    <row r="80" spans="1:25" ht="15.9" hidden="1" thickTop="1" thickBot="1">
      <c r="A80" s="1102"/>
      <c r="B80" s="1102"/>
      <c r="C80" s="1102"/>
      <c r="D80" s="1103" t="s">
        <v>555</v>
      </c>
      <c r="E80" s="626">
        <v>2</v>
      </c>
      <c r="F80" s="627" t="s">
        <v>541</v>
      </c>
      <c r="G80" s="626">
        <f>localairfare</f>
        <v>175</v>
      </c>
      <c r="H80" s="627" t="s">
        <v>556</v>
      </c>
      <c r="I80" s="628">
        <f>IF(E80=0,0,1)</f>
        <v>1</v>
      </c>
      <c r="J80" s="628">
        <f t="shared" ref="J80:J83" si="14">E80*G80*I80</f>
        <v>350</v>
      </c>
      <c r="K80" s="629"/>
      <c r="L80" s="628"/>
      <c r="N80" s="629"/>
      <c r="O80" s="628">
        <f>$J80*3*P$12</f>
        <v>1092</v>
      </c>
      <c r="P80" s="630"/>
      <c r="Q80" s="629"/>
      <c r="R80" s="628">
        <f>$J80*3*S$12</f>
        <v>1135.68</v>
      </c>
      <c r="S80" s="630"/>
      <c r="T80" s="629"/>
      <c r="U80" s="628">
        <f>$J80*2*V$12</f>
        <v>787.40480000000002</v>
      </c>
      <c r="V80" s="630"/>
      <c r="W80" s="618">
        <v>0</v>
      </c>
      <c r="Y80" s="593"/>
    </row>
    <row r="81" spans="1:25" ht="15.9" hidden="1" thickTop="1" thickBot="1">
      <c r="A81" s="1102"/>
      <c r="B81" s="1102"/>
      <c r="C81" s="1102"/>
      <c r="D81" s="1103" t="s">
        <v>557</v>
      </c>
      <c r="E81" s="626">
        <v>2</v>
      </c>
      <c r="F81" s="627" t="s">
        <v>541</v>
      </c>
      <c r="G81" s="626">
        <f>partground</f>
        <v>9</v>
      </c>
      <c r="H81" s="627" t="s">
        <v>542</v>
      </c>
      <c r="I81" s="628">
        <f>IF(E81=0,0,1)</f>
        <v>1</v>
      </c>
      <c r="J81" s="628">
        <f t="shared" si="14"/>
        <v>18</v>
      </c>
      <c r="K81" s="629"/>
      <c r="L81" s="628"/>
      <c r="N81" s="629"/>
      <c r="O81" s="628">
        <f t="shared" ref="O81:O83" si="15">$J81*3*P$12</f>
        <v>56.160000000000004</v>
      </c>
      <c r="P81" s="630"/>
      <c r="Q81" s="629"/>
      <c r="R81" s="628">
        <f t="shared" ref="R81:R83" si="16">$J81*3*S$12</f>
        <v>58.406400000000005</v>
      </c>
      <c r="S81" s="630"/>
      <c r="T81" s="629"/>
      <c r="U81" s="628">
        <f t="shared" ref="U81:U83" si="17">$J81*2*V$12</f>
        <v>40.495104000000005</v>
      </c>
      <c r="V81" s="630"/>
      <c r="W81" s="618">
        <v>0</v>
      </c>
      <c r="Y81" s="593"/>
    </row>
    <row r="82" spans="1:25" ht="15.9" hidden="1" thickTop="1" thickBot="1">
      <c r="A82" s="1102"/>
      <c r="B82" s="1102"/>
      <c r="C82" s="1102"/>
      <c r="D82" s="1103" t="s">
        <v>48</v>
      </c>
      <c r="E82" s="628">
        <f>E80+E81</f>
        <v>4</v>
      </c>
      <c r="F82" s="627" t="s">
        <v>541</v>
      </c>
      <c r="G82" s="626">
        <f>partlodg</f>
        <v>25</v>
      </c>
      <c r="H82" s="627" t="s">
        <v>542</v>
      </c>
      <c r="I82" s="628">
        <f t="shared" ref="I82:I83" si="18">IF(E82=0,0,1)</f>
        <v>1</v>
      </c>
      <c r="J82" s="628">
        <f t="shared" si="14"/>
        <v>100</v>
      </c>
      <c r="K82" s="629"/>
      <c r="L82" s="628"/>
      <c r="N82" s="629"/>
      <c r="O82" s="628">
        <f t="shared" si="15"/>
        <v>312</v>
      </c>
      <c r="P82" s="630"/>
      <c r="Q82" s="629"/>
      <c r="R82" s="628">
        <f t="shared" si="16"/>
        <v>324.48</v>
      </c>
      <c r="S82" s="630"/>
      <c r="T82" s="629"/>
      <c r="U82" s="628">
        <f t="shared" si="17"/>
        <v>224.97280000000001</v>
      </c>
      <c r="V82" s="630"/>
      <c r="W82" s="618">
        <v>0</v>
      </c>
      <c r="Y82" s="593"/>
    </row>
    <row r="83" spans="1:25" ht="15.9" hidden="1" thickTop="1" thickBot="1">
      <c r="A83" s="1102"/>
      <c r="B83" s="1102"/>
      <c r="C83" s="1102"/>
      <c r="D83" s="1103" t="s">
        <v>70</v>
      </c>
      <c r="E83" s="628">
        <f>E82</f>
        <v>4</v>
      </c>
      <c r="F83" s="627" t="s">
        <v>541</v>
      </c>
      <c r="G83" s="626">
        <f>partmeals</f>
        <v>47</v>
      </c>
      <c r="H83" s="627" t="s">
        <v>542</v>
      </c>
      <c r="I83" s="628">
        <f t="shared" si="18"/>
        <v>1</v>
      </c>
      <c r="J83" s="628">
        <f t="shared" si="14"/>
        <v>188</v>
      </c>
      <c r="K83" s="629"/>
      <c r="L83" s="628"/>
      <c r="N83" s="629"/>
      <c r="O83" s="628">
        <f t="shared" si="15"/>
        <v>586.56000000000006</v>
      </c>
      <c r="P83" s="630"/>
      <c r="Q83" s="629"/>
      <c r="R83" s="628">
        <f t="shared" si="16"/>
        <v>610.02240000000006</v>
      </c>
      <c r="S83" s="630"/>
      <c r="T83" s="629"/>
      <c r="U83" s="628">
        <f t="shared" si="17"/>
        <v>422.94886400000001</v>
      </c>
      <c r="V83" s="630"/>
      <c r="W83" s="618">
        <v>0</v>
      </c>
      <c r="Y83" s="593"/>
    </row>
    <row r="84" spans="1:25" ht="15.9" hidden="1" thickTop="1" thickBot="1">
      <c r="A84" s="1102"/>
      <c r="B84" s="1102"/>
      <c r="C84" s="1102"/>
      <c r="D84" s="1103"/>
      <c r="E84" s="628"/>
      <c r="F84" s="628"/>
      <c r="G84" s="628"/>
      <c r="H84" s="628"/>
      <c r="I84" s="628"/>
      <c r="J84" s="628"/>
      <c r="K84" s="629"/>
      <c r="L84" s="628"/>
      <c r="N84" s="629"/>
      <c r="O84" s="628"/>
      <c r="P84" s="630"/>
      <c r="Q84" s="629"/>
      <c r="R84" s="628"/>
      <c r="S84" s="630"/>
      <c r="T84" s="629"/>
      <c r="U84" s="628"/>
      <c r="V84" s="630"/>
      <c r="W84" s="618">
        <v>0</v>
      </c>
      <c r="Y84" s="593"/>
    </row>
    <row r="85" spans="1:25" ht="15.9" hidden="1" thickTop="1" thickBot="1">
      <c r="A85" s="1102"/>
      <c r="B85" s="1102"/>
      <c r="C85" s="1102"/>
      <c r="D85" s="633" t="s">
        <v>554</v>
      </c>
      <c r="E85" s="628"/>
      <c r="F85" s="634"/>
      <c r="G85" s="628"/>
      <c r="H85" s="628"/>
      <c r="I85" s="628"/>
      <c r="J85" s="628">
        <f t="shared" ref="J85:J89" si="19">E85*G85*I85</f>
        <v>0</v>
      </c>
      <c r="K85" s="629"/>
      <c r="L85" s="628"/>
      <c r="N85" s="629"/>
      <c r="O85" s="628">
        <f>$J85*N73*P$12</f>
        <v>0</v>
      </c>
      <c r="P85" s="630"/>
      <c r="Q85" s="629"/>
      <c r="R85" s="628">
        <f>$J85*Q73*S$12</f>
        <v>0</v>
      </c>
      <c r="S85" s="630"/>
      <c r="T85" s="629"/>
      <c r="U85" s="628">
        <f>$J85*T73*V$12</f>
        <v>0</v>
      </c>
      <c r="V85" s="630"/>
      <c r="W85" s="618">
        <v>0</v>
      </c>
      <c r="Y85" s="593"/>
    </row>
    <row r="86" spans="1:25" ht="15.9" hidden="1" thickTop="1" thickBot="1">
      <c r="A86" s="1102"/>
      <c r="B86" s="1102"/>
      <c r="C86" s="1102"/>
      <c r="D86" s="1103" t="s">
        <v>563</v>
      </c>
      <c r="E86" s="626">
        <v>2</v>
      </c>
      <c r="F86" s="627" t="s">
        <v>541</v>
      </c>
      <c r="G86" s="626">
        <f>partground</f>
        <v>9</v>
      </c>
      <c r="H86" s="627" t="s">
        <v>556</v>
      </c>
      <c r="I86" s="628">
        <f>IF(E86=0,0,1)</f>
        <v>1</v>
      </c>
      <c r="J86" s="628">
        <f t="shared" si="19"/>
        <v>18</v>
      </c>
      <c r="K86" s="629"/>
      <c r="L86" s="628"/>
      <c r="N86" s="629"/>
      <c r="O86" s="628">
        <f>$J86*3*P$12</f>
        <v>56.160000000000004</v>
      </c>
      <c r="P86" s="630"/>
      <c r="Q86" s="629"/>
      <c r="R86" s="628">
        <f>$J86*3*S$12</f>
        <v>58.406400000000005</v>
      </c>
      <c r="S86" s="630"/>
      <c r="T86" s="629"/>
      <c r="U86" s="628">
        <f>$J86*2*V$12</f>
        <v>40.495104000000005</v>
      </c>
      <c r="V86" s="630"/>
      <c r="W86" s="618">
        <v>0</v>
      </c>
      <c r="Y86" s="593"/>
    </row>
    <row r="87" spans="1:25" ht="15.6" hidden="1" thickTop="1">
      <c r="A87" s="1102"/>
      <c r="B87" s="1102"/>
      <c r="C87" s="1102"/>
      <c r="D87" s="1103" t="s">
        <v>564</v>
      </c>
      <c r="E87" s="626">
        <v>2</v>
      </c>
      <c r="F87" s="627" t="s">
        <v>541</v>
      </c>
      <c r="G87" s="626">
        <f>partground</f>
        <v>9</v>
      </c>
      <c r="H87" s="627" t="s">
        <v>542</v>
      </c>
      <c r="I87" s="628">
        <f>IF(E87=0,0,1)</f>
        <v>1</v>
      </c>
      <c r="J87" s="628">
        <f t="shared" si="19"/>
        <v>18</v>
      </c>
      <c r="K87" s="629"/>
      <c r="L87" s="628"/>
      <c r="N87" s="629"/>
      <c r="O87" s="628">
        <f t="shared" ref="O87:O89" si="20">$J87*3*P$12</f>
        <v>56.160000000000004</v>
      </c>
      <c r="P87" s="630"/>
      <c r="Q87" s="629"/>
      <c r="R87" s="628">
        <f t="shared" ref="R87:R89" si="21">$J87*3*S$12</f>
        <v>58.406400000000005</v>
      </c>
      <c r="S87" s="630"/>
      <c r="T87" s="629"/>
      <c r="U87" s="628">
        <f t="shared" ref="U87:U89" si="22">$J87*2*V$12</f>
        <v>40.495104000000005</v>
      </c>
      <c r="V87" s="630"/>
      <c r="W87" s="618">
        <v>0</v>
      </c>
      <c r="Y87" s="593"/>
    </row>
    <row r="88" spans="1:25" ht="15.9" hidden="1" thickTop="1" thickBot="1">
      <c r="A88" s="1102"/>
      <c r="B88" s="1102"/>
      <c r="C88" s="1102"/>
      <c r="D88" s="1103" t="s">
        <v>48</v>
      </c>
      <c r="E88" s="628"/>
      <c r="F88" s="627" t="s">
        <v>541</v>
      </c>
      <c r="G88" s="626">
        <f>partlodg</f>
        <v>25</v>
      </c>
      <c r="H88" s="627" t="s">
        <v>542</v>
      </c>
      <c r="I88" s="628">
        <f>IF(E88=0,0,I73)</f>
        <v>0</v>
      </c>
      <c r="J88" s="628">
        <f t="shared" si="19"/>
        <v>0</v>
      </c>
      <c r="K88" s="629"/>
      <c r="L88" s="628"/>
      <c r="N88" s="629"/>
      <c r="O88" s="628">
        <f t="shared" si="20"/>
        <v>0</v>
      </c>
      <c r="P88" s="630"/>
      <c r="Q88" s="629"/>
      <c r="R88" s="628">
        <f t="shared" si="21"/>
        <v>0</v>
      </c>
      <c r="S88" s="630"/>
      <c r="T88" s="629"/>
      <c r="U88" s="628">
        <f t="shared" si="22"/>
        <v>0</v>
      </c>
      <c r="V88" s="630"/>
      <c r="W88" s="618">
        <f t="shared" si="12"/>
        <v>0</v>
      </c>
      <c r="Y88" s="593"/>
    </row>
    <row r="89" spans="1:25" ht="15.6" hidden="1" thickTop="1">
      <c r="A89" s="1102"/>
      <c r="B89" s="1102"/>
      <c r="C89" s="1102"/>
      <c r="D89" s="1103" t="s">
        <v>70</v>
      </c>
      <c r="E89" s="628"/>
      <c r="F89" s="627" t="s">
        <v>541</v>
      </c>
      <c r="G89" s="626">
        <f>partmeals</f>
        <v>47</v>
      </c>
      <c r="H89" s="627" t="s">
        <v>542</v>
      </c>
      <c r="I89" s="628">
        <f>IF(E89=0,0,I73)</f>
        <v>0</v>
      </c>
      <c r="J89" s="628">
        <f t="shared" si="19"/>
        <v>0</v>
      </c>
      <c r="K89" s="629"/>
      <c r="L89" s="628"/>
      <c r="N89" s="629"/>
      <c r="O89" s="628">
        <f t="shared" si="20"/>
        <v>0</v>
      </c>
      <c r="P89" s="630"/>
      <c r="Q89" s="629"/>
      <c r="R89" s="628">
        <f t="shared" si="21"/>
        <v>0</v>
      </c>
      <c r="S89" s="630"/>
      <c r="T89" s="629"/>
      <c r="U89" s="628">
        <f t="shared" si="22"/>
        <v>0</v>
      </c>
      <c r="V89" s="630"/>
      <c r="W89" s="618">
        <f t="shared" si="12"/>
        <v>0</v>
      </c>
      <c r="Y89" s="593"/>
    </row>
    <row r="90" spans="1:25">
      <c r="A90" s="1102"/>
      <c r="B90" s="1102"/>
      <c r="C90" s="1102"/>
      <c r="D90" s="644" t="s">
        <v>547</v>
      </c>
      <c r="E90" s="645"/>
      <c r="F90" s="645"/>
      <c r="G90" s="646"/>
      <c r="H90" s="1146">
        <f>SUM(J74:J89)</f>
        <v>1007</v>
      </c>
      <c r="I90" s="1147"/>
      <c r="J90" s="647"/>
      <c r="K90" s="648"/>
      <c r="L90" s="648"/>
      <c r="M90" s="621"/>
      <c r="N90" s="648"/>
      <c r="O90" s="648"/>
      <c r="P90" s="621"/>
      <c r="Q90" s="648"/>
      <c r="R90" s="648"/>
      <c r="S90" s="621"/>
      <c r="T90" s="648"/>
      <c r="U90" s="648"/>
      <c r="V90" s="621"/>
      <c r="W90" s="649"/>
      <c r="Y90" s="593"/>
    </row>
    <row r="91" spans="1:25" ht="13.5" customHeight="1" thickBot="1">
      <c r="A91" s="1102"/>
      <c r="B91" s="1102"/>
      <c r="C91" s="1102"/>
      <c r="D91" s="1110"/>
      <c r="E91" s="650"/>
      <c r="F91" s="650"/>
      <c r="G91" s="650"/>
      <c r="H91" s="650"/>
      <c r="I91" s="650"/>
      <c r="J91" s="612"/>
      <c r="K91" s="612"/>
      <c r="L91" s="612"/>
      <c r="M91" s="612"/>
      <c r="N91" s="612"/>
      <c r="O91" s="612"/>
      <c r="P91" s="612"/>
      <c r="Q91" s="612"/>
      <c r="R91" s="612"/>
      <c r="S91" s="612"/>
      <c r="T91" s="612"/>
      <c r="U91" s="612"/>
      <c r="V91" s="612"/>
      <c r="W91" s="613"/>
      <c r="Y91" s="593"/>
    </row>
    <row r="92" spans="1:25" ht="15.9" thickTop="1" thickBot="1">
      <c r="A92" s="1102"/>
      <c r="B92" s="1102"/>
      <c r="C92" s="1102"/>
      <c r="D92" s="1159" t="s">
        <v>567</v>
      </c>
      <c r="E92" s="1160"/>
      <c r="F92" s="1160"/>
      <c r="G92" s="1160"/>
      <c r="H92" s="1161"/>
      <c r="I92" s="614">
        <v>1</v>
      </c>
      <c r="J92" s="615"/>
      <c r="K92" s="1151"/>
      <c r="L92" s="1152"/>
      <c r="M92" s="616">
        <f>SUM(L94:L97)</f>
        <v>0</v>
      </c>
      <c r="N92" s="1140">
        <v>0</v>
      </c>
      <c r="O92" s="1141"/>
      <c r="P92" s="617">
        <f>SUM(O94:O97)</f>
        <v>0</v>
      </c>
      <c r="Q92" s="1140">
        <v>6</v>
      </c>
      <c r="R92" s="1141"/>
      <c r="S92" s="617">
        <f>SUM(R94:R97)</f>
        <v>5191.68</v>
      </c>
      <c r="T92" s="1142">
        <v>4</v>
      </c>
      <c r="U92" s="1140"/>
      <c r="V92" s="617">
        <f>SUM(U94:U97)</f>
        <v>3599.5648000000001</v>
      </c>
      <c r="W92" s="618">
        <f>SUM(M92,P92,S92,V92,)</f>
        <v>8791.2448000000004</v>
      </c>
      <c r="Y92" s="593"/>
    </row>
    <row r="93" spans="1:25" ht="15.9" thickTop="1" thickBot="1">
      <c r="A93" s="1102"/>
      <c r="B93" s="1102"/>
      <c r="C93" s="1102"/>
      <c r="D93" s="619" t="s">
        <v>568</v>
      </c>
      <c r="E93" s="620"/>
      <c r="F93" s="620"/>
      <c r="G93" s="620"/>
      <c r="H93" s="621"/>
      <c r="I93" s="620"/>
      <c r="J93" s="620"/>
      <c r="K93" s="622"/>
      <c r="L93" s="620"/>
      <c r="M93" s="621"/>
      <c r="N93" s="622"/>
      <c r="O93" s="620"/>
      <c r="P93" s="623"/>
      <c r="Q93" s="622"/>
      <c r="R93" s="620"/>
      <c r="S93" s="623"/>
      <c r="T93" s="622"/>
      <c r="U93" s="620"/>
      <c r="V93" s="623"/>
      <c r="W93" s="618">
        <f t="shared" ref="W93:W96" si="23">U93+R93+O93+L93</f>
        <v>0</v>
      </c>
      <c r="Y93" s="593"/>
    </row>
    <row r="94" spans="1:25" ht="15.9" thickTop="1" thickBot="1">
      <c r="A94" s="1102" t="s">
        <v>998</v>
      </c>
      <c r="B94" s="1102">
        <v>86000</v>
      </c>
      <c r="C94" s="1102" t="s">
        <v>910</v>
      </c>
      <c r="D94" s="1103" t="s">
        <v>540</v>
      </c>
      <c r="E94" s="626">
        <v>15</v>
      </c>
      <c r="F94" s="627" t="s">
        <v>541</v>
      </c>
      <c r="G94" s="626">
        <f>parttransp</f>
        <v>4</v>
      </c>
      <c r="H94" s="627" t="s">
        <v>542</v>
      </c>
      <c r="I94" s="628">
        <f>IF(E94=0,0,I92)</f>
        <v>1</v>
      </c>
      <c r="J94" s="628">
        <f t="shared" ref="J94:J96" si="24">E94*G94*I94</f>
        <v>60</v>
      </c>
      <c r="K94" s="629"/>
      <c r="L94" s="628">
        <f>$J94*K92*M$12</f>
        <v>0</v>
      </c>
      <c r="N94" s="629"/>
      <c r="O94" s="628">
        <f>$J94*N92*P$12</f>
        <v>0</v>
      </c>
      <c r="P94" s="630"/>
      <c r="Q94" s="629"/>
      <c r="R94" s="628">
        <f>$J94*Q92*S$12</f>
        <v>389.37600000000003</v>
      </c>
      <c r="S94" s="630"/>
      <c r="T94" s="629"/>
      <c r="U94" s="628">
        <f>$J94*T92*V$12</f>
        <v>269.96736000000004</v>
      </c>
      <c r="V94" s="630"/>
      <c r="W94" s="618">
        <f t="shared" si="23"/>
        <v>659.34336000000008</v>
      </c>
      <c r="Y94" s="593"/>
    </row>
    <row r="95" spans="1:25" ht="15.9" thickTop="1" thickBot="1">
      <c r="A95" s="1102" t="s">
        <v>999</v>
      </c>
      <c r="B95" s="1102">
        <v>87000</v>
      </c>
      <c r="C95" s="1102" t="s">
        <v>910</v>
      </c>
      <c r="D95" s="1103" t="s">
        <v>543</v>
      </c>
      <c r="E95" s="626">
        <v>15</v>
      </c>
      <c r="F95" s="627" t="s">
        <v>541</v>
      </c>
      <c r="G95" s="626">
        <f>coffee+lunch</f>
        <v>16</v>
      </c>
      <c r="H95" s="627" t="s">
        <v>542</v>
      </c>
      <c r="I95" s="628">
        <f>IF(E95=0,0,I92)</f>
        <v>1</v>
      </c>
      <c r="J95" s="628">
        <f t="shared" si="24"/>
        <v>240</v>
      </c>
      <c r="K95" s="629"/>
      <c r="L95" s="628">
        <f>$J95*K92*M$12</f>
        <v>0</v>
      </c>
      <c r="N95" s="629"/>
      <c r="O95" s="628">
        <f>$J95*N92*P$12</f>
        <v>0</v>
      </c>
      <c r="P95" s="630"/>
      <c r="Q95" s="629"/>
      <c r="R95" s="628">
        <f>$J95*Q92*S$12</f>
        <v>1557.5040000000001</v>
      </c>
      <c r="S95" s="630"/>
      <c r="T95" s="629"/>
      <c r="U95" s="628">
        <f>$J95*T92*V$12</f>
        <v>1079.8694400000002</v>
      </c>
      <c r="V95" s="630"/>
      <c r="W95" s="618">
        <f t="shared" si="23"/>
        <v>2637.3734400000003</v>
      </c>
      <c r="Y95" s="593"/>
    </row>
    <row r="96" spans="1:25" ht="15.6" thickTop="1">
      <c r="A96" s="1102" t="s">
        <v>1000</v>
      </c>
      <c r="B96" s="1102">
        <v>82420</v>
      </c>
      <c r="C96" s="1102" t="s">
        <v>910</v>
      </c>
      <c r="D96" s="1103" t="s">
        <v>569</v>
      </c>
      <c r="E96" s="626">
        <v>500</v>
      </c>
      <c r="F96" s="627" t="s">
        <v>549</v>
      </c>
      <c r="G96" s="626">
        <v>1</v>
      </c>
      <c r="H96" s="632" t="str">
        <f>F96</f>
        <v>workshop</v>
      </c>
      <c r="I96" s="628">
        <v>1</v>
      </c>
      <c r="J96" s="628">
        <f t="shared" si="24"/>
        <v>500</v>
      </c>
      <c r="K96" s="629"/>
      <c r="L96" s="628">
        <f>$J96*K92*M$12</f>
        <v>0</v>
      </c>
      <c r="N96" s="629"/>
      <c r="O96" s="628">
        <f>$J96*N92*P$12</f>
        <v>0</v>
      </c>
      <c r="P96" s="630"/>
      <c r="Q96" s="629"/>
      <c r="R96" s="628">
        <f>$J96*Q92*S$12</f>
        <v>3244.8</v>
      </c>
      <c r="S96" s="630"/>
      <c r="T96" s="629"/>
      <c r="U96" s="628">
        <f>$J96*T92*V$12</f>
        <v>2249.7280000000001</v>
      </c>
      <c r="V96" s="630"/>
      <c r="W96" s="618">
        <f t="shared" si="23"/>
        <v>5494.5280000000002</v>
      </c>
      <c r="Y96" s="593"/>
    </row>
    <row r="97" spans="1:25" hidden="1">
      <c r="A97" s="1102"/>
      <c r="B97" s="1102"/>
      <c r="C97" s="1102"/>
      <c r="D97" s="1103"/>
      <c r="E97" s="628"/>
      <c r="F97" s="628"/>
      <c r="G97" s="628"/>
      <c r="H97" s="628"/>
      <c r="I97" s="628"/>
      <c r="J97" s="628"/>
      <c r="K97" s="629"/>
      <c r="L97" s="628"/>
      <c r="N97" s="629"/>
      <c r="O97" s="628"/>
      <c r="P97" s="630"/>
      <c r="Q97" s="629"/>
      <c r="R97" s="628"/>
      <c r="S97" s="630"/>
      <c r="T97" s="629"/>
      <c r="U97" s="628"/>
      <c r="V97" s="630"/>
      <c r="W97" s="631"/>
      <c r="Y97" s="593"/>
    </row>
    <row r="98" spans="1:25">
      <c r="A98" s="1102"/>
      <c r="B98" s="1102"/>
      <c r="C98" s="1102"/>
      <c r="D98" s="644" t="s">
        <v>547</v>
      </c>
      <c r="E98" s="645"/>
      <c r="F98" s="645"/>
      <c r="G98" s="646"/>
      <c r="H98" s="1146">
        <f>SUM(J93:J97)</f>
        <v>800</v>
      </c>
      <c r="I98" s="1147"/>
      <c r="J98" s="647"/>
      <c r="K98" s="648"/>
      <c r="L98" s="648"/>
      <c r="M98" s="621"/>
      <c r="N98" s="648"/>
      <c r="O98" s="648"/>
      <c r="P98" s="621"/>
      <c r="Q98" s="648"/>
      <c r="R98" s="648"/>
      <c r="S98" s="621"/>
      <c r="T98" s="648"/>
      <c r="U98" s="648"/>
      <c r="V98" s="621"/>
      <c r="W98" s="649"/>
      <c r="Y98" s="593"/>
    </row>
    <row r="99" spans="1:25" ht="13.5" customHeight="1" thickBot="1">
      <c r="A99" s="1102"/>
      <c r="B99" s="1102"/>
      <c r="C99" s="1102"/>
      <c r="D99" s="1110"/>
      <c r="E99" s="650"/>
      <c r="F99" s="650"/>
      <c r="G99" s="650"/>
      <c r="H99" s="650"/>
      <c r="I99" s="650"/>
      <c r="J99" s="612"/>
      <c r="K99" s="612"/>
      <c r="L99" s="612"/>
      <c r="M99" s="612"/>
      <c r="N99" s="612"/>
      <c r="O99" s="612"/>
      <c r="P99" s="612"/>
      <c r="Q99" s="612"/>
      <c r="R99" s="612"/>
      <c r="S99" s="612"/>
      <c r="T99" s="612"/>
      <c r="U99" s="612"/>
      <c r="V99" s="612"/>
      <c r="W99" s="613"/>
      <c r="Y99" s="593"/>
    </row>
    <row r="100" spans="1:25" ht="39.75" customHeight="1" thickTop="1" thickBot="1">
      <c r="A100" s="1102"/>
      <c r="B100" s="1102"/>
      <c r="C100" s="1102"/>
      <c r="D100" s="1156" t="s">
        <v>570</v>
      </c>
      <c r="E100" s="1157"/>
      <c r="F100" s="1157"/>
      <c r="G100" s="1157"/>
      <c r="H100" s="1158"/>
      <c r="I100" s="614">
        <v>1</v>
      </c>
      <c r="J100" s="615"/>
      <c r="K100" s="1151">
        <v>1</v>
      </c>
      <c r="L100" s="1152"/>
      <c r="M100" s="616">
        <f>SUM(L102)</f>
        <v>4500</v>
      </c>
      <c r="N100" s="1140">
        <v>0</v>
      </c>
      <c r="O100" s="1141"/>
      <c r="P100" s="617">
        <f>SUM(O102:O114)</f>
        <v>0</v>
      </c>
      <c r="Q100" s="1140">
        <v>0</v>
      </c>
      <c r="R100" s="1141"/>
      <c r="S100" s="617">
        <f>SUM(R102:R114)</f>
        <v>0</v>
      </c>
      <c r="T100" s="1142">
        <v>0</v>
      </c>
      <c r="U100" s="1140"/>
      <c r="V100" s="617">
        <f>SUM(U102:U114)</f>
        <v>0</v>
      </c>
      <c r="W100" s="618">
        <f>SUM(M100,P100,S100,V100,)</f>
        <v>4500</v>
      </c>
      <c r="Y100" s="593"/>
    </row>
    <row r="101" spans="1:25" ht="15.9" thickTop="1" thickBot="1">
      <c r="A101" s="1102"/>
      <c r="B101" s="1102"/>
      <c r="C101" s="1102"/>
      <c r="D101" s="619" t="s">
        <v>566</v>
      </c>
      <c r="E101" s="620"/>
      <c r="F101" s="620"/>
      <c r="G101" s="620"/>
      <c r="H101" s="621"/>
      <c r="I101" s="620"/>
      <c r="J101" s="620"/>
      <c r="K101" s="622"/>
      <c r="L101" s="620"/>
      <c r="M101" s="621"/>
      <c r="N101" s="622"/>
      <c r="O101" s="620"/>
      <c r="P101" s="623"/>
      <c r="Q101" s="622"/>
      <c r="R101" s="620"/>
      <c r="S101" s="623"/>
      <c r="T101" s="622"/>
      <c r="U101" s="620"/>
      <c r="V101" s="623"/>
      <c r="W101" s="618">
        <f t="shared" ref="W101:W114" si="25">U101+R101+O101+L101</f>
        <v>0</v>
      </c>
      <c r="Y101" s="593"/>
    </row>
    <row r="102" spans="1:25" ht="15.6" thickTop="1">
      <c r="A102" s="1102" t="s">
        <v>1001</v>
      </c>
      <c r="B102" s="1102">
        <v>81000</v>
      </c>
      <c r="C102" s="1102" t="s">
        <v>910</v>
      </c>
      <c r="D102" s="1103" t="s">
        <v>571</v>
      </c>
      <c r="E102" s="626">
        <v>15</v>
      </c>
      <c r="F102" s="627" t="s">
        <v>541</v>
      </c>
      <c r="G102" s="626">
        <f>localcons</f>
        <v>300</v>
      </c>
      <c r="H102" s="627" t="s">
        <v>542</v>
      </c>
      <c r="I102" s="626">
        <v>1</v>
      </c>
      <c r="J102" s="628">
        <f t="shared" ref="J102" si="26">E102*G102*I102</f>
        <v>4500</v>
      </c>
      <c r="K102" s="629"/>
      <c r="L102" s="628">
        <f>$J102*K100*M$12</f>
        <v>4500</v>
      </c>
      <c r="N102" s="629"/>
      <c r="O102" s="628">
        <f>$J102*N100*P$12</f>
        <v>0</v>
      </c>
      <c r="P102" s="630"/>
      <c r="Q102" s="629"/>
      <c r="R102" s="628">
        <f>$J102*Q100*S$12</f>
        <v>0</v>
      </c>
      <c r="S102" s="630"/>
      <c r="T102" s="629"/>
      <c r="U102" s="628">
        <f>$J102*T100*V$12</f>
        <v>0</v>
      </c>
      <c r="V102" s="630"/>
      <c r="W102" s="618">
        <f t="shared" si="25"/>
        <v>4500</v>
      </c>
      <c r="Y102" s="593"/>
    </row>
    <row r="103" spans="1:25" ht="15.9" hidden="1" thickTop="1" thickBot="1">
      <c r="A103" s="1102"/>
      <c r="B103" s="1102"/>
      <c r="C103" s="1102"/>
      <c r="D103" s="1103"/>
      <c r="E103" s="628"/>
      <c r="F103" s="628"/>
      <c r="G103" s="628"/>
      <c r="H103" s="628"/>
      <c r="I103" s="628"/>
      <c r="J103" s="628"/>
      <c r="K103" s="629"/>
      <c r="L103" s="628"/>
      <c r="N103" s="629"/>
      <c r="O103" s="628"/>
      <c r="P103" s="630"/>
      <c r="Q103" s="629"/>
      <c r="R103" s="628"/>
      <c r="S103" s="630"/>
      <c r="T103" s="629"/>
      <c r="U103" s="628"/>
      <c r="V103" s="630"/>
      <c r="W103" s="618">
        <f t="shared" si="25"/>
        <v>0</v>
      </c>
      <c r="Y103" s="593"/>
    </row>
    <row r="104" spans="1:25" ht="15.9" hidden="1" thickTop="1" thickBot="1">
      <c r="A104" s="1102"/>
      <c r="B104" s="1102"/>
      <c r="C104" s="1102"/>
      <c r="D104" s="633" t="s">
        <v>562</v>
      </c>
      <c r="E104" s="628"/>
      <c r="F104" s="634"/>
      <c r="G104" s="628"/>
      <c r="H104" s="628"/>
      <c r="I104" s="628"/>
      <c r="J104" s="628"/>
      <c r="K104" s="629"/>
      <c r="L104" s="628"/>
      <c r="N104" s="629"/>
      <c r="O104" s="628"/>
      <c r="P104" s="630"/>
      <c r="Q104" s="629"/>
      <c r="R104" s="628"/>
      <c r="S104" s="630"/>
      <c r="T104" s="629"/>
      <c r="U104" s="628"/>
      <c r="V104" s="630"/>
      <c r="W104" s="618">
        <v>0</v>
      </c>
      <c r="Y104" s="593"/>
    </row>
    <row r="105" spans="1:25" ht="15.9" hidden="1" thickTop="1" thickBot="1">
      <c r="A105" s="1102"/>
      <c r="B105" s="1102"/>
      <c r="C105" s="1102"/>
      <c r="D105" s="1103" t="s">
        <v>555</v>
      </c>
      <c r="E105" s="626">
        <v>2</v>
      </c>
      <c r="F105" s="627" t="s">
        <v>541</v>
      </c>
      <c r="G105" s="626">
        <f>localairfare</f>
        <v>175</v>
      </c>
      <c r="H105" s="627" t="s">
        <v>556</v>
      </c>
      <c r="I105" s="628">
        <f>IF(E105=0,0,1)</f>
        <v>1</v>
      </c>
      <c r="J105" s="628">
        <f>E105*G105*I105</f>
        <v>350</v>
      </c>
      <c r="K105" s="629"/>
      <c r="L105" s="628">
        <f>$J105*$K$100*M$12</f>
        <v>350</v>
      </c>
      <c r="N105" s="629"/>
      <c r="O105" s="628"/>
      <c r="P105" s="630"/>
      <c r="Q105" s="629"/>
      <c r="R105" s="628"/>
      <c r="S105" s="630"/>
      <c r="T105" s="629"/>
      <c r="U105" s="628"/>
      <c r="V105" s="630"/>
      <c r="W105" s="618">
        <v>0</v>
      </c>
      <c r="Y105" s="593"/>
    </row>
    <row r="106" spans="1:25" ht="15.9" hidden="1" thickTop="1" thickBot="1">
      <c r="A106" s="1102"/>
      <c r="B106" s="1102"/>
      <c r="C106" s="1102"/>
      <c r="D106" s="1103" t="s">
        <v>557</v>
      </c>
      <c r="E106" s="626">
        <v>2</v>
      </c>
      <c r="F106" s="627" t="s">
        <v>541</v>
      </c>
      <c r="G106" s="626">
        <f>partground</f>
        <v>9</v>
      </c>
      <c r="H106" s="627" t="s">
        <v>542</v>
      </c>
      <c r="I106" s="628">
        <f>IF(E106=0,0,1)</f>
        <v>1</v>
      </c>
      <c r="J106" s="628">
        <f t="shared" ref="J106:J108" si="27">E106*G106*I106</f>
        <v>18</v>
      </c>
      <c r="K106" s="629"/>
      <c r="L106" s="628">
        <f>$J106*$K$100*M$12</f>
        <v>18</v>
      </c>
      <c r="N106" s="629"/>
      <c r="O106" s="628"/>
      <c r="P106" s="630"/>
      <c r="Q106" s="629"/>
      <c r="R106" s="628"/>
      <c r="S106" s="630"/>
      <c r="T106" s="629"/>
      <c r="U106" s="628"/>
      <c r="V106" s="630"/>
      <c r="W106" s="618">
        <v>0</v>
      </c>
      <c r="Y106" s="593"/>
    </row>
    <row r="107" spans="1:25" ht="15.9" hidden="1" thickTop="1" thickBot="1">
      <c r="A107" s="1102"/>
      <c r="B107" s="1102"/>
      <c r="C107" s="1102"/>
      <c r="D107" s="1103" t="s">
        <v>48</v>
      </c>
      <c r="E107" s="628">
        <f>E105+E106</f>
        <v>4</v>
      </c>
      <c r="F107" s="627" t="s">
        <v>541</v>
      </c>
      <c r="G107" s="626">
        <f>partlodg</f>
        <v>25</v>
      </c>
      <c r="H107" s="627" t="s">
        <v>542</v>
      </c>
      <c r="I107" s="628">
        <f t="shared" ref="I107:I108" si="28">IF(E107=0,0,1)</f>
        <v>1</v>
      </c>
      <c r="J107" s="628">
        <f t="shared" si="27"/>
        <v>100</v>
      </c>
      <c r="K107" s="629"/>
      <c r="L107" s="628">
        <f>$J107*$K$100*M$12</f>
        <v>100</v>
      </c>
      <c r="N107" s="629"/>
      <c r="O107" s="628"/>
      <c r="P107" s="630"/>
      <c r="Q107" s="629"/>
      <c r="R107" s="628"/>
      <c r="S107" s="630"/>
      <c r="T107" s="629"/>
      <c r="U107" s="628"/>
      <c r="V107" s="630"/>
      <c r="W107" s="618">
        <v>0</v>
      </c>
      <c r="Y107" s="593"/>
    </row>
    <row r="108" spans="1:25" ht="15.9" hidden="1" thickTop="1" thickBot="1">
      <c r="A108" s="1102"/>
      <c r="B108" s="1102"/>
      <c r="C108" s="1102"/>
      <c r="D108" s="1103" t="s">
        <v>70</v>
      </c>
      <c r="E108" s="628">
        <f>E107</f>
        <v>4</v>
      </c>
      <c r="F108" s="627" t="s">
        <v>541</v>
      </c>
      <c r="G108" s="626">
        <f>partmeals</f>
        <v>47</v>
      </c>
      <c r="H108" s="627" t="s">
        <v>542</v>
      </c>
      <c r="I108" s="628">
        <f t="shared" si="28"/>
        <v>1</v>
      </c>
      <c r="J108" s="628">
        <f t="shared" si="27"/>
        <v>188</v>
      </c>
      <c r="K108" s="629"/>
      <c r="L108" s="628">
        <f>$J108*$K$100*M$12</f>
        <v>188</v>
      </c>
      <c r="N108" s="629"/>
      <c r="O108" s="628"/>
      <c r="P108" s="630"/>
      <c r="Q108" s="629"/>
      <c r="R108" s="628"/>
      <c r="S108" s="630"/>
      <c r="T108" s="629"/>
      <c r="U108" s="628"/>
      <c r="V108" s="630"/>
      <c r="W108" s="618">
        <v>0</v>
      </c>
      <c r="Y108" s="593"/>
    </row>
    <row r="109" spans="1:25" ht="15.9" hidden="1" thickTop="1" thickBot="1">
      <c r="A109" s="1102"/>
      <c r="B109" s="1102"/>
      <c r="C109" s="1102"/>
      <c r="D109" s="1103"/>
      <c r="E109" s="628"/>
      <c r="F109" s="628"/>
      <c r="G109" s="628"/>
      <c r="H109" s="628"/>
      <c r="I109" s="628"/>
      <c r="J109" s="628"/>
      <c r="K109" s="629"/>
      <c r="L109" s="628"/>
      <c r="N109" s="629"/>
      <c r="O109" s="628"/>
      <c r="P109" s="630"/>
      <c r="Q109" s="629"/>
      <c r="R109" s="628"/>
      <c r="S109" s="630"/>
      <c r="T109" s="629"/>
      <c r="U109" s="628"/>
      <c r="V109" s="630"/>
      <c r="W109" s="618">
        <v>0</v>
      </c>
      <c r="Y109" s="593"/>
    </row>
    <row r="110" spans="1:25" ht="15.9" hidden="1" thickTop="1" thickBot="1">
      <c r="A110" s="1102"/>
      <c r="B110" s="1102"/>
      <c r="C110" s="1102"/>
      <c r="D110" s="633" t="s">
        <v>554</v>
      </c>
      <c r="E110" s="628"/>
      <c r="F110" s="634"/>
      <c r="G110" s="628"/>
      <c r="H110" s="628"/>
      <c r="I110" s="628"/>
      <c r="J110" s="628">
        <f t="shared" ref="J110:J114" si="29">E110*G110*I110</f>
        <v>0</v>
      </c>
      <c r="K110" s="629"/>
      <c r="L110" s="628"/>
      <c r="N110" s="629"/>
      <c r="O110" s="628"/>
      <c r="P110" s="630"/>
      <c r="Q110" s="629"/>
      <c r="R110" s="628"/>
      <c r="S110" s="630"/>
      <c r="T110" s="629"/>
      <c r="U110" s="628"/>
      <c r="V110" s="630"/>
      <c r="W110" s="618">
        <v>0</v>
      </c>
      <c r="Y110" s="593"/>
    </row>
    <row r="111" spans="1:25" ht="15.9" hidden="1" thickTop="1" thickBot="1">
      <c r="A111" s="1102"/>
      <c r="B111" s="1102"/>
      <c r="C111" s="1102"/>
      <c r="D111" s="1103" t="s">
        <v>563</v>
      </c>
      <c r="E111" s="626">
        <v>2</v>
      </c>
      <c r="F111" s="627" t="s">
        <v>541</v>
      </c>
      <c r="G111" s="626">
        <f>partground</f>
        <v>9</v>
      </c>
      <c r="H111" s="627" t="s">
        <v>556</v>
      </c>
      <c r="I111" s="628">
        <f>IF(E111=0,0,1)</f>
        <v>1</v>
      </c>
      <c r="J111" s="628">
        <f t="shared" si="29"/>
        <v>18</v>
      </c>
      <c r="K111" s="629"/>
      <c r="L111" s="628">
        <f>$J111*$K$100*M$12</f>
        <v>18</v>
      </c>
      <c r="N111" s="629"/>
      <c r="O111" s="628"/>
      <c r="P111" s="630"/>
      <c r="Q111" s="629"/>
      <c r="R111" s="628"/>
      <c r="S111" s="630"/>
      <c r="T111" s="629"/>
      <c r="U111" s="628"/>
      <c r="V111" s="630"/>
      <c r="W111" s="618">
        <v>0</v>
      </c>
      <c r="Y111" s="593"/>
    </row>
    <row r="112" spans="1:25" ht="15.6" hidden="1" thickTop="1">
      <c r="A112" s="1102"/>
      <c r="B112" s="1102"/>
      <c r="C112" s="1102"/>
      <c r="D112" s="1103" t="s">
        <v>564</v>
      </c>
      <c r="E112" s="626">
        <v>2</v>
      </c>
      <c r="F112" s="627" t="s">
        <v>541</v>
      </c>
      <c r="G112" s="626">
        <f>partground</f>
        <v>9</v>
      </c>
      <c r="H112" s="627" t="s">
        <v>542</v>
      </c>
      <c r="I112" s="628">
        <f>IF(E112=0,0,1)</f>
        <v>1</v>
      </c>
      <c r="J112" s="628">
        <f t="shared" si="29"/>
        <v>18</v>
      </c>
      <c r="K112" s="629"/>
      <c r="L112" s="628">
        <f>$J112*$K$100*M$12</f>
        <v>18</v>
      </c>
      <c r="N112" s="629"/>
      <c r="O112" s="628"/>
      <c r="P112" s="630"/>
      <c r="Q112" s="629"/>
      <c r="R112" s="628"/>
      <c r="S112" s="630"/>
      <c r="T112" s="629"/>
      <c r="U112" s="628"/>
      <c r="V112" s="630"/>
      <c r="W112" s="618">
        <v>0</v>
      </c>
      <c r="Y112" s="593"/>
    </row>
    <row r="113" spans="1:25" ht="15.9" hidden="1" thickTop="1" thickBot="1">
      <c r="A113" s="1102"/>
      <c r="B113" s="1102"/>
      <c r="C113" s="1102"/>
      <c r="D113" s="1103" t="s">
        <v>48</v>
      </c>
      <c r="E113" s="628"/>
      <c r="F113" s="627" t="s">
        <v>541</v>
      </c>
      <c r="G113" s="626">
        <f>partlodg</f>
        <v>25</v>
      </c>
      <c r="H113" s="627" t="s">
        <v>542</v>
      </c>
      <c r="I113" s="628">
        <f>IF(E113=0,0,I100)</f>
        <v>0</v>
      </c>
      <c r="J113" s="628">
        <f t="shared" si="29"/>
        <v>0</v>
      </c>
      <c r="K113" s="629"/>
      <c r="L113" s="628">
        <f>$J113*$K$100*M$12</f>
        <v>0</v>
      </c>
      <c r="N113" s="629"/>
      <c r="O113" s="628"/>
      <c r="P113" s="630"/>
      <c r="Q113" s="629"/>
      <c r="R113" s="628"/>
      <c r="S113" s="630"/>
      <c r="T113" s="629"/>
      <c r="U113" s="628"/>
      <c r="V113" s="630"/>
      <c r="W113" s="618">
        <f t="shared" si="25"/>
        <v>0</v>
      </c>
      <c r="Y113" s="593"/>
    </row>
    <row r="114" spans="1:25" ht="15.6" hidden="1" thickTop="1">
      <c r="A114" s="1102"/>
      <c r="B114" s="1102"/>
      <c r="C114" s="1102"/>
      <c r="D114" s="1103" t="s">
        <v>70</v>
      </c>
      <c r="E114" s="628"/>
      <c r="F114" s="627" t="s">
        <v>541</v>
      </c>
      <c r="G114" s="626">
        <f>partmeals</f>
        <v>47</v>
      </c>
      <c r="H114" s="627" t="s">
        <v>542</v>
      </c>
      <c r="I114" s="628">
        <f>IF(E114=0,0,I100)</f>
        <v>0</v>
      </c>
      <c r="J114" s="628">
        <f t="shared" si="29"/>
        <v>0</v>
      </c>
      <c r="K114" s="629"/>
      <c r="L114" s="628">
        <f>$J114*$K$100*M$12</f>
        <v>0</v>
      </c>
      <c r="N114" s="629"/>
      <c r="O114" s="628"/>
      <c r="P114" s="630"/>
      <c r="Q114" s="629"/>
      <c r="R114" s="628"/>
      <c r="S114" s="630"/>
      <c r="T114" s="629"/>
      <c r="U114" s="628"/>
      <c r="V114" s="630"/>
      <c r="W114" s="618">
        <f t="shared" si="25"/>
        <v>0</v>
      </c>
      <c r="Y114" s="593"/>
    </row>
    <row r="115" spans="1:25">
      <c r="A115" s="1102"/>
      <c r="B115" s="1102"/>
      <c r="C115" s="1102"/>
      <c r="D115" s="644" t="s">
        <v>547</v>
      </c>
      <c r="E115" s="645"/>
      <c r="F115" s="645"/>
      <c r="G115" s="646"/>
      <c r="H115" s="1146">
        <f>SUM(J101:J114)</f>
        <v>5192</v>
      </c>
      <c r="I115" s="1147"/>
      <c r="J115" s="647"/>
      <c r="K115" s="648"/>
      <c r="L115" s="648"/>
      <c r="M115" s="621"/>
      <c r="N115" s="648"/>
      <c r="O115" s="648"/>
      <c r="P115" s="621"/>
      <c r="Q115" s="648"/>
      <c r="R115" s="648"/>
      <c r="S115" s="621"/>
      <c r="T115" s="648"/>
      <c r="U115" s="648"/>
      <c r="V115" s="621"/>
      <c r="W115" s="649"/>
      <c r="Y115" s="593"/>
    </row>
    <row r="116" spans="1:25" ht="13.5" customHeight="1" thickBot="1">
      <c r="A116" s="1102"/>
      <c r="B116" s="1102"/>
      <c r="C116" s="1102"/>
      <c r="D116" s="1110"/>
      <c r="E116" s="650"/>
      <c r="F116" s="650"/>
      <c r="G116" s="650"/>
      <c r="H116" s="650"/>
      <c r="I116" s="650"/>
      <c r="J116" s="612"/>
      <c r="K116" s="612"/>
      <c r="L116" s="612"/>
      <c r="M116" s="612"/>
      <c r="N116" s="612"/>
      <c r="O116" s="612"/>
      <c r="P116" s="612"/>
      <c r="Q116" s="612"/>
      <c r="R116" s="612"/>
      <c r="S116" s="612"/>
      <c r="T116" s="612"/>
      <c r="U116" s="612"/>
      <c r="V116" s="612"/>
      <c r="W116" s="613"/>
      <c r="Y116" s="593"/>
    </row>
    <row r="117" spans="1:25" ht="41.25" customHeight="1" thickTop="1" thickBot="1">
      <c r="A117" s="1102"/>
      <c r="B117" s="1102"/>
      <c r="C117" s="1102"/>
      <c r="D117" s="1156" t="s">
        <v>572</v>
      </c>
      <c r="E117" s="1157"/>
      <c r="F117" s="1157"/>
      <c r="G117" s="1157"/>
      <c r="H117" s="1158"/>
      <c r="I117" s="614">
        <v>3</v>
      </c>
      <c r="J117" s="615"/>
      <c r="K117" s="1151"/>
      <c r="L117" s="1152"/>
      <c r="M117" s="616">
        <f>SUM(L119:L122)</f>
        <v>0</v>
      </c>
      <c r="N117" s="1140">
        <v>3</v>
      </c>
      <c r="O117" s="1141"/>
      <c r="P117" s="616">
        <f>SUM(O119:O122)</f>
        <v>7644</v>
      </c>
      <c r="Q117" s="1140">
        <v>3</v>
      </c>
      <c r="R117" s="1141"/>
      <c r="S117" s="616">
        <f>SUM(R119:R122)</f>
        <v>7949.76</v>
      </c>
      <c r="T117" s="1142">
        <v>0</v>
      </c>
      <c r="U117" s="1140"/>
      <c r="V117" s="616">
        <f>SUM(U119:U122)</f>
        <v>0</v>
      </c>
      <c r="W117" s="618">
        <f>SUM(M117,P117,S117,V117,)</f>
        <v>15593.76</v>
      </c>
      <c r="Y117" s="593"/>
    </row>
    <row r="118" spans="1:25" ht="15.9" thickTop="1" thickBot="1">
      <c r="A118" s="1102"/>
      <c r="B118" s="1102"/>
      <c r="C118" s="1102"/>
      <c r="D118" s="619" t="s">
        <v>566</v>
      </c>
      <c r="E118" s="620"/>
      <c r="F118" s="620"/>
      <c r="G118" s="620"/>
      <c r="H118" s="621"/>
      <c r="I118" s="620"/>
      <c r="J118" s="620"/>
      <c r="K118" s="622"/>
      <c r="L118" s="620"/>
      <c r="M118" s="621"/>
      <c r="N118" s="622"/>
      <c r="O118" s="620"/>
      <c r="P118" s="623"/>
      <c r="Q118" s="622"/>
      <c r="R118" s="620"/>
      <c r="S118" s="623"/>
      <c r="T118" s="622"/>
      <c r="U118" s="620"/>
      <c r="V118" s="623"/>
      <c r="W118" s="618">
        <f t="shared" ref="W118:W123" si="30">U118+R118+O118+L118</f>
        <v>0</v>
      </c>
      <c r="Y118" s="593"/>
    </row>
    <row r="119" spans="1:25" ht="15.9" thickTop="1" thickBot="1">
      <c r="A119" s="1102" t="s">
        <v>1002</v>
      </c>
      <c r="B119" s="1102">
        <v>86000</v>
      </c>
      <c r="C119" s="1102" t="s">
        <v>910</v>
      </c>
      <c r="D119" s="1103" t="s">
        <v>540</v>
      </c>
      <c r="E119" s="626">
        <v>20</v>
      </c>
      <c r="F119" s="627" t="s">
        <v>541</v>
      </c>
      <c r="G119" s="626">
        <f>parttransp</f>
        <v>4</v>
      </c>
      <c r="H119" s="627" t="s">
        <v>542</v>
      </c>
      <c r="I119" s="628">
        <f>IF(E119=0,0,I117)</f>
        <v>3</v>
      </c>
      <c r="J119" s="628">
        <f t="shared" ref="J119:J122" si="31">E119*G119*I119</f>
        <v>240</v>
      </c>
      <c r="K119" s="629"/>
      <c r="L119" s="628">
        <f>$J119*K117*M$12</f>
        <v>0</v>
      </c>
      <c r="N119" s="629"/>
      <c r="O119" s="628">
        <f>$J119*N117*P$12</f>
        <v>748.80000000000007</v>
      </c>
      <c r="P119" s="630"/>
      <c r="Q119" s="629"/>
      <c r="R119" s="628">
        <f>$J119*Q117*S$12</f>
        <v>778.75200000000007</v>
      </c>
      <c r="S119" s="630"/>
      <c r="T119" s="629"/>
      <c r="U119" s="628">
        <f>$J119*T117*V$12</f>
        <v>0</v>
      </c>
      <c r="V119" s="630"/>
      <c r="W119" s="618">
        <f t="shared" si="30"/>
        <v>1527.5520000000001</v>
      </c>
      <c r="Y119" s="593"/>
    </row>
    <row r="120" spans="1:25" ht="15.9" thickTop="1" thickBot="1">
      <c r="A120" s="1102" t="s">
        <v>1003</v>
      </c>
      <c r="B120" s="1102">
        <v>87000</v>
      </c>
      <c r="C120" s="1102" t="s">
        <v>910</v>
      </c>
      <c r="D120" s="1103" t="s">
        <v>543</v>
      </c>
      <c r="E120" s="626">
        <v>20</v>
      </c>
      <c r="F120" s="627" t="s">
        <v>541</v>
      </c>
      <c r="G120" s="626">
        <f>coffee+lunch</f>
        <v>16</v>
      </c>
      <c r="H120" s="627" t="s">
        <v>542</v>
      </c>
      <c r="I120" s="628">
        <f>IF(E120=0,0,I117)</f>
        <v>3</v>
      </c>
      <c r="J120" s="628">
        <f t="shared" si="31"/>
        <v>960</v>
      </c>
      <c r="K120" s="629"/>
      <c r="L120" s="628">
        <f>$J120*K117*M$12</f>
        <v>0</v>
      </c>
      <c r="N120" s="629"/>
      <c r="O120" s="628">
        <f>$J120*N117*P$12</f>
        <v>2995.2000000000003</v>
      </c>
      <c r="P120" s="630"/>
      <c r="Q120" s="629"/>
      <c r="R120" s="628">
        <f>$J120*Q117*S$12</f>
        <v>3115.0080000000003</v>
      </c>
      <c r="S120" s="630"/>
      <c r="T120" s="629"/>
      <c r="U120" s="628">
        <f>$J120*T117*V$12</f>
        <v>0</v>
      </c>
      <c r="V120" s="630"/>
      <c r="W120" s="618">
        <f t="shared" si="30"/>
        <v>6110.2080000000005</v>
      </c>
      <c r="Y120" s="593"/>
    </row>
    <row r="121" spans="1:25" ht="15.9" thickTop="1" thickBot="1">
      <c r="A121" s="1102" t="s">
        <v>1004</v>
      </c>
      <c r="B121" s="1102">
        <v>82420</v>
      </c>
      <c r="C121" s="1102" t="s">
        <v>910</v>
      </c>
      <c r="D121" s="1103" t="s">
        <v>573</v>
      </c>
      <c r="E121" s="626">
        <v>1</v>
      </c>
      <c r="F121" s="627" t="s">
        <v>549</v>
      </c>
      <c r="G121" s="626">
        <v>1000</v>
      </c>
      <c r="H121" s="632" t="str">
        <f>F121</f>
        <v>workshop</v>
      </c>
      <c r="I121" s="628">
        <f>IF(E121=0,0,1)</f>
        <v>1</v>
      </c>
      <c r="J121" s="628">
        <f t="shared" si="31"/>
        <v>1000</v>
      </c>
      <c r="K121" s="629"/>
      <c r="L121" s="628">
        <f>$J121*K117*M$12</f>
        <v>0</v>
      </c>
      <c r="N121" s="629"/>
      <c r="O121" s="628">
        <f>$J121*N117*P$12</f>
        <v>3120</v>
      </c>
      <c r="P121" s="630"/>
      <c r="Q121" s="629"/>
      <c r="R121" s="628">
        <f>$J121*Q117*S$12</f>
        <v>3244.8</v>
      </c>
      <c r="S121" s="630"/>
      <c r="T121" s="629"/>
      <c r="U121" s="628">
        <f>$J121*T117*V$12</f>
        <v>0</v>
      </c>
      <c r="V121" s="630"/>
      <c r="W121" s="618">
        <f t="shared" si="30"/>
        <v>6364.8</v>
      </c>
      <c r="Y121" s="593"/>
    </row>
    <row r="122" spans="1:25" ht="15.6" thickTop="1">
      <c r="A122" s="1102" t="s">
        <v>1005</v>
      </c>
      <c r="B122" s="1102">
        <v>85300</v>
      </c>
      <c r="C122" s="1102" t="s">
        <v>910</v>
      </c>
      <c r="D122" s="1103" t="s">
        <v>544</v>
      </c>
      <c r="E122" s="626">
        <v>5</v>
      </c>
      <c r="F122" s="627" t="s">
        <v>545</v>
      </c>
      <c r="G122" s="626">
        <f>print</f>
        <v>50</v>
      </c>
      <c r="H122" s="632" t="str">
        <f>F122</f>
        <v>activity</v>
      </c>
      <c r="I122" s="628">
        <f>IF(E122=0,0,1)</f>
        <v>1</v>
      </c>
      <c r="J122" s="628">
        <f t="shared" si="31"/>
        <v>250</v>
      </c>
      <c r="K122" s="629"/>
      <c r="L122" s="628">
        <f>$J122*K117*M$12</f>
        <v>0</v>
      </c>
      <c r="N122" s="629"/>
      <c r="O122" s="628">
        <f>$J122*N117*P$12</f>
        <v>780</v>
      </c>
      <c r="P122" s="630"/>
      <c r="Q122" s="629"/>
      <c r="R122" s="628">
        <f>$J122*Q117*S$12</f>
        <v>811.2</v>
      </c>
      <c r="S122" s="630"/>
      <c r="T122" s="629"/>
      <c r="U122" s="628">
        <f>$J122*T117*V$12</f>
        <v>0</v>
      </c>
      <c r="V122" s="630"/>
      <c r="W122" s="618">
        <f t="shared" si="30"/>
        <v>1591.2</v>
      </c>
      <c r="Y122" s="593"/>
    </row>
    <row r="123" spans="1:25" ht="15.9" hidden="1" thickTop="1" thickBot="1">
      <c r="A123" s="1102" t="s">
        <v>1002</v>
      </c>
      <c r="B123" s="1102">
        <v>81004</v>
      </c>
      <c r="C123" s="1102" t="s">
        <v>910</v>
      </c>
      <c r="D123" s="1103"/>
      <c r="E123" s="628"/>
      <c r="F123" s="628"/>
      <c r="G123" s="628"/>
      <c r="H123" s="628"/>
      <c r="I123" s="628"/>
      <c r="J123" s="628"/>
      <c r="K123" s="629"/>
      <c r="L123" s="628"/>
      <c r="N123" s="629"/>
      <c r="O123" s="628"/>
      <c r="P123" s="630"/>
      <c r="Q123" s="629"/>
      <c r="R123" s="628"/>
      <c r="S123" s="630"/>
      <c r="T123" s="629"/>
      <c r="U123" s="628"/>
      <c r="V123" s="630"/>
      <c r="W123" s="618">
        <f t="shared" si="30"/>
        <v>0</v>
      </c>
      <c r="Y123" s="593"/>
    </row>
    <row r="124" spans="1:25" ht="15.9" hidden="1" thickTop="1" thickBot="1">
      <c r="A124" s="1102" t="s">
        <v>1002</v>
      </c>
      <c r="B124" s="1102">
        <v>81005</v>
      </c>
      <c r="C124" s="1102" t="s">
        <v>910</v>
      </c>
      <c r="D124" s="633" t="s">
        <v>554</v>
      </c>
      <c r="E124" s="628"/>
      <c r="F124" s="634"/>
      <c r="G124" s="628"/>
      <c r="H124" s="628"/>
      <c r="I124" s="628"/>
      <c r="J124" s="628">
        <f t="shared" ref="J124:J128" si="32">E124*G124*I124</f>
        <v>0</v>
      </c>
      <c r="K124" s="629"/>
      <c r="L124" s="628">
        <f>$J124*K117*M$12</f>
        <v>0</v>
      </c>
      <c r="N124" s="629"/>
      <c r="O124" s="628">
        <f>$J124*N117*P$12</f>
        <v>0</v>
      </c>
      <c r="P124" s="630"/>
      <c r="Q124" s="629"/>
      <c r="R124" s="628">
        <f>$J124*Q117*S$12</f>
        <v>0</v>
      </c>
      <c r="S124" s="630"/>
      <c r="T124" s="629"/>
      <c r="U124" s="628">
        <f>$J124*T117*V$12</f>
        <v>0</v>
      </c>
      <c r="V124" s="630"/>
      <c r="W124" s="618">
        <v>0</v>
      </c>
      <c r="Y124" s="593"/>
    </row>
    <row r="125" spans="1:25" ht="15.9" hidden="1" thickTop="1" thickBot="1">
      <c r="A125" s="1102" t="s">
        <v>1002</v>
      </c>
      <c r="B125" s="1102">
        <v>81006</v>
      </c>
      <c r="C125" s="1102" t="s">
        <v>910</v>
      </c>
      <c r="D125" s="1103" t="s">
        <v>555</v>
      </c>
      <c r="E125" s="626">
        <v>2</v>
      </c>
      <c r="F125" s="627" t="s">
        <v>541</v>
      </c>
      <c r="G125" s="626">
        <f>localairfare</f>
        <v>175</v>
      </c>
      <c r="H125" s="627" t="s">
        <v>556</v>
      </c>
      <c r="I125" s="628">
        <f>IF(E125=0,0,1)</f>
        <v>1</v>
      </c>
      <c r="J125" s="628">
        <f t="shared" si="32"/>
        <v>350</v>
      </c>
      <c r="K125" s="629"/>
      <c r="L125" s="628">
        <f>$J125*K117*M$12</f>
        <v>0</v>
      </c>
      <c r="N125" s="629"/>
      <c r="O125" s="628">
        <f>$J125*N117*P$12</f>
        <v>1092</v>
      </c>
      <c r="P125" s="630"/>
      <c r="Q125" s="629"/>
      <c r="R125" s="628">
        <f>$J125*Q117*S$12</f>
        <v>1135.68</v>
      </c>
      <c r="S125" s="630"/>
      <c r="T125" s="629"/>
      <c r="U125" s="628">
        <f>$J125*T117*V$12</f>
        <v>0</v>
      </c>
      <c r="V125" s="630"/>
      <c r="W125" s="618">
        <v>0</v>
      </c>
      <c r="Y125" s="593"/>
    </row>
    <row r="126" spans="1:25" ht="15.9" hidden="1" thickTop="1" thickBot="1">
      <c r="A126" s="1102" t="s">
        <v>1002</v>
      </c>
      <c r="B126" s="1102">
        <v>81007</v>
      </c>
      <c r="C126" s="1102" t="s">
        <v>910</v>
      </c>
      <c r="D126" s="1103" t="s">
        <v>574</v>
      </c>
      <c r="E126" s="626">
        <v>2</v>
      </c>
      <c r="F126" s="627" t="s">
        <v>541</v>
      </c>
      <c r="G126" s="626">
        <f>partground</f>
        <v>9</v>
      </c>
      <c r="H126" s="627" t="s">
        <v>542</v>
      </c>
      <c r="I126" s="628">
        <f>IF(E126=0,0,1)</f>
        <v>1</v>
      </c>
      <c r="J126" s="628">
        <f t="shared" si="32"/>
        <v>18</v>
      </c>
      <c r="K126" s="629"/>
      <c r="L126" s="628">
        <f>$J126*K117*M$12</f>
        <v>0</v>
      </c>
      <c r="N126" s="629"/>
      <c r="O126" s="628">
        <f>$J126*N117*P$12</f>
        <v>56.160000000000004</v>
      </c>
      <c r="P126" s="630"/>
      <c r="Q126" s="629"/>
      <c r="R126" s="628">
        <f>$J126*Q117*S$12</f>
        <v>58.406400000000005</v>
      </c>
      <c r="S126" s="630"/>
      <c r="T126" s="629"/>
      <c r="U126" s="628">
        <f>$J126*T117*V$12</f>
        <v>0</v>
      </c>
      <c r="V126" s="630"/>
      <c r="W126" s="618">
        <v>0</v>
      </c>
      <c r="Y126" s="593"/>
    </row>
    <row r="127" spans="1:25" ht="15.9" hidden="1" thickTop="1" thickBot="1">
      <c r="A127" s="1102" t="s">
        <v>1002</v>
      </c>
      <c r="B127" s="1102">
        <v>81008</v>
      </c>
      <c r="C127" s="1102" t="s">
        <v>910</v>
      </c>
      <c r="D127" s="1103" t="s">
        <v>48</v>
      </c>
      <c r="E127" s="628">
        <v>2</v>
      </c>
      <c r="F127" s="627" t="s">
        <v>541</v>
      </c>
      <c r="G127" s="626">
        <f>partlodg</f>
        <v>25</v>
      </c>
      <c r="H127" s="627" t="s">
        <v>542</v>
      </c>
      <c r="I127" s="628">
        <f>IF(E127=0,0,I117)</f>
        <v>3</v>
      </c>
      <c r="J127" s="628">
        <f t="shared" si="32"/>
        <v>150</v>
      </c>
      <c r="K127" s="629"/>
      <c r="L127" s="628">
        <f>$J127*K117*M$12</f>
        <v>0</v>
      </c>
      <c r="N127" s="629"/>
      <c r="O127" s="628">
        <f>$J127*N117*P$12</f>
        <v>468</v>
      </c>
      <c r="P127" s="630"/>
      <c r="Q127" s="629"/>
      <c r="R127" s="628">
        <f>$J127*Q117*S$12</f>
        <v>486.72</v>
      </c>
      <c r="S127" s="630"/>
      <c r="T127" s="629"/>
      <c r="U127" s="628">
        <f>$J127*T117*V$12</f>
        <v>0</v>
      </c>
      <c r="V127" s="630"/>
      <c r="W127" s="618">
        <v>0</v>
      </c>
      <c r="Y127" s="593"/>
    </row>
    <row r="128" spans="1:25" ht="15.6" hidden="1" thickTop="1">
      <c r="A128" s="1102" t="s">
        <v>1002</v>
      </c>
      <c r="B128" s="1102">
        <v>81009</v>
      </c>
      <c r="C128" s="1102" t="s">
        <v>910</v>
      </c>
      <c r="D128" s="1103" t="s">
        <v>70</v>
      </c>
      <c r="E128" s="628">
        <v>4</v>
      </c>
      <c r="F128" s="627" t="s">
        <v>541</v>
      </c>
      <c r="G128" s="626">
        <f>partmeals</f>
        <v>47</v>
      </c>
      <c r="H128" s="627" t="s">
        <v>542</v>
      </c>
      <c r="I128" s="628">
        <f>IF(E128=0,0,I117)</f>
        <v>3</v>
      </c>
      <c r="J128" s="628">
        <f t="shared" si="32"/>
        <v>564</v>
      </c>
      <c r="K128" s="629"/>
      <c r="L128" s="628">
        <f>$J128*K117*M$12</f>
        <v>0</v>
      </c>
      <c r="N128" s="629"/>
      <c r="O128" s="628">
        <f>$J128*N117*P$12</f>
        <v>1759.68</v>
      </c>
      <c r="P128" s="630"/>
      <c r="Q128" s="629"/>
      <c r="R128" s="628">
        <f>$J128*Q117*S$12</f>
        <v>1830.0672000000002</v>
      </c>
      <c r="S128" s="630"/>
      <c r="T128" s="629"/>
      <c r="U128" s="628">
        <f>$J128*T117*V$12</f>
        <v>0</v>
      </c>
      <c r="V128" s="630"/>
      <c r="W128" s="618">
        <v>0</v>
      </c>
      <c r="Y128" s="593"/>
    </row>
    <row r="129" spans="1:25">
      <c r="A129" s="1102"/>
      <c r="B129" s="1102"/>
      <c r="C129" s="1102"/>
      <c r="D129" s="644" t="s">
        <v>547</v>
      </c>
      <c r="E129" s="645"/>
      <c r="F129" s="645"/>
      <c r="G129" s="646"/>
      <c r="H129" s="1146">
        <f>SUM(J118:J128)</f>
        <v>3532</v>
      </c>
      <c r="I129" s="1147"/>
      <c r="J129" s="647"/>
      <c r="K129" s="648"/>
      <c r="L129" s="648"/>
      <c r="M129" s="621"/>
      <c r="N129" s="648"/>
      <c r="O129" s="648"/>
      <c r="P129" s="621"/>
      <c r="Q129" s="648"/>
      <c r="R129" s="648"/>
      <c r="S129" s="621"/>
      <c r="T129" s="648"/>
      <c r="U129" s="648"/>
      <c r="V129" s="621"/>
      <c r="W129" s="649"/>
      <c r="Y129" s="593"/>
    </row>
    <row r="130" spans="1:25" ht="13.5" customHeight="1" thickBot="1">
      <c r="A130" s="1102"/>
      <c r="B130" s="1102"/>
      <c r="C130" s="1102"/>
      <c r="D130" s="1110"/>
      <c r="E130" s="650"/>
      <c r="F130" s="650"/>
      <c r="G130" s="650"/>
      <c r="H130" s="650"/>
      <c r="I130" s="650"/>
      <c r="J130" s="612"/>
      <c r="K130" s="612"/>
      <c r="L130" s="612"/>
      <c r="M130" s="612"/>
      <c r="N130" s="612"/>
      <c r="O130" s="612"/>
      <c r="P130" s="612"/>
      <c r="Q130" s="612"/>
      <c r="R130" s="612"/>
      <c r="S130" s="612"/>
      <c r="T130" s="612"/>
      <c r="U130" s="612"/>
      <c r="V130" s="612"/>
      <c r="W130" s="613"/>
      <c r="Y130" s="593"/>
    </row>
    <row r="131" spans="1:25" ht="31.5" customHeight="1" thickTop="1" thickBot="1">
      <c r="A131" s="1102"/>
      <c r="B131" s="1102"/>
      <c r="C131" s="1102"/>
      <c r="D131" s="1143" t="s">
        <v>575</v>
      </c>
      <c r="E131" s="1144"/>
      <c r="F131" s="1144"/>
      <c r="G131" s="1144"/>
      <c r="H131" s="1145"/>
      <c r="I131" s="614">
        <v>2</v>
      </c>
      <c r="J131" s="615"/>
      <c r="K131" s="1151"/>
      <c r="L131" s="1152"/>
      <c r="M131" s="616">
        <f>SUM(L133:L135)</f>
        <v>0</v>
      </c>
      <c r="N131" s="1140">
        <v>0</v>
      </c>
      <c r="O131" s="1141"/>
      <c r="P131" s="616">
        <f>SUM(O133:O135)</f>
        <v>0</v>
      </c>
      <c r="Q131" s="1140">
        <v>0</v>
      </c>
      <c r="R131" s="1141"/>
      <c r="S131" s="616">
        <f>SUM(R133:R135)</f>
        <v>0</v>
      </c>
      <c r="T131" s="1142">
        <v>8</v>
      </c>
      <c r="U131" s="1140"/>
      <c r="V131" s="616">
        <f>SUM(U133:U135)</f>
        <v>7649.0752000000011</v>
      </c>
      <c r="W131" s="618">
        <f>SUM(M131,P131,S131,V131,)</f>
        <v>7649.0752000000011</v>
      </c>
      <c r="Y131" s="593"/>
    </row>
    <row r="132" spans="1:25" ht="15.9" thickTop="1" thickBot="1">
      <c r="A132" s="1102"/>
      <c r="B132" s="1102"/>
      <c r="C132" s="1102"/>
      <c r="D132" s="619" t="s">
        <v>566</v>
      </c>
      <c r="E132" s="620"/>
      <c r="F132" s="620"/>
      <c r="G132" s="620"/>
      <c r="H132" s="621"/>
      <c r="I132" s="620"/>
      <c r="J132" s="620"/>
      <c r="K132" s="622"/>
      <c r="L132" s="620"/>
      <c r="M132" s="621"/>
      <c r="N132" s="622"/>
      <c r="O132" s="620"/>
      <c r="P132" s="623"/>
      <c r="Q132" s="622"/>
      <c r="R132" s="620"/>
      <c r="S132" s="623"/>
      <c r="T132" s="622"/>
      <c r="U132" s="620"/>
      <c r="V132" s="623"/>
      <c r="W132" s="618">
        <f t="shared" ref="W132:W135" si="33">U132+R132+O132+L132</f>
        <v>0</v>
      </c>
      <c r="Y132" s="593"/>
    </row>
    <row r="133" spans="1:25" ht="15.9" thickTop="1" thickBot="1">
      <c r="A133" s="1102" t="s">
        <v>1006</v>
      </c>
      <c r="B133" s="1102">
        <v>86000</v>
      </c>
      <c r="C133" s="1102" t="s">
        <v>910</v>
      </c>
      <c r="D133" s="1103" t="s">
        <v>540</v>
      </c>
      <c r="E133" s="626">
        <v>20</v>
      </c>
      <c r="F133" s="627" t="s">
        <v>541</v>
      </c>
      <c r="G133" s="626">
        <f>parttransp</f>
        <v>4</v>
      </c>
      <c r="H133" s="627" t="s">
        <v>542</v>
      </c>
      <c r="I133" s="628">
        <f>IF(E133=0,0,I131)</f>
        <v>2</v>
      </c>
      <c r="J133" s="628">
        <f t="shared" ref="J133:J135" si="34">E133*G133*I133</f>
        <v>160</v>
      </c>
      <c r="K133" s="629"/>
      <c r="L133" s="628">
        <f>$J133*K131*M$12</f>
        <v>0</v>
      </c>
      <c r="N133" s="629"/>
      <c r="O133" s="628">
        <f>$J133*N131*P$12</f>
        <v>0</v>
      </c>
      <c r="P133" s="630"/>
      <c r="Q133" s="629"/>
      <c r="R133" s="628">
        <f>$J133*Q131*S$12</f>
        <v>0</v>
      </c>
      <c r="S133" s="630"/>
      <c r="T133" s="629"/>
      <c r="U133" s="628">
        <f>$J133*T131*V$12</f>
        <v>1439.8259200000002</v>
      </c>
      <c r="V133" s="630"/>
      <c r="W133" s="618">
        <f t="shared" si="33"/>
        <v>1439.8259200000002</v>
      </c>
      <c r="Y133" s="593"/>
    </row>
    <row r="134" spans="1:25" ht="15.9" thickTop="1" thickBot="1">
      <c r="A134" s="1102" t="s">
        <v>1007</v>
      </c>
      <c r="B134" s="1102">
        <v>87000</v>
      </c>
      <c r="C134" s="1102" t="s">
        <v>910</v>
      </c>
      <c r="D134" s="1103" t="s">
        <v>543</v>
      </c>
      <c r="E134" s="626">
        <v>20</v>
      </c>
      <c r="F134" s="627" t="s">
        <v>541</v>
      </c>
      <c r="G134" s="626">
        <f>coffee+lunch</f>
        <v>16</v>
      </c>
      <c r="H134" s="627" t="s">
        <v>542</v>
      </c>
      <c r="I134" s="628">
        <f>IF(E134=0,0,I131)</f>
        <v>2</v>
      </c>
      <c r="J134" s="628">
        <f t="shared" si="34"/>
        <v>640</v>
      </c>
      <c r="K134" s="629"/>
      <c r="L134" s="628">
        <f>$J134*K131*M$12</f>
        <v>0</v>
      </c>
      <c r="N134" s="629"/>
      <c r="O134" s="628">
        <f>$J134*N131*P$12</f>
        <v>0</v>
      </c>
      <c r="P134" s="630"/>
      <c r="Q134" s="629"/>
      <c r="R134" s="628">
        <f>$J134*Q131*S$12</f>
        <v>0</v>
      </c>
      <c r="S134" s="630"/>
      <c r="T134" s="629"/>
      <c r="U134" s="628">
        <f>$J134*T131*V$12</f>
        <v>5759.3036800000009</v>
      </c>
      <c r="V134" s="630"/>
      <c r="W134" s="618">
        <f t="shared" si="33"/>
        <v>5759.3036800000009</v>
      </c>
      <c r="Y134" s="593"/>
    </row>
    <row r="135" spans="1:25" ht="15.6" thickTop="1">
      <c r="A135" s="1102" t="s">
        <v>1008</v>
      </c>
      <c r="B135" s="1102">
        <v>85300</v>
      </c>
      <c r="C135" s="1102" t="s">
        <v>910</v>
      </c>
      <c r="D135" s="1103" t="s">
        <v>544</v>
      </c>
      <c r="E135" s="626">
        <v>1</v>
      </c>
      <c r="F135" s="627" t="s">
        <v>545</v>
      </c>
      <c r="G135" s="626">
        <f>print</f>
        <v>50</v>
      </c>
      <c r="H135" s="632" t="str">
        <f>F135</f>
        <v>activity</v>
      </c>
      <c r="I135" s="628">
        <f>IF(E135=0,0,1)</f>
        <v>1</v>
      </c>
      <c r="J135" s="628">
        <f t="shared" si="34"/>
        <v>50</v>
      </c>
      <c r="K135" s="629"/>
      <c r="L135" s="628">
        <f>$J135*K131*M$12</f>
        <v>0</v>
      </c>
      <c r="N135" s="629"/>
      <c r="O135" s="628">
        <f>$J135*N131*P$12</f>
        <v>0</v>
      </c>
      <c r="P135" s="630"/>
      <c r="Q135" s="629"/>
      <c r="R135" s="628">
        <f>$J135*Q131*S$12</f>
        <v>0</v>
      </c>
      <c r="S135" s="630"/>
      <c r="T135" s="629"/>
      <c r="U135" s="628">
        <f>$J135*T131*V$12</f>
        <v>449.94560000000001</v>
      </c>
      <c r="V135" s="630"/>
      <c r="W135" s="618">
        <f t="shared" si="33"/>
        <v>449.94560000000001</v>
      </c>
      <c r="Y135" s="593"/>
    </row>
    <row r="136" spans="1:25" ht="15.6" hidden="1" thickTop="1">
      <c r="A136" s="1102"/>
      <c r="B136" s="1102"/>
      <c r="C136" s="1102"/>
      <c r="D136" s="1103"/>
      <c r="E136" s="628"/>
      <c r="F136" s="628"/>
      <c r="G136" s="628"/>
      <c r="H136" s="628"/>
      <c r="I136" s="628"/>
      <c r="J136" s="628"/>
      <c r="K136" s="629"/>
      <c r="L136" s="628"/>
      <c r="N136" s="629"/>
      <c r="O136" s="628"/>
      <c r="P136" s="630"/>
      <c r="Q136" s="629"/>
      <c r="R136" s="628"/>
      <c r="S136" s="630"/>
      <c r="T136" s="629"/>
      <c r="U136" s="628"/>
      <c r="V136" s="630"/>
      <c r="W136" s="618"/>
      <c r="Y136" s="593"/>
    </row>
    <row r="137" spans="1:25">
      <c r="A137" s="1102"/>
      <c r="B137" s="1102"/>
      <c r="C137" s="1102"/>
      <c r="D137" s="644" t="s">
        <v>547</v>
      </c>
      <c r="E137" s="645"/>
      <c r="F137" s="645"/>
      <c r="G137" s="646"/>
      <c r="H137" s="1146">
        <f>SUM(J132:J136)</f>
        <v>850</v>
      </c>
      <c r="I137" s="1147"/>
      <c r="J137" s="647"/>
      <c r="K137" s="648"/>
      <c r="L137" s="648"/>
      <c r="M137" s="621"/>
      <c r="N137" s="648"/>
      <c r="O137" s="648"/>
      <c r="P137" s="621"/>
      <c r="Q137" s="648"/>
      <c r="R137" s="648"/>
      <c r="S137" s="621"/>
      <c r="T137" s="648"/>
      <c r="U137" s="648"/>
      <c r="V137" s="621"/>
      <c r="W137" s="649"/>
      <c r="Y137" s="593"/>
    </row>
    <row r="138" spans="1:25" ht="13.5" customHeight="1" thickBot="1">
      <c r="A138" s="1102"/>
      <c r="B138" s="1102"/>
      <c r="C138" s="1102"/>
      <c r="D138" s="1110"/>
      <c r="E138" s="650"/>
      <c r="F138" s="650"/>
      <c r="G138" s="650"/>
      <c r="H138" s="650"/>
      <c r="I138" s="650"/>
      <c r="J138" s="612"/>
      <c r="K138" s="612"/>
      <c r="L138" s="612"/>
      <c r="M138" s="612"/>
      <c r="N138" s="612"/>
      <c r="O138" s="612"/>
      <c r="P138" s="612"/>
      <c r="Q138" s="612"/>
      <c r="R138" s="612"/>
      <c r="S138" s="612"/>
      <c r="T138" s="612"/>
      <c r="U138" s="612"/>
      <c r="V138" s="612"/>
      <c r="W138" s="613"/>
      <c r="Y138" s="593"/>
    </row>
    <row r="139" spans="1:25" ht="13.5" customHeight="1" thickTop="1" thickBot="1">
      <c r="A139" s="1102"/>
      <c r="B139" s="1102"/>
      <c r="C139" s="1102"/>
      <c r="D139" s="1110"/>
      <c r="E139" s="650"/>
      <c r="F139" s="650"/>
      <c r="G139" s="650"/>
      <c r="H139" s="650"/>
      <c r="I139" s="650"/>
      <c r="J139" s="612"/>
      <c r="K139" s="612"/>
      <c r="L139" s="612"/>
      <c r="M139" s="612"/>
      <c r="N139" s="612"/>
      <c r="O139" s="612"/>
      <c r="P139" s="612"/>
      <c r="Q139" s="612"/>
      <c r="R139" s="612"/>
      <c r="S139" s="612"/>
      <c r="T139" s="612"/>
      <c r="U139" s="612"/>
      <c r="V139" s="612"/>
      <c r="W139" s="613"/>
      <c r="Y139" s="593"/>
    </row>
    <row r="140" spans="1:25" ht="29.25" customHeight="1" thickTop="1" thickBot="1">
      <c r="A140" s="1102"/>
      <c r="B140" s="1102"/>
      <c r="C140" s="1102"/>
      <c r="D140" s="1143" t="s">
        <v>576</v>
      </c>
      <c r="E140" s="1144"/>
      <c r="F140" s="1144"/>
      <c r="G140" s="1144"/>
      <c r="H140" s="1145"/>
      <c r="I140" s="614">
        <v>1</v>
      </c>
      <c r="J140" s="615"/>
      <c r="K140" s="1151">
        <v>0</v>
      </c>
      <c r="L140" s="1152"/>
      <c r="M140" s="616">
        <f>SUM(L142:L144)</f>
        <v>0</v>
      </c>
      <c r="N140" s="1140">
        <v>4</v>
      </c>
      <c r="O140" s="1141"/>
      <c r="P140" s="616">
        <f>SUM(O142:O144)</f>
        <v>1726.4</v>
      </c>
      <c r="Q140" s="1140">
        <v>12</v>
      </c>
      <c r="R140" s="1141"/>
      <c r="S140" s="616">
        <f>SUM(R142:R144)</f>
        <v>5386.3680000000004</v>
      </c>
      <c r="T140" s="1142">
        <v>4</v>
      </c>
      <c r="U140" s="1140"/>
      <c r="V140" s="616">
        <f>SUM(U142:U144)</f>
        <v>1867.2742400000002</v>
      </c>
      <c r="W140" s="618">
        <f>SUM(M140,P140,S140,V140,)</f>
        <v>8980.0422400000007</v>
      </c>
      <c r="Y140" s="593"/>
    </row>
    <row r="141" spans="1:25" ht="15.9" thickTop="1" thickBot="1">
      <c r="A141" s="1102"/>
      <c r="B141" s="1102"/>
      <c r="C141" s="1102"/>
      <c r="D141" s="619" t="s">
        <v>566</v>
      </c>
      <c r="E141" s="620"/>
      <c r="F141" s="620"/>
      <c r="G141" s="620"/>
      <c r="H141" s="621"/>
      <c r="I141" s="620"/>
      <c r="J141" s="620"/>
      <c r="K141" s="622"/>
      <c r="L141" s="620"/>
      <c r="M141" s="621"/>
      <c r="N141" s="622"/>
      <c r="O141" s="620"/>
      <c r="P141" s="623"/>
      <c r="Q141" s="622"/>
      <c r="R141" s="620"/>
      <c r="S141" s="623"/>
      <c r="T141" s="622"/>
      <c r="U141" s="620"/>
      <c r="V141" s="623"/>
      <c r="W141" s="618">
        <f t="shared" ref="W141:W144" si="35">U141+R141+O141+L141</f>
        <v>0</v>
      </c>
      <c r="Y141" s="593"/>
    </row>
    <row r="142" spans="1:25" ht="15.9" thickTop="1" thickBot="1">
      <c r="A142" s="1102" t="s">
        <v>1009</v>
      </c>
      <c r="B142" s="1102">
        <v>86000</v>
      </c>
      <c r="C142" s="1102" t="s">
        <v>910</v>
      </c>
      <c r="D142" s="1103" t="s">
        <v>540</v>
      </c>
      <c r="E142" s="626">
        <v>20</v>
      </c>
      <c r="F142" s="627" t="s">
        <v>541</v>
      </c>
      <c r="G142" s="626">
        <f>parttransp</f>
        <v>4</v>
      </c>
      <c r="H142" s="627" t="s">
        <v>542</v>
      </c>
      <c r="I142" s="628">
        <f>IF(E142=0,0,I140)</f>
        <v>1</v>
      </c>
      <c r="J142" s="628">
        <f t="shared" ref="J142:J144" si="36">E142*G142*I142</f>
        <v>80</v>
      </c>
      <c r="K142" s="629"/>
      <c r="L142" s="628">
        <f>$J142*K140*M$12</f>
        <v>0</v>
      </c>
      <c r="N142" s="629"/>
      <c r="O142" s="628">
        <f>$J142*N140*P$12</f>
        <v>332.8</v>
      </c>
      <c r="P142" s="630"/>
      <c r="Q142" s="629"/>
      <c r="R142" s="628">
        <f>$J142*Q140*S$12</f>
        <v>1038.336</v>
      </c>
      <c r="S142" s="630"/>
      <c r="T142" s="629"/>
      <c r="U142" s="628">
        <f>$J142*T140*V$12</f>
        <v>359.95648000000006</v>
      </c>
      <c r="V142" s="630"/>
      <c r="W142" s="618">
        <f t="shared" si="35"/>
        <v>1731.09248</v>
      </c>
      <c r="Y142" s="593"/>
    </row>
    <row r="143" spans="1:25" ht="15.9" thickTop="1" thickBot="1">
      <c r="A143" s="1102" t="s">
        <v>1010</v>
      </c>
      <c r="B143" s="1102">
        <v>87000</v>
      </c>
      <c r="C143" s="1102" t="s">
        <v>910</v>
      </c>
      <c r="D143" s="1103" t="s">
        <v>543</v>
      </c>
      <c r="E143" s="626">
        <v>20</v>
      </c>
      <c r="F143" s="627" t="s">
        <v>541</v>
      </c>
      <c r="G143" s="626">
        <f>coffee+lunch</f>
        <v>16</v>
      </c>
      <c r="H143" s="627" t="s">
        <v>542</v>
      </c>
      <c r="I143" s="628">
        <f>IF(E143=0,0,I140)</f>
        <v>1</v>
      </c>
      <c r="J143" s="628">
        <f t="shared" si="36"/>
        <v>320</v>
      </c>
      <c r="K143" s="629"/>
      <c r="L143" s="628">
        <f>$J143*K140*M$12</f>
        <v>0</v>
      </c>
      <c r="N143" s="629"/>
      <c r="O143" s="628">
        <f>$J143*N140*P$12</f>
        <v>1331.2</v>
      </c>
      <c r="P143" s="630"/>
      <c r="Q143" s="629"/>
      <c r="R143" s="628">
        <f>$J143*Q140*S$12</f>
        <v>4153.3440000000001</v>
      </c>
      <c r="S143" s="630"/>
      <c r="T143" s="629"/>
      <c r="U143" s="628">
        <f>$J143*T140*V$12</f>
        <v>1439.8259200000002</v>
      </c>
      <c r="V143" s="630"/>
      <c r="W143" s="618">
        <f t="shared" si="35"/>
        <v>6924.3699200000001</v>
      </c>
      <c r="Y143" s="593"/>
    </row>
    <row r="144" spans="1:25" ht="15.6" thickTop="1">
      <c r="A144" s="1102" t="s">
        <v>1011</v>
      </c>
      <c r="B144" s="1102">
        <v>85300</v>
      </c>
      <c r="C144" s="1102" t="s">
        <v>910</v>
      </c>
      <c r="D144" s="1103" t="s">
        <v>544</v>
      </c>
      <c r="E144" s="626">
        <v>1</v>
      </c>
      <c r="F144" s="627" t="s">
        <v>545</v>
      </c>
      <c r="G144" s="626">
        <v>15</v>
      </c>
      <c r="H144" s="632" t="str">
        <f>F144</f>
        <v>activity</v>
      </c>
      <c r="I144" s="628">
        <f>IF(E144=0,0,1)</f>
        <v>1</v>
      </c>
      <c r="J144" s="628">
        <f t="shared" si="36"/>
        <v>15</v>
      </c>
      <c r="K144" s="629"/>
      <c r="L144" s="628">
        <f>$J144*K140*M$12</f>
        <v>0</v>
      </c>
      <c r="N144" s="629"/>
      <c r="O144" s="628">
        <f>$J144*N140*P$12</f>
        <v>62.400000000000006</v>
      </c>
      <c r="P144" s="630"/>
      <c r="Q144" s="629"/>
      <c r="R144" s="628">
        <f>$J144*Q140*S$12</f>
        <v>194.68800000000002</v>
      </c>
      <c r="S144" s="630"/>
      <c r="T144" s="629"/>
      <c r="U144" s="628">
        <f>$J144*T140*V$12</f>
        <v>67.49184000000001</v>
      </c>
      <c r="V144" s="630"/>
      <c r="W144" s="618">
        <f t="shared" si="35"/>
        <v>324.57983999999999</v>
      </c>
      <c r="Y144" s="593"/>
    </row>
    <row r="145" spans="1:25" hidden="1">
      <c r="A145" s="1102"/>
      <c r="B145" s="1102"/>
      <c r="C145" s="1102"/>
      <c r="D145" s="1103"/>
      <c r="E145" s="628"/>
      <c r="F145" s="628"/>
      <c r="G145" s="628"/>
      <c r="H145" s="628"/>
      <c r="I145" s="628"/>
      <c r="J145" s="628"/>
      <c r="K145" s="629"/>
      <c r="L145" s="628"/>
      <c r="N145" s="629"/>
      <c r="O145" s="628"/>
      <c r="P145" s="630"/>
      <c r="Q145" s="629"/>
      <c r="R145" s="628"/>
      <c r="S145" s="630"/>
      <c r="T145" s="629"/>
      <c r="U145" s="628"/>
      <c r="V145" s="630"/>
      <c r="W145" s="631"/>
      <c r="Y145" s="593"/>
    </row>
    <row r="146" spans="1:25">
      <c r="A146" s="1102"/>
      <c r="B146" s="1102"/>
      <c r="C146" s="1102"/>
      <c r="D146" s="644" t="s">
        <v>547</v>
      </c>
      <c r="E146" s="645"/>
      <c r="F146" s="645"/>
      <c r="G146" s="646"/>
      <c r="H146" s="1146">
        <f>SUM(J141:J145)</f>
        <v>415</v>
      </c>
      <c r="I146" s="1147"/>
      <c r="J146" s="647"/>
      <c r="K146" s="648"/>
      <c r="L146" s="648"/>
      <c r="M146" s="621"/>
      <c r="N146" s="648"/>
      <c r="O146" s="648"/>
      <c r="P146" s="621"/>
      <c r="Q146" s="648"/>
      <c r="R146" s="648"/>
      <c r="S146" s="621"/>
      <c r="T146" s="648"/>
      <c r="U146" s="648"/>
      <c r="V146" s="621"/>
      <c r="W146" s="649"/>
      <c r="Y146" s="593"/>
    </row>
    <row r="147" spans="1:25" ht="13.5" customHeight="1" thickBot="1">
      <c r="A147" s="1102"/>
      <c r="B147" s="1102"/>
      <c r="C147" s="1102"/>
      <c r="D147" s="1110"/>
      <c r="E147" s="650"/>
      <c r="F147" s="650"/>
      <c r="G147" s="650"/>
      <c r="H147" s="650"/>
      <c r="I147" s="650"/>
      <c r="J147" s="612"/>
      <c r="K147" s="612"/>
      <c r="L147" s="612"/>
      <c r="M147" s="612"/>
      <c r="N147" s="612"/>
      <c r="O147" s="612"/>
      <c r="P147" s="612"/>
      <c r="Q147" s="612"/>
      <c r="R147" s="612"/>
      <c r="S147" s="612"/>
      <c r="T147" s="612"/>
      <c r="U147" s="612"/>
      <c r="V147" s="612"/>
      <c r="W147" s="613"/>
      <c r="Y147" s="593"/>
    </row>
    <row r="148" spans="1:25" ht="13.5" customHeight="1" thickTop="1" thickBot="1">
      <c r="A148" s="1102"/>
      <c r="B148" s="1102"/>
      <c r="C148" s="1102"/>
      <c r="D148" s="1110"/>
      <c r="E148" s="650"/>
      <c r="F148" s="650"/>
      <c r="G148" s="650"/>
      <c r="H148" s="650"/>
      <c r="I148" s="650"/>
      <c r="J148" s="612"/>
      <c r="K148" s="612"/>
      <c r="L148" s="612"/>
      <c r="M148" s="612"/>
      <c r="N148" s="612"/>
      <c r="O148" s="612"/>
      <c r="P148" s="612"/>
      <c r="Q148" s="612"/>
      <c r="R148" s="612"/>
      <c r="S148" s="612"/>
      <c r="T148" s="612"/>
      <c r="U148" s="612"/>
      <c r="V148" s="612"/>
      <c r="W148" s="613"/>
      <c r="Y148" s="593"/>
    </row>
    <row r="149" spans="1:25" ht="32.25" customHeight="1" thickTop="1" thickBot="1">
      <c r="A149" s="1102"/>
      <c r="B149" s="1102"/>
      <c r="C149" s="1102"/>
      <c r="D149" s="1156" t="s">
        <v>577</v>
      </c>
      <c r="E149" s="1157"/>
      <c r="F149" s="1157"/>
      <c r="G149" s="1157"/>
      <c r="H149" s="1158"/>
      <c r="I149" s="614">
        <v>2</v>
      </c>
      <c r="J149" s="615"/>
      <c r="K149" s="1151"/>
      <c r="L149" s="1152"/>
      <c r="M149" s="616">
        <f>SUM(L151:L154)</f>
        <v>0</v>
      </c>
      <c r="N149" s="1140">
        <v>12</v>
      </c>
      <c r="O149" s="1141"/>
      <c r="P149" s="616">
        <f>SUM(O151:O154)</f>
        <v>14352</v>
      </c>
      <c r="Q149" s="1140">
        <v>12</v>
      </c>
      <c r="R149" s="1141"/>
      <c r="S149" s="616">
        <f>SUM(R151:R154)</f>
        <v>14926.08</v>
      </c>
      <c r="T149" s="1142">
        <v>0</v>
      </c>
      <c r="U149" s="1140"/>
      <c r="V149" s="616">
        <f>SUM(U151:U154)</f>
        <v>0</v>
      </c>
      <c r="W149" s="618">
        <f>SUM(M149,P149,S149,V149,)</f>
        <v>29278.080000000002</v>
      </c>
      <c r="Y149" s="593"/>
    </row>
    <row r="150" spans="1:25" ht="15.9" thickTop="1" thickBot="1">
      <c r="A150" s="1102"/>
      <c r="B150" s="1102"/>
      <c r="C150" s="1102"/>
      <c r="D150" s="619" t="s">
        <v>578</v>
      </c>
      <c r="E150" s="620"/>
      <c r="F150" s="620"/>
      <c r="G150" s="620"/>
      <c r="H150" s="621"/>
      <c r="I150" s="620"/>
      <c r="J150" s="620"/>
      <c r="K150" s="622"/>
      <c r="L150" s="620"/>
      <c r="M150" s="621"/>
      <c r="N150" s="622"/>
      <c r="O150" s="620"/>
      <c r="P150" s="623"/>
      <c r="Q150" s="622"/>
      <c r="R150" s="620"/>
      <c r="S150" s="623"/>
      <c r="T150" s="622"/>
      <c r="U150" s="620"/>
      <c r="V150" s="623"/>
      <c r="W150" s="618">
        <f t="shared" ref="W150:W168" si="37">U150+R150+O150+L150</f>
        <v>0</v>
      </c>
      <c r="Y150" s="593"/>
    </row>
    <row r="151" spans="1:25" ht="15.9" thickTop="1" thickBot="1">
      <c r="A151" s="1102" t="s">
        <v>1012</v>
      </c>
      <c r="B151" s="1102">
        <v>86000</v>
      </c>
      <c r="C151" s="1102" t="s">
        <v>910</v>
      </c>
      <c r="D151" s="1103" t="s">
        <v>540</v>
      </c>
      <c r="E151" s="626">
        <v>20</v>
      </c>
      <c r="F151" s="627" t="s">
        <v>541</v>
      </c>
      <c r="G151" s="626">
        <f>parttransp</f>
        <v>4</v>
      </c>
      <c r="H151" s="627" t="s">
        <v>542</v>
      </c>
      <c r="I151" s="628">
        <f>IF(E151=0,0,I149)</f>
        <v>2</v>
      </c>
      <c r="J151" s="628">
        <f t="shared" ref="J151:J153" si="38">E151*G151*I151</f>
        <v>160</v>
      </c>
      <c r="K151" s="629"/>
      <c r="L151" s="628">
        <f>$J151*K149*M$12</f>
        <v>0</v>
      </c>
      <c r="N151" s="629"/>
      <c r="O151" s="628">
        <f>$J151*N149*P$12</f>
        <v>1996.8000000000002</v>
      </c>
      <c r="P151" s="630"/>
      <c r="Q151" s="629"/>
      <c r="R151" s="628">
        <f>$J151*Q149*S$12</f>
        <v>2076.672</v>
      </c>
      <c r="S151" s="630"/>
      <c r="T151" s="629"/>
      <c r="U151" s="628">
        <f>$J151*T149*V$12</f>
        <v>0</v>
      </c>
      <c r="V151" s="630"/>
      <c r="W151" s="618">
        <f t="shared" si="37"/>
        <v>4073.4720000000002</v>
      </c>
      <c r="Y151" s="593"/>
    </row>
    <row r="152" spans="1:25" ht="15.9" thickTop="1" thickBot="1">
      <c r="A152" s="1102" t="s">
        <v>1013</v>
      </c>
      <c r="B152" s="1102">
        <v>87000</v>
      </c>
      <c r="C152" s="1102" t="s">
        <v>910</v>
      </c>
      <c r="D152" s="1103" t="s">
        <v>543</v>
      </c>
      <c r="E152" s="626">
        <v>20</v>
      </c>
      <c r="F152" s="627" t="s">
        <v>541</v>
      </c>
      <c r="G152" s="626">
        <f>coffee+lunch</f>
        <v>16</v>
      </c>
      <c r="H152" s="627" t="s">
        <v>542</v>
      </c>
      <c r="I152" s="628">
        <f>IF(E152=0,0,I149)</f>
        <v>2</v>
      </c>
      <c r="J152" s="628">
        <f t="shared" si="38"/>
        <v>640</v>
      </c>
      <c r="K152" s="629"/>
      <c r="L152" s="628">
        <f>$J152*K149*M$12</f>
        <v>0</v>
      </c>
      <c r="N152" s="629"/>
      <c r="O152" s="628">
        <f>$J152*N149*P$12</f>
        <v>7987.2000000000007</v>
      </c>
      <c r="P152" s="630"/>
      <c r="Q152" s="629"/>
      <c r="R152" s="628">
        <f>$J152*Q149*S$12</f>
        <v>8306.6880000000001</v>
      </c>
      <c r="S152" s="630"/>
      <c r="T152" s="629"/>
      <c r="U152" s="628">
        <f>$J152*T149*V$12</f>
        <v>0</v>
      </c>
      <c r="V152" s="630"/>
      <c r="W152" s="618">
        <f t="shared" si="37"/>
        <v>16293.888000000001</v>
      </c>
      <c r="Y152" s="593"/>
    </row>
    <row r="153" spans="1:25" ht="15.9" thickTop="1" thickBot="1">
      <c r="A153" s="1102" t="s">
        <v>1014</v>
      </c>
      <c r="B153" s="1102">
        <v>85300</v>
      </c>
      <c r="C153" s="1102" t="s">
        <v>910</v>
      </c>
      <c r="D153" s="1103" t="s">
        <v>544</v>
      </c>
      <c r="E153" s="626">
        <v>1</v>
      </c>
      <c r="F153" s="627" t="s">
        <v>545</v>
      </c>
      <c r="G153" s="626">
        <f>print</f>
        <v>50</v>
      </c>
      <c r="H153" s="632" t="str">
        <f>F153</f>
        <v>activity</v>
      </c>
      <c r="I153" s="628">
        <f>IF(E153=0,0,1)</f>
        <v>1</v>
      </c>
      <c r="J153" s="628">
        <f t="shared" si="38"/>
        <v>50</v>
      </c>
      <c r="K153" s="629"/>
      <c r="L153" s="628">
        <f>$J153*K149*M$12</f>
        <v>0</v>
      </c>
      <c r="N153" s="629"/>
      <c r="O153" s="628">
        <f>$J153*N149*P$12</f>
        <v>624</v>
      </c>
      <c r="P153" s="630"/>
      <c r="Q153" s="629"/>
      <c r="R153" s="628">
        <f>$J153*Q149*S$12</f>
        <v>648.96</v>
      </c>
      <c r="S153" s="630"/>
      <c r="T153" s="629"/>
      <c r="U153" s="628">
        <f>$J153*T149*V$12</f>
        <v>0</v>
      </c>
      <c r="V153" s="630"/>
      <c r="W153" s="618">
        <f t="shared" si="37"/>
        <v>1272.96</v>
      </c>
      <c r="Y153" s="593"/>
    </row>
    <row r="154" spans="1:25" ht="15.6" thickTop="1">
      <c r="A154" s="1102" t="s">
        <v>1015</v>
      </c>
      <c r="B154" s="1102">
        <v>81000</v>
      </c>
      <c r="C154" s="1102" t="s">
        <v>910</v>
      </c>
      <c r="D154" s="1103" t="s">
        <v>579</v>
      </c>
      <c r="E154" s="626">
        <v>1</v>
      </c>
      <c r="F154" s="627" t="s">
        <v>541</v>
      </c>
      <c r="G154" s="626">
        <f>localcons</f>
        <v>300</v>
      </c>
      <c r="H154" s="627" t="s">
        <v>542</v>
      </c>
      <c r="I154" s="626">
        <v>1</v>
      </c>
      <c r="J154" s="628">
        <f>E154*G154*I154</f>
        <v>300</v>
      </c>
      <c r="K154" s="629"/>
      <c r="L154" s="628">
        <f>$J154*K149*M$12</f>
        <v>0</v>
      </c>
      <c r="N154" s="629"/>
      <c r="O154" s="628">
        <f>$J154*N149*P$12</f>
        <v>3744</v>
      </c>
      <c r="P154" s="630"/>
      <c r="Q154" s="629"/>
      <c r="R154" s="628">
        <f>$J154*Q149*S$12</f>
        <v>3893.76</v>
      </c>
      <c r="S154" s="630"/>
      <c r="T154" s="629"/>
      <c r="U154" s="628">
        <f>$J154*T149*V$12</f>
        <v>0</v>
      </c>
      <c r="V154" s="630"/>
      <c r="W154" s="618">
        <f t="shared" si="37"/>
        <v>7637.76</v>
      </c>
      <c r="Y154" s="593"/>
    </row>
    <row r="155" spans="1:25" ht="15.9" hidden="1" thickTop="1" thickBot="1">
      <c r="A155" s="1102"/>
      <c r="B155" s="1102"/>
      <c r="C155" s="1102"/>
      <c r="D155" s="1103"/>
      <c r="E155" s="628"/>
      <c r="F155" s="628"/>
      <c r="G155" s="628"/>
      <c r="H155" s="628"/>
      <c r="I155" s="628"/>
      <c r="J155" s="628"/>
      <c r="K155" s="629"/>
      <c r="L155" s="628"/>
      <c r="N155" s="629"/>
      <c r="O155" s="628"/>
      <c r="P155" s="630"/>
      <c r="Q155" s="629"/>
      <c r="R155" s="628"/>
      <c r="S155" s="630"/>
      <c r="T155" s="629"/>
      <c r="U155" s="628"/>
      <c r="V155" s="630"/>
      <c r="W155" s="618">
        <f t="shared" si="37"/>
        <v>0</v>
      </c>
      <c r="Y155" s="593"/>
    </row>
    <row r="156" spans="1:25" ht="15.9" hidden="1" thickTop="1" thickBot="1">
      <c r="A156" s="1102"/>
      <c r="B156" s="1102"/>
      <c r="C156" s="1102"/>
      <c r="D156" s="633" t="s">
        <v>554</v>
      </c>
      <c r="E156" s="628"/>
      <c r="F156" s="634"/>
      <c r="G156" s="628"/>
      <c r="H156" s="628"/>
      <c r="I156" s="628"/>
      <c r="J156" s="628">
        <f t="shared" ref="J156:J160" si="39">E156*G156*I156</f>
        <v>0</v>
      </c>
      <c r="K156" s="629"/>
      <c r="L156" s="628">
        <f>$J156*K149*M$12</f>
        <v>0</v>
      </c>
      <c r="N156" s="629"/>
      <c r="O156" s="628">
        <f>$J156*N149*P$12</f>
        <v>0</v>
      </c>
      <c r="P156" s="630"/>
      <c r="Q156" s="629"/>
      <c r="R156" s="628">
        <f>$J156*Q149*S$12</f>
        <v>0</v>
      </c>
      <c r="S156" s="630"/>
      <c r="T156" s="629"/>
      <c r="U156" s="628">
        <f>$J156*T149*V$12</f>
        <v>0</v>
      </c>
      <c r="V156" s="630"/>
      <c r="W156" s="618">
        <v>0</v>
      </c>
      <c r="Y156" s="593"/>
    </row>
    <row r="157" spans="1:25" ht="15.9" hidden="1" thickTop="1" thickBot="1">
      <c r="A157" s="1102"/>
      <c r="B157" s="1102"/>
      <c r="C157" s="1102"/>
      <c r="D157" s="1103" t="s">
        <v>555</v>
      </c>
      <c r="E157" s="626">
        <v>1</v>
      </c>
      <c r="F157" s="627" t="s">
        <v>541</v>
      </c>
      <c r="G157" s="626">
        <f>localairfare</f>
        <v>175</v>
      </c>
      <c r="H157" s="627" t="s">
        <v>556</v>
      </c>
      <c r="I157" s="628">
        <f>IF(E157=0,0,1)</f>
        <v>1</v>
      </c>
      <c r="J157" s="628">
        <f t="shared" si="39"/>
        <v>175</v>
      </c>
      <c r="K157" s="629"/>
      <c r="L157" s="628">
        <f>$J157*K149*M$12</f>
        <v>0</v>
      </c>
      <c r="N157" s="629"/>
      <c r="O157" s="628">
        <f>$J157*6*P$12</f>
        <v>1092</v>
      </c>
      <c r="P157" s="630"/>
      <c r="Q157" s="629"/>
      <c r="R157" s="628">
        <f>$J157*6*S$12</f>
        <v>1135.68</v>
      </c>
      <c r="S157" s="630"/>
      <c r="T157" s="629"/>
      <c r="U157" s="628">
        <f>$J157*T149*V$12</f>
        <v>0</v>
      </c>
      <c r="V157" s="630"/>
      <c r="W157" s="618">
        <v>0</v>
      </c>
      <c r="Y157" s="593"/>
    </row>
    <row r="158" spans="1:25" ht="15.9" hidden="1" thickTop="1" thickBot="1">
      <c r="A158" s="1102"/>
      <c r="B158" s="1102"/>
      <c r="C158" s="1102"/>
      <c r="D158" s="1103" t="s">
        <v>557</v>
      </c>
      <c r="E158" s="626">
        <v>1</v>
      </c>
      <c r="F158" s="627" t="s">
        <v>541</v>
      </c>
      <c r="G158" s="626">
        <f>partground</f>
        <v>9</v>
      </c>
      <c r="H158" s="627" t="s">
        <v>542</v>
      </c>
      <c r="I158" s="628">
        <f>IF(E158=0,0,1)</f>
        <v>1</v>
      </c>
      <c r="J158" s="628">
        <f t="shared" si="39"/>
        <v>9</v>
      </c>
      <c r="K158" s="629"/>
      <c r="L158" s="628">
        <f>$J158*K149*M$12</f>
        <v>0</v>
      </c>
      <c r="N158" s="629"/>
      <c r="O158" s="628">
        <f t="shared" ref="O158:O160" si="40">$J158*6*P$12</f>
        <v>56.160000000000004</v>
      </c>
      <c r="P158" s="630"/>
      <c r="Q158" s="629"/>
      <c r="R158" s="628">
        <f t="shared" ref="R158:R160" si="41">$J158*6*S$12</f>
        <v>58.406400000000005</v>
      </c>
      <c r="S158" s="630"/>
      <c r="T158" s="629"/>
      <c r="U158" s="628">
        <f>$J158*T149*V$12</f>
        <v>0</v>
      </c>
      <c r="V158" s="630"/>
      <c r="W158" s="618">
        <v>0</v>
      </c>
      <c r="Y158" s="593"/>
    </row>
    <row r="159" spans="1:25" ht="15.9" hidden="1" thickTop="1" thickBot="1">
      <c r="A159" s="1102"/>
      <c r="B159" s="1102"/>
      <c r="C159" s="1102"/>
      <c r="D159" s="1103" t="s">
        <v>48</v>
      </c>
      <c r="E159" s="628">
        <f>E157+E158</f>
        <v>2</v>
      </c>
      <c r="F159" s="627" t="s">
        <v>541</v>
      </c>
      <c r="G159" s="626">
        <f>partlodg</f>
        <v>25</v>
      </c>
      <c r="H159" s="627" t="s">
        <v>542</v>
      </c>
      <c r="I159" s="628">
        <f>IF(E159=0,0,I149)</f>
        <v>2</v>
      </c>
      <c r="J159" s="628">
        <f t="shared" si="39"/>
        <v>100</v>
      </c>
      <c r="K159" s="629"/>
      <c r="L159" s="628">
        <f>$J159*K149*M$12</f>
        <v>0</v>
      </c>
      <c r="N159" s="629"/>
      <c r="O159" s="628">
        <f t="shared" si="40"/>
        <v>624</v>
      </c>
      <c r="P159" s="630"/>
      <c r="Q159" s="629"/>
      <c r="R159" s="628">
        <f t="shared" si="41"/>
        <v>648.96</v>
      </c>
      <c r="S159" s="630"/>
      <c r="T159" s="629"/>
      <c r="U159" s="628">
        <f>$J159*T149*V$12</f>
        <v>0</v>
      </c>
      <c r="V159" s="630"/>
      <c r="W159" s="618">
        <v>0</v>
      </c>
      <c r="Y159" s="593"/>
    </row>
    <row r="160" spans="1:25" ht="15.6" hidden="1" thickTop="1">
      <c r="A160" s="1102"/>
      <c r="B160" s="1102"/>
      <c r="C160" s="1102"/>
      <c r="D160" s="1103" t="s">
        <v>70</v>
      </c>
      <c r="E160" s="628">
        <f>E159</f>
        <v>2</v>
      </c>
      <c r="F160" s="627" t="s">
        <v>541</v>
      </c>
      <c r="G160" s="626">
        <f>partmeals</f>
        <v>47</v>
      </c>
      <c r="H160" s="627" t="s">
        <v>542</v>
      </c>
      <c r="I160" s="628">
        <f>IF(E160=0,0,I149)</f>
        <v>2</v>
      </c>
      <c r="J160" s="628">
        <f t="shared" si="39"/>
        <v>188</v>
      </c>
      <c r="K160" s="629"/>
      <c r="L160" s="628">
        <f>$J160*K149*M$12</f>
        <v>0</v>
      </c>
      <c r="N160" s="629"/>
      <c r="O160" s="628">
        <f t="shared" si="40"/>
        <v>1173.1200000000001</v>
      </c>
      <c r="P160" s="630"/>
      <c r="Q160" s="629"/>
      <c r="R160" s="628">
        <f t="shared" si="41"/>
        <v>1220.0448000000001</v>
      </c>
      <c r="S160" s="630"/>
      <c r="T160" s="629"/>
      <c r="U160" s="628">
        <f>$J160*T149*V$12</f>
        <v>0</v>
      </c>
      <c r="V160" s="630"/>
      <c r="W160" s="618">
        <v>0</v>
      </c>
      <c r="Y160" s="593"/>
    </row>
    <row r="161" spans="1:25">
      <c r="A161" s="1102"/>
      <c r="B161" s="1102"/>
      <c r="C161" s="1102"/>
      <c r="D161" s="644" t="s">
        <v>547</v>
      </c>
      <c r="E161" s="645"/>
      <c r="F161" s="645"/>
      <c r="G161" s="646"/>
      <c r="H161" s="1146">
        <f>SUM(J150:J160)</f>
        <v>1622</v>
      </c>
      <c r="I161" s="1147"/>
      <c r="J161" s="647"/>
      <c r="K161" s="648"/>
      <c r="L161" s="648"/>
      <c r="M161" s="621"/>
      <c r="N161" s="648"/>
      <c r="O161" s="648"/>
      <c r="P161" s="621"/>
      <c r="Q161" s="648"/>
      <c r="R161" s="648"/>
      <c r="S161" s="621"/>
      <c r="T161" s="648"/>
      <c r="U161" s="648"/>
      <c r="V161" s="621"/>
      <c r="W161" s="649"/>
      <c r="Y161" s="593"/>
    </row>
    <row r="162" spans="1:25" ht="13.5" customHeight="1" thickBot="1">
      <c r="A162" s="1102"/>
      <c r="B162" s="1102"/>
      <c r="C162" s="1102"/>
      <c r="D162" s="1110"/>
      <c r="E162" s="650"/>
      <c r="F162" s="650"/>
      <c r="G162" s="650"/>
      <c r="H162" s="650"/>
      <c r="I162" s="650"/>
      <c r="J162" s="612"/>
      <c r="K162" s="612"/>
      <c r="L162" s="612"/>
      <c r="M162" s="612"/>
      <c r="N162" s="612"/>
      <c r="O162" s="612"/>
      <c r="P162" s="612"/>
      <c r="Q162" s="612"/>
      <c r="R162" s="612"/>
      <c r="S162" s="612"/>
      <c r="T162" s="612"/>
      <c r="U162" s="612"/>
      <c r="V162" s="612"/>
      <c r="W162" s="613"/>
      <c r="Y162" s="593"/>
    </row>
    <row r="163" spans="1:25" ht="48" customHeight="1" thickTop="1" thickBot="1">
      <c r="A163" s="1102"/>
      <c r="B163" s="1102"/>
      <c r="C163" s="1102"/>
      <c r="D163" s="1143" t="s">
        <v>580</v>
      </c>
      <c r="E163" s="1144"/>
      <c r="F163" s="1144"/>
      <c r="G163" s="1144"/>
      <c r="H163" s="1145"/>
      <c r="I163" s="614">
        <v>2</v>
      </c>
      <c r="J163" s="615"/>
      <c r="K163" s="1151"/>
      <c r="L163" s="1152"/>
      <c r="M163" s="616">
        <f>SUM(L165:L167)</f>
        <v>0</v>
      </c>
      <c r="N163" s="1140">
        <v>0</v>
      </c>
      <c r="O163" s="1141"/>
      <c r="P163" s="616">
        <f>SUM(O165:O167)</f>
        <v>0</v>
      </c>
      <c r="Q163" s="1140">
        <v>2</v>
      </c>
      <c r="R163" s="1141"/>
      <c r="S163" s="616">
        <f>SUM(R165:R167)</f>
        <v>886.91200000000003</v>
      </c>
      <c r="T163" s="1142">
        <v>2</v>
      </c>
      <c r="U163" s="1140"/>
      <c r="V163" s="616">
        <f>SUM(U165:U167)</f>
        <v>922.38848000000007</v>
      </c>
      <c r="W163" s="618">
        <f>SUM(M163,P163,S163,V163,)</f>
        <v>1809.3004800000001</v>
      </c>
      <c r="Y163" s="593"/>
    </row>
    <row r="164" spans="1:25" ht="15.9" thickTop="1" thickBot="1">
      <c r="A164" s="1102"/>
      <c r="B164" s="1102"/>
      <c r="C164" s="1102"/>
      <c r="D164" s="619" t="s">
        <v>539</v>
      </c>
      <c r="E164" s="620"/>
      <c r="F164" s="620"/>
      <c r="G164" s="620"/>
      <c r="H164" s="621"/>
      <c r="I164" s="620"/>
      <c r="J164" s="620"/>
      <c r="K164" s="622"/>
      <c r="L164" s="620"/>
      <c r="M164" s="621"/>
      <c r="N164" s="622"/>
      <c r="O164" s="620"/>
      <c r="P164" s="623"/>
      <c r="Q164" s="622"/>
      <c r="R164" s="620"/>
      <c r="S164" s="623"/>
      <c r="T164" s="622"/>
      <c r="U164" s="620"/>
      <c r="V164" s="623"/>
      <c r="W164" s="618">
        <f t="shared" si="37"/>
        <v>0</v>
      </c>
      <c r="Y164" s="593"/>
    </row>
    <row r="165" spans="1:25" ht="15.9" thickTop="1" thickBot="1">
      <c r="A165" s="1102" t="s">
        <v>1016</v>
      </c>
      <c r="B165" s="1102">
        <v>86000</v>
      </c>
      <c r="C165" s="1102" t="s">
        <v>910</v>
      </c>
      <c r="D165" s="1103" t="s">
        <v>540</v>
      </c>
      <c r="E165" s="626">
        <v>9</v>
      </c>
      <c r="F165" s="627" t="s">
        <v>541</v>
      </c>
      <c r="G165" s="626">
        <f>parttransp</f>
        <v>4</v>
      </c>
      <c r="H165" s="627" t="s">
        <v>542</v>
      </c>
      <c r="I165" s="628">
        <f>IF(E165=0,0,I163)</f>
        <v>2</v>
      </c>
      <c r="J165" s="628">
        <f t="shared" ref="J165:J173" si="42">E165*G165*I165</f>
        <v>72</v>
      </c>
      <c r="K165" s="629"/>
      <c r="L165" s="628">
        <f>$J165*K163*M$12</f>
        <v>0</v>
      </c>
      <c r="N165" s="629"/>
      <c r="O165" s="628">
        <f>$J165*N163*P$12</f>
        <v>0</v>
      </c>
      <c r="P165" s="630"/>
      <c r="Q165" s="629"/>
      <c r="R165" s="628">
        <f>$J165*Q163*S$12</f>
        <v>155.75040000000001</v>
      </c>
      <c r="S165" s="630"/>
      <c r="T165" s="629"/>
      <c r="U165" s="628">
        <f>$J165*T163*V$12</f>
        <v>161.98041600000002</v>
      </c>
      <c r="V165" s="630"/>
      <c r="W165" s="618">
        <f t="shared" si="37"/>
        <v>317.730816</v>
      </c>
      <c r="Y165" s="593"/>
    </row>
    <row r="166" spans="1:25" ht="15.9" thickTop="1" thickBot="1">
      <c r="A166" s="1102" t="s">
        <v>1017</v>
      </c>
      <c r="B166" s="1102">
        <v>87000</v>
      </c>
      <c r="C166" s="1102" t="s">
        <v>910</v>
      </c>
      <c r="D166" s="1103" t="s">
        <v>543</v>
      </c>
      <c r="E166" s="626">
        <v>9</v>
      </c>
      <c r="F166" s="627" t="s">
        <v>541</v>
      </c>
      <c r="G166" s="626">
        <f>coffee+lunch</f>
        <v>16</v>
      </c>
      <c r="H166" s="627" t="s">
        <v>542</v>
      </c>
      <c r="I166" s="628">
        <f>IF(E166=0,0,I163)</f>
        <v>2</v>
      </c>
      <c r="J166" s="628">
        <f t="shared" si="42"/>
        <v>288</v>
      </c>
      <c r="K166" s="629"/>
      <c r="L166" s="628">
        <f>$J166*K163*M$12</f>
        <v>0</v>
      </c>
      <c r="N166" s="629"/>
      <c r="O166" s="628">
        <f>$J166*N163*P$12</f>
        <v>0</v>
      </c>
      <c r="P166" s="630"/>
      <c r="Q166" s="629"/>
      <c r="R166" s="628">
        <f>$J166*Q163*S$12</f>
        <v>623.00160000000005</v>
      </c>
      <c r="S166" s="630"/>
      <c r="T166" s="629"/>
      <c r="U166" s="628">
        <f>$J166*T163*V$12</f>
        <v>647.92166400000008</v>
      </c>
      <c r="V166" s="630"/>
      <c r="W166" s="618">
        <f t="shared" si="37"/>
        <v>1270.923264</v>
      </c>
      <c r="Y166" s="593"/>
    </row>
    <row r="167" spans="1:25" ht="15.6" thickTop="1">
      <c r="A167" s="1102" t="s">
        <v>1018</v>
      </c>
      <c r="B167" s="1102">
        <v>85300</v>
      </c>
      <c r="C167" s="1102" t="s">
        <v>910</v>
      </c>
      <c r="D167" s="1103" t="s">
        <v>544</v>
      </c>
      <c r="E167" s="626">
        <v>1</v>
      </c>
      <c r="F167" s="627" t="s">
        <v>545</v>
      </c>
      <c r="G167" s="626">
        <f>print</f>
        <v>50</v>
      </c>
      <c r="H167" s="632" t="str">
        <f>F167</f>
        <v>activity</v>
      </c>
      <c r="I167" s="628">
        <f>IF(E167=0,0,1)</f>
        <v>1</v>
      </c>
      <c r="J167" s="628">
        <f t="shared" si="42"/>
        <v>50</v>
      </c>
      <c r="K167" s="629"/>
      <c r="L167" s="628">
        <f>$J167*K163*M$12</f>
        <v>0</v>
      </c>
      <c r="N167" s="629"/>
      <c r="O167" s="628">
        <f>$J167*N163*P$12</f>
        <v>0</v>
      </c>
      <c r="P167" s="630"/>
      <c r="Q167" s="629"/>
      <c r="R167" s="628">
        <f>$J167*Q163*S$12</f>
        <v>108.16000000000001</v>
      </c>
      <c r="S167" s="630"/>
      <c r="T167" s="629"/>
      <c r="U167" s="628">
        <f>$J167*T163*V$12</f>
        <v>112.4864</v>
      </c>
      <c r="V167" s="630"/>
      <c r="W167" s="618">
        <f t="shared" si="37"/>
        <v>220.64640000000003</v>
      </c>
      <c r="Y167" s="593"/>
    </row>
    <row r="168" spans="1:25" ht="15.9" hidden="1" thickTop="1" thickBot="1">
      <c r="A168" s="1102"/>
      <c r="B168" s="1102"/>
      <c r="C168" s="1102"/>
      <c r="D168" s="1103"/>
      <c r="E168" s="628"/>
      <c r="F168" s="628"/>
      <c r="G168" s="628"/>
      <c r="H168" s="634"/>
      <c r="I168" s="628"/>
      <c r="J168" s="628"/>
      <c r="K168" s="629"/>
      <c r="L168" s="628"/>
      <c r="N168" s="629"/>
      <c r="O168" s="628"/>
      <c r="P168" s="982"/>
      <c r="Q168" s="629"/>
      <c r="R168" s="628"/>
      <c r="S168" s="982"/>
      <c r="T168" s="629"/>
      <c r="U168" s="628"/>
      <c r="V168" s="982"/>
      <c r="W168" s="618">
        <f t="shared" si="37"/>
        <v>0</v>
      </c>
      <c r="Y168" s="593"/>
    </row>
    <row r="169" spans="1:25" ht="15.9" hidden="1" thickTop="1" thickBot="1">
      <c r="A169" s="1102"/>
      <c r="B169" s="1102"/>
      <c r="C169" s="1102"/>
      <c r="D169" s="633" t="s">
        <v>554</v>
      </c>
      <c r="E169" s="628"/>
      <c r="F169" s="634"/>
      <c r="G169" s="628"/>
      <c r="H169" s="628"/>
      <c r="I169" s="628"/>
      <c r="J169" s="628">
        <f t="shared" si="42"/>
        <v>0</v>
      </c>
      <c r="K169" s="629"/>
      <c r="L169" s="628">
        <f>$J169*K162*M$12</f>
        <v>0</v>
      </c>
      <c r="N169" s="629"/>
      <c r="O169" s="628">
        <f>$J169*N162*P$12</f>
        <v>0</v>
      </c>
      <c r="P169" s="630"/>
      <c r="Q169" s="629"/>
      <c r="R169" s="628">
        <f t="shared" ref="R169:R179" si="43">$J169*$Q$163*S$12</f>
        <v>0</v>
      </c>
      <c r="S169" s="630"/>
      <c r="T169" s="629"/>
      <c r="U169" s="628">
        <f t="shared" ref="U169:U179" si="44">$J169*$T$163*V$12</f>
        <v>0</v>
      </c>
      <c r="V169" s="630"/>
      <c r="W169" s="618">
        <v>0</v>
      </c>
      <c r="Y169" s="593"/>
    </row>
    <row r="170" spans="1:25" ht="15.9" hidden="1" thickTop="1" thickBot="1">
      <c r="A170" s="1102"/>
      <c r="B170" s="1102"/>
      <c r="C170" s="1102"/>
      <c r="D170" s="1103" t="s">
        <v>555</v>
      </c>
      <c r="E170" s="626">
        <v>2</v>
      </c>
      <c r="F170" s="627" t="s">
        <v>541</v>
      </c>
      <c r="G170" s="626">
        <f>localairfare</f>
        <v>175</v>
      </c>
      <c r="H170" s="627" t="s">
        <v>556</v>
      </c>
      <c r="I170" s="628">
        <f>IF(E170=0,0,1)</f>
        <v>1</v>
      </c>
      <c r="J170" s="628">
        <f t="shared" si="42"/>
        <v>350</v>
      </c>
      <c r="K170" s="629"/>
      <c r="L170" s="628">
        <f>$J170*K162*M$12</f>
        <v>0</v>
      </c>
      <c r="N170" s="629"/>
      <c r="O170" s="628">
        <f>$J170*N162*P$12</f>
        <v>0</v>
      </c>
      <c r="P170" s="630"/>
      <c r="Q170" s="629"/>
      <c r="R170" s="628">
        <f t="shared" si="43"/>
        <v>757.12000000000012</v>
      </c>
      <c r="S170" s="630"/>
      <c r="T170" s="629"/>
      <c r="U170" s="628">
        <f t="shared" si="44"/>
        <v>787.40480000000002</v>
      </c>
      <c r="V170" s="630"/>
      <c r="W170" s="618">
        <v>0</v>
      </c>
      <c r="Y170" s="593"/>
    </row>
    <row r="171" spans="1:25" ht="15.9" hidden="1" thickTop="1" thickBot="1">
      <c r="A171" s="1102"/>
      <c r="B171" s="1102"/>
      <c r="C171" s="1102"/>
      <c r="D171" s="1103" t="s">
        <v>557</v>
      </c>
      <c r="E171" s="626">
        <v>2</v>
      </c>
      <c r="F171" s="627" t="s">
        <v>541</v>
      </c>
      <c r="G171" s="626">
        <f>partground</f>
        <v>9</v>
      </c>
      <c r="H171" s="627" t="s">
        <v>542</v>
      </c>
      <c r="I171" s="628">
        <f>IF(E171=0,0,1)</f>
        <v>1</v>
      </c>
      <c r="J171" s="628">
        <f t="shared" si="42"/>
        <v>18</v>
      </c>
      <c r="K171" s="629"/>
      <c r="L171" s="628">
        <f>$J171*K162*M$12</f>
        <v>0</v>
      </c>
      <c r="N171" s="629"/>
      <c r="O171" s="628">
        <f>$J171*N162*P$12</f>
        <v>0</v>
      </c>
      <c r="P171" s="630"/>
      <c r="Q171" s="629"/>
      <c r="R171" s="628">
        <f t="shared" si="43"/>
        <v>38.937600000000003</v>
      </c>
      <c r="S171" s="630"/>
      <c r="T171" s="629"/>
      <c r="U171" s="628">
        <f t="shared" si="44"/>
        <v>40.495104000000005</v>
      </c>
      <c r="V171" s="630"/>
      <c r="W171" s="618">
        <v>0</v>
      </c>
      <c r="Y171" s="593"/>
    </row>
    <row r="172" spans="1:25" ht="15.9" hidden="1" thickTop="1" thickBot="1">
      <c r="A172" s="1102"/>
      <c r="B172" s="1102"/>
      <c r="C172" s="1102"/>
      <c r="D172" s="1103" t="s">
        <v>48</v>
      </c>
      <c r="E172" s="628">
        <f>E170+E171</f>
        <v>4</v>
      </c>
      <c r="F172" s="627" t="s">
        <v>541</v>
      </c>
      <c r="G172" s="626">
        <f>partlodg</f>
        <v>25</v>
      </c>
      <c r="H172" s="627" t="s">
        <v>542</v>
      </c>
      <c r="I172" s="628">
        <v>1</v>
      </c>
      <c r="J172" s="628">
        <f t="shared" si="42"/>
        <v>100</v>
      </c>
      <c r="K172" s="629"/>
      <c r="L172" s="628">
        <f>$J172*K162*M$12</f>
        <v>0</v>
      </c>
      <c r="N172" s="629"/>
      <c r="O172" s="628">
        <f>$J172*N162*P$12</f>
        <v>0</v>
      </c>
      <c r="P172" s="630"/>
      <c r="Q172" s="629"/>
      <c r="R172" s="628">
        <f t="shared" si="43"/>
        <v>216.32000000000002</v>
      </c>
      <c r="S172" s="630"/>
      <c r="T172" s="629"/>
      <c r="U172" s="628">
        <f t="shared" si="44"/>
        <v>224.97280000000001</v>
      </c>
      <c r="V172" s="630"/>
      <c r="W172" s="618">
        <v>0</v>
      </c>
      <c r="Y172" s="593"/>
    </row>
    <row r="173" spans="1:25" ht="15.9" hidden="1" thickTop="1" thickBot="1">
      <c r="A173" s="1102"/>
      <c r="B173" s="1102"/>
      <c r="C173" s="1102"/>
      <c r="D173" s="1103" t="s">
        <v>70</v>
      </c>
      <c r="E173" s="628">
        <f>E172</f>
        <v>4</v>
      </c>
      <c r="F173" s="627" t="s">
        <v>541</v>
      </c>
      <c r="G173" s="626">
        <f>partmeals</f>
        <v>47</v>
      </c>
      <c r="H173" s="627" t="s">
        <v>542</v>
      </c>
      <c r="I173" s="628">
        <v>1</v>
      </c>
      <c r="J173" s="628">
        <f t="shared" si="42"/>
        <v>188</v>
      </c>
      <c r="K173" s="629"/>
      <c r="L173" s="628">
        <f>$J173*K162*M$12</f>
        <v>0</v>
      </c>
      <c r="N173" s="629"/>
      <c r="O173" s="628">
        <f>$J173*N162*P$12</f>
        <v>0</v>
      </c>
      <c r="P173" s="630"/>
      <c r="Q173" s="629"/>
      <c r="R173" s="628">
        <f t="shared" si="43"/>
        <v>406.68160000000006</v>
      </c>
      <c r="S173" s="630"/>
      <c r="T173" s="629"/>
      <c r="U173" s="628">
        <f t="shared" si="44"/>
        <v>422.94886400000001</v>
      </c>
      <c r="V173" s="630"/>
      <c r="W173" s="618">
        <v>0</v>
      </c>
      <c r="Y173" s="593"/>
    </row>
    <row r="174" spans="1:25" ht="15.9" hidden="1" thickTop="1" thickBot="1">
      <c r="A174" s="1102"/>
      <c r="B174" s="1102"/>
      <c r="C174" s="1102"/>
      <c r="D174" s="1103"/>
      <c r="E174" s="628"/>
      <c r="F174" s="628"/>
      <c r="G174" s="628"/>
      <c r="H174" s="628"/>
      <c r="I174" s="628"/>
      <c r="J174" s="628"/>
      <c r="K174" s="629"/>
      <c r="L174" s="628"/>
      <c r="N174" s="629"/>
      <c r="O174" s="628"/>
      <c r="P174" s="630"/>
      <c r="Q174" s="629"/>
      <c r="R174" s="628">
        <f t="shared" si="43"/>
        <v>0</v>
      </c>
      <c r="S174" s="630"/>
      <c r="T174" s="629"/>
      <c r="U174" s="628">
        <f t="shared" si="44"/>
        <v>0</v>
      </c>
      <c r="V174" s="630"/>
      <c r="W174" s="618">
        <v>0</v>
      </c>
      <c r="Y174" s="593"/>
    </row>
    <row r="175" spans="1:25" ht="15.9" hidden="1" thickTop="1" thickBot="1">
      <c r="A175" s="1102"/>
      <c r="B175" s="1102"/>
      <c r="C175" s="1102"/>
      <c r="D175" s="633" t="s">
        <v>554</v>
      </c>
      <c r="E175" s="628"/>
      <c r="F175" s="634"/>
      <c r="G175" s="628"/>
      <c r="H175" s="628"/>
      <c r="I175" s="628"/>
      <c r="J175" s="628">
        <f t="shared" ref="J175:J179" si="45">E175*G175*I175</f>
        <v>0</v>
      </c>
      <c r="K175" s="629"/>
      <c r="L175" s="628">
        <f>$J175*K163*M$12</f>
        <v>0</v>
      </c>
      <c r="N175" s="629"/>
      <c r="O175" s="628">
        <f>$J175*N163*P$12</f>
        <v>0</v>
      </c>
      <c r="P175" s="630"/>
      <c r="Q175" s="629"/>
      <c r="R175" s="628">
        <f t="shared" si="43"/>
        <v>0</v>
      </c>
      <c r="S175" s="630"/>
      <c r="T175" s="629"/>
      <c r="U175" s="628">
        <f t="shared" si="44"/>
        <v>0</v>
      </c>
      <c r="V175" s="630"/>
      <c r="W175" s="618">
        <v>0</v>
      </c>
      <c r="Y175" s="593"/>
    </row>
    <row r="176" spans="1:25" ht="15.9" hidden="1" thickTop="1" thickBot="1">
      <c r="A176" s="1102"/>
      <c r="B176" s="1102"/>
      <c r="C176" s="1102"/>
      <c r="D176" s="1103" t="s">
        <v>563</v>
      </c>
      <c r="E176" s="626">
        <v>2</v>
      </c>
      <c r="F176" s="627" t="s">
        <v>541</v>
      </c>
      <c r="G176" s="626">
        <f>partground</f>
        <v>9</v>
      </c>
      <c r="H176" s="627" t="s">
        <v>556</v>
      </c>
      <c r="I176" s="628">
        <f>IF(E176=0,0,1)</f>
        <v>1</v>
      </c>
      <c r="J176" s="628">
        <f t="shared" si="45"/>
        <v>18</v>
      </c>
      <c r="K176" s="629"/>
      <c r="L176" s="628">
        <f>$J176*K163*M$12</f>
        <v>0</v>
      </c>
      <c r="N176" s="629"/>
      <c r="O176" s="628">
        <f>$J176*N163*P$12</f>
        <v>0</v>
      </c>
      <c r="P176" s="630"/>
      <c r="Q176" s="629"/>
      <c r="R176" s="628">
        <f t="shared" si="43"/>
        <v>38.937600000000003</v>
      </c>
      <c r="S176" s="630"/>
      <c r="T176" s="629"/>
      <c r="U176" s="628">
        <f t="shared" si="44"/>
        <v>40.495104000000005</v>
      </c>
      <c r="V176" s="630"/>
      <c r="W176" s="618">
        <v>0</v>
      </c>
      <c r="Y176" s="593"/>
    </row>
    <row r="177" spans="1:25" ht="15.9" hidden="1" thickTop="1" thickBot="1">
      <c r="A177" s="1102"/>
      <c r="B177" s="1102"/>
      <c r="C177" s="1102"/>
      <c r="D177" s="1103" t="s">
        <v>564</v>
      </c>
      <c r="E177" s="626">
        <v>2</v>
      </c>
      <c r="F177" s="627" t="s">
        <v>541</v>
      </c>
      <c r="G177" s="626">
        <f>partground</f>
        <v>9</v>
      </c>
      <c r="H177" s="627" t="s">
        <v>542</v>
      </c>
      <c r="I177" s="628">
        <f>IF(E177=0,0,1)</f>
        <v>1</v>
      </c>
      <c r="J177" s="628">
        <f t="shared" si="45"/>
        <v>18</v>
      </c>
      <c r="K177" s="629"/>
      <c r="L177" s="628">
        <f>$J177*K163*M$12</f>
        <v>0</v>
      </c>
      <c r="N177" s="629"/>
      <c r="O177" s="628">
        <f>$J177*N163*P$12</f>
        <v>0</v>
      </c>
      <c r="P177" s="630"/>
      <c r="Q177" s="629"/>
      <c r="R177" s="628">
        <f t="shared" si="43"/>
        <v>38.937600000000003</v>
      </c>
      <c r="S177" s="630"/>
      <c r="T177" s="629"/>
      <c r="U177" s="628">
        <f t="shared" si="44"/>
        <v>40.495104000000005</v>
      </c>
      <c r="V177" s="630"/>
      <c r="W177" s="618">
        <v>0</v>
      </c>
      <c r="Y177" s="593"/>
    </row>
    <row r="178" spans="1:25" ht="15.9" hidden="1" thickTop="1" thickBot="1">
      <c r="A178" s="1102"/>
      <c r="B178" s="1102"/>
      <c r="C178" s="1102"/>
      <c r="D178" s="1103" t="s">
        <v>48</v>
      </c>
      <c r="E178" s="628"/>
      <c r="F178" s="627" t="s">
        <v>541</v>
      </c>
      <c r="G178" s="626">
        <f>partlodg</f>
        <v>25</v>
      </c>
      <c r="H178" s="627" t="s">
        <v>542</v>
      </c>
      <c r="I178" s="628">
        <f>IF(E178=0,0,I163)</f>
        <v>0</v>
      </c>
      <c r="J178" s="628">
        <f t="shared" si="45"/>
        <v>0</v>
      </c>
      <c r="K178" s="629"/>
      <c r="L178" s="628">
        <f>$J178*K163*M$12</f>
        <v>0</v>
      </c>
      <c r="N178" s="629"/>
      <c r="O178" s="628">
        <f>$J178*N163*P$12</f>
        <v>0</v>
      </c>
      <c r="P178" s="630"/>
      <c r="Q178" s="629"/>
      <c r="R178" s="628">
        <f t="shared" si="43"/>
        <v>0</v>
      </c>
      <c r="S178" s="630"/>
      <c r="T178" s="629"/>
      <c r="U178" s="628">
        <f t="shared" si="44"/>
        <v>0</v>
      </c>
      <c r="V178" s="630"/>
      <c r="W178" s="618">
        <v>0</v>
      </c>
      <c r="Y178" s="593"/>
    </row>
    <row r="179" spans="1:25" ht="15.6" hidden="1" thickTop="1">
      <c r="A179" s="1102"/>
      <c r="B179" s="1102"/>
      <c r="C179" s="1102"/>
      <c r="D179" s="1103" t="s">
        <v>70</v>
      </c>
      <c r="E179" s="628">
        <v>4</v>
      </c>
      <c r="F179" s="627" t="s">
        <v>541</v>
      </c>
      <c r="G179" s="626">
        <f>partmeals</f>
        <v>47</v>
      </c>
      <c r="H179" s="627" t="s">
        <v>542</v>
      </c>
      <c r="I179" s="628">
        <f>IF(E179=0,0,I163)</f>
        <v>2</v>
      </c>
      <c r="J179" s="628">
        <f t="shared" si="45"/>
        <v>376</v>
      </c>
      <c r="K179" s="629"/>
      <c r="L179" s="628">
        <f>$J179*K163*M$12</f>
        <v>0</v>
      </c>
      <c r="N179" s="629"/>
      <c r="O179" s="628">
        <f>$J179*N163*P$12</f>
        <v>0</v>
      </c>
      <c r="P179" s="630"/>
      <c r="Q179" s="629"/>
      <c r="R179" s="628">
        <f t="shared" si="43"/>
        <v>813.36320000000012</v>
      </c>
      <c r="S179" s="630"/>
      <c r="T179" s="629"/>
      <c r="U179" s="628">
        <f t="shared" si="44"/>
        <v>845.89772800000003</v>
      </c>
      <c r="V179" s="630"/>
      <c r="W179" s="618">
        <v>0</v>
      </c>
      <c r="Y179" s="593"/>
    </row>
    <row r="180" spans="1:25">
      <c r="A180" s="1102"/>
      <c r="B180" s="1102"/>
      <c r="C180" s="1102"/>
      <c r="D180" s="644" t="s">
        <v>547</v>
      </c>
      <c r="E180" s="645"/>
      <c r="F180" s="645"/>
      <c r="G180" s="646"/>
      <c r="H180" s="1146">
        <f>SUM(J164:J179)</f>
        <v>1478</v>
      </c>
      <c r="I180" s="1147"/>
      <c r="J180" s="647"/>
      <c r="K180" s="648"/>
      <c r="L180" s="648"/>
      <c r="M180" s="621"/>
      <c r="N180" s="648"/>
      <c r="O180" s="648"/>
      <c r="P180" s="621"/>
      <c r="Q180" s="648"/>
      <c r="R180" s="648"/>
      <c r="S180" s="621"/>
      <c r="T180" s="648"/>
      <c r="U180" s="648"/>
      <c r="V180" s="621"/>
      <c r="W180" s="649"/>
      <c r="Y180" s="593"/>
    </row>
    <row r="181" spans="1:25" ht="13.5" customHeight="1" thickBot="1">
      <c r="A181" s="1102"/>
      <c r="B181" s="1102"/>
      <c r="C181" s="1102"/>
      <c r="D181" s="1110"/>
      <c r="E181" s="650"/>
      <c r="F181" s="650"/>
      <c r="G181" s="650"/>
      <c r="H181" s="650"/>
      <c r="I181" s="650"/>
      <c r="J181" s="612"/>
      <c r="K181" s="612"/>
      <c r="L181" s="612"/>
      <c r="M181" s="612"/>
      <c r="N181" s="612"/>
      <c r="O181" s="612"/>
      <c r="P181" s="612"/>
      <c r="Q181" s="612"/>
      <c r="R181" s="612"/>
      <c r="S181" s="612"/>
      <c r="T181" s="612"/>
      <c r="U181" s="612"/>
      <c r="V181" s="612"/>
      <c r="W181" s="613"/>
      <c r="Y181" s="593"/>
    </row>
    <row r="182" spans="1:25" ht="41.25" customHeight="1" thickTop="1" thickBot="1">
      <c r="A182" s="1102"/>
      <c r="B182" s="1102"/>
      <c r="C182" s="1102"/>
      <c r="D182" s="1156" t="s">
        <v>581</v>
      </c>
      <c r="E182" s="1157"/>
      <c r="F182" s="1157"/>
      <c r="G182" s="1157"/>
      <c r="H182" s="1158"/>
      <c r="I182" s="614">
        <v>1</v>
      </c>
      <c r="J182" s="615"/>
      <c r="K182" s="1151"/>
      <c r="L182" s="1152"/>
      <c r="M182" s="616">
        <f>SUM(L184:L186)</f>
        <v>0</v>
      </c>
      <c r="N182" s="1140">
        <v>0</v>
      </c>
      <c r="O182" s="1141"/>
      <c r="P182" s="616">
        <f>SUM(O184:O186)</f>
        <v>0</v>
      </c>
      <c r="Q182" s="1140">
        <v>8</v>
      </c>
      <c r="R182" s="1141"/>
      <c r="S182" s="616">
        <f>SUM(R184:R186)</f>
        <v>3547.6480000000001</v>
      </c>
      <c r="T182" s="1142">
        <v>8</v>
      </c>
      <c r="U182" s="1140"/>
      <c r="V182" s="616">
        <f>SUM(U184:U186)</f>
        <v>3689.5539200000003</v>
      </c>
      <c r="W182" s="618">
        <f>SUM(M182,P182,S182,V182,)</f>
        <v>7237.2019200000004</v>
      </c>
      <c r="Y182" s="593"/>
    </row>
    <row r="183" spans="1:25" ht="15.9" thickTop="1" thickBot="1">
      <c r="A183" s="1102"/>
      <c r="B183" s="1102"/>
      <c r="C183" s="1102"/>
      <c r="D183" s="619" t="s">
        <v>566</v>
      </c>
      <c r="E183" s="620"/>
      <c r="F183" s="620"/>
      <c r="G183" s="620"/>
      <c r="H183" s="621"/>
      <c r="I183" s="620"/>
      <c r="J183" s="620"/>
      <c r="K183" s="622"/>
      <c r="L183" s="620"/>
      <c r="M183" s="621"/>
      <c r="N183" s="622"/>
      <c r="O183" s="620"/>
      <c r="P183" s="623"/>
      <c r="Q183" s="622"/>
      <c r="R183" s="620"/>
      <c r="S183" s="623"/>
      <c r="T183" s="622"/>
      <c r="U183" s="620"/>
      <c r="V183" s="623"/>
      <c r="W183" s="618">
        <f t="shared" ref="W183:W187" si="46">U183+R183+O183+L183</f>
        <v>0</v>
      </c>
      <c r="Y183" s="593"/>
    </row>
    <row r="184" spans="1:25" ht="15.9" thickTop="1" thickBot="1">
      <c r="A184" s="1102" t="s">
        <v>1019</v>
      </c>
      <c r="B184" s="1102">
        <v>86000</v>
      </c>
      <c r="C184" s="1102" t="s">
        <v>910</v>
      </c>
      <c r="D184" s="1103" t="s">
        <v>540</v>
      </c>
      <c r="E184" s="626">
        <v>18</v>
      </c>
      <c r="F184" s="627" t="s">
        <v>541</v>
      </c>
      <c r="G184" s="626">
        <f>parttransp</f>
        <v>4</v>
      </c>
      <c r="H184" s="627" t="s">
        <v>542</v>
      </c>
      <c r="I184" s="628">
        <f>IF(E184=0,0,I182)</f>
        <v>1</v>
      </c>
      <c r="J184" s="628">
        <f t="shared" ref="J184:J192" si="47">E184*G184*I184</f>
        <v>72</v>
      </c>
      <c r="K184" s="629"/>
      <c r="L184" s="628">
        <f>$J184*K182*M$12</f>
        <v>0</v>
      </c>
      <c r="N184" s="629"/>
      <c r="O184" s="628">
        <f>$J184*N182*P$12</f>
        <v>0</v>
      </c>
      <c r="P184" s="630"/>
      <c r="Q184" s="629"/>
      <c r="R184" s="628">
        <f>$J184*Q182*S$12</f>
        <v>623.00160000000005</v>
      </c>
      <c r="S184" s="630"/>
      <c r="T184" s="629"/>
      <c r="U184" s="628">
        <f>$J184*T182*V$12</f>
        <v>647.92166400000008</v>
      </c>
      <c r="V184" s="630"/>
      <c r="W184" s="618">
        <f t="shared" si="46"/>
        <v>1270.923264</v>
      </c>
      <c r="Y184" s="593"/>
    </row>
    <row r="185" spans="1:25" ht="15.9" thickTop="1" thickBot="1">
      <c r="A185" s="1102" t="s">
        <v>1020</v>
      </c>
      <c r="B185" s="1102">
        <v>87000</v>
      </c>
      <c r="C185" s="1102" t="s">
        <v>910</v>
      </c>
      <c r="D185" s="1103" t="s">
        <v>543</v>
      </c>
      <c r="E185" s="626">
        <v>18</v>
      </c>
      <c r="F185" s="627" t="s">
        <v>541</v>
      </c>
      <c r="G185" s="626">
        <f>coffee+lunch</f>
        <v>16</v>
      </c>
      <c r="H185" s="627" t="s">
        <v>542</v>
      </c>
      <c r="I185" s="628">
        <f>IF(E185=0,0,I182)</f>
        <v>1</v>
      </c>
      <c r="J185" s="628">
        <f t="shared" si="47"/>
        <v>288</v>
      </c>
      <c r="K185" s="629"/>
      <c r="L185" s="628">
        <f>$J185*K182*M$12</f>
        <v>0</v>
      </c>
      <c r="N185" s="629"/>
      <c r="O185" s="628">
        <f>$J185*N182*P$12</f>
        <v>0</v>
      </c>
      <c r="P185" s="630"/>
      <c r="Q185" s="629"/>
      <c r="R185" s="628">
        <f>$J185*Q182*S$12</f>
        <v>2492.0064000000002</v>
      </c>
      <c r="S185" s="630"/>
      <c r="T185" s="629"/>
      <c r="U185" s="628">
        <f>$J185*T182*V$12</f>
        <v>2591.6866560000003</v>
      </c>
      <c r="V185" s="630"/>
      <c r="W185" s="618">
        <f t="shared" si="46"/>
        <v>5083.6930560000001</v>
      </c>
      <c r="Y185" s="593"/>
    </row>
    <row r="186" spans="1:25" ht="15.6" thickTop="1">
      <c r="A186" s="1102" t="s">
        <v>1021</v>
      </c>
      <c r="B186" s="1102">
        <v>85300</v>
      </c>
      <c r="C186" s="1102" t="s">
        <v>910</v>
      </c>
      <c r="D186" s="1103" t="s">
        <v>544</v>
      </c>
      <c r="E186" s="626">
        <v>1</v>
      </c>
      <c r="F186" s="627" t="s">
        <v>545</v>
      </c>
      <c r="G186" s="626">
        <f>print</f>
        <v>50</v>
      </c>
      <c r="H186" s="632" t="str">
        <f>F186</f>
        <v>activity</v>
      </c>
      <c r="I186" s="628">
        <v>1</v>
      </c>
      <c r="J186" s="628">
        <f t="shared" si="47"/>
        <v>50</v>
      </c>
      <c r="K186" s="629"/>
      <c r="L186" s="628">
        <f>$J186*K182*M$12</f>
        <v>0</v>
      </c>
      <c r="N186" s="629"/>
      <c r="O186" s="628">
        <f>$J186*N182*P$12</f>
        <v>0</v>
      </c>
      <c r="P186" s="630"/>
      <c r="Q186" s="629"/>
      <c r="R186" s="628">
        <f>$J186*Q182*S$12</f>
        <v>432.64000000000004</v>
      </c>
      <c r="S186" s="630"/>
      <c r="T186" s="629"/>
      <c r="U186" s="628">
        <f>$J186*T182*V$12</f>
        <v>449.94560000000001</v>
      </c>
      <c r="V186" s="630"/>
      <c r="W186" s="618">
        <f t="shared" si="46"/>
        <v>882.58560000000011</v>
      </c>
      <c r="Y186" s="593"/>
    </row>
    <row r="187" spans="1:25" ht="15.9" hidden="1" thickTop="1" thickBot="1">
      <c r="A187" s="1102"/>
      <c r="B187" s="1102"/>
      <c r="C187" s="1102"/>
      <c r="D187" s="1103"/>
      <c r="E187" s="628"/>
      <c r="F187" s="628"/>
      <c r="G187" s="628"/>
      <c r="H187" s="628"/>
      <c r="I187" s="628"/>
      <c r="J187" s="628"/>
      <c r="K187" s="629"/>
      <c r="L187" s="628"/>
      <c r="N187" s="629"/>
      <c r="O187" s="628"/>
      <c r="P187" s="982"/>
      <c r="Q187" s="629"/>
      <c r="R187" s="628"/>
      <c r="S187" s="982"/>
      <c r="T187" s="629"/>
      <c r="U187" s="628"/>
      <c r="V187" s="982"/>
      <c r="W187" s="618">
        <f t="shared" si="46"/>
        <v>0</v>
      </c>
      <c r="Y187" s="593"/>
    </row>
    <row r="188" spans="1:25" ht="15.9" hidden="1" thickTop="1" thickBot="1">
      <c r="A188" s="1102"/>
      <c r="B188" s="1102"/>
      <c r="C188" s="1102"/>
      <c r="D188" s="633" t="s">
        <v>554</v>
      </c>
      <c r="E188" s="628"/>
      <c r="F188" s="634"/>
      <c r="G188" s="628"/>
      <c r="H188" s="628"/>
      <c r="I188" s="628"/>
      <c r="J188" s="628"/>
      <c r="K188" s="629"/>
      <c r="L188" s="628"/>
      <c r="N188" s="629"/>
      <c r="O188" s="628"/>
      <c r="P188" s="630"/>
      <c r="Q188" s="629"/>
      <c r="R188" s="628"/>
      <c r="S188" s="630"/>
      <c r="T188" s="629"/>
      <c r="U188" s="628"/>
      <c r="V188" s="630"/>
      <c r="W188" s="618">
        <v>0</v>
      </c>
      <c r="Y188" s="593"/>
    </row>
    <row r="189" spans="1:25" ht="15.9" hidden="1" thickTop="1" thickBot="1">
      <c r="A189" s="1102"/>
      <c r="B189" s="1102"/>
      <c r="C189" s="1102"/>
      <c r="D189" s="1103" t="s">
        <v>555</v>
      </c>
      <c r="E189" s="626">
        <v>2</v>
      </c>
      <c r="F189" s="627" t="s">
        <v>541</v>
      </c>
      <c r="G189" s="626">
        <f>localairfare</f>
        <v>175</v>
      </c>
      <c r="H189" s="627" t="s">
        <v>556</v>
      </c>
      <c r="I189" s="628">
        <f>IF(E189=0,0,1)</f>
        <v>1</v>
      </c>
      <c r="J189" s="628">
        <f t="shared" si="47"/>
        <v>350</v>
      </c>
      <c r="K189" s="629"/>
      <c r="L189" s="628"/>
      <c r="N189" s="629"/>
      <c r="O189" s="628"/>
      <c r="P189" s="630"/>
      <c r="Q189" s="629"/>
      <c r="R189" s="628">
        <f t="shared" ref="R189:R198" si="48">$J189*$Q$182*S$12</f>
        <v>3028.4800000000005</v>
      </c>
      <c r="S189" s="630"/>
      <c r="T189" s="629"/>
      <c r="U189" s="628">
        <f t="shared" ref="U189:U198" si="49">$J189*$T$182*V$12</f>
        <v>3149.6192000000001</v>
      </c>
      <c r="V189" s="630"/>
      <c r="W189" s="618">
        <v>0</v>
      </c>
      <c r="Y189" s="593"/>
    </row>
    <row r="190" spans="1:25" ht="15.9" hidden="1" thickTop="1" thickBot="1">
      <c r="A190" s="1102"/>
      <c r="B190" s="1102"/>
      <c r="C190" s="1102"/>
      <c r="D190" s="1103" t="s">
        <v>557</v>
      </c>
      <c r="E190" s="626">
        <v>2</v>
      </c>
      <c r="F190" s="627" t="s">
        <v>541</v>
      </c>
      <c r="G190" s="626">
        <f>partground</f>
        <v>9</v>
      </c>
      <c r="H190" s="627" t="s">
        <v>542</v>
      </c>
      <c r="I190" s="628">
        <f>IF(E190=0,0,1)</f>
        <v>1</v>
      </c>
      <c r="J190" s="628">
        <f t="shared" si="47"/>
        <v>18</v>
      </c>
      <c r="K190" s="629"/>
      <c r="L190" s="628"/>
      <c r="N190" s="629"/>
      <c r="O190" s="628"/>
      <c r="P190" s="630"/>
      <c r="Q190" s="629"/>
      <c r="R190" s="628">
        <f t="shared" si="48"/>
        <v>155.75040000000001</v>
      </c>
      <c r="S190" s="630"/>
      <c r="T190" s="629"/>
      <c r="U190" s="628">
        <f t="shared" si="49"/>
        <v>161.98041600000002</v>
      </c>
      <c r="V190" s="630"/>
      <c r="W190" s="618">
        <v>0</v>
      </c>
      <c r="Y190" s="593"/>
    </row>
    <row r="191" spans="1:25" ht="15.9" hidden="1" thickTop="1" thickBot="1">
      <c r="A191" s="1102"/>
      <c r="B191" s="1102"/>
      <c r="C191" s="1102"/>
      <c r="D191" s="1103" t="s">
        <v>48</v>
      </c>
      <c r="E191" s="628">
        <f>E189+E190</f>
        <v>4</v>
      </c>
      <c r="F191" s="627" t="s">
        <v>541</v>
      </c>
      <c r="G191" s="626">
        <f>partlodg</f>
        <v>25</v>
      </c>
      <c r="H191" s="627" t="s">
        <v>542</v>
      </c>
      <c r="I191" s="628">
        <v>1</v>
      </c>
      <c r="J191" s="628">
        <f t="shared" si="47"/>
        <v>100</v>
      </c>
      <c r="K191" s="629"/>
      <c r="L191" s="628"/>
      <c r="N191" s="629"/>
      <c r="O191" s="628"/>
      <c r="P191" s="630"/>
      <c r="Q191" s="629"/>
      <c r="R191" s="628">
        <f t="shared" si="48"/>
        <v>865.28000000000009</v>
      </c>
      <c r="S191" s="630"/>
      <c r="T191" s="629"/>
      <c r="U191" s="628">
        <f t="shared" si="49"/>
        <v>899.89120000000003</v>
      </c>
      <c r="V191" s="630"/>
      <c r="W191" s="618">
        <v>0</v>
      </c>
      <c r="Y191" s="593"/>
    </row>
    <row r="192" spans="1:25" ht="15.9" hidden="1" thickTop="1" thickBot="1">
      <c r="A192" s="1102"/>
      <c r="B192" s="1102"/>
      <c r="C192" s="1102"/>
      <c r="D192" s="1103" t="s">
        <v>70</v>
      </c>
      <c r="E192" s="628">
        <f>E191</f>
        <v>4</v>
      </c>
      <c r="F192" s="627" t="s">
        <v>541</v>
      </c>
      <c r="G192" s="626">
        <f>partmeals</f>
        <v>47</v>
      </c>
      <c r="H192" s="627" t="s">
        <v>542</v>
      </c>
      <c r="I192" s="628">
        <v>1</v>
      </c>
      <c r="J192" s="628">
        <f t="shared" si="47"/>
        <v>188</v>
      </c>
      <c r="K192" s="629"/>
      <c r="L192" s="628"/>
      <c r="N192" s="629"/>
      <c r="O192" s="628"/>
      <c r="P192" s="630"/>
      <c r="Q192" s="629"/>
      <c r="R192" s="628">
        <f t="shared" si="48"/>
        <v>1626.7264000000002</v>
      </c>
      <c r="S192" s="630"/>
      <c r="T192" s="629"/>
      <c r="U192" s="628">
        <f t="shared" si="49"/>
        <v>1691.7954560000001</v>
      </c>
      <c r="V192" s="630"/>
      <c r="W192" s="618">
        <v>0</v>
      </c>
      <c r="Y192" s="593"/>
    </row>
    <row r="193" spans="1:25" ht="15.9" hidden="1" thickTop="1" thickBot="1">
      <c r="A193" s="1102"/>
      <c r="B193" s="1102"/>
      <c r="C193" s="1102"/>
      <c r="D193" s="1103"/>
      <c r="E193" s="628"/>
      <c r="F193" s="628"/>
      <c r="G193" s="628"/>
      <c r="H193" s="628"/>
      <c r="I193" s="628"/>
      <c r="J193" s="628"/>
      <c r="K193" s="629"/>
      <c r="L193" s="628"/>
      <c r="N193" s="629"/>
      <c r="O193" s="628"/>
      <c r="P193" s="630"/>
      <c r="Q193" s="629"/>
      <c r="R193" s="628">
        <f t="shared" si="48"/>
        <v>0</v>
      </c>
      <c r="S193" s="630"/>
      <c r="T193" s="629"/>
      <c r="U193" s="628">
        <f t="shared" si="49"/>
        <v>0</v>
      </c>
      <c r="V193" s="630"/>
      <c r="W193" s="618">
        <v>0</v>
      </c>
      <c r="Y193" s="593"/>
    </row>
    <row r="194" spans="1:25" ht="15.9" hidden="1" thickTop="1" thickBot="1">
      <c r="A194" s="1102"/>
      <c r="B194" s="1102"/>
      <c r="C194" s="1102"/>
      <c r="D194" s="633" t="s">
        <v>554</v>
      </c>
      <c r="E194" s="628"/>
      <c r="F194" s="634"/>
      <c r="G194" s="628"/>
      <c r="H194" s="628"/>
      <c r="I194" s="628"/>
      <c r="J194" s="628">
        <f t="shared" ref="J194:J198" si="50">E194*G194*I194</f>
        <v>0</v>
      </c>
      <c r="K194" s="629"/>
      <c r="L194" s="628"/>
      <c r="N194" s="629"/>
      <c r="O194" s="628"/>
      <c r="P194" s="630"/>
      <c r="Q194" s="629"/>
      <c r="R194" s="628">
        <f t="shared" si="48"/>
        <v>0</v>
      </c>
      <c r="S194" s="630"/>
      <c r="T194" s="629"/>
      <c r="U194" s="628">
        <f t="shared" si="49"/>
        <v>0</v>
      </c>
      <c r="V194" s="630"/>
      <c r="W194" s="618">
        <v>0</v>
      </c>
      <c r="Y194" s="593"/>
    </row>
    <row r="195" spans="1:25" ht="15.9" hidden="1" thickTop="1" thickBot="1">
      <c r="A195" s="1102"/>
      <c r="B195" s="1102"/>
      <c r="C195" s="1102"/>
      <c r="D195" s="1103" t="s">
        <v>563</v>
      </c>
      <c r="E195" s="626">
        <v>2</v>
      </c>
      <c r="F195" s="627" t="s">
        <v>541</v>
      </c>
      <c r="G195" s="626">
        <f>partground</f>
        <v>9</v>
      </c>
      <c r="H195" s="627" t="s">
        <v>556</v>
      </c>
      <c r="I195" s="628">
        <f>IF(E195=0,0,1)</f>
        <v>1</v>
      </c>
      <c r="J195" s="628">
        <f t="shared" si="50"/>
        <v>18</v>
      </c>
      <c r="K195" s="629"/>
      <c r="L195" s="628"/>
      <c r="N195" s="629"/>
      <c r="O195" s="628"/>
      <c r="P195" s="630"/>
      <c r="Q195" s="629"/>
      <c r="R195" s="628">
        <f t="shared" si="48"/>
        <v>155.75040000000001</v>
      </c>
      <c r="S195" s="630"/>
      <c r="T195" s="629"/>
      <c r="U195" s="628">
        <f t="shared" si="49"/>
        <v>161.98041600000002</v>
      </c>
      <c r="V195" s="630"/>
      <c r="W195" s="618">
        <v>0</v>
      </c>
      <c r="Y195" s="593"/>
    </row>
    <row r="196" spans="1:25" ht="15.9" hidden="1" thickTop="1" thickBot="1">
      <c r="A196" s="1102"/>
      <c r="B196" s="1102"/>
      <c r="C196" s="1102"/>
      <c r="D196" s="1103" t="s">
        <v>564</v>
      </c>
      <c r="E196" s="626">
        <v>2</v>
      </c>
      <c r="F196" s="627" t="s">
        <v>541</v>
      </c>
      <c r="G196" s="626">
        <f>partground</f>
        <v>9</v>
      </c>
      <c r="H196" s="627" t="s">
        <v>542</v>
      </c>
      <c r="I196" s="628">
        <f>IF(E196=0,0,1)</f>
        <v>1</v>
      </c>
      <c r="J196" s="628">
        <f t="shared" si="50"/>
        <v>18</v>
      </c>
      <c r="K196" s="629"/>
      <c r="L196" s="628"/>
      <c r="N196" s="629"/>
      <c r="O196" s="628"/>
      <c r="P196" s="630"/>
      <c r="Q196" s="629"/>
      <c r="R196" s="628">
        <f t="shared" si="48"/>
        <v>155.75040000000001</v>
      </c>
      <c r="S196" s="630"/>
      <c r="T196" s="629"/>
      <c r="U196" s="628">
        <f t="shared" si="49"/>
        <v>161.98041600000002</v>
      </c>
      <c r="V196" s="630"/>
      <c r="W196" s="618">
        <v>0</v>
      </c>
      <c r="Y196" s="593"/>
    </row>
    <row r="197" spans="1:25" ht="15.9" hidden="1" thickTop="1" thickBot="1">
      <c r="A197" s="1102"/>
      <c r="B197" s="1102"/>
      <c r="C197" s="1102"/>
      <c r="D197" s="1103" t="s">
        <v>48</v>
      </c>
      <c r="E197" s="628">
        <f>E195+E196</f>
        <v>4</v>
      </c>
      <c r="F197" s="627" t="s">
        <v>541</v>
      </c>
      <c r="G197" s="626">
        <f>partlodg</f>
        <v>25</v>
      </c>
      <c r="H197" s="627" t="s">
        <v>542</v>
      </c>
      <c r="I197" s="628">
        <f>IF(E197=0,0,I182)</f>
        <v>1</v>
      </c>
      <c r="J197" s="628">
        <f t="shared" si="50"/>
        <v>100</v>
      </c>
      <c r="K197" s="629"/>
      <c r="L197" s="628"/>
      <c r="N197" s="629"/>
      <c r="O197" s="628"/>
      <c r="P197" s="630"/>
      <c r="Q197" s="629"/>
      <c r="R197" s="628">
        <f t="shared" si="48"/>
        <v>865.28000000000009</v>
      </c>
      <c r="S197" s="630"/>
      <c r="T197" s="629"/>
      <c r="U197" s="628">
        <f t="shared" si="49"/>
        <v>899.89120000000003</v>
      </c>
      <c r="V197" s="630"/>
      <c r="W197" s="618">
        <v>0</v>
      </c>
      <c r="Y197" s="593"/>
    </row>
    <row r="198" spans="1:25" ht="15.6" hidden="1" thickTop="1">
      <c r="A198" s="1102"/>
      <c r="B198" s="1102"/>
      <c r="C198" s="1102"/>
      <c r="D198" s="1103" t="s">
        <v>70</v>
      </c>
      <c r="E198" s="628">
        <f>E197</f>
        <v>4</v>
      </c>
      <c r="F198" s="627" t="s">
        <v>541</v>
      </c>
      <c r="G198" s="626">
        <f>partmeals</f>
        <v>47</v>
      </c>
      <c r="H198" s="627" t="s">
        <v>542</v>
      </c>
      <c r="I198" s="628">
        <f>IF(E198=0,0,I182)</f>
        <v>1</v>
      </c>
      <c r="J198" s="628">
        <f t="shared" si="50"/>
        <v>188</v>
      </c>
      <c r="K198" s="629"/>
      <c r="L198" s="628"/>
      <c r="N198" s="629"/>
      <c r="O198" s="628"/>
      <c r="P198" s="630"/>
      <c r="Q198" s="629"/>
      <c r="R198" s="628">
        <f t="shared" si="48"/>
        <v>1626.7264000000002</v>
      </c>
      <c r="S198" s="630"/>
      <c r="T198" s="629"/>
      <c r="U198" s="628">
        <f t="shared" si="49"/>
        <v>1691.7954560000001</v>
      </c>
      <c r="V198" s="630"/>
      <c r="W198" s="618">
        <v>0</v>
      </c>
      <c r="Y198" s="593"/>
    </row>
    <row r="199" spans="1:25">
      <c r="A199" s="1102"/>
      <c r="B199" s="1102"/>
      <c r="C199" s="1102"/>
      <c r="D199" s="644" t="s">
        <v>547</v>
      </c>
      <c r="E199" s="645"/>
      <c r="F199" s="645"/>
      <c r="G199" s="646"/>
      <c r="H199" s="1146">
        <f>SUM(J183:J198)</f>
        <v>1390</v>
      </c>
      <c r="I199" s="1147"/>
      <c r="J199" s="647"/>
      <c r="K199" s="648"/>
      <c r="L199" s="648"/>
      <c r="M199" s="621"/>
      <c r="N199" s="648"/>
      <c r="O199" s="648"/>
      <c r="P199" s="621"/>
      <c r="Q199" s="648"/>
      <c r="R199" s="648"/>
      <c r="S199" s="621"/>
      <c r="T199" s="648"/>
      <c r="U199" s="648"/>
      <c r="V199" s="621"/>
      <c r="W199" s="649"/>
      <c r="Y199" s="593"/>
    </row>
    <row r="200" spans="1:25" ht="13.5" customHeight="1" thickBot="1">
      <c r="A200" s="1102"/>
      <c r="B200" s="1102"/>
      <c r="C200" s="1102"/>
      <c r="D200" s="1110"/>
      <c r="E200" s="650"/>
      <c r="F200" s="650"/>
      <c r="G200" s="650"/>
      <c r="H200" s="650"/>
      <c r="I200" s="650"/>
      <c r="J200" s="612"/>
      <c r="K200" s="612"/>
      <c r="L200" s="612"/>
      <c r="M200" s="612"/>
      <c r="N200" s="612"/>
      <c r="O200" s="612"/>
      <c r="P200" s="612"/>
      <c r="Q200" s="612"/>
      <c r="R200" s="612"/>
      <c r="S200" s="612"/>
      <c r="T200" s="612"/>
      <c r="U200" s="612"/>
      <c r="V200" s="612"/>
      <c r="W200" s="613"/>
      <c r="Y200" s="593"/>
    </row>
    <row r="201" spans="1:25" ht="53.25" customHeight="1" thickTop="1" thickBot="1">
      <c r="A201" s="1102"/>
      <c r="B201" s="1102"/>
      <c r="C201" s="1102"/>
      <c r="D201" s="1156" t="s">
        <v>582</v>
      </c>
      <c r="E201" s="1157"/>
      <c r="F201" s="1157"/>
      <c r="G201" s="1157"/>
      <c r="H201" s="1158"/>
      <c r="I201" s="614">
        <v>2</v>
      </c>
      <c r="J201" s="615"/>
      <c r="K201" s="1151"/>
      <c r="L201" s="1152"/>
      <c r="M201" s="616">
        <f>SUM(L203:L206)</f>
        <v>0</v>
      </c>
      <c r="N201" s="1140">
        <v>6</v>
      </c>
      <c r="O201" s="1141"/>
      <c r="P201" s="617">
        <f>SUM(O203:O206)</f>
        <v>2184</v>
      </c>
      <c r="Q201" s="1140">
        <v>6</v>
      </c>
      <c r="R201" s="1141"/>
      <c r="S201" s="617">
        <f>SUM(R203:R206)</f>
        <v>2271.36</v>
      </c>
      <c r="T201" s="1142">
        <v>6</v>
      </c>
      <c r="U201" s="1140"/>
      <c r="V201" s="617">
        <f>SUM(U203:U206)</f>
        <v>2362.2143999999998</v>
      </c>
      <c r="W201" s="618">
        <f>SUM(M201,P201,S201,V201,)</f>
        <v>6817.5744000000004</v>
      </c>
      <c r="Y201" s="593"/>
    </row>
    <row r="202" spans="1:25" ht="15.9" thickTop="1" thickBot="1">
      <c r="A202" s="1102"/>
      <c r="B202" s="1102"/>
      <c r="C202" s="1102"/>
      <c r="D202" s="619" t="s">
        <v>566</v>
      </c>
      <c r="E202" s="620"/>
      <c r="F202" s="620"/>
      <c r="G202" s="620"/>
      <c r="H202" s="621"/>
      <c r="I202" s="620"/>
      <c r="J202" s="620"/>
      <c r="K202" s="622"/>
      <c r="L202" s="620"/>
      <c r="M202" s="621"/>
      <c r="N202" s="622"/>
      <c r="O202" s="620"/>
      <c r="P202" s="623"/>
      <c r="Q202" s="622"/>
      <c r="R202" s="620"/>
      <c r="S202" s="623"/>
      <c r="T202" s="622"/>
      <c r="U202" s="620"/>
      <c r="V202" s="623"/>
      <c r="W202" s="618">
        <f t="shared" ref="W202:W229" si="51">U202+R202+O202+L202</f>
        <v>0</v>
      </c>
      <c r="Y202" s="593"/>
    </row>
    <row r="203" spans="1:25" ht="15.9" hidden="1" thickTop="1" thickBot="1">
      <c r="A203" s="1102"/>
      <c r="B203" s="1102"/>
      <c r="C203" s="1102"/>
      <c r="D203" s="1103" t="s">
        <v>540</v>
      </c>
      <c r="E203" s="626">
        <v>0</v>
      </c>
      <c r="F203" s="627" t="s">
        <v>541</v>
      </c>
      <c r="G203" s="626">
        <f>parttransp</f>
        <v>4</v>
      </c>
      <c r="H203" s="627" t="s">
        <v>542</v>
      </c>
      <c r="I203" s="628">
        <f>IF(E203=0,0,I201)</f>
        <v>0</v>
      </c>
      <c r="J203" s="628">
        <f t="shared" ref="J203:J205" si="52">E203*G203*I203</f>
        <v>0</v>
      </c>
      <c r="K203" s="629"/>
      <c r="L203" s="628">
        <f>$J203*K201*M$12</f>
        <v>0</v>
      </c>
      <c r="N203" s="629"/>
      <c r="O203" s="628">
        <f>$J203*N201*P$12</f>
        <v>0</v>
      </c>
      <c r="P203" s="630"/>
      <c r="Q203" s="629"/>
      <c r="R203" s="628">
        <f>$J203*Q201*S$12</f>
        <v>0</v>
      </c>
      <c r="S203" s="630"/>
      <c r="T203" s="629"/>
      <c r="U203" s="628">
        <f>$J203*T201*V$12</f>
        <v>0</v>
      </c>
      <c r="V203" s="630"/>
      <c r="W203" s="618">
        <f t="shared" si="51"/>
        <v>0</v>
      </c>
      <c r="Y203" s="593"/>
    </row>
    <row r="204" spans="1:25" ht="15.9" hidden="1" thickTop="1" thickBot="1">
      <c r="A204" s="1102"/>
      <c r="B204" s="1102"/>
      <c r="C204" s="1102"/>
      <c r="D204" s="1103" t="s">
        <v>543</v>
      </c>
      <c r="E204" s="626">
        <v>0</v>
      </c>
      <c r="F204" s="627" t="s">
        <v>541</v>
      </c>
      <c r="G204" s="626">
        <f>coffee+lunch</f>
        <v>16</v>
      </c>
      <c r="H204" s="627" t="s">
        <v>542</v>
      </c>
      <c r="I204" s="628">
        <f>IF(E204=0,0,I201)</f>
        <v>0</v>
      </c>
      <c r="J204" s="628">
        <f t="shared" si="52"/>
        <v>0</v>
      </c>
      <c r="K204" s="629"/>
      <c r="L204" s="628">
        <f>$J204*K201*M$12</f>
        <v>0</v>
      </c>
      <c r="N204" s="629"/>
      <c r="O204" s="628">
        <f>$J204*N201*P$12</f>
        <v>0</v>
      </c>
      <c r="P204" s="630"/>
      <c r="Q204" s="629"/>
      <c r="R204" s="628">
        <f>$J204*Q201*S$12</f>
        <v>0</v>
      </c>
      <c r="S204" s="630"/>
      <c r="T204" s="629"/>
      <c r="U204" s="628">
        <f>$J204*T201*V$12</f>
        <v>0</v>
      </c>
      <c r="V204" s="630"/>
      <c r="W204" s="618">
        <f t="shared" si="51"/>
        <v>0</v>
      </c>
      <c r="Y204" s="593"/>
    </row>
    <row r="205" spans="1:25" ht="15.9" thickTop="1" thickBot="1">
      <c r="A205" s="1102" t="s">
        <v>1022</v>
      </c>
      <c r="B205" s="1102">
        <v>85300</v>
      </c>
      <c r="C205" s="1102" t="s">
        <v>910</v>
      </c>
      <c r="D205" s="1103" t="s">
        <v>544</v>
      </c>
      <c r="E205" s="626">
        <v>1</v>
      </c>
      <c r="F205" s="627" t="s">
        <v>545</v>
      </c>
      <c r="G205" s="626">
        <f>print</f>
        <v>50</v>
      </c>
      <c r="H205" s="632" t="str">
        <f>F205</f>
        <v>activity</v>
      </c>
      <c r="I205" s="628">
        <f>IF(E205=0,0,1)</f>
        <v>1</v>
      </c>
      <c r="J205" s="628">
        <f t="shared" si="52"/>
        <v>50</v>
      </c>
      <c r="K205" s="629"/>
      <c r="L205" s="628">
        <f>$J205*K201*M$12</f>
        <v>0</v>
      </c>
      <c r="N205" s="629"/>
      <c r="O205" s="628">
        <f>$J205*N201*P$12</f>
        <v>312</v>
      </c>
      <c r="P205" s="630"/>
      <c r="Q205" s="629"/>
      <c r="R205" s="628">
        <f>$J205*Q201*S$12</f>
        <v>324.48</v>
      </c>
      <c r="S205" s="630"/>
      <c r="T205" s="629"/>
      <c r="U205" s="628">
        <f>$J205*T201*V$12</f>
        <v>337.45920000000001</v>
      </c>
      <c r="V205" s="630"/>
      <c r="W205" s="618">
        <f t="shared" si="51"/>
        <v>973.93920000000003</v>
      </c>
      <c r="Y205" s="593"/>
    </row>
    <row r="206" spans="1:25" ht="15.6" thickTop="1">
      <c r="A206" s="1102" t="s">
        <v>1023</v>
      </c>
      <c r="B206" s="1102">
        <v>81000</v>
      </c>
      <c r="C206" s="1102" t="s">
        <v>910</v>
      </c>
      <c r="D206" s="1103" t="s">
        <v>583</v>
      </c>
      <c r="E206" s="626">
        <v>1</v>
      </c>
      <c r="F206" s="627" t="s">
        <v>541</v>
      </c>
      <c r="G206" s="626">
        <f>localcons</f>
        <v>300</v>
      </c>
      <c r="H206" s="627" t="s">
        <v>542</v>
      </c>
      <c r="I206" s="626">
        <v>1</v>
      </c>
      <c r="J206" s="628">
        <f>E206*G206*I206</f>
        <v>300</v>
      </c>
      <c r="K206" s="629"/>
      <c r="L206" s="628">
        <f>$J206*K182*M$12</f>
        <v>0</v>
      </c>
      <c r="N206" s="629"/>
      <c r="O206" s="628">
        <f>$J206*N201*P$12</f>
        <v>1872</v>
      </c>
      <c r="P206" s="630"/>
      <c r="Q206" s="629"/>
      <c r="R206" s="628">
        <f>$J206*Q201*S$12</f>
        <v>1946.88</v>
      </c>
      <c r="S206" s="630"/>
      <c r="T206" s="629"/>
      <c r="U206" s="628">
        <f>$J206*T201*V$12</f>
        <v>2024.7552000000001</v>
      </c>
      <c r="V206" s="630"/>
      <c r="W206" s="618">
        <f t="shared" si="51"/>
        <v>5843.6352000000006</v>
      </c>
      <c r="Y206" s="593"/>
    </row>
    <row r="207" spans="1:25" ht="15.9" hidden="1" thickTop="1" thickBot="1">
      <c r="A207" s="1102"/>
      <c r="B207" s="1102"/>
      <c r="C207" s="1102"/>
      <c r="D207" s="1103"/>
      <c r="E207" s="628"/>
      <c r="F207" s="628"/>
      <c r="G207" s="628"/>
      <c r="H207" s="628"/>
      <c r="I207" s="628"/>
      <c r="J207" s="628"/>
      <c r="K207" s="629"/>
      <c r="L207" s="628"/>
      <c r="N207" s="629"/>
      <c r="O207" s="628"/>
      <c r="P207" s="630"/>
      <c r="Q207" s="629"/>
      <c r="R207" s="628"/>
      <c r="S207" s="630"/>
      <c r="T207" s="629"/>
      <c r="U207" s="628"/>
      <c r="V207" s="630"/>
      <c r="W207" s="618">
        <v>0</v>
      </c>
      <c r="Y207" s="593"/>
    </row>
    <row r="208" spans="1:25" ht="15.9" hidden="1" thickTop="1" thickBot="1">
      <c r="A208" s="1102"/>
      <c r="B208" s="1102"/>
      <c r="C208" s="1102"/>
      <c r="D208" s="633" t="s">
        <v>554</v>
      </c>
      <c r="E208" s="628"/>
      <c r="F208" s="634"/>
      <c r="G208" s="628"/>
      <c r="H208" s="628"/>
      <c r="I208" s="628"/>
      <c r="J208" s="628">
        <f t="shared" ref="J208:J212" si="53">E208*G208*I208</f>
        <v>0</v>
      </c>
      <c r="K208" s="629"/>
      <c r="L208" s="628">
        <f>$J208*K196*M$12</f>
        <v>0</v>
      </c>
      <c r="N208" s="629"/>
      <c r="O208" s="628">
        <f>$J208*$N$201*P$12</f>
        <v>0</v>
      </c>
      <c r="P208" s="630"/>
      <c r="Q208" s="629"/>
      <c r="R208" s="628">
        <f>$J208*$Q$201*S$12</f>
        <v>0</v>
      </c>
      <c r="S208" s="630"/>
      <c r="T208" s="629"/>
      <c r="U208" s="628">
        <f>$J208*$T$201*V$12</f>
        <v>0</v>
      </c>
      <c r="V208" s="630"/>
      <c r="W208" s="618">
        <v>0</v>
      </c>
      <c r="Y208" s="593"/>
    </row>
    <row r="209" spans="1:25" ht="15.9" hidden="1" thickTop="1" thickBot="1">
      <c r="A209" s="1102"/>
      <c r="B209" s="1102"/>
      <c r="C209" s="1102"/>
      <c r="D209" s="1103" t="s">
        <v>555</v>
      </c>
      <c r="E209" s="626">
        <v>2</v>
      </c>
      <c r="F209" s="627" t="s">
        <v>541</v>
      </c>
      <c r="G209" s="626">
        <f>localairfare</f>
        <v>175</v>
      </c>
      <c r="H209" s="627" t="s">
        <v>556</v>
      </c>
      <c r="I209" s="628">
        <v>1</v>
      </c>
      <c r="J209" s="628">
        <f t="shared" si="53"/>
        <v>350</v>
      </c>
      <c r="K209" s="629"/>
      <c r="L209" s="628">
        <f>$J209*K196*M$12</f>
        <v>0</v>
      </c>
      <c r="N209" s="629"/>
      <c r="O209" s="628">
        <f>$J209*1*P$12</f>
        <v>364</v>
      </c>
      <c r="P209" s="630"/>
      <c r="Q209" s="629"/>
      <c r="R209" s="628">
        <f>$J209*1*S$12</f>
        <v>378.56000000000006</v>
      </c>
      <c r="S209" s="630"/>
      <c r="T209" s="629"/>
      <c r="U209" s="628">
        <f>$J209*1*V$12</f>
        <v>393.70240000000001</v>
      </c>
      <c r="V209" s="630"/>
      <c r="W209" s="618">
        <v>0</v>
      </c>
      <c r="Y209" s="593"/>
    </row>
    <row r="210" spans="1:25" ht="15.9" hidden="1" thickTop="1" thickBot="1">
      <c r="A210" s="1102"/>
      <c r="B210" s="1102"/>
      <c r="C210" s="1102"/>
      <c r="D210" s="1103" t="s">
        <v>557</v>
      </c>
      <c r="E210" s="626">
        <v>2</v>
      </c>
      <c r="F210" s="627" t="s">
        <v>541</v>
      </c>
      <c r="G210" s="626">
        <f>partground</f>
        <v>9</v>
      </c>
      <c r="H210" s="627" t="s">
        <v>542</v>
      </c>
      <c r="I210" s="628">
        <v>1</v>
      </c>
      <c r="J210" s="628">
        <f t="shared" si="53"/>
        <v>18</v>
      </c>
      <c r="K210" s="629"/>
      <c r="L210" s="628">
        <f>$J210*K196*M$12</f>
        <v>0</v>
      </c>
      <c r="N210" s="629"/>
      <c r="O210" s="628">
        <f t="shared" ref="O210:O218" si="54">$J210*1*P$12</f>
        <v>18.72</v>
      </c>
      <c r="P210" s="630"/>
      <c r="Q210" s="629"/>
      <c r="R210" s="628">
        <f t="shared" ref="R210:R218" si="55">$J210*1*S$12</f>
        <v>19.468800000000002</v>
      </c>
      <c r="S210" s="630"/>
      <c r="T210" s="629"/>
      <c r="U210" s="628">
        <f t="shared" ref="U210:U218" si="56">$J210*1*V$12</f>
        <v>20.247552000000002</v>
      </c>
      <c r="V210" s="630"/>
      <c r="W210" s="618">
        <v>0</v>
      </c>
      <c r="Y210" s="593"/>
    </row>
    <row r="211" spans="1:25" ht="15.9" hidden="1" thickTop="1" thickBot="1">
      <c r="A211" s="1102"/>
      <c r="B211" s="1102"/>
      <c r="C211" s="1102"/>
      <c r="D211" s="1103" t="s">
        <v>48</v>
      </c>
      <c r="E211" s="628">
        <f>E209+E210</f>
        <v>4</v>
      </c>
      <c r="F211" s="627" t="s">
        <v>541</v>
      </c>
      <c r="G211" s="626">
        <f>partlodg</f>
        <v>25</v>
      </c>
      <c r="H211" s="627" t="s">
        <v>542</v>
      </c>
      <c r="I211" s="628">
        <v>1</v>
      </c>
      <c r="J211" s="628">
        <f t="shared" si="53"/>
        <v>100</v>
      </c>
      <c r="K211" s="629"/>
      <c r="L211" s="628">
        <f>$J211*K196*M$12</f>
        <v>0</v>
      </c>
      <c r="N211" s="629"/>
      <c r="O211" s="628">
        <f t="shared" si="54"/>
        <v>104</v>
      </c>
      <c r="P211" s="630"/>
      <c r="Q211" s="629"/>
      <c r="R211" s="628">
        <f t="shared" si="55"/>
        <v>108.16000000000001</v>
      </c>
      <c r="S211" s="630"/>
      <c r="T211" s="629"/>
      <c r="U211" s="628">
        <f t="shared" si="56"/>
        <v>112.4864</v>
      </c>
      <c r="V211" s="630"/>
      <c r="W211" s="618">
        <v>0</v>
      </c>
      <c r="Y211" s="593"/>
    </row>
    <row r="212" spans="1:25" ht="15.9" hidden="1" thickTop="1" thickBot="1">
      <c r="A212" s="1102"/>
      <c r="B212" s="1102"/>
      <c r="C212" s="1102"/>
      <c r="D212" s="1103" t="s">
        <v>70</v>
      </c>
      <c r="E212" s="628">
        <f>E211</f>
        <v>4</v>
      </c>
      <c r="F212" s="627" t="s">
        <v>541</v>
      </c>
      <c r="G212" s="626">
        <f>partmeals</f>
        <v>47</v>
      </c>
      <c r="H212" s="627" t="s">
        <v>542</v>
      </c>
      <c r="I212" s="628">
        <v>1</v>
      </c>
      <c r="J212" s="628">
        <f t="shared" si="53"/>
        <v>188</v>
      </c>
      <c r="K212" s="629"/>
      <c r="L212" s="628">
        <f>$J212*K196*M$12</f>
        <v>0</v>
      </c>
      <c r="N212" s="629"/>
      <c r="O212" s="628">
        <f t="shared" si="54"/>
        <v>195.52</v>
      </c>
      <c r="P212" s="630"/>
      <c r="Q212" s="629"/>
      <c r="R212" s="628">
        <f t="shared" si="55"/>
        <v>203.34080000000003</v>
      </c>
      <c r="S212" s="630"/>
      <c r="T212" s="629"/>
      <c r="U212" s="628">
        <f t="shared" si="56"/>
        <v>211.47443200000001</v>
      </c>
      <c r="V212" s="630"/>
      <c r="W212" s="618">
        <v>0</v>
      </c>
      <c r="Y212" s="593"/>
    </row>
    <row r="213" spans="1:25" ht="15.9" hidden="1" thickTop="1" thickBot="1">
      <c r="A213" s="1102"/>
      <c r="B213" s="1102"/>
      <c r="C213" s="1102"/>
      <c r="D213" s="1104"/>
      <c r="E213" s="636"/>
      <c r="F213" s="636"/>
      <c r="G213" s="636"/>
      <c r="H213" s="636"/>
      <c r="I213" s="636"/>
      <c r="J213" s="639"/>
      <c r="K213" s="640"/>
      <c r="L213" s="636"/>
      <c r="M213" s="641"/>
      <c r="N213" s="640"/>
      <c r="O213" s="628"/>
      <c r="P213" s="639"/>
      <c r="Q213" s="640"/>
      <c r="R213" s="628"/>
      <c r="S213" s="639"/>
      <c r="T213" s="640"/>
      <c r="U213" s="628"/>
      <c r="V213" s="639"/>
      <c r="W213" s="618">
        <v>0</v>
      </c>
      <c r="Y213" s="593"/>
    </row>
    <row r="214" spans="1:25" ht="15.9" hidden="1" thickTop="1" thickBot="1">
      <c r="A214" s="1102"/>
      <c r="B214" s="1102"/>
      <c r="C214" s="1102"/>
      <c r="D214" s="633" t="s">
        <v>554</v>
      </c>
      <c r="E214" s="628"/>
      <c r="F214" s="634"/>
      <c r="G214" s="628"/>
      <c r="H214" s="628"/>
      <c r="I214" s="628"/>
      <c r="J214" s="628">
        <f t="shared" ref="J214:J218" si="57">E214*G214*I214</f>
        <v>0</v>
      </c>
      <c r="K214" s="629"/>
      <c r="L214" s="628">
        <f>$J214*K201*M$12</f>
        <v>0</v>
      </c>
      <c r="N214" s="629"/>
      <c r="O214" s="628">
        <f t="shared" si="54"/>
        <v>0</v>
      </c>
      <c r="P214" s="630"/>
      <c r="Q214" s="629"/>
      <c r="R214" s="628">
        <f t="shared" si="55"/>
        <v>0</v>
      </c>
      <c r="S214" s="630"/>
      <c r="T214" s="629"/>
      <c r="U214" s="628">
        <f t="shared" si="56"/>
        <v>0</v>
      </c>
      <c r="V214" s="630"/>
      <c r="W214" s="618">
        <v>0</v>
      </c>
      <c r="Y214" s="593"/>
    </row>
    <row r="215" spans="1:25" ht="15.9" hidden="1" thickTop="1" thickBot="1">
      <c r="A215" s="1102"/>
      <c r="B215" s="1102"/>
      <c r="C215" s="1102"/>
      <c r="D215" s="1103" t="s">
        <v>563</v>
      </c>
      <c r="E215" s="626">
        <v>2</v>
      </c>
      <c r="F215" s="627" t="s">
        <v>541</v>
      </c>
      <c r="G215" s="626">
        <f>partground</f>
        <v>9</v>
      </c>
      <c r="H215" s="627" t="s">
        <v>556</v>
      </c>
      <c r="I215" s="628">
        <f>IF(E215=0,0,1)</f>
        <v>1</v>
      </c>
      <c r="J215" s="628">
        <f t="shared" si="57"/>
        <v>18</v>
      </c>
      <c r="K215" s="629"/>
      <c r="L215" s="628">
        <f>$J215*K201*M$12</f>
        <v>0</v>
      </c>
      <c r="N215" s="629"/>
      <c r="O215" s="628">
        <f>$J215*1*P$12</f>
        <v>18.72</v>
      </c>
      <c r="P215" s="630"/>
      <c r="Q215" s="629"/>
      <c r="R215" s="628">
        <f t="shared" si="55"/>
        <v>19.468800000000002</v>
      </c>
      <c r="S215" s="630"/>
      <c r="T215" s="629"/>
      <c r="U215" s="628">
        <f t="shared" si="56"/>
        <v>20.247552000000002</v>
      </c>
      <c r="V215" s="630"/>
      <c r="W215" s="618">
        <v>0</v>
      </c>
      <c r="Y215" s="593"/>
    </row>
    <row r="216" spans="1:25" ht="15.9" hidden="1" thickTop="1" thickBot="1">
      <c r="A216" s="1102"/>
      <c r="B216" s="1102"/>
      <c r="C216" s="1102"/>
      <c r="D216" s="1103" t="s">
        <v>564</v>
      </c>
      <c r="E216" s="626">
        <v>2</v>
      </c>
      <c r="F216" s="627" t="s">
        <v>541</v>
      </c>
      <c r="G216" s="626">
        <f>partground</f>
        <v>9</v>
      </c>
      <c r="H216" s="627" t="s">
        <v>542</v>
      </c>
      <c r="I216" s="628">
        <f>IF(E216=0,0,1)</f>
        <v>1</v>
      </c>
      <c r="J216" s="628">
        <f t="shared" si="57"/>
        <v>18</v>
      </c>
      <c r="K216" s="629"/>
      <c r="L216" s="628">
        <f>$J216*K201*M$12</f>
        <v>0</v>
      </c>
      <c r="N216" s="629"/>
      <c r="O216" s="628">
        <f t="shared" si="54"/>
        <v>18.72</v>
      </c>
      <c r="P216" s="630"/>
      <c r="Q216" s="629"/>
      <c r="R216" s="628">
        <f t="shared" si="55"/>
        <v>19.468800000000002</v>
      </c>
      <c r="S216" s="630"/>
      <c r="T216" s="629"/>
      <c r="U216" s="628">
        <f t="shared" si="56"/>
        <v>20.247552000000002</v>
      </c>
      <c r="V216" s="630"/>
      <c r="W216" s="618">
        <v>0</v>
      </c>
      <c r="Y216" s="593"/>
    </row>
    <row r="217" spans="1:25" ht="15.9" hidden="1" thickTop="1" thickBot="1">
      <c r="A217" s="1102"/>
      <c r="B217" s="1102"/>
      <c r="C217" s="1102"/>
      <c r="D217" s="1103" t="s">
        <v>48</v>
      </c>
      <c r="E217" s="628">
        <v>2</v>
      </c>
      <c r="F217" s="627" t="s">
        <v>541</v>
      </c>
      <c r="G217" s="626">
        <f>partlodg</f>
        <v>25</v>
      </c>
      <c r="H217" s="627" t="s">
        <v>542</v>
      </c>
      <c r="I217" s="628">
        <f>IF(E217=0,0,I201)</f>
        <v>2</v>
      </c>
      <c r="J217" s="628">
        <f t="shared" si="57"/>
        <v>100</v>
      </c>
      <c r="K217" s="629"/>
      <c r="L217" s="628">
        <f>$J217*K201*M$12</f>
        <v>0</v>
      </c>
      <c r="N217" s="629"/>
      <c r="O217" s="628">
        <f t="shared" si="54"/>
        <v>104</v>
      </c>
      <c r="P217" s="630"/>
      <c r="Q217" s="629"/>
      <c r="R217" s="628">
        <f t="shared" si="55"/>
        <v>108.16000000000001</v>
      </c>
      <c r="S217" s="630"/>
      <c r="T217" s="629"/>
      <c r="U217" s="628">
        <f t="shared" si="56"/>
        <v>112.4864</v>
      </c>
      <c r="V217" s="630"/>
      <c r="W217" s="618">
        <v>0</v>
      </c>
      <c r="Y217" s="593"/>
    </row>
    <row r="218" spans="1:25" ht="15.6" hidden="1" thickTop="1">
      <c r="A218" s="1102"/>
      <c r="B218" s="1102"/>
      <c r="C218" s="1102"/>
      <c r="D218" s="1103" t="s">
        <v>70</v>
      </c>
      <c r="E218" s="628">
        <v>4</v>
      </c>
      <c r="F218" s="627" t="s">
        <v>541</v>
      </c>
      <c r="G218" s="626">
        <f>partmeals</f>
        <v>47</v>
      </c>
      <c r="H218" s="627" t="s">
        <v>542</v>
      </c>
      <c r="I218" s="628">
        <f>IF(E218=0,0,I201)</f>
        <v>2</v>
      </c>
      <c r="J218" s="628">
        <f t="shared" si="57"/>
        <v>376</v>
      </c>
      <c r="K218" s="629"/>
      <c r="L218" s="628">
        <f>$J218*K201*M$12</f>
        <v>0</v>
      </c>
      <c r="N218" s="629"/>
      <c r="O218" s="628">
        <f t="shared" si="54"/>
        <v>391.04</v>
      </c>
      <c r="P218" s="630"/>
      <c r="Q218" s="629"/>
      <c r="R218" s="628">
        <f t="shared" si="55"/>
        <v>406.68160000000006</v>
      </c>
      <c r="S218" s="630"/>
      <c r="T218" s="629"/>
      <c r="U218" s="628">
        <f t="shared" si="56"/>
        <v>422.94886400000001</v>
      </c>
      <c r="V218" s="630"/>
      <c r="W218" s="618">
        <v>0</v>
      </c>
      <c r="Y218" s="593"/>
    </row>
    <row r="219" spans="1:25" hidden="1">
      <c r="A219" s="1102"/>
      <c r="B219" s="1102"/>
      <c r="C219" s="1102"/>
      <c r="D219" s="1104"/>
      <c r="E219" s="636"/>
      <c r="F219" s="637"/>
      <c r="G219" s="638">
        <v>0</v>
      </c>
      <c r="H219" s="637"/>
      <c r="I219" s="638"/>
      <c r="J219" s="639">
        <f>E219*G219</f>
        <v>0</v>
      </c>
      <c r="K219" s="640"/>
      <c r="L219" s="636">
        <f>$J219*K201*M$12</f>
        <v>0</v>
      </c>
      <c r="M219" s="641"/>
      <c r="N219" s="640"/>
      <c r="O219" s="636">
        <f>$J219*N201*P$12</f>
        <v>0</v>
      </c>
      <c r="P219" s="642"/>
      <c r="Q219" s="640"/>
      <c r="R219" s="636">
        <f>$J219*Q201*S$12</f>
        <v>0</v>
      </c>
      <c r="S219" s="642"/>
      <c r="T219" s="640"/>
      <c r="U219" s="636">
        <f>$J219*T201*V$12</f>
        <v>0</v>
      </c>
      <c r="V219" s="642"/>
      <c r="W219" s="643"/>
      <c r="Y219" s="593"/>
    </row>
    <row r="220" spans="1:25">
      <c r="A220" s="1102"/>
      <c r="B220" s="1102"/>
      <c r="C220" s="1102"/>
      <c r="D220" s="644" t="s">
        <v>547</v>
      </c>
      <c r="E220" s="645"/>
      <c r="F220" s="645"/>
      <c r="G220" s="646"/>
      <c r="H220" s="1146">
        <f>SUM(J202:J219)</f>
        <v>1518</v>
      </c>
      <c r="I220" s="1147"/>
      <c r="J220" s="647"/>
      <c r="K220" s="648"/>
      <c r="L220" s="648"/>
      <c r="M220" s="621"/>
      <c r="N220" s="648"/>
      <c r="O220" s="648"/>
      <c r="P220" s="621"/>
      <c r="Q220" s="648"/>
      <c r="R220" s="648"/>
      <c r="S220" s="621"/>
      <c r="T220" s="648"/>
      <c r="U220" s="648"/>
      <c r="V220" s="621"/>
      <c r="W220" s="649"/>
      <c r="Y220" s="593"/>
    </row>
    <row r="221" spans="1:25" ht="13.5" customHeight="1" thickBot="1">
      <c r="A221" s="1102"/>
      <c r="B221" s="1102"/>
      <c r="C221" s="1102"/>
      <c r="D221" s="1110"/>
      <c r="E221" s="650"/>
      <c r="F221" s="650"/>
      <c r="G221" s="650"/>
      <c r="H221" s="650"/>
      <c r="I221" s="650"/>
      <c r="J221" s="612"/>
      <c r="K221" s="612"/>
      <c r="L221" s="612"/>
      <c r="M221" s="612"/>
      <c r="N221" s="612"/>
      <c r="O221" s="612"/>
      <c r="P221" s="612"/>
      <c r="Q221" s="612"/>
      <c r="R221" s="612"/>
      <c r="S221" s="612"/>
      <c r="T221" s="612"/>
      <c r="U221" s="612"/>
      <c r="V221" s="612"/>
      <c r="W221" s="613"/>
      <c r="Y221" s="593"/>
    </row>
    <row r="222" spans="1:25" ht="15.9" hidden="1" thickTop="1" thickBot="1">
      <c r="A222" s="1102"/>
      <c r="B222" s="1102"/>
      <c r="C222" s="1102"/>
      <c r="D222" s="1159" t="s">
        <v>584</v>
      </c>
      <c r="E222" s="1160"/>
      <c r="F222" s="1160"/>
      <c r="G222" s="1160"/>
      <c r="H222" s="1161"/>
      <c r="I222" s="614">
        <v>2</v>
      </c>
      <c r="J222" s="615"/>
      <c r="K222" s="1151"/>
      <c r="L222" s="1152"/>
      <c r="M222" s="616">
        <f>SUM(L224:L229)</f>
        <v>0</v>
      </c>
      <c r="N222" s="1140">
        <v>6</v>
      </c>
      <c r="O222" s="1141"/>
      <c r="P222" s="617">
        <f>O225</f>
        <v>0</v>
      </c>
      <c r="Q222" s="1140">
        <v>0</v>
      </c>
      <c r="R222" s="1141"/>
      <c r="S222" s="617">
        <f>SUM(R224:R229)</f>
        <v>0</v>
      </c>
      <c r="T222" s="1142">
        <v>0</v>
      </c>
      <c r="U222" s="1140"/>
      <c r="V222" s="617">
        <f>SUM(U224:U229)</f>
        <v>0</v>
      </c>
      <c r="W222" s="618">
        <f>SUM(M222,P222,S222,V222,)</f>
        <v>0</v>
      </c>
      <c r="Y222" s="593"/>
    </row>
    <row r="223" spans="1:25" ht="15.9" hidden="1" thickTop="1" thickBot="1">
      <c r="A223" s="1102"/>
      <c r="B223" s="1102"/>
      <c r="C223" s="1102"/>
      <c r="D223" s="619" t="s">
        <v>566</v>
      </c>
      <c r="E223" s="620"/>
      <c r="F223" s="620"/>
      <c r="G223" s="620"/>
      <c r="H223" s="621"/>
      <c r="I223" s="620"/>
      <c r="J223" s="620"/>
      <c r="K223" s="622"/>
      <c r="L223" s="620"/>
      <c r="M223" s="621"/>
      <c r="N223" s="622"/>
      <c r="O223" s="620"/>
      <c r="P223" s="623"/>
      <c r="Q223" s="622"/>
      <c r="R223" s="620"/>
      <c r="S223" s="623"/>
      <c r="T223" s="622"/>
      <c r="U223" s="620"/>
      <c r="V223" s="623"/>
      <c r="W223" s="618">
        <f t="shared" si="51"/>
        <v>0</v>
      </c>
      <c r="Y223" s="593"/>
    </row>
    <row r="224" spans="1:25" ht="15.9" hidden="1" thickTop="1" thickBot="1">
      <c r="A224" s="1102"/>
      <c r="B224" s="1102"/>
      <c r="C224" s="1102"/>
      <c r="D224" s="1103"/>
      <c r="E224" s="628"/>
      <c r="F224" s="628"/>
      <c r="G224" s="628"/>
      <c r="H224" s="628"/>
      <c r="I224" s="628"/>
      <c r="J224" s="628"/>
      <c r="K224" s="629"/>
      <c r="L224" s="628"/>
      <c r="N224" s="629"/>
      <c r="O224" s="628"/>
      <c r="P224" s="630"/>
      <c r="Q224" s="629"/>
      <c r="R224" s="628"/>
      <c r="S224" s="630"/>
      <c r="T224" s="629"/>
      <c r="U224" s="628"/>
      <c r="V224" s="630"/>
      <c r="W224" s="618">
        <f t="shared" si="51"/>
        <v>0</v>
      </c>
      <c r="Y224" s="593"/>
    </row>
    <row r="225" spans="1:25" ht="15.9" hidden="1" thickTop="1" thickBot="1">
      <c r="A225" s="1102"/>
      <c r="B225" s="1102"/>
      <c r="C225" s="1102"/>
      <c r="D225" s="633" t="s">
        <v>554</v>
      </c>
      <c r="E225" s="628"/>
      <c r="F225" s="634"/>
      <c r="G225" s="628"/>
      <c r="H225" s="628"/>
      <c r="I225" s="628"/>
      <c r="J225" s="628">
        <f t="shared" ref="J225:J229" si="58">E225*G225*I225</f>
        <v>0</v>
      </c>
      <c r="K225" s="629"/>
      <c r="L225" s="628">
        <f>$J225*K216*M$12</f>
        <v>0</v>
      </c>
      <c r="N225" s="629"/>
      <c r="O225" s="628">
        <f>$J225*N216*P$12</f>
        <v>0</v>
      </c>
      <c r="P225" s="630"/>
      <c r="Q225" s="629"/>
      <c r="R225" s="628">
        <f>$J225*Q216*S$12</f>
        <v>0</v>
      </c>
      <c r="S225" s="630"/>
      <c r="T225" s="629"/>
      <c r="U225" s="628">
        <f>$J225*T216*V$12</f>
        <v>0</v>
      </c>
      <c r="V225" s="630"/>
      <c r="W225" s="618">
        <f t="shared" si="51"/>
        <v>0</v>
      </c>
      <c r="Y225" s="593"/>
    </row>
    <row r="226" spans="1:25" ht="15.9" hidden="1" thickTop="1" thickBot="1">
      <c r="A226" s="1102"/>
      <c r="B226" s="1102"/>
      <c r="C226" s="1102"/>
      <c r="D226" s="1103" t="s">
        <v>555</v>
      </c>
      <c r="E226" s="626">
        <v>1</v>
      </c>
      <c r="F226" s="627" t="s">
        <v>541</v>
      </c>
      <c r="G226" s="626">
        <f>localairfare</f>
        <v>175</v>
      </c>
      <c r="H226" s="627" t="s">
        <v>556</v>
      </c>
      <c r="I226" s="628">
        <v>2</v>
      </c>
      <c r="J226" s="628">
        <f>E226*G226*I226</f>
        <v>350</v>
      </c>
      <c r="K226" s="629"/>
      <c r="L226" s="628">
        <f>$J226*K216*M$12</f>
        <v>0</v>
      </c>
      <c r="N226" s="629"/>
      <c r="O226" s="628">
        <f>$J226*6*P$12</f>
        <v>2184</v>
      </c>
      <c r="P226" s="630"/>
      <c r="Q226" s="629"/>
      <c r="R226" s="628">
        <f>$J226*Q216*S$12</f>
        <v>0</v>
      </c>
      <c r="S226" s="630"/>
      <c r="T226" s="629"/>
      <c r="U226" s="628">
        <f>$J226*T216*V$12</f>
        <v>0</v>
      </c>
      <c r="V226" s="630"/>
      <c r="W226" s="618">
        <f t="shared" si="51"/>
        <v>2184</v>
      </c>
      <c r="Y226" s="593"/>
    </row>
    <row r="227" spans="1:25" ht="15.9" hidden="1" thickTop="1" thickBot="1">
      <c r="A227" s="1102"/>
      <c r="B227" s="1102"/>
      <c r="C227" s="1102"/>
      <c r="D227" s="1103" t="s">
        <v>557</v>
      </c>
      <c r="E227" s="626">
        <v>1</v>
      </c>
      <c r="F227" s="627" t="s">
        <v>541</v>
      </c>
      <c r="G227" s="626">
        <f>partground</f>
        <v>9</v>
      </c>
      <c r="H227" s="627" t="s">
        <v>542</v>
      </c>
      <c r="I227" s="628">
        <v>2</v>
      </c>
      <c r="J227" s="628">
        <f t="shared" si="58"/>
        <v>18</v>
      </c>
      <c r="K227" s="629"/>
      <c r="L227" s="628">
        <f>$J227*K216*M$12</f>
        <v>0</v>
      </c>
      <c r="N227" s="629"/>
      <c r="O227" s="628">
        <f t="shared" ref="O227:O229" si="59">$J227*6*P$12</f>
        <v>112.32000000000001</v>
      </c>
      <c r="P227" s="630"/>
      <c r="Q227" s="629"/>
      <c r="R227" s="628">
        <f>$J227*Q216*S$12</f>
        <v>0</v>
      </c>
      <c r="S227" s="630"/>
      <c r="T227" s="629"/>
      <c r="U227" s="628">
        <f>$J227*T216*V$12</f>
        <v>0</v>
      </c>
      <c r="V227" s="630"/>
      <c r="W227" s="618">
        <f t="shared" si="51"/>
        <v>112.32000000000001</v>
      </c>
      <c r="Y227" s="593"/>
    </row>
    <row r="228" spans="1:25" ht="15.9" hidden="1" thickTop="1" thickBot="1">
      <c r="A228" s="1102"/>
      <c r="B228" s="1102"/>
      <c r="C228" s="1102"/>
      <c r="D228" s="1103" t="s">
        <v>48</v>
      </c>
      <c r="E228" s="628">
        <f>E226+E227</f>
        <v>2</v>
      </c>
      <c r="F228" s="627" t="s">
        <v>541</v>
      </c>
      <c r="G228" s="626">
        <f>partlodg</f>
        <v>25</v>
      </c>
      <c r="H228" s="627" t="s">
        <v>542</v>
      </c>
      <c r="I228" s="628">
        <v>2</v>
      </c>
      <c r="J228" s="628">
        <f t="shared" si="58"/>
        <v>100</v>
      </c>
      <c r="K228" s="629"/>
      <c r="L228" s="628">
        <f>$J228*K216*M$12</f>
        <v>0</v>
      </c>
      <c r="N228" s="629"/>
      <c r="O228" s="628">
        <f t="shared" si="59"/>
        <v>624</v>
      </c>
      <c r="P228" s="630"/>
      <c r="Q228" s="629"/>
      <c r="R228" s="628">
        <f>$J228*Q216*S$12</f>
        <v>0</v>
      </c>
      <c r="S228" s="630"/>
      <c r="T228" s="629"/>
      <c r="U228" s="628">
        <f>$J228*T216*V$12</f>
        <v>0</v>
      </c>
      <c r="V228" s="630"/>
      <c r="W228" s="618">
        <f t="shared" si="51"/>
        <v>624</v>
      </c>
      <c r="Y228" s="593"/>
    </row>
    <row r="229" spans="1:25" ht="15.6" hidden="1" thickTop="1">
      <c r="A229" s="1102"/>
      <c r="B229" s="1102"/>
      <c r="C229" s="1102"/>
      <c r="D229" s="1103" t="s">
        <v>70</v>
      </c>
      <c r="E229" s="628">
        <f>E228</f>
        <v>2</v>
      </c>
      <c r="F229" s="627" t="s">
        <v>541</v>
      </c>
      <c r="G229" s="626">
        <f>partmeals</f>
        <v>47</v>
      </c>
      <c r="H229" s="627" t="s">
        <v>542</v>
      </c>
      <c r="I229" s="628">
        <v>2</v>
      </c>
      <c r="J229" s="628">
        <f t="shared" si="58"/>
        <v>188</v>
      </c>
      <c r="K229" s="629"/>
      <c r="L229" s="628">
        <f>$J229*K216*M$12</f>
        <v>0</v>
      </c>
      <c r="N229" s="629"/>
      <c r="O229" s="628">
        <f t="shared" si="59"/>
        <v>1173.1200000000001</v>
      </c>
      <c r="P229" s="630"/>
      <c r="Q229" s="629"/>
      <c r="R229" s="628">
        <f>$J229*Q216*S$12</f>
        <v>0</v>
      </c>
      <c r="S229" s="630"/>
      <c r="T229" s="629"/>
      <c r="U229" s="628">
        <f>$J229*T216*V$12</f>
        <v>0</v>
      </c>
      <c r="V229" s="630"/>
      <c r="W229" s="618">
        <f t="shared" si="51"/>
        <v>1173.1200000000001</v>
      </c>
      <c r="Y229" s="593"/>
    </row>
    <row r="230" spans="1:25" hidden="1">
      <c r="A230" s="1102"/>
      <c r="B230" s="1102"/>
      <c r="C230" s="1102"/>
      <c r="D230" s="644" t="s">
        <v>547</v>
      </c>
      <c r="E230" s="645"/>
      <c r="F230" s="645"/>
      <c r="G230" s="646"/>
      <c r="H230" s="1146">
        <f>SUM(J223:J229)</f>
        <v>656</v>
      </c>
      <c r="I230" s="1147"/>
      <c r="J230" s="647"/>
      <c r="K230" s="648"/>
      <c r="L230" s="648"/>
      <c r="M230" s="621"/>
      <c r="N230" s="648"/>
      <c r="O230" s="648"/>
      <c r="P230" s="621"/>
      <c r="Q230" s="648"/>
      <c r="R230" s="648"/>
      <c r="S230" s="621"/>
      <c r="T230" s="648"/>
      <c r="U230" s="648"/>
      <c r="V230" s="621"/>
      <c r="W230" s="649"/>
      <c r="Y230" s="593"/>
    </row>
    <row r="231" spans="1:25" ht="13.5" hidden="1" customHeight="1" thickTop="1" thickBot="1">
      <c r="A231" s="1102"/>
      <c r="B231" s="1102"/>
      <c r="C231" s="1102"/>
      <c r="D231" s="1110"/>
      <c r="E231" s="650"/>
      <c r="F231" s="650"/>
      <c r="G231" s="650"/>
      <c r="H231" s="650"/>
      <c r="I231" s="650"/>
      <c r="J231" s="612"/>
      <c r="K231" s="612"/>
      <c r="L231" s="612"/>
      <c r="M231" s="612"/>
      <c r="N231" s="612"/>
      <c r="O231" s="612"/>
      <c r="P231" s="612"/>
      <c r="Q231" s="612"/>
      <c r="R231" s="612"/>
      <c r="S231" s="612"/>
      <c r="T231" s="612"/>
      <c r="U231" s="612"/>
      <c r="V231" s="612"/>
      <c r="W231" s="613"/>
      <c r="Y231" s="593"/>
    </row>
    <row r="232" spans="1:25" ht="15.9" thickTop="1" thickBot="1">
      <c r="A232" s="1102"/>
      <c r="B232" s="1102"/>
      <c r="C232" s="1102"/>
      <c r="D232" s="1159" t="s">
        <v>585</v>
      </c>
      <c r="E232" s="1160"/>
      <c r="F232" s="1160"/>
      <c r="G232" s="1160"/>
      <c r="H232" s="1161"/>
      <c r="I232" s="614">
        <v>1</v>
      </c>
      <c r="J232" s="615"/>
      <c r="K232" s="1151"/>
      <c r="L232" s="1152"/>
      <c r="M232" s="616">
        <f>SUM(L234:L236)</f>
        <v>0</v>
      </c>
      <c r="N232" s="1140">
        <v>6</v>
      </c>
      <c r="O232" s="1141"/>
      <c r="P232" s="617">
        <f>SUM(O234:O236)</f>
        <v>2808</v>
      </c>
      <c r="Q232" s="1140">
        <v>0</v>
      </c>
      <c r="R232" s="1141"/>
      <c r="S232" s="617">
        <f>SUM(R234:R236)</f>
        <v>0</v>
      </c>
      <c r="T232" s="1142">
        <v>0</v>
      </c>
      <c r="U232" s="1140"/>
      <c r="V232" s="617">
        <f>SUM(U234:U236)</f>
        <v>0</v>
      </c>
      <c r="W232" s="618">
        <f>SUM(M232,P232,S232,V232,)</f>
        <v>2808</v>
      </c>
      <c r="Y232" s="593"/>
    </row>
    <row r="233" spans="1:25" ht="15.9" thickTop="1" thickBot="1">
      <c r="A233" s="1102"/>
      <c r="B233" s="1102"/>
      <c r="C233" s="1102"/>
      <c r="D233" s="619" t="s">
        <v>566</v>
      </c>
      <c r="E233" s="620"/>
      <c r="F233" s="620"/>
      <c r="G233" s="620"/>
      <c r="H233" s="621"/>
      <c r="I233" s="620"/>
      <c r="J233" s="620"/>
      <c r="K233" s="622"/>
      <c r="L233" s="620"/>
      <c r="M233" s="621"/>
      <c r="N233" s="622"/>
      <c r="O233" s="620"/>
      <c r="P233" s="623"/>
      <c r="Q233" s="622"/>
      <c r="R233" s="620"/>
      <c r="S233" s="623"/>
      <c r="T233" s="622"/>
      <c r="U233" s="620"/>
      <c r="V233" s="623"/>
      <c r="W233" s="618">
        <f t="shared" ref="W233:W236" si="60">U233+R233+O233+L233</f>
        <v>0</v>
      </c>
      <c r="Y233" s="593"/>
    </row>
    <row r="234" spans="1:25" ht="15.9" thickTop="1" thickBot="1">
      <c r="A234" s="1102" t="s">
        <v>1024</v>
      </c>
      <c r="B234" s="1102">
        <v>86000</v>
      </c>
      <c r="C234" s="1102" t="s">
        <v>910</v>
      </c>
      <c r="D234" s="1103" t="s">
        <v>540</v>
      </c>
      <c r="E234" s="626">
        <v>20</v>
      </c>
      <c r="F234" s="627" t="s">
        <v>541</v>
      </c>
      <c r="G234" s="626">
        <f>parttransp</f>
        <v>4</v>
      </c>
      <c r="H234" s="627" t="s">
        <v>542</v>
      </c>
      <c r="I234" s="628">
        <f>IF(E234=0,0,I232)</f>
        <v>1</v>
      </c>
      <c r="J234" s="628">
        <f t="shared" ref="J234:J236" si="61">E234*G234*I234</f>
        <v>80</v>
      </c>
      <c r="K234" s="629"/>
      <c r="L234" s="628">
        <f>$J234*K232*M$12</f>
        <v>0</v>
      </c>
      <c r="N234" s="629"/>
      <c r="O234" s="628">
        <f>$J234*N232*P$12</f>
        <v>499.20000000000005</v>
      </c>
      <c r="P234" s="630"/>
      <c r="Q234" s="629"/>
      <c r="R234" s="628">
        <f>$J234*Q232*S$12</f>
        <v>0</v>
      </c>
      <c r="S234" s="630"/>
      <c r="T234" s="629"/>
      <c r="U234" s="628">
        <f>$J234*T232*V$12</f>
        <v>0</v>
      </c>
      <c r="V234" s="630"/>
      <c r="W234" s="618">
        <f t="shared" si="60"/>
        <v>499.20000000000005</v>
      </c>
      <c r="Y234" s="593"/>
    </row>
    <row r="235" spans="1:25" ht="15.9" thickTop="1" thickBot="1">
      <c r="A235" s="1102" t="s">
        <v>1025</v>
      </c>
      <c r="B235" s="1102">
        <v>87000</v>
      </c>
      <c r="C235" s="1102" t="s">
        <v>910</v>
      </c>
      <c r="D235" s="1103" t="s">
        <v>543</v>
      </c>
      <c r="E235" s="626">
        <v>20</v>
      </c>
      <c r="F235" s="627" t="s">
        <v>541</v>
      </c>
      <c r="G235" s="626">
        <f>coffee+lunch</f>
        <v>16</v>
      </c>
      <c r="H235" s="627" t="s">
        <v>542</v>
      </c>
      <c r="I235" s="628">
        <f>IF(E235=0,0,I232)</f>
        <v>1</v>
      </c>
      <c r="J235" s="628">
        <f t="shared" si="61"/>
        <v>320</v>
      </c>
      <c r="K235" s="629"/>
      <c r="L235" s="628">
        <f>$J235*K232*M$12</f>
        <v>0</v>
      </c>
      <c r="N235" s="629"/>
      <c r="O235" s="628">
        <f>$J235*N232*P$12</f>
        <v>1996.8000000000002</v>
      </c>
      <c r="P235" s="630"/>
      <c r="Q235" s="629"/>
      <c r="R235" s="628">
        <f>$J235*Q232*S$12</f>
        <v>0</v>
      </c>
      <c r="S235" s="630"/>
      <c r="T235" s="629"/>
      <c r="U235" s="628">
        <f>$J235*T232*V$12</f>
        <v>0</v>
      </c>
      <c r="V235" s="630"/>
      <c r="W235" s="618">
        <f t="shared" si="60"/>
        <v>1996.8000000000002</v>
      </c>
      <c r="Y235" s="593"/>
    </row>
    <row r="236" spans="1:25" ht="15.6" thickTop="1">
      <c r="A236" s="1102" t="s">
        <v>1026</v>
      </c>
      <c r="B236" s="1102">
        <v>85300</v>
      </c>
      <c r="C236" s="1102" t="s">
        <v>910</v>
      </c>
      <c r="D236" s="1103" t="s">
        <v>544</v>
      </c>
      <c r="E236" s="626">
        <v>1</v>
      </c>
      <c r="F236" s="627" t="s">
        <v>545</v>
      </c>
      <c r="G236" s="626">
        <f>print</f>
        <v>50</v>
      </c>
      <c r="H236" s="632" t="str">
        <f>F236</f>
        <v>activity</v>
      </c>
      <c r="I236" s="628">
        <f>IF(E236=0,0,1)</f>
        <v>1</v>
      </c>
      <c r="J236" s="628">
        <f t="shared" si="61"/>
        <v>50</v>
      </c>
      <c r="K236" s="629"/>
      <c r="L236" s="628">
        <f>$J236*K232*M$12</f>
        <v>0</v>
      </c>
      <c r="N236" s="629"/>
      <c r="O236" s="628">
        <f>$J236*N232*P$12</f>
        <v>312</v>
      </c>
      <c r="P236" s="630"/>
      <c r="Q236" s="629"/>
      <c r="R236" s="628">
        <f>$J236*Q232*S$12</f>
        <v>0</v>
      </c>
      <c r="S236" s="630"/>
      <c r="T236" s="629"/>
      <c r="U236" s="628">
        <f>$J236*T232*V$12</f>
        <v>0</v>
      </c>
      <c r="V236" s="630"/>
      <c r="W236" s="618">
        <f t="shared" si="60"/>
        <v>312</v>
      </c>
      <c r="Y236" s="593"/>
    </row>
    <row r="237" spans="1:25">
      <c r="A237" s="1102"/>
      <c r="B237" s="1102"/>
      <c r="C237" s="1102"/>
      <c r="D237" s="644" t="s">
        <v>547</v>
      </c>
      <c r="E237" s="645"/>
      <c r="F237" s="645"/>
      <c r="G237" s="646"/>
      <c r="H237" s="1146">
        <f>SUM(J233:J236)</f>
        <v>450</v>
      </c>
      <c r="I237" s="1147"/>
      <c r="J237" s="647"/>
      <c r="K237" s="648"/>
      <c r="L237" s="648"/>
      <c r="M237" s="621"/>
      <c r="N237" s="648"/>
      <c r="O237" s="648"/>
      <c r="P237" s="621"/>
      <c r="Q237" s="648"/>
      <c r="R237" s="648"/>
      <c r="S237" s="621"/>
      <c r="T237" s="648"/>
      <c r="U237" s="648"/>
      <c r="V237" s="621"/>
      <c r="W237" s="649"/>
      <c r="Y237" s="593"/>
    </row>
    <row r="238" spans="1:25" ht="13.5" customHeight="1" thickBot="1">
      <c r="A238" s="1102"/>
      <c r="B238" s="1102"/>
      <c r="C238" s="1102"/>
      <c r="D238" s="1110"/>
      <c r="E238" s="650"/>
      <c r="F238" s="650"/>
      <c r="G238" s="650"/>
      <c r="H238" s="650"/>
      <c r="I238" s="650"/>
      <c r="J238" s="612"/>
      <c r="K238" s="612"/>
      <c r="L238" s="612"/>
      <c r="M238" s="612"/>
      <c r="N238" s="612"/>
      <c r="O238" s="612"/>
      <c r="P238" s="612"/>
      <c r="Q238" s="612"/>
      <c r="R238" s="612"/>
      <c r="S238" s="612"/>
      <c r="T238" s="612"/>
      <c r="U238" s="612"/>
      <c r="V238" s="612"/>
      <c r="W238" s="613"/>
      <c r="Y238" s="593"/>
    </row>
    <row r="239" spans="1:25" ht="41.25" customHeight="1" thickTop="1" thickBot="1">
      <c r="A239" s="1102"/>
      <c r="B239" s="1102"/>
      <c r="C239" s="1102"/>
      <c r="D239" s="1156" t="s">
        <v>586</v>
      </c>
      <c r="E239" s="1157"/>
      <c r="F239" s="1157"/>
      <c r="G239" s="1157"/>
      <c r="H239" s="1158"/>
      <c r="I239" s="614">
        <v>3</v>
      </c>
      <c r="J239" s="615"/>
      <c r="K239" s="1151"/>
      <c r="L239" s="1152"/>
      <c r="M239" s="616">
        <f>SUM(L241:L243)</f>
        <v>0</v>
      </c>
      <c r="N239" s="1140">
        <v>2</v>
      </c>
      <c r="O239" s="1141"/>
      <c r="P239" s="617">
        <f>SUM(O241:O243)</f>
        <v>13416</v>
      </c>
      <c r="Q239" s="1140">
        <v>4</v>
      </c>
      <c r="R239" s="1141"/>
      <c r="S239" s="617">
        <f>SUM(R241:R243)</f>
        <v>27905.280000000002</v>
      </c>
      <c r="T239" s="1142">
        <v>0</v>
      </c>
      <c r="U239" s="1140"/>
      <c r="V239" s="617">
        <f>SUM(U241:U243)</f>
        <v>0</v>
      </c>
      <c r="W239" s="618">
        <f>SUM(M239,P239,S239,V239,)</f>
        <v>41321.279999999999</v>
      </c>
      <c r="Y239" s="593"/>
    </row>
    <row r="240" spans="1:25" ht="15.9" thickTop="1" thickBot="1">
      <c r="A240" s="1102"/>
      <c r="B240" s="1102"/>
      <c r="C240" s="1102"/>
      <c r="D240" s="619" t="s">
        <v>566</v>
      </c>
      <c r="E240" s="620"/>
      <c r="F240" s="620"/>
      <c r="G240" s="620"/>
      <c r="H240" s="621"/>
      <c r="I240" s="620"/>
      <c r="J240" s="620"/>
      <c r="K240" s="622"/>
      <c r="L240" s="620"/>
      <c r="M240" s="621"/>
      <c r="N240" s="622"/>
      <c r="O240" s="620"/>
      <c r="P240" s="623"/>
      <c r="Q240" s="622"/>
      <c r="R240" s="620"/>
      <c r="S240" s="623"/>
      <c r="T240" s="622"/>
      <c r="U240" s="620"/>
      <c r="V240" s="623"/>
      <c r="W240" s="618">
        <f t="shared" ref="W240:W244" si="62">U240+R240+O240+L240</f>
        <v>0</v>
      </c>
      <c r="Y240" s="593"/>
    </row>
    <row r="241" spans="1:25" ht="15.9" thickTop="1" thickBot="1">
      <c r="A241" s="1102" t="s">
        <v>1027</v>
      </c>
      <c r="B241" s="1102">
        <v>82420</v>
      </c>
      <c r="C241" s="1102" t="s">
        <v>910</v>
      </c>
      <c r="D241" s="1103" t="s">
        <v>587</v>
      </c>
      <c r="E241" s="626">
        <v>1</v>
      </c>
      <c r="F241" s="627" t="s">
        <v>549</v>
      </c>
      <c r="G241" s="626">
        <v>2800</v>
      </c>
      <c r="H241" s="632" t="str">
        <f>F241</f>
        <v>workshop</v>
      </c>
      <c r="I241" s="628">
        <f>IF(E241=0,0,1)</f>
        <v>1</v>
      </c>
      <c r="J241" s="628">
        <f t="shared" ref="J241:J243" si="63">E241*G241*I241</f>
        <v>2800</v>
      </c>
      <c r="K241" s="629"/>
      <c r="L241" s="628">
        <f>$J241*K239*M$12</f>
        <v>0</v>
      </c>
      <c r="N241" s="629"/>
      <c r="O241" s="628">
        <f>$J241*N239*P$12</f>
        <v>5824</v>
      </c>
      <c r="P241" s="630"/>
      <c r="Q241" s="629"/>
      <c r="R241" s="628">
        <f>$J241*Q239*S$12</f>
        <v>12113.920000000002</v>
      </c>
      <c r="S241" s="630"/>
      <c r="T241" s="629"/>
      <c r="U241" s="628">
        <f>$J241*T239*V$12</f>
        <v>0</v>
      </c>
      <c r="V241" s="630"/>
      <c r="W241" s="618">
        <f t="shared" si="62"/>
        <v>17937.920000000002</v>
      </c>
      <c r="Y241" s="593"/>
    </row>
    <row r="242" spans="1:25" ht="15.9" thickTop="1" thickBot="1">
      <c r="A242" s="1102" t="s">
        <v>1028</v>
      </c>
      <c r="B242" s="1102">
        <v>85300</v>
      </c>
      <c r="C242" s="1102" t="s">
        <v>910</v>
      </c>
      <c r="D242" s="1103" t="s">
        <v>544</v>
      </c>
      <c r="E242" s="626">
        <v>1</v>
      </c>
      <c r="F242" s="627" t="s">
        <v>545</v>
      </c>
      <c r="G242" s="626">
        <f>print</f>
        <v>50</v>
      </c>
      <c r="H242" s="632" t="str">
        <f>F242</f>
        <v>activity</v>
      </c>
      <c r="I242" s="628">
        <f>IF(E242=0,0,1)</f>
        <v>1</v>
      </c>
      <c r="J242" s="628">
        <f t="shared" si="63"/>
        <v>50</v>
      </c>
      <c r="K242" s="629"/>
      <c r="L242" s="628">
        <f>$J242*K239*M$12</f>
        <v>0</v>
      </c>
      <c r="N242" s="629"/>
      <c r="O242" s="628">
        <f>$J242*N239*P$12</f>
        <v>104</v>
      </c>
      <c r="P242" s="630"/>
      <c r="Q242" s="629"/>
      <c r="R242" s="628">
        <f>$J242*Q239*S$12</f>
        <v>216.32000000000002</v>
      </c>
      <c r="S242" s="630"/>
      <c r="T242" s="629"/>
      <c r="U242" s="628">
        <f>$J242*T239*V$12</f>
        <v>0</v>
      </c>
      <c r="V242" s="630"/>
      <c r="W242" s="618">
        <f t="shared" si="62"/>
        <v>320.32000000000005</v>
      </c>
      <c r="Y242" s="593"/>
    </row>
    <row r="243" spans="1:25" ht="15.6" thickTop="1">
      <c r="A243" s="1102" t="s">
        <v>1029</v>
      </c>
      <c r="B243" s="1102">
        <v>81000</v>
      </c>
      <c r="C243" s="1102" t="s">
        <v>910</v>
      </c>
      <c r="D243" s="1103" t="s">
        <v>588</v>
      </c>
      <c r="E243" s="626">
        <v>1</v>
      </c>
      <c r="F243" s="627" t="s">
        <v>541</v>
      </c>
      <c r="G243" s="626">
        <f>localcons</f>
        <v>300</v>
      </c>
      <c r="H243" s="627" t="s">
        <v>542</v>
      </c>
      <c r="I243" s="626">
        <v>12</v>
      </c>
      <c r="J243" s="628">
        <f t="shared" si="63"/>
        <v>3600</v>
      </c>
      <c r="K243" s="629"/>
      <c r="L243" s="628">
        <f>$J243*K239*M$12</f>
        <v>0</v>
      </c>
      <c r="N243" s="629"/>
      <c r="O243" s="628">
        <f>$J243*N239*P$12</f>
        <v>7488</v>
      </c>
      <c r="P243" s="630"/>
      <c r="Q243" s="629"/>
      <c r="R243" s="628">
        <f>$J243*Q239*S$12</f>
        <v>15575.04</v>
      </c>
      <c r="S243" s="630"/>
      <c r="T243" s="629"/>
      <c r="U243" s="628">
        <f>$J243*T239*V$12</f>
        <v>0</v>
      </c>
      <c r="V243" s="630"/>
      <c r="W243" s="618">
        <f t="shared" si="62"/>
        <v>23063.040000000001</v>
      </c>
      <c r="Y243" s="593"/>
    </row>
    <row r="244" spans="1:25" ht="15.9" hidden="1" thickTop="1" thickBot="1">
      <c r="A244" s="1102"/>
      <c r="B244" s="1102"/>
      <c r="C244" s="1102"/>
      <c r="D244" s="1103"/>
      <c r="E244" s="628"/>
      <c r="F244" s="628"/>
      <c r="G244" s="628"/>
      <c r="H244" s="628"/>
      <c r="I244" s="628"/>
      <c r="J244" s="628"/>
      <c r="K244" s="629"/>
      <c r="L244" s="628"/>
      <c r="N244" s="629"/>
      <c r="O244" s="628"/>
      <c r="P244" s="630"/>
      <c r="Q244" s="629"/>
      <c r="R244" s="628"/>
      <c r="S244" s="630"/>
      <c r="T244" s="629"/>
      <c r="U244" s="628"/>
      <c r="V244" s="630"/>
      <c r="W244" s="618">
        <f t="shared" si="62"/>
        <v>0</v>
      </c>
      <c r="Y244" s="593"/>
    </row>
    <row r="245" spans="1:25" ht="15.9" hidden="1" thickTop="1" thickBot="1">
      <c r="A245" s="1102"/>
      <c r="B245" s="1102"/>
      <c r="C245" s="1102"/>
      <c r="D245" s="633" t="s">
        <v>554</v>
      </c>
      <c r="E245" s="628"/>
      <c r="F245" s="634"/>
      <c r="G245" s="628"/>
      <c r="H245" s="628"/>
      <c r="I245" s="628"/>
      <c r="J245" s="628"/>
      <c r="K245" s="629"/>
      <c r="L245" s="628"/>
      <c r="N245" s="629"/>
      <c r="O245" s="628"/>
      <c r="P245" s="630"/>
      <c r="Q245" s="629"/>
      <c r="R245" s="628"/>
      <c r="S245" s="630"/>
      <c r="T245" s="629"/>
      <c r="U245" s="628"/>
      <c r="V245" s="630"/>
      <c r="W245" s="618">
        <v>0</v>
      </c>
      <c r="Y245" s="593"/>
    </row>
    <row r="246" spans="1:25" ht="15.9" hidden="1" thickTop="1" thickBot="1">
      <c r="A246" s="1102"/>
      <c r="B246" s="1102"/>
      <c r="C246" s="1102"/>
      <c r="D246" s="1103" t="s">
        <v>555</v>
      </c>
      <c r="E246" s="626">
        <v>2</v>
      </c>
      <c r="F246" s="627" t="s">
        <v>541</v>
      </c>
      <c r="G246" s="626">
        <f>localairfare</f>
        <v>175</v>
      </c>
      <c r="H246" s="627" t="s">
        <v>556</v>
      </c>
      <c r="I246" s="628">
        <v>1</v>
      </c>
      <c r="J246" s="628">
        <f>E246*G246*I246</f>
        <v>350</v>
      </c>
      <c r="K246" s="629"/>
      <c r="L246" s="628"/>
      <c r="N246" s="629"/>
      <c r="O246" s="628">
        <f>$J246*1*P$12</f>
        <v>364</v>
      </c>
      <c r="P246" s="630"/>
      <c r="Q246" s="629"/>
      <c r="R246" s="628">
        <f t="shared" ref="R246:R249" si="64">$J246*1*S$12</f>
        <v>378.56000000000006</v>
      </c>
      <c r="S246" s="630"/>
      <c r="T246" s="629"/>
      <c r="U246" s="628">
        <f t="shared" ref="U246:U249" si="65">$J246*1*V$12</f>
        <v>393.70240000000001</v>
      </c>
      <c r="V246" s="630"/>
      <c r="W246" s="618">
        <v>0</v>
      </c>
      <c r="Y246" s="593"/>
    </row>
    <row r="247" spans="1:25" ht="15.9" hidden="1" thickTop="1" thickBot="1">
      <c r="A247" s="1102"/>
      <c r="B247" s="1102"/>
      <c r="C247" s="1102"/>
      <c r="D247" s="1103" t="s">
        <v>557</v>
      </c>
      <c r="E247" s="626">
        <v>2</v>
      </c>
      <c r="F247" s="627" t="s">
        <v>541</v>
      </c>
      <c r="G247" s="626">
        <f>partground</f>
        <v>9</v>
      </c>
      <c r="H247" s="627" t="s">
        <v>542</v>
      </c>
      <c r="I247" s="628">
        <v>3</v>
      </c>
      <c r="J247" s="628">
        <f t="shared" ref="J247:J249" si="66">E247*G247*I247</f>
        <v>54</v>
      </c>
      <c r="K247" s="629"/>
      <c r="L247" s="628"/>
      <c r="N247" s="629"/>
      <c r="O247" s="628">
        <f t="shared" ref="O247:O249" si="67">$J247*1*P$12</f>
        <v>56.160000000000004</v>
      </c>
      <c r="P247" s="630"/>
      <c r="Q247" s="629"/>
      <c r="R247" s="628">
        <f t="shared" si="64"/>
        <v>58.406400000000005</v>
      </c>
      <c r="S247" s="630"/>
      <c r="T247" s="629"/>
      <c r="U247" s="628">
        <f t="shared" si="65"/>
        <v>60.742656000000004</v>
      </c>
      <c r="V247" s="630"/>
      <c r="W247" s="618">
        <v>0</v>
      </c>
      <c r="Y247" s="593"/>
    </row>
    <row r="248" spans="1:25" ht="15.9" hidden="1" thickTop="1" thickBot="1">
      <c r="A248" s="1102"/>
      <c r="B248" s="1102"/>
      <c r="C248" s="1102"/>
      <c r="D248" s="1103" t="s">
        <v>48</v>
      </c>
      <c r="E248" s="628">
        <f>E246+E247</f>
        <v>4</v>
      </c>
      <c r="F248" s="627" t="s">
        <v>541</v>
      </c>
      <c r="G248" s="626">
        <f>partlodg</f>
        <v>25</v>
      </c>
      <c r="H248" s="627" t="s">
        <v>542</v>
      </c>
      <c r="I248" s="628">
        <v>3</v>
      </c>
      <c r="J248" s="628">
        <f t="shared" si="66"/>
        <v>300</v>
      </c>
      <c r="K248" s="629"/>
      <c r="L248" s="628"/>
      <c r="N248" s="629"/>
      <c r="O248" s="628">
        <f t="shared" si="67"/>
        <v>312</v>
      </c>
      <c r="P248" s="630"/>
      <c r="Q248" s="629"/>
      <c r="R248" s="628">
        <f t="shared" si="64"/>
        <v>324.48</v>
      </c>
      <c r="S248" s="630"/>
      <c r="T248" s="629"/>
      <c r="U248" s="628">
        <f t="shared" si="65"/>
        <v>337.45920000000001</v>
      </c>
      <c r="V248" s="630"/>
      <c r="W248" s="618">
        <v>0</v>
      </c>
      <c r="Y248" s="593"/>
    </row>
    <row r="249" spans="1:25" ht="15.6" hidden="1" thickTop="1">
      <c r="A249" s="1102"/>
      <c r="B249" s="1102"/>
      <c r="C249" s="1102"/>
      <c r="D249" s="1103" t="s">
        <v>70</v>
      </c>
      <c r="E249" s="628">
        <f>E248</f>
        <v>4</v>
      </c>
      <c r="F249" s="627" t="s">
        <v>541</v>
      </c>
      <c r="G249" s="626">
        <f>partmeals</f>
        <v>47</v>
      </c>
      <c r="H249" s="627" t="s">
        <v>542</v>
      </c>
      <c r="I249" s="628">
        <v>3</v>
      </c>
      <c r="J249" s="628">
        <f t="shared" si="66"/>
        <v>564</v>
      </c>
      <c r="K249" s="629"/>
      <c r="L249" s="628"/>
      <c r="N249" s="629"/>
      <c r="O249" s="628">
        <f t="shared" si="67"/>
        <v>586.56000000000006</v>
      </c>
      <c r="P249" s="630"/>
      <c r="Q249" s="629"/>
      <c r="R249" s="628">
        <f t="shared" si="64"/>
        <v>610.02240000000006</v>
      </c>
      <c r="S249" s="630"/>
      <c r="T249" s="629"/>
      <c r="U249" s="628">
        <f t="shared" si="65"/>
        <v>634.42329600000005</v>
      </c>
      <c r="V249" s="630"/>
      <c r="W249" s="618">
        <v>0</v>
      </c>
      <c r="Y249" s="593"/>
    </row>
    <row r="250" spans="1:25">
      <c r="A250" s="1102"/>
      <c r="B250" s="1102"/>
      <c r="C250" s="1102"/>
      <c r="D250" s="644" t="s">
        <v>547</v>
      </c>
      <c r="E250" s="645"/>
      <c r="F250" s="645"/>
      <c r="G250" s="646"/>
      <c r="H250" s="1146">
        <f>SUM(J240:J249)</f>
        <v>7718</v>
      </c>
      <c r="I250" s="1147"/>
      <c r="J250" s="647"/>
      <c r="K250" s="648"/>
      <c r="L250" s="648"/>
      <c r="M250" s="621"/>
      <c r="N250" s="648"/>
      <c r="O250" s="648"/>
      <c r="P250" s="621"/>
      <c r="Q250" s="648"/>
      <c r="R250" s="648"/>
      <c r="S250" s="621"/>
      <c r="T250" s="648"/>
      <c r="U250" s="648"/>
      <c r="V250" s="621"/>
      <c r="W250" s="649"/>
      <c r="Y250" s="593"/>
    </row>
    <row r="251" spans="1:25" ht="13.5" customHeight="1" thickBot="1">
      <c r="A251" s="1102"/>
      <c r="B251" s="1102"/>
      <c r="C251" s="1102"/>
      <c r="D251" s="1110"/>
      <c r="E251" s="650"/>
      <c r="F251" s="650"/>
      <c r="G251" s="650"/>
      <c r="H251" s="650"/>
      <c r="I251" s="650"/>
      <c r="J251" s="612"/>
      <c r="K251" s="612"/>
      <c r="L251" s="612"/>
      <c r="M251" s="612"/>
      <c r="N251" s="612"/>
      <c r="O251" s="612"/>
      <c r="P251" s="612"/>
      <c r="Q251" s="612"/>
      <c r="R251" s="612"/>
      <c r="S251" s="612"/>
      <c r="T251" s="612"/>
      <c r="U251" s="612"/>
      <c r="V251" s="612"/>
      <c r="W251" s="613"/>
      <c r="Y251" s="593"/>
    </row>
    <row r="252" spans="1:25" ht="28.5" customHeight="1" thickTop="1" thickBot="1">
      <c r="A252" s="1102"/>
      <c r="B252" s="1102"/>
      <c r="C252" s="1102"/>
      <c r="D252" s="1143" t="s">
        <v>589</v>
      </c>
      <c r="E252" s="1144"/>
      <c r="F252" s="1144"/>
      <c r="G252" s="1144"/>
      <c r="H252" s="1145"/>
      <c r="I252" s="614">
        <v>3</v>
      </c>
      <c r="J252" s="615"/>
      <c r="K252" s="1151"/>
      <c r="L252" s="1152"/>
      <c r="M252" s="616">
        <f>SUM(L254:L257)</f>
        <v>0</v>
      </c>
      <c r="N252" s="1140">
        <v>2</v>
      </c>
      <c r="O252" s="1141"/>
      <c r="P252" s="617">
        <f>SUM(O254:O257)</f>
        <v>3848</v>
      </c>
      <c r="Q252" s="1140">
        <v>4</v>
      </c>
      <c r="R252" s="1141"/>
      <c r="S252" s="617">
        <f>SUM(R254:R257)</f>
        <v>8003.84</v>
      </c>
      <c r="T252" s="1142">
        <v>0</v>
      </c>
      <c r="U252" s="1140"/>
      <c r="V252" s="617">
        <f>SUM(U254:U257)</f>
        <v>0</v>
      </c>
      <c r="W252" s="618">
        <f>SUM(M252,P252,S252,V252,)</f>
        <v>11851.84</v>
      </c>
      <c r="Y252" s="593"/>
    </row>
    <row r="253" spans="1:25" ht="15.9" thickTop="1" thickBot="1">
      <c r="A253" s="1102"/>
      <c r="B253" s="1102"/>
      <c r="C253" s="1102"/>
      <c r="D253" s="619" t="s">
        <v>566</v>
      </c>
      <c r="E253" s="620"/>
      <c r="F253" s="620"/>
      <c r="G253" s="620"/>
      <c r="H253" s="621"/>
      <c r="I253" s="620"/>
      <c r="J253" s="620"/>
      <c r="K253" s="622"/>
      <c r="L253" s="620"/>
      <c r="M253" s="621"/>
      <c r="N253" s="622"/>
      <c r="O253" s="620"/>
      <c r="P253" s="623"/>
      <c r="Q253" s="622"/>
      <c r="R253" s="620"/>
      <c r="S253" s="623"/>
      <c r="T253" s="622"/>
      <c r="U253" s="620"/>
      <c r="V253" s="623"/>
      <c r="W253" s="618">
        <f t="shared" ref="W253:W278" si="68">U253+R253+O253+L253</f>
        <v>0</v>
      </c>
      <c r="Y253" s="593"/>
    </row>
    <row r="254" spans="1:25" ht="15.9" thickTop="1" thickBot="1">
      <c r="A254" s="1102" t="s">
        <v>1030</v>
      </c>
      <c r="B254" s="1102">
        <v>86000</v>
      </c>
      <c r="C254" s="1102" t="s">
        <v>910</v>
      </c>
      <c r="D254" s="1103" t="s">
        <v>540</v>
      </c>
      <c r="E254" s="626">
        <v>20</v>
      </c>
      <c r="F254" s="627" t="s">
        <v>541</v>
      </c>
      <c r="G254" s="626">
        <f>parttransp</f>
        <v>4</v>
      </c>
      <c r="H254" s="627" t="s">
        <v>542</v>
      </c>
      <c r="I254" s="628">
        <f>IF(E254=0,0,I252)</f>
        <v>3</v>
      </c>
      <c r="J254" s="628">
        <f t="shared" ref="J254:J257" si="69">E254*G254*I254</f>
        <v>240</v>
      </c>
      <c r="K254" s="629"/>
      <c r="L254" s="628">
        <f>$J254*K252*M$12</f>
        <v>0</v>
      </c>
      <c r="N254" s="629"/>
      <c r="O254" s="628">
        <f>$J254*N252*P$12</f>
        <v>499.20000000000005</v>
      </c>
      <c r="P254" s="630"/>
      <c r="Q254" s="629"/>
      <c r="R254" s="628">
        <f>$J254*Q252*S$12</f>
        <v>1038.336</v>
      </c>
      <c r="S254" s="630"/>
      <c r="T254" s="629"/>
      <c r="U254" s="628">
        <f>$J254*T252*V$12</f>
        <v>0</v>
      </c>
      <c r="V254" s="630"/>
      <c r="W254" s="618">
        <f t="shared" si="68"/>
        <v>1537.5360000000001</v>
      </c>
      <c r="Y254" s="593"/>
    </row>
    <row r="255" spans="1:25" ht="15.9" thickTop="1" thickBot="1">
      <c r="A255" s="1102" t="s">
        <v>1031</v>
      </c>
      <c r="B255" s="1102">
        <v>87000</v>
      </c>
      <c r="C255" s="1102" t="s">
        <v>910</v>
      </c>
      <c r="D255" s="1103" t="s">
        <v>543</v>
      </c>
      <c r="E255" s="626">
        <v>20</v>
      </c>
      <c r="F255" s="627" t="s">
        <v>541</v>
      </c>
      <c r="G255" s="626">
        <f>coffee+lunch</f>
        <v>16</v>
      </c>
      <c r="H255" s="627" t="s">
        <v>542</v>
      </c>
      <c r="I255" s="628">
        <f>IF(E255=0,0,I252)</f>
        <v>3</v>
      </c>
      <c r="J255" s="628">
        <f t="shared" si="69"/>
        <v>960</v>
      </c>
      <c r="K255" s="629"/>
      <c r="L255" s="628">
        <f>$J255*K252*M$12</f>
        <v>0</v>
      </c>
      <c r="N255" s="629"/>
      <c r="O255" s="628">
        <f>$J255*N252*P$12</f>
        <v>1996.8000000000002</v>
      </c>
      <c r="P255" s="630"/>
      <c r="Q255" s="629"/>
      <c r="R255" s="628">
        <f>$J255*Q252*S$12</f>
        <v>4153.3440000000001</v>
      </c>
      <c r="S255" s="630"/>
      <c r="T255" s="629"/>
      <c r="U255" s="628">
        <f>$J255*T252*V$12</f>
        <v>0</v>
      </c>
      <c r="V255" s="630"/>
      <c r="W255" s="618">
        <f t="shared" si="68"/>
        <v>6150.1440000000002</v>
      </c>
      <c r="Y255" s="593"/>
    </row>
    <row r="256" spans="1:25" ht="15.9" thickTop="1" thickBot="1">
      <c r="A256" s="1102" t="s">
        <v>1032</v>
      </c>
      <c r="B256" s="1102">
        <v>85300</v>
      </c>
      <c r="C256" s="1102" t="s">
        <v>910</v>
      </c>
      <c r="D256" s="1103" t="s">
        <v>544</v>
      </c>
      <c r="E256" s="626">
        <v>1</v>
      </c>
      <c r="F256" s="627" t="s">
        <v>545</v>
      </c>
      <c r="G256" s="626">
        <f>print</f>
        <v>50</v>
      </c>
      <c r="H256" s="632" t="str">
        <f>F256</f>
        <v>activity</v>
      </c>
      <c r="I256" s="628">
        <f>IF(E256=0,0,1)</f>
        <v>1</v>
      </c>
      <c r="J256" s="628">
        <f t="shared" si="69"/>
        <v>50</v>
      </c>
      <c r="K256" s="629"/>
      <c r="L256" s="628">
        <f>$J256*K252*M$12</f>
        <v>0</v>
      </c>
      <c r="N256" s="629"/>
      <c r="O256" s="628">
        <f>$J256*N252*P$12</f>
        <v>104</v>
      </c>
      <c r="P256" s="630"/>
      <c r="Q256" s="629"/>
      <c r="R256" s="628">
        <f>$J256*Q252*S$12</f>
        <v>216.32000000000002</v>
      </c>
      <c r="S256" s="630"/>
      <c r="T256" s="629"/>
      <c r="U256" s="628">
        <f>$J256*T252*V$12</f>
        <v>0</v>
      </c>
      <c r="V256" s="630"/>
      <c r="W256" s="618">
        <f t="shared" si="68"/>
        <v>320.32000000000005</v>
      </c>
      <c r="Y256" s="593"/>
    </row>
    <row r="257" spans="1:25" ht="15.6" thickTop="1">
      <c r="A257" s="1102" t="s">
        <v>1033</v>
      </c>
      <c r="B257" s="1102">
        <v>81000</v>
      </c>
      <c r="C257" s="1102" t="s">
        <v>910</v>
      </c>
      <c r="D257" s="1103" t="s">
        <v>590</v>
      </c>
      <c r="E257" s="626">
        <v>1</v>
      </c>
      <c r="F257" s="627" t="s">
        <v>541</v>
      </c>
      <c r="G257" s="626">
        <f>localcons</f>
        <v>300</v>
      </c>
      <c r="H257" s="627" t="s">
        <v>542</v>
      </c>
      <c r="I257" s="626">
        <v>2</v>
      </c>
      <c r="J257" s="628">
        <f t="shared" si="69"/>
        <v>600</v>
      </c>
      <c r="K257" s="629"/>
      <c r="L257" s="628">
        <f>$J257*K252*M$12</f>
        <v>0</v>
      </c>
      <c r="N257" s="629"/>
      <c r="O257" s="628">
        <f>$J257*N252*P$12</f>
        <v>1248</v>
      </c>
      <c r="P257" s="630"/>
      <c r="Q257" s="629"/>
      <c r="R257" s="628">
        <f>$J257*Q252*S$12</f>
        <v>2595.84</v>
      </c>
      <c r="S257" s="630"/>
      <c r="T257" s="629"/>
      <c r="U257" s="628">
        <f>$J257*T252*V$12</f>
        <v>0</v>
      </c>
      <c r="V257" s="630"/>
      <c r="W257" s="618">
        <f t="shared" si="68"/>
        <v>3843.84</v>
      </c>
      <c r="Y257" s="593"/>
    </row>
    <row r="258" spans="1:25" ht="15.9" hidden="1" thickTop="1" thickBot="1">
      <c r="A258" s="1102"/>
      <c r="B258" s="1102"/>
      <c r="C258" s="1102"/>
      <c r="D258" s="1103"/>
      <c r="E258" s="628"/>
      <c r="F258" s="628"/>
      <c r="G258" s="628"/>
      <c r="H258" s="628"/>
      <c r="I258" s="628"/>
      <c r="J258" s="628"/>
      <c r="K258" s="629"/>
      <c r="L258" s="628"/>
      <c r="N258" s="629"/>
      <c r="O258" s="628"/>
      <c r="P258" s="630"/>
      <c r="Q258" s="629"/>
      <c r="R258" s="628"/>
      <c r="S258" s="630"/>
      <c r="T258" s="629"/>
      <c r="U258" s="628"/>
      <c r="V258" s="630"/>
      <c r="W258" s="618">
        <f t="shared" si="68"/>
        <v>0</v>
      </c>
      <c r="Y258" s="593"/>
    </row>
    <row r="259" spans="1:25" ht="15.9" hidden="1" thickTop="1" thickBot="1">
      <c r="A259" s="1102"/>
      <c r="B259" s="1102"/>
      <c r="C259" s="1102"/>
      <c r="D259" s="633" t="s">
        <v>554</v>
      </c>
      <c r="E259" s="628"/>
      <c r="F259" s="634"/>
      <c r="G259" s="628"/>
      <c r="H259" s="628"/>
      <c r="I259" s="628"/>
      <c r="J259" s="628">
        <f t="shared" ref="J259:J263" si="70">E259*G259*I259</f>
        <v>0</v>
      </c>
      <c r="K259" s="629"/>
      <c r="L259" s="628"/>
      <c r="N259" s="629"/>
      <c r="O259" s="628"/>
      <c r="P259" s="630"/>
      <c r="Q259" s="629"/>
      <c r="R259" s="628"/>
      <c r="S259" s="630"/>
      <c r="T259" s="629"/>
      <c r="U259" s="628"/>
      <c r="V259" s="630"/>
      <c r="W259" s="618">
        <v>0</v>
      </c>
      <c r="Y259" s="593"/>
    </row>
    <row r="260" spans="1:25" ht="15.9" hidden="1" thickTop="1" thickBot="1">
      <c r="A260" s="1102"/>
      <c r="B260" s="1102"/>
      <c r="C260" s="1102"/>
      <c r="D260" s="1103" t="s">
        <v>555</v>
      </c>
      <c r="E260" s="626">
        <v>2</v>
      </c>
      <c r="F260" s="627" t="s">
        <v>541</v>
      </c>
      <c r="G260" s="626">
        <f>localairfare</f>
        <v>175</v>
      </c>
      <c r="H260" s="627" t="s">
        <v>556</v>
      </c>
      <c r="I260" s="628">
        <v>3</v>
      </c>
      <c r="J260" s="628">
        <f t="shared" si="70"/>
        <v>1050</v>
      </c>
      <c r="K260" s="629"/>
      <c r="L260" s="628"/>
      <c r="N260" s="629"/>
      <c r="O260" s="628">
        <f>$J260*3*P$12</f>
        <v>3276</v>
      </c>
      <c r="P260" s="630"/>
      <c r="Q260" s="629"/>
      <c r="R260" s="628">
        <f>$J260*3*S$12</f>
        <v>3407.0400000000004</v>
      </c>
      <c r="S260" s="630"/>
      <c r="T260" s="629"/>
      <c r="U260" s="628">
        <f>$J260*3*V$12</f>
        <v>3543.3216000000002</v>
      </c>
      <c r="V260" s="630"/>
      <c r="W260" s="618">
        <v>0</v>
      </c>
      <c r="Y260" s="593"/>
    </row>
    <row r="261" spans="1:25" ht="15.9" hidden="1" thickTop="1" thickBot="1">
      <c r="A261" s="1102"/>
      <c r="B261" s="1102"/>
      <c r="C261" s="1102"/>
      <c r="D261" s="1103" t="s">
        <v>557</v>
      </c>
      <c r="E261" s="626">
        <v>2</v>
      </c>
      <c r="F261" s="627" t="s">
        <v>541</v>
      </c>
      <c r="G261" s="626">
        <f>partground</f>
        <v>9</v>
      </c>
      <c r="H261" s="627" t="s">
        <v>542</v>
      </c>
      <c r="I261" s="628">
        <v>3</v>
      </c>
      <c r="J261" s="628">
        <f t="shared" si="70"/>
        <v>54</v>
      </c>
      <c r="K261" s="629"/>
      <c r="L261" s="628"/>
      <c r="N261" s="629"/>
      <c r="O261" s="628">
        <f t="shared" ref="O261:O263" si="71">$J261*3*P$12</f>
        <v>168.48000000000002</v>
      </c>
      <c r="P261" s="630"/>
      <c r="Q261" s="629"/>
      <c r="R261" s="628">
        <f t="shared" ref="R261:R263" si="72">$J261*3*S$12</f>
        <v>175.21920000000003</v>
      </c>
      <c r="S261" s="630"/>
      <c r="T261" s="629"/>
      <c r="U261" s="628">
        <f t="shared" ref="U261:U263" si="73">$J261*3*V$12</f>
        <v>182.227968</v>
      </c>
      <c r="V261" s="630"/>
      <c r="W261" s="618">
        <v>0</v>
      </c>
      <c r="Y261" s="593"/>
    </row>
    <row r="262" spans="1:25" ht="15.9" hidden="1" thickTop="1" thickBot="1">
      <c r="A262" s="1102"/>
      <c r="B262" s="1102"/>
      <c r="C262" s="1102"/>
      <c r="D262" s="1103" t="s">
        <v>48</v>
      </c>
      <c r="E262" s="628">
        <f>E260+E261</f>
        <v>4</v>
      </c>
      <c r="F262" s="627" t="s">
        <v>541</v>
      </c>
      <c r="G262" s="626">
        <f>partlodg</f>
        <v>25</v>
      </c>
      <c r="H262" s="627" t="s">
        <v>542</v>
      </c>
      <c r="I262" s="628">
        <v>3</v>
      </c>
      <c r="J262" s="628">
        <f t="shared" si="70"/>
        <v>300</v>
      </c>
      <c r="K262" s="629"/>
      <c r="L262" s="628"/>
      <c r="N262" s="629"/>
      <c r="O262" s="628">
        <f t="shared" si="71"/>
        <v>936</v>
      </c>
      <c r="P262" s="630"/>
      <c r="Q262" s="629"/>
      <c r="R262" s="628">
        <f t="shared" si="72"/>
        <v>973.44</v>
      </c>
      <c r="S262" s="630"/>
      <c r="T262" s="629"/>
      <c r="U262" s="628">
        <f t="shared" si="73"/>
        <v>1012.3776</v>
      </c>
      <c r="V262" s="630"/>
      <c r="W262" s="618">
        <v>0</v>
      </c>
      <c r="Y262" s="593"/>
    </row>
    <row r="263" spans="1:25" ht="15.6" hidden="1" thickTop="1">
      <c r="A263" s="1102"/>
      <c r="B263" s="1102"/>
      <c r="C263" s="1102"/>
      <c r="D263" s="1103" t="s">
        <v>70</v>
      </c>
      <c r="E263" s="628">
        <f>E262</f>
        <v>4</v>
      </c>
      <c r="F263" s="627" t="s">
        <v>541</v>
      </c>
      <c r="G263" s="626">
        <f>partmeals</f>
        <v>47</v>
      </c>
      <c r="H263" s="627" t="s">
        <v>542</v>
      </c>
      <c r="I263" s="628">
        <v>3</v>
      </c>
      <c r="J263" s="628">
        <f t="shared" si="70"/>
        <v>564</v>
      </c>
      <c r="K263" s="629"/>
      <c r="L263" s="628"/>
      <c r="N263" s="629"/>
      <c r="O263" s="628">
        <f t="shared" si="71"/>
        <v>1759.68</v>
      </c>
      <c r="P263" s="630"/>
      <c r="Q263" s="629"/>
      <c r="R263" s="628">
        <f t="shared" si="72"/>
        <v>1830.0672000000002</v>
      </c>
      <c r="S263" s="630"/>
      <c r="T263" s="629"/>
      <c r="U263" s="628">
        <f t="shared" si="73"/>
        <v>1903.269888</v>
      </c>
      <c r="V263" s="630"/>
      <c r="W263" s="618">
        <v>0</v>
      </c>
      <c r="Y263" s="593"/>
    </row>
    <row r="264" spans="1:25">
      <c r="A264" s="1102"/>
      <c r="B264" s="1102"/>
      <c r="C264" s="1102"/>
      <c r="D264" s="644" t="s">
        <v>547</v>
      </c>
      <c r="E264" s="645"/>
      <c r="F264" s="645"/>
      <c r="G264" s="646"/>
      <c r="H264" s="1146">
        <f>SUM(J253:J263)</f>
        <v>3818</v>
      </c>
      <c r="I264" s="1147"/>
      <c r="J264" s="647"/>
      <c r="K264" s="648"/>
      <c r="L264" s="648"/>
      <c r="M264" s="621"/>
      <c r="N264" s="648"/>
      <c r="O264" s="648"/>
      <c r="P264" s="621"/>
      <c r="Q264" s="648"/>
      <c r="R264" s="648"/>
      <c r="S264" s="621"/>
      <c r="T264" s="648"/>
      <c r="U264" s="648"/>
      <c r="V264" s="621"/>
      <c r="W264" s="649"/>
      <c r="Y264" s="593"/>
    </row>
    <row r="265" spans="1:25" ht="13.5" customHeight="1" thickBot="1">
      <c r="A265" s="1102"/>
      <c r="B265" s="1102"/>
      <c r="C265" s="1102"/>
      <c r="D265" s="1110"/>
      <c r="E265" s="650"/>
      <c r="F265" s="650"/>
      <c r="G265" s="650"/>
      <c r="H265" s="650"/>
      <c r="I265" s="650"/>
      <c r="J265" s="612"/>
      <c r="K265" s="612"/>
      <c r="L265" s="612"/>
      <c r="M265" s="612"/>
      <c r="N265" s="612"/>
      <c r="O265" s="612"/>
      <c r="P265" s="612"/>
      <c r="Q265" s="612"/>
      <c r="R265" s="612"/>
      <c r="S265" s="612"/>
      <c r="T265" s="612"/>
      <c r="U265" s="612"/>
      <c r="V265" s="612"/>
      <c r="W265" s="613"/>
      <c r="Y265" s="593"/>
    </row>
    <row r="266" spans="1:25" ht="15.9" thickTop="1" thickBot="1">
      <c r="A266" s="1102"/>
      <c r="B266" s="1102"/>
      <c r="C266" s="1102"/>
      <c r="D266" s="1159" t="s">
        <v>591</v>
      </c>
      <c r="E266" s="1160"/>
      <c r="F266" s="1160"/>
      <c r="G266" s="1160"/>
      <c r="H266" s="1161"/>
      <c r="I266" s="614">
        <v>3</v>
      </c>
      <c r="J266" s="615"/>
      <c r="K266" s="1151"/>
      <c r="L266" s="1152"/>
      <c r="M266" s="616">
        <f>SUM(L268:L270)</f>
        <v>0</v>
      </c>
      <c r="N266" s="1140">
        <f>2*6</f>
        <v>12</v>
      </c>
      <c r="O266" s="1141"/>
      <c r="P266" s="617">
        <f>SUM(O268:O270)</f>
        <v>10608</v>
      </c>
      <c r="Q266" s="1140">
        <f>2*4</f>
        <v>8</v>
      </c>
      <c r="R266" s="1141"/>
      <c r="S266" s="617">
        <f>SUM(R268:R270)</f>
        <v>7354.880000000001</v>
      </c>
      <c r="T266" s="1142">
        <v>0</v>
      </c>
      <c r="U266" s="1140"/>
      <c r="V266" s="617">
        <f>SUM(U268:U270)</f>
        <v>0</v>
      </c>
      <c r="W266" s="618">
        <f>SUM(M266,P266,S266,V266,)</f>
        <v>17962.88</v>
      </c>
      <c r="Y266" s="593"/>
    </row>
    <row r="267" spans="1:25" ht="15.9" thickTop="1" thickBot="1">
      <c r="A267" s="1102"/>
      <c r="B267" s="1102"/>
      <c r="C267" s="1102"/>
      <c r="D267" s="619" t="s">
        <v>566</v>
      </c>
      <c r="E267" s="620"/>
      <c r="F267" s="620"/>
      <c r="G267" s="620"/>
      <c r="H267" s="621"/>
      <c r="I267" s="620"/>
      <c r="J267" s="620"/>
      <c r="K267" s="622"/>
      <c r="L267" s="620"/>
      <c r="M267" s="621"/>
      <c r="N267" s="622"/>
      <c r="O267" s="620"/>
      <c r="P267" s="623"/>
      <c r="Q267" s="622"/>
      <c r="R267" s="620"/>
      <c r="S267" s="623"/>
      <c r="T267" s="622"/>
      <c r="U267" s="620"/>
      <c r="V267" s="623"/>
      <c r="W267" s="618">
        <f t="shared" si="68"/>
        <v>0</v>
      </c>
      <c r="Y267" s="593"/>
    </row>
    <row r="268" spans="1:25" ht="15.9" thickTop="1" thickBot="1">
      <c r="A268" s="1102" t="s">
        <v>1034</v>
      </c>
      <c r="B268" s="1102">
        <v>82420</v>
      </c>
      <c r="C268" s="1102" t="s">
        <v>910</v>
      </c>
      <c r="D268" s="1103" t="s">
        <v>592</v>
      </c>
      <c r="E268" s="626">
        <v>1</v>
      </c>
      <c r="F268" s="627" t="s">
        <v>549</v>
      </c>
      <c r="G268" s="626">
        <v>500</v>
      </c>
      <c r="H268" s="632" t="str">
        <f>F268</f>
        <v>workshop</v>
      </c>
      <c r="I268" s="628">
        <f>IF(E268=0,0,1)</f>
        <v>1</v>
      </c>
      <c r="J268" s="628">
        <f t="shared" ref="J268:J270" si="74">E268*G268*I268</f>
        <v>500</v>
      </c>
      <c r="K268" s="629"/>
      <c r="L268" s="628">
        <f>$J268*K266*M$12</f>
        <v>0</v>
      </c>
      <c r="N268" s="629"/>
      <c r="O268" s="628">
        <f>$J268*N266*P$12</f>
        <v>6240</v>
      </c>
      <c r="P268" s="630"/>
      <c r="Q268" s="629"/>
      <c r="R268" s="628">
        <f>$J268*Q266*S$12</f>
        <v>4326.4000000000005</v>
      </c>
      <c r="S268" s="630"/>
      <c r="T268" s="629"/>
      <c r="U268" s="628">
        <f>$J268*T266*V$12</f>
        <v>0</v>
      </c>
      <c r="V268" s="630"/>
      <c r="W268" s="618">
        <f t="shared" si="68"/>
        <v>10566.400000000001</v>
      </c>
      <c r="Y268" s="593"/>
    </row>
    <row r="269" spans="1:25" ht="15.9" thickTop="1" thickBot="1">
      <c r="A269" s="1102" t="s">
        <v>1035</v>
      </c>
      <c r="B269" s="1102">
        <v>85300</v>
      </c>
      <c r="C269" s="1102" t="s">
        <v>910</v>
      </c>
      <c r="D269" s="1103" t="s">
        <v>544</v>
      </c>
      <c r="E269" s="626">
        <v>1</v>
      </c>
      <c r="F269" s="627" t="s">
        <v>545</v>
      </c>
      <c r="G269" s="626">
        <f>print</f>
        <v>50</v>
      </c>
      <c r="H269" s="632" t="str">
        <f>F269</f>
        <v>activity</v>
      </c>
      <c r="I269" s="628">
        <f>IF(E269=0,0,1)</f>
        <v>1</v>
      </c>
      <c r="J269" s="628">
        <f t="shared" si="74"/>
        <v>50</v>
      </c>
      <c r="K269" s="629"/>
      <c r="L269" s="628">
        <f>$J269*K266*M$12</f>
        <v>0</v>
      </c>
      <c r="N269" s="629"/>
      <c r="O269" s="628">
        <f>$J269*N266*P$12</f>
        <v>624</v>
      </c>
      <c r="P269" s="630"/>
      <c r="Q269" s="629"/>
      <c r="R269" s="628">
        <f>$J269*Q266*S$12</f>
        <v>432.64000000000004</v>
      </c>
      <c r="S269" s="630"/>
      <c r="T269" s="629"/>
      <c r="U269" s="628">
        <f>$J269*T266*V$12</f>
        <v>0</v>
      </c>
      <c r="V269" s="630"/>
      <c r="W269" s="618">
        <f t="shared" si="68"/>
        <v>1056.6400000000001</v>
      </c>
      <c r="Y269" s="593"/>
    </row>
    <row r="270" spans="1:25" ht="15.6" thickTop="1">
      <c r="A270" s="1102" t="s">
        <v>1036</v>
      </c>
      <c r="B270" s="1102">
        <v>81000</v>
      </c>
      <c r="C270" s="1102" t="s">
        <v>910</v>
      </c>
      <c r="D270" s="1103" t="s">
        <v>593</v>
      </c>
      <c r="E270" s="626">
        <v>1</v>
      </c>
      <c r="F270" s="627" t="s">
        <v>541</v>
      </c>
      <c r="G270" s="626">
        <f>localcons</f>
        <v>300</v>
      </c>
      <c r="H270" s="627" t="s">
        <v>542</v>
      </c>
      <c r="I270" s="626">
        <v>1</v>
      </c>
      <c r="J270" s="628">
        <f t="shared" si="74"/>
        <v>300</v>
      </c>
      <c r="K270" s="629"/>
      <c r="L270" s="628">
        <f>$J270*K266*M$12</f>
        <v>0</v>
      </c>
      <c r="N270" s="629"/>
      <c r="O270" s="628">
        <f>$J270*N266*P$12</f>
        <v>3744</v>
      </c>
      <c r="P270" s="630"/>
      <c r="Q270" s="629"/>
      <c r="R270" s="628">
        <f>$J270*Q266*S$12</f>
        <v>2595.84</v>
      </c>
      <c r="S270" s="630"/>
      <c r="T270" s="629"/>
      <c r="U270" s="628">
        <f>$J270*T266*V$12</f>
        <v>0</v>
      </c>
      <c r="V270" s="630"/>
      <c r="W270" s="618">
        <f t="shared" si="68"/>
        <v>6339.84</v>
      </c>
      <c r="Y270" s="593"/>
    </row>
    <row r="271" spans="1:25" hidden="1">
      <c r="A271" s="1102"/>
      <c r="B271" s="1102"/>
      <c r="C271" s="1102"/>
      <c r="D271" s="1103"/>
      <c r="E271" s="628"/>
      <c r="F271" s="628"/>
      <c r="G271" s="628"/>
      <c r="H271" s="628"/>
      <c r="I271" s="628"/>
      <c r="J271" s="628"/>
      <c r="K271" s="629"/>
      <c r="L271" s="628"/>
      <c r="N271" s="629"/>
      <c r="O271" s="628"/>
      <c r="P271" s="630"/>
      <c r="Q271" s="629"/>
      <c r="R271" s="628"/>
      <c r="S271" s="630"/>
      <c r="T271" s="629"/>
      <c r="U271" s="628"/>
      <c r="V271" s="630"/>
      <c r="W271" s="631"/>
      <c r="Y271" s="593"/>
    </row>
    <row r="272" spans="1:25">
      <c r="A272" s="1102"/>
      <c r="B272" s="1102"/>
      <c r="C272" s="1102"/>
      <c r="D272" s="644" t="s">
        <v>547</v>
      </c>
      <c r="E272" s="645"/>
      <c r="F272" s="645"/>
      <c r="G272" s="646"/>
      <c r="H272" s="1146">
        <f>SUM(J267:J271)</f>
        <v>850</v>
      </c>
      <c r="I272" s="1147"/>
      <c r="J272" s="647"/>
      <c r="K272" s="648"/>
      <c r="L272" s="648"/>
      <c r="M272" s="621"/>
      <c r="N272" s="648"/>
      <c r="O272" s="648"/>
      <c r="P272" s="621"/>
      <c r="Q272" s="648"/>
      <c r="R272" s="648"/>
      <c r="S272" s="621"/>
      <c r="T272" s="648"/>
      <c r="U272" s="648"/>
      <c r="V272" s="621"/>
      <c r="W272" s="649"/>
      <c r="Y272" s="593"/>
    </row>
    <row r="273" spans="1:25" ht="15.6" thickBot="1">
      <c r="A273" s="1102"/>
      <c r="B273" s="1102"/>
      <c r="C273" s="1102"/>
      <c r="D273" s="1111"/>
      <c r="E273" s="651"/>
      <c r="F273" s="651"/>
      <c r="G273" s="651"/>
      <c r="H273" s="651"/>
      <c r="I273" s="651"/>
      <c r="J273" s="652"/>
      <c r="K273" s="652"/>
      <c r="L273" s="652"/>
      <c r="M273" s="652"/>
      <c r="N273" s="652"/>
      <c r="O273" s="652"/>
      <c r="P273" s="652"/>
      <c r="Q273" s="652"/>
      <c r="R273" s="652"/>
      <c r="S273" s="652"/>
      <c r="T273" s="652"/>
      <c r="U273" s="652"/>
      <c r="V273" s="652"/>
      <c r="W273" s="653"/>
      <c r="Y273" s="593"/>
    </row>
    <row r="274" spans="1:25" ht="38.25" customHeight="1" thickTop="1" thickBot="1">
      <c r="A274" s="1102"/>
      <c r="B274" s="1102"/>
      <c r="C274" s="1102"/>
      <c r="D274" s="1156" t="s">
        <v>594</v>
      </c>
      <c r="E274" s="1157"/>
      <c r="F274" s="1157"/>
      <c r="G274" s="1157"/>
      <c r="H274" s="1158"/>
      <c r="I274" s="614">
        <v>3</v>
      </c>
      <c r="J274" s="615"/>
      <c r="K274" s="1151">
        <v>0</v>
      </c>
      <c r="L274" s="1152"/>
      <c r="M274" s="616">
        <f>SUM(L276:L278)</f>
        <v>0</v>
      </c>
      <c r="N274" s="1140">
        <v>4</v>
      </c>
      <c r="O274" s="1141"/>
      <c r="P274" s="617">
        <f>SUM(O276:O278)</f>
        <v>2704</v>
      </c>
      <c r="Q274" s="1140">
        <v>4</v>
      </c>
      <c r="R274" s="1141"/>
      <c r="S274" s="617">
        <f>SUM(R276:R278)</f>
        <v>2812.1600000000003</v>
      </c>
      <c r="T274" s="1142">
        <v>0</v>
      </c>
      <c r="U274" s="1140"/>
      <c r="V274" s="617">
        <f>SUM(U276:U278)</f>
        <v>0</v>
      </c>
      <c r="W274" s="618">
        <f>SUM(M274,P274,S274,V274,)</f>
        <v>5516.16</v>
      </c>
      <c r="Y274" s="593"/>
    </row>
    <row r="275" spans="1:25" ht="15.9" thickTop="1" thickBot="1">
      <c r="A275" s="1102"/>
      <c r="B275" s="1102"/>
      <c r="C275" s="1102"/>
      <c r="D275" s="619" t="s">
        <v>566</v>
      </c>
      <c r="E275" s="620"/>
      <c r="F275" s="620"/>
      <c r="G275" s="620"/>
      <c r="H275" s="621"/>
      <c r="I275" s="620"/>
      <c r="J275" s="620"/>
      <c r="K275" s="622"/>
      <c r="L275" s="620"/>
      <c r="M275" s="621"/>
      <c r="N275" s="622"/>
      <c r="O275" s="620"/>
      <c r="P275" s="623"/>
      <c r="Q275" s="622"/>
      <c r="R275" s="620"/>
      <c r="S275" s="623"/>
      <c r="T275" s="622"/>
      <c r="U275" s="620"/>
      <c r="V275" s="623"/>
      <c r="W275" s="618">
        <f t="shared" si="68"/>
        <v>0</v>
      </c>
      <c r="Y275" s="593"/>
    </row>
    <row r="276" spans="1:25" ht="15.9" thickTop="1" thickBot="1">
      <c r="A276" s="1102" t="s">
        <v>1037</v>
      </c>
      <c r="B276" s="1102">
        <v>86000</v>
      </c>
      <c r="C276" s="1102" t="s">
        <v>910</v>
      </c>
      <c r="D276" s="1103" t="s">
        <v>540</v>
      </c>
      <c r="E276" s="626">
        <v>10</v>
      </c>
      <c r="F276" s="627" t="s">
        <v>541</v>
      </c>
      <c r="G276" s="626">
        <f>parttransp</f>
        <v>4</v>
      </c>
      <c r="H276" s="627" t="s">
        <v>542</v>
      </c>
      <c r="I276" s="628">
        <f>IF(E276=0,0,I274)</f>
        <v>3</v>
      </c>
      <c r="J276" s="628">
        <f t="shared" ref="J276:J278" si="75">E276*G276*I276</f>
        <v>120</v>
      </c>
      <c r="K276" s="629"/>
      <c r="L276" s="628">
        <f>$J276*K274*M$12</f>
        <v>0</v>
      </c>
      <c r="N276" s="629"/>
      <c r="O276" s="628">
        <f>$J276*N274*P$12</f>
        <v>499.20000000000005</v>
      </c>
      <c r="P276" s="630"/>
      <c r="Q276" s="629"/>
      <c r="R276" s="628">
        <f>$J276*Q274*S$12</f>
        <v>519.16800000000001</v>
      </c>
      <c r="S276" s="630"/>
      <c r="T276" s="629"/>
      <c r="U276" s="628">
        <f>$J276*T274*V$12</f>
        <v>0</v>
      </c>
      <c r="V276" s="630"/>
      <c r="W276" s="618">
        <f t="shared" si="68"/>
        <v>1018.3680000000001</v>
      </c>
      <c r="Y276" s="593"/>
    </row>
    <row r="277" spans="1:25" ht="15.9" thickTop="1" thickBot="1">
      <c r="A277" s="1102" t="s">
        <v>1038</v>
      </c>
      <c r="B277" s="1102">
        <v>87000</v>
      </c>
      <c r="C277" s="1102" t="s">
        <v>910</v>
      </c>
      <c r="D277" s="1103" t="s">
        <v>543</v>
      </c>
      <c r="E277" s="626">
        <v>10</v>
      </c>
      <c r="F277" s="627" t="s">
        <v>541</v>
      </c>
      <c r="G277" s="626">
        <f>coffee+lunch</f>
        <v>16</v>
      </c>
      <c r="H277" s="627" t="s">
        <v>542</v>
      </c>
      <c r="I277" s="628">
        <f>IF(E277=0,0,I274)</f>
        <v>3</v>
      </c>
      <c r="J277" s="628">
        <f t="shared" si="75"/>
        <v>480</v>
      </c>
      <c r="K277" s="629"/>
      <c r="L277" s="628">
        <f>$J277*K274*M$12</f>
        <v>0</v>
      </c>
      <c r="N277" s="629"/>
      <c r="O277" s="628">
        <f>$J277*N274*P$12</f>
        <v>1996.8000000000002</v>
      </c>
      <c r="P277" s="630"/>
      <c r="Q277" s="629"/>
      <c r="R277" s="628">
        <f>$J277*Q274*S$12</f>
        <v>2076.672</v>
      </c>
      <c r="S277" s="630"/>
      <c r="T277" s="629"/>
      <c r="U277" s="628">
        <f>$J277*T274*V$12</f>
        <v>0</v>
      </c>
      <c r="V277" s="630"/>
      <c r="W277" s="618">
        <f t="shared" si="68"/>
        <v>4073.4720000000002</v>
      </c>
      <c r="Y277" s="593"/>
    </row>
    <row r="278" spans="1:25" ht="15.6" thickTop="1">
      <c r="A278" s="1102" t="s">
        <v>1039</v>
      </c>
      <c r="B278" s="1102">
        <v>85300</v>
      </c>
      <c r="C278" s="1102" t="s">
        <v>910</v>
      </c>
      <c r="D278" s="1103" t="s">
        <v>544</v>
      </c>
      <c r="E278" s="626">
        <v>1</v>
      </c>
      <c r="F278" s="627" t="s">
        <v>545</v>
      </c>
      <c r="G278" s="626">
        <f>print</f>
        <v>50</v>
      </c>
      <c r="H278" s="632" t="str">
        <f>F278</f>
        <v>activity</v>
      </c>
      <c r="I278" s="628">
        <f>IF(E278=0,0,1)</f>
        <v>1</v>
      </c>
      <c r="J278" s="628">
        <f t="shared" si="75"/>
        <v>50</v>
      </c>
      <c r="K278" s="629"/>
      <c r="L278" s="628">
        <f>$J278*K274*M$12</f>
        <v>0</v>
      </c>
      <c r="N278" s="629"/>
      <c r="O278" s="628">
        <f>$J278*N274*P$12</f>
        <v>208</v>
      </c>
      <c r="P278" s="630"/>
      <c r="Q278" s="629"/>
      <c r="R278" s="628">
        <f>$J278*Q274*S$12</f>
        <v>216.32000000000002</v>
      </c>
      <c r="S278" s="630"/>
      <c r="T278" s="629"/>
      <c r="U278" s="628">
        <f>$J278*T274*V$12</f>
        <v>0</v>
      </c>
      <c r="V278" s="630"/>
      <c r="W278" s="618">
        <f t="shared" si="68"/>
        <v>424.32000000000005</v>
      </c>
      <c r="Y278" s="593"/>
    </row>
    <row r="279" spans="1:25" ht="15.9" hidden="1" thickTop="1" thickBot="1">
      <c r="A279" s="1102"/>
      <c r="B279" s="1102"/>
      <c r="C279" s="1102"/>
      <c r="D279" s="1103"/>
      <c r="E279" s="628"/>
      <c r="F279" s="628"/>
      <c r="G279" s="628"/>
      <c r="H279" s="628"/>
      <c r="I279" s="628"/>
      <c r="J279" s="628"/>
      <c r="K279" s="629"/>
      <c r="L279" s="628"/>
      <c r="N279" s="629"/>
      <c r="O279" s="628"/>
      <c r="P279" s="630"/>
      <c r="Q279" s="629"/>
      <c r="R279" s="628"/>
      <c r="S279" s="630"/>
      <c r="T279" s="629"/>
      <c r="U279" s="628"/>
      <c r="V279" s="630"/>
      <c r="W279" s="618">
        <v>0</v>
      </c>
      <c r="Y279" s="593"/>
    </row>
    <row r="280" spans="1:25" ht="15.9" hidden="1" thickTop="1" thickBot="1">
      <c r="A280" s="1102"/>
      <c r="B280" s="1102"/>
      <c r="C280" s="1102"/>
      <c r="D280" s="633" t="s">
        <v>554</v>
      </c>
      <c r="E280" s="628"/>
      <c r="F280" s="634"/>
      <c r="G280" s="628"/>
      <c r="H280" s="628"/>
      <c r="I280" s="628"/>
      <c r="J280" s="628">
        <f t="shared" ref="J280:J284" si="76">E280*G280*I280</f>
        <v>0</v>
      </c>
      <c r="K280" s="629"/>
      <c r="L280" s="628">
        <f>$J280*K274*M$12</f>
        <v>0</v>
      </c>
      <c r="N280" s="629"/>
      <c r="O280" s="628">
        <f t="shared" ref="O280:O284" si="77">$J280*3*P$12</f>
        <v>0</v>
      </c>
      <c r="P280" s="630"/>
      <c r="Q280" s="629"/>
      <c r="R280" s="628">
        <f t="shared" ref="R280:R284" si="78">$J280*3*S$12</f>
        <v>0</v>
      </c>
      <c r="S280" s="630"/>
      <c r="T280" s="629"/>
      <c r="U280" s="628">
        <f>$J280*T274*V$12</f>
        <v>0</v>
      </c>
      <c r="V280" s="630"/>
      <c r="W280" s="618">
        <v>0</v>
      </c>
      <c r="Y280" s="593"/>
    </row>
    <row r="281" spans="1:25" ht="15.9" hidden="1" thickTop="1" thickBot="1">
      <c r="A281" s="1102"/>
      <c r="B281" s="1102"/>
      <c r="C281" s="1102"/>
      <c r="D281" s="1103" t="s">
        <v>563</v>
      </c>
      <c r="E281" s="626">
        <v>2</v>
      </c>
      <c r="F281" s="627" t="s">
        <v>541</v>
      </c>
      <c r="G281" s="626">
        <f>partground</f>
        <v>9</v>
      </c>
      <c r="H281" s="627" t="s">
        <v>556</v>
      </c>
      <c r="I281" s="628">
        <v>3</v>
      </c>
      <c r="J281" s="628">
        <f t="shared" si="76"/>
        <v>54</v>
      </c>
      <c r="K281" s="629"/>
      <c r="L281" s="628">
        <f>$J281*K274*M$12</f>
        <v>0</v>
      </c>
      <c r="N281" s="629"/>
      <c r="O281" s="628">
        <f t="shared" si="77"/>
        <v>168.48000000000002</v>
      </c>
      <c r="P281" s="630"/>
      <c r="Q281" s="629"/>
      <c r="R281" s="628">
        <f t="shared" si="78"/>
        <v>175.21920000000003</v>
      </c>
      <c r="S281" s="630"/>
      <c r="T281" s="629"/>
      <c r="U281" s="628">
        <f>$J281*T274*V$12</f>
        <v>0</v>
      </c>
      <c r="V281" s="630"/>
      <c r="W281" s="618">
        <v>0</v>
      </c>
      <c r="Y281" s="593"/>
    </row>
    <row r="282" spans="1:25" ht="15.9" hidden="1" thickTop="1" thickBot="1">
      <c r="A282" s="1102"/>
      <c r="B282" s="1102"/>
      <c r="C282" s="1102"/>
      <c r="D282" s="1103" t="s">
        <v>564</v>
      </c>
      <c r="E282" s="626">
        <v>2</v>
      </c>
      <c r="F282" s="627" t="s">
        <v>541</v>
      </c>
      <c r="G282" s="626">
        <f>partground</f>
        <v>9</v>
      </c>
      <c r="H282" s="627" t="s">
        <v>542</v>
      </c>
      <c r="I282" s="628">
        <v>3</v>
      </c>
      <c r="J282" s="628">
        <f t="shared" si="76"/>
        <v>54</v>
      </c>
      <c r="K282" s="629"/>
      <c r="L282" s="628">
        <f>$J282*K274*M$12</f>
        <v>0</v>
      </c>
      <c r="N282" s="629"/>
      <c r="O282" s="628">
        <f t="shared" si="77"/>
        <v>168.48000000000002</v>
      </c>
      <c r="P282" s="630"/>
      <c r="Q282" s="629"/>
      <c r="R282" s="628">
        <f t="shared" si="78"/>
        <v>175.21920000000003</v>
      </c>
      <c r="S282" s="630"/>
      <c r="T282" s="629"/>
      <c r="U282" s="628">
        <f>$J282*T274*V$12</f>
        <v>0</v>
      </c>
      <c r="V282" s="630"/>
      <c r="W282" s="618">
        <v>0</v>
      </c>
      <c r="Y282" s="593"/>
    </row>
    <row r="283" spans="1:25" ht="15.9" hidden="1" thickTop="1" thickBot="1">
      <c r="A283" s="1102"/>
      <c r="B283" s="1102"/>
      <c r="C283" s="1102"/>
      <c r="D283" s="1103" t="s">
        <v>48</v>
      </c>
      <c r="E283" s="628">
        <v>2</v>
      </c>
      <c r="F283" s="627" t="s">
        <v>541</v>
      </c>
      <c r="G283" s="626">
        <f>partlodg</f>
        <v>25</v>
      </c>
      <c r="H283" s="627" t="s">
        <v>542</v>
      </c>
      <c r="I283" s="628">
        <v>3</v>
      </c>
      <c r="J283" s="628">
        <f t="shared" si="76"/>
        <v>150</v>
      </c>
      <c r="K283" s="629"/>
      <c r="L283" s="628">
        <f>$J283*K274*M$12</f>
        <v>0</v>
      </c>
      <c r="N283" s="629"/>
      <c r="O283" s="628">
        <f t="shared" si="77"/>
        <v>468</v>
      </c>
      <c r="P283" s="630"/>
      <c r="Q283" s="629"/>
      <c r="R283" s="628">
        <f t="shared" si="78"/>
        <v>486.72</v>
      </c>
      <c r="S283" s="630"/>
      <c r="T283" s="629"/>
      <c r="U283" s="628">
        <f>$J283*T274*V$12</f>
        <v>0</v>
      </c>
      <c r="V283" s="630"/>
      <c r="W283" s="618">
        <v>0</v>
      </c>
      <c r="Y283" s="593"/>
    </row>
    <row r="284" spans="1:25" ht="15.6" hidden="1" thickTop="1">
      <c r="A284" s="1102"/>
      <c r="B284" s="1102"/>
      <c r="C284" s="1102"/>
      <c r="D284" s="1103" t="s">
        <v>70</v>
      </c>
      <c r="E284" s="628">
        <v>2</v>
      </c>
      <c r="F284" s="627" t="s">
        <v>541</v>
      </c>
      <c r="G284" s="626">
        <f>partmeals</f>
        <v>47</v>
      </c>
      <c r="H284" s="627" t="s">
        <v>542</v>
      </c>
      <c r="I284" s="628">
        <v>3</v>
      </c>
      <c r="J284" s="628">
        <f t="shared" si="76"/>
        <v>282</v>
      </c>
      <c r="K284" s="629"/>
      <c r="L284" s="628">
        <f>$J284*K274*M$12</f>
        <v>0</v>
      </c>
      <c r="N284" s="629"/>
      <c r="O284" s="628">
        <f t="shared" si="77"/>
        <v>879.84</v>
      </c>
      <c r="P284" s="630"/>
      <c r="Q284" s="629"/>
      <c r="R284" s="628">
        <f t="shared" si="78"/>
        <v>915.03360000000009</v>
      </c>
      <c r="S284" s="630"/>
      <c r="T284" s="629"/>
      <c r="U284" s="628">
        <f>$J284*T274*V$12</f>
        <v>0</v>
      </c>
      <c r="V284" s="630"/>
      <c r="W284" s="618">
        <v>0</v>
      </c>
      <c r="Y284" s="593"/>
    </row>
    <row r="285" spans="1:25">
      <c r="A285" s="1102"/>
      <c r="B285" s="1102"/>
      <c r="C285" s="1102"/>
      <c r="D285" s="644" t="s">
        <v>547</v>
      </c>
      <c r="E285" s="645"/>
      <c r="F285" s="645"/>
      <c r="G285" s="646"/>
      <c r="H285" s="1146">
        <f>SUM(J275:J284)</f>
        <v>1190</v>
      </c>
      <c r="I285" s="1147"/>
      <c r="J285" s="647"/>
      <c r="K285" s="648"/>
      <c r="L285" s="648"/>
      <c r="M285" s="621"/>
      <c r="N285" s="648"/>
      <c r="O285" s="648"/>
      <c r="P285" s="621"/>
      <c r="Q285" s="648"/>
      <c r="R285" s="648"/>
      <c r="S285" s="621"/>
      <c r="T285" s="648"/>
      <c r="U285" s="648"/>
      <c r="V285" s="621"/>
      <c r="W285" s="649"/>
      <c r="Y285" s="593"/>
    </row>
    <row r="286" spans="1:25" ht="13.5" customHeight="1" thickBot="1">
      <c r="A286" s="1102"/>
      <c r="B286" s="1102"/>
      <c r="C286" s="1102"/>
      <c r="D286" s="1110"/>
      <c r="E286" s="650"/>
      <c r="F286" s="650"/>
      <c r="G286" s="650"/>
      <c r="H286" s="650"/>
      <c r="I286" s="650"/>
      <c r="J286" s="612"/>
      <c r="K286" s="612"/>
      <c r="L286" s="612"/>
      <c r="M286" s="612"/>
      <c r="N286" s="612"/>
      <c r="O286" s="612"/>
      <c r="P286" s="612"/>
      <c r="Q286" s="612"/>
      <c r="R286" s="612"/>
      <c r="S286" s="612"/>
      <c r="T286" s="612"/>
      <c r="U286" s="612"/>
      <c r="V286" s="612"/>
      <c r="W286" s="613"/>
      <c r="Y286" s="593"/>
    </row>
    <row r="287" spans="1:25" ht="15.9" thickTop="1" thickBot="1">
      <c r="A287" s="1102"/>
      <c r="B287" s="1102"/>
      <c r="C287" s="1102"/>
      <c r="D287" s="1112"/>
      <c r="E287" s="655"/>
      <c r="F287" s="655"/>
      <c r="G287" s="655"/>
      <c r="H287" s="655"/>
      <c r="I287" s="655"/>
      <c r="J287" s="656"/>
      <c r="K287" s="656"/>
      <c r="L287" s="656"/>
      <c r="M287" s="657"/>
      <c r="N287" s="656"/>
      <c r="O287" s="656"/>
      <c r="P287" s="657"/>
      <c r="Q287" s="656"/>
      <c r="R287" s="656"/>
      <c r="S287" s="657"/>
      <c r="T287" s="656"/>
      <c r="U287" s="656"/>
      <c r="V287" s="657"/>
      <c r="W287" s="658"/>
    </row>
    <row r="288" spans="1:25" ht="18" customHeight="1" thickBot="1">
      <c r="A288" s="1102"/>
      <c r="B288" s="1102"/>
      <c r="C288" s="1102"/>
      <c r="D288" s="1113" t="s">
        <v>602</v>
      </c>
      <c r="E288" s="660"/>
      <c r="F288" s="660"/>
      <c r="G288" s="660"/>
      <c r="H288" s="660"/>
      <c r="I288" s="660"/>
      <c r="J288" s="660"/>
      <c r="K288" s="661">
        <f>SUM(K15:K287)</f>
        <v>32</v>
      </c>
      <c r="L288" s="662"/>
      <c r="M288" s="663">
        <f>SUM(M15:M286)</f>
        <v>89700</v>
      </c>
      <c r="N288" s="661">
        <f>SUM(N15:N287)</f>
        <v>112</v>
      </c>
      <c r="O288" s="662"/>
      <c r="P288" s="663">
        <f>SUM(P15:P286)</f>
        <v>71115.199999999997</v>
      </c>
      <c r="Q288" s="661">
        <f>SUM(Q15:Q287)</f>
        <v>112</v>
      </c>
      <c r="R288" s="662"/>
      <c r="S288" s="664">
        <f>SUM(S15:S286)</f>
        <v>94640.000000000015</v>
      </c>
      <c r="T288" s="661">
        <f>SUM(T15:T287)</f>
        <v>60</v>
      </c>
      <c r="U288" s="662"/>
      <c r="V288" s="664">
        <f>SUM(V15:V286)</f>
        <v>25523.164160000004</v>
      </c>
      <c r="W288" s="665">
        <f>SUM(M288,P288,S288,V288,)</f>
        <v>280978.36416</v>
      </c>
    </row>
    <row r="289" spans="4:23">
      <c r="D289" s="1114"/>
      <c r="E289" s="666"/>
      <c r="F289" s="666"/>
      <c r="G289" s="666"/>
      <c r="H289" s="666"/>
      <c r="I289" s="666"/>
      <c r="J289" s="666"/>
      <c r="K289" s="666"/>
      <c r="L289" s="666"/>
      <c r="M289" s="666"/>
      <c r="N289" s="666"/>
      <c r="O289" s="666"/>
      <c r="P289" s="666"/>
      <c r="Q289" s="666"/>
      <c r="R289" s="666"/>
      <c r="S289" s="666"/>
      <c r="T289" s="666"/>
      <c r="U289" s="666"/>
      <c r="V289" s="666"/>
      <c r="W289" s="667"/>
    </row>
    <row r="290" spans="4:23" hidden="1">
      <c r="D290" s="1115"/>
      <c r="E290" s="1001"/>
      <c r="F290" s="1001"/>
      <c r="G290" s="1001"/>
      <c r="H290" s="1001"/>
      <c r="I290" s="1001"/>
      <c r="J290" s="1001"/>
      <c r="K290" s="1001"/>
      <c r="L290" s="1001"/>
      <c r="M290" s="1001"/>
      <c r="N290" s="1001"/>
      <c r="O290" s="1001"/>
      <c r="P290" s="1001"/>
      <c r="Q290" s="1001"/>
      <c r="R290" s="1001"/>
      <c r="S290" s="1001"/>
      <c r="T290" s="1001"/>
      <c r="U290" s="1001"/>
      <c r="V290" s="1001"/>
    </row>
    <row r="291" spans="4:23" hidden="1">
      <c r="D291" s="1116" t="s">
        <v>603</v>
      </c>
      <c r="E291" s="1002"/>
      <c r="F291" s="983"/>
      <c r="G291" s="1003"/>
      <c r="H291" s="1000"/>
      <c r="I291" s="1000"/>
      <c r="J291" s="1000"/>
      <c r="K291" s="1000"/>
      <c r="L291" s="1000"/>
      <c r="M291" s="931" t="str">
        <f>K10</f>
        <v>Year 1</v>
      </c>
      <c r="N291" s="1000"/>
      <c r="O291" s="1000"/>
      <c r="P291" s="931" t="str">
        <f>N10</f>
        <v>Year 2</v>
      </c>
      <c r="Q291" s="1000"/>
      <c r="R291" s="1000"/>
      <c r="S291" s="931" t="str">
        <f>Q10</f>
        <v>Year 3</v>
      </c>
      <c r="T291" s="1000"/>
      <c r="U291" s="1000"/>
      <c r="V291" s="931" t="str">
        <f>T10</f>
        <v>Year 4</v>
      </c>
      <c r="W291" s="938" t="s">
        <v>71</v>
      </c>
    </row>
    <row r="292" spans="4:23" hidden="1">
      <c r="D292" s="1117" t="s">
        <v>604</v>
      </c>
      <c r="E292" s="933"/>
      <c r="F292" s="934"/>
      <c r="G292" s="936" t="s">
        <v>407</v>
      </c>
      <c r="H292" s="1001"/>
      <c r="I292" s="1001"/>
      <c r="J292" s="1001"/>
      <c r="K292" s="1001"/>
      <c r="L292" s="1001"/>
      <c r="M292" s="935">
        <f>SUM(L280:L284,L259:L263,L245:L249,L225:L229,L208:L219,L189:L198,L170:L179,L156:L160,L145:L145,L124:L128,L80:L89,L59:L70,L233:L236,L105:L114,L48:L51)</f>
        <v>1384</v>
      </c>
      <c r="N292" s="1001"/>
      <c r="O292" s="1001"/>
      <c r="P292" s="935">
        <f>SUM(O280:O284,O259:O263,O245:O249,O225:O229,O208:O219,O189:O198,O170:O179,O156:O160,O145:O145,O124:O128,O80:O89,O59:O70,O233:O236,O105:O114,O48:O51)</f>
        <v>28756.000000000004</v>
      </c>
      <c r="Q292" s="1001"/>
      <c r="R292" s="1001"/>
      <c r="S292" s="935">
        <f>SUM(R280:R284,R259:R263,R245:R249,R225:R229,R208:R219,R189:R198,R170:R179,R156:R160,R145:R145,R124:R128,R80:R89,R59:R70,R233:R236,R105:R114,R48:R51)</f>
        <v>33518.784000000007</v>
      </c>
      <c r="T292" s="1001"/>
      <c r="U292" s="1001"/>
      <c r="V292" s="935">
        <f>SUM(U280:U284,U259:U263,U245:U249,U225:U229,U208:U219,U189:U198,U170:U179,U156:U160,U145:U145,U124:U128,U80:U89,U59:U70,U233:U236,U105:U114,U48:U51)</f>
        <v>24180.07654400001</v>
      </c>
      <c r="W292" s="935">
        <f>SUM(M292:V292)</f>
        <v>87838.860544000025</v>
      </c>
    </row>
    <row r="293" spans="4:23" hidden="1">
      <c r="D293" s="1153" t="s">
        <v>298</v>
      </c>
      <c r="E293" s="1154"/>
      <c r="F293" s="1154"/>
      <c r="G293" s="1155"/>
      <c r="H293" s="1001"/>
      <c r="I293" s="1001"/>
      <c r="J293" s="1001"/>
      <c r="K293" s="1001"/>
      <c r="L293" s="1001"/>
      <c r="M293" s="937">
        <f>SUM(M292:M292)</f>
        <v>1384</v>
      </c>
      <c r="N293" s="1001"/>
      <c r="O293" s="1001"/>
      <c r="P293" s="937">
        <f>SUM(P292:P292)</f>
        <v>28756.000000000004</v>
      </c>
      <c r="Q293" s="1001"/>
      <c r="R293" s="1001"/>
      <c r="S293" s="937">
        <f>SUM(S292:S292)</f>
        <v>33518.784000000007</v>
      </c>
      <c r="T293" s="1001"/>
      <c r="U293" s="1001"/>
      <c r="V293" s="937">
        <f>SUM(V292:V292)</f>
        <v>24180.07654400001</v>
      </c>
      <c r="W293" s="939">
        <f t="shared" ref="W293" si="79">M293+P293+S293+V293</f>
        <v>87838.860544000025</v>
      </c>
    </row>
    <row r="294" spans="4:23" hidden="1"/>
    <row r="295" spans="4:23" hidden="1"/>
  </sheetData>
  <sheetProtection formatColumns="0" formatRows="0"/>
  <mergeCells count="135">
    <mergeCell ref="K252:L252"/>
    <mergeCell ref="N252:O252"/>
    <mergeCell ref="Q252:R252"/>
    <mergeCell ref="T252:U252"/>
    <mergeCell ref="H264:I264"/>
    <mergeCell ref="D266:H266"/>
    <mergeCell ref="K266:L266"/>
    <mergeCell ref="N266:O266"/>
    <mergeCell ref="Q266:R266"/>
    <mergeCell ref="T266:U266"/>
    <mergeCell ref="K239:L239"/>
    <mergeCell ref="N239:O239"/>
    <mergeCell ref="Q239:R239"/>
    <mergeCell ref="T239:U239"/>
    <mergeCell ref="H250:I250"/>
    <mergeCell ref="K232:L232"/>
    <mergeCell ref="N232:O232"/>
    <mergeCell ref="Q232:R232"/>
    <mergeCell ref="T232:U232"/>
    <mergeCell ref="K163:L163"/>
    <mergeCell ref="N163:O163"/>
    <mergeCell ref="Q163:R163"/>
    <mergeCell ref="T163:U163"/>
    <mergeCell ref="K149:L149"/>
    <mergeCell ref="N149:O149"/>
    <mergeCell ref="Q149:R149"/>
    <mergeCell ref="T149:U149"/>
    <mergeCell ref="K274:L274"/>
    <mergeCell ref="N274:O274"/>
    <mergeCell ref="Q274:R274"/>
    <mergeCell ref="T274:U274"/>
    <mergeCell ref="K222:L222"/>
    <mergeCell ref="N222:O222"/>
    <mergeCell ref="Q222:R222"/>
    <mergeCell ref="T222:U222"/>
    <mergeCell ref="K201:L201"/>
    <mergeCell ref="N201:O201"/>
    <mergeCell ref="Q201:R201"/>
    <mergeCell ref="T201:U201"/>
    <mergeCell ref="K182:L182"/>
    <mergeCell ref="N182:O182"/>
    <mergeCell ref="Q182:R182"/>
    <mergeCell ref="T182:U182"/>
    <mergeCell ref="N140:O140"/>
    <mergeCell ref="Q140:R140"/>
    <mergeCell ref="T140:U140"/>
    <mergeCell ref="K131:L131"/>
    <mergeCell ref="N131:O131"/>
    <mergeCell ref="Q131:R131"/>
    <mergeCell ref="T131:U131"/>
    <mergeCell ref="K117:L117"/>
    <mergeCell ref="N117:O117"/>
    <mergeCell ref="Q117:R117"/>
    <mergeCell ref="T117:U117"/>
    <mergeCell ref="D140:H140"/>
    <mergeCell ref="H146:I146"/>
    <mergeCell ref="H272:I272"/>
    <mergeCell ref="D149:H149"/>
    <mergeCell ref="H161:I161"/>
    <mergeCell ref="Q42:R42"/>
    <mergeCell ref="T42:U42"/>
    <mergeCell ref="K34:L34"/>
    <mergeCell ref="N34:O34"/>
    <mergeCell ref="Q34:R34"/>
    <mergeCell ref="T34:U34"/>
    <mergeCell ref="K100:L100"/>
    <mergeCell ref="N100:O100"/>
    <mergeCell ref="Q100:R100"/>
    <mergeCell ref="T100:U100"/>
    <mergeCell ref="K92:L92"/>
    <mergeCell ref="N92:O92"/>
    <mergeCell ref="Q92:R92"/>
    <mergeCell ref="T92:U92"/>
    <mergeCell ref="K73:L73"/>
    <mergeCell ref="N73:O73"/>
    <mergeCell ref="Q73:R73"/>
    <mergeCell ref="T73:U73"/>
    <mergeCell ref="K140:L140"/>
    <mergeCell ref="H98:I98"/>
    <mergeCell ref="H71:I71"/>
    <mergeCell ref="D73:H73"/>
    <mergeCell ref="D100:H100"/>
    <mergeCell ref="H115:I115"/>
    <mergeCell ref="D117:H117"/>
    <mergeCell ref="H129:I129"/>
    <mergeCell ref="D131:H131"/>
    <mergeCell ref="H137:I137"/>
    <mergeCell ref="D293:G293"/>
    <mergeCell ref="K11:L11"/>
    <mergeCell ref="K15:L15"/>
    <mergeCell ref="K10:M10"/>
    <mergeCell ref="N10:P10"/>
    <mergeCell ref="Q10:S10"/>
    <mergeCell ref="D274:H274"/>
    <mergeCell ref="D182:H182"/>
    <mergeCell ref="H199:I199"/>
    <mergeCell ref="D201:H201"/>
    <mergeCell ref="H220:I220"/>
    <mergeCell ref="D42:H42"/>
    <mergeCell ref="H53:I53"/>
    <mergeCell ref="D55:H55"/>
    <mergeCell ref="D222:H222"/>
    <mergeCell ref="H230:I230"/>
    <mergeCell ref="D232:H232"/>
    <mergeCell ref="H237:I237"/>
    <mergeCell ref="D239:H239"/>
    <mergeCell ref="D252:H252"/>
    <mergeCell ref="K24:L24"/>
    <mergeCell ref="H285:I285"/>
    <mergeCell ref="H90:I90"/>
    <mergeCell ref="D92:H92"/>
    <mergeCell ref="T10:V10"/>
    <mergeCell ref="N11:O11"/>
    <mergeCell ref="Q11:R11"/>
    <mergeCell ref="T11:U11"/>
    <mergeCell ref="N15:O15"/>
    <mergeCell ref="Q15:R15"/>
    <mergeCell ref="T15:U15"/>
    <mergeCell ref="D163:H163"/>
    <mergeCell ref="H180:I180"/>
    <mergeCell ref="N24:O24"/>
    <mergeCell ref="Q24:R24"/>
    <mergeCell ref="T24:U24"/>
    <mergeCell ref="D15:H15"/>
    <mergeCell ref="H22:I22"/>
    <mergeCell ref="D24:H24"/>
    <mergeCell ref="H32:I32"/>
    <mergeCell ref="D34:H34"/>
    <mergeCell ref="H40:I40"/>
    <mergeCell ref="K55:L55"/>
    <mergeCell ref="N55:O55"/>
    <mergeCell ref="Q55:R55"/>
    <mergeCell ref="T55:U55"/>
    <mergeCell ref="K42:L42"/>
    <mergeCell ref="N42:O42"/>
  </mergeCells>
  <phoneticPr fontId="0" type="noConversion"/>
  <pageMargins left="0.5" right="0.5" top="0.5" bottom="0.5" header="0" footer="0.25"/>
  <pageSetup scale="33" fitToHeight="0" orientation="landscape" r:id="rId1"/>
  <headerFooter scaleWithDoc="0" alignWithMargins="0">
    <oddFooter>&amp;LUse or disclosure of data contained on this sheet is subject to the restriction on the proprietary statement of this proposal.&amp;RJhpiego's, Page &amp;P of &amp;N</oddFooter>
  </headerFooter>
  <rowBreaks count="1" manualBreakCount="1">
    <brk id="32" min="3" max="4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37728-6584-414F-89AA-CB79ADAC4979}">
  <sheetPr>
    <tabColor theme="5" tint="0.39997558519241921"/>
    <pageSetUpPr fitToPage="1"/>
  </sheetPr>
  <dimension ref="A1:F20"/>
  <sheetViews>
    <sheetView zoomScaleNormal="100" workbookViewId="0">
      <selection activeCell="I9" sqref="I9"/>
    </sheetView>
  </sheetViews>
  <sheetFormatPr defaultColWidth="8.71875" defaultRowHeight="12.6"/>
  <cols>
    <col min="1" max="1" width="41" style="669" bestFit="1" customWidth="1"/>
    <col min="2" max="4" width="12.83203125" style="669" bestFit="1" customWidth="1"/>
    <col min="5" max="5" width="13.5546875" style="669" bestFit="1" customWidth="1"/>
    <col min="6" max="6" width="22.1640625" style="669" bestFit="1" customWidth="1"/>
    <col min="7" max="16384" width="8.71875" style="669"/>
  </cols>
  <sheetData>
    <row r="1" spans="1:6" ht="15">
      <c r="A1" s="1120" t="s">
        <v>605</v>
      </c>
      <c r="B1" s="1120"/>
      <c r="C1" s="1120"/>
      <c r="D1" s="1120"/>
      <c r="E1" s="1120"/>
      <c r="F1" s="1120"/>
    </row>
    <row r="2" spans="1:6" ht="15.3">
      <c r="A2" s="1121" t="s">
        <v>606</v>
      </c>
      <c r="B2" s="1121"/>
      <c r="C2" s="1121"/>
      <c r="D2" s="1121"/>
      <c r="E2" s="1121"/>
      <c r="F2" s="1121"/>
    </row>
    <row r="3" spans="1:6" ht="15.3">
      <c r="A3" s="1122" t="e">
        <f>'INDES Sub Line-Item Budget'!E3:T3</f>
        <v>#VALUE!</v>
      </c>
      <c r="B3" s="1122"/>
      <c r="C3" s="1122"/>
      <c r="D3" s="1122"/>
      <c r="E3" s="1122"/>
      <c r="F3" s="1122"/>
    </row>
    <row r="4" spans="1:6" ht="15.3">
      <c r="A4" s="1121" t="s">
        <v>132</v>
      </c>
      <c r="B4" s="1121"/>
      <c r="C4" s="1121"/>
      <c r="D4" s="1121"/>
      <c r="E4" s="1121"/>
      <c r="F4" s="1121"/>
    </row>
    <row r="5" spans="1:6" ht="12.9" thickBot="1">
      <c r="A5" s="723"/>
      <c r="B5" s="723"/>
      <c r="C5" s="723"/>
      <c r="D5" s="723"/>
      <c r="E5" s="724"/>
    </row>
    <row r="6" spans="1:6" ht="45.3" thickBot="1">
      <c r="A6" s="725" t="s">
        <v>133</v>
      </c>
      <c r="B6" s="726" t="s">
        <v>134</v>
      </c>
      <c r="C6" s="726" t="s">
        <v>135</v>
      </c>
      <c r="D6" s="726" t="s">
        <v>136</v>
      </c>
      <c r="E6" s="726" t="s">
        <v>137</v>
      </c>
      <c r="F6" s="944" t="s">
        <v>138</v>
      </c>
    </row>
    <row r="7" spans="1:6" ht="15">
      <c r="A7" s="727"/>
      <c r="B7" s="728"/>
      <c r="C7" s="728"/>
      <c r="D7" s="729"/>
      <c r="E7" s="729"/>
      <c r="F7" s="730"/>
    </row>
    <row r="8" spans="1:6" ht="15.3">
      <c r="A8" s="731" t="s">
        <v>139</v>
      </c>
      <c r="B8" s="992">
        <f>'INDES Sub Line-Item Budget'!K19</f>
        <v>82683</v>
      </c>
      <c r="C8" s="992">
        <f>'INDES Sub Line-Item Budget'!M19</f>
        <v>89506.2</v>
      </c>
      <c r="D8" s="992">
        <f>'INDES Sub Line-Item Budget'!O19</f>
        <v>93981.510000000009</v>
      </c>
      <c r="E8" s="992">
        <f>'INDES Sub Line-Item Budget'!Q19</f>
        <v>49340.292750000001</v>
      </c>
      <c r="F8" s="993">
        <f>SUM(B8:E8)</f>
        <v>315511.00275000004</v>
      </c>
    </row>
    <row r="9" spans="1:6" ht="15.3">
      <c r="A9" s="731" t="s">
        <v>140</v>
      </c>
      <c r="B9" s="992">
        <f>'INDES Sub Line-Item Budget'!K25</f>
        <v>35826.543900000004</v>
      </c>
      <c r="C9" s="992">
        <f>'INDES Sub Line-Item Budget'!M25</f>
        <v>38783.036460000003</v>
      </c>
      <c r="D9" s="992">
        <f>'INDES Sub Line-Item Budget'!O25</f>
        <v>40722.188283000003</v>
      </c>
      <c r="E9" s="992">
        <f>'INDES Sub Line-Item Budget'!Q25</f>
        <v>21379.148848575001</v>
      </c>
      <c r="F9" s="993">
        <f t="shared" ref="F9:F15" si="0">SUM(B9:E9)</f>
        <v>136710.917491575</v>
      </c>
    </row>
    <row r="10" spans="1:6" ht="15.3">
      <c r="A10" s="731" t="s">
        <v>141</v>
      </c>
      <c r="B10" s="992">
        <f>'INDES Sub Line-Item Budget'!K29</f>
        <v>120</v>
      </c>
      <c r="C10" s="992">
        <f>'INDES Sub Line-Item Budget'!M29</f>
        <v>11246.560000000001</v>
      </c>
      <c r="D10" s="992">
        <f>'INDES Sub Line-Item Budget'!O29</f>
        <v>13372.902399999999</v>
      </c>
      <c r="E10" s="992">
        <f>'INDES Sub Line-Item Budget'!Q29</f>
        <v>4155.2476160000006</v>
      </c>
      <c r="F10" s="993">
        <f t="shared" si="0"/>
        <v>28894.710016000001</v>
      </c>
    </row>
    <row r="11" spans="1:6" ht="15.3">
      <c r="A11" s="731" t="s">
        <v>142</v>
      </c>
      <c r="B11" s="992">
        <f>'INDES Sub Line-Item Budget'!K33</f>
        <v>0</v>
      </c>
      <c r="C11" s="992">
        <f>'INDES Sub Line-Item Budget'!M33</f>
        <v>0</v>
      </c>
      <c r="D11" s="992">
        <f>'INDES Sub Line-Item Budget'!O33</f>
        <v>0</v>
      </c>
      <c r="E11" s="992">
        <f>'INDES Sub Line-Item Budget'!Q33</f>
        <v>0</v>
      </c>
      <c r="F11" s="993">
        <f>SUM(B11:E11)</f>
        <v>0</v>
      </c>
    </row>
    <row r="12" spans="1:6" ht="15.3">
      <c r="A12" s="731" t="s">
        <v>143</v>
      </c>
      <c r="B12" s="992">
        <f>'INDES Sub Line-Item Budget'!K37</f>
        <v>540</v>
      </c>
      <c r="C12" s="992">
        <f>'INDES Sub Line-Item Budget'!M37</f>
        <v>748.80000000000007</v>
      </c>
      <c r="D12" s="992">
        <f>'INDES Sub Line-Item Budget'!O37</f>
        <v>778.75200000000007</v>
      </c>
      <c r="E12" s="992">
        <f>'INDES Sub Line-Item Budget'!Q37</f>
        <v>404.95104000000003</v>
      </c>
      <c r="F12" s="993">
        <f>SUM(B12:E12)</f>
        <v>2472.5030400000001</v>
      </c>
    </row>
    <row r="13" spans="1:6" ht="15.3">
      <c r="A13" s="731" t="s">
        <v>144</v>
      </c>
      <c r="B13" s="992">
        <f>'INDES Sub Line-Item Budget'!K40</f>
        <v>0</v>
      </c>
      <c r="C13" s="992">
        <f>'INDES Sub Line-Item Budget'!M40</f>
        <v>0</v>
      </c>
      <c r="D13" s="992">
        <f>'INDES Sub Line-Item Budget'!O40</f>
        <v>0</v>
      </c>
      <c r="E13" s="992">
        <f>'INDES Sub Line-Item Budget'!Q40</f>
        <v>0</v>
      </c>
      <c r="F13" s="993">
        <f>SUM(B13:E13)</f>
        <v>0</v>
      </c>
    </row>
    <row r="14" spans="1:6" ht="15.3">
      <c r="A14" s="731" t="s">
        <v>145</v>
      </c>
      <c r="B14" s="992">
        <v>0</v>
      </c>
      <c r="C14" s="992">
        <v>0</v>
      </c>
      <c r="D14" s="992">
        <v>0</v>
      </c>
      <c r="E14" s="992">
        <v>0</v>
      </c>
      <c r="F14" s="993">
        <f>SUM(B14:E14)</f>
        <v>0</v>
      </c>
    </row>
    <row r="15" spans="1:6" ht="15.3">
      <c r="A15" s="731" t="s">
        <v>146</v>
      </c>
      <c r="B15" s="992">
        <f>'INDES Sub Line-Item Budget'!K61</f>
        <v>2700</v>
      </c>
      <c r="C15" s="992">
        <f>'INDES Sub Line-Item Budget'!M61</f>
        <v>36748.800000000003</v>
      </c>
      <c r="D15" s="992">
        <f>'INDES Sub Line-Item Budget'!O61</f>
        <v>44307.743999999999</v>
      </c>
      <c r="E15" s="992">
        <f>'INDES Sub Line-Item Budget'!Q61</f>
        <v>14735.718400000002</v>
      </c>
      <c r="F15" s="993">
        <f t="shared" si="0"/>
        <v>98492.262399999992</v>
      </c>
    </row>
    <row r="16" spans="1:6" ht="15.6" thickBot="1">
      <c r="A16" s="731"/>
      <c r="B16" s="992"/>
      <c r="C16" s="992"/>
      <c r="D16" s="992"/>
      <c r="E16" s="992"/>
      <c r="F16" s="994"/>
    </row>
    <row r="17" spans="1:6" ht="15.3" thickBot="1">
      <c r="A17" s="732" t="s">
        <v>147</v>
      </c>
      <c r="B17" s="995">
        <f>SUM(B8:B15)</f>
        <v>121869.5439</v>
      </c>
      <c r="C17" s="995">
        <f>SUM(C8:C15)</f>
        <v>177033.39646000002</v>
      </c>
      <c r="D17" s="995">
        <f>SUM(D8:D15)</f>
        <v>193163.09668300001</v>
      </c>
      <c r="E17" s="995">
        <f>SUM(E8:E15)</f>
        <v>90015.358654575015</v>
      </c>
      <c r="F17" s="996">
        <f>SUM(F8:F15)</f>
        <v>582081.39569757506</v>
      </c>
    </row>
    <row r="18" spans="1:6" ht="15.6" thickBot="1">
      <c r="A18" s="731" t="s">
        <v>148</v>
      </c>
      <c r="B18" s="992">
        <f>'INDES Sub Line-Item Budget'!K65</f>
        <v>12186.954390000001</v>
      </c>
      <c r="C18" s="992">
        <f>'INDES Sub Line-Item Budget'!M65</f>
        <v>17703.339646000004</v>
      </c>
      <c r="D18" s="992">
        <f>'INDES Sub Line-Item Budget'!O65</f>
        <v>19316.3096683</v>
      </c>
      <c r="E18" s="992">
        <f>'INDES Sub Line-Item Budget'!Q65</f>
        <v>9001.5358654575011</v>
      </c>
      <c r="F18" s="994">
        <f>SUM(B18:E18)</f>
        <v>58208.139569757514</v>
      </c>
    </row>
    <row r="19" spans="1:6" ht="15.3" thickBot="1">
      <c r="A19" s="733" t="s">
        <v>149</v>
      </c>
      <c r="B19" s="997">
        <f>SUM(B17:B18)</f>
        <v>134056.49829000002</v>
      </c>
      <c r="C19" s="997">
        <f>SUM(C17:C18)</f>
        <v>194736.73610600003</v>
      </c>
      <c r="D19" s="997">
        <f>SUM(D17:D18)</f>
        <v>212479.40635130001</v>
      </c>
      <c r="E19" s="997">
        <f>SUM(E17:E18)</f>
        <v>99016.894520032511</v>
      </c>
      <c r="F19" s="998">
        <f>SUM(F17:F18)</f>
        <v>640289.53526733257</v>
      </c>
    </row>
    <row r="20" spans="1:6">
      <c r="B20" s="734"/>
    </row>
  </sheetData>
  <mergeCells count="4">
    <mergeCell ref="A1:F1"/>
    <mergeCell ref="A2:F2"/>
    <mergeCell ref="A3:F3"/>
    <mergeCell ref="A4:F4"/>
  </mergeCells>
  <pageMargins left="0.7" right="0.7" top="0.75" bottom="0.75" header="0.3" footer="0.3"/>
  <pageSetup paperSize="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F30A-BEFD-462A-B1C2-7BB81C420E0B}">
  <sheetPr>
    <tabColor theme="5" tint="0.39997558519241921"/>
    <pageSetUpPr fitToPage="1"/>
  </sheetPr>
  <dimension ref="A1:V72"/>
  <sheetViews>
    <sheetView zoomScale="55" zoomScaleNormal="55" zoomScaleSheetLayoutView="90" workbookViewId="0">
      <pane xSplit="5" ySplit="10" topLeftCell="F11" activePane="bottomRight" state="frozen"/>
      <selection pane="topRight" activeCell="A2" sqref="A2:F2"/>
      <selection pane="bottomLeft" activeCell="A2" sqref="A2:F2"/>
      <selection pane="bottomRight" activeCell="D22" sqref="D22"/>
    </sheetView>
  </sheetViews>
  <sheetFormatPr defaultColWidth="11.44140625" defaultRowHeight="12" customHeight="1"/>
  <cols>
    <col min="1" max="4" width="15.77734375" style="736" customWidth="1"/>
    <col min="5" max="5" width="46.27734375" style="736" customWidth="1"/>
    <col min="6" max="6" width="15.27734375" style="736" bestFit="1" customWidth="1"/>
    <col min="7" max="7" width="8.71875" style="736" customWidth="1"/>
    <col min="8" max="8" width="13.83203125" style="736" customWidth="1"/>
    <col min="9" max="9" width="5.83203125" style="736" bestFit="1" customWidth="1"/>
    <col min="10" max="10" width="14.5546875" style="738" bestFit="1" customWidth="1"/>
    <col min="11" max="11" width="12.27734375" style="739" bestFit="1" customWidth="1"/>
    <col min="12" max="12" width="7.1640625" style="739" bestFit="1" customWidth="1"/>
    <col min="13" max="13" width="12.44140625" style="739" bestFit="1" customWidth="1"/>
    <col min="14" max="14" width="7.1640625" style="739" bestFit="1" customWidth="1"/>
    <col min="15" max="15" width="12.27734375" style="739" bestFit="1" customWidth="1"/>
    <col min="16" max="16" width="5.83203125" style="739" bestFit="1" customWidth="1"/>
    <col min="17" max="17" width="12.27734375" style="739" bestFit="1" customWidth="1"/>
    <col min="18" max="18" width="12.83203125" style="808" bestFit="1" customWidth="1"/>
    <col min="19" max="19" width="11.27734375" style="739" customWidth="1"/>
    <col min="20" max="20" width="17.27734375" style="808" bestFit="1" customWidth="1"/>
    <col min="21" max="21" width="11.44140625" style="735"/>
    <col min="22" max="22" width="14.27734375" style="735" bestFit="1" customWidth="1"/>
    <col min="23" max="16384" width="11.44140625" style="735"/>
  </cols>
  <sheetData>
    <row r="1" spans="1:21" ht="13.9" customHeight="1">
      <c r="A1" s="735"/>
      <c r="B1" s="735"/>
      <c r="C1" s="735"/>
      <c r="D1" s="735"/>
      <c r="E1" s="1120" t="s">
        <v>150</v>
      </c>
      <c r="F1" s="1120"/>
      <c r="G1" s="1120"/>
      <c r="H1" s="1120"/>
      <c r="I1" s="1120"/>
      <c r="J1" s="1120"/>
      <c r="K1" s="1120"/>
      <c r="L1" s="1120"/>
      <c r="M1" s="1120"/>
      <c r="N1" s="1120"/>
      <c r="O1" s="1120"/>
      <c r="P1" s="1120"/>
      <c r="Q1" s="1120"/>
      <c r="R1" s="1120"/>
      <c r="S1" s="1120"/>
      <c r="T1" s="1120"/>
    </row>
    <row r="2" spans="1:21" ht="15.3">
      <c r="A2" s="735"/>
      <c r="B2" s="735"/>
      <c r="C2" s="735"/>
      <c r="D2" s="735"/>
      <c r="E2" s="1121">
        <f>'INDES Sub Budget Summary'!A2:F2</f>
        <v>0</v>
      </c>
      <c r="F2" s="1121"/>
      <c r="G2" s="1121"/>
      <c r="H2" s="1121"/>
      <c r="I2" s="1121"/>
      <c r="J2" s="1121"/>
      <c r="K2" s="1121"/>
      <c r="L2" s="1121"/>
      <c r="M2" s="1121"/>
      <c r="N2" s="1121"/>
      <c r="O2" s="1121"/>
      <c r="P2" s="1121"/>
      <c r="Q2" s="1121"/>
      <c r="R2" s="1121"/>
      <c r="S2" s="1121"/>
      <c r="T2" s="1121"/>
    </row>
    <row r="3" spans="1:21" ht="13.9" customHeight="1">
      <c r="A3" s="735"/>
      <c r="B3" s="735"/>
      <c r="C3" s="735"/>
      <c r="D3" s="735"/>
      <c r="E3" s="1122" t="s">
        <v>151</v>
      </c>
      <c r="F3" s="1121"/>
      <c r="G3" s="1121"/>
      <c r="H3" s="1121"/>
      <c r="I3" s="1121"/>
      <c r="J3" s="1121"/>
      <c r="K3" s="1121"/>
      <c r="L3" s="1121"/>
      <c r="M3" s="1121"/>
      <c r="N3" s="1121"/>
      <c r="O3" s="1121"/>
      <c r="P3" s="1121"/>
      <c r="Q3" s="1121"/>
      <c r="R3" s="1121"/>
      <c r="S3" s="1121"/>
      <c r="T3" s="1121"/>
    </row>
    <row r="4" spans="1:21" ht="15.3">
      <c r="A4" s="735"/>
      <c r="B4" s="735"/>
      <c r="C4" s="735"/>
      <c r="D4" s="735"/>
      <c r="E4" s="1121" t="s">
        <v>132</v>
      </c>
      <c r="F4" s="1121"/>
      <c r="G4" s="1121"/>
      <c r="H4" s="1121"/>
      <c r="I4" s="1121"/>
      <c r="J4" s="1121"/>
      <c r="K4" s="1121"/>
      <c r="L4" s="1121"/>
      <c r="M4" s="1121"/>
      <c r="N4" s="1121"/>
      <c r="O4" s="1121"/>
      <c r="P4" s="1121"/>
      <c r="Q4" s="1121"/>
      <c r="R4" s="1121"/>
      <c r="S4" s="1121"/>
      <c r="T4" s="1121"/>
    </row>
    <row r="5" spans="1:21" ht="15.3">
      <c r="A5" s="735"/>
      <c r="B5" s="735"/>
      <c r="C5" s="735"/>
      <c r="D5" s="735"/>
      <c r="E5" s="1123" t="s">
        <v>152</v>
      </c>
      <c r="F5" s="1123"/>
      <c r="G5" s="967"/>
      <c r="H5" s="967"/>
      <c r="I5" s="967"/>
      <c r="J5" s="967"/>
      <c r="K5" s="967"/>
      <c r="L5" s="967"/>
      <c r="M5" s="967"/>
      <c r="N5" s="967"/>
      <c r="O5" s="967"/>
      <c r="P5" s="967"/>
      <c r="Q5" s="967"/>
      <c r="R5" s="967"/>
      <c r="S5" s="967"/>
      <c r="T5" s="967"/>
    </row>
    <row r="6" spans="1:21" ht="15.3">
      <c r="A6" s="735"/>
      <c r="B6" s="735"/>
      <c r="C6" s="735"/>
      <c r="D6" s="735"/>
      <c r="E6" s="942" t="s">
        <v>17</v>
      </c>
      <c r="F6" s="943">
        <v>1.03</v>
      </c>
      <c r="G6" s="967"/>
      <c r="H6" s="968"/>
      <c r="I6" s="967"/>
      <c r="J6" s="967"/>
      <c r="K6" s="967"/>
      <c r="L6" s="967"/>
      <c r="M6" s="967"/>
      <c r="N6" s="967"/>
      <c r="O6" s="967"/>
      <c r="P6" s="967"/>
      <c r="Q6" s="967"/>
      <c r="R6" s="967"/>
      <c r="S6" s="967"/>
      <c r="T6" s="967"/>
    </row>
    <row r="7" spans="1:21" ht="15.3">
      <c r="A7" s="735"/>
      <c r="B7" s="735"/>
      <c r="C7" s="735"/>
      <c r="D7" s="735"/>
      <c r="E7" s="942" t="s">
        <v>18</v>
      </c>
      <c r="F7" s="943">
        <v>1.04</v>
      </c>
      <c r="G7" s="967"/>
      <c r="H7" s="969"/>
      <c r="I7" s="967"/>
      <c r="J7" s="967"/>
      <c r="K7" s="967"/>
      <c r="L7" s="967"/>
      <c r="M7" s="967"/>
      <c r="N7" s="967"/>
      <c r="O7" s="967"/>
      <c r="P7" s="967"/>
      <c r="Q7" s="967"/>
      <c r="R7" s="967"/>
      <c r="S7" s="967"/>
      <c r="T7" s="967"/>
    </row>
    <row r="8" spans="1:21" ht="15.3">
      <c r="A8" s="735"/>
      <c r="B8" s="735"/>
      <c r="C8" s="735"/>
      <c r="D8" s="735"/>
      <c r="E8" s="942" t="s">
        <v>19</v>
      </c>
      <c r="F8" s="943">
        <v>1.05</v>
      </c>
      <c r="G8" s="967"/>
      <c r="H8" s="971"/>
      <c r="I8" s="967"/>
      <c r="J8" s="969"/>
      <c r="K8" s="967"/>
      <c r="L8" s="967"/>
      <c r="M8" s="967"/>
      <c r="N8" s="967"/>
      <c r="O8" s="967"/>
      <c r="P8" s="967"/>
      <c r="Q8" s="967"/>
      <c r="R8" s="967"/>
      <c r="S8" s="967"/>
      <c r="T8" s="967"/>
    </row>
    <row r="9" spans="1:21" ht="15.6" thickBot="1">
      <c r="F9" s="737"/>
      <c r="G9" s="737"/>
      <c r="H9" s="971"/>
      <c r="L9" s="740"/>
      <c r="O9" s="740"/>
      <c r="R9" s="739"/>
      <c r="S9" s="740"/>
      <c r="T9" s="739"/>
      <c r="U9" s="741"/>
    </row>
    <row r="10" spans="1:21" ht="33" customHeight="1" thickBot="1">
      <c r="A10" s="1014" t="s">
        <v>911</v>
      </c>
      <c r="B10" s="1014" t="s">
        <v>912</v>
      </c>
      <c r="C10" s="1014" t="s">
        <v>913</v>
      </c>
      <c r="D10" s="742" t="s">
        <v>978</v>
      </c>
      <c r="E10" s="742" t="s">
        <v>153</v>
      </c>
      <c r="F10" s="743" t="s">
        <v>154</v>
      </c>
      <c r="G10" s="743" t="s">
        <v>155</v>
      </c>
      <c r="H10" s="743" t="s">
        <v>156</v>
      </c>
      <c r="I10" s="744" t="s">
        <v>157</v>
      </c>
      <c r="J10" s="745" t="s">
        <v>158</v>
      </c>
      <c r="K10" s="746" t="s">
        <v>22</v>
      </c>
      <c r="L10" s="747" t="s">
        <v>157</v>
      </c>
      <c r="M10" s="748" t="s">
        <v>23</v>
      </c>
      <c r="N10" s="749" t="s">
        <v>157</v>
      </c>
      <c r="O10" s="748" t="s">
        <v>24</v>
      </c>
      <c r="P10" s="749" t="s">
        <v>157</v>
      </c>
      <c r="Q10" s="748" t="s">
        <v>25</v>
      </c>
      <c r="R10" s="750" t="s">
        <v>159</v>
      </c>
      <c r="S10" s="751" t="s">
        <v>160</v>
      </c>
      <c r="T10" s="752" t="s">
        <v>161</v>
      </c>
    </row>
    <row r="11" spans="1:21" ht="15.3">
      <c r="A11" s="753"/>
      <c r="B11" s="753"/>
      <c r="C11" s="753"/>
      <c r="D11" s="753"/>
      <c r="E11" s="753" t="s">
        <v>162</v>
      </c>
      <c r="F11" s="754"/>
      <c r="G11" s="754"/>
      <c r="H11" s="755"/>
      <c r="I11" s="756"/>
      <c r="J11" s="757"/>
      <c r="K11" s="758"/>
      <c r="L11" s="759"/>
      <c r="M11" s="759"/>
      <c r="N11" s="760"/>
      <c r="O11" s="759"/>
      <c r="P11" s="760"/>
      <c r="Q11" s="759"/>
      <c r="R11" s="761"/>
      <c r="S11" s="759"/>
      <c r="T11" s="762"/>
    </row>
    <row r="12" spans="1:21" ht="15.3">
      <c r="A12" s="772"/>
      <c r="B12" s="772"/>
      <c r="C12" s="772"/>
      <c r="D12" s="772"/>
      <c r="E12" s="772"/>
      <c r="F12" s="773"/>
      <c r="G12" s="773"/>
      <c r="H12" s="775"/>
      <c r="I12" s="776"/>
      <c r="J12" s="778"/>
      <c r="K12" s="777"/>
      <c r="L12" s="778"/>
      <c r="M12" s="778"/>
      <c r="N12" s="776"/>
      <c r="O12" s="778"/>
      <c r="P12" s="776"/>
      <c r="Q12" s="778"/>
      <c r="R12" s="779"/>
      <c r="S12" s="778"/>
      <c r="T12" s="780"/>
    </row>
    <row r="13" spans="1:21" ht="15.3">
      <c r="A13" s="763"/>
      <c r="B13" s="763"/>
      <c r="C13" s="763"/>
      <c r="D13" s="763"/>
      <c r="E13" s="763" t="s">
        <v>607</v>
      </c>
      <c r="F13" s="764"/>
      <c r="G13" s="764"/>
      <c r="H13" s="782"/>
      <c r="I13" s="783"/>
      <c r="J13" s="764"/>
      <c r="K13" s="784"/>
      <c r="L13" s="785"/>
      <c r="M13" s="785"/>
      <c r="N13" s="783"/>
      <c r="O13" s="785"/>
      <c r="P13" s="783"/>
      <c r="Q13" s="785"/>
      <c r="R13" s="786"/>
      <c r="S13" s="785"/>
      <c r="T13" s="787"/>
    </row>
    <row r="14" spans="1:21" ht="15.3">
      <c r="A14" s="772" t="s">
        <v>959</v>
      </c>
      <c r="B14" s="772">
        <v>89050</v>
      </c>
      <c r="C14" s="772" t="s">
        <v>910</v>
      </c>
      <c r="D14" s="772" t="s">
        <v>979</v>
      </c>
      <c r="E14" s="772" t="s">
        <v>608</v>
      </c>
      <c r="F14" s="773" t="s">
        <v>165</v>
      </c>
      <c r="G14" s="774">
        <v>0.4</v>
      </c>
      <c r="H14" s="775" t="s">
        <v>166</v>
      </c>
      <c r="I14" s="776">
        <v>9</v>
      </c>
      <c r="J14" s="949">
        <v>3125</v>
      </c>
      <c r="K14" s="802">
        <f>I14*J14*G14</f>
        <v>11250</v>
      </c>
      <c r="L14" s="778">
        <v>12</v>
      </c>
      <c r="M14" s="778">
        <f>L14*J14*$F$8*G14</f>
        <v>15750</v>
      </c>
      <c r="N14" s="776">
        <v>12</v>
      </c>
      <c r="O14" s="778">
        <f>(N14*J14*$F$8*$F$8)*G14</f>
        <v>16537.5</v>
      </c>
      <c r="P14" s="776">
        <v>6</v>
      </c>
      <c r="Q14" s="778">
        <f>P14*J14*$F$8*$F$8*$F$8*G14</f>
        <v>8682.1875</v>
      </c>
      <c r="R14" s="779">
        <f t="shared" ref="R14:R17" si="0">SUM(K14+M14+O14+Q14)</f>
        <v>52219.6875</v>
      </c>
      <c r="S14" s="778">
        <v>0</v>
      </c>
      <c r="T14" s="780">
        <f t="shared" ref="T14:T15" si="1">SUM(R14:S14)</f>
        <v>52219.6875</v>
      </c>
    </row>
    <row r="15" spans="1:21" ht="15.3">
      <c r="A15" s="772" t="s">
        <v>959</v>
      </c>
      <c r="B15" s="772">
        <v>89050</v>
      </c>
      <c r="C15" s="772" t="s">
        <v>910</v>
      </c>
      <c r="D15" s="772" t="s">
        <v>980</v>
      </c>
      <c r="E15" s="772" t="s">
        <v>609</v>
      </c>
      <c r="F15" s="773" t="s">
        <v>165</v>
      </c>
      <c r="G15" s="946">
        <v>2</v>
      </c>
      <c r="H15" s="775" t="s">
        <v>166</v>
      </c>
      <c r="I15" s="776">
        <v>9</v>
      </c>
      <c r="J15" s="949">
        <f>25000/12</f>
        <v>2083.3333333333335</v>
      </c>
      <c r="K15" s="777">
        <f t="shared" ref="K15:K17" si="2">I15*J15*G15</f>
        <v>37500</v>
      </c>
      <c r="L15" s="778">
        <v>12</v>
      </c>
      <c r="M15" s="778">
        <f>L15*J15*$F$8</f>
        <v>26250</v>
      </c>
      <c r="N15" s="776">
        <v>12</v>
      </c>
      <c r="O15" s="778">
        <f t="shared" ref="O15:O17" si="3">(N15*J15*$F$8*$F$8)</f>
        <v>27562.5</v>
      </c>
      <c r="P15" s="776">
        <v>6</v>
      </c>
      <c r="Q15" s="778">
        <f t="shared" ref="Q15:Q17" si="4">P15*J15*$F$8*$F$8*$F$8</f>
        <v>14470.3125</v>
      </c>
      <c r="R15" s="779">
        <f t="shared" si="0"/>
        <v>105782.8125</v>
      </c>
      <c r="S15" s="778">
        <v>0</v>
      </c>
      <c r="T15" s="780">
        <f t="shared" si="1"/>
        <v>105782.8125</v>
      </c>
    </row>
    <row r="16" spans="1:21" ht="15.3">
      <c r="A16" s="772" t="s">
        <v>959</v>
      </c>
      <c r="B16" s="772">
        <v>89050</v>
      </c>
      <c r="C16" s="772" t="s">
        <v>910</v>
      </c>
      <c r="D16" s="772" t="s">
        <v>981</v>
      </c>
      <c r="E16" s="772" t="s">
        <v>610</v>
      </c>
      <c r="F16" s="773" t="s">
        <v>165</v>
      </c>
      <c r="G16" s="946">
        <v>1</v>
      </c>
      <c r="H16" s="775" t="s">
        <v>166</v>
      </c>
      <c r="I16" s="776">
        <v>9</v>
      </c>
      <c r="J16" s="949">
        <f>25000/12</f>
        <v>2083.3333333333335</v>
      </c>
      <c r="K16" s="777">
        <f>I16*J16*G16</f>
        <v>18750</v>
      </c>
      <c r="L16" s="778">
        <v>12</v>
      </c>
      <c r="M16" s="778">
        <f t="shared" ref="M16" si="5">L16*J16*$F$8</f>
        <v>26250</v>
      </c>
      <c r="N16" s="776">
        <v>12</v>
      </c>
      <c r="O16" s="778">
        <f t="shared" ref="O16" si="6">(N16*J16*$F$8*$F$8)</f>
        <v>27562.5</v>
      </c>
      <c r="P16" s="776">
        <v>6</v>
      </c>
      <c r="Q16" s="778">
        <f t="shared" ref="Q16" si="7">P16*J16*$F$8*$F$8*$F$8</f>
        <v>14470.3125</v>
      </c>
      <c r="R16" s="779">
        <f t="shared" ref="R16" si="8">SUM(K16+M16+O16+Q16)</f>
        <v>87032.8125</v>
      </c>
      <c r="S16" s="778">
        <v>0</v>
      </c>
      <c r="T16" s="780">
        <f t="shared" ref="T16" si="9">SUM(R16:S16)</f>
        <v>87032.8125</v>
      </c>
    </row>
    <row r="17" spans="1:20" ht="15.3">
      <c r="A17" s="772" t="s">
        <v>959</v>
      </c>
      <c r="B17" s="772">
        <v>89050</v>
      </c>
      <c r="C17" s="772" t="s">
        <v>910</v>
      </c>
      <c r="D17" s="772" t="s">
        <v>982</v>
      </c>
      <c r="E17" s="772" t="s">
        <v>611</v>
      </c>
      <c r="F17" s="773" t="s">
        <v>165</v>
      </c>
      <c r="G17" s="946">
        <v>1</v>
      </c>
      <c r="H17" s="775" t="s">
        <v>166</v>
      </c>
      <c r="I17" s="776">
        <v>9</v>
      </c>
      <c r="J17" s="949">
        <v>1687</v>
      </c>
      <c r="K17" s="777">
        <f t="shared" si="2"/>
        <v>15183</v>
      </c>
      <c r="L17" s="778">
        <v>12</v>
      </c>
      <c r="M17" s="778">
        <f t="shared" ref="M17" si="10">L17*J17*$F$8</f>
        <v>21256.2</v>
      </c>
      <c r="N17" s="776">
        <v>12</v>
      </c>
      <c r="O17" s="778">
        <f t="shared" si="3"/>
        <v>22319.010000000002</v>
      </c>
      <c r="P17" s="776">
        <v>6</v>
      </c>
      <c r="Q17" s="778">
        <f t="shared" si="4"/>
        <v>11717.480250000002</v>
      </c>
      <c r="R17" s="779">
        <f t="shared" si="0"/>
        <v>70475.69025</v>
      </c>
      <c r="S17" s="778">
        <v>0</v>
      </c>
      <c r="T17" s="780">
        <f t="shared" ref="T17" si="11">SUM(R17:S17)</f>
        <v>70475.69025</v>
      </c>
    </row>
    <row r="18" spans="1:20" ht="15.3">
      <c r="A18" s="772"/>
      <c r="B18" s="772"/>
      <c r="C18" s="772"/>
      <c r="D18" s="772"/>
      <c r="E18" s="772"/>
      <c r="F18" s="773"/>
      <c r="G18" s="773"/>
      <c r="H18" s="775"/>
      <c r="I18" s="776"/>
      <c r="J18" s="778"/>
      <c r="K18" s="777"/>
      <c r="L18" s="778"/>
      <c r="M18" s="778"/>
      <c r="N18" s="776"/>
      <c r="O18" s="778"/>
      <c r="P18" s="776"/>
      <c r="Q18" s="778"/>
      <c r="R18" s="779"/>
      <c r="S18" s="778"/>
      <c r="T18" s="780"/>
    </row>
    <row r="19" spans="1:20" ht="15.3">
      <c r="A19" s="763"/>
      <c r="B19" s="763"/>
      <c r="C19" s="763"/>
      <c r="D19" s="763"/>
      <c r="E19" s="763" t="s">
        <v>179</v>
      </c>
      <c r="F19" s="764"/>
      <c r="G19" s="764"/>
      <c r="H19" s="765"/>
      <c r="I19" s="789"/>
      <c r="J19" s="790"/>
      <c r="K19" s="791">
        <f>SUM(K12:K17)</f>
        <v>82683</v>
      </c>
      <c r="L19" s="790"/>
      <c r="M19" s="790">
        <f>SUM(M12:M17)</f>
        <v>89506.2</v>
      </c>
      <c r="N19" s="789"/>
      <c r="O19" s="790">
        <f>SUM(O12:O17)</f>
        <v>93981.510000000009</v>
      </c>
      <c r="P19" s="789"/>
      <c r="Q19" s="790">
        <f>SUM(Q12:Q17)</f>
        <v>49340.292750000001</v>
      </c>
      <c r="R19" s="792">
        <f>SUM(R12:R17)</f>
        <v>315511.00274999999</v>
      </c>
      <c r="S19" s="790">
        <f>SUM(S12:S17)</f>
        <v>0</v>
      </c>
      <c r="T19" s="793">
        <f>SUM(R19:S19)</f>
        <v>315511.00274999999</v>
      </c>
    </row>
    <row r="20" spans="1:20" ht="15.3">
      <c r="A20" s="753"/>
      <c r="B20" s="753"/>
      <c r="C20" s="753"/>
      <c r="D20" s="753"/>
      <c r="E20" s="753" t="s">
        <v>180</v>
      </c>
      <c r="F20" s="754"/>
      <c r="G20" s="754"/>
      <c r="H20" s="755"/>
      <c r="I20" s="756"/>
      <c r="J20" s="757"/>
      <c r="K20" s="758"/>
      <c r="L20" s="759"/>
      <c r="M20" s="759"/>
      <c r="N20" s="760"/>
      <c r="O20" s="759"/>
      <c r="P20" s="760"/>
      <c r="Q20" s="759"/>
      <c r="R20" s="761"/>
      <c r="S20" s="759"/>
      <c r="T20" s="762"/>
    </row>
    <row r="21" spans="1:20" ht="15.3">
      <c r="A21" s="794"/>
      <c r="B21" s="794"/>
      <c r="C21" s="794"/>
      <c r="D21" s="794"/>
      <c r="E21" s="794"/>
      <c r="F21" s="795"/>
      <c r="G21" s="795"/>
      <c r="H21" s="796"/>
      <c r="I21" s="797"/>
      <c r="J21" s="798"/>
      <c r="K21" s="799"/>
      <c r="L21" s="798"/>
      <c r="M21" s="798"/>
      <c r="N21" s="797"/>
      <c r="O21" s="798"/>
      <c r="P21" s="797"/>
      <c r="Q21" s="798"/>
      <c r="R21" s="800"/>
      <c r="S21" s="798"/>
      <c r="T21" s="801"/>
    </row>
    <row r="22" spans="1:20" ht="15.3">
      <c r="A22" s="794"/>
      <c r="B22" s="794"/>
      <c r="C22" s="794"/>
      <c r="D22" s="794"/>
      <c r="E22" s="794" t="s">
        <v>180</v>
      </c>
      <c r="F22" s="795"/>
      <c r="G22" s="795"/>
      <c r="H22" s="796"/>
      <c r="I22" s="797"/>
      <c r="J22" s="798"/>
      <c r="K22" s="799"/>
      <c r="L22" s="798"/>
      <c r="M22" s="798"/>
      <c r="N22" s="797"/>
      <c r="O22" s="798"/>
      <c r="P22" s="797"/>
      <c r="Q22" s="798"/>
      <c r="R22" s="800"/>
      <c r="S22" s="798"/>
      <c r="T22" s="801"/>
    </row>
    <row r="23" spans="1:20" ht="15.3">
      <c r="A23" s="772" t="s">
        <v>959</v>
      </c>
      <c r="B23" s="772">
        <v>89050</v>
      </c>
      <c r="C23" s="772" t="s">
        <v>910</v>
      </c>
      <c r="D23" s="772" t="s">
        <v>983</v>
      </c>
      <c r="E23" s="772" t="s">
        <v>181</v>
      </c>
      <c r="F23" s="773" t="s">
        <v>180</v>
      </c>
      <c r="G23" s="773"/>
      <c r="H23" s="775" t="s">
        <v>166</v>
      </c>
      <c r="I23" s="776"/>
      <c r="J23" s="1065">
        <v>0.43330000000000002</v>
      </c>
      <c r="K23" s="802">
        <f>SUM(K12:K17)*$J23</f>
        <v>35826.543900000004</v>
      </c>
      <c r="L23" s="778"/>
      <c r="M23" s="803">
        <f>SUM(M12:M17)*$J23</f>
        <v>38783.036460000003</v>
      </c>
      <c r="N23" s="776"/>
      <c r="O23" s="803">
        <f>SUM(O12:O17)*$J23</f>
        <v>40722.188283000003</v>
      </c>
      <c r="P23" s="776"/>
      <c r="Q23" s="803">
        <f>SUM(Q12:Q17)*$J23</f>
        <v>21379.148848575001</v>
      </c>
      <c r="R23" s="779">
        <f t="shared" ref="R23" si="12">SUM(K23+M23+O23+Q23)</f>
        <v>136710.917491575</v>
      </c>
      <c r="S23" s="778">
        <v>0</v>
      </c>
      <c r="T23" s="780">
        <f>SUM(R23:S23)</f>
        <v>136710.917491575</v>
      </c>
    </row>
    <row r="24" spans="1:20" ht="15.3">
      <c r="A24" s="805"/>
      <c r="B24" s="805"/>
      <c r="C24" s="805"/>
      <c r="D24" s="805"/>
      <c r="E24" s="805"/>
      <c r="H24" s="806"/>
      <c r="I24" s="807"/>
      <c r="J24" s="808"/>
      <c r="K24" s="809"/>
      <c r="L24" s="808"/>
      <c r="M24" s="808"/>
      <c r="N24" s="810"/>
      <c r="O24" s="808"/>
      <c r="P24" s="810"/>
      <c r="Q24" s="808"/>
      <c r="R24" s="811"/>
      <c r="S24" s="778"/>
      <c r="T24" s="812"/>
    </row>
    <row r="25" spans="1:20" ht="15.6" thickBot="1">
      <c r="A25" s="813"/>
      <c r="B25" s="813"/>
      <c r="C25" s="813"/>
      <c r="D25" s="813"/>
      <c r="E25" s="813" t="s">
        <v>183</v>
      </c>
      <c r="F25" s="814"/>
      <c r="G25" s="814"/>
      <c r="H25" s="815"/>
      <c r="I25" s="816"/>
      <c r="J25" s="817"/>
      <c r="K25" s="818">
        <f>SUM(K23:K24)</f>
        <v>35826.543900000004</v>
      </c>
      <c r="L25" s="819"/>
      <c r="M25" s="819">
        <f>SUM(M23:M24)</f>
        <v>38783.036460000003</v>
      </c>
      <c r="N25" s="820"/>
      <c r="O25" s="819">
        <f>SUM(O23:O24)</f>
        <v>40722.188283000003</v>
      </c>
      <c r="P25" s="820"/>
      <c r="Q25" s="819">
        <f>SUM(Q23:Q24)</f>
        <v>21379.148848575001</v>
      </c>
      <c r="R25" s="821">
        <f>SUM(R23:R24)</f>
        <v>136710.917491575</v>
      </c>
      <c r="S25" s="819">
        <f>SUM(S23:S24)</f>
        <v>0</v>
      </c>
      <c r="T25" s="822">
        <f>SUM(T23:T24)</f>
        <v>136710.917491575</v>
      </c>
    </row>
    <row r="26" spans="1:20" ht="15.3">
      <c r="A26" s="823"/>
      <c r="B26" s="823"/>
      <c r="C26" s="823"/>
      <c r="D26" s="823"/>
      <c r="E26" s="823" t="s">
        <v>184</v>
      </c>
      <c r="F26" s="824"/>
      <c r="G26" s="824"/>
      <c r="H26" s="825"/>
      <c r="I26" s="826"/>
      <c r="J26" s="827"/>
      <c r="K26" s="828"/>
      <c r="L26" s="829"/>
      <c r="M26" s="829"/>
      <c r="N26" s="830"/>
      <c r="O26" s="829"/>
      <c r="P26" s="830"/>
      <c r="Q26" s="829"/>
      <c r="R26" s="831"/>
      <c r="S26" s="829"/>
      <c r="T26" s="832"/>
    </row>
    <row r="27" spans="1:20" ht="30.6">
      <c r="A27" s="772" t="s">
        <v>959</v>
      </c>
      <c r="B27" s="772">
        <v>89050</v>
      </c>
      <c r="C27" s="772" t="s">
        <v>910</v>
      </c>
      <c r="D27" s="805" t="s">
        <v>1040</v>
      </c>
      <c r="E27" s="889" t="s">
        <v>612</v>
      </c>
      <c r="F27" s="834"/>
      <c r="G27" s="834"/>
      <c r="H27" s="843"/>
      <c r="I27" s="783"/>
      <c r="J27" s="785"/>
      <c r="K27" s="940">
        <f>'INDES Sub Activities Detail'!J279</f>
        <v>120</v>
      </c>
      <c r="L27" s="785"/>
      <c r="M27" s="941">
        <f>'INDES Sub Activities Detail'!M279</f>
        <v>11246.560000000001</v>
      </c>
      <c r="N27" s="783"/>
      <c r="O27" s="941">
        <f>'INDES Sub Activities Detail'!P279</f>
        <v>13372.902399999999</v>
      </c>
      <c r="P27" s="783"/>
      <c r="Q27" s="941">
        <f>'INDES Sub Activities Detail'!S279</f>
        <v>4155.2476160000006</v>
      </c>
      <c r="R27" s="779">
        <f>SUM(K27+M27+O27+Q27)</f>
        <v>28894.710016000001</v>
      </c>
      <c r="S27" s="785"/>
      <c r="T27" s="780">
        <f>SUM(R27:S27)</f>
        <v>28894.710016000001</v>
      </c>
    </row>
    <row r="28" spans="1:20" ht="15.3">
      <c r="A28" s="772"/>
      <c r="B28" s="772"/>
      <c r="C28" s="772"/>
      <c r="D28" s="772"/>
      <c r="E28" s="772"/>
      <c r="H28" s="842"/>
      <c r="I28" s="776"/>
      <c r="J28" s="778"/>
      <c r="K28" s="777"/>
      <c r="L28" s="778"/>
      <c r="M28" s="778"/>
      <c r="N28" s="776"/>
      <c r="O28" s="778"/>
      <c r="P28" s="776"/>
      <c r="Q28" s="778"/>
      <c r="R28" s="779"/>
      <c r="S28" s="778"/>
      <c r="T28" s="780"/>
    </row>
    <row r="29" spans="1:20" ht="15.6" thickBot="1">
      <c r="A29" s="813"/>
      <c r="B29" s="813"/>
      <c r="C29" s="813"/>
      <c r="D29" s="813"/>
      <c r="E29" s="813" t="s">
        <v>201</v>
      </c>
      <c r="F29" s="814"/>
      <c r="G29" s="814"/>
      <c r="H29" s="815"/>
      <c r="I29" s="816"/>
      <c r="J29" s="817"/>
      <c r="K29" s="818">
        <f>SUM(K27:K27)</f>
        <v>120</v>
      </c>
      <c r="L29" s="819"/>
      <c r="M29" s="819">
        <f>SUM(M27:M27)</f>
        <v>11246.560000000001</v>
      </c>
      <c r="N29" s="820"/>
      <c r="O29" s="819">
        <f>SUM(O27:O27)</f>
        <v>13372.902399999999</v>
      </c>
      <c r="P29" s="820"/>
      <c r="Q29" s="819">
        <f>SUM(Q27:Q27)</f>
        <v>4155.2476160000006</v>
      </c>
      <c r="R29" s="821">
        <f>SUM(R27:R27)</f>
        <v>28894.710016000001</v>
      </c>
      <c r="S29" s="819">
        <f>SUM(S27:S27)</f>
        <v>0</v>
      </c>
      <c r="T29" s="844">
        <f>SUM(R29:S29)</f>
        <v>28894.710016000001</v>
      </c>
    </row>
    <row r="30" spans="1:20" ht="15.3">
      <c r="A30" s="845"/>
      <c r="B30" s="845"/>
      <c r="C30" s="845"/>
      <c r="D30" s="845"/>
      <c r="E30" s="845" t="s">
        <v>202</v>
      </c>
      <c r="F30" s="755"/>
      <c r="G30" s="755"/>
      <c r="H30" s="755"/>
      <c r="I30" s="756"/>
      <c r="J30" s="757"/>
      <c r="K30" s="758"/>
      <c r="L30" s="759"/>
      <c r="M30" s="759"/>
      <c r="N30" s="760"/>
      <c r="O30" s="759"/>
      <c r="P30" s="760"/>
      <c r="Q30" s="759"/>
      <c r="R30" s="761"/>
      <c r="S30" s="759"/>
      <c r="T30" s="762"/>
    </row>
    <row r="31" spans="1:20" ht="15.3">
      <c r="A31" s="805" t="s">
        <v>203</v>
      </c>
      <c r="B31" s="805" t="s">
        <v>203</v>
      </c>
      <c r="C31" s="805" t="s">
        <v>203</v>
      </c>
      <c r="D31" s="805" t="s">
        <v>203</v>
      </c>
      <c r="E31" s="805" t="s">
        <v>203</v>
      </c>
      <c r="F31" s="773" t="s">
        <v>202</v>
      </c>
      <c r="G31" s="773"/>
      <c r="H31" s="736" t="s">
        <v>204</v>
      </c>
      <c r="I31" s="776"/>
      <c r="J31" s="778"/>
      <c r="K31" s="777"/>
      <c r="L31" s="778">
        <v>0</v>
      </c>
      <c r="M31" s="778">
        <f>L31*J31*Assumptions!$C$15</f>
        <v>0</v>
      </c>
      <c r="N31" s="776">
        <v>0</v>
      </c>
      <c r="O31" s="778">
        <f>N31*J31*Assumptions!$C$15*Assumptions!$C$15</f>
        <v>0</v>
      </c>
      <c r="P31" s="776">
        <v>0</v>
      </c>
      <c r="Q31" s="778">
        <f>P31*J31*Assumptions!$C$15*Assumptions!$C$15*Assumptions!$C$15</f>
        <v>0</v>
      </c>
      <c r="R31" s="779">
        <f t="shared" ref="R31" si="13">SUM(K31+M31+O31+Q31)</f>
        <v>0</v>
      </c>
      <c r="S31" s="778">
        <v>0</v>
      </c>
      <c r="T31" s="780">
        <f>SUM(R31:S31)</f>
        <v>0</v>
      </c>
    </row>
    <row r="32" spans="1:20" ht="15.3">
      <c r="A32" s="805"/>
      <c r="B32" s="805"/>
      <c r="C32" s="805"/>
      <c r="D32" s="805"/>
      <c r="E32" s="805"/>
      <c r="F32" s="773"/>
      <c r="G32" s="773"/>
      <c r="I32" s="776"/>
      <c r="J32" s="778"/>
      <c r="K32" s="777"/>
      <c r="L32" s="778"/>
      <c r="M32" s="778"/>
      <c r="N32" s="776"/>
      <c r="O32" s="778"/>
      <c r="P32" s="776"/>
      <c r="Q32" s="778"/>
      <c r="R32" s="779"/>
      <c r="S32" s="778"/>
      <c r="T32" s="780"/>
    </row>
    <row r="33" spans="1:20" ht="15.6" thickBot="1">
      <c r="A33" s="813"/>
      <c r="B33" s="813"/>
      <c r="C33" s="813"/>
      <c r="D33" s="813"/>
      <c r="E33" s="813" t="s">
        <v>205</v>
      </c>
      <c r="F33" s="814"/>
      <c r="G33" s="814"/>
      <c r="H33" s="815"/>
      <c r="I33" s="816"/>
      <c r="J33" s="817"/>
      <c r="K33" s="818">
        <f>SUM(K31)</f>
        <v>0</v>
      </c>
      <c r="L33" s="819"/>
      <c r="M33" s="819">
        <f>SUM(M31)</f>
        <v>0</v>
      </c>
      <c r="N33" s="820"/>
      <c r="O33" s="819">
        <f>SUM(O31)</f>
        <v>0</v>
      </c>
      <c r="P33" s="820"/>
      <c r="Q33" s="819">
        <f>SUM(Q31)</f>
        <v>0</v>
      </c>
      <c r="R33" s="821">
        <f>SUM(R31)</f>
        <v>0</v>
      </c>
      <c r="S33" s="819">
        <f>SUM(S31)</f>
        <v>0</v>
      </c>
      <c r="T33" s="844">
        <f>SUM(R33:S33)</f>
        <v>0</v>
      </c>
    </row>
    <row r="34" spans="1:20" ht="15.3">
      <c r="A34" s="845"/>
      <c r="B34" s="845"/>
      <c r="C34" s="845"/>
      <c r="D34" s="845"/>
      <c r="E34" s="845" t="s">
        <v>206</v>
      </c>
      <c r="F34" s="755"/>
      <c r="G34" s="755"/>
      <c r="H34" s="755"/>
      <c r="I34" s="756"/>
      <c r="J34" s="757"/>
      <c r="K34" s="758"/>
      <c r="L34" s="759"/>
      <c r="M34" s="759"/>
      <c r="N34" s="760"/>
      <c r="O34" s="759"/>
      <c r="P34" s="760"/>
      <c r="Q34" s="759"/>
      <c r="R34" s="761"/>
      <c r="S34" s="759"/>
      <c r="T34" s="762"/>
    </row>
    <row r="35" spans="1:20" ht="15.3">
      <c r="A35" s="772" t="s">
        <v>959</v>
      </c>
      <c r="B35" s="772">
        <v>89050</v>
      </c>
      <c r="C35" s="772" t="s">
        <v>910</v>
      </c>
      <c r="D35" s="772" t="s">
        <v>984</v>
      </c>
      <c r="E35" s="772" t="s">
        <v>208</v>
      </c>
      <c r="F35" s="773" t="s">
        <v>206</v>
      </c>
      <c r="G35" s="773"/>
      <c r="H35" s="842" t="s">
        <v>166</v>
      </c>
      <c r="I35" s="776">
        <v>9</v>
      </c>
      <c r="J35" s="778">
        <v>60</v>
      </c>
      <c r="K35" s="777">
        <f>J35*I35</f>
        <v>540</v>
      </c>
      <c r="L35" s="778">
        <v>12</v>
      </c>
      <c r="M35" s="778">
        <f t="shared" ref="M35" si="14">L35*J35*$F$7</f>
        <v>748.80000000000007</v>
      </c>
      <c r="N35" s="776">
        <v>12</v>
      </c>
      <c r="O35" s="778">
        <f t="shared" ref="O35" si="15">N35*J35*$F$7*$F$7</f>
        <v>778.75200000000007</v>
      </c>
      <c r="P35" s="776">
        <v>6</v>
      </c>
      <c r="Q35" s="778">
        <f t="shared" ref="Q35" si="16">P35*J35*$F$7*$F$7*$F$7</f>
        <v>404.95104000000003</v>
      </c>
      <c r="R35" s="779">
        <f t="shared" ref="R35" si="17">SUM(K35+M35+O35+Q35)</f>
        <v>2472.5030400000001</v>
      </c>
      <c r="S35" s="778">
        <v>0</v>
      </c>
      <c r="T35" s="780">
        <f t="shared" ref="T35" si="18">SUM(R35:S35)</f>
        <v>2472.5030400000001</v>
      </c>
    </row>
    <row r="36" spans="1:20" ht="15.3">
      <c r="A36" s="772"/>
      <c r="B36" s="772"/>
      <c r="C36" s="772"/>
      <c r="D36" s="772"/>
      <c r="E36" s="772"/>
      <c r="F36" s="773"/>
      <c r="G36" s="773"/>
      <c r="H36" s="842"/>
      <c r="I36" s="847"/>
      <c r="K36" s="848"/>
      <c r="N36" s="849"/>
      <c r="P36" s="849"/>
      <c r="R36" s="811"/>
      <c r="T36" s="812"/>
    </row>
    <row r="37" spans="1:20" ht="15.6" thickBot="1">
      <c r="A37" s="850"/>
      <c r="B37" s="850"/>
      <c r="C37" s="850"/>
      <c r="D37" s="850"/>
      <c r="E37" s="850" t="s">
        <v>209</v>
      </c>
      <c r="F37" s="851"/>
      <c r="G37" s="851"/>
      <c r="H37" s="814"/>
      <c r="I37" s="852"/>
      <c r="J37" s="853"/>
      <c r="K37" s="854">
        <f>SUM(K35:K35)</f>
        <v>540</v>
      </c>
      <c r="L37" s="855"/>
      <c r="M37" s="855">
        <f>SUM(M35:M35)</f>
        <v>748.80000000000007</v>
      </c>
      <c r="N37" s="856"/>
      <c r="O37" s="855">
        <f>SUM(O35:O35)</f>
        <v>778.75200000000007</v>
      </c>
      <c r="P37" s="856"/>
      <c r="Q37" s="855">
        <f>SUM(Q35:Q35)</f>
        <v>404.95104000000003</v>
      </c>
      <c r="R37" s="857">
        <f>SUM(R35:R35)</f>
        <v>2472.5030400000001</v>
      </c>
      <c r="S37" s="855">
        <f>SUM(S35:S35)</f>
        <v>0</v>
      </c>
      <c r="T37" s="844">
        <f>SUM(R37:S37)</f>
        <v>2472.5030400000001</v>
      </c>
    </row>
    <row r="38" spans="1:20" ht="15.3">
      <c r="A38" s="858"/>
      <c r="B38" s="858"/>
      <c r="C38" s="858"/>
      <c r="D38" s="858"/>
      <c r="E38" s="858" t="s">
        <v>210</v>
      </c>
      <c r="F38" s="859"/>
      <c r="G38" s="859"/>
      <c r="H38" s="859"/>
      <c r="I38" s="860"/>
      <c r="J38" s="859"/>
      <c r="K38" s="861"/>
      <c r="L38" s="859"/>
      <c r="M38" s="859"/>
      <c r="N38" s="860"/>
      <c r="O38" s="859"/>
      <c r="P38" s="860"/>
      <c r="Q38" s="859"/>
      <c r="R38" s="862"/>
      <c r="S38" s="859"/>
      <c r="T38" s="863"/>
    </row>
    <row r="39" spans="1:20" ht="15.3">
      <c r="A39" s="772"/>
      <c r="B39" s="772"/>
      <c r="C39" s="772"/>
      <c r="D39" s="772"/>
      <c r="E39" s="772"/>
      <c r="F39" s="773"/>
      <c r="G39" s="773"/>
      <c r="H39" s="842"/>
      <c r="I39" s="776"/>
      <c r="J39" s="778"/>
      <c r="K39" s="777"/>
      <c r="L39" s="778"/>
      <c r="M39" s="778"/>
      <c r="N39" s="776"/>
      <c r="O39" s="778"/>
      <c r="P39" s="776"/>
      <c r="Q39" s="778"/>
      <c r="R39" s="779"/>
      <c r="S39" s="778"/>
      <c r="T39" s="780"/>
    </row>
    <row r="40" spans="1:20" ht="15.6" thickBot="1">
      <c r="A40" s="850"/>
      <c r="B40" s="850"/>
      <c r="C40" s="850"/>
      <c r="D40" s="850"/>
      <c r="E40" s="850" t="s">
        <v>219</v>
      </c>
      <c r="F40" s="851"/>
      <c r="G40" s="851"/>
      <c r="H40" s="814"/>
      <c r="I40" s="852"/>
      <c r="J40" s="853"/>
      <c r="K40" s="854">
        <f>SUM(K39:K39)</f>
        <v>0</v>
      </c>
      <c r="L40" s="855"/>
      <c r="M40" s="855">
        <f>SUM(M39:M39)</f>
        <v>0</v>
      </c>
      <c r="N40" s="856"/>
      <c r="O40" s="855">
        <f>SUM(O39:O39)</f>
        <v>0</v>
      </c>
      <c r="P40" s="856"/>
      <c r="Q40" s="855">
        <f>SUM(Q39:Q39)</f>
        <v>0</v>
      </c>
      <c r="R40" s="857">
        <f>SUM(R39:R39)</f>
        <v>0</v>
      </c>
      <c r="S40" s="857">
        <f>SUM(S39:S39)</f>
        <v>0</v>
      </c>
      <c r="T40" s="864">
        <f>SUM(T39:T39)</f>
        <v>0</v>
      </c>
    </row>
    <row r="41" spans="1:20" ht="15.3">
      <c r="A41" s="858"/>
      <c r="B41" s="858"/>
      <c r="C41" s="858"/>
      <c r="D41" s="858"/>
      <c r="E41" s="858" t="s">
        <v>220</v>
      </c>
      <c r="F41" s="859"/>
      <c r="G41" s="859"/>
      <c r="H41" s="859"/>
      <c r="I41" s="860"/>
      <c r="J41" s="859"/>
      <c r="K41" s="861"/>
      <c r="L41" s="859"/>
      <c r="M41" s="859"/>
      <c r="N41" s="860"/>
      <c r="O41" s="859"/>
      <c r="P41" s="860"/>
      <c r="Q41" s="859"/>
      <c r="R41" s="862"/>
      <c r="S41" s="859"/>
      <c r="T41" s="863"/>
    </row>
    <row r="42" spans="1:20" ht="15.3">
      <c r="A42" s="865"/>
      <c r="B42" s="865"/>
      <c r="C42" s="865"/>
      <c r="D42" s="865"/>
      <c r="E42" s="865" t="s">
        <v>221</v>
      </c>
      <c r="F42" s="866"/>
      <c r="G42" s="866"/>
      <c r="H42" s="866"/>
      <c r="I42" s="867"/>
      <c r="J42" s="868"/>
      <c r="K42" s="869"/>
      <c r="L42" s="870"/>
      <c r="M42" s="870"/>
      <c r="N42" s="871"/>
      <c r="O42" s="870"/>
      <c r="P42" s="871"/>
      <c r="Q42" s="870"/>
      <c r="R42" s="770"/>
      <c r="S42" s="870"/>
      <c r="T42" s="771"/>
    </row>
    <row r="43" spans="1:20" ht="15.3">
      <c r="A43" s="772" t="s">
        <v>959</v>
      </c>
      <c r="B43" s="772">
        <v>89050</v>
      </c>
      <c r="C43" s="772" t="s">
        <v>910</v>
      </c>
      <c r="D43" s="772" t="s">
        <v>985</v>
      </c>
      <c r="E43" s="772" t="s">
        <v>613</v>
      </c>
      <c r="F43" s="773" t="s">
        <v>223</v>
      </c>
      <c r="G43" s="773"/>
      <c r="H43" s="842" t="s">
        <v>166</v>
      </c>
      <c r="I43" s="776">
        <v>9</v>
      </c>
      <c r="J43" s="778">
        <v>300</v>
      </c>
      <c r="K43" s="777">
        <f>I43*J43</f>
        <v>2700</v>
      </c>
      <c r="L43" s="778">
        <v>12</v>
      </c>
      <c r="M43" s="778">
        <f t="shared" ref="M43" si="19">L43*J43*$F$7</f>
        <v>3744</v>
      </c>
      <c r="N43" s="776">
        <v>12</v>
      </c>
      <c r="O43" s="778">
        <f t="shared" ref="O43" si="20">N43*J43*$F$7*$F$7</f>
        <v>3893.76</v>
      </c>
      <c r="P43" s="776">
        <v>6</v>
      </c>
      <c r="Q43" s="778">
        <f t="shared" ref="Q43" si="21">P43*J43*$F$7*$F$7*$F$7</f>
        <v>2024.7552000000003</v>
      </c>
      <c r="R43" s="779">
        <f t="shared" ref="R43" si="22">SUM(K43+M43+O43+Q43)</f>
        <v>12362.5152</v>
      </c>
      <c r="S43" s="778">
        <v>0</v>
      </c>
      <c r="T43" s="780">
        <f t="shared" ref="T43" si="23">SUM(R43:S43)</f>
        <v>12362.5152</v>
      </c>
    </row>
    <row r="44" spans="1:20" ht="15.3">
      <c r="A44" s="979"/>
      <c r="B44" s="979"/>
      <c r="C44" s="979"/>
      <c r="D44" s="979"/>
      <c r="E44" s="979" t="s">
        <v>239</v>
      </c>
      <c r="F44" s="980"/>
      <c r="G44" s="980"/>
      <c r="H44" s="981"/>
      <c r="I44" s="973"/>
      <c r="J44" s="974"/>
      <c r="K44" s="975"/>
      <c r="L44" s="974"/>
      <c r="M44" s="974"/>
      <c r="N44" s="973"/>
      <c r="O44" s="974"/>
      <c r="P44" s="973"/>
      <c r="Q44" s="974"/>
      <c r="R44" s="974"/>
      <c r="S44" s="974"/>
      <c r="T44" s="977"/>
    </row>
    <row r="45" spans="1:20" ht="30.6">
      <c r="A45" s="772" t="s">
        <v>959</v>
      </c>
      <c r="B45" s="772">
        <v>89050</v>
      </c>
      <c r="C45" s="772" t="s">
        <v>910</v>
      </c>
      <c r="D45" s="772" t="s">
        <v>1041</v>
      </c>
      <c r="E45" s="772" t="s">
        <v>244</v>
      </c>
      <c r="F45" s="735" t="s">
        <v>241</v>
      </c>
      <c r="G45" s="735"/>
      <c r="H45" s="735"/>
      <c r="I45" s="776"/>
      <c r="J45" s="778"/>
      <c r="K45" s="777">
        <f>'INDES Sub Activities Detail'!J16</f>
        <v>0</v>
      </c>
      <c r="L45" s="778"/>
      <c r="M45" s="777">
        <f>'INDES Sub Activities Detail'!M16</f>
        <v>2808</v>
      </c>
      <c r="N45" s="776"/>
      <c r="O45" s="777">
        <f>'INDES Sub Activities Detail'!P16</f>
        <v>2920.32</v>
      </c>
      <c r="P45" s="776"/>
      <c r="Q45" s="777">
        <f>'INDES Sub Activities Detail'!S16</f>
        <v>1518.5664000000002</v>
      </c>
      <c r="R45" s="779">
        <f>SUM(K45+M45+O45+Q45)</f>
        <v>7246.8863999999994</v>
      </c>
      <c r="S45" s="778"/>
      <c r="T45" s="780">
        <f>SUM(R45:S45)</f>
        <v>7246.8863999999994</v>
      </c>
    </row>
    <row r="46" spans="1:20" s="872" customFormat="1" ht="45.9">
      <c r="A46" s="772" t="s">
        <v>959</v>
      </c>
      <c r="B46" s="772">
        <v>89050</v>
      </c>
      <c r="C46" s="772" t="s">
        <v>910</v>
      </c>
      <c r="D46" s="772" t="s">
        <v>1042</v>
      </c>
      <c r="E46" s="772" t="s">
        <v>565</v>
      </c>
      <c r="F46" s="735" t="s">
        <v>241</v>
      </c>
      <c r="G46" s="735"/>
      <c r="H46" s="735"/>
      <c r="I46" s="776"/>
      <c r="J46" s="778"/>
      <c r="K46" s="777">
        <f>'INDES Sub Activities Detail'!J31</f>
        <v>0</v>
      </c>
      <c r="L46" s="778"/>
      <c r="M46" s="777">
        <f>'INDES Sub Activities Detail'!M31</f>
        <v>2948.4</v>
      </c>
      <c r="N46" s="776"/>
      <c r="O46" s="777">
        <f>'INDES Sub Activities Detail'!P31</f>
        <v>3066.3360000000007</v>
      </c>
      <c r="P46" s="776"/>
      <c r="Q46" s="777">
        <f>'INDES Sub Activities Detail'!S31</f>
        <v>2125.99296</v>
      </c>
      <c r="R46" s="779">
        <f t="shared" ref="R46:R47" si="24">SUM(K46+M46+O46+Q46)</f>
        <v>8140.7289600000004</v>
      </c>
      <c r="S46" s="778"/>
      <c r="T46" s="780">
        <f t="shared" ref="T46:T47" si="25">SUM(R46:S46)</f>
        <v>8140.7289600000004</v>
      </c>
    </row>
    <row r="47" spans="1:20" s="873" customFormat="1" ht="15.3">
      <c r="A47" s="772" t="s">
        <v>959</v>
      </c>
      <c r="B47" s="772">
        <v>89050</v>
      </c>
      <c r="C47" s="772" t="s">
        <v>910</v>
      </c>
      <c r="D47" s="772" t="s">
        <v>1045</v>
      </c>
      <c r="E47" s="772" t="s">
        <v>567</v>
      </c>
      <c r="F47" s="735" t="s">
        <v>241</v>
      </c>
      <c r="G47" s="735"/>
      <c r="H47" s="735"/>
      <c r="I47" s="776"/>
      <c r="J47" s="778"/>
      <c r="K47" s="777">
        <f>'INDES Sub Activities Detail'!J46</f>
        <v>0</v>
      </c>
      <c r="L47" s="778"/>
      <c r="M47" s="777">
        <f>'INDES Sub Activities Detail'!M46</f>
        <v>0</v>
      </c>
      <c r="N47" s="776"/>
      <c r="O47" s="777">
        <f>'INDES Sub Activities Detail'!P46</f>
        <v>0</v>
      </c>
      <c r="P47" s="776"/>
      <c r="Q47" s="777">
        <f>'INDES Sub Activities Detail'!S46</f>
        <v>337.45920000000007</v>
      </c>
      <c r="R47" s="779">
        <f t="shared" si="24"/>
        <v>337.45920000000007</v>
      </c>
      <c r="S47" s="778"/>
      <c r="T47" s="780">
        <f t="shared" si="25"/>
        <v>337.45920000000007</v>
      </c>
    </row>
    <row r="48" spans="1:20" s="873" customFormat="1" ht="15">
      <c r="A48" s="979"/>
      <c r="B48" s="979"/>
      <c r="C48" s="979"/>
      <c r="D48" s="979"/>
      <c r="E48" s="979" t="s">
        <v>245</v>
      </c>
      <c r="F48" s="978"/>
      <c r="G48" s="978"/>
      <c r="H48" s="978"/>
      <c r="I48" s="965"/>
      <c r="J48" s="960"/>
      <c r="K48" s="959"/>
      <c r="L48" s="960"/>
      <c r="M48" s="960"/>
      <c r="N48" s="965"/>
      <c r="O48" s="960"/>
      <c r="P48" s="965"/>
      <c r="Q48" s="960"/>
      <c r="R48" s="958"/>
      <c r="S48" s="960"/>
      <c r="T48" s="957"/>
    </row>
    <row r="49" spans="1:22" s="872" customFormat="1" ht="45.9">
      <c r="A49" s="772" t="s">
        <v>959</v>
      </c>
      <c r="B49" s="772">
        <v>89050</v>
      </c>
      <c r="C49" s="772" t="s">
        <v>910</v>
      </c>
      <c r="D49" s="772" t="s">
        <v>1043</v>
      </c>
      <c r="E49" s="772" t="s">
        <v>572</v>
      </c>
      <c r="F49" s="735" t="s">
        <v>246</v>
      </c>
      <c r="G49" s="735"/>
      <c r="H49" s="735"/>
      <c r="I49" s="776"/>
      <c r="J49" s="778"/>
      <c r="K49" s="777">
        <f>'INDES Sub Activities Detail'!J53</f>
        <v>0</v>
      </c>
      <c r="L49" s="778"/>
      <c r="M49" s="777">
        <f>'INDES Sub Activities Detail'!M53</f>
        <v>9204</v>
      </c>
      <c r="N49" s="776"/>
      <c r="O49" s="777">
        <f>'INDES Sub Activities Detail'!P53</f>
        <v>9572.1600000000017</v>
      </c>
      <c r="P49" s="776"/>
      <c r="Q49" s="777">
        <f>'INDES Sub Activities Detail'!S53</f>
        <v>0</v>
      </c>
      <c r="R49" s="779">
        <f>SUM(K49+M49+O49+Q49)</f>
        <v>18776.160000000003</v>
      </c>
      <c r="S49" s="778"/>
      <c r="T49" s="780">
        <f>SUM(R49:S49)</f>
        <v>18776.160000000003</v>
      </c>
    </row>
    <row r="50" spans="1:22" ht="30.6">
      <c r="A50" s="772" t="s">
        <v>959</v>
      </c>
      <c r="B50" s="772">
        <v>89050</v>
      </c>
      <c r="C50" s="772" t="s">
        <v>910</v>
      </c>
      <c r="D50" s="772" t="s">
        <v>1044</v>
      </c>
      <c r="E50" s="805" t="s">
        <v>575</v>
      </c>
      <c r="F50" s="735" t="s">
        <v>246</v>
      </c>
      <c r="I50" s="776"/>
      <c r="J50" s="778"/>
      <c r="K50" s="777">
        <f>'INDES Sub Activities Detail'!J67</f>
        <v>0</v>
      </c>
      <c r="L50" s="778"/>
      <c r="M50" s="777">
        <f>'INDES Sub Activities Detail'!M67</f>
        <v>0</v>
      </c>
      <c r="N50" s="776"/>
      <c r="O50" s="777">
        <f>'INDES Sub Activities Detail'!P67</f>
        <v>0</v>
      </c>
      <c r="P50" s="776"/>
      <c r="Q50" s="777">
        <f>'INDES Sub Activities Detail'!S67</f>
        <v>3824.5376000000006</v>
      </c>
      <c r="R50" s="779">
        <f t="shared" ref="R50:R54" si="26">SUM(K50+M50+O50+Q50)</f>
        <v>3824.5376000000006</v>
      </c>
      <c r="S50" s="778"/>
      <c r="T50" s="780">
        <f>SUM(R50:S50)</f>
        <v>3824.5376000000006</v>
      </c>
    </row>
    <row r="51" spans="1:22" s="872" customFormat="1" ht="30.6">
      <c r="A51" s="772" t="s">
        <v>959</v>
      </c>
      <c r="B51" s="772">
        <v>89050</v>
      </c>
      <c r="C51" s="772" t="s">
        <v>910</v>
      </c>
      <c r="D51" s="772" t="s">
        <v>1046</v>
      </c>
      <c r="E51" s="772" t="s">
        <v>576</v>
      </c>
      <c r="F51" s="735" t="s">
        <v>246</v>
      </c>
      <c r="G51" s="735"/>
      <c r="H51" s="735"/>
      <c r="I51" s="776"/>
      <c r="J51" s="778"/>
      <c r="K51" s="777">
        <f>'INDES Sub Activities Detail'!J75</f>
        <v>0</v>
      </c>
      <c r="L51" s="778"/>
      <c r="M51" s="777">
        <f>'INDES Sub Activities Detail'!M75</f>
        <v>1726.4</v>
      </c>
      <c r="N51" s="776"/>
      <c r="O51" s="777">
        <f>'INDES Sub Activities Detail'!P75</f>
        <v>5386.3680000000004</v>
      </c>
      <c r="P51" s="776"/>
      <c r="Q51" s="777">
        <f>'INDES Sub Activities Detail'!S75</f>
        <v>1867.2742400000002</v>
      </c>
      <c r="R51" s="779">
        <f t="shared" si="26"/>
        <v>8980.0422400000007</v>
      </c>
      <c r="S51" s="778"/>
      <c r="T51" s="780">
        <f>SUM(R51:S51)</f>
        <v>8980.0422400000007</v>
      </c>
    </row>
    <row r="52" spans="1:22" ht="61.2">
      <c r="A52" s="772" t="s">
        <v>959</v>
      </c>
      <c r="B52" s="772">
        <v>89050</v>
      </c>
      <c r="C52" s="772" t="s">
        <v>910</v>
      </c>
      <c r="D52" s="772" t="s">
        <v>1047</v>
      </c>
      <c r="E52" s="805" t="s">
        <v>577</v>
      </c>
      <c r="F52" s="735" t="s">
        <v>246</v>
      </c>
      <c r="I52" s="776"/>
      <c r="J52" s="778"/>
      <c r="K52" s="777">
        <f>'INDES Sub Activities Detail'!J83</f>
        <v>0</v>
      </c>
      <c r="L52" s="778"/>
      <c r="M52" s="777">
        <f>'INDES Sub Activities Detail'!M83</f>
        <v>5304</v>
      </c>
      <c r="N52" s="776"/>
      <c r="O52" s="777">
        <f>'INDES Sub Activities Detail'!P83</f>
        <v>5516.16</v>
      </c>
      <c r="P52" s="776"/>
      <c r="Q52" s="777">
        <f>'INDES Sub Activities Detail'!S83</f>
        <v>0</v>
      </c>
      <c r="R52" s="779">
        <f t="shared" si="26"/>
        <v>10820.16</v>
      </c>
      <c r="S52" s="778"/>
      <c r="T52" s="780">
        <f>SUM(R52:S52)</f>
        <v>10820.16</v>
      </c>
    </row>
    <row r="53" spans="1:22" ht="45.9">
      <c r="A53" s="772" t="s">
        <v>959</v>
      </c>
      <c r="B53" s="772">
        <v>89050</v>
      </c>
      <c r="C53" s="772" t="s">
        <v>910</v>
      </c>
      <c r="D53" s="772" t="s">
        <v>1048</v>
      </c>
      <c r="E53" s="772" t="s">
        <v>581</v>
      </c>
      <c r="F53" s="735" t="s">
        <v>246</v>
      </c>
      <c r="G53" s="735"/>
      <c r="H53" s="735"/>
      <c r="I53" s="776"/>
      <c r="J53" s="778"/>
      <c r="K53" s="777">
        <f>'INDES Sub Activities Detail'!J91</f>
        <v>0</v>
      </c>
      <c r="L53" s="778"/>
      <c r="M53" s="777">
        <f>'INDES Sub Activities Detail'!M91</f>
        <v>0</v>
      </c>
      <c r="N53" s="776"/>
      <c r="O53" s="777">
        <f>'INDES Sub Activities Detail'!P91</f>
        <v>973.44</v>
      </c>
      <c r="P53" s="776"/>
      <c r="Q53" s="777">
        <f>'INDES Sub Activities Detail'!S91</f>
        <v>1012.3776000000001</v>
      </c>
      <c r="R53" s="779">
        <f t="shared" si="26"/>
        <v>1985.8176000000003</v>
      </c>
      <c r="S53" s="778"/>
      <c r="T53" s="780">
        <f>SUM(R53:S53)</f>
        <v>1985.8176000000003</v>
      </c>
    </row>
    <row r="54" spans="1:22" s="872" customFormat="1" ht="61.2">
      <c r="A54" s="772" t="s">
        <v>959</v>
      </c>
      <c r="B54" s="772">
        <v>89050</v>
      </c>
      <c r="C54" s="772" t="s">
        <v>910</v>
      </c>
      <c r="D54" s="772" t="s">
        <v>1049</v>
      </c>
      <c r="E54" s="772" t="s">
        <v>582</v>
      </c>
      <c r="F54" s="735" t="s">
        <v>246</v>
      </c>
      <c r="G54" s="735"/>
      <c r="H54" s="735"/>
      <c r="I54" s="776"/>
      <c r="J54" s="778"/>
      <c r="K54" s="777">
        <f>'INDES Sub Activities Detail'!J104</f>
        <v>0</v>
      </c>
      <c r="L54" s="778"/>
      <c r="M54" s="777">
        <f>'INDES Sub Activities Detail'!M104</f>
        <v>0</v>
      </c>
      <c r="N54" s="776"/>
      <c r="O54" s="777">
        <f>'INDES Sub Activities Detail'!P104</f>
        <v>1946.88</v>
      </c>
      <c r="P54" s="776"/>
      <c r="Q54" s="777">
        <f>'INDES Sub Activities Detail'!S104</f>
        <v>2024.7552000000003</v>
      </c>
      <c r="R54" s="779">
        <f t="shared" si="26"/>
        <v>3971.6352000000006</v>
      </c>
      <c r="S54" s="778"/>
      <c r="T54" s="780">
        <f t="shared" ref="T54:T55" si="27">SUM(R54:S54)</f>
        <v>3971.6352000000006</v>
      </c>
    </row>
    <row r="55" spans="1:22" s="872" customFormat="1" ht="15.3">
      <c r="A55" s="979"/>
      <c r="B55" s="979"/>
      <c r="C55" s="979"/>
      <c r="D55" s="979"/>
      <c r="E55" s="979" t="s">
        <v>248</v>
      </c>
      <c r="F55" s="972"/>
      <c r="G55" s="972"/>
      <c r="H55" s="972"/>
      <c r="I55" s="973"/>
      <c r="J55" s="974"/>
      <c r="K55" s="975"/>
      <c r="L55" s="974"/>
      <c r="M55" s="974"/>
      <c r="N55" s="973"/>
      <c r="O55" s="974"/>
      <c r="P55" s="973"/>
      <c r="Q55" s="974"/>
      <c r="R55" s="976"/>
      <c r="S55" s="974"/>
      <c r="T55" s="977">
        <f t="shared" si="27"/>
        <v>0</v>
      </c>
    </row>
    <row r="56" spans="1:22" s="873" customFormat="1" ht="30.6">
      <c r="A56" s="772" t="s">
        <v>959</v>
      </c>
      <c r="B56" s="772">
        <v>89050</v>
      </c>
      <c r="C56" s="772" t="s">
        <v>910</v>
      </c>
      <c r="D56" s="772" t="s">
        <v>1050</v>
      </c>
      <c r="E56" s="772" t="s">
        <v>584</v>
      </c>
      <c r="F56" s="735" t="s">
        <v>249</v>
      </c>
      <c r="G56" s="735"/>
      <c r="H56" s="735"/>
      <c r="I56" s="776"/>
      <c r="J56" s="778"/>
      <c r="K56" s="777">
        <f>'INDES Sub Activities Detail'!J118</f>
        <v>0</v>
      </c>
      <c r="L56" s="778"/>
      <c r="M56" s="777">
        <f>'INDES Sub Activities Detail'!M118</f>
        <v>302</v>
      </c>
      <c r="N56" s="776"/>
      <c r="O56" s="777">
        <f>'INDES Sub Activities Detail'!P118</f>
        <v>0</v>
      </c>
      <c r="P56" s="776"/>
      <c r="Q56" s="777">
        <f>'INDES Sub Activities Detail'!S118</f>
        <v>0</v>
      </c>
      <c r="R56" s="779">
        <f t="shared" ref="R56" si="28">SUM(K56+M56+O56+Q56)</f>
        <v>302</v>
      </c>
      <c r="S56" s="778"/>
      <c r="T56" s="780">
        <f>SUM(R56:S56)</f>
        <v>302</v>
      </c>
    </row>
    <row r="57" spans="1:22" s="872" customFormat="1" ht="30.6">
      <c r="A57" s="772" t="s">
        <v>959</v>
      </c>
      <c r="B57" s="772">
        <v>89050</v>
      </c>
      <c r="C57" s="772" t="s">
        <v>910</v>
      </c>
      <c r="D57" s="772" t="s">
        <v>1051</v>
      </c>
      <c r="E57" s="772" t="s">
        <v>585</v>
      </c>
      <c r="F57" s="735" t="s">
        <v>249</v>
      </c>
      <c r="G57" s="735"/>
      <c r="H57" s="735"/>
      <c r="I57" s="776"/>
      <c r="J57" s="778"/>
      <c r="K57" s="777">
        <f>'INDES Sub Activities Detail'!J129</f>
        <v>0</v>
      </c>
      <c r="L57" s="778"/>
      <c r="M57" s="777">
        <f>'INDES Sub Activities Detail'!M129</f>
        <v>2808</v>
      </c>
      <c r="N57" s="776"/>
      <c r="O57" s="777">
        <f>'INDES Sub Activities Detail'!P129</f>
        <v>0</v>
      </c>
      <c r="P57" s="776"/>
      <c r="Q57" s="777">
        <f>'INDES Sub Activities Detail'!S129</f>
        <v>0</v>
      </c>
      <c r="R57" s="779">
        <f t="shared" ref="R57:R60" si="29">SUM(K57+M57+O57+Q57)</f>
        <v>2808</v>
      </c>
      <c r="S57" s="778"/>
      <c r="T57" s="780">
        <f>SUM(R57:S57)</f>
        <v>2808</v>
      </c>
    </row>
    <row r="58" spans="1:22" ht="45.9">
      <c r="A58" s="772" t="s">
        <v>959</v>
      </c>
      <c r="B58" s="772">
        <v>89050</v>
      </c>
      <c r="C58" s="772" t="s">
        <v>910</v>
      </c>
      <c r="D58" s="772" t="s">
        <v>1052</v>
      </c>
      <c r="E58" s="772" t="s">
        <v>586</v>
      </c>
      <c r="F58" s="735" t="s">
        <v>249</v>
      </c>
      <c r="I58" s="776"/>
      <c r="J58" s="778"/>
      <c r="K58" s="777">
        <f>'INDES Sub Activities Detail'!J137</f>
        <v>0</v>
      </c>
      <c r="L58" s="778"/>
      <c r="M58" s="777">
        <f>'INDES Sub Activities Detail'!M137</f>
        <v>104</v>
      </c>
      <c r="N58" s="776"/>
      <c r="O58" s="777">
        <f>'INDES Sub Activities Detail'!P137</f>
        <v>216.32000000000002</v>
      </c>
      <c r="P58" s="776"/>
      <c r="Q58" s="777">
        <f>'INDES Sub Activities Detail'!S137</f>
        <v>0</v>
      </c>
      <c r="R58" s="779">
        <f t="shared" si="29"/>
        <v>320.32000000000005</v>
      </c>
      <c r="S58" s="778"/>
      <c r="T58" s="780">
        <f>SUM(R58:S58)</f>
        <v>320.32000000000005</v>
      </c>
    </row>
    <row r="59" spans="1:22" s="872" customFormat="1" ht="30.6">
      <c r="A59" s="772" t="s">
        <v>959</v>
      </c>
      <c r="B59" s="772">
        <v>89050</v>
      </c>
      <c r="C59" s="772" t="s">
        <v>910</v>
      </c>
      <c r="D59" s="772" t="s">
        <v>1053</v>
      </c>
      <c r="E59" s="772" t="s">
        <v>589</v>
      </c>
      <c r="F59" s="735" t="s">
        <v>249</v>
      </c>
      <c r="G59" s="735"/>
      <c r="H59" s="735"/>
      <c r="I59" s="776"/>
      <c r="J59" s="778"/>
      <c r="K59" s="777">
        <f>'INDES Sub Activities Detail'!J149</f>
        <v>0</v>
      </c>
      <c r="L59" s="778"/>
      <c r="M59" s="777">
        <f>'INDES Sub Activities Detail'!M149</f>
        <v>2600</v>
      </c>
      <c r="N59" s="776"/>
      <c r="O59" s="777">
        <f>'INDES Sub Activities Detail'!P149</f>
        <v>5408</v>
      </c>
      <c r="P59" s="776"/>
      <c r="Q59" s="777">
        <f>'INDES Sub Activities Detail'!S149</f>
        <v>0</v>
      </c>
      <c r="R59" s="779">
        <f t="shared" si="29"/>
        <v>8008</v>
      </c>
      <c r="S59" s="778"/>
      <c r="T59" s="780">
        <f>SUM(R59:S59)</f>
        <v>8008</v>
      </c>
    </row>
    <row r="60" spans="1:22" ht="45.9">
      <c r="A60" s="772" t="s">
        <v>959</v>
      </c>
      <c r="B60" s="772">
        <v>89050</v>
      </c>
      <c r="C60" s="772" t="s">
        <v>910</v>
      </c>
      <c r="D60" s="772" t="s">
        <v>1054</v>
      </c>
      <c r="E60" s="805" t="s">
        <v>594</v>
      </c>
      <c r="F60" s="735" t="s">
        <v>249</v>
      </c>
      <c r="I60" s="776"/>
      <c r="J60" s="778"/>
      <c r="K60" s="777">
        <f>'INDES Sub Activities Detail'!J163</f>
        <v>0</v>
      </c>
      <c r="L60" s="778"/>
      <c r="M60" s="777">
        <f>'INDES Sub Activities Detail'!M163</f>
        <v>5200</v>
      </c>
      <c r="N60" s="776"/>
      <c r="O60" s="777">
        <f>'INDES Sub Activities Detail'!P163</f>
        <v>5408</v>
      </c>
      <c r="P60" s="776"/>
      <c r="Q60" s="777">
        <f>'INDES Sub Activities Detail'!S163</f>
        <v>0</v>
      </c>
      <c r="R60" s="779">
        <f t="shared" si="29"/>
        <v>10608</v>
      </c>
      <c r="S60" s="778"/>
      <c r="T60" s="780">
        <f>SUM(R60:S60)</f>
        <v>10608</v>
      </c>
    </row>
    <row r="61" spans="1:22" ht="15.6" thickBot="1">
      <c r="A61" s="813"/>
      <c r="B61" s="813"/>
      <c r="C61" s="813"/>
      <c r="D61" s="813"/>
      <c r="E61" s="813" t="s">
        <v>284</v>
      </c>
      <c r="F61" s="814"/>
      <c r="G61" s="814"/>
      <c r="H61" s="814"/>
      <c r="I61" s="874"/>
      <c r="J61" s="875"/>
      <c r="K61" s="876">
        <f>SUM(K43:K60)</f>
        <v>2700</v>
      </c>
      <c r="L61" s="876"/>
      <c r="M61" s="876">
        <f>SUM(M43:M60)</f>
        <v>36748.800000000003</v>
      </c>
      <c r="N61" s="876"/>
      <c r="O61" s="876">
        <f>SUM(O43:O60)</f>
        <v>44307.743999999999</v>
      </c>
      <c r="P61" s="876"/>
      <c r="Q61" s="876">
        <f>SUM(Q43:Q60)</f>
        <v>14735.718400000002</v>
      </c>
      <c r="R61" s="876">
        <f>SUM(R43:R60)</f>
        <v>98492.262400000021</v>
      </c>
      <c r="S61" s="877">
        <f>SUM(S46:S49)</f>
        <v>0</v>
      </c>
      <c r="T61" s="844">
        <f>SUM(T43:T60)</f>
        <v>98492.262400000021</v>
      </c>
      <c r="V61" s="970"/>
    </row>
    <row r="62" spans="1:22" ht="15.3">
      <c r="A62" s="878"/>
      <c r="B62" s="878"/>
      <c r="C62" s="878"/>
      <c r="D62" s="878"/>
      <c r="E62" s="878"/>
      <c r="F62" s="879"/>
      <c r="G62" s="879"/>
      <c r="I62" s="847"/>
      <c r="J62" s="808"/>
      <c r="K62" s="809"/>
      <c r="L62" s="808"/>
      <c r="M62" s="808"/>
      <c r="N62" s="810"/>
      <c r="O62" s="808"/>
      <c r="P62" s="810"/>
      <c r="Q62" s="808"/>
      <c r="R62" s="811"/>
      <c r="S62" s="778"/>
      <c r="T62" s="812"/>
    </row>
    <row r="63" spans="1:22" ht="15.6" thickBot="1">
      <c r="A63" s="880"/>
      <c r="B63" s="880"/>
      <c r="C63" s="880"/>
      <c r="D63" s="880"/>
      <c r="E63" s="880" t="s">
        <v>285</v>
      </c>
      <c r="F63" s="881"/>
      <c r="G63" s="881"/>
      <c r="H63" s="881"/>
      <c r="I63" s="882"/>
      <c r="J63" s="883"/>
      <c r="K63" s="884">
        <f>SUM(K19+K25+K29+K37++K61+K40+K33)</f>
        <v>121869.5439</v>
      </c>
      <c r="L63" s="885"/>
      <c r="M63" s="885">
        <f>SUM(M19+M25+M29+M37++M61+M40+M33)</f>
        <v>177033.39646000002</v>
      </c>
      <c r="N63" s="886"/>
      <c r="O63" s="885">
        <f>SUM(O19+O25+O29+O37++O61+O40+O33)</f>
        <v>193163.09668300001</v>
      </c>
      <c r="P63" s="886"/>
      <c r="Q63" s="885">
        <f>SUM(Q19+Q25+Q29+Q37++Q61+Q40+Q33)</f>
        <v>90015.358654575015</v>
      </c>
      <c r="R63" s="887">
        <f>SUM(R19+R25+R29+R37++R61+R40+R33)</f>
        <v>582081.39569757506</v>
      </c>
      <c r="S63" s="885">
        <f>SUM(S19+S25+S29+S37++S61+S40+S33)</f>
        <v>0</v>
      </c>
      <c r="T63" s="888">
        <f>SUM(T19+T25+T29+T37++T61+T40+T33)</f>
        <v>582081.39569757506</v>
      </c>
    </row>
    <row r="64" spans="1:22" ht="15.3">
      <c r="A64" s="889"/>
      <c r="B64" s="889"/>
      <c r="C64" s="889"/>
      <c r="D64" s="889"/>
      <c r="E64" s="889"/>
      <c r="F64" s="890"/>
      <c r="G64" s="890"/>
      <c r="I64" s="847"/>
      <c r="J64" s="808"/>
      <c r="K64" s="891"/>
      <c r="L64" s="892"/>
      <c r="M64" s="892"/>
      <c r="N64" s="893"/>
      <c r="O64" s="892"/>
      <c r="P64" s="893"/>
      <c r="Q64" s="892"/>
      <c r="R64" s="894"/>
      <c r="S64" s="892"/>
      <c r="T64" s="895"/>
    </row>
    <row r="65" spans="1:20" ht="30.6">
      <c r="A65" s="772" t="s">
        <v>959</v>
      </c>
      <c r="B65" s="772">
        <v>89050</v>
      </c>
      <c r="C65" s="772" t="s">
        <v>910</v>
      </c>
      <c r="D65" s="889" t="s">
        <v>986</v>
      </c>
      <c r="E65" s="889" t="s">
        <v>614</v>
      </c>
      <c r="F65" s="736" t="s">
        <v>287</v>
      </c>
      <c r="H65" s="879"/>
      <c r="I65" s="896"/>
      <c r="J65" s="804">
        <v>0.1</v>
      </c>
      <c r="K65" s="891">
        <f>(K63)*J65</f>
        <v>12186.954390000001</v>
      </c>
      <c r="L65" s="892"/>
      <c r="M65" s="892">
        <f>(M63)*J65</f>
        <v>17703.339646000004</v>
      </c>
      <c r="N65" s="893"/>
      <c r="O65" s="892">
        <f>(O63)*J65</f>
        <v>19316.3096683</v>
      </c>
      <c r="P65" s="849"/>
      <c r="Q65" s="892">
        <f>(Q63)*J65</f>
        <v>9001.5358654575011</v>
      </c>
      <c r="R65" s="894">
        <f>SUM(K65+M65+O65+Q65)</f>
        <v>58208.139569757514</v>
      </c>
      <c r="S65" s="892">
        <v>0</v>
      </c>
      <c r="T65" s="895">
        <f>SUM(R65:S65)</f>
        <v>58208.139569757514</v>
      </c>
    </row>
    <row r="66" spans="1:20" ht="15.3">
      <c r="A66" s="897"/>
      <c r="B66" s="897"/>
      <c r="C66" s="897"/>
      <c r="D66" s="897"/>
      <c r="E66" s="897"/>
      <c r="F66" s="872"/>
      <c r="G66" s="872"/>
      <c r="H66" s="898"/>
      <c r="I66" s="899"/>
      <c r="J66" s="900"/>
      <c r="K66" s="901"/>
      <c r="L66" s="902"/>
      <c r="M66" s="902"/>
      <c r="N66" s="903"/>
      <c r="O66" s="902"/>
      <c r="P66" s="903"/>
      <c r="Q66" s="902"/>
      <c r="R66" s="904"/>
      <c r="S66" s="902"/>
      <c r="T66" s="905"/>
    </row>
    <row r="67" spans="1:20" ht="15.6" thickBot="1">
      <c r="A67" s="880"/>
      <c r="B67" s="880"/>
      <c r="C67" s="880"/>
      <c r="D67" s="880"/>
      <c r="E67" s="880" t="s">
        <v>288</v>
      </c>
      <c r="F67" s="881"/>
      <c r="G67" s="881"/>
      <c r="H67" s="881"/>
      <c r="I67" s="882"/>
      <c r="J67" s="883"/>
      <c r="K67" s="906">
        <f>K63+K65</f>
        <v>134056.49829000002</v>
      </c>
      <c r="L67" s="907"/>
      <c r="M67" s="907">
        <f t="shared" ref="M67:Q67" si="30">M63+M65</f>
        <v>194736.73610600003</v>
      </c>
      <c r="N67" s="908"/>
      <c r="O67" s="907">
        <f t="shared" si="30"/>
        <v>212479.40635130001</v>
      </c>
      <c r="P67" s="908"/>
      <c r="Q67" s="907">
        <f t="shared" si="30"/>
        <v>99016.894520032511</v>
      </c>
      <c r="R67" s="909">
        <f>R63+R65</f>
        <v>640289.53526733257</v>
      </c>
      <c r="S67" s="907">
        <f>S63+S65</f>
        <v>0</v>
      </c>
      <c r="T67" s="910">
        <f>SUM(R67:S67)</f>
        <v>640289.53526733257</v>
      </c>
    </row>
    <row r="68" spans="1:20" ht="15.3"/>
    <row r="69" spans="1:20" ht="15.3">
      <c r="T69" s="911"/>
    </row>
    <row r="70" spans="1:20" ht="15.3"/>
    <row r="71" spans="1:20" ht="12" customHeight="1">
      <c r="A71" s="912"/>
      <c r="B71" s="912"/>
      <c r="C71" s="912"/>
      <c r="D71" s="912"/>
      <c r="E71" s="912"/>
      <c r="F71" s="912"/>
      <c r="G71" s="912"/>
      <c r="H71" s="913"/>
    </row>
    <row r="72" spans="1:20" ht="12" customHeight="1">
      <c r="A72" s="912"/>
      <c r="B72" s="912"/>
      <c r="C72" s="912"/>
      <c r="D72" s="912"/>
      <c r="E72" s="912"/>
      <c r="F72" s="912"/>
      <c r="G72" s="912"/>
      <c r="H72" s="914"/>
    </row>
  </sheetData>
  <mergeCells count="5">
    <mergeCell ref="E1:T1"/>
    <mergeCell ref="E2:T2"/>
    <mergeCell ref="E3:T3"/>
    <mergeCell ref="E4:T4"/>
    <mergeCell ref="E5:F5"/>
  </mergeCells>
  <phoneticPr fontId="11" type="noConversion"/>
  <pageMargins left="0.7" right="0.7" top="0.75" bottom="0.75" header="0.3" footer="0.3"/>
  <pageSetup paperSize="17" scale="96" fitToHeight="0" orientation="landscape" r:id="rId1"/>
  <headerFooter alignWithMargins="0"/>
  <rowBreaks count="1" manualBreakCount="1">
    <brk id="40" min="4" max="1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924B-A0C0-4D67-8BAB-6141210F0089}">
  <sheetPr>
    <tabColor theme="5" tint="0.39997558519241921"/>
    <pageSetUpPr fitToPage="1"/>
  </sheetPr>
  <dimension ref="A1:V280"/>
  <sheetViews>
    <sheetView topLeftCell="A2" zoomScaleNormal="100" workbookViewId="0">
      <pane ySplit="9" topLeftCell="A50" activePane="bottomLeft" state="frozen"/>
      <selection activeCell="A10" sqref="A10"/>
      <selection pane="bottomLeft" activeCell="A13" sqref="A13"/>
    </sheetView>
  </sheetViews>
  <sheetFormatPr defaultColWidth="9.27734375" defaultRowHeight="15.3"/>
  <cols>
    <col min="1" max="1" width="36.27734375" style="590" customWidth="1"/>
    <col min="2" max="3" width="10.71875" style="590" customWidth="1"/>
    <col min="4" max="4" width="8.5546875" style="590" bestFit="1" customWidth="1"/>
    <col min="5" max="5" width="11.27734375" style="590" bestFit="1" customWidth="1"/>
    <col min="6" max="6" width="9.27734375" style="590" bestFit="1" customWidth="1"/>
    <col min="7" max="7" width="8.5546875" style="590" bestFit="1" customWidth="1"/>
    <col min="8" max="8" width="6.5546875" style="590" hidden="1" customWidth="1"/>
    <col min="9" max="9" width="6.71875" style="590" customWidth="1"/>
    <col min="10" max="10" width="8.27734375" style="590" bestFit="1" customWidth="1"/>
    <col min="11" max="11" width="6.5546875" style="590" hidden="1" customWidth="1"/>
    <col min="12" max="12" width="9.27734375" style="590" bestFit="1" customWidth="1"/>
    <col min="13" max="13" width="10.27734375" style="590" bestFit="1" customWidth="1"/>
    <col min="14" max="14" width="6.5546875" style="590" hidden="1" customWidth="1"/>
    <col min="15" max="15" width="8.27734375" style="590" bestFit="1" customWidth="1"/>
    <col min="16" max="16" width="10.27734375" style="590" customWidth="1"/>
    <col min="17" max="17" width="6.5546875" style="590" hidden="1" customWidth="1"/>
    <col min="18" max="18" width="8.27734375" style="590" bestFit="1" customWidth="1"/>
    <col min="19" max="19" width="10.27734375" style="590" bestFit="1" customWidth="1"/>
    <col min="20" max="20" width="10.27734375" style="591" bestFit="1" customWidth="1"/>
    <col min="21" max="16384" width="9.27734375" style="590"/>
  </cols>
  <sheetData>
    <row r="1" spans="1:22" hidden="1">
      <c r="A1" s="479" t="e">
        <f>'INDES Sub Line-Item Budget'!E2:T2</f>
        <v>#VALUE!</v>
      </c>
      <c r="B1" s="479"/>
    </row>
    <row r="2" spans="1:22">
      <c r="A2" s="479" t="s">
        <v>3</v>
      </c>
      <c r="B2" s="479" t="str">
        <f>Assumptions!C5</f>
        <v>USDOL</v>
      </c>
      <c r="T2" s="590"/>
    </row>
    <row r="3" spans="1:22">
      <c r="A3" s="479" t="s">
        <v>5</v>
      </c>
      <c r="B3" s="479" t="str">
        <f>Assumptions!C6</f>
        <v>Ecuador</v>
      </c>
      <c r="T3" s="590"/>
    </row>
    <row r="4" spans="1:22">
      <c r="A4" s="479" t="s">
        <v>7</v>
      </c>
      <c r="B4" s="479" t="str">
        <f>Assumptions!C7</f>
        <v>Project to Improve Adherence to International Labor Standards in the Agricultural Sector in Ecuador</v>
      </c>
      <c r="F4" s="668"/>
      <c r="T4" s="590"/>
    </row>
    <row r="5" spans="1:22">
      <c r="A5" s="479" t="s">
        <v>9</v>
      </c>
      <c r="B5" s="479" t="str">
        <f>Assumptions!C8</f>
        <v>FOA-ILAB-23-28</v>
      </c>
      <c r="F5" s="999"/>
      <c r="I5" s="592"/>
      <c r="L5" s="592"/>
      <c r="O5" s="592"/>
      <c r="R5" s="592"/>
      <c r="T5" s="590"/>
    </row>
    <row r="6" spans="1:22">
      <c r="A6" s="479" t="s">
        <v>11</v>
      </c>
      <c r="B6" s="479" t="str">
        <f>Assumptions!C9</f>
        <v>48 months</v>
      </c>
      <c r="C6" s="585"/>
      <c r="D6" s="584"/>
      <c r="F6" s="999"/>
      <c r="I6" s="592"/>
      <c r="L6" s="592"/>
      <c r="O6" s="592"/>
      <c r="R6" s="592"/>
      <c r="T6" s="590"/>
    </row>
    <row r="7" spans="1:22">
      <c r="A7" s="479"/>
      <c r="J7" s="592"/>
      <c r="M7" s="592"/>
      <c r="P7" s="592"/>
      <c r="S7" s="592"/>
      <c r="T7" s="592"/>
    </row>
    <row r="8" spans="1:22">
      <c r="A8" s="479"/>
      <c r="J8" s="592"/>
      <c r="M8" s="592"/>
      <c r="P8" s="592"/>
      <c r="S8" s="592"/>
      <c r="T8" s="592"/>
    </row>
    <row r="9" spans="1:22" ht="15.6" thickBot="1">
      <c r="A9" s="591"/>
      <c r="V9" s="593"/>
    </row>
    <row r="10" spans="1:22" s="591" customFormat="1">
      <c r="A10" s="594" t="s">
        <v>532</v>
      </c>
      <c r="B10" s="595" t="s">
        <v>335</v>
      </c>
      <c r="C10" s="595"/>
      <c r="D10" s="595" t="s">
        <v>533</v>
      </c>
      <c r="E10" s="595" t="s">
        <v>43</v>
      </c>
      <c r="F10" s="595" t="s">
        <v>534</v>
      </c>
      <c r="G10" s="596"/>
      <c r="H10" s="1135" t="str">
        <f>'INDES Sub Line-Item Budget'!K10</f>
        <v>Year 1</v>
      </c>
      <c r="I10" s="1136"/>
      <c r="J10" s="1137"/>
      <c r="K10" s="1135" t="str">
        <f>'INDES Sub Line-Item Budget'!M10</f>
        <v>Year 2</v>
      </c>
      <c r="L10" s="1136"/>
      <c r="M10" s="1137"/>
      <c r="N10" s="1135" t="str">
        <f>'INDES Sub Line-Item Budget'!O10</f>
        <v>Year 3</v>
      </c>
      <c r="O10" s="1136"/>
      <c r="P10" s="1137"/>
      <c r="Q10" s="1135" t="str">
        <f>'INDES Sub Line-Item Budget'!Q10</f>
        <v>Year 4</v>
      </c>
      <c r="R10" s="1136"/>
      <c r="S10" s="1137"/>
      <c r="T10" s="597" t="s">
        <v>71</v>
      </c>
      <c r="V10" s="593"/>
    </row>
    <row r="11" spans="1:22" s="591" customFormat="1" ht="14.25" customHeight="1" thickBot="1">
      <c r="A11" s="598"/>
      <c r="B11" s="599"/>
      <c r="C11" s="599"/>
      <c r="D11" s="599"/>
      <c r="E11" s="599"/>
      <c r="F11" s="599"/>
      <c r="G11" s="1083"/>
      <c r="H11" s="1165" t="s">
        <v>535</v>
      </c>
      <c r="I11" s="1139"/>
      <c r="J11" s="601" t="s">
        <v>536</v>
      </c>
      <c r="K11" s="1138" t="s">
        <v>535</v>
      </c>
      <c r="L11" s="1139"/>
      <c r="M11" s="601" t="s">
        <v>536</v>
      </c>
      <c r="N11" s="1138" t="s">
        <v>535</v>
      </c>
      <c r="O11" s="1139"/>
      <c r="P11" s="601" t="s">
        <v>536</v>
      </c>
      <c r="Q11" s="1138" t="s">
        <v>535</v>
      </c>
      <c r="R11" s="1139"/>
      <c r="S11" s="601" t="s">
        <v>536</v>
      </c>
      <c r="T11" s="602"/>
      <c r="V11" s="593"/>
    </row>
    <row r="12" spans="1:22" s="591" customFormat="1" ht="15.6" thickTop="1">
      <c r="A12" s="603" t="s">
        <v>537</v>
      </c>
      <c r="B12" s="604">
        <v>0.04</v>
      </c>
      <c r="C12" s="605"/>
      <c r="D12" s="605"/>
      <c r="E12" s="605"/>
      <c r="F12" s="605"/>
      <c r="G12" s="1084"/>
      <c r="H12" s="607"/>
      <c r="I12" s="607"/>
      <c r="J12" s="1080">
        <v>1</v>
      </c>
      <c r="K12" s="607"/>
      <c r="L12" s="607"/>
      <c r="M12" s="1071">
        <f>$J$12*SUM(1+$B$12)</f>
        <v>1.04</v>
      </c>
      <c r="N12" s="607"/>
      <c r="O12" s="607"/>
      <c r="P12" s="608">
        <f>$M$12*SUM(1+$B$12)</f>
        <v>1.0816000000000001</v>
      </c>
      <c r="Q12" s="607"/>
      <c r="R12" s="1072"/>
      <c r="S12" s="608">
        <f>$P$12*SUM(1+$B$12)</f>
        <v>1.1248640000000001</v>
      </c>
      <c r="T12" s="609"/>
      <c r="V12" s="593"/>
    </row>
    <row r="13" spans="1:22">
      <c r="A13" s="586" t="s">
        <v>538</v>
      </c>
      <c r="B13" s="610"/>
      <c r="C13" s="610"/>
      <c r="D13" s="610"/>
      <c r="E13" s="610"/>
      <c r="F13" s="610"/>
      <c r="G13" s="1081"/>
      <c r="H13" s="610"/>
      <c r="I13" s="610"/>
      <c r="J13" s="1081"/>
      <c r="K13" s="610"/>
      <c r="L13" s="610"/>
      <c r="M13" s="1069"/>
      <c r="N13" s="610"/>
      <c r="O13" s="610"/>
      <c r="P13" s="610"/>
      <c r="Q13" s="610"/>
      <c r="R13" s="1073"/>
      <c r="S13" s="610"/>
      <c r="T13" s="611"/>
      <c r="V13" s="593"/>
    </row>
    <row r="14" spans="1:22" ht="15.6" thickBot="1">
      <c r="A14" s="587"/>
      <c r="B14" s="612"/>
      <c r="C14" s="612"/>
      <c r="D14" s="612"/>
      <c r="E14" s="612"/>
      <c r="F14" s="612"/>
      <c r="G14" s="1082"/>
      <c r="H14" s="612"/>
      <c r="I14" s="612"/>
      <c r="J14" s="1082"/>
      <c r="K14" s="612"/>
      <c r="L14" s="612"/>
      <c r="M14" s="1070"/>
      <c r="N14" s="612"/>
      <c r="O14" s="612"/>
      <c r="P14" s="612"/>
      <c r="Q14" s="612"/>
      <c r="R14" s="1074"/>
      <c r="S14" s="612"/>
      <c r="T14" s="613"/>
      <c r="V14" s="593"/>
    </row>
    <row r="15" spans="1:22" ht="13.5" customHeight="1" thickTop="1" thickBot="1">
      <c r="A15" s="588"/>
      <c r="B15" s="650"/>
      <c r="C15" s="650"/>
      <c r="D15" s="650"/>
      <c r="E15" s="650"/>
      <c r="F15" s="650"/>
      <c r="G15" s="1082"/>
      <c r="H15" s="612"/>
      <c r="I15" s="612"/>
      <c r="J15" s="1082"/>
      <c r="K15" s="612"/>
      <c r="L15" s="612"/>
      <c r="M15" s="1070"/>
      <c r="N15" s="612"/>
      <c r="O15" s="612"/>
      <c r="P15" s="612"/>
      <c r="Q15" s="612"/>
      <c r="R15" s="1074"/>
      <c r="S15" s="612"/>
      <c r="T15" s="613"/>
      <c r="V15" s="593"/>
    </row>
    <row r="16" spans="1:22" ht="32.65" customHeight="1" thickTop="1">
      <c r="A16" s="1143" t="e">
        <f>' Activities Detail'!D42:H42</f>
        <v>#VALUE!</v>
      </c>
      <c r="B16" s="1144"/>
      <c r="C16" s="1144"/>
      <c r="D16" s="1144"/>
      <c r="E16" s="1145"/>
      <c r="F16" s="614">
        <v>1</v>
      </c>
      <c r="G16" s="1075"/>
      <c r="H16" s="1164"/>
      <c r="I16" s="1152"/>
      <c r="J16" s="617">
        <f>SUM(I18:I20)</f>
        <v>0</v>
      </c>
      <c r="K16" s="1152">
        <v>6</v>
      </c>
      <c r="L16" s="1141"/>
      <c r="M16" s="617">
        <f>SUM(L18:L20)</f>
        <v>2808</v>
      </c>
      <c r="N16" s="1140">
        <v>6</v>
      </c>
      <c r="O16" s="1141"/>
      <c r="P16" s="617">
        <f>SUM(O18:O20)</f>
        <v>2920.32</v>
      </c>
      <c r="Q16" s="1142">
        <v>3</v>
      </c>
      <c r="R16" s="1140"/>
      <c r="S16" s="617">
        <f>SUM(R18:R20)</f>
        <v>1518.5664000000002</v>
      </c>
      <c r="T16" s="618">
        <f>SUM(J16,M16,P16,S16,)</f>
        <v>7246.8863999999994</v>
      </c>
      <c r="V16" s="593"/>
    </row>
    <row r="17" spans="1:22">
      <c r="A17" s="619" t="s">
        <v>566</v>
      </c>
      <c r="B17" s="620"/>
      <c r="C17" s="620"/>
      <c r="D17" s="620"/>
      <c r="E17" s="621"/>
      <c r="F17" s="620"/>
      <c r="G17" s="1076"/>
      <c r="H17" s="620"/>
      <c r="I17" s="620"/>
      <c r="J17" s="623"/>
      <c r="K17" s="620"/>
      <c r="L17" s="620"/>
      <c r="M17" s="623"/>
      <c r="N17" s="622"/>
      <c r="O17" s="620"/>
      <c r="P17" s="623"/>
      <c r="Q17" s="622"/>
      <c r="R17" s="620"/>
      <c r="S17" s="623"/>
      <c r="T17" s="624"/>
      <c r="V17" s="593"/>
    </row>
    <row r="18" spans="1:22">
      <c r="A18" s="625" t="s">
        <v>615</v>
      </c>
      <c r="B18" s="626">
        <v>20</v>
      </c>
      <c r="C18" s="627" t="s">
        <v>541</v>
      </c>
      <c r="D18" s="626">
        <f>parttransp</f>
        <v>4</v>
      </c>
      <c r="E18" s="627" t="s">
        <v>542</v>
      </c>
      <c r="F18" s="628">
        <f>IF(B18=0,0,F16)</f>
        <v>1</v>
      </c>
      <c r="G18" s="982">
        <f t="shared" ref="G18:G20" si="0">B18*D18*F18</f>
        <v>80</v>
      </c>
      <c r="H18" s="628"/>
      <c r="I18" s="628">
        <f>$G18*H16*J$12</f>
        <v>0</v>
      </c>
      <c r="J18" s="1078"/>
      <c r="K18" s="628"/>
      <c r="L18" s="628">
        <f>$G18*K16*M$12</f>
        <v>499.20000000000005</v>
      </c>
      <c r="M18" s="630"/>
      <c r="N18" s="629"/>
      <c r="O18" s="628">
        <f>$G18*N16*P$12</f>
        <v>519.16800000000001</v>
      </c>
      <c r="P18" s="630"/>
      <c r="Q18" s="629"/>
      <c r="R18" s="628">
        <f>$G18*Q16*S$12</f>
        <v>269.96736000000004</v>
      </c>
      <c r="S18" s="630"/>
      <c r="T18" s="631"/>
      <c r="V18" s="593"/>
    </row>
    <row r="19" spans="1:22">
      <c r="A19" s="625" t="s">
        <v>543</v>
      </c>
      <c r="B19" s="626">
        <v>20</v>
      </c>
      <c r="C19" s="627" t="s">
        <v>541</v>
      </c>
      <c r="D19" s="626">
        <f>coffee+lunch</f>
        <v>16</v>
      </c>
      <c r="E19" s="627" t="s">
        <v>542</v>
      </c>
      <c r="F19" s="628">
        <f>IF(B19=0,0,F16)</f>
        <v>1</v>
      </c>
      <c r="G19" s="982">
        <f t="shared" si="0"/>
        <v>320</v>
      </c>
      <c r="H19" s="628"/>
      <c r="I19" s="628">
        <f>$G19*H16*J$12</f>
        <v>0</v>
      </c>
      <c r="J19" s="1078"/>
      <c r="K19" s="628"/>
      <c r="L19" s="628">
        <f>$G19*K16*M$12</f>
        <v>1996.8000000000002</v>
      </c>
      <c r="M19" s="630"/>
      <c r="N19" s="629"/>
      <c r="O19" s="628">
        <f>$G19*N16*P$12</f>
        <v>2076.672</v>
      </c>
      <c r="P19" s="630"/>
      <c r="Q19" s="629"/>
      <c r="R19" s="628">
        <f>$G19*Q16*S$12</f>
        <v>1079.8694400000002</v>
      </c>
      <c r="S19" s="630"/>
      <c r="T19" s="631"/>
      <c r="V19" s="593"/>
    </row>
    <row r="20" spans="1:22">
      <c r="A20" s="625" t="s">
        <v>544</v>
      </c>
      <c r="B20" s="626">
        <v>1</v>
      </c>
      <c r="C20" s="627" t="s">
        <v>545</v>
      </c>
      <c r="D20" s="626">
        <f>print</f>
        <v>50</v>
      </c>
      <c r="E20" s="632" t="str">
        <f>C20</f>
        <v>activity</v>
      </c>
      <c r="F20" s="628">
        <f>IF(B20=0,0,1)</f>
        <v>1</v>
      </c>
      <c r="G20" s="982">
        <f t="shared" si="0"/>
        <v>50</v>
      </c>
      <c r="H20" s="628"/>
      <c r="I20" s="628">
        <f>$G20*H16*J$12</f>
        <v>0</v>
      </c>
      <c r="J20" s="1078"/>
      <c r="K20" s="628"/>
      <c r="L20" s="628">
        <f>$G20*K16*M$12</f>
        <v>312</v>
      </c>
      <c r="M20" s="630"/>
      <c r="N20" s="629"/>
      <c r="O20" s="628">
        <f>$G20*N16*P$12</f>
        <v>324.48</v>
      </c>
      <c r="P20" s="630"/>
      <c r="Q20" s="629"/>
      <c r="R20" s="628">
        <f>$G20*Q16*S$12</f>
        <v>168.7296</v>
      </c>
      <c r="S20" s="630"/>
      <c r="T20" s="631"/>
      <c r="V20" s="593"/>
    </row>
    <row r="21" spans="1:22">
      <c r="A21" s="625"/>
      <c r="B21" s="628"/>
      <c r="C21" s="628"/>
      <c r="D21" s="628"/>
      <c r="E21" s="628"/>
      <c r="F21" s="628"/>
      <c r="G21" s="982"/>
      <c r="H21" s="628"/>
      <c r="I21" s="628"/>
      <c r="J21" s="1078"/>
      <c r="K21" s="628"/>
      <c r="L21" s="628"/>
      <c r="M21" s="630"/>
      <c r="N21" s="629"/>
      <c r="O21" s="628"/>
      <c r="P21" s="630"/>
      <c r="Q21" s="629"/>
      <c r="R21" s="628"/>
      <c r="S21" s="630"/>
      <c r="T21" s="631"/>
      <c r="V21" s="593"/>
    </row>
    <row r="22" spans="1:22">
      <c r="A22" s="633" t="s">
        <v>554</v>
      </c>
      <c r="B22" s="628"/>
      <c r="C22" s="634"/>
      <c r="D22" s="628"/>
      <c r="E22" s="628"/>
      <c r="F22" s="628"/>
      <c r="G22" s="982">
        <f t="shared" ref="G22:G27" si="1">B22*D22*F22</f>
        <v>0</v>
      </c>
      <c r="H22" s="628"/>
      <c r="I22" s="628"/>
      <c r="J22" s="1078"/>
      <c r="K22" s="628"/>
      <c r="L22" s="628"/>
      <c r="M22" s="630"/>
      <c r="N22" s="629"/>
      <c r="O22" s="628"/>
      <c r="P22" s="630"/>
      <c r="Q22" s="629"/>
      <c r="R22" s="628"/>
      <c r="S22" s="630"/>
      <c r="T22" s="631"/>
      <c r="V22" s="593"/>
    </row>
    <row r="23" spans="1:22">
      <c r="A23" s="625" t="s">
        <v>563</v>
      </c>
      <c r="B23" s="626">
        <v>2</v>
      </c>
      <c r="C23" s="627" t="s">
        <v>541</v>
      </c>
      <c r="D23" s="626">
        <f>partground</f>
        <v>9</v>
      </c>
      <c r="E23" s="627" t="s">
        <v>556</v>
      </c>
      <c r="F23" s="628">
        <f>IF(B23=0,0,1)</f>
        <v>1</v>
      </c>
      <c r="G23" s="982">
        <f t="shared" si="1"/>
        <v>18</v>
      </c>
      <c r="H23" s="628"/>
      <c r="I23" s="628">
        <f>$G23*H23*J$12</f>
        <v>0</v>
      </c>
      <c r="J23" s="1078"/>
      <c r="K23" s="628"/>
      <c r="L23" s="628">
        <f>$G23*$K$16*M$12</f>
        <v>112.32000000000001</v>
      </c>
      <c r="M23" s="630"/>
      <c r="N23" s="629"/>
      <c r="O23" s="628">
        <f>$G23*$N$16*P$12</f>
        <v>116.81280000000001</v>
      </c>
      <c r="P23" s="630"/>
      <c r="Q23" s="629"/>
      <c r="R23" s="628">
        <f>$G23*$Q$16*S$12</f>
        <v>60.742656000000004</v>
      </c>
      <c r="S23" s="630"/>
      <c r="T23" s="631"/>
      <c r="V23" s="593"/>
    </row>
    <row r="24" spans="1:22">
      <c r="A24" s="625" t="s">
        <v>564</v>
      </c>
      <c r="B24" s="626">
        <v>2</v>
      </c>
      <c r="C24" s="627" t="s">
        <v>541</v>
      </c>
      <c r="D24" s="626">
        <f>partground</f>
        <v>9</v>
      </c>
      <c r="E24" s="627" t="s">
        <v>542</v>
      </c>
      <c r="F24" s="628">
        <f>IF(B24=0,0,1)</f>
        <v>1</v>
      </c>
      <c r="G24" s="982">
        <f t="shared" si="1"/>
        <v>18</v>
      </c>
      <c r="H24" s="628"/>
      <c r="I24" s="628">
        <f>$G24*J$12</f>
        <v>18</v>
      </c>
      <c r="J24" s="1078"/>
      <c r="K24" s="628"/>
      <c r="L24" s="628">
        <f>$G24*$K$16*M$12</f>
        <v>112.32000000000001</v>
      </c>
      <c r="M24" s="630"/>
      <c r="N24" s="629"/>
      <c r="O24" s="628">
        <f>$G24*$N$16*P$12</f>
        <v>116.81280000000001</v>
      </c>
      <c r="P24" s="630"/>
      <c r="Q24" s="629"/>
      <c r="R24" s="628">
        <f>$G24*$Q$16*S$12</f>
        <v>60.742656000000004</v>
      </c>
      <c r="S24" s="630"/>
      <c r="T24" s="631"/>
      <c r="V24" s="593"/>
    </row>
    <row r="25" spans="1:22">
      <c r="A25" s="625" t="s">
        <v>48</v>
      </c>
      <c r="B25" s="628"/>
      <c r="C25" s="627" t="s">
        <v>541</v>
      </c>
      <c r="D25" s="626">
        <f>partlodg</f>
        <v>25</v>
      </c>
      <c r="E25" s="627" t="s">
        <v>542</v>
      </c>
      <c r="F25" s="628">
        <v>1</v>
      </c>
      <c r="G25" s="982">
        <f t="shared" si="1"/>
        <v>0</v>
      </c>
      <c r="H25" s="628"/>
      <c r="I25" s="628">
        <f>$G25*J$12</f>
        <v>0</v>
      </c>
      <c r="J25" s="1078"/>
      <c r="K25" s="628"/>
      <c r="L25" s="628">
        <f>$G25*$K$16*M$12</f>
        <v>0</v>
      </c>
      <c r="M25" s="630"/>
      <c r="N25" s="629"/>
      <c r="O25" s="628">
        <f>$G25*$N$16*P$12</f>
        <v>0</v>
      </c>
      <c r="P25" s="630"/>
      <c r="Q25" s="629"/>
      <c r="R25" s="628">
        <f>$G25*$Q$16*S$12</f>
        <v>0</v>
      </c>
      <c r="S25" s="630"/>
      <c r="T25" s="631"/>
      <c r="V25" s="593"/>
    </row>
    <row r="26" spans="1:22">
      <c r="A26" s="625" t="s">
        <v>616</v>
      </c>
      <c r="B26" s="628">
        <v>2</v>
      </c>
      <c r="C26" s="627" t="s">
        <v>541</v>
      </c>
      <c r="D26" s="626">
        <f>partmeals</f>
        <v>47</v>
      </c>
      <c r="E26" s="627" t="s">
        <v>542</v>
      </c>
      <c r="F26" s="628">
        <v>1</v>
      </c>
      <c r="G26" s="982">
        <f t="shared" si="1"/>
        <v>94</v>
      </c>
      <c r="H26" s="628"/>
      <c r="I26" s="628">
        <f t="shared" ref="I26:I27" si="2">$G26*J$12</f>
        <v>94</v>
      </c>
      <c r="J26" s="1078"/>
      <c r="K26" s="628"/>
      <c r="L26" s="628">
        <f>$G26*$K$16*M$12</f>
        <v>586.56000000000006</v>
      </c>
      <c r="M26" s="630"/>
      <c r="N26" s="629"/>
      <c r="O26" s="628">
        <f>$G26*$N$16*P$12</f>
        <v>610.02240000000006</v>
      </c>
      <c r="P26" s="630"/>
      <c r="Q26" s="629"/>
      <c r="R26" s="628">
        <f>$G26*$Q$16*S$12</f>
        <v>317.21164800000003</v>
      </c>
      <c r="S26" s="630"/>
      <c r="T26" s="631"/>
      <c r="V26" s="593"/>
    </row>
    <row r="27" spans="1:22">
      <c r="A27" s="625" t="s">
        <v>109</v>
      </c>
      <c r="B27" s="628">
        <v>2</v>
      </c>
      <c r="C27" s="627" t="s">
        <v>541</v>
      </c>
      <c r="D27" s="626">
        <f>parttransp</f>
        <v>4</v>
      </c>
      <c r="E27" s="627" t="s">
        <v>556</v>
      </c>
      <c r="F27" s="626">
        <v>1</v>
      </c>
      <c r="G27" s="639">
        <f t="shared" si="1"/>
        <v>8</v>
      </c>
      <c r="H27" s="628"/>
      <c r="I27" s="628">
        <f t="shared" si="2"/>
        <v>8</v>
      </c>
      <c r="J27" s="1079"/>
      <c r="K27" s="628"/>
      <c r="L27" s="628">
        <f>$G27*$K$16*M$12</f>
        <v>49.92</v>
      </c>
      <c r="M27" s="630"/>
      <c r="N27" s="629"/>
      <c r="O27" s="628">
        <f>$G27*$N$16*P$12</f>
        <v>51.916800000000009</v>
      </c>
      <c r="P27" s="630"/>
      <c r="Q27" s="629"/>
      <c r="R27" s="628">
        <f>$G27*$Q$16*S$12</f>
        <v>26.996736000000002</v>
      </c>
      <c r="S27" s="630"/>
      <c r="T27" s="631"/>
      <c r="V27" s="593"/>
    </row>
    <row r="28" spans="1:22">
      <c r="A28" s="644" t="s">
        <v>547</v>
      </c>
      <c r="B28" s="645"/>
      <c r="C28" s="645"/>
      <c r="D28" s="646"/>
      <c r="E28" s="1146">
        <f>SUM(G17:G27)</f>
        <v>588</v>
      </c>
      <c r="F28" s="1147"/>
      <c r="G28" s="647"/>
      <c r="H28" s="648"/>
      <c r="I28" s="648"/>
      <c r="J28" s="621"/>
      <c r="K28" s="648"/>
      <c r="L28" s="648"/>
      <c r="M28" s="621"/>
      <c r="N28" s="648"/>
      <c r="O28" s="648"/>
      <c r="P28" s="621"/>
      <c r="Q28" s="648"/>
      <c r="R28" s="648"/>
      <c r="S28" s="621"/>
      <c r="T28" s="649"/>
      <c r="V28" s="593"/>
    </row>
    <row r="29" spans="1:22" ht="13.5" customHeight="1" thickBot="1">
      <c r="A29" s="588"/>
      <c r="B29" s="650"/>
      <c r="C29" s="650"/>
      <c r="D29" s="650"/>
      <c r="E29" s="650"/>
      <c r="F29" s="650"/>
      <c r="G29" s="612"/>
      <c r="H29" s="612"/>
      <c r="I29" s="652"/>
      <c r="J29" s="612"/>
      <c r="K29" s="612"/>
      <c r="L29" s="612"/>
      <c r="M29" s="612"/>
      <c r="N29" s="612"/>
      <c r="O29" s="612"/>
      <c r="P29" s="612"/>
      <c r="Q29" s="612"/>
      <c r="R29" s="612"/>
      <c r="S29" s="612"/>
      <c r="T29" s="613"/>
      <c r="V29" s="593"/>
    </row>
    <row r="30" spans="1:22" ht="13.5" customHeight="1" thickTop="1" thickBot="1">
      <c r="A30" s="588"/>
      <c r="B30" s="650"/>
      <c r="C30" s="650"/>
      <c r="D30" s="650"/>
      <c r="E30" s="650"/>
      <c r="F30" s="650"/>
      <c r="G30" s="612"/>
      <c r="H30" s="612"/>
      <c r="I30" s="1085"/>
      <c r="J30" s="612"/>
      <c r="K30" s="612"/>
      <c r="L30" s="612"/>
      <c r="M30" s="612"/>
      <c r="N30" s="612"/>
      <c r="O30" s="612"/>
      <c r="P30" s="612"/>
      <c r="Q30" s="612"/>
      <c r="R30" s="612"/>
      <c r="S30" s="612"/>
      <c r="T30" s="613"/>
      <c r="V30" s="593"/>
    </row>
    <row r="31" spans="1:22" ht="15.6" thickTop="1">
      <c r="A31" s="1159" t="e">
        <f>' Activities Detail'!D73:H73</f>
        <v>#VALUE!</v>
      </c>
      <c r="B31" s="1160"/>
      <c r="C31" s="1160"/>
      <c r="D31" s="1160"/>
      <c r="E31" s="1161"/>
      <c r="F31" s="614">
        <v>1</v>
      </c>
      <c r="G31" s="1075"/>
      <c r="H31" s="1164"/>
      <c r="I31" s="1152"/>
      <c r="J31" s="617">
        <f>SUM(I33:I35)</f>
        <v>0</v>
      </c>
      <c r="K31" s="1152">
        <v>9</v>
      </c>
      <c r="L31" s="1141"/>
      <c r="M31" s="617">
        <f>SUM(L33:L35)</f>
        <v>2948.4</v>
      </c>
      <c r="N31" s="1140">
        <v>9</v>
      </c>
      <c r="O31" s="1141"/>
      <c r="P31" s="617">
        <f>SUM(O33:O35)</f>
        <v>3066.3360000000007</v>
      </c>
      <c r="Q31" s="1142">
        <v>6</v>
      </c>
      <c r="R31" s="1140"/>
      <c r="S31" s="617">
        <f>SUM(R33:R35)</f>
        <v>2125.99296</v>
      </c>
      <c r="T31" s="618">
        <f>SUM(J31,M31,P31,S31,)</f>
        <v>8140.7289600000004</v>
      </c>
      <c r="V31" s="593"/>
    </row>
    <row r="32" spans="1:22">
      <c r="A32" s="619" t="s">
        <v>566</v>
      </c>
      <c r="B32" s="620"/>
      <c r="C32" s="620"/>
      <c r="D32" s="620"/>
      <c r="E32" s="621"/>
      <c r="F32" s="620"/>
      <c r="G32" s="1076"/>
      <c r="H32" s="620"/>
      <c r="I32" s="620"/>
      <c r="J32" s="623"/>
      <c r="K32" s="620"/>
      <c r="L32" s="620"/>
      <c r="M32" s="623"/>
      <c r="N32" s="622"/>
      <c r="O32" s="620"/>
      <c r="P32" s="623"/>
      <c r="Q32" s="622"/>
      <c r="R32" s="620"/>
      <c r="S32" s="623"/>
      <c r="T32" s="624"/>
      <c r="V32" s="593"/>
    </row>
    <row r="33" spans="1:22">
      <c r="A33" s="625" t="s">
        <v>540</v>
      </c>
      <c r="B33" s="626">
        <v>15</v>
      </c>
      <c r="C33" s="627" t="s">
        <v>541</v>
      </c>
      <c r="D33" s="626">
        <f>parttransp</f>
        <v>4</v>
      </c>
      <c r="E33" s="627" t="s">
        <v>542</v>
      </c>
      <c r="F33" s="628">
        <f>IF(B33=0,0,F31)</f>
        <v>1</v>
      </c>
      <c r="G33" s="982">
        <f t="shared" ref="G33:G35" si="3">B33*D33*F33</f>
        <v>60</v>
      </c>
      <c r="H33" s="628"/>
      <c r="I33" s="628">
        <f>$G33*H31*J$12</f>
        <v>0</v>
      </c>
      <c r="J33" s="1078"/>
      <c r="K33" s="628"/>
      <c r="L33" s="628">
        <f>$G33*K31*M$12</f>
        <v>561.6</v>
      </c>
      <c r="M33" s="630"/>
      <c r="N33" s="629"/>
      <c r="O33" s="628">
        <f>$G33*N31*P$12</f>
        <v>584.06400000000008</v>
      </c>
      <c r="P33" s="630"/>
      <c r="Q33" s="629"/>
      <c r="R33" s="628">
        <f>$G33*Q31*S$12</f>
        <v>404.95104000000003</v>
      </c>
      <c r="S33" s="630"/>
      <c r="T33" s="631"/>
      <c r="V33" s="593"/>
    </row>
    <row r="34" spans="1:22">
      <c r="A34" s="625" t="s">
        <v>543</v>
      </c>
      <c r="B34" s="626">
        <v>15</v>
      </c>
      <c r="C34" s="627" t="s">
        <v>541</v>
      </c>
      <c r="D34" s="626">
        <f>coffee+lunch</f>
        <v>16</v>
      </c>
      <c r="E34" s="627" t="s">
        <v>542</v>
      </c>
      <c r="F34" s="628">
        <f>IF(B34=0,0,F31)</f>
        <v>1</v>
      </c>
      <c r="G34" s="982">
        <f t="shared" si="3"/>
        <v>240</v>
      </c>
      <c r="H34" s="628"/>
      <c r="I34" s="628">
        <f>$G34*H31*J$12</f>
        <v>0</v>
      </c>
      <c r="J34" s="1078"/>
      <c r="K34" s="628"/>
      <c r="L34" s="628">
        <f>$G34*K31*M$12</f>
        <v>2246.4</v>
      </c>
      <c r="M34" s="630"/>
      <c r="N34" s="629"/>
      <c r="O34" s="628">
        <f>$G34*N31*P$12</f>
        <v>2336.2560000000003</v>
      </c>
      <c r="P34" s="630"/>
      <c r="Q34" s="629"/>
      <c r="R34" s="628">
        <f>$G34*Q31*S$12</f>
        <v>1619.8041600000001</v>
      </c>
      <c r="S34" s="630"/>
      <c r="T34" s="631"/>
      <c r="V34" s="593"/>
    </row>
    <row r="35" spans="1:22">
      <c r="A35" s="625" t="s">
        <v>544</v>
      </c>
      <c r="B35" s="626">
        <v>1</v>
      </c>
      <c r="C35" s="627" t="s">
        <v>545</v>
      </c>
      <c r="D35" s="626">
        <v>15</v>
      </c>
      <c r="E35" s="632" t="str">
        <f>C35</f>
        <v>activity</v>
      </c>
      <c r="F35" s="628">
        <f>IF(B35=0,0,1)</f>
        <v>1</v>
      </c>
      <c r="G35" s="982">
        <f t="shared" si="3"/>
        <v>15</v>
      </c>
      <c r="H35" s="628"/>
      <c r="I35" s="628">
        <f>$G35*H31*J$12</f>
        <v>0</v>
      </c>
      <c r="J35" s="1078"/>
      <c r="K35" s="628"/>
      <c r="L35" s="628">
        <f>$G35*K31*M$12</f>
        <v>140.4</v>
      </c>
      <c r="M35" s="630"/>
      <c r="N35" s="629"/>
      <c r="O35" s="628">
        <f>$G35*N31*P$12</f>
        <v>146.01600000000002</v>
      </c>
      <c r="P35" s="630"/>
      <c r="Q35" s="629"/>
      <c r="R35" s="628">
        <f>$G35*Q31*S$12</f>
        <v>101.23776000000001</v>
      </c>
      <c r="S35" s="630"/>
      <c r="T35" s="631"/>
      <c r="V35" s="593"/>
    </row>
    <row r="36" spans="1:22">
      <c r="A36" s="625"/>
      <c r="B36" s="628"/>
      <c r="C36" s="628"/>
      <c r="D36" s="628"/>
      <c r="E36" s="628"/>
      <c r="F36" s="628"/>
      <c r="G36" s="982"/>
      <c r="H36" s="628"/>
      <c r="I36" s="628"/>
      <c r="J36" s="1078"/>
      <c r="K36" s="628"/>
      <c r="L36" s="628"/>
      <c r="M36" s="630"/>
      <c r="N36" s="629"/>
      <c r="O36" s="628"/>
      <c r="P36" s="630"/>
      <c r="Q36" s="629"/>
      <c r="R36" s="628"/>
      <c r="S36" s="630"/>
      <c r="T36" s="631"/>
      <c r="V36" s="593"/>
    </row>
    <row r="37" spans="1:22">
      <c r="A37" s="633" t="s">
        <v>554</v>
      </c>
      <c r="B37" s="628"/>
      <c r="C37" s="634"/>
      <c r="D37" s="628"/>
      <c r="E37" s="628"/>
      <c r="F37" s="628"/>
      <c r="G37" s="982"/>
      <c r="H37" s="628"/>
      <c r="I37" s="628"/>
      <c r="J37" s="1078"/>
      <c r="K37" s="628"/>
      <c r="L37" s="628"/>
      <c r="M37" s="630"/>
      <c r="N37" s="629"/>
      <c r="O37" s="628"/>
      <c r="P37" s="630"/>
      <c r="Q37" s="629"/>
      <c r="R37" s="628"/>
      <c r="S37" s="630"/>
      <c r="T37" s="631"/>
      <c r="V37" s="593"/>
    </row>
    <row r="38" spans="1:22">
      <c r="A38" s="625" t="s">
        <v>563</v>
      </c>
      <c r="B38" s="626">
        <v>2</v>
      </c>
      <c r="C38" s="627" t="s">
        <v>541</v>
      </c>
      <c r="D38" s="626">
        <f>partground</f>
        <v>9</v>
      </c>
      <c r="E38" s="627" t="s">
        <v>556</v>
      </c>
      <c r="F38" s="628">
        <f>IF(B38=0,0,1)</f>
        <v>1</v>
      </c>
      <c r="G38" s="982">
        <f t="shared" ref="G38:G42" si="4">B38*D38*F38</f>
        <v>18</v>
      </c>
      <c r="H38" s="628"/>
      <c r="I38" s="628">
        <f>$G38*H31*J$12</f>
        <v>0</v>
      </c>
      <c r="J38" s="1078"/>
      <c r="K38" s="628"/>
      <c r="L38" s="628">
        <f>$G38*K31*M$12</f>
        <v>168.48000000000002</v>
      </c>
      <c r="M38" s="630"/>
      <c r="N38" s="629"/>
      <c r="O38" s="628">
        <f>$G38*N31*P$12</f>
        <v>175.21920000000003</v>
      </c>
      <c r="P38" s="630"/>
      <c r="Q38" s="629"/>
      <c r="R38" s="628">
        <f>$G38*Q31*S$12</f>
        <v>121.48531200000001</v>
      </c>
      <c r="S38" s="630"/>
      <c r="T38" s="631"/>
      <c r="V38" s="593"/>
    </row>
    <row r="39" spans="1:22">
      <c r="A39" s="625" t="s">
        <v>564</v>
      </c>
      <c r="B39" s="626">
        <v>2</v>
      </c>
      <c r="C39" s="627" t="s">
        <v>541</v>
      </c>
      <c r="D39" s="626">
        <f>partground</f>
        <v>9</v>
      </c>
      <c r="E39" s="627" t="s">
        <v>542</v>
      </c>
      <c r="F39" s="628">
        <f>IF(B39=0,0,1)</f>
        <v>1</v>
      </c>
      <c r="G39" s="982">
        <f t="shared" si="4"/>
        <v>18</v>
      </c>
      <c r="H39" s="628"/>
      <c r="I39" s="628">
        <f>$G39*H31*J$12</f>
        <v>0</v>
      </c>
      <c r="J39" s="1078"/>
      <c r="K39" s="628"/>
      <c r="L39" s="628">
        <f>$G39*K31*M$12</f>
        <v>168.48000000000002</v>
      </c>
      <c r="M39" s="630"/>
      <c r="N39" s="629"/>
      <c r="O39" s="628">
        <f>$G39*N31*P$12</f>
        <v>175.21920000000003</v>
      </c>
      <c r="P39" s="630"/>
      <c r="Q39" s="629"/>
      <c r="R39" s="628">
        <f>$G39*Q31*S$12</f>
        <v>121.48531200000001</v>
      </c>
      <c r="S39" s="630"/>
      <c r="T39" s="631"/>
      <c r="V39" s="593"/>
    </row>
    <row r="40" spans="1:22">
      <c r="A40" s="625" t="s">
        <v>48</v>
      </c>
      <c r="B40" s="628"/>
      <c r="C40" s="627" t="s">
        <v>541</v>
      </c>
      <c r="D40" s="626">
        <f>partlodg</f>
        <v>25</v>
      </c>
      <c r="E40" s="627" t="s">
        <v>542</v>
      </c>
      <c r="F40" s="628">
        <f>IF(B40=0,0,F31)</f>
        <v>0</v>
      </c>
      <c r="G40" s="982">
        <f t="shared" si="4"/>
        <v>0</v>
      </c>
      <c r="H40" s="628"/>
      <c r="I40" s="628">
        <f>$G40*H31*J$12</f>
        <v>0</v>
      </c>
      <c r="J40" s="1078"/>
      <c r="K40" s="628"/>
      <c r="L40" s="628">
        <f>$G40*K31*M$12</f>
        <v>0</v>
      </c>
      <c r="M40" s="630"/>
      <c r="N40" s="629"/>
      <c r="O40" s="628">
        <f>$G40*N31*P$12</f>
        <v>0</v>
      </c>
      <c r="P40" s="630"/>
      <c r="Q40" s="629"/>
      <c r="R40" s="628">
        <f>$G40*Q31*S$12</f>
        <v>0</v>
      </c>
      <c r="S40" s="630"/>
      <c r="T40" s="631"/>
      <c r="V40" s="593"/>
    </row>
    <row r="41" spans="1:22">
      <c r="A41" s="625" t="s">
        <v>616</v>
      </c>
      <c r="B41" s="628">
        <v>4</v>
      </c>
      <c r="C41" s="627" t="s">
        <v>541</v>
      </c>
      <c r="D41" s="626">
        <f>partmeals</f>
        <v>47</v>
      </c>
      <c r="E41" s="627" t="s">
        <v>542</v>
      </c>
      <c r="F41" s="628">
        <f>IF(B41=0,0,F31)</f>
        <v>1</v>
      </c>
      <c r="G41" s="982">
        <f t="shared" si="4"/>
        <v>188</v>
      </c>
      <c r="H41" s="628"/>
      <c r="I41" s="628">
        <f>$G41*H31*J$12</f>
        <v>0</v>
      </c>
      <c r="J41" s="1078"/>
      <c r="K41" s="628"/>
      <c r="L41" s="628">
        <f>$G41*K31*M$12</f>
        <v>1759.68</v>
      </c>
      <c r="M41" s="630"/>
      <c r="N41" s="629"/>
      <c r="O41" s="628">
        <f>$G41*N31*P$12</f>
        <v>1830.0672000000002</v>
      </c>
      <c r="P41" s="630"/>
      <c r="Q41" s="629"/>
      <c r="R41" s="628">
        <f>$G41*Q31*S$12</f>
        <v>1268.8465920000001</v>
      </c>
      <c r="S41" s="630"/>
      <c r="T41" s="631"/>
      <c r="V41" s="593"/>
    </row>
    <row r="42" spans="1:22">
      <c r="A42" s="625" t="s">
        <v>109</v>
      </c>
      <c r="B42" s="628">
        <v>4</v>
      </c>
      <c r="C42" s="627" t="s">
        <v>541</v>
      </c>
      <c r="D42" s="626">
        <f>parttransp</f>
        <v>4</v>
      </c>
      <c r="E42" s="627" t="s">
        <v>556</v>
      </c>
      <c r="F42" s="626">
        <v>1</v>
      </c>
      <c r="G42" s="982">
        <f t="shared" si="4"/>
        <v>16</v>
      </c>
      <c r="H42" s="628"/>
      <c r="I42" s="628">
        <f>$G42*H31*J$12</f>
        <v>0</v>
      </c>
      <c r="J42" s="1078"/>
      <c r="K42" s="628"/>
      <c r="L42" s="628">
        <f>$G42*K31*M$12</f>
        <v>149.76</v>
      </c>
      <c r="M42" s="630"/>
      <c r="N42" s="629"/>
      <c r="O42" s="628">
        <f>$G42*N31*P$12</f>
        <v>155.75040000000001</v>
      </c>
      <c r="P42" s="630"/>
      <c r="Q42" s="629"/>
      <c r="R42" s="628">
        <f>$G42*Q31*S$12</f>
        <v>107.98694400000001</v>
      </c>
      <c r="S42" s="630"/>
      <c r="T42" s="631"/>
      <c r="V42" s="593"/>
    </row>
    <row r="43" spans="1:22">
      <c r="A43" s="635"/>
      <c r="B43" s="636"/>
      <c r="C43" s="637"/>
      <c r="D43" s="638">
        <v>0</v>
      </c>
      <c r="E43" s="637"/>
      <c r="F43" s="638"/>
      <c r="G43" s="639">
        <f>B43*D43</f>
        <v>0</v>
      </c>
      <c r="H43" s="636"/>
      <c r="I43" s="636">
        <f>$G43*H31*J$12</f>
        <v>0</v>
      </c>
      <c r="J43" s="1079"/>
      <c r="K43" s="636"/>
      <c r="L43" s="636">
        <f>$G43*K31*M$12</f>
        <v>0</v>
      </c>
      <c r="M43" s="642"/>
      <c r="N43" s="640"/>
      <c r="O43" s="636">
        <f>$G43*N31*P$12</f>
        <v>0</v>
      </c>
      <c r="P43" s="642"/>
      <c r="Q43" s="640"/>
      <c r="R43" s="636">
        <f>$G43*Q31*S$12</f>
        <v>0</v>
      </c>
      <c r="S43" s="642"/>
      <c r="T43" s="643"/>
      <c r="V43" s="593"/>
    </row>
    <row r="44" spans="1:22">
      <c r="A44" s="644" t="s">
        <v>547</v>
      </c>
      <c r="B44" s="645"/>
      <c r="C44" s="645"/>
      <c r="D44" s="646"/>
      <c r="E44" s="1146">
        <f>SUM(G32:G43)</f>
        <v>555</v>
      </c>
      <c r="F44" s="1147"/>
      <c r="G44" s="1077"/>
      <c r="H44" s="648"/>
      <c r="I44" s="648"/>
      <c r="J44" s="621"/>
      <c r="K44" s="648"/>
      <c r="L44" s="648"/>
      <c r="M44" s="621"/>
      <c r="N44" s="648"/>
      <c r="O44" s="648"/>
      <c r="P44" s="621"/>
      <c r="Q44" s="648"/>
      <c r="R44" s="648"/>
      <c r="S44" s="621"/>
      <c r="T44" s="649"/>
      <c r="V44" s="593"/>
    </row>
    <row r="45" spans="1:22" ht="13.5" customHeight="1" thickBot="1">
      <c r="A45" s="588"/>
      <c r="B45" s="650"/>
      <c r="C45" s="650"/>
      <c r="D45" s="650"/>
      <c r="E45" s="650"/>
      <c r="F45" s="650"/>
      <c r="G45" s="612"/>
      <c r="H45" s="612"/>
      <c r="I45" s="612"/>
      <c r="J45" s="612"/>
      <c r="K45" s="612"/>
      <c r="L45" s="612"/>
      <c r="M45" s="612"/>
      <c r="N45" s="612"/>
      <c r="O45" s="612"/>
      <c r="P45" s="612"/>
      <c r="Q45" s="612"/>
      <c r="R45" s="612"/>
      <c r="S45" s="612"/>
      <c r="T45" s="613"/>
      <c r="V45" s="593"/>
    </row>
    <row r="46" spans="1:22" ht="15.6" thickTop="1">
      <c r="A46" s="1159" t="s">
        <v>567</v>
      </c>
      <c r="B46" s="1160"/>
      <c r="C46" s="1160"/>
      <c r="D46" s="1160"/>
      <c r="E46" s="1161"/>
      <c r="F46" s="614">
        <v>1</v>
      </c>
      <c r="G46" s="1075"/>
      <c r="H46" s="1164"/>
      <c r="I46" s="1152"/>
      <c r="J46" s="617">
        <f>SUM(I48:I49)</f>
        <v>0</v>
      </c>
      <c r="K46" s="1140">
        <v>0</v>
      </c>
      <c r="L46" s="1141"/>
      <c r="M46" s="617">
        <f>SUM(L48:L49)</f>
        <v>0</v>
      </c>
      <c r="N46" s="1140">
        <v>0</v>
      </c>
      <c r="O46" s="1141"/>
      <c r="P46" s="617">
        <f>SUM(O48:O49)</f>
        <v>0</v>
      </c>
      <c r="Q46" s="1142">
        <v>1</v>
      </c>
      <c r="R46" s="1140"/>
      <c r="S46" s="617">
        <f>SUM(R48:R49)</f>
        <v>337.45920000000007</v>
      </c>
      <c r="T46" s="618">
        <f>SUM(J46,M46,P46,S46,)</f>
        <v>337.45920000000007</v>
      </c>
      <c r="V46" s="593"/>
    </row>
    <row r="47" spans="1:22">
      <c r="A47" s="619" t="s">
        <v>566</v>
      </c>
      <c r="B47" s="620"/>
      <c r="C47" s="620"/>
      <c r="D47" s="620"/>
      <c r="E47" s="621"/>
      <c r="F47" s="620"/>
      <c r="G47" s="1076"/>
      <c r="H47" s="620"/>
      <c r="I47" s="620"/>
      <c r="J47" s="623"/>
      <c r="K47" s="622"/>
      <c r="L47" s="620"/>
      <c r="M47" s="623"/>
      <c r="N47" s="622"/>
      <c r="O47" s="620"/>
      <c r="P47" s="623"/>
      <c r="Q47" s="622"/>
      <c r="R47" s="620"/>
      <c r="S47" s="623"/>
      <c r="T47" s="624"/>
      <c r="V47" s="593"/>
    </row>
    <row r="48" spans="1:22">
      <c r="A48" s="625" t="s">
        <v>540</v>
      </c>
      <c r="B48" s="626">
        <v>15</v>
      </c>
      <c r="C48" s="627" t="s">
        <v>541</v>
      </c>
      <c r="D48" s="626">
        <f>parttransp</f>
        <v>4</v>
      </c>
      <c r="E48" s="627" t="s">
        <v>542</v>
      </c>
      <c r="F48" s="628">
        <f>IF(B48=0,0,F46)</f>
        <v>1</v>
      </c>
      <c r="G48" s="982">
        <f t="shared" ref="G48:G49" si="5">B48*D48*F48</f>
        <v>60</v>
      </c>
      <c r="H48" s="628"/>
      <c r="I48" s="628">
        <f>$G48*H46*J$12</f>
        <v>0</v>
      </c>
      <c r="J48" s="1078"/>
      <c r="K48" s="629"/>
      <c r="L48" s="628">
        <f>$G48*K46*M$12</f>
        <v>0</v>
      </c>
      <c r="M48" s="630"/>
      <c r="N48" s="629"/>
      <c r="O48" s="628">
        <f>$G48*N46*P$12</f>
        <v>0</v>
      </c>
      <c r="P48" s="630"/>
      <c r="Q48" s="629"/>
      <c r="R48" s="628">
        <f>$G48*Q46*S$12</f>
        <v>67.49184000000001</v>
      </c>
      <c r="S48" s="630"/>
      <c r="T48" s="631"/>
      <c r="V48" s="593"/>
    </row>
    <row r="49" spans="1:22">
      <c r="A49" s="625" t="s">
        <v>543</v>
      </c>
      <c r="B49" s="626">
        <v>15</v>
      </c>
      <c r="C49" s="627" t="s">
        <v>541</v>
      </c>
      <c r="D49" s="626">
        <f>coffee+lunch</f>
        <v>16</v>
      </c>
      <c r="E49" s="627" t="s">
        <v>542</v>
      </c>
      <c r="F49" s="628">
        <f>IF(B49=0,0,F46)</f>
        <v>1</v>
      </c>
      <c r="G49" s="639">
        <f t="shared" si="5"/>
        <v>240</v>
      </c>
      <c r="H49" s="628"/>
      <c r="I49" s="628">
        <f>$G49*H46*J$12</f>
        <v>0</v>
      </c>
      <c r="J49" s="1079"/>
      <c r="K49" s="629"/>
      <c r="L49" s="628">
        <f>$G49*K46*M$12</f>
        <v>0</v>
      </c>
      <c r="M49" s="630"/>
      <c r="N49" s="629"/>
      <c r="O49" s="628">
        <f>$G49*N46*P$12</f>
        <v>0</v>
      </c>
      <c r="P49" s="630"/>
      <c r="Q49" s="629"/>
      <c r="R49" s="628">
        <f>$G49*Q46*S$12</f>
        <v>269.96736000000004</v>
      </c>
      <c r="S49" s="630"/>
      <c r="T49" s="631"/>
      <c r="V49" s="593"/>
    </row>
    <row r="50" spans="1:22">
      <c r="A50" s="644" t="s">
        <v>547</v>
      </c>
      <c r="B50" s="645"/>
      <c r="C50" s="645"/>
      <c r="D50" s="646"/>
      <c r="E50" s="1146">
        <f>SUM(G47:G49)</f>
        <v>300</v>
      </c>
      <c r="F50" s="1147"/>
      <c r="G50" s="647"/>
      <c r="H50" s="648"/>
      <c r="I50" s="648"/>
      <c r="J50" s="621"/>
      <c r="K50" s="648"/>
      <c r="L50" s="648"/>
      <c r="M50" s="621"/>
      <c r="N50" s="648"/>
      <c r="O50" s="648"/>
      <c r="P50" s="621"/>
      <c r="Q50" s="648"/>
      <c r="R50" s="648"/>
      <c r="S50" s="621"/>
      <c r="T50" s="649"/>
      <c r="V50" s="593"/>
    </row>
    <row r="51" spans="1:22" ht="13.5" customHeight="1" thickBot="1">
      <c r="A51" s="588"/>
      <c r="B51" s="650"/>
      <c r="C51" s="650"/>
      <c r="D51" s="650"/>
      <c r="E51" s="650"/>
      <c r="F51" s="650"/>
      <c r="G51" s="612"/>
      <c r="H51" s="612"/>
      <c r="I51" s="612"/>
      <c r="J51" s="612"/>
      <c r="K51" s="612"/>
      <c r="L51" s="612"/>
      <c r="M51" s="612"/>
      <c r="N51" s="612"/>
      <c r="O51" s="612"/>
      <c r="P51" s="612"/>
      <c r="Q51" s="612"/>
      <c r="R51" s="612"/>
      <c r="S51" s="612"/>
      <c r="T51" s="613"/>
      <c r="V51" s="593"/>
    </row>
    <row r="52" spans="1:22" ht="13.5" customHeight="1" thickTop="1" thickBot="1">
      <c r="A52" s="588"/>
      <c r="B52" s="650"/>
      <c r="C52" s="650"/>
      <c r="D52" s="650"/>
      <c r="E52" s="650"/>
      <c r="F52" s="650"/>
      <c r="G52" s="612"/>
      <c r="H52" s="612"/>
      <c r="I52" s="612"/>
      <c r="J52" s="612"/>
      <c r="K52" s="612"/>
      <c r="L52" s="612"/>
      <c r="M52" s="612"/>
      <c r="N52" s="612"/>
      <c r="O52" s="612"/>
      <c r="P52" s="612"/>
      <c r="Q52" s="612"/>
      <c r="R52" s="612"/>
      <c r="S52" s="612"/>
      <c r="T52" s="613"/>
      <c r="V52" s="593"/>
    </row>
    <row r="53" spans="1:22" ht="70.5" customHeight="1" thickTop="1">
      <c r="A53" s="1143" t="e">
        <f>' Activities Detail'!D117:H117</f>
        <v>#VALUE!</v>
      </c>
      <c r="B53" s="1144"/>
      <c r="C53" s="1144"/>
      <c r="D53" s="1144"/>
      <c r="E53" s="1145"/>
      <c r="F53" s="614">
        <v>3</v>
      </c>
      <c r="G53" s="1075"/>
      <c r="H53" s="1151"/>
      <c r="I53" s="1152"/>
      <c r="J53" s="617">
        <f>SUM(I55:I58)</f>
        <v>0</v>
      </c>
      <c r="K53" s="1140">
        <v>3</v>
      </c>
      <c r="L53" s="1141"/>
      <c r="M53" s="617">
        <f>SUM(L55:L58)</f>
        <v>9204</v>
      </c>
      <c r="N53" s="1140">
        <v>3</v>
      </c>
      <c r="O53" s="1141"/>
      <c r="P53" s="617">
        <f>SUM(O55:O58)</f>
        <v>9572.1600000000017</v>
      </c>
      <c r="Q53" s="1142">
        <v>0</v>
      </c>
      <c r="R53" s="1140"/>
      <c r="S53" s="617">
        <f>SUM(R55:R64)</f>
        <v>0</v>
      </c>
      <c r="T53" s="618">
        <f>SUM(J53,M53,P53,S53,)</f>
        <v>18776.160000000003</v>
      </c>
      <c r="V53" s="593"/>
    </row>
    <row r="54" spans="1:22">
      <c r="A54" s="619" t="s">
        <v>566</v>
      </c>
      <c r="B54" s="620"/>
      <c r="C54" s="620"/>
      <c r="D54" s="620"/>
      <c r="E54" s="621"/>
      <c r="F54" s="620"/>
      <c r="G54" s="1076"/>
      <c r="H54" s="622"/>
      <c r="I54" s="620"/>
      <c r="J54" s="623"/>
      <c r="K54" s="622"/>
      <c r="L54" s="620"/>
      <c r="M54" s="623"/>
      <c r="N54" s="622"/>
      <c r="O54" s="620"/>
      <c r="P54" s="623"/>
      <c r="Q54" s="622"/>
      <c r="R54" s="620"/>
      <c r="S54" s="623"/>
      <c r="T54" s="624"/>
      <c r="V54" s="593"/>
    </row>
    <row r="55" spans="1:22">
      <c r="A55" s="625" t="s">
        <v>540</v>
      </c>
      <c r="B55" s="626">
        <v>20</v>
      </c>
      <c r="C55" s="627" t="s">
        <v>541</v>
      </c>
      <c r="D55" s="626">
        <f>parttransp</f>
        <v>4</v>
      </c>
      <c r="E55" s="627" t="s">
        <v>542</v>
      </c>
      <c r="F55" s="628">
        <f>IF(B55=0,0,F53)</f>
        <v>3</v>
      </c>
      <c r="G55" s="982">
        <f t="shared" ref="G55:G58" si="6">B55*D55*F55</f>
        <v>240</v>
      </c>
      <c r="H55" s="629"/>
      <c r="I55" s="628">
        <f>$G55*H53*J$12</f>
        <v>0</v>
      </c>
      <c r="J55" s="1078"/>
      <c r="K55" s="629"/>
      <c r="L55" s="628">
        <f>$G55*K53*M$12</f>
        <v>748.80000000000007</v>
      </c>
      <c r="M55" s="630"/>
      <c r="N55" s="629"/>
      <c r="O55" s="628">
        <f>$G55*N53*P$12</f>
        <v>778.75200000000007</v>
      </c>
      <c r="P55" s="630"/>
      <c r="Q55" s="629"/>
      <c r="R55" s="628">
        <f>$G55*Q53*S$12</f>
        <v>0</v>
      </c>
      <c r="S55" s="630"/>
      <c r="T55" s="631"/>
      <c r="V55" s="593"/>
    </row>
    <row r="56" spans="1:22">
      <c r="A56" s="625" t="s">
        <v>543</v>
      </c>
      <c r="B56" s="626">
        <v>20</v>
      </c>
      <c r="C56" s="627" t="s">
        <v>541</v>
      </c>
      <c r="D56" s="626">
        <f>coffee+lunch</f>
        <v>16</v>
      </c>
      <c r="E56" s="627" t="s">
        <v>542</v>
      </c>
      <c r="F56" s="628">
        <f>IF(B56=0,0,F53)</f>
        <v>3</v>
      </c>
      <c r="G56" s="982">
        <f t="shared" si="6"/>
        <v>960</v>
      </c>
      <c r="H56" s="629"/>
      <c r="I56" s="628">
        <f>$G56*H53*J$12</f>
        <v>0</v>
      </c>
      <c r="J56" s="1078"/>
      <c r="K56" s="629"/>
      <c r="L56" s="628">
        <f>$G56*K53*M$12</f>
        <v>2995.2000000000003</v>
      </c>
      <c r="M56" s="630"/>
      <c r="N56" s="629"/>
      <c r="O56" s="628">
        <f>$G56*N53*P$12</f>
        <v>3115.0080000000003</v>
      </c>
      <c r="P56" s="630"/>
      <c r="Q56" s="629"/>
      <c r="R56" s="628">
        <f>$G56*Q53*S$12</f>
        <v>0</v>
      </c>
      <c r="S56" s="630"/>
      <c r="T56" s="631"/>
      <c r="V56" s="593"/>
    </row>
    <row r="57" spans="1:22">
      <c r="A57" s="625" t="s">
        <v>573</v>
      </c>
      <c r="B57" s="626">
        <v>1</v>
      </c>
      <c r="C57" s="627" t="s">
        <v>617</v>
      </c>
      <c r="D57" s="626">
        <v>1500</v>
      </c>
      <c r="E57" s="632" t="str">
        <f>C57</f>
        <v>campaign</v>
      </c>
      <c r="F57" s="628">
        <f>IF(B57=0,0,1)</f>
        <v>1</v>
      </c>
      <c r="G57" s="982">
        <f t="shared" si="6"/>
        <v>1500</v>
      </c>
      <c r="H57" s="629"/>
      <c r="I57" s="628">
        <f>$G57*H53*J$12</f>
        <v>0</v>
      </c>
      <c r="J57" s="1078"/>
      <c r="K57" s="629"/>
      <c r="L57" s="628">
        <f>$G57*K53*M$12</f>
        <v>4680</v>
      </c>
      <c r="M57" s="630"/>
      <c r="N57" s="629"/>
      <c r="O57" s="628">
        <f>$G57*N53*P$12</f>
        <v>4867.2000000000007</v>
      </c>
      <c r="P57" s="630"/>
      <c r="Q57" s="629"/>
      <c r="R57" s="628">
        <f>$G57*Q53*S$12</f>
        <v>0</v>
      </c>
      <c r="S57" s="630"/>
      <c r="T57" s="631"/>
      <c r="V57" s="593"/>
    </row>
    <row r="58" spans="1:22">
      <c r="A58" s="625" t="s">
        <v>544</v>
      </c>
      <c r="B58" s="626">
        <v>5</v>
      </c>
      <c r="C58" s="627" t="s">
        <v>545</v>
      </c>
      <c r="D58" s="626">
        <f>print</f>
        <v>50</v>
      </c>
      <c r="E58" s="632" t="str">
        <f>C58</f>
        <v>activity</v>
      </c>
      <c r="F58" s="628">
        <f>IF(B58=0,0,1)</f>
        <v>1</v>
      </c>
      <c r="G58" s="982">
        <f t="shared" si="6"/>
        <v>250</v>
      </c>
      <c r="H58" s="629"/>
      <c r="I58" s="628">
        <f>$G58*H53*J$12</f>
        <v>0</v>
      </c>
      <c r="J58" s="1078"/>
      <c r="K58" s="629"/>
      <c r="L58" s="628">
        <f>$G58*K53*M$12</f>
        <v>780</v>
      </c>
      <c r="M58" s="630"/>
      <c r="N58" s="629"/>
      <c r="O58" s="628">
        <f>$G58*N53*P$12</f>
        <v>811.2</v>
      </c>
      <c r="P58" s="630"/>
      <c r="Q58" s="629"/>
      <c r="R58" s="628">
        <f>$G58*Q53*S$12</f>
        <v>0</v>
      </c>
      <c r="S58" s="630"/>
      <c r="T58" s="631"/>
      <c r="V58" s="593"/>
    </row>
    <row r="59" spans="1:22">
      <c r="A59" s="633" t="s">
        <v>554</v>
      </c>
      <c r="B59" s="628"/>
      <c r="C59" s="634"/>
      <c r="D59" s="628"/>
      <c r="E59" s="628"/>
      <c r="F59" s="628"/>
      <c r="G59" s="982"/>
      <c r="H59" s="629"/>
      <c r="I59" s="628"/>
      <c r="J59" s="1078"/>
      <c r="K59" s="629"/>
      <c r="L59" s="628"/>
      <c r="M59" s="630"/>
      <c r="N59" s="629"/>
      <c r="O59" s="628"/>
      <c r="P59" s="630"/>
      <c r="Q59" s="629"/>
      <c r="R59" s="628"/>
      <c r="S59" s="630"/>
      <c r="T59" s="631"/>
      <c r="V59" s="593"/>
    </row>
    <row r="60" spans="1:22">
      <c r="A60" s="625" t="s">
        <v>563</v>
      </c>
      <c r="B60" s="626">
        <v>2</v>
      </c>
      <c r="C60" s="627" t="s">
        <v>541</v>
      </c>
      <c r="D60" s="626">
        <f>partground</f>
        <v>9</v>
      </c>
      <c r="E60" s="627" t="s">
        <v>556</v>
      </c>
      <c r="F60" s="628">
        <f>IF(B60=0,0,1)</f>
        <v>1</v>
      </c>
      <c r="G60" s="982">
        <f t="shared" ref="G60:G64" si="7">B60*D60*F60</f>
        <v>18</v>
      </c>
      <c r="H60" s="629"/>
      <c r="I60" s="628">
        <f>$G60*H53*J$12</f>
        <v>0</v>
      </c>
      <c r="J60" s="1078"/>
      <c r="K60" s="629"/>
      <c r="L60" s="628">
        <f>$G60*K53*M$12</f>
        <v>56.160000000000004</v>
      </c>
      <c r="M60" s="630"/>
      <c r="N60" s="629"/>
      <c r="O60" s="628">
        <f>$G60*N53*P$12</f>
        <v>58.406400000000005</v>
      </c>
      <c r="P60" s="630"/>
      <c r="Q60" s="629"/>
      <c r="R60" s="628">
        <f>$G60*Q53*S$12</f>
        <v>0</v>
      </c>
      <c r="S60" s="630"/>
      <c r="T60" s="631"/>
      <c r="V60" s="593"/>
    </row>
    <row r="61" spans="1:22">
      <c r="A61" s="625" t="s">
        <v>564</v>
      </c>
      <c r="B61" s="626">
        <v>2</v>
      </c>
      <c r="C61" s="627" t="s">
        <v>541</v>
      </c>
      <c r="D61" s="626">
        <f>partground</f>
        <v>9</v>
      </c>
      <c r="E61" s="627" t="s">
        <v>542</v>
      </c>
      <c r="F61" s="628">
        <f>IF(B61=0,0,1)</f>
        <v>1</v>
      </c>
      <c r="G61" s="982">
        <f t="shared" si="7"/>
        <v>18</v>
      </c>
      <c r="H61" s="629"/>
      <c r="I61" s="628">
        <f>$G61*H53*J$12</f>
        <v>0</v>
      </c>
      <c r="J61" s="1078"/>
      <c r="K61" s="629"/>
      <c r="L61" s="628">
        <f>$G61*K53*M$12</f>
        <v>56.160000000000004</v>
      </c>
      <c r="M61" s="630"/>
      <c r="N61" s="629"/>
      <c r="O61" s="628">
        <f>$G61*N53*P$12</f>
        <v>58.406400000000005</v>
      </c>
      <c r="P61" s="630"/>
      <c r="Q61" s="629"/>
      <c r="R61" s="628">
        <f>$G61*Q53*S$12</f>
        <v>0</v>
      </c>
      <c r="S61" s="630"/>
      <c r="T61" s="631"/>
      <c r="V61" s="593"/>
    </row>
    <row r="62" spans="1:22">
      <c r="A62" s="625" t="s">
        <v>48</v>
      </c>
      <c r="B62" s="628"/>
      <c r="C62" s="627" t="s">
        <v>541</v>
      </c>
      <c r="D62" s="626">
        <f>partlodg</f>
        <v>25</v>
      </c>
      <c r="E62" s="627" t="s">
        <v>542</v>
      </c>
      <c r="F62" s="628">
        <f>IF(B62=0,0,F53)</f>
        <v>0</v>
      </c>
      <c r="G62" s="982">
        <f t="shared" si="7"/>
        <v>0</v>
      </c>
      <c r="H62" s="629"/>
      <c r="I62" s="628">
        <f>$G62*H53*J$12</f>
        <v>0</v>
      </c>
      <c r="J62" s="1078"/>
      <c r="K62" s="629"/>
      <c r="L62" s="628">
        <f>$G62*K53*M$12</f>
        <v>0</v>
      </c>
      <c r="M62" s="630"/>
      <c r="N62" s="629"/>
      <c r="O62" s="628">
        <f>$G62*N53*P$12</f>
        <v>0</v>
      </c>
      <c r="P62" s="630"/>
      <c r="Q62" s="629"/>
      <c r="R62" s="628">
        <f>$G62*Q53*S$12</f>
        <v>0</v>
      </c>
      <c r="S62" s="630"/>
      <c r="T62" s="631"/>
      <c r="V62" s="593"/>
    </row>
    <row r="63" spans="1:22">
      <c r="A63" s="625" t="s">
        <v>616</v>
      </c>
      <c r="B63" s="628">
        <v>4</v>
      </c>
      <c r="C63" s="627" t="s">
        <v>541</v>
      </c>
      <c r="D63" s="626">
        <f>partmeals</f>
        <v>47</v>
      </c>
      <c r="E63" s="627" t="s">
        <v>542</v>
      </c>
      <c r="F63" s="628">
        <f>IF(B63=0,0,F53)</f>
        <v>3</v>
      </c>
      <c r="G63" s="982">
        <f t="shared" si="7"/>
        <v>564</v>
      </c>
      <c r="H63" s="629"/>
      <c r="I63" s="628">
        <f>$G63*H53*J$12</f>
        <v>0</v>
      </c>
      <c r="J63" s="1078"/>
      <c r="K63" s="629"/>
      <c r="L63" s="628">
        <f>$G63*K53*M$12</f>
        <v>1759.68</v>
      </c>
      <c r="M63" s="630"/>
      <c r="N63" s="629"/>
      <c r="O63" s="628">
        <f>$G63*N53*P$12</f>
        <v>1830.0672000000002</v>
      </c>
      <c r="P63" s="630"/>
      <c r="Q63" s="629"/>
      <c r="R63" s="628">
        <f>$G63*Q53*S$12</f>
        <v>0</v>
      </c>
      <c r="S63" s="630"/>
      <c r="T63" s="631"/>
      <c r="V63" s="593"/>
    </row>
    <row r="64" spans="1:22">
      <c r="A64" s="625" t="s">
        <v>109</v>
      </c>
      <c r="B64" s="628">
        <v>4</v>
      </c>
      <c r="C64" s="627" t="s">
        <v>541</v>
      </c>
      <c r="D64" s="626">
        <f>D63</f>
        <v>47</v>
      </c>
      <c r="E64" s="627" t="s">
        <v>556</v>
      </c>
      <c r="F64" s="626">
        <v>1</v>
      </c>
      <c r="G64" s="639">
        <f t="shared" si="7"/>
        <v>188</v>
      </c>
      <c r="H64" s="629"/>
      <c r="I64" s="628">
        <f>$G64*H53*J$12</f>
        <v>0</v>
      </c>
      <c r="J64" s="1079"/>
      <c r="K64" s="629"/>
      <c r="L64" s="628">
        <f>$G64*K53*M$12</f>
        <v>586.56000000000006</v>
      </c>
      <c r="M64" s="630"/>
      <c r="N64" s="629"/>
      <c r="O64" s="628">
        <f>$G64*N53*P$12</f>
        <v>610.02240000000006</v>
      </c>
      <c r="P64" s="630"/>
      <c r="Q64" s="629"/>
      <c r="R64" s="628">
        <f>$G64*Q53*S$12</f>
        <v>0</v>
      </c>
      <c r="S64" s="630"/>
      <c r="T64" s="631"/>
      <c r="V64" s="593"/>
    </row>
    <row r="65" spans="1:22">
      <c r="A65" s="644" t="s">
        <v>547</v>
      </c>
      <c r="B65" s="645"/>
      <c r="C65" s="645"/>
      <c r="D65" s="646"/>
      <c r="E65" s="1146">
        <f>SUM(G54:G64)</f>
        <v>3738</v>
      </c>
      <c r="F65" s="1147"/>
      <c r="G65" s="647"/>
      <c r="H65" s="648"/>
      <c r="I65" s="648"/>
      <c r="J65" s="621"/>
      <c r="K65" s="648"/>
      <c r="L65" s="648"/>
      <c r="M65" s="621"/>
      <c r="N65" s="648"/>
      <c r="O65" s="648"/>
      <c r="P65" s="621"/>
      <c r="Q65" s="648"/>
      <c r="R65" s="648"/>
      <c r="S65" s="621"/>
      <c r="T65" s="649"/>
      <c r="V65" s="593"/>
    </row>
    <row r="66" spans="1:22" ht="13.5" customHeight="1" thickBot="1">
      <c r="A66" s="588"/>
      <c r="B66" s="650"/>
      <c r="C66" s="650"/>
      <c r="D66" s="650"/>
      <c r="E66" s="650"/>
      <c r="F66" s="650"/>
      <c r="G66" s="612"/>
      <c r="H66" s="612"/>
      <c r="I66" s="612"/>
      <c r="J66" s="612"/>
      <c r="K66" s="612"/>
      <c r="L66" s="612"/>
      <c r="M66" s="612"/>
      <c r="N66" s="612"/>
      <c r="O66" s="612"/>
      <c r="P66" s="612"/>
      <c r="Q66" s="612"/>
      <c r="R66" s="612"/>
      <c r="S66" s="612"/>
      <c r="T66" s="613"/>
      <c r="V66" s="593"/>
    </row>
    <row r="67" spans="1:22" ht="36.75" customHeight="1" thickTop="1">
      <c r="A67" s="1143" t="e">
        <f>' Activities Detail'!D131:H131</f>
        <v>#VALUE!</v>
      </c>
      <c r="B67" s="1144"/>
      <c r="C67" s="1144"/>
      <c r="D67" s="1144"/>
      <c r="E67" s="1145"/>
      <c r="F67" s="614">
        <v>2</v>
      </c>
      <c r="G67" s="1075"/>
      <c r="H67" s="1162"/>
      <c r="I67" s="1163"/>
      <c r="J67" s="617">
        <f>SUM(I69:I71)</f>
        <v>0</v>
      </c>
      <c r="K67" s="1140">
        <v>0</v>
      </c>
      <c r="L67" s="1141"/>
      <c r="M67" s="617">
        <f>SUM(L69:L71)</f>
        <v>0</v>
      </c>
      <c r="N67" s="1140">
        <v>0</v>
      </c>
      <c r="O67" s="1141"/>
      <c r="P67" s="617">
        <f>SUM(O69:O71)</f>
        <v>0</v>
      </c>
      <c r="Q67" s="1142">
        <v>4</v>
      </c>
      <c r="R67" s="1140"/>
      <c r="S67" s="617">
        <f>SUM(R69:R71)</f>
        <v>3824.5376000000006</v>
      </c>
      <c r="T67" s="618">
        <f>SUM(J67,M67,P67,S67,)</f>
        <v>3824.5376000000006</v>
      </c>
      <c r="V67" s="593"/>
    </row>
    <row r="68" spans="1:22">
      <c r="A68" s="619" t="s">
        <v>618</v>
      </c>
      <c r="B68" s="620"/>
      <c r="C68" s="620"/>
      <c r="D68" s="620"/>
      <c r="E68" s="621"/>
      <c r="F68" s="620"/>
      <c r="G68" s="1076"/>
      <c r="H68" s="622"/>
      <c r="I68" s="620"/>
      <c r="J68" s="623"/>
      <c r="K68" s="622"/>
      <c r="L68" s="620"/>
      <c r="M68" s="623"/>
      <c r="N68" s="622"/>
      <c r="O68" s="620"/>
      <c r="P68" s="623"/>
      <c r="Q68" s="622"/>
      <c r="R68" s="620"/>
      <c r="S68" s="623"/>
      <c r="T68" s="624"/>
      <c r="V68" s="593"/>
    </row>
    <row r="69" spans="1:22">
      <c r="A69" s="625" t="s">
        <v>540</v>
      </c>
      <c r="B69" s="626">
        <v>20</v>
      </c>
      <c r="C69" s="627" t="s">
        <v>541</v>
      </c>
      <c r="D69" s="626">
        <f>parttransp</f>
        <v>4</v>
      </c>
      <c r="E69" s="627" t="s">
        <v>542</v>
      </c>
      <c r="F69" s="628">
        <f>IF(B69=0,0,F67)</f>
        <v>2</v>
      </c>
      <c r="G69" s="982">
        <f t="shared" ref="G69:G71" si="8">B69*D69*F69</f>
        <v>160</v>
      </c>
      <c r="H69" s="629"/>
      <c r="I69" s="628">
        <f>$G69*H67*J$12</f>
        <v>0</v>
      </c>
      <c r="J69" s="1078"/>
      <c r="K69" s="629"/>
      <c r="L69" s="628">
        <f>$G69*K67*M$12</f>
        <v>0</v>
      </c>
      <c r="M69" s="630"/>
      <c r="N69" s="629"/>
      <c r="O69" s="628">
        <f>$G69*N67*P$12</f>
        <v>0</v>
      </c>
      <c r="P69" s="630"/>
      <c r="Q69" s="629"/>
      <c r="R69" s="628">
        <f>$G69*Q67*S$12</f>
        <v>719.91296000000011</v>
      </c>
      <c r="S69" s="630"/>
      <c r="T69" s="631"/>
      <c r="V69" s="593"/>
    </row>
    <row r="70" spans="1:22">
      <c r="A70" s="625" t="s">
        <v>543</v>
      </c>
      <c r="B70" s="626">
        <v>20</v>
      </c>
      <c r="C70" s="627" t="s">
        <v>541</v>
      </c>
      <c r="D70" s="626">
        <f>coffee+lunch</f>
        <v>16</v>
      </c>
      <c r="E70" s="627" t="s">
        <v>542</v>
      </c>
      <c r="F70" s="628">
        <f>IF(B70=0,0,F67)</f>
        <v>2</v>
      </c>
      <c r="G70" s="982">
        <f t="shared" si="8"/>
        <v>640</v>
      </c>
      <c r="H70" s="629"/>
      <c r="I70" s="628">
        <f>$G70*H67*J$12</f>
        <v>0</v>
      </c>
      <c r="J70" s="1078"/>
      <c r="K70" s="629"/>
      <c r="L70" s="628">
        <f>$G70*K67*M$12</f>
        <v>0</v>
      </c>
      <c r="M70" s="630"/>
      <c r="N70" s="629"/>
      <c r="O70" s="628">
        <f>$G70*N67*P$12</f>
        <v>0</v>
      </c>
      <c r="P70" s="630"/>
      <c r="Q70" s="629"/>
      <c r="R70" s="628">
        <f>$G70*Q67*S$12</f>
        <v>2879.6518400000004</v>
      </c>
      <c r="S70" s="630"/>
      <c r="T70" s="631"/>
      <c r="V70" s="593"/>
    </row>
    <row r="71" spans="1:22">
      <c r="A71" s="625" t="s">
        <v>544</v>
      </c>
      <c r="B71" s="626">
        <v>1</v>
      </c>
      <c r="C71" s="627" t="s">
        <v>545</v>
      </c>
      <c r="D71" s="626">
        <f>print</f>
        <v>50</v>
      </c>
      <c r="E71" s="632" t="str">
        <f>C71</f>
        <v>activity</v>
      </c>
      <c r="F71" s="628">
        <f>IF(B71=0,0,1)</f>
        <v>1</v>
      </c>
      <c r="G71" s="639">
        <f t="shared" si="8"/>
        <v>50</v>
      </c>
      <c r="H71" s="629"/>
      <c r="I71" s="628">
        <f>$G71*H67*J$12</f>
        <v>0</v>
      </c>
      <c r="J71" s="1079"/>
      <c r="K71" s="629"/>
      <c r="L71" s="628">
        <f>$G71*K67*M$12</f>
        <v>0</v>
      </c>
      <c r="M71" s="630"/>
      <c r="N71" s="629"/>
      <c r="O71" s="628">
        <f>$G71*N67*P$12</f>
        <v>0</v>
      </c>
      <c r="P71" s="630"/>
      <c r="Q71" s="629"/>
      <c r="R71" s="628">
        <f>$G71*Q67*S$12</f>
        <v>224.97280000000001</v>
      </c>
      <c r="S71" s="630"/>
      <c r="T71" s="631"/>
      <c r="V71" s="593"/>
    </row>
    <row r="72" spans="1:22">
      <c r="A72" s="644" t="s">
        <v>547</v>
      </c>
      <c r="B72" s="645"/>
      <c r="C72" s="645"/>
      <c r="D72" s="646"/>
      <c r="E72" s="1146">
        <f>SUM(G68:G71)</f>
        <v>850</v>
      </c>
      <c r="F72" s="1147"/>
      <c r="G72" s="647"/>
      <c r="H72" s="648"/>
      <c r="I72" s="648"/>
      <c r="J72" s="621"/>
      <c r="K72" s="648"/>
      <c r="L72" s="648"/>
      <c r="M72" s="621"/>
      <c r="N72" s="648"/>
      <c r="O72" s="648"/>
      <c r="P72" s="621"/>
      <c r="Q72" s="648"/>
      <c r="R72" s="648"/>
      <c r="S72" s="621"/>
      <c r="T72" s="649"/>
      <c r="V72" s="593"/>
    </row>
    <row r="73" spans="1:22" ht="13.5" customHeight="1" thickBot="1">
      <c r="A73" s="588"/>
      <c r="B73" s="650"/>
      <c r="C73" s="650"/>
      <c r="D73" s="650"/>
      <c r="E73" s="650"/>
      <c r="F73" s="650"/>
      <c r="G73" s="612"/>
      <c r="H73" s="612"/>
      <c r="I73" s="612"/>
      <c r="J73" s="612"/>
      <c r="K73" s="612"/>
      <c r="L73" s="612"/>
      <c r="M73" s="612"/>
      <c r="N73" s="612"/>
      <c r="O73" s="612"/>
      <c r="P73" s="612"/>
      <c r="Q73" s="612"/>
      <c r="R73" s="612"/>
      <c r="S73" s="612"/>
      <c r="T73" s="613"/>
      <c r="V73" s="593"/>
    </row>
    <row r="74" spans="1:22" ht="13.5" customHeight="1" thickTop="1" thickBot="1">
      <c r="A74" s="588"/>
      <c r="B74" s="650"/>
      <c r="C74" s="650"/>
      <c r="D74" s="650"/>
      <c r="E74" s="650"/>
      <c r="F74" s="650"/>
      <c r="G74" s="612"/>
      <c r="H74" s="612"/>
      <c r="I74" s="612"/>
      <c r="J74" s="612"/>
      <c r="K74" s="612"/>
      <c r="L74" s="612"/>
      <c r="M74" s="612"/>
      <c r="N74" s="612"/>
      <c r="O74" s="612"/>
      <c r="P74" s="612"/>
      <c r="Q74" s="612"/>
      <c r="R74" s="612"/>
      <c r="S74" s="612"/>
      <c r="T74" s="613"/>
      <c r="V74" s="593"/>
    </row>
    <row r="75" spans="1:22" ht="53.25" customHeight="1" thickTop="1">
      <c r="A75" s="1143" t="e">
        <f>' Activities Detail'!D140:H140</f>
        <v>#VALUE!</v>
      </c>
      <c r="B75" s="1144"/>
      <c r="C75" s="1144"/>
      <c r="D75" s="1144"/>
      <c r="E75" s="1145"/>
      <c r="F75" s="614">
        <v>1</v>
      </c>
      <c r="G75" s="1075"/>
      <c r="H75" s="1162">
        <v>0</v>
      </c>
      <c r="I75" s="1163"/>
      <c r="J75" s="617">
        <f>SUM(I77:I79)</f>
        <v>0</v>
      </c>
      <c r="K75" s="1140">
        <v>4</v>
      </c>
      <c r="L75" s="1141"/>
      <c r="M75" s="617">
        <f>SUM(L77:L79)</f>
        <v>1726.4</v>
      </c>
      <c r="N75" s="1140">
        <v>12</v>
      </c>
      <c r="O75" s="1141"/>
      <c r="P75" s="617">
        <f>SUM(O77:O79)</f>
        <v>5386.3680000000004</v>
      </c>
      <c r="Q75" s="1142">
        <v>4</v>
      </c>
      <c r="R75" s="1140"/>
      <c r="S75" s="617">
        <f>SUM(R77:R79)</f>
        <v>1867.2742400000002</v>
      </c>
      <c r="T75" s="618">
        <f>SUM(J75,M75,P75,S75,)</f>
        <v>8980.0422400000007</v>
      </c>
      <c r="V75" s="593"/>
    </row>
    <row r="76" spans="1:22">
      <c r="A76" s="619" t="s">
        <v>566</v>
      </c>
      <c r="B76" s="620"/>
      <c r="C76" s="620"/>
      <c r="D76" s="620"/>
      <c r="E76" s="621"/>
      <c r="F76" s="620"/>
      <c r="G76" s="1076"/>
      <c r="H76" s="622"/>
      <c r="I76" s="620"/>
      <c r="J76" s="623"/>
      <c r="K76" s="622"/>
      <c r="L76" s="620"/>
      <c r="M76" s="623"/>
      <c r="N76" s="622"/>
      <c r="O76" s="620"/>
      <c r="P76" s="623"/>
      <c r="Q76" s="622"/>
      <c r="R76" s="620"/>
      <c r="S76" s="623"/>
      <c r="T76" s="624"/>
      <c r="V76" s="593"/>
    </row>
    <row r="77" spans="1:22">
      <c r="A77" s="625" t="s">
        <v>540</v>
      </c>
      <c r="B77" s="626">
        <v>20</v>
      </c>
      <c r="C77" s="627" t="s">
        <v>541</v>
      </c>
      <c r="D77" s="626">
        <f>parttransp</f>
        <v>4</v>
      </c>
      <c r="E77" s="627" t="s">
        <v>542</v>
      </c>
      <c r="F77" s="628">
        <f>IF(B77=0,0,F75)</f>
        <v>1</v>
      </c>
      <c r="G77" s="982">
        <f t="shared" ref="G77:G79" si="9">B77*D77*F77</f>
        <v>80</v>
      </c>
      <c r="H77" s="629"/>
      <c r="I77" s="628">
        <f>$G77*H75*J$12</f>
        <v>0</v>
      </c>
      <c r="J77" s="1078"/>
      <c r="K77" s="629"/>
      <c r="L77" s="628">
        <f>$G77*K75*M$12</f>
        <v>332.8</v>
      </c>
      <c r="M77" s="630"/>
      <c r="N77" s="629"/>
      <c r="O77" s="628">
        <f>$G77*N75*P$12</f>
        <v>1038.336</v>
      </c>
      <c r="P77" s="630"/>
      <c r="Q77" s="629"/>
      <c r="R77" s="628">
        <f>$G77*Q75*S$12</f>
        <v>359.95648000000006</v>
      </c>
      <c r="S77" s="630"/>
      <c r="T77" s="631"/>
      <c r="V77" s="593"/>
    </row>
    <row r="78" spans="1:22">
      <c r="A78" s="625" t="s">
        <v>543</v>
      </c>
      <c r="B78" s="626">
        <v>20</v>
      </c>
      <c r="C78" s="627" t="s">
        <v>541</v>
      </c>
      <c r="D78" s="626">
        <f>coffee+lunch</f>
        <v>16</v>
      </c>
      <c r="E78" s="627" t="s">
        <v>542</v>
      </c>
      <c r="F78" s="628">
        <f>IF(B78=0,0,F75)</f>
        <v>1</v>
      </c>
      <c r="G78" s="982">
        <f t="shared" si="9"/>
        <v>320</v>
      </c>
      <c r="H78" s="629"/>
      <c r="I78" s="628">
        <f>$G78*H75*J$12</f>
        <v>0</v>
      </c>
      <c r="J78" s="1078"/>
      <c r="K78" s="629"/>
      <c r="L78" s="628">
        <f>$G78*K75*M$12</f>
        <v>1331.2</v>
      </c>
      <c r="M78" s="630"/>
      <c r="N78" s="629"/>
      <c r="O78" s="628">
        <f>$G78*N75*P$12</f>
        <v>4153.3440000000001</v>
      </c>
      <c r="P78" s="630"/>
      <c r="Q78" s="629"/>
      <c r="R78" s="628">
        <f>$G78*Q75*S$12</f>
        <v>1439.8259200000002</v>
      </c>
      <c r="S78" s="630"/>
      <c r="T78" s="631"/>
      <c r="V78" s="593"/>
    </row>
    <row r="79" spans="1:22">
      <c r="A79" s="625" t="s">
        <v>544</v>
      </c>
      <c r="B79" s="626">
        <v>1</v>
      </c>
      <c r="C79" s="627" t="s">
        <v>545</v>
      </c>
      <c r="D79" s="626">
        <v>15</v>
      </c>
      <c r="E79" s="632" t="str">
        <f>C79</f>
        <v>activity</v>
      </c>
      <c r="F79" s="628">
        <f>IF(B79=0,0,1)</f>
        <v>1</v>
      </c>
      <c r="G79" s="639">
        <f t="shared" si="9"/>
        <v>15</v>
      </c>
      <c r="H79" s="629"/>
      <c r="I79" s="628">
        <f>$G79*H75*J$12</f>
        <v>0</v>
      </c>
      <c r="J79" s="1079"/>
      <c r="K79" s="629"/>
      <c r="L79" s="628">
        <f>$G79*K75*M$12</f>
        <v>62.400000000000006</v>
      </c>
      <c r="M79" s="630"/>
      <c r="N79" s="629"/>
      <c r="O79" s="628">
        <f>$G79*N75*P$12</f>
        <v>194.68800000000002</v>
      </c>
      <c r="P79" s="630"/>
      <c r="Q79" s="629"/>
      <c r="R79" s="628">
        <f>$G79*Q75*S$12</f>
        <v>67.49184000000001</v>
      </c>
      <c r="S79" s="630"/>
      <c r="T79" s="631"/>
      <c r="V79" s="593"/>
    </row>
    <row r="80" spans="1:22">
      <c r="A80" s="644" t="s">
        <v>547</v>
      </c>
      <c r="B80" s="645"/>
      <c r="C80" s="645"/>
      <c r="D80" s="646"/>
      <c r="E80" s="1146">
        <f>SUM(G76:G79)</f>
        <v>415</v>
      </c>
      <c r="F80" s="1147"/>
      <c r="G80" s="647"/>
      <c r="H80" s="648"/>
      <c r="I80" s="648"/>
      <c r="J80" s="621"/>
      <c r="K80" s="648"/>
      <c r="L80" s="648"/>
      <c r="M80" s="621"/>
      <c r="N80" s="648"/>
      <c r="O80" s="648"/>
      <c r="P80" s="621"/>
      <c r="Q80" s="648"/>
      <c r="R80" s="648"/>
      <c r="S80" s="621"/>
      <c r="T80" s="649"/>
      <c r="V80" s="593"/>
    </row>
    <row r="81" spans="1:22" ht="13.5" customHeight="1" thickBot="1">
      <c r="A81" s="588"/>
      <c r="B81" s="650"/>
      <c r="C81" s="650"/>
      <c r="D81" s="650"/>
      <c r="E81" s="650"/>
      <c r="F81" s="650"/>
      <c r="G81" s="612"/>
      <c r="H81" s="612"/>
      <c r="I81" s="612"/>
      <c r="J81" s="612"/>
      <c r="K81" s="612"/>
      <c r="L81" s="612"/>
      <c r="M81" s="612"/>
      <c r="N81" s="612"/>
      <c r="O81" s="612"/>
      <c r="P81" s="612"/>
      <c r="Q81" s="612"/>
      <c r="R81" s="612"/>
      <c r="S81" s="612"/>
      <c r="T81" s="613"/>
      <c r="V81" s="593"/>
    </row>
    <row r="82" spans="1:22" ht="13.5" customHeight="1" thickTop="1" thickBot="1">
      <c r="A82" s="588"/>
      <c r="B82" s="650"/>
      <c r="C82" s="650"/>
      <c r="D82" s="650"/>
      <c r="E82" s="650"/>
      <c r="F82" s="650"/>
      <c r="G82" s="612"/>
      <c r="H82" s="612"/>
      <c r="I82" s="612"/>
      <c r="J82" s="612"/>
      <c r="K82" s="612"/>
      <c r="L82" s="612"/>
      <c r="M82" s="612"/>
      <c r="N82" s="612"/>
      <c r="O82" s="612"/>
      <c r="P82" s="612"/>
      <c r="Q82" s="612"/>
      <c r="R82" s="612"/>
      <c r="S82" s="612"/>
      <c r="T82" s="613"/>
      <c r="V82" s="593"/>
    </row>
    <row r="83" spans="1:22" ht="45.75" customHeight="1" thickTop="1">
      <c r="A83" s="1143" t="e">
        <f>' Activities Detail'!D149:H149</f>
        <v>#VALUE!</v>
      </c>
      <c r="B83" s="1144"/>
      <c r="C83" s="1144"/>
      <c r="D83" s="1144"/>
      <c r="E83" s="1145"/>
      <c r="F83" s="614">
        <v>2</v>
      </c>
      <c r="G83" s="1075"/>
      <c r="H83" s="1162"/>
      <c r="I83" s="1163"/>
      <c r="J83" s="617">
        <f>SUM(I85:I88)</f>
        <v>0</v>
      </c>
      <c r="K83" s="1140">
        <v>6</v>
      </c>
      <c r="L83" s="1141"/>
      <c r="M83" s="617">
        <f>SUM(L85:L88)</f>
        <v>5304</v>
      </c>
      <c r="N83" s="1140">
        <v>6</v>
      </c>
      <c r="O83" s="1141"/>
      <c r="P83" s="617">
        <f>SUM(O85:O88)</f>
        <v>5516.16</v>
      </c>
      <c r="Q83" s="1142">
        <v>0</v>
      </c>
      <c r="R83" s="1140"/>
      <c r="S83" s="617">
        <f>SUM(R85:R88)</f>
        <v>0</v>
      </c>
      <c r="T83" s="618">
        <f>SUM(J83,M83,P83,S83,)</f>
        <v>10820.16</v>
      </c>
      <c r="V83" s="593"/>
    </row>
    <row r="84" spans="1:22">
      <c r="A84" s="619" t="s">
        <v>566</v>
      </c>
      <c r="B84" s="620"/>
      <c r="C84" s="620"/>
      <c r="D84" s="620"/>
      <c r="E84" s="621"/>
      <c r="F84" s="620"/>
      <c r="G84" s="1076"/>
      <c r="H84" s="622"/>
      <c r="I84" s="620"/>
      <c r="J84" s="623"/>
      <c r="K84" s="622"/>
      <c r="L84" s="620"/>
      <c r="M84" s="623"/>
      <c r="N84" s="622"/>
      <c r="O84" s="620"/>
      <c r="P84" s="623"/>
      <c r="Q84" s="622"/>
      <c r="R84" s="620"/>
      <c r="S84" s="623"/>
      <c r="T84" s="624"/>
      <c r="V84" s="593"/>
    </row>
    <row r="85" spans="1:22">
      <c r="A85" s="625" t="s">
        <v>540</v>
      </c>
      <c r="B85" s="626">
        <v>20</v>
      </c>
      <c r="C85" s="627" t="s">
        <v>541</v>
      </c>
      <c r="D85" s="626">
        <f>parttransp</f>
        <v>4</v>
      </c>
      <c r="E85" s="627" t="s">
        <v>542</v>
      </c>
      <c r="F85" s="628">
        <f>IF(B85=0,0,F83)</f>
        <v>2</v>
      </c>
      <c r="G85" s="982">
        <f t="shared" ref="G85:G87" si="10">B85*D85*F85</f>
        <v>160</v>
      </c>
      <c r="H85" s="629"/>
      <c r="I85" s="628">
        <f>$G85*H83*J$12</f>
        <v>0</v>
      </c>
      <c r="J85" s="1078"/>
      <c r="K85" s="629"/>
      <c r="L85" s="628">
        <f>$G85*K83*M$12</f>
        <v>998.40000000000009</v>
      </c>
      <c r="M85" s="630"/>
      <c r="N85" s="629"/>
      <c r="O85" s="628">
        <f>$G85*N83*P$12</f>
        <v>1038.336</v>
      </c>
      <c r="P85" s="630"/>
      <c r="Q85" s="629"/>
      <c r="R85" s="628">
        <f>$G85*Q83*S$12</f>
        <v>0</v>
      </c>
      <c r="S85" s="630"/>
      <c r="T85" s="631"/>
      <c r="V85" s="593"/>
    </row>
    <row r="86" spans="1:22">
      <c r="A86" s="625" t="s">
        <v>543</v>
      </c>
      <c r="B86" s="626">
        <v>20</v>
      </c>
      <c r="C86" s="627" t="s">
        <v>541</v>
      </c>
      <c r="D86" s="626">
        <f>coffee+lunch</f>
        <v>16</v>
      </c>
      <c r="E86" s="627" t="s">
        <v>542</v>
      </c>
      <c r="F86" s="628">
        <f>IF(B86=0,0,F83)</f>
        <v>2</v>
      </c>
      <c r="G86" s="982">
        <f t="shared" si="10"/>
        <v>640</v>
      </c>
      <c r="H86" s="629"/>
      <c r="I86" s="628">
        <f>$G86*H83*J$12</f>
        <v>0</v>
      </c>
      <c r="J86" s="1078"/>
      <c r="K86" s="629"/>
      <c r="L86" s="628">
        <f>$G86*K83*M$12</f>
        <v>3993.6000000000004</v>
      </c>
      <c r="M86" s="630"/>
      <c r="N86" s="629"/>
      <c r="O86" s="628">
        <f>$G86*N83*P$12</f>
        <v>4153.3440000000001</v>
      </c>
      <c r="P86" s="630"/>
      <c r="Q86" s="629"/>
      <c r="R86" s="628">
        <f>$G86*Q83*S$12</f>
        <v>0</v>
      </c>
      <c r="S86" s="630"/>
      <c r="T86" s="631"/>
      <c r="V86" s="593"/>
    </row>
    <row r="87" spans="1:22">
      <c r="A87" s="625" t="s">
        <v>544</v>
      </c>
      <c r="B87" s="626">
        <v>1</v>
      </c>
      <c r="C87" s="627" t="s">
        <v>545</v>
      </c>
      <c r="D87" s="626">
        <f>print</f>
        <v>50</v>
      </c>
      <c r="E87" s="632" t="str">
        <f>C87</f>
        <v>activity</v>
      </c>
      <c r="F87" s="628">
        <f>IF(B87=0,0,1)</f>
        <v>1</v>
      </c>
      <c r="G87" s="982">
        <f t="shared" si="10"/>
        <v>50</v>
      </c>
      <c r="H87" s="629"/>
      <c r="I87" s="628">
        <f>$G87*H83*J$12</f>
        <v>0</v>
      </c>
      <c r="J87" s="1078"/>
      <c r="K87" s="629"/>
      <c r="L87" s="628">
        <f>$G87*K83*M$12</f>
        <v>312</v>
      </c>
      <c r="M87" s="630"/>
      <c r="N87" s="629"/>
      <c r="O87" s="628">
        <f>$G87*N83*P$12</f>
        <v>324.48</v>
      </c>
      <c r="P87" s="630"/>
      <c r="Q87" s="629"/>
      <c r="R87" s="628">
        <f>$G87*Q83*S$12</f>
        <v>0</v>
      </c>
      <c r="S87" s="630"/>
      <c r="T87" s="631"/>
      <c r="V87" s="593"/>
    </row>
    <row r="88" spans="1:22">
      <c r="A88" s="625"/>
      <c r="B88" s="628"/>
      <c r="C88" s="628"/>
      <c r="D88" s="628"/>
      <c r="E88" s="628"/>
      <c r="F88" s="628"/>
      <c r="G88" s="639"/>
      <c r="H88" s="629"/>
      <c r="I88" s="628"/>
      <c r="J88" s="1079"/>
      <c r="K88" s="629"/>
      <c r="L88" s="628"/>
      <c r="M88" s="630"/>
      <c r="N88" s="629"/>
      <c r="O88" s="628"/>
      <c r="P88" s="630"/>
      <c r="Q88" s="629"/>
      <c r="R88" s="628"/>
      <c r="S88" s="630"/>
      <c r="T88" s="631"/>
      <c r="V88" s="593"/>
    </row>
    <row r="89" spans="1:22">
      <c r="A89" s="644" t="s">
        <v>547</v>
      </c>
      <c r="B89" s="645"/>
      <c r="C89" s="645"/>
      <c r="D89" s="646"/>
      <c r="E89" s="1146">
        <f>SUM(G84:G88)</f>
        <v>850</v>
      </c>
      <c r="F89" s="1147"/>
      <c r="G89" s="647"/>
      <c r="H89" s="648"/>
      <c r="I89" s="648"/>
      <c r="J89" s="621"/>
      <c r="K89" s="648"/>
      <c r="L89" s="648"/>
      <c r="M89" s="621"/>
      <c r="N89" s="648"/>
      <c r="O89" s="648"/>
      <c r="P89" s="621"/>
      <c r="Q89" s="648"/>
      <c r="R89" s="648"/>
      <c r="S89" s="621"/>
      <c r="T89" s="649"/>
      <c r="V89" s="593"/>
    </row>
    <row r="90" spans="1:22" ht="13.5" customHeight="1" thickBot="1">
      <c r="A90" s="588"/>
      <c r="B90" s="650"/>
      <c r="C90" s="650"/>
      <c r="D90" s="650"/>
      <c r="E90" s="650"/>
      <c r="F90" s="650"/>
      <c r="G90" s="612"/>
      <c r="H90" s="612"/>
      <c r="I90" s="612"/>
      <c r="J90" s="612"/>
      <c r="K90" s="612"/>
      <c r="L90" s="612"/>
      <c r="M90" s="612"/>
      <c r="N90" s="612"/>
      <c r="O90" s="612"/>
      <c r="P90" s="612"/>
      <c r="Q90" s="612"/>
      <c r="R90" s="612"/>
      <c r="S90" s="612"/>
      <c r="T90" s="613"/>
      <c r="V90" s="593"/>
    </row>
    <row r="91" spans="1:22" ht="45.75" customHeight="1" thickTop="1">
      <c r="A91" s="1143" t="e">
        <f>' Activities Detail'!D182:H182</f>
        <v>#VALUE!</v>
      </c>
      <c r="B91" s="1144"/>
      <c r="C91" s="1144"/>
      <c r="D91" s="1144"/>
      <c r="E91" s="1145"/>
      <c r="F91" s="614">
        <v>1</v>
      </c>
      <c r="G91" s="1075"/>
      <c r="H91" s="1162"/>
      <c r="I91" s="1163"/>
      <c r="J91" s="617">
        <f>SUM(I93:I95)</f>
        <v>0</v>
      </c>
      <c r="K91" s="1140">
        <v>0</v>
      </c>
      <c r="L91" s="1141"/>
      <c r="M91" s="617">
        <f>SUM(L93:L95)</f>
        <v>0</v>
      </c>
      <c r="N91" s="1140">
        <v>2</v>
      </c>
      <c r="O91" s="1141"/>
      <c r="P91" s="617">
        <f>SUM(O93:O95)</f>
        <v>973.44</v>
      </c>
      <c r="Q91" s="1142">
        <v>2</v>
      </c>
      <c r="R91" s="1140"/>
      <c r="S91" s="617">
        <f>SUM(R93:R95)</f>
        <v>1012.3776000000001</v>
      </c>
      <c r="T91" s="618">
        <f>SUM(J91,M91,P91,S91,)</f>
        <v>1985.8176000000003</v>
      </c>
      <c r="V91" s="593"/>
    </row>
    <row r="92" spans="1:22">
      <c r="A92" s="619" t="s">
        <v>566</v>
      </c>
      <c r="B92" s="620"/>
      <c r="C92" s="620"/>
      <c r="D92" s="620"/>
      <c r="E92" s="621"/>
      <c r="F92" s="620"/>
      <c r="G92" s="1076"/>
      <c r="H92" s="622"/>
      <c r="I92" s="620"/>
      <c r="J92" s="623"/>
      <c r="K92" s="622"/>
      <c r="L92" s="620"/>
      <c r="M92" s="623"/>
      <c r="N92" s="622"/>
      <c r="O92" s="620"/>
      <c r="P92" s="623"/>
      <c r="Q92" s="622"/>
      <c r="R92" s="620"/>
      <c r="S92" s="623"/>
      <c r="T92" s="624"/>
      <c r="V92" s="593"/>
    </row>
    <row r="93" spans="1:22">
      <c r="A93" s="625" t="s">
        <v>540</v>
      </c>
      <c r="B93" s="626">
        <v>20</v>
      </c>
      <c r="C93" s="627" t="s">
        <v>541</v>
      </c>
      <c r="D93" s="626">
        <f>parttransp</f>
        <v>4</v>
      </c>
      <c r="E93" s="627" t="s">
        <v>542</v>
      </c>
      <c r="F93" s="628">
        <f>IF(B93=0,0,F91)</f>
        <v>1</v>
      </c>
      <c r="G93" s="982">
        <f t="shared" ref="G93:G95" si="11">B93*D93*F93</f>
        <v>80</v>
      </c>
      <c r="H93" s="629"/>
      <c r="I93" s="628">
        <f>$G93*H91*J$12</f>
        <v>0</v>
      </c>
      <c r="J93" s="1078"/>
      <c r="K93" s="629"/>
      <c r="L93" s="628">
        <f>$G93*K91*M$12</f>
        <v>0</v>
      </c>
      <c r="M93" s="630"/>
      <c r="N93" s="629"/>
      <c r="O93" s="628">
        <f>$G93*N91*P$12</f>
        <v>173.05600000000001</v>
      </c>
      <c r="P93" s="630"/>
      <c r="Q93" s="629"/>
      <c r="R93" s="628">
        <f>$G93*Q91*S$12</f>
        <v>179.97824000000003</v>
      </c>
      <c r="S93" s="630"/>
      <c r="T93" s="631"/>
      <c r="V93" s="593"/>
    </row>
    <row r="94" spans="1:22">
      <c r="A94" s="625" t="s">
        <v>543</v>
      </c>
      <c r="B94" s="626">
        <v>20</v>
      </c>
      <c r="C94" s="627" t="s">
        <v>541</v>
      </c>
      <c r="D94" s="626">
        <f>coffee+lunch</f>
        <v>16</v>
      </c>
      <c r="E94" s="627" t="s">
        <v>542</v>
      </c>
      <c r="F94" s="628">
        <f>IF(B94=0,0,F91)</f>
        <v>1</v>
      </c>
      <c r="G94" s="982">
        <f t="shared" si="11"/>
        <v>320</v>
      </c>
      <c r="H94" s="629"/>
      <c r="I94" s="628">
        <f>$G94*H91*J$12</f>
        <v>0</v>
      </c>
      <c r="J94" s="1078"/>
      <c r="K94" s="629"/>
      <c r="L94" s="628">
        <f>$G94*K91*M$12</f>
        <v>0</v>
      </c>
      <c r="M94" s="630"/>
      <c r="N94" s="629"/>
      <c r="O94" s="628">
        <f>$G94*N91*P$12</f>
        <v>692.22400000000005</v>
      </c>
      <c r="P94" s="630"/>
      <c r="Q94" s="629"/>
      <c r="R94" s="628">
        <f>$G94*Q91*S$12</f>
        <v>719.91296000000011</v>
      </c>
      <c r="S94" s="630"/>
      <c r="T94" s="631"/>
      <c r="V94" s="593"/>
    </row>
    <row r="95" spans="1:22">
      <c r="A95" s="625" t="s">
        <v>544</v>
      </c>
      <c r="B95" s="626">
        <v>1</v>
      </c>
      <c r="C95" s="627" t="s">
        <v>545</v>
      </c>
      <c r="D95" s="626">
        <f>print</f>
        <v>50</v>
      </c>
      <c r="E95" s="632" t="str">
        <f>C95</f>
        <v>activity</v>
      </c>
      <c r="F95" s="628">
        <f>IF(B95=0,0,1)</f>
        <v>1</v>
      </c>
      <c r="G95" s="982">
        <f t="shared" si="11"/>
        <v>50</v>
      </c>
      <c r="H95" s="629"/>
      <c r="I95" s="628">
        <f>$G95*H91*J$12</f>
        <v>0</v>
      </c>
      <c r="J95" s="1078"/>
      <c r="K95" s="629"/>
      <c r="L95" s="628">
        <f>$G95*K91*M$12</f>
        <v>0</v>
      </c>
      <c r="M95" s="630"/>
      <c r="N95" s="629"/>
      <c r="O95" s="628">
        <f>$G95*N91*P$12</f>
        <v>108.16000000000001</v>
      </c>
      <c r="P95" s="630"/>
      <c r="Q95" s="629"/>
      <c r="R95" s="628">
        <f>$G95*Q91*S$12</f>
        <v>112.4864</v>
      </c>
      <c r="S95" s="630"/>
      <c r="T95" s="631"/>
      <c r="V95" s="593"/>
    </row>
    <row r="96" spans="1:22">
      <c r="A96" s="633" t="s">
        <v>554</v>
      </c>
      <c r="B96" s="628"/>
      <c r="C96" s="634"/>
      <c r="D96" s="628"/>
      <c r="E96" s="628"/>
      <c r="F96" s="628"/>
      <c r="G96" s="982"/>
      <c r="H96" s="629"/>
      <c r="I96" s="628"/>
      <c r="J96" s="1078"/>
      <c r="K96" s="629"/>
      <c r="L96" s="628"/>
      <c r="M96" s="630"/>
      <c r="N96" s="629"/>
      <c r="O96" s="628"/>
      <c r="P96" s="630"/>
      <c r="Q96" s="629"/>
      <c r="R96" s="628"/>
      <c r="S96" s="630"/>
      <c r="T96" s="631"/>
      <c r="V96" s="593"/>
    </row>
    <row r="97" spans="1:22">
      <c r="A97" s="625" t="s">
        <v>563</v>
      </c>
      <c r="B97" s="626">
        <v>2</v>
      </c>
      <c r="C97" s="627" t="s">
        <v>541</v>
      </c>
      <c r="D97" s="626">
        <f>partground</f>
        <v>9</v>
      </c>
      <c r="E97" s="627" t="s">
        <v>556</v>
      </c>
      <c r="F97" s="628">
        <f>IF(B97=0,0,1)</f>
        <v>1</v>
      </c>
      <c r="G97" s="982">
        <f t="shared" ref="G97:G101" si="12">B97*D97*F97</f>
        <v>18</v>
      </c>
      <c r="H97" s="629"/>
      <c r="I97" s="628">
        <f>$G97*H91*J$12</f>
        <v>0</v>
      </c>
      <c r="J97" s="1078"/>
      <c r="K97" s="629"/>
      <c r="L97" s="628">
        <f>$G97*K91*M$12</f>
        <v>0</v>
      </c>
      <c r="M97" s="630"/>
      <c r="N97" s="629"/>
      <c r="O97" s="628">
        <f>$G97*$N$91*P$12</f>
        <v>38.937600000000003</v>
      </c>
      <c r="P97" s="630"/>
      <c r="Q97" s="629"/>
      <c r="R97" s="628">
        <f>$G97*$Q$91*S$12</f>
        <v>40.495104000000005</v>
      </c>
      <c r="S97" s="630"/>
      <c r="T97" s="631"/>
      <c r="V97" s="593"/>
    </row>
    <row r="98" spans="1:22">
      <c r="A98" s="625" t="s">
        <v>564</v>
      </c>
      <c r="B98" s="626">
        <v>2</v>
      </c>
      <c r="C98" s="627" t="s">
        <v>541</v>
      </c>
      <c r="D98" s="626">
        <f>partground</f>
        <v>9</v>
      </c>
      <c r="E98" s="627" t="s">
        <v>542</v>
      </c>
      <c r="F98" s="628">
        <f>IF(B98=0,0,1)</f>
        <v>1</v>
      </c>
      <c r="G98" s="982">
        <f t="shared" si="12"/>
        <v>18</v>
      </c>
      <c r="H98" s="629"/>
      <c r="I98" s="628">
        <f>$G98*H91*J$12</f>
        <v>0</v>
      </c>
      <c r="J98" s="1078"/>
      <c r="K98" s="629"/>
      <c r="L98" s="628">
        <f>$G98*K91*M$12</f>
        <v>0</v>
      </c>
      <c r="M98" s="630"/>
      <c r="N98" s="629"/>
      <c r="O98" s="628">
        <f>$G98*$N$91*P$12</f>
        <v>38.937600000000003</v>
      </c>
      <c r="P98" s="630"/>
      <c r="Q98" s="629"/>
      <c r="R98" s="628">
        <f>$G98*$Q$91*S$12</f>
        <v>40.495104000000005</v>
      </c>
      <c r="S98" s="630"/>
      <c r="T98" s="631"/>
      <c r="V98" s="593"/>
    </row>
    <row r="99" spans="1:22">
      <c r="A99" s="625" t="s">
        <v>48</v>
      </c>
      <c r="B99" s="628"/>
      <c r="C99" s="627" t="s">
        <v>541</v>
      </c>
      <c r="D99" s="626">
        <f>partlodg</f>
        <v>25</v>
      </c>
      <c r="E99" s="627" t="s">
        <v>542</v>
      </c>
      <c r="F99" s="628">
        <f>IF(B99=0,0,F91)</f>
        <v>0</v>
      </c>
      <c r="G99" s="982">
        <f t="shared" si="12"/>
        <v>0</v>
      </c>
      <c r="H99" s="629"/>
      <c r="I99" s="628">
        <f>$G99*H91*J$12</f>
        <v>0</v>
      </c>
      <c r="J99" s="1078"/>
      <c r="K99" s="629"/>
      <c r="L99" s="628">
        <f>$G99*K91*M$12</f>
        <v>0</v>
      </c>
      <c r="M99" s="630"/>
      <c r="N99" s="629"/>
      <c r="O99" s="628">
        <f>$G99*$N$91*P$12</f>
        <v>0</v>
      </c>
      <c r="P99" s="630"/>
      <c r="Q99" s="629"/>
      <c r="R99" s="628">
        <f>$G99*$Q$91*S$12</f>
        <v>0</v>
      </c>
      <c r="S99" s="630"/>
      <c r="T99" s="631"/>
      <c r="V99" s="593"/>
    </row>
    <row r="100" spans="1:22">
      <c r="A100" s="625" t="s">
        <v>616</v>
      </c>
      <c r="B100" s="628">
        <v>4</v>
      </c>
      <c r="C100" s="627" t="s">
        <v>541</v>
      </c>
      <c r="D100" s="626">
        <f>partmeals</f>
        <v>47</v>
      </c>
      <c r="E100" s="627" t="s">
        <v>542</v>
      </c>
      <c r="F100" s="628">
        <f>IF(B100=0,0,F91)</f>
        <v>1</v>
      </c>
      <c r="G100" s="982">
        <f t="shared" si="12"/>
        <v>188</v>
      </c>
      <c r="H100" s="629"/>
      <c r="I100" s="628">
        <f>$G100*H91*J$12</f>
        <v>0</v>
      </c>
      <c r="J100" s="1078"/>
      <c r="K100" s="629"/>
      <c r="L100" s="628">
        <f>$G100*K91*M$12</f>
        <v>0</v>
      </c>
      <c r="M100" s="630"/>
      <c r="N100" s="629"/>
      <c r="O100" s="628">
        <f>$G100*$N$91*P$12</f>
        <v>406.68160000000006</v>
      </c>
      <c r="P100" s="630"/>
      <c r="Q100" s="629"/>
      <c r="R100" s="628">
        <f>$G100*$Q$91*S$12</f>
        <v>422.94886400000001</v>
      </c>
      <c r="S100" s="630"/>
      <c r="T100" s="631"/>
      <c r="V100" s="593"/>
    </row>
    <row r="101" spans="1:22">
      <c r="A101" s="625" t="s">
        <v>109</v>
      </c>
      <c r="B101" s="628">
        <v>4</v>
      </c>
      <c r="C101" s="627" t="s">
        <v>541</v>
      </c>
      <c r="D101" s="626">
        <f>parttransp</f>
        <v>4</v>
      </c>
      <c r="E101" s="627" t="s">
        <v>556</v>
      </c>
      <c r="F101" s="626">
        <v>1</v>
      </c>
      <c r="G101" s="639">
        <f t="shared" si="12"/>
        <v>16</v>
      </c>
      <c r="H101" s="629"/>
      <c r="I101" s="628">
        <f>$G101*H91*J$12</f>
        <v>0</v>
      </c>
      <c r="J101" s="1079"/>
      <c r="K101" s="629"/>
      <c r="L101" s="628">
        <f>$G101*K91*M$12</f>
        <v>0</v>
      </c>
      <c r="M101" s="630"/>
      <c r="N101" s="629"/>
      <c r="O101" s="628">
        <f>$G101*$N$91*P$12</f>
        <v>34.611200000000004</v>
      </c>
      <c r="P101" s="630"/>
      <c r="Q101" s="629"/>
      <c r="R101" s="628">
        <f>$G101*$Q$91*S$12</f>
        <v>35.995648000000003</v>
      </c>
      <c r="S101" s="630"/>
      <c r="T101" s="631"/>
      <c r="V101" s="593"/>
    </row>
    <row r="102" spans="1:22">
      <c r="A102" s="644" t="s">
        <v>547</v>
      </c>
      <c r="B102" s="645"/>
      <c r="C102" s="645"/>
      <c r="D102" s="646"/>
      <c r="E102" s="1146">
        <f>SUM(G92:G101)</f>
        <v>690</v>
      </c>
      <c r="F102" s="1147"/>
      <c r="G102" s="647"/>
      <c r="H102" s="648"/>
      <c r="I102" s="648"/>
      <c r="J102" s="621"/>
      <c r="K102" s="648"/>
      <c r="L102" s="648"/>
      <c r="M102" s="621"/>
      <c r="N102" s="648"/>
      <c r="O102" s="648"/>
      <c r="P102" s="621"/>
      <c r="Q102" s="648"/>
      <c r="R102" s="648"/>
      <c r="S102" s="621"/>
      <c r="T102" s="649"/>
      <c r="V102" s="593"/>
    </row>
    <row r="103" spans="1:22" ht="13.5" customHeight="1" thickBot="1">
      <c r="A103" s="588"/>
      <c r="B103" s="650"/>
      <c r="C103" s="650"/>
      <c r="D103" s="650"/>
      <c r="E103" s="650"/>
      <c r="F103" s="650"/>
      <c r="G103" s="612"/>
      <c r="H103" s="612"/>
      <c r="I103" s="612"/>
      <c r="J103" s="612"/>
      <c r="K103" s="612"/>
      <c r="L103" s="612"/>
      <c r="M103" s="612"/>
      <c r="N103" s="612"/>
      <c r="O103" s="612"/>
      <c r="P103" s="612"/>
      <c r="Q103" s="612"/>
      <c r="R103" s="612"/>
      <c r="S103" s="612"/>
      <c r="T103" s="613"/>
      <c r="V103" s="593"/>
    </row>
    <row r="104" spans="1:22" ht="53.25" customHeight="1" thickTop="1">
      <c r="A104" s="1143" t="e">
        <f>' Activities Detail'!D201:H201</f>
        <v>#VALUE!</v>
      </c>
      <c r="B104" s="1144"/>
      <c r="C104" s="1144"/>
      <c r="D104" s="1144"/>
      <c r="E104" s="1145"/>
      <c r="F104" s="614">
        <v>1</v>
      </c>
      <c r="G104" s="1075"/>
      <c r="H104" s="1162"/>
      <c r="I104" s="1163"/>
      <c r="J104" s="617">
        <f>SUM(I106:I108)</f>
        <v>0</v>
      </c>
      <c r="K104" s="1140">
        <v>0</v>
      </c>
      <c r="L104" s="1141"/>
      <c r="M104" s="617">
        <f>SUM(L106:L108)</f>
        <v>0</v>
      </c>
      <c r="N104" s="1140">
        <v>4</v>
      </c>
      <c r="O104" s="1141"/>
      <c r="P104" s="617">
        <f>SUM(O106:O108)</f>
        <v>1946.88</v>
      </c>
      <c r="Q104" s="1142">
        <v>4</v>
      </c>
      <c r="R104" s="1140"/>
      <c r="S104" s="617">
        <f>SUM(R106:R108)</f>
        <v>2024.7552000000003</v>
      </c>
      <c r="T104" s="618">
        <f>SUM(J104,M104,P104,S104,)</f>
        <v>3971.6352000000006</v>
      </c>
      <c r="V104" s="593"/>
    </row>
    <row r="105" spans="1:22">
      <c r="A105" s="619" t="s">
        <v>566</v>
      </c>
      <c r="B105" s="620"/>
      <c r="C105" s="620"/>
      <c r="D105" s="620"/>
      <c r="E105" s="621"/>
      <c r="F105" s="620"/>
      <c r="G105" s="1076"/>
      <c r="H105" s="622"/>
      <c r="I105" s="620"/>
      <c r="J105" s="623"/>
      <c r="K105" s="622"/>
      <c r="L105" s="620"/>
      <c r="M105" s="623"/>
      <c r="N105" s="622"/>
      <c r="O105" s="620"/>
      <c r="P105" s="623"/>
      <c r="Q105" s="622"/>
      <c r="R105" s="620"/>
      <c r="S105" s="623"/>
      <c r="T105" s="624"/>
      <c r="V105" s="593"/>
    </row>
    <row r="106" spans="1:22">
      <c r="A106" s="625" t="s">
        <v>540</v>
      </c>
      <c r="B106" s="626">
        <v>20</v>
      </c>
      <c r="C106" s="627" t="s">
        <v>541</v>
      </c>
      <c r="D106" s="626">
        <f>parttransp</f>
        <v>4</v>
      </c>
      <c r="E106" s="627" t="s">
        <v>542</v>
      </c>
      <c r="F106" s="628">
        <f>IF(B106=0,0,F104)</f>
        <v>1</v>
      </c>
      <c r="G106" s="982">
        <f t="shared" ref="G106:G108" si="13">B106*D106*F106</f>
        <v>80</v>
      </c>
      <c r="H106" s="629"/>
      <c r="I106" s="628">
        <f>$G106*H104*J$12</f>
        <v>0</v>
      </c>
      <c r="J106" s="1078"/>
      <c r="K106" s="629"/>
      <c r="L106" s="628">
        <f>$G106*K104*M$12</f>
        <v>0</v>
      </c>
      <c r="M106" s="630"/>
      <c r="N106" s="629"/>
      <c r="O106" s="628">
        <f>$G106*N104*P$12</f>
        <v>346.11200000000002</v>
      </c>
      <c r="P106" s="630"/>
      <c r="Q106" s="629"/>
      <c r="R106" s="628">
        <f>$G106*Q104*S$12</f>
        <v>359.95648000000006</v>
      </c>
      <c r="S106" s="630"/>
      <c r="T106" s="631"/>
      <c r="V106" s="593"/>
    </row>
    <row r="107" spans="1:22">
      <c r="A107" s="625" t="s">
        <v>543</v>
      </c>
      <c r="B107" s="626">
        <v>20</v>
      </c>
      <c r="C107" s="627" t="s">
        <v>541</v>
      </c>
      <c r="D107" s="626">
        <f>coffee+lunch</f>
        <v>16</v>
      </c>
      <c r="E107" s="627" t="s">
        <v>542</v>
      </c>
      <c r="F107" s="628">
        <f>IF(B107=0,0,F104)</f>
        <v>1</v>
      </c>
      <c r="G107" s="982">
        <f t="shared" si="13"/>
        <v>320</v>
      </c>
      <c r="H107" s="629"/>
      <c r="I107" s="628">
        <f>$G107*H104*J$12</f>
        <v>0</v>
      </c>
      <c r="J107" s="1078"/>
      <c r="K107" s="629"/>
      <c r="L107" s="628">
        <f>$G107*K104*M$12</f>
        <v>0</v>
      </c>
      <c r="M107" s="630"/>
      <c r="N107" s="629"/>
      <c r="O107" s="628">
        <f>$G107*N104*P$12</f>
        <v>1384.4480000000001</v>
      </c>
      <c r="P107" s="630"/>
      <c r="Q107" s="629"/>
      <c r="R107" s="628">
        <f>$G107*Q104*S$12</f>
        <v>1439.8259200000002</v>
      </c>
      <c r="S107" s="630"/>
      <c r="T107" s="631"/>
      <c r="V107" s="593"/>
    </row>
    <row r="108" spans="1:22">
      <c r="A108" s="625" t="s">
        <v>544</v>
      </c>
      <c r="B108" s="626">
        <v>1</v>
      </c>
      <c r="C108" s="627" t="s">
        <v>545</v>
      </c>
      <c r="D108" s="626">
        <f>print</f>
        <v>50</v>
      </c>
      <c r="E108" s="632" t="str">
        <f>C108</f>
        <v>activity</v>
      </c>
      <c r="F108" s="628">
        <f>IF(B108=0,0,1)</f>
        <v>1</v>
      </c>
      <c r="G108" s="982">
        <f t="shared" si="13"/>
        <v>50</v>
      </c>
      <c r="H108" s="629"/>
      <c r="I108" s="628">
        <f>$G108*H104*J$12</f>
        <v>0</v>
      </c>
      <c r="J108" s="1078"/>
      <c r="K108" s="629"/>
      <c r="L108" s="628">
        <f>$G108*K104*M$12</f>
        <v>0</v>
      </c>
      <c r="M108" s="630"/>
      <c r="N108" s="629"/>
      <c r="O108" s="628">
        <f>$G108*N104*P$12</f>
        <v>216.32000000000002</v>
      </c>
      <c r="P108" s="630"/>
      <c r="Q108" s="629"/>
      <c r="R108" s="628">
        <f>$G108*Q104*S$12</f>
        <v>224.97280000000001</v>
      </c>
      <c r="S108" s="630"/>
      <c r="T108" s="631"/>
      <c r="V108" s="593"/>
    </row>
    <row r="109" spans="1:22">
      <c r="A109" s="633" t="s">
        <v>599</v>
      </c>
      <c r="B109" s="628"/>
      <c r="C109" s="634"/>
      <c r="D109" s="628"/>
      <c r="E109" s="628"/>
      <c r="F109" s="628"/>
      <c r="G109" s="982"/>
      <c r="H109" s="629"/>
      <c r="I109" s="628"/>
      <c r="J109" s="1078"/>
      <c r="K109" s="629"/>
      <c r="L109" s="628"/>
      <c r="M109" s="630"/>
      <c r="N109" s="629"/>
      <c r="O109" s="628"/>
      <c r="P109" s="630"/>
      <c r="Q109" s="629"/>
      <c r="R109" s="628"/>
      <c r="S109" s="630"/>
      <c r="T109" s="631"/>
      <c r="V109" s="593"/>
    </row>
    <row r="110" spans="1:22">
      <c r="A110" s="625" t="s">
        <v>600</v>
      </c>
      <c r="B110" s="626">
        <v>2</v>
      </c>
      <c r="C110" s="627" t="s">
        <v>541</v>
      </c>
      <c r="D110" s="626">
        <f>partground</f>
        <v>9</v>
      </c>
      <c r="E110" s="627" t="s">
        <v>556</v>
      </c>
      <c r="F110" s="628">
        <f>IF(B110=0,0,1)</f>
        <v>1</v>
      </c>
      <c r="G110" s="982">
        <f t="shared" ref="G110:G113" si="14">B110*D110*F110</f>
        <v>18</v>
      </c>
      <c r="H110" s="629"/>
      <c r="I110" s="628">
        <f>$G110*H104*J$12</f>
        <v>0</v>
      </c>
      <c r="J110" s="1078"/>
      <c r="K110" s="629"/>
      <c r="L110" s="628">
        <f>$G110*K104*M$12</f>
        <v>0</v>
      </c>
      <c r="M110" s="630"/>
      <c r="N110" s="629"/>
      <c r="O110" s="628">
        <f>$G110*$N$104*P$12</f>
        <v>77.875200000000007</v>
      </c>
      <c r="P110" s="630"/>
      <c r="Q110" s="629"/>
      <c r="R110" s="628">
        <f>$G110*$Q$104*S$12</f>
        <v>80.99020800000001</v>
      </c>
      <c r="S110" s="630"/>
      <c r="T110" s="631"/>
      <c r="V110" s="593"/>
    </row>
    <row r="111" spans="1:22">
      <c r="A111" s="625" t="s">
        <v>601</v>
      </c>
      <c r="B111" s="626">
        <v>2</v>
      </c>
      <c r="C111" s="627" t="s">
        <v>541</v>
      </c>
      <c r="D111" s="626">
        <f>partground</f>
        <v>9</v>
      </c>
      <c r="E111" s="627" t="s">
        <v>542</v>
      </c>
      <c r="F111" s="628">
        <f>IF(B111=0,0,1)</f>
        <v>1</v>
      </c>
      <c r="G111" s="982">
        <f t="shared" si="14"/>
        <v>18</v>
      </c>
      <c r="H111" s="629"/>
      <c r="I111" s="628">
        <f>$G111*H104*J$12</f>
        <v>0</v>
      </c>
      <c r="J111" s="1078"/>
      <c r="K111" s="629"/>
      <c r="L111" s="628">
        <f>$G111*K104*M$12</f>
        <v>0</v>
      </c>
      <c r="M111" s="630"/>
      <c r="N111" s="629"/>
      <c r="O111" s="628">
        <f>$G111*$N$104*P$12</f>
        <v>77.875200000000007</v>
      </c>
      <c r="P111" s="630"/>
      <c r="Q111" s="629"/>
      <c r="R111" s="628">
        <f>$G111*$Q$104*S$12</f>
        <v>80.99020800000001</v>
      </c>
      <c r="S111" s="630"/>
      <c r="T111" s="631"/>
      <c r="V111" s="593"/>
    </row>
    <row r="112" spans="1:22">
      <c r="A112" s="625" t="s">
        <v>48</v>
      </c>
      <c r="B112" s="628">
        <f>B110+B111</f>
        <v>4</v>
      </c>
      <c r="C112" s="627" t="s">
        <v>541</v>
      </c>
      <c r="D112" s="626">
        <f>partlodg</f>
        <v>25</v>
      </c>
      <c r="E112" s="627" t="s">
        <v>542</v>
      </c>
      <c r="F112" s="628">
        <f>IF(B112=0,0,F104)</f>
        <v>1</v>
      </c>
      <c r="G112" s="982">
        <f t="shared" si="14"/>
        <v>100</v>
      </c>
      <c r="H112" s="629"/>
      <c r="I112" s="628">
        <f>$G112*H104*J$12</f>
        <v>0</v>
      </c>
      <c r="J112" s="1078"/>
      <c r="K112" s="629"/>
      <c r="L112" s="628">
        <f>$G112*K104*M$12</f>
        <v>0</v>
      </c>
      <c r="M112" s="630"/>
      <c r="N112" s="629"/>
      <c r="O112" s="628">
        <f>$G112*$N$104*P$12</f>
        <v>432.64000000000004</v>
      </c>
      <c r="P112" s="630"/>
      <c r="Q112" s="629"/>
      <c r="R112" s="628">
        <f>$G112*$Q$104*S$12</f>
        <v>449.94560000000001</v>
      </c>
      <c r="S112" s="630"/>
      <c r="T112" s="631"/>
      <c r="V112" s="593"/>
    </row>
    <row r="113" spans="1:22">
      <c r="A113" s="625" t="s">
        <v>616</v>
      </c>
      <c r="B113" s="628">
        <f>B112</f>
        <v>4</v>
      </c>
      <c r="C113" s="627" t="s">
        <v>541</v>
      </c>
      <c r="D113" s="626">
        <f>partmeals</f>
        <v>47</v>
      </c>
      <c r="E113" s="627" t="s">
        <v>542</v>
      </c>
      <c r="F113" s="628">
        <f>IF(B113=0,0,F104)</f>
        <v>1</v>
      </c>
      <c r="G113" s="982">
        <f t="shared" si="14"/>
        <v>188</v>
      </c>
      <c r="H113" s="629"/>
      <c r="I113" s="628">
        <f>$G113*H104*J$12</f>
        <v>0</v>
      </c>
      <c r="J113" s="1078"/>
      <c r="K113" s="629"/>
      <c r="L113" s="628">
        <f>$G113*K104*M$12</f>
        <v>0</v>
      </c>
      <c r="M113" s="630"/>
      <c r="N113" s="629"/>
      <c r="O113" s="628">
        <f>$G113*$N$104*P$12</f>
        <v>813.36320000000012</v>
      </c>
      <c r="P113" s="630"/>
      <c r="Q113" s="629"/>
      <c r="R113" s="628">
        <f>$G113*$Q$104*S$12</f>
        <v>845.89772800000003</v>
      </c>
      <c r="S113" s="630"/>
      <c r="T113" s="631"/>
      <c r="V113" s="593"/>
    </row>
    <row r="114" spans="1:22">
      <c r="A114" s="625" t="s">
        <v>109</v>
      </c>
      <c r="B114" s="628">
        <f>B113</f>
        <v>4</v>
      </c>
      <c r="C114" s="627" t="s">
        <v>541</v>
      </c>
      <c r="D114" s="626">
        <f>parttransp</f>
        <v>4</v>
      </c>
      <c r="E114" s="627" t="s">
        <v>556</v>
      </c>
      <c r="F114" s="626">
        <v>1</v>
      </c>
      <c r="G114" s="639">
        <f>B114*D114*F114</f>
        <v>16</v>
      </c>
      <c r="H114" s="629"/>
      <c r="I114" s="628">
        <f>$G114*H104*J$12</f>
        <v>0</v>
      </c>
      <c r="J114" s="1079"/>
      <c r="K114" s="629"/>
      <c r="L114" s="628">
        <f>$G114*K104*M$12</f>
        <v>0</v>
      </c>
      <c r="M114" s="630"/>
      <c r="N114" s="629"/>
      <c r="O114" s="628">
        <f>$G114*$N$104*P$12</f>
        <v>69.222400000000007</v>
      </c>
      <c r="P114" s="630"/>
      <c r="Q114" s="629"/>
      <c r="R114" s="628">
        <f>$G114*$Q$104*S$12</f>
        <v>71.991296000000006</v>
      </c>
      <c r="S114" s="630"/>
      <c r="T114" s="631"/>
      <c r="V114" s="593"/>
    </row>
    <row r="115" spans="1:22">
      <c r="A115" s="644" t="s">
        <v>547</v>
      </c>
      <c r="B115" s="645"/>
      <c r="C115" s="645"/>
      <c r="D115" s="646"/>
      <c r="E115" s="1146">
        <f>SUM(G105:G114)</f>
        <v>790</v>
      </c>
      <c r="F115" s="1147"/>
      <c r="G115" s="647"/>
      <c r="H115" s="648"/>
      <c r="I115" s="648"/>
      <c r="J115" s="621"/>
      <c r="K115" s="648"/>
      <c r="L115" s="648"/>
      <c r="M115" s="621"/>
      <c r="N115" s="648"/>
      <c r="O115" s="648"/>
      <c r="P115" s="621"/>
      <c r="Q115" s="648"/>
      <c r="R115" s="648"/>
      <c r="S115" s="621"/>
      <c r="T115" s="649"/>
      <c r="V115" s="593"/>
    </row>
    <row r="116" spans="1:22" ht="13.5" customHeight="1" thickBot="1">
      <c r="A116" s="588"/>
      <c r="B116" s="650"/>
      <c r="C116" s="650"/>
      <c r="D116" s="650"/>
      <c r="E116" s="650"/>
      <c r="F116" s="650"/>
      <c r="G116" s="612"/>
      <c r="H116" s="612"/>
      <c r="I116" s="612"/>
      <c r="J116" s="612"/>
      <c r="K116" s="612"/>
      <c r="L116" s="612"/>
      <c r="M116" s="612"/>
      <c r="N116" s="612"/>
      <c r="O116" s="612"/>
      <c r="P116" s="612"/>
      <c r="Q116" s="612"/>
      <c r="R116" s="612"/>
      <c r="S116" s="612"/>
      <c r="T116" s="613"/>
      <c r="V116" s="593"/>
    </row>
    <row r="117" spans="1:22" ht="13.5" customHeight="1" thickTop="1" thickBot="1">
      <c r="A117" s="588"/>
      <c r="B117" s="650"/>
      <c r="C117" s="650"/>
      <c r="D117" s="650"/>
      <c r="E117" s="650"/>
      <c r="F117" s="650"/>
      <c r="G117" s="612"/>
      <c r="H117" s="612"/>
      <c r="I117" s="612"/>
      <c r="J117" s="612"/>
      <c r="K117" s="612"/>
      <c r="L117" s="612"/>
      <c r="M117" s="612"/>
      <c r="N117" s="612"/>
      <c r="O117" s="612"/>
      <c r="P117" s="612"/>
      <c r="Q117" s="612"/>
      <c r="R117" s="612"/>
      <c r="S117" s="612"/>
      <c r="T117" s="613"/>
      <c r="V117" s="593"/>
    </row>
    <row r="118" spans="1:22" ht="36.75" customHeight="1" thickTop="1">
      <c r="A118" s="1143" t="e">
        <f>' Activities Detail'!D222:H222</f>
        <v>#VALUE!</v>
      </c>
      <c r="B118" s="1144"/>
      <c r="C118" s="1144"/>
      <c r="D118" s="1144"/>
      <c r="E118" s="1145"/>
      <c r="F118" s="614">
        <v>2</v>
      </c>
      <c r="G118" s="1075"/>
      <c r="H118" s="1162"/>
      <c r="I118" s="1163"/>
      <c r="J118" s="617">
        <f>SUM(I120:I126)</f>
        <v>0</v>
      </c>
      <c r="K118" s="1140">
        <v>6</v>
      </c>
      <c r="L118" s="1141"/>
      <c r="M118" s="617">
        <v>302</v>
      </c>
      <c r="N118" s="1140">
        <v>0</v>
      </c>
      <c r="O118" s="1141"/>
      <c r="P118" s="617">
        <f>SUM(O120:O126)</f>
        <v>0</v>
      </c>
      <c r="Q118" s="1142">
        <v>0</v>
      </c>
      <c r="R118" s="1140"/>
      <c r="S118" s="617">
        <f>SUM(R120:R126)</f>
        <v>0</v>
      </c>
      <c r="T118" s="618">
        <f>SUM(J118,M118,P118,S118,)</f>
        <v>302</v>
      </c>
      <c r="V118" s="593"/>
    </row>
    <row r="119" spans="1:22">
      <c r="A119" s="619" t="s">
        <v>566</v>
      </c>
      <c r="B119" s="620"/>
      <c r="C119" s="620"/>
      <c r="D119" s="620"/>
      <c r="E119" s="621"/>
      <c r="F119" s="620"/>
      <c r="G119" s="1076"/>
      <c r="H119" s="622"/>
      <c r="I119" s="620"/>
      <c r="J119" s="623"/>
      <c r="K119" s="622"/>
      <c r="L119" s="620">
        <f>302/6</f>
        <v>50.333333333333336</v>
      </c>
      <c r="M119" s="623"/>
      <c r="N119" s="622"/>
      <c r="O119" s="620"/>
      <c r="P119" s="623"/>
      <c r="Q119" s="622"/>
      <c r="R119" s="620"/>
      <c r="S119" s="623"/>
      <c r="T119" s="624"/>
      <c r="V119" s="593"/>
    </row>
    <row r="120" spans="1:22">
      <c r="A120" s="625"/>
      <c r="B120" s="628"/>
      <c r="C120" s="628"/>
      <c r="D120" s="628"/>
      <c r="E120" s="628"/>
      <c r="F120" s="628"/>
      <c r="G120" s="982"/>
      <c r="H120" s="629"/>
      <c r="I120" s="628"/>
      <c r="J120" s="1078"/>
      <c r="K120" s="629"/>
      <c r="L120" s="628"/>
      <c r="M120" s="630"/>
      <c r="N120" s="629"/>
      <c r="O120" s="628"/>
      <c r="P120" s="630"/>
      <c r="Q120" s="629"/>
      <c r="R120" s="628"/>
      <c r="S120" s="630"/>
      <c r="T120" s="631"/>
      <c r="V120" s="593"/>
    </row>
    <row r="121" spans="1:22">
      <c r="A121" s="633" t="s">
        <v>554</v>
      </c>
      <c r="B121" s="628"/>
      <c r="C121" s="634"/>
      <c r="D121" s="628"/>
      <c r="E121" s="628"/>
      <c r="F121" s="628"/>
      <c r="G121" s="982">
        <f t="shared" ref="G121:G126" si="15">B121*D121*F121</f>
        <v>0</v>
      </c>
      <c r="H121" s="629"/>
      <c r="I121" s="628">
        <f>$G121*H118*J$12</f>
        <v>0</v>
      </c>
      <c r="J121" s="1078"/>
      <c r="K121" s="629"/>
      <c r="L121" s="628">
        <f t="shared" ref="L121:L126" si="16">$G121*1*M$12</f>
        <v>0</v>
      </c>
      <c r="M121" s="630"/>
      <c r="N121" s="629"/>
      <c r="O121" s="628">
        <f>$G121*N118*P$12</f>
        <v>0</v>
      </c>
      <c r="P121" s="630"/>
      <c r="Q121" s="629"/>
      <c r="R121" s="628">
        <f>$G121*Q118*S$12</f>
        <v>0</v>
      </c>
      <c r="S121" s="630"/>
      <c r="T121" s="631"/>
      <c r="V121" s="593"/>
    </row>
    <row r="122" spans="1:22">
      <c r="A122" s="625" t="s">
        <v>563</v>
      </c>
      <c r="B122" s="626">
        <v>1</v>
      </c>
      <c r="C122" s="627" t="s">
        <v>541</v>
      </c>
      <c r="D122" s="626">
        <f>partground</f>
        <v>9</v>
      </c>
      <c r="E122" s="627" t="s">
        <v>556</v>
      </c>
      <c r="F122" s="628">
        <v>2</v>
      </c>
      <c r="G122" s="982">
        <f t="shared" si="15"/>
        <v>18</v>
      </c>
      <c r="H122" s="629"/>
      <c r="I122" s="628">
        <f>$G122*H118*J$12</f>
        <v>0</v>
      </c>
      <c r="J122" s="1078"/>
      <c r="K122" s="629"/>
      <c r="L122" s="628">
        <f t="shared" si="16"/>
        <v>18.72</v>
      </c>
      <c r="M122" s="630"/>
      <c r="N122" s="629"/>
      <c r="O122" s="628">
        <f>$G122*N118*P$12</f>
        <v>0</v>
      </c>
      <c r="P122" s="630"/>
      <c r="Q122" s="629"/>
      <c r="R122" s="628">
        <f>$G122*Q118*S$12</f>
        <v>0</v>
      </c>
      <c r="S122" s="630"/>
      <c r="T122" s="631"/>
      <c r="V122" s="593"/>
    </row>
    <row r="123" spans="1:22">
      <c r="A123" s="625" t="s">
        <v>564</v>
      </c>
      <c r="B123" s="626">
        <v>1</v>
      </c>
      <c r="C123" s="627" t="s">
        <v>541</v>
      </c>
      <c r="D123" s="626">
        <f>partground</f>
        <v>9</v>
      </c>
      <c r="E123" s="627" t="s">
        <v>542</v>
      </c>
      <c r="F123" s="628">
        <v>2</v>
      </c>
      <c r="G123" s="982">
        <f t="shared" si="15"/>
        <v>18</v>
      </c>
      <c r="H123" s="629"/>
      <c r="I123" s="628">
        <f>$G123*H118*J$12</f>
        <v>0</v>
      </c>
      <c r="J123" s="1078"/>
      <c r="K123" s="629"/>
      <c r="L123" s="628">
        <f t="shared" si="16"/>
        <v>18.72</v>
      </c>
      <c r="M123" s="630"/>
      <c r="N123" s="629"/>
      <c r="O123" s="628">
        <f>$G123*N118*P$12</f>
        <v>0</v>
      </c>
      <c r="P123" s="630"/>
      <c r="Q123" s="629"/>
      <c r="R123" s="628">
        <f>$G123*Q118*S$12</f>
        <v>0</v>
      </c>
      <c r="S123" s="630"/>
      <c r="T123" s="631"/>
      <c r="V123" s="593"/>
    </row>
    <row r="124" spans="1:22">
      <c r="A124" s="625" t="s">
        <v>48</v>
      </c>
      <c r="B124" s="628">
        <v>1</v>
      </c>
      <c r="C124" s="627" t="s">
        <v>541</v>
      </c>
      <c r="D124" s="626">
        <f>partlodg</f>
        <v>25</v>
      </c>
      <c r="E124" s="627" t="s">
        <v>542</v>
      </c>
      <c r="F124" s="628">
        <f>IF(B124=0,0,F118)</f>
        <v>2</v>
      </c>
      <c r="G124" s="982">
        <f t="shared" si="15"/>
        <v>50</v>
      </c>
      <c r="H124" s="629"/>
      <c r="I124" s="628">
        <f>$G124*H118*J$12</f>
        <v>0</v>
      </c>
      <c r="J124" s="1078"/>
      <c r="K124" s="629"/>
      <c r="L124" s="628">
        <f t="shared" si="16"/>
        <v>52</v>
      </c>
      <c r="M124" s="630"/>
      <c r="N124" s="629"/>
      <c r="O124" s="628">
        <f>$G124*N118*P$12</f>
        <v>0</v>
      </c>
      <c r="P124" s="630"/>
      <c r="Q124" s="629"/>
      <c r="R124" s="628">
        <f>$G124*Q118*S$12</f>
        <v>0</v>
      </c>
      <c r="S124" s="630"/>
      <c r="T124" s="631"/>
      <c r="V124" s="593"/>
    </row>
    <row r="125" spans="1:22">
      <c r="A125" s="625" t="s">
        <v>616</v>
      </c>
      <c r="B125" s="628">
        <v>2</v>
      </c>
      <c r="C125" s="627" t="s">
        <v>541</v>
      </c>
      <c r="D125" s="626">
        <f>partmeals</f>
        <v>47</v>
      </c>
      <c r="E125" s="627" t="s">
        <v>542</v>
      </c>
      <c r="F125" s="628">
        <f>IF(B125=0,0,F118)</f>
        <v>2</v>
      </c>
      <c r="G125" s="982">
        <f t="shared" si="15"/>
        <v>188</v>
      </c>
      <c r="H125" s="629"/>
      <c r="I125" s="628">
        <f>$G125*H118*J$12</f>
        <v>0</v>
      </c>
      <c r="J125" s="1078"/>
      <c r="K125" s="629"/>
      <c r="L125" s="628">
        <f t="shared" si="16"/>
        <v>195.52</v>
      </c>
      <c r="M125" s="630"/>
      <c r="N125" s="629"/>
      <c r="O125" s="628">
        <f>$G125*N118*P$12</f>
        <v>0</v>
      </c>
      <c r="P125" s="630"/>
      <c r="Q125" s="629"/>
      <c r="R125" s="628">
        <f>$G125*Q118*S$12</f>
        <v>0</v>
      </c>
      <c r="S125" s="630"/>
      <c r="T125" s="631"/>
      <c r="V125" s="593"/>
    </row>
    <row r="126" spans="1:22">
      <c r="A126" s="625" t="s">
        <v>109</v>
      </c>
      <c r="B126" s="628">
        <v>2</v>
      </c>
      <c r="C126" s="627" t="s">
        <v>541</v>
      </c>
      <c r="D126" s="626">
        <f>parttransp</f>
        <v>4</v>
      </c>
      <c r="E126" s="627" t="s">
        <v>556</v>
      </c>
      <c r="F126" s="626">
        <v>2</v>
      </c>
      <c r="G126" s="639">
        <f t="shared" si="15"/>
        <v>16</v>
      </c>
      <c r="H126" s="629"/>
      <c r="I126" s="628">
        <f>$G126*H118*J$12</f>
        <v>0</v>
      </c>
      <c r="J126" s="1079"/>
      <c r="K126" s="629"/>
      <c r="L126" s="628">
        <f t="shared" si="16"/>
        <v>16.64</v>
      </c>
      <c r="M126" s="630"/>
      <c r="N126" s="629"/>
      <c r="O126" s="628">
        <f>$G126*N118*P$12</f>
        <v>0</v>
      </c>
      <c r="P126" s="630"/>
      <c r="Q126" s="629"/>
      <c r="R126" s="628">
        <f>$G126*Q118*S$12</f>
        <v>0</v>
      </c>
      <c r="S126" s="630"/>
      <c r="T126" s="631"/>
      <c r="V126" s="593"/>
    </row>
    <row r="127" spans="1:22">
      <c r="A127" s="644" t="s">
        <v>547</v>
      </c>
      <c r="B127" s="645"/>
      <c r="C127" s="645"/>
      <c r="D127" s="646"/>
      <c r="E127" s="1146">
        <f>SUM(G119:G126)</f>
        <v>290</v>
      </c>
      <c r="F127" s="1147"/>
      <c r="G127" s="647"/>
      <c r="H127" s="648"/>
      <c r="I127" s="648"/>
      <c r="J127" s="621"/>
      <c r="K127" s="648"/>
      <c r="L127" s="648"/>
      <c r="M127" s="621"/>
      <c r="N127" s="648"/>
      <c r="O127" s="648"/>
      <c r="P127" s="621"/>
      <c r="Q127" s="648"/>
      <c r="R127" s="648"/>
      <c r="S127" s="621"/>
      <c r="T127" s="649"/>
      <c r="V127" s="593"/>
    </row>
    <row r="128" spans="1:22" ht="13.5" customHeight="1" thickBot="1">
      <c r="A128" s="588"/>
      <c r="B128" s="650"/>
      <c r="C128" s="650"/>
      <c r="D128" s="650"/>
      <c r="E128" s="650"/>
      <c r="F128" s="650"/>
      <c r="G128" s="612"/>
      <c r="H128" s="612"/>
      <c r="I128" s="612"/>
      <c r="J128" s="612"/>
      <c r="K128" s="612"/>
      <c r="L128" s="612"/>
      <c r="M128" s="612"/>
      <c r="N128" s="612"/>
      <c r="O128" s="612"/>
      <c r="P128" s="612"/>
      <c r="Q128" s="612"/>
      <c r="R128" s="612"/>
      <c r="S128" s="612"/>
      <c r="T128" s="613"/>
      <c r="V128" s="593"/>
    </row>
    <row r="129" spans="1:22" ht="36" customHeight="1" thickTop="1">
      <c r="A129" s="1143" t="e">
        <f>' Activities Detail'!D232:H232</f>
        <v>#VALUE!</v>
      </c>
      <c r="B129" s="1144"/>
      <c r="C129" s="1144"/>
      <c r="D129" s="1144"/>
      <c r="E129" s="1145"/>
      <c r="F129" s="614">
        <v>1</v>
      </c>
      <c r="G129" s="1075"/>
      <c r="H129" s="1162"/>
      <c r="I129" s="1163"/>
      <c r="J129" s="617">
        <f>SUM(I131:I134)</f>
        <v>0</v>
      </c>
      <c r="K129" s="1140">
        <v>6</v>
      </c>
      <c r="L129" s="1141"/>
      <c r="M129" s="617">
        <f>SUM(L131:L134)</f>
        <v>2808</v>
      </c>
      <c r="N129" s="1140">
        <v>0</v>
      </c>
      <c r="O129" s="1141"/>
      <c r="P129" s="617">
        <f>SUM(O131:O134)</f>
        <v>0</v>
      </c>
      <c r="Q129" s="1142">
        <v>0</v>
      </c>
      <c r="R129" s="1140"/>
      <c r="S129" s="617">
        <f>SUM(R131:R134)</f>
        <v>0</v>
      </c>
      <c r="T129" s="618">
        <f>SUM(J129,M129,P129,S129,)</f>
        <v>2808</v>
      </c>
      <c r="V129" s="593"/>
    </row>
    <row r="130" spans="1:22">
      <c r="A130" s="619" t="s">
        <v>566</v>
      </c>
      <c r="B130" s="620"/>
      <c r="C130" s="620"/>
      <c r="D130" s="620"/>
      <c r="E130" s="621"/>
      <c r="F130" s="620"/>
      <c r="G130" s="1076"/>
      <c r="H130" s="622"/>
      <c r="I130" s="620"/>
      <c r="J130" s="623"/>
      <c r="K130" s="622"/>
      <c r="L130" s="620"/>
      <c r="M130" s="623"/>
      <c r="N130" s="622"/>
      <c r="O130" s="620"/>
      <c r="P130" s="623"/>
      <c r="Q130" s="622"/>
      <c r="R130" s="620"/>
      <c r="S130" s="623"/>
      <c r="T130" s="624"/>
      <c r="V130" s="593"/>
    </row>
    <row r="131" spans="1:22">
      <c r="A131" s="625" t="s">
        <v>540</v>
      </c>
      <c r="B131" s="626">
        <v>20</v>
      </c>
      <c r="C131" s="627" t="s">
        <v>541</v>
      </c>
      <c r="D131" s="626">
        <f>parttransp</f>
        <v>4</v>
      </c>
      <c r="E131" s="627" t="s">
        <v>542</v>
      </c>
      <c r="F131" s="628">
        <f>IF(B131=0,0,F129)</f>
        <v>1</v>
      </c>
      <c r="G131" s="982">
        <f>B131*D131*F131</f>
        <v>80</v>
      </c>
      <c r="H131" s="629"/>
      <c r="I131" s="628">
        <f>$G131*H129*J$12</f>
        <v>0</v>
      </c>
      <c r="J131" s="1078"/>
      <c r="K131" s="629"/>
      <c r="L131" s="628">
        <f>$G131*K129*M$12</f>
        <v>499.20000000000005</v>
      </c>
      <c r="M131" s="630"/>
      <c r="N131" s="629"/>
      <c r="O131" s="628">
        <f>$G131*N129*P$12</f>
        <v>0</v>
      </c>
      <c r="P131" s="630"/>
      <c r="Q131" s="629"/>
      <c r="R131" s="628">
        <f>$G131*Q129*S$12</f>
        <v>0</v>
      </c>
      <c r="S131" s="630"/>
      <c r="T131" s="631"/>
      <c r="V131" s="593"/>
    </row>
    <row r="132" spans="1:22">
      <c r="A132" s="625" t="s">
        <v>543</v>
      </c>
      <c r="B132" s="626">
        <v>20</v>
      </c>
      <c r="C132" s="627" t="s">
        <v>541</v>
      </c>
      <c r="D132" s="626">
        <f>coffee+lunch</f>
        <v>16</v>
      </c>
      <c r="E132" s="627" t="s">
        <v>542</v>
      </c>
      <c r="F132" s="628">
        <f>IF(B132=0,0,F129)</f>
        <v>1</v>
      </c>
      <c r="G132" s="982">
        <f t="shared" ref="G132:G133" si="17">B132*D132*F132</f>
        <v>320</v>
      </c>
      <c r="H132" s="629"/>
      <c r="I132" s="628">
        <f>$G132*H129*J$12</f>
        <v>0</v>
      </c>
      <c r="J132" s="1078"/>
      <c r="K132" s="629"/>
      <c r="L132" s="628">
        <f>$G132*K129*M$12</f>
        <v>1996.8000000000002</v>
      </c>
      <c r="M132" s="630"/>
      <c r="N132" s="629"/>
      <c r="O132" s="628">
        <f>$G132*N129*P$12</f>
        <v>0</v>
      </c>
      <c r="P132" s="630"/>
      <c r="Q132" s="629"/>
      <c r="R132" s="628">
        <f>$G132*Q129*S$12</f>
        <v>0</v>
      </c>
      <c r="S132" s="630"/>
      <c r="T132" s="631"/>
      <c r="V132" s="593"/>
    </row>
    <row r="133" spans="1:22">
      <c r="A133" s="625" t="s">
        <v>544</v>
      </c>
      <c r="B133" s="626">
        <v>1</v>
      </c>
      <c r="C133" s="627" t="s">
        <v>545</v>
      </c>
      <c r="D133" s="626">
        <f>print</f>
        <v>50</v>
      </c>
      <c r="E133" s="632" t="str">
        <f>C133</f>
        <v>activity</v>
      </c>
      <c r="F133" s="628">
        <f>IF(B133=0,0,1)</f>
        <v>1</v>
      </c>
      <c r="G133" s="982">
        <f t="shared" si="17"/>
        <v>50</v>
      </c>
      <c r="H133" s="629"/>
      <c r="I133" s="628">
        <f>$G133*H129*J$12</f>
        <v>0</v>
      </c>
      <c r="J133" s="1078"/>
      <c r="K133" s="629"/>
      <c r="L133" s="628">
        <f>$G133*K129*M$12</f>
        <v>312</v>
      </c>
      <c r="M133" s="630"/>
      <c r="N133" s="629"/>
      <c r="O133" s="628">
        <f>$G133*N129*P$12</f>
        <v>0</v>
      </c>
      <c r="P133" s="630"/>
      <c r="Q133" s="629"/>
      <c r="R133" s="628">
        <f>$G133*Q129*S$12</f>
        <v>0</v>
      </c>
      <c r="S133" s="630"/>
      <c r="T133" s="631"/>
      <c r="V133" s="593"/>
    </row>
    <row r="134" spans="1:22">
      <c r="A134" s="625"/>
      <c r="B134" s="628"/>
      <c r="C134" s="628"/>
      <c r="D134" s="628"/>
      <c r="E134" s="628"/>
      <c r="F134" s="628"/>
      <c r="G134" s="639"/>
      <c r="H134" s="629"/>
      <c r="I134" s="628"/>
      <c r="J134" s="1079"/>
      <c r="K134" s="629"/>
      <c r="L134" s="628"/>
      <c r="M134" s="630"/>
      <c r="N134" s="629"/>
      <c r="O134" s="628"/>
      <c r="P134" s="630"/>
      <c r="Q134" s="629"/>
      <c r="R134" s="628"/>
      <c r="S134" s="630"/>
      <c r="T134" s="631"/>
      <c r="V134" s="593"/>
    </row>
    <row r="135" spans="1:22">
      <c r="A135" s="644" t="s">
        <v>547</v>
      </c>
      <c r="B135" s="645"/>
      <c r="C135" s="645"/>
      <c r="D135" s="646"/>
      <c r="E135" s="1146">
        <f>SUM(G130:G134)</f>
        <v>450</v>
      </c>
      <c r="F135" s="1147"/>
      <c r="G135" s="647"/>
      <c r="H135" s="648"/>
      <c r="I135" s="648"/>
      <c r="J135" s="621"/>
      <c r="K135" s="648"/>
      <c r="L135" s="648"/>
      <c r="M135" s="621"/>
      <c r="N135" s="648"/>
      <c r="O135" s="648"/>
      <c r="P135" s="621"/>
      <c r="Q135" s="648"/>
      <c r="R135" s="648"/>
      <c r="S135" s="621"/>
      <c r="T135" s="649"/>
      <c r="V135" s="593"/>
    </row>
    <row r="136" spans="1:22" ht="13.5" customHeight="1" thickBot="1">
      <c r="A136" s="588"/>
      <c r="B136" s="650"/>
      <c r="C136" s="650"/>
      <c r="D136" s="650"/>
      <c r="E136" s="650"/>
      <c r="F136" s="650"/>
      <c r="G136" s="612"/>
      <c r="H136" s="612"/>
      <c r="I136" s="612"/>
      <c r="J136" s="612"/>
      <c r="K136" s="612"/>
      <c r="L136" s="612"/>
      <c r="M136" s="612"/>
      <c r="N136" s="612"/>
      <c r="O136" s="612"/>
      <c r="P136" s="612"/>
      <c r="Q136" s="612"/>
      <c r="R136" s="612"/>
      <c r="S136" s="612"/>
      <c r="T136" s="613"/>
      <c r="V136" s="593"/>
    </row>
    <row r="137" spans="1:22" ht="54.75" customHeight="1" thickTop="1">
      <c r="A137" s="1143" t="e">
        <f>' Activities Detail'!D239:H239</f>
        <v>#VALUE!</v>
      </c>
      <c r="B137" s="1144"/>
      <c r="C137" s="1144"/>
      <c r="D137" s="1144"/>
      <c r="E137" s="1145"/>
      <c r="F137" s="614">
        <v>3</v>
      </c>
      <c r="G137" s="1075"/>
      <c r="H137" s="1151"/>
      <c r="I137" s="1152"/>
      <c r="J137" s="617">
        <f>SUM(I139:I140)</f>
        <v>0</v>
      </c>
      <c r="K137" s="1140">
        <v>2</v>
      </c>
      <c r="L137" s="1141"/>
      <c r="M137" s="617">
        <f>SUM(L139:L140)</f>
        <v>104</v>
      </c>
      <c r="N137" s="1140">
        <v>4</v>
      </c>
      <c r="O137" s="1141"/>
      <c r="P137" s="617">
        <f>SUM(O139:O140)</f>
        <v>216.32000000000002</v>
      </c>
      <c r="Q137" s="1142">
        <v>0</v>
      </c>
      <c r="R137" s="1140"/>
      <c r="S137" s="617">
        <f>SUM(R139:R140)</f>
        <v>0</v>
      </c>
      <c r="T137" s="618">
        <f>SUM(J137,M137,P137,S137,)</f>
        <v>320.32000000000005</v>
      </c>
      <c r="V137" s="593"/>
    </row>
    <row r="138" spans="1:22">
      <c r="A138" s="619" t="s">
        <v>539</v>
      </c>
      <c r="B138" s="620"/>
      <c r="C138" s="620"/>
      <c r="D138" s="620"/>
      <c r="E138" s="621"/>
      <c r="F138" s="620"/>
      <c r="G138" s="1076"/>
      <c r="H138" s="622"/>
      <c r="I138" s="620"/>
      <c r="J138" s="623"/>
      <c r="K138" s="622"/>
      <c r="L138" s="620"/>
      <c r="M138" s="623"/>
      <c r="N138" s="622"/>
      <c r="O138" s="620"/>
      <c r="P138" s="623"/>
      <c r="Q138" s="622"/>
      <c r="R138" s="620"/>
      <c r="S138" s="623"/>
      <c r="T138" s="624"/>
      <c r="V138" s="593"/>
    </row>
    <row r="139" spans="1:22">
      <c r="A139" s="625" t="s">
        <v>587</v>
      </c>
      <c r="B139" s="626">
        <v>2</v>
      </c>
      <c r="C139" s="627" t="s">
        <v>619</v>
      </c>
      <c r="D139" s="626"/>
      <c r="E139" s="632" t="str">
        <f>C139</f>
        <v>pilot</v>
      </c>
      <c r="F139" s="628">
        <f>IF(B139=0,0,1)</f>
        <v>1</v>
      </c>
      <c r="G139" s="982">
        <f t="shared" ref="G139:G140" si="18">B139*D139*F139</f>
        <v>0</v>
      </c>
      <c r="H139" s="629"/>
      <c r="I139" s="628">
        <f>$G139*H137*J$12</f>
        <v>0</v>
      </c>
      <c r="J139" s="1078"/>
      <c r="K139" s="629"/>
      <c r="L139" s="628">
        <f>$G139*K137*M$12</f>
        <v>0</v>
      </c>
      <c r="M139" s="630"/>
      <c r="N139" s="629"/>
      <c r="O139" s="628">
        <f>$G139*N137*P$12</f>
        <v>0</v>
      </c>
      <c r="P139" s="630"/>
      <c r="Q139" s="629"/>
      <c r="R139" s="628">
        <f>$G139*Q137*S$12</f>
        <v>0</v>
      </c>
      <c r="S139" s="630"/>
      <c r="T139" s="631"/>
      <c r="V139" s="593"/>
    </row>
    <row r="140" spans="1:22">
      <c r="A140" s="625" t="s">
        <v>544</v>
      </c>
      <c r="B140" s="626">
        <v>1</v>
      </c>
      <c r="C140" s="627" t="s">
        <v>545</v>
      </c>
      <c r="D140" s="626">
        <f>print</f>
        <v>50</v>
      </c>
      <c r="E140" s="632" t="str">
        <f>C140</f>
        <v>activity</v>
      </c>
      <c r="F140" s="628">
        <f>IF(B140=0,0,1)</f>
        <v>1</v>
      </c>
      <c r="G140" s="982">
        <f t="shared" si="18"/>
        <v>50</v>
      </c>
      <c r="H140" s="629"/>
      <c r="I140" s="628">
        <f>$G140*H137*J$12</f>
        <v>0</v>
      </c>
      <c r="J140" s="1078"/>
      <c r="K140" s="629"/>
      <c r="L140" s="628">
        <f>$G140*K137*M$12</f>
        <v>104</v>
      </c>
      <c r="M140" s="630"/>
      <c r="N140" s="629"/>
      <c r="O140" s="628">
        <f>$G140*N137*P$12</f>
        <v>216.32000000000002</v>
      </c>
      <c r="P140" s="630"/>
      <c r="Q140" s="629"/>
      <c r="R140" s="628">
        <f>$G140*Q137*S$12</f>
        <v>0</v>
      </c>
      <c r="S140" s="630"/>
      <c r="T140" s="631"/>
      <c r="V140" s="593"/>
    </row>
    <row r="141" spans="1:22">
      <c r="A141" s="633" t="s">
        <v>554</v>
      </c>
      <c r="B141" s="628"/>
      <c r="C141" s="634"/>
      <c r="D141" s="628"/>
      <c r="E141" s="628"/>
      <c r="F141" s="628"/>
      <c r="G141" s="982"/>
      <c r="H141" s="629"/>
      <c r="I141" s="628"/>
      <c r="J141" s="1078"/>
      <c r="K141" s="629"/>
      <c r="L141" s="628"/>
      <c r="M141" s="630"/>
      <c r="N141" s="629"/>
      <c r="O141" s="628"/>
      <c r="P141" s="630"/>
      <c r="Q141" s="629"/>
      <c r="R141" s="628"/>
      <c r="S141" s="630"/>
      <c r="T141" s="631"/>
      <c r="V141" s="593"/>
    </row>
    <row r="142" spans="1:22">
      <c r="A142" s="625" t="s">
        <v>563</v>
      </c>
      <c r="B142" s="626">
        <v>2</v>
      </c>
      <c r="C142" s="627" t="s">
        <v>541</v>
      </c>
      <c r="D142" s="626">
        <f>partground</f>
        <v>9</v>
      </c>
      <c r="E142" s="627" t="s">
        <v>556</v>
      </c>
      <c r="F142" s="628">
        <v>3</v>
      </c>
      <c r="G142" s="982">
        <f t="shared" ref="G142:G146" si="19">B142*D142*F142</f>
        <v>54</v>
      </c>
      <c r="H142" s="629"/>
      <c r="I142" s="628">
        <f>$G142*H137*J$12</f>
        <v>0</v>
      </c>
      <c r="J142" s="1078"/>
      <c r="K142" s="629"/>
      <c r="L142" s="628">
        <f t="shared" ref="L142:L146" si="20">$G142*1*M$12</f>
        <v>56.160000000000004</v>
      </c>
      <c r="M142" s="630"/>
      <c r="N142" s="629"/>
      <c r="O142" s="628">
        <f t="shared" ref="O142:O146" si="21">$G142*1*P$12</f>
        <v>58.406400000000005</v>
      </c>
      <c r="P142" s="630"/>
      <c r="Q142" s="629"/>
      <c r="R142" s="628">
        <f>$G142*Q137*S$12</f>
        <v>0</v>
      </c>
      <c r="S142" s="630"/>
      <c r="T142" s="631"/>
      <c r="V142" s="593"/>
    </row>
    <row r="143" spans="1:22">
      <c r="A143" s="625" t="s">
        <v>564</v>
      </c>
      <c r="B143" s="626">
        <v>2</v>
      </c>
      <c r="C143" s="627" t="s">
        <v>541</v>
      </c>
      <c r="D143" s="626">
        <f>partground</f>
        <v>9</v>
      </c>
      <c r="E143" s="627" t="s">
        <v>542</v>
      </c>
      <c r="F143" s="628">
        <v>3</v>
      </c>
      <c r="G143" s="982">
        <f t="shared" si="19"/>
        <v>54</v>
      </c>
      <c r="H143" s="629"/>
      <c r="I143" s="628">
        <f>$G143*H137*J$12</f>
        <v>0</v>
      </c>
      <c r="J143" s="1078"/>
      <c r="K143" s="629"/>
      <c r="L143" s="628">
        <f t="shared" si="20"/>
        <v>56.160000000000004</v>
      </c>
      <c r="M143" s="630"/>
      <c r="N143" s="629"/>
      <c r="O143" s="628">
        <f t="shared" si="21"/>
        <v>58.406400000000005</v>
      </c>
      <c r="P143" s="630"/>
      <c r="Q143" s="629"/>
      <c r="R143" s="628">
        <f>$G143*Q137*S$12</f>
        <v>0</v>
      </c>
      <c r="S143" s="630"/>
      <c r="T143" s="631"/>
      <c r="V143" s="593"/>
    </row>
    <row r="144" spans="1:22">
      <c r="A144" s="625" t="s">
        <v>48</v>
      </c>
      <c r="B144" s="626">
        <v>2</v>
      </c>
      <c r="C144" s="627" t="s">
        <v>541</v>
      </c>
      <c r="D144" s="626">
        <f>partlodg</f>
        <v>25</v>
      </c>
      <c r="E144" s="627" t="s">
        <v>542</v>
      </c>
      <c r="F144" s="628">
        <f>IF(B144=0,0,F137)</f>
        <v>3</v>
      </c>
      <c r="G144" s="982">
        <f t="shared" si="19"/>
        <v>150</v>
      </c>
      <c r="H144" s="629"/>
      <c r="I144" s="628">
        <f>$G144*H137*J$12</f>
        <v>0</v>
      </c>
      <c r="J144" s="1078"/>
      <c r="K144" s="629"/>
      <c r="L144" s="628">
        <f t="shared" si="20"/>
        <v>156</v>
      </c>
      <c r="M144" s="630"/>
      <c r="N144" s="629"/>
      <c r="O144" s="628">
        <f t="shared" si="21"/>
        <v>162.24</v>
      </c>
      <c r="P144" s="630"/>
      <c r="Q144" s="629"/>
      <c r="R144" s="628">
        <f>$G144*Q137*S$12</f>
        <v>0</v>
      </c>
      <c r="S144" s="630"/>
      <c r="T144" s="631"/>
      <c r="V144" s="593"/>
    </row>
    <row r="145" spans="1:22">
      <c r="A145" s="625" t="s">
        <v>616</v>
      </c>
      <c r="B145" s="628">
        <v>4</v>
      </c>
      <c r="C145" s="627" t="s">
        <v>541</v>
      </c>
      <c r="D145" s="626">
        <f>partmeals</f>
        <v>47</v>
      </c>
      <c r="E145" s="627" t="s">
        <v>542</v>
      </c>
      <c r="F145" s="628">
        <f>IF(B145=0,0,F137)</f>
        <v>3</v>
      </c>
      <c r="G145" s="982">
        <f t="shared" si="19"/>
        <v>564</v>
      </c>
      <c r="H145" s="629"/>
      <c r="I145" s="628">
        <f>$G145*H137*J$12</f>
        <v>0</v>
      </c>
      <c r="J145" s="1078"/>
      <c r="K145" s="629"/>
      <c r="L145" s="628">
        <f t="shared" si="20"/>
        <v>586.56000000000006</v>
      </c>
      <c r="M145" s="630"/>
      <c r="N145" s="629"/>
      <c r="O145" s="628">
        <f t="shared" si="21"/>
        <v>610.02240000000006</v>
      </c>
      <c r="P145" s="630"/>
      <c r="Q145" s="629"/>
      <c r="R145" s="628">
        <f>$G145*Q137*S$12</f>
        <v>0</v>
      </c>
      <c r="S145" s="630"/>
      <c r="T145" s="631"/>
      <c r="V145" s="593"/>
    </row>
    <row r="146" spans="1:22">
      <c r="A146" s="625" t="s">
        <v>109</v>
      </c>
      <c r="B146" s="628">
        <v>4</v>
      </c>
      <c r="C146" s="627" t="s">
        <v>541</v>
      </c>
      <c r="D146" s="626">
        <f>parttransp</f>
        <v>4</v>
      </c>
      <c r="E146" s="627" t="s">
        <v>556</v>
      </c>
      <c r="F146" s="626">
        <v>3</v>
      </c>
      <c r="G146" s="639">
        <f t="shared" si="19"/>
        <v>48</v>
      </c>
      <c r="H146" s="629"/>
      <c r="I146" s="628">
        <f>$G146*H137*J$12</f>
        <v>0</v>
      </c>
      <c r="J146" s="1079"/>
      <c r="K146" s="629"/>
      <c r="L146" s="628">
        <f t="shared" si="20"/>
        <v>49.92</v>
      </c>
      <c r="M146" s="630"/>
      <c r="N146" s="629"/>
      <c r="O146" s="628">
        <f t="shared" si="21"/>
        <v>51.916800000000009</v>
      </c>
      <c r="P146" s="630"/>
      <c r="Q146" s="629"/>
      <c r="R146" s="628">
        <f>$G146*Q137*S$12</f>
        <v>0</v>
      </c>
      <c r="S146" s="630"/>
      <c r="T146" s="631"/>
      <c r="V146" s="593"/>
    </row>
    <row r="147" spans="1:22">
      <c r="A147" s="644" t="s">
        <v>547</v>
      </c>
      <c r="B147" s="645"/>
      <c r="C147" s="645"/>
      <c r="D147" s="646"/>
      <c r="E147" s="1146">
        <f>SUM(G138:G146)</f>
        <v>920</v>
      </c>
      <c r="F147" s="1147"/>
      <c r="G147" s="647"/>
      <c r="H147" s="648"/>
      <c r="I147" s="648"/>
      <c r="J147" s="621"/>
      <c r="K147" s="648"/>
      <c r="L147" s="648"/>
      <c r="M147" s="621"/>
      <c r="N147" s="648"/>
      <c r="O147" s="648"/>
      <c r="P147" s="621"/>
      <c r="Q147" s="648"/>
      <c r="R147" s="648"/>
      <c r="S147" s="621"/>
      <c r="T147" s="649"/>
      <c r="V147" s="593"/>
    </row>
    <row r="148" spans="1:22" ht="13.5" customHeight="1" thickBot="1">
      <c r="A148" s="588"/>
      <c r="B148" s="650"/>
      <c r="C148" s="650"/>
      <c r="D148" s="650"/>
      <c r="E148" s="650"/>
      <c r="F148" s="650"/>
      <c r="G148" s="612"/>
      <c r="H148" s="612"/>
      <c r="I148" s="612"/>
      <c r="J148" s="612"/>
      <c r="K148" s="612"/>
      <c r="L148" s="612"/>
      <c r="M148" s="612"/>
      <c r="N148" s="612"/>
      <c r="O148" s="612"/>
      <c r="P148" s="612"/>
      <c r="Q148" s="612"/>
      <c r="R148" s="612"/>
      <c r="S148" s="612"/>
      <c r="T148" s="613"/>
      <c r="V148" s="593"/>
    </row>
    <row r="149" spans="1:22" ht="61.5" customHeight="1" thickTop="1">
      <c r="A149" s="1143" t="e">
        <f>' Activities Detail'!D252:H252</f>
        <v>#VALUE!</v>
      </c>
      <c r="B149" s="1144"/>
      <c r="C149" s="1144"/>
      <c r="D149" s="1144"/>
      <c r="E149" s="1145"/>
      <c r="F149" s="614">
        <v>3</v>
      </c>
      <c r="G149" s="1075"/>
      <c r="H149" s="1151"/>
      <c r="I149" s="1152"/>
      <c r="J149" s="617">
        <f>SUM(I151:I153)</f>
        <v>0</v>
      </c>
      <c r="K149" s="1140">
        <v>2</v>
      </c>
      <c r="L149" s="1141"/>
      <c r="M149" s="617">
        <f>SUM(L151:L153)</f>
        <v>2600</v>
      </c>
      <c r="N149" s="1140">
        <v>4</v>
      </c>
      <c r="O149" s="1141"/>
      <c r="P149" s="617">
        <f>SUM(O151:O153)</f>
        <v>5408</v>
      </c>
      <c r="Q149" s="1142">
        <v>0</v>
      </c>
      <c r="R149" s="1140"/>
      <c r="S149" s="617">
        <f>SUM(R151:R159)</f>
        <v>0</v>
      </c>
      <c r="T149" s="618">
        <f>SUM(J149,M149,P149,S149,)</f>
        <v>8008</v>
      </c>
      <c r="V149" s="593"/>
    </row>
    <row r="150" spans="1:22">
      <c r="A150" s="619" t="s">
        <v>566</v>
      </c>
      <c r="B150" s="620"/>
      <c r="C150" s="620"/>
      <c r="D150" s="620"/>
      <c r="E150" s="621"/>
      <c r="F150" s="620"/>
      <c r="G150" s="1076"/>
      <c r="H150" s="622"/>
      <c r="I150" s="620"/>
      <c r="J150" s="623"/>
      <c r="K150" s="622"/>
      <c r="L150" s="620"/>
      <c r="M150" s="623"/>
      <c r="N150" s="622"/>
      <c r="O150" s="620"/>
      <c r="P150" s="623"/>
      <c r="Q150" s="622"/>
      <c r="R150" s="620"/>
      <c r="S150" s="623"/>
      <c r="T150" s="624"/>
      <c r="V150" s="593"/>
    </row>
    <row r="151" spans="1:22">
      <c r="A151" s="625" t="s">
        <v>540</v>
      </c>
      <c r="B151" s="626">
        <v>20</v>
      </c>
      <c r="C151" s="627" t="s">
        <v>541</v>
      </c>
      <c r="D151" s="626">
        <f>parttransp</f>
        <v>4</v>
      </c>
      <c r="E151" s="627" t="s">
        <v>542</v>
      </c>
      <c r="F151" s="628">
        <f>IF(B151=0,0,F149)</f>
        <v>3</v>
      </c>
      <c r="G151" s="982">
        <f t="shared" ref="G151:G153" si="22">B151*D151*F151</f>
        <v>240</v>
      </c>
      <c r="H151" s="629"/>
      <c r="I151" s="628">
        <f>$G151*H149*J$12</f>
        <v>0</v>
      </c>
      <c r="J151" s="1078"/>
      <c r="K151" s="629"/>
      <c r="L151" s="628">
        <f>$G151*K149*M$12</f>
        <v>499.20000000000005</v>
      </c>
      <c r="M151" s="630"/>
      <c r="N151" s="629"/>
      <c r="O151" s="628">
        <f>$G151*N149*P$12</f>
        <v>1038.336</v>
      </c>
      <c r="P151" s="630"/>
      <c r="Q151" s="629"/>
      <c r="R151" s="628">
        <f>$G151*Q149*S$12</f>
        <v>0</v>
      </c>
      <c r="S151" s="630"/>
      <c r="T151" s="631"/>
      <c r="V151" s="593"/>
    </row>
    <row r="152" spans="1:22">
      <c r="A152" s="625" t="s">
        <v>543</v>
      </c>
      <c r="B152" s="626">
        <v>20</v>
      </c>
      <c r="C152" s="627" t="s">
        <v>541</v>
      </c>
      <c r="D152" s="626">
        <f>coffee+lunch</f>
        <v>16</v>
      </c>
      <c r="E152" s="627" t="s">
        <v>542</v>
      </c>
      <c r="F152" s="628">
        <f>IF(B152=0,0,F149)</f>
        <v>3</v>
      </c>
      <c r="G152" s="982">
        <f t="shared" si="22"/>
        <v>960</v>
      </c>
      <c r="H152" s="629"/>
      <c r="I152" s="628">
        <f>$G152*H149*J$12</f>
        <v>0</v>
      </c>
      <c r="J152" s="1078"/>
      <c r="K152" s="629"/>
      <c r="L152" s="628">
        <f>$G152*K149*M$12</f>
        <v>1996.8000000000002</v>
      </c>
      <c r="M152" s="630"/>
      <c r="N152" s="629"/>
      <c r="O152" s="628">
        <f>$G152*N149*P$12</f>
        <v>4153.3440000000001</v>
      </c>
      <c r="P152" s="630"/>
      <c r="Q152" s="629"/>
      <c r="R152" s="628">
        <f>$G152*Q149*S$12</f>
        <v>0</v>
      </c>
      <c r="S152" s="630"/>
      <c r="T152" s="631"/>
      <c r="V152" s="593"/>
    </row>
    <row r="153" spans="1:22">
      <c r="A153" s="625" t="s">
        <v>544</v>
      </c>
      <c r="B153" s="626">
        <v>1</v>
      </c>
      <c r="C153" s="627" t="s">
        <v>545</v>
      </c>
      <c r="D153" s="626">
        <f>print</f>
        <v>50</v>
      </c>
      <c r="E153" s="632" t="str">
        <f>C153</f>
        <v>activity</v>
      </c>
      <c r="F153" s="628">
        <f>IF(B153=0,0,1)</f>
        <v>1</v>
      </c>
      <c r="G153" s="982">
        <f t="shared" si="22"/>
        <v>50</v>
      </c>
      <c r="H153" s="629"/>
      <c r="I153" s="628">
        <f>$G153*H149*J$12</f>
        <v>0</v>
      </c>
      <c r="J153" s="1078"/>
      <c r="K153" s="629"/>
      <c r="L153" s="628">
        <f>$G153*K149*M$12</f>
        <v>104</v>
      </c>
      <c r="M153" s="630"/>
      <c r="N153" s="629"/>
      <c r="O153" s="628">
        <f>$G153*N149*P$12</f>
        <v>216.32000000000002</v>
      </c>
      <c r="P153" s="630"/>
      <c r="Q153" s="629"/>
      <c r="R153" s="628">
        <f>$G153*Q149*S$12</f>
        <v>0</v>
      </c>
      <c r="S153" s="630"/>
      <c r="T153" s="631"/>
      <c r="V153" s="593"/>
    </row>
    <row r="154" spans="1:22">
      <c r="A154" s="633" t="s">
        <v>554</v>
      </c>
      <c r="B154" s="628"/>
      <c r="C154" s="634"/>
      <c r="D154" s="628"/>
      <c r="E154" s="628"/>
      <c r="F154" s="628"/>
      <c r="G154" s="982"/>
      <c r="H154" s="629"/>
      <c r="I154" s="628"/>
      <c r="J154" s="1078"/>
      <c r="K154" s="629"/>
      <c r="L154" s="628"/>
      <c r="M154" s="630"/>
      <c r="N154" s="629"/>
      <c r="O154" s="628"/>
      <c r="P154" s="630"/>
      <c r="Q154" s="629"/>
      <c r="R154" s="628"/>
      <c r="S154" s="630"/>
      <c r="T154" s="631"/>
      <c r="V154" s="593"/>
    </row>
    <row r="155" spans="1:22">
      <c r="A155" s="625" t="s">
        <v>563</v>
      </c>
      <c r="B155" s="626">
        <v>2</v>
      </c>
      <c r="C155" s="627" t="s">
        <v>541</v>
      </c>
      <c r="D155" s="626">
        <f>partground</f>
        <v>9</v>
      </c>
      <c r="E155" s="627" t="s">
        <v>556</v>
      </c>
      <c r="F155" s="628">
        <v>3</v>
      </c>
      <c r="G155" s="982">
        <f t="shared" ref="G155:G159" si="23">B155*D155*F155</f>
        <v>54</v>
      </c>
      <c r="H155" s="629"/>
      <c r="I155" s="628">
        <f>$G155*H149*J$12</f>
        <v>0</v>
      </c>
      <c r="J155" s="1078"/>
      <c r="K155" s="629"/>
      <c r="L155" s="628">
        <f>$G155*3*M$12</f>
        <v>168.48000000000002</v>
      </c>
      <c r="M155" s="630"/>
      <c r="N155" s="629"/>
      <c r="O155" s="628">
        <f>$G155*3*P$12</f>
        <v>175.21920000000003</v>
      </c>
      <c r="P155" s="630"/>
      <c r="Q155" s="629"/>
      <c r="R155" s="628">
        <f>$G155*Q149*S$12</f>
        <v>0</v>
      </c>
      <c r="S155" s="630"/>
      <c r="T155" s="631"/>
      <c r="V155" s="593"/>
    </row>
    <row r="156" spans="1:22">
      <c r="A156" s="625" t="s">
        <v>564</v>
      </c>
      <c r="B156" s="626">
        <v>2</v>
      </c>
      <c r="C156" s="627" t="s">
        <v>541</v>
      </c>
      <c r="D156" s="626">
        <f>partground</f>
        <v>9</v>
      </c>
      <c r="E156" s="627" t="s">
        <v>542</v>
      </c>
      <c r="F156" s="628">
        <v>3</v>
      </c>
      <c r="G156" s="982">
        <f t="shared" si="23"/>
        <v>54</v>
      </c>
      <c r="H156" s="629"/>
      <c r="I156" s="628">
        <f>$G156*H149*J$12</f>
        <v>0</v>
      </c>
      <c r="J156" s="1078"/>
      <c r="K156" s="629"/>
      <c r="L156" s="628">
        <f t="shared" ref="L156:L159" si="24">$G156*3*M$12</f>
        <v>168.48000000000002</v>
      </c>
      <c r="M156" s="630"/>
      <c r="N156" s="629"/>
      <c r="O156" s="628">
        <f t="shared" ref="O156:O159" si="25">$G156*3*P$12</f>
        <v>175.21920000000003</v>
      </c>
      <c r="P156" s="630"/>
      <c r="Q156" s="629"/>
      <c r="R156" s="628">
        <f>$G156*Q149*S$12</f>
        <v>0</v>
      </c>
      <c r="S156" s="630"/>
      <c r="T156" s="631"/>
      <c r="V156" s="593"/>
    </row>
    <row r="157" spans="1:22">
      <c r="A157" s="625" t="s">
        <v>48</v>
      </c>
      <c r="B157" s="626">
        <v>2</v>
      </c>
      <c r="C157" s="627" t="s">
        <v>541</v>
      </c>
      <c r="D157" s="626">
        <f>partlodg</f>
        <v>25</v>
      </c>
      <c r="E157" s="627" t="s">
        <v>542</v>
      </c>
      <c r="F157" s="628">
        <v>3</v>
      </c>
      <c r="G157" s="982">
        <f t="shared" si="23"/>
        <v>150</v>
      </c>
      <c r="H157" s="629"/>
      <c r="I157" s="628">
        <f>$G157*H149*J$12</f>
        <v>0</v>
      </c>
      <c r="J157" s="1078"/>
      <c r="K157" s="629"/>
      <c r="L157" s="628">
        <f t="shared" si="24"/>
        <v>468</v>
      </c>
      <c r="M157" s="630"/>
      <c r="N157" s="629"/>
      <c r="O157" s="628">
        <f t="shared" si="25"/>
        <v>486.72</v>
      </c>
      <c r="P157" s="630"/>
      <c r="Q157" s="629"/>
      <c r="R157" s="628">
        <f>$G157*Q149*S$12</f>
        <v>0</v>
      </c>
      <c r="S157" s="630"/>
      <c r="T157" s="631"/>
      <c r="V157" s="593"/>
    </row>
    <row r="158" spans="1:22">
      <c r="A158" s="625" t="s">
        <v>616</v>
      </c>
      <c r="B158" s="628">
        <v>4</v>
      </c>
      <c r="C158" s="627" t="s">
        <v>541</v>
      </c>
      <c r="D158" s="626">
        <f>partmeals</f>
        <v>47</v>
      </c>
      <c r="E158" s="627" t="s">
        <v>542</v>
      </c>
      <c r="F158" s="628">
        <v>3</v>
      </c>
      <c r="G158" s="982">
        <f t="shared" si="23"/>
        <v>564</v>
      </c>
      <c r="H158" s="629"/>
      <c r="I158" s="628">
        <f>$G158*H149*J$12</f>
        <v>0</v>
      </c>
      <c r="J158" s="1078"/>
      <c r="K158" s="629"/>
      <c r="L158" s="628">
        <f t="shared" si="24"/>
        <v>1759.68</v>
      </c>
      <c r="M158" s="630"/>
      <c r="N158" s="629"/>
      <c r="O158" s="628">
        <f t="shared" si="25"/>
        <v>1830.0672000000002</v>
      </c>
      <c r="P158" s="630"/>
      <c r="Q158" s="629"/>
      <c r="R158" s="628">
        <f>$G158*Q149*S$12</f>
        <v>0</v>
      </c>
      <c r="S158" s="630"/>
      <c r="T158" s="631"/>
      <c r="V158" s="593"/>
    </row>
    <row r="159" spans="1:22">
      <c r="A159" s="625" t="s">
        <v>109</v>
      </c>
      <c r="B159" s="628">
        <v>4</v>
      </c>
      <c r="C159" s="627" t="s">
        <v>541</v>
      </c>
      <c r="D159" s="626">
        <f>parttransp</f>
        <v>4</v>
      </c>
      <c r="E159" s="627" t="s">
        <v>556</v>
      </c>
      <c r="F159" s="626">
        <v>3</v>
      </c>
      <c r="G159" s="639">
        <f t="shared" si="23"/>
        <v>48</v>
      </c>
      <c r="H159" s="629"/>
      <c r="I159" s="628">
        <f>$G159*H149*J$12</f>
        <v>0</v>
      </c>
      <c r="J159" s="1079"/>
      <c r="K159" s="629"/>
      <c r="L159" s="628">
        <f t="shared" si="24"/>
        <v>149.76</v>
      </c>
      <c r="M159" s="630"/>
      <c r="N159" s="629"/>
      <c r="O159" s="628">
        <f t="shared" si="25"/>
        <v>155.75040000000001</v>
      </c>
      <c r="P159" s="630"/>
      <c r="Q159" s="629"/>
      <c r="R159" s="628">
        <f>$G159*Q149*S$12</f>
        <v>0</v>
      </c>
      <c r="S159" s="630"/>
      <c r="T159" s="631"/>
      <c r="V159" s="593"/>
    </row>
    <row r="160" spans="1:22">
      <c r="A160" s="644" t="s">
        <v>547</v>
      </c>
      <c r="B160" s="645"/>
      <c r="C160" s="645"/>
      <c r="D160" s="646"/>
      <c r="E160" s="1146">
        <f>SUM(G150:G159)</f>
        <v>2120</v>
      </c>
      <c r="F160" s="1147"/>
      <c r="G160" s="647"/>
      <c r="H160" s="648"/>
      <c r="I160" s="648"/>
      <c r="J160" s="621"/>
      <c r="K160" s="648"/>
      <c r="L160" s="648"/>
      <c r="M160" s="621"/>
      <c r="N160" s="648"/>
      <c r="O160" s="648"/>
      <c r="P160" s="621"/>
      <c r="Q160" s="648"/>
      <c r="R160" s="648"/>
      <c r="S160" s="621"/>
      <c r="T160" s="649"/>
      <c r="V160" s="593"/>
    </row>
    <row r="161" spans="1:22" ht="13.5" customHeight="1" thickBot="1">
      <c r="A161" s="588"/>
      <c r="B161" s="650"/>
      <c r="C161" s="650"/>
      <c r="D161" s="650"/>
      <c r="E161" s="650"/>
      <c r="F161" s="650"/>
      <c r="G161" s="612"/>
      <c r="H161" s="612"/>
      <c r="I161" s="612"/>
      <c r="J161" s="612"/>
      <c r="K161" s="612"/>
      <c r="L161" s="612"/>
      <c r="M161" s="612"/>
      <c r="N161" s="612"/>
      <c r="O161" s="612"/>
      <c r="P161" s="612"/>
      <c r="Q161" s="612"/>
      <c r="R161" s="612"/>
      <c r="S161" s="612"/>
      <c r="T161" s="613"/>
      <c r="V161" s="593"/>
    </row>
    <row r="162" spans="1:22" ht="15.9" thickTop="1" thickBot="1">
      <c r="A162" s="589"/>
      <c r="B162" s="651"/>
      <c r="C162" s="651"/>
      <c r="D162" s="651"/>
      <c r="E162" s="651"/>
      <c r="F162" s="651"/>
      <c r="G162" s="652"/>
      <c r="H162" s="652"/>
      <c r="I162" s="652"/>
      <c r="J162" s="652"/>
      <c r="K162" s="652"/>
      <c r="L162" s="652"/>
      <c r="M162" s="652"/>
      <c r="N162" s="652"/>
      <c r="O162" s="652"/>
      <c r="P162" s="652"/>
      <c r="Q162" s="652"/>
      <c r="R162" s="652"/>
      <c r="S162" s="652"/>
      <c r="T162" s="653"/>
      <c r="V162" s="593"/>
    </row>
    <row r="163" spans="1:22" ht="51.75" customHeight="1" thickTop="1">
      <c r="A163" s="1143" t="e">
        <f>' Activities Detail'!D274:H274</f>
        <v>#VALUE!</v>
      </c>
      <c r="B163" s="1144"/>
      <c r="C163" s="1144"/>
      <c r="D163" s="1144"/>
      <c r="E163" s="1145"/>
      <c r="F163" s="614">
        <v>3</v>
      </c>
      <c r="G163" s="1075"/>
      <c r="H163" s="1151">
        <v>0</v>
      </c>
      <c r="I163" s="1152"/>
      <c r="J163" s="617">
        <f>SUM(I165:I167)</f>
        <v>0</v>
      </c>
      <c r="K163" s="1140">
        <v>4</v>
      </c>
      <c r="L163" s="1141"/>
      <c r="M163" s="617">
        <f>SUM(L165:L167)</f>
        <v>5200</v>
      </c>
      <c r="N163" s="1140">
        <v>4</v>
      </c>
      <c r="O163" s="1141"/>
      <c r="P163" s="617">
        <f>SUM(O165:O167)</f>
        <v>5408</v>
      </c>
      <c r="Q163" s="1142">
        <v>0</v>
      </c>
      <c r="R163" s="1140"/>
      <c r="S163" s="617">
        <f>SUM(R165:R173)</f>
        <v>0</v>
      </c>
      <c r="T163" s="618">
        <f>SUM(J163,M163,P163,S163,)</f>
        <v>10608</v>
      </c>
      <c r="V163" s="593"/>
    </row>
    <row r="164" spans="1:22">
      <c r="A164" s="619" t="s">
        <v>566</v>
      </c>
      <c r="B164" s="620"/>
      <c r="C164" s="620"/>
      <c r="D164" s="620"/>
      <c r="E164" s="621"/>
      <c r="F164" s="620"/>
      <c r="G164" s="1076"/>
      <c r="H164" s="622"/>
      <c r="I164" s="620"/>
      <c r="J164" s="623"/>
      <c r="K164" s="622"/>
      <c r="L164" s="620"/>
      <c r="M164" s="623"/>
      <c r="N164" s="622"/>
      <c r="O164" s="620"/>
      <c r="P164" s="623"/>
      <c r="Q164" s="622"/>
      <c r="R164" s="620"/>
      <c r="S164" s="623"/>
      <c r="T164" s="624"/>
      <c r="V164" s="593"/>
    </row>
    <row r="165" spans="1:22">
      <c r="A165" s="625" t="s">
        <v>540</v>
      </c>
      <c r="B165" s="626">
        <v>20</v>
      </c>
      <c r="C165" s="627" t="s">
        <v>541</v>
      </c>
      <c r="D165" s="626">
        <f>parttransp</f>
        <v>4</v>
      </c>
      <c r="E165" s="627" t="s">
        <v>542</v>
      </c>
      <c r="F165" s="628">
        <f>IF(B165=0,0,F163)</f>
        <v>3</v>
      </c>
      <c r="G165" s="982">
        <f t="shared" ref="G165:G167" si="26">B165*D165*F165</f>
        <v>240</v>
      </c>
      <c r="H165" s="629"/>
      <c r="I165" s="628">
        <f>$G165*H163*J$12</f>
        <v>0</v>
      </c>
      <c r="J165" s="1078"/>
      <c r="K165" s="629"/>
      <c r="L165" s="628">
        <f>$G165*K163*M$12</f>
        <v>998.40000000000009</v>
      </c>
      <c r="M165" s="630"/>
      <c r="N165" s="629"/>
      <c r="O165" s="628">
        <f>$G165*N163*P$12</f>
        <v>1038.336</v>
      </c>
      <c r="P165" s="630"/>
      <c r="Q165" s="629"/>
      <c r="R165" s="628">
        <f>$G165*Q163*S$12</f>
        <v>0</v>
      </c>
      <c r="S165" s="630"/>
      <c r="T165" s="631"/>
      <c r="V165" s="593"/>
    </row>
    <row r="166" spans="1:22">
      <c r="A166" s="625" t="s">
        <v>543</v>
      </c>
      <c r="B166" s="626">
        <v>20</v>
      </c>
      <c r="C166" s="627" t="s">
        <v>541</v>
      </c>
      <c r="D166" s="626">
        <f>coffee+lunch</f>
        <v>16</v>
      </c>
      <c r="E166" s="627" t="s">
        <v>542</v>
      </c>
      <c r="F166" s="628">
        <f>IF(B166=0,0,F163)</f>
        <v>3</v>
      </c>
      <c r="G166" s="982">
        <f t="shared" si="26"/>
        <v>960</v>
      </c>
      <c r="H166" s="629"/>
      <c r="I166" s="628">
        <f>$G166*H163*J$12</f>
        <v>0</v>
      </c>
      <c r="J166" s="1078"/>
      <c r="K166" s="629"/>
      <c r="L166" s="628">
        <f>$G166*K163*M$12</f>
        <v>3993.6000000000004</v>
      </c>
      <c r="M166" s="630"/>
      <c r="N166" s="629"/>
      <c r="O166" s="628">
        <f>$G166*N163*P$12</f>
        <v>4153.3440000000001</v>
      </c>
      <c r="P166" s="630"/>
      <c r="Q166" s="629"/>
      <c r="R166" s="628">
        <f>$G166*Q163*S$12</f>
        <v>0</v>
      </c>
      <c r="S166" s="630"/>
      <c r="T166" s="631"/>
      <c r="V166" s="593"/>
    </row>
    <row r="167" spans="1:22">
      <c r="A167" s="625" t="s">
        <v>544</v>
      </c>
      <c r="B167" s="626">
        <v>1</v>
      </c>
      <c r="C167" s="627" t="s">
        <v>545</v>
      </c>
      <c r="D167" s="626">
        <f>print</f>
        <v>50</v>
      </c>
      <c r="E167" s="632" t="str">
        <f>C167</f>
        <v>activity</v>
      </c>
      <c r="F167" s="628">
        <f>IF(B167=0,0,1)</f>
        <v>1</v>
      </c>
      <c r="G167" s="982">
        <f t="shared" si="26"/>
        <v>50</v>
      </c>
      <c r="H167" s="629"/>
      <c r="I167" s="628">
        <f>$G167*H163*J$12</f>
        <v>0</v>
      </c>
      <c r="J167" s="1078"/>
      <c r="K167" s="629"/>
      <c r="L167" s="628">
        <f>$G167*K163*M$12</f>
        <v>208</v>
      </c>
      <c r="M167" s="630"/>
      <c r="N167" s="629"/>
      <c r="O167" s="628">
        <f>$G167*N163*P$12</f>
        <v>216.32000000000002</v>
      </c>
      <c r="P167" s="630"/>
      <c r="Q167" s="629"/>
      <c r="R167" s="628">
        <f>$G167*Q163*S$12</f>
        <v>0</v>
      </c>
      <c r="S167" s="630"/>
      <c r="T167" s="631"/>
      <c r="V167" s="593"/>
    </row>
    <row r="168" spans="1:22">
      <c r="A168" s="633" t="s">
        <v>554</v>
      </c>
      <c r="B168" s="628"/>
      <c r="C168" s="634"/>
      <c r="D168" s="628"/>
      <c r="E168" s="628"/>
      <c r="F168" s="628"/>
      <c r="G168" s="982">
        <f t="shared" ref="G168:G173" si="27">B168*D168*F168</f>
        <v>0</v>
      </c>
      <c r="H168" s="629"/>
      <c r="I168" s="628">
        <f>$G168*H163*J$12</f>
        <v>0</v>
      </c>
      <c r="J168" s="1078"/>
      <c r="K168" s="629"/>
      <c r="L168" s="628">
        <f t="shared" ref="L168:L173" si="28">$G168*3*M$12</f>
        <v>0</v>
      </c>
      <c r="M168" s="630"/>
      <c r="N168" s="629"/>
      <c r="O168" s="628">
        <f t="shared" ref="O168:O173" si="29">$G168*3*P$12</f>
        <v>0</v>
      </c>
      <c r="P168" s="630"/>
      <c r="Q168" s="629"/>
      <c r="R168" s="628">
        <f>$G168*Q163*S$12</f>
        <v>0</v>
      </c>
      <c r="S168" s="630"/>
      <c r="T168" s="631"/>
      <c r="V168" s="593"/>
    </row>
    <row r="169" spans="1:22">
      <c r="A169" s="625" t="s">
        <v>563</v>
      </c>
      <c r="B169" s="626">
        <v>2</v>
      </c>
      <c r="C169" s="627" t="s">
        <v>541</v>
      </c>
      <c r="D169" s="626">
        <f>partground</f>
        <v>9</v>
      </c>
      <c r="E169" s="627" t="s">
        <v>556</v>
      </c>
      <c r="F169" s="628">
        <v>3</v>
      </c>
      <c r="G169" s="982">
        <f t="shared" si="27"/>
        <v>54</v>
      </c>
      <c r="H169" s="629"/>
      <c r="I169" s="628">
        <f>$G169*H163*J$12</f>
        <v>0</v>
      </c>
      <c r="J169" s="1078"/>
      <c r="K169" s="629"/>
      <c r="L169" s="628">
        <f t="shared" si="28"/>
        <v>168.48000000000002</v>
      </c>
      <c r="M169" s="630"/>
      <c r="N169" s="629"/>
      <c r="O169" s="628">
        <f t="shared" si="29"/>
        <v>175.21920000000003</v>
      </c>
      <c r="P169" s="630"/>
      <c r="Q169" s="629"/>
      <c r="R169" s="628">
        <f>$G169*Q163*S$12</f>
        <v>0</v>
      </c>
      <c r="S169" s="630"/>
      <c r="T169" s="631"/>
      <c r="V169" s="593"/>
    </row>
    <row r="170" spans="1:22">
      <c r="A170" s="625" t="s">
        <v>564</v>
      </c>
      <c r="B170" s="626">
        <v>2</v>
      </c>
      <c r="C170" s="627" t="s">
        <v>541</v>
      </c>
      <c r="D170" s="626">
        <f>partground</f>
        <v>9</v>
      </c>
      <c r="E170" s="627" t="s">
        <v>542</v>
      </c>
      <c r="F170" s="628">
        <v>3</v>
      </c>
      <c r="G170" s="982">
        <f t="shared" si="27"/>
        <v>54</v>
      </c>
      <c r="H170" s="629"/>
      <c r="I170" s="628">
        <f>$G170*H163*J$12</f>
        <v>0</v>
      </c>
      <c r="J170" s="1078"/>
      <c r="K170" s="629"/>
      <c r="L170" s="628">
        <f t="shared" si="28"/>
        <v>168.48000000000002</v>
      </c>
      <c r="M170" s="630"/>
      <c r="N170" s="629"/>
      <c r="O170" s="628">
        <f t="shared" si="29"/>
        <v>175.21920000000003</v>
      </c>
      <c r="P170" s="630"/>
      <c r="Q170" s="629"/>
      <c r="R170" s="628">
        <f>$G170*Q163*S$12</f>
        <v>0</v>
      </c>
      <c r="S170" s="630"/>
      <c r="T170" s="631"/>
      <c r="V170" s="593"/>
    </row>
    <row r="171" spans="1:22">
      <c r="A171" s="625" t="s">
        <v>48</v>
      </c>
      <c r="B171" s="626">
        <v>2</v>
      </c>
      <c r="C171" s="627" t="s">
        <v>541</v>
      </c>
      <c r="D171" s="626">
        <f>partlodg</f>
        <v>25</v>
      </c>
      <c r="E171" s="627" t="s">
        <v>542</v>
      </c>
      <c r="F171" s="628">
        <v>3</v>
      </c>
      <c r="G171" s="982">
        <f t="shared" si="27"/>
        <v>150</v>
      </c>
      <c r="H171" s="629"/>
      <c r="I171" s="628">
        <f>$G171*H163*J$12</f>
        <v>0</v>
      </c>
      <c r="J171" s="1078"/>
      <c r="K171" s="629"/>
      <c r="L171" s="628">
        <f t="shared" si="28"/>
        <v>468</v>
      </c>
      <c r="M171" s="630"/>
      <c r="N171" s="629"/>
      <c r="O171" s="628">
        <f t="shared" si="29"/>
        <v>486.72</v>
      </c>
      <c r="P171" s="630"/>
      <c r="Q171" s="629"/>
      <c r="R171" s="628">
        <f>$G171*Q163*S$12</f>
        <v>0</v>
      </c>
      <c r="S171" s="630"/>
      <c r="T171" s="631"/>
      <c r="V171" s="593"/>
    </row>
    <row r="172" spans="1:22">
      <c r="A172" s="625" t="s">
        <v>616</v>
      </c>
      <c r="B172" s="628">
        <v>2</v>
      </c>
      <c r="C172" s="627" t="s">
        <v>541</v>
      </c>
      <c r="D172" s="626">
        <f>partmeals</f>
        <v>47</v>
      </c>
      <c r="E172" s="627" t="s">
        <v>542</v>
      </c>
      <c r="F172" s="628">
        <v>3</v>
      </c>
      <c r="G172" s="982">
        <f t="shared" si="27"/>
        <v>282</v>
      </c>
      <c r="H172" s="629"/>
      <c r="I172" s="628">
        <f>$G172*H163*J$12</f>
        <v>0</v>
      </c>
      <c r="J172" s="1078"/>
      <c r="K172" s="629"/>
      <c r="L172" s="628">
        <f t="shared" si="28"/>
        <v>879.84</v>
      </c>
      <c r="M172" s="630"/>
      <c r="N172" s="629"/>
      <c r="O172" s="628">
        <f t="shared" si="29"/>
        <v>915.03360000000009</v>
      </c>
      <c r="P172" s="630"/>
      <c r="Q172" s="629"/>
      <c r="R172" s="628">
        <f>$G172*Q163*S$12</f>
        <v>0</v>
      </c>
      <c r="S172" s="630"/>
      <c r="T172" s="631"/>
      <c r="V172" s="593"/>
    </row>
    <row r="173" spans="1:22">
      <c r="A173" s="625" t="s">
        <v>109</v>
      </c>
      <c r="B173" s="628">
        <v>2</v>
      </c>
      <c r="C173" s="627" t="s">
        <v>541</v>
      </c>
      <c r="D173" s="626">
        <f>parttransp</f>
        <v>4</v>
      </c>
      <c r="E173" s="627" t="s">
        <v>556</v>
      </c>
      <c r="F173" s="626">
        <v>3</v>
      </c>
      <c r="G173" s="639">
        <f t="shared" si="27"/>
        <v>24</v>
      </c>
      <c r="H173" s="629"/>
      <c r="I173" s="628">
        <f>$G173*H163*J$12</f>
        <v>0</v>
      </c>
      <c r="J173" s="1079"/>
      <c r="K173" s="629"/>
      <c r="L173" s="628">
        <f t="shared" si="28"/>
        <v>74.88</v>
      </c>
      <c r="M173" s="630"/>
      <c r="N173" s="629"/>
      <c r="O173" s="628">
        <f t="shared" si="29"/>
        <v>77.875200000000007</v>
      </c>
      <c r="P173" s="630"/>
      <c r="Q173" s="629"/>
      <c r="R173" s="628">
        <f>$G173*Q163*S$12</f>
        <v>0</v>
      </c>
      <c r="S173" s="630"/>
      <c r="T173" s="631"/>
      <c r="V173" s="593"/>
    </row>
    <row r="174" spans="1:22">
      <c r="A174" s="644" t="s">
        <v>547</v>
      </c>
      <c r="B174" s="645"/>
      <c r="C174" s="645"/>
      <c r="D174" s="646"/>
      <c r="E174" s="1146">
        <f>SUM(G164:G173)</f>
        <v>1814</v>
      </c>
      <c r="F174" s="1147"/>
      <c r="G174" s="647"/>
      <c r="H174" s="648"/>
      <c r="I174" s="648"/>
      <c r="J174" s="621"/>
      <c r="K174" s="648"/>
      <c r="L174" s="648"/>
      <c r="M174" s="621"/>
      <c r="N174" s="648"/>
      <c r="O174" s="648"/>
      <c r="P174" s="621"/>
      <c r="Q174" s="648"/>
      <c r="R174" s="648"/>
      <c r="S174" s="621"/>
      <c r="T174" s="649"/>
      <c r="V174" s="593"/>
    </row>
    <row r="175" spans="1:22" ht="13.5" customHeight="1" thickBot="1">
      <c r="A175" s="588"/>
      <c r="B175" s="650"/>
      <c r="C175" s="650"/>
      <c r="D175" s="650"/>
      <c r="E175" s="650"/>
      <c r="F175" s="650"/>
      <c r="G175" s="612"/>
      <c r="H175" s="612"/>
      <c r="I175" s="612"/>
      <c r="J175" s="612"/>
      <c r="K175" s="612"/>
      <c r="L175" s="612"/>
      <c r="M175" s="612"/>
      <c r="N175" s="612"/>
      <c r="O175" s="612"/>
      <c r="P175" s="612"/>
      <c r="Q175" s="612"/>
      <c r="R175" s="612"/>
      <c r="S175" s="612"/>
      <c r="T175" s="613"/>
      <c r="V175" s="593"/>
    </row>
    <row r="176" spans="1:22" ht="13.5" customHeight="1" thickTop="1" thickBot="1">
      <c r="A176" s="588"/>
      <c r="B176" s="650"/>
      <c r="C176" s="650"/>
      <c r="D176" s="650"/>
      <c r="E176" s="650"/>
      <c r="F176" s="650"/>
      <c r="G176" s="612"/>
      <c r="H176" s="612"/>
      <c r="I176" s="612"/>
      <c r="J176" s="612"/>
      <c r="K176" s="612"/>
      <c r="L176" s="612"/>
      <c r="M176" s="612"/>
      <c r="N176" s="612"/>
      <c r="O176" s="612"/>
      <c r="P176" s="612"/>
      <c r="Q176" s="612"/>
      <c r="R176" s="612"/>
      <c r="S176" s="612"/>
      <c r="T176" s="613"/>
      <c r="V176" s="593"/>
    </row>
    <row r="177" spans="1:22" ht="15.6" thickTop="1">
      <c r="A177" s="1159" t="s">
        <v>595</v>
      </c>
      <c r="B177" s="1160"/>
      <c r="C177" s="1160"/>
      <c r="D177" s="1160"/>
      <c r="E177" s="1161"/>
      <c r="F177" s="614"/>
      <c r="G177" s="615"/>
      <c r="H177" s="1151">
        <v>0</v>
      </c>
      <c r="I177" s="1152"/>
      <c r="J177" s="616">
        <f>SUM(I179:I193)</f>
        <v>0</v>
      </c>
      <c r="K177" s="1140">
        <v>0</v>
      </c>
      <c r="L177" s="1141"/>
      <c r="M177" s="617">
        <f>SUM(L179:L193)</f>
        <v>0</v>
      </c>
      <c r="N177" s="1140">
        <v>0</v>
      </c>
      <c r="O177" s="1141"/>
      <c r="P177" s="617">
        <f>SUM(O179:O193)</f>
        <v>0</v>
      </c>
      <c r="Q177" s="1142">
        <v>0</v>
      </c>
      <c r="R177" s="1140"/>
      <c r="S177" s="617">
        <f>SUM(R179:R193)</f>
        <v>0</v>
      </c>
      <c r="T177" s="618">
        <f>SUM(J177,M177,P177,S177,)</f>
        <v>0</v>
      </c>
      <c r="V177" s="593"/>
    </row>
    <row r="178" spans="1:22">
      <c r="A178" s="619" t="s">
        <v>566</v>
      </c>
      <c r="B178" s="620"/>
      <c r="C178" s="620"/>
      <c r="D178" s="620"/>
      <c r="E178" s="621"/>
      <c r="F178" s="620"/>
      <c r="G178" s="620"/>
      <c r="H178" s="622"/>
      <c r="I178" s="620"/>
      <c r="J178" s="621"/>
      <c r="K178" s="622"/>
      <c r="L178" s="620"/>
      <c r="M178" s="623"/>
      <c r="N178" s="622"/>
      <c r="O178" s="620"/>
      <c r="P178" s="623"/>
      <c r="Q178" s="622"/>
      <c r="R178" s="620"/>
      <c r="S178" s="623"/>
      <c r="T178" s="624"/>
      <c r="V178" s="593"/>
    </row>
    <row r="179" spans="1:22">
      <c r="A179" s="625" t="s">
        <v>540</v>
      </c>
      <c r="B179" s="626">
        <v>0</v>
      </c>
      <c r="C179" s="627" t="s">
        <v>541</v>
      </c>
      <c r="D179" s="626">
        <f>parttransp</f>
        <v>4</v>
      </c>
      <c r="E179" s="627" t="s">
        <v>542</v>
      </c>
      <c r="F179" s="628">
        <f>IF(B179=0,0,F177)</f>
        <v>0</v>
      </c>
      <c r="G179" s="628">
        <f t="shared" ref="G179:G185" si="30">B179*D179*F179</f>
        <v>0</v>
      </c>
      <c r="H179" s="629"/>
      <c r="I179" s="628">
        <f>$G179*H177*J$12</f>
        <v>0</v>
      </c>
      <c r="K179" s="629"/>
      <c r="L179" s="628">
        <f>$G179*K177*M$12</f>
        <v>0</v>
      </c>
      <c r="M179" s="630"/>
      <c r="N179" s="629"/>
      <c r="O179" s="628">
        <f>$G179*N177*P$12</f>
        <v>0</v>
      </c>
      <c r="P179" s="630"/>
      <c r="Q179" s="629"/>
      <c r="R179" s="628">
        <f>$G179*Q177*S$12</f>
        <v>0</v>
      </c>
      <c r="S179" s="630"/>
      <c r="T179" s="631"/>
      <c r="V179" s="593"/>
    </row>
    <row r="180" spans="1:22">
      <c r="A180" s="625" t="s">
        <v>543</v>
      </c>
      <c r="B180" s="626">
        <v>0</v>
      </c>
      <c r="C180" s="627" t="s">
        <v>541</v>
      </c>
      <c r="D180" s="626">
        <f>coffee+lunch</f>
        <v>16</v>
      </c>
      <c r="E180" s="627" t="s">
        <v>542</v>
      </c>
      <c r="F180" s="628">
        <f>IF(B180=0,0,F177)</f>
        <v>0</v>
      </c>
      <c r="G180" s="628">
        <f t="shared" si="30"/>
        <v>0</v>
      </c>
      <c r="H180" s="629"/>
      <c r="I180" s="628">
        <f>$G180*H177*J$12</f>
        <v>0</v>
      </c>
      <c r="K180" s="629"/>
      <c r="L180" s="628">
        <f>$G180*K177*M$12</f>
        <v>0</v>
      </c>
      <c r="M180" s="630"/>
      <c r="N180" s="629"/>
      <c r="O180" s="628">
        <f>$G180*N177*P$12</f>
        <v>0</v>
      </c>
      <c r="P180" s="630"/>
      <c r="Q180" s="629"/>
      <c r="R180" s="628">
        <f>$G180*Q177*S$12</f>
        <v>0</v>
      </c>
      <c r="S180" s="630"/>
      <c r="T180" s="631"/>
      <c r="V180" s="593"/>
    </row>
    <row r="181" spans="1:22">
      <c r="A181" s="625" t="s">
        <v>122</v>
      </c>
      <c r="B181" s="626">
        <v>0</v>
      </c>
      <c r="C181" s="627" t="s">
        <v>549</v>
      </c>
      <c r="D181" s="626">
        <f>mats</f>
        <v>0</v>
      </c>
      <c r="E181" s="632" t="str">
        <f>C181</f>
        <v>workshop</v>
      </c>
      <c r="F181" s="628">
        <f>IF(B181=0,0,1)</f>
        <v>0</v>
      </c>
      <c r="G181" s="628">
        <f t="shared" si="30"/>
        <v>0</v>
      </c>
      <c r="H181" s="629"/>
      <c r="I181" s="628">
        <f>$G181*H177*J$12</f>
        <v>0</v>
      </c>
      <c r="K181" s="629"/>
      <c r="L181" s="628">
        <f>$G181*K177*M$12</f>
        <v>0</v>
      </c>
      <c r="M181" s="630"/>
      <c r="N181" s="629"/>
      <c r="O181" s="628">
        <f>$G181*N177*P$12</f>
        <v>0</v>
      </c>
      <c r="P181" s="630"/>
      <c r="Q181" s="629"/>
      <c r="R181" s="628">
        <f>$G181*Q177*S$12</f>
        <v>0</v>
      </c>
      <c r="S181" s="630"/>
      <c r="T181" s="631"/>
      <c r="V181" s="593"/>
    </row>
    <row r="182" spans="1:22">
      <c r="A182" s="625" t="s">
        <v>544</v>
      </c>
      <c r="B182" s="626">
        <v>0</v>
      </c>
      <c r="C182" s="627" t="s">
        <v>545</v>
      </c>
      <c r="D182" s="626">
        <f>print</f>
        <v>50</v>
      </c>
      <c r="E182" s="632" t="str">
        <f>C182</f>
        <v>activity</v>
      </c>
      <c r="F182" s="628">
        <f>IF(B182=0,0,1)</f>
        <v>0</v>
      </c>
      <c r="G182" s="628">
        <f t="shared" si="30"/>
        <v>0</v>
      </c>
      <c r="H182" s="629"/>
      <c r="I182" s="628">
        <f>$G182*H177*J$12</f>
        <v>0</v>
      </c>
      <c r="K182" s="629"/>
      <c r="L182" s="628">
        <f>$G182*K177*M$12</f>
        <v>0</v>
      </c>
      <c r="M182" s="630"/>
      <c r="N182" s="629"/>
      <c r="O182" s="628">
        <f>$G182*N177*P$12</f>
        <v>0</v>
      </c>
      <c r="P182" s="630"/>
      <c r="Q182" s="629"/>
      <c r="R182" s="628">
        <f>$G182*Q177*S$12</f>
        <v>0</v>
      </c>
      <c r="S182" s="630"/>
      <c r="T182" s="631"/>
      <c r="V182" s="593"/>
    </row>
    <row r="183" spans="1:22">
      <c r="A183" s="625" t="s">
        <v>596</v>
      </c>
      <c r="B183" s="626">
        <v>0</v>
      </c>
      <c r="C183" s="627" t="s">
        <v>560</v>
      </c>
      <c r="D183" s="626">
        <f>avrent</f>
        <v>0</v>
      </c>
      <c r="E183" s="627" t="s">
        <v>542</v>
      </c>
      <c r="F183" s="628">
        <f>IF(B183=0,0,F177)</f>
        <v>0</v>
      </c>
      <c r="G183" s="628">
        <f t="shared" si="30"/>
        <v>0</v>
      </c>
      <c r="H183" s="629"/>
      <c r="I183" s="628">
        <f>$G183*H177*J$12</f>
        <v>0</v>
      </c>
      <c r="K183" s="629"/>
      <c r="L183" s="628">
        <f>$G183*K177*M$12</f>
        <v>0</v>
      </c>
      <c r="M183" s="630"/>
      <c r="N183" s="629"/>
      <c r="O183" s="628">
        <f>$G183*N177*P$12</f>
        <v>0</v>
      </c>
      <c r="P183" s="630"/>
      <c r="Q183" s="629"/>
      <c r="R183" s="628">
        <f>$G183*Q177*S$12</f>
        <v>0</v>
      </c>
      <c r="S183" s="630"/>
      <c r="T183" s="631"/>
      <c r="V183" s="593"/>
    </row>
    <row r="184" spans="1:22">
      <c r="A184" s="625" t="s">
        <v>597</v>
      </c>
      <c r="B184" s="626">
        <v>0</v>
      </c>
      <c r="C184" s="627" t="s">
        <v>598</v>
      </c>
      <c r="D184" s="626">
        <f>roomrent</f>
        <v>0</v>
      </c>
      <c r="E184" s="627" t="s">
        <v>542</v>
      </c>
      <c r="F184" s="628">
        <f>IF(B184=0,0,F177)</f>
        <v>0</v>
      </c>
      <c r="G184" s="628">
        <f t="shared" si="30"/>
        <v>0</v>
      </c>
      <c r="H184" s="629"/>
      <c r="I184" s="628">
        <f>$G184*H177*J$12</f>
        <v>0</v>
      </c>
      <c r="K184" s="629"/>
      <c r="L184" s="628">
        <f>$G184*K177*M$12</f>
        <v>0</v>
      </c>
      <c r="M184" s="630"/>
      <c r="N184" s="629"/>
      <c r="O184" s="628">
        <f>$G184*N177*P$12</f>
        <v>0</v>
      </c>
      <c r="P184" s="630"/>
      <c r="Q184" s="629"/>
      <c r="R184" s="628">
        <f>$G184*Q177*S$12</f>
        <v>0</v>
      </c>
      <c r="S184" s="630"/>
      <c r="T184" s="631"/>
      <c r="V184" s="593"/>
    </row>
    <row r="185" spans="1:22">
      <c r="A185" s="625" t="s">
        <v>98</v>
      </c>
      <c r="B185" s="626">
        <v>0</v>
      </c>
      <c r="C185" s="627" t="s">
        <v>541</v>
      </c>
      <c r="D185" s="626">
        <f>partmisc</f>
        <v>0</v>
      </c>
      <c r="E185" s="627" t="s">
        <v>542</v>
      </c>
      <c r="F185" s="626">
        <v>5</v>
      </c>
      <c r="G185" s="628">
        <f t="shared" si="30"/>
        <v>0</v>
      </c>
      <c r="H185" s="629"/>
      <c r="I185" s="628">
        <f>$G185*H177*J$12</f>
        <v>0</v>
      </c>
      <c r="K185" s="629"/>
      <c r="L185" s="628">
        <f>$G185*K177*M$12</f>
        <v>0</v>
      </c>
      <c r="M185" s="630"/>
      <c r="N185" s="629"/>
      <c r="O185" s="628">
        <f>$G185*N177*P$12</f>
        <v>0</v>
      </c>
      <c r="P185" s="630"/>
      <c r="Q185" s="629"/>
      <c r="R185" s="628">
        <f>$G185*Q177*S$12</f>
        <v>0</v>
      </c>
      <c r="S185" s="630"/>
      <c r="T185" s="631"/>
      <c r="V185" s="593"/>
    </row>
    <row r="186" spans="1:22">
      <c r="A186" s="625"/>
      <c r="B186" s="628"/>
      <c r="C186" s="628"/>
      <c r="D186" s="628"/>
      <c r="E186" s="628"/>
      <c r="F186" s="628"/>
      <c r="G186" s="628"/>
      <c r="H186" s="629"/>
      <c r="I186" s="628"/>
      <c r="K186" s="629"/>
      <c r="L186" s="628"/>
      <c r="M186" s="630"/>
      <c r="N186" s="629"/>
      <c r="O186" s="628"/>
      <c r="P186" s="630"/>
      <c r="Q186" s="629"/>
      <c r="R186" s="628"/>
      <c r="S186" s="630"/>
      <c r="T186" s="631"/>
      <c r="V186" s="593"/>
    </row>
    <row r="187" spans="1:22">
      <c r="A187" s="633" t="s">
        <v>599</v>
      </c>
      <c r="B187" s="628"/>
      <c r="C187" s="634"/>
      <c r="D187" s="628"/>
      <c r="E187" s="628"/>
      <c r="F187" s="628"/>
      <c r="G187" s="628">
        <f t="shared" ref="G187:G192" si="31">B187*D187*F187</f>
        <v>0</v>
      </c>
      <c r="H187" s="629"/>
      <c r="I187" s="628">
        <f>$G187*H177*J$12</f>
        <v>0</v>
      </c>
      <c r="K187" s="629"/>
      <c r="L187" s="628">
        <f>$G187*K177*M$12</f>
        <v>0</v>
      </c>
      <c r="M187" s="630"/>
      <c r="N187" s="629"/>
      <c r="O187" s="628">
        <f>$G187*N177*P$12</f>
        <v>0</v>
      </c>
      <c r="P187" s="630"/>
      <c r="Q187" s="629"/>
      <c r="R187" s="628">
        <f>$G187*Q177*S$12</f>
        <v>0</v>
      </c>
      <c r="S187" s="630"/>
      <c r="T187" s="631"/>
      <c r="V187" s="593"/>
    </row>
    <row r="188" spans="1:22">
      <c r="A188" s="625" t="s">
        <v>600</v>
      </c>
      <c r="B188" s="626">
        <v>0</v>
      </c>
      <c r="C188" s="627" t="s">
        <v>541</v>
      </c>
      <c r="D188" s="626">
        <f>partground</f>
        <v>9</v>
      </c>
      <c r="E188" s="627" t="s">
        <v>556</v>
      </c>
      <c r="F188" s="628">
        <f>IF(B188=0,0,1)</f>
        <v>0</v>
      </c>
      <c r="G188" s="628">
        <f t="shared" si="31"/>
        <v>0</v>
      </c>
      <c r="H188" s="629"/>
      <c r="I188" s="628">
        <f>$G188*H177*J$12</f>
        <v>0</v>
      </c>
      <c r="K188" s="629"/>
      <c r="L188" s="628">
        <f>$G188*K177*M$12</f>
        <v>0</v>
      </c>
      <c r="M188" s="630"/>
      <c r="N188" s="629"/>
      <c r="O188" s="628">
        <f>$G188*N177*P$12</f>
        <v>0</v>
      </c>
      <c r="P188" s="630"/>
      <c r="Q188" s="629"/>
      <c r="R188" s="628">
        <f>$G188*Q177*S$12</f>
        <v>0</v>
      </c>
      <c r="S188" s="630"/>
      <c r="T188" s="631"/>
      <c r="V188" s="593"/>
    </row>
    <row r="189" spans="1:22">
      <c r="A189" s="625" t="s">
        <v>601</v>
      </c>
      <c r="B189" s="626">
        <v>0</v>
      </c>
      <c r="C189" s="627" t="s">
        <v>541</v>
      </c>
      <c r="D189" s="626">
        <f>partground</f>
        <v>9</v>
      </c>
      <c r="E189" s="627" t="s">
        <v>542</v>
      </c>
      <c r="F189" s="628">
        <f>IF(B189=0,0,1)</f>
        <v>0</v>
      </c>
      <c r="G189" s="628">
        <f t="shared" si="31"/>
        <v>0</v>
      </c>
      <c r="H189" s="629"/>
      <c r="I189" s="628">
        <f>$G189*H177*J$12</f>
        <v>0</v>
      </c>
      <c r="K189" s="629"/>
      <c r="L189" s="628">
        <f>$G189*K177*M$12</f>
        <v>0</v>
      </c>
      <c r="M189" s="630"/>
      <c r="N189" s="629"/>
      <c r="O189" s="628">
        <f>$G189*N177*P$12</f>
        <v>0</v>
      </c>
      <c r="P189" s="630"/>
      <c r="Q189" s="629"/>
      <c r="R189" s="628">
        <f>$G189*Q177*S$12</f>
        <v>0</v>
      </c>
      <c r="S189" s="630"/>
      <c r="T189" s="631"/>
      <c r="V189" s="593"/>
    </row>
    <row r="190" spans="1:22">
      <c r="A190" s="625" t="s">
        <v>48</v>
      </c>
      <c r="B190" s="628">
        <f>B188+B189</f>
        <v>0</v>
      </c>
      <c r="C190" s="627" t="s">
        <v>541</v>
      </c>
      <c r="D190" s="626">
        <f>partlodg</f>
        <v>25</v>
      </c>
      <c r="E190" s="627" t="s">
        <v>542</v>
      </c>
      <c r="F190" s="628">
        <f>IF(B190=0,0,F177)</f>
        <v>0</v>
      </c>
      <c r="G190" s="628">
        <f t="shared" si="31"/>
        <v>0</v>
      </c>
      <c r="H190" s="629"/>
      <c r="I190" s="628">
        <f>$G190*H177*J$12</f>
        <v>0</v>
      </c>
      <c r="K190" s="629"/>
      <c r="L190" s="628">
        <f>$G190*K177*M$12</f>
        <v>0</v>
      </c>
      <c r="M190" s="630"/>
      <c r="N190" s="629"/>
      <c r="O190" s="628">
        <f>$G190*N177*P$12</f>
        <v>0</v>
      </c>
      <c r="P190" s="630"/>
      <c r="Q190" s="629"/>
      <c r="R190" s="628">
        <f>$G190*Q177*S$12</f>
        <v>0</v>
      </c>
      <c r="S190" s="630"/>
      <c r="T190" s="631"/>
      <c r="V190" s="593"/>
    </row>
    <row r="191" spans="1:22">
      <c r="A191" s="625" t="s">
        <v>616</v>
      </c>
      <c r="B191" s="628">
        <f>B190</f>
        <v>0</v>
      </c>
      <c r="C191" s="627" t="s">
        <v>541</v>
      </c>
      <c r="D191" s="626">
        <f>partmeals</f>
        <v>47</v>
      </c>
      <c r="E191" s="627" t="s">
        <v>542</v>
      </c>
      <c r="F191" s="628">
        <f>IF(B191=0,0,F177)</f>
        <v>0</v>
      </c>
      <c r="G191" s="628">
        <f t="shared" si="31"/>
        <v>0</v>
      </c>
      <c r="H191" s="629"/>
      <c r="I191" s="628">
        <f>$G191*H177*J$12</f>
        <v>0</v>
      </c>
      <c r="K191" s="629"/>
      <c r="L191" s="628">
        <f>$G191*K177*M$12</f>
        <v>0</v>
      </c>
      <c r="M191" s="630"/>
      <c r="N191" s="629"/>
      <c r="O191" s="628">
        <f>$G191*N177*P$12</f>
        <v>0</v>
      </c>
      <c r="P191" s="630"/>
      <c r="Q191" s="629"/>
      <c r="R191" s="628">
        <f>$G191*Q177*S$12</f>
        <v>0</v>
      </c>
      <c r="S191" s="630"/>
      <c r="T191" s="631"/>
      <c r="V191" s="593"/>
    </row>
    <row r="192" spans="1:22">
      <c r="A192" s="625" t="s">
        <v>109</v>
      </c>
      <c r="B192" s="628">
        <f>B191</f>
        <v>0</v>
      </c>
      <c r="C192" s="627" t="s">
        <v>541</v>
      </c>
      <c r="D192" s="626">
        <f>parttransp</f>
        <v>4</v>
      </c>
      <c r="E192" s="627" t="s">
        <v>556</v>
      </c>
      <c r="F192" s="626">
        <v>0</v>
      </c>
      <c r="G192" s="628">
        <f t="shared" si="31"/>
        <v>0</v>
      </c>
      <c r="H192" s="629"/>
      <c r="I192" s="628">
        <f>$G192*H177*J$12</f>
        <v>0</v>
      </c>
      <c r="K192" s="629"/>
      <c r="L192" s="628">
        <f>$G192*K177*M$12</f>
        <v>0</v>
      </c>
      <c r="M192" s="630"/>
      <c r="N192" s="629"/>
      <c r="O192" s="628">
        <f>$G192*N177*P$12</f>
        <v>0</v>
      </c>
      <c r="P192" s="630"/>
      <c r="Q192" s="629"/>
      <c r="R192" s="628">
        <f>$G192*Q177*S$12</f>
        <v>0</v>
      </c>
      <c r="S192" s="630"/>
      <c r="T192" s="631"/>
      <c r="V192" s="593"/>
    </row>
    <row r="193" spans="1:22">
      <c r="A193" s="635"/>
      <c r="B193" s="636"/>
      <c r="C193" s="637"/>
      <c r="D193" s="638">
        <v>0</v>
      </c>
      <c r="E193" s="637"/>
      <c r="F193" s="638"/>
      <c r="G193" s="639">
        <f>B193*D193</f>
        <v>0</v>
      </c>
      <c r="H193" s="640"/>
      <c r="I193" s="636">
        <f>$G193*H177*J$12</f>
        <v>0</v>
      </c>
      <c r="J193" s="641"/>
      <c r="K193" s="640"/>
      <c r="L193" s="636">
        <f>$G193*K177*M$12</f>
        <v>0</v>
      </c>
      <c r="M193" s="642"/>
      <c r="N193" s="640"/>
      <c r="O193" s="636">
        <f>$G193*N177*P$12</f>
        <v>0</v>
      </c>
      <c r="P193" s="642"/>
      <c r="Q193" s="640"/>
      <c r="R193" s="636">
        <f>$G193*Q177*S$12</f>
        <v>0</v>
      </c>
      <c r="S193" s="642"/>
      <c r="T193" s="643"/>
      <c r="V193" s="593"/>
    </row>
    <row r="194" spans="1:22">
      <c r="A194" s="644" t="s">
        <v>547</v>
      </c>
      <c r="B194" s="645"/>
      <c r="C194" s="645"/>
      <c r="D194" s="646"/>
      <c r="E194" s="1146">
        <f>SUM(G178:G193)</f>
        <v>0</v>
      </c>
      <c r="F194" s="1147"/>
      <c r="G194" s="647"/>
      <c r="H194" s="648"/>
      <c r="I194" s="648"/>
      <c r="J194" s="621"/>
      <c r="K194" s="648"/>
      <c r="L194" s="648"/>
      <c r="M194" s="621"/>
      <c r="N194" s="648"/>
      <c r="O194" s="648"/>
      <c r="P194" s="621"/>
      <c r="Q194" s="648"/>
      <c r="R194" s="648"/>
      <c r="S194" s="621"/>
      <c r="T194" s="649"/>
      <c r="V194" s="593"/>
    </row>
    <row r="195" spans="1:22" ht="13.5" customHeight="1" thickBot="1">
      <c r="A195" s="588"/>
      <c r="B195" s="650"/>
      <c r="C195" s="650"/>
      <c r="D195" s="650"/>
      <c r="E195" s="650"/>
      <c r="F195" s="650"/>
      <c r="G195" s="612"/>
      <c r="H195" s="612"/>
      <c r="I195" s="612"/>
      <c r="J195" s="612"/>
      <c r="K195" s="612"/>
      <c r="L195" s="612"/>
      <c r="M195" s="612"/>
      <c r="N195" s="612"/>
      <c r="O195" s="612"/>
      <c r="P195" s="612"/>
      <c r="Q195" s="612"/>
      <c r="R195" s="612"/>
      <c r="S195" s="612"/>
      <c r="T195" s="613"/>
      <c r="V195" s="593"/>
    </row>
    <row r="196" spans="1:22" ht="15.6" thickTop="1">
      <c r="A196" s="1159" t="s">
        <v>595</v>
      </c>
      <c r="B196" s="1160"/>
      <c r="C196" s="1160"/>
      <c r="D196" s="1160"/>
      <c r="E196" s="1161"/>
      <c r="F196" s="614"/>
      <c r="G196" s="615"/>
      <c r="H196" s="1151">
        <v>0</v>
      </c>
      <c r="I196" s="1152"/>
      <c r="J196" s="616">
        <f>SUM(I198:I212)</f>
        <v>0</v>
      </c>
      <c r="K196" s="1140">
        <v>0</v>
      </c>
      <c r="L196" s="1141"/>
      <c r="M196" s="617">
        <f>SUM(L198:L212)</f>
        <v>0</v>
      </c>
      <c r="N196" s="1140">
        <v>0</v>
      </c>
      <c r="O196" s="1141"/>
      <c r="P196" s="617">
        <f>SUM(O198:O212)</f>
        <v>0</v>
      </c>
      <c r="Q196" s="1142">
        <v>0</v>
      </c>
      <c r="R196" s="1140"/>
      <c r="S196" s="617">
        <f>SUM(R198:R212)</f>
        <v>0</v>
      </c>
      <c r="T196" s="618">
        <f>SUM(J196,M196,P196,S196,)</f>
        <v>0</v>
      </c>
      <c r="V196" s="593"/>
    </row>
    <row r="197" spans="1:22">
      <c r="A197" s="619" t="s">
        <v>566</v>
      </c>
      <c r="B197" s="620"/>
      <c r="C197" s="620"/>
      <c r="D197" s="620"/>
      <c r="E197" s="621"/>
      <c r="F197" s="620"/>
      <c r="G197" s="620"/>
      <c r="H197" s="622"/>
      <c r="I197" s="620"/>
      <c r="J197" s="621"/>
      <c r="K197" s="622"/>
      <c r="L197" s="620"/>
      <c r="M197" s="623"/>
      <c r="N197" s="622"/>
      <c r="O197" s="620"/>
      <c r="P197" s="623"/>
      <c r="Q197" s="622"/>
      <c r="R197" s="620"/>
      <c r="S197" s="623"/>
      <c r="T197" s="624"/>
      <c r="V197" s="593"/>
    </row>
    <row r="198" spans="1:22">
      <c r="A198" s="625" t="s">
        <v>540</v>
      </c>
      <c r="B198" s="626">
        <v>0</v>
      </c>
      <c r="C198" s="627" t="s">
        <v>541</v>
      </c>
      <c r="D198" s="626">
        <f>parttransp</f>
        <v>4</v>
      </c>
      <c r="E198" s="627" t="s">
        <v>542</v>
      </c>
      <c r="F198" s="628">
        <f>IF(B198=0,0,F196)</f>
        <v>0</v>
      </c>
      <c r="G198" s="628">
        <f t="shared" ref="G198:G204" si="32">B198*D198*F198</f>
        <v>0</v>
      </c>
      <c r="H198" s="629"/>
      <c r="I198" s="628">
        <f>$G198*H196*J$12</f>
        <v>0</v>
      </c>
      <c r="K198" s="629"/>
      <c r="L198" s="628">
        <f>$G198*K196*M$12</f>
        <v>0</v>
      </c>
      <c r="M198" s="630"/>
      <c r="N198" s="629"/>
      <c r="O198" s="628">
        <f>$G198*N196*P$12</f>
        <v>0</v>
      </c>
      <c r="P198" s="630"/>
      <c r="Q198" s="629"/>
      <c r="R198" s="628">
        <f>$G198*Q196*S$12</f>
        <v>0</v>
      </c>
      <c r="S198" s="630"/>
      <c r="T198" s="631"/>
      <c r="V198" s="593"/>
    </row>
    <row r="199" spans="1:22">
      <c r="A199" s="625" t="s">
        <v>543</v>
      </c>
      <c r="B199" s="626">
        <v>0</v>
      </c>
      <c r="C199" s="627" t="s">
        <v>541</v>
      </c>
      <c r="D199" s="626">
        <f>coffee+lunch</f>
        <v>16</v>
      </c>
      <c r="E199" s="627" t="s">
        <v>542</v>
      </c>
      <c r="F199" s="628">
        <f>IF(B199=0,0,F196)</f>
        <v>0</v>
      </c>
      <c r="G199" s="628">
        <f t="shared" si="32"/>
        <v>0</v>
      </c>
      <c r="H199" s="629"/>
      <c r="I199" s="628">
        <f>$G199*H196*J$12</f>
        <v>0</v>
      </c>
      <c r="K199" s="629"/>
      <c r="L199" s="628">
        <f>$G199*K196*M$12</f>
        <v>0</v>
      </c>
      <c r="M199" s="630"/>
      <c r="N199" s="629"/>
      <c r="O199" s="628">
        <f>$G199*N196*P$12</f>
        <v>0</v>
      </c>
      <c r="P199" s="630"/>
      <c r="Q199" s="629"/>
      <c r="R199" s="628">
        <f>$G199*Q196*S$12</f>
        <v>0</v>
      </c>
      <c r="S199" s="630"/>
      <c r="T199" s="631"/>
      <c r="V199" s="593"/>
    </row>
    <row r="200" spans="1:22">
      <c r="A200" s="625" t="s">
        <v>122</v>
      </c>
      <c r="B200" s="626">
        <v>0</v>
      </c>
      <c r="C200" s="627" t="s">
        <v>549</v>
      </c>
      <c r="D200" s="626">
        <f>mats</f>
        <v>0</v>
      </c>
      <c r="E200" s="632" t="str">
        <f>C200</f>
        <v>workshop</v>
      </c>
      <c r="F200" s="628">
        <f>IF(B200=0,0,1)</f>
        <v>0</v>
      </c>
      <c r="G200" s="628">
        <f t="shared" si="32"/>
        <v>0</v>
      </c>
      <c r="H200" s="629"/>
      <c r="I200" s="628">
        <f>$G200*H196*J$12</f>
        <v>0</v>
      </c>
      <c r="K200" s="629"/>
      <c r="L200" s="628">
        <f>$G200*K196*M$12</f>
        <v>0</v>
      </c>
      <c r="M200" s="630"/>
      <c r="N200" s="629"/>
      <c r="O200" s="628">
        <f>$G200*N196*P$12</f>
        <v>0</v>
      </c>
      <c r="P200" s="630"/>
      <c r="Q200" s="629"/>
      <c r="R200" s="628">
        <f>$G200*Q196*S$12</f>
        <v>0</v>
      </c>
      <c r="S200" s="630"/>
      <c r="T200" s="631"/>
      <c r="V200" s="593"/>
    </row>
    <row r="201" spans="1:22">
      <c r="A201" s="625" t="s">
        <v>544</v>
      </c>
      <c r="B201" s="626">
        <v>0</v>
      </c>
      <c r="C201" s="627" t="s">
        <v>545</v>
      </c>
      <c r="D201" s="626">
        <f>print</f>
        <v>50</v>
      </c>
      <c r="E201" s="632" t="str">
        <f>C201</f>
        <v>activity</v>
      </c>
      <c r="F201" s="628">
        <f>IF(B201=0,0,1)</f>
        <v>0</v>
      </c>
      <c r="G201" s="628">
        <f t="shared" si="32"/>
        <v>0</v>
      </c>
      <c r="H201" s="629"/>
      <c r="I201" s="628">
        <f>$G201*H196*J$12</f>
        <v>0</v>
      </c>
      <c r="K201" s="629"/>
      <c r="L201" s="628">
        <f>$G201*K196*M$12</f>
        <v>0</v>
      </c>
      <c r="M201" s="630"/>
      <c r="N201" s="629"/>
      <c r="O201" s="628">
        <f>$G201*N196*P$12</f>
        <v>0</v>
      </c>
      <c r="P201" s="630"/>
      <c r="Q201" s="629"/>
      <c r="R201" s="628">
        <f>$G201*Q196*S$12</f>
        <v>0</v>
      </c>
      <c r="S201" s="630"/>
      <c r="T201" s="631"/>
      <c r="V201" s="593"/>
    </row>
    <row r="202" spans="1:22">
      <c r="A202" s="625" t="s">
        <v>596</v>
      </c>
      <c r="B202" s="626">
        <v>0</v>
      </c>
      <c r="C202" s="627" t="s">
        <v>560</v>
      </c>
      <c r="D202" s="626">
        <f>avrent</f>
        <v>0</v>
      </c>
      <c r="E202" s="627" t="s">
        <v>542</v>
      </c>
      <c r="F202" s="628">
        <f>IF(B202=0,0,F196)</f>
        <v>0</v>
      </c>
      <c r="G202" s="628">
        <f t="shared" si="32"/>
        <v>0</v>
      </c>
      <c r="H202" s="629"/>
      <c r="I202" s="628">
        <f>$G202*H196*J$12</f>
        <v>0</v>
      </c>
      <c r="K202" s="629"/>
      <c r="L202" s="628">
        <f>$G202*K196*M$12</f>
        <v>0</v>
      </c>
      <c r="M202" s="630"/>
      <c r="N202" s="629"/>
      <c r="O202" s="628">
        <f>$G202*N196*P$12</f>
        <v>0</v>
      </c>
      <c r="P202" s="630"/>
      <c r="Q202" s="629"/>
      <c r="R202" s="628">
        <f>$G202*Q196*S$12</f>
        <v>0</v>
      </c>
      <c r="S202" s="630"/>
      <c r="T202" s="631"/>
      <c r="V202" s="593"/>
    </row>
    <row r="203" spans="1:22">
      <c r="A203" s="625" t="s">
        <v>597</v>
      </c>
      <c r="B203" s="626">
        <v>0</v>
      </c>
      <c r="C203" s="627" t="s">
        <v>598</v>
      </c>
      <c r="D203" s="626">
        <f>roomrent</f>
        <v>0</v>
      </c>
      <c r="E203" s="627" t="s">
        <v>542</v>
      </c>
      <c r="F203" s="628">
        <f>IF(B203=0,0,F196)</f>
        <v>0</v>
      </c>
      <c r="G203" s="628">
        <f t="shared" si="32"/>
        <v>0</v>
      </c>
      <c r="H203" s="629"/>
      <c r="I203" s="628">
        <f>$G203*H196*J$12</f>
        <v>0</v>
      </c>
      <c r="K203" s="629"/>
      <c r="L203" s="628">
        <f>$G203*K196*M$12</f>
        <v>0</v>
      </c>
      <c r="M203" s="630"/>
      <c r="N203" s="629"/>
      <c r="O203" s="628">
        <f>$G203*N196*P$12</f>
        <v>0</v>
      </c>
      <c r="P203" s="630"/>
      <c r="Q203" s="629"/>
      <c r="R203" s="628">
        <f>$G203*Q196*S$12</f>
        <v>0</v>
      </c>
      <c r="S203" s="630"/>
      <c r="T203" s="631"/>
      <c r="V203" s="593"/>
    </row>
    <row r="204" spans="1:22">
      <c r="A204" s="625" t="s">
        <v>98</v>
      </c>
      <c r="B204" s="626">
        <v>0</v>
      </c>
      <c r="C204" s="627" t="s">
        <v>541</v>
      </c>
      <c r="D204" s="626">
        <f>partmisc</f>
        <v>0</v>
      </c>
      <c r="E204" s="627" t="s">
        <v>542</v>
      </c>
      <c r="F204" s="626">
        <v>5</v>
      </c>
      <c r="G204" s="628">
        <f t="shared" si="32"/>
        <v>0</v>
      </c>
      <c r="H204" s="629"/>
      <c r="I204" s="628">
        <f>$G204*H196*J$12</f>
        <v>0</v>
      </c>
      <c r="K204" s="629"/>
      <c r="L204" s="628">
        <f>$G204*K196*M$12</f>
        <v>0</v>
      </c>
      <c r="M204" s="630"/>
      <c r="N204" s="629"/>
      <c r="O204" s="628">
        <f>$G204*N196*P$12</f>
        <v>0</v>
      </c>
      <c r="P204" s="630"/>
      <c r="Q204" s="629"/>
      <c r="R204" s="628">
        <f>$G204*Q196*S$12</f>
        <v>0</v>
      </c>
      <c r="S204" s="630"/>
      <c r="T204" s="631"/>
      <c r="V204" s="593"/>
    </row>
    <row r="205" spans="1:22">
      <c r="A205" s="625"/>
      <c r="B205" s="628"/>
      <c r="C205" s="628"/>
      <c r="D205" s="628"/>
      <c r="E205" s="628"/>
      <c r="F205" s="628"/>
      <c r="G205" s="628"/>
      <c r="H205" s="629"/>
      <c r="I205" s="628"/>
      <c r="K205" s="629"/>
      <c r="L205" s="628"/>
      <c r="M205" s="630"/>
      <c r="N205" s="629"/>
      <c r="O205" s="628"/>
      <c r="P205" s="630"/>
      <c r="Q205" s="629"/>
      <c r="R205" s="628"/>
      <c r="S205" s="630"/>
      <c r="T205" s="631"/>
      <c r="V205" s="593"/>
    </row>
    <row r="206" spans="1:22">
      <c r="A206" s="633" t="s">
        <v>599</v>
      </c>
      <c r="B206" s="628"/>
      <c r="C206" s="634"/>
      <c r="D206" s="628"/>
      <c r="E206" s="628"/>
      <c r="F206" s="628"/>
      <c r="G206" s="628">
        <f t="shared" ref="G206:G211" si="33">B206*D206*F206</f>
        <v>0</v>
      </c>
      <c r="H206" s="629"/>
      <c r="I206" s="628">
        <f>$G206*H196*J$12</f>
        <v>0</v>
      </c>
      <c r="K206" s="629"/>
      <c r="L206" s="628">
        <f>$G206*K196*M$12</f>
        <v>0</v>
      </c>
      <c r="M206" s="630"/>
      <c r="N206" s="629"/>
      <c r="O206" s="628">
        <f>$G206*N196*P$12</f>
        <v>0</v>
      </c>
      <c r="P206" s="630"/>
      <c r="Q206" s="629"/>
      <c r="R206" s="628">
        <f>$G206*Q196*S$12</f>
        <v>0</v>
      </c>
      <c r="S206" s="630"/>
      <c r="T206" s="631"/>
      <c r="V206" s="593"/>
    </row>
    <row r="207" spans="1:22">
      <c r="A207" s="625" t="s">
        <v>600</v>
      </c>
      <c r="B207" s="626">
        <v>0</v>
      </c>
      <c r="C207" s="627" t="s">
        <v>541</v>
      </c>
      <c r="D207" s="626">
        <f>partground</f>
        <v>9</v>
      </c>
      <c r="E207" s="627" t="s">
        <v>556</v>
      </c>
      <c r="F207" s="628">
        <f>IF(B207=0,0,1)</f>
        <v>0</v>
      </c>
      <c r="G207" s="628">
        <f t="shared" si="33"/>
        <v>0</v>
      </c>
      <c r="H207" s="629"/>
      <c r="I207" s="628">
        <f>$G207*H196*J$12</f>
        <v>0</v>
      </c>
      <c r="K207" s="629"/>
      <c r="L207" s="628">
        <f>$G207*K196*M$12</f>
        <v>0</v>
      </c>
      <c r="M207" s="630"/>
      <c r="N207" s="629"/>
      <c r="O207" s="628">
        <f>$G207*N196*P$12</f>
        <v>0</v>
      </c>
      <c r="P207" s="630"/>
      <c r="Q207" s="629"/>
      <c r="R207" s="628">
        <f>$G207*Q196*S$12</f>
        <v>0</v>
      </c>
      <c r="S207" s="630"/>
      <c r="T207" s="631"/>
      <c r="V207" s="593"/>
    </row>
    <row r="208" spans="1:22">
      <c r="A208" s="625" t="s">
        <v>601</v>
      </c>
      <c r="B208" s="626">
        <v>0</v>
      </c>
      <c r="C208" s="627" t="s">
        <v>541</v>
      </c>
      <c r="D208" s="626">
        <f>partground</f>
        <v>9</v>
      </c>
      <c r="E208" s="627" t="s">
        <v>542</v>
      </c>
      <c r="F208" s="628">
        <f>IF(B208=0,0,1)</f>
        <v>0</v>
      </c>
      <c r="G208" s="628">
        <f t="shared" si="33"/>
        <v>0</v>
      </c>
      <c r="H208" s="629"/>
      <c r="I208" s="628">
        <f>$G208*H196*J$12</f>
        <v>0</v>
      </c>
      <c r="K208" s="629"/>
      <c r="L208" s="628">
        <f>$G208*K196*M$12</f>
        <v>0</v>
      </c>
      <c r="M208" s="630"/>
      <c r="N208" s="629"/>
      <c r="O208" s="628">
        <f>$G208*N196*P$12</f>
        <v>0</v>
      </c>
      <c r="P208" s="630"/>
      <c r="Q208" s="629"/>
      <c r="R208" s="628">
        <f>$G208*Q196*S$12</f>
        <v>0</v>
      </c>
      <c r="S208" s="630"/>
      <c r="T208" s="631"/>
      <c r="V208" s="593"/>
    </row>
    <row r="209" spans="1:22">
      <c r="A209" s="625" t="s">
        <v>48</v>
      </c>
      <c r="B209" s="628">
        <f>B207+B208</f>
        <v>0</v>
      </c>
      <c r="C209" s="627" t="s">
        <v>541</v>
      </c>
      <c r="D209" s="626">
        <f>partlodg</f>
        <v>25</v>
      </c>
      <c r="E209" s="627" t="s">
        <v>542</v>
      </c>
      <c r="F209" s="628">
        <f>IF(B209=0,0,F196)</f>
        <v>0</v>
      </c>
      <c r="G209" s="628">
        <f t="shared" si="33"/>
        <v>0</v>
      </c>
      <c r="H209" s="629"/>
      <c r="I209" s="628">
        <f>$G209*H196*J$12</f>
        <v>0</v>
      </c>
      <c r="K209" s="629"/>
      <c r="L209" s="628">
        <f>$G209*K196*M$12</f>
        <v>0</v>
      </c>
      <c r="M209" s="630"/>
      <c r="N209" s="629"/>
      <c r="O209" s="628">
        <f>$G209*N196*P$12</f>
        <v>0</v>
      </c>
      <c r="P209" s="630"/>
      <c r="Q209" s="629"/>
      <c r="R209" s="628">
        <f>$G209*Q196*S$12</f>
        <v>0</v>
      </c>
      <c r="S209" s="630"/>
      <c r="T209" s="631"/>
      <c r="V209" s="593"/>
    </row>
    <row r="210" spans="1:22">
      <c r="A210" s="625" t="s">
        <v>616</v>
      </c>
      <c r="B210" s="628">
        <f>B209</f>
        <v>0</v>
      </c>
      <c r="C210" s="627" t="s">
        <v>541</v>
      </c>
      <c r="D210" s="626">
        <f>partmeals</f>
        <v>47</v>
      </c>
      <c r="E210" s="627" t="s">
        <v>542</v>
      </c>
      <c r="F210" s="628">
        <f>IF(B210=0,0,F196)</f>
        <v>0</v>
      </c>
      <c r="G210" s="628">
        <f t="shared" si="33"/>
        <v>0</v>
      </c>
      <c r="H210" s="629"/>
      <c r="I210" s="628">
        <f>$G210*H196*J$12</f>
        <v>0</v>
      </c>
      <c r="K210" s="629"/>
      <c r="L210" s="628">
        <f>$G210*K196*M$12</f>
        <v>0</v>
      </c>
      <c r="M210" s="630"/>
      <c r="N210" s="629"/>
      <c r="O210" s="628">
        <f>$G210*N196*P$12</f>
        <v>0</v>
      </c>
      <c r="P210" s="630"/>
      <c r="Q210" s="629"/>
      <c r="R210" s="628">
        <f>$G210*Q196*S$12</f>
        <v>0</v>
      </c>
      <c r="S210" s="630"/>
      <c r="T210" s="631"/>
      <c r="V210" s="593"/>
    </row>
    <row r="211" spans="1:22">
      <c r="A211" s="625" t="s">
        <v>109</v>
      </c>
      <c r="B211" s="628">
        <f>B210</f>
        <v>0</v>
      </c>
      <c r="C211" s="627" t="s">
        <v>541</v>
      </c>
      <c r="D211" s="626">
        <f>parttransp</f>
        <v>4</v>
      </c>
      <c r="E211" s="627" t="s">
        <v>556</v>
      </c>
      <c r="F211" s="626">
        <v>0</v>
      </c>
      <c r="G211" s="628">
        <f t="shared" si="33"/>
        <v>0</v>
      </c>
      <c r="H211" s="629"/>
      <c r="I211" s="628">
        <f>$G211*H196*J$12</f>
        <v>0</v>
      </c>
      <c r="K211" s="629"/>
      <c r="L211" s="628">
        <f>$G211*K196*M$12</f>
        <v>0</v>
      </c>
      <c r="M211" s="630"/>
      <c r="N211" s="629"/>
      <c r="O211" s="628">
        <f>$G211*N196*P$12</f>
        <v>0</v>
      </c>
      <c r="P211" s="630"/>
      <c r="Q211" s="629"/>
      <c r="R211" s="628">
        <f>$G211*Q196*S$12</f>
        <v>0</v>
      </c>
      <c r="S211" s="630"/>
      <c r="T211" s="631"/>
      <c r="V211" s="593"/>
    </row>
    <row r="212" spans="1:22">
      <c r="A212" s="635"/>
      <c r="B212" s="636"/>
      <c r="C212" s="637"/>
      <c r="D212" s="638">
        <v>0</v>
      </c>
      <c r="E212" s="637"/>
      <c r="F212" s="638"/>
      <c r="G212" s="639">
        <f>B212*D212</f>
        <v>0</v>
      </c>
      <c r="H212" s="640"/>
      <c r="I212" s="636">
        <f>$G212*H196*J$12</f>
        <v>0</v>
      </c>
      <c r="J212" s="641"/>
      <c r="K212" s="640"/>
      <c r="L212" s="636">
        <f>$G212*K196*M$12</f>
        <v>0</v>
      </c>
      <c r="M212" s="642"/>
      <c r="N212" s="640"/>
      <c r="O212" s="636">
        <f>$G212*N196*P$12</f>
        <v>0</v>
      </c>
      <c r="P212" s="642"/>
      <c r="Q212" s="640"/>
      <c r="R212" s="636">
        <f>$G212*Q196*S$12</f>
        <v>0</v>
      </c>
      <c r="S212" s="642"/>
      <c r="T212" s="643"/>
      <c r="V212" s="593"/>
    </row>
    <row r="213" spans="1:22">
      <c r="A213" s="644" t="s">
        <v>547</v>
      </c>
      <c r="B213" s="645"/>
      <c r="C213" s="645"/>
      <c r="D213" s="646"/>
      <c r="E213" s="1146">
        <f>SUM(G197:G212)</f>
        <v>0</v>
      </c>
      <c r="F213" s="1147"/>
      <c r="G213" s="647"/>
      <c r="H213" s="648"/>
      <c r="I213" s="648"/>
      <c r="J213" s="621"/>
      <c r="K213" s="648"/>
      <c r="L213" s="648"/>
      <c r="M213" s="621"/>
      <c r="N213" s="648"/>
      <c r="O213" s="648"/>
      <c r="P213" s="621"/>
      <c r="Q213" s="648"/>
      <c r="R213" s="648"/>
      <c r="S213" s="621"/>
      <c r="T213" s="649"/>
      <c r="V213" s="593"/>
    </row>
    <row r="214" spans="1:22" ht="13.5" customHeight="1" thickBot="1">
      <c r="A214" s="588"/>
      <c r="B214" s="650"/>
      <c r="C214" s="650"/>
      <c r="D214" s="650"/>
      <c r="E214" s="650"/>
      <c r="F214" s="650"/>
      <c r="G214" s="612"/>
      <c r="H214" s="612"/>
      <c r="I214" s="612"/>
      <c r="J214" s="612"/>
      <c r="K214" s="612"/>
      <c r="L214" s="612"/>
      <c r="M214" s="612"/>
      <c r="N214" s="612"/>
      <c r="O214" s="612"/>
      <c r="P214" s="612"/>
      <c r="Q214" s="612"/>
      <c r="R214" s="612"/>
      <c r="S214" s="612"/>
      <c r="T214" s="613"/>
      <c r="V214" s="593"/>
    </row>
    <row r="215" spans="1:22" ht="15.6" thickTop="1">
      <c r="A215" s="1159" t="s">
        <v>595</v>
      </c>
      <c r="B215" s="1160"/>
      <c r="C215" s="1160"/>
      <c r="D215" s="1160"/>
      <c r="E215" s="1161"/>
      <c r="F215" s="614"/>
      <c r="G215" s="615"/>
      <c r="H215" s="1151">
        <v>0</v>
      </c>
      <c r="I215" s="1152"/>
      <c r="J215" s="616">
        <f>SUM(I217:I231)</f>
        <v>0</v>
      </c>
      <c r="K215" s="1140">
        <v>0</v>
      </c>
      <c r="L215" s="1141"/>
      <c r="M215" s="617">
        <f>SUM(L217:L231)</f>
        <v>0</v>
      </c>
      <c r="N215" s="1140">
        <v>0</v>
      </c>
      <c r="O215" s="1141"/>
      <c r="P215" s="617">
        <f>SUM(O217:O231)</f>
        <v>0</v>
      </c>
      <c r="Q215" s="1142">
        <v>0</v>
      </c>
      <c r="R215" s="1140"/>
      <c r="S215" s="617">
        <f>SUM(R217:R231)</f>
        <v>0</v>
      </c>
      <c r="T215" s="618">
        <f>SUM(J215,M215,P215,S215,)</f>
        <v>0</v>
      </c>
      <c r="V215" s="593"/>
    </row>
    <row r="216" spans="1:22">
      <c r="A216" s="619" t="s">
        <v>566</v>
      </c>
      <c r="B216" s="620"/>
      <c r="C216" s="620"/>
      <c r="D216" s="620"/>
      <c r="E216" s="621"/>
      <c r="F216" s="620"/>
      <c r="G216" s="620"/>
      <c r="H216" s="622"/>
      <c r="I216" s="620"/>
      <c r="J216" s="621"/>
      <c r="K216" s="622"/>
      <c r="L216" s="620"/>
      <c r="M216" s="623"/>
      <c r="N216" s="622"/>
      <c r="O216" s="620"/>
      <c r="P216" s="623"/>
      <c r="Q216" s="622"/>
      <c r="R216" s="620"/>
      <c r="S216" s="623"/>
      <c r="T216" s="624"/>
      <c r="V216" s="593"/>
    </row>
    <row r="217" spans="1:22">
      <c r="A217" s="625" t="s">
        <v>540</v>
      </c>
      <c r="B217" s="626">
        <v>0</v>
      </c>
      <c r="C217" s="627" t="s">
        <v>541</v>
      </c>
      <c r="D217" s="626">
        <f>parttransp</f>
        <v>4</v>
      </c>
      <c r="E217" s="627" t="s">
        <v>542</v>
      </c>
      <c r="F217" s="628">
        <f>IF(B217=0,0,F215)</f>
        <v>0</v>
      </c>
      <c r="G217" s="628">
        <f t="shared" ref="G217:G223" si="34">B217*D217*F217</f>
        <v>0</v>
      </c>
      <c r="H217" s="629"/>
      <c r="I217" s="628">
        <f>$G217*H215*J$12</f>
        <v>0</v>
      </c>
      <c r="K217" s="629"/>
      <c r="L217" s="628">
        <f>$G217*K215*M$12</f>
        <v>0</v>
      </c>
      <c r="M217" s="630"/>
      <c r="N217" s="629"/>
      <c r="O217" s="628">
        <f>$G217*N215*P$12</f>
        <v>0</v>
      </c>
      <c r="P217" s="630"/>
      <c r="Q217" s="629"/>
      <c r="R217" s="628">
        <f>$G217*Q215*S$12</f>
        <v>0</v>
      </c>
      <c r="S217" s="630"/>
      <c r="T217" s="631"/>
      <c r="V217" s="593"/>
    </row>
    <row r="218" spans="1:22">
      <c r="A218" s="625" t="s">
        <v>543</v>
      </c>
      <c r="B218" s="626">
        <v>0</v>
      </c>
      <c r="C218" s="627" t="s">
        <v>541</v>
      </c>
      <c r="D218" s="626">
        <f>coffee+lunch</f>
        <v>16</v>
      </c>
      <c r="E218" s="627" t="s">
        <v>542</v>
      </c>
      <c r="F218" s="628">
        <f>IF(B218=0,0,F215)</f>
        <v>0</v>
      </c>
      <c r="G218" s="628">
        <f t="shared" si="34"/>
        <v>0</v>
      </c>
      <c r="H218" s="629"/>
      <c r="I218" s="628">
        <f>$G218*H215*J$12</f>
        <v>0</v>
      </c>
      <c r="K218" s="629"/>
      <c r="L218" s="628">
        <f>$G218*K215*M$12</f>
        <v>0</v>
      </c>
      <c r="M218" s="630"/>
      <c r="N218" s="629"/>
      <c r="O218" s="628">
        <f>$G218*N215*P$12</f>
        <v>0</v>
      </c>
      <c r="P218" s="630"/>
      <c r="Q218" s="629"/>
      <c r="R218" s="628">
        <f>$G218*Q215*S$12</f>
        <v>0</v>
      </c>
      <c r="S218" s="630"/>
      <c r="T218" s="631"/>
      <c r="V218" s="593"/>
    </row>
    <row r="219" spans="1:22">
      <c r="A219" s="625" t="s">
        <v>122</v>
      </c>
      <c r="B219" s="626">
        <v>0</v>
      </c>
      <c r="C219" s="627" t="s">
        <v>549</v>
      </c>
      <c r="D219" s="626">
        <f>mats</f>
        <v>0</v>
      </c>
      <c r="E219" s="632" t="str">
        <f>C219</f>
        <v>workshop</v>
      </c>
      <c r="F219" s="628">
        <f>IF(B219=0,0,1)</f>
        <v>0</v>
      </c>
      <c r="G219" s="628">
        <f t="shared" si="34"/>
        <v>0</v>
      </c>
      <c r="H219" s="629"/>
      <c r="I219" s="628">
        <f>$G219*H215*J$12</f>
        <v>0</v>
      </c>
      <c r="K219" s="629"/>
      <c r="L219" s="628">
        <f>$G219*K215*M$12</f>
        <v>0</v>
      </c>
      <c r="M219" s="630"/>
      <c r="N219" s="629"/>
      <c r="O219" s="628">
        <f>$G219*N215*P$12</f>
        <v>0</v>
      </c>
      <c r="P219" s="630"/>
      <c r="Q219" s="629"/>
      <c r="R219" s="628">
        <f>$G219*Q215*S$12</f>
        <v>0</v>
      </c>
      <c r="S219" s="630"/>
      <c r="T219" s="631"/>
      <c r="V219" s="593"/>
    </row>
    <row r="220" spans="1:22">
      <c r="A220" s="625" t="s">
        <v>544</v>
      </c>
      <c r="B220" s="626">
        <v>0</v>
      </c>
      <c r="C220" s="627" t="s">
        <v>545</v>
      </c>
      <c r="D220" s="626">
        <f>print</f>
        <v>50</v>
      </c>
      <c r="E220" s="632" t="str">
        <f>C220</f>
        <v>activity</v>
      </c>
      <c r="F220" s="628">
        <f>IF(B220=0,0,1)</f>
        <v>0</v>
      </c>
      <c r="G220" s="628">
        <f t="shared" si="34"/>
        <v>0</v>
      </c>
      <c r="H220" s="629"/>
      <c r="I220" s="628">
        <f>$G220*H215*J$12</f>
        <v>0</v>
      </c>
      <c r="K220" s="629"/>
      <c r="L220" s="628">
        <f>$G220*K215*M$12</f>
        <v>0</v>
      </c>
      <c r="M220" s="630"/>
      <c r="N220" s="629"/>
      <c r="O220" s="628">
        <f>$G220*N215*P$12</f>
        <v>0</v>
      </c>
      <c r="P220" s="630"/>
      <c r="Q220" s="629"/>
      <c r="R220" s="628">
        <f>$G220*Q215*S$12</f>
        <v>0</v>
      </c>
      <c r="S220" s="630"/>
      <c r="T220" s="631"/>
      <c r="V220" s="593"/>
    </row>
    <row r="221" spans="1:22">
      <c r="A221" s="625" t="s">
        <v>596</v>
      </c>
      <c r="B221" s="626">
        <v>0</v>
      </c>
      <c r="C221" s="627" t="s">
        <v>560</v>
      </c>
      <c r="D221" s="626">
        <f>avrent</f>
        <v>0</v>
      </c>
      <c r="E221" s="627" t="s">
        <v>542</v>
      </c>
      <c r="F221" s="628">
        <f>IF(B221=0,0,F215)</f>
        <v>0</v>
      </c>
      <c r="G221" s="628">
        <f t="shared" si="34"/>
        <v>0</v>
      </c>
      <c r="H221" s="629"/>
      <c r="I221" s="628">
        <f>$G221*H215*J$12</f>
        <v>0</v>
      </c>
      <c r="K221" s="629"/>
      <c r="L221" s="628">
        <f>$G221*K215*M$12</f>
        <v>0</v>
      </c>
      <c r="M221" s="630"/>
      <c r="N221" s="629"/>
      <c r="O221" s="628">
        <f>$G221*N215*P$12</f>
        <v>0</v>
      </c>
      <c r="P221" s="630"/>
      <c r="Q221" s="629"/>
      <c r="R221" s="628">
        <f>$G221*Q215*S$12</f>
        <v>0</v>
      </c>
      <c r="S221" s="630"/>
      <c r="T221" s="631"/>
      <c r="V221" s="593"/>
    </row>
    <row r="222" spans="1:22">
      <c r="A222" s="625" t="s">
        <v>597</v>
      </c>
      <c r="B222" s="626">
        <v>0</v>
      </c>
      <c r="C222" s="627" t="s">
        <v>598</v>
      </c>
      <c r="D222" s="626">
        <f>roomrent</f>
        <v>0</v>
      </c>
      <c r="E222" s="627" t="s">
        <v>542</v>
      </c>
      <c r="F222" s="628">
        <f>IF(B222=0,0,F215)</f>
        <v>0</v>
      </c>
      <c r="G222" s="628">
        <f t="shared" si="34"/>
        <v>0</v>
      </c>
      <c r="H222" s="629"/>
      <c r="I222" s="628">
        <f>$G222*H215*J$12</f>
        <v>0</v>
      </c>
      <c r="K222" s="629"/>
      <c r="L222" s="628">
        <f>$G222*K215*M$12</f>
        <v>0</v>
      </c>
      <c r="M222" s="630"/>
      <c r="N222" s="629"/>
      <c r="O222" s="628">
        <f>$G222*N215*P$12</f>
        <v>0</v>
      </c>
      <c r="P222" s="630"/>
      <c r="Q222" s="629"/>
      <c r="R222" s="628">
        <f>$G222*Q215*S$12</f>
        <v>0</v>
      </c>
      <c r="S222" s="630"/>
      <c r="T222" s="631"/>
      <c r="V222" s="593"/>
    </row>
    <row r="223" spans="1:22">
      <c r="A223" s="625" t="s">
        <v>98</v>
      </c>
      <c r="B223" s="626">
        <v>0</v>
      </c>
      <c r="C223" s="627" t="s">
        <v>541</v>
      </c>
      <c r="D223" s="626">
        <f>partmisc</f>
        <v>0</v>
      </c>
      <c r="E223" s="627" t="s">
        <v>542</v>
      </c>
      <c r="F223" s="626">
        <v>5</v>
      </c>
      <c r="G223" s="628">
        <f t="shared" si="34"/>
        <v>0</v>
      </c>
      <c r="H223" s="629"/>
      <c r="I223" s="628">
        <f>$G223*H215*J$12</f>
        <v>0</v>
      </c>
      <c r="K223" s="629"/>
      <c r="L223" s="628">
        <f>$G223*K215*M$12</f>
        <v>0</v>
      </c>
      <c r="M223" s="630"/>
      <c r="N223" s="629"/>
      <c r="O223" s="628">
        <f>$G223*N215*P$12</f>
        <v>0</v>
      </c>
      <c r="P223" s="630"/>
      <c r="Q223" s="629"/>
      <c r="R223" s="628">
        <f>$G223*Q215*S$12</f>
        <v>0</v>
      </c>
      <c r="S223" s="630"/>
      <c r="T223" s="631"/>
      <c r="V223" s="593"/>
    </row>
    <row r="224" spans="1:22">
      <c r="A224" s="625"/>
      <c r="B224" s="628"/>
      <c r="C224" s="628"/>
      <c r="D224" s="628"/>
      <c r="E224" s="628"/>
      <c r="F224" s="628"/>
      <c r="G224" s="628"/>
      <c r="H224" s="629"/>
      <c r="I224" s="628"/>
      <c r="K224" s="629"/>
      <c r="L224" s="628"/>
      <c r="M224" s="630"/>
      <c r="N224" s="629"/>
      <c r="O224" s="628"/>
      <c r="P224" s="630"/>
      <c r="Q224" s="629"/>
      <c r="R224" s="628"/>
      <c r="S224" s="630"/>
      <c r="T224" s="631"/>
      <c r="V224" s="593"/>
    </row>
    <row r="225" spans="1:22">
      <c r="A225" s="633" t="s">
        <v>599</v>
      </c>
      <c r="B225" s="628"/>
      <c r="C225" s="634"/>
      <c r="D225" s="628"/>
      <c r="E225" s="628"/>
      <c r="F225" s="628"/>
      <c r="G225" s="628">
        <f t="shared" ref="G225:G230" si="35">B225*D225*F225</f>
        <v>0</v>
      </c>
      <c r="H225" s="629"/>
      <c r="I225" s="628">
        <f>$G225*H215*J$12</f>
        <v>0</v>
      </c>
      <c r="K225" s="629"/>
      <c r="L225" s="628">
        <f>$G225*K215*M$12</f>
        <v>0</v>
      </c>
      <c r="M225" s="630"/>
      <c r="N225" s="629"/>
      <c r="O225" s="628">
        <f>$G225*N215*P$12</f>
        <v>0</v>
      </c>
      <c r="P225" s="630"/>
      <c r="Q225" s="629"/>
      <c r="R225" s="628">
        <f>$G225*Q215*S$12</f>
        <v>0</v>
      </c>
      <c r="S225" s="630"/>
      <c r="T225" s="631"/>
      <c r="V225" s="593"/>
    </row>
    <row r="226" spans="1:22">
      <c r="A226" s="625" t="s">
        <v>600</v>
      </c>
      <c r="B226" s="626">
        <v>0</v>
      </c>
      <c r="C226" s="627" t="s">
        <v>541</v>
      </c>
      <c r="D226" s="626">
        <f>partground</f>
        <v>9</v>
      </c>
      <c r="E226" s="627" t="s">
        <v>556</v>
      </c>
      <c r="F226" s="628">
        <f>IF(B226=0,0,1)</f>
        <v>0</v>
      </c>
      <c r="G226" s="628">
        <f t="shared" si="35"/>
        <v>0</v>
      </c>
      <c r="H226" s="629"/>
      <c r="I226" s="628">
        <f>$G226*H215*J$12</f>
        <v>0</v>
      </c>
      <c r="K226" s="629"/>
      <c r="L226" s="628">
        <f>$G226*K215*M$12</f>
        <v>0</v>
      </c>
      <c r="M226" s="630"/>
      <c r="N226" s="629"/>
      <c r="O226" s="628">
        <f>$G226*N215*P$12</f>
        <v>0</v>
      </c>
      <c r="P226" s="630"/>
      <c r="Q226" s="629"/>
      <c r="R226" s="628">
        <f>$G226*Q215*S$12</f>
        <v>0</v>
      </c>
      <c r="S226" s="630"/>
      <c r="T226" s="631"/>
      <c r="V226" s="593"/>
    </row>
    <row r="227" spans="1:22">
      <c r="A227" s="625" t="s">
        <v>601</v>
      </c>
      <c r="B227" s="626">
        <v>0</v>
      </c>
      <c r="C227" s="627" t="s">
        <v>541</v>
      </c>
      <c r="D227" s="626">
        <f>partground</f>
        <v>9</v>
      </c>
      <c r="E227" s="627" t="s">
        <v>542</v>
      </c>
      <c r="F227" s="628">
        <f>IF(B227=0,0,1)</f>
        <v>0</v>
      </c>
      <c r="G227" s="628">
        <f t="shared" si="35"/>
        <v>0</v>
      </c>
      <c r="H227" s="629"/>
      <c r="I227" s="628">
        <f>$G227*H215*J$12</f>
        <v>0</v>
      </c>
      <c r="K227" s="629"/>
      <c r="L227" s="628">
        <f>$G227*K215*M$12</f>
        <v>0</v>
      </c>
      <c r="M227" s="630"/>
      <c r="N227" s="629"/>
      <c r="O227" s="628">
        <f>$G227*N215*P$12</f>
        <v>0</v>
      </c>
      <c r="P227" s="630"/>
      <c r="Q227" s="629"/>
      <c r="R227" s="628">
        <f>$G227*Q215*S$12</f>
        <v>0</v>
      </c>
      <c r="S227" s="630"/>
      <c r="T227" s="631"/>
      <c r="V227" s="593"/>
    </row>
    <row r="228" spans="1:22">
      <c r="A228" s="625" t="s">
        <v>48</v>
      </c>
      <c r="B228" s="628">
        <f>B226+B227</f>
        <v>0</v>
      </c>
      <c r="C228" s="627" t="s">
        <v>541</v>
      </c>
      <c r="D228" s="626">
        <f>partlodg</f>
        <v>25</v>
      </c>
      <c r="E228" s="627" t="s">
        <v>542</v>
      </c>
      <c r="F228" s="628">
        <f>IF(B228=0,0,F215)</f>
        <v>0</v>
      </c>
      <c r="G228" s="628">
        <f t="shared" si="35"/>
        <v>0</v>
      </c>
      <c r="H228" s="629"/>
      <c r="I228" s="628">
        <f>$G228*H215*J$12</f>
        <v>0</v>
      </c>
      <c r="K228" s="629"/>
      <c r="L228" s="628">
        <f>$G228*K215*M$12</f>
        <v>0</v>
      </c>
      <c r="M228" s="630"/>
      <c r="N228" s="629"/>
      <c r="O228" s="628">
        <f>$G228*N215*P$12</f>
        <v>0</v>
      </c>
      <c r="P228" s="630"/>
      <c r="Q228" s="629"/>
      <c r="R228" s="628">
        <f>$G228*Q215*S$12</f>
        <v>0</v>
      </c>
      <c r="S228" s="630"/>
      <c r="T228" s="631"/>
      <c r="V228" s="593"/>
    </row>
    <row r="229" spans="1:22">
      <c r="A229" s="625" t="s">
        <v>616</v>
      </c>
      <c r="B229" s="628">
        <f>B228</f>
        <v>0</v>
      </c>
      <c r="C229" s="627" t="s">
        <v>541</v>
      </c>
      <c r="D229" s="626">
        <f>partmeals</f>
        <v>47</v>
      </c>
      <c r="E229" s="627" t="s">
        <v>542</v>
      </c>
      <c r="F229" s="628">
        <f>IF(B229=0,0,F215)</f>
        <v>0</v>
      </c>
      <c r="G229" s="628">
        <f t="shared" si="35"/>
        <v>0</v>
      </c>
      <c r="H229" s="629"/>
      <c r="I229" s="628">
        <f>$G229*H215*J$12</f>
        <v>0</v>
      </c>
      <c r="K229" s="629"/>
      <c r="L229" s="628">
        <f>$G229*K215*M$12</f>
        <v>0</v>
      </c>
      <c r="M229" s="630"/>
      <c r="N229" s="629"/>
      <c r="O229" s="628">
        <f>$G229*N215*P$12</f>
        <v>0</v>
      </c>
      <c r="P229" s="630"/>
      <c r="Q229" s="629"/>
      <c r="R229" s="628">
        <f>$G229*Q215*S$12</f>
        <v>0</v>
      </c>
      <c r="S229" s="630"/>
      <c r="T229" s="631"/>
      <c r="V229" s="593"/>
    </row>
    <row r="230" spans="1:22">
      <c r="A230" s="625" t="s">
        <v>109</v>
      </c>
      <c r="B230" s="628">
        <f>B229</f>
        <v>0</v>
      </c>
      <c r="C230" s="627" t="s">
        <v>541</v>
      </c>
      <c r="D230" s="626">
        <f>parttransp</f>
        <v>4</v>
      </c>
      <c r="E230" s="627" t="s">
        <v>556</v>
      </c>
      <c r="F230" s="626">
        <v>0</v>
      </c>
      <c r="G230" s="628">
        <f t="shared" si="35"/>
        <v>0</v>
      </c>
      <c r="H230" s="629"/>
      <c r="I230" s="628">
        <f>$G230*H215*J$12</f>
        <v>0</v>
      </c>
      <c r="K230" s="629"/>
      <c r="L230" s="628">
        <f>$G230*K215*M$12</f>
        <v>0</v>
      </c>
      <c r="M230" s="630"/>
      <c r="N230" s="629"/>
      <c r="O230" s="628">
        <f>$G230*N215*P$12</f>
        <v>0</v>
      </c>
      <c r="P230" s="630"/>
      <c r="Q230" s="629"/>
      <c r="R230" s="628">
        <f>$G230*Q215*S$12</f>
        <v>0</v>
      </c>
      <c r="S230" s="630"/>
      <c r="T230" s="631"/>
      <c r="V230" s="593"/>
    </row>
    <row r="231" spans="1:22">
      <c r="A231" s="635"/>
      <c r="B231" s="636"/>
      <c r="C231" s="637"/>
      <c r="D231" s="638">
        <v>0</v>
      </c>
      <c r="E231" s="637"/>
      <c r="F231" s="638"/>
      <c r="G231" s="639">
        <f>B231*D231</f>
        <v>0</v>
      </c>
      <c r="H231" s="640"/>
      <c r="I231" s="636">
        <f>$G231*H215*J$12</f>
        <v>0</v>
      </c>
      <c r="J231" s="641"/>
      <c r="K231" s="640"/>
      <c r="L231" s="636">
        <f>$G231*K215*M$12</f>
        <v>0</v>
      </c>
      <c r="M231" s="642"/>
      <c r="N231" s="640"/>
      <c r="O231" s="636">
        <f>$G231*N215*P$12</f>
        <v>0</v>
      </c>
      <c r="P231" s="642"/>
      <c r="Q231" s="640"/>
      <c r="R231" s="636">
        <f>$G231*Q215*S$12</f>
        <v>0</v>
      </c>
      <c r="S231" s="642"/>
      <c r="T231" s="643"/>
      <c r="V231" s="593"/>
    </row>
    <row r="232" spans="1:22">
      <c r="A232" s="644" t="s">
        <v>547</v>
      </c>
      <c r="B232" s="645"/>
      <c r="C232" s="645"/>
      <c r="D232" s="646"/>
      <c r="E232" s="1146">
        <f>SUM(G216:G231)</f>
        <v>0</v>
      </c>
      <c r="F232" s="1147"/>
      <c r="G232" s="647"/>
      <c r="H232" s="648"/>
      <c r="I232" s="648"/>
      <c r="J232" s="621"/>
      <c r="K232" s="648"/>
      <c r="L232" s="648"/>
      <c r="M232" s="621"/>
      <c r="N232" s="648"/>
      <c r="O232" s="648"/>
      <c r="P232" s="621"/>
      <c r="Q232" s="648"/>
      <c r="R232" s="648"/>
      <c r="S232" s="621"/>
      <c r="T232" s="649"/>
      <c r="V232" s="593"/>
    </row>
    <row r="233" spans="1:22" ht="13.5" customHeight="1" thickBot="1">
      <c r="A233" s="588"/>
      <c r="B233" s="650"/>
      <c r="C233" s="650"/>
      <c r="D233" s="650"/>
      <c r="E233" s="650"/>
      <c r="F233" s="650"/>
      <c r="G233" s="612"/>
      <c r="H233" s="612"/>
      <c r="I233" s="612"/>
      <c r="J233" s="612"/>
      <c r="K233" s="612"/>
      <c r="L233" s="612"/>
      <c r="M233" s="612"/>
      <c r="N233" s="612"/>
      <c r="O233" s="612"/>
      <c r="P233" s="612"/>
      <c r="Q233" s="612"/>
      <c r="R233" s="612"/>
      <c r="S233" s="612"/>
      <c r="T233" s="613"/>
      <c r="V233" s="593"/>
    </row>
    <row r="234" spans="1:22" ht="15.6" thickTop="1">
      <c r="A234" s="1159" t="s">
        <v>595</v>
      </c>
      <c r="B234" s="1160"/>
      <c r="C234" s="1160"/>
      <c r="D234" s="1160"/>
      <c r="E234" s="1161"/>
      <c r="F234" s="614"/>
      <c r="G234" s="615"/>
      <c r="H234" s="1151">
        <v>0</v>
      </c>
      <c r="I234" s="1152"/>
      <c r="J234" s="616">
        <f>SUM(I236:I250)</f>
        <v>0</v>
      </c>
      <c r="K234" s="1140">
        <v>0</v>
      </c>
      <c r="L234" s="1141"/>
      <c r="M234" s="617">
        <f>SUM(L236:L250)</f>
        <v>0</v>
      </c>
      <c r="N234" s="1140">
        <v>0</v>
      </c>
      <c r="O234" s="1141"/>
      <c r="P234" s="617">
        <f>SUM(O236:O250)</f>
        <v>0</v>
      </c>
      <c r="Q234" s="1142">
        <v>0</v>
      </c>
      <c r="R234" s="1140"/>
      <c r="S234" s="617">
        <f>SUM(R236:R250)</f>
        <v>0</v>
      </c>
      <c r="T234" s="618">
        <f>SUM(J234,M234,P234,S234,)</f>
        <v>0</v>
      </c>
      <c r="V234" s="593"/>
    </row>
    <row r="235" spans="1:22">
      <c r="A235" s="619" t="s">
        <v>566</v>
      </c>
      <c r="B235" s="620"/>
      <c r="C235" s="620"/>
      <c r="D235" s="620"/>
      <c r="E235" s="621"/>
      <c r="F235" s="620"/>
      <c r="G235" s="620"/>
      <c r="H235" s="622"/>
      <c r="I235" s="620"/>
      <c r="J235" s="621"/>
      <c r="K235" s="622"/>
      <c r="L235" s="620"/>
      <c r="M235" s="623"/>
      <c r="N235" s="622"/>
      <c r="O235" s="620"/>
      <c r="P235" s="623"/>
      <c r="Q235" s="622"/>
      <c r="R235" s="620"/>
      <c r="S235" s="623"/>
      <c r="T235" s="624"/>
      <c r="V235" s="593"/>
    </row>
    <row r="236" spans="1:22">
      <c r="A236" s="625" t="s">
        <v>540</v>
      </c>
      <c r="B236" s="626">
        <v>0</v>
      </c>
      <c r="C236" s="627" t="s">
        <v>541</v>
      </c>
      <c r="D236" s="626">
        <f>parttransp</f>
        <v>4</v>
      </c>
      <c r="E236" s="627" t="s">
        <v>542</v>
      </c>
      <c r="F236" s="628">
        <f>IF(B236=0,0,F234)</f>
        <v>0</v>
      </c>
      <c r="G236" s="628">
        <f t="shared" ref="G236:G242" si="36">B236*D236*F236</f>
        <v>0</v>
      </c>
      <c r="H236" s="629"/>
      <c r="I236" s="628">
        <f>$G236*H234*J$12</f>
        <v>0</v>
      </c>
      <c r="K236" s="629"/>
      <c r="L236" s="628">
        <f>$G236*K234*M$12</f>
        <v>0</v>
      </c>
      <c r="M236" s="630"/>
      <c r="N236" s="629"/>
      <c r="O236" s="628">
        <f>$G236*N234*P$12</f>
        <v>0</v>
      </c>
      <c r="P236" s="630"/>
      <c r="Q236" s="629"/>
      <c r="R236" s="628">
        <f>$G236*Q234*S$12</f>
        <v>0</v>
      </c>
      <c r="S236" s="630"/>
      <c r="T236" s="631"/>
      <c r="V236" s="593"/>
    </row>
    <row r="237" spans="1:22">
      <c r="A237" s="625" t="s">
        <v>543</v>
      </c>
      <c r="B237" s="626">
        <v>0</v>
      </c>
      <c r="C237" s="627" t="s">
        <v>541</v>
      </c>
      <c r="D237" s="626">
        <f>coffee+lunch</f>
        <v>16</v>
      </c>
      <c r="E237" s="627" t="s">
        <v>542</v>
      </c>
      <c r="F237" s="628">
        <f>IF(B237=0,0,F234)</f>
        <v>0</v>
      </c>
      <c r="G237" s="628">
        <f t="shared" si="36"/>
        <v>0</v>
      </c>
      <c r="H237" s="629"/>
      <c r="I237" s="628">
        <f>$G237*H234*J$12</f>
        <v>0</v>
      </c>
      <c r="K237" s="629"/>
      <c r="L237" s="628">
        <f>$G237*K234*M$12</f>
        <v>0</v>
      </c>
      <c r="M237" s="630"/>
      <c r="N237" s="629"/>
      <c r="O237" s="628">
        <f>$G237*N234*P$12</f>
        <v>0</v>
      </c>
      <c r="P237" s="630"/>
      <c r="Q237" s="629"/>
      <c r="R237" s="628">
        <f>$G237*Q234*S$12</f>
        <v>0</v>
      </c>
      <c r="S237" s="630"/>
      <c r="T237" s="631"/>
      <c r="V237" s="593"/>
    </row>
    <row r="238" spans="1:22">
      <c r="A238" s="625" t="s">
        <v>122</v>
      </c>
      <c r="B238" s="626">
        <v>0</v>
      </c>
      <c r="C238" s="627" t="s">
        <v>549</v>
      </c>
      <c r="D238" s="626">
        <f>mats</f>
        <v>0</v>
      </c>
      <c r="E238" s="632" t="str">
        <f>C238</f>
        <v>workshop</v>
      </c>
      <c r="F238" s="628">
        <f>IF(B238=0,0,1)</f>
        <v>0</v>
      </c>
      <c r="G238" s="628">
        <f t="shared" si="36"/>
        <v>0</v>
      </c>
      <c r="H238" s="629"/>
      <c r="I238" s="628">
        <f>$G238*H234*J$12</f>
        <v>0</v>
      </c>
      <c r="K238" s="629"/>
      <c r="L238" s="628">
        <f>$G238*K234*M$12</f>
        <v>0</v>
      </c>
      <c r="M238" s="630"/>
      <c r="N238" s="629"/>
      <c r="O238" s="628">
        <f>$G238*N234*P$12</f>
        <v>0</v>
      </c>
      <c r="P238" s="630"/>
      <c r="Q238" s="629"/>
      <c r="R238" s="628">
        <f>$G238*Q234*S$12</f>
        <v>0</v>
      </c>
      <c r="S238" s="630"/>
      <c r="T238" s="631"/>
      <c r="V238" s="593"/>
    </row>
    <row r="239" spans="1:22">
      <c r="A239" s="625" t="s">
        <v>544</v>
      </c>
      <c r="B239" s="626">
        <v>0</v>
      </c>
      <c r="C239" s="627" t="s">
        <v>545</v>
      </c>
      <c r="D239" s="626">
        <f>print</f>
        <v>50</v>
      </c>
      <c r="E239" s="632" t="str">
        <f>C239</f>
        <v>activity</v>
      </c>
      <c r="F239" s="628">
        <f>IF(B239=0,0,1)</f>
        <v>0</v>
      </c>
      <c r="G239" s="628">
        <f t="shared" si="36"/>
        <v>0</v>
      </c>
      <c r="H239" s="629"/>
      <c r="I239" s="628">
        <f>$G239*H234*J$12</f>
        <v>0</v>
      </c>
      <c r="K239" s="629"/>
      <c r="L239" s="628">
        <f>$G239*K234*M$12</f>
        <v>0</v>
      </c>
      <c r="M239" s="630"/>
      <c r="N239" s="629"/>
      <c r="O239" s="628">
        <f>$G239*N234*P$12</f>
        <v>0</v>
      </c>
      <c r="P239" s="630"/>
      <c r="Q239" s="629"/>
      <c r="R239" s="628">
        <f>$G239*Q234*S$12</f>
        <v>0</v>
      </c>
      <c r="S239" s="630"/>
      <c r="T239" s="631"/>
      <c r="V239" s="593"/>
    </row>
    <row r="240" spans="1:22">
      <c r="A240" s="625" t="s">
        <v>596</v>
      </c>
      <c r="B240" s="626">
        <v>0</v>
      </c>
      <c r="C240" s="627" t="s">
        <v>560</v>
      </c>
      <c r="D240" s="626">
        <f>avrent</f>
        <v>0</v>
      </c>
      <c r="E240" s="627" t="s">
        <v>542</v>
      </c>
      <c r="F240" s="628">
        <f>IF(B240=0,0,F234)</f>
        <v>0</v>
      </c>
      <c r="G240" s="628">
        <f t="shared" si="36"/>
        <v>0</v>
      </c>
      <c r="H240" s="629"/>
      <c r="I240" s="628">
        <f>$G240*H234*J$12</f>
        <v>0</v>
      </c>
      <c r="K240" s="629"/>
      <c r="L240" s="628">
        <f>$G240*K234*M$12</f>
        <v>0</v>
      </c>
      <c r="M240" s="630"/>
      <c r="N240" s="629"/>
      <c r="O240" s="628">
        <f>$G240*N234*P$12</f>
        <v>0</v>
      </c>
      <c r="P240" s="630"/>
      <c r="Q240" s="629"/>
      <c r="R240" s="628">
        <f>$G240*Q234*S$12</f>
        <v>0</v>
      </c>
      <c r="S240" s="630"/>
      <c r="T240" s="631"/>
      <c r="V240" s="593"/>
    </row>
    <row r="241" spans="1:22">
      <c r="A241" s="625" t="s">
        <v>597</v>
      </c>
      <c r="B241" s="626">
        <v>0</v>
      </c>
      <c r="C241" s="627" t="s">
        <v>598</v>
      </c>
      <c r="D241" s="626">
        <f>roomrent</f>
        <v>0</v>
      </c>
      <c r="E241" s="627" t="s">
        <v>542</v>
      </c>
      <c r="F241" s="628">
        <f>IF(B241=0,0,F234)</f>
        <v>0</v>
      </c>
      <c r="G241" s="628">
        <f t="shared" si="36"/>
        <v>0</v>
      </c>
      <c r="H241" s="629"/>
      <c r="I241" s="628">
        <f>$G241*H234*J$12</f>
        <v>0</v>
      </c>
      <c r="K241" s="629"/>
      <c r="L241" s="628">
        <f>$G241*K234*M$12</f>
        <v>0</v>
      </c>
      <c r="M241" s="630"/>
      <c r="N241" s="629"/>
      <c r="O241" s="628">
        <f>$G241*N234*P$12</f>
        <v>0</v>
      </c>
      <c r="P241" s="630"/>
      <c r="Q241" s="629"/>
      <c r="R241" s="628">
        <f>$G241*Q234*S$12</f>
        <v>0</v>
      </c>
      <c r="S241" s="630"/>
      <c r="T241" s="631"/>
      <c r="V241" s="593"/>
    </row>
    <row r="242" spans="1:22">
      <c r="A242" s="625" t="s">
        <v>98</v>
      </c>
      <c r="B242" s="626">
        <v>0</v>
      </c>
      <c r="C242" s="627" t="s">
        <v>541</v>
      </c>
      <c r="D242" s="626">
        <f>partmisc</f>
        <v>0</v>
      </c>
      <c r="E242" s="627" t="s">
        <v>542</v>
      </c>
      <c r="F242" s="626">
        <v>5</v>
      </c>
      <c r="G242" s="628">
        <f t="shared" si="36"/>
        <v>0</v>
      </c>
      <c r="H242" s="629"/>
      <c r="I242" s="628">
        <f>$G242*H234*J$12</f>
        <v>0</v>
      </c>
      <c r="K242" s="629"/>
      <c r="L242" s="628">
        <f>$G242*K234*M$12</f>
        <v>0</v>
      </c>
      <c r="M242" s="630"/>
      <c r="N242" s="629"/>
      <c r="O242" s="628">
        <f>$G242*N234*P$12</f>
        <v>0</v>
      </c>
      <c r="P242" s="630"/>
      <c r="Q242" s="629"/>
      <c r="R242" s="628">
        <f>$G242*Q234*S$12</f>
        <v>0</v>
      </c>
      <c r="S242" s="630"/>
      <c r="T242" s="631"/>
      <c r="V242" s="593"/>
    </row>
    <row r="243" spans="1:22">
      <c r="A243" s="625"/>
      <c r="B243" s="628"/>
      <c r="C243" s="628"/>
      <c r="D243" s="628"/>
      <c r="E243" s="628"/>
      <c r="F243" s="628"/>
      <c r="G243" s="628"/>
      <c r="H243" s="629"/>
      <c r="I243" s="628"/>
      <c r="K243" s="629"/>
      <c r="L243" s="628"/>
      <c r="M243" s="630"/>
      <c r="N243" s="629"/>
      <c r="O243" s="628"/>
      <c r="P243" s="630"/>
      <c r="Q243" s="629"/>
      <c r="R243" s="628"/>
      <c r="S243" s="630"/>
      <c r="T243" s="631"/>
      <c r="V243" s="593"/>
    </row>
    <row r="244" spans="1:22">
      <c r="A244" s="633" t="s">
        <v>599</v>
      </c>
      <c r="B244" s="628"/>
      <c r="C244" s="634"/>
      <c r="D244" s="628"/>
      <c r="E244" s="628"/>
      <c r="F244" s="628"/>
      <c r="G244" s="628">
        <f t="shared" ref="G244:G249" si="37">B244*D244*F244</f>
        <v>0</v>
      </c>
      <c r="H244" s="629"/>
      <c r="I244" s="628">
        <f>$G244*H234*J$12</f>
        <v>0</v>
      </c>
      <c r="K244" s="629"/>
      <c r="L244" s="628">
        <f>$G244*K234*M$12</f>
        <v>0</v>
      </c>
      <c r="M244" s="630"/>
      <c r="N244" s="629"/>
      <c r="O244" s="628">
        <f>$G244*N234*P$12</f>
        <v>0</v>
      </c>
      <c r="P244" s="630"/>
      <c r="Q244" s="629"/>
      <c r="R244" s="628">
        <f>$G244*Q234*S$12</f>
        <v>0</v>
      </c>
      <c r="S244" s="630"/>
      <c r="T244" s="631"/>
      <c r="V244" s="593"/>
    </row>
    <row r="245" spans="1:22">
      <c r="A245" s="625" t="s">
        <v>600</v>
      </c>
      <c r="B245" s="626">
        <v>0</v>
      </c>
      <c r="C245" s="627" t="s">
        <v>541</v>
      </c>
      <c r="D245" s="626">
        <f>partground</f>
        <v>9</v>
      </c>
      <c r="E245" s="627" t="s">
        <v>556</v>
      </c>
      <c r="F245" s="628">
        <f>IF(B245=0,0,1)</f>
        <v>0</v>
      </c>
      <c r="G245" s="628">
        <f t="shared" si="37"/>
        <v>0</v>
      </c>
      <c r="H245" s="629"/>
      <c r="I245" s="628">
        <f>$G245*H234*J$12</f>
        <v>0</v>
      </c>
      <c r="K245" s="629"/>
      <c r="L245" s="628">
        <f>$G245*K234*M$12</f>
        <v>0</v>
      </c>
      <c r="M245" s="630"/>
      <c r="N245" s="629"/>
      <c r="O245" s="628">
        <f>$G245*N234*P$12</f>
        <v>0</v>
      </c>
      <c r="P245" s="630"/>
      <c r="Q245" s="629"/>
      <c r="R245" s="628">
        <f>$G245*Q234*S$12</f>
        <v>0</v>
      </c>
      <c r="S245" s="630"/>
      <c r="T245" s="631"/>
      <c r="V245" s="593"/>
    </row>
    <row r="246" spans="1:22">
      <c r="A246" s="625" t="s">
        <v>601</v>
      </c>
      <c r="B246" s="626">
        <v>0</v>
      </c>
      <c r="C246" s="627" t="s">
        <v>541</v>
      </c>
      <c r="D246" s="626">
        <f>partground</f>
        <v>9</v>
      </c>
      <c r="E246" s="627" t="s">
        <v>542</v>
      </c>
      <c r="F246" s="628">
        <f>IF(B246=0,0,1)</f>
        <v>0</v>
      </c>
      <c r="G246" s="628">
        <f t="shared" si="37"/>
        <v>0</v>
      </c>
      <c r="H246" s="629"/>
      <c r="I246" s="628">
        <f>$G246*H234*J$12</f>
        <v>0</v>
      </c>
      <c r="K246" s="629"/>
      <c r="L246" s="628">
        <f>$G246*K234*M$12</f>
        <v>0</v>
      </c>
      <c r="M246" s="630"/>
      <c r="N246" s="629"/>
      <c r="O246" s="628">
        <f>$G246*N234*P$12</f>
        <v>0</v>
      </c>
      <c r="P246" s="630"/>
      <c r="Q246" s="629"/>
      <c r="R246" s="628">
        <f>$G246*Q234*S$12</f>
        <v>0</v>
      </c>
      <c r="S246" s="630"/>
      <c r="T246" s="631"/>
      <c r="V246" s="593"/>
    </row>
    <row r="247" spans="1:22">
      <c r="A247" s="625" t="s">
        <v>48</v>
      </c>
      <c r="B247" s="628">
        <f>B245+B246</f>
        <v>0</v>
      </c>
      <c r="C247" s="627" t="s">
        <v>541</v>
      </c>
      <c r="D247" s="626">
        <f>partlodg</f>
        <v>25</v>
      </c>
      <c r="E247" s="627" t="s">
        <v>542</v>
      </c>
      <c r="F247" s="628">
        <f>IF(B247=0,0,F234)</f>
        <v>0</v>
      </c>
      <c r="G247" s="628">
        <f t="shared" si="37"/>
        <v>0</v>
      </c>
      <c r="H247" s="629"/>
      <c r="I247" s="628">
        <f>$G247*H234*J$12</f>
        <v>0</v>
      </c>
      <c r="K247" s="629"/>
      <c r="L247" s="628">
        <f>$G247*K234*M$12</f>
        <v>0</v>
      </c>
      <c r="M247" s="630"/>
      <c r="N247" s="629"/>
      <c r="O247" s="628">
        <f>$G247*N234*P$12</f>
        <v>0</v>
      </c>
      <c r="P247" s="630"/>
      <c r="Q247" s="629"/>
      <c r="R247" s="628">
        <f>$G247*Q234*S$12</f>
        <v>0</v>
      </c>
      <c r="S247" s="630"/>
      <c r="T247" s="631"/>
      <c r="V247" s="593"/>
    </row>
    <row r="248" spans="1:22">
      <c r="A248" s="625" t="s">
        <v>616</v>
      </c>
      <c r="B248" s="628">
        <f>B247</f>
        <v>0</v>
      </c>
      <c r="C248" s="627" t="s">
        <v>541</v>
      </c>
      <c r="D248" s="626">
        <f>partmeals</f>
        <v>47</v>
      </c>
      <c r="E248" s="627" t="s">
        <v>542</v>
      </c>
      <c r="F248" s="628">
        <f>IF(B248=0,0,F234)</f>
        <v>0</v>
      </c>
      <c r="G248" s="628">
        <f t="shared" si="37"/>
        <v>0</v>
      </c>
      <c r="H248" s="629"/>
      <c r="I248" s="628">
        <f>$G248*H234*J$12</f>
        <v>0</v>
      </c>
      <c r="K248" s="629"/>
      <c r="L248" s="628">
        <f>$G248*K234*M$12</f>
        <v>0</v>
      </c>
      <c r="M248" s="630"/>
      <c r="N248" s="629"/>
      <c r="O248" s="628">
        <f>$G248*N234*P$12</f>
        <v>0</v>
      </c>
      <c r="P248" s="630"/>
      <c r="Q248" s="629"/>
      <c r="R248" s="628">
        <f>$G248*Q234*S$12</f>
        <v>0</v>
      </c>
      <c r="S248" s="630"/>
      <c r="T248" s="631"/>
      <c r="V248" s="593"/>
    </row>
    <row r="249" spans="1:22">
      <c r="A249" s="625" t="s">
        <v>109</v>
      </c>
      <c r="B249" s="628">
        <f>B248</f>
        <v>0</v>
      </c>
      <c r="C249" s="627" t="s">
        <v>541</v>
      </c>
      <c r="D249" s="626">
        <f>parttransp</f>
        <v>4</v>
      </c>
      <c r="E249" s="627" t="s">
        <v>556</v>
      </c>
      <c r="F249" s="626">
        <v>0</v>
      </c>
      <c r="G249" s="628">
        <f t="shared" si="37"/>
        <v>0</v>
      </c>
      <c r="H249" s="629"/>
      <c r="I249" s="628">
        <f>$G249*H234*J$12</f>
        <v>0</v>
      </c>
      <c r="K249" s="629"/>
      <c r="L249" s="628">
        <f>$G249*K234*M$12</f>
        <v>0</v>
      </c>
      <c r="M249" s="630"/>
      <c r="N249" s="629"/>
      <c r="O249" s="628">
        <f>$G249*N234*P$12</f>
        <v>0</v>
      </c>
      <c r="P249" s="630"/>
      <c r="Q249" s="629"/>
      <c r="R249" s="628">
        <f>$G249*Q234*S$12</f>
        <v>0</v>
      </c>
      <c r="S249" s="630"/>
      <c r="T249" s="631"/>
      <c r="V249" s="593"/>
    </row>
    <row r="250" spans="1:22">
      <c r="A250" s="635"/>
      <c r="B250" s="636"/>
      <c r="C250" s="637"/>
      <c r="D250" s="626">
        <f>parttransp</f>
        <v>4</v>
      </c>
      <c r="E250" s="637"/>
      <c r="F250" s="638"/>
      <c r="G250" s="639">
        <f>B250*D250</f>
        <v>0</v>
      </c>
      <c r="H250" s="640"/>
      <c r="I250" s="636">
        <f>$G250*H234*J$12</f>
        <v>0</v>
      </c>
      <c r="J250" s="641"/>
      <c r="K250" s="640"/>
      <c r="L250" s="636">
        <f>$G250*K234*M$12</f>
        <v>0</v>
      </c>
      <c r="M250" s="642"/>
      <c r="N250" s="640"/>
      <c r="O250" s="636">
        <f>$G250*N234*P$12</f>
        <v>0</v>
      </c>
      <c r="P250" s="642"/>
      <c r="Q250" s="640"/>
      <c r="R250" s="636">
        <f>$G250*Q234*S$12</f>
        <v>0</v>
      </c>
      <c r="S250" s="642"/>
      <c r="T250" s="643"/>
      <c r="V250" s="593"/>
    </row>
    <row r="251" spans="1:22">
      <c r="A251" s="644" t="s">
        <v>547</v>
      </c>
      <c r="B251" s="645"/>
      <c r="C251" s="645"/>
      <c r="D251" s="646"/>
      <c r="E251" s="1146">
        <f>SUM(G235:G250)</f>
        <v>0</v>
      </c>
      <c r="F251" s="1147"/>
      <c r="G251" s="647"/>
      <c r="H251" s="648"/>
      <c r="I251" s="648"/>
      <c r="J251" s="621"/>
      <c r="K251" s="648"/>
      <c r="L251" s="648"/>
      <c r="M251" s="621"/>
      <c r="N251" s="648"/>
      <c r="O251" s="648"/>
      <c r="P251" s="621"/>
      <c r="Q251" s="648"/>
      <c r="R251" s="648"/>
      <c r="S251" s="621"/>
      <c r="T251" s="649"/>
      <c r="V251" s="593"/>
    </row>
    <row r="252" spans="1:22" ht="13.5" customHeight="1" thickBot="1">
      <c r="A252" s="588"/>
      <c r="B252" s="650"/>
      <c r="C252" s="650"/>
      <c r="D252" s="650"/>
      <c r="E252" s="650"/>
      <c r="F252" s="650"/>
      <c r="G252" s="612"/>
      <c r="H252" s="612"/>
      <c r="I252" s="612"/>
      <c r="J252" s="612"/>
      <c r="K252" s="612"/>
      <c r="L252" s="612"/>
      <c r="M252" s="612"/>
      <c r="N252" s="612"/>
      <c r="O252" s="612"/>
      <c r="P252" s="612"/>
      <c r="Q252" s="612"/>
      <c r="R252" s="612"/>
      <c r="S252" s="612"/>
      <c r="T252" s="613"/>
      <c r="V252" s="593"/>
    </row>
    <row r="253" spans="1:22" ht="15.6" thickTop="1">
      <c r="A253" s="1159" t="s">
        <v>595</v>
      </c>
      <c r="B253" s="1160"/>
      <c r="C253" s="1160"/>
      <c r="D253" s="1160"/>
      <c r="E253" s="1161"/>
      <c r="F253" s="614"/>
      <c r="G253" s="615"/>
      <c r="H253" s="1151">
        <v>0</v>
      </c>
      <c r="I253" s="1152"/>
      <c r="J253" s="616">
        <f>SUM(I255:I269)</f>
        <v>0</v>
      </c>
      <c r="K253" s="1140">
        <v>0</v>
      </c>
      <c r="L253" s="1141"/>
      <c r="M253" s="617">
        <f>SUM(L255:L269)</f>
        <v>0</v>
      </c>
      <c r="N253" s="1140">
        <v>0</v>
      </c>
      <c r="O253" s="1141"/>
      <c r="P253" s="617">
        <f>SUM(O255:O269)</f>
        <v>0</v>
      </c>
      <c r="Q253" s="1142">
        <v>0</v>
      </c>
      <c r="R253" s="1140"/>
      <c r="S253" s="617">
        <f>SUM(R255:R269)</f>
        <v>0</v>
      </c>
      <c r="T253" s="618">
        <f>SUM(J253,M253,P253,S253,)</f>
        <v>0</v>
      </c>
      <c r="V253" s="593"/>
    </row>
    <row r="254" spans="1:22">
      <c r="A254" s="619" t="s">
        <v>566</v>
      </c>
      <c r="B254" s="620"/>
      <c r="C254" s="620"/>
      <c r="D254" s="620"/>
      <c r="E254" s="621"/>
      <c r="F254" s="620"/>
      <c r="G254" s="620"/>
      <c r="H254" s="622"/>
      <c r="I254" s="620"/>
      <c r="J254" s="621"/>
      <c r="K254" s="622"/>
      <c r="L254" s="620"/>
      <c r="M254" s="623"/>
      <c r="N254" s="622"/>
      <c r="O254" s="620"/>
      <c r="P254" s="623"/>
      <c r="Q254" s="622"/>
      <c r="R254" s="620"/>
      <c r="S254" s="623"/>
      <c r="T254" s="624"/>
      <c r="V254" s="593"/>
    </row>
    <row r="255" spans="1:22">
      <c r="A255" s="625" t="s">
        <v>540</v>
      </c>
      <c r="B255" s="626">
        <v>0</v>
      </c>
      <c r="C255" s="627" t="s">
        <v>541</v>
      </c>
      <c r="D255" s="626">
        <f>parttransp</f>
        <v>4</v>
      </c>
      <c r="E255" s="627" t="s">
        <v>542</v>
      </c>
      <c r="F255" s="628">
        <f>IF(B255=0,0,F253)</f>
        <v>0</v>
      </c>
      <c r="G255" s="628">
        <f t="shared" ref="G255:G261" si="38">B255*D255*F255</f>
        <v>0</v>
      </c>
      <c r="H255" s="629"/>
      <c r="I255" s="628">
        <f>$G255*H253*J$12</f>
        <v>0</v>
      </c>
      <c r="K255" s="629"/>
      <c r="L255" s="628">
        <f>$G255*K253*M$12</f>
        <v>0</v>
      </c>
      <c r="M255" s="630"/>
      <c r="N255" s="629"/>
      <c r="O255" s="628">
        <f>$G255*N253*P$12</f>
        <v>0</v>
      </c>
      <c r="P255" s="630"/>
      <c r="Q255" s="629"/>
      <c r="R255" s="628">
        <f>$G255*Q253*S$12</f>
        <v>0</v>
      </c>
      <c r="S255" s="630"/>
      <c r="T255" s="631"/>
      <c r="V255" s="593"/>
    </row>
    <row r="256" spans="1:22">
      <c r="A256" s="625" t="s">
        <v>543</v>
      </c>
      <c r="B256" s="626">
        <v>0</v>
      </c>
      <c r="C256" s="627" t="s">
        <v>541</v>
      </c>
      <c r="D256" s="626">
        <f>coffee+lunch</f>
        <v>16</v>
      </c>
      <c r="E256" s="627" t="s">
        <v>542</v>
      </c>
      <c r="F256" s="628">
        <f>IF(B256=0,0,F253)</f>
        <v>0</v>
      </c>
      <c r="G256" s="628">
        <f t="shared" si="38"/>
        <v>0</v>
      </c>
      <c r="H256" s="629"/>
      <c r="I256" s="628">
        <f>$G256*H253*J$12</f>
        <v>0</v>
      </c>
      <c r="K256" s="629"/>
      <c r="L256" s="628">
        <f>$G256*K253*M$12</f>
        <v>0</v>
      </c>
      <c r="M256" s="630"/>
      <c r="N256" s="629"/>
      <c r="O256" s="628">
        <f>$G256*N253*P$12</f>
        <v>0</v>
      </c>
      <c r="P256" s="630"/>
      <c r="Q256" s="629"/>
      <c r="R256" s="628">
        <f>$G256*Q253*S$12</f>
        <v>0</v>
      </c>
      <c r="S256" s="630"/>
      <c r="T256" s="631"/>
      <c r="V256" s="593"/>
    </row>
    <row r="257" spans="1:22">
      <c r="A257" s="625" t="s">
        <v>122</v>
      </c>
      <c r="B257" s="626">
        <v>0</v>
      </c>
      <c r="C257" s="627" t="s">
        <v>549</v>
      </c>
      <c r="D257" s="626">
        <f>mats</f>
        <v>0</v>
      </c>
      <c r="E257" s="632" t="str">
        <f>C257</f>
        <v>workshop</v>
      </c>
      <c r="F257" s="628">
        <f>IF(B257=0,0,1)</f>
        <v>0</v>
      </c>
      <c r="G257" s="628">
        <f t="shared" si="38"/>
        <v>0</v>
      </c>
      <c r="H257" s="629"/>
      <c r="I257" s="628">
        <f>$G257*H253*J$12</f>
        <v>0</v>
      </c>
      <c r="K257" s="629"/>
      <c r="L257" s="628">
        <f>$G257*K253*M$12</f>
        <v>0</v>
      </c>
      <c r="M257" s="630"/>
      <c r="N257" s="629"/>
      <c r="O257" s="628">
        <f>$G257*N253*P$12</f>
        <v>0</v>
      </c>
      <c r="P257" s="630"/>
      <c r="Q257" s="629"/>
      <c r="R257" s="628">
        <f>$G257*Q253*S$12</f>
        <v>0</v>
      </c>
      <c r="S257" s="630"/>
      <c r="T257" s="631"/>
      <c r="V257" s="593"/>
    </row>
    <row r="258" spans="1:22">
      <c r="A258" s="625" t="s">
        <v>544</v>
      </c>
      <c r="B258" s="626">
        <v>0</v>
      </c>
      <c r="C258" s="627" t="s">
        <v>545</v>
      </c>
      <c r="D258" s="626">
        <f>print</f>
        <v>50</v>
      </c>
      <c r="E258" s="632" t="str">
        <f>C258</f>
        <v>activity</v>
      </c>
      <c r="F258" s="628">
        <f>IF(B258=0,0,1)</f>
        <v>0</v>
      </c>
      <c r="G258" s="628">
        <f t="shared" si="38"/>
        <v>0</v>
      </c>
      <c r="H258" s="629"/>
      <c r="I258" s="628">
        <f>$G258*H253*J$12</f>
        <v>0</v>
      </c>
      <c r="K258" s="629"/>
      <c r="L258" s="628">
        <f>$G258*K253*M$12</f>
        <v>0</v>
      </c>
      <c r="M258" s="630"/>
      <c r="N258" s="629"/>
      <c r="O258" s="628">
        <f>$G258*N253*P$12</f>
        <v>0</v>
      </c>
      <c r="P258" s="630"/>
      <c r="Q258" s="629"/>
      <c r="R258" s="628">
        <f>$G258*Q253*S$12</f>
        <v>0</v>
      </c>
      <c r="S258" s="630"/>
      <c r="T258" s="631"/>
      <c r="V258" s="593"/>
    </row>
    <row r="259" spans="1:22">
      <c r="A259" s="625" t="s">
        <v>596</v>
      </c>
      <c r="B259" s="626">
        <v>0</v>
      </c>
      <c r="C259" s="627" t="s">
        <v>560</v>
      </c>
      <c r="D259" s="626">
        <f>avrent</f>
        <v>0</v>
      </c>
      <c r="E259" s="627" t="s">
        <v>542</v>
      </c>
      <c r="F259" s="628">
        <f>IF(B259=0,0,F253)</f>
        <v>0</v>
      </c>
      <c r="G259" s="628">
        <f t="shared" si="38"/>
        <v>0</v>
      </c>
      <c r="H259" s="629"/>
      <c r="I259" s="628">
        <f>$G259*H253*J$12</f>
        <v>0</v>
      </c>
      <c r="K259" s="629"/>
      <c r="L259" s="628">
        <f>$G259*K253*M$12</f>
        <v>0</v>
      </c>
      <c r="M259" s="630"/>
      <c r="N259" s="629"/>
      <c r="O259" s="628">
        <f>$G259*N253*P$12</f>
        <v>0</v>
      </c>
      <c r="P259" s="630"/>
      <c r="Q259" s="629"/>
      <c r="R259" s="628">
        <f>$G259*Q253*S$12</f>
        <v>0</v>
      </c>
      <c r="S259" s="630"/>
      <c r="T259" s="631"/>
      <c r="V259" s="593"/>
    </row>
    <row r="260" spans="1:22">
      <c r="A260" s="625" t="s">
        <v>597</v>
      </c>
      <c r="B260" s="626">
        <v>0</v>
      </c>
      <c r="C260" s="627" t="s">
        <v>598</v>
      </c>
      <c r="D260" s="626">
        <f>roomrent</f>
        <v>0</v>
      </c>
      <c r="E260" s="627" t="s">
        <v>542</v>
      </c>
      <c r="F260" s="628">
        <f>IF(B260=0,0,F253)</f>
        <v>0</v>
      </c>
      <c r="G260" s="628">
        <f t="shared" si="38"/>
        <v>0</v>
      </c>
      <c r="H260" s="629"/>
      <c r="I260" s="628">
        <f>$G260*H253*J$12</f>
        <v>0</v>
      </c>
      <c r="K260" s="629"/>
      <c r="L260" s="628">
        <f>$G260*K253*M$12</f>
        <v>0</v>
      </c>
      <c r="M260" s="630"/>
      <c r="N260" s="629"/>
      <c r="O260" s="628">
        <f>$G260*N253*P$12</f>
        <v>0</v>
      </c>
      <c r="P260" s="630"/>
      <c r="Q260" s="629"/>
      <c r="R260" s="628">
        <f>$G260*Q253*S$12</f>
        <v>0</v>
      </c>
      <c r="S260" s="630"/>
      <c r="T260" s="631"/>
      <c r="V260" s="593"/>
    </row>
    <row r="261" spans="1:22">
      <c r="A261" s="625" t="s">
        <v>98</v>
      </c>
      <c r="B261" s="626">
        <v>0</v>
      </c>
      <c r="C261" s="627" t="s">
        <v>541</v>
      </c>
      <c r="D261" s="626">
        <f>partmisc</f>
        <v>0</v>
      </c>
      <c r="E261" s="627" t="s">
        <v>542</v>
      </c>
      <c r="F261" s="626">
        <v>5</v>
      </c>
      <c r="G261" s="628">
        <f t="shared" si="38"/>
        <v>0</v>
      </c>
      <c r="H261" s="629"/>
      <c r="I261" s="628">
        <f>$G261*H253*J$12</f>
        <v>0</v>
      </c>
      <c r="K261" s="629"/>
      <c r="L261" s="628">
        <f>$G261*K253*M$12</f>
        <v>0</v>
      </c>
      <c r="M261" s="630"/>
      <c r="N261" s="629"/>
      <c r="O261" s="628">
        <f>$G261*N253*P$12</f>
        <v>0</v>
      </c>
      <c r="P261" s="630"/>
      <c r="Q261" s="629"/>
      <c r="R261" s="628">
        <f>$G261*Q253*S$12</f>
        <v>0</v>
      </c>
      <c r="S261" s="630"/>
      <c r="T261" s="631"/>
      <c r="V261" s="593"/>
    </row>
    <row r="262" spans="1:22">
      <c r="A262" s="625"/>
      <c r="B262" s="628"/>
      <c r="C262" s="628"/>
      <c r="D262" s="628"/>
      <c r="E262" s="628"/>
      <c r="F262" s="628"/>
      <c r="G262" s="628"/>
      <c r="H262" s="629"/>
      <c r="I262" s="628"/>
      <c r="K262" s="629"/>
      <c r="L262" s="628"/>
      <c r="M262" s="630"/>
      <c r="N262" s="629"/>
      <c r="O262" s="628"/>
      <c r="P262" s="630"/>
      <c r="Q262" s="629"/>
      <c r="R262" s="628"/>
      <c r="S262" s="630"/>
      <c r="T262" s="631"/>
      <c r="V262" s="593"/>
    </row>
    <row r="263" spans="1:22">
      <c r="A263" s="633" t="s">
        <v>599</v>
      </c>
      <c r="B263" s="628"/>
      <c r="C263" s="634"/>
      <c r="D263" s="628"/>
      <c r="E263" s="628"/>
      <c r="F263" s="628"/>
      <c r="G263" s="628">
        <f t="shared" ref="G263:G268" si="39">B263*D263*F263</f>
        <v>0</v>
      </c>
      <c r="H263" s="629"/>
      <c r="I263" s="628">
        <f>$G263*H253*J$12</f>
        <v>0</v>
      </c>
      <c r="K263" s="629"/>
      <c r="L263" s="628">
        <f>$G263*K253*M$12</f>
        <v>0</v>
      </c>
      <c r="M263" s="630"/>
      <c r="N263" s="629"/>
      <c r="O263" s="628">
        <f>$G263*N253*P$12</f>
        <v>0</v>
      </c>
      <c r="P263" s="630"/>
      <c r="Q263" s="629"/>
      <c r="R263" s="628">
        <f>$G263*Q253*S$12</f>
        <v>0</v>
      </c>
      <c r="S263" s="630"/>
      <c r="T263" s="631"/>
      <c r="V263" s="593"/>
    </row>
    <row r="264" spans="1:22">
      <c r="A264" s="625" t="s">
        <v>600</v>
      </c>
      <c r="B264" s="626">
        <v>0</v>
      </c>
      <c r="C264" s="627" t="s">
        <v>541</v>
      </c>
      <c r="D264" s="626">
        <f>partground</f>
        <v>9</v>
      </c>
      <c r="E264" s="627" t="s">
        <v>556</v>
      </c>
      <c r="F264" s="628">
        <f>IF(B264=0,0,1)</f>
        <v>0</v>
      </c>
      <c r="G264" s="628">
        <f t="shared" si="39"/>
        <v>0</v>
      </c>
      <c r="H264" s="629"/>
      <c r="I264" s="628">
        <f>$G264*H253*J$12</f>
        <v>0</v>
      </c>
      <c r="K264" s="629"/>
      <c r="L264" s="628">
        <f>$G264*K253*M$12</f>
        <v>0</v>
      </c>
      <c r="M264" s="630"/>
      <c r="N264" s="629"/>
      <c r="O264" s="628">
        <f>$G264*N253*P$12</f>
        <v>0</v>
      </c>
      <c r="P264" s="630"/>
      <c r="Q264" s="629"/>
      <c r="R264" s="628">
        <f>$G264*Q253*S$12</f>
        <v>0</v>
      </c>
      <c r="S264" s="630"/>
      <c r="T264" s="631"/>
      <c r="V264" s="593"/>
    </row>
    <row r="265" spans="1:22">
      <c r="A265" s="625" t="s">
        <v>601</v>
      </c>
      <c r="B265" s="626">
        <v>0</v>
      </c>
      <c r="C265" s="627" t="s">
        <v>541</v>
      </c>
      <c r="D265" s="626">
        <f>partground</f>
        <v>9</v>
      </c>
      <c r="E265" s="627" t="s">
        <v>542</v>
      </c>
      <c r="F265" s="628">
        <f>IF(B265=0,0,1)</f>
        <v>0</v>
      </c>
      <c r="G265" s="628">
        <f t="shared" si="39"/>
        <v>0</v>
      </c>
      <c r="H265" s="629"/>
      <c r="I265" s="628">
        <f>$G265*H253*J$12</f>
        <v>0</v>
      </c>
      <c r="K265" s="629"/>
      <c r="L265" s="628">
        <f>$G265*K253*M$12</f>
        <v>0</v>
      </c>
      <c r="M265" s="630"/>
      <c r="N265" s="629"/>
      <c r="O265" s="628">
        <f>$G265*N253*P$12</f>
        <v>0</v>
      </c>
      <c r="P265" s="630"/>
      <c r="Q265" s="629"/>
      <c r="R265" s="628">
        <f>$G265*Q253*S$12</f>
        <v>0</v>
      </c>
      <c r="S265" s="630"/>
      <c r="T265" s="631"/>
      <c r="V265" s="593"/>
    </row>
    <row r="266" spans="1:22">
      <c r="A266" s="625" t="s">
        <v>48</v>
      </c>
      <c r="B266" s="628">
        <f>B264+B265</f>
        <v>0</v>
      </c>
      <c r="C266" s="627" t="s">
        <v>541</v>
      </c>
      <c r="D266" s="626">
        <f>partlodg</f>
        <v>25</v>
      </c>
      <c r="E266" s="627" t="s">
        <v>542</v>
      </c>
      <c r="F266" s="628">
        <f>IF(B266=0,0,F253)</f>
        <v>0</v>
      </c>
      <c r="G266" s="628">
        <f t="shared" si="39"/>
        <v>0</v>
      </c>
      <c r="H266" s="629"/>
      <c r="I266" s="628">
        <f>$G266*H253*J$12</f>
        <v>0</v>
      </c>
      <c r="K266" s="629"/>
      <c r="L266" s="628">
        <f>$G266*K253*M$12</f>
        <v>0</v>
      </c>
      <c r="M266" s="630"/>
      <c r="N266" s="629"/>
      <c r="O266" s="628">
        <f>$G266*N253*P$12</f>
        <v>0</v>
      </c>
      <c r="P266" s="630"/>
      <c r="Q266" s="629"/>
      <c r="R266" s="628">
        <f>$G266*Q253*S$12</f>
        <v>0</v>
      </c>
      <c r="S266" s="630"/>
      <c r="T266" s="631"/>
      <c r="V266" s="593"/>
    </row>
    <row r="267" spans="1:22">
      <c r="A267" s="625" t="s">
        <v>616</v>
      </c>
      <c r="B267" s="628">
        <f>B266</f>
        <v>0</v>
      </c>
      <c r="C267" s="627" t="s">
        <v>541</v>
      </c>
      <c r="D267" s="626">
        <f>partmeals</f>
        <v>47</v>
      </c>
      <c r="E267" s="627" t="s">
        <v>542</v>
      </c>
      <c r="F267" s="628">
        <f>IF(B267=0,0,F253)</f>
        <v>0</v>
      </c>
      <c r="G267" s="628">
        <f t="shared" si="39"/>
        <v>0</v>
      </c>
      <c r="H267" s="629"/>
      <c r="I267" s="628">
        <f>$G267*H253*J$12</f>
        <v>0</v>
      </c>
      <c r="K267" s="629"/>
      <c r="L267" s="628">
        <f>$G267*K253*M$12</f>
        <v>0</v>
      </c>
      <c r="M267" s="630"/>
      <c r="N267" s="629"/>
      <c r="O267" s="628">
        <f>$G267*N253*P$12</f>
        <v>0</v>
      </c>
      <c r="P267" s="630"/>
      <c r="Q267" s="629"/>
      <c r="R267" s="628">
        <f>$G267*Q253*S$12</f>
        <v>0</v>
      </c>
      <c r="S267" s="630"/>
      <c r="T267" s="631"/>
      <c r="V267" s="593"/>
    </row>
    <row r="268" spans="1:22">
      <c r="A268" s="625" t="s">
        <v>109</v>
      </c>
      <c r="B268" s="628">
        <f>B267</f>
        <v>0</v>
      </c>
      <c r="C268" s="627" t="s">
        <v>541</v>
      </c>
      <c r="D268" s="626">
        <f>parttransp</f>
        <v>4</v>
      </c>
      <c r="E268" s="627" t="s">
        <v>556</v>
      </c>
      <c r="F268" s="626">
        <v>0</v>
      </c>
      <c r="G268" s="628">
        <f t="shared" si="39"/>
        <v>0</v>
      </c>
      <c r="H268" s="629"/>
      <c r="I268" s="628">
        <f>$G268*H253*J$12</f>
        <v>0</v>
      </c>
      <c r="K268" s="629"/>
      <c r="L268" s="628">
        <f>$G268*K253*M$12</f>
        <v>0</v>
      </c>
      <c r="M268" s="630"/>
      <c r="N268" s="629"/>
      <c r="O268" s="628">
        <f>$G268*N253*P$12</f>
        <v>0</v>
      </c>
      <c r="P268" s="630"/>
      <c r="Q268" s="629"/>
      <c r="R268" s="628">
        <f>$G268*Q253*S$12</f>
        <v>0</v>
      </c>
      <c r="S268" s="630"/>
      <c r="T268" s="631"/>
      <c r="V268" s="593"/>
    </row>
    <row r="269" spans="1:22">
      <c r="A269" s="635"/>
      <c r="B269" s="636"/>
      <c r="C269" s="637"/>
      <c r="D269" s="626">
        <f>parttransp</f>
        <v>4</v>
      </c>
      <c r="E269" s="637"/>
      <c r="F269" s="638"/>
      <c r="G269" s="639">
        <f>B269*D269</f>
        <v>0</v>
      </c>
      <c r="H269" s="640"/>
      <c r="I269" s="636">
        <f>$G269*H253*J$12</f>
        <v>0</v>
      </c>
      <c r="J269" s="641"/>
      <c r="K269" s="640"/>
      <c r="L269" s="636">
        <f>$G269*K253*M$12</f>
        <v>0</v>
      </c>
      <c r="M269" s="642"/>
      <c r="N269" s="640"/>
      <c r="O269" s="636">
        <f>$G269*N253*P$12</f>
        <v>0</v>
      </c>
      <c r="P269" s="642"/>
      <c r="Q269" s="640"/>
      <c r="R269" s="636">
        <f>$G269*Q253*S$12</f>
        <v>0</v>
      </c>
      <c r="S269" s="642"/>
      <c r="T269" s="643"/>
      <c r="V269" s="593"/>
    </row>
    <row r="270" spans="1:22">
      <c r="A270" s="644" t="s">
        <v>547</v>
      </c>
      <c r="B270" s="645"/>
      <c r="C270" s="645"/>
      <c r="D270" s="646"/>
      <c r="E270" s="1146">
        <f>SUM(G254:G269)</f>
        <v>0</v>
      </c>
      <c r="F270" s="1147"/>
      <c r="G270" s="647"/>
      <c r="H270" s="648"/>
      <c r="I270" s="648"/>
      <c r="J270" s="621"/>
      <c r="K270" s="648"/>
      <c r="L270" s="648"/>
      <c r="M270" s="621"/>
      <c r="N270" s="648"/>
      <c r="O270" s="648"/>
      <c r="P270" s="621"/>
      <c r="Q270" s="648"/>
      <c r="R270" s="648"/>
      <c r="S270" s="621"/>
      <c r="T270" s="649"/>
      <c r="V270" s="593"/>
    </row>
    <row r="271" spans="1:22" ht="15.6" thickBot="1">
      <c r="A271" s="589"/>
      <c r="B271" s="651"/>
      <c r="C271" s="651"/>
      <c r="D271" s="651"/>
      <c r="E271" s="651"/>
      <c r="F271" s="651"/>
      <c r="G271" s="652"/>
      <c r="H271" s="652"/>
      <c r="I271" s="652"/>
      <c r="J271" s="652"/>
      <c r="K271" s="652"/>
      <c r="L271" s="652"/>
      <c r="M271" s="652"/>
      <c r="N271" s="652"/>
      <c r="O271" s="652"/>
      <c r="P271" s="652"/>
      <c r="Q271" s="652"/>
      <c r="R271" s="652"/>
      <c r="S271" s="652"/>
      <c r="T271" s="653"/>
      <c r="V271" s="593"/>
    </row>
    <row r="272" spans="1:22" ht="15.6" thickBot="1">
      <c r="A272" s="654"/>
      <c r="B272" s="655"/>
      <c r="C272" s="655"/>
      <c r="D272" s="655"/>
      <c r="E272" s="655"/>
      <c r="F272" s="655"/>
      <c r="G272" s="656"/>
      <c r="H272" s="656"/>
      <c r="I272" s="656"/>
      <c r="J272" s="657"/>
      <c r="K272" s="656"/>
      <c r="L272" s="656"/>
      <c r="M272" s="657"/>
      <c r="N272" s="656"/>
      <c r="O272" s="656"/>
      <c r="P272" s="657"/>
      <c r="Q272" s="656"/>
      <c r="R272" s="656"/>
      <c r="S272" s="657"/>
      <c r="T272" s="658"/>
    </row>
    <row r="273" spans="1:20" ht="18" customHeight="1" thickBot="1">
      <c r="A273" s="659" t="s">
        <v>602</v>
      </c>
      <c r="B273" s="660"/>
      <c r="C273" s="660"/>
      <c r="D273" s="660"/>
      <c r="E273" s="660"/>
      <c r="F273" s="660"/>
      <c r="G273" s="660"/>
      <c r="H273" s="661">
        <f>SUM(H15:H272)</f>
        <v>0</v>
      </c>
      <c r="I273" s="662"/>
      <c r="J273" s="663">
        <f>SUM(J15:J271)</f>
        <v>0</v>
      </c>
      <c r="K273" s="661">
        <f>SUM(K15:K272)</f>
        <v>48</v>
      </c>
      <c r="L273" s="662"/>
      <c r="M273" s="663">
        <f>SUM(M15:M271)</f>
        <v>33004.800000000003</v>
      </c>
      <c r="N273" s="661">
        <f>SUM(N15:N272)</f>
        <v>54</v>
      </c>
      <c r="O273" s="662"/>
      <c r="P273" s="664">
        <f>SUM(P15:P271)</f>
        <v>40413.983999999997</v>
      </c>
      <c r="Q273" s="661">
        <f>SUM(Q15:Q272)</f>
        <v>24</v>
      </c>
      <c r="R273" s="662"/>
      <c r="S273" s="664">
        <f>SUM(S15:S271)</f>
        <v>12710.9632</v>
      </c>
      <c r="T273" s="665">
        <f>SUM(J273,M273,P273,S273,)</f>
        <v>86129.747199999998</v>
      </c>
    </row>
    <row r="274" spans="1:20">
      <c r="A274" s="666"/>
      <c r="B274" s="666"/>
      <c r="C274" s="666"/>
      <c r="D274" s="666"/>
      <c r="E274" s="666"/>
      <c r="F274" s="666"/>
      <c r="G274" s="666"/>
      <c r="H274" s="666"/>
      <c r="I274" s="666"/>
      <c r="J274" s="666"/>
      <c r="K274" s="666"/>
      <c r="L274" s="666"/>
      <c r="M274" s="666"/>
      <c r="N274" s="666"/>
      <c r="O274" s="666"/>
      <c r="P274" s="666"/>
      <c r="Q274" s="666"/>
      <c r="R274" s="666"/>
      <c r="S274" s="666"/>
      <c r="T274" s="667"/>
    </row>
    <row r="278" spans="1:20">
      <c r="A278" s="928" t="s">
        <v>604</v>
      </c>
      <c r="B278" s="929"/>
      <c r="C278" s="983"/>
      <c r="D278" s="930"/>
      <c r="E278" s="440"/>
      <c r="F278" s="1000"/>
      <c r="G278" s="440"/>
      <c r="H278" s="440"/>
      <c r="I278" s="440"/>
      <c r="J278" s="931" t="str">
        <f>H10</f>
        <v>Year 1</v>
      </c>
      <c r="K278" s="440"/>
      <c r="L278" s="440"/>
      <c r="M278" s="931" t="str">
        <f>K10</f>
        <v>Year 2</v>
      </c>
      <c r="N278" s="440"/>
      <c r="O278" s="440"/>
      <c r="P278" s="931" t="str">
        <f>N10</f>
        <v>Year 3</v>
      </c>
      <c r="Q278" s="440"/>
      <c r="R278" s="440"/>
      <c r="S278" s="931" t="str">
        <f>Q10</f>
        <v>Year 4</v>
      </c>
      <c r="T278" s="938" t="s">
        <v>71</v>
      </c>
    </row>
    <row r="279" spans="1:20">
      <c r="A279" s="932" t="s">
        <v>604</v>
      </c>
      <c r="B279" s="933"/>
      <c r="C279" s="934"/>
      <c r="D279" s="936" t="s">
        <v>407</v>
      </c>
      <c r="E279" s="30"/>
      <c r="F279" s="1001"/>
      <c r="G279" s="30"/>
      <c r="H279" s="30"/>
      <c r="I279" s="30"/>
      <c r="J279" s="935">
        <f>SUM(I168:I173,I154:I159,I141:I146,I121:I126,I109:I114,I96:I101,I59:I64,I36:I43,I22:I27,)</f>
        <v>120</v>
      </c>
      <c r="K279" s="30"/>
      <c r="L279" s="30"/>
      <c r="M279" s="935">
        <f>SUM(L168:L173,L154:L159,L141:L146,L121:L126,L109:L114,L96:L101,L59:L64,L36:L43,L22:L27,)</f>
        <v>11246.560000000001</v>
      </c>
      <c r="N279" s="30"/>
      <c r="O279" s="30"/>
      <c r="P279" s="935">
        <f>SUM(O168:O173,O154:O159,O141:O146,O121:O126,O109:O114,O96:O101,O59:O64,O36:O43,O22:O27,)</f>
        <v>13372.902399999999</v>
      </c>
      <c r="Q279" s="30"/>
      <c r="R279" s="30"/>
      <c r="S279" s="935">
        <f>SUM(R168:R173,R154:R159,R141:R146,R121:R126,R109:R114,R96:R101,R59:R64,R36:R43,R22:R27,)</f>
        <v>4155.2476160000006</v>
      </c>
      <c r="T279" s="935">
        <f>SUM(J279:S279)</f>
        <v>28894.710016000001</v>
      </c>
    </row>
    <row r="280" spans="1:20">
      <c r="A280" s="1153" t="s">
        <v>298</v>
      </c>
      <c r="B280" s="1154"/>
      <c r="C280" s="1154"/>
      <c r="D280" s="1155"/>
      <c r="E280" s="30"/>
      <c r="F280" s="1001"/>
      <c r="G280" s="30"/>
      <c r="H280" s="30"/>
      <c r="I280" s="30"/>
      <c r="J280" s="937">
        <f>SUM(J279:J279)</f>
        <v>120</v>
      </c>
      <c r="K280" s="30"/>
      <c r="L280" s="30"/>
      <c r="M280" s="937">
        <f>SUM(M279:M279)</f>
        <v>11246.560000000001</v>
      </c>
      <c r="N280" s="30"/>
      <c r="O280" s="30"/>
      <c r="P280" s="937">
        <f>SUM(P279:P279)</f>
        <v>13372.902399999999</v>
      </c>
      <c r="Q280" s="30"/>
      <c r="R280" s="30"/>
      <c r="S280" s="937">
        <f>SUM(S279:S279)</f>
        <v>4155.2476160000006</v>
      </c>
      <c r="T280" s="939">
        <f t="shared" ref="T280" si="40">J280+M280+P280+S280</f>
        <v>28894.710016000001</v>
      </c>
    </row>
  </sheetData>
  <sheetProtection formatColumns="0" formatRows="0"/>
  <mergeCells count="123">
    <mergeCell ref="A16:E16"/>
    <mergeCell ref="H16:I16"/>
    <mergeCell ref="K16:L16"/>
    <mergeCell ref="N16:O16"/>
    <mergeCell ref="Q16:R16"/>
    <mergeCell ref="E28:F28"/>
    <mergeCell ref="H10:J10"/>
    <mergeCell ref="K10:M10"/>
    <mergeCell ref="N10:P10"/>
    <mergeCell ref="Q10:S10"/>
    <mergeCell ref="H11:I11"/>
    <mergeCell ref="K11:L11"/>
    <mergeCell ref="N11:O11"/>
    <mergeCell ref="Q11:R11"/>
    <mergeCell ref="A46:E46"/>
    <mergeCell ref="H46:I46"/>
    <mergeCell ref="K46:L46"/>
    <mergeCell ref="N46:O46"/>
    <mergeCell ref="Q46:R46"/>
    <mergeCell ref="E50:F50"/>
    <mergeCell ref="A31:E31"/>
    <mergeCell ref="H31:I31"/>
    <mergeCell ref="K31:L31"/>
    <mergeCell ref="N31:O31"/>
    <mergeCell ref="Q31:R31"/>
    <mergeCell ref="E44:F44"/>
    <mergeCell ref="A67:E67"/>
    <mergeCell ref="H67:I67"/>
    <mergeCell ref="K67:L67"/>
    <mergeCell ref="N67:O67"/>
    <mergeCell ref="Q67:R67"/>
    <mergeCell ref="E72:F72"/>
    <mergeCell ref="A53:E53"/>
    <mergeCell ref="H53:I53"/>
    <mergeCell ref="K53:L53"/>
    <mergeCell ref="N53:O53"/>
    <mergeCell ref="Q53:R53"/>
    <mergeCell ref="E65:F65"/>
    <mergeCell ref="A83:E83"/>
    <mergeCell ref="H83:I83"/>
    <mergeCell ref="K83:L83"/>
    <mergeCell ref="N83:O83"/>
    <mergeCell ref="Q83:R83"/>
    <mergeCell ref="E89:F89"/>
    <mergeCell ref="A75:E75"/>
    <mergeCell ref="H75:I75"/>
    <mergeCell ref="K75:L75"/>
    <mergeCell ref="N75:O75"/>
    <mergeCell ref="Q75:R75"/>
    <mergeCell ref="E80:F80"/>
    <mergeCell ref="A104:E104"/>
    <mergeCell ref="H104:I104"/>
    <mergeCell ref="K104:L104"/>
    <mergeCell ref="N104:O104"/>
    <mergeCell ref="Q104:R104"/>
    <mergeCell ref="E115:F115"/>
    <mergeCell ref="A91:E91"/>
    <mergeCell ref="H91:I91"/>
    <mergeCell ref="K91:L91"/>
    <mergeCell ref="N91:O91"/>
    <mergeCell ref="Q91:R91"/>
    <mergeCell ref="E102:F102"/>
    <mergeCell ref="A129:E129"/>
    <mergeCell ref="H129:I129"/>
    <mergeCell ref="K129:L129"/>
    <mergeCell ref="N129:O129"/>
    <mergeCell ref="Q129:R129"/>
    <mergeCell ref="E135:F135"/>
    <mergeCell ref="A118:E118"/>
    <mergeCell ref="H118:I118"/>
    <mergeCell ref="K118:L118"/>
    <mergeCell ref="N118:O118"/>
    <mergeCell ref="Q118:R118"/>
    <mergeCell ref="E127:F127"/>
    <mergeCell ref="A149:E149"/>
    <mergeCell ref="H149:I149"/>
    <mergeCell ref="K149:L149"/>
    <mergeCell ref="N149:O149"/>
    <mergeCell ref="Q149:R149"/>
    <mergeCell ref="E160:F160"/>
    <mergeCell ref="A137:E137"/>
    <mergeCell ref="H137:I137"/>
    <mergeCell ref="K137:L137"/>
    <mergeCell ref="N137:O137"/>
    <mergeCell ref="Q137:R137"/>
    <mergeCell ref="E147:F147"/>
    <mergeCell ref="A177:E177"/>
    <mergeCell ref="H177:I177"/>
    <mergeCell ref="K177:L177"/>
    <mergeCell ref="N177:O177"/>
    <mergeCell ref="Q177:R177"/>
    <mergeCell ref="E194:F194"/>
    <mergeCell ref="A163:E163"/>
    <mergeCell ref="H163:I163"/>
    <mergeCell ref="K163:L163"/>
    <mergeCell ref="N163:O163"/>
    <mergeCell ref="Q163:R163"/>
    <mergeCell ref="E174:F174"/>
    <mergeCell ref="A215:E215"/>
    <mergeCell ref="H215:I215"/>
    <mergeCell ref="K215:L215"/>
    <mergeCell ref="N215:O215"/>
    <mergeCell ref="Q215:R215"/>
    <mergeCell ref="E232:F232"/>
    <mergeCell ref="A196:E196"/>
    <mergeCell ref="H196:I196"/>
    <mergeCell ref="K196:L196"/>
    <mergeCell ref="N196:O196"/>
    <mergeCell ref="Q196:R196"/>
    <mergeCell ref="E213:F213"/>
    <mergeCell ref="A280:D280"/>
    <mergeCell ref="A253:E253"/>
    <mergeCell ref="H253:I253"/>
    <mergeCell ref="K253:L253"/>
    <mergeCell ref="N253:O253"/>
    <mergeCell ref="Q253:R253"/>
    <mergeCell ref="E270:F270"/>
    <mergeCell ref="A234:E234"/>
    <mergeCell ref="H234:I234"/>
    <mergeCell ref="K234:L234"/>
    <mergeCell ref="N234:O234"/>
    <mergeCell ref="Q234:R234"/>
    <mergeCell ref="E251:F251"/>
  </mergeCells>
  <pageMargins left="0.5" right="0.5" top="0.5" bottom="0.5" header="0" footer="0.25"/>
  <pageSetup scale="33" fitToHeight="0" orientation="landscape" r:id="rId1"/>
  <headerFooter scaleWithDoc="0" alignWithMargins="0">
    <oddFooter>&amp;LUse or disclosure of data contained on this sheet is subject to the restriction on the proprietary statement of this proposal.&amp;R, 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8D4E-06AE-42D7-B1A1-224F1139A750}">
  <dimension ref="A1:Z977"/>
  <sheetViews>
    <sheetView zoomScale="70" zoomScaleNormal="70" workbookViewId="0">
      <selection activeCell="C10" sqref="C10"/>
    </sheetView>
  </sheetViews>
  <sheetFormatPr defaultColWidth="14.71875" defaultRowHeight="15.3"/>
  <cols>
    <col min="1" max="1" width="40.5546875" style="671" customWidth="1"/>
    <col min="2" max="2" width="42.71875" style="671" bestFit="1" customWidth="1"/>
    <col min="3" max="3" width="31.27734375" style="671" customWidth="1"/>
    <col min="4" max="5" width="13.5546875" style="671" customWidth="1"/>
    <col min="6" max="6" width="13.71875" style="671" customWidth="1"/>
    <col min="7" max="7" width="12.44140625" style="671" customWidth="1"/>
    <col min="8" max="8" width="13.44140625" style="671" customWidth="1"/>
    <col min="9" max="9" width="10.27734375" style="671" bestFit="1" customWidth="1"/>
    <col min="10" max="10" width="12.71875" style="671" customWidth="1"/>
    <col min="11" max="11" width="10.5546875" style="671" customWidth="1"/>
    <col min="12" max="12" width="12.27734375" style="671" customWidth="1"/>
    <col min="13" max="13" width="9.71875" style="671" customWidth="1"/>
    <col min="14" max="14" width="19.27734375" style="671" customWidth="1"/>
    <col min="15" max="25" width="8.71875" style="671" customWidth="1"/>
    <col min="26" max="16384" width="14.71875" style="671"/>
  </cols>
  <sheetData>
    <row r="1" spans="1:26" ht="14.25" customHeight="1" thickBot="1">
      <c r="A1" s="1169" t="s">
        <v>620</v>
      </c>
      <c r="B1" s="1170"/>
      <c r="C1" s="1170"/>
      <c r="D1" s="1170"/>
      <c r="E1" s="1170"/>
      <c r="F1" s="1170"/>
      <c r="G1" s="1170"/>
      <c r="H1" s="1170"/>
      <c r="I1" s="1170"/>
      <c r="J1" s="1170"/>
      <c r="K1" s="1170"/>
      <c r="L1" s="1170"/>
      <c r="M1" s="1170"/>
      <c r="N1" s="1171"/>
      <c r="O1" s="670"/>
      <c r="P1" s="670"/>
      <c r="Q1" s="670"/>
      <c r="R1" s="670"/>
      <c r="S1" s="670"/>
      <c r="T1" s="670"/>
      <c r="U1" s="670"/>
      <c r="V1" s="670"/>
      <c r="W1" s="670"/>
      <c r="X1" s="670"/>
      <c r="Y1" s="670"/>
      <c r="Z1" s="670"/>
    </row>
    <row r="2" spans="1:26" ht="15.6" thickBot="1">
      <c r="A2" s="1172" t="s">
        <v>134</v>
      </c>
      <c r="B2" s="1173"/>
      <c r="C2" s="1173"/>
      <c r="D2" s="1173"/>
      <c r="E2" s="1173"/>
      <c r="F2" s="1173"/>
      <c r="G2" s="1173"/>
      <c r="H2" s="1173"/>
      <c r="I2" s="1173"/>
      <c r="J2" s="1173"/>
      <c r="K2" s="1173"/>
      <c r="L2" s="1173"/>
      <c r="M2" s="1173"/>
      <c r="N2" s="1174"/>
    </row>
    <row r="3" spans="1:26" ht="31.15" customHeight="1" thickBot="1">
      <c r="A3" s="672" t="s">
        <v>621</v>
      </c>
      <c r="B3" s="672" t="s">
        <v>622</v>
      </c>
      <c r="C3" s="672" t="s">
        <v>623</v>
      </c>
      <c r="D3" s="672" t="s">
        <v>624</v>
      </c>
      <c r="E3" s="672" t="s">
        <v>625</v>
      </c>
      <c r="F3" s="673" t="s">
        <v>626</v>
      </c>
      <c r="G3" s="672" t="s">
        <v>627</v>
      </c>
      <c r="H3" s="674" t="s">
        <v>628</v>
      </c>
      <c r="I3" s="672" t="s">
        <v>629</v>
      </c>
      <c r="J3" s="672" t="s">
        <v>630</v>
      </c>
      <c r="K3" s="672" t="s">
        <v>631</v>
      </c>
      <c r="L3" s="672" t="s">
        <v>632</v>
      </c>
      <c r="M3" s="672" t="s">
        <v>633</v>
      </c>
      <c r="N3" s="672" t="s">
        <v>634</v>
      </c>
    </row>
    <row r="4" spans="1:26" ht="15.6" thickBot="1">
      <c r="A4" s="1166" t="s">
        <v>40</v>
      </c>
      <c r="B4" s="1167"/>
      <c r="C4" s="1167"/>
      <c r="D4" s="1167"/>
      <c r="E4" s="1167"/>
      <c r="F4" s="1167"/>
      <c r="G4" s="1167"/>
      <c r="H4" s="1167"/>
      <c r="I4" s="1167"/>
      <c r="J4" s="1167"/>
      <c r="K4" s="1167"/>
      <c r="L4" s="1167"/>
      <c r="M4" s="1167"/>
      <c r="N4" s="1168"/>
    </row>
    <row r="5" spans="1:26" ht="14.25" customHeight="1">
      <c r="A5" s="675" t="s">
        <v>610</v>
      </c>
      <c r="B5" s="675" t="s">
        <v>635</v>
      </c>
      <c r="C5" s="675" t="s">
        <v>636</v>
      </c>
      <c r="D5" s="676">
        <v>1</v>
      </c>
      <c r="E5" s="677">
        <v>1200</v>
      </c>
      <c r="F5" s="678">
        <f>D5*E5</f>
        <v>1200</v>
      </c>
      <c r="G5" s="676">
        <v>5</v>
      </c>
      <c r="H5" s="679">
        <v>126</v>
      </c>
      <c r="I5" s="678">
        <f>G5*H5</f>
        <v>630</v>
      </c>
      <c r="J5" s="677">
        <v>147</v>
      </c>
      <c r="K5" s="678">
        <f>G5*J5</f>
        <v>735</v>
      </c>
      <c r="L5" s="680">
        <v>50</v>
      </c>
      <c r="M5" s="680">
        <v>30</v>
      </c>
      <c r="N5" s="681">
        <f>SUM(F5,I5,K5,L5,M5)</f>
        <v>2645</v>
      </c>
    </row>
    <row r="6" spans="1:26" ht="13.9" customHeight="1" thickBot="1">
      <c r="A6" s="682"/>
      <c r="B6" s="683"/>
      <c r="C6" s="683"/>
      <c r="D6" s="684"/>
      <c r="E6" s="685"/>
      <c r="F6" s="686">
        <f>D6*E6</f>
        <v>0</v>
      </c>
      <c r="G6" s="684"/>
      <c r="H6" s="687"/>
      <c r="I6" s="686">
        <f>G6*H6</f>
        <v>0</v>
      </c>
      <c r="J6" s="685"/>
      <c r="K6" s="688">
        <f>G6*J6</f>
        <v>0</v>
      </c>
      <c r="L6" s="689"/>
      <c r="M6" s="690"/>
      <c r="N6" s="691">
        <f>SUM(F6,I6,K6,L6,M6)</f>
        <v>0</v>
      </c>
    </row>
    <row r="7" spans="1:26" ht="13.9" customHeight="1" thickBot="1">
      <c r="A7" s="1175" t="s">
        <v>69</v>
      </c>
      <c r="B7" s="1176"/>
      <c r="C7" s="1176"/>
      <c r="D7" s="1176"/>
      <c r="E7" s="1176"/>
      <c r="F7" s="1176"/>
      <c r="G7" s="1176"/>
      <c r="H7" s="1176"/>
      <c r="I7" s="1176"/>
      <c r="J7" s="1176"/>
      <c r="K7" s="1176"/>
      <c r="L7" s="1176"/>
      <c r="M7" s="1176"/>
      <c r="N7" s="1177"/>
    </row>
    <row r="8" spans="1:26" ht="13.9" customHeight="1">
      <c r="A8" s="682" t="s">
        <v>610</v>
      </c>
      <c r="B8" s="683" t="s">
        <v>637</v>
      </c>
      <c r="C8" s="683"/>
      <c r="D8" s="684"/>
      <c r="E8" s="685"/>
      <c r="F8" s="686">
        <f>D8*E8</f>
        <v>0</v>
      </c>
      <c r="G8" s="684"/>
      <c r="H8" s="687"/>
      <c r="I8" s="686">
        <f>G8*H8</f>
        <v>0</v>
      </c>
      <c r="J8" s="685"/>
      <c r="K8" s="688">
        <f>G8*J8</f>
        <v>0</v>
      </c>
      <c r="L8" s="689"/>
      <c r="M8" s="689"/>
      <c r="N8" s="691">
        <f>SUM(F8,I8,K8,L8,M8)</f>
        <v>0</v>
      </c>
    </row>
    <row r="9" spans="1:26" ht="13.9" customHeight="1">
      <c r="A9" s="682" t="s">
        <v>638</v>
      </c>
      <c r="B9" s="683" t="s">
        <v>637</v>
      </c>
      <c r="C9" s="683"/>
      <c r="D9" s="684"/>
      <c r="E9" s="685"/>
      <c r="F9" s="686">
        <f>D9*E9</f>
        <v>0</v>
      </c>
      <c r="G9" s="684"/>
      <c r="H9" s="687"/>
      <c r="I9" s="686">
        <f>G9*H9</f>
        <v>0</v>
      </c>
      <c r="J9" s="685"/>
      <c r="K9" s="688">
        <f>G9*J9</f>
        <v>0</v>
      </c>
      <c r="L9" s="689"/>
      <c r="M9" s="689"/>
      <c r="N9" s="691">
        <f>SUM(F9,I9,K9,L9,M9)</f>
        <v>0</v>
      </c>
    </row>
    <row r="10" spans="1:26" ht="13.9" customHeight="1">
      <c r="A10" s="682" t="s">
        <v>610</v>
      </c>
      <c r="B10" s="683" t="s">
        <v>639</v>
      </c>
      <c r="C10" s="683"/>
      <c r="D10" s="684"/>
      <c r="E10" s="685"/>
      <c r="F10" s="686">
        <f>D10*E10</f>
        <v>0</v>
      </c>
      <c r="G10" s="684"/>
      <c r="H10" s="687"/>
      <c r="I10" s="686">
        <f>G10*H10</f>
        <v>0</v>
      </c>
      <c r="J10" s="685"/>
      <c r="K10" s="688">
        <f>G10*J10</f>
        <v>0</v>
      </c>
      <c r="L10" s="689"/>
      <c r="M10" s="689"/>
      <c r="N10" s="691">
        <f>SUM(F10,I10,K10,L10,M10)</f>
        <v>0</v>
      </c>
    </row>
    <row r="11" spans="1:26" ht="13.9" customHeight="1" thickBot="1">
      <c r="A11" s="682" t="s">
        <v>638</v>
      </c>
      <c r="B11" s="683" t="s">
        <v>639</v>
      </c>
      <c r="C11" s="683"/>
      <c r="D11" s="684"/>
      <c r="E11" s="685"/>
      <c r="F11" s="686">
        <f>D11*E11</f>
        <v>0</v>
      </c>
      <c r="G11" s="684"/>
      <c r="H11" s="687"/>
      <c r="I11" s="686">
        <f>G11*H11</f>
        <v>0</v>
      </c>
      <c r="J11" s="685"/>
      <c r="K11" s="688">
        <f>G11*J11</f>
        <v>0</v>
      </c>
      <c r="L11" s="689"/>
      <c r="M11" s="689"/>
      <c r="N11" s="691">
        <f>SUM(F11,I11,K11,L11,M11)</f>
        <v>0</v>
      </c>
    </row>
    <row r="12" spans="1:26" ht="14.25" customHeight="1" thickBot="1">
      <c r="A12" s="692" t="s">
        <v>640</v>
      </c>
      <c r="B12" s="693"/>
      <c r="C12" s="693"/>
      <c r="D12" s="694"/>
      <c r="E12" s="694"/>
      <c r="F12" s="695">
        <f>SUM(F5:F6,F8)</f>
        <v>1200</v>
      </c>
      <c r="G12" s="694"/>
      <c r="H12" s="694"/>
      <c r="I12" s="695">
        <f>SUM(I5:I6,I8)</f>
        <v>630</v>
      </c>
      <c r="J12" s="694"/>
      <c r="K12" s="695">
        <f>SUM(K5:K6,K8)</f>
        <v>735</v>
      </c>
      <c r="L12" s="696"/>
      <c r="M12" s="696"/>
      <c r="N12" s="695">
        <f>SUM(N5:N6,N8)</f>
        <v>2645</v>
      </c>
    </row>
    <row r="13" spans="1:26" ht="14.25" customHeight="1" thickBot="1">
      <c r="A13" s="1172" t="s">
        <v>135</v>
      </c>
      <c r="B13" s="1173"/>
      <c r="C13" s="1173"/>
      <c r="D13" s="1173"/>
      <c r="E13" s="1173"/>
      <c r="F13" s="1173"/>
      <c r="G13" s="1173"/>
      <c r="H13" s="1173"/>
      <c r="I13" s="1173"/>
      <c r="J13" s="1173"/>
      <c r="K13" s="1173"/>
      <c r="L13" s="1173"/>
      <c r="M13" s="1173"/>
      <c r="N13" s="1174"/>
    </row>
    <row r="14" spans="1:26" s="697" customFormat="1" ht="34.15" customHeight="1" thickBot="1">
      <c r="A14" s="672" t="s">
        <v>621</v>
      </c>
      <c r="B14" s="672" t="s">
        <v>641</v>
      </c>
      <c r="C14" s="672" t="s">
        <v>623</v>
      </c>
      <c r="D14" s="672" t="s">
        <v>624</v>
      </c>
      <c r="E14" s="672" t="s">
        <v>625</v>
      </c>
      <c r="F14" s="673" t="s">
        <v>642</v>
      </c>
      <c r="G14" s="672" t="s">
        <v>627</v>
      </c>
      <c r="H14" s="672" t="s">
        <v>628</v>
      </c>
      <c r="I14" s="672" t="s">
        <v>629</v>
      </c>
      <c r="J14" s="672" t="s">
        <v>630</v>
      </c>
      <c r="K14" s="672" t="s">
        <v>631</v>
      </c>
      <c r="L14" s="672" t="s">
        <v>632</v>
      </c>
      <c r="M14" s="672" t="s">
        <v>633</v>
      </c>
      <c r="N14" s="672" t="s">
        <v>634</v>
      </c>
    </row>
    <row r="15" spans="1:26" s="697" customFormat="1" ht="15.6" thickBot="1">
      <c r="A15" s="1166" t="s">
        <v>40</v>
      </c>
      <c r="B15" s="1167"/>
      <c r="C15" s="1167"/>
      <c r="D15" s="1167"/>
      <c r="E15" s="1167"/>
      <c r="F15" s="1167"/>
      <c r="G15" s="1167"/>
      <c r="H15" s="1167"/>
      <c r="I15" s="1167"/>
      <c r="J15" s="1167"/>
      <c r="K15" s="1167"/>
      <c r="L15" s="1167"/>
      <c r="M15" s="1167"/>
      <c r="N15" s="1168"/>
    </row>
    <row r="16" spans="1:26" ht="13.9" customHeight="1">
      <c r="A16" s="698"/>
      <c r="B16" s="699"/>
      <c r="C16" s="699"/>
      <c r="D16" s="700"/>
      <c r="E16" s="700"/>
      <c r="F16" s="701">
        <f>D16*E16</f>
        <v>0</v>
      </c>
      <c r="G16" s="700"/>
      <c r="H16" s="700"/>
      <c r="I16" s="702">
        <f>G16*H16</f>
        <v>0</v>
      </c>
      <c r="J16" s="700"/>
      <c r="K16" s="703">
        <f>G16*J16</f>
        <v>0</v>
      </c>
      <c r="L16" s="704"/>
      <c r="M16" s="704"/>
      <c r="N16" s="701">
        <f>SUM(F16,I16,K16,L16,M16)</f>
        <v>0</v>
      </c>
    </row>
    <row r="17" spans="1:14" ht="13.9" customHeight="1" thickBot="1">
      <c r="A17" s="682"/>
      <c r="B17" s="683"/>
      <c r="C17" s="683"/>
      <c r="D17" s="684"/>
      <c r="E17" s="684"/>
      <c r="F17" s="686">
        <f>D17*E17</f>
        <v>0</v>
      </c>
      <c r="G17" s="684"/>
      <c r="H17" s="684"/>
      <c r="I17" s="691">
        <f>G17*H17</f>
        <v>0</v>
      </c>
      <c r="J17" s="684"/>
      <c r="K17" s="688">
        <f>G17*J17</f>
        <v>0</v>
      </c>
      <c r="L17" s="705"/>
      <c r="M17" s="705"/>
      <c r="N17" s="686">
        <f>SUM(F17,I17,K17,L17,M17)</f>
        <v>0</v>
      </c>
    </row>
    <row r="18" spans="1:14" ht="13.9" customHeight="1" thickBot="1">
      <c r="A18" s="1175" t="s">
        <v>69</v>
      </c>
      <c r="B18" s="1176"/>
      <c r="C18" s="1176"/>
      <c r="D18" s="1176"/>
      <c r="E18" s="1176"/>
      <c r="F18" s="1176"/>
      <c r="G18" s="1176"/>
      <c r="H18" s="1176"/>
      <c r="I18" s="1176"/>
      <c r="J18" s="1176"/>
      <c r="K18" s="1176"/>
      <c r="L18" s="1176"/>
      <c r="M18" s="1176"/>
      <c r="N18" s="1177"/>
    </row>
    <row r="19" spans="1:14" ht="13.9" customHeight="1" thickBot="1">
      <c r="A19" s="682"/>
      <c r="B19" s="683"/>
      <c r="C19" s="683"/>
      <c r="D19" s="684"/>
      <c r="E19" s="685"/>
      <c r="F19" s="686">
        <f>D19*E19</f>
        <v>0</v>
      </c>
      <c r="G19" s="684"/>
      <c r="H19" s="687"/>
      <c r="I19" s="686">
        <f>G19*H19</f>
        <v>0</v>
      </c>
      <c r="J19" s="685"/>
      <c r="K19" s="688">
        <f>G19*J19</f>
        <v>0</v>
      </c>
      <c r="L19" s="690"/>
      <c r="M19" s="690"/>
      <c r="N19" s="691">
        <f>SUM(F19,I19,K19,L19,M19)</f>
        <v>0</v>
      </c>
    </row>
    <row r="20" spans="1:14" ht="15.6" thickBot="1">
      <c r="A20" s="692" t="s">
        <v>643</v>
      </c>
      <c r="B20" s="693"/>
      <c r="C20" s="693"/>
      <c r="D20" s="694"/>
      <c r="E20" s="694"/>
      <c r="F20" s="695">
        <f>SUM(F16:F17,F19)</f>
        <v>0</v>
      </c>
      <c r="G20" s="706"/>
      <c r="H20" s="706"/>
      <c r="I20" s="695">
        <f>SUM(I16:I17,I19)</f>
        <v>0</v>
      </c>
      <c r="J20" s="706"/>
      <c r="K20" s="695">
        <f>SUM(K16:K17,K19)</f>
        <v>0</v>
      </c>
      <c r="L20" s="696"/>
      <c r="M20" s="696"/>
      <c r="N20" s="695">
        <f>SUM(N16:N17,N19)</f>
        <v>0</v>
      </c>
    </row>
    <row r="21" spans="1:14" ht="14.25" customHeight="1" thickBot="1">
      <c r="A21" s="1172" t="s">
        <v>136</v>
      </c>
      <c r="B21" s="1173"/>
      <c r="C21" s="1173"/>
      <c r="D21" s="1173"/>
      <c r="E21" s="1173"/>
      <c r="F21" s="1173"/>
      <c r="G21" s="1173"/>
      <c r="H21" s="1173"/>
      <c r="I21" s="1173"/>
      <c r="J21" s="1173"/>
      <c r="K21" s="1173"/>
      <c r="L21" s="1173"/>
      <c r="M21" s="1173"/>
      <c r="N21" s="1174"/>
    </row>
    <row r="22" spans="1:14" ht="33.75" customHeight="1" thickBot="1">
      <c r="A22" s="672" t="s">
        <v>621</v>
      </c>
      <c r="B22" s="672" t="s">
        <v>641</v>
      </c>
      <c r="C22" s="672" t="s">
        <v>623</v>
      </c>
      <c r="D22" s="672" t="s">
        <v>624</v>
      </c>
      <c r="E22" s="672" t="s">
        <v>625</v>
      </c>
      <c r="F22" s="673" t="s">
        <v>642</v>
      </c>
      <c r="G22" s="672" t="s">
        <v>627</v>
      </c>
      <c r="H22" s="672" t="s">
        <v>628</v>
      </c>
      <c r="I22" s="672" t="s">
        <v>629</v>
      </c>
      <c r="J22" s="672" t="s">
        <v>630</v>
      </c>
      <c r="K22" s="672" t="s">
        <v>631</v>
      </c>
      <c r="L22" s="672" t="s">
        <v>632</v>
      </c>
      <c r="M22" s="672" t="s">
        <v>633</v>
      </c>
      <c r="N22" s="672" t="s">
        <v>634</v>
      </c>
    </row>
    <row r="23" spans="1:14" ht="15.6" thickBot="1">
      <c r="A23" s="1166" t="s">
        <v>40</v>
      </c>
      <c r="B23" s="1167"/>
      <c r="C23" s="1167"/>
      <c r="D23" s="1167"/>
      <c r="E23" s="1167"/>
      <c r="F23" s="1167"/>
      <c r="G23" s="1167"/>
      <c r="H23" s="1167"/>
      <c r="I23" s="1167"/>
      <c r="J23" s="1167"/>
      <c r="K23" s="1167"/>
      <c r="L23" s="1167"/>
      <c r="M23" s="1167"/>
      <c r="N23" s="1168"/>
    </row>
    <row r="24" spans="1:14" ht="14.25" customHeight="1">
      <c r="A24" s="699"/>
      <c r="B24" s="699"/>
      <c r="C24" s="699"/>
      <c r="D24" s="700"/>
      <c r="E24" s="700"/>
      <c r="F24" s="701">
        <f>D24*E24</f>
        <v>0</v>
      </c>
      <c r="G24" s="700"/>
      <c r="H24" s="700"/>
      <c r="I24" s="702">
        <f>G24*H24</f>
        <v>0</v>
      </c>
      <c r="J24" s="700"/>
      <c r="K24" s="703">
        <f>G24*J24</f>
        <v>0</v>
      </c>
      <c r="L24" s="707"/>
      <c r="M24" s="704"/>
      <c r="N24" s="701">
        <f>SUM(F24,I24,K24,L24,M24)</f>
        <v>0</v>
      </c>
    </row>
    <row r="25" spans="1:14" ht="14.25" customHeight="1" thickBot="1">
      <c r="A25" s="683"/>
      <c r="B25" s="683"/>
      <c r="C25" s="683"/>
      <c r="D25" s="684"/>
      <c r="E25" s="684"/>
      <c r="F25" s="701">
        <f>D25*E25</f>
        <v>0</v>
      </c>
      <c r="G25" s="700"/>
      <c r="H25" s="700"/>
      <c r="I25" s="702">
        <f>G25*H25</f>
        <v>0</v>
      </c>
      <c r="J25" s="700"/>
      <c r="K25" s="703">
        <f>G25*J25</f>
        <v>0</v>
      </c>
      <c r="L25" s="707"/>
      <c r="M25" s="704"/>
      <c r="N25" s="701">
        <f>SUM(F25,I25,K25,L25,M25)</f>
        <v>0</v>
      </c>
    </row>
    <row r="26" spans="1:14" ht="14.25" customHeight="1" thickBot="1">
      <c r="A26" s="1175" t="s">
        <v>69</v>
      </c>
      <c r="B26" s="1176"/>
      <c r="C26" s="1176"/>
      <c r="D26" s="1176"/>
      <c r="E26" s="1176"/>
      <c r="F26" s="1176"/>
      <c r="G26" s="1176"/>
      <c r="H26" s="1176"/>
      <c r="I26" s="1176"/>
      <c r="J26" s="1176"/>
      <c r="K26" s="1176"/>
      <c r="L26" s="1176"/>
      <c r="M26" s="1176"/>
      <c r="N26" s="1177"/>
    </row>
    <row r="27" spans="1:14" ht="14.25" customHeight="1" thickBot="1">
      <c r="A27" s="682"/>
      <c r="B27" s="683"/>
      <c r="C27" s="683"/>
      <c r="D27" s="684"/>
      <c r="E27" s="685"/>
      <c r="F27" s="686">
        <f>D27*E27</f>
        <v>0</v>
      </c>
      <c r="G27" s="684"/>
      <c r="H27" s="687"/>
      <c r="I27" s="686">
        <f>G27*H27</f>
        <v>0</v>
      </c>
      <c r="J27" s="685"/>
      <c r="K27" s="688">
        <f>G27*J27</f>
        <v>0</v>
      </c>
      <c r="L27" s="689"/>
      <c r="M27" s="690"/>
      <c r="N27" s="691">
        <f>SUM(F27,I27,K27,L27,M27)</f>
        <v>0</v>
      </c>
    </row>
    <row r="28" spans="1:14" ht="14.25" customHeight="1" thickBot="1">
      <c r="A28" s="692" t="s">
        <v>644</v>
      </c>
      <c r="B28" s="693"/>
      <c r="C28" s="693"/>
      <c r="D28" s="694"/>
      <c r="E28" s="694"/>
      <c r="F28" s="695">
        <f>SUM(F24:F25,F27)</f>
        <v>0</v>
      </c>
      <c r="G28" s="694"/>
      <c r="H28" s="694"/>
      <c r="I28" s="695">
        <f>SUM(I24:I25,I27)</f>
        <v>0</v>
      </c>
      <c r="J28" s="694"/>
      <c r="K28" s="695">
        <f>SUM(K24:K25,K27)</f>
        <v>0</v>
      </c>
      <c r="L28" s="696"/>
      <c r="M28" s="696"/>
      <c r="N28" s="695">
        <f>SUM(N24:N25,N27)</f>
        <v>0</v>
      </c>
    </row>
    <row r="29" spans="1:14" ht="15.6" thickBot="1">
      <c r="A29" s="1172" t="s">
        <v>137</v>
      </c>
      <c r="B29" s="1173"/>
      <c r="C29" s="1173"/>
      <c r="D29" s="1173"/>
      <c r="E29" s="1173"/>
      <c r="F29" s="1173"/>
      <c r="G29" s="1173"/>
      <c r="H29" s="1173"/>
      <c r="I29" s="1173"/>
      <c r="J29" s="1173"/>
      <c r="K29" s="1173"/>
      <c r="L29" s="1173"/>
      <c r="M29" s="1173"/>
      <c r="N29" s="1174"/>
    </row>
    <row r="30" spans="1:14" ht="34.9" customHeight="1" thickBot="1">
      <c r="A30" s="672" t="s">
        <v>621</v>
      </c>
      <c r="B30" s="672" t="s">
        <v>641</v>
      </c>
      <c r="C30" s="672" t="s">
        <v>623</v>
      </c>
      <c r="D30" s="672" t="s">
        <v>624</v>
      </c>
      <c r="E30" s="672" t="s">
        <v>625</v>
      </c>
      <c r="F30" s="673" t="s">
        <v>642</v>
      </c>
      <c r="G30" s="672" t="s">
        <v>627</v>
      </c>
      <c r="H30" s="672" t="s">
        <v>628</v>
      </c>
      <c r="I30" s="672" t="s">
        <v>629</v>
      </c>
      <c r="J30" s="672" t="s">
        <v>630</v>
      </c>
      <c r="K30" s="672" t="s">
        <v>631</v>
      </c>
      <c r="L30" s="672" t="s">
        <v>632</v>
      </c>
      <c r="M30" s="672" t="s">
        <v>633</v>
      </c>
      <c r="N30" s="672" t="s">
        <v>634</v>
      </c>
    </row>
    <row r="31" spans="1:14" ht="15.6" thickBot="1">
      <c r="A31" s="1166" t="s">
        <v>40</v>
      </c>
      <c r="B31" s="1167"/>
      <c r="C31" s="1167"/>
      <c r="D31" s="1167"/>
      <c r="E31" s="1167"/>
      <c r="F31" s="1167"/>
      <c r="G31" s="1167"/>
      <c r="H31" s="1167"/>
      <c r="I31" s="1167"/>
      <c r="J31" s="1167"/>
      <c r="K31" s="1167"/>
      <c r="L31" s="1167"/>
      <c r="M31" s="1167"/>
      <c r="N31" s="1168"/>
    </row>
    <row r="32" spans="1:14" ht="14.25" customHeight="1">
      <c r="A32" s="699"/>
      <c r="B32" s="699"/>
      <c r="C32" s="699"/>
      <c r="D32" s="708"/>
      <c r="E32" s="708"/>
      <c r="F32" s="709">
        <f>D32*E32</f>
        <v>0</v>
      </c>
      <c r="G32" s="708"/>
      <c r="H32" s="708"/>
      <c r="I32" s="709">
        <f>G32*H32</f>
        <v>0</v>
      </c>
      <c r="J32" s="708"/>
      <c r="K32" s="710">
        <f>G32*J32</f>
        <v>0</v>
      </c>
      <c r="L32" s="711"/>
      <c r="M32" s="711"/>
      <c r="N32" s="709">
        <f>SUM(F32,I32,K32,L32,M32)</f>
        <v>0</v>
      </c>
    </row>
    <row r="33" spans="1:14" ht="14.25" customHeight="1">
      <c r="A33" s="698"/>
      <c r="B33" s="698"/>
      <c r="C33" s="698"/>
      <c r="D33" s="712"/>
      <c r="E33" s="712"/>
      <c r="F33" s="709">
        <f>D33*E33</f>
        <v>0</v>
      </c>
      <c r="G33" s="712"/>
      <c r="H33" s="712"/>
      <c r="I33" s="709">
        <f>G33*H33</f>
        <v>0</v>
      </c>
      <c r="J33" s="712"/>
      <c r="K33" s="710">
        <f>G33*J33</f>
        <v>0</v>
      </c>
      <c r="L33" s="712"/>
      <c r="M33" s="712"/>
      <c r="N33" s="709">
        <f>SUM(F33,I33,K33,L33,M33)</f>
        <v>0</v>
      </c>
    </row>
    <row r="34" spans="1:14" ht="14.25" customHeight="1" thickBot="1">
      <c r="A34" s="682"/>
      <c r="B34" s="682"/>
      <c r="C34" s="682"/>
      <c r="D34" s="713"/>
      <c r="E34" s="713"/>
      <c r="F34" s="709">
        <f>D34*E34</f>
        <v>0</v>
      </c>
      <c r="G34" s="713"/>
      <c r="H34" s="713"/>
      <c r="I34" s="709">
        <f>G34*H34</f>
        <v>0</v>
      </c>
      <c r="J34" s="712"/>
      <c r="K34" s="710">
        <f>G34*J34</f>
        <v>0</v>
      </c>
      <c r="L34" s="712"/>
      <c r="M34" s="712"/>
      <c r="N34" s="709">
        <f>SUM(F34,I34,K34,L34,M34)</f>
        <v>0</v>
      </c>
    </row>
    <row r="35" spans="1:14" ht="14.25" customHeight="1" thickBot="1">
      <c r="A35" s="1175" t="s">
        <v>69</v>
      </c>
      <c r="B35" s="1176"/>
      <c r="C35" s="1176"/>
      <c r="D35" s="1176"/>
      <c r="E35" s="1176"/>
      <c r="F35" s="1176"/>
      <c r="G35" s="1176"/>
      <c r="H35" s="1176"/>
      <c r="I35" s="1176"/>
      <c r="J35" s="1176"/>
      <c r="K35" s="1176"/>
      <c r="L35" s="1176"/>
      <c r="M35" s="1176"/>
      <c r="N35" s="1177"/>
    </row>
    <row r="36" spans="1:14" ht="14.25" customHeight="1" thickBot="1">
      <c r="A36" s="682"/>
      <c r="B36" s="683"/>
      <c r="C36" s="683"/>
      <c r="D36" s="684"/>
      <c r="E36" s="685"/>
      <c r="F36" s="686">
        <f>D36*E36</f>
        <v>0</v>
      </c>
      <c r="G36" s="684"/>
      <c r="H36" s="687"/>
      <c r="I36" s="686">
        <f>G36*H36</f>
        <v>0</v>
      </c>
      <c r="J36" s="685"/>
      <c r="K36" s="688">
        <f>G36*J36</f>
        <v>0</v>
      </c>
      <c r="L36" s="690"/>
      <c r="M36" s="690"/>
      <c r="N36" s="691">
        <f>SUM(F36,I36,K36,L36,M36)</f>
        <v>0</v>
      </c>
    </row>
    <row r="37" spans="1:14" ht="15.6" thickBot="1">
      <c r="A37" s="714" t="s">
        <v>645</v>
      </c>
      <c r="B37" s="715"/>
      <c r="C37" s="715"/>
      <c r="D37" s="716"/>
      <c r="E37" s="716"/>
      <c r="F37" s="695">
        <f>SUM(F32:F34,F36)</f>
        <v>0</v>
      </c>
      <c r="G37" s="716"/>
      <c r="H37" s="716"/>
      <c r="I37" s="695">
        <f>SUM(I32:I34,I36)</f>
        <v>0</v>
      </c>
      <c r="J37" s="716"/>
      <c r="K37" s="695">
        <f>SUM(K32:K34,K36)</f>
        <v>0</v>
      </c>
      <c r="L37" s="717"/>
      <c r="M37" s="717"/>
      <c r="N37" s="695">
        <f>SUM(N32:N34,N36)</f>
        <v>0</v>
      </c>
    </row>
    <row r="38" spans="1:14" ht="15.6" thickBot="1">
      <c r="A38" s="692" t="s">
        <v>646</v>
      </c>
      <c r="B38" s="693"/>
      <c r="C38" s="693"/>
      <c r="D38" s="718"/>
      <c r="E38" s="718"/>
      <c r="F38" s="719">
        <f>SUM(F12,F20,F28,F37)</f>
        <v>1200</v>
      </c>
      <c r="G38" s="720"/>
      <c r="H38" s="720"/>
      <c r="I38" s="719">
        <f>SUM(I12,I20,I28,I37)</f>
        <v>630</v>
      </c>
      <c r="J38" s="720"/>
      <c r="K38" s="719">
        <f>SUM(K12,K20,K28,K37)</f>
        <v>735</v>
      </c>
      <c r="L38" s="719"/>
      <c r="M38" s="719"/>
      <c r="N38" s="719">
        <f>SUM(N12,N20,N28,N37)</f>
        <v>2645</v>
      </c>
    </row>
    <row r="39" spans="1:14" ht="14.25" customHeight="1">
      <c r="A39" s="721"/>
      <c r="B39" s="721"/>
      <c r="C39" s="721"/>
      <c r="D39" s="721"/>
      <c r="E39" s="721"/>
      <c r="F39" s="722"/>
      <c r="G39" s="721"/>
      <c r="H39" s="721"/>
      <c r="I39" s="722"/>
      <c r="J39" s="721"/>
      <c r="K39" s="722"/>
      <c r="L39" s="722"/>
      <c r="M39" s="722"/>
      <c r="N39" s="722"/>
    </row>
    <row r="40" spans="1:14" ht="14.25" customHeight="1"/>
    <row r="41" spans="1:14" ht="14.25" customHeight="1"/>
    <row r="42" spans="1:14" ht="14.25" customHeight="1"/>
    <row r="43" spans="1:14" ht="14.25" customHeight="1"/>
    <row r="44" spans="1:14" ht="14.25" customHeight="1"/>
    <row r="45" spans="1:14" ht="14.25" customHeight="1"/>
    <row r="46" spans="1:14" ht="14.25" customHeight="1"/>
    <row r="47" spans="1:14" ht="14.25" customHeight="1"/>
    <row r="48" spans="1: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sheetData>
  <mergeCells count="13">
    <mergeCell ref="A35:N35"/>
    <mergeCell ref="A18:N18"/>
    <mergeCell ref="A21:N21"/>
    <mergeCell ref="A23:N23"/>
    <mergeCell ref="A26:N26"/>
    <mergeCell ref="A29:N29"/>
    <mergeCell ref="A31:N31"/>
    <mergeCell ref="A15:N15"/>
    <mergeCell ref="A1:N1"/>
    <mergeCell ref="A2:N2"/>
    <mergeCell ref="A4:N4"/>
    <mergeCell ref="A7:N7"/>
    <mergeCell ref="A13:N13"/>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pageSetUpPr fitToPage="1"/>
  </sheetPr>
  <dimension ref="A1:AN51"/>
  <sheetViews>
    <sheetView zoomScale="85" workbookViewId="0">
      <pane xSplit="4" ySplit="11" topLeftCell="E12" activePane="bottomRight" state="frozen"/>
      <selection pane="topRight" activeCell="G20" sqref="G20"/>
      <selection pane="bottomLeft" activeCell="G20" sqref="G20"/>
      <selection pane="bottomRight" activeCell="E9" sqref="E9:G9"/>
    </sheetView>
  </sheetViews>
  <sheetFormatPr defaultColWidth="8.71875" defaultRowHeight="12.3"/>
  <cols>
    <col min="1" max="2" width="25.71875" customWidth="1"/>
    <col min="3" max="3" width="12.71875" customWidth="1"/>
    <col min="4" max="4" width="10.71875" bestFit="1" customWidth="1"/>
    <col min="5" max="5" width="7" bestFit="1" customWidth="1"/>
    <col min="6" max="6" width="9.44140625" customWidth="1"/>
    <col min="7" max="7" width="10.44140625" bestFit="1" customWidth="1"/>
    <col min="8" max="8" width="7" customWidth="1"/>
    <col min="9" max="9" width="11.71875" customWidth="1"/>
    <col min="10" max="10" width="10.27734375" customWidth="1"/>
    <col min="11" max="11" width="8.27734375" bestFit="1" customWidth="1"/>
    <col min="14" max="14" width="7" customWidth="1"/>
    <col min="17" max="17" width="8.27734375" bestFit="1" customWidth="1"/>
    <col min="18" max="18" width="11" customWidth="1"/>
    <col min="20" max="20" width="7" bestFit="1" customWidth="1"/>
    <col min="21" max="21" width="9.44140625" customWidth="1"/>
    <col min="22" max="22" width="10.44140625" bestFit="1" customWidth="1"/>
    <col min="23" max="23" width="7" customWidth="1"/>
    <col min="24" max="24" width="11.71875" customWidth="1"/>
    <col min="25" max="25" width="10.27734375" customWidth="1"/>
    <col min="26" max="26" width="8.27734375" bestFit="1" customWidth="1"/>
    <col min="29" max="29" width="7" customWidth="1"/>
    <col min="32" max="32" width="8.27734375" bestFit="1" customWidth="1"/>
    <col min="33" max="33" width="11" customWidth="1"/>
    <col min="272" max="273" width="25.71875" customWidth="1"/>
    <col min="274" max="274" width="12.71875" customWidth="1"/>
    <col min="275" max="275" width="10.71875" bestFit="1" customWidth="1"/>
    <col min="276" max="276" width="7" bestFit="1" customWidth="1"/>
    <col min="277" max="277" width="9.44140625" customWidth="1"/>
    <col min="278" max="278" width="10.44140625" bestFit="1" customWidth="1"/>
    <col min="279" max="279" width="7" customWidth="1"/>
    <col min="280" max="280" width="11.71875" customWidth="1"/>
    <col min="281" max="281" width="10.27734375" customWidth="1"/>
    <col min="282" max="282" width="8.27734375" bestFit="1" customWidth="1"/>
    <col min="285" max="285" width="7" customWidth="1"/>
    <col min="288" max="288" width="8.27734375" bestFit="1" customWidth="1"/>
    <col min="289" max="289" width="11" customWidth="1"/>
    <col min="528" max="529" width="25.71875" customWidth="1"/>
    <col min="530" max="530" width="12.71875" customWidth="1"/>
    <col min="531" max="531" width="10.71875" bestFit="1" customWidth="1"/>
    <col min="532" max="532" width="7" bestFit="1" customWidth="1"/>
    <col min="533" max="533" width="9.44140625" customWidth="1"/>
    <col min="534" max="534" width="10.44140625" bestFit="1" customWidth="1"/>
    <col min="535" max="535" width="7" customWidth="1"/>
    <col min="536" max="536" width="11.71875" customWidth="1"/>
    <col min="537" max="537" width="10.27734375" customWidth="1"/>
    <col min="538" max="538" width="8.27734375" bestFit="1" customWidth="1"/>
    <col min="541" max="541" width="7" customWidth="1"/>
    <col min="544" max="544" width="8.27734375" bestFit="1" customWidth="1"/>
    <col min="545" max="545" width="11" customWidth="1"/>
    <col min="784" max="785" width="25.71875" customWidth="1"/>
    <col min="786" max="786" width="12.71875" customWidth="1"/>
    <col min="787" max="787" width="10.71875" bestFit="1" customWidth="1"/>
    <col min="788" max="788" width="7" bestFit="1" customWidth="1"/>
    <col min="789" max="789" width="9.44140625" customWidth="1"/>
    <col min="790" max="790" width="10.44140625" bestFit="1" customWidth="1"/>
    <col min="791" max="791" width="7" customWidth="1"/>
    <col min="792" max="792" width="11.71875" customWidth="1"/>
    <col min="793" max="793" width="10.27734375" customWidth="1"/>
    <col min="794" max="794" width="8.27734375" bestFit="1" customWidth="1"/>
    <col min="797" max="797" width="7" customWidth="1"/>
    <col min="800" max="800" width="8.27734375" bestFit="1" customWidth="1"/>
    <col min="801" max="801" width="11" customWidth="1"/>
    <col min="1040" max="1041" width="25.71875" customWidth="1"/>
    <col min="1042" max="1042" width="12.71875" customWidth="1"/>
    <col min="1043" max="1043" width="10.71875" bestFit="1" customWidth="1"/>
    <col min="1044" max="1044" width="7" bestFit="1" customWidth="1"/>
    <col min="1045" max="1045" width="9.44140625" customWidth="1"/>
    <col min="1046" max="1046" width="10.44140625" bestFit="1" customWidth="1"/>
    <col min="1047" max="1047" width="7" customWidth="1"/>
    <col min="1048" max="1048" width="11.71875" customWidth="1"/>
    <col min="1049" max="1049" width="10.27734375" customWidth="1"/>
    <col min="1050" max="1050" width="8.27734375" bestFit="1" customWidth="1"/>
    <col min="1053" max="1053" width="7" customWidth="1"/>
    <col min="1056" max="1056" width="8.27734375" bestFit="1" customWidth="1"/>
    <col min="1057" max="1057" width="11" customWidth="1"/>
    <col min="1296" max="1297" width="25.71875" customWidth="1"/>
    <col min="1298" max="1298" width="12.71875" customWidth="1"/>
    <col min="1299" max="1299" width="10.71875" bestFit="1" customWidth="1"/>
    <col min="1300" max="1300" width="7" bestFit="1" customWidth="1"/>
    <col min="1301" max="1301" width="9.44140625" customWidth="1"/>
    <col min="1302" max="1302" width="10.44140625" bestFit="1" customWidth="1"/>
    <col min="1303" max="1303" width="7" customWidth="1"/>
    <col min="1304" max="1304" width="11.71875" customWidth="1"/>
    <col min="1305" max="1305" width="10.27734375" customWidth="1"/>
    <col min="1306" max="1306" width="8.27734375" bestFit="1" customWidth="1"/>
    <col min="1309" max="1309" width="7" customWidth="1"/>
    <col min="1312" max="1312" width="8.27734375" bestFit="1" customWidth="1"/>
    <col min="1313" max="1313" width="11" customWidth="1"/>
    <col min="1552" max="1553" width="25.71875" customWidth="1"/>
    <col min="1554" max="1554" width="12.71875" customWidth="1"/>
    <col min="1555" max="1555" width="10.71875" bestFit="1" customWidth="1"/>
    <col min="1556" max="1556" width="7" bestFit="1" customWidth="1"/>
    <col min="1557" max="1557" width="9.44140625" customWidth="1"/>
    <col min="1558" max="1558" width="10.44140625" bestFit="1" customWidth="1"/>
    <col min="1559" max="1559" width="7" customWidth="1"/>
    <col min="1560" max="1560" width="11.71875" customWidth="1"/>
    <col min="1561" max="1561" width="10.27734375" customWidth="1"/>
    <col min="1562" max="1562" width="8.27734375" bestFit="1" customWidth="1"/>
    <col min="1565" max="1565" width="7" customWidth="1"/>
    <col min="1568" max="1568" width="8.27734375" bestFit="1" customWidth="1"/>
    <col min="1569" max="1569" width="11" customWidth="1"/>
    <col min="1808" max="1809" width="25.71875" customWidth="1"/>
    <col min="1810" max="1810" width="12.71875" customWidth="1"/>
    <col min="1811" max="1811" width="10.71875" bestFit="1" customWidth="1"/>
    <col min="1812" max="1812" width="7" bestFit="1" customWidth="1"/>
    <col min="1813" max="1813" width="9.44140625" customWidth="1"/>
    <col min="1814" max="1814" width="10.44140625" bestFit="1" customWidth="1"/>
    <col min="1815" max="1815" width="7" customWidth="1"/>
    <col min="1816" max="1816" width="11.71875" customWidth="1"/>
    <col min="1817" max="1817" width="10.27734375" customWidth="1"/>
    <col min="1818" max="1818" width="8.27734375" bestFit="1" customWidth="1"/>
    <col min="1821" max="1821" width="7" customWidth="1"/>
    <col min="1824" max="1824" width="8.27734375" bestFit="1" customWidth="1"/>
    <col min="1825" max="1825" width="11" customWidth="1"/>
    <col min="2064" max="2065" width="25.71875" customWidth="1"/>
    <col min="2066" max="2066" width="12.71875" customWidth="1"/>
    <col min="2067" max="2067" width="10.71875" bestFit="1" customWidth="1"/>
    <col min="2068" max="2068" width="7" bestFit="1" customWidth="1"/>
    <col min="2069" max="2069" width="9.44140625" customWidth="1"/>
    <col min="2070" max="2070" width="10.44140625" bestFit="1" customWidth="1"/>
    <col min="2071" max="2071" width="7" customWidth="1"/>
    <col min="2072" max="2072" width="11.71875" customWidth="1"/>
    <col min="2073" max="2073" width="10.27734375" customWidth="1"/>
    <col min="2074" max="2074" width="8.27734375" bestFit="1" customWidth="1"/>
    <col min="2077" max="2077" width="7" customWidth="1"/>
    <col min="2080" max="2080" width="8.27734375" bestFit="1" customWidth="1"/>
    <col min="2081" max="2081" width="11" customWidth="1"/>
    <col min="2320" max="2321" width="25.71875" customWidth="1"/>
    <col min="2322" max="2322" width="12.71875" customWidth="1"/>
    <col min="2323" max="2323" width="10.71875" bestFit="1" customWidth="1"/>
    <col min="2324" max="2324" width="7" bestFit="1" customWidth="1"/>
    <col min="2325" max="2325" width="9.44140625" customWidth="1"/>
    <col min="2326" max="2326" width="10.44140625" bestFit="1" customWidth="1"/>
    <col min="2327" max="2327" width="7" customWidth="1"/>
    <col min="2328" max="2328" width="11.71875" customWidth="1"/>
    <col min="2329" max="2329" width="10.27734375" customWidth="1"/>
    <col min="2330" max="2330" width="8.27734375" bestFit="1" customWidth="1"/>
    <col min="2333" max="2333" width="7" customWidth="1"/>
    <col min="2336" max="2336" width="8.27734375" bestFit="1" customWidth="1"/>
    <col min="2337" max="2337" width="11" customWidth="1"/>
    <col min="2576" max="2577" width="25.71875" customWidth="1"/>
    <col min="2578" max="2578" width="12.71875" customWidth="1"/>
    <col min="2579" max="2579" width="10.71875" bestFit="1" customWidth="1"/>
    <col min="2580" max="2580" width="7" bestFit="1" customWidth="1"/>
    <col min="2581" max="2581" width="9.44140625" customWidth="1"/>
    <col min="2582" max="2582" width="10.44140625" bestFit="1" customWidth="1"/>
    <col min="2583" max="2583" width="7" customWidth="1"/>
    <col min="2584" max="2584" width="11.71875" customWidth="1"/>
    <col min="2585" max="2585" width="10.27734375" customWidth="1"/>
    <col min="2586" max="2586" width="8.27734375" bestFit="1" customWidth="1"/>
    <col min="2589" max="2589" width="7" customWidth="1"/>
    <col min="2592" max="2592" width="8.27734375" bestFit="1" customWidth="1"/>
    <col min="2593" max="2593" width="11" customWidth="1"/>
    <col min="2832" max="2833" width="25.71875" customWidth="1"/>
    <col min="2834" max="2834" width="12.71875" customWidth="1"/>
    <col min="2835" max="2835" width="10.71875" bestFit="1" customWidth="1"/>
    <col min="2836" max="2836" width="7" bestFit="1" customWidth="1"/>
    <col min="2837" max="2837" width="9.44140625" customWidth="1"/>
    <col min="2838" max="2838" width="10.44140625" bestFit="1" customWidth="1"/>
    <col min="2839" max="2839" width="7" customWidth="1"/>
    <col min="2840" max="2840" width="11.71875" customWidth="1"/>
    <col min="2841" max="2841" width="10.27734375" customWidth="1"/>
    <col min="2842" max="2842" width="8.27734375" bestFit="1" customWidth="1"/>
    <col min="2845" max="2845" width="7" customWidth="1"/>
    <col min="2848" max="2848" width="8.27734375" bestFit="1" customWidth="1"/>
    <col min="2849" max="2849" width="11" customWidth="1"/>
    <col min="3088" max="3089" width="25.71875" customWidth="1"/>
    <col min="3090" max="3090" width="12.71875" customWidth="1"/>
    <col min="3091" max="3091" width="10.71875" bestFit="1" customWidth="1"/>
    <col min="3092" max="3092" width="7" bestFit="1" customWidth="1"/>
    <col min="3093" max="3093" width="9.44140625" customWidth="1"/>
    <col min="3094" max="3094" width="10.44140625" bestFit="1" customWidth="1"/>
    <col min="3095" max="3095" width="7" customWidth="1"/>
    <col min="3096" max="3096" width="11.71875" customWidth="1"/>
    <col min="3097" max="3097" width="10.27734375" customWidth="1"/>
    <col min="3098" max="3098" width="8.27734375" bestFit="1" customWidth="1"/>
    <col min="3101" max="3101" width="7" customWidth="1"/>
    <col min="3104" max="3104" width="8.27734375" bestFit="1" customWidth="1"/>
    <col min="3105" max="3105" width="11" customWidth="1"/>
    <col min="3344" max="3345" width="25.71875" customWidth="1"/>
    <col min="3346" max="3346" width="12.71875" customWidth="1"/>
    <col min="3347" max="3347" width="10.71875" bestFit="1" customWidth="1"/>
    <col min="3348" max="3348" width="7" bestFit="1" customWidth="1"/>
    <col min="3349" max="3349" width="9.44140625" customWidth="1"/>
    <col min="3350" max="3350" width="10.44140625" bestFit="1" customWidth="1"/>
    <col min="3351" max="3351" width="7" customWidth="1"/>
    <col min="3352" max="3352" width="11.71875" customWidth="1"/>
    <col min="3353" max="3353" width="10.27734375" customWidth="1"/>
    <col min="3354" max="3354" width="8.27734375" bestFit="1" customWidth="1"/>
    <col min="3357" max="3357" width="7" customWidth="1"/>
    <col min="3360" max="3360" width="8.27734375" bestFit="1" customWidth="1"/>
    <col min="3361" max="3361" width="11" customWidth="1"/>
    <col min="3600" max="3601" width="25.71875" customWidth="1"/>
    <col min="3602" max="3602" width="12.71875" customWidth="1"/>
    <col min="3603" max="3603" width="10.71875" bestFit="1" customWidth="1"/>
    <col min="3604" max="3604" width="7" bestFit="1" customWidth="1"/>
    <col min="3605" max="3605" width="9.44140625" customWidth="1"/>
    <col min="3606" max="3606" width="10.44140625" bestFit="1" customWidth="1"/>
    <col min="3607" max="3607" width="7" customWidth="1"/>
    <col min="3608" max="3608" width="11.71875" customWidth="1"/>
    <col min="3609" max="3609" width="10.27734375" customWidth="1"/>
    <col min="3610" max="3610" width="8.27734375" bestFit="1" customWidth="1"/>
    <col min="3613" max="3613" width="7" customWidth="1"/>
    <col min="3616" max="3616" width="8.27734375" bestFit="1" customWidth="1"/>
    <col min="3617" max="3617" width="11" customWidth="1"/>
    <col min="3856" max="3857" width="25.71875" customWidth="1"/>
    <col min="3858" max="3858" width="12.71875" customWidth="1"/>
    <col min="3859" max="3859" width="10.71875" bestFit="1" customWidth="1"/>
    <col min="3860" max="3860" width="7" bestFit="1" customWidth="1"/>
    <col min="3861" max="3861" width="9.44140625" customWidth="1"/>
    <col min="3862" max="3862" width="10.44140625" bestFit="1" customWidth="1"/>
    <col min="3863" max="3863" width="7" customWidth="1"/>
    <col min="3864" max="3864" width="11.71875" customWidth="1"/>
    <col min="3865" max="3865" width="10.27734375" customWidth="1"/>
    <col min="3866" max="3866" width="8.27734375" bestFit="1" customWidth="1"/>
    <col min="3869" max="3869" width="7" customWidth="1"/>
    <col min="3872" max="3872" width="8.27734375" bestFit="1" customWidth="1"/>
    <col min="3873" max="3873" width="11" customWidth="1"/>
    <col min="4112" max="4113" width="25.71875" customWidth="1"/>
    <col min="4114" max="4114" width="12.71875" customWidth="1"/>
    <col min="4115" max="4115" width="10.71875" bestFit="1" customWidth="1"/>
    <col min="4116" max="4116" width="7" bestFit="1" customWidth="1"/>
    <col min="4117" max="4117" width="9.44140625" customWidth="1"/>
    <col min="4118" max="4118" width="10.44140625" bestFit="1" customWidth="1"/>
    <col min="4119" max="4119" width="7" customWidth="1"/>
    <col min="4120" max="4120" width="11.71875" customWidth="1"/>
    <col min="4121" max="4121" width="10.27734375" customWidth="1"/>
    <col min="4122" max="4122" width="8.27734375" bestFit="1" customWidth="1"/>
    <col min="4125" max="4125" width="7" customWidth="1"/>
    <col min="4128" max="4128" width="8.27734375" bestFit="1" customWidth="1"/>
    <col min="4129" max="4129" width="11" customWidth="1"/>
    <col min="4368" max="4369" width="25.71875" customWidth="1"/>
    <col min="4370" max="4370" width="12.71875" customWidth="1"/>
    <col min="4371" max="4371" width="10.71875" bestFit="1" customWidth="1"/>
    <col min="4372" max="4372" width="7" bestFit="1" customWidth="1"/>
    <col min="4373" max="4373" width="9.44140625" customWidth="1"/>
    <col min="4374" max="4374" width="10.44140625" bestFit="1" customWidth="1"/>
    <col min="4375" max="4375" width="7" customWidth="1"/>
    <col min="4376" max="4376" width="11.71875" customWidth="1"/>
    <col min="4377" max="4377" width="10.27734375" customWidth="1"/>
    <col min="4378" max="4378" width="8.27734375" bestFit="1" customWidth="1"/>
    <col min="4381" max="4381" width="7" customWidth="1"/>
    <col min="4384" max="4384" width="8.27734375" bestFit="1" customWidth="1"/>
    <col min="4385" max="4385" width="11" customWidth="1"/>
    <col min="4624" max="4625" width="25.71875" customWidth="1"/>
    <col min="4626" max="4626" width="12.71875" customWidth="1"/>
    <col min="4627" max="4627" width="10.71875" bestFit="1" customWidth="1"/>
    <col min="4628" max="4628" width="7" bestFit="1" customWidth="1"/>
    <col min="4629" max="4629" width="9.44140625" customWidth="1"/>
    <col min="4630" max="4630" width="10.44140625" bestFit="1" customWidth="1"/>
    <col min="4631" max="4631" width="7" customWidth="1"/>
    <col min="4632" max="4632" width="11.71875" customWidth="1"/>
    <col min="4633" max="4633" width="10.27734375" customWidth="1"/>
    <col min="4634" max="4634" width="8.27734375" bestFit="1" customWidth="1"/>
    <col min="4637" max="4637" width="7" customWidth="1"/>
    <col min="4640" max="4640" width="8.27734375" bestFit="1" customWidth="1"/>
    <col min="4641" max="4641" width="11" customWidth="1"/>
    <col min="4880" max="4881" width="25.71875" customWidth="1"/>
    <col min="4882" max="4882" width="12.71875" customWidth="1"/>
    <col min="4883" max="4883" width="10.71875" bestFit="1" customWidth="1"/>
    <col min="4884" max="4884" width="7" bestFit="1" customWidth="1"/>
    <col min="4885" max="4885" width="9.44140625" customWidth="1"/>
    <col min="4886" max="4886" width="10.44140625" bestFit="1" customWidth="1"/>
    <col min="4887" max="4887" width="7" customWidth="1"/>
    <col min="4888" max="4888" width="11.71875" customWidth="1"/>
    <col min="4889" max="4889" width="10.27734375" customWidth="1"/>
    <col min="4890" max="4890" width="8.27734375" bestFit="1" customWidth="1"/>
    <col min="4893" max="4893" width="7" customWidth="1"/>
    <col min="4896" max="4896" width="8.27734375" bestFit="1" customWidth="1"/>
    <col min="4897" max="4897" width="11" customWidth="1"/>
    <col min="5136" max="5137" width="25.71875" customWidth="1"/>
    <col min="5138" max="5138" width="12.71875" customWidth="1"/>
    <col min="5139" max="5139" width="10.71875" bestFit="1" customWidth="1"/>
    <col min="5140" max="5140" width="7" bestFit="1" customWidth="1"/>
    <col min="5141" max="5141" width="9.44140625" customWidth="1"/>
    <col min="5142" max="5142" width="10.44140625" bestFit="1" customWidth="1"/>
    <col min="5143" max="5143" width="7" customWidth="1"/>
    <col min="5144" max="5144" width="11.71875" customWidth="1"/>
    <col min="5145" max="5145" width="10.27734375" customWidth="1"/>
    <col min="5146" max="5146" width="8.27734375" bestFit="1" customWidth="1"/>
    <col min="5149" max="5149" width="7" customWidth="1"/>
    <col min="5152" max="5152" width="8.27734375" bestFit="1" customWidth="1"/>
    <col min="5153" max="5153" width="11" customWidth="1"/>
    <col min="5392" max="5393" width="25.71875" customWidth="1"/>
    <col min="5394" max="5394" width="12.71875" customWidth="1"/>
    <col min="5395" max="5395" width="10.71875" bestFit="1" customWidth="1"/>
    <col min="5396" max="5396" width="7" bestFit="1" customWidth="1"/>
    <col min="5397" max="5397" width="9.44140625" customWidth="1"/>
    <col min="5398" max="5398" width="10.44140625" bestFit="1" customWidth="1"/>
    <col min="5399" max="5399" width="7" customWidth="1"/>
    <col min="5400" max="5400" width="11.71875" customWidth="1"/>
    <col min="5401" max="5401" width="10.27734375" customWidth="1"/>
    <col min="5402" max="5402" width="8.27734375" bestFit="1" customWidth="1"/>
    <col min="5405" max="5405" width="7" customWidth="1"/>
    <col min="5408" max="5408" width="8.27734375" bestFit="1" customWidth="1"/>
    <col min="5409" max="5409" width="11" customWidth="1"/>
    <col min="5648" max="5649" width="25.71875" customWidth="1"/>
    <col min="5650" max="5650" width="12.71875" customWidth="1"/>
    <col min="5651" max="5651" width="10.71875" bestFit="1" customWidth="1"/>
    <col min="5652" max="5652" width="7" bestFit="1" customWidth="1"/>
    <col min="5653" max="5653" width="9.44140625" customWidth="1"/>
    <col min="5654" max="5654" width="10.44140625" bestFit="1" customWidth="1"/>
    <col min="5655" max="5655" width="7" customWidth="1"/>
    <col min="5656" max="5656" width="11.71875" customWidth="1"/>
    <col min="5657" max="5657" width="10.27734375" customWidth="1"/>
    <col min="5658" max="5658" width="8.27734375" bestFit="1" customWidth="1"/>
    <col min="5661" max="5661" width="7" customWidth="1"/>
    <col min="5664" max="5664" width="8.27734375" bestFit="1" customWidth="1"/>
    <col min="5665" max="5665" width="11" customWidth="1"/>
    <col min="5904" max="5905" width="25.71875" customWidth="1"/>
    <col min="5906" max="5906" width="12.71875" customWidth="1"/>
    <col min="5907" max="5907" width="10.71875" bestFit="1" customWidth="1"/>
    <col min="5908" max="5908" width="7" bestFit="1" customWidth="1"/>
    <col min="5909" max="5909" width="9.44140625" customWidth="1"/>
    <col min="5910" max="5910" width="10.44140625" bestFit="1" customWidth="1"/>
    <col min="5911" max="5911" width="7" customWidth="1"/>
    <col min="5912" max="5912" width="11.71875" customWidth="1"/>
    <col min="5913" max="5913" width="10.27734375" customWidth="1"/>
    <col min="5914" max="5914" width="8.27734375" bestFit="1" customWidth="1"/>
    <col min="5917" max="5917" width="7" customWidth="1"/>
    <col min="5920" max="5920" width="8.27734375" bestFit="1" customWidth="1"/>
    <col min="5921" max="5921" width="11" customWidth="1"/>
    <col min="6160" max="6161" width="25.71875" customWidth="1"/>
    <col min="6162" max="6162" width="12.71875" customWidth="1"/>
    <col min="6163" max="6163" width="10.71875" bestFit="1" customWidth="1"/>
    <col min="6164" max="6164" width="7" bestFit="1" customWidth="1"/>
    <col min="6165" max="6165" width="9.44140625" customWidth="1"/>
    <col min="6166" max="6166" width="10.44140625" bestFit="1" customWidth="1"/>
    <col min="6167" max="6167" width="7" customWidth="1"/>
    <col min="6168" max="6168" width="11.71875" customWidth="1"/>
    <col min="6169" max="6169" width="10.27734375" customWidth="1"/>
    <col min="6170" max="6170" width="8.27734375" bestFit="1" customWidth="1"/>
    <col min="6173" max="6173" width="7" customWidth="1"/>
    <col min="6176" max="6176" width="8.27734375" bestFit="1" customWidth="1"/>
    <col min="6177" max="6177" width="11" customWidth="1"/>
    <col min="6416" max="6417" width="25.71875" customWidth="1"/>
    <col min="6418" max="6418" width="12.71875" customWidth="1"/>
    <col min="6419" max="6419" width="10.71875" bestFit="1" customWidth="1"/>
    <col min="6420" max="6420" width="7" bestFit="1" customWidth="1"/>
    <col min="6421" max="6421" width="9.44140625" customWidth="1"/>
    <col min="6422" max="6422" width="10.44140625" bestFit="1" customWidth="1"/>
    <col min="6423" max="6423" width="7" customWidth="1"/>
    <col min="6424" max="6424" width="11.71875" customWidth="1"/>
    <col min="6425" max="6425" width="10.27734375" customWidth="1"/>
    <col min="6426" max="6426" width="8.27734375" bestFit="1" customWidth="1"/>
    <col min="6429" max="6429" width="7" customWidth="1"/>
    <col min="6432" max="6432" width="8.27734375" bestFit="1" customWidth="1"/>
    <col min="6433" max="6433" width="11" customWidth="1"/>
    <col min="6672" max="6673" width="25.71875" customWidth="1"/>
    <col min="6674" max="6674" width="12.71875" customWidth="1"/>
    <col min="6675" max="6675" width="10.71875" bestFit="1" customWidth="1"/>
    <col min="6676" max="6676" width="7" bestFit="1" customWidth="1"/>
    <col min="6677" max="6677" width="9.44140625" customWidth="1"/>
    <col min="6678" max="6678" width="10.44140625" bestFit="1" customWidth="1"/>
    <col min="6679" max="6679" width="7" customWidth="1"/>
    <col min="6680" max="6680" width="11.71875" customWidth="1"/>
    <col min="6681" max="6681" width="10.27734375" customWidth="1"/>
    <col min="6682" max="6682" width="8.27734375" bestFit="1" customWidth="1"/>
    <col min="6685" max="6685" width="7" customWidth="1"/>
    <col min="6688" max="6688" width="8.27734375" bestFit="1" customWidth="1"/>
    <col min="6689" max="6689" width="11" customWidth="1"/>
    <col min="6928" max="6929" width="25.71875" customWidth="1"/>
    <col min="6930" max="6930" width="12.71875" customWidth="1"/>
    <col min="6931" max="6931" width="10.71875" bestFit="1" customWidth="1"/>
    <col min="6932" max="6932" width="7" bestFit="1" customWidth="1"/>
    <col min="6933" max="6933" width="9.44140625" customWidth="1"/>
    <col min="6934" max="6934" width="10.44140625" bestFit="1" customWidth="1"/>
    <col min="6935" max="6935" width="7" customWidth="1"/>
    <col min="6936" max="6936" width="11.71875" customWidth="1"/>
    <col min="6937" max="6937" width="10.27734375" customWidth="1"/>
    <col min="6938" max="6938" width="8.27734375" bestFit="1" customWidth="1"/>
    <col min="6941" max="6941" width="7" customWidth="1"/>
    <col min="6944" max="6944" width="8.27734375" bestFit="1" customWidth="1"/>
    <col min="6945" max="6945" width="11" customWidth="1"/>
    <col min="7184" max="7185" width="25.71875" customWidth="1"/>
    <col min="7186" max="7186" width="12.71875" customWidth="1"/>
    <col min="7187" max="7187" width="10.71875" bestFit="1" customWidth="1"/>
    <col min="7188" max="7188" width="7" bestFit="1" customWidth="1"/>
    <col min="7189" max="7189" width="9.44140625" customWidth="1"/>
    <col min="7190" max="7190" width="10.44140625" bestFit="1" customWidth="1"/>
    <col min="7191" max="7191" width="7" customWidth="1"/>
    <col min="7192" max="7192" width="11.71875" customWidth="1"/>
    <col min="7193" max="7193" width="10.27734375" customWidth="1"/>
    <col min="7194" max="7194" width="8.27734375" bestFit="1" customWidth="1"/>
    <col min="7197" max="7197" width="7" customWidth="1"/>
    <col min="7200" max="7200" width="8.27734375" bestFit="1" customWidth="1"/>
    <col min="7201" max="7201" width="11" customWidth="1"/>
    <col min="7440" max="7441" width="25.71875" customWidth="1"/>
    <col min="7442" max="7442" width="12.71875" customWidth="1"/>
    <col min="7443" max="7443" width="10.71875" bestFit="1" customWidth="1"/>
    <col min="7444" max="7444" width="7" bestFit="1" customWidth="1"/>
    <col min="7445" max="7445" width="9.44140625" customWidth="1"/>
    <col min="7446" max="7446" width="10.44140625" bestFit="1" customWidth="1"/>
    <col min="7447" max="7447" width="7" customWidth="1"/>
    <col min="7448" max="7448" width="11.71875" customWidth="1"/>
    <col min="7449" max="7449" width="10.27734375" customWidth="1"/>
    <col min="7450" max="7450" width="8.27734375" bestFit="1" customWidth="1"/>
    <col min="7453" max="7453" width="7" customWidth="1"/>
    <col min="7456" max="7456" width="8.27734375" bestFit="1" customWidth="1"/>
    <col min="7457" max="7457" width="11" customWidth="1"/>
    <col min="7696" max="7697" width="25.71875" customWidth="1"/>
    <col min="7698" max="7698" width="12.71875" customWidth="1"/>
    <col min="7699" max="7699" width="10.71875" bestFit="1" customWidth="1"/>
    <col min="7700" max="7700" width="7" bestFit="1" customWidth="1"/>
    <col min="7701" max="7701" width="9.44140625" customWidth="1"/>
    <col min="7702" max="7702" width="10.44140625" bestFit="1" customWidth="1"/>
    <col min="7703" max="7703" width="7" customWidth="1"/>
    <col min="7704" max="7704" width="11.71875" customWidth="1"/>
    <col min="7705" max="7705" width="10.27734375" customWidth="1"/>
    <col min="7706" max="7706" width="8.27734375" bestFit="1" customWidth="1"/>
    <col min="7709" max="7709" width="7" customWidth="1"/>
    <col min="7712" max="7712" width="8.27734375" bestFit="1" customWidth="1"/>
    <col min="7713" max="7713" width="11" customWidth="1"/>
    <col min="7952" max="7953" width="25.71875" customWidth="1"/>
    <col min="7954" max="7954" width="12.71875" customWidth="1"/>
    <col min="7955" max="7955" width="10.71875" bestFit="1" customWidth="1"/>
    <col min="7956" max="7956" width="7" bestFit="1" customWidth="1"/>
    <col min="7957" max="7957" width="9.44140625" customWidth="1"/>
    <col min="7958" max="7958" width="10.44140625" bestFit="1" customWidth="1"/>
    <col min="7959" max="7959" width="7" customWidth="1"/>
    <col min="7960" max="7960" width="11.71875" customWidth="1"/>
    <col min="7961" max="7961" width="10.27734375" customWidth="1"/>
    <col min="7962" max="7962" width="8.27734375" bestFit="1" customWidth="1"/>
    <col min="7965" max="7965" width="7" customWidth="1"/>
    <col min="7968" max="7968" width="8.27734375" bestFit="1" customWidth="1"/>
    <col min="7969" max="7969" width="11" customWidth="1"/>
    <col min="8208" max="8209" width="25.71875" customWidth="1"/>
    <col min="8210" max="8210" width="12.71875" customWidth="1"/>
    <col min="8211" max="8211" width="10.71875" bestFit="1" customWidth="1"/>
    <col min="8212" max="8212" width="7" bestFit="1" customWidth="1"/>
    <col min="8213" max="8213" width="9.44140625" customWidth="1"/>
    <col min="8214" max="8214" width="10.44140625" bestFit="1" customWidth="1"/>
    <col min="8215" max="8215" width="7" customWidth="1"/>
    <col min="8216" max="8216" width="11.71875" customWidth="1"/>
    <col min="8217" max="8217" width="10.27734375" customWidth="1"/>
    <col min="8218" max="8218" width="8.27734375" bestFit="1" customWidth="1"/>
    <col min="8221" max="8221" width="7" customWidth="1"/>
    <col min="8224" max="8224" width="8.27734375" bestFit="1" customWidth="1"/>
    <col min="8225" max="8225" width="11" customWidth="1"/>
    <col min="8464" max="8465" width="25.71875" customWidth="1"/>
    <col min="8466" max="8466" width="12.71875" customWidth="1"/>
    <col min="8467" max="8467" width="10.71875" bestFit="1" customWidth="1"/>
    <col min="8468" max="8468" width="7" bestFit="1" customWidth="1"/>
    <col min="8469" max="8469" width="9.44140625" customWidth="1"/>
    <col min="8470" max="8470" width="10.44140625" bestFit="1" customWidth="1"/>
    <col min="8471" max="8471" width="7" customWidth="1"/>
    <col min="8472" max="8472" width="11.71875" customWidth="1"/>
    <col min="8473" max="8473" width="10.27734375" customWidth="1"/>
    <col min="8474" max="8474" width="8.27734375" bestFit="1" customWidth="1"/>
    <col min="8477" max="8477" width="7" customWidth="1"/>
    <col min="8480" max="8480" width="8.27734375" bestFit="1" customWidth="1"/>
    <col min="8481" max="8481" width="11" customWidth="1"/>
    <col min="8720" max="8721" width="25.71875" customWidth="1"/>
    <col min="8722" max="8722" width="12.71875" customWidth="1"/>
    <col min="8723" max="8723" width="10.71875" bestFit="1" customWidth="1"/>
    <col min="8724" max="8724" width="7" bestFit="1" customWidth="1"/>
    <col min="8725" max="8725" width="9.44140625" customWidth="1"/>
    <col min="8726" max="8726" width="10.44140625" bestFit="1" customWidth="1"/>
    <col min="8727" max="8727" width="7" customWidth="1"/>
    <col min="8728" max="8728" width="11.71875" customWidth="1"/>
    <col min="8729" max="8729" width="10.27734375" customWidth="1"/>
    <col min="8730" max="8730" width="8.27734375" bestFit="1" customWidth="1"/>
    <col min="8733" max="8733" width="7" customWidth="1"/>
    <col min="8736" max="8736" width="8.27734375" bestFit="1" customWidth="1"/>
    <col min="8737" max="8737" width="11" customWidth="1"/>
    <col min="8976" max="8977" width="25.71875" customWidth="1"/>
    <col min="8978" max="8978" width="12.71875" customWidth="1"/>
    <col min="8979" max="8979" width="10.71875" bestFit="1" customWidth="1"/>
    <col min="8980" max="8980" width="7" bestFit="1" customWidth="1"/>
    <col min="8981" max="8981" width="9.44140625" customWidth="1"/>
    <col min="8982" max="8982" width="10.44140625" bestFit="1" customWidth="1"/>
    <col min="8983" max="8983" width="7" customWidth="1"/>
    <col min="8984" max="8984" width="11.71875" customWidth="1"/>
    <col min="8985" max="8985" width="10.27734375" customWidth="1"/>
    <col min="8986" max="8986" width="8.27734375" bestFit="1" customWidth="1"/>
    <col min="8989" max="8989" width="7" customWidth="1"/>
    <col min="8992" max="8992" width="8.27734375" bestFit="1" customWidth="1"/>
    <col min="8993" max="8993" width="11" customWidth="1"/>
    <col min="9232" max="9233" width="25.71875" customWidth="1"/>
    <col min="9234" max="9234" width="12.71875" customWidth="1"/>
    <col min="9235" max="9235" width="10.71875" bestFit="1" customWidth="1"/>
    <col min="9236" max="9236" width="7" bestFit="1" customWidth="1"/>
    <col min="9237" max="9237" width="9.44140625" customWidth="1"/>
    <col min="9238" max="9238" width="10.44140625" bestFit="1" customWidth="1"/>
    <col min="9239" max="9239" width="7" customWidth="1"/>
    <col min="9240" max="9240" width="11.71875" customWidth="1"/>
    <col min="9241" max="9241" width="10.27734375" customWidth="1"/>
    <col min="9242" max="9242" width="8.27734375" bestFit="1" customWidth="1"/>
    <col min="9245" max="9245" width="7" customWidth="1"/>
    <col min="9248" max="9248" width="8.27734375" bestFit="1" customWidth="1"/>
    <col min="9249" max="9249" width="11" customWidth="1"/>
    <col min="9488" max="9489" width="25.71875" customWidth="1"/>
    <col min="9490" max="9490" width="12.71875" customWidth="1"/>
    <col min="9491" max="9491" width="10.71875" bestFit="1" customWidth="1"/>
    <col min="9492" max="9492" width="7" bestFit="1" customWidth="1"/>
    <col min="9493" max="9493" width="9.44140625" customWidth="1"/>
    <col min="9494" max="9494" width="10.44140625" bestFit="1" customWidth="1"/>
    <col min="9495" max="9495" width="7" customWidth="1"/>
    <col min="9496" max="9496" width="11.71875" customWidth="1"/>
    <col min="9497" max="9497" width="10.27734375" customWidth="1"/>
    <col min="9498" max="9498" width="8.27734375" bestFit="1" customWidth="1"/>
    <col min="9501" max="9501" width="7" customWidth="1"/>
    <col min="9504" max="9504" width="8.27734375" bestFit="1" customWidth="1"/>
    <col min="9505" max="9505" width="11" customWidth="1"/>
    <col min="9744" max="9745" width="25.71875" customWidth="1"/>
    <col min="9746" max="9746" width="12.71875" customWidth="1"/>
    <col min="9747" max="9747" width="10.71875" bestFit="1" customWidth="1"/>
    <col min="9748" max="9748" width="7" bestFit="1" customWidth="1"/>
    <col min="9749" max="9749" width="9.44140625" customWidth="1"/>
    <col min="9750" max="9750" width="10.44140625" bestFit="1" customWidth="1"/>
    <col min="9751" max="9751" width="7" customWidth="1"/>
    <col min="9752" max="9752" width="11.71875" customWidth="1"/>
    <col min="9753" max="9753" width="10.27734375" customWidth="1"/>
    <col min="9754" max="9754" width="8.27734375" bestFit="1" customWidth="1"/>
    <col min="9757" max="9757" width="7" customWidth="1"/>
    <col min="9760" max="9760" width="8.27734375" bestFit="1" customWidth="1"/>
    <col min="9761" max="9761" width="11" customWidth="1"/>
    <col min="10000" max="10001" width="25.71875" customWidth="1"/>
    <col min="10002" max="10002" width="12.71875" customWidth="1"/>
    <col min="10003" max="10003" width="10.71875" bestFit="1" customWidth="1"/>
    <col min="10004" max="10004" width="7" bestFit="1" customWidth="1"/>
    <col min="10005" max="10005" width="9.44140625" customWidth="1"/>
    <col min="10006" max="10006" width="10.44140625" bestFit="1" customWidth="1"/>
    <col min="10007" max="10007" width="7" customWidth="1"/>
    <col min="10008" max="10008" width="11.71875" customWidth="1"/>
    <col min="10009" max="10009" width="10.27734375" customWidth="1"/>
    <col min="10010" max="10010" width="8.27734375" bestFit="1" customWidth="1"/>
    <col min="10013" max="10013" width="7" customWidth="1"/>
    <col min="10016" max="10016" width="8.27734375" bestFit="1" customWidth="1"/>
    <col min="10017" max="10017" width="11" customWidth="1"/>
    <col min="10256" max="10257" width="25.71875" customWidth="1"/>
    <col min="10258" max="10258" width="12.71875" customWidth="1"/>
    <col min="10259" max="10259" width="10.71875" bestFit="1" customWidth="1"/>
    <col min="10260" max="10260" width="7" bestFit="1" customWidth="1"/>
    <col min="10261" max="10261" width="9.44140625" customWidth="1"/>
    <col min="10262" max="10262" width="10.44140625" bestFit="1" customWidth="1"/>
    <col min="10263" max="10263" width="7" customWidth="1"/>
    <col min="10264" max="10264" width="11.71875" customWidth="1"/>
    <col min="10265" max="10265" width="10.27734375" customWidth="1"/>
    <col min="10266" max="10266" width="8.27734375" bestFit="1" customWidth="1"/>
    <col min="10269" max="10269" width="7" customWidth="1"/>
    <col min="10272" max="10272" width="8.27734375" bestFit="1" customWidth="1"/>
    <col min="10273" max="10273" width="11" customWidth="1"/>
    <col min="10512" max="10513" width="25.71875" customWidth="1"/>
    <col min="10514" max="10514" width="12.71875" customWidth="1"/>
    <col min="10515" max="10515" width="10.71875" bestFit="1" customWidth="1"/>
    <col min="10516" max="10516" width="7" bestFit="1" customWidth="1"/>
    <col min="10517" max="10517" width="9.44140625" customWidth="1"/>
    <col min="10518" max="10518" width="10.44140625" bestFit="1" customWidth="1"/>
    <col min="10519" max="10519" width="7" customWidth="1"/>
    <col min="10520" max="10520" width="11.71875" customWidth="1"/>
    <col min="10521" max="10521" width="10.27734375" customWidth="1"/>
    <col min="10522" max="10522" width="8.27734375" bestFit="1" customWidth="1"/>
    <col min="10525" max="10525" width="7" customWidth="1"/>
    <col min="10528" max="10528" width="8.27734375" bestFit="1" customWidth="1"/>
    <col min="10529" max="10529" width="11" customWidth="1"/>
    <col min="10768" max="10769" width="25.71875" customWidth="1"/>
    <col min="10770" max="10770" width="12.71875" customWidth="1"/>
    <col min="10771" max="10771" width="10.71875" bestFit="1" customWidth="1"/>
    <col min="10772" max="10772" width="7" bestFit="1" customWidth="1"/>
    <col min="10773" max="10773" width="9.44140625" customWidth="1"/>
    <col min="10774" max="10774" width="10.44140625" bestFit="1" customWidth="1"/>
    <col min="10775" max="10775" width="7" customWidth="1"/>
    <col min="10776" max="10776" width="11.71875" customWidth="1"/>
    <col min="10777" max="10777" width="10.27734375" customWidth="1"/>
    <col min="10778" max="10778" width="8.27734375" bestFit="1" customWidth="1"/>
    <col min="10781" max="10781" width="7" customWidth="1"/>
    <col min="10784" max="10784" width="8.27734375" bestFit="1" customWidth="1"/>
    <col min="10785" max="10785" width="11" customWidth="1"/>
    <col min="11024" max="11025" width="25.71875" customWidth="1"/>
    <col min="11026" max="11026" width="12.71875" customWidth="1"/>
    <col min="11027" max="11027" width="10.71875" bestFit="1" customWidth="1"/>
    <col min="11028" max="11028" width="7" bestFit="1" customWidth="1"/>
    <col min="11029" max="11029" width="9.44140625" customWidth="1"/>
    <col min="11030" max="11030" width="10.44140625" bestFit="1" customWidth="1"/>
    <col min="11031" max="11031" width="7" customWidth="1"/>
    <col min="11032" max="11032" width="11.71875" customWidth="1"/>
    <col min="11033" max="11033" width="10.27734375" customWidth="1"/>
    <col min="11034" max="11034" width="8.27734375" bestFit="1" customWidth="1"/>
    <col min="11037" max="11037" width="7" customWidth="1"/>
    <col min="11040" max="11040" width="8.27734375" bestFit="1" customWidth="1"/>
    <col min="11041" max="11041" width="11" customWidth="1"/>
    <col min="11280" max="11281" width="25.71875" customWidth="1"/>
    <col min="11282" max="11282" width="12.71875" customWidth="1"/>
    <col min="11283" max="11283" width="10.71875" bestFit="1" customWidth="1"/>
    <col min="11284" max="11284" width="7" bestFit="1" customWidth="1"/>
    <col min="11285" max="11285" width="9.44140625" customWidth="1"/>
    <col min="11286" max="11286" width="10.44140625" bestFit="1" customWidth="1"/>
    <col min="11287" max="11287" width="7" customWidth="1"/>
    <col min="11288" max="11288" width="11.71875" customWidth="1"/>
    <col min="11289" max="11289" width="10.27734375" customWidth="1"/>
    <col min="11290" max="11290" width="8.27734375" bestFit="1" customWidth="1"/>
    <col min="11293" max="11293" width="7" customWidth="1"/>
    <col min="11296" max="11296" width="8.27734375" bestFit="1" customWidth="1"/>
    <col min="11297" max="11297" width="11" customWidth="1"/>
    <col min="11536" max="11537" width="25.71875" customWidth="1"/>
    <col min="11538" max="11538" width="12.71875" customWidth="1"/>
    <col min="11539" max="11539" width="10.71875" bestFit="1" customWidth="1"/>
    <col min="11540" max="11540" width="7" bestFit="1" customWidth="1"/>
    <col min="11541" max="11541" width="9.44140625" customWidth="1"/>
    <col min="11542" max="11542" width="10.44140625" bestFit="1" customWidth="1"/>
    <col min="11543" max="11543" width="7" customWidth="1"/>
    <col min="11544" max="11544" width="11.71875" customWidth="1"/>
    <col min="11545" max="11545" width="10.27734375" customWidth="1"/>
    <col min="11546" max="11546" width="8.27734375" bestFit="1" customWidth="1"/>
    <col min="11549" max="11549" width="7" customWidth="1"/>
    <col min="11552" max="11552" width="8.27734375" bestFit="1" customWidth="1"/>
    <col min="11553" max="11553" width="11" customWidth="1"/>
    <col min="11792" max="11793" width="25.71875" customWidth="1"/>
    <col min="11794" max="11794" width="12.71875" customWidth="1"/>
    <col min="11795" max="11795" width="10.71875" bestFit="1" customWidth="1"/>
    <col min="11796" max="11796" width="7" bestFit="1" customWidth="1"/>
    <col min="11797" max="11797" width="9.44140625" customWidth="1"/>
    <col min="11798" max="11798" width="10.44140625" bestFit="1" customWidth="1"/>
    <col min="11799" max="11799" width="7" customWidth="1"/>
    <col min="11800" max="11800" width="11.71875" customWidth="1"/>
    <col min="11801" max="11801" width="10.27734375" customWidth="1"/>
    <col min="11802" max="11802" width="8.27734375" bestFit="1" customWidth="1"/>
    <col min="11805" max="11805" width="7" customWidth="1"/>
    <col min="11808" max="11808" width="8.27734375" bestFit="1" customWidth="1"/>
    <col min="11809" max="11809" width="11" customWidth="1"/>
    <col min="12048" max="12049" width="25.71875" customWidth="1"/>
    <col min="12050" max="12050" width="12.71875" customWidth="1"/>
    <col min="12051" max="12051" width="10.71875" bestFit="1" customWidth="1"/>
    <col min="12052" max="12052" width="7" bestFit="1" customWidth="1"/>
    <col min="12053" max="12053" width="9.44140625" customWidth="1"/>
    <col min="12054" max="12054" width="10.44140625" bestFit="1" customWidth="1"/>
    <col min="12055" max="12055" width="7" customWidth="1"/>
    <col min="12056" max="12056" width="11.71875" customWidth="1"/>
    <col min="12057" max="12057" width="10.27734375" customWidth="1"/>
    <col min="12058" max="12058" width="8.27734375" bestFit="1" customWidth="1"/>
    <col min="12061" max="12061" width="7" customWidth="1"/>
    <col min="12064" max="12064" width="8.27734375" bestFit="1" customWidth="1"/>
    <col min="12065" max="12065" width="11" customWidth="1"/>
    <col min="12304" max="12305" width="25.71875" customWidth="1"/>
    <col min="12306" max="12306" width="12.71875" customWidth="1"/>
    <col min="12307" max="12307" width="10.71875" bestFit="1" customWidth="1"/>
    <col min="12308" max="12308" width="7" bestFit="1" customWidth="1"/>
    <col min="12309" max="12309" width="9.44140625" customWidth="1"/>
    <col min="12310" max="12310" width="10.44140625" bestFit="1" customWidth="1"/>
    <col min="12311" max="12311" width="7" customWidth="1"/>
    <col min="12312" max="12312" width="11.71875" customWidth="1"/>
    <col min="12313" max="12313" width="10.27734375" customWidth="1"/>
    <col min="12314" max="12314" width="8.27734375" bestFit="1" customWidth="1"/>
    <col min="12317" max="12317" width="7" customWidth="1"/>
    <col min="12320" max="12320" width="8.27734375" bestFit="1" customWidth="1"/>
    <col min="12321" max="12321" width="11" customWidth="1"/>
    <col min="12560" max="12561" width="25.71875" customWidth="1"/>
    <col min="12562" max="12562" width="12.71875" customWidth="1"/>
    <col min="12563" max="12563" width="10.71875" bestFit="1" customWidth="1"/>
    <col min="12564" max="12564" width="7" bestFit="1" customWidth="1"/>
    <col min="12565" max="12565" width="9.44140625" customWidth="1"/>
    <col min="12566" max="12566" width="10.44140625" bestFit="1" customWidth="1"/>
    <col min="12567" max="12567" width="7" customWidth="1"/>
    <col min="12568" max="12568" width="11.71875" customWidth="1"/>
    <col min="12569" max="12569" width="10.27734375" customWidth="1"/>
    <col min="12570" max="12570" width="8.27734375" bestFit="1" customWidth="1"/>
    <col min="12573" max="12573" width="7" customWidth="1"/>
    <col min="12576" max="12576" width="8.27734375" bestFit="1" customWidth="1"/>
    <col min="12577" max="12577" width="11" customWidth="1"/>
    <col min="12816" max="12817" width="25.71875" customWidth="1"/>
    <col min="12818" max="12818" width="12.71875" customWidth="1"/>
    <col min="12819" max="12819" width="10.71875" bestFit="1" customWidth="1"/>
    <col min="12820" max="12820" width="7" bestFit="1" customWidth="1"/>
    <col min="12821" max="12821" width="9.44140625" customWidth="1"/>
    <col min="12822" max="12822" width="10.44140625" bestFit="1" customWidth="1"/>
    <col min="12823" max="12823" width="7" customWidth="1"/>
    <col min="12824" max="12824" width="11.71875" customWidth="1"/>
    <col min="12825" max="12825" width="10.27734375" customWidth="1"/>
    <col min="12826" max="12826" width="8.27734375" bestFit="1" customWidth="1"/>
    <col min="12829" max="12829" width="7" customWidth="1"/>
    <col min="12832" max="12832" width="8.27734375" bestFit="1" customWidth="1"/>
    <col min="12833" max="12833" width="11" customWidth="1"/>
    <col min="13072" max="13073" width="25.71875" customWidth="1"/>
    <col min="13074" max="13074" width="12.71875" customWidth="1"/>
    <col min="13075" max="13075" width="10.71875" bestFit="1" customWidth="1"/>
    <col min="13076" max="13076" width="7" bestFit="1" customWidth="1"/>
    <col min="13077" max="13077" width="9.44140625" customWidth="1"/>
    <col min="13078" max="13078" width="10.44140625" bestFit="1" customWidth="1"/>
    <col min="13079" max="13079" width="7" customWidth="1"/>
    <col min="13080" max="13080" width="11.71875" customWidth="1"/>
    <col min="13081" max="13081" width="10.27734375" customWidth="1"/>
    <col min="13082" max="13082" width="8.27734375" bestFit="1" customWidth="1"/>
    <col min="13085" max="13085" width="7" customWidth="1"/>
    <col min="13088" max="13088" width="8.27734375" bestFit="1" customWidth="1"/>
    <col min="13089" max="13089" width="11" customWidth="1"/>
    <col min="13328" max="13329" width="25.71875" customWidth="1"/>
    <col min="13330" max="13330" width="12.71875" customWidth="1"/>
    <col min="13331" max="13331" width="10.71875" bestFit="1" customWidth="1"/>
    <col min="13332" max="13332" width="7" bestFit="1" customWidth="1"/>
    <col min="13333" max="13333" width="9.44140625" customWidth="1"/>
    <col min="13334" max="13334" width="10.44140625" bestFit="1" customWidth="1"/>
    <col min="13335" max="13335" width="7" customWidth="1"/>
    <col min="13336" max="13336" width="11.71875" customWidth="1"/>
    <col min="13337" max="13337" width="10.27734375" customWidth="1"/>
    <col min="13338" max="13338" width="8.27734375" bestFit="1" customWidth="1"/>
    <col min="13341" max="13341" width="7" customWidth="1"/>
    <col min="13344" max="13344" width="8.27734375" bestFit="1" customWidth="1"/>
    <col min="13345" max="13345" width="11" customWidth="1"/>
    <col min="13584" max="13585" width="25.71875" customWidth="1"/>
    <col min="13586" max="13586" width="12.71875" customWidth="1"/>
    <col min="13587" max="13587" width="10.71875" bestFit="1" customWidth="1"/>
    <col min="13588" max="13588" width="7" bestFit="1" customWidth="1"/>
    <col min="13589" max="13589" width="9.44140625" customWidth="1"/>
    <col min="13590" max="13590" width="10.44140625" bestFit="1" customWidth="1"/>
    <col min="13591" max="13591" width="7" customWidth="1"/>
    <col min="13592" max="13592" width="11.71875" customWidth="1"/>
    <col min="13593" max="13593" width="10.27734375" customWidth="1"/>
    <col min="13594" max="13594" width="8.27734375" bestFit="1" customWidth="1"/>
    <col min="13597" max="13597" width="7" customWidth="1"/>
    <col min="13600" max="13600" width="8.27734375" bestFit="1" customWidth="1"/>
    <col min="13601" max="13601" width="11" customWidth="1"/>
    <col min="13840" max="13841" width="25.71875" customWidth="1"/>
    <col min="13842" max="13842" width="12.71875" customWidth="1"/>
    <col min="13843" max="13843" width="10.71875" bestFit="1" customWidth="1"/>
    <col min="13844" max="13844" width="7" bestFit="1" customWidth="1"/>
    <col min="13845" max="13845" width="9.44140625" customWidth="1"/>
    <col min="13846" max="13846" width="10.44140625" bestFit="1" customWidth="1"/>
    <col min="13847" max="13847" width="7" customWidth="1"/>
    <col min="13848" max="13848" width="11.71875" customWidth="1"/>
    <col min="13849" max="13849" width="10.27734375" customWidth="1"/>
    <col min="13850" max="13850" width="8.27734375" bestFit="1" customWidth="1"/>
    <col min="13853" max="13853" width="7" customWidth="1"/>
    <col min="13856" max="13856" width="8.27734375" bestFit="1" customWidth="1"/>
    <col min="13857" max="13857" width="11" customWidth="1"/>
    <col min="14096" max="14097" width="25.71875" customWidth="1"/>
    <col min="14098" max="14098" width="12.71875" customWidth="1"/>
    <col min="14099" max="14099" width="10.71875" bestFit="1" customWidth="1"/>
    <col min="14100" max="14100" width="7" bestFit="1" customWidth="1"/>
    <col min="14101" max="14101" width="9.44140625" customWidth="1"/>
    <col min="14102" max="14102" width="10.44140625" bestFit="1" customWidth="1"/>
    <col min="14103" max="14103" width="7" customWidth="1"/>
    <col min="14104" max="14104" width="11.71875" customWidth="1"/>
    <col min="14105" max="14105" width="10.27734375" customWidth="1"/>
    <col min="14106" max="14106" width="8.27734375" bestFit="1" customWidth="1"/>
    <col min="14109" max="14109" width="7" customWidth="1"/>
    <col min="14112" max="14112" width="8.27734375" bestFit="1" customWidth="1"/>
    <col min="14113" max="14113" width="11" customWidth="1"/>
    <col min="14352" max="14353" width="25.71875" customWidth="1"/>
    <col min="14354" max="14354" width="12.71875" customWidth="1"/>
    <col min="14355" max="14355" width="10.71875" bestFit="1" customWidth="1"/>
    <col min="14356" max="14356" width="7" bestFit="1" customWidth="1"/>
    <col min="14357" max="14357" width="9.44140625" customWidth="1"/>
    <col min="14358" max="14358" width="10.44140625" bestFit="1" customWidth="1"/>
    <col min="14359" max="14359" width="7" customWidth="1"/>
    <col min="14360" max="14360" width="11.71875" customWidth="1"/>
    <col min="14361" max="14361" width="10.27734375" customWidth="1"/>
    <col min="14362" max="14362" width="8.27734375" bestFit="1" customWidth="1"/>
    <col min="14365" max="14365" width="7" customWidth="1"/>
    <col min="14368" max="14368" width="8.27734375" bestFit="1" customWidth="1"/>
    <col min="14369" max="14369" width="11" customWidth="1"/>
    <col min="14608" max="14609" width="25.71875" customWidth="1"/>
    <col min="14610" max="14610" width="12.71875" customWidth="1"/>
    <col min="14611" max="14611" width="10.71875" bestFit="1" customWidth="1"/>
    <col min="14612" max="14612" width="7" bestFit="1" customWidth="1"/>
    <col min="14613" max="14613" width="9.44140625" customWidth="1"/>
    <col min="14614" max="14614" width="10.44140625" bestFit="1" customWidth="1"/>
    <col min="14615" max="14615" width="7" customWidth="1"/>
    <col min="14616" max="14616" width="11.71875" customWidth="1"/>
    <col min="14617" max="14617" width="10.27734375" customWidth="1"/>
    <col min="14618" max="14618" width="8.27734375" bestFit="1" customWidth="1"/>
    <col min="14621" max="14621" width="7" customWidth="1"/>
    <col min="14624" max="14624" width="8.27734375" bestFit="1" customWidth="1"/>
    <col min="14625" max="14625" width="11" customWidth="1"/>
    <col min="14864" max="14865" width="25.71875" customWidth="1"/>
    <col min="14866" max="14866" width="12.71875" customWidth="1"/>
    <col min="14867" max="14867" width="10.71875" bestFit="1" customWidth="1"/>
    <col min="14868" max="14868" width="7" bestFit="1" customWidth="1"/>
    <col min="14869" max="14869" width="9.44140625" customWidth="1"/>
    <col min="14870" max="14870" width="10.44140625" bestFit="1" customWidth="1"/>
    <col min="14871" max="14871" width="7" customWidth="1"/>
    <col min="14872" max="14872" width="11.71875" customWidth="1"/>
    <col min="14873" max="14873" width="10.27734375" customWidth="1"/>
    <col min="14874" max="14874" width="8.27734375" bestFit="1" customWidth="1"/>
    <col min="14877" max="14877" width="7" customWidth="1"/>
    <col min="14880" max="14880" width="8.27734375" bestFit="1" customWidth="1"/>
    <col min="14881" max="14881" width="11" customWidth="1"/>
    <col min="15120" max="15121" width="25.71875" customWidth="1"/>
    <col min="15122" max="15122" width="12.71875" customWidth="1"/>
    <col min="15123" max="15123" width="10.71875" bestFit="1" customWidth="1"/>
    <col min="15124" max="15124" width="7" bestFit="1" customWidth="1"/>
    <col min="15125" max="15125" width="9.44140625" customWidth="1"/>
    <col min="15126" max="15126" width="10.44140625" bestFit="1" customWidth="1"/>
    <col min="15127" max="15127" width="7" customWidth="1"/>
    <col min="15128" max="15128" width="11.71875" customWidth="1"/>
    <col min="15129" max="15129" width="10.27734375" customWidth="1"/>
    <col min="15130" max="15130" width="8.27734375" bestFit="1" customWidth="1"/>
    <col min="15133" max="15133" width="7" customWidth="1"/>
    <col min="15136" max="15136" width="8.27734375" bestFit="1" customWidth="1"/>
    <col min="15137" max="15137" width="11" customWidth="1"/>
    <col min="15376" max="15377" width="25.71875" customWidth="1"/>
    <col min="15378" max="15378" width="12.71875" customWidth="1"/>
    <col min="15379" max="15379" width="10.71875" bestFit="1" customWidth="1"/>
    <col min="15380" max="15380" width="7" bestFit="1" customWidth="1"/>
    <col min="15381" max="15381" width="9.44140625" customWidth="1"/>
    <col min="15382" max="15382" width="10.44140625" bestFit="1" customWidth="1"/>
    <col min="15383" max="15383" width="7" customWidth="1"/>
    <col min="15384" max="15384" width="11.71875" customWidth="1"/>
    <col min="15385" max="15385" width="10.27734375" customWidth="1"/>
    <col min="15386" max="15386" width="8.27734375" bestFit="1" customWidth="1"/>
    <col min="15389" max="15389" width="7" customWidth="1"/>
    <col min="15392" max="15392" width="8.27734375" bestFit="1" customWidth="1"/>
    <col min="15393" max="15393" width="11" customWidth="1"/>
    <col min="15632" max="15633" width="25.71875" customWidth="1"/>
    <col min="15634" max="15634" width="12.71875" customWidth="1"/>
    <col min="15635" max="15635" width="10.71875" bestFit="1" customWidth="1"/>
    <col min="15636" max="15636" width="7" bestFit="1" customWidth="1"/>
    <col min="15637" max="15637" width="9.44140625" customWidth="1"/>
    <col min="15638" max="15638" width="10.44140625" bestFit="1" customWidth="1"/>
    <col min="15639" max="15639" width="7" customWidth="1"/>
    <col min="15640" max="15640" width="11.71875" customWidth="1"/>
    <col min="15641" max="15641" width="10.27734375" customWidth="1"/>
    <col min="15642" max="15642" width="8.27734375" bestFit="1" customWidth="1"/>
    <col min="15645" max="15645" width="7" customWidth="1"/>
    <col min="15648" max="15648" width="8.27734375" bestFit="1" customWidth="1"/>
    <col min="15649" max="15649" width="11" customWidth="1"/>
    <col min="15888" max="15889" width="25.71875" customWidth="1"/>
    <col min="15890" max="15890" width="12.71875" customWidth="1"/>
    <col min="15891" max="15891" width="10.71875" bestFit="1" customWidth="1"/>
    <col min="15892" max="15892" width="7" bestFit="1" customWidth="1"/>
    <col min="15893" max="15893" width="9.44140625" customWidth="1"/>
    <col min="15894" max="15894" width="10.44140625" bestFit="1" customWidth="1"/>
    <col min="15895" max="15895" width="7" customWidth="1"/>
    <col min="15896" max="15896" width="11.71875" customWidth="1"/>
    <col min="15897" max="15897" width="10.27734375" customWidth="1"/>
    <col min="15898" max="15898" width="8.27734375" bestFit="1" customWidth="1"/>
    <col min="15901" max="15901" width="7" customWidth="1"/>
    <col min="15904" max="15904" width="8.27734375" bestFit="1" customWidth="1"/>
    <col min="15905" max="15905" width="11" customWidth="1"/>
    <col min="16144" max="16145" width="25.71875" customWidth="1"/>
    <col min="16146" max="16146" width="12.71875" customWidth="1"/>
    <col min="16147" max="16147" width="10.71875" bestFit="1" customWidth="1"/>
    <col min="16148" max="16148" width="7" bestFit="1" customWidth="1"/>
    <col min="16149" max="16149" width="9.44140625" customWidth="1"/>
    <col min="16150" max="16150" width="10.44140625" bestFit="1" customWidth="1"/>
    <col min="16151" max="16151" width="7" customWidth="1"/>
    <col min="16152" max="16152" width="11.71875" customWidth="1"/>
    <col min="16153" max="16153" width="10.27734375" customWidth="1"/>
    <col min="16154" max="16154" width="8.27734375" bestFit="1" customWidth="1"/>
    <col min="16157" max="16157" width="7" customWidth="1"/>
    <col min="16160" max="16160" width="8.27734375" bestFit="1" customWidth="1"/>
    <col min="16161" max="16161" width="11" customWidth="1"/>
  </cols>
  <sheetData>
    <row r="1" spans="1:40" s="105" customFormat="1" ht="20.100000000000001">
      <c r="A1" s="4" t="str">
        <f>Assumptions!$B$4</f>
        <v>Partners of America</v>
      </c>
      <c r="AM1" s="106"/>
      <c r="AN1" s="106"/>
    </row>
    <row r="2" spans="1:40" s="105" customFormat="1" ht="15">
      <c r="A2" s="315" t="str">
        <f>CONCATENATE(Assumptions!$B5," ",Assumptions!$C5)</f>
        <v>DONOR: USDOL</v>
      </c>
      <c r="AM2" s="106"/>
      <c r="AN2" s="106"/>
    </row>
    <row r="3" spans="1:40" s="105" customFormat="1" ht="15">
      <c r="A3" s="315" t="str">
        <f>CONCATENATE(Assumptions!$B6," ",Assumptions!$C6)</f>
        <v>Country: Ecuador</v>
      </c>
      <c r="AM3" s="106"/>
      <c r="AN3" s="106"/>
    </row>
    <row r="4" spans="1:40" s="105" customFormat="1" ht="15">
      <c r="A4" s="315" t="str">
        <f>CONCATENATE(Assumptions!$B7," ",Assumptions!$C7)</f>
        <v>Program Name: Project to Improve Adherence to International Labor Standards in the Agricultural Sector in Ecuador</v>
      </c>
      <c r="K4" s="107"/>
      <c r="N4" s="107"/>
      <c r="Q4" s="107"/>
      <c r="Z4" s="107"/>
      <c r="AC4" s="107"/>
      <c r="AF4" s="107"/>
      <c r="AI4" s="107"/>
      <c r="AL4" s="107"/>
      <c r="AM4" s="107"/>
      <c r="AN4" s="107"/>
    </row>
    <row r="5" spans="1:40" ht="15">
      <c r="A5" s="315" t="str">
        <f>CONCATENATE(Assumptions!$B8," ",Assumptions!$C8)</f>
        <v>Grant Number: FOA-ILAB-23-28</v>
      </c>
    </row>
    <row r="7" spans="1:40" ht="20.100000000000001">
      <c r="A7" s="2" t="s">
        <v>647</v>
      </c>
    </row>
    <row r="8" spans="1:40" s="1" customFormat="1" ht="12.6" thickBot="1">
      <c r="A8" s="76"/>
    </row>
    <row r="9" spans="1:40" ht="12.6" thickBot="1">
      <c r="A9" s="1182" t="s">
        <v>648</v>
      </c>
      <c r="B9" s="1184" t="s">
        <v>649</v>
      </c>
      <c r="C9" s="1186" t="s">
        <v>650</v>
      </c>
      <c r="D9" s="1186" t="s">
        <v>651</v>
      </c>
      <c r="E9" s="1188" t="e">
        <f>#REF!</f>
        <v>#REF!</v>
      </c>
      <c r="F9" s="1189"/>
      <c r="G9" s="1190"/>
      <c r="H9" s="1188" t="e">
        <f>#REF!</f>
        <v>#REF!</v>
      </c>
      <c r="I9" s="1189"/>
      <c r="J9" s="1190"/>
      <c r="K9" s="1188" t="e">
        <f>#REF!</f>
        <v>#REF!</v>
      </c>
      <c r="L9" s="1189"/>
      <c r="M9" s="1190"/>
      <c r="N9" s="1188" t="e">
        <f>#REF!</f>
        <v>#REF!</v>
      </c>
      <c r="O9" s="1189"/>
      <c r="P9" s="1190"/>
      <c r="Q9" s="1188" t="e">
        <f>#REF!</f>
        <v>#REF!</v>
      </c>
      <c r="R9" s="1189"/>
      <c r="S9" s="1190"/>
      <c r="T9" s="1188" t="e">
        <f>#REF!</f>
        <v>#REF!</v>
      </c>
      <c r="U9" s="1189"/>
      <c r="V9" s="1190"/>
      <c r="W9" s="1188" t="e">
        <f>#REF!</f>
        <v>#REF!</v>
      </c>
      <c r="X9" s="1189"/>
      <c r="Y9" s="1190"/>
      <c r="Z9" s="1188" t="e">
        <f>#REF!</f>
        <v>#REF!</v>
      </c>
      <c r="AA9" s="1189"/>
      <c r="AB9" s="1190"/>
      <c r="AC9" s="1188" t="e">
        <f>#REF!</f>
        <v>#REF!</v>
      </c>
      <c r="AD9" s="1189"/>
      <c r="AE9" s="1190"/>
      <c r="AF9" s="1188" t="e">
        <f>#REF!</f>
        <v>#REF!</v>
      </c>
      <c r="AG9" s="1189"/>
      <c r="AH9" s="1190"/>
      <c r="AI9" s="1188" t="s">
        <v>71</v>
      </c>
      <c r="AJ9" s="1189"/>
      <c r="AK9" s="1190"/>
    </row>
    <row r="10" spans="1:40" ht="24.9" thickBot="1">
      <c r="A10" s="1183"/>
      <c r="B10" s="1185"/>
      <c r="C10" s="1187"/>
      <c r="D10" s="1187"/>
      <c r="E10" s="108" t="s">
        <v>652</v>
      </c>
      <c r="F10" s="109" t="s">
        <v>536</v>
      </c>
      <c r="G10" s="110" t="s">
        <v>653</v>
      </c>
      <c r="H10" s="108" t="s">
        <v>652</v>
      </c>
      <c r="I10" s="109" t="s">
        <v>536</v>
      </c>
      <c r="J10" s="110" t="s">
        <v>653</v>
      </c>
      <c r="K10" s="108" t="s">
        <v>652</v>
      </c>
      <c r="L10" s="109" t="s">
        <v>536</v>
      </c>
      <c r="M10" s="110" t="s">
        <v>653</v>
      </c>
      <c r="N10" s="108" t="s">
        <v>652</v>
      </c>
      <c r="O10" s="109" t="s">
        <v>536</v>
      </c>
      <c r="P10" s="110" t="s">
        <v>653</v>
      </c>
      <c r="Q10" s="108" t="s">
        <v>652</v>
      </c>
      <c r="R10" s="109" t="s">
        <v>536</v>
      </c>
      <c r="S10" s="110" t="s">
        <v>653</v>
      </c>
      <c r="T10" s="108" t="s">
        <v>652</v>
      </c>
      <c r="U10" s="109" t="s">
        <v>536</v>
      </c>
      <c r="V10" s="110" t="s">
        <v>653</v>
      </c>
      <c r="W10" s="108" t="s">
        <v>652</v>
      </c>
      <c r="X10" s="109" t="s">
        <v>536</v>
      </c>
      <c r="Y10" s="110" t="s">
        <v>653</v>
      </c>
      <c r="Z10" s="108" t="s">
        <v>652</v>
      </c>
      <c r="AA10" s="109" t="s">
        <v>536</v>
      </c>
      <c r="AB10" s="110" t="s">
        <v>653</v>
      </c>
      <c r="AC10" s="108" t="s">
        <v>652</v>
      </c>
      <c r="AD10" s="109" t="s">
        <v>536</v>
      </c>
      <c r="AE10" s="110" t="s">
        <v>653</v>
      </c>
      <c r="AF10" s="108" t="s">
        <v>652</v>
      </c>
      <c r="AG10" s="109" t="s">
        <v>536</v>
      </c>
      <c r="AH10" s="110" t="s">
        <v>653</v>
      </c>
      <c r="AI10" s="108" t="s">
        <v>652</v>
      </c>
      <c r="AJ10" s="109" t="s">
        <v>536</v>
      </c>
      <c r="AK10" s="110" t="s">
        <v>653</v>
      </c>
    </row>
    <row r="11" spans="1:40" ht="15.6" thickTop="1" thickBot="1">
      <c r="A11" s="1061"/>
      <c r="B11" s="111" t="s">
        <v>654</v>
      </c>
      <c r="C11" s="1062"/>
      <c r="D11" s="169">
        <v>1.04</v>
      </c>
      <c r="E11" s="1063"/>
      <c r="F11" s="113">
        <f>Assumptions!S33</f>
        <v>1.01</v>
      </c>
      <c r="G11" s="112"/>
      <c r="H11" s="1063"/>
      <c r="I11" s="113" t="e">
        <f>F11*(1+#REF!)</f>
        <v>#REF!</v>
      </c>
      <c r="J11" s="112"/>
      <c r="K11" s="1063"/>
      <c r="L11" s="113" t="e">
        <f>I11*(1+#REF!)</f>
        <v>#REF!</v>
      </c>
      <c r="M11" s="112"/>
      <c r="N11" s="1063"/>
      <c r="O11" s="113" t="e">
        <f>L11*(1+#REF!)</f>
        <v>#REF!</v>
      </c>
      <c r="P11" s="112"/>
      <c r="Q11" s="1063"/>
      <c r="R11" s="113" t="e">
        <f>O11*(1+#REF!)</f>
        <v>#REF!</v>
      </c>
      <c r="S11" s="112"/>
      <c r="T11" s="1063"/>
      <c r="U11" s="113" t="e">
        <f>R11*(1+#REF!)</f>
        <v>#REF!</v>
      </c>
      <c r="V11" s="112"/>
      <c r="W11" s="1063"/>
      <c r="X11" s="113" t="e">
        <f>U11*(1+#REF!)</f>
        <v>#REF!</v>
      </c>
      <c r="Y11" s="112"/>
      <c r="Z11" s="1063"/>
      <c r="AA11" s="113" t="e">
        <f>X11*(1+#REF!)</f>
        <v>#REF!</v>
      </c>
      <c r="AB11" s="112"/>
      <c r="AC11" s="1063"/>
      <c r="AD11" s="113" t="e">
        <f>AA11*(1+#REF!)</f>
        <v>#REF!</v>
      </c>
      <c r="AE11" s="112"/>
      <c r="AF11" s="1063"/>
      <c r="AG11" s="113" t="e">
        <f>AD11*(1+#REF!)</f>
        <v>#REF!</v>
      </c>
      <c r="AH11" s="112"/>
      <c r="AI11" s="1063"/>
      <c r="AJ11" s="114"/>
      <c r="AK11" s="112"/>
    </row>
    <row r="12" spans="1:40" ht="12.75" customHeight="1">
      <c r="A12" s="1178" t="s">
        <v>655</v>
      </c>
      <c r="B12" s="1179"/>
      <c r="C12" s="115"/>
      <c r="D12" s="115"/>
      <c r="E12" s="116"/>
      <c r="F12" s="117"/>
      <c r="G12" s="118"/>
      <c r="H12" s="116"/>
      <c r="I12" s="117"/>
      <c r="J12" s="118"/>
      <c r="K12" s="116"/>
      <c r="L12" s="117"/>
      <c r="M12" s="118"/>
      <c r="N12" s="116"/>
      <c r="O12" s="117"/>
      <c r="P12" s="118"/>
      <c r="Q12" s="116"/>
      <c r="R12" s="117"/>
      <c r="S12" s="118"/>
      <c r="T12" s="116"/>
      <c r="U12" s="117"/>
      <c r="V12" s="118"/>
      <c r="W12" s="116"/>
      <c r="X12" s="117"/>
      <c r="Y12" s="118"/>
      <c r="Z12" s="116"/>
      <c r="AA12" s="117"/>
      <c r="AB12" s="118"/>
      <c r="AC12" s="116"/>
      <c r="AD12" s="117"/>
      <c r="AE12" s="118"/>
      <c r="AF12" s="116"/>
      <c r="AG12" s="117"/>
      <c r="AH12" s="118"/>
      <c r="AI12" s="116"/>
      <c r="AJ12" s="117"/>
      <c r="AK12" s="118"/>
    </row>
    <row r="13" spans="1:40" ht="13.5" customHeight="1" thickBot="1">
      <c r="A13" s="1180"/>
      <c r="B13" s="1181"/>
      <c r="C13" s="119"/>
      <c r="D13" s="119"/>
      <c r="E13" s="120"/>
      <c r="F13" s="121"/>
      <c r="G13" s="122"/>
      <c r="H13" s="120"/>
      <c r="I13" s="121"/>
      <c r="J13" s="122"/>
      <c r="K13" s="120"/>
      <c r="L13" s="121"/>
      <c r="M13" s="122"/>
      <c r="N13" s="120"/>
      <c r="O13" s="121"/>
      <c r="P13" s="122"/>
      <c r="Q13" s="120"/>
      <c r="R13" s="121"/>
      <c r="S13" s="122"/>
      <c r="T13" s="120"/>
      <c r="U13" s="121"/>
      <c r="V13" s="122"/>
      <c r="W13" s="120"/>
      <c r="X13" s="121"/>
      <c r="Y13" s="122"/>
      <c r="Z13" s="120"/>
      <c r="AA13" s="121"/>
      <c r="AB13" s="122"/>
      <c r="AC13" s="120"/>
      <c r="AD13" s="121"/>
      <c r="AE13" s="122"/>
      <c r="AF13" s="120"/>
      <c r="AG13" s="121"/>
      <c r="AH13" s="122"/>
      <c r="AI13" s="120"/>
      <c r="AJ13" s="121"/>
      <c r="AK13" s="122"/>
    </row>
    <row r="14" spans="1:40" ht="37.5" hidden="1" thickTop="1" thickBot="1">
      <c r="A14" s="123" t="s">
        <v>648</v>
      </c>
      <c r="B14" s="124" t="s">
        <v>649</v>
      </c>
      <c r="C14" s="125" t="s">
        <v>656</v>
      </c>
      <c r="D14" s="125" t="s">
        <v>657</v>
      </c>
      <c r="E14" s="126" t="s">
        <v>658</v>
      </c>
      <c r="F14" s="127" t="s">
        <v>71</v>
      </c>
      <c r="G14" s="128" t="s">
        <v>653</v>
      </c>
      <c r="H14" s="126"/>
      <c r="I14" s="127"/>
      <c r="J14" s="128"/>
      <c r="K14" s="126"/>
      <c r="L14" s="127"/>
      <c r="M14" s="128"/>
      <c r="N14" s="126"/>
      <c r="O14" s="127"/>
      <c r="P14" s="128"/>
      <c r="Q14" s="126"/>
      <c r="R14" s="127"/>
      <c r="S14" s="128"/>
      <c r="T14" s="126" t="s">
        <v>658</v>
      </c>
      <c r="U14" s="127" t="s">
        <v>71</v>
      </c>
      <c r="V14" s="128" t="s">
        <v>653</v>
      </c>
      <c r="W14" s="126"/>
      <c r="X14" s="127"/>
      <c r="Y14" s="128"/>
      <c r="Z14" s="126"/>
      <c r="AA14" s="127"/>
      <c r="AB14" s="128"/>
      <c r="AC14" s="126"/>
      <c r="AD14" s="127"/>
      <c r="AE14" s="128"/>
      <c r="AF14" s="126"/>
      <c r="AG14" s="127"/>
      <c r="AH14" s="128"/>
      <c r="AI14" s="126"/>
      <c r="AJ14" s="127"/>
      <c r="AK14" s="128"/>
    </row>
    <row r="15" spans="1:40" ht="12.6" thickTop="1">
      <c r="A15" s="77"/>
      <c r="B15" s="129"/>
      <c r="C15" s="130"/>
      <c r="D15" s="130"/>
      <c r="E15" s="131"/>
      <c r="F15" s="132"/>
      <c r="G15" s="133"/>
      <c r="H15" s="131"/>
      <c r="I15" s="132"/>
      <c r="J15" s="133"/>
      <c r="K15" s="131"/>
      <c r="L15" s="132"/>
      <c r="M15" s="133"/>
      <c r="N15" s="131"/>
      <c r="O15" s="132"/>
      <c r="P15" s="133"/>
      <c r="Q15" s="131"/>
      <c r="R15" s="132"/>
      <c r="S15" s="133"/>
      <c r="T15" s="131"/>
      <c r="U15" s="132"/>
      <c r="V15" s="133"/>
      <c r="W15" s="131"/>
      <c r="X15" s="132"/>
      <c r="Y15" s="133"/>
      <c r="Z15" s="131"/>
      <c r="AA15" s="132"/>
      <c r="AB15" s="133"/>
      <c r="AC15" s="131"/>
      <c r="AD15" s="132"/>
      <c r="AE15" s="133"/>
      <c r="AF15" s="131"/>
      <c r="AG15" s="132"/>
      <c r="AH15" s="133"/>
      <c r="AI15" s="131"/>
      <c r="AJ15" s="132"/>
      <c r="AK15" s="133"/>
    </row>
    <row r="16" spans="1:40">
      <c r="A16" s="134" t="s">
        <v>659</v>
      </c>
      <c r="B16" s="88"/>
      <c r="C16" s="172"/>
      <c r="D16" s="172">
        <v>100000</v>
      </c>
      <c r="E16" s="170">
        <v>0.1</v>
      </c>
      <c r="F16" s="135">
        <f t="shared" ref="F16:F22" si="0">E16*D16*F$11</f>
        <v>10100</v>
      </c>
      <c r="G16" s="136">
        <f t="shared" ref="G16:G22" si="1">E16*260</f>
        <v>26</v>
      </c>
      <c r="H16" s="170">
        <v>0</v>
      </c>
      <c r="I16" s="135" t="e">
        <f>H16*$D16*I$11</f>
        <v>#REF!</v>
      </c>
      <c r="J16" s="136">
        <f t="shared" ref="J16:J22" si="2">H16*260</f>
        <v>0</v>
      </c>
      <c r="K16" s="170">
        <v>0</v>
      </c>
      <c r="L16" s="135" t="e">
        <f t="shared" ref="L16:L22" si="3">K16*$D16*L$11</f>
        <v>#REF!</v>
      </c>
      <c r="M16" s="136">
        <f t="shared" ref="M16:M22" si="4">K16*260</f>
        <v>0</v>
      </c>
      <c r="N16" s="170">
        <v>0</v>
      </c>
      <c r="O16" s="135" t="e">
        <f t="shared" ref="O16:O22" si="5">N16*$D16*O$11</f>
        <v>#REF!</v>
      </c>
      <c r="P16" s="136">
        <f t="shared" ref="P16:P22" si="6">N16*260</f>
        <v>0</v>
      </c>
      <c r="Q16" s="170">
        <v>0</v>
      </c>
      <c r="R16" s="135" t="e">
        <f t="shared" ref="R16:R22" si="7">Q16*$D16*R$11</f>
        <v>#REF!</v>
      </c>
      <c r="S16" s="136">
        <f t="shared" ref="S16:S22" si="8">Q16*260</f>
        <v>0</v>
      </c>
      <c r="T16" s="170">
        <v>0</v>
      </c>
      <c r="U16" s="135" t="e">
        <f t="shared" ref="U16:U22" si="9">T16*S16*U$11</f>
        <v>#REF!</v>
      </c>
      <c r="V16" s="136">
        <f t="shared" ref="V16:V22" si="10">T16*260</f>
        <v>0</v>
      </c>
      <c r="W16" s="170">
        <v>0</v>
      </c>
      <c r="X16" s="135" t="e">
        <f t="shared" ref="X16:X22" si="11">W16*$D16*X$11</f>
        <v>#REF!</v>
      </c>
      <c r="Y16" s="136">
        <f t="shared" ref="Y16:Y22" si="12">W16*260</f>
        <v>0</v>
      </c>
      <c r="Z16" s="170">
        <v>0</v>
      </c>
      <c r="AA16" s="135" t="e">
        <f t="shared" ref="AA16:AA22" si="13">Z16*$D16*AA$11</f>
        <v>#REF!</v>
      </c>
      <c r="AB16" s="136">
        <f t="shared" ref="AB16:AB22" si="14">Z16*260</f>
        <v>0</v>
      </c>
      <c r="AC16" s="170">
        <v>0.05</v>
      </c>
      <c r="AD16" s="135" t="e">
        <f t="shared" ref="AD16:AD22" si="15">AC16*$D16*AD$11</f>
        <v>#REF!</v>
      </c>
      <c r="AE16" s="136">
        <f t="shared" ref="AE16:AE22" si="16">AC16*260</f>
        <v>13</v>
      </c>
      <c r="AF16" s="170">
        <v>0</v>
      </c>
      <c r="AG16" s="135" t="e">
        <f t="shared" ref="AG16:AG22" si="17">AF16*$D16*AG$11</f>
        <v>#REF!</v>
      </c>
      <c r="AH16" s="136">
        <f t="shared" ref="AH16:AH22" si="18">AF16*260</f>
        <v>0</v>
      </c>
      <c r="AI16" s="198">
        <f>SUM(E16,H16,K16,N16,Q16,T16,W16,Z16,AC16,AF16)</f>
        <v>0.15000000000000002</v>
      </c>
      <c r="AJ16" s="199" t="e">
        <f>SUM(F16,I16,L16,O16,R16,U16,X16,AA16,AD16,AG16)</f>
        <v>#REF!</v>
      </c>
      <c r="AK16" s="136">
        <f>SUM(G16,J16,M16,P16,S16,V16,Y16,AB16,AE16,AH16)</f>
        <v>39</v>
      </c>
    </row>
    <row r="17" spans="1:37">
      <c r="A17" s="134" t="s">
        <v>660</v>
      </c>
      <c r="B17" s="88"/>
      <c r="C17" s="172"/>
      <c r="D17" s="172">
        <v>100000</v>
      </c>
      <c r="E17" s="170">
        <v>0.1</v>
      </c>
      <c r="F17" s="135">
        <f t="shared" si="0"/>
        <v>10100</v>
      </c>
      <c r="G17" s="136">
        <f t="shared" si="1"/>
        <v>26</v>
      </c>
      <c r="H17" s="170">
        <v>0</v>
      </c>
      <c r="I17" s="135" t="e">
        <f t="shared" ref="I17:I22" si="19">H17*$D17*I$11</f>
        <v>#REF!</v>
      </c>
      <c r="J17" s="136">
        <f t="shared" si="2"/>
        <v>0</v>
      </c>
      <c r="K17" s="170">
        <v>0</v>
      </c>
      <c r="L17" s="135" t="e">
        <f t="shared" si="3"/>
        <v>#REF!</v>
      </c>
      <c r="M17" s="136">
        <f t="shared" si="4"/>
        <v>0</v>
      </c>
      <c r="N17" s="170">
        <v>0</v>
      </c>
      <c r="O17" s="135" t="e">
        <f t="shared" si="5"/>
        <v>#REF!</v>
      </c>
      <c r="P17" s="136">
        <f t="shared" si="6"/>
        <v>0</v>
      </c>
      <c r="Q17" s="170">
        <v>0</v>
      </c>
      <c r="R17" s="135" t="e">
        <f t="shared" si="7"/>
        <v>#REF!</v>
      </c>
      <c r="S17" s="136">
        <f t="shared" si="8"/>
        <v>0</v>
      </c>
      <c r="T17" s="170">
        <v>0</v>
      </c>
      <c r="U17" s="135" t="e">
        <f t="shared" si="9"/>
        <v>#REF!</v>
      </c>
      <c r="V17" s="136">
        <f t="shared" si="10"/>
        <v>0</v>
      </c>
      <c r="W17" s="170">
        <v>0</v>
      </c>
      <c r="X17" s="135" t="e">
        <f t="shared" si="11"/>
        <v>#REF!</v>
      </c>
      <c r="Y17" s="136">
        <f t="shared" si="12"/>
        <v>0</v>
      </c>
      <c r="Z17" s="170">
        <v>0</v>
      </c>
      <c r="AA17" s="135" t="e">
        <f t="shared" si="13"/>
        <v>#REF!</v>
      </c>
      <c r="AB17" s="136">
        <f t="shared" si="14"/>
        <v>0</v>
      </c>
      <c r="AC17" s="170">
        <v>0</v>
      </c>
      <c r="AD17" s="135" t="e">
        <f t="shared" si="15"/>
        <v>#REF!</v>
      </c>
      <c r="AE17" s="136">
        <f t="shared" si="16"/>
        <v>0</v>
      </c>
      <c r="AF17" s="170">
        <v>0</v>
      </c>
      <c r="AG17" s="135" t="e">
        <f t="shared" si="17"/>
        <v>#REF!</v>
      </c>
      <c r="AH17" s="136">
        <f t="shared" si="18"/>
        <v>0</v>
      </c>
      <c r="AI17" s="198">
        <f t="shared" ref="AI17:AI22" si="20">SUM(E17,H17,K17,N17,Q17,T17,W17,Z17,AC17,AF17)</f>
        <v>0.1</v>
      </c>
      <c r="AJ17" s="199" t="e">
        <f t="shared" ref="AJ17:AJ22" si="21">SUM(F17,I17,L17,O17,R17,U17,X17,AA17,AD17,AG17)</f>
        <v>#REF!</v>
      </c>
      <c r="AK17" s="136">
        <f t="shared" ref="AK17:AK22" si="22">SUM(G17,J17,M17,P17,S17,V17,Y17,AB17,AE17,AH17)</f>
        <v>26</v>
      </c>
    </row>
    <row r="18" spans="1:37">
      <c r="A18" s="134" t="s">
        <v>661</v>
      </c>
      <c r="B18" s="88"/>
      <c r="C18" s="172"/>
      <c r="D18" s="172">
        <v>100000</v>
      </c>
      <c r="E18" s="170">
        <v>0.1</v>
      </c>
      <c r="F18" s="135">
        <f t="shared" si="0"/>
        <v>10100</v>
      </c>
      <c r="G18" s="136">
        <f t="shared" si="1"/>
        <v>26</v>
      </c>
      <c r="H18" s="170">
        <v>0</v>
      </c>
      <c r="I18" s="135" t="e">
        <f t="shared" si="19"/>
        <v>#REF!</v>
      </c>
      <c r="J18" s="136">
        <f t="shared" si="2"/>
        <v>0</v>
      </c>
      <c r="K18" s="170">
        <v>0</v>
      </c>
      <c r="L18" s="135" t="e">
        <f t="shared" si="3"/>
        <v>#REF!</v>
      </c>
      <c r="M18" s="136">
        <f t="shared" si="4"/>
        <v>0</v>
      </c>
      <c r="N18" s="170">
        <v>0</v>
      </c>
      <c r="O18" s="135" t="e">
        <f t="shared" si="5"/>
        <v>#REF!</v>
      </c>
      <c r="P18" s="136">
        <f t="shared" si="6"/>
        <v>0</v>
      </c>
      <c r="Q18" s="170">
        <v>0</v>
      </c>
      <c r="R18" s="135" t="e">
        <f t="shared" si="7"/>
        <v>#REF!</v>
      </c>
      <c r="S18" s="136">
        <f t="shared" si="8"/>
        <v>0</v>
      </c>
      <c r="T18" s="170">
        <v>0</v>
      </c>
      <c r="U18" s="135" t="e">
        <f t="shared" si="9"/>
        <v>#REF!</v>
      </c>
      <c r="V18" s="136">
        <f t="shared" si="10"/>
        <v>0</v>
      </c>
      <c r="W18" s="170">
        <v>0</v>
      </c>
      <c r="X18" s="135" t="e">
        <f t="shared" si="11"/>
        <v>#REF!</v>
      </c>
      <c r="Y18" s="136">
        <f t="shared" si="12"/>
        <v>0</v>
      </c>
      <c r="Z18" s="170">
        <v>0.05</v>
      </c>
      <c r="AA18" s="135" t="e">
        <f t="shared" si="13"/>
        <v>#REF!</v>
      </c>
      <c r="AB18" s="136">
        <f t="shared" si="14"/>
        <v>13</v>
      </c>
      <c r="AC18" s="170">
        <v>0</v>
      </c>
      <c r="AD18" s="135" t="e">
        <f t="shared" si="15"/>
        <v>#REF!</v>
      </c>
      <c r="AE18" s="136">
        <f t="shared" si="16"/>
        <v>0</v>
      </c>
      <c r="AF18" s="170">
        <v>0.05</v>
      </c>
      <c r="AG18" s="135" t="e">
        <f t="shared" si="17"/>
        <v>#REF!</v>
      </c>
      <c r="AH18" s="136">
        <f t="shared" si="18"/>
        <v>13</v>
      </c>
      <c r="AI18" s="198">
        <f t="shared" si="20"/>
        <v>0.2</v>
      </c>
      <c r="AJ18" s="199" t="e">
        <f t="shared" si="21"/>
        <v>#REF!</v>
      </c>
      <c r="AK18" s="136">
        <f t="shared" si="22"/>
        <v>52</v>
      </c>
    </row>
    <row r="19" spans="1:37">
      <c r="A19" s="134" t="s">
        <v>662</v>
      </c>
      <c r="B19" s="88"/>
      <c r="C19" s="172"/>
      <c r="D19" s="172">
        <v>100000</v>
      </c>
      <c r="E19" s="170">
        <v>0.1</v>
      </c>
      <c r="F19" s="135">
        <f t="shared" si="0"/>
        <v>10100</v>
      </c>
      <c r="G19" s="136">
        <f t="shared" si="1"/>
        <v>26</v>
      </c>
      <c r="H19" s="170">
        <v>0</v>
      </c>
      <c r="I19" s="135" t="e">
        <f t="shared" si="19"/>
        <v>#REF!</v>
      </c>
      <c r="J19" s="136">
        <f t="shared" si="2"/>
        <v>0</v>
      </c>
      <c r="K19" s="170">
        <v>0</v>
      </c>
      <c r="L19" s="135" t="e">
        <f t="shared" si="3"/>
        <v>#REF!</v>
      </c>
      <c r="M19" s="136">
        <f t="shared" si="4"/>
        <v>0</v>
      </c>
      <c r="N19" s="170">
        <v>0</v>
      </c>
      <c r="O19" s="135" t="e">
        <f t="shared" si="5"/>
        <v>#REF!</v>
      </c>
      <c r="P19" s="136">
        <f t="shared" si="6"/>
        <v>0</v>
      </c>
      <c r="Q19" s="170">
        <v>0</v>
      </c>
      <c r="R19" s="135" t="e">
        <f t="shared" si="7"/>
        <v>#REF!</v>
      </c>
      <c r="S19" s="136">
        <f t="shared" si="8"/>
        <v>0</v>
      </c>
      <c r="T19" s="170">
        <v>0</v>
      </c>
      <c r="U19" s="135" t="e">
        <f t="shared" si="9"/>
        <v>#REF!</v>
      </c>
      <c r="V19" s="136">
        <f t="shared" si="10"/>
        <v>0</v>
      </c>
      <c r="W19" s="170">
        <v>0</v>
      </c>
      <c r="X19" s="135" t="e">
        <f t="shared" si="11"/>
        <v>#REF!</v>
      </c>
      <c r="Y19" s="136">
        <f t="shared" si="12"/>
        <v>0</v>
      </c>
      <c r="Z19" s="170">
        <v>0</v>
      </c>
      <c r="AA19" s="135" t="e">
        <f t="shared" si="13"/>
        <v>#REF!</v>
      </c>
      <c r="AB19" s="136">
        <f t="shared" si="14"/>
        <v>0</v>
      </c>
      <c r="AC19" s="170">
        <v>0</v>
      </c>
      <c r="AD19" s="135" t="e">
        <f t="shared" si="15"/>
        <v>#REF!</v>
      </c>
      <c r="AE19" s="136">
        <f t="shared" si="16"/>
        <v>0</v>
      </c>
      <c r="AF19" s="170">
        <v>0</v>
      </c>
      <c r="AG19" s="135" t="e">
        <f t="shared" si="17"/>
        <v>#REF!</v>
      </c>
      <c r="AH19" s="136">
        <f t="shared" si="18"/>
        <v>0</v>
      </c>
      <c r="AI19" s="198">
        <f t="shared" si="20"/>
        <v>0.1</v>
      </c>
      <c r="AJ19" s="199" t="e">
        <f t="shared" si="21"/>
        <v>#REF!</v>
      </c>
      <c r="AK19" s="136">
        <f t="shared" si="22"/>
        <v>26</v>
      </c>
    </row>
    <row r="20" spans="1:37">
      <c r="A20" s="134" t="s">
        <v>663</v>
      </c>
      <c r="B20" s="88"/>
      <c r="C20" s="172"/>
      <c r="D20" s="172">
        <v>100000</v>
      </c>
      <c r="E20" s="170">
        <v>0.1</v>
      </c>
      <c r="F20" s="135">
        <f t="shared" si="0"/>
        <v>10100</v>
      </c>
      <c r="G20" s="136">
        <f t="shared" si="1"/>
        <v>26</v>
      </c>
      <c r="H20" s="170">
        <v>0</v>
      </c>
      <c r="I20" s="135" t="e">
        <f t="shared" si="19"/>
        <v>#REF!</v>
      </c>
      <c r="J20" s="136">
        <f t="shared" si="2"/>
        <v>0</v>
      </c>
      <c r="K20" s="170">
        <v>0</v>
      </c>
      <c r="L20" s="135" t="e">
        <f t="shared" si="3"/>
        <v>#REF!</v>
      </c>
      <c r="M20" s="136">
        <f t="shared" si="4"/>
        <v>0</v>
      </c>
      <c r="N20" s="170">
        <v>0</v>
      </c>
      <c r="O20" s="135" t="e">
        <f t="shared" si="5"/>
        <v>#REF!</v>
      </c>
      <c r="P20" s="136">
        <f t="shared" si="6"/>
        <v>0</v>
      </c>
      <c r="Q20" s="170">
        <v>0</v>
      </c>
      <c r="R20" s="135" t="e">
        <f t="shared" si="7"/>
        <v>#REF!</v>
      </c>
      <c r="S20" s="136">
        <f t="shared" si="8"/>
        <v>0</v>
      </c>
      <c r="T20" s="170">
        <v>0</v>
      </c>
      <c r="U20" s="135" t="e">
        <f t="shared" si="9"/>
        <v>#REF!</v>
      </c>
      <c r="V20" s="136">
        <f t="shared" si="10"/>
        <v>0</v>
      </c>
      <c r="W20" s="170">
        <v>0</v>
      </c>
      <c r="X20" s="135" t="e">
        <f t="shared" si="11"/>
        <v>#REF!</v>
      </c>
      <c r="Y20" s="136">
        <f t="shared" si="12"/>
        <v>0</v>
      </c>
      <c r="Z20" s="170">
        <v>0</v>
      </c>
      <c r="AA20" s="135" t="e">
        <f t="shared" si="13"/>
        <v>#REF!</v>
      </c>
      <c r="AB20" s="136">
        <f t="shared" si="14"/>
        <v>0</v>
      </c>
      <c r="AC20" s="170">
        <v>0</v>
      </c>
      <c r="AD20" s="135" t="e">
        <f t="shared" si="15"/>
        <v>#REF!</v>
      </c>
      <c r="AE20" s="136">
        <f t="shared" si="16"/>
        <v>0</v>
      </c>
      <c r="AF20" s="170">
        <v>0</v>
      </c>
      <c r="AG20" s="135" t="e">
        <f t="shared" si="17"/>
        <v>#REF!</v>
      </c>
      <c r="AH20" s="136">
        <f t="shared" si="18"/>
        <v>0</v>
      </c>
      <c r="AI20" s="198">
        <f t="shared" si="20"/>
        <v>0.1</v>
      </c>
      <c r="AJ20" s="199" t="e">
        <f t="shared" si="21"/>
        <v>#REF!</v>
      </c>
      <c r="AK20" s="136">
        <f t="shared" si="22"/>
        <v>26</v>
      </c>
    </row>
    <row r="21" spans="1:37">
      <c r="A21" s="134" t="s">
        <v>254</v>
      </c>
      <c r="B21" s="88"/>
      <c r="C21" s="172"/>
      <c r="D21" s="172">
        <v>100000</v>
      </c>
      <c r="E21" s="170">
        <v>0.1</v>
      </c>
      <c r="F21" s="135">
        <f t="shared" si="0"/>
        <v>10100</v>
      </c>
      <c r="G21" s="136">
        <f t="shared" si="1"/>
        <v>26</v>
      </c>
      <c r="H21" s="170">
        <v>0</v>
      </c>
      <c r="I21" s="135" t="e">
        <f t="shared" si="19"/>
        <v>#REF!</v>
      </c>
      <c r="J21" s="136">
        <f t="shared" si="2"/>
        <v>0</v>
      </c>
      <c r="K21" s="170">
        <v>0</v>
      </c>
      <c r="L21" s="135" t="e">
        <f t="shared" si="3"/>
        <v>#REF!</v>
      </c>
      <c r="M21" s="136">
        <f t="shared" si="4"/>
        <v>0</v>
      </c>
      <c r="N21" s="170">
        <v>0</v>
      </c>
      <c r="O21" s="135" t="e">
        <f t="shared" si="5"/>
        <v>#REF!</v>
      </c>
      <c r="P21" s="136">
        <f t="shared" si="6"/>
        <v>0</v>
      </c>
      <c r="Q21" s="170">
        <v>0</v>
      </c>
      <c r="R21" s="135" t="e">
        <f t="shared" si="7"/>
        <v>#REF!</v>
      </c>
      <c r="S21" s="136">
        <f t="shared" si="8"/>
        <v>0</v>
      </c>
      <c r="T21" s="170">
        <v>0</v>
      </c>
      <c r="U21" s="135" t="e">
        <f t="shared" si="9"/>
        <v>#REF!</v>
      </c>
      <c r="V21" s="136">
        <f t="shared" si="10"/>
        <v>0</v>
      </c>
      <c r="W21" s="170">
        <v>0</v>
      </c>
      <c r="X21" s="135" t="e">
        <f t="shared" si="11"/>
        <v>#REF!</v>
      </c>
      <c r="Y21" s="136">
        <f t="shared" si="12"/>
        <v>0</v>
      </c>
      <c r="Z21" s="170">
        <v>0</v>
      </c>
      <c r="AA21" s="135" t="e">
        <f t="shared" si="13"/>
        <v>#REF!</v>
      </c>
      <c r="AB21" s="136">
        <f t="shared" si="14"/>
        <v>0</v>
      </c>
      <c r="AC21" s="170">
        <v>0</v>
      </c>
      <c r="AD21" s="135" t="e">
        <f t="shared" si="15"/>
        <v>#REF!</v>
      </c>
      <c r="AE21" s="136">
        <f t="shared" si="16"/>
        <v>0</v>
      </c>
      <c r="AF21" s="170">
        <v>0</v>
      </c>
      <c r="AG21" s="135" t="e">
        <f t="shared" si="17"/>
        <v>#REF!</v>
      </c>
      <c r="AH21" s="136">
        <f t="shared" si="18"/>
        <v>0</v>
      </c>
      <c r="AI21" s="198">
        <f t="shared" si="20"/>
        <v>0.1</v>
      </c>
      <c r="AJ21" s="199" t="e">
        <f t="shared" si="21"/>
        <v>#REF!</v>
      </c>
      <c r="AK21" s="136">
        <f t="shared" si="22"/>
        <v>26</v>
      </c>
    </row>
    <row r="22" spans="1:37">
      <c r="A22" s="134" t="s">
        <v>254</v>
      </c>
      <c r="B22" s="88"/>
      <c r="C22" s="172"/>
      <c r="D22" s="172">
        <v>100000</v>
      </c>
      <c r="E22" s="170">
        <v>0.1</v>
      </c>
      <c r="F22" s="135">
        <f t="shared" si="0"/>
        <v>10100</v>
      </c>
      <c r="G22" s="136">
        <f t="shared" si="1"/>
        <v>26</v>
      </c>
      <c r="H22" s="170">
        <v>0</v>
      </c>
      <c r="I22" s="135" t="e">
        <f t="shared" si="19"/>
        <v>#REF!</v>
      </c>
      <c r="J22" s="136">
        <f t="shared" si="2"/>
        <v>0</v>
      </c>
      <c r="K22" s="170">
        <v>0</v>
      </c>
      <c r="L22" s="135" t="e">
        <f t="shared" si="3"/>
        <v>#REF!</v>
      </c>
      <c r="M22" s="136">
        <f t="shared" si="4"/>
        <v>0</v>
      </c>
      <c r="N22" s="170">
        <v>0</v>
      </c>
      <c r="O22" s="135" t="e">
        <f t="shared" si="5"/>
        <v>#REF!</v>
      </c>
      <c r="P22" s="136">
        <f t="shared" si="6"/>
        <v>0</v>
      </c>
      <c r="Q22" s="170">
        <v>0</v>
      </c>
      <c r="R22" s="135" t="e">
        <f t="shared" si="7"/>
        <v>#REF!</v>
      </c>
      <c r="S22" s="136">
        <f t="shared" si="8"/>
        <v>0</v>
      </c>
      <c r="T22" s="170">
        <v>0</v>
      </c>
      <c r="U22" s="135" t="e">
        <f t="shared" si="9"/>
        <v>#REF!</v>
      </c>
      <c r="V22" s="136">
        <f t="shared" si="10"/>
        <v>0</v>
      </c>
      <c r="W22" s="170">
        <v>0</v>
      </c>
      <c r="X22" s="135" t="e">
        <f t="shared" si="11"/>
        <v>#REF!</v>
      </c>
      <c r="Y22" s="136">
        <f t="shared" si="12"/>
        <v>0</v>
      </c>
      <c r="Z22" s="170">
        <v>0</v>
      </c>
      <c r="AA22" s="135" t="e">
        <f t="shared" si="13"/>
        <v>#REF!</v>
      </c>
      <c r="AB22" s="136">
        <f t="shared" si="14"/>
        <v>0</v>
      </c>
      <c r="AC22" s="170">
        <v>0</v>
      </c>
      <c r="AD22" s="135" t="e">
        <f t="shared" si="15"/>
        <v>#REF!</v>
      </c>
      <c r="AE22" s="136">
        <f t="shared" si="16"/>
        <v>0</v>
      </c>
      <c r="AF22" s="170">
        <v>0</v>
      </c>
      <c r="AG22" s="135" t="e">
        <f t="shared" si="17"/>
        <v>#REF!</v>
      </c>
      <c r="AH22" s="136">
        <f t="shared" si="18"/>
        <v>0</v>
      </c>
      <c r="AI22" s="198">
        <f t="shared" si="20"/>
        <v>0.1</v>
      </c>
      <c r="AJ22" s="199" t="e">
        <f t="shared" si="21"/>
        <v>#REF!</v>
      </c>
      <c r="AK22" s="136">
        <f t="shared" si="22"/>
        <v>26</v>
      </c>
    </row>
    <row r="23" spans="1:37">
      <c r="A23" s="20" t="s">
        <v>664</v>
      </c>
      <c r="B23" s="19"/>
      <c r="C23" s="9"/>
      <c r="D23" s="1064"/>
      <c r="E23" s="200"/>
      <c r="F23" s="135"/>
      <c r="G23" s="136"/>
      <c r="H23" s="171"/>
      <c r="I23" s="135"/>
      <c r="J23" s="136"/>
      <c r="K23" s="171"/>
      <c r="L23" s="135"/>
      <c r="M23" s="136"/>
      <c r="N23" s="171"/>
      <c r="O23" s="135"/>
      <c r="P23" s="136"/>
      <c r="Q23" s="171"/>
      <c r="R23" s="135"/>
      <c r="S23" s="136"/>
      <c r="T23" s="171"/>
      <c r="U23" s="135"/>
      <c r="V23" s="136"/>
      <c r="W23" s="171"/>
      <c r="X23" s="135"/>
      <c r="Y23" s="136"/>
      <c r="Z23" s="171"/>
      <c r="AA23" s="135"/>
      <c r="AB23" s="136"/>
      <c r="AC23" s="171"/>
      <c r="AD23" s="135"/>
      <c r="AE23" s="136"/>
      <c r="AF23" s="171"/>
      <c r="AG23" s="135"/>
      <c r="AH23" s="136"/>
      <c r="AI23" s="200"/>
      <c r="AJ23" s="199"/>
      <c r="AK23" s="136"/>
    </row>
    <row r="24" spans="1:37">
      <c r="A24" s="134" t="s">
        <v>665</v>
      </c>
      <c r="B24" s="88"/>
      <c r="C24" s="172"/>
      <c r="D24" s="172">
        <v>100000</v>
      </c>
      <c r="E24" s="170">
        <v>0.1</v>
      </c>
      <c r="F24" s="135">
        <f>E24*D24*F$11</f>
        <v>10100</v>
      </c>
      <c r="G24" s="136">
        <f>E24*260</f>
        <v>26</v>
      </c>
      <c r="H24" s="170">
        <v>0</v>
      </c>
      <c r="I24" s="135" t="e">
        <f>H24*$D24*I$11</f>
        <v>#REF!</v>
      </c>
      <c r="J24" s="136">
        <f>H24*260</f>
        <v>0</v>
      </c>
      <c r="K24" s="170">
        <v>0</v>
      </c>
      <c r="L24" s="135" t="e">
        <f>K24*$D24*L$11</f>
        <v>#REF!</v>
      </c>
      <c r="M24" s="136">
        <f>K24*260</f>
        <v>0</v>
      </c>
      <c r="N24" s="170">
        <v>0</v>
      </c>
      <c r="O24" s="135" t="e">
        <f>N24*$D24*O$11</f>
        <v>#REF!</v>
      </c>
      <c r="P24" s="136">
        <f>N24*260</f>
        <v>0</v>
      </c>
      <c r="Q24" s="170">
        <v>0</v>
      </c>
      <c r="R24" s="135" t="e">
        <f>Q24*$D24*R$11</f>
        <v>#REF!</v>
      </c>
      <c r="S24" s="136">
        <f>Q24*260</f>
        <v>0</v>
      </c>
      <c r="T24" s="170">
        <v>0</v>
      </c>
      <c r="U24" s="135" t="e">
        <f>T24*S24*U$11</f>
        <v>#REF!</v>
      </c>
      <c r="V24" s="136">
        <f>T24*260</f>
        <v>0</v>
      </c>
      <c r="W24" s="170">
        <v>0.05</v>
      </c>
      <c r="X24" s="135" t="e">
        <f>W24*$D24*X$11</f>
        <v>#REF!</v>
      </c>
      <c r="Y24" s="136">
        <f>W24*260</f>
        <v>13</v>
      </c>
      <c r="Z24" s="170">
        <v>0</v>
      </c>
      <c r="AA24" s="135" t="e">
        <f>Z24*$D24*AA$11</f>
        <v>#REF!</v>
      </c>
      <c r="AB24" s="136">
        <f>Z24*260</f>
        <v>0</v>
      </c>
      <c r="AC24" s="170">
        <v>0</v>
      </c>
      <c r="AD24" s="135" t="e">
        <f>AC24*$D24*AD$11</f>
        <v>#REF!</v>
      </c>
      <c r="AE24" s="136">
        <f>AC24*260</f>
        <v>0</v>
      </c>
      <c r="AF24" s="170">
        <v>0</v>
      </c>
      <c r="AG24" s="135" t="e">
        <f>AF24*$D24*AG$11</f>
        <v>#REF!</v>
      </c>
      <c r="AH24" s="136">
        <f>AF24*260</f>
        <v>0</v>
      </c>
      <c r="AI24" s="198">
        <f t="shared" ref="AI24:AK27" si="23">SUM(E24,H24,K24,N24,Q24,T24,W24,Z24,AC24,AF24)</f>
        <v>0.15000000000000002</v>
      </c>
      <c r="AJ24" s="199" t="e">
        <f t="shared" si="23"/>
        <v>#REF!</v>
      </c>
      <c r="AK24" s="136">
        <f t="shared" si="23"/>
        <v>39</v>
      </c>
    </row>
    <row r="25" spans="1:37">
      <c r="A25" s="134" t="s">
        <v>666</v>
      </c>
      <c r="B25" s="88"/>
      <c r="C25" s="172"/>
      <c r="D25" s="172">
        <v>100000</v>
      </c>
      <c r="E25" s="170">
        <v>0.1</v>
      </c>
      <c r="F25" s="135">
        <f>E25*D25*F$11</f>
        <v>10100</v>
      </c>
      <c r="G25" s="136">
        <f>E25*260</f>
        <v>26</v>
      </c>
      <c r="H25" s="170">
        <v>0</v>
      </c>
      <c r="I25" s="135" t="e">
        <f>H25*$D25*I$11</f>
        <v>#REF!</v>
      </c>
      <c r="J25" s="136">
        <f>H25*260</f>
        <v>0</v>
      </c>
      <c r="K25" s="170">
        <v>0</v>
      </c>
      <c r="L25" s="135" t="e">
        <f>K25*$D25*L$11</f>
        <v>#REF!</v>
      </c>
      <c r="M25" s="136">
        <f>K25*260</f>
        <v>0</v>
      </c>
      <c r="N25" s="170">
        <v>0</v>
      </c>
      <c r="O25" s="135" t="e">
        <f>N25*$D25*O$11</f>
        <v>#REF!</v>
      </c>
      <c r="P25" s="136">
        <f>N25*260</f>
        <v>0</v>
      </c>
      <c r="Q25" s="170">
        <v>0</v>
      </c>
      <c r="R25" s="135" t="e">
        <f>Q25*$D25*R$11</f>
        <v>#REF!</v>
      </c>
      <c r="S25" s="136">
        <f>Q25*260</f>
        <v>0</v>
      </c>
      <c r="T25" s="170">
        <v>0</v>
      </c>
      <c r="U25" s="135" t="e">
        <f>T25*S25*U$11</f>
        <v>#REF!</v>
      </c>
      <c r="V25" s="136">
        <f>T25*260</f>
        <v>0</v>
      </c>
      <c r="W25" s="170">
        <v>0</v>
      </c>
      <c r="X25" s="135" t="e">
        <f>W25*$D25*X$11</f>
        <v>#REF!</v>
      </c>
      <c r="Y25" s="136">
        <f>W25*260</f>
        <v>0</v>
      </c>
      <c r="Z25" s="170">
        <v>0.05</v>
      </c>
      <c r="AA25" s="135" t="e">
        <f>Z25*$D25*AA$11</f>
        <v>#REF!</v>
      </c>
      <c r="AB25" s="136">
        <f>Z25*260</f>
        <v>13</v>
      </c>
      <c r="AC25" s="170">
        <v>0</v>
      </c>
      <c r="AD25" s="135" t="e">
        <f>AC25*$D25*AD$11</f>
        <v>#REF!</v>
      </c>
      <c r="AE25" s="136">
        <f>AC25*260</f>
        <v>0</v>
      </c>
      <c r="AF25" s="170">
        <v>0</v>
      </c>
      <c r="AG25" s="135" t="e">
        <f>AF25*$D25*AG$11</f>
        <v>#REF!</v>
      </c>
      <c r="AH25" s="136">
        <f>AF25*260</f>
        <v>0</v>
      </c>
      <c r="AI25" s="198">
        <f t="shared" si="23"/>
        <v>0.15000000000000002</v>
      </c>
      <c r="AJ25" s="199" t="e">
        <f t="shared" si="23"/>
        <v>#REF!</v>
      </c>
      <c r="AK25" s="136">
        <f t="shared" si="23"/>
        <v>39</v>
      </c>
    </row>
    <row r="26" spans="1:37">
      <c r="A26" s="134" t="s">
        <v>667</v>
      </c>
      <c r="B26" s="88"/>
      <c r="C26" s="172"/>
      <c r="D26" s="172">
        <v>100000</v>
      </c>
      <c r="E26" s="170">
        <v>0.1</v>
      </c>
      <c r="F26" s="135">
        <f>E26*D26*F$11</f>
        <v>10100</v>
      </c>
      <c r="G26" s="136">
        <f>E26*260</f>
        <v>26</v>
      </c>
      <c r="H26" s="170">
        <v>0</v>
      </c>
      <c r="I26" s="135" t="e">
        <f>H26*$D26*I$11</f>
        <v>#REF!</v>
      </c>
      <c r="J26" s="136">
        <f>H26*260</f>
        <v>0</v>
      </c>
      <c r="K26" s="170">
        <v>0</v>
      </c>
      <c r="L26" s="135" t="e">
        <f>K26*$D26*L$11</f>
        <v>#REF!</v>
      </c>
      <c r="M26" s="136">
        <f>K26*260</f>
        <v>0</v>
      </c>
      <c r="N26" s="170">
        <v>0</v>
      </c>
      <c r="O26" s="135" t="e">
        <f>N26*$D26*O$11</f>
        <v>#REF!</v>
      </c>
      <c r="P26" s="136">
        <f>N26*260</f>
        <v>0</v>
      </c>
      <c r="Q26" s="170">
        <v>0</v>
      </c>
      <c r="R26" s="135" t="e">
        <f>Q26*$D26*R$11</f>
        <v>#REF!</v>
      </c>
      <c r="S26" s="136">
        <f>Q26*260</f>
        <v>0</v>
      </c>
      <c r="T26" s="170">
        <v>0</v>
      </c>
      <c r="U26" s="135" t="e">
        <f>T26*S26*U$11</f>
        <v>#REF!</v>
      </c>
      <c r="V26" s="136">
        <f>T26*260</f>
        <v>0</v>
      </c>
      <c r="W26" s="170">
        <v>0</v>
      </c>
      <c r="X26" s="135" t="e">
        <f>W26*$D26*X$11</f>
        <v>#REF!</v>
      </c>
      <c r="Y26" s="136">
        <f>W26*260</f>
        <v>0</v>
      </c>
      <c r="Z26" s="170">
        <v>0</v>
      </c>
      <c r="AA26" s="135" t="e">
        <f>Z26*$D26*AA$11</f>
        <v>#REF!</v>
      </c>
      <c r="AB26" s="136">
        <f>Z26*260</f>
        <v>0</v>
      </c>
      <c r="AC26" s="170">
        <v>0</v>
      </c>
      <c r="AD26" s="135" t="e">
        <f>AC26*$D26*AD$11</f>
        <v>#REF!</v>
      </c>
      <c r="AE26" s="136">
        <f>AC26*260</f>
        <v>0</v>
      </c>
      <c r="AF26" s="170">
        <v>0</v>
      </c>
      <c r="AG26" s="135" t="e">
        <f>AF26*$D26*AG$11</f>
        <v>#REF!</v>
      </c>
      <c r="AH26" s="136">
        <f>AF26*260</f>
        <v>0</v>
      </c>
      <c r="AI26" s="198">
        <f t="shared" si="23"/>
        <v>0.1</v>
      </c>
      <c r="AJ26" s="199" t="e">
        <f t="shared" si="23"/>
        <v>#REF!</v>
      </c>
      <c r="AK26" s="136">
        <f t="shared" si="23"/>
        <v>26</v>
      </c>
    </row>
    <row r="27" spans="1:37">
      <c r="A27" s="134" t="s">
        <v>668</v>
      </c>
      <c r="B27" s="88"/>
      <c r="C27" s="172"/>
      <c r="D27" s="172">
        <v>100000</v>
      </c>
      <c r="E27" s="170">
        <v>0.1</v>
      </c>
      <c r="F27" s="135">
        <f>E27*D27*F$11</f>
        <v>10100</v>
      </c>
      <c r="G27" s="136">
        <f>E27*260</f>
        <v>26</v>
      </c>
      <c r="H27" s="170">
        <v>0</v>
      </c>
      <c r="I27" s="135" t="e">
        <f>H27*$D27*I$11</f>
        <v>#REF!</v>
      </c>
      <c r="J27" s="136">
        <f>H27*260</f>
        <v>0</v>
      </c>
      <c r="K27" s="170">
        <v>0</v>
      </c>
      <c r="L27" s="135" t="e">
        <f>K27*$D27*L$11</f>
        <v>#REF!</v>
      </c>
      <c r="M27" s="136">
        <f>K27*260</f>
        <v>0</v>
      </c>
      <c r="N27" s="170">
        <v>0</v>
      </c>
      <c r="O27" s="135" t="e">
        <f>N27*$D27*O$11</f>
        <v>#REF!</v>
      </c>
      <c r="P27" s="136">
        <f>N27*260</f>
        <v>0</v>
      </c>
      <c r="Q27" s="170">
        <v>0</v>
      </c>
      <c r="R27" s="135" t="e">
        <f>Q27*$D27*R$11</f>
        <v>#REF!</v>
      </c>
      <c r="S27" s="136">
        <f>Q27*260</f>
        <v>0</v>
      </c>
      <c r="T27" s="170">
        <v>0</v>
      </c>
      <c r="U27" s="135" t="e">
        <f>T27*S27*U$11</f>
        <v>#REF!</v>
      </c>
      <c r="V27" s="136">
        <f>T27*260</f>
        <v>0</v>
      </c>
      <c r="W27" s="170">
        <v>0</v>
      </c>
      <c r="X27" s="135" t="e">
        <f>W27*$D27*X$11</f>
        <v>#REF!</v>
      </c>
      <c r="Y27" s="136">
        <f>W27*260</f>
        <v>0</v>
      </c>
      <c r="Z27" s="170">
        <v>0</v>
      </c>
      <c r="AA27" s="135" t="e">
        <f>Z27*$D27*AA$11</f>
        <v>#REF!</v>
      </c>
      <c r="AB27" s="136">
        <f>Z27*260</f>
        <v>0</v>
      </c>
      <c r="AC27" s="170">
        <v>0</v>
      </c>
      <c r="AD27" s="135" t="e">
        <f>AC27*$D27*AD$11</f>
        <v>#REF!</v>
      </c>
      <c r="AE27" s="136">
        <f>AC27*260</f>
        <v>0</v>
      </c>
      <c r="AF27" s="170">
        <v>0</v>
      </c>
      <c r="AG27" s="135" t="e">
        <f>AF27*$D27*AG$11</f>
        <v>#REF!</v>
      </c>
      <c r="AH27" s="136">
        <f>AF27*260</f>
        <v>0</v>
      </c>
      <c r="AI27" s="198">
        <f t="shared" si="23"/>
        <v>0.1</v>
      </c>
      <c r="AJ27" s="199" t="e">
        <f t="shared" si="23"/>
        <v>#REF!</v>
      </c>
      <c r="AK27" s="136">
        <f t="shared" si="23"/>
        <v>26</v>
      </c>
    </row>
    <row r="28" spans="1:37">
      <c r="A28" s="134"/>
      <c r="B28" s="137" t="s">
        <v>669</v>
      </c>
      <c r="C28" s="9"/>
      <c r="D28" s="9"/>
      <c r="E28" s="138"/>
      <c r="F28" s="139">
        <f>SUM(F12:F27)</f>
        <v>111100</v>
      </c>
      <c r="G28" s="136"/>
      <c r="H28" s="138"/>
      <c r="I28" s="139" t="e">
        <f>SUM(I12:I27)</f>
        <v>#REF!</v>
      </c>
      <c r="J28" s="136"/>
      <c r="K28" s="138"/>
      <c r="L28" s="139" t="e">
        <f>SUM(L12:L27)</f>
        <v>#REF!</v>
      </c>
      <c r="M28" s="136"/>
      <c r="N28" s="138"/>
      <c r="O28" s="139" t="e">
        <f>SUM(O12:O27)</f>
        <v>#REF!</v>
      </c>
      <c r="P28" s="136"/>
      <c r="Q28" s="138"/>
      <c r="R28" s="139" t="e">
        <f>SUM(R12:R27)</f>
        <v>#REF!</v>
      </c>
      <c r="S28" s="136"/>
      <c r="T28" s="138"/>
      <c r="U28" s="139" t="e">
        <f>SUM(U12:U27)</f>
        <v>#REF!</v>
      </c>
      <c r="V28" s="136"/>
      <c r="W28" s="138"/>
      <c r="X28" s="139" t="e">
        <f>SUM(X12:X27)</f>
        <v>#REF!</v>
      </c>
      <c r="Y28" s="136"/>
      <c r="Z28" s="138"/>
      <c r="AA28" s="139" t="e">
        <f>SUM(AA12:AA27)</f>
        <v>#REF!</v>
      </c>
      <c r="AB28" s="136"/>
      <c r="AC28" s="138"/>
      <c r="AD28" s="139" t="e">
        <f>SUM(AD12:AD27)</f>
        <v>#REF!</v>
      </c>
      <c r="AE28" s="136"/>
      <c r="AF28" s="138"/>
      <c r="AG28" s="139" t="e">
        <f>SUM(AG12:AG27)</f>
        <v>#REF!</v>
      </c>
      <c r="AH28" s="136"/>
      <c r="AI28" s="138"/>
      <c r="AJ28" s="135"/>
      <c r="AK28" s="136"/>
    </row>
    <row r="29" spans="1:37">
      <c r="A29" s="134"/>
      <c r="B29" s="88"/>
      <c r="C29" s="9"/>
      <c r="D29" s="140"/>
      <c r="E29" s="141"/>
      <c r="F29" s="142"/>
      <c r="G29" s="136"/>
      <c r="H29" s="141"/>
      <c r="I29" s="142"/>
      <c r="J29" s="136"/>
      <c r="K29" s="141"/>
      <c r="L29" s="142"/>
      <c r="M29" s="136"/>
      <c r="N29" s="141"/>
      <c r="O29" s="142"/>
      <c r="P29" s="136"/>
      <c r="Q29" s="141"/>
      <c r="R29" s="142"/>
      <c r="S29" s="136"/>
      <c r="T29" s="141"/>
      <c r="U29" s="142"/>
      <c r="V29" s="136"/>
      <c r="W29" s="141"/>
      <c r="X29" s="142"/>
      <c r="Y29" s="136"/>
      <c r="Z29" s="141"/>
      <c r="AA29" s="142"/>
      <c r="AB29" s="136"/>
      <c r="AC29" s="141"/>
      <c r="AD29" s="142"/>
      <c r="AE29" s="136"/>
      <c r="AF29" s="141"/>
      <c r="AG29" s="142"/>
      <c r="AH29" s="136"/>
      <c r="AI29" s="138"/>
      <c r="AJ29" s="135"/>
      <c r="AK29" s="136"/>
    </row>
    <row r="30" spans="1:37">
      <c r="A30" s="75"/>
      <c r="B30" s="143" t="s">
        <v>670</v>
      </c>
      <c r="C30" s="9"/>
      <c r="D30" s="144">
        <f>F28/E30/F11</f>
        <v>100000.00000000001</v>
      </c>
      <c r="E30" s="145">
        <f>SUM(E16:E28)</f>
        <v>1.0999999999999999</v>
      </c>
      <c r="F30" s="146">
        <f>SUMPRODUCT($D16:$D27,E16:E27)*F$11/E30</f>
        <v>101000.00000000001</v>
      </c>
      <c r="G30" s="147">
        <f>E30*F30</f>
        <v>111100</v>
      </c>
      <c r="H30" s="145">
        <f>SUM(H16:H28)</f>
        <v>0</v>
      </c>
      <c r="I30" s="146" t="e">
        <f>SUMPRODUCT($D16:$D27,H16:H27)*I11/H30</f>
        <v>#REF!</v>
      </c>
      <c r="J30" s="148" t="e">
        <f>H30*I30</f>
        <v>#REF!</v>
      </c>
      <c r="K30" s="145">
        <f>SUM(K16:K28)</f>
        <v>0</v>
      </c>
      <c r="L30" s="146" t="e">
        <f>SUMPRODUCT($D16:$D27,K16:K27)*L11/K30</f>
        <v>#REF!</v>
      </c>
      <c r="M30" s="147" t="e">
        <f>K30*L30</f>
        <v>#REF!</v>
      </c>
      <c r="N30" s="145">
        <f>SUM(N16:N28)</f>
        <v>0</v>
      </c>
      <c r="O30" s="146" t="e">
        <f>SUMPRODUCT($D16:$D27,N16:N27)*O11/N30</f>
        <v>#REF!</v>
      </c>
      <c r="P30" s="147" t="e">
        <f>N30*O30</f>
        <v>#REF!</v>
      </c>
      <c r="Q30" s="145">
        <f>SUM(Q16:Q28)</f>
        <v>0</v>
      </c>
      <c r="R30" s="146" t="e">
        <f>SUMPRODUCT($D16:$D27,Q16:Q27)*R11/Q30</f>
        <v>#REF!</v>
      </c>
      <c r="S30" s="148" t="e">
        <f>Q30*R30</f>
        <v>#REF!</v>
      </c>
      <c r="T30" s="145">
        <f>SUM(T16:T28)</f>
        <v>0</v>
      </c>
      <c r="U30" s="146" t="e">
        <f>SUMPRODUCT($D16:$D27,T16:T27)*U$11/T30</f>
        <v>#REF!</v>
      </c>
      <c r="V30" s="147" t="e">
        <f>T30*U30</f>
        <v>#REF!</v>
      </c>
      <c r="W30" s="145">
        <f>SUM(W16:W28)</f>
        <v>0.05</v>
      </c>
      <c r="X30" s="146" t="e">
        <f>SUMPRODUCT($D16:$D27,W16:W27)*X11/W30</f>
        <v>#REF!</v>
      </c>
      <c r="Y30" s="148" t="e">
        <f>W30*X30</f>
        <v>#REF!</v>
      </c>
      <c r="Z30" s="145">
        <f>SUM(Z16:Z28)</f>
        <v>0.1</v>
      </c>
      <c r="AA30" s="146" t="e">
        <f>SUMPRODUCT($D16:$D27,Z16:Z27)*AA11/Z30</f>
        <v>#REF!</v>
      </c>
      <c r="AB30" s="147" t="e">
        <f>Z30*AA30</f>
        <v>#REF!</v>
      </c>
      <c r="AC30" s="145">
        <f>SUM(AC16:AC28)</f>
        <v>0.05</v>
      </c>
      <c r="AD30" s="146" t="e">
        <f>SUMPRODUCT($D16:$D27,AC16:AC27)*AD11/AC30</f>
        <v>#REF!</v>
      </c>
      <c r="AE30" s="147" t="e">
        <f>AC30*AD30</f>
        <v>#REF!</v>
      </c>
      <c r="AF30" s="145">
        <f>SUM(AF16:AF28)</f>
        <v>0.05</v>
      </c>
      <c r="AG30" s="146" t="e">
        <f>SUMPRODUCT($D16:$D27,AF16:AF27)*AG11/AF30</f>
        <v>#REF!</v>
      </c>
      <c r="AH30" s="148" t="e">
        <f>AF30*AG30</f>
        <v>#REF!</v>
      </c>
      <c r="AI30" s="201"/>
      <c r="AJ30" s="202"/>
      <c r="AK30" s="148"/>
    </row>
    <row r="31" spans="1:37">
      <c r="A31" s="75"/>
      <c r="B31" s="143" t="s">
        <v>671</v>
      </c>
      <c r="C31" s="9"/>
      <c r="D31" s="149">
        <f>DMIN(A14:D27,"Projected Monthly Salary",A12:A13)</f>
        <v>100000</v>
      </c>
      <c r="E31" s="150">
        <f>F28/F31</f>
        <v>1.1000000000000001</v>
      </c>
      <c r="F31" s="151">
        <f>$D31*F$11</f>
        <v>101000</v>
      </c>
      <c r="G31" s="147">
        <f>E31*F31</f>
        <v>111100.00000000001</v>
      </c>
      <c r="H31" s="150" t="e">
        <f>I28/I31</f>
        <v>#REF!</v>
      </c>
      <c r="I31" s="151" t="e">
        <f>$D31*I$11</f>
        <v>#REF!</v>
      </c>
      <c r="J31" s="147" t="e">
        <f>H31*I31</f>
        <v>#REF!</v>
      </c>
      <c r="K31" s="150" t="e">
        <f>L28/L31</f>
        <v>#REF!</v>
      </c>
      <c r="L31" s="151" t="e">
        <f>$D31*L$11</f>
        <v>#REF!</v>
      </c>
      <c r="M31" s="147" t="e">
        <f>K31*L31</f>
        <v>#REF!</v>
      </c>
      <c r="N31" s="150" t="e">
        <f>O28/O31</f>
        <v>#REF!</v>
      </c>
      <c r="O31" s="151" t="e">
        <f>$D31*O$11</f>
        <v>#REF!</v>
      </c>
      <c r="P31" s="147" t="e">
        <f>N31*O31</f>
        <v>#REF!</v>
      </c>
      <c r="Q31" s="150" t="e">
        <f>R28/R31</f>
        <v>#REF!</v>
      </c>
      <c r="R31" s="151" t="e">
        <f>$D31*R$11</f>
        <v>#REF!</v>
      </c>
      <c r="S31" s="148" t="e">
        <f>Q31*R31</f>
        <v>#REF!</v>
      </c>
      <c r="T31" s="150" t="e">
        <f>U28/U31</f>
        <v>#REF!</v>
      </c>
      <c r="U31" s="151" t="e">
        <f>$D31*U$11</f>
        <v>#REF!</v>
      </c>
      <c r="V31" s="147" t="e">
        <f>T31*U31</f>
        <v>#REF!</v>
      </c>
      <c r="W31" s="150" t="e">
        <f>X28/X31</f>
        <v>#REF!</v>
      </c>
      <c r="X31" s="151" t="e">
        <f>$D31*X$11</f>
        <v>#REF!</v>
      </c>
      <c r="Y31" s="147" t="e">
        <f>W31*X31</f>
        <v>#REF!</v>
      </c>
      <c r="Z31" s="150" t="e">
        <f>AA28/AA31</f>
        <v>#REF!</v>
      </c>
      <c r="AA31" s="151" t="e">
        <f>$D31*AA$11</f>
        <v>#REF!</v>
      </c>
      <c r="AB31" s="147" t="e">
        <f>Z31*AA31</f>
        <v>#REF!</v>
      </c>
      <c r="AC31" s="150" t="e">
        <f>AD28/AD31</f>
        <v>#REF!</v>
      </c>
      <c r="AD31" s="151" t="e">
        <f>$D31*AD$11</f>
        <v>#REF!</v>
      </c>
      <c r="AE31" s="147" t="e">
        <f>AC31*AD31</f>
        <v>#REF!</v>
      </c>
      <c r="AF31" s="150" t="e">
        <f>AG28/AG31</f>
        <v>#REF!</v>
      </c>
      <c r="AG31" s="151" t="e">
        <f>$D31*AG$11</f>
        <v>#REF!</v>
      </c>
      <c r="AH31" s="148" t="e">
        <f>AF31*AG31</f>
        <v>#REF!</v>
      </c>
      <c r="AI31" s="203"/>
      <c r="AJ31" s="202"/>
      <c r="AK31" s="148"/>
    </row>
    <row r="32" spans="1:37">
      <c r="A32" s="75"/>
      <c r="B32" s="143" t="s">
        <v>672</v>
      </c>
      <c r="C32" s="9"/>
      <c r="D32" s="149">
        <f>DAVERAGE(A14:D27,"Projected Monthly Salary",A12:A13)</f>
        <v>100000</v>
      </c>
      <c r="E32" s="150">
        <f>F28/F32</f>
        <v>1.1000000000000001</v>
      </c>
      <c r="F32" s="151">
        <f>$D32*F$11</f>
        <v>101000</v>
      </c>
      <c r="G32" s="147">
        <f>E32*F32</f>
        <v>111100.00000000001</v>
      </c>
      <c r="H32" s="150" t="e">
        <f>I28/I32</f>
        <v>#REF!</v>
      </c>
      <c r="I32" s="151" t="e">
        <f>$D32*I$11</f>
        <v>#REF!</v>
      </c>
      <c r="J32" s="147" t="e">
        <f>H32*I32</f>
        <v>#REF!</v>
      </c>
      <c r="K32" s="150" t="e">
        <f>L28/L32</f>
        <v>#REF!</v>
      </c>
      <c r="L32" s="151" t="e">
        <f>$D32*L$11</f>
        <v>#REF!</v>
      </c>
      <c r="M32" s="147" t="e">
        <f>K32*L32</f>
        <v>#REF!</v>
      </c>
      <c r="N32" s="150" t="e">
        <f>O28/O32</f>
        <v>#REF!</v>
      </c>
      <c r="O32" s="151" t="e">
        <f>$D32*O$11</f>
        <v>#REF!</v>
      </c>
      <c r="P32" s="147" t="e">
        <f>N32*O32</f>
        <v>#REF!</v>
      </c>
      <c r="Q32" s="150" t="e">
        <f>R28/R32</f>
        <v>#REF!</v>
      </c>
      <c r="R32" s="151" t="e">
        <f>$D32*R$11</f>
        <v>#REF!</v>
      </c>
      <c r="S32" s="148" t="e">
        <f>Q32*R32</f>
        <v>#REF!</v>
      </c>
      <c r="T32" s="150" t="e">
        <f>U28/U32</f>
        <v>#REF!</v>
      </c>
      <c r="U32" s="151" t="e">
        <f>$D32*U$11</f>
        <v>#REF!</v>
      </c>
      <c r="V32" s="147" t="e">
        <f>T32*U32</f>
        <v>#REF!</v>
      </c>
      <c r="W32" s="150" t="e">
        <f>X28/X32</f>
        <v>#REF!</v>
      </c>
      <c r="X32" s="151" t="e">
        <f>$D32*X$11</f>
        <v>#REF!</v>
      </c>
      <c r="Y32" s="147" t="e">
        <f>W32*X32</f>
        <v>#REF!</v>
      </c>
      <c r="Z32" s="150" t="e">
        <f>AA28/AA32</f>
        <v>#REF!</v>
      </c>
      <c r="AA32" s="151" t="e">
        <f>$D32*AA$11</f>
        <v>#REF!</v>
      </c>
      <c r="AB32" s="147" t="e">
        <f>Z32*AA32</f>
        <v>#REF!</v>
      </c>
      <c r="AC32" s="150" t="e">
        <f>AD28/AD32</f>
        <v>#REF!</v>
      </c>
      <c r="AD32" s="151" t="e">
        <f>$D32*AD$11</f>
        <v>#REF!</v>
      </c>
      <c r="AE32" s="147" t="e">
        <f>AC32*AD32</f>
        <v>#REF!</v>
      </c>
      <c r="AF32" s="150" t="e">
        <f>AG28/AG32</f>
        <v>#REF!</v>
      </c>
      <c r="AG32" s="151" t="e">
        <f>$D32*AG$11</f>
        <v>#REF!</v>
      </c>
      <c r="AH32" s="148" t="e">
        <f>AF32*AG32</f>
        <v>#REF!</v>
      </c>
      <c r="AI32" s="203"/>
      <c r="AJ32" s="202"/>
      <c r="AK32" s="148"/>
    </row>
    <row r="33" spans="1:37" ht="12.6" thickBot="1">
      <c r="A33" s="75"/>
      <c r="B33" s="143" t="s">
        <v>673</v>
      </c>
      <c r="C33" s="9"/>
      <c r="D33" s="152">
        <f>DMAX(A14:D27,"Projected Monthly Salary",A12:A13)</f>
        <v>100000</v>
      </c>
      <c r="E33" s="153">
        <f>F28/F33</f>
        <v>1.1000000000000001</v>
      </c>
      <c r="F33" s="154">
        <f>$D33*F$11</f>
        <v>101000</v>
      </c>
      <c r="G33" s="147">
        <f>E33*F33</f>
        <v>111100.00000000001</v>
      </c>
      <c r="H33" s="153" t="e">
        <f>I28/I33</f>
        <v>#REF!</v>
      </c>
      <c r="I33" s="154" t="e">
        <f>$D33*I$11</f>
        <v>#REF!</v>
      </c>
      <c r="J33" s="147" t="e">
        <f>H33*I33</f>
        <v>#REF!</v>
      </c>
      <c r="K33" s="153" t="e">
        <f>L28/L33</f>
        <v>#REF!</v>
      </c>
      <c r="L33" s="154" t="e">
        <f>$D33*L$11</f>
        <v>#REF!</v>
      </c>
      <c r="M33" s="147" t="e">
        <f>K33*L33</f>
        <v>#REF!</v>
      </c>
      <c r="N33" s="153" t="e">
        <f>O28/O33</f>
        <v>#REF!</v>
      </c>
      <c r="O33" s="154" t="e">
        <f>$D33*O$11</f>
        <v>#REF!</v>
      </c>
      <c r="P33" s="147" t="e">
        <f>N33*O33</f>
        <v>#REF!</v>
      </c>
      <c r="Q33" s="153" t="e">
        <f>R28/R33</f>
        <v>#REF!</v>
      </c>
      <c r="R33" s="154" t="e">
        <f>$D33*R$11</f>
        <v>#REF!</v>
      </c>
      <c r="S33" s="148" t="e">
        <f>Q33*R33</f>
        <v>#REF!</v>
      </c>
      <c r="T33" s="153" t="e">
        <f>U28/U33</f>
        <v>#REF!</v>
      </c>
      <c r="U33" s="154" t="e">
        <f>$D33*U$11</f>
        <v>#REF!</v>
      </c>
      <c r="V33" s="147" t="e">
        <f>T33*U33</f>
        <v>#REF!</v>
      </c>
      <c r="W33" s="153" t="e">
        <f>X28/X33</f>
        <v>#REF!</v>
      </c>
      <c r="X33" s="154" t="e">
        <f>$D33*X$11</f>
        <v>#REF!</v>
      </c>
      <c r="Y33" s="147" t="e">
        <f>W33*X33</f>
        <v>#REF!</v>
      </c>
      <c r="Z33" s="153" t="e">
        <f>AA28/AA33</f>
        <v>#REF!</v>
      </c>
      <c r="AA33" s="154" t="e">
        <f>$D33*AA$11</f>
        <v>#REF!</v>
      </c>
      <c r="AB33" s="147" t="e">
        <f>Z33*AA33</f>
        <v>#REF!</v>
      </c>
      <c r="AC33" s="153" t="e">
        <f>AD28/AD33</f>
        <v>#REF!</v>
      </c>
      <c r="AD33" s="154" t="e">
        <f>$D33*AD$11</f>
        <v>#REF!</v>
      </c>
      <c r="AE33" s="147" t="e">
        <f>AC33*AD33</f>
        <v>#REF!</v>
      </c>
      <c r="AF33" s="153" t="e">
        <f>AG28/AG33</f>
        <v>#REF!</v>
      </c>
      <c r="AG33" s="154" t="e">
        <f>$D33*AG$11</f>
        <v>#REF!</v>
      </c>
      <c r="AH33" s="148" t="e">
        <f>AF33*AG33</f>
        <v>#REF!</v>
      </c>
      <c r="AI33" s="203"/>
      <c r="AJ33" s="202"/>
      <c r="AK33" s="148"/>
    </row>
    <row r="34" spans="1:37" ht="12.6" thickBot="1">
      <c r="A34" s="155"/>
      <c r="B34" s="156"/>
      <c r="C34" s="9"/>
      <c r="D34" s="157"/>
      <c r="E34" s="158"/>
      <c r="F34" s="159"/>
      <c r="G34" s="160"/>
      <c r="H34" s="158"/>
      <c r="I34" s="159"/>
      <c r="J34" s="160"/>
      <c r="K34" s="158"/>
      <c r="L34" s="159"/>
      <c r="M34" s="160"/>
      <c r="N34" s="158"/>
      <c r="O34" s="159"/>
      <c r="P34" s="160"/>
      <c r="Q34" s="158"/>
      <c r="R34" s="159"/>
      <c r="S34" s="160"/>
      <c r="T34" s="158"/>
      <c r="U34" s="159"/>
      <c r="V34" s="160"/>
      <c r="W34" s="158"/>
      <c r="X34" s="159"/>
      <c r="Y34" s="160"/>
      <c r="Z34" s="158"/>
      <c r="AA34" s="159"/>
      <c r="AB34" s="160"/>
      <c r="AC34" s="158"/>
      <c r="AD34" s="159"/>
      <c r="AE34" s="160"/>
      <c r="AF34" s="158"/>
      <c r="AG34" s="159"/>
      <c r="AH34" s="160"/>
      <c r="AI34" s="158"/>
      <c r="AJ34" s="159"/>
      <c r="AK34" s="160"/>
    </row>
    <row r="35" spans="1:37" ht="12.6" thickBot="1">
      <c r="B35" s="143"/>
      <c r="C35" s="161"/>
      <c r="D35" s="161"/>
      <c r="E35" s="162"/>
      <c r="F35" s="38"/>
      <c r="G35" s="163"/>
      <c r="T35" s="162"/>
      <c r="U35" s="38"/>
      <c r="V35" s="163"/>
    </row>
    <row r="36" spans="1:37" ht="12.75" customHeight="1">
      <c r="A36" s="1178" t="s">
        <v>674</v>
      </c>
      <c r="B36" s="1179"/>
      <c r="C36" s="115"/>
      <c r="D36" s="115"/>
      <c r="E36" s="116"/>
      <c r="F36" s="117"/>
      <c r="G36" s="118"/>
      <c r="H36" s="116"/>
      <c r="I36" s="117"/>
      <c r="J36" s="118"/>
      <c r="K36" s="116"/>
      <c r="L36" s="117"/>
      <c r="M36" s="118"/>
      <c r="N36" s="116"/>
      <c r="O36" s="117"/>
      <c r="P36" s="118"/>
      <c r="Q36" s="116"/>
      <c r="R36" s="117"/>
      <c r="S36" s="118"/>
      <c r="T36" s="116"/>
      <c r="U36" s="117"/>
      <c r="V36" s="118"/>
      <c r="W36" s="116"/>
      <c r="X36" s="117"/>
      <c r="Y36" s="118"/>
      <c r="Z36" s="116"/>
      <c r="AA36" s="117"/>
      <c r="AB36" s="118"/>
      <c r="AC36" s="116"/>
      <c r="AD36" s="117"/>
      <c r="AE36" s="118"/>
      <c r="AF36" s="116"/>
      <c r="AG36" s="117"/>
      <c r="AH36" s="118"/>
      <c r="AI36" s="116"/>
      <c r="AJ36" s="117"/>
      <c r="AK36" s="118"/>
    </row>
    <row r="37" spans="1:37" ht="13.5" customHeight="1" thickBot="1">
      <c r="A37" s="1180"/>
      <c r="B37" s="1181"/>
      <c r="C37" s="119"/>
      <c r="D37" s="119"/>
      <c r="E37" s="120"/>
      <c r="F37" s="121"/>
      <c r="G37" s="122"/>
      <c r="H37" s="120"/>
      <c r="I37" s="121"/>
      <c r="J37" s="122"/>
      <c r="K37" s="120"/>
      <c r="L37" s="121"/>
      <c r="M37" s="122"/>
      <c r="N37" s="120"/>
      <c r="O37" s="121"/>
      <c r="P37" s="122"/>
      <c r="Q37" s="120"/>
      <c r="R37" s="121"/>
      <c r="S37" s="122"/>
      <c r="T37" s="120"/>
      <c r="U37" s="121"/>
      <c r="V37" s="122"/>
      <c r="W37" s="120"/>
      <c r="X37" s="121"/>
      <c r="Y37" s="122"/>
      <c r="Z37" s="120"/>
      <c r="AA37" s="121"/>
      <c r="AB37" s="122"/>
      <c r="AC37" s="120"/>
      <c r="AD37" s="121"/>
      <c r="AE37" s="122"/>
      <c r="AF37" s="120"/>
      <c r="AG37" s="121"/>
      <c r="AH37" s="122"/>
      <c r="AI37" s="120"/>
      <c r="AJ37" s="121"/>
      <c r="AK37" s="122"/>
    </row>
    <row r="38" spans="1:37" ht="27" hidden="1" customHeight="1" thickTop="1" thickBot="1">
      <c r="A38" s="123" t="s">
        <v>648</v>
      </c>
      <c r="B38" s="124" t="s">
        <v>649</v>
      </c>
      <c r="C38" s="125" t="s">
        <v>656</v>
      </c>
      <c r="D38" s="125" t="s">
        <v>657</v>
      </c>
      <c r="E38" s="126" t="s">
        <v>658</v>
      </c>
      <c r="F38" s="127" t="s">
        <v>71</v>
      </c>
      <c r="G38" s="128" t="s">
        <v>653</v>
      </c>
      <c r="H38" s="126"/>
      <c r="I38" s="127"/>
      <c r="J38" s="128"/>
      <c r="K38" s="126"/>
      <c r="L38" s="127"/>
      <c r="M38" s="128"/>
      <c r="N38" s="126"/>
      <c r="O38" s="127"/>
      <c r="P38" s="128"/>
      <c r="Q38" s="126"/>
      <c r="R38" s="127"/>
      <c r="S38" s="128"/>
      <c r="T38" s="126" t="s">
        <v>658</v>
      </c>
      <c r="U38" s="127" t="s">
        <v>71</v>
      </c>
      <c r="V38" s="128" t="s">
        <v>653</v>
      </c>
      <c r="W38" s="126"/>
      <c r="X38" s="127"/>
      <c r="Y38" s="128"/>
      <c r="Z38" s="126"/>
      <c r="AA38" s="127"/>
      <c r="AB38" s="128"/>
      <c r="AC38" s="126"/>
      <c r="AD38" s="127"/>
      <c r="AE38" s="128"/>
      <c r="AF38" s="126"/>
      <c r="AG38" s="127"/>
      <c r="AH38" s="128"/>
      <c r="AI38" s="126"/>
      <c r="AJ38" s="127"/>
      <c r="AK38" s="128"/>
    </row>
    <row r="39" spans="1:37" ht="12.6" thickTop="1">
      <c r="A39" s="77"/>
      <c r="B39" s="129"/>
      <c r="C39" s="129"/>
      <c r="D39" s="129"/>
      <c r="E39" s="131"/>
      <c r="F39" s="132"/>
      <c r="G39" s="133"/>
      <c r="H39" s="131"/>
      <c r="I39" s="132"/>
      <c r="J39" s="133"/>
      <c r="K39" s="131"/>
      <c r="L39" s="132"/>
      <c r="M39" s="133"/>
      <c r="N39" s="131"/>
      <c r="O39" s="132"/>
      <c r="P39" s="133"/>
      <c r="Q39" s="131"/>
      <c r="R39" s="132"/>
      <c r="S39" s="133"/>
      <c r="T39" s="131"/>
      <c r="U39" s="132"/>
      <c r="V39" s="133"/>
      <c r="W39" s="131"/>
      <c r="X39" s="132"/>
      <c r="Y39" s="133"/>
      <c r="Z39" s="131"/>
      <c r="AA39" s="132"/>
      <c r="AB39" s="133"/>
      <c r="AC39" s="131"/>
      <c r="AD39" s="132"/>
      <c r="AE39" s="133"/>
      <c r="AF39" s="131"/>
      <c r="AG39" s="132"/>
      <c r="AH39" s="133"/>
      <c r="AI39" s="131"/>
      <c r="AJ39" s="132"/>
      <c r="AK39" s="133"/>
    </row>
    <row r="40" spans="1:37">
      <c r="A40" s="134" t="s">
        <v>675</v>
      </c>
      <c r="B40" s="88"/>
      <c r="C40" s="172"/>
      <c r="D40" s="172">
        <v>100000</v>
      </c>
      <c r="E40" s="170">
        <v>0.1</v>
      </c>
      <c r="F40" s="135">
        <f>E40*D40*F$11</f>
        <v>10100</v>
      </c>
      <c r="G40" s="136">
        <f>E40*260</f>
        <v>26</v>
      </c>
      <c r="H40" s="170">
        <v>0</v>
      </c>
      <c r="I40" s="135" t="e">
        <f>H40*$D40*I$11</f>
        <v>#REF!</v>
      </c>
      <c r="J40" s="136">
        <f>H40*260</f>
        <v>0</v>
      </c>
      <c r="K40" s="170">
        <v>0</v>
      </c>
      <c r="L40" s="135" t="e">
        <f>K40*$D40*L$11</f>
        <v>#REF!</v>
      </c>
      <c r="M40" s="136">
        <f>K40*260</f>
        <v>0</v>
      </c>
      <c r="N40" s="170">
        <v>0</v>
      </c>
      <c r="O40" s="135" t="e">
        <f>N40*$D40*O$11</f>
        <v>#REF!</v>
      </c>
      <c r="P40" s="136">
        <f>N40*260</f>
        <v>0</v>
      </c>
      <c r="Q40" s="170">
        <v>0</v>
      </c>
      <c r="R40" s="135" t="e">
        <f>Q40*$D40*R$11</f>
        <v>#REF!</v>
      </c>
      <c r="S40" s="136">
        <f>Q40*260</f>
        <v>0</v>
      </c>
      <c r="T40" s="170">
        <v>0</v>
      </c>
      <c r="U40" s="135" t="e">
        <f>T40*S40*U$11</f>
        <v>#REF!</v>
      </c>
      <c r="V40" s="136">
        <f>T40*260</f>
        <v>0</v>
      </c>
      <c r="W40" s="170">
        <v>0</v>
      </c>
      <c r="X40" s="135" t="e">
        <f>W40*$D40*X$11</f>
        <v>#REF!</v>
      </c>
      <c r="Y40" s="136">
        <f>W40*260</f>
        <v>0</v>
      </c>
      <c r="Z40" s="170">
        <v>0</v>
      </c>
      <c r="AA40" s="135" t="e">
        <f>Z40*$D40*AA$11</f>
        <v>#REF!</v>
      </c>
      <c r="AB40" s="136">
        <f>Z40*260</f>
        <v>0</v>
      </c>
      <c r="AC40" s="170">
        <v>0</v>
      </c>
      <c r="AD40" s="135" t="e">
        <f>AC40*$D40*AD$11</f>
        <v>#REF!</v>
      </c>
      <c r="AE40" s="136">
        <f>AC40*260</f>
        <v>0</v>
      </c>
      <c r="AF40" s="170">
        <v>0</v>
      </c>
      <c r="AG40" s="135" t="e">
        <f>AF40*$D40*AG$11</f>
        <v>#REF!</v>
      </c>
      <c r="AH40" s="136">
        <f>AF40*260</f>
        <v>0</v>
      </c>
      <c r="AI40" s="198">
        <f t="shared" ref="AI40:AK42" si="24">SUM(E40,H40,K40,N40,Q40,T40,W40,Z40,AC40,AF40)</f>
        <v>0.1</v>
      </c>
      <c r="AJ40" s="199" t="e">
        <f t="shared" si="24"/>
        <v>#REF!</v>
      </c>
      <c r="AK40" s="136">
        <f t="shared" si="24"/>
        <v>26</v>
      </c>
    </row>
    <row r="41" spans="1:37">
      <c r="A41" s="134" t="s">
        <v>676</v>
      </c>
      <c r="C41" s="172"/>
      <c r="D41" s="172">
        <v>100000</v>
      </c>
      <c r="E41" s="170">
        <v>0.1</v>
      </c>
      <c r="F41" s="135">
        <f>E41*D41*F$11</f>
        <v>10100</v>
      </c>
      <c r="G41" s="136">
        <f>E41*260</f>
        <v>26</v>
      </c>
      <c r="H41" s="170">
        <v>0</v>
      </c>
      <c r="I41" s="135" t="e">
        <f>H41*$D41*I$11</f>
        <v>#REF!</v>
      </c>
      <c r="J41" s="136">
        <f>H41*260</f>
        <v>0</v>
      </c>
      <c r="K41" s="170">
        <v>0</v>
      </c>
      <c r="L41" s="135" t="e">
        <f>K41*$D41*L$11</f>
        <v>#REF!</v>
      </c>
      <c r="M41" s="136">
        <f>K41*260</f>
        <v>0</v>
      </c>
      <c r="N41" s="170">
        <v>0</v>
      </c>
      <c r="O41" s="135" t="e">
        <f>N41*$D41*O$11</f>
        <v>#REF!</v>
      </c>
      <c r="P41" s="136">
        <f>N41*260</f>
        <v>0</v>
      </c>
      <c r="Q41" s="170">
        <v>0</v>
      </c>
      <c r="R41" s="135" t="e">
        <f>Q41*$D41*R$11</f>
        <v>#REF!</v>
      </c>
      <c r="S41" s="136">
        <f>Q41*260</f>
        <v>0</v>
      </c>
      <c r="T41" s="170">
        <v>0</v>
      </c>
      <c r="U41" s="135" t="e">
        <f>T41*S41*U$11</f>
        <v>#REF!</v>
      </c>
      <c r="V41" s="136">
        <f>T41*260</f>
        <v>0</v>
      </c>
      <c r="W41" s="170">
        <v>0</v>
      </c>
      <c r="X41" s="135" t="e">
        <f>W41*$D41*X$11</f>
        <v>#REF!</v>
      </c>
      <c r="Y41" s="136">
        <f>W41*260</f>
        <v>0</v>
      </c>
      <c r="Z41" s="170">
        <v>0</v>
      </c>
      <c r="AA41" s="135" t="e">
        <f>Z41*$D41*AA$11</f>
        <v>#REF!</v>
      </c>
      <c r="AB41" s="136">
        <f>Z41*260</f>
        <v>0</v>
      </c>
      <c r="AC41" s="170">
        <v>0</v>
      </c>
      <c r="AD41" s="135" t="e">
        <f>AC41*$D41*AD$11</f>
        <v>#REF!</v>
      </c>
      <c r="AE41" s="136">
        <f>AC41*260</f>
        <v>0</v>
      </c>
      <c r="AF41" s="170">
        <v>0</v>
      </c>
      <c r="AG41" s="135" t="e">
        <f>AF41*$D41*AG$11</f>
        <v>#REF!</v>
      </c>
      <c r="AH41" s="136">
        <f>AF41*260</f>
        <v>0</v>
      </c>
      <c r="AI41" s="198">
        <f t="shared" si="24"/>
        <v>0.1</v>
      </c>
      <c r="AJ41" s="199" t="e">
        <f t="shared" si="24"/>
        <v>#REF!</v>
      </c>
      <c r="AK41" s="136">
        <f t="shared" si="24"/>
        <v>26</v>
      </c>
    </row>
    <row r="42" spans="1:37">
      <c r="A42" s="134" t="s">
        <v>677</v>
      </c>
      <c r="B42" s="88"/>
      <c r="C42" s="172"/>
      <c r="D42" s="172">
        <v>100000</v>
      </c>
      <c r="E42" s="170">
        <v>0</v>
      </c>
      <c r="F42" s="135">
        <f>E42*D42*F$11</f>
        <v>0</v>
      </c>
      <c r="G42" s="136">
        <f>E42*260</f>
        <v>0</v>
      </c>
      <c r="H42" s="170">
        <v>0.1</v>
      </c>
      <c r="I42" s="135" t="e">
        <f>H42*$D42*I$11</f>
        <v>#REF!</v>
      </c>
      <c r="J42" s="136">
        <f>H42*260</f>
        <v>26</v>
      </c>
      <c r="K42" s="170">
        <v>0</v>
      </c>
      <c r="L42" s="135" t="e">
        <f>K42*$D42*L$11</f>
        <v>#REF!</v>
      </c>
      <c r="M42" s="136">
        <f>K42*260</f>
        <v>0</v>
      </c>
      <c r="N42" s="170">
        <v>0</v>
      </c>
      <c r="O42" s="135" t="e">
        <f>N42*$D42*O$11</f>
        <v>#REF!</v>
      </c>
      <c r="P42" s="136">
        <f>N42*260</f>
        <v>0</v>
      </c>
      <c r="Q42" s="170">
        <v>0</v>
      </c>
      <c r="R42" s="135" t="e">
        <f>Q42*$D42*R$11</f>
        <v>#REF!</v>
      </c>
      <c r="S42" s="136">
        <f>Q42*260</f>
        <v>0</v>
      </c>
      <c r="T42" s="170">
        <v>0</v>
      </c>
      <c r="U42" s="135" t="e">
        <f>T42*S42*U$11</f>
        <v>#REF!</v>
      </c>
      <c r="V42" s="136">
        <f>T42*260</f>
        <v>0</v>
      </c>
      <c r="W42" s="170">
        <v>0</v>
      </c>
      <c r="X42" s="135" t="e">
        <f>W42*$D42*X$11</f>
        <v>#REF!</v>
      </c>
      <c r="Y42" s="136">
        <f>W42*260</f>
        <v>0</v>
      </c>
      <c r="Z42" s="170">
        <v>0</v>
      </c>
      <c r="AA42" s="135" t="e">
        <f>Z42*$D42*AA$11</f>
        <v>#REF!</v>
      </c>
      <c r="AB42" s="136">
        <f>Z42*260</f>
        <v>0</v>
      </c>
      <c r="AC42" s="170">
        <v>0</v>
      </c>
      <c r="AD42" s="135" t="e">
        <f>AC42*$D42*AD$11</f>
        <v>#REF!</v>
      </c>
      <c r="AE42" s="136">
        <f>AC42*260</f>
        <v>0</v>
      </c>
      <c r="AF42" s="170">
        <v>0</v>
      </c>
      <c r="AG42" s="135" t="e">
        <f>AF42*$D42*AG$11</f>
        <v>#REF!</v>
      </c>
      <c r="AH42" s="136">
        <f>AF42*260</f>
        <v>0</v>
      </c>
      <c r="AI42" s="198">
        <f t="shared" si="24"/>
        <v>0.1</v>
      </c>
      <c r="AJ42" s="199" t="e">
        <f t="shared" si="24"/>
        <v>#REF!</v>
      </c>
      <c r="AK42" s="136">
        <f t="shared" si="24"/>
        <v>26</v>
      </c>
    </row>
    <row r="43" spans="1:37">
      <c r="A43" s="134"/>
      <c r="B43" s="137" t="s">
        <v>678</v>
      </c>
      <c r="C43" s="9"/>
      <c r="D43" s="9"/>
      <c r="E43" s="138"/>
      <c r="F43" s="139">
        <f>SUM(F36:F42)</f>
        <v>20200</v>
      </c>
      <c r="G43" s="136"/>
      <c r="H43" s="138"/>
      <c r="I43" s="139" t="e">
        <f>SUM(I36:I42)</f>
        <v>#REF!</v>
      </c>
      <c r="J43" s="136"/>
      <c r="K43" s="138"/>
      <c r="L43" s="139" t="e">
        <f>SUM(L36:L42)</f>
        <v>#REF!</v>
      </c>
      <c r="M43" s="136"/>
      <c r="N43" s="138"/>
      <c r="O43" s="139" t="e">
        <f>SUM(O36:O42)</f>
        <v>#REF!</v>
      </c>
      <c r="P43" s="136"/>
      <c r="Q43" s="138"/>
      <c r="R43" s="139" t="e">
        <f>SUM(R36:R42)</f>
        <v>#REF!</v>
      </c>
      <c r="S43" s="136"/>
      <c r="T43" s="138"/>
      <c r="U43" s="139" t="e">
        <f>SUM(U36:U42)</f>
        <v>#REF!</v>
      </c>
      <c r="V43" s="136"/>
      <c r="W43" s="138"/>
      <c r="X43" s="139" t="e">
        <f>SUM(X36:X42)</f>
        <v>#REF!</v>
      </c>
      <c r="Y43" s="136"/>
      <c r="Z43" s="138"/>
      <c r="AA43" s="139" t="e">
        <f>SUM(AA36:AA42)</f>
        <v>#REF!</v>
      </c>
      <c r="AB43" s="136"/>
      <c r="AC43" s="138"/>
      <c r="AD43" s="139" t="e">
        <f>SUM(AD36:AD42)</f>
        <v>#REF!</v>
      </c>
      <c r="AE43" s="136"/>
      <c r="AF43" s="138"/>
      <c r="AG43" s="139" t="e">
        <f>SUM(AG36:AG42)</f>
        <v>#REF!</v>
      </c>
      <c r="AH43" s="136"/>
      <c r="AI43" s="138"/>
      <c r="AJ43" s="135"/>
      <c r="AK43" s="136"/>
    </row>
    <row r="44" spans="1:37">
      <c r="A44" s="134"/>
      <c r="B44" s="88"/>
      <c r="C44" s="88"/>
      <c r="D44" s="88"/>
      <c r="E44" s="141"/>
      <c r="F44" s="142"/>
      <c r="G44" s="136"/>
      <c r="H44" s="141"/>
      <c r="I44" s="142"/>
      <c r="J44" s="136"/>
      <c r="K44" s="141"/>
      <c r="L44" s="142"/>
      <c r="M44" s="136"/>
      <c r="N44" s="141"/>
      <c r="O44" s="142"/>
      <c r="P44" s="136"/>
      <c r="Q44" s="141"/>
      <c r="R44" s="142"/>
      <c r="S44" s="136"/>
      <c r="T44" s="141"/>
      <c r="U44" s="142"/>
      <c r="V44" s="136"/>
      <c r="W44" s="141"/>
      <c r="X44" s="142"/>
      <c r="Y44" s="136"/>
      <c r="Z44" s="141"/>
      <c r="AA44" s="142"/>
      <c r="AB44" s="136"/>
      <c r="AC44" s="141"/>
      <c r="AD44" s="142"/>
      <c r="AE44" s="136"/>
      <c r="AF44" s="141"/>
      <c r="AG44" s="142"/>
      <c r="AH44" s="136"/>
      <c r="AI44" s="138"/>
      <c r="AJ44" s="135"/>
      <c r="AK44" s="136"/>
    </row>
    <row r="45" spans="1:37">
      <c r="A45" s="75"/>
      <c r="B45" s="143" t="s">
        <v>670</v>
      </c>
      <c r="C45" s="88"/>
      <c r="D45" s="144">
        <f>F43/E45/F11</f>
        <v>100000</v>
      </c>
      <c r="E45" s="164">
        <f>SUM(E40:E43)</f>
        <v>0.2</v>
      </c>
      <c r="F45" s="151">
        <f>SUMPRODUCT($D39:$D42,E39:E42)*F$11/E45</f>
        <v>101000</v>
      </c>
      <c r="G45" s="147">
        <f>E45*F45</f>
        <v>20200</v>
      </c>
      <c r="H45" s="164">
        <f>SUM(H40:H43)</f>
        <v>0.1</v>
      </c>
      <c r="I45" s="151" t="e">
        <f>SUMPRODUCT($D39:$D42,H39:H42)*I$11/H45</f>
        <v>#REF!</v>
      </c>
      <c r="J45" s="147" t="e">
        <f>H45*I45</f>
        <v>#REF!</v>
      </c>
      <c r="K45" s="164">
        <f>SUM(K40:K43)</f>
        <v>0</v>
      </c>
      <c r="L45" s="151" t="e">
        <f>SUMPRODUCT($D39:$D42,K39:K42)*L$11/K45</f>
        <v>#REF!</v>
      </c>
      <c r="M45" s="147" t="e">
        <f>K45*L45</f>
        <v>#REF!</v>
      </c>
      <c r="N45" s="164">
        <f>SUM(N40:N43)</f>
        <v>0</v>
      </c>
      <c r="O45" s="151" t="e">
        <f>SUMPRODUCT($D39:$D42,N39:N42)*O$11/N45</f>
        <v>#REF!</v>
      </c>
      <c r="P45" s="147" t="e">
        <f>N45*O45</f>
        <v>#REF!</v>
      </c>
      <c r="Q45" s="164">
        <f>SUM(Q40:Q43)</f>
        <v>0</v>
      </c>
      <c r="R45" s="151" t="e">
        <f>SUMPRODUCT($D39:$D42,Q39:Q42)*R$11/Q45</f>
        <v>#REF!</v>
      </c>
      <c r="S45" s="148" t="e">
        <f>Q45*R45</f>
        <v>#REF!</v>
      </c>
      <c r="T45" s="164">
        <f>SUM(T40:T43)</f>
        <v>0</v>
      </c>
      <c r="U45" s="151" t="e">
        <f>SUMPRODUCT($D39:$D42,T39:T42)*U$11/T45</f>
        <v>#REF!</v>
      </c>
      <c r="V45" s="147" t="e">
        <f>T45*U45</f>
        <v>#REF!</v>
      </c>
      <c r="W45" s="164">
        <f>SUM(W40:W43)</f>
        <v>0</v>
      </c>
      <c r="X45" s="151" t="e">
        <f>SUMPRODUCT($D39:$D42,W39:W42)*X$11/W45</f>
        <v>#REF!</v>
      </c>
      <c r="Y45" s="147" t="e">
        <f>W45*X45</f>
        <v>#REF!</v>
      </c>
      <c r="Z45" s="164">
        <f>SUM(Z40:Z43)</f>
        <v>0</v>
      </c>
      <c r="AA45" s="151" t="e">
        <f>SUMPRODUCT($D39:$D42,Z39:Z42)*AA$11/Z45</f>
        <v>#REF!</v>
      </c>
      <c r="AB45" s="147" t="e">
        <f>Z45*AA45</f>
        <v>#REF!</v>
      </c>
      <c r="AC45" s="164">
        <f>SUM(AC40:AC43)</f>
        <v>0</v>
      </c>
      <c r="AD45" s="151" t="e">
        <f>SUMPRODUCT($D39:$D42,AC39:AC42)*AD$11/AC45</f>
        <v>#REF!</v>
      </c>
      <c r="AE45" s="147" t="e">
        <f>AC45*AD45</f>
        <v>#REF!</v>
      </c>
      <c r="AF45" s="164">
        <f>SUM(AF40:AF43)</f>
        <v>0</v>
      </c>
      <c r="AG45" s="151" t="e">
        <f>SUMPRODUCT($D39:$D42,AF39:AF42)*AG$11/AF45</f>
        <v>#REF!</v>
      </c>
      <c r="AH45" s="148" t="e">
        <f>AF45*AG45</f>
        <v>#REF!</v>
      </c>
      <c r="AI45" s="201"/>
      <c r="AJ45" s="202"/>
      <c r="AK45" s="148"/>
    </row>
    <row r="46" spans="1:37">
      <c r="A46" s="75"/>
      <c r="B46" s="143" t="s">
        <v>671</v>
      </c>
      <c r="C46" s="88"/>
      <c r="D46" s="149">
        <f>DMIN(A38:D42,"Projected Monthly Salary",A36:A37)</f>
        <v>100000</v>
      </c>
      <c r="E46" s="150">
        <f>F43/F46</f>
        <v>0.2</v>
      </c>
      <c r="F46" s="151">
        <f>$D46*F$11</f>
        <v>101000</v>
      </c>
      <c r="G46" s="147">
        <f>E46*F46</f>
        <v>20200</v>
      </c>
      <c r="H46" s="150" t="e">
        <f>I43/I46</f>
        <v>#REF!</v>
      </c>
      <c r="I46" s="151" t="e">
        <f>$D46*I$11</f>
        <v>#REF!</v>
      </c>
      <c r="J46" s="147" t="e">
        <f>H46*I46</f>
        <v>#REF!</v>
      </c>
      <c r="K46" s="150" t="e">
        <f>L43/L46</f>
        <v>#REF!</v>
      </c>
      <c r="L46" s="151" t="e">
        <f>$D46*L$11</f>
        <v>#REF!</v>
      </c>
      <c r="M46" s="147" t="e">
        <f>K46*L46</f>
        <v>#REF!</v>
      </c>
      <c r="N46" s="150" t="e">
        <f>O43/O46</f>
        <v>#REF!</v>
      </c>
      <c r="O46" s="151" t="e">
        <f>$D46*O$11</f>
        <v>#REF!</v>
      </c>
      <c r="P46" s="147" t="e">
        <f>N46*O46</f>
        <v>#REF!</v>
      </c>
      <c r="Q46" s="150" t="e">
        <f>R43/R46</f>
        <v>#REF!</v>
      </c>
      <c r="R46" s="151" t="e">
        <f>$D46*R$11</f>
        <v>#REF!</v>
      </c>
      <c r="S46" s="148" t="e">
        <f>Q46*R46</f>
        <v>#REF!</v>
      </c>
      <c r="T46" s="150" t="e">
        <f>U43/U46</f>
        <v>#REF!</v>
      </c>
      <c r="U46" s="151" t="e">
        <f>$D46*U$11</f>
        <v>#REF!</v>
      </c>
      <c r="V46" s="147" t="e">
        <f>T46*U46</f>
        <v>#REF!</v>
      </c>
      <c r="W46" s="150" t="e">
        <f>X43/X46</f>
        <v>#REF!</v>
      </c>
      <c r="X46" s="151" t="e">
        <f>$D46*X$11</f>
        <v>#REF!</v>
      </c>
      <c r="Y46" s="147" t="e">
        <f>W46*X46</f>
        <v>#REF!</v>
      </c>
      <c r="Z46" s="150" t="e">
        <f>AA43/AA46</f>
        <v>#REF!</v>
      </c>
      <c r="AA46" s="151" t="e">
        <f>$D46*AA$11</f>
        <v>#REF!</v>
      </c>
      <c r="AB46" s="147" t="e">
        <f>Z46*AA46</f>
        <v>#REF!</v>
      </c>
      <c r="AC46" s="150" t="e">
        <f>AD43/AD46</f>
        <v>#REF!</v>
      </c>
      <c r="AD46" s="151" t="e">
        <f>$D46*AD$11</f>
        <v>#REF!</v>
      </c>
      <c r="AE46" s="147" t="e">
        <f>AC46*AD46</f>
        <v>#REF!</v>
      </c>
      <c r="AF46" s="150" t="e">
        <f>AG43/AG46</f>
        <v>#REF!</v>
      </c>
      <c r="AG46" s="151" t="e">
        <f>$D46*AG$11</f>
        <v>#REF!</v>
      </c>
      <c r="AH46" s="148" t="e">
        <f>AF46*AG46</f>
        <v>#REF!</v>
      </c>
      <c r="AI46" s="203"/>
      <c r="AJ46" s="202"/>
      <c r="AK46" s="148"/>
    </row>
    <row r="47" spans="1:37">
      <c r="A47" s="75"/>
      <c r="B47" s="143" t="s">
        <v>672</v>
      </c>
      <c r="C47" s="9"/>
      <c r="D47" s="149">
        <f>DAVERAGE(A38:D42,"Projected Monthly Salary",A36:A37)</f>
        <v>100000</v>
      </c>
      <c r="E47" s="150">
        <f>F43/F47</f>
        <v>0.2</v>
      </c>
      <c r="F47" s="151">
        <f>$D47*F$11</f>
        <v>101000</v>
      </c>
      <c r="G47" s="147">
        <f>E47*F47</f>
        <v>20200</v>
      </c>
      <c r="H47" s="150" t="e">
        <f>I43/I47</f>
        <v>#REF!</v>
      </c>
      <c r="I47" s="151" t="e">
        <f>$D47*I$11</f>
        <v>#REF!</v>
      </c>
      <c r="J47" s="147" t="e">
        <f>H47*I47</f>
        <v>#REF!</v>
      </c>
      <c r="K47" s="150" t="e">
        <f>L43/L47</f>
        <v>#REF!</v>
      </c>
      <c r="L47" s="151" t="e">
        <f>$D47*L$11</f>
        <v>#REF!</v>
      </c>
      <c r="M47" s="147" t="e">
        <f>K47*L47</f>
        <v>#REF!</v>
      </c>
      <c r="N47" s="150" t="e">
        <f>O43/O47</f>
        <v>#REF!</v>
      </c>
      <c r="O47" s="151" t="e">
        <f>$D47*O$11</f>
        <v>#REF!</v>
      </c>
      <c r="P47" s="147" t="e">
        <f>N47*O47</f>
        <v>#REF!</v>
      </c>
      <c r="Q47" s="150" t="e">
        <f>R43/R47</f>
        <v>#REF!</v>
      </c>
      <c r="R47" s="151" t="e">
        <f>$D47*R$11</f>
        <v>#REF!</v>
      </c>
      <c r="S47" s="148" t="e">
        <f>Q47*R47</f>
        <v>#REF!</v>
      </c>
      <c r="T47" s="150" t="e">
        <f>U43/U47</f>
        <v>#REF!</v>
      </c>
      <c r="U47" s="151" t="e">
        <f>$D47*U$11</f>
        <v>#REF!</v>
      </c>
      <c r="V47" s="147" t="e">
        <f>T47*U47</f>
        <v>#REF!</v>
      </c>
      <c r="W47" s="150" t="e">
        <f>X43/X47</f>
        <v>#REF!</v>
      </c>
      <c r="X47" s="151" t="e">
        <f>$D47*X$11</f>
        <v>#REF!</v>
      </c>
      <c r="Y47" s="147" t="e">
        <f>W47*X47</f>
        <v>#REF!</v>
      </c>
      <c r="Z47" s="150" t="e">
        <f>AA43/AA47</f>
        <v>#REF!</v>
      </c>
      <c r="AA47" s="151" t="e">
        <f>$D47*AA$11</f>
        <v>#REF!</v>
      </c>
      <c r="AB47" s="147" t="e">
        <f>Z47*AA47</f>
        <v>#REF!</v>
      </c>
      <c r="AC47" s="150" t="e">
        <f>AD43/AD47</f>
        <v>#REF!</v>
      </c>
      <c r="AD47" s="151" t="e">
        <f>$D47*AD$11</f>
        <v>#REF!</v>
      </c>
      <c r="AE47" s="147" t="e">
        <f>AC47*AD47</f>
        <v>#REF!</v>
      </c>
      <c r="AF47" s="150" t="e">
        <f>AG43/AG47</f>
        <v>#REF!</v>
      </c>
      <c r="AG47" s="151" t="e">
        <f>$D47*AG$11</f>
        <v>#REF!</v>
      </c>
      <c r="AH47" s="148" t="e">
        <f>AF47*AG47</f>
        <v>#REF!</v>
      </c>
      <c r="AI47" s="203"/>
      <c r="AJ47" s="202"/>
      <c r="AK47" s="148"/>
    </row>
    <row r="48" spans="1:37" ht="12.6" thickBot="1">
      <c r="A48" s="75"/>
      <c r="B48" s="143" t="s">
        <v>673</v>
      </c>
      <c r="C48" s="88"/>
      <c r="D48" s="152">
        <f>DMAX(A38:D42,"Projected Monthly Salary",A36:A37)</f>
        <v>100000</v>
      </c>
      <c r="E48" s="153">
        <f>F43/F48</f>
        <v>0.2</v>
      </c>
      <c r="F48" s="154">
        <f>$D48*F$11</f>
        <v>101000</v>
      </c>
      <c r="G48" s="147">
        <f>E48*F48</f>
        <v>20200</v>
      </c>
      <c r="H48" s="153" t="e">
        <f>I43/I48</f>
        <v>#REF!</v>
      </c>
      <c r="I48" s="154" t="e">
        <f>$D48*I$11</f>
        <v>#REF!</v>
      </c>
      <c r="J48" s="147" t="e">
        <f>H48*I48</f>
        <v>#REF!</v>
      </c>
      <c r="K48" s="153" t="e">
        <f>L43/L48</f>
        <v>#REF!</v>
      </c>
      <c r="L48" s="154" t="e">
        <f>$D48*L$11</f>
        <v>#REF!</v>
      </c>
      <c r="M48" s="147" t="e">
        <f>K48*L48</f>
        <v>#REF!</v>
      </c>
      <c r="N48" s="153" t="e">
        <f>O43/O48</f>
        <v>#REF!</v>
      </c>
      <c r="O48" s="154" t="e">
        <f>$D48*O$11</f>
        <v>#REF!</v>
      </c>
      <c r="P48" s="147" t="e">
        <f>N48*O48</f>
        <v>#REF!</v>
      </c>
      <c r="Q48" s="153" t="e">
        <f>R43/R48</f>
        <v>#REF!</v>
      </c>
      <c r="R48" s="154" t="e">
        <f>$D48*R$11</f>
        <v>#REF!</v>
      </c>
      <c r="S48" s="148" t="e">
        <f>Q48*R48</f>
        <v>#REF!</v>
      </c>
      <c r="T48" s="153" t="e">
        <f>U43/U48</f>
        <v>#REF!</v>
      </c>
      <c r="U48" s="154" t="e">
        <f>$D48*U$11</f>
        <v>#REF!</v>
      </c>
      <c r="V48" s="147" t="e">
        <f>T48*U48</f>
        <v>#REF!</v>
      </c>
      <c r="W48" s="153" t="e">
        <f>X43/X48</f>
        <v>#REF!</v>
      </c>
      <c r="X48" s="154" t="e">
        <f>$D48*X$11</f>
        <v>#REF!</v>
      </c>
      <c r="Y48" s="147" t="e">
        <f>W48*X48</f>
        <v>#REF!</v>
      </c>
      <c r="Z48" s="153" t="e">
        <f>AA43/AA48</f>
        <v>#REF!</v>
      </c>
      <c r="AA48" s="154" t="e">
        <f>$D48*AA$11</f>
        <v>#REF!</v>
      </c>
      <c r="AB48" s="147" t="e">
        <f>Z48*AA48</f>
        <v>#REF!</v>
      </c>
      <c r="AC48" s="153" t="e">
        <f>AD43/AD48</f>
        <v>#REF!</v>
      </c>
      <c r="AD48" s="154" t="e">
        <f>$D48*AD$11</f>
        <v>#REF!</v>
      </c>
      <c r="AE48" s="147" t="e">
        <f>AC48*AD48</f>
        <v>#REF!</v>
      </c>
      <c r="AF48" s="153" t="e">
        <f>AG43/AG48</f>
        <v>#REF!</v>
      </c>
      <c r="AG48" s="154" t="e">
        <f>$D48*AG$11</f>
        <v>#REF!</v>
      </c>
      <c r="AH48" s="148" t="e">
        <f>AF48*AG48</f>
        <v>#REF!</v>
      </c>
      <c r="AI48" s="203"/>
      <c r="AJ48" s="202"/>
      <c r="AK48" s="148"/>
    </row>
    <row r="49" spans="1:37" ht="12.6" thickBot="1">
      <c r="A49" s="155"/>
      <c r="B49" s="156"/>
      <c r="C49" s="165"/>
      <c r="D49" s="166"/>
      <c r="E49" s="158"/>
      <c r="F49" s="159"/>
      <c r="G49" s="160"/>
      <c r="H49" s="158"/>
      <c r="I49" s="159"/>
      <c r="J49" s="160"/>
      <c r="K49" s="158"/>
      <c r="L49" s="159"/>
      <c r="M49" s="160"/>
      <c r="N49" s="158"/>
      <c r="O49" s="159"/>
      <c r="P49" s="160"/>
      <c r="Q49" s="158"/>
      <c r="R49" s="159"/>
      <c r="S49" s="160"/>
      <c r="T49" s="158"/>
      <c r="U49" s="159"/>
      <c r="V49" s="160"/>
      <c r="W49" s="158"/>
      <c r="X49" s="159"/>
      <c r="Y49" s="160"/>
      <c r="Z49" s="158"/>
      <c r="AA49" s="159"/>
      <c r="AB49" s="160"/>
      <c r="AC49" s="158"/>
      <c r="AD49" s="159"/>
      <c r="AE49" s="160"/>
      <c r="AF49" s="158"/>
      <c r="AG49" s="159"/>
      <c r="AH49" s="160"/>
      <c r="AI49" s="158"/>
      <c r="AJ49" s="159"/>
      <c r="AK49" s="160"/>
    </row>
    <row r="50" spans="1:37">
      <c r="C50" s="167"/>
    </row>
    <row r="51" spans="1:37">
      <c r="I51" s="168"/>
      <c r="X51" s="168"/>
    </row>
  </sheetData>
  <mergeCells count="17">
    <mergeCell ref="AI9:AK9"/>
    <mergeCell ref="K9:M9"/>
    <mergeCell ref="N9:P9"/>
    <mergeCell ref="Q9:S9"/>
    <mergeCell ref="A12:B13"/>
    <mergeCell ref="E9:G9"/>
    <mergeCell ref="H9:J9"/>
    <mergeCell ref="T9:V9"/>
    <mergeCell ref="W9:Y9"/>
    <mergeCell ref="Z9:AB9"/>
    <mergeCell ref="AC9:AE9"/>
    <mergeCell ref="AF9:AH9"/>
    <mergeCell ref="A36:B37"/>
    <mergeCell ref="A9:A10"/>
    <mergeCell ref="B9:B10"/>
    <mergeCell ref="C9:C10"/>
    <mergeCell ref="D9:D10"/>
  </mergeCells>
  <pageMargins left="0.75" right="0.75" top="1" bottom="1" header="0.5" footer="0.5"/>
  <pageSetup scale="3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
    <pageSetUpPr fitToPage="1"/>
  </sheetPr>
  <dimension ref="A1:K173"/>
  <sheetViews>
    <sheetView topLeftCell="A122" zoomScaleNormal="100" workbookViewId="0">
      <selection activeCell="B136" sqref="B136:G136"/>
    </sheetView>
  </sheetViews>
  <sheetFormatPr defaultColWidth="8.71875" defaultRowHeight="12.3"/>
  <cols>
    <col min="1" max="1" width="12.27734375" customWidth="1"/>
    <col min="2" max="2" width="10.71875" customWidth="1"/>
    <col min="3" max="3" width="15.27734375" customWidth="1"/>
    <col min="8" max="8" width="14.71875" customWidth="1"/>
    <col min="9" max="9" width="19.27734375" customWidth="1"/>
    <col min="11" max="11" width="11.71875" bestFit="1" customWidth="1"/>
  </cols>
  <sheetData>
    <row r="1" spans="1:9">
      <c r="I1" s="50" t="s">
        <v>679</v>
      </c>
    </row>
    <row r="2" spans="1:9" ht="12.6" thickBot="1">
      <c r="I2" s="50" t="s">
        <v>680</v>
      </c>
    </row>
    <row r="3" spans="1:9" s="64" customFormat="1" ht="20.25" customHeight="1" thickBot="1">
      <c r="A3" s="1285" t="s">
        <v>681</v>
      </c>
      <c r="B3" s="1286"/>
      <c r="C3" s="1286"/>
      <c r="D3" s="1286"/>
      <c r="E3" s="1286"/>
      <c r="F3" s="1286"/>
      <c r="G3" s="1286"/>
      <c r="H3" s="1286"/>
      <c r="I3" s="65" t="s">
        <v>682</v>
      </c>
    </row>
    <row r="4" spans="1:9" s="64" customFormat="1" ht="16.5" customHeight="1">
      <c r="A4" s="1229" t="s">
        <v>683</v>
      </c>
      <c r="B4" s="1230"/>
      <c r="C4" s="1231"/>
      <c r="D4" s="1229" t="s">
        <v>684</v>
      </c>
      <c r="E4" s="1230"/>
      <c r="F4" s="1230"/>
      <c r="G4" s="1240" t="s">
        <v>685</v>
      </c>
      <c r="H4" s="1240"/>
      <c r="I4" s="1241"/>
    </row>
    <row r="5" spans="1:9" s="64" customFormat="1" ht="22.5" customHeight="1">
      <c r="A5" s="1247" t="s">
        <v>686</v>
      </c>
      <c r="B5" s="1248"/>
      <c r="C5" s="1249"/>
      <c r="D5" s="1247" t="s">
        <v>687</v>
      </c>
      <c r="E5" s="1253"/>
      <c r="F5" s="1253"/>
      <c r="G5" s="1242"/>
      <c r="H5" s="1242"/>
      <c r="I5" s="1243"/>
    </row>
    <row r="6" spans="1:9" s="64" customFormat="1" ht="22.5" customHeight="1">
      <c r="A6" s="1247" t="s">
        <v>688</v>
      </c>
      <c r="B6" s="1248"/>
      <c r="C6" s="1249"/>
      <c r="D6" s="1247" t="s">
        <v>689</v>
      </c>
      <c r="E6" s="1253"/>
      <c r="F6" s="1253"/>
      <c r="G6" s="1212" t="s">
        <v>690</v>
      </c>
      <c r="H6" s="1212"/>
      <c r="I6" s="54"/>
    </row>
    <row r="7" spans="1:9" s="64" customFormat="1" ht="22.5" customHeight="1">
      <c r="A7" s="1247" t="s">
        <v>691</v>
      </c>
      <c r="B7" s="1248"/>
      <c r="C7" s="1249"/>
      <c r="D7" s="1247" t="s">
        <v>692</v>
      </c>
      <c r="E7" s="1253"/>
      <c r="F7" s="1253"/>
      <c r="G7" s="1294"/>
      <c r="H7" s="1294"/>
      <c r="I7" s="60"/>
    </row>
    <row r="8" spans="1:9" s="64" customFormat="1" ht="12.6" thickBot="1">
      <c r="A8" s="1250"/>
      <c r="B8" s="1251"/>
      <c r="C8" s="1252"/>
      <c r="D8" s="1250"/>
      <c r="E8" s="1251"/>
      <c r="F8" s="1251"/>
      <c r="G8" s="1287"/>
      <c r="H8" s="1287"/>
      <c r="I8" s="1288"/>
    </row>
    <row r="9" spans="1:9" s="64" customFormat="1">
      <c r="A9" s="1256" t="s">
        <v>693</v>
      </c>
      <c r="B9" s="1257"/>
      <c r="C9" s="56"/>
      <c r="D9" s="1257" t="s">
        <v>694</v>
      </c>
      <c r="E9" s="1257"/>
      <c r="F9" s="56"/>
      <c r="G9" s="56"/>
      <c r="H9" s="56"/>
      <c r="I9" s="57"/>
    </row>
    <row r="10" spans="1:9" s="64" customFormat="1" ht="20.65" customHeight="1" thickBot="1">
      <c r="A10" s="1290"/>
      <c r="B10" s="1277"/>
      <c r="C10" s="1277"/>
      <c r="D10" s="1192" t="s">
        <v>695</v>
      </c>
      <c r="E10" s="1192"/>
      <c r="F10" s="1192"/>
      <c r="G10" s="1192"/>
      <c r="H10" s="1192"/>
      <c r="I10" s="1193"/>
    </row>
    <row r="11" spans="1:9" s="64" customFormat="1">
      <c r="A11" s="1229" t="s">
        <v>696</v>
      </c>
      <c r="B11" s="1230"/>
      <c r="C11" s="1230"/>
      <c r="D11" s="1230"/>
      <c r="E11" s="1246"/>
      <c r="F11" s="1244" t="s">
        <v>697</v>
      </c>
      <c r="G11" s="1230"/>
      <c r="H11" s="1230"/>
      <c r="I11" s="1231"/>
    </row>
    <row r="12" spans="1:9" s="64" customFormat="1" ht="20.65" customHeight="1" thickBot="1">
      <c r="A12" s="1229" t="s">
        <v>698</v>
      </c>
      <c r="B12" s="1230"/>
      <c r="C12" s="1230"/>
      <c r="D12" s="1230"/>
      <c r="E12" s="1246"/>
      <c r="F12" s="1245" t="s">
        <v>695</v>
      </c>
      <c r="G12" s="1205"/>
      <c r="H12" s="1205"/>
      <c r="I12" s="1206"/>
    </row>
    <row r="13" spans="1:9" s="64" customFormat="1" ht="20.65" customHeight="1" thickBot="1">
      <c r="A13" s="1224" t="s">
        <v>699</v>
      </c>
      <c r="B13" s="1225"/>
      <c r="C13" s="1225"/>
      <c r="D13" s="1225"/>
      <c r="E13" s="1225"/>
      <c r="F13" s="1225"/>
      <c r="G13" s="1225"/>
      <c r="H13" s="1225"/>
      <c r="I13" s="1226"/>
    </row>
    <row r="14" spans="1:9" s="64" customFormat="1" ht="20.65" customHeight="1" thickBot="1">
      <c r="A14" s="1291" t="s">
        <v>700</v>
      </c>
      <c r="B14" s="1292"/>
      <c r="C14" s="1232" t="s">
        <v>695</v>
      </c>
      <c r="D14" s="1210"/>
      <c r="E14" s="1207" t="s">
        <v>701</v>
      </c>
      <c r="F14" s="1208"/>
      <c r="G14" s="1208"/>
      <c r="H14" s="1209" t="s">
        <v>695</v>
      </c>
      <c r="I14" s="1210"/>
    </row>
    <row r="15" spans="1:9" s="64" customFormat="1" ht="20.65" customHeight="1" thickBot="1">
      <c r="A15" s="1195" t="s">
        <v>702</v>
      </c>
      <c r="B15" s="1196"/>
      <c r="C15" s="1196"/>
      <c r="D15" s="1196"/>
      <c r="E15" s="1196"/>
      <c r="F15" s="1196"/>
      <c r="G15" s="1196"/>
      <c r="H15" s="1196"/>
      <c r="I15" s="1197"/>
    </row>
    <row r="16" spans="1:9" s="64" customFormat="1" ht="20.65" customHeight="1" thickBot="1">
      <c r="A16" s="1207" t="s">
        <v>703</v>
      </c>
      <c r="B16" s="1208"/>
      <c r="C16" s="1213" t="s">
        <v>327</v>
      </c>
      <c r="D16" s="1213"/>
      <c r="E16" s="1213"/>
      <c r="F16" s="1213"/>
      <c r="G16" s="1213"/>
      <c r="H16" s="1213"/>
      <c r="I16" s="1222"/>
    </row>
    <row r="17" spans="1:11" s="64" customFormat="1">
      <c r="A17" s="1254" t="s">
        <v>704</v>
      </c>
      <c r="B17" s="1254"/>
      <c r="C17" s="1254"/>
      <c r="D17" s="1254"/>
      <c r="E17" s="1254"/>
      <c r="F17" s="1254" t="s">
        <v>705</v>
      </c>
      <c r="G17" s="1254"/>
      <c r="H17" s="1254"/>
      <c r="I17" s="1254"/>
    </row>
    <row r="18" spans="1:11" s="64" customFormat="1" ht="20.65" customHeight="1" thickBot="1">
      <c r="A18" s="1255" t="s">
        <v>706</v>
      </c>
      <c r="B18" s="1255"/>
      <c r="C18" s="1255"/>
      <c r="D18" s="1255"/>
      <c r="E18" s="1255"/>
      <c r="F18" s="1255" t="s">
        <v>707</v>
      </c>
      <c r="G18" s="1255"/>
      <c r="H18" s="1255"/>
      <c r="I18" s="1255"/>
    </row>
    <row r="19" spans="1:11" s="64" customFormat="1" ht="20.65" customHeight="1" thickBot="1">
      <c r="A19" s="1195" t="s">
        <v>708</v>
      </c>
      <c r="B19" s="1196"/>
      <c r="C19" s="1196"/>
      <c r="D19" s="1196"/>
      <c r="E19" s="1196"/>
      <c r="F19" s="1196"/>
      <c r="G19" s="1196"/>
      <c r="H19" s="1196"/>
      <c r="I19" s="1197"/>
      <c r="K19" s="87"/>
    </row>
    <row r="20" spans="1:11" s="64" customFormat="1" ht="20.65" customHeight="1">
      <c r="A20" s="1256" t="s">
        <v>709</v>
      </c>
      <c r="B20" s="1257"/>
      <c r="C20" s="1258" t="s">
        <v>710</v>
      </c>
      <c r="D20" s="1258"/>
      <c r="E20" s="1258"/>
      <c r="F20" s="1258"/>
      <c r="G20" s="1258"/>
      <c r="H20" s="1258"/>
      <c r="I20" s="57"/>
    </row>
    <row r="21" spans="1:11" s="64" customFormat="1" ht="20.65" customHeight="1">
      <c r="A21" s="1211" t="s">
        <v>711</v>
      </c>
      <c r="B21" s="1212"/>
      <c r="C21" s="1221"/>
      <c r="D21" s="1221"/>
      <c r="E21" s="1221"/>
      <c r="F21" s="1221"/>
      <c r="G21" s="1221"/>
      <c r="H21" s="1221"/>
      <c r="I21" s="60"/>
    </row>
    <row r="22" spans="1:11" s="64" customFormat="1" ht="20.65" customHeight="1">
      <c r="A22" s="1211" t="s">
        <v>712</v>
      </c>
      <c r="B22" s="1212"/>
      <c r="C22" s="1221" t="s">
        <v>713</v>
      </c>
      <c r="D22" s="1221"/>
      <c r="E22" s="1221"/>
      <c r="F22" s="1221"/>
      <c r="G22" s="1221"/>
      <c r="H22" s="1221"/>
      <c r="I22" s="60"/>
    </row>
    <row r="23" spans="1:11" s="64" customFormat="1" ht="20.65" customHeight="1">
      <c r="A23" s="1211" t="s">
        <v>714</v>
      </c>
      <c r="B23" s="1212"/>
      <c r="C23" s="1221"/>
      <c r="D23" s="1221"/>
      <c r="E23" s="1221"/>
      <c r="F23" s="1221"/>
      <c r="G23" s="1221"/>
      <c r="H23" s="1221"/>
      <c r="I23" s="60"/>
    </row>
    <row r="24" spans="1:11" s="64" customFormat="1" ht="20.65" customHeight="1">
      <c r="A24" s="1211" t="s">
        <v>715</v>
      </c>
      <c r="B24" s="1212"/>
      <c r="C24" s="1221" t="s">
        <v>716</v>
      </c>
      <c r="D24" s="1221"/>
      <c r="E24" s="1221"/>
      <c r="F24" s="1221"/>
      <c r="G24" s="1221"/>
      <c r="H24" s="1221"/>
      <c r="I24" s="60"/>
    </row>
    <row r="25" spans="1:11" s="64" customFormat="1" ht="20.65" customHeight="1">
      <c r="A25" s="1211" t="s">
        <v>717</v>
      </c>
      <c r="B25" s="1212"/>
      <c r="C25" s="1221"/>
      <c r="D25" s="1221"/>
      <c r="E25" s="1221"/>
      <c r="F25" s="1221"/>
      <c r="G25" s="1221"/>
      <c r="H25" s="1221"/>
      <c r="I25" s="60"/>
    </row>
    <row r="26" spans="1:11" s="64" customFormat="1" ht="20.65" customHeight="1">
      <c r="A26" s="1211" t="s">
        <v>718</v>
      </c>
      <c r="B26" s="1212"/>
      <c r="C26" s="1221" t="s">
        <v>719</v>
      </c>
      <c r="D26" s="1221"/>
      <c r="E26" s="1221"/>
      <c r="F26" s="1221"/>
      <c r="G26" s="1221"/>
      <c r="H26" s="1221"/>
      <c r="I26" s="60"/>
    </row>
    <row r="27" spans="1:11" s="64" customFormat="1" ht="20.65" customHeight="1">
      <c r="A27" s="1211" t="s">
        <v>720</v>
      </c>
      <c r="B27" s="1212"/>
      <c r="C27" s="1221" t="s">
        <v>721</v>
      </c>
      <c r="D27" s="1221"/>
      <c r="E27" s="1221"/>
      <c r="F27" s="1221"/>
      <c r="G27" s="1221"/>
      <c r="H27" s="1221"/>
      <c r="I27" s="60"/>
    </row>
    <row r="28" spans="1:11" s="64" customFormat="1" ht="6" customHeight="1" thickBot="1">
      <c r="A28" s="49"/>
      <c r="B28" s="61"/>
      <c r="C28" s="62"/>
      <c r="D28" s="62"/>
      <c r="E28" s="62"/>
      <c r="F28" s="62"/>
      <c r="G28" s="62"/>
      <c r="H28" s="62"/>
      <c r="I28" s="63"/>
    </row>
    <row r="29" spans="1:11" s="64" customFormat="1" ht="20.65" customHeight="1" thickBot="1">
      <c r="A29" s="1195" t="s">
        <v>722</v>
      </c>
      <c r="B29" s="1196"/>
      <c r="C29" s="1196"/>
      <c r="D29" s="1196"/>
      <c r="E29" s="1196"/>
      <c r="F29" s="1196"/>
      <c r="G29" s="1196"/>
      <c r="H29" s="1196"/>
      <c r="I29" s="1197"/>
    </row>
    <row r="30" spans="1:11" s="64" customFormat="1">
      <c r="A30" s="1254" t="s">
        <v>723</v>
      </c>
      <c r="B30" s="1254"/>
      <c r="C30" s="1254"/>
      <c r="D30" s="1254"/>
      <c r="E30" s="1254"/>
      <c r="F30" s="1254" t="s">
        <v>724</v>
      </c>
      <c r="G30" s="1254"/>
      <c r="H30" s="1254"/>
      <c r="I30" s="1254"/>
    </row>
    <row r="31" spans="1:11" s="64" customFormat="1" ht="20.65" customHeight="1" thickBot="1">
      <c r="A31" s="1259" t="s">
        <v>698</v>
      </c>
      <c r="B31" s="1259"/>
      <c r="C31" s="1259"/>
      <c r="D31" s="1259"/>
      <c r="E31" s="1259"/>
      <c r="F31" s="1259" t="s">
        <v>698</v>
      </c>
      <c r="G31" s="1259"/>
      <c r="H31" s="1259"/>
      <c r="I31" s="1259"/>
    </row>
    <row r="32" spans="1:11" s="64" customFormat="1" ht="20.65" customHeight="1" thickBot="1">
      <c r="A32" s="1195" t="s">
        <v>725</v>
      </c>
      <c r="B32" s="1196"/>
      <c r="C32" s="1196"/>
      <c r="D32" s="1196"/>
      <c r="E32" s="1196"/>
      <c r="F32" s="1196"/>
      <c r="G32" s="1196"/>
      <c r="H32" s="1196"/>
      <c r="I32" s="1197"/>
    </row>
    <row r="33" spans="1:9" s="64" customFormat="1" ht="20.65" customHeight="1">
      <c r="A33" s="55" t="s">
        <v>726</v>
      </c>
      <c r="B33" s="100" t="s">
        <v>727</v>
      </c>
      <c r="C33" s="56" t="s">
        <v>728</v>
      </c>
      <c r="D33" s="1258" t="s">
        <v>729</v>
      </c>
      <c r="E33" s="1258"/>
      <c r="F33" s="1258"/>
      <c r="G33" s="1258"/>
      <c r="H33" s="1258"/>
      <c r="I33" s="57"/>
    </row>
    <row r="34" spans="1:9" s="64" customFormat="1" ht="20.65" customHeight="1">
      <c r="A34" s="66" t="s">
        <v>730</v>
      </c>
      <c r="B34" s="1220" t="s">
        <v>731</v>
      </c>
      <c r="C34" s="1220"/>
      <c r="D34" s="1220"/>
      <c r="E34" s="1220"/>
      <c r="F34" s="1220"/>
      <c r="G34" s="1220"/>
      <c r="H34" s="67"/>
      <c r="I34" s="60"/>
    </row>
    <row r="35" spans="1:9" s="64" customFormat="1" ht="20.65" customHeight="1">
      <c r="A35" s="66" t="s">
        <v>732</v>
      </c>
      <c r="B35" s="1220" t="s">
        <v>733</v>
      </c>
      <c r="C35" s="1220"/>
      <c r="D35" s="1220"/>
      <c r="E35" s="1220"/>
      <c r="F35" s="1220"/>
      <c r="G35" s="1220"/>
      <c r="H35" s="67"/>
      <c r="I35" s="60"/>
    </row>
    <row r="36" spans="1:9" s="64" customFormat="1" ht="20.65" customHeight="1">
      <c r="A36" s="66" t="s">
        <v>734</v>
      </c>
      <c r="B36" s="1221"/>
      <c r="C36" s="1221"/>
      <c r="D36" s="1221"/>
      <c r="E36" s="1221"/>
      <c r="F36" s="1221"/>
      <c r="G36" s="1221"/>
      <c r="H36" s="67"/>
      <c r="I36" s="60"/>
    </row>
    <row r="37" spans="1:9" s="64" customFormat="1" ht="6" customHeight="1" thickBot="1">
      <c r="A37" s="49"/>
      <c r="B37" s="61"/>
      <c r="C37" s="62"/>
      <c r="D37" s="62"/>
      <c r="E37" s="62"/>
      <c r="F37" s="62"/>
      <c r="G37" s="62"/>
      <c r="H37" s="62"/>
      <c r="I37" s="63"/>
    </row>
    <row r="38" spans="1:9" s="64" customFormat="1" ht="20.65" customHeight="1" thickBot="1">
      <c r="A38" s="58" t="s">
        <v>735</v>
      </c>
      <c r="B38" s="1223" t="s">
        <v>736</v>
      </c>
      <c r="C38" s="1223"/>
      <c r="D38" s="1223"/>
      <c r="E38" s="1223"/>
      <c r="F38" s="1223"/>
      <c r="G38" s="1223"/>
      <c r="H38" s="59"/>
      <c r="I38" s="85"/>
    </row>
    <row r="39" spans="1:9" s="64" customFormat="1">
      <c r="A39" s="1260" t="s">
        <v>737</v>
      </c>
      <c r="B39" s="1261"/>
      <c r="C39" s="1261"/>
      <c r="D39" s="1261"/>
      <c r="E39" s="1261"/>
      <c r="F39" s="1261"/>
      <c r="G39" s="1261"/>
      <c r="H39" s="1261"/>
      <c r="I39" s="1262"/>
    </row>
    <row r="40" spans="1:9" s="64" customFormat="1" ht="20.65" customHeight="1" thickBot="1">
      <c r="A40" s="1229" t="s">
        <v>738</v>
      </c>
      <c r="B40" s="1230"/>
      <c r="C40" s="1230"/>
      <c r="D40" s="1230"/>
      <c r="E40" s="1230"/>
      <c r="F40" s="1230"/>
      <c r="G40" s="1230"/>
      <c r="H40" s="1230"/>
      <c r="I40" s="1231"/>
    </row>
    <row r="41" spans="1:9" s="64" customFormat="1" ht="20.65" customHeight="1" thickBot="1">
      <c r="A41" s="1207" t="s">
        <v>739</v>
      </c>
      <c r="B41" s="1208"/>
      <c r="C41" s="1213" t="s">
        <v>740</v>
      </c>
      <c r="D41" s="1213"/>
      <c r="E41" s="59"/>
      <c r="F41" s="1208" t="s">
        <v>741</v>
      </c>
      <c r="G41" s="1208"/>
      <c r="H41" s="1213" t="s">
        <v>742</v>
      </c>
      <c r="I41" s="1222"/>
    </row>
    <row r="42" spans="1:9" s="64" customFormat="1" ht="20.65" customHeight="1" thickBot="1">
      <c r="A42" s="58" t="s">
        <v>743</v>
      </c>
      <c r="B42" s="1267" t="s">
        <v>744</v>
      </c>
      <c r="C42" s="1267"/>
      <c r="D42" s="1267"/>
      <c r="E42" s="1267"/>
      <c r="F42" s="1267"/>
      <c r="G42" s="1267"/>
      <c r="H42" s="59"/>
      <c r="I42" s="85"/>
    </row>
    <row r="43" spans="1:9" s="64" customFormat="1">
      <c r="A43" s="1194"/>
      <c r="B43" s="1194"/>
      <c r="C43" s="1194"/>
      <c r="D43" s="1194"/>
      <c r="E43" s="1194"/>
      <c r="F43" s="1194"/>
      <c r="G43" s="1194"/>
      <c r="H43" s="1194"/>
      <c r="I43" s="1194"/>
    </row>
    <row r="44" spans="1:9" s="64" customFormat="1">
      <c r="A44" s="1194" t="s">
        <v>679</v>
      </c>
      <c r="B44" s="1194"/>
      <c r="C44" s="1194"/>
      <c r="D44" s="1194"/>
      <c r="E44" s="1194"/>
      <c r="F44" s="1194"/>
      <c r="G44" s="1194"/>
      <c r="H44" s="1194"/>
      <c r="I44" s="1194"/>
    </row>
    <row r="45" spans="1:9" s="64" customFormat="1" ht="12.6" thickBot="1">
      <c r="A45" s="1194" t="s">
        <v>680</v>
      </c>
      <c r="B45" s="1194"/>
      <c r="C45" s="1194"/>
      <c r="D45" s="1194"/>
      <c r="E45" s="1194"/>
      <c r="F45" s="1194"/>
      <c r="G45" s="1194"/>
      <c r="H45" s="1194"/>
      <c r="I45" s="1194"/>
    </row>
    <row r="46" spans="1:9" s="64" customFormat="1" ht="20.25" customHeight="1" thickBot="1">
      <c r="A46" s="1285" t="s">
        <v>681</v>
      </c>
      <c r="B46" s="1286"/>
      <c r="C46" s="1293"/>
      <c r="D46" s="1286"/>
      <c r="E46" s="1286"/>
      <c r="F46" s="1286"/>
      <c r="G46" s="1286"/>
      <c r="H46" s="1286"/>
      <c r="I46" s="73" t="s">
        <v>682</v>
      </c>
    </row>
    <row r="47" spans="1:9">
      <c r="A47" s="77" t="s">
        <v>745</v>
      </c>
      <c r="C47" s="76" t="s">
        <v>746</v>
      </c>
      <c r="D47" s="76"/>
      <c r="F47" s="76"/>
      <c r="I47" s="74"/>
    </row>
    <row r="48" spans="1:9" ht="20.25" hidden="1" customHeight="1">
      <c r="A48" s="75"/>
      <c r="C48" t="s">
        <v>747</v>
      </c>
      <c r="F48" s="76"/>
      <c r="I48" s="51"/>
    </row>
    <row r="49" spans="1:9" ht="20.25" hidden="1" customHeight="1">
      <c r="A49" s="75"/>
      <c r="C49" t="s">
        <v>748</v>
      </c>
      <c r="I49" s="51"/>
    </row>
    <row r="50" spans="1:9" ht="20.25" hidden="1" customHeight="1">
      <c r="A50" s="75"/>
      <c r="C50" t="s">
        <v>749</v>
      </c>
      <c r="I50" s="51"/>
    </row>
    <row r="51" spans="1:9" ht="20.25" hidden="1" customHeight="1">
      <c r="A51" s="75"/>
      <c r="C51" t="s">
        <v>750</v>
      </c>
      <c r="I51" s="51"/>
    </row>
    <row r="52" spans="1:9" ht="20.25" hidden="1" customHeight="1">
      <c r="A52" s="75"/>
      <c r="C52" t="s">
        <v>751</v>
      </c>
      <c r="I52" s="51"/>
    </row>
    <row r="53" spans="1:9" ht="20.25" hidden="1" customHeight="1">
      <c r="A53" s="75"/>
      <c r="C53" t="s">
        <v>752</v>
      </c>
      <c r="I53" s="51"/>
    </row>
    <row r="54" spans="1:9" ht="20.25" hidden="1" customHeight="1">
      <c r="A54" s="75"/>
      <c r="C54" t="s">
        <v>753</v>
      </c>
      <c r="I54" s="51"/>
    </row>
    <row r="55" spans="1:9" ht="20.25" hidden="1" customHeight="1">
      <c r="A55" s="75"/>
      <c r="C55" t="s">
        <v>754</v>
      </c>
      <c r="I55" s="51"/>
    </row>
    <row r="56" spans="1:9" ht="20.25" hidden="1" customHeight="1">
      <c r="A56" s="75"/>
      <c r="C56" s="52" t="s">
        <v>755</v>
      </c>
      <c r="I56" s="51"/>
    </row>
    <row r="57" spans="1:9" ht="20.25" hidden="1" customHeight="1">
      <c r="A57" s="75"/>
      <c r="C57" s="52" t="s">
        <v>756</v>
      </c>
      <c r="I57" s="51"/>
    </row>
    <row r="58" spans="1:9" ht="20.25" hidden="1" customHeight="1">
      <c r="A58" s="75"/>
      <c r="C58" s="52" t="s">
        <v>757</v>
      </c>
      <c r="I58" s="51"/>
    </row>
    <row r="59" spans="1:9" ht="20.25" hidden="1" customHeight="1">
      <c r="A59" s="75"/>
      <c r="C59" t="s">
        <v>758</v>
      </c>
      <c r="I59" s="51"/>
    </row>
    <row r="60" spans="1:9" ht="20.25" customHeight="1">
      <c r="A60" s="75"/>
      <c r="C60" s="101" t="s">
        <v>759</v>
      </c>
      <c r="D60" s="101"/>
      <c r="E60" s="101"/>
      <c r="F60" s="101"/>
      <c r="G60" s="101"/>
      <c r="I60" s="51"/>
    </row>
    <row r="61" spans="1:9" ht="20.25" hidden="1" customHeight="1">
      <c r="A61" s="75"/>
      <c r="C61" t="s">
        <v>760</v>
      </c>
      <c r="I61" s="51"/>
    </row>
    <row r="62" spans="1:9" ht="20.25" hidden="1" customHeight="1">
      <c r="A62" s="75"/>
      <c r="C62" s="86" t="s">
        <v>761</v>
      </c>
      <c r="I62" s="51"/>
    </row>
    <row r="63" spans="1:9" ht="20.25" hidden="1" customHeight="1">
      <c r="A63" s="75"/>
      <c r="C63" t="s">
        <v>762</v>
      </c>
      <c r="I63" s="51"/>
    </row>
    <row r="64" spans="1:9" ht="20.25" hidden="1" customHeight="1">
      <c r="A64" s="75"/>
      <c r="C64" t="s">
        <v>763</v>
      </c>
      <c r="I64" s="51"/>
    </row>
    <row r="65" spans="1:9" ht="20.25" hidden="1" customHeight="1">
      <c r="A65" s="75"/>
      <c r="C65" t="s">
        <v>764</v>
      </c>
      <c r="I65" s="51"/>
    </row>
    <row r="66" spans="1:9" ht="20.25" hidden="1" customHeight="1">
      <c r="A66" s="75"/>
      <c r="C66" t="s">
        <v>765</v>
      </c>
      <c r="I66" s="51"/>
    </row>
    <row r="67" spans="1:9" ht="20.25" hidden="1" customHeight="1">
      <c r="A67" s="75"/>
      <c r="C67" t="s">
        <v>766</v>
      </c>
      <c r="I67" s="51"/>
    </row>
    <row r="68" spans="1:9" ht="20.25" hidden="1" customHeight="1">
      <c r="A68" s="75"/>
      <c r="C68" t="s">
        <v>767</v>
      </c>
      <c r="I68" s="51"/>
    </row>
    <row r="69" spans="1:9" ht="20.25" hidden="1" customHeight="1">
      <c r="A69" s="75"/>
      <c r="C69" t="s">
        <v>768</v>
      </c>
      <c r="I69" s="51"/>
    </row>
    <row r="70" spans="1:9" ht="20.25" hidden="1" customHeight="1">
      <c r="A70" s="75"/>
      <c r="C70" t="s">
        <v>769</v>
      </c>
      <c r="I70" s="51"/>
    </row>
    <row r="71" spans="1:9" s="64" customFormat="1" ht="20.25" customHeight="1">
      <c r="A71" s="1195" t="s">
        <v>407</v>
      </c>
      <c r="B71" s="1196"/>
      <c r="C71" s="1196"/>
      <c r="D71" s="1196"/>
      <c r="E71" s="1196"/>
      <c r="F71" s="1196"/>
      <c r="G71" s="1196"/>
      <c r="H71" s="1196"/>
      <c r="I71" s="1197"/>
    </row>
    <row r="72" spans="1:9" s="64" customFormat="1" ht="20.25" customHeight="1">
      <c r="A72" s="1227" t="s">
        <v>770</v>
      </c>
      <c r="B72" s="1228"/>
      <c r="C72" s="1228" t="s">
        <v>746</v>
      </c>
      <c r="D72" s="1228"/>
      <c r="E72"/>
      <c r="F72"/>
      <c r="G72"/>
      <c r="H72"/>
      <c r="I72" s="51"/>
    </row>
    <row r="73" spans="1:9" s="64" customFormat="1" ht="20.25" customHeight="1">
      <c r="A73" s="1195" t="s">
        <v>407</v>
      </c>
      <c r="B73" s="1196"/>
      <c r="C73" s="1196"/>
      <c r="D73" s="1196"/>
      <c r="E73" s="1196"/>
      <c r="F73" s="1196"/>
      <c r="G73" s="1196"/>
      <c r="H73" s="1196"/>
      <c r="I73" s="1197"/>
    </row>
    <row r="74" spans="1:9" s="64" customFormat="1" ht="20.25" customHeight="1">
      <c r="A74" s="1227" t="s">
        <v>771</v>
      </c>
      <c r="B74" s="1228"/>
      <c r="C74" s="1228" t="s">
        <v>746</v>
      </c>
      <c r="D74" s="1228"/>
      <c r="E74"/>
      <c r="F74"/>
      <c r="G74"/>
      <c r="H74"/>
      <c r="I74" s="51"/>
    </row>
    <row r="75" spans="1:9" s="64" customFormat="1" ht="20.25" customHeight="1">
      <c r="A75" s="1195" t="s">
        <v>407</v>
      </c>
      <c r="B75" s="1196"/>
      <c r="C75" s="1196"/>
      <c r="D75" s="1196"/>
      <c r="E75" s="1196"/>
      <c r="F75" s="1196"/>
      <c r="G75" s="1196"/>
      <c r="H75" s="1196"/>
      <c r="I75" s="1197"/>
    </row>
    <row r="76" spans="1:9" s="64" customFormat="1" ht="20.25" customHeight="1">
      <c r="A76" s="1229" t="s">
        <v>690</v>
      </c>
      <c r="B76" s="1230"/>
      <c r="C76" s="1230"/>
      <c r="D76" s="1230"/>
      <c r="E76" s="1230"/>
      <c r="F76" s="1230"/>
      <c r="G76" s="1230"/>
      <c r="H76" s="1230"/>
      <c r="I76" s="1231"/>
    </row>
    <row r="77" spans="1:9" s="64" customFormat="1" ht="20.25" customHeight="1" thickBot="1">
      <c r="A77" s="1191"/>
      <c r="B77" s="1192"/>
      <c r="C77" s="1192"/>
      <c r="D77" s="1192"/>
      <c r="E77" s="1192"/>
      <c r="F77" s="1192"/>
      <c r="G77" s="1192"/>
      <c r="H77" s="1192"/>
      <c r="I77" s="1193"/>
    </row>
    <row r="78" spans="1:9" s="64" customFormat="1" ht="20.25" customHeight="1">
      <c r="A78" s="1195" t="s">
        <v>772</v>
      </c>
      <c r="B78" s="1196"/>
      <c r="C78" s="1196"/>
      <c r="D78" s="1196"/>
      <c r="E78" s="1196"/>
      <c r="F78" s="1196"/>
      <c r="G78" s="1196"/>
      <c r="H78" s="1196"/>
      <c r="I78" s="1197"/>
    </row>
    <row r="79" spans="1:9" s="64" customFormat="1" ht="20.25" customHeight="1" thickBot="1">
      <c r="A79" s="1233" t="s">
        <v>698</v>
      </c>
      <c r="B79" s="1234"/>
      <c r="C79" s="1234"/>
      <c r="D79" s="1234"/>
      <c r="E79" s="1234"/>
      <c r="F79" s="1234"/>
      <c r="G79" s="1234"/>
      <c r="H79" s="1234"/>
      <c r="I79" s="1235"/>
    </row>
    <row r="80" spans="1:9" s="64" customFormat="1" ht="20.25" customHeight="1">
      <c r="A80" s="1236" t="s">
        <v>773</v>
      </c>
      <c r="B80" s="1237"/>
      <c r="C80" s="1237"/>
      <c r="D80" s="1237"/>
      <c r="E80" s="1237"/>
      <c r="F80" s="1237"/>
      <c r="G80" s="1237"/>
      <c r="H80" s="1237"/>
      <c r="I80" s="1238"/>
    </row>
    <row r="81" spans="1:9" s="64" customFormat="1" ht="20.25" customHeight="1">
      <c r="A81" s="78"/>
      <c r="B81" s="1239"/>
      <c r="C81" s="1239"/>
      <c r="D81" s="68"/>
      <c r="E81" s="68"/>
      <c r="F81" s="68"/>
      <c r="G81" s="68"/>
      <c r="H81" s="68"/>
      <c r="I81" s="69"/>
    </row>
    <row r="82" spans="1:9" s="64" customFormat="1" ht="20.25" customHeight="1">
      <c r="A82" s="1229" t="s">
        <v>774</v>
      </c>
      <c r="B82" s="1230"/>
      <c r="C82" s="1230"/>
      <c r="D82" s="1230"/>
      <c r="E82" s="1230"/>
      <c r="F82" s="1230"/>
      <c r="G82" s="1230"/>
      <c r="H82" s="1230"/>
      <c r="I82" s="1231"/>
    </row>
    <row r="83" spans="1:9" s="64" customFormat="1" ht="20.25" customHeight="1">
      <c r="A83" s="78"/>
      <c r="B83" s="1239"/>
      <c r="C83" s="1239"/>
      <c r="D83" s="68"/>
      <c r="E83" s="68"/>
      <c r="F83" s="68"/>
      <c r="G83" s="68"/>
      <c r="H83" s="68"/>
      <c r="I83" s="69"/>
    </row>
    <row r="84" spans="1:9" s="64" customFormat="1" ht="7.5" customHeight="1" thickBot="1">
      <c r="A84" s="1217"/>
      <c r="B84" s="1218"/>
      <c r="C84" s="1218"/>
      <c r="D84" s="1218"/>
      <c r="E84" s="1218"/>
      <c r="F84" s="1218"/>
      <c r="G84" s="1218"/>
      <c r="H84" s="1218"/>
      <c r="I84" s="1219"/>
    </row>
    <row r="85" spans="1:9" s="64" customFormat="1" ht="20.25" customHeight="1">
      <c r="A85" s="1236" t="s">
        <v>775</v>
      </c>
      <c r="B85" s="1237"/>
      <c r="C85" s="1237"/>
      <c r="D85" s="1237"/>
      <c r="E85" s="1237"/>
      <c r="F85" s="1237"/>
      <c r="G85" s="1237"/>
      <c r="H85" s="1237"/>
      <c r="I85" s="1238"/>
    </row>
    <row r="86" spans="1:9" s="64" customFormat="1" ht="20.25" customHeight="1">
      <c r="A86" s="78"/>
      <c r="B86" s="1220"/>
      <c r="C86" s="1220"/>
      <c r="D86" s="68"/>
      <c r="E86" s="68"/>
      <c r="F86" s="68"/>
      <c r="G86" s="68"/>
      <c r="H86" s="68"/>
      <c r="I86" s="69"/>
    </row>
    <row r="87" spans="1:9" s="64" customFormat="1">
      <c r="A87" s="1229"/>
      <c r="B87" s="1230"/>
      <c r="C87" s="1230"/>
      <c r="D87" s="1230"/>
      <c r="E87" s="1230"/>
      <c r="F87" s="1230"/>
      <c r="G87" s="1230"/>
      <c r="H87" s="1230"/>
      <c r="I87" s="1231"/>
    </row>
    <row r="88" spans="1:9" s="64" customFormat="1" ht="20.25" customHeight="1">
      <c r="A88" s="1229" t="s">
        <v>776</v>
      </c>
      <c r="B88" s="1230"/>
      <c r="C88" s="1230"/>
      <c r="D88" s="1230"/>
      <c r="E88" s="1230"/>
      <c r="F88" s="1230"/>
      <c r="G88" s="1230"/>
      <c r="H88" s="1230"/>
      <c r="I88" s="1231"/>
    </row>
    <row r="89" spans="1:9" s="64" customFormat="1" ht="20.25" customHeight="1">
      <c r="A89" s="78"/>
      <c r="B89" s="1220"/>
      <c r="C89" s="1220"/>
      <c r="D89" s="1220"/>
      <c r="E89" s="1220"/>
      <c r="F89" s="1220"/>
      <c r="G89" s="1220"/>
      <c r="H89" s="68"/>
      <c r="I89" s="69"/>
    </row>
    <row r="90" spans="1:9" s="64" customFormat="1" ht="12.6" thickBot="1">
      <c r="A90" s="1217"/>
      <c r="B90" s="1218"/>
      <c r="C90" s="1218"/>
      <c r="D90" s="1218"/>
      <c r="E90" s="1218"/>
      <c r="F90" s="1218"/>
      <c r="G90" s="1218"/>
      <c r="H90" s="1218"/>
      <c r="I90" s="1219"/>
    </row>
    <row r="91" spans="1:9" s="64" customFormat="1" ht="20.25" customHeight="1">
      <c r="A91" s="1195" t="s">
        <v>777</v>
      </c>
      <c r="B91" s="1196"/>
      <c r="C91" s="1196"/>
      <c r="D91" s="1196"/>
      <c r="E91" s="1196"/>
      <c r="F91" s="1196"/>
      <c r="G91" s="1196"/>
      <c r="H91" s="1196"/>
      <c r="I91" s="1197"/>
    </row>
    <row r="92" spans="1:9" s="64" customFormat="1" ht="20.25" customHeight="1">
      <c r="A92" s="78"/>
      <c r="B92" s="1263"/>
      <c r="C92" s="1263"/>
      <c r="D92" s="68"/>
      <c r="E92" s="68"/>
      <c r="F92" s="68"/>
      <c r="G92" s="68"/>
      <c r="H92" s="68"/>
      <c r="I92" s="69"/>
    </row>
    <row r="93" spans="1:9" s="64" customFormat="1" ht="20.25" customHeight="1">
      <c r="A93" s="1229" t="s">
        <v>778</v>
      </c>
      <c r="B93" s="1230"/>
      <c r="C93" s="1230"/>
      <c r="D93" s="1230"/>
      <c r="E93" s="1230"/>
      <c r="F93" s="1230"/>
      <c r="G93" s="1230"/>
      <c r="H93" s="1230"/>
      <c r="I93" s="1231"/>
    </row>
    <row r="94" spans="1:9" s="64" customFormat="1" ht="20.25" customHeight="1">
      <c r="A94" s="78"/>
      <c r="B94" s="1263"/>
      <c r="C94" s="1263"/>
      <c r="D94" s="1263"/>
      <c r="E94" s="1263"/>
      <c r="F94" s="1263"/>
      <c r="G94" s="1263"/>
      <c r="H94" s="68"/>
      <c r="I94" s="69"/>
    </row>
    <row r="95" spans="1:9" s="64" customFormat="1" ht="12.6" thickBot="1">
      <c r="A95" s="1229"/>
      <c r="B95" s="1230"/>
      <c r="C95" s="1230"/>
      <c r="D95" s="1230"/>
      <c r="E95" s="1230"/>
      <c r="F95" s="1230"/>
      <c r="G95" s="1230"/>
      <c r="H95" s="1230"/>
      <c r="I95" s="1231"/>
    </row>
    <row r="96" spans="1:9" s="64" customFormat="1" ht="20.25" customHeight="1">
      <c r="A96" s="1236" t="s">
        <v>779</v>
      </c>
      <c r="B96" s="1237"/>
      <c r="C96" s="1237"/>
      <c r="D96" s="1237"/>
      <c r="E96" s="1237"/>
      <c r="F96" s="1237"/>
      <c r="G96" s="1237"/>
      <c r="H96" s="1237"/>
      <c r="I96" s="1238"/>
    </row>
    <row r="97" spans="1:9" s="64" customFormat="1" ht="20.25" customHeight="1">
      <c r="A97" s="1264"/>
      <c r="B97" s="1265"/>
      <c r="C97" s="1265"/>
      <c r="D97" s="1265"/>
      <c r="E97" s="1265"/>
      <c r="F97" s="1265"/>
      <c r="G97" s="1265"/>
      <c r="H97" s="1265"/>
      <c r="I97" s="1266"/>
    </row>
    <row r="98" spans="1:9" s="64" customFormat="1" ht="20.25" customHeight="1">
      <c r="A98" s="1195"/>
      <c r="B98" s="1196"/>
      <c r="C98" s="1196"/>
      <c r="D98" s="1196"/>
      <c r="E98" s="1196"/>
      <c r="F98" s="1196"/>
      <c r="G98" s="1196"/>
      <c r="H98" s="1196"/>
      <c r="I98" s="1197"/>
    </row>
    <row r="99" spans="1:9" s="64" customFormat="1" ht="20.25" customHeight="1">
      <c r="A99" s="1195"/>
      <c r="B99" s="1196"/>
      <c r="C99" s="1196"/>
      <c r="D99" s="1196"/>
      <c r="E99" s="1196"/>
      <c r="F99" s="1196"/>
      <c r="G99" s="1196"/>
      <c r="H99" s="1196"/>
      <c r="I99" s="1197"/>
    </row>
    <row r="100" spans="1:9" s="64" customFormat="1" ht="20.25" customHeight="1" thickBot="1">
      <c r="A100" s="1198"/>
      <c r="B100" s="1199"/>
      <c r="C100" s="1199"/>
      <c r="D100" s="1199"/>
      <c r="E100" s="1199"/>
      <c r="F100" s="1199"/>
      <c r="G100" s="1199"/>
      <c r="H100" s="1199"/>
      <c r="I100" s="1200"/>
    </row>
    <row r="101" spans="1:9" s="64" customFormat="1" ht="20.25" customHeight="1">
      <c r="A101" s="1195" t="s">
        <v>780</v>
      </c>
      <c r="B101" s="1196"/>
      <c r="C101" s="1196"/>
      <c r="D101" s="1196"/>
      <c r="E101" s="1196"/>
      <c r="F101" s="1196"/>
      <c r="G101" s="1196"/>
      <c r="H101" s="1196"/>
      <c r="I101" s="1197"/>
    </row>
    <row r="102" spans="1:9" s="64" customFormat="1" ht="20.25" customHeight="1">
      <c r="A102" s="1201"/>
      <c r="B102" s="1202"/>
      <c r="C102" s="1202"/>
      <c r="D102" s="1202"/>
      <c r="E102" s="1202"/>
      <c r="F102" s="1202"/>
      <c r="G102" s="1202"/>
      <c r="H102" s="1202"/>
      <c r="I102" s="1203"/>
    </row>
    <row r="103" spans="1:9" s="64" customFormat="1" ht="20.25" customHeight="1">
      <c r="A103" s="1204"/>
      <c r="B103" s="1205"/>
      <c r="C103" s="1205"/>
      <c r="D103" s="1205"/>
      <c r="E103" s="1205"/>
      <c r="F103" s="1205"/>
      <c r="G103" s="1205"/>
      <c r="H103" s="1205"/>
      <c r="I103" s="1206"/>
    </row>
    <row r="104" spans="1:9" s="64" customFormat="1" ht="20.25" customHeight="1">
      <c r="A104" s="1204"/>
      <c r="B104" s="1205"/>
      <c r="C104" s="1205"/>
      <c r="D104" s="1205"/>
      <c r="E104" s="1205"/>
      <c r="F104" s="1205"/>
      <c r="G104" s="1205"/>
      <c r="H104" s="1205"/>
      <c r="I104" s="1206"/>
    </row>
    <row r="105" spans="1:9" s="64" customFormat="1" ht="20.25" customHeight="1">
      <c r="A105" s="1204"/>
      <c r="B105" s="1205"/>
      <c r="C105" s="1205"/>
      <c r="D105" s="1205"/>
      <c r="E105" s="1205"/>
      <c r="F105" s="1205"/>
      <c r="G105" s="1205"/>
      <c r="H105" s="1205"/>
      <c r="I105" s="1206"/>
    </row>
    <row r="106" spans="1:9" s="64" customFormat="1" ht="20.25" customHeight="1">
      <c r="A106" s="1204"/>
      <c r="B106" s="1205"/>
      <c r="C106" s="1205"/>
      <c r="D106" s="1205"/>
      <c r="E106" s="1205"/>
      <c r="F106" s="1205"/>
      <c r="G106" s="1205"/>
      <c r="H106" s="1205"/>
      <c r="I106" s="1206"/>
    </row>
    <row r="107" spans="1:9" s="64" customFormat="1" ht="20.25" customHeight="1" thickBot="1">
      <c r="A107" s="1191"/>
      <c r="B107" s="1192"/>
      <c r="C107" s="1192"/>
      <c r="D107" s="1192"/>
      <c r="E107" s="1192"/>
      <c r="F107" s="1192"/>
      <c r="G107" s="1192"/>
      <c r="H107" s="1192"/>
      <c r="I107" s="1193"/>
    </row>
    <row r="108" spans="1:9" s="64" customFormat="1">
      <c r="A108" s="1194" t="s">
        <v>679</v>
      </c>
      <c r="B108" s="1194"/>
      <c r="C108" s="1194"/>
      <c r="D108" s="1194"/>
      <c r="E108" s="1194"/>
      <c r="F108" s="1194"/>
      <c r="G108" s="1194"/>
      <c r="H108" s="1194"/>
      <c r="I108" s="1194"/>
    </row>
    <row r="109" spans="1:9" s="64" customFormat="1" ht="12.6" thickBot="1">
      <c r="A109" s="1194" t="s">
        <v>680</v>
      </c>
      <c r="B109" s="1194"/>
      <c r="C109" s="1194"/>
      <c r="D109" s="1194"/>
      <c r="E109" s="1194"/>
      <c r="F109" s="1194"/>
      <c r="G109" s="1194"/>
      <c r="H109" s="1194"/>
      <c r="I109" s="1194"/>
    </row>
    <row r="110" spans="1:9" s="64" customFormat="1" ht="20.25" customHeight="1" thickBot="1">
      <c r="A110" s="1274" t="s">
        <v>781</v>
      </c>
      <c r="B110" s="1275"/>
      <c r="C110" s="1275"/>
      <c r="D110" s="1275"/>
      <c r="E110" s="1275"/>
      <c r="F110" s="1275"/>
      <c r="G110" s="1275"/>
      <c r="H110" s="1275"/>
      <c r="I110" s="1276"/>
    </row>
    <row r="111" spans="1:9" s="64" customFormat="1" ht="20.25" customHeight="1">
      <c r="A111" s="1236" t="s">
        <v>782</v>
      </c>
      <c r="B111" s="1237"/>
      <c r="C111" s="1237"/>
      <c r="D111" s="1237"/>
      <c r="E111" s="1237"/>
      <c r="F111" s="1237"/>
      <c r="G111" s="1237"/>
      <c r="H111" s="1237"/>
      <c r="I111" s="1238"/>
    </row>
    <row r="112" spans="1:9" s="64" customFormat="1" ht="20.25" customHeight="1" thickBot="1">
      <c r="A112" s="72" t="s">
        <v>783</v>
      </c>
      <c r="B112" s="1277" t="s">
        <v>784</v>
      </c>
      <c r="C112" s="1277"/>
      <c r="D112" s="1277"/>
      <c r="E112" s="1277" t="s">
        <v>785</v>
      </c>
      <c r="F112" s="1277"/>
      <c r="G112" s="1278" t="s">
        <v>786</v>
      </c>
      <c r="H112" s="1278"/>
      <c r="I112" s="1279"/>
    </row>
    <row r="113" spans="1:11" s="64" customFormat="1" ht="20.25" customHeight="1">
      <c r="A113" s="1236" t="s">
        <v>787</v>
      </c>
      <c r="B113" s="1237"/>
      <c r="C113" s="1237"/>
      <c r="D113" s="1237"/>
      <c r="E113" s="1237"/>
      <c r="F113" s="1237"/>
      <c r="G113" s="1237"/>
      <c r="H113" s="1237"/>
      <c r="I113" s="1238"/>
    </row>
    <row r="114" spans="1:11" s="64" customFormat="1" ht="20.25" customHeight="1" thickBot="1">
      <c r="A114" s="72" t="s">
        <v>788</v>
      </c>
      <c r="B114" s="1280">
        <f>Assumptions!G21</f>
        <v>45292</v>
      </c>
      <c r="C114" s="1280"/>
      <c r="D114" s="1280"/>
      <c r="E114" s="1277" t="s">
        <v>789</v>
      </c>
      <c r="F114" s="1277"/>
      <c r="G114" s="1280">
        <f>Assumptions!S22</f>
        <v>0</v>
      </c>
      <c r="H114" s="1280"/>
      <c r="I114" s="1281"/>
    </row>
    <row r="115" spans="1:11" s="64" customFormat="1" ht="20.25" customHeight="1" thickBot="1">
      <c r="A115" s="1224" t="s">
        <v>790</v>
      </c>
      <c r="B115" s="1225"/>
      <c r="C115" s="1225"/>
      <c r="D115" s="1225"/>
      <c r="E115" s="1225"/>
      <c r="F115" s="1225"/>
      <c r="G115" s="1225"/>
      <c r="H115" s="1225"/>
      <c r="I115" s="1226"/>
    </row>
    <row r="116" spans="1:11" s="64" customFormat="1" ht="20.25" customHeight="1">
      <c r="A116" s="1256" t="s">
        <v>791</v>
      </c>
      <c r="B116" s="1257"/>
      <c r="C116" s="1269" t="e">
        <f>#REF!</f>
        <v>#REF!</v>
      </c>
      <c r="D116" s="1270"/>
      <c r="E116" s="1261"/>
      <c r="F116" s="1261"/>
      <c r="G116" s="1261"/>
      <c r="H116" s="1261"/>
      <c r="I116" s="1262"/>
      <c r="J116" s="390" t="s">
        <v>792</v>
      </c>
      <c r="K116" s="461" t="e">
        <f>'US &amp; Local Summaries'!#REF!</f>
        <v>#REF!</v>
      </c>
    </row>
    <row r="117" spans="1:11" s="64" customFormat="1" ht="20.25" customHeight="1">
      <c r="A117" s="1211" t="s">
        <v>793</v>
      </c>
      <c r="B117" s="1212"/>
      <c r="C117" s="1268"/>
      <c r="D117" s="1268"/>
      <c r="E117" s="1230"/>
      <c r="F117" s="1230"/>
      <c r="G117" s="1230"/>
      <c r="H117" s="1230"/>
      <c r="I117" s="1231"/>
    </row>
    <row r="118" spans="1:11" s="64" customFormat="1" ht="20.25" customHeight="1">
      <c r="A118" s="1211" t="s">
        <v>794</v>
      </c>
      <c r="B118" s="1212"/>
      <c r="C118" s="1268"/>
      <c r="D118" s="1268"/>
      <c r="E118" s="1230"/>
      <c r="F118" s="1230"/>
      <c r="G118" s="1230"/>
      <c r="H118" s="1230"/>
      <c r="I118" s="1231"/>
    </row>
    <row r="119" spans="1:11" s="64" customFormat="1" ht="20.25" customHeight="1">
      <c r="A119" s="1211" t="s">
        <v>795</v>
      </c>
      <c r="B119" s="1212"/>
      <c r="C119" s="1268"/>
      <c r="D119" s="1268"/>
      <c r="E119" s="1230"/>
      <c r="F119" s="1230"/>
      <c r="G119" s="1230"/>
      <c r="H119" s="1230"/>
      <c r="I119" s="1231"/>
    </row>
    <row r="120" spans="1:11" s="64" customFormat="1" ht="20.25" customHeight="1">
      <c r="A120" s="1211" t="s">
        <v>796</v>
      </c>
      <c r="B120" s="1212"/>
      <c r="C120" s="1268"/>
      <c r="D120" s="1268"/>
      <c r="E120" s="1230"/>
      <c r="F120" s="1230"/>
      <c r="G120" s="1230"/>
      <c r="H120" s="1230"/>
      <c r="I120" s="1231"/>
    </row>
    <row r="121" spans="1:11" s="64" customFormat="1" ht="20.25" customHeight="1">
      <c r="A121" s="1211" t="s">
        <v>797</v>
      </c>
      <c r="B121" s="1212"/>
      <c r="C121" s="1268"/>
      <c r="D121" s="1268"/>
      <c r="E121" s="1230"/>
      <c r="F121" s="1230"/>
      <c r="G121" s="1230"/>
      <c r="H121" s="1230"/>
      <c r="I121" s="1231"/>
    </row>
    <row r="122" spans="1:11" s="64" customFormat="1" ht="20.25" customHeight="1">
      <c r="A122" s="1211" t="s">
        <v>798</v>
      </c>
      <c r="B122" s="1212"/>
      <c r="C122" s="1283" t="e">
        <f>SUM(C116:D121)</f>
        <v>#REF!</v>
      </c>
      <c r="D122" s="1284"/>
      <c r="E122" s="1230"/>
      <c r="F122" s="1230"/>
      <c r="G122" s="1230"/>
      <c r="H122" s="1230"/>
      <c r="I122" s="1231"/>
    </row>
    <row r="123" spans="1:11" s="64" customFormat="1" ht="20.25" customHeight="1" thickBot="1">
      <c r="A123" s="81"/>
      <c r="B123" s="82"/>
      <c r="C123" s="83"/>
      <c r="D123" s="83"/>
      <c r="E123" s="1295"/>
      <c r="F123" s="1295"/>
      <c r="G123" s="1295"/>
      <c r="H123" s="1295"/>
      <c r="I123" s="1296"/>
    </row>
    <row r="124" spans="1:11" s="64" customFormat="1" ht="20.25" customHeight="1">
      <c r="A124" s="1236" t="s">
        <v>799</v>
      </c>
      <c r="B124" s="1237"/>
      <c r="C124" s="1237"/>
      <c r="D124" s="1237"/>
      <c r="E124" s="1237"/>
      <c r="F124" s="1237"/>
      <c r="G124" s="1237"/>
      <c r="H124" s="1237"/>
      <c r="I124" s="1238"/>
    </row>
    <row r="125" spans="1:11" s="64" customFormat="1" ht="20.25" customHeight="1">
      <c r="A125" s="1247" t="s">
        <v>800</v>
      </c>
      <c r="B125" s="1253"/>
      <c r="C125" s="1253"/>
      <c r="D125" s="1253"/>
      <c r="E125" s="1253"/>
      <c r="F125" s="1253"/>
      <c r="G125" s="1253"/>
      <c r="H125" s="1253"/>
      <c r="I125" s="1282"/>
    </row>
    <row r="126" spans="1:11" s="64" customFormat="1" ht="20.25" customHeight="1">
      <c r="A126" s="1247" t="s">
        <v>801</v>
      </c>
      <c r="B126" s="1253"/>
      <c r="C126" s="1253"/>
      <c r="D126" s="1253"/>
      <c r="E126" s="1253"/>
      <c r="F126" s="1253"/>
      <c r="G126" s="1253"/>
      <c r="H126" s="1253"/>
      <c r="I126" s="1282"/>
    </row>
    <row r="127" spans="1:11" s="64" customFormat="1" ht="20.25" customHeight="1" thickBot="1">
      <c r="A127" s="1271" t="s">
        <v>802</v>
      </c>
      <c r="B127" s="1272"/>
      <c r="C127" s="1272"/>
      <c r="D127" s="1272"/>
      <c r="E127" s="1272"/>
      <c r="F127" s="1272"/>
      <c r="G127" s="1272"/>
      <c r="H127" s="1272"/>
      <c r="I127" s="1273"/>
    </row>
    <row r="128" spans="1:11" s="64" customFormat="1" ht="20.25" customHeight="1">
      <c r="A128" s="1195" t="s">
        <v>803</v>
      </c>
      <c r="B128" s="1196"/>
      <c r="C128" s="1196"/>
      <c r="D128" s="1196"/>
      <c r="E128" s="1196"/>
      <c r="F128" s="1196"/>
      <c r="G128" s="1196"/>
      <c r="H128" s="1196"/>
      <c r="I128" s="1197"/>
    </row>
    <row r="129" spans="1:9" s="64" customFormat="1" ht="20.25" customHeight="1" thickBot="1">
      <c r="A129" s="84" t="s">
        <v>804</v>
      </c>
      <c r="B129" s="62"/>
      <c r="C129" s="62"/>
      <c r="D129" s="62" t="s">
        <v>805</v>
      </c>
      <c r="E129" s="62"/>
      <c r="F129" s="62"/>
      <c r="G129" s="62"/>
      <c r="H129" s="62"/>
      <c r="I129" s="63"/>
    </row>
    <row r="130" spans="1:9" s="64" customFormat="1" ht="63.75" customHeight="1">
      <c r="A130" s="1260" t="s">
        <v>806</v>
      </c>
      <c r="B130" s="1261"/>
      <c r="C130" s="1261"/>
      <c r="D130" s="1261"/>
      <c r="E130" s="1261"/>
      <c r="F130" s="1261"/>
      <c r="G130" s="1261"/>
      <c r="H130" s="1261"/>
      <c r="I130" s="1262"/>
    </row>
    <row r="131" spans="1:9" s="64" customFormat="1" ht="20.25" customHeight="1">
      <c r="A131" s="1214" t="s">
        <v>807</v>
      </c>
      <c r="B131" s="1215"/>
      <c r="C131" s="1215"/>
      <c r="D131" s="1215"/>
      <c r="E131" s="1215"/>
      <c r="F131" s="1215"/>
      <c r="G131" s="1215"/>
      <c r="H131" s="1215"/>
      <c r="I131" s="1216"/>
    </row>
    <row r="132" spans="1:9" s="64" customFormat="1" ht="33.75" customHeight="1" thickBot="1">
      <c r="A132" s="1217" t="s">
        <v>808</v>
      </c>
      <c r="B132" s="1218"/>
      <c r="C132" s="1218"/>
      <c r="D132" s="1218"/>
      <c r="E132" s="1218"/>
      <c r="F132" s="1218"/>
      <c r="G132" s="1218"/>
      <c r="H132" s="1218"/>
      <c r="I132" s="1219"/>
    </row>
    <row r="133" spans="1:9" s="64" customFormat="1" ht="20.25" customHeight="1" thickBot="1">
      <c r="A133" s="1224" t="s">
        <v>809</v>
      </c>
      <c r="B133" s="1225"/>
      <c r="C133" s="1225"/>
      <c r="D133" s="1225"/>
      <c r="E133" s="1225"/>
      <c r="F133" s="1225"/>
      <c r="G133" s="1225"/>
      <c r="H133" s="1225"/>
      <c r="I133" s="1226"/>
    </row>
    <row r="134" spans="1:9" s="64" customFormat="1" ht="20.65" customHeight="1">
      <c r="A134" s="66" t="s">
        <v>726</v>
      </c>
      <c r="B134" s="102" t="s">
        <v>810</v>
      </c>
      <c r="C134" s="56" t="s">
        <v>728</v>
      </c>
      <c r="D134" s="102" t="s">
        <v>811</v>
      </c>
      <c r="E134" s="102"/>
      <c r="F134" s="102"/>
      <c r="G134" s="102"/>
      <c r="H134" s="102"/>
      <c r="I134" s="60"/>
    </row>
    <row r="135" spans="1:9" s="64" customFormat="1" ht="20.65" customHeight="1">
      <c r="A135" s="66" t="s">
        <v>730</v>
      </c>
      <c r="B135" s="1220"/>
      <c r="C135" s="1220"/>
      <c r="D135" s="1220"/>
      <c r="E135" s="1220"/>
      <c r="F135" s="1220"/>
      <c r="G135" s="1220"/>
      <c r="H135" s="67"/>
      <c r="I135" s="60"/>
    </row>
    <row r="136" spans="1:9" s="64" customFormat="1" ht="20.65" customHeight="1">
      <c r="A136" s="66" t="s">
        <v>732</v>
      </c>
      <c r="B136" s="1221" t="s">
        <v>812</v>
      </c>
      <c r="C136" s="1221"/>
      <c r="D136" s="1221"/>
      <c r="E136" s="1221"/>
      <c r="F136" s="1221"/>
      <c r="G136" s="1221"/>
      <c r="H136" s="67"/>
      <c r="I136" s="60"/>
    </row>
    <row r="137" spans="1:9" s="64" customFormat="1" ht="20.65" customHeight="1">
      <c r="A137" s="66" t="s">
        <v>734</v>
      </c>
      <c r="B137" s="1221">
        <f>B36</f>
        <v>0</v>
      </c>
      <c r="C137" s="1221"/>
      <c r="D137" s="1221"/>
      <c r="E137" s="1221"/>
      <c r="F137" s="1221"/>
      <c r="G137" s="1221"/>
      <c r="H137" s="67"/>
      <c r="I137" s="60"/>
    </row>
    <row r="138" spans="1:9" s="64" customFormat="1" ht="6" customHeight="1" thickBot="1">
      <c r="A138" s="49"/>
      <c r="B138" s="61"/>
      <c r="C138" s="62"/>
      <c r="D138" s="62"/>
      <c r="E138" s="62"/>
      <c r="F138" s="62"/>
      <c r="G138" s="62"/>
      <c r="H138" s="62"/>
      <c r="I138" s="63"/>
    </row>
    <row r="139" spans="1:9" s="64" customFormat="1" ht="20.65" customHeight="1" thickBot="1">
      <c r="A139" s="58" t="s">
        <v>735</v>
      </c>
      <c r="B139" s="1223" t="s">
        <v>813</v>
      </c>
      <c r="C139" s="1223"/>
      <c r="D139" s="1223"/>
      <c r="E139" s="1223"/>
      <c r="F139" s="1223"/>
      <c r="G139" s="1223"/>
      <c r="H139" s="59"/>
      <c r="I139" s="85"/>
    </row>
    <row r="140" spans="1:9" s="64" customFormat="1" ht="20.65" customHeight="1" thickBot="1">
      <c r="A140" s="1207" t="s">
        <v>739</v>
      </c>
      <c r="B140" s="1208"/>
      <c r="C140" s="1213" t="s">
        <v>740</v>
      </c>
      <c r="D140" s="1213"/>
      <c r="E140" s="59"/>
      <c r="F140" s="1208" t="s">
        <v>741</v>
      </c>
      <c r="G140" s="1208"/>
      <c r="H140" s="1213" t="str">
        <f>H41</f>
        <v>410.537.1482</v>
      </c>
      <c r="I140" s="1222"/>
    </row>
    <row r="141" spans="1:9" s="64" customFormat="1" ht="20.65" customHeight="1" thickBot="1">
      <c r="A141" s="58" t="s">
        <v>743</v>
      </c>
      <c r="B141" s="1289" t="s">
        <v>744</v>
      </c>
      <c r="C141" s="1213"/>
      <c r="D141" s="1213"/>
      <c r="E141" s="1213"/>
      <c r="F141" s="1213"/>
      <c r="G141" s="1213"/>
      <c r="H141" s="1213"/>
      <c r="I141" s="85"/>
    </row>
    <row r="142" spans="1:9" s="64" customFormat="1" ht="24.75" customHeight="1" thickBot="1">
      <c r="A142" s="1207" t="s">
        <v>814</v>
      </c>
      <c r="B142" s="1208"/>
      <c r="C142" s="1208"/>
      <c r="D142" s="1209"/>
      <c r="E142" s="1209"/>
      <c r="F142" s="1209"/>
      <c r="G142" s="1210"/>
      <c r="H142" s="58" t="s">
        <v>815</v>
      </c>
      <c r="I142" s="103"/>
    </row>
    <row r="143" spans="1:9" s="64" customFormat="1" ht="12.6">
      <c r="A143" s="70"/>
      <c r="B143" s="70"/>
      <c r="C143" s="70"/>
      <c r="D143" s="70"/>
      <c r="E143" s="70"/>
      <c r="F143" s="70"/>
      <c r="G143" s="70"/>
      <c r="H143" s="70"/>
      <c r="I143" s="70"/>
    </row>
    <row r="144" spans="1:9" s="64" customFormat="1">
      <c r="A144" s="79" t="s">
        <v>816</v>
      </c>
      <c r="B144" s="71"/>
      <c r="I144" s="80" t="s">
        <v>817</v>
      </c>
    </row>
    <row r="145" spans="1:9">
      <c r="A145" s="80"/>
      <c r="B145" s="53"/>
      <c r="I145" s="80" t="s">
        <v>818</v>
      </c>
    </row>
    <row r="148" spans="1:9" hidden="1">
      <c r="A148" s="76" t="s">
        <v>746</v>
      </c>
      <c r="F148" s="76"/>
    </row>
    <row r="149" spans="1:9" hidden="1">
      <c r="A149" s="76"/>
      <c r="F149" s="76"/>
    </row>
    <row r="150" spans="1:9" hidden="1">
      <c r="A150" t="s">
        <v>747</v>
      </c>
    </row>
    <row r="151" spans="1:9" hidden="1">
      <c r="A151" t="s">
        <v>748</v>
      </c>
    </row>
    <row r="152" spans="1:9" hidden="1">
      <c r="A152" t="s">
        <v>749</v>
      </c>
    </row>
    <row r="153" spans="1:9" hidden="1">
      <c r="A153" t="s">
        <v>750</v>
      </c>
    </row>
    <row r="154" spans="1:9" hidden="1">
      <c r="A154" t="s">
        <v>751</v>
      </c>
    </row>
    <row r="155" spans="1:9" hidden="1">
      <c r="A155" t="s">
        <v>752</v>
      </c>
    </row>
    <row r="156" spans="1:9" hidden="1">
      <c r="A156" t="s">
        <v>753</v>
      </c>
    </row>
    <row r="157" spans="1:9" hidden="1">
      <c r="A157" t="s">
        <v>754</v>
      </c>
    </row>
    <row r="158" spans="1:9" hidden="1">
      <c r="A158" s="52" t="s">
        <v>755</v>
      </c>
    </row>
    <row r="159" spans="1:9" hidden="1">
      <c r="A159" s="52" t="s">
        <v>756</v>
      </c>
    </row>
    <row r="160" spans="1:9" hidden="1">
      <c r="A160" s="52" t="s">
        <v>757</v>
      </c>
    </row>
    <row r="161" spans="1:1" hidden="1">
      <c r="A161" t="s">
        <v>758</v>
      </c>
    </row>
    <row r="162" spans="1:1" hidden="1">
      <c r="A162" t="s">
        <v>759</v>
      </c>
    </row>
    <row r="163" spans="1:1" hidden="1">
      <c r="A163" t="s">
        <v>760</v>
      </c>
    </row>
    <row r="164" spans="1:1" hidden="1">
      <c r="A164" t="s">
        <v>761</v>
      </c>
    </row>
    <row r="165" spans="1:1" hidden="1">
      <c r="A165" t="s">
        <v>762</v>
      </c>
    </row>
    <row r="166" spans="1:1" hidden="1">
      <c r="A166" t="s">
        <v>763</v>
      </c>
    </row>
    <row r="167" spans="1:1" hidden="1">
      <c r="A167" t="s">
        <v>764</v>
      </c>
    </row>
    <row r="168" spans="1:1" hidden="1">
      <c r="A168" t="s">
        <v>765</v>
      </c>
    </row>
    <row r="169" spans="1:1" hidden="1">
      <c r="A169" t="s">
        <v>766</v>
      </c>
    </row>
    <row r="170" spans="1:1" hidden="1">
      <c r="A170" t="s">
        <v>767</v>
      </c>
    </row>
    <row r="171" spans="1:1" hidden="1">
      <c r="A171" t="s">
        <v>768</v>
      </c>
    </row>
    <row r="172" spans="1:1" hidden="1">
      <c r="A172" t="s">
        <v>769</v>
      </c>
    </row>
    <row r="173" spans="1:1" hidden="1"/>
  </sheetData>
  <mergeCells count="161">
    <mergeCell ref="A3:H3"/>
    <mergeCell ref="D9:E9"/>
    <mergeCell ref="A9:B9"/>
    <mergeCell ref="G8:I8"/>
    <mergeCell ref="D4:F4"/>
    <mergeCell ref="D5:F5"/>
    <mergeCell ref="D6:F6"/>
    <mergeCell ref="A4:C4"/>
    <mergeCell ref="B141:H141"/>
    <mergeCell ref="A10:C10"/>
    <mergeCell ref="D10:I10"/>
    <mergeCell ref="A14:B14"/>
    <mergeCell ref="A46:H46"/>
    <mergeCell ref="A43:I43"/>
    <mergeCell ref="A44:I44"/>
    <mergeCell ref="A41:B41"/>
    <mergeCell ref="A5:C5"/>
    <mergeCell ref="A40:I40"/>
    <mergeCell ref="G7:H7"/>
    <mergeCell ref="A130:I130"/>
    <mergeCell ref="A116:B116"/>
    <mergeCell ref="E123:I123"/>
    <mergeCell ref="A124:I124"/>
    <mergeCell ref="A125:I125"/>
    <mergeCell ref="A113:I113"/>
    <mergeCell ref="A115:I115"/>
    <mergeCell ref="A117:B117"/>
    <mergeCell ref="C117:D117"/>
    <mergeCell ref="C116:D116"/>
    <mergeCell ref="A127:I127"/>
    <mergeCell ref="A128:I128"/>
    <mergeCell ref="A110:I110"/>
    <mergeCell ref="A111:I111"/>
    <mergeCell ref="B112:D112"/>
    <mergeCell ref="E112:F112"/>
    <mergeCell ref="G112:I112"/>
    <mergeCell ref="B114:D114"/>
    <mergeCell ref="E114:F114"/>
    <mergeCell ref="G114:I114"/>
    <mergeCell ref="C120:D120"/>
    <mergeCell ref="E116:I122"/>
    <mergeCell ref="C118:D118"/>
    <mergeCell ref="C119:D119"/>
    <mergeCell ref="A126:I126"/>
    <mergeCell ref="C121:D121"/>
    <mergeCell ref="C122:D122"/>
    <mergeCell ref="A39:I39"/>
    <mergeCell ref="F41:G41"/>
    <mergeCell ref="B38:G38"/>
    <mergeCell ref="C72:D72"/>
    <mergeCell ref="A90:I90"/>
    <mergeCell ref="A91:I91"/>
    <mergeCell ref="B92:C92"/>
    <mergeCell ref="A96:I96"/>
    <mergeCell ref="A97:I97"/>
    <mergeCell ref="A95:I95"/>
    <mergeCell ref="B94:G94"/>
    <mergeCell ref="A77:I77"/>
    <mergeCell ref="A75:I75"/>
    <mergeCell ref="A73:I73"/>
    <mergeCell ref="B42:G42"/>
    <mergeCell ref="C41:D41"/>
    <mergeCell ref="H41:I41"/>
    <mergeCell ref="B83:C83"/>
    <mergeCell ref="A87:I87"/>
    <mergeCell ref="A88:I88"/>
    <mergeCell ref="B86:C86"/>
    <mergeCell ref="A82:I82"/>
    <mergeCell ref="B89:G89"/>
    <mergeCell ref="A25:B25"/>
    <mergeCell ref="A26:B26"/>
    <mergeCell ref="C23:H23"/>
    <mergeCell ref="C24:H24"/>
    <mergeCell ref="C25:H25"/>
    <mergeCell ref="C26:H26"/>
    <mergeCell ref="B36:G36"/>
    <mergeCell ref="A32:I32"/>
    <mergeCell ref="D33:H33"/>
    <mergeCell ref="A29:I29"/>
    <mergeCell ref="A30:E30"/>
    <mergeCell ref="A31:E31"/>
    <mergeCell ref="F30:I30"/>
    <mergeCell ref="F31:I31"/>
    <mergeCell ref="B35:G35"/>
    <mergeCell ref="G4:I5"/>
    <mergeCell ref="G6:H6"/>
    <mergeCell ref="B34:G34"/>
    <mergeCell ref="F11:I11"/>
    <mergeCell ref="F12:I12"/>
    <mergeCell ref="A16:B16"/>
    <mergeCell ref="C16:I16"/>
    <mergeCell ref="A13:I13"/>
    <mergeCell ref="A11:E11"/>
    <mergeCell ref="A12:E12"/>
    <mergeCell ref="A6:C6"/>
    <mergeCell ref="A7:C7"/>
    <mergeCell ref="A8:C8"/>
    <mergeCell ref="D7:F7"/>
    <mergeCell ref="D8:F8"/>
    <mergeCell ref="A17:E17"/>
    <mergeCell ref="A18:E18"/>
    <mergeCell ref="F17:I17"/>
    <mergeCell ref="F18:I18"/>
    <mergeCell ref="A19:I19"/>
    <mergeCell ref="A20:B20"/>
    <mergeCell ref="A21:B21"/>
    <mergeCell ref="A22:B22"/>
    <mergeCell ref="C20:H20"/>
    <mergeCell ref="A15:I15"/>
    <mergeCell ref="H14:I14"/>
    <mergeCell ref="A118:B118"/>
    <mergeCell ref="A72:B72"/>
    <mergeCell ref="A74:B74"/>
    <mergeCell ref="A45:I45"/>
    <mergeCell ref="C74:D74"/>
    <mergeCell ref="A71:I71"/>
    <mergeCell ref="A76:I76"/>
    <mergeCell ref="A93:I93"/>
    <mergeCell ref="C14:D14"/>
    <mergeCell ref="E14:G14"/>
    <mergeCell ref="C21:H21"/>
    <mergeCell ref="C22:H22"/>
    <mergeCell ref="A27:B27"/>
    <mergeCell ref="C27:H27"/>
    <mergeCell ref="A23:B23"/>
    <mergeCell ref="A24:B24"/>
    <mergeCell ref="A78:I78"/>
    <mergeCell ref="A79:I79"/>
    <mergeCell ref="A80:I80"/>
    <mergeCell ref="B81:C81"/>
    <mergeCell ref="A84:I84"/>
    <mergeCell ref="A85:I85"/>
    <mergeCell ref="A142:C142"/>
    <mergeCell ref="D142:G142"/>
    <mergeCell ref="A119:B119"/>
    <mergeCell ref="A122:B122"/>
    <mergeCell ref="C140:D140"/>
    <mergeCell ref="A121:B121"/>
    <mergeCell ref="A120:B120"/>
    <mergeCell ref="A131:I131"/>
    <mergeCell ref="A132:I132"/>
    <mergeCell ref="A140:B140"/>
    <mergeCell ref="F140:G140"/>
    <mergeCell ref="B135:G135"/>
    <mergeCell ref="B136:G136"/>
    <mergeCell ref="B137:G137"/>
    <mergeCell ref="H140:I140"/>
    <mergeCell ref="B139:G139"/>
    <mergeCell ref="A133:I133"/>
    <mergeCell ref="A107:I107"/>
    <mergeCell ref="A108:I108"/>
    <mergeCell ref="A109:I109"/>
    <mergeCell ref="A98:I98"/>
    <mergeCell ref="A99:I99"/>
    <mergeCell ref="A100:I100"/>
    <mergeCell ref="A101:I101"/>
    <mergeCell ref="A102:I102"/>
    <mergeCell ref="A103:I103"/>
    <mergeCell ref="A104:I104"/>
    <mergeCell ref="A105:I105"/>
    <mergeCell ref="A106:I106"/>
  </mergeCells>
  <phoneticPr fontId="28" type="noConversion"/>
  <conditionalFormatting sqref="B134:B137 B139 C140 H140">
    <cfRule type="cellIs" dxfId="6" priority="2" operator="equal">
      <formula>0</formula>
    </cfRule>
  </conditionalFormatting>
  <conditionalFormatting sqref="D134:H134">
    <cfRule type="cellIs" dxfId="5" priority="1" operator="equal">
      <formula>0</formula>
    </cfRule>
  </conditionalFormatting>
  <hyperlinks>
    <hyperlink ref="B141" r:id="rId1" display="proposal@jhpiego.net" xr:uid="{00000000-0004-0000-1100-000000000000}"/>
    <hyperlink ref="B42" r:id="rId2" display="proposal@jhpiego.net" xr:uid="{00000000-0004-0000-1100-000001000000}"/>
    <hyperlink ref="B42:G42" r:id="rId3" display="proposal@jhpiego.org" xr:uid="{00000000-0004-0000-1100-000002000000}"/>
  </hyperlinks>
  <printOptions horizontalCentered="1" verticalCentered="1"/>
  <pageMargins left="0.25" right="0.25" top="0.25" bottom="0.25" header="0.5" footer="0.5"/>
  <pageSetup scale="95" fitToHeight="0" orientation="portrait" r:id="rId4"/>
  <headerFooter alignWithMargins="0"/>
  <rowBreaks count="2" manualBreakCount="2">
    <brk id="43" max="16383" man="1"/>
    <brk id="107" max="16383" man="1"/>
  </rowBreaks>
  <drawing r:id="rId5"/>
  <tableParts count="2">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pageSetUpPr fitToPage="1"/>
  </sheetPr>
  <dimension ref="A1:M61"/>
  <sheetViews>
    <sheetView zoomScaleNormal="100" zoomScaleSheetLayoutView="85" workbookViewId="0">
      <selection activeCell="B136" sqref="B136:G136"/>
    </sheetView>
  </sheetViews>
  <sheetFormatPr defaultColWidth="8.71875" defaultRowHeight="12.3"/>
  <cols>
    <col min="1" max="1" width="2.71875" style="38" customWidth="1"/>
    <col min="2" max="2" width="18" style="38" customWidth="1"/>
    <col min="3" max="3" width="20" style="38" customWidth="1"/>
    <col min="4" max="4" width="2.27734375" style="38" customWidth="1"/>
    <col min="5" max="5" width="14.44140625" style="38" customWidth="1"/>
    <col min="6" max="6" width="2.27734375" style="38" customWidth="1"/>
    <col min="7" max="7" width="14.27734375" style="38" customWidth="1"/>
    <col min="8" max="8" width="2" style="38" customWidth="1"/>
    <col min="9" max="9" width="14.44140625" style="38" customWidth="1"/>
    <col min="10" max="10" width="2.27734375" style="38" customWidth="1"/>
    <col min="11" max="11" width="14.44140625" style="38" customWidth="1"/>
    <col min="12" max="12" width="2.27734375" style="38" customWidth="1"/>
    <col min="13" max="13" width="14.44140625" style="38" customWidth="1"/>
    <col min="14" max="14" width="2.71875" customWidth="1"/>
    <col min="15" max="15" width="5.27734375" customWidth="1"/>
  </cols>
  <sheetData>
    <row r="1" spans="1:13" ht="11.25" customHeight="1">
      <c r="A1" s="205"/>
      <c r="B1" s="206"/>
      <c r="C1" s="207"/>
      <c r="D1" s="207"/>
      <c r="E1" s="207"/>
      <c r="F1" s="207"/>
      <c r="G1" s="207"/>
      <c r="H1" s="207"/>
      <c r="I1" s="207"/>
      <c r="J1" s="207"/>
      <c r="K1" s="1297" t="s">
        <v>819</v>
      </c>
      <c r="L1" s="1297"/>
      <c r="M1" s="1298"/>
    </row>
    <row r="2" spans="1:13" ht="18" customHeight="1">
      <c r="A2" s="1299" t="s">
        <v>820</v>
      </c>
      <c r="B2" s="1300"/>
      <c r="C2" s="1300"/>
      <c r="D2" s="1300"/>
      <c r="E2" s="1300"/>
      <c r="F2" s="1300"/>
      <c r="G2" s="1300"/>
      <c r="H2" s="1300"/>
      <c r="I2" s="1300"/>
      <c r="J2" s="1300"/>
      <c r="K2" s="1325" t="s">
        <v>821</v>
      </c>
      <c r="L2" s="1325"/>
      <c r="M2" s="1326"/>
    </row>
    <row r="3" spans="1:13" ht="12" customHeight="1">
      <c r="A3" s="208"/>
      <c r="B3" s="209"/>
      <c r="C3" s="210"/>
      <c r="D3" s="210"/>
      <c r="E3" s="210"/>
      <c r="F3" s="210"/>
      <c r="G3" s="210"/>
      <c r="H3" s="210"/>
      <c r="I3" s="210"/>
      <c r="J3" s="210"/>
      <c r="K3" s="210"/>
      <c r="L3" s="210"/>
      <c r="M3" s="211"/>
    </row>
    <row r="4" spans="1:13" ht="20.25" customHeight="1">
      <c r="A4" s="212" t="s">
        <v>822</v>
      </c>
      <c r="B4" s="213"/>
      <c r="C4" s="213"/>
      <c r="D4" s="213"/>
      <c r="E4" s="213"/>
      <c r="F4" s="213"/>
      <c r="G4" s="213"/>
      <c r="H4" s="213"/>
      <c r="I4" s="213"/>
      <c r="J4" s="213"/>
      <c r="K4" s="213"/>
      <c r="L4" s="213"/>
      <c r="M4" s="214"/>
    </row>
    <row r="5" spans="1:13" ht="24.75" customHeight="1">
      <c r="A5" s="1307" t="s">
        <v>823</v>
      </c>
      <c r="B5" s="1308"/>
      <c r="C5" s="1311" t="s">
        <v>824</v>
      </c>
      <c r="D5" s="1313" t="s">
        <v>825</v>
      </c>
      <c r="E5" s="1314"/>
      <c r="F5" s="1314"/>
      <c r="G5" s="1315"/>
      <c r="H5" s="1313" t="s">
        <v>826</v>
      </c>
      <c r="I5" s="1314"/>
      <c r="J5" s="1314"/>
      <c r="K5" s="1314"/>
      <c r="L5" s="1314"/>
      <c r="M5" s="1315"/>
    </row>
    <row r="6" spans="1:13">
      <c r="A6" s="1309"/>
      <c r="B6" s="1310"/>
      <c r="C6" s="1312"/>
      <c r="D6" s="215" t="s">
        <v>827</v>
      </c>
      <c r="E6" s="216"/>
      <c r="F6" s="215" t="s">
        <v>828</v>
      </c>
      <c r="G6" s="216"/>
      <c r="H6" s="215" t="s">
        <v>827</v>
      </c>
      <c r="I6" s="216"/>
      <c r="J6" s="215" t="s">
        <v>828</v>
      </c>
      <c r="K6" s="216"/>
      <c r="L6" s="215" t="s">
        <v>71</v>
      </c>
      <c r="M6" s="217"/>
    </row>
    <row r="7" spans="1:13" ht="12" customHeight="1">
      <c r="A7" s="218" t="s">
        <v>829</v>
      </c>
      <c r="B7" s="219"/>
      <c r="C7" s="220" t="s">
        <v>830</v>
      </c>
      <c r="D7" s="218" t="s">
        <v>831</v>
      </c>
      <c r="E7" s="219"/>
      <c r="F7" s="218" t="s">
        <v>832</v>
      </c>
      <c r="G7" s="219"/>
      <c r="H7" s="218" t="s">
        <v>833</v>
      </c>
      <c r="I7" s="219"/>
      <c r="J7" s="218" t="s">
        <v>834</v>
      </c>
      <c r="K7" s="219"/>
      <c r="L7" s="218" t="s">
        <v>835</v>
      </c>
      <c r="M7" s="221"/>
    </row>
    <row r="8" spans="1:13" ht="85.15" customHeight="1">
      <c r="A8" s="222" t="s">
        <v>836</v>
      </c>
      <c r="B8" s="223"/>
      <c r="C8" s="224" t="s">
        <v>837</v>
      </c>
      <c r="D8" s="225"/>
      <c r="E8" s="226">
        <v>0</v>
      </c>
      <c r="F8" s="227"/>
      <c r="G8" s="226">
        <v>0</v>
      </c>
      <c r="H8" s="227"/>
      <c r="I8" s="228" t="e">
        <f>#REF!</f>
        <v>#REF!</v>
      </c>
      <c r="J8" s="225"/>
      <c r="K8" s="229">
        <v>0</v>
      </c>
      <c r="L8" s="230"/>
      <c r="M8" s="231" t="e">
        <f>SUM(E8:K8)</f>
        <v>#REF!</v>
      </c>
    </row>
    <row r="9" spans="1:13" ht="85.15" customHeight="1">
      <c r="A9" s="222" t="s">
        <v>838</v>
      </c>
      <c r="B9" s="232"/>
      <c r="C9" s="224"/>
      <c r="D9" s="230"/>
      <c r="E9" s="233"/>
      <c r="F9" s="230"/>
      <c r="G9" s="233"/>
      <c r="H9" s="230"/>
      <c r="I9" s="233" t="s">
        <v>407</v>
      </c>
      <c r="J9" s="230"/>
      <c r="K9" s="234" t="s">
        <v>407</v>
      </c>
      <c r="L9" s="230"/>
      <c r="M9" s="231">
        <f>SUM(E9:K9)</f>
        <v>0</v>
      </c>
    </row>
    <row r="10" spans="1:13" ht="85.15" customHeight="1">
      <c r="A10" s="222" t="s">
        <v>839</v>
      </c>
      <c r="B10" s="232"/>
      <c r="C10" s="230"/>
      <c r="D10" s="230"/>
      <c r="E10" s="233"/>
      <c r="F10" s="230"/>
      <c r="G10" s="233"/>
      <c r="H10" s="230"/>
      <c r="I10" s="233" t="s">
        <v>407</v>
      </c>
      <c r="J10" s="230"/>
      <c r="K10" s="234" t="s">
        <v>407</v>
      </c>
      <c r="L10" s="230"/>
      <c r="M10" s="231">
        <f>SUM(E10:K10)</f>
        <v>0</v>
      </c>
    </row>
    <row r="11" spans="1:13" ht="85.15" customHeight="1">
      <c r="A11" s="222" t="s">
        <v>840</v>
      </c>
      <c r="B11" s="232"/>
      <c r="C11" s="230"/>
      <c r="D11" s="230"/>
      <c r="E11" s="233"/>
      <c r="F11" s="230"/>
      <c r="G11" s="233"/>
      <c r="H11" s="230"/>
      <c r="I11" s="233" t="s">
        <v>407</v>
      </c>
      <c r="J11" s="230"/>
      <c r="K11" s="234" t="s">
        <v>407</v>
      </c>
      <c r="L11" s="230"/>
      <c r="M11" s="231">
        <f>SUM(E11:K11)</f>
        <v>0</v>
      </c>
    </row>
    <row r="12" spans="1:13" ht="20.25" customHeight="1">
      <c r="A12" s="222" t="s">
        <v>841</v>
      </c>
      <c r="B12" s="222"/>
      <c r="C12" s="230" t="s">
        <v>407</v>
      </c>
      <c r="D12" s="230"/>
      <c r="E12" s="233">
        <f>SUM(E8:E11)</f>
        <v>0</v>
      </c>
      <c r="F12" s="230"/>
      <c r="G12" s="233">
        <f>SUM(G8:G11)</f>
        <v>0</v>
      </c>
      <c r="H12" s="230"/>
      <c r="I12" s="226" t="e">
        <f>SUM(I8:I11)</f>
        <v>#REF!</v>
      </c>
      <c r="J12" s="230"/>
      <c r="K12" s="226">
        <f>SUM(K8:K11)</f>
        <v>0</v>
      </c>
      <c r="L12" s="230"/>
      <c r="M12" s="231" t="e">
        <f>SUM(M8:M11)</f>
        <v>#REF!</v>
      </c>
    </row>
    <row r="13" spans="1:13" s="1" customFormat="1" ht="12" customHeight="1">
      <c r="A13" s="206"/>
      <c r="B13" s="206"/>
      <c r="C13" s="206"/>
      <c r="D13" s="206"/>
      <c r="E13" s="206"/>
      <c r="F13" s="206"/>
      <c r="G13" s="235"/>
      <c r="H13" s="206"/>
      <c r="I13" s="206"/>
      <c r="J13" s="206"/>
      <c r="K13" s="1297" t="s">
        <v>842</v>
      </c>
      <c r="L13" s="1297"/>
      <c r="M13" s="1297"/>
    </row>
    <row r="14" spans="1:13" s="1" customFormat="1" ht="12" customHeight="1">
      <c r="A14" s="236"/>
      <c r="B14" s="236"/>
      <c r="C14" s="236"/>
      <c r="D14" s="236"/>
      <c r="E14" s="236"/>
      <c r="F14" s="236"/>
      <c r="G14" s="237"/>
      <c r="H14" s="236"/>
      <c r="I14" s="236"/>
      <c r="J14" s="236"/>
      <c r="K14" s="1318" t="s">
        <v>843</v>
      </c>
      <c r="L14" s="1318"/>
      <c r="M14" s="1318"/>
    </row>
    <row r="15" spans="1:13" ht="20.25" customHeight="1">
      <c r="A15" s="238" t="s">
        <v>844</v>
      </c>
      <c r="B15" s="239"/>
      <c r="C15" s="239"/>
      <c r="D15" s="239"/>
      <c r="E15" s="239"/>
      <c r="F15" s="239"/>
      <c r="G15" s="239"/>
      <c r="H15" s="239"/>
      <c r="I15" s="239"/>
      <c r="J15" s="239"/>
      <c r="K15" s="239"/>
      <c r="L15" s="239"/>
      <c r="M15" s="240"/>
    </row>
    <row r="16" spans="1:13" ht="12" customHeight="1">
      <c r="A16" s="241"/>
      <c r="B16" s="236"/>
      <c r="C16" s="236"/>
      <c r="D16" s="242" t="s">
        <v>845</v>
      </c>
      <c r="E16" s="243"/>
      <c r="F16" s="243"/>
      <c r="G16" s="243"/>
      <c r="H16" s="244"/>
      <c r="I16" s="244"/>
      <c r="J16" s="244"/>
      <c r="K16" s="245"/>
      <c r="L16" s="246" t="s">
        <v>71</v>
      </c>
      <c r="M16" s="247"/>
    </row>
    <row r="17" spans="1:13" ht="75" customHeight="1">
      <c r="A17" s="248" t="s">
        <v>846</v>
      </c>
      <c r="B17" s="249"/>
      <c r="C17" s="250"/>
      <c r="D17" s="251" t="s">
        <v>847</v>
      </c>
      <c r="E17" s="252">
        <f>$B$8</f>
        <v>0</v>
      </c>
      <c r="F17" s="251" t="s">
        <v>848</v>
      </c>
      <c r="G17" s="253">
        <f>$B$9</f>
        <v>0</v>
      </c>
      <c r="H17" s="251" t="s">
        <v>849</v>
      </c>
      <c r="I17" s="253">
        <f>$B$10</f>
        <v>0</v>
      </c>
      <c r="J17" s="251" t="s">
        <v>850</v>
      </c>
      <c r="K17" s="254">
        <f>$B$11</f>
        <v>0</v>
      </c>
      <c r="L17" s="255" t="s">
        <v>851</v>
      </c>
      <c r="M17" s="256"/>
    </row>
    <row r="18" spans="1:13" ht="30" customHeight="1">
      <c r="A18" s="257" t="s">
        <v>852</v>
      </c>
      <c r="B18" s="258" t="s">
        <v>853</v>
      </c>
      <c r="C18" s="259"/>
      <c r="D18" s="225"/>
      <c r="E18" s="233" t="e">
        <f>#REF!</f>
        <v>#REF!</v>
      </c>
      <c r="F18" s="225"/>
      <c r="G18" s="233"/>
      <c r="H18" s="225"/>
      <c r="I18" s="233"/>
      <c r="J18" s="225"/>
      <c r="K18" s="233"/>
      <c r="L18" s="230"/>
      <c r="M18" s="260" t="e">
        <f>SUM(E18:K18)</f>
        <v>#REF!</v>
      </c>
    </row>
    <row r="19" spans="1:13" ht="30" customHeight="1">
      <c r="A19" s="257"/>
      <c r="B19" s="258" t="s">
        <v>854</v>
      </c>
      <c r="C19" s="259"/>
      <c r="D19" s="230"/>
      <c r="E19" s="233" t="e">
        <f>#REF!</f>
        <v>#REF!</v>
      </c>
      <c r="F19" s="230" t="s">
        <v>407</v>
      </c>
      <c r="G19" s="233"/>
      <c r="H19" s="230"/>
      <c r="I19" s="233"/>
      <c r="J19" s="230"/>
      <c r="K19" s="233"/>
      <c r="L19" s="230"/>
      <c r="M19" s="260" t="e">
        <f t="shared" ref="M19:M28" si="0">SUM(E19:K19)</f>
        <v>#REF!</v>
      </c>
    </row>
    <row r="20" spans="1:13" ht="30" customHeight="1">
      <c r="A20" s="257"/>
      <c r="B20" s="258" t="s">
        <v>855</v>
      </c>
      <c r="C20" s="259"/>
      <c r="D20" s="230"/>
      <c r="E20" s="233" t="e">
        <f>#REF!</f>
        <v>#REF!</v>
      </c>
      <c r="F20" s="230" t="s">
        <v>407</v>
      </c>
      <c r="G20" s="233"/>
      <c r="H20" s="230"/>
      <c r="I20" s="233"/>
      <c r="J20" s="230"/>
      <c r="K20" s="233"/>
      <c r="L20" s="230"/>
      <c r="M20" s="260" t="e">
        <f t="shared" si="0"/>
        <v>#REF!</v>
      </c>
    </row>
    <row r="21" spans="1:13" ht="30" customHeight="1">
      <c r="A21" s="257"/>
      <c r="B21" s="258" t="s">
        <v>856</v>
      </c>
      <c r="C21" s="259"/>
      <c r="D21" s="230"/>
      <c r="E21" s="233" t="e">
        <f>#REF!</f>
        <v>#REF!</v>
      </c>
      <c r="F21" s="230" t="s">
        <v>407</v>
      </c>
      <c r="G21" s="233"/>
      <c r="H21" s="230"/>
      <c r="I21" s="233"/>
      <c r="J21" s="230"/>
      <c r="K21" s="233"/>
      <c r="L21" s="230"/>
      <c r="M21" s="260" t="e">
        <f t="shared" si="0"/>
        <v>#REF!</v>
      </c>
    </row>
    <row r="22" spans="1:13" ht="30" customHeight="1">
      <c r="A22" s="257"/>
      <c r="B22" s="258" t="s">
        <v>857</v>
      </c>
      <c r="C22" s="259"/>
      <c r="D22" s="230"/>
      <c r="E22" s="233" t="e">
        <f>#REF!</f>
        <v>#REF!</v>
      </c>
      <c r="F22" s="230" t="s">
        <v>407</v>
      </c>
      <c r="G22" s="233"/>
      <c r="H22" s="230"/>
      <c r="I22" s="233"/>
      <c r="J22" s="230"/>
      <c r="K22" s="233"/>
      <c r="L22" s="230"/>
      <c r="M22" s="260" t="e">
        <f t="shared" si="0"/>
        <v>#REF!</v>
      </c>
    </row>
    <row r="23" spans="1:13" ht="30" customHeight="1">
      <c r="A23" s="257"/>
      <c r="B23" s="258" t="s">
        <v>858</v>
      </c>
      <c r="C23" s="259"/>
      <c r="D23" s="230"/>
      <c r="E23" s="233" t="e">
        <f>#REF!</f>
        <v>#REF!</v>
      </c>
      <c r="F23" s="230" t="s">
        <v>407</v>
      </c>
      <c r="G23" s="233"/>
      <c r="H23" s="230"/>
      <c r="I23" s="233"/>
      <c r="J23" s="230"/>
      <c r="K23" s="233"/>
      <c r="L23" s="230"/>
      <c r="M23" s="260" t="e">
        <f t="shared" si="0"/>
        <v>#REF!</v>
      </c>
    </row>
    <row r="24" spans="1:13" ht="30" customHeight="1">
      <c r="A24" s="257"/>
      <c r="B24" s="258" t="s">
        <v>859</v>
      </c>
      <c r="C24" s="259"/>
      <c r="D24" s="230"/>
      <c r="E24" s="233"/>
      <c r="F24" s="230" t="s">
        <v>407</v>
      </c>
      <c r="G24" s="233"/>
      <c r="H24" s="230"/>
      <c r="I24" s="233"/>
      <c r="J24" s="230"/>
      <c r="K24" s="233"/>
      <c r="L24" s="230"/>
      <c r="M24" s="260">
        <f t="shared" si="0"/>
        <v>0</v>
      </c>
    </row>
    <row r="25" spans="1:13" ht="30" customHeight="1">
      <c r="A25" s="257"/>
      <c r="B25" s="258" t="s">
        <v>860</v>
      </c>
      <c r="C25" s="259"/>
      <c r="D25" s="230"/>
      <c r="E25" s="233" t="e">
        <f>#REF!</f>
        <v>#REF!</v>
      </c>
      <c r="F25" s="230" t="s">
        <v>407</v>
      </c>
      <c r="G25" s="233"/>
      <c r="H25" s="230"/>
      <c r="I25" s="233"/>
      <c r="J25" s="230"/>
      <c r="K25" s="233"/>
      <c r="L25" s="230"/>
      <c r="M25" s="260" t="e">
        <f t="shared" si="0"/>
        <v>#REF!</v>
      </c>
    </row>
    <row r="26" spans="1:13" ht="30" customHeight="1">
      <c r="A26" s="257"/>
      <c r="B26" s="258" t="s">
        <v>861</v>
      </c>
      <c r="C26" s="261"/>
      <c r="D26" s="230"/>
      <c r="E26" s="233" t="e">
        <f>SUM(E18:E25)</f>
        <v>#REF!</v>
      </c>
      <c r="F26" s="230" t="s">
        <v>407</v>
      </c>
      <c r="G26" s="233"/>
      <c r="H26" s="230" t="s">
        <v>407</v>
      </c>
      <c r="I26" s="233"/>
      <c r="J26" s="230" t="s">
        <v>407</v>
      </c>
      <c r="K26" s="233"/>
      <c r="L26" s="230"/>
      <c r="M26" s="260" t="e">
        <f t="shared" si="0"/>
        <v>#REF!</v>
      </c>
    </row>
    <row r="27" spans="1:13" ht="30" customHeight="1">
      <c r="A27" s="257"/>
      <c r="B27" s="258" t="s">
        <v>862</v>
      </c>
      <c r="C27" s="259"/>
      <c r="D27" s="230"/>
      <c r="E27" s="233" t="e">
        <f>#REF!</f>
        <v>#REF!</v>
      </c>
      <c r="F27" s="230" t="s">
        <v>407</v>
      </c>
      <c r="G27" s="233"/>
      <c r="H27" s="230" t="s">
        <v>407</v>
      </c>
      <c r="I27" s="233"/>
      <c r="J27" s="230" t="s">
        <v>407</v>
      </c>
      <c r="K27" s="233"/>
      <c r="L27" s="230"/>
      <c r="M27" s="260" t="e">
        <f t="shared" si="0"/>
        <v>#REF!</v>
      </c>
    </row>
    <row r="28" spans="1:13" ht="30" customHeight="1">
      <c r="A28" s="257"/>
      <c r="B28" s="258" t="s">
        <v>863</v>
      </c>
      <c r="C28" s="259"/>
      <c r="D28" s="230"/>
      <c r="E28" s="233" t="e">
        <f>SUM(E26:E27)</f>
        <v>#REF!</v>
      </c>
      <c r="F28" s="230" t="s">
        <v>407</v>
      </c>
      <c r="G28" s="233"/>
      <c r="H28" s="230" t="s">
        <v>407</v>
      </c>
      <c r="I28" s="233"/>
      <c r="J28" s="230" t="s">
        <v>407</v>
      </c>
      <c r="K28" s="233"/>
      <c r="L28" s="230"/>
      <c r="M28" s="260" t="e">
        <f t="shared" si="0"/>
        <v>#REF!</v>
      </c>
    </row>
    <row r="29" spans="1:13" ht="12" customHeight="1">
      <c r="A29" s="262" t="s">
        <v>407</v>
      </c>
      <c r="B29" s="263"/>
      <c r="C29" s="263"/>
      <c r="D29" s="263"/>
      <c r="E29" s="263"/>
      <c r="F29" s="263"/>
      <c r="G29" s="263"/>
      <c r="H29" s="263"/>
      <c r="I29" s="263"/>
      <c r="J29" s="263"/>
      <c r="K29" s="263"/>
      <c r="L29" s="263"/>
      <c r="M29" s="264"/>
    </row>
    <row r="30" spans="1:13" ht="30" customHeight="1">
      <c r="A30" s="257" t="s">
        <v>864</v>
      </c>
      <c r="B30" s="258"/>
      <c r="C30" s="259"/>
      <c r="D30" s="265"/>
      <c r="E30" s="234">
        <v>0</v>
      </c>
      <c r="F30" s="230"/>
      <c r="G30" s="233">
        <v>0</v>
      </c>
      <c r="H30" s="230"/>
      <c r="I30" s="233">
        <v>0</v>
      </c>
      <c r="J30" s="230"/>
      <c r="K30" s="233">
        <v>0</v>
      </c>
      <c r="L30" s="230"/>
      <c r="M30" s="231">
        <v>0</v>
      </c>
    </row>
    <row r="31" spans="1:13" ht="12" customHeight="1">
      <c r="A31" s="206"/>
      <c r="B31" s="206"/>
      <c r="C31" s="206"/>
      <c r="D31" s="206"/>
      <c r="E31" s="206"/>
      <c r="F31" s="206"/>
      <c r="G31" s="235" t="s">
        <v>816</v>
      </c>
      <c r="H31" s="206"/>
      <c r="I31" s="206"/>
      <c r="J31" s="206"/>
      <c r="K31" s="1297" t="s">
        <v>842</v>
      </c>
      <c r="L31" s="1297"/>
      <c r="M31" s="1297"/>
    </row>
    <row r="32" spans="1:13" ht="12" customHeight="1">
      <c r="A32" s="236"/>
      <c r="B32" s="236"/>
      <c r="C32" s="236"/>
      <c r="D32" s="236"/>
      <c r="E32" s="236"/>
      <c r="F32" s="236"/>
      <c r="G32" s="237"/>
      <c r="H32" s="236"/>
      <c r="I32" s="236"/>
      <c r="J32" s="236"/>
      <c r="K32" s="1318" t="s">
        <v>865</v>
      </c>
      <c r="L32" s="1318"/>
      <c r="M32" s="1318"/>
    </row>
    <row r="33" spans="1:13" ht="12" customHeight="1">
      <c r="A33" s="37"/>
      <c r="B33" s="37"/>
      <c r="C33" s="37"/>
      <c r="D33" s="37"/>
      <c r="E33" s="37"/>
      <c r="F33" s="37"/>
      <c r="G33" s="91"/>
      <c r="H33" s="37"/>
      <c r="I33" s="37"/>
      <c r="J33" s="37"/>
      <c r="K33" s="90"/>
      <c r="L33" s="90"/>
      <c r="M33" s="90"/>
    </row>
    <row r="34" spans="1:13" s="64" customFormat="1" ht="20.25" customHeight="1">
      <c r="A34" s="267" t="s">
        <v>866</v>
      </c>
      <c r="B34" s="268"/>
      <c r="C34" s="268"/>
      <c r="D34" s="268"/>
      <c r="E34" s="268"/>
      <c r="F34" s="268"/>
      <c r="G34" s="268"/>
      <c r="H34" s="268"/>
      <c r="I34" s="268"/>
      <c r="J34" s="268"/>
      <c r="K34" s="268"/>
      <c r="L34" s="268"/>
      <c r="M34" s="269"/>
    </row>
    <row r="35" spans="1:13" ht="12" customHeight="1">
      <c r="A35" s="270" t="s">
        <v>867</v>
      </c>
      <c r="B35" s="270"/>
      <c r="C35" s="271"/>
      <c r="D35" s="271"/>
      <c r="E35" s="271"/>
      <c r="F35" s="270" t="s">
        <v>868</v>
      </c>
      <c r="G35" s="270"/>
      <c r="H35" s="270" t="s">
        <v>869</v>
      </c>
      <c r="I35" s="270"/>
      <c r="J35" s="270" t="s">
        <v>870</v>
      </c>
      <c r="K35" s="270"/>
      <c r="L35" s="272" t="s">
        <v>871</v>
      </c>
      <c r="M35" s="272"/>
    </row>
    <row r="36" spans="1:13" ht="24" customHeight="1">
      <c r="A36" s="273" t="s">
        <v>872</v>
      </c>
      <c r="B36" s="1323">
        <f>B8</f>
        <v>0</v>
      </c>
      <c r="C36" s="1323"/>
      <c r="D36" s="1323"/>
      <c r="E36" s="1324"/>
      <c r="F36" s="265"/>
      <c r="G36" s="233"/>
      <c r="H36" s="230"/>
      <c r="I36" s="233"/>
      <c r="J36" s="230"/>
      <c r="K36" s="233"/>
      <c r="L36" s="230"/>
      <c r="M36" s="231">
        <f>SUM(D36:K36)</f>
        <v>0</v>
      </c>
    </row>
    <row r="37" spans="1:13" ht="24" customHeight="1">
      <c r="A37" s="273" t="s">
        <v>873</v>
      </c>
      <c r="B37" s="1323">
        <f>B9</f>
        <v>0</v>
      </c>
      <c r="C37" s="1323"/>
      <c r="D37" s="1323"/>
      <c r="E37" s="1324"/>
      <c r="F37" s="265"/>
      <c r="G37" s="233"/>
      <c r="H37" s="230"/>
      <c r="I37" s="233"/>
      <c r="J37" s="230"/>
      <c r="K37" s="233"/>
      <c r="L37" s="230"/>
      <c r="M37" s="231">
        <f>SUM(D37:K37)</f>
        <v>0</v>
      </c>
    </row>
    <row r="38" spans="1:13" ht="24" customHeight="1">
      <c r="A38" s="273" t="s">
        <v>874</v>
      </c>
      <c r="B38" s="1323">
        <f>B10</f>
        <v>0</v>
      </c>
      <c r="C38" s="1323"/>
      <c r="D38" s="1323"/>
      <c r="E38" s="1324"/>
      <c r="F38" s="265"/>
      <c r="G38" s="233"/>
      <c r="H38" s="230"/>
      <c r="I38" s="233"/>
      <c r="J38" s="230"/>
      <c r="K38" s="233"/>
      <c r="L38" s="230"/>
      <c r="M38" s="231">
        <f>SUM(D38:K38)</f>
        <v>0</v>
      </c>
    </row>
    <row r="39" spans="1:13" ht="24" customHeight="1">
      <c r="A39" s="273" t="s">
        <v>875</v>
      </c>
      <c r="B39" s="1323">
        <f>B11</f>
        <v>0</v>
      </c>
      <c r="C39" s="1323"/>
      <c r="D39" s="1323"/>
      <c r="E39" s="1324"/>
      <c r="F39" s="265"/>
      <c r="G39" s="233"/>
      <c r="H39" s="230"/>
      <c r="I39" s="233"/>
      <c r="J39" s="230"/>
      <c r="K39" s="233"/>
      <c r="L39" s="230"/>
      <c r="M39" s="231">
        <f>SUM(D39:K39)</f>
        <v>0</v>
      </c>
    </row>
    <row r="40" spans="1:13" ht="24" customHeight="1">
      <c r="A40" s="1316" t="s">
        <v>876</v>
      </c>
      <c r="B40" s="1317"/>
      <c r="C40" s="1317"/>
      <c r="D40" s="274"/>
      <c r="E40" s="274"/>
      <c r="F40" s="265"/>
      <c r="G40" s="233">
        <f>SUM(G36:G39)</f>
        <v>0</v>
      </c>
      <c r="H40" s="230"/>
      <c r="I40" s="233">
        <f>SUM(I36:I39)</f>
        <v>0</v>
      </c>
      <c r="J40" s="230"/>
      <c r="K40" s="233">
        <f>SUM(K36:K39)</f>
        <v>0</v>
      </c>
      <c r="L40" s="230"/>
      <c r="M40" s="231">
        <f>SUM(D40:K40)</f>
        <v>0</v>
      </c>
    </row>
    <row r="41" spans="1:13" s="266" customFormat="1" ht="20.25" customHeight="1">
      <c r="A41" s="275" t="s">
        <v>877</v>
      </c>
      <c r="B41" s="276"/>
      <c r="C41" s="276"/>
      <c r="D41" s="276"/>
      <c r="E41" s="276"/>
      <c r="F41" s="276"/>
      <c r="G41" s="276"/>
      <c r="H41" s="276"/>
      <c r="I41" s="276"/>
      <c r="J41" s="276"/>
      <c r="K41" s="276"/>
      <c r="L41" s="276"/>
      <c r="M41" s="277"/>
    </row>
    <row r="42" spans="1:13" ht="12" customHeight="1">
      <c r="A42" s="241"/>
      <c r="B42" s="236"/>
      <c r="C42" s="236"/>
      <c r="D42" s="242" t="s">
        <v>878</v>
      </c>
      <c r="E42" s="244"/>
      <c r="F42" s="255" t="s">
        <v>879</v>
      </c>
      <c r="G42" s="255"/>
      <c r="H42" s="255" t="s">
        <v>880</v>
      </c>
      <c r="I42" s="278"/>
      <c r="J42" s="255" t="s">
        <v>881</v>
      </c>
      <c r="K42" s="255"/>
      <c r="L42" s="279" t="s">
        <v>882</v>
      </c>
      <c r="M42" s="256"/>
    </row>
    <row r="43" spans="1:13" ht="24" customHeight="1">
      <c r="A43" s="1319" t="s">
        <v>883</v>
      </c>
      <c r="B43" s="1320"/>
      <c r="C43" s="1321"/>
      <c r="D43" s="280"/>
      <c r="E43" s="260" t="e">
        <f>#REF!</f>
        <v>#REF!</v>
      </c>
      <c r="F43" s="233"/>
      <c r="G43" s="233" t="e">
        <f>E43/4</f>
        <v>#REF!</v>
      </c>
      <c r="H43" s="281"/>
      <c r="I43" s="260" t="e">
        <f>E43/4</f>
        <v>#REF!</v>
      </c>
      <c r="J43" s="233"/>
      <c r="K43" s="282" t="e">
        <f>E43/4</f>
        <v>#REF!</v>
      </c>
      <c r="L43" s="233"/>
      <c r="M43" s="260" t="e">
        <f>E43/4</f>
        <v>#REF!</v>
      </c>
    </row>
    <row r="44" spans="1:13" ht="24" customHeight="1">
      <c r="A44" s="1316" t="s">
        <v>884</v>
      </c>
      <c r="B44" s="1317"/>
      <c r="C44" s="1322"/>
      <c r="D44" s="230"/>
      <c r="E44" s="234">
        <v>0</v>
      </c>
      <c r="F44" s="230"/>
      <c r="G44" s="233">
        <f>E44/4</f>
        <v>0</v>
      </c>
      <c r="H44" s="230"/>
      <c r="I44" s="233">
        <f>E44/4</f>
        <v>0</v>
      </c>
      <c r="J44" s="230"/>
      <c r="K44" s="233">
        <f>E44/4</f>
        <v>0</v>
      </c>
      <c r="L44" s="230"/>
      <c r="M44" s="231">
        <f>E44/4</f>
        <v>0</v>
      </c>
    </row>
    <row r="45" spans="1:13" ht="24" customHeight="1">
      <c r="A45" s="1316" t="s">
        <v>885</v>
      </c>
      <c r="B45" s="1317"/>
      <c r="C45" s="1322"/>
      <c r="D45" s="280"/>
      <c r="E45" s="233" t="e">
        <f>SUM(E43:E44)</f>
        <v>#REF!</v>
      </c>
      <c r="F45" s="230"/>
      <c r="G45" s="233" t="e">
        <f>SUM(G43:G44)</f>
        <v>#REF!</v>
      </c>
      <c r="H45" s="230"/>
      <c r="I45" s="233" t="e">
        <f>SUM(I43:I44)</f>
        <v>#REF!</v>
      </c>
      <c r="J45" s="230"/>
      <c r="K45" s="233" t="e">
        <f>SUM(K43:K44)</f>
        <v>#REF!</v>
      </c>
      <c r="L45" s="230"/>
      <c r="M45" s="260" t="e">
        <f>SUM(M43:M44)</f>
        <v>#REF!</v>
      </c>
    </row>
    <row r="46" spans="1:13" s="266" customFormat="1" ht="20.25" customHeight="1">
      <c r="A46" s="275" t="s">
        <v>886</v>
      </c>
      <c r="B46" s="276"/>
      <c r="C46" s="276"/>
      <c r="D46" s="276"/>
      <c r="E46" s="276"/>
      <c r="F46" s="276"/>
      <c r="G46" s="276"/>
      <c r="H46" s="276"/>
      <c r="I46" s="276"/>
      <c r="J46" s="276"/>
      <c r="K46" s="276"/>
      <c r="L46" s="276"/>
      <c r="M46" s="277"/>
    </row>
    <row r="47" spans="1:13" ht="12" customHeight="1">
      <c r="A47" s="1301" t="s">
        <v>867</v>
      </c>
      <c r="B47" s="1302"/>
      <c r="C47" s="1302"/>
      <c r="D47" s="1302"/>
      <c r="E47" s="1303"/>
      <c r="F47" s="283" t="s">
        <v>887</v>
      </c>
      <c r="G47" s="284"/>
      <c r="H47" s="285"/>
      <c r="I47" s="285"/>
      <c r="J47" s="285"/>
      <c r="K47" s="285"/>
      <c r="L47" s="285"/>
      <c r="M47" s="286"/>
    </row>
    <row r="48" spans="1:13" ht="12" customHeight="1">
      <c r="A48" s="1304"/>
      <c r="B48" s="1305"/>
      <c r="C48" s="1305"/>
      <c r="D48" s="1305"/>
      <c r="E48" s="1306"/>
      <c r="F48" s="270" t="s">
        <v>888</v>
      </c>
      <c r="G48" s="270"/>
      <c r="H48" s="270" t="s">
        <v>889</v>
      </c>
      <c r="I48" s="271"/>
      <c r="J48" s="270" t="s">
        <v>890</v>
      </c>
      <c r="K48" s="270"/>
      <c r="L48" s="272" t="s">
        <v>891</v>
      </c>
      <c r="M48" s="287"/>
    </row>
    <row r="49" spans="1:13" ht="24" customHeight="1">
      <c r="A49" s="273" t="s">
        <v>892</v>
      </c>
      <c r="B49" s="288">
        <f>B8</f>
        <v>0</v>
      </c>
      <c r="C49" s="261"/>
      <c r="D49" s="259"/>
      <c r="E49" s="259"/>
      <c r="F49" s="225"/>
      <c r="G49" s="233"/>
      <c r="H49" s="225"/>
      <c r="I49" s="233"/>
      <c r="J49" s="225"/>
      <c r="K49" s="233"/>
      <c r="L49" s="225"/>
      <c r="M49" s="231"/>
    </row>
    <row r="50" spans="1:13" ht="24" customHeight="1">
      <c r="A50" s="273" t="s">
        <v>893</v>
      </c>
      <c r="B50" s="289">
        <f>$B$9</f>
        <v>0</v>
      </c>
      <c r="C50" s="261"/>
      <c r="D50" s="259"/>
      <c r="E50" s="259"/>
      <c r="F50" s="230"/>
      <c r="G50" s="233"/>
      <c r="H50" s="230"/>
      <c r="I50" s="233"/>
      <c r="J50" s="230"/>
      <c r="K50" s="233"/>
      <c r="L50" s="230"/>
      <c r="M50" s="231"/>
    </row>
    <row r="51" spans="1:13" ht="24" customHeight="1">
      <c r="A51" s="273" t="s">
        <v>894</v>
      </c>
      <c r="B51" s="289">
        <f>$B$10</f>
        <v>0</v>
      </c>
      <c r="C51" s="261"/>
      <c r="D51" s="259"/>
      <c r="E51" s="259"/>
      <c r="F51" s="230"/>
      <c r="G51" s="233"/>
      <c r="H51" s="230"/>
      <c r="I51" s="233"/>
      <c r="J51" s="230"/>
      <c r="K51" s="233"/>
      <c r="L51" s="230"/>
      <c r="M51" s="231"/>
    </row>
    <row r="52" spans="1:13" ht="24" customHeight="1">
      <c r="A52" s="273" t="s">
        <v>895</v>
      </c>
      <c r="B52" s="289">
        <f>$B$11</f>
        <v>0</v>
      </c>
      <c r="C52" s="261"/>
      <c r="D52" s="259"/>
      <c r="E52" s="259"/>
      <c r="F52" s="230"/>
      <c r="G52" s="233"/>
      <c r="H52" s="230"/>
      <c r="I52" s="233"/>
      <c r="J52" s="230"/>
      <c r="K52" s="233"/>
      <c r="L52" s="230"/>
      <c r="M52" s="231"/>
    </row>
    <row r="53" spans="1:13" ht="24" customHeight="1">
      <c r="A53" s="273" t="s">
        <v>896</v>
      </c>
      <c r="B53" s="290"/>
      <c r="C53" s="291"/>
      <c r="D53" s="274"/>
      <c r="E53" s="274"/>
      <c r="F53" s="230"/>
      <c r="G53" s="260">
        <f>SUM(G49:G52)</f>
        <v>0</v>
      </c>
      <c r="H53" s="233"/>
      <c r="I53" s="233">
        <f>SUM(I49:I52)</f>
        <v>0</v>
      </c>
      <c r="J53" s="281"/>
      <c r="K53" s="260">
        <f>SUM(K49:K52)</f>
        <v>0</v>
      </c>
      <c r="L53" s="233"/>
      <c r="M53" s="260">
        <f>SUM(M49:M52)</f>
        <v>0</v>
      </c>
    </row>
    <row r="54" spans="1:13" s="64" customFormat="1" ht="20.25" customHeight="1">
      <c r="A54" s="292" t="s">
        <v>897</v>
      </c>
      <c r="B54" s="293"/>
      <c r="C54" s="294"/>
      <c r="D54" s="293"/>
      <c r="E54" s="293"/>
      <c r="F54" s="293"/>
      <c r="G54" s="293"/>
      <c r="H54" s="293"/>
      <c r="I54" s="293"/>
      <c r="J54" s="293"/>
      <c r="K54" s="293"/>
      <c r="L54" s="293"/>
      <c r="M54" s="295"/>
    </row>
    <row r="55" spans="1:13" ht="13.15" customHeight="1">
      <c r="A55" s="296" t="s">
        <v>898</v>
      </c>
      <c r="B55" s="297"/>
      <c r="C55" s="298" t="e">
        <f>#REF!-#REF!</f>
        <v>#REF!</v>
      </c>
      <c r="D55" s="206"/>
      <c r="E55" s="206"/>
      <c r="F55" s="296" t="s">
        <v>899</v>
      </c>
      <c r="G55" s="297"/>
      <c r="H55" s="298"/>
      <c r="I55" s="299" t="e">
        <f>#REF!</f>
        <v>#REF!</v>
      </c>
      <c r="J55" s="300"/>
      <c r="K55" s="301"/>
      <c r="L55" s="301"/>
      <c r="M55" s="302"/>
    </row>
    <row r="56" spans="1:13" ht="13.15" customHeight="1">
      <c r="A56" s="248"/>
      <c r="B56" s="249"/>
      <c r="C56" s="233"/>
      <c r="D56" s="250"/>
      <c r="E56" s="250"/>
      <c r="F56" s="248"/>
      <c r="G56" s="250"/>
      <c r="H56" s="233"/>
      <c r="I56" s="303"/>
      <c r="J56" s="304"/>
      <c r="K56" s="305"/>
      <c r="L56" s="305"/>
      <c r="M56" s="306"/>
    </row>
    <row r="57" spans="1:13" ht="27" customHeight="1">
      <c r="A57" s="307" t="s">
        <v>900</v>
      </c>
      <c r="B57" s="308" t="s">
        <v>901</v>
      </c>
      <c r="C57" s="309"/>
      <c r="D57" s="309"/>
      <c r="E57" s="309"/>
      <c r="F57" s="309"/>
      <c r="G57" s="309"/>
      <c r="H57" s="309"/>
      <c r="I57" s="309"/>
      <c r="J57" s="309"/>
      <c r="K57" s="309"/>
      <c r="L57" s="309"/>
      <c r="M57" s="310"/>
    </row>
    <row r="58" spans="1:13" ht="12" customHeight="1">
      <c r="A58" s="1327" t="s">
        <v>816</v>
      </c>
      <c r="B58" s="1327"/>
      <c r="C58" s="1327"/>
      <c r="D58" s="1327"/>
      <c r="E58" s="1327"/>
      <c r="F58" s="1327"/>
      <c r="G58" s="1327"/>
      <c r="H58" s="1327"/>
      <c r="I58" s="1327"/>
      <c r="J58" s="1327"/>
      <c r="K58" s="1327"/>
      <c r="L58" s="1327"/>
      <c r="M58" s="1327"/>
    </row>
    <row r="59" spans="1:13" s="1" customFormat="1" ht="12" customHeight="1">
      <c r="A59" s="311"/>
      <c r="B59" s="311"/>
      <c r="C59" s="236"/>
      <c r="D59" s="236"/>
      <c r="E59" s="236"/>
      <c r="F59" s="236"/>
      <c r="G59" s="236"/>
      <c r="H59" s="236"/>
      <c r="I59" s="236"/>
      <c r="J59" s="236"/>
      <c r="K59" s="312"/>
      <c r="L59" s="313"/>
      <c r="M59" s="313" t="s">
        <v>842</v>
      </c>
    </row>
    <row r="60" spans="1:13" s="1" customFormat="1">
      <c r="A60" s="312"/>
      <c r="B60" s="312"/>
      <c r="C60" s="312"/>
      <c r="D60" s="312"/>
      <c r="E60" s="312"/>
      <c r="F60" s="312"/>
      <c r="G60" s="312"/>
      <c r="H60" s="312"/>
      <c r="I60" s="312"/>
      <c r="J60" s="312"/>
      <c r="K60" s="312"/>
      <c r="L60" s="312"/>
      <c r="M60" s="313" t="s">
        <v>902</v>
      </c>
    </row>
    <row r="61" spans="1:13">
      <c r="A61" s="314"/>
      <c r="B61" s="314"/>
      <c r="C61" s="314"/>
      <c r="D61" s="314"/>
      <c r="E61" s="314"/>
      <c r="F61" s="314"/>
      <c r="G61" s="314"/>
      <c r="H61" s="314"/>
      <c r="I61" s="314"/>
      <c r="J61" s="314"/>
      <c r="K61" s="314"/>
      <c r="L61" s="314"/>
      <c r="M61" s="314"/>
    </row>
  </sheetData>
  <mergeCells count="21">
    <mergeCell ref="B39:E39"/>
    <mergeCell ref="K2:M2"/>
    <mergeCell ref="A58:M58"/>
    <mergeCell ref="K13:M13"/>
    <mergeCell ref="K14:M14"/>
    <mergeCell ref="K1:M1"/>
    <mergeCell ref="A2:J2"/>
    <mergeCell ref="A47:E48"/>
    <mergeCell ref="A5:B6"/>
    <mergeCell ref="C5:C6"/>
    <mergeCell ref="D5:G5"/>
    <mergeCell ref="H5:M5"/>
    <mergeCell ref="A40:C40"/>
    <mergeCell ref="K31:M31"/>
    <mergeCell ref="K32:M32"/>
    <mergeCell ref="A43:C43"/>
    <mergeCell ref="A44:C44"/>
    <mergeCell ref="A45:C45"/>
    <mergeCell ref="B36:E36"/>
    <mergeCell ref="B37:E37"/>
    <mergeCell ref="B38:E38"/>
  </mergeCells>
  <phoneticPr fontId="28" type="noConversion"/>
  <printOptions horizontalCentered="1"/>
  <pageMargins left="0.5" right="0.5" top="0.5" bottom="0.5" header="0" footer="0"/>
  <pageSetup fitToHeight="0" orientation="landscape" r:id="rId1"/>
  <headerFooter alignWithMargins="0"/>
  <rowBreaks count="2" manualBreakCount="2">
    <brk id="14" max="16383" man="1"/>
    <brk id="3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BB0B50-006E-4F7D-84DF-1C43AA7AD2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684526-136E-4762-8725-48AE18EB803A}">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customXml/itemProps3.xml><?xml version="1.0" encoding="utf-8"?>
<ds:datastoreItem xmlns:ds="http://schemas.openxmlformats.org/officeDocument/2006/customXml" ds:itemID="{CE5D101D-F38C-4A99-8C8F-5BE1931D56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125</vt:i4>
      </vt:variant>
    </vt:vector>
  </HeadingPairs>
  <TitlesOfParts>
    <vt:vector size="145" baseType="lpstr">
      <vt:lpstr>Assumptions</vt:lpstr>
      <vt:lpstr>Budget Summary</vt:lpstr>
      <vt:lpstr>Line-Item Budget</vt:lpstr>
      <vt:lpstr>US &amp; Local Summaries</vt:lpstr>
      <vt:lpstr>TA Summary</vt:lpstr>
      <vt:lpstr>Funding By Partner</vt:lpstr>
      <vt:lpstr>LOE Table</vt:lpstr>
      <vt:lpstr>Total Budget by Sponsored Class</vt:lpstr>
      <vt:lpstr>US Costs by Sponsored Class</vt:lpstr>
      <vt:lpstr>Incountry Costs by GL USD</vt:lpstr>
      <vt:lpstr>IC by GL in LC</vt:lpstr>
      <vt:lpstr>Office Budget</vt:lpstr>
      <vt:lpstr> Activities Detail</vt:lpstr>
      <vt:lpstr>INDES Sub Budget Summary</vt:lpstr>
      <vt:lpstr>INDES Sub Line-Item Budget</vt:lpstr>
      <vt:lpstr>INDES Sub Activities Detail</vt:lpstr>
      <vt:lpstr>Travel</vt:lpstr>
      <vt:lpstr>HO LOE</vt:lpstr>
      <vt:lpstr>SF424</vt:lpstr>
      <vt:lpstr>SF424a</vt:lpstr>
      <vt:lpstr>agentfee</vt:lpstr>
      <vt:lpstr>avrent</vt:lpstr>
      <vt:lpstr>'SF424'!Check25</vt:lpstr>
      <vt:lpstr>'SF424'!Check26</vt:lpstr>
      <vt:lpstr>'SF424'!Check27</vt:lpstr>
      <vt:lpstr>'SF424'!Check28</vt:lpstr>
      <vt:lpstr>'SF424'!Check29</vt:lpstr>
      <vt:lpstr>'SF424'!Check30</vt:lpstr>
      <vt:lpstr>'SF424'!Check32</vt:lpstr>
      <vt:lpstr>'SF424'!Check33</vt:lpstr>
      <vt:lpstr>'SF424'!Check35</vt:lpstr>
      <vt:lpstr>'SF424'!Check36</vt:lpstr>
      <vt:lpstr>coffee</vt:lpstr>
      <vt:lpstr>consairfare</vt:lpstr>
      <vt:lpstr>consground</vt:lpstr>
      <vt:lpstr>conslodg</vt:lpstr>
      <vt:lpstr>consmeals</vt:lpstr>
      <vt:lpstr>consmisc</vt:lpstr>
      <vt:lpstr>'SF424'!Dropdown1</vt:lpstr>
      <vt:lpstr>er</vt:lpstr>
      <vt:lpstr>ground</vt:lpstr>
      <vt:lpstr>inmuniz</vt:lpstr>
      <vt:lpstr>intairfare</vt:lpstr>
      <vt:lpstr>intcons</vt:lpstr>
      <vt:lpstr>intmisc</vt:lpstr>
      <vt:lpstr>localairfare</vt:lpstr>
      <vt:lpstr>localcons</vt:lpstr>
      <vt:lpstr>locallodg</vt:lpstr>
      <vt:lpstr>localmeals</vt:lpstr>
      <vt:lpstr>localmisc</vt:lpstr>
      <vt:lpstr>lunch</vt:lpstr>
      <vt:lpstr>mats</vt:lpstr>
      <vt:lpstr>medex</vt:lpstr>
      <vt:lpstr>partairfare</vt:lpstr>
      <vt:lpstr>partground</vt:lpstr>
      <vt:lpstr>partlodg</vt:lpstr>
      <vt:lpstr>partmats</vt:lpstr>
      <vt:lpstr>partmeals</vt:lpstr>
      <vt:lpstr>partmisc</vt:lpstr>
      <vt:lpstr>partprint</vt:lpstr>
      <vt:lpstr>parttransp</vt:lpstr>
      <vt:lpstr>print</vt:lpstr>
      <vt:lpstr>' Activities Detail'!Print_Area</vt:lpstr>
      <vt:lpstr>Assumptions!Print_Area</vt:lpstr>
      <vt:lpstr>'Funding By Partner'!Print_Area</vt:lpstr>
      <vt:lpstr>'IC by GL in LC'!Print_Area</vt:lpstr>
      <vt:lpstr>'Incountry Costs by GL USD'!Print_Area</vt:lpstr>
      <vt:lpstr>'INDES Sub Activities Detail'!Print_Area</vt:lpstr>
      <vt:lpstr>'LOE Table'!Print_Area</vt:lpstr>
      <vt:lpstr>'SF424'!Print_Area</vt:lpstr>
      <vt:lpstr>'TA Summary'!Print_Area</vt:lpstr>
      <vt:lpstr>'Total Budget by Sponsored Class'!Print_Area</vt:lpstr>
      <vt:lpstr>'US &amp; Local Summaries'!Print_Area</vt:lpstr>
      <vt:lpstr>'US Costs by Sponsored Class'!Print_Area</vt:lpstr>
      <vt:lpstr>' Activities Detail'!Print_Titles</vt:lpstr>
      <vt:lpstr>'Funding By Partner'!Print_Titles</vt:lpstr>
      <vt:lpstr>'IC by GL in LC'!Print_Titles</vt:lpstr>
      <vt:lpstr>'Incountry Costs by GL USD'!Print_Titles</vt:lpstr>
      <vt:lpstr>'INDES Sub Activities Detail'!Print_Titles</vt:lpstr>
      <vt:lpstr>'LOE Table'!Print_Titles</vt:lpstr>
      <vt:lpstr>'TA Summary'!Print_Titles</vt:lpstr>
      <vt:lpstr>'Total Budget by Sponsored Class'!Print_Titles</vt:lpstr>
      <vt:lpstr>'US &amp; Local Summaries'!Print_Titles</vt:lpstr>
      <vt:lpstr>'US Costs by Sponsored Class'!Print_Titles</vt:lpstr>
      <vt:lpstr>regcons</vt:lpstr>
      <vt:lpstr>roomrent</vt:lpstr>
      <vt:lpstr>tdlunch</vt:lpstr>
      <vt:lpstr>'SF424'!Text1</vt:lpstr>
      <vt:lpstr>'SF424'!Text10</vt:lpstr>
      <vt:lpstr>'SF424'!Text11</vt:lpstr>
      <vt:lpstr>'SF424'!Text12</vt:lpstr>
      <vt:lpstr>'SF424'!Text13</vt:lpstr>
      <vt:lpstr>'SF424'!Text14</vt:lpstr>
      <vt:lpstr>'SF424'!Text15</vt:lpstr>
      <vt:lpstr>'SF424'!Text16</vt:lpstr>
      <vt:lpstr>'SF424'!Text17</vt:lpstr>
      <vt:lpstr>'SF424'!Text18</vt:lpstr>
      <vt:lpstr>'SF424'!Text19</vt:lpstr>
      <vt:lpstr>'SF424'!Text20</vt:lpstr>
      <vt:lpstr>'SF424'!Text22</vt:lpstr>
      <vt:lpstr>'SF424'!Text23</vt:lpstr>
      <vt:lpstr>'SF424'!Text24</vt:lpstr>
      <vt:lpstr>'SF424'!Text25</vt:lpstr>
      <vt:lpstr>'SF424'!Text26</vt:lpstr>
      <vt:lpstr>'SF424'!Text27</vt:lpstr>
      <vt:lpstr>'SF424'!Text29</vt:lpstr>
      <vt:lpstr>'SF424'!Text3</vt:lpstr>
      <vt:lpstr>'SF424'!Text30</vt:lpstr>
      <vt:lpstr>'SF424'!Text31</vt:lpstr>
      <vt:lpstr>'SF424'!Text32</vt:lpstr>
      <vt:lpstr>'SF424'!Text33</vt:lpstr>
      <vt:lpstr>'SF424'!Text34</vt:lpstr>
      <vt:lpstr>'SF424'!Text35</vt:lpstr>
      <vt:lpstr>'SF424'!Text36</vt:lpstr>
      <vt:lpstr>'SF424'!Text38</vt:lpstr>
      <vt:lpstr>'SF424'!Text39</vt:lpstr>
      <vt:lpstr>'SF424'!Text4</vt:lpstr>
      <vt:lpstr>'SF424'!Text40</vt:lpstr>
      <vt:lpstr>'SF424'!Text42</vt:lpstr>
      <vt:lpstr>'SF424'!Text44</vt:lpstr>
      <vt:lpstr>'SF424'!Text5</vt:lpstr>
      <vt:lpstr>'SF424'!Text52</vt:lpstr>
      <vt:lpstr>'SF424'!Text55</vt:lpstr>
      <vt:lpstr>'SF424'!Text56</vt:lpstr>
      <vt:lpstr>'SF424'!Text57</vt:lpstr>
      <vt:lpstr>'SF424'!Text58</vt:lpstr>
      <vt:lpstr>'SF424'!Text59</vt:lpstr>
      <vt:lpstr>'SF424'!Text6</vt:lpstr>
      <vt:lpstr>'SF424'!Text60</vt:lpstr>
      <vt:lpstr>'SF424'!Text61</vt:lpstr>
      <vt:lpstr>'SF424'!Text63</vt:lpstr>
      <vt:lpstr>'SF424'!Text65</vt:lpstr>
      <vt:lpstr>'SF424'!Text66</vt:lpstr>
      <vt:lpstr>'SF424'!Text7</vt:lpstr>
      <vt:lpstr>'SF424'!Text75</vt:lpstr>
      <vt:lpstr>'SF424'!Text76</vt:lpstr>
      <vt:lpstr>'SF424'!Text77</vt:lpstr>
      <vt:lpstr>'SF424'!Text78</vt:lpstr>
      <vt:lpstr>'SF424'!Text79</vt:lpstr>
      <vt:lpstr>'SF424'!Text8</vt:lpstr>
      <vt:lpstr>'SF424'!Text80</vt:lpstr>
      <vt:lpstr>'SF424'!Text9</vt:lpstr>
      <vt:lpstr>usaidlodg</vt:lpstr>
      <vt:lpstr>usaidmeal</vt:lpstr>
      <vt:lpstr>visa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KQW</dc:creator>
  <cp:keywords/>
  <dc:description/>
  <cp:lastModifiedBy>Danielle Martin</cp:lastModifiedBy>
  <cp:revision/>
  <dcterms:created xsi:type="dcterms:W3CDTF">2000-03-08T19:32:49Z</dcterms:created>
  <dcterms:modified xsi:type="dcterms:W3CDTF">2024-09-12T13:47:43Z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