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E30F1D8E-B4C8-485A-84CA-C188C8C91C6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AI" sheetId="31" r:id="rId1"/>
    <sheet name="SF-424 Cost Categories" sheetId="26" state="hidden" r:id="rId2"/>
  </sheets>
  <definedNames>
    <definedName name="Category" localSheetId="0">SAI!$J$9:$J$102</definedName>
    <definedName name="Category">#REF!</definedName>
    <definedName name="DL_Country" localSheetId="0">SAI!$I$8:$I$30</definedName>
    <definedName name="DL_Country">#REF!</definedName>
    <definedName name="DL_TotalDOL" localSheetId="0">SAI!$W$8:$W$29</definedName>
    <definedName name="DL_TotalDOL">#REF!</definedName>
    <definedName name="EQ_Country" localSheetId="0">SAI!#REF!</definedName>
    <definedName name="EQ_Country">#REF!</definedName>
    <definedName name="EQ_TotalDOL" localSheetId="0">SAI!#REF!</definedName>
    <definedName name="EQ_TotalDOL">#REF!</definedName>
    <definedName name="inf" localSheetId="0">#REF!</definedName>
    <definedName name="inf">#REF!</definedName>
    <definedName name="JEA_Country" localSheetId="0">#REF!</definedName>
    <definedName name="JEA_Country">#REF!</definedName>
    <definedName name="JEA_Year1" localSheetId="0">#REF!</definedName>
    <definedName name="JEA_Year1">#REF!</definedName>
    <definedName name="ME_Country" localSheetId="0">SAI!#REF!</definedName>
    <definedName name="ME_Country">#REF!</definedName>
    <definedName name="ME_TotalDOL" localSheetId="0">SAI!#REF!</definedName>
    <definedName name="ME_TotalDOL">#REF!</definedName>
    <definedName name="O1_Country" localSheetId="0">SAI!$I$98:$I$98</definedName>
    <definedName name="O1_Country">#REF!</definedName>
    <definedName name="O1_TotalDOL" localSheetId="0">SAI!$W$98:$W$98</definedName>
    <definedName name="O1_TotalDOL">#REF!</definedName>
    <definedName name="O2_Country" localSheetId="0">SAI!#REF!</definedName>
    <definedName name="O2_Country">#REF!</definedName>
    <definedName name="O2_TotalDOL" localSheetId="0">SAI!#REF!</definedName>
    <definedName name="O2_TotalDOL">#REF!</definedName>
    <definedName name="_xlnm.Print_Area" localSheetId="0">SAI!$H$1:$Y$104</definedName>
    <definedName name="SU_Country" localSheetId="0">SAI!$I$53:$I$54</definedName>
    <definedName name="SU_Country">#REF!</definedName>
    <definedName name="SU_TotalDOL" localSheetId="0">SAI!$W$53:$W$54</definedName>
    <definedName name="SU_TotalDOL">#REF!</definedName>
    <definedName name="TotalDOL" localSheetId="0">SAI!$W$9:$W$102</definedName>
    <definedName name="TotalDOL">#REF!</definedName>
    <definedName name="TR_Country" localSheetId="0">SAI!$I$34:$I$43</definedName>
    <definedName name="TR_Country">#REF!</definedName>
    <definedName name="TR_TotalDOL" localSheetId="0">SAI!$W$34:$W$43</definedName>
    <definedName name="TR_TotalDO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7" i="31" l="1"/>
  <c r="T41" i="31"/>
  <c r="R41" i="31"/>
  <c r="P41" i="31"/>
  <c r="N21" i="31"/>
  <c r="W21" i="31" s="1"/>
  <c r="Y21" i="31" s="1"/>
  <c r="X102" i="31"/>
  <c r="X104" i="31" s="1"/>
  <c r="X91" i="31"/>
  <c r="X74" i="31"/>
  <c r="N9" i="31"/>
  <c r="P9" i="31"/>
  <c r="R9" i="31"/>
  <c r="T9" i="31"/>
  <c r="V9" i="31"/>
  <c r="N10" i="31"/>
  <c r="P10" i="31"/>
  <c r="R10" i="31"/>
  <c r="T10" i="31"/>
  <c r="V10" i="31"/>
  <c r="N11" i="31"/>
  <c r="P11" i="31"/>
  <c r="R11" i="31"/>
  <c r="W11" i="31" s="1"/>
  <c r="Y11" i="31" s="1"/>
  <c r="Z11" i="31" s="1"/>
  <c r="T11" i="31"/>
  <c r="V11" i="31"/>
  <c r="N14" i="31"/>
  <c r="P14" i="31"/>
  <c r="R14" i="31"/>
  <c r="T14" i="31"/>
  <c r="V14" i="31"/>
  <c r="N15" i="31"/>
  <c r="P15" i="31"/>
  <c r="P26" i="31" s="1"/>
  <c r="R15" i="31"/>
  <c r="T15" i="31"/>
  <c r="V15" i="31"/>
  <c r="N16" i="31"/>
  <c r="P16" i="31"/>
  <c r="R16" i="31"/>
  <c r="T16" i="31"/>
  <c r="W16" i="31" s="1"/>
  <c r="Y16" i="31" s="1"/>
  <c r="AA16" i="31" s="1"/>
  <c r="V16" i="31"/>
  <c r="N17" i="31"/>
  <c r="P17" i="31"/>
  <c r="R17" i="31"/>
  <c r="T17" i="31"/>
  <c r="V17" i="31"/>
  <c r="N18" i="31"/>
  <c r="P18" i="31"/>
  <c r="R18" i="31"/>
  <c r="W18" i="31" s="1"/>
  <c r="Y18" i="31" s="1"/>
  <c r="T18" i="31"/>
  <c r="V18" i="31"/>
  <c r="N19" i="31"/>
  <c r="P19" i="31"/>
  <c r="R19" i="31"/>
  <c r="T19" i="31"/>
  <c r="V19" i="31"/>
  <c r="N20" i="31"/>
  <c r="P20" i="31"/>
  <c r="R20" i="31"/>
  <c r="T20" i="31"/>
  <c r="V20" i="31"/>
  <c r="P21" i="31"/>
  <c r="R21" i="31"/>
  <c r="T21" i="31"/>
  <c r="V21" i="31"/>
  <c r="N22" i="31"/>
  <c r="P22" i="31"/>
  <c r="R22" i="31"/>
  <c r="T22" i="31"/>
  <c r="V22" i="31"/>
  <c r="N23" i="31"/>
  <c r="P23" i="31"/>
  <c r="R23" i="31"/>
  <c r="T23" i="31"/>
  <c r="V23" i="31"/>
  <c r="N24" i="31"/>
  <c r="P24" i="31"/>
  <c r="R24" i="31"/>
  <c r="T24" i="31"/>
  <c r="V24" i="31"/>
  <c r="X31" i="31"/>
  <c r="N35" i="31"/>
  <c r="P35" i="31"/>
  <c r="R35" i="31"/>
  <c r="W35" i="31" s="1"/>
  <c r="Y35" i="31" s="1"/>
  <c r="T35" i="31"/>
  <c r="V35" i="31"/>
  <c r="L36" i="31"/>
  <c r="N36" i="31"/>
  <c r="O36" i="31"/>
  <c r="P36" i="31" s="1"/>
  <c r="Q36" i="31"/>
  <c r="R36" i="31"/>
  <c r="S36" i="31"/>
  <c r="T36" i="31" s="1"/>
  <c r="V36" i="31"/>
  <c r="N37" i="31"/>
  <c r="O37" i="31"/>
  <c r="P37" i="31" s="1"/>
  <c r="Q37" i="31"/>
  <c r="R37" i="31"/>
  <c r="S37" i="31"/>
  <c r="T37" i="31" s="1"/>
  <c r="V37" i="31"/>
  <c r="N38" i="31"/>
  <c r="P38" i="31"/>
  <c r="R38" i="31"/>
  <c r="T38" i="31"/>
  <c r="V38" i="31"/>
  <c r="N40" i="31"/>
  <c r="P40" i="31"/>
  <c r="R40" i="31"/>
  <c r="T40" i="31"/>
  <c r="V40" i="31"/>
  <c r="N42" i="31"/>
  <c r="O42" i="31"/>
  <c r="P42" i="31"/>
  <c r="Q42" i="31"/>
  <c r="R42" i="31" s="1"/>
  <c r="R45" i="31" s="1"/>
  <c r="Q95" i="31" s="1"/>
  <c r="R95" i="31" s="1"/>
  <c r="S42" i="31"/>
  <c r="T42" i="31"/>
  <c r="V42" i="31"/>
  <c r="N43" i="31"/>
  <c r="P43" i="31"/>
  <c r="R43" i="31"/>
  <c r="W43" i="31" s="1"/>
  <c r="Y43" i="31" s="1"/>
  <c r="T43" i="31"/>
  <c r="V43" i="31"/>
  <c r="X45" i="31"/>
  <c r="N47" i="31"/>
  <c r="N51" i="31" s="1"/>
  <c r="P47" i="31"/>
  <c r="P51" i="31" s="1"/>
  <c r="R47" i="31"/>
  <c r="T47" i="31"/>
  <c r="V47" i="31"/>
  <c r="N48" i="31"/>
  <c r="P48" i="31"/>
  <c r="R48" i="31"/>
  <c r="T48" i="31"/>
  <c r="T51" i="31" s="1"/>
  <c r="S63" i="31" s="1"/>
  <c r="T63" i="31" s="1"/>
  <c r="V48" i="31"/>
  <c r="W48" i="31" s="1"/>
  <c r="Y48" i="31" s="1"/>
  <c r="N49" i="31"/>
  <c r="P49" i="31"/>
  <c r="R49" i="31"/>
  <c r="R51" i="31" s="1"/>
  <c r="T49" i="31"/>
  <c r="V49" i="31"/>
  <c r="X51" i="31"/>
  <c r="N53" i="31"/>
  <c r="N56" i="31" s="1"/>
  <c r="P53" i="31"/>
  <c r="R53" i="31"/>
  <c r="T53" i="31"/>
  <c r="V53" i="31"/>
  <c r="N54" i="31"/>
  <c r="P54" i="31"/>
  <c r="R54" i="31"/>
  <c r="T54" i="31"/>
  <c r="V54" i="31"/>
  <c r="V56" i="31" s="1"/>
  <c r="U97" i="31" s="1"/>
  <c r="V97" i="31" s="1"/>
  <c r="X56" i="31"/>
  <c r="N65" i="31"/>
  <c r="P65" i="31"/>
  <c r="W65" i="31" s="1"/>
  <c r="Y65" i="31" s="1"/>
  <c r="R65" i="31"/>
  <c r="T65" i="31"/>
  <c r="V65" i="31"/>
  <c r="N66" i="31"/>
  <c r="W66" i="31" s="1"/>
  <c r="Y66" i="31" s="1"/>
  <c r="P66" i="31"/>
  <c r="R66" i="31"/>
  <c r="T66" i="31"/>
  <c r="V66" i="31"/>
  <c r="N67" i="31"/>
  <c r="P67" i="31"/>
  <c r="R67" i="31"/>
  <c r="T67" i="31"/>
  <c r="W67" i="31" s="1"/>
  <c r="Y67" i="31" s="1"/>
  <c r="V67" i="31"/>
  <c r="N68" i="31"/>
  <c r="P68" i="31"/>
  <c r="R68" i="31"/>
  <c r="T68" i="31"/>
  <c r="V68" i="31"/>
  <c r="X70" i="31"/>
  <c r="X87" i="31"/>
  <c r="X98" i="31"/>
  <c r="O104" i="31"/>
  <c r="Q104" i="31"/>
  <c r="S104" i="31"/>
  <c r="U104" i="31"/>
  <c r="R56" i="31"/>
  <c r="W23" i="31"/>
  <c r="Y23" i="31" s="1"/>
  <c r="W22" i="31"/>
  <c r="Y22" i="31" s="1"/>
  <c r="C6" i="26"/>
  <c r="C9" i="26"/>
  <c r="C7" i="26"/>
  <c r="C5" i="26"/>
  <c r="C8" i="26"/>
  <c r="O63" i="31" l="1"/>
  <c r="P63" i="31" s="1"/>
  <c r="O96" i="31"/>
  <c r="P96" i="31" s="1"/>
  <c r="T45" i="31"/>
  <c r="L97" i="31"/>
  <c r="N97" i="31" s="1"/>
  <c r="L64" i="31"/>
  <c r="N64" i="31" s="1"/>
  <c r="L63" i="31"/>
  <c r="N63" i="31" s="1"/>
  <c r="L96" i="31"/>
  <c r="N96" i="31" s="1"/>
  <c r="W41" i="31"/>
  <c r="Y41" i="31" s="1"/>
  <c r="P56" i="31"/>
  <c r="W53" i="31"/>
  <c r="Y53" i="31" s="1"/>
  <c r="Z53" i="31" s="1"/>
  <c r="W47" i="31"/>
  <c r="Y47" i="31" s="1"/>
  <c r="Z47" i="31" s="1"/>
  <c r="W42" i="31"/>
  <c r="Y42" i="31" s="1"/>
  <c r="W38" i="31"/>
  <c r="Y38" i="31" s="1"/>
  <c r="W37" i="31"/>
  <c r="Y37" i="31" s="1"/>
  <c r="Z37" i="31" s="1"/>
  <c r="W24" i="31"/>
  <c r="Y24" i="31" s="1"/>
  <c r="W20" i="31"/>
  <c r="Y20" i="31" s="1"/>
  <c r="AA20" i="31" s="1"/>
  <c r="W19" i="31"/>
  <c r="Y19" i="31" s="1"/>
  <c r="Z19" i="31" s="1"/>
  <c r="R26" i="31"/>
  <c r="R31" i="31" s="1"/>
  <c r="V26" i="31"/>
  <c r="V31" i="31" s="1"/>
  <c r="U77" i="31" s="1"/>
  <c r="V77" i="31" s="1"/>
  <c r="P29" i="31"/>
  <c r="P31" i="31" s="1"/>
  <c r="N26" i="31"/>
  <c r="V51" i="31"/>
  <c r="U79" i="31" s="1"/>
  <c r="V79" i="31" s="1"/>
  <c r="AA43" i="31"/>
  <c r="Z43" i="31"/>
  <c r="AB43" i="31" s="1"/>
  <c r="Z22" i="31"/>
  <c r="AA22" i="31"/>
  <c r="AB22" i="31" s="1"/>
  <c r="AA47" i="31"/>
  <c r="AA41" i="31"/>
  <c r="Z41" i="31"/>
  <c r="AB41" i="31" s="1"/>
  <c r="O97" i="31"/>
  <c r="P97" i="31" s="1"/>
  <c r="O64" i="31"/>
  <c r="P64" i="31" s="1"/>
  <c r="Q96" i="31"/>
  <c r="R96" i="31" s="1"/>
  <c r="Q63" i="31"/>
  <c r="R63" i="31" s="1"/>
  <c r="Z38" i="31"/>
  <c r="AB38" i="31" s="1"/>
  <c r="AA38" i="31"/>
  <c r="AA35" i="31"/>
  <c r="Z35" i="31"/>
  <c r="AB35" i="31" s="1"/>
  <c r="Z20" i="31"/>
  <c r="AA19" i="31"/>
  <c r="U94" i="31"/>
  <c r="V94" i="31" s="1"/>
  <c r="W26" i="31"/>
  <c r="Y26" i="31" s="1"/>
  <c r="Z42" i="31"/>
  <c r="AA42" i="31"/>
  <c r="AA37" i="31"/>
  <c r="AA24" i="31"/>
  <c r="Z24" i="31"/>
  <c r="AA21" i="31"/>
  <c r="Z21" i="31"/>
  <c r="AB21" i="31" s="1"/>
  <c r="Q62" i="31"/>
  <c r="R62" i="31" s="1"/>
  <c r="AA23" i="31"/>
  <c r="W17" i="31"/>
  <c r="Y17" i="31" s="1"/>
  <c r="W68" i="31"/>
  <c r="Y68" i="31" s="1"/>
  <c r="T56" i="31"/>
  <c r="P45" i="31"/>
  <c r="AB16" i="31"/>
  <c r="R29" i="31"/>
  <c r="Q97" i="31"/>
  <c r="R97" i="31" s="1"/>
  <c r="Q64" i="31"/>
  <c r="R64" i="31" s="1"/>
  <c r="N29" i="31"/>
  <c r="W49" i="31"/>
  <c r="Y49" i="31" s="1"/>
  <c r="W10" i="31"/>
  <c r="Y10" i="31" s="1"/>
  <c r="U80" i="31"/>
  <c r="V80" i="31" s="1"/>
  <c r="W9" i="31"/>
  <c r="Y9" i="31" s="1"/>
  <c r="W36" i="31"/>
  <c r="Y36" i="31" s="1"/>
  <c r="N45" i="31"/>
  <c r="AA18" i="31"/>
  <c r="U64" i="31"/>
  <c r="V64" i="31" s="1"/>
  <c r="Z48" i="31"/>
  <c r="AA48" i="31"/>
  <c r="W14" i="31"/>
  <c r="Y14" i="31" s="1"/>
  <c r="Z23" i="31"/>
  <c r="AB23" i="31" s="1"/>
  <c r="S62" i="31"/>
  <c r="T62" i="31" s="1"/>
  <c r="T26" i="31"/>
  <c r="T31" i="31" s="1"/>
  <c r="Z18" i="31"/>
  <c r="AB18" i="31" s="1"/>
  <c r="N31" i="31"/>
  <c r="V45" i="31"/>
  <c r="T29" i="31"/>
  <c r="Z16" i="31"/>
  <c r="S96" i="31"/>
  <c r="T96" i="31" s="1"/>
  <c r="S95" i="31"/>
  <c r="T95" i="31" s="1"/>
  <c r="W15" i="31"/>
  <c r="Y15" i="31" s="1"/>
  <c r="W54" i="31"/>
  <c r="Y54" i="31" s="1"/>
  <c r="W40" i="31"/>
  <c r="Y40" i="31" s="1"/>
  <c r="AA11" i="31"/>
  <c r="AB11" i="31" s="1"/>
  <c r="C3" i="26"/>
  <c r="C4" i="26"/>
  <c r="O94" i="31" l="1"/>
  <c r="P94" i="31" s="1"/>
  <c r="P87" i="31"/>
  <c r="O61" i="31"/>
  <c r="P61" i="31" s="1"/>
  <c r="AB24" i="31"/>
  <c r="AA53" i="31"/>
  <c r="AB53" i="31" s="1"/>
  <c r="AB20" i="31"/>
  <c r="AB47" i="31"/>
  <c r="U96" i="31"/>
  <c r="V96" i="31" s="1"/>
  <c r="W96" i="31" s="1"/>
  <c r="Y96" i="31" s="1"/>
  <c r="AB48" i="31"/>
  <c r="AB37" i="31"/>
  <c r="U61" i="31"/>
  <c r="V61" i="31" s="1"/>
  <c r="W51" i="31"/>
  <c r="Y51" i="31" s="1"/>
  <c r="AB42" i="31"/>
  <c r="W79" i="31"/>
  <c r="Y79" i="31" s="1"/>
  <c r="AB19" i="31"/>
  <c r="U63" i="31"/>
  <c r="V63" i="31" s="1"/>
  <c r="W63" i="31"/>
  <c r="Y63" i="31" s="1"/>
  <c r="L95" i="31"/>
  <c r="N95" i="31" s="1"/>
  <c r="L62" i="31"/>
  <c r="N62" i="31" s="1"/>
  <c r="W45" i="31"/>
  <c r="Y45" i="31" s="1"/>
  <c r="V98" i="31"/>
  <c r="Z9" i="31"/>
  <c r="AB9" i="31" s="1"/>
  <c r="AA9" i="31"/>
  <c r="AA15" i="31"/>
  <c r="Z15" i="31"/>
  <c r="AB15" i="31" s="1"/>
  <c r="O62" i="31"/>
  <c r="P62" i="31" s="1"/>
  <c r="P70" i="31" s="1"/>
  <c r="O95" i="31"/>
  <c r="P95" i="31" s="1"/>
  <c r="P98" i="31" s="1"/>
  <c r="AA36" i="31"/>
  <c r="Z36" i="31"/>
  <c r="AB36" i="31" s="1"/>
  <c r="AA10" i="31"/>
  <c r="Z10" i="31"/>
  <c r="AB10" i="31" s="1"/>
  <c r="S97" i="31"/>
  <c r="T97" i="31" s="1"/>
  <c r="W97" i="31" s="1"/>
  <c r="Y97" i="31" s="1"/>
  <c r="W80" i="31"/>
  <c r="Y80" i="31" s="1"/>
  <c r="S64" i="31"/>
  <c r="T64" i="31" s="1"/>
  <c r="W64" i="31" s="1"/>
  <c r="Y64" i="31" s="1"/>
  <c r="Z14" i="31"/>
  <c r="AB14" i="31" s="1"/>
  <c r="AA14" i="31"/>
  <c r="Q94" i="31"/>
  <c r="R94" i="31" s="1"/>
  <c r="R98" i="31" s="1"/>
  <c r="R87" i="31"/>
  <c r="Q61" i="31"/>
  <c r="R61" i="31" s="1"/>
  <c r="R70" i="31" s="1"/>
  <c r="Z40" i="31"/>
  <c r="AB40" i="31" s="1"/>
  <c r="AA40" i="31"/>
  <c r="Z49" i="31"/>
  <c r="AB49" i="31" s="1"/>
  <c r="AA49" i="31"/>
  <c r="W56" i="31"/>
  <c r="Y56" i="31" s="1"/>
  <c r="L61" i="31"/>
  <c r="N61" i="31" s="1"/>
  <c r="L94" i="31"/>
  <c r="N94" i="31" s="1"/>
  <c r="W31" i="31"/>
  <c r="Y31" i="31" s="1"/>
  <c r="S94" i="31"/>
  <c r="T94" i="31" s="1"/>
  <c r="S61" i="31"/>
  <c r="T61" i="31" s="1"/>
  <c r="Z54" i="31"/>
  <c r="AA54" i="31"/>
  <c r="U95" i="31"/>
  <c r="V95" i="31" s="1"/>
  <c r="U62" i="31"/>
  <c r="V62" i="31" s="1"/>
  <c r="V70" i="31" s="1"/>
  <c r="U78" i="31"/>
  <c r="V78" i="31" s="1"/>
  <c r="V87" i="31" s="1"/>
  <c r="W29" i="31"/>
  <c r="Y29" i="31" s="1"/>
  <c r="Z17" i="31"/>
  <c r="AA17" i="31"/>
  <c r="AB17" i="31" s="1"/>
  <c r="C10" i="26"/>
  <c r="C12" i="26" s="1"/>
  <c r="AB54" i="31" l="1"/>
  <c r="T98" i="31"/>
  <c r="V89" i="31"/>
  <c r="V91" i="31" s="1"/>
  <c r="V72" i="31"/>
  <c r="V74" i="31" s="1"/>
  <c r="P72" i="31"/>
  <c r="P74" i="31"/>
  <c r="V100" i="31"/>
  <c r="V102" i="31" s="1"/>
  <c r="V104" i="31" s="1"/>
  <c r="W77" i="31"/>
  <c r="Y77" i="31" s="1"/>
  <c r="N87" i="31"/>
  <c r="W94" i="31"/>
  <c r="Y94" i="31" s="1"/>
  <c r="N98" i="31"/>
  <c r="P89" i="31"/>
  <c r="P91" i="31"/>
  <c r="W62" i="31"/>
  <c r="Y62" i="31" s="1"/>
  <c r="T102" i="31"/>
  <c r="T100" i="31"/>
  <c r="N70" i="31"/>
  <c r="W61" i="31"/>
  <c r="Y61" i="31" s="1"/>
  <c r="W78" i="31"/>
  <c r="Y78" i="31" s="1"/>
  <c r="R72" i="31"/>
  <c r="R74" i="31"/>
  <c r="W95" i="31"/>
  <c r="Y95" i="31" s="1"/>
  <c r="T70" i="31"/>
  <c r="P100" i="31"/>
  <c r="P102" i="31" s="1"/>
  <c r="R89" i="31"/>
  <c r="R91" i="31" s="1"/>
  <c r="AA29" i="31"/>
  <c r="Z29" i="31"/>
  <c r="T87" i="31"/>
  <c r="R100" i="31"/>
  <c r="R102" i="31"/>
  <c r="P104" i="31" l="1"/>
  <c r="AB29" i="31"/>
  <c r="T89" i="31"/>
  <c r="T91" i="31" s="1"/>
  <c r="W98" i="31"/>
  <c r="Y98" i="31" s="1"/>
  <c r="N100" i="31"/>
  <c r="W100" i="31" s="1"/>
  <c r="Y100" i="31" s="1"/>
  <c r="R104" i="31"/>
  <c r="W70" i="31"/>
  <c r="Y70" i="31" s="1"/>
  <c r="N72" i="31"/>
  <c r="N89" i="31"/>
  <c r="W87" i="31"/>
  <c r="Y87" i="31" s="1"/>
  <c r="T72" i="31"/>
  <c r="T74" i="31" s="1"/>
  <c r="T104" i="31" l="1"/>
  <c r="W89" i="31"/>
  <c r="Y89" i="31" s="1"/>
  <c r="N91" i="31"/>
  <c r="W91" i="31" s="1"/>
  <c r="Y91" i="31" s="1"/>
  <c r="W72" i="31"/>
  <c r="Y72" i="31" s="1"/>
  <c r="N74" i="31"/>
  <c r="W74" i="31" s="1"/>
  <c r="Y74" i="31" s="1"/>
  <c r="N102" i="31"/>
  <c r="W102" i="31" l="1"/>
  <c r="Y102" i="31" s="1"/>
  <c r="N104" i="31"/>
  <c r="W104" i="31" s="1"/>
  <c r="Y104" i="31" s="1"/>
</calcChain>
</file>

<file path=xl/sharedStrings.xml><?xml version="1.0" encoding="utf-8"?>
<sst xmlns="http://schemas.openxmlformats.org/spreadsheetml/2006/main" count="545" uniqueCount="172">
  <si>
    <t>Entity:</t>
  </si>
  <si>
    <t>P</t>
  </si>
  <si>
    <t>Name of Project: Mexico Awareness Raising Project</t>
  </si>
  <si>
    <t>Program-Dept.:</t>
  </si>
  <si>
    <t>Name of Subawardee: Social Accountability International (SAI)</t>
  </si>
  <si>
    <t>Funder-Grant:</t>
  </si>
  <si>
    <t>DOL423</t>
  </si>
  <si>
    <t>Subaward Budget</t>
  </si>
  <si>
    <t>Sage Activity</t>
  </si>
  <si>
    <t>Account Code</t>
  </si>
  <si>
    <t>Country Code</t>
  </si>
  <si>
    <t>Office Code</t>
  </si>
  <si>
    <t>Subcontract Code</t>
  </si>
  <si>
    <t>Sub Activity</t>
  </si>
  <si>
    <t>Notes</t>
  </si>
  <si>
    <t>BUDGET ITEM</t>
  </si>
  <si>
    <t>COUNTRY</t>
  </si>
  <si>
    <t>CATEGORY</t>
  </si>
  <si>
    <t>UNIT</t>
  </si>
  <si>
    <t># of Units</t>
  </si>
  <si>
    <t>RATE/ UNIT</t>
  </si>
  <si>
    <t>YEAR 1</t>
  </si>
  <si>
    <t>YEAR 2</t>
  </si>
  <si>
    <t>YEAR 3</t>
  </si>
  <si>
    <r>
      <t xml:space="preserve">YEAR </t>
    </r>
    <r>
      <rPr>
        <b/>
        <sz val="8"/>
        <rFont val="Arial"/>
        <family val="2"/>
      </rPr>
      <t>4</t>
    </r>
  </si>
  <si>
    <t>YEAR 5</t>
  </si>
  <si>
    <t>TOTAL PARTNERS OF THE AMERICAS</t>
  </si>
  <si>
    <t>TOTAL COST SHARING</t>
  </si>
  <si>
    <t>PROJECT GRAND TOTAL</t>
  </si>
  <si>
    <t>Percentage 60% to Outcome 1</t>
  </si>
  <si>
    <t>Percentage 35% to Outcome 2</t>
  </si>
  <si>
    <t>Percentage 5% to Outcome 3</t>
  </si>
  <si>
    <t>Direct Labor</t>
  </si>
  <si>
    <t>Field Personnel (include Level of Effort (LOE))</t>
  </si>
  <si>
    <t>MX.1.1.C (Outcome 1)/ MX.2.1.C (Outcome 2)/ MX.3.7.C (Outcome 3)</t>
  </si>
  <si>
    <t>MEX</t>
  </si>
  <si>
    <t>SAI</t>
  </si>
  <si>
    <t>SAIPERSA1</t>
  </si>
  <si>
    <t>See breakdown column Y,Z, AA</t>
  </si>
  <si>
    <t>Assessor, Trainer &amp; Facilitator 1</t>
  </si>
  <si>
    <t>Mexico</t>
  </si>
  <si>
    <t>Salaries</t>
  </si>
  <si>
    <t>Month</t>
  </si>
  <si>
    <t>SAIPERSA2</t>
  </si>
  <si>
    <t>Assessor, Trainer &amp; Facilitator 2</t>
  </si>
  <si>
    <t>SAIPERSTR</t>
  </si>
  <si>
    <t>Translator</t>
  </si>
  <si>
    <t>HQ Personnel (include Level of Effort (LOE))</t>
  </si>
  <si>
    <t>SAIPERSSD</t>
  </si>
  <si>
    <t>Senior Director, Innovations and Capacity Building (Technical Lead)</t>
  </si>
  <si>
    <t>US</t>
  </si>
  <si>
    <t>SAIPERSAD</t>
  </si>
  <si>
    <t>Associate Director, Innovations and Partnerships (Project Management Lead)</t>
  </si>
  <si>
    <t>SAIPERSPM</t>
  </si>
  <si>
    <t>Program Manager, Policy &amp; Stakeholder Engagement</t>
  </si>
  <si>
    <t>SAIPERSMCM</t>
  </si>
  <si>
    <t>Manager, Communications &amp; Marketing</t>
  </si>
  <si>
    <t>SAIPERSMCA</t>
  </si>
  <si>
    <t>Communications Associate</t>
  </si>
  <si>
    <t>SAIPERSMPL</t>
  </si>
  <si>
    <t>Policy/Legal Manager</t>
  </si>
  <si>
    <t>SAIPERSCEO</t>
  </si>
  <si>
    <t>CEO</t>
  </si>
  <si>
    <t>SAIPERSCFO</t>
  </si>
  <si>
    <t>CFO</t>
  </si>
  <si>
    <t>SAIPERSFAC</t>
  </si>
  <si>
    <t>Finance &amp; Administrative Coordinator</t>
  </si>
  <si>
    <t>SAIPERSEX</t>
  </si>
  <si>
    <t>Experts/Consultants</t>
  </si>
  <si>
    <t>Global</t>
  </si>
  <si>
    <t>SAIPERSIT</t>
  </si>
  <si>
    <t>IT Consultant</t>
  </si>
  <si>
    <t xml:space="preserve">Subtotal </t>
  </si>
  <si>
    <t>Fringe Benefits</t>
  </si>
  <si>
    <t>SAIFRINGE</t>
  </si>
  <si>
    <t>Fringe benefits HQ Support</t>
  </si>
  <si>
    <t>Subtotal Direct Labor</t>
  </si>
  <si>
    <t>Travel</t>
  </si>
  <si>
    <t>T2. HQ Trips to Mexico</t>
  </si>
  <si>
    <t>SAIT2AIR</t>
  </si>
  <si>
    <t>Airfare for: NYC&lt;&gt;Mexico City</t>
  </si>
  <si>
    <t>Trip</t>
  </si>
  <si>
    <t>-</t>
  </si>
  <si>
    <t>SAIT2LODG</t>
  </si>
  <si>
    <t>Lodging and M&amp;IE</t>
  </si>
  <si>
    <t>Day</t>
  </si>
  <si>
    <t>SAIT2TRAN</t>
  </si>
  <si>
    <t>Local transportation</t>
  </si>
  <si>
    <t>SAIT2OTH</t>
  </si>
  <si>
    <t>Misc. Staff Travel Related Expenses</t>
  </si>
  <si>
    <t>T3. Field Personnel Trips in Mexico</t>
  </si>
  <si>
    <t>SAIT3AIR</t>
  </si>
  <si>
    <t>Airfare within Mexico</t>
  </si>
  <si>
    <t>SAIT3LODG</t>
  </si>
  <si>
    <t>SAIT3TRAN</t>
  </si>
  <si>
    <t>SAIT3OTH</t>
  </si>
  <si>
    <t>Subtotal Travel</t>
  </si>
  <si>
    <t>Supplies - Under $5,000 USD</t>
  </si>
  <si>
    <t>SAICOMP</t>
  </si>
  <si>
    <t>Desktop computers, laptops and software</t>
  </si>
  <si>
    <t>Supplies</t>
  </si>
  <si>
    <t>Unit</t>
  </si>
  <si>
    <t>SAIMATL</t>
  </si>
  <si>
    <t>Stationary/Printing Materials</t>
  </si>
  <si>
    <t>SAISUPPLY</t>
  </si>
  <si>
    <t>Misc. Office Supplies</t>
  </si>
  <si>
    <t>Subtotal Supplies</t>
  </si>
  <si>
    <t>Office Expenses</t>
  </si>
  <si>
    <t>SAIBANKFEE</t>
  </si>
  <si>
    <t xml:space="preserve">Banking and cash handling fees </t>
  </si>
  <si>
    <t>SAIEMAIL</t>
  </si>
  <si>
    <t>Email/Internet/Telecom/Video Conferencing</t>
  </si>
  <si>
    <t>Subtotal Office Expenses</t>
  </si>
  <si>
    <t>The above is only for percentage calculations for the below outcomes. Actual values are subject to change per changes to the corresponding scope of work.</t>
  </si>
  <si>
    <t>Outcome 1: Increase understanding by workers, employers, and union leaders on how to utilize Mexico’s new labor systems to protect labor rights and effectively address labor disputes.</t>
  </si>
  <si>
    <t>Activities/Costs</t>
  </si>
  <si>
    <t>MX.1.1.C</t>
  </si>
  <si>
    <t>Personnel &amp; Fringe (60% of Direct Labor line item)</t>
  </si>
  <si>
    <t>Outcome1</t>
  </si>
  <si>
    <t>Travel 60%</t>
  </si>
  <si>
    <t>Supplies 60%</t>
  </si>
  <si>
    <t>Office Expenses 60%</t>
  </si>
  <si>
    <t>SAIPUBLIC</t>
  </si>
  <si>
    <t>1.1: Publications/publishing</t>
  </si>
  <si>
    <t>SAICOMM</t>
  </si>
  <si>
    <t>1.2: Communications/Technology Platform testing and subscription fees</t>
  </si>
  <si>
    <t>SAISUMMIT</t>
  </si>
  <si>
    <t>1.3: Summit and workshop expenses - Venue and Catering</t>
  </si>
  <si>
    <t>SAIWORKEX</t>
  </si>
  <si>
    <t>1.4: Workshop expenses - Venue and Catering</t>
  </si>
  <si>
    <t>Direct Costs Total for Outcome 1</t>
  </si>
  <si>
    <t>SAIIDCCOST</t>
  </si>
  <si>
    <t>Total Indirect Costs (De Minimis) for Outcome 1</t>
  </si>
  <si>
    <t>Indirect Charges</t>
  </si>
  <si>
    <t>Subtotal Outcome 1</t>
  </si>
  <si>
    <t>Outcome 2: Build the capacity of the federal and state level Secretariat of Labor and Social Welfare (Secretaría de Trabajo y Prevención Social or STPS) staff and constituents from key institutions to conduct outreach regarding labor rights and implementation of the labor reforms among target audiences.</t>
  </si>
  <si>
    <t xml:space="preserve">MX.2.1.C </t>
  </si>
  <si>
    <t>Personnel &amp; Fringe (35% of Direct Labor line item)</t>
  </si>
  <si>
    <t>Outcome2</t>
  </si>
  <si>
    <t>Travel 35%</t>
  </si>
  <si>
    <t>Supplies 35%</t>
  </si>
  <si>
    <t>Office Expenses 35%</t>
  </si>
  <si>
    <t>2.1.1 Initial communications capacity assessment of STPS &amp; peer institutions</t>
  </si>
  <si>
    <t>MX.2.1.C</t>
  </si>
  <si>
    <t>SAIHONOR</t>
  </si>
  <si>
    <t>2.1: Speaker honorariums</t>
  </si>
  <si>
    <t>SAIMEETING</t>
  </si>
  <si>
    <t>2.2: Meeting/Workshop Expenses - Venue and Catering</t>
  </si>
  <si>
    <t>SAIPLATFOR</t>
  </si>
  <si>
    <t>2.3: Online assessment platform fees</t>
  </si>
  <si>
    <t>SAIPRESS</t>
  </si>
  <si>
    <t>2.4: Press releases</t>
  </si>
  <si>
    <t>Direct Costs Total for Outcome 2</t>
  </si>
  <si>
    <t>Total Indirect Costs (De Minimis) for Outcome 2</t>
  </si>
  <si>
    <t>Subtotal Outcome 2</t>
  </si>
  <si>
    <t>Monitoring, Evaluation, and Collection of Reliable Data</t>
  </si>
  <si>
    <t>MX.3.7.C</t>
  </si>
  <si>
    <t>Personnel &amp; Fringe (5% of Direct Labor line item)</t>
  </si>
  <si>
    <t>M&amp;E</t>
  </si>
  <si>
    <t>Travel 5%</t>
  </si>
  <si>
    <t>Supplies 5%</t>
  </si>
  <si>
    <t>Office Expenses %</t>
  </si>
  <si>
    <t>Direct Costs Total for Monitoring, Evaluation, and Collection of Reliable Data</t>
  </si>
  <si>
    <t>Total Indirect Costs (De Minimis)  for M&amp;E and Collection of Reliable Data</t>
  </si>
  <si>
    <t>Subtotal Monitoring, Evaluation, and Collection of Reliable Data</t>
  </si>
  <si>
    <t>TOTAL COSTS</t>
  </si>
  <si>
    <t>Category</t>
  </si>
  <si>
    <t>TOTAL USDOL</t>
  </si>
  <si>
    <t xml:space="preserve">Equipment </t>
  </si>
  <si>
    <t>Contractual</t>
  </si>
  <si>
    <t>Other Direct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</si>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</sst>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_(&quot;$&quot;* #,##0_);_(&quot;$&quot;* \(#,##0\);_(&quot;$&quot;* &quot;-&quot;??_);_(@_)"/>
    <numFmt numFmtId="169" formatCode="_([$$-409]* #,##0_);_([$$-409]* \(#,##0\);_([$$-409]* &quot;-&quot;??_);_(@_)"/>
    <numFmt numFmtId="170" formatCode="_-* #,##0.000\ _B_s_-;\-* #,##0.000\ _B_s_-;_-* &quot;-&quot;??\ _B_s_-;_-@_-"/>
    <numFmt numFmtId="171" formatCode="_-&quot;$&quot;* #,##0_-;\-&quot;$&quot;* #,##0_-;_-&quot;$&quot;* &quot;-&quot;??_-;_-@_-"/>
    <numFmt numFmtId="172" formatCode="_-* #,##0.00\ _€_-;\-* #,##0.00\ _€_-;_-* &quot;-&quot;??\ _€_-;_-@_-"/>
    <numFmt numFmtId="173" formatCode="#,##0.00;[Red]#,##0.00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96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2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5" borderId="0" applyNumberFormat="0" applyBorder="0" applyAlignment="0" applyProtection="0"/>
    <xf numFmtId="0" fontId="16" fillId="12" borderId="0" applyNumberFormat="0" applyBorder="0" applyAlignment="0" applyProtection="0"/>
    <xf numFmtId="0" fontId="16" fillId="6" borderId="0" applyNumberFormat="0" applyBorder="0" applyAlignment="0" applyProtection="0"/>
    <xf numFmtId="0" fontId="16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14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5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3" fillId="18" borderId="0" applyNumberFormat="0" applyBorder="0" applyAlignment="0" applyProtection="0"/>
    <xf numFmtId="0" fontId="18" fillId="2" borderId="16" applyNumberFormat="0" applyAlignment="0" applyProtection="0"/>
    <xf numFmtId="0" fontId="19" fillId="19" borderId="17" applyNumberFormat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11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72" fontId="1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0" borderId="0" applyNumberFormat="0" applyBorder="0" applyAlignment="0" applyProtection="0"/>
    <xf numFmtId="0" fontId="14" fillId="0" borderId="1" applyNumberFormat="0" applyFill="0" applyAlignment="0" applyProtection="0"/>
    <xf numFmtId="0" fontId="14" fillId="0" borderId="18" applyNumberFormat="0" applyFill="0" applyAlignment="0" applyProtection="0"/>
    <xf numFmtId="0" fontId="14" fillId="0" borderId="2" applyNumberFormat="0" applyFill="0" applyAlignment="0" applyProtection="0"/>
    <xf numFmtId="0" fontId="14" fillId="0" borderId="0" applyNumberFormat="0" applyFill="0" applyBorder="0" applyAlignment="0" applyProtection="0"/>
    <xf numFmtId="0" fontId="23" fillId="21" borderId="16" applyNumberFormat="0" applyAlignment="0" applyProtection="0"/>
    <xf numFmtId="0" fontId="24" fillId="0" borderId="19" applyNumberFormat="0" applyFill="0" applyAlignment="0" applyProtection="0"/>
    <xf numFmtId="17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22" borderId="0" applyNumberFormat="0" applyBorder="0" applyAlignment="0" applyProtection="0"/>
    <xf numFmtId="0" fontId="8" fillId="0" borderId="0"/>
    <xf numFmtId="0" fontId="6" fillId="0" borderId="0"/>
    <xf numFmtId="0" fontId="16" fillId="0" borderId="0"/>
    <xf numFmtId="3" fontId="20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5" fillId="0" borderId="0"/>
    <xf numFmtId="0" fontId="20" fillId="0" borderId="0"/>
    <xf numFmtId="0" fontId="12" fillId="23" borderId="20" applyNumberFormat="0" applyFont="0" applyAlignment="0" applyProtection="0"/>
    <xf numFmtId="0" fontId="26" fillId="2" borderId="21" applyNumberFormat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3" applyNumberFormat="0" applyFill="0" applyAlignment="0" applyProtection="0"/>
    <xf numFmtId="0" fontId="28" fillId="0" borderId="0" applyNumberForma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5" fontId="32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69" fontId="3" fillId="24" borderId="4" xfId="0" applyNumberFormat="1" applyFont="1" applyFill="1" applyBorder="1" applyAlignment="1">
      <alignment horizontal="right" wrapText="1"/>
    </xf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8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168" fontId="2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67" fontId="2" fillId="0" borderId="0" xfId="0" applyNumberFormat="1" applyFont="1" applyAlignment="1">
      <alignment wrapText="1"/>
    </xf>
    <xf numFmtId="0" fontId="3" fillId="27" borderId="0" xfId="0" applyFont="1" applyFill="1" applyAlignment="1">
      <alignment wrapText="1"/>
    </xf>
    <xf numFmtId="0" fontId="3" fillId="27" borderId="0" xfId="0" applyFont="1" applyFill="1" applyAlignment="1">
      <alignment horizontal="right" wrapText="1"/>
    </xf>
    <xf numFmtId="3" fontId="3" fillId="27" borderId="0" xfId="0" applyNumberFormat="1" applyFont="1" applyFill="1" applyAlignment="1">
      <alignment horizontal="right" wrapText="1"/>
    </xf>
    <xf numFmtId="169" fontId="3" fillId="27" borderId="0" xfId="0" applyNumberFormat="1" applyFont="1" applyFill="1" applyAlignment="1">
      <alignment horizontal="right" wrapText="1"/>
    </xf>
    <xf numFmtId="168" fontId="3" fillId="27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169" fontId="3" fillId="24" borderId="0" xfId="0" applyNumberFormat="1" applyFont="1" applyFill="1" applyAlignment="1">
      <alignment horizontal="right" wrapText="1"/>
    </xf>
    <xf numFmtId="168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0" fontId="2" fillId="24" borderId="0" xfId="0" applyFont="1" applyFill="1" applyAlignment="1">
      <alignment horizontal="left" wrapText="1"/>
    </xf>
    <xf numFmtId="3" fontId="3" fillId="24" borderId="0" xfId="0" applyNumberFormat="1" applyFont="1" applyFill="1" applyAlignment="1">
      <alignment wrapText="1"/>
    </xf>
    <xf numFmtId="0" fontId="3" fillId="24" borderId="0" xfId="0" applyFont="1" applyFill="1" applyAlignment="1">
      <alignment wrapText="1"/>
    </xf>
    <xf numFmtId="0" fontId="0" fillId="28" borderId="0" xfId="0" applyFill="1"/>
    <xf numFmtId="0" fontId="0" fillId="28" borderId="7" xfId="0" applyFill="1" applyBorder="1"/>
    <xf numFmtId="0" fontId="0" fillId="28" borderId="8" xfId="0" applyFill="1" applyBorder="1"/>
    <xf numFmtId="0" fontId="0" fillId="28" borderId="9" xfId="0" applyFill="1" applyBorder="1"/>
    <xf numFmtId="0" fontId="7" fillId="24" borderId="10" xfId="0" applyFont="1" applyFill="1" applyBorder="1"/>
    <xf numFmtId="0" fontId="7" fillId="24" borderId="11" xfId="0" applyFont="1" applyFill="1" applyBorder="1"/>
    <xf numFmtId="0" fontId="3" fillId="26" borderId="6" xfId="0" applyFont="1" applyFill="1" applyBorder="1" applyAlignment="1">
      <alignment vertical="top"/>
    </xf>
    <xf numFmtId="171" fontId="0" fillId="28" borderId="12" xfId="0" applyNumberFormat="1" applyFill="1" applyBorder="1"/>
    <xf numFmtId="171" fontId="0" fillId="28" borderId="13" xfId="0" applyNumberFormat="1" applyFill="1" applyBorder="1"/>
    <xf numFmtId="171" fontId="0" fillId="28" borderId="14" xfId="0" applyNumberFormat="1" applyFill="1" applyBorder="1"/>
    <xf numFmtId="0" fontId="7" fillId="28" borderId="15" xfId="0" applyFont="1" applyFill="1" applyBorder="1"/>
    <xf numFmtId="2" fontId="2" fillId="0" borderId="0" xfId="0" applyNumberFormat="1" applyFont="1" applyAlignment="1">
      <alignment horizontal="right" wrapText="1"/>
    </xf>
    <xf numFmtId="0" fontId="2" fillId="0" borderId="0" xfId="268" applyFont="1" applyAlignment="1">
      <alignment horizontal="left" wrapText="1"/>
    </xf>
    <xf numFmtId="0" fontId="3" fillId="24" borderId="0" xfId="0" applyFont="1" applyFill="1" applyAlignment="1">
      <alignment horizontal="left" wrapText="1"/>
    </xf>
    <xf numFmtId="0" fontId="9" fillId="26" borderId="6" xfId="0" applyFont="1" applyFill="1" applyBorder="1" applyAlignment="1">
      <alignment vertical="top"/>
    </xf>
    <xf numFmtId="0" fontId="2" fillId="24" borderId="0" xfId="268" applyFont="1" applyFill="1" applyAlignment="1">
      <alignment horizontal="left" wrapText="1"/>
    </xf>
    <xf numFmtId="0" fontId="3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wrapText="1"/>
    </xf>
    <xf numFmtId="0" fontId="2" fillId="29" borderId="0" xfId="0" applyFont="1" applyFill="1" applyAlignment="1">
      <alignment horizontal="left" vertical="top" wrapText="1"/>
    </xf>
    <xf numFmtId="167" fontId="2" fillId="29" borderId="0" xfId="0" applyNumberFormat="1" applyFont="1" applyFill="1" applyAlignment="1">
      <alignment horizontal="right" wrapText="1"/>
    </xf>
    <xf numFmtId="2" fontId="2" fillId="0" borderId="0" xfId="0" applyNumberFormat="1" applyFont="1"/>
    <xf numFmtId="0" fontId="2" fillId="0" borderId="0" xfId="268" applyFont="1" applyAlignment="1">
      <alignment wrapText="1"/>
    </xf>
    <xf numFmtId="167" fontId="2" fillId="0" borderId="0" xfId="293" applyNumberFormat="1" applyFont="1" applyAlignment="1">
      <alignment wrapText="1"/>
    </xf>
    <xf numFmtId="10" fontId="2" fillId="0" borderId="0" xfId="294" applyNumberFormat="1" applyFont="1"/>
    <xf numFmtId="10" fontId="2" fillId="0" borderId="0" xfId="294" applyNumberFormat="1" applyFont="1" applyFill="1" applyAlignment="1">
      <alignment horizontal="right" wrapText="1"/>
    </xf>
    <xf numFmtId="169" fontId="3" fillId="24" borderId="0" xfId="295" applyNumberFormat="1" applyFont="1" applyFill="1" applyBorder="1" applyAlignment="1">
      <alignment horizontal="right" wrapText="1"/>
    </xf>
    <xf numFmtId="167" fontId="2" fillId="0" borderId="0" xfId="293" applyNumberFormat="1" applyFont="1" applyFill="1" applyBorder="1" applyAlignment="1"/>
    <xf numFmtId="43" fontId="2" fillId="0" borderId="0" xfId="293" applyNumberFormat="1" applyFont="1" applyFill="1" applyBorder="1" applyAlignment="1"/>
    <xf numFmtId="4" fontId="2" fillId="0" borderId="0" xfId="0" applyNumberFormat="1" applyFont="1" applyAlignment="1">
      <alignment horizontal="right" wrapText="1"/>
    </xf>
    <xf numFmtId="170" fontId="2" fillId="0" borderId="0" xfId="293" applyNumberFormat="1" applyFont="1" applyFill="1" applyBorder="1" applyAlignment="1"/>
    <xf numFmtId="2" fontId="3" fillId="0" borderId="0" xfId="0" applyNumberFormat="1" applyFont="1" applyAlignment="1">
      <alignment horizontal="right" wrapText="1"/>
    </xf>
    <xf numFmtId="0" fontId="4" fillId="24" borderId="0" xfId="268" applyFont="1" applyFill="1" applyAlignment="1">
      <alignment horizontal="left" wrapText="1"/>
    </xf>
    <xf numFmtId="0" fontId="3" fillId="26" borderId="6" xfId="0" applyFont="1" applyFill="1" applyBorder="1" applyAlignment="1">
      <alignment vertical="top" wrapText="1"/>
    </xf>
    <xf numFmtId="10" fontId="3" fillId="0" borderId="0" xfId="0" applyNumberFormat="1" applyFont="1" applyAlignment="1">
      <alignment wrapText="1"/>
    </xf>
    <xf numFmtId="0" fontId="2" fillId="0" borderId="0" xfId="268" applyFont="1" applyAlignment="1">
      <alignment horizontal="left" vertical="top" wrapText="1"/>
    </xf>
    <xf numFmtId="167" fontId="2" fillId="0" borderId="0" xfId="268" applyNumberFormat="1" applyFont="1" applyAlignment="1">
      <alignment horizontal="right" wrapText="1"/>
    </xf>
    <xf numFmtId="3" fontId="2" fillId="0" borderId="0" xfId="268" applyNumberFormat="1" applyFont="1" applyAlignment="1">
      <alignment horizontal="right" wrapText="1"/>
    </xf>
    <xf numFmtId="169" fontId="3" fillId="24" borderId="4" xfId="295" applyNumberFormat="1" applyFont="1" applyFill="1" applyBorder="1" applyAlignment="1">
      <alignment horizontal="right" wrapText="1"/>
    </xf>
    <xf numFmtId="0" fontId="2" fillId="24" borderId="0" xfId="268" applyFont="1" applyFill="1" applyAlignment="1">
      <alignment horizontal="left" vertical="top" wrapText="1"/>
    </xf>
    <xf numFmtId="3" fontId="2" fillId="24" borderId="0" xfId="268" applyNumberFormat="1" applyFont="1" applyFill="1" applyAlignment="1">
      <alignment horizontal="right" wrapText="1"/>
    </xf>
    <xf numFmtId="10" fontId="2" fillId="24" borderId="0" xfId="268" applyNumberFormat="1" applyFont="1" applyFill="1" applyAlignment="1">
      <alignment horizontal="right" wrapText="1"/>
    </xf>
    <xf numFmtId="167" fontId="2" fillId="24" borderId="0" xfId="268" applyNumberFormat="1" applyFont="1" applyFill="1" applyAlignment="1">
      <alignment horizontal="right" wrapText="1"/>
    </xf>
    <xf numFmtId="169" fontId="3" fillId="25" borderId="5" xfId="295" applyNumberFormat="1" applyFont="1" applyFill="1" applyBorder="1" applyAlignment="1">
      <alignment horizontal="right" wrapText="1"/>
    </xf>
    <xf numFmtId="3" fontId="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wrapText="1"/>
    </xf>
    <xf numFmtId="169" fontId="3" fillId="30" borderId="0" xfId="142" applyNumberFormat="1" applyFont="1" applyFill="1" applyAlignment="1">
      <alignment horizontal="center" vertical="center"/>
    </xf>
    <xf numFmtId="169" fontId="3" fillId="30" borderId="0" xfId="142" applyNumberFormat="1" applyFont="1" applyFill="1"/>
    <xf numFmtId="169" fontId="2" fillId="30" borderId="0" xfId="142" applyNumberFormat="1" applyFont="1" applyFill="1"/>
    <xf numFmtId="169" fontId="3" fillId="30" borderId="4" xfId="142" applyNumberFormat="1" applyFont="1" applyFill="1" applyBorder="1" applyAlignment="1">
      <alignment horizontal="center" wrapText="1"/>
    </xf>
    <xf numFmtId="169" fontId="30" fillId="30" borderId="0" xfId="142" applyNumberFormat="1" applyFont="1" applyFill="1" applyAlignment="1">
      <alignment vertical="center"/>
    </xf>
    <xf numFmtId="169" fontId="7" fillId="30" borderId="0" xfId="142" applyNumberFormat="1" applyFont="1" applyFill="1" applyAlignment="1">
      <alignment vertical="center"/>
    </xf>
    <xf numFmtId="169" fontId="2" fillId="30" borderId="0" xfId="142" applyNumberFormat="1" applyFont="1" applyFill="1" applyAlignment="1">
      <alignment horizontal="center"/>
    </xf>
    <xf numFmtId="169" fontId="2" fillId="30" borderId="0" xfId="142" applyNumberFormat="1" applyFont="1" applyFill="1" applyAlignment="1">
      <alignment horizontal="center" vertical="center"/>
    </xf>
    <xf numFmtId="169" fontId="2" fillId="30" borderId="0" xfId="142" applyNumberFormat="1" applyFont="1" applyFill="1" applyBorder="1" applyAlignment="1"/>
    <xf numFmtId="169" fontId="2" fillId="30" borderId="0" xfId="142" applyNumberFormat="1" applyFont="1" applyFill="1" applyAlignment="1">
      <alignment wrapText="1"/>
    </xf>
    <xf numFmtId="169" fontId="3" fillId="30" borderId="0" xfId="142" applyNumberFormat="1" applyFont="1" applyFill="1" applyAlignment="1">
      <alignment horizontal="right"/>
    </xf>
    <xf numFmtId="0" fontId="9" fillId="26" borderId="6" xfId="0" applyFont="1" applyFill="1" applyBorder="1" applyAlignment="1">
      <alignment horizontal="left" vertical="top"/>
    </xf>
    <xf numFmtId="0" fontId="31" fillId="24" borderId="2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29" fillId="0" borderId="0" xfId="0" applyFont="1" applyAlignment="1">
      <alignment horizontal="center" vertical="center" wrapText="1"/>
    </xf>
    <xf numFmtId="3" fontId="29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3" fontId="3" fillId="0" borderId="0" xfId="0" applyNumberFormat="1" applyFont="1" applyAlignment="1">
      <alignment vertical="center" wrapText="1"/>
    </xf>
    <xf numFmtId="0" fontId="29" fillId="0" borderId="4" xfId="0" applyFont="1" applyBorder="1" applyAlignment="1">
      <alignment wrapText="1"/>
    </xf>
    <xf numFmtId="0" fontId="4" fillId="24" borderId="0" xfId="268" applyFont="1" applyFill="1" applyAlignment="1">
      <alignment wrapText="1"/>
    </xf>
    <xf numFmtId="0" fontId="2" fillId="0" borderId="0" xfId="0" applyFont="1" applyAlignment="1"/>
    <xf numFmtId="0" fontId="3" fillId="29" borderId="0" xfId="0" applyFont="1" applyFill="1" applyAlignment="1">
      <alignment wrapText="1"/>
    </xf>
  </cellXfs>
  <cellStyles count="29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[0] 2" xfId="28" xr:uid="{00000000-0005-0000-0000-00001C000000}"/>
    <cellStyle name="Comma 10" xfId="29" xr:uid="{00000000-0005-0000-0000-00001D000000}"/>
    <cellStyle name="Comma 100" xfId="30" xr:uid="{00000000-0005-0000-0000-00001E000000}"/>
    <cellStyle name="Comma 101" xfId="31" xr:uid="{00000000-0005-0000-0000-00001F000000}"/>
    <cellStyle name="Comma 102" xfId="32" xr:uid="{00000000-0005-0000-0000-000020000000}"/>
    <cellStyle name="Comma 103" xfId="33" xr:uid="{00000000-0005-0000-0000-000021000000}"/>
    <cellStyle name="Comma 104" xfId="293" xr:uid="{D448082A-7DB8-4426-A249-3D0B46428217}"/>
    <cellStyle name="Comma 11" xfId="34" xr:uid="{00000000-0005-0000-0000-000022000000}"/>
    <cellStyle name="Comma 12" xfId="35" xr:uid="{00000000-0005-0000-0000-000023000000}"/>
    <cellStyle name="Comma 13" xfId="36" xr:uid="{00000000-0005-0000-0000-000024000000}"/>
    <cellStyle name="Comma 14" xfId="37" xr:uid="{00000000-0005-0000-0000-000025000000}"/>
    <cellStyle name="Comma 15" xfId="38" xr:uid="{00000000-0005-0000-0000-000026000000}"/>
    <cellStyle name="Comma 16" xfId="39" xr:uid="{00000000-0005-0000-0000-000027000000}"/>
    <cellStyle name="Comma 17" xfId="40" xr:uid="{00000000-0005-0000-0000-000028000000}"/>
    <cellStyle name="Comma 18" xfId="41" xr:uid="{00000000-0005-0000-0000-000029000000}"/>
    <cellStyle name="Comma 19" xfId="42" xr:uid="{00000000-0005-0000-0000-00002A000000}"/>
    <cellStyle name="Comma 2" xfId="43" xr:uid="{00000000-0005-0000-0000-00002B000000}"/>
    <cellStyle name="Comma 2 2" xfId="44" xr:uid="{00000000-0005-0000-0000-00002C000000}"/>
    <cellStyle name="Comma 2 3" xfId="45" xr:uid="{00000000-0005-0000-0000-00002D000000}"/>
    <cellStyle name="Comma 20" xfId="46" xr:uid="{00000000-0005-0000-0000-00002E000000}"/>
    <cellStyle name="Comma 21" xfId="47" xr:uid="{00000000-0005-0000-0000-00002F000000}"/>
    <cellStyle name="Comma 22" xfId="48" xr:uid="{00000000-0005-0000-0000-000030000000}"/>
    <cellStyle name="Comma 23" xfId="49" xr:uid="{00000000-0005-0000-0000-000031000000}"/>
    <cellStyle name="Comma 24" xfId="50" xr:uid="{00000000-0005-0000-0000-000032000000}"/>
    <cellStyle name="Comma 25" xfId="51" xr:uid="{00000000-0005-0000-0000-000033000000}"/>
    <cellStyle name="Comma 26" xfId="52" xr:uid="{00000000-0005-0000-0000-000034000000}"/>
    <cellStyle name="Comma 27" xfId="53" xr:uid="{00000000-0005-0000-0000-000035000000}"/>
    <cellStyle name="Comma 28" xfId="54" xr:uid="{00000000-0005-0000-0000-000036000000}"/>
    <cellStyle name="Comma 29" xfId="55" xr:uid="{00000000-0005-0000-0000-000037000000}"/>
    <cellStyle name="Comma 3" xfId="56" xr:uid="{00000000-0005-0000-0000-000038000000}"/>
    <cellStyle name="Comma 3 2" xfId="57" xr:uid="{00000000-0005-0000-0000-000039000000}"/>
    <cellStyle name="Comma 3 3" xfId="58" xr:uid="{00000000-0005-0000-0000-00003A000000}"/>
    <cellStyle name="Comma 30" xfId="59" xr:uid="{00000000-0005-0000-0000-00003B000000}"/>
    <cellStyle name="Comma 31" xfId="60" xr:uid="{00000000-0005-0000-0000-00003C000000}"/>
    <cellStyle name="Comma 32" xfId="61" xr:uid="{00000000-0005-0000-0000-00003D000000}"/>
    <cellStyle name="Comma 33" xfId="62" xr:uid="{00000000-0005-0000-0000-00003E000000}"/>
    <cellStyle name="Comma 34" xfId="63" xr:uid="{00000000-0005-0000-0000-00003F000000}"/>
    <cellStyle name="Comma 35" xfId="64" xr:uid="{00000000-0005-0000-0000-000040000000}"/>
    <cellStyle name="Comma 36" xfId="65" xr:uid="{00000000-0005-0000-0000-000041000000}"/>
    <cellStyle name="Comma 37" xfId="66" xr:uid="{00000000-0005-0000-0000-000042000000}"/>
    <cellStyle name="Comma 38" xfId="67" xr:uid="{00000000-0005-0000-0000-000043000000}"/>
    <cellStyle name="Comma 39" xfId="68" xr:uid="{00000000-0005-0000-0000-000044000000}"/>
    <cellStyle name="Comma 4" xfId="69" xr:uid="{00000000-0005-0000-0000-000045000000}"/>
    <cellStyle name="Comma 4 2" xfId="70" xr:uid="{00000000-0005-0000-0000-000046000000}"/>
    <cellStyle name="Comma 40" xfId="71" xr:uid="{00000000-0005-0000-0000-000047000000}"/>
    <cellStyle name="Comma 41" xfId="72" xr:uid="{00000000-0005-0000-0000-000048000000}"/>
    <cellStyle name="Comma 42" xfId="73" xr:uid="{00000000-0005-0000-0000-000049000000}"/>
    <cellStyle name="Comma 43" xfId="74" xr:uid="{00000000-0005-0000-0000-00004A000000}"/>
    <cellStyle name="Comma 44" xfId="75" xr:uid="{00000000-0005-0000-0000-00004B000000}"/>
    <cellStyle name="Comma 45" xfId="76" xr:uid="{00000000-0005-0000-0000-00004C000000}"/>
    <cellStyle name="Comma 46" xfId="77" xr:uid="{00000000-0005-0000-0000-00004D000000}"/>
    <cellStyle name="Comma 47" xfId="78" xr:uid="{00000000-0005-0000-0000-00004E000000}"/>
    <cellStyle name="Comma 48" xfId="79" xr:uid="{00000000-0005-0000-0000-00004F000000}"/>
    <cellStyle name="Comma 49" xfId="80" xr:uid="{00000000-0005-0000-0000-000050000000}"/>
    <cellStyle name="Comma 5" xfId="81" xr:uid="{00000000-0005-0000-0000-000051000000}"/>
    <cellStyle name="Comma 5 2" xfId="82" xr:uid="{00000000-0005-0000-0000-000052000000}"/>
    <cellStyle name="Comma 50" xfId="83" xr:uid="{00000000-0005-0000-0000-000053000000}"/>
    <cellStyle name="Comma 51" xfId="84" xr:uid="{00000000-0005-0000-0000-000054000000}"/>
    <cellStyle name="Comma 52" xfId="85" xr:uid="{00000000-0005-0000-0000-000055000000}"/>
    <cellStyle name="Comma 53" xfId="86" xr:uid="{00000000-0005-0000-0000-000056000000}"/>
    <cellStyle name="Comma 54" xfId="87" xr:uid="{00000000-0005-0000-0000-000057000000}"/>
    <cellStyle name="Comma 54 2" xfId="88" xr:uid="{00000000-0005-0000-0000-000058000000}"/>
    <cellStyle name="Comma 55" xfId="89" xr:uid="{00000000-0005-0000-0000-000059000000}"/>
    <cellStyle name="Comma 56" xfId="90" xr:uid="{00000000-0005-0000-0000-00005A000000}"/>
    <cellStyle name="Comma 56 2" xfId="91" xr:uid="{00000000-0005-0000-0000-00005B000000}"/>
    <cellStyle name="Comma 56 3" xfId="92" xr:uid="{00000000-0005-0000-0000-00005C000000}"/>
    <cellStyle name="Comma 57" xfId="93" xr:uid="{00000000-0005-0000-0000-00005D000000}"/>
    <cellStyle name="Comma 58" xfId="94" xr:uid="{00000000-0005-0000-0000-00005E000000}"/>
    <cellStyle name="Comma 59" xfId="95" xr:uid="{00000000-0005-0000-0000-00005F000000}"/>
    <cellStyle name="Comma 6" xfId="96" xr:uid="{00000000-0005-0000-0000-000060000000}"/>
    <cellStyle name="Comma 60" xfId="97" xr:uid="{00000000-0005-0000-0000-000061000000}"/>
    <cellStyle name="Comma 61" xfId="98" xr:uid="{00000000-0005-0000-0000-000062000000}"/>
    <cellStyle name="Comma 62" xfId="99" xr:uid="{00000000-0005-0000-0000-000063000000}"/>
    <cellStyle name="Comma 63" xfId="100" xr:uid="{00000000-0005-0000-0000-000064000000}"/>
    <cellStyle name="Comma 64" xfId="101" xr:uid="{00000000-0005-0000-0000-000065000000}"/>
    <cellStyle name="Comma 65" xfId="102" xr:uid="{00000000-0005-0000-0000-000066000000}"/>
    <cellStyle name="Comma 66" xfId="103" xr:uid="{00000000-0005-0000-0000-000067000000}"/>
    <cellStyle name="Comma 67" xfId="104" xr:uid="{00000000-0005-0000-0000-000068000000}"/>
    <cellStyle name="Comma 68" xfId="105" xr:uid="{00000000-0005-0000-0000-000069000000}"/>
    <cellStyle name="Comma 69" xfId="106" xr:uid="{00000000-0005-0000-0000-00006A000000}"/>
    <cellStyle name="Comma 7" xfId="107" xr:uid="{00000000-0005-0000-0000-00006B000000}"/>
    <cellStyle name="Comma 70" xfId="108" xr:uid="{00000000-0005-0000-0000-00006C000000}"/>
    <cellStyle name="Comma 71" xfId="109" xr:uid="{00000000-0005-0000-0000-00006D000000}"/>
    <cellStyle name="Comma 72" xfId="110" xr:uid="{00000000-0005-0000-0000-00006E000000}"/>
    <cellStyle name="Comma 73" xfId="111" xr:uid="{00000000-0005-0000-0000-00006F000000}"/>
    <cellStyle name="Comma 74" xfId="112" xr:uid="{00000000-0005-0000-0000-000070000000}"/>
    <cellStyle name="Comma 75" xfId="113" xr:uid="{00000000-0005-0000-0000-000071000000}"/>
    <cellStyle name="Comma 76" xfId="114" xr:uid="{00000000-0005-0000-0000-000072000000}"/>
    <cellStyle name="Comma 77" xfId="115" xr:uid="{00000000-0005-0000-0000-000073000000}"/>
    <cellStyle name="Comma 78" xfId="116" xr:uid="{00000000-0005-0000-0000-000074000000}"/>
    <cellStyle name="Comma 79" xfId="117" xr:uid="{00000000-0005-0000-0000-000075000000}"/>
    <cellStyle name="Comma 8" xfId="118" xr:uid="{00000000-0005-0000-0000-000076000000}"/>
    <cellStyle name="Comma 80" xfId="119" xr:uid="{00000000-0005-0000-0000-000077000000}"/>
    <cellStyle name="Comma 81" xfId="120" xr:uid="{00000000-0005-0000-0000-000078000000}"/>
    <cellStyle name="Comma 82" xfId="121" xr:uid="{00000000-0005-0000-0000-000079000000}"/>
    <cellStyle name="Comma 83" xfId="122" xr:uid="{00000000-0005-0000-0000-00007A000000}"/>
    <cellStyle name="Comma 84" xfId="123" xr:uid="{00000000-0005-0000-0000-00007B000000}"/>
    <cellStyle name="Comma 85" xfId="124" xr:uid="{00000000-0005-0000-0000-00007C000000}"/>
    <cellStyle name="Comma 86" xfId="125" xr:uid="{00000000-0005-0000-0000-00007D000000}"/>
    <cellStyle name="Comma 87" xfId="126" xr:uid="{00000000-0005-0000-0000-00007E000000}"/>
    <cellStyle name="Comma 88" xfId="127" xr:uid="{00000000-0005-0000-0000-00007F000000}"/>
    <cellStyle name="Comma 89" xfId="128" xr:uid="{00000000-0005-0000-0000-000080000000}"/>
    <cellStyle name="Comma 9" xfId="129" xr:uid="{00000000-0005-0000-0000-000081000000}"/>
    <cellStyle name="Comma 90" xfId="130" xr:uid="{00000000-0005-0000-0000-000082000000}"/>
    <cellStyle name="Comma 91" xfId="131" xr:uid="{00000000-0005-0000-0000-000083000000}"/>
    <cellStyle name="Comma 92" xfId="132" xr:uid="{00000000-0005-0000-0000-000084000000}"/>
    <cellStyle name="Comma 93" xfId="133" xr:uid="{00000000-0005-0000-0000-000085000000}"/>
    <cellStyle name="Comma 94" xfId="134" xr:uid="{00000000-0005-0000-0000-000086000000}"/>
    <cellStyle name="Comma 95" xfId="135" xr:uid="{00000000-0005-0000-0000-000087000000}"/>
    <cellStyle name="Comma 96" xfId="136" xr:uid="{00000000-0005-0000-0000-000088000000}"/>
    <cellStyle name="Comma 96 2" xfId="137" xr:uid="{00000000-0005-0000-0000-000089000000}"/>
    <cellStyle name="Comma 96 3" xfId="138" xr:uid="{00000000-0005-0000-0000-00008A000000}"/>
    <cellStyle name="Comma 97" xfId="139" xr:uid="{00000000-0005-0000-0000-00008B000000}"/>
    <cellStyle name="Comma 98" xfId="140" xr:uid="{00000000-0005-0000-0000-00008C000000}"/>
    <cellStyle name="Comma 99" xfId="141" xr:uid="{00000000-0005-0000-0000-00008D000000}"/>
    <cellStyle name="Currency" xfId="142" builtinId="4"/>
    <cellStyle name="Currency [0] 2" xfId="143" xr:uid="{00000000-0005-0000-0000-00008F000000}"/>
    <cellStyle name="Currency 10" xfId="144" xr:uid="{00000000-0005-0000-0000-000090000000}"/>
    <cellStyle name="Currency 100" xfId="145" xr:uid="{00000000-0005-0000-0000-000091000000}"/>
    <cellStyle name="Currency 101" xfId="146" xr:uid="{00000000-0005-0000-0000-000092000000}"/>
    <cellStyle name="Currency 102" xfId="147" xr:uid="{00000000-0005-0000-0000-000093000000}"/>
    <cellStyle name="Currency 103" xfId="295" xr:uid="{F64EC0AF-DECC-433F-B2F0-666C06E9F820}"/>
    <cellStyle name="Currency 11" xfId="148" xr:uid="{00000000-0005-0000-0000-000094000000}"/>
    <cellStyle name="Currency 12" xfId="149" xr:uid="{00000000-0005-0000-0000-000095000000}"/>
    <cellStyle name="Currency 13" xfId="150" xr:uid="{00000000-0005-0000-0000-000096000000}"/>
    <cellStyle name="Currency 14" xfId="151" xr:uid="{00000000-0005-0000-0000-000097000000}"/>
    <cellStyle name="Currency 15" xfId="152" xr:uid="{00000000-0005-0000-0000-000098000000}"/>
    <cellStyle name="Currency 16" xfId="153" xr:uid="{00000000-0005-0000-0000-000099000000}"/>
    <cellStyle name="Currency 17" xfId="154" xr:uid="{00000000-0005-0000-0000-00009A000000}"/>
    <cellStyle name="Currency 18" xfId="155" xr:uid="{00000000-0005-0000-0000-00009B000000}"/>
    <cellStyle name="Currency 19" xfId="156" xr:uid="{00000000-0005-0000-0000-00009C000000}"/>
    <cellStyle name="Currency 2" xfId="157" xr:uid="{00000000-0005-0000-0000-00009D000000}"/>
    <cellStyle name="Currency 2 2" xfId="158" xr:uid="{00000000-0005-0000-0000-00009E000000}"/>
    <cellStyle name="Currency 2 3" xfId="159" xr:uid="{00000000-0005-0000-0000-00009F000000}"/>
    <cellStyle name="Currency 20" xfId="160" xr:uid="{00000000-0005-0000-0000-0000A0000000}"/>
    <cellStyle name="Currency 21" xfId="161" xr:uid="{00000000-0005-0000-0000-0000A1000000}"/>
    <cellStyle name="Currency 22" xfId="162" xr:uid="{00000000-0005-0000-0000-0000A2000000}"/>
    <cellStyle name="Currency 23" xfId="163" xr:uid="{00000000-0005-0000-0000-0000A3000000}"/>
    <cellStyle name="Currency 24" xfId="164" xr:uid="{00000000-0005-0000-0000-0000A4000000}"/>
    <cellStyle name="Currency 25" xfId="165" xr:uid="{00000000-0005-0000-0000-0000A5000000}"/>
    <cellStyle name="Currency 26" xfId="166" xr:uid="{00000000-0005-0000-0000-0000A6000000}"/>
    <cellStyle name="Currency 27" xfId="167" xr:uid="{00000000-0005-0000-0000-0000A7000000}"/>
    <cellStyle name="Currency 28" xfId="168" xr:uid="{00000000-0005-0000-0000-0000A8000000}"/>
    <cellStyle name="Currency 29" xfId="169" xr:uid="{00000000-0005-0000-0000-0000A9000000}"/>
    <cellStyle name="Currency 3" xfId="170" xr:uid="{00000000-0005-0000-0000-0000AA000000}"/>
    <cellStyle name="Currency 3 2" xfId="171" xr:uid="{00000000-0005-0000-0000-0000AB000000}"/>
    <cellStyle name="Currency 30" xfId="172" xr:uid="{00000000-0005-0000-0000-0000AC000000}"/>
    <cellStyle name="Currency 31" xfId="173" xr:uid="{00000000-0005-0000-0000-0000AD000000}"/>
    <cellStyle name="Currency 32" xfId="174" xr:uid="{00000000-0005-0000-0000-0000AE000000}"/>
    <cellStyle name="Currency 33" xfId="175" xr:uid="{00000000-0005-0000-0000-0000AF000000}"/>
    <cellStyle name="Currency 34" xfId="176" xr:uid="{00000000-0005-0000-0000-0000B0000000}"/>
    <cellStyle name="Currency 35" xfId="177" xr:uid="{00000000-0005-0000-0000-0000B1000000}"/>
    <cellStyle name="Currency 36" xfId="178" xr:uid="{00000000-0005-0000-0000-0000B2000000}"/>
    <cellStyle name="Currency 37" xfId="179" xr:uid="{00000000-0005-0000-0000-0000B3000000}"/>
    <cellStyle name="Currency 38" xfId="180" xr:uid="{00000000-0005-0000-0000-0000B4000000}"/>
    <cellStyle name="Currency 39" xfId="181" xr:uid="{00000000-0005-0000-0000-0000B5000000}"/>
    <cellStyle name="Currency 4" xfId="182" xr:uid="{00000000-0005-0000-0000-0000B6000000}"/>
    <cellStyle name="Currency 4 2" xfId="183" xr:uid="{00000000-0005-0000-0000-0000B7000000}"/>
    <cellStyle name="Currency 4 3" xfId="184" xr:uid="{00000000-0005-0000-0000-0000B8000000}"/>
    <cellStyle name="Currency 4 4" xfId="185" xr:uid="{00000000-0005-0000-0000-0000B9000000}"/>
    <cellStyle name="Currency 40" xfId="186" xr:uid="{00000000-0005-0000-0000-0000BA000000}"/>
    <cellStyle name="Currency 41" xfId="187" xr:uid="{00000000-0005-0000-0000-0000BB000000}"/>
    <cellStyle name="Currency 42" xfId="188" xr:uid="{00000000-0005-0000-0000-0000BC000000}"/>
    <cellStyle name="Currency 43" xfId="189" xr:uid="{00000000-0005-0000-0000-0000BD000000}"/>
    <cellStyle name="Currency 44" xfId="190" xr:uid="{00000000-0005-0000-0000-0000BE000000}"/>
    <cellStyle name="Currency 45" xfId="191" xr:uid="{00000000-0005-0000-0000-0000BF000000}"/>
    <cellStyle name="Currency 46" xfId="192" xr:uid="{00000000-0005-0000-0000-0000C0000000}"/>
    <cellStyle name="Currency 47" xfId="193" xr:uid="{00000000-0005-0000-0000-0000C1000000}"/>
    <cellStyle name="Currency 48" xfId="194" xr:uid="{00000000-0005-0000-0000-0000C2000000}"/>
    <cellStyle name="Currency 49" xfId="195" xr:uid="{00000000-0005-0000-0000-0000C3000000}"/>
    <cellStyle name="Currency 5" xfId="196" xr:uid="{00000000-0005-0000-0000-0000C4000000}"/>
    <cellStyle name="Currency 5 2" xfId="197" xr:uid="{00000000-0005-0000-0000-0000C5000000}"/>
    <cellStyle name="Currency 50" xfId="198" xr:uid="{00000000-0005-0000-0000-0000C6000000}"/>
    <cellStyle name="Currency 51" xfId="199" xr:uid="{00000000-0005-0000-0000-0000C7000000}"/>
    <cellStyle name="Currency 52" xfId="200" xr:uid="{00000000-0005-0000-0000-0000C8000000}"/>
    <cellStyle name="Currency 53" xfId="201" xr:uid="{00000000-0005-0000-0000-0000C9000000}"/>
    <cellStyle name="Currency 54" xfId="202" xr:uid="{00000000-0005-0000-0000-0000CA000000}"/>
    <cellStyle name="Currency 54 2" xfId="203" xr:uid="{00000000-0005-0000-0000-0000CB000000}"/>
    <cellStyle name="Currency 55" xfId="204" xr:uid="{00000000-0005-0000-0000-0000CC000000}"/>
    <cellStyle name="Currency 55 2" xfId="205" xr:uid="{00000000-0005-0000-0000-0000CD000000}"/>
    <cellStyle name="Currency 56" xfId="206" xr:uid="{00000000-0005-0000-0000-0000CE000000}"/>
    <cellStyle name="Currency 57" xfId="207" xr:uid="{00000000-0005-0000-0000-0000CF000000}"/>
    <cellStyle name="Currency 58" xfId="208" xr:uid="{00000000-0005-0000-0000-0000D0000000}"/>
    <cellStyle name="Currency 59" xfId="209" xr:uid="{00000000-0005-0000-0000-0000D1000000}"/>
    <cellStyle name="Currency 6" xfId="210" xr:uid="{00000000-0005-0000-0000-0000D2000000}"/>
    <cellStyle name="Currency 6 2" xfId="211" xr:uid="{00000000-0005-0000-0000-0000D3000000}"/>
    <cellStyle name="Currency 60" xfId="212" xr:uid="{00000000-0005-0000-0000-0000D4000000}"/>
    <cellStyle name="Currency 61" xfId="213" xr:uid="{00000000-0005-0000-0000-0000D5000000}"/>
    <cellStyle name="Currency 62" xfId="214" xr:uid="{00000000-0005-0000-0000-0000D6000000}"/>
    <cellStyle name="Currency 63" xfId="215" xr:uid="{00000000-0005-0000-0000-0000D7000000}"/>
    <cellStyle name="Currency 64" xfId="216" xr:uid="{00000000-0005-0000-0000-0000D8000000}"/>
    <cellStyle name="Currency 65" xfId="217" xr:uid="{00000000-0005-0000-0000-0000D9000000}"/>
    <cellStyle name="Currency 66" xfId="218" xr:uid="{00000000-0005-0000-0000-0000DA000000}"/>
    <cellStyle name="Currency 67" xfId="219" xr:uid="{00000000-0005-0000-0000-0000DB000000}"/>
    <cellStyle name="Currency 68" xfId="220" xr:uid="{00000000-0005-0000-0000-0000DC000000}"/>
    <cellStyle name="Currency 69" xfId="221" xr:uid="{00000000-0005-0000-0000-0000DD000000}"/>
    <cellStyle name="Currency 7" xfId="222" xr:uid="{00000000-0005-0000-0000-0000DE000000}"/>
    <cellStyle name="Currency 70" xfId="223" xr:uid="{00000000-0005-0000-0000-0000DF000000}"/>
    <cellStyle name="Currency 71" xfId="224" xr:uid="{00000000-0005-0000-0000-0000E0000000}"/>
    <cellStyle name="Currency 72" xfId="225" xr:uid="{00000000-0005-0000-0000-0000E1000000}"/>
    <cellStyle name="Currency 73" xfId="226" xr:uid="{00000000-0005-0000-0000-0000E2000000}"/>
    <cellStyle name="Currency 74" xfId="227" xr:uid="{00000000-0005-0000-0000-0000E3000000}"/>
    <cellStyle name="Currency 75" xfId="228" xr:uid="{00000000-0005-0000-0000-0000E4000000}"/>
    <cellStyle name="Currency 76" xfId="229" xr:uid="{00000000-0005-0000-0000-0000E5000000}"/>
    <cellStyle name="Currency 77" xfId="230" xr:uid="{00000000-0005-0000-0000-0000E6000000}"/>
    <cellStyle name="Currency 78" xfId="231" xr:uid="{00000000-0005-0000-0000-0000E7000000}"/>
    <cellStyle name="Currency 79" xfId="232" xr:uid="{00000000-0005-0000-0000-0000E8000000}"/>
    <cellStyle name="Currency 8" xfId="233" xr:uid="{00000000-0005-0000-0000-0000E9000000}"/>
    <cellStyle name="Currency 80" xfId="234" xr:uid="{00000000-0005-0000-0000-0000EA000000}"/>
    <cellStyle name="Currency 81" xfId="235" xr:uid="{00000000-0005-0000-0000-0000EB000000}"/>
    <cellStyle name="Currency 82" xfId="236" xr:uid="{00000000-0005-0000-0000-0000EC000000}"/>
    <cellStyle name="Currency 83" xfId="237" xr:uid="{00000000-0005-0000-0000-0000ED000000}"/>
    <cellStyle name="Currency 84" xfId="238" xr:uid="{00000000-0005-0000-0000-0000EE000000}"/>
    <cellStyle name="Currency 85" xfId="239" xr:uid="{00000000-0005-0000-0000-0000EF000000}"/>
    <cellStyle name="Currency 86" xfId="240" xr:uid="{00000000-0005-0000-0000-0000F0000000}"/>
    <cellStyle name="Currency 87" xfId="241" xr:uid="{00000000-0005-0000-0000-0000F1000000}"/>
    <cellStyle name="Currency 88" xfId="242" xr:uid="{00000000-0005-0000-0000-0000F2000000}"/>
    <cellStyle name="Currency 89" xfId="243" xr:uid="{00000000-0005-0000-0000-0000F3000000}"/>
    <cellStyle name="Currency 9" xfId="244" xr:uid="{00000000-0005-0000-0000-0000F4000000}"/>
    <cellStyle name="Currency 90" xfId="245" xr:uid="{00000000-0005-0000-0000-0000F5000000}"/>
    <cellStyle name="Currency 91" xfId="246" xr:uid="{00000000-0005-0000-0000-0000F6000000}"/>
    <cellStyle name="Currency 92" xfId="247" xr:uid="{00000000-0005-0000-0000-0000F7000000}"/>
    <cellStyle name="Currency 93" xfId="248" xr:uid="{00000000-0005-0000-0000-0000F8000000}"/>
    <cellStyle name="Currency 94" xfId="249" xr:uid="{00000000-0005-0000-0000-0000F9000000}"/>
    <cellStyle name="Currency 95" xfId="250" xr:uid="{00000000-0005-0000-0000-0000FA000000}"/>
    <cellStyle name="Currency 95 2" xfId="251" xr:uid="{00000000-0005-0000-0000-0000FB000000}"/>
    <cellStyle name="Currency 96" xfId="252" xr:uid="{00000000-0005-0000-0000-0000FC000000}"/>
    <cellStyle name="Currency 97" xfId="253" xr:uid="{00000000-0005-0000-0000-0000FD000000}"/>
    <cellStyle name="Currency 98" xfId="254" xr:uid="{00000000-0005-0000-0000-0000FE000000}"/>
    <cellStyle name="Currency 99" xfId="255" xr:uid="{00000000-0005-0000-0000-0000FF000000}"/>
    <cellStyle name="Explanatory Text 2" xfId="256" xr:uid="{00000000-0005-0000-0000-000000010000}"/>
    <cellStyle name="Good 2" xfId="257" xr:uid="{00000000-0005-0000-0000-000001010000}"/>
    <cellStyle name="Heading 1 2" xfId="258" xr:uid="{00000000-0005-0000-0000-000002010000}"/>
    <cellStyle name="Heading 2 2" xfId="259" xr:uid="{00000000-0005-0000-0000-000003010000}"/>
    <cellStyle name="Heading 3 2" xfId="260" xr:uid="{00000000-0005-0000-0000-000004010000}"/>
    <cellStyle name="Heading 4 2" xfId="261" xr:uid="{00000000-0005-0000-0000-000005010000}"/>
    <cellStyle name="Input 2" xfId="262" xr:uid="{00000000-0005-0000-0000-000006010000}"/>
    <cellStyle name="Linked Cell 2" xfId="263" xr:uid="{00000000-0005-0000-0000-000007010000}"/>
    <cellStyle name="Millares 2" xfId="264" xr:uid="{00000000-0005-0000-0000-000008010000}"/>
    <cellStyle name="Millares 3" xfId="265" xr:uid="{00000000-0005-0000-0000-000009010000}"/>
    <cellStyle name="Neutral 2" xfId="266" xr:uid="{00000000-0005-0000-0000-00000A010000}"/>
    <cellStyle name="Normal" xfId="0" builtinId="0"/>
    <cellStyle name="Normal 2" xfId="267" xr:uid="{00000000-0005-0000-0000-00000C010000}"/>
    <cellStyle name="Normal 2 2" xfId="268" xr:uid="{00000000-0005-0000-0000-00000D010000}"/>
    <cellStyle name="Normal 2 3" xfId="269" xr:uid="{00000000-0005-0000-0000-00000E010000}"/>
    <cellStyle name="Normal 2 4" xfId="270" xr:uid="{00000000-0005-0000-0000-00000F010000}"/>
    <cellStyle name="Normal 3" xfId="271" xr:uid="{00000000-0005-0000-0000-000010010000}"/>
    <cellStyle name="Normal 3 2" xfId="272" xr:uid="{00000000-0005-0000-0000-000011010000}"/>
    <cellStyle name="Normal 4" xfId="273" xr:uid="{00000000-0005-0000-0000-000012010000}"/>
    <cellStyle name="Normal 4 2" xfId="274" xr:uid="{00000000-0005-0000-0000-000013010000}"/>
    <cellStyle name="Normal 5" xfId="275" xr:uid="{00000000-0005-0000-0000-000014010000}"/>
    <cellStyle name="Normal 6" xfId="276" xr:uid="{00000000-0005-0000-0000-000015010000}"/>
    <cellStyle name="Note 2" xfId="277" xr:uid="{00000000-0005-0000-0000-000016010000}"/>
    <cellStyle name="Output 2" xfId="278" xr:uid="{00000000-0005-0000-0000-000017010000}"/>
    <cellStyle name="Percent 2" xfId="279" xr:uid="{00000000-0005-0000-0000-000019010000}"/>
    <cellStyle name="Percent 2 2" xfId="280" xr:uid="{00000000-0005-0000-0000-00001A010000}"/>
    <cellStyle name="Percent 2 3" xfId="281" xr:uid="{00000000-0005-0000-0000-00001B010000}"/>
    <cellStyle name="Percent 3" xfId="282" xr:uid="{00000000-0005-0000-0000-00001C010000}"/>
    <cellStyle name="Percent 3 2" xfId="283" xr:uid="{00000000-0005-0000-0000-00001D010000}"/>
    <cellStyle name="Percent 4" xfId="284" xr:uid="{00000000-0005-0000-0000-00001E010000}"/>
    <cellStyle name="Percent 4 2" xfId="285" xr:uid="{00000000-0005-0000-0000-00001F010000}"/>
    <cellStyle name="Percent 5" xfId="286" xr:uid="{00000000-0005-0000-0000-000020010000}"/>
    <cellStyle name="Percent 6" xfId="287" xr:uid="{00000000-0005-0000-0000-000021010000}"/>
    <cellStyle name="Percent 6 2" xfId="288" xr:uid="{00000000-0005-0000-0000-000022010000}"/>
    <cellStyle name="Percent 6 3" xfId="289" xr:uid="{00000000-0005-0000-0000-000023010000}"/>
    <cellStyle name="Percent 7" xfId="294" xr:uid="{FDB5CA18-E62C-4B70-A345-807EF87ECD70}"/>
    <cellStyle name="Title 2" xfId="290" xr:uid="{00000000-0005-0000-0000-000024010000}"/>
    <cellStyle name="Total 2" xfId="291" xr:uid="{00000000-0005-0000-0000-000025010000}"/>
    <cellStyle name="Warning Text 2" xfId="292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4E31-CC66-415F-ACC6-09DCE5D04100}">
  <sheetPr>
    <pageSetUpPr fitToPage="1"/>
  </sheetPr>
  <dimension ref="A1:AF128"/>
  <sheetViews>
    <sheetView tabSelected="1" topLeftCell="L1" zoomScale="83" zoomScaleNormal="85" zoomScaleSheetLayoutView="90" workbookViewId="0">
      <pane ySplit="6" topLeftCell="A70" activePane="bottomLeft" state="frozen"/>
      <selection pane="bottomLeft" activeCell="F108" sqref="F108"/>
    </sheetView>
  </sheetViews>
  <sheetFormatPr defaultColWidth="11.44140625" defaultRowHeight="12" customHeight="1" x14ac:dyDescent="0.35"/>
  <cols>
    <col min="1" max="1" width="34.44140625" style="1" customWidth="1"/>
    <col min="2" max="5" width="9" style="1" customWidth="1"/>
    <col min="6" max="6" width="22.1640625" style="1" bestFit="1" customWidth="1"/>
    <col min="7" max="7" width="22.1640625" style="1" customWidth="1"/>
    <col min="8" max="8" width="63.44140625" style="1" customWidth="1"/>
    <col min="9" max="9" width="9.71875" style="1" customWidth="1"/>
    <col min="10" max="10" width="12.27734375" style="1" customWidth="1"/>
    <col min="11" max="11" width="13" style="1" customWidth="1"/>
    <col min="12" max="12" width="9" style="1" customWidth="1"/>
    <col min="13" max="13" width="9.27734375" style="6" customWidth="1"/>
    <col min="14" max="14" width="9.44140625" style="5" customWidth="1"/>
    <col min="15" max="15" width="9" style="5" customWidth="1"/>
    <col min="16" max="16" width="10.1640625" style="5" customWidth="1"/>
    <col min="17" max="17" width="9" style="5" customWidth="1"/>
    <col min="18" max="18" width="10.1640625" style="5" customWidth="1"/>
    <col min="19" max="19" width="9" style="5" customWidth="1"/>
    <col min="20" max="20" width="10.1640625" style="5" customWidth="1"/>
    <col min="21" max="21" width="9" style="5" customWidth="1"/>
    <col min="22" max="22" width="7.44140625" style="5" customWidth="1"/>
    <col min="23" max="23" width="11.44140625" style="5" customWidth="1"/>
    <col min="24" max="24" width="9" style="5" customWidth="1"/>
    <col min="25" max="25" width="11.44140625" style="5" customWidth="1"/>
    <col min="26" max="26" width="9.1640625" style="98" customWidth="1"/>
    <col min="27" max="27" width="10.83203125" style="98" customWidth="1"/>
    <col min="28" max="28" width="8.83203125" style="98" customWidth="1"/>
    <col min="29" max="29" width="13" style="2" customWidth="1"/>
    <col min="30" max="30" width="12" style="2" customWidth="1"/>
    <col min="31" max="31" width="18.27734375" style="2" customWidth="1"/>
    <col min="32" max="16384" width="11.44140625" style="2"/>
  </cols>
  <sheetData>
    <row r="1" spans="1:31" ht="12" customHeight="1" x14ac:dyDescent="0.4">
      <c r="A1" s="112" t="s">
        <v>0</v>
      </c>
      <c r="B1" s="94" t="s">
        <v>1</v>
      </c>
      <c r="C1" s="2"/>
      <c r="D1" s="2"/>
      <c r="E1" s="2"/>
      <c r="F1" s="2"/>
      <c r="G1" s="2"/>
      <c r="H1" s="109" t="s">
        <v>2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96"/>
      <c r="AA1" s="97"/>
      <c r="AB1" s="97"/>
      <c r="AC1" s="18"/>
      <c r="AD1" s="18"/>
      <c r="AE1" s="18"/>
    </row>
    <row r="2" spans="1:31" ht="12" customHeight="1" x14ac:dyDescent="0.4">
      <c r="A2" s="112" t="s">
        <v>3</v>
      </c>
      <c r="B2" s="94">
        <v>20200</v>
      </c>
      <c r="C2" s="2"/>
      <c r="D2" s="2"/>
      <c r="E2" s="2"/>
      <c r="F2" s="2"/>
      <c r="G2" s="2"/>
      <c r="H2" s="110" t="s">
        <v>4</v>
      </c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96"/>
      <c r="AA2" s="97"/>
      <c r="AB2" s="97"/>
    </row>
    <row r="3" spans="1:31" ht="12" customHeight="1" x14ac:dyDescent="0.35">
      <c r="A3" s="112" t="s">
        <v>5</v>
      </c>
      <c r="B3" s="94" t="s">
        <v>6</v>
      </c>
      <c r="C3" s="2"/>
      <c r="D3" s="2"/>
      <c r="E3" s="2"/>
      <c r="F3" s="2"/>
      <c r="G3" s="2"/>
      <c r="H3" s="111" t="s">
        <v>7</v>
      </c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</row>
    <row r="4" spans="1:31" ht="12" customHeight="1" x14ac:dyDescent="0.35">
      <c r="A4" s="11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</row>
    <row r="5" spans="1:31" ht="42.3" thickBot="1" x14ac:dyDescent="0.45">
      <c r="A5" s="114" t="s">
        <v>8</v>
      </c>
      <c r="B5" s="95" t="s">
        <v>9</v>
      </c>
      <c r="C5" s="95" t="s">
        <v>10</v>
      </c>
      <c r="D5" s="95" t="s">
        <v>11</v>
      </c>
      <c r="E5" s="95" t="s">
        <v>12</v>
      </c>
      <c r="F5" s="95" t="s">
        <v>13</v>
      </c>
      <c r="G5" s="95" t="s">
        <v>14</v>
      </c>
      <c r="H5" s="13" t="s">
        <v>15</v>
      </c>
      <c r="I5" s="13" t="s">
        <v>16</v>
      </c>
      <c r="J5" s="13" t="s">
        <v>17</v>
      </c>
      <c r="K5" s="13" t="s">
        <v>18</v>
      </c>
      <c r="L5" s="13" t="s">
        <v>19</v>
      </c>
      <c r="M5" s="14" t="s">
        <v>20</v>
      </c>
      <c r="N5" s="41" t="s">
        <v>21</v>
      </c>
      <c r="O5" s="13" t="s">
        <v>19</v>
      </c>
      <c r="P5" s="41" t="s">
        <v>22</v>
      </c>
      <c r="Q5" s="13" t="s">
        <v>19</v>
      </c>
      <c r="R5" s="41" t="s">
        <v>23</v>
      </c>
      <c r="S5" s="13" t="s">
        <v>19</v>
      </c>
      <c r="T5" s="41" t="s">
        <v>24</v>
      </c>
      <c r="U5" s="13" t="s">
        <v>19</v>
      </c>
      <c r="V5" s="41" t="s">
        <v>25</v>
      </c>
      <c r="W5" s="14" t="s">
        <v>26</v>
      </c>
      <c r="X5" s="14" t="s">
        <v>27</v>
      </c>
      <c r="Y5" s="14" t="s">
        <v>28</v>
      </c>
      <c r="Z5" s="99" t="s">
        <v>29</v>
      </c>
      <c r="AA5" s="99" t="s">
        <v>30</v>
      </c>
      <c r="AB5" s="99" t="s">
        <v>31</v>
      </c>
    </row>
    <row r="6" spans="1:31" ht="13.15" customHeight="1" x14ac:dyDescent="0.4">
      <c r="A6" s="44"/>
      <c r="B6" s="44"/>
      <c r="C6" s="44"/>
      <c r="D6" s="44"/>
      <c r="E6" s="44"/>
      <c r="F6" s="44"/>
      <c r="G6" s="44"/>
      <c r="H6" s="44"/>
      <c r="I6" s="44"/>
      <c r="J6" s="44"/>
      <c r="K6" s="30"/>
      <c r="L6" s="30"/>
      <c r="M6" s="3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00"/>
      <c r="AA6" s="100"/>
      <c r="AB6" s="101"/>
    </row>
    <row r="7" spans="1:31" ht="13.15" customHeight="1" x14ac:dyDescent="0.4">
      <c r="A7" s="44"/>
      <c r="B7" s="44"/>
      <c r="C7" s="44"/>
      <c r="D7" s="44"/>
      <c r="E7" s="44"/>
      <c r="F7" s="44"/>
      <c r="G7" s="44"/>
      <c r="H7" s="44" t="s">
        <v>32</v>
      </c>
      <c r="I7" s="44"/>
      <c r="J7" s="44"/>
      <c r="K7" s="30"/>
      <c r="L7" s="30"/>
      <c r="M7" s="3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AA7" s="100"/>
      <c r="AB7" s="101"/>
    </row>
    <row r="8" spans="1:31" ht="12" customHeight="1" x14ac:dyDescent="0.4">
      <c r="A8" s="3"/>
      <c r="B8" s="33"/>
      <c r="C8" s="33"/>
      <c r="D8" s="33"/>
      <c r="E8" s="33"/>
      <c r="F8" s="33"/>
      <c r="G8" s="33"/>
      <c r="H8" s="33" t="s">
        <v>33</v>
      </c>
      <c r="I8" s="33"/>
      <c r="J8" s="33"/>
      <c r="K8" s="33"/>
      <c r="L8" s="80"/>
      <c r="M8" s="28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31" ht="12" customHeight="1" x14ac:dyDescent="0.35">
      <c r="A9" s="1" t="s">
        <v>34</v>
      </c>
      <c r="B9" s="12">
        <v>89050</v>
      </c>
      <c r="C9" s="12" t="s">
        <v>35</v>
      </c>
      <c r="D9" s="12" t="s">
        <v>35</v>
      </c>
      <c r="E9" s="25" t="s">
        <v>36</v>
      </c>
      <c r="F9" s="12" t="s">
        <v>37</v>
      </c>
      <c r="G9" s="12" t="s">
        <v>38</v>
      </c>
      <c r="H9" s="12" t="s">
        <v>39</v>
      </c>
      <c r="I9" s="12" t="s">
        <v>40</v>
      </c>
      <c r="J9" s="12" t="s">
        <v>41</v>
      </c>
      <c r="K9" s="12" t="s">
        <v>42</v>
      </c>
      <c r="L9" s="61">
        <v>1</v>
      </c>
      <c r="M9" s="8">
        <v>5000</v>
      </c>
      <c r="N9" s="8">
        <f>L9*M9</f>
        <v>5000</v>
      </c>
      <c r="O9" s="78">
        <v>4</v>
      </c>
      <c r="P9" s="8">
        <f>O9*M9</f>
        <v>20000</v>
      </c>
      <c r="Q9" s="78">
        <v>4</v>
      </c>
      <c r="R9" s="8">
        <f>Q9*M9</f>
        <v>20000</v>
      </c>
      <c r="S9" s="78">
        <v>4</v>
      </c>
      <c r="T9" s="8">
        <f>S9*M9</f>
        <v>20000</v>
      </c>
      <c r="U9" s="8">
        <v>0</v>
      </c>
      <c r="V9" s="8">
        <f>U9*O9</f>
        <v>0</v>
      </c>
      <c r="W9" s="8">
        <f>SUM(N9+P9+R9+T9+V9)</f>
        <v>65000</v>
      </c>
      <c r="X9" s="8">
        <v>0</v>
      </c>
      <c r="Y9" s="8">
        <f>SUM(W9:X9)</f>
        <v>65000</v>
      </c>
      <c r="Z9" s="102">
        <f>Y9*0.6</f>
        <v>39000</v>
      </c>
      <c r="AA9" s="103">
        <f>Y9*0.35</f>
        <v>22750</v>
      </c>
      <c r="AB9" s="102">
        <f>Y9-Z9-AA9</f>
        <v>3250</v>
      </c>
      <c r="AC9" s="77"/>
      <c r="AD9" s="79"/>
    </row>
    <row r="10" spans="1:31" ht="12" customHeight="1" x14ac:dyDescent="0.35">
      <c r="A10" s="1" t="s">
        <v>34</v>
      </c>
      <c r="B10" s="12">
        <v>89050</v>
      </c>
      <c r="C10" s="12" t="s">
        <v>35</v>
      </c>
      <c r="D10" s="12" t="s">
        <v>35</v>
      </c>
      <c r="E10" s="25" t="s">
        <v>36</v>
      </c>
      <c r="F10" s="12" t="s">
        <v>43</v>
      </c>
      <c r="G10" s="12" t="s">
        <v>38</v>
      </c>
      <c r="H10" s="12" t="s">
        <v>44</v>
      </c>
      <c r="I10" s="12" t="s">
        <v>40</v>
      </c>
      <c r="J10" s="12" t="s">
        <v>41</v>
      </c>
      <c r="K10" s="12" t="s">
        <v>42</v>
      </c>
      <c r="L10" s="61">
        <v>0</v>
      </c>
      <c r="M10" s="8">
        <v>5000</v>
      </c>
      <c r="N10" s="8">
        <f>L10*M10</f>
        <v>0</v>
      </c>
      <c r="O10" s="78">
        <v>4</v>
      </c>
      <c r="P10" s="8">
        <f>O10*M10</f>
        <v>20000</v>
      </c>
      <c r="Q10" s="78">
        <v>4</v>
      </c>
      <c r="R10" s="8">
        <f>Q10*M10</f>
        <v>20000</v>
      </c>
      <c r="S10" s="78">
        <v>4</v>
      </c>
      <c r="T10" s="8">
        <f>S10*M10</f>
        <v>20000</v>
      </c>
      <c r="U10" s="8">
        <v>0</v>
      </c>
      <c r="V10" s="8">
        <f>U10*O10</f>
        <v>0</v>
      </c>
      <c r="W10" s="8">
        <f>SUM(N10+P10+R10+T10+V10)</f>
        <v>60000</v>
      </c>
      <c r="X10" s="8">
        <v>0</v>
      </c>
      <c r="Y10" s="8">
        <f>SUM(W10:X10)</f>
        <v>60000</v>
      </c>
      <c r="Z10" s="102">
        <f t="shared" ref="Z10:Z11" si="0">Y10*0.6</f>
        <v>36000</v>
      </c>
      <c r="AA10" s="103">
        <f t="shared" ref="AA10:AA11" si="1">Y10*0.35</f>
        <v>21000</v>
      </c>
      <c r="AB10" s="102">
        <f t="shared" ref="AB10:AB29" si="2">Y10-Z10-AA10</f>
        <v>3000</v>
      </c>
      <c r="AC10" s="76"/>
      <c r="AD10" s="76"/>
    </row>
    <row r="11" spans="1:31" ht="12" customHeight="1" x14ac:dyDescent="0.35">
      <c r="A11" s="1" t="s">
        <v>34</v>
      </c>
      <c r="B11" s="12">
        <v>89050</v>
      </c>
      <c r="C11" s="12" t="s">
        <v>35</v>
      </c>
      <c r="D11" s="12" t="s">
        <v>35</v>
      </c>
      <c r="E11" s="25" t="s">
        <v>36</v>
      </c>
      <c r="F11" s="12" t="s">
        <v>45</v>
      </c>
      <c r="G11" s="12" t="s">
        <v>38</v>
      </c>
      <c r="H11" s="12" t="s">
        <v>46</v>
      </c>
      <c r="I11" s="12" t="s">
        <v>40</v>
      </c>
      <c r="J11" s="12" t="s">
        <v>41</v>
      </c>
      <c r="K11" s="12" t="s">
        <v>42</v>
      </c>
      <c r="L11" s="61">
        <v>0.5</v>
      </c>
      <c r="M11" s="8">
        <v>7200</v>
      </c>
      <c r="N11" s="8">
        <f>L11*M11</f>
        <v>3600</v>
      </c>
      <c r="O11" s="78">
        <v>1</v>
      </c>
      <c r="P11" s="8">
        <f>O11*M11</f>
        <v>7200</v>
      </c>
      <c r="Q11" s="78">
        <v>1</v>
      </c>
      <c r="R11" s="8">
        <f>Q11*M11</f>
        <v>7200</v>
      </c>
      <c r="S11" s="78">
        <v>1</v>
      </c>
      <c r="T11" s="8">
        <f>S11*M11</f>
        <v>7200</v>
      </c>
      <c r="U11" s="8"/>
      <c r="V11" s="8">
        <f>U11*O11</f>
        <v>0</v>
      </c>
      <c r="W11" s="8">
        <f>SUM(N11+P11+R11+T11+V11)</f>
        <v>25200</v>
      </c>
      <c r="X11" s="8">
        <v>0</v>
      </c>
      <c r="Y11" s="8">
        <f>SUM(W11:X11)</f>
        <v>25200</v>
      </c>
      <c r="Z11" s="102">
        <f t="shared" si="0"/>
        <v>15120</v>
      </c>
      <c r="AA11" s="103">
        <f t="shared" si="1"/>
        <v>8820</v>
      </c>
      <c r="AB11" s="102">
        <f t="shared" si="2"/>
        <v>1260</v>
      </c>
    </row>
    <row r="12" spans="1:31" ht="12" customHeight="1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61"/>
      <c r="M12" s="8"/>
      <c r="N12" s="8"/>
      <c r="O12" s="78"/>
      <c r="P12" s="8"/>
      <c r="Q12" s="78"/>
      <c r="R12" s="8"/>
      <c r="S12" s="78"/>
      <c r="T12" s="8"/>
      <c r="U12" s="8"/>
      <c r="V12" s="8"/>
      <c r="W12" s="8"/>
      <c r="X12" s="8"/>
      <c r="Y12" s="8"/>
      <c r="AA12" s="104"/>
      <c r="AB12" s="102"/>
    </row>
    <row r="13" spans="1:31" ht="12" customHeight="1" x14ac:dyDescent="0.4">
      <c r="A13" s="3"/>
      <c r="B13" s="33"/>
      <c r="C13" s="33"/>
      <c r="D13" s="33"/>
      <c r="E13" s="33"/>
      <c r="F13" s="33"/>
      <c r="G13" s="33"/>
      <c r="H13" s="33" t="s">
        <v>47</v>
      </c>
      <c r="I13" s="33"/>
      <c r="J13" s="33"/>
      <c r="K13" s="12"/>
      <c r="L13" s="61"/>
      <c r="M13" s="8"/>
      <c r="N13" s="8"/>
      <c r="O13" s="78"/>
      <c r="P13" s="8"/>
      <c r="Q13" s="78"/>
      <c r="R13" s="8"/>
      <c r="S13" s="78"/>
      <c r="T13" s="8"/>
      <c r="U13" s="8"/>
      <c r="V13" s="8"/>
      <c r="W13" s="8"/>
      <c r="X13" s="8"/>
      <c r="Y13" s="8"/>
      <c r="Z13" s="104"/>
      <c r="AA13" s="104"/>
      <c r="AB13" s="102"/>
    </row>
    <row r="14" spans="1:31" ht="12" customHeight="1" x14ac:dyDescent="0.35">
      <c r="A14" s="1" t="s">
        <v>34</v>
      </c>
      <c r="B14" s="12">
        <v>89050</v>
      </c>
      <c r="C14" s="12" t="s">
        <v>35</v>
      </c>
      <c r="D14" s="12" t="s">
        <v>35</v>
      </c>
      <c r="E14" s="25" t="s">
        <v>36</v>
      </c>
      <c r="F14" s="12" t="s">
        <v>48</v>
      </c>
      <c r="G14" s="12" t="s">
        <v>38</v>
      </c>
      <c r="H14" s="12" t="s">
        <v>49</v>
      </c>
      <c r="I14" s="12" t="s">
        <v>50</v>
      </c>
      <c r="J14" s="12" t="s">
        <v>41</v>
      </c>
      <c r="K14" s="12" t="s">
        <v>42</v>
      </c>
      <c r="L14" s="61">
        <v>1.5</v>
      </c>
      <c r="M14" s="8">
        <v>10833</v>
      </c>
      <c r="N14" s="8">
        <f t="shared" ref="N14:N24" si="3">L14*M14</f>
        <v>16249.5</v>
      </c>
      <c r="O14" s="78">
        <v>4</v>
      </c>
      <c r="P14" s="8">
        <f t="shared" ref="P14:P24" si="4">O14*M14</f>
        <v>43332</v>
      </c>
      <c r="Q14" s="78">
        <v>4</v>
      </c>
      <c r="R14" s="8">
        <f t="shared" ref="R14:R24" si="5">Q14*M14</f>
        <v>43332</v>
      </c>
      <c r="S14" s="78">
        <v>3</v>
      </c>
      <c r="T14" s="8">
        <f t="shared" ref="T14:T24" si="6">S14*M14</f>
        <v>32499</v>
      </c>
      <c r="U14" s="8"/>
      <c r="V14" s="8">
        <f t="shared" ref="V14:V24" si="7">U14*O14</f>
        <v>0</v>
      </c>
      <c r="W14" s="8">
        <f t="shared" ref="W14:W24" si="8">SUM(N14+P14+R14+T14+V14)</f>
        <v>135412.5</v>
      </c>
      <c r="X14" s="8">
        <v>0</v>
      </c>
      <c r="Y14" s="8">
        <f t="shared" ref="Y14:Y24" si="9">SUM(W14:X14)</f>
        <v>135412.5</v>
      </c>
      <c r="Z14" s="102">
        <f t="shared" ref="Z14:Z24" si="10">Y14*0.6</f>
        <v>81247.5</v>
      </c>
      <c r="AA14" s="103">
        <f t="shared" ref="AA14:AA24" si="11">Y14*0.35</f>
        <v>47394.375</v>
      </c>
      <c r="AB14" s="102">
        <f t="shared" si="2"/>
        <v>6770.625</v>
      </c>
    </row>
    <row r="15" spans="1:31" ht="12" customHeight="1" x14ac:dyDescent="0.35">
      <c r="A15" s="1" t="s">
        <v>34</v>
      </c>
      <c r="B15" s="12">
        <v>89050</v>
      </c>
      <c r="C15" s="12" t="s">
        <v>35</v>
      </c>
      <c r="D15" s="12" t="s">
        <v>35</v>
      </c>
      <c r="E15" s="25" t="s">
        <v>36</v>
      </c>
      <c r="F15" s="12" t="s">
        <v>51</v>
      </c>
      <c r="G15" s="12" t="s">
        <v>38</v>
      </c>
      <c r="H15" s="12" t="s">
        <v>52</v>
      </c>
      <c r="I15" s="12" t="s">
        <v>50</v>
      </c>
      <c r="J15" s="12" t="s">
        <v>41</v>
      </c>
      <c r="K15" s="12" t="s">
        <v>42</v>
      </c>
      <c r="L15" s="61">
        <v>1</v>
      </c>
      <c r="M15" s="8">
        <v>8333</v>
      </c>
      <c r="N15" s="8">
        <f t="shared" si="3"/>
        <v>8333</v>
      </c>
      <c r="O15" s="78">
        <v>1.5</v>
      </c>
      <c r="P15" s="8">
        <f t="shared" si="4"/>
        <v>12499.5</v>
      </c>
      <c r="Q15" s="78">
        <v>1.5</v>
      </c>
      <c r="R15" s="8">
        <f t="shared" si="5"/>
        <v>12499.5</v>
      </c>
      <c r="S15" s="78">
        <v>1.5</v>
      </c>
      <c r="T15" s="8">
        <f t="shared" si="6"/>
        <v>12499.5</v>
      </c>
      <c r="U15" s="8"/>
      <c r="V15" s="8">
        <f t="shared" si="7"/>
        <v>0</v>
      </c>
      <c r="W15" s="8">
        <f t="shared" si="8"/>
        <v>45831.5</v>
      </c>
      <c r="X15" s="8">
        <v>0</v>
      </c>
      <c r="Y15" s="8">
        <f t="shared" si="9"/>
        <v>45831.5</v>
      </c>
      <c r="Z15" s="102">
        <f t="shared" si="10"/>
        <v>27498.899999999998</v>
      </c>
      <c r="AA15" s="103">
        <f t="shared" si="11"/>
        <v>16041.025</v>
      </c>
      <c r="AB15" s="102">
        <f t="shared" si="2"/>
        <v>2291.5750000000025</v>
      </c>
    </row>
    <row r="16" spans="1:31" ht="12" customHeight="1" x14ac:dyDescent="0.35">
      <c r="A16" s="1" t="s">
        <v>34</v>
      </c>
      <c r="B16" s="12">
        <v>89050</v>
      </c>
      <c r="C16" s="12" t="s">
        <v>35</v>
      </c>
      <c r="D16" s="12" t="s">
        <v>35</v>
      </c>
      <c r="E16" s="25" t="s">
        <v>36</v>
      </c>
      <c r="F16" s="12" t="s">
        <v>53</v>
      </c>
      <c r="G16" s="12" t="s">
        <v>38</v>
      </c>
      <c r="H16" s="62" t="s">
        <v>54</v>
      </c>
      <c r="I16" s="12" t="s">
        <v>50</v>
      </c>
      <c r="J16" s="12" t="s">
        <v>41</v>
      </c>
      <c r="K16" s="12" t="s">
        <v>42</v>
      </c>
      <c r="L16" s="61">
        <v>1</v>
      </c>
      <c r="M16" s="8">
        <v>6700</v>
      </c>
      <c r="N16" s="8">
        <f t="shared" si="3"/>
        <v>6700</v>
      </c>
      <c r="O16" s="78">
        <v>4</v>
      </c>
      <c r="P16" s="8">
        <f t="shared" si="4"/>
        <v>26800</v>
      </c>
      <c r="Q16" s="78">
        <v>4</v>
      </c>
      <c r="R16" s="8">
        <f t="shared" si="5"/>
        <v>26800</v>
      </c>
      <c r="S16" s="78">
        <v>4</v>
      </c>
      <c r="T16" s="8">
        <f t="shared" si="6"/>
        <v>26800</v>
      </c>
      <c r="U16" s="8"/>
      <c r="V16" s="8">
        <f t="shared" si="7"/>
        <v>0</v>
      </c>
      <c r="W16" s="8">
        <f t="shared" si="8"/>
        <v>87100</v>
      </c>
      <c r="X16" s="8">
        <v>0</v>
      </c>
      <c r="Y16" s="8">
        <f t="shared" si="9"/>
        <v>87100</v>
      </c>
      <c r="Z16" s="102">
        <f t="shared" si="10"/>
        <v>52260</v>
      </c>
      <c r="AA16" s="103">
        <f t="shared" si="11"/>
        <v>30484.999999999996</v>
      </c>
      <c r="AB16" s="102">
        <f t="shared" si="2"/>
        <v>4355.0000000000036</v>
      </c>
    </row>
    <row r="17" spans="1:28" ht="12" customHeight="1" x14ac:dyDescent="0.35">
      <c r="A17" s="1" t="s">
        <v>34</v>
      </c>
      <c r="B17" s="12">
        <v>89050</v>
      </c>
      <c r="C17" s="12" t="s">
        <v>35</v>
      </c>
      <c r="D17" s="12" t="s">
        <v>35</v>
      </c>
      <c r="E17" s="25" t="s">
        <v>36</v>
      </c>
      <c r="F17" s="12" t="s">
        <v>55</v>
      </c>
      <c r="G17" s="12" t="s">
        <v>38</v>
      </c>
      <c r="H17" s="12" t="s">
        <v>56</v>
      </c>
      <c r="I17" s="12" t="s">
        <v>50</v>
      </c>
      <c r="J17" s="12" t="s">
        <v>41</v>
      </c>
      <c r="K17" s="12" t="s">
        <v>42</v>
      </c>
      <c r="L17" s="61">
        <v>0.5</v>
      </c>
      <c r="M17" s="8">
        <v>6700</v>
      </c>
      <c r="N17" s="8">
        <f t="shared" si="3"/>
        <v>3350</v>
      </c>
      <c r="O17" s="78">
        <v>1</v>
      </c>
      <c r="P17" s="8">
        <f t="shared" si="4"/>
        <v>6700</v>
      </c>
      <c r="Q17" s="78">
        <v>1</v>
      </c>
      <c r="R17" s="8">
        <f t="shared" si="5"/>
        <v>6700</v>
      </c>
      <c r="S17" s="78">
        <v>1</v>
      </c>
      <c r="T17" s="8">
        <f t="shared" si="6"/>
        <v>6700</v>
      </c>
      <c r="U17" s="8"/>
      <c r="V17" s="8">
        <f t="shared" si="7"/>
        <v>0</v>
      </c>
      <c r="W17" s="8">
        <f t="shared" si="8"/>
        <v>23450</v>
      </c>
      <c r="X17" s="8">
        <v>0</v>
      </c>
      <c r="Y17" s="8">
        <f t="shared" si="9"/>
        <v>23450</v>
      </c>
      <c r="Z17" s="102">
        <f t="shared" si="10"/>
        <v>14070</v>
      </c>
      <c r="AA17" s="103">
        <f t="shared" si="11"/>
        <v>8207.5</v>
      </c>
      <c r="AB17" s="102">
        <f t="shared" si="2"/>
        <v>1172.5</v>
      </c>
    </row>
    <row r="18" spans="1:28" ht="12" customHeight="1" x14ac:dyDescent="0.35">
      <c r="A18" s="1" t="s">
        <v>34</v>
      </c>
      <c r="B18" s="12">
        <v>89050</v>
      </c>
      <c r="C18" s="12" t="s">
        <v>35</v>
      </c>
      <c r="D18" s="12" t="s">
        <v>35</v>
      </c>
      <c r="E18" s="25" t="s">
        <v>36</v>
      </c>
      <c r="F18" s="12" t="s">
        <v>57</v>
      </c>
      <c r="G18" s="12" t="s">
        <v>38</v>
      </c>
      <c r="H18" s="12" t="s">
        <v>58</v>
      </c>
      <c r="I18" s="12" t="s">
        <v>50</v>
      </c>
      <c r="J18" s="12" t="s">
        <v>41</v>
      </c>
      <c r="K18" s="12" t="s">
        <v>42</v>
      </c>
      <c r="L18" s="61">
        <v>0.5</v>
      </c>
      <c r="M18" s="8">
        <v>5000</v>
      </c>
      <c r="N18" s="8">
        <f t="shared" si="3"/>
        <v>2500</v>
      </c>
      <c r="O18" s="78">
        <v>1</v>
      </c>
      <c r="P18" s="8">
        <f t="shared" si="4"/>
        <v>5000</v>
      </c>
      <c r="Q18" s="78">
        <v>1</v>
      </c>
      <c r="R18" s="8">
        <f t="shared" si="5"/>
        <v>5000</v>
      </c>
      <c r="S18" s="78">
        <v>1</v>
      </c>
      <c r="T18" s="8">
        <f t="shared" si="6"/>
        <v>5000</v>
      </c>
      <c r="U18" s="8"/>
      <c r="V18" s="8">
        <f t="shared" si="7"/>
        <v>0</v>
      </c>
      <c r="W18" s="8">
        <f t="shared" si="8"/>
        <v>17500</v>
      </c>
      <c r="X18" s="8">
        <v>0</v>
      </c>
      <c r="Y18" s="8">
        <f t="shared" si="9"/>
        <v>17500</v>
      </c>
      <c r="Z18" s="102">
        <f t="shared" si="10"/>
        <v>10500</v>
      </c>
      <c r="AA18" s="103">
        <f t="shared" si="11"/>
        <v>6125</v>
      </c>
      <c r="AB18" s="102">
        <f t="shared" si="2"/>
        <v>875</v>
      </c>
    </row>
    <row r="19" spans="1:28" ht="12" customHeight="1" x14ac:dyDescent="0.35">
      <c r="A19" s="1" t="s">
        <v>34</v>
      </c>
      <c r="B19" s="12">
        <v>89050</v>
      </c>
      <c r="C19" s="12" t="s">
        <v>35</v>
      </c>
      <c r="D19" s="12" t="s">
        <v>35</v>
      </c>
      <c r="E19" s="25" t="s">
        <v>36</v>
      </c>
      <c r="F19" s="12" t="s">
        <v>59</v>
      </c>
      <c r="G19" s="12" t="s">
        <v>38</v>
      </c>
      <c r="H19" s="12" t="s">
        <v>60</v>
      </c>
      <c r="I19" s="12" t="s">
        <v>50</v>
      </c>
      <c r="J19" s="12" t="s">
        <v>41</v>
      </c>
      <c r="K19" s="12" t="s">
        <v>42</v>
      </c>
      <c r="L19" s="61">
        <v>0</v>
      </c>
      <c r="M19" s="8">
        <v>7000</v>
      </c>
      <c r="N19" s="8">
        <f t="shared" si="3"/>
        <v>0</v>
      </c>
      <c r="O19" s="78">
        <v>1</v>
      </c>
      <c r="P19" s="8">
        <f t="shared" si="4"/>
        <v>7000</v>
      </c>
      <c r="Q19" s="78">
        <v>0.5</v>
      </c>
      <c r="R19" s="8">
        <f t="shared" si="5"/>
        <v>3500</v>
      </c>
      <c r="S19" s="78">
        <v>0</v>
      </c>
      <c r="T19" s="8">
        <f t="shared" si="6"/>
        <v>0</v>
      </c>
      <c r="U19" s="8"/>
      <c r="V19" s="8">
        <f t="shared" si="7"/>
        <v>0</v>
      </c>
      <c r="W19" s="8">
        <f t="shared" si="8"/>
        <v>10500</v>
      </c>
      <c r="X19" s="8">
        <v>0</v>
      </c>
      <c r="Y19" s="8">
        <f t="shared" si="9"/>
        <v>10500</v>
      </c>
      <c r="Z19" s="102">
        <f t="shared" si="10"/>
        <v>6300</v>
      </c>
      <c r="AA19" s="103">
        <f t="shared" si="11"/>
        <v>3674.9999999999995</v>
      </c>
      <c r="AB19" s="102">
        <f t="shared" si="2"/>
        <v>525.00000000000045</v>
      </c>
    </row>
    <row r="20" spans="1:28" ht="12" customHeight="1" x14ac:dyDescent="0.35">
      <c r="A20" s="1" t="s">
        <v>34</v>
      </c>
      <c r="B20" s="12">
        <v>89050</v>
      </c>
      <c r="C20" s="12" t="s">
        <v>35</v>
      </c>
      <c r="D20" s="12" t="s">
        <v>35</v>
      </c>
      <c r="E20" s="25" t="s">
        <v>36</v>
      </c>
      <c r="F20" s="12" t="s">
        <v>61</v>
      </c>
      <c r="G20" s="12" t="s">
        <v>38</v>
      </c>
      <c r="H20" s="12" t="s">
        <v>62</v>
      </c>
      <c r="I20" s="12" t="s">
        <v>50</v>
      </c>
      <c r="J20" s="12" t="s">
        <v>41</v>
      </c>
      <c r="K20" s="12" t="s">
        <v>42</v>
      </c>
      <c r="L20" s="61">
        <v>0.5</v>
      </c>
      <c r="M20" s="8">
        <v>13750</v>
      </c>
      <c r="N20" s="8">
        <f t="shared" si="3"/>
        <v>6875</v>
      </c>
      <c r="O20" s="78">
        <v>0.5</v>
      </c>
      <c r="P20" s="8">
        <f t="shared" si="4"/>
        <v>6875</v>
      </c>
      <c r="Q20" s="78">
        <v>0.5</v>
      </c>
      <c r="R20" s="8">
        <f t="shared" si="5"/>
        <v>6875</v>
      </c>
      <c r="S20" s="78">
        <v>0.5</v>
      </c>
      <c r="T20" s="8">
        <f t="shared" si="6"/>
        <v>6875</v>
      </c>
      <c r="U20" s="8"/>
      <c r="V20" s="8">
        <f t="shared" si="7"/>
        <v>0</v>
      </c>
      <c r="W20" s="8">
        <f t="shared" si="8"/>
        <v>27500</v>
      </c>
      <c r="X20" s="8">
        <v>0</v>
      </c>
      <c r="Y20" s="8">
        <f t="shared" si="9"/>
        <v>27500</v>
      </c>
      <c r="Z20" s="102">
        <f t="shared" si="10"/>
        <v>16500</v>
      </c>
      <c r="AA20" s="103">
        <f t="shared" si="11"/>
        <v>9625</v>
      </c>
      <c r="AB20" s="102">
        <f t="shared" si="2"/>
        <v>1375</v>
      </c>
    </row>
    <row r="21" spans="1:28" ht="12" customHeight="1" x14ac:dyDescent="0.35">
      <c r="A21" s="1" t="s">
        <v>34</v>
      </c>
      <c r="B21" s="12">
        <v>89050</v>
      </c>
      <c r="C21" s="12" t="s">
        <v>35</v>
      </c>
      <c r="D21" s="12" t="s">
        <v>35</v>
      </c>
      <c r="E21" s="25" t="s">
        <v>36</v>
      </c>
      <c r="F21" s="12" t="s">
        <v>63</v>
      </c>
      <c r="G21" s="12" t="s">
        <v>38</v>
      </c>
      <c r="H21" s="12" t="s">
        <v>64</v>
      </c>
      <c r="I21" s="12" t="s">
        <v>50</v>
      </c>
      <c r="J21" s="12" t="s">
        <v>41</v>
      </c>
      <c r="K21" s="12" t="s">
        <v>42</v>
      </c>
      <c r="L21" s="61">
        <v>0.25</v>
      </c>
      <c r="M21" s="8">
        <v>11250</v>
      </c>
      <c r="N21" s="8">
        <f t="shared" si="3"/>
        <v>2812.5</v>
      </c>
      <c r="O21" s="78">
        <v>0.5</v>
      </c>
      <c r="P21" s="8">
        <f t="shared" si="4"/>
        <v>5625</v>
      </c>
      <c r="Q21" s="78">
        <v>0.5</v>
      </c>
      <c r="R21" s="8">
        <f t="shared" si="5"/>
        <v>5625</v>
      </c>
      <c r="S21" s="78">
        <v>0.5</v>
      </c>
      <c r="T21" s="8">
        <f t="shared" si="6"/>
        <v>5625</v>
      </c>
      <c r="U21" s="8"/>
      <c r="V21" s="8">
        <f t="shared" si="7"/>
        <v>0</v>
      </c>
      <c r="W21" s="8">
        <f t="shared" si="8"/>
        <v>19687.5</v>
      </c>
      <c r="X21" s="8">
        <v>0</v>
      </c>
      <c r="Y21" s="8">
        <f t="shared" si="9"/>
        <v>19687.5</v>
      </c>
      <c r="Z21" s="102">
        <f t="shared" si="10"/>
        <v>11812.5</v>
      </c>
      <c r="AA21" s="103">
        <f t="shared" si="11"/>
        <v>6890.625</v>
      </c>
      <c r="AB21" s="102">
        <f t="shared" si="2"/>
        <v>984.375</v>
      </c>
    </row>
    <row r="22" spans="1:28" ht="12" customHeight="1" x14ac:dyDescent="0.35">
      <c r="A22" s="1" t="s">
        <v>34</v>
      </c>
      <c r="B22" s="12">
        <v>89050</v>
      </c>
      <c r="C22" s="12" t="s">
        <v>35</v>
      </c>
      <c r="D22" s="12" t="s">
        <v>35</v>
      </c>
      <c r="E22" s="25" t="s">
        <v>36</v>
      </c>
      <c r="F22" s="12" t="s">
        <v>65</v>
      </c>
      <c r="G22" s="12" t="s">
        <v>38</v>
      </c>
      <c r="H22" s="12" t="s">
        <v>66</v>
      </c>
      <c r="I22" s="12" t="s">
        <v>50</v>
      </c>
      <c r="J22" s="12" t="s">
        <v>41</v>
      </c>
      <c r="K22" s="12" t="s">
        <v>42</v>
      </c>
      <c r="L22" s="61">
        <v>0.25</v>
      </c>
      <c r="M22" s="8">
        <v>5700</v>
      </c>
      <c r="N22" s="8">
        <f t="shared" si="3"/>
        <v>1425</v>
      </c>
      <c r="O22" s="78">
        <v>0.7</v>
      </c>
      <c r="P22" s="8">
        <f t="shared" si="4"/>
        <v>3989.9999999999995</v>
      </c>
      <c r="Q22" s="78">
        <v>0.7</v>
      </c>
      <c r="R22" s="8">
        <f t="shared" si="5"/>
        <v>3989.9999999999995</v>
      </c>
      <c r="S22" s="78">
        <v>0.7</v>
      </c>
      <c r="T22" s="8">
        <f t="shared" si="6"/>
        <v>3989.9999999999995</v>
      </c>
      <c r="U22" s="8"/>
      <c r="V22" s="8">
        <f t="shared" si="7"/>
        <v>0</v>
      </c>
      <c r="W22" s="8">
        <f t="shared" si="8"/>
        <v>13395</v>
      </c>
      <c r="X22" s="8">
        <v>0</v>
      </c>
      <c r="Y22" s="8">
        <f t="shared" si="9"/>
        <v>13395</v>
      </c>
      <c r="Z22" s="102">
        <f t="shared" si="10"/>
        <v>8037</v>
      </c>
      <c r="AA22" s="103">
        <f t="shared" si="11"/>
        <v>4688.25</v>
      </c>
      <c r="AB22" s="102">
        <f t="shared" si="2"/>
        <v>669.75</v>
      </c>
    </row>
    <row r="23" spans="1:28" ht="12" customHeight="1" x14ac:dyDescent="0.35">
      <c r="A23" s="1" t="s">
        <v>34</v>
      </c>
      <c r="B23" s="12">
        <v>89050</v>
      </c>
      <c r="C23" s="12" t="s">
        <v>35</v>
      </c>
      <c r="D23" s="12" t="s">
        <v>35</v>
      </c>
      <c r="E23" s="25" t="s">
        <v>36</v>
      </c>
      <c r="F23" s="12" t="s">
        <v>67</v>
      </c>
      <c r="G23" s="12" t="s">
        <v>38</v>
      </c>
      <c r="H23" s="12" t="s">
        <v>68</v>
      </c>
      <c r="I23" s="12" t="s">
        <v>69</v>
      </c>
      <c r="J23" s="12" t="s">
        <v>41</v>
      </c>
      <c r="K23" s="12" t="s">
        <v>42</v>
      </c>
      <c r="L23" s="61">
        <v>0</v>
      </c>
      <c r="M23" s="8">
        <v>15000</v>
      </c>
      <c r="N23" s="8">
        <f t="shared" si="3"/>
        <v>0</v>
      </c>
      <c r="O23" s="78">
        <v>1</v>
      </c>
      <c r="P23" s="8">
        <f t="shared" si="4"/>
        <v>15000</v>
      </c>
      <c r="Q23" s="78">
        <v>1</v>
      </c>
      <c r="R23" s="8">
        <f t="shared" si="5"/>
        <v>15000</v>
      </c>
      <c r="S23" s="78">
        <v>0</v>
      </c>
      <c r="T23" s="8">
        <f t="shared" si="6"/>
        <v>0</v>
      </c>
      <c r="U23" s="8"/>
      <c r="V23" s="8">
        <f t="shared" si="7"/>
        <v>0</v>
      </c>
      <c r="W23" s="8">
        <f t="shared" si="8"/>
        <v>30000</v>
      </c>
      <c r="X23" s="8">
        <v>0</v>
      </c>
      <c r="Y23" s="8">
        <f t="shared" si="9"/>
        <v>30000</v>
      </c>
      <c r="Z23" s="102">
        <f t="shared" si="10"/>
        <v>18000</v>
      </c>
      <c r="AA23" s="103">
        <f t="shared" si="11"/>
        <v>10500</v>
      </c>
      <c r="AB23" s="102">
        <f t="shared" si="2"/>
        <v>1500</v>
      </c>
    </row>
    <row r="24" spans="1:28" ht="12" customHeight="1" x14ac:dyDescent="0.35">
      <c r="A24" s="1" t="s">
        <v>34</v>
      </c>
      <c r="B24" s="12">
        <v>89050</v>
      </c>
      <c r="C24" s="12" t="s">
        <v>35</v>
      </c>
      <c r="D24" s="12" t="s">
        <v>35</v>
      </c>
      <c r="E24" s="25" t="s">
        <v>36</v>
      </c>
      <c r="F24" s="12" t="s">
        <v>70</v>
      </c>
      <c r="G24" s="12" t="s">
        <v>38</v>
      </c>
      <c r="H24" s="12" t="s">
        <v>71</v>
      </c>
      <c r="I24" s="12" t="s">
        <v>50</v>
      </c>
      <c r="J24" s="12" t="s">
        <v>41</v>
      </c>
      <c r="K24" s="12" t="s">
        <v>42</v>
      </c>
      <c r="L24" s="61">
        <v>0.25</v>
      </c>
      <c r="M24" s="8">
        <v>13000</v>
      </c>
      <c r="N24" s="8">
        <f t="shared" si="3"/>
        <v>3250</v>
      </c>
      <c r="O24" s="78">
        <v>0.25</v>
      </c>
      <c r="P24" s="8">
        <f t="shared" si="4"/>
        <v>3250</v>
      </c>
      <c r="Q24" s="78">
        <v>0.25</v>
      </c>
      <c r="R24" s="8">
        <f t="shared" si="5"/>
        <v>3250</v>
      </c>
      <c r="S24" s="78">
        <v>0.25</v>
      </c>
      <c r="T24" s="8">
        <f t="shared" si="6"/>
        <v>3250</v>
      </c>
      <c r="U24" s="8"/>
      <c r="V24" s="8">
        <f t="shared" si="7"/>
        <v>0</v>
      </c>
      <c r="W24" s="8">
        <f t="shared" si="8"/>
        <v>13000</v>
      </c>
      <c r="X24" s="8">
        <v>0</v>
      </c>
      <c r="Y24" s="8">
        <f t="shared" si="9"/>
        <v>13000</v>
      </c>
      <c r="Z24" s="102">
        <f t="shared" si="10"/>
        <v>7800</v>
      </c>
      <c r="AA24" s="103">
        <f t="shared" si="11"/>
        <v>4550</v>
      </c>
      <c r="AB24" s="102">
        <f t="shared" si="2"/>
        <v>650</v>
      </c>
    </row>
    <row r="25" spans="1:28" ht="12" customHeight="1" x14ac:dyDescent="0.35">
      <c r="B25" s="12"/>
      <c r="C25" s="12"/>
      <c r="D25" s="12"/>
      <c r="E25" s="25"/>
      <c r="F25" s="12"/>
      <c r="G25" s="12"/>
      <c r="H25" s="12"/>
      <c r="I25" s="12"/>
      <c r="J25" s="12"/>
      <c r="K25" s="1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04"/>
      <c r="AA25" s="104"/>
      <c r="AB25" s="102"/>
    </row>
    <row r="26" spans="1:28" ht="12" customHeight="1" x14ac:dyDescent="0.4">
      <c r="A26" s="3"/>
      <c r="B26" s="12"/>
      <c r="C26" s="12"/>
      <c r="D26" s="12"/>
      <c r="E26" s="25"/>
      <c r="F26" s="12"/>
      <c r="G26" s="12"/>
      <c r="H26" s="33" t="s">
        <v>72</v>
      </c>
      <c r="I26" s="33"/>
      <c r="J26" s="33"/>
      <c r="K26" s="33"/>
      <c r="L26" s="34"/>
      <c r="M26" s="34"/>
      <c r="N26" s="34">
        <f>SUM(N9:N24)</f>
        <v>60095</v>
      </c>
      <c r="O26" s="34"/>
      <c r="P26" s="34">
        <f>SUM(P9:P24)</f>
        <v>183271.5</v>
      </c>
      <c r="Q26" s="34"/>
      <c r="R26" s="34">
        <f>SUM(R9:R24)</f>
        <v>179771.5</v>
      </c>
      <c r="S26" s="34"/>
      <c r="T26" s="34">
        <f>SUM(T9:T24)</f>
        <v>150438.5</v>
      </c>
      <c r="U26" s="34"/>
      <c r="V26" s="34">
        <f>SUM(V9:V24)</f>
        <v>0</v>
      </c>
      <c r="W26" s="34">
        <f>SUM(N26+P26+R26+T26+V26)</f>
        <v>573576.5</v>
      </c>
      <c r="X26" s="34">
        <v>0</v>
      </c>
      <c r="Y26" s="34">
        <f>SUM(W26:X26)</f>
        <v>573576.5</v>
      </c>
      <c r="Z26" s="104"/>
      <c r="AA26" s="105"/>
      <c r="AB26" s="102"/>
    </row>
    <row r="27" spans="1:28" ht="12" customHeight="1" x14ac:dyDescent="0.4">
      <c r="A27" s="3"/>
      <c r="B27" s="12"/>
      <c r="C27" s="12"/>
      <c r="D27" s="12"/>
      <c r="E27" s="25"/>
      <c r="F27" s="12"/>
      <c r="G27" s="12"/>
      <c r="H27" s="33"/>
      <c r="I27" s="33"/>
      <c r="J27" s="33"/>
      <c r="K27" s="33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104"/>
      <c r="AA27" s="105"/>
      <c r="AB27" s="102"/>
    </row>
    <row r="28" spans="1:28" ht="12" customHeight="1" x14ac:dyDescent="0.4">
      <c r="A28" s="3"/>
      <c r="B28" s="12"/>
      <c r="C28" s="12"/>
      <c r="D28" s="12"/>
      <c r="E28" s="25"/>
      <c r="F28" s="12"/>
      <c r="G28" s="12"/>
      <c r="H28" s="33" t="s">
        <v>73</v>
      </c>
      <c r="I28" s="33"/>
      <c r="J28" s="33"/>
      <c r="K28" s="3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8"/>
      <c r="X28" s="34"/>
      <c r="Y28" s="34"/>
      <c r="Z28" s="104"/>
      <c r="AA28" s="105"/>
      <c r="AB28" s="102"/>
    </row>
    <row r="29" spans="1:28" ht="12" customHeight="1" x14ac:dyDescent="0.35">
      <c r="A29" s="1" t="s">
        <v>34</v>
      </c>
      <c r="B29" s="12">
        <v>89050</v>
      </c>
      <c r="C29" s="12" t="s">
        <v>35</v>
      </c>
      <c r="D29" s="12" t="s">
        <v>35</v>
      </c>
      <c r="E29" s="25" t="s">
        <v>36</v>
      </c>
      <c r="F29" s="12" t="s">
        <v>74</v>
      </c>
      <c r="G29" s="12" t="s">
        <v>38</v>
      </c>
      <c r="H29" s="12" t="s">
        <v>75</v>
      </c>
      <c r="I29" s="12"/>
      <c r="J29" s="12" t="s">
        <v>73</v>
      </c>
      <c r="K29" s="12"/>
      <c r="L29" s="8"/>
      <c r="M29" s="20">
        <v>0.3</v>
      </c>
      <c r="N29" s="8">
        <f>M29*SUM(N14:N22)</f>
        <v>14473.5</v>
      </c>
      <c r="O29" s="8"/>
      <c r="P29" s="8">
        <f>M29*SUM(P14:P22)</f>
        <v>35346.449999999997</v>
      </c>
      <c r="Q29" s="8"/>
      <c r="R29" s="8">
        <f>M29*SUM(R14:R22)</f>
        <v>34296.449999999997</v>
      </c>
      <c r="S29" s="8"/>
      <c r="T29" s="8">
        <f>M29*SUM(T14:T22)</f>
        <v>29996.55</v>
      </c>
      <c r="U29" s="8"/>
      <c r="V29" s="8">
        <v>0</v>
      </c>
      <c r="W29" s="8">
        <f>SUM(N29+P29+R29+T29+V29)</f>
        <v>114112.95</v>
      </c>
      <c r="X29" s="8">
        <v>0</v>
      </c>
      <c r="Y29" s="8">
        <f>SUM(W29:X29)</f>
        <v>114112.95</v>
      </c>
      <c r="Z29" s="102">
        <f t="shared" ref="Z29" si="12">Y29*0.6</f>
        <v>68467.76999999999</v>
      </c>
      <c r="AA29" s="103">
        <f t="shared" ref="AA29" si="13">Y29*0.35</f>
        <v>39939.532499999994</v>
      </c>
      <c r="AB29" s="102">
        <f t="shared" si="2"/>
        <v>5705.6475000000137</v>
      </c>
    </row>
    <row r="30" spans="1:28" ht="12" customHeight="1" x14ac:dyDescent="0.35">
      <c r="K30" s="25"/>
      <c r="L30" s="21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8"/>
      <c r="Y30" s="15"/>
      <c r="Z30" s="104"/>
      <c r="AA30" s="104"/>
      <c r="AB30" s="104"/>
    </row>
    <row r="31" spans="1:28" ht="10.8" thickBot="1" x14ac:dyDescent="0.45">
      <c r="A31" s="16"/>
      <c r="B31" s="16"/>
      <c r="C31" s="16"/>
      <c r="D31" s="16"/>
      <c r="E31" s="16"/>
      <c r="F31" s="16"/>
      <c r="G31" s="16"/>
      <c r="H31" s="16" t="s">
        <v>76</v>
      </c>
      <c r="I31" s="16"/>
      <c r="J31" s="16"/>
      <c r="K31" s="22"/>
      <c r="L31" s="22"/>
      <c r="M31" s="23"/>
      <c r="N31" s="17">
        <f>SUM(N26:N29)</f>
        <v>74568.5</v>
      </c>
      <c r="O31" s="17"/>
      <c r="P31" s="17">
        <f>SUM(P26:P29)</f>
        <v>218617.95</v>
      </c>
      <c r="Q31" s="17"/>
      <c r="R31" s="17">
        <f>SUM(R26:R29)</f>
        <v>214067.95</v>
      </c>
      <c r="S31" s="17"/>
      <c r="T31" s="17">
        <f>SUM(T26:T29)</f>
        <v>180435.05</v>
      </c>
      <c r="U31" s="17"/>
      <c r="V31" s="17">
        <f>SUM(V26:V29)</f>
        <v>0</v>
      </c>
      <c r="W31" s="17">
        <f>N31+P31+R31+T31+V31</f>
        <v>687689.45</v>
      </c>
      <c r="X31" s="17">
        <f>SUM(X8:X29)</f>
        <v>0</v>
      </c>
      <c r="Y31" s="24">
        <f>SUM(W31:X31)</f>
        <v>687689.45</v>
      </c>
    </row>
    <row r="32" spans="1:28" ht="12" customHeight="1" x14ac:dyDescent="0.35">
      <c r="K32" s="25"/>
      <c r="L32" s="21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8"/>
      <c r="Y32" s="15"/>
      <c r="Z32" s="104"/>
      <c r="AA32" s="104"/>
      <c r="AB32" s="104"/>
    </row>
    <row r="33" spans="1:28" ht="12" customHeight="1" x14ac:dyDescent="0.4">
      <c r="A33" s="36"/>
      <c r="B33" s="36"/>
      <c r="C33" s="36"/>
      <c r="D33" s="36"/>
      <c r="E33" s="36"/>
      <c r="F33" s="36"/>
      <c r="G33" s="36"/>
      <c r="H33" s="36" t="s">
        <v>77</v>
      </c>
      <c r="I33" s="36"/>
      <c r="J33" s="36"/>
      <c r="K33" s="37"/>
      <c r="L33" s="37"/>
      <c r="M33" s="38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40"/>
      <c r="AA33" s="106"/>
    </row>
    <row r="34" spans="1:28" ht="12" customHeight="1" x14ac:dyDescent="0.35">
      <c r="A34" s="115"/>
      <c r="B34" s="81"/>
      <c r="C34" s="81"/>
      <c r="D34" s="81"/>
      <c r="E34" s="81"/>
      <c r="F34" s="81"/>
      <c r="G34" s="81"/>
      <c r="H34" s="81" t="s">
        <v>78</v>
      </c>
      <c r="I34" s="47"/>
      <c r="J34" s="47"/>
      <c r="K34" s="45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1:28" ht="12" customHeight="1" x14ac:dyDescent="0.35">
      <c r="A35" s="1" t="s">
        <v>34</v>
      </c>
      <c r="B35" s="12">
        <v>89050</v>
      </c>
      <c r="C35" s="12" t="s">
        <v>35</v>
      </c>
      <c r="D35" s="12" t="s">
        <v>35</v>
      </c>
      <c r="E35" s="25" t="s">
        <v>36</v>
      </c>
      <c r="F35" s="12" t="s">
        <v>79</v>
      </c>
      <c r="G35" s="12" t="s">
        <v>38</v>
      </c>
      <c r="H35" s="71" t="s">
        <v>80</v>
      </c>
      <c r="J35" s="1" t="s">
        <v>77</v>
      </c>
      <c r="K35" s="25" t="s">
        <v>81</v>
      </c>
      <c r="L35" s="8">
        <v>2</v>
      </c>
      <c r="M35" s="8">
        <v>550</v>
      </c>
      <c r="N35" s="8">
        <f>L35*M35</f>
        <v>1100</v>
      </c>
      <c r="O35" s="8">
        <v>4</v>
      </c>
      <c r="P35" s="8">
        <f>O35*M35</f>
        <v>2200</v>
      </c>
      <c r="Q35" s="8">
        <v>4</v>
      </c>
      <c r="R35" s="8">
        <f>Q35*M35</f>
        <v>2200</v>
      </c>
      <c r="S35" s="8">
        <v>4</v>
      </c>
      <c r="T35" s="8">
        <f>S35*M35</f>
        <v>2200</v>
      </c>
      <c r="U35" s="8">
        <v>0</v>
      </c>
      <c r="V35" s="8">
        <f>U35*M35</f>
        <v>0</v>
      </c>
      <c r="W35" s="8">
        <f>N35+P35+R35+T35+V35</f>
        <v>7700</v>
      </c>
      <c r="X35" s="8" t="s">
        <v>82</v>
      </c>
      <c r="Y35" s="8">
        <f>SUM(W35:X35)</f>
        <v>7700</v>
      </c>
      <c r="Z35" s="102">
        <f t="shared" ref="Z35:Z43" si="14">Y35*0.6</f>
        <v>4620</v>
      </c>
      <c r="AA35" s="103">
        <f t="shared" ref="AA35:AA54" si="15">Y35*0.35</f>
        <v>2695</v>
      </c>
      <c r="AB35" s="102">
        <f t="shared" ref="AB35:AB49" si="16">Y35-Z35-AA35</f>
        <v>385</v>
      </c>
    </row>
    <row r="36" spans="1:28" ht="12" customHeight="1" x14ac:dyDescent="0.35">
      <c r="A36" s="1" t="s">
        <v>34</v>
      </c>
      <c r="B36" s="12">
        <v>89050</v>
      </c>
      <c r="C36" s="12" t="s">
        <v>35</v>
      </c>
      <c r="D36" s="12" t="s">
        <v>35</v>
      </c>
      <c r="E36" s="25" t="s">
        <v>36</v>
      </c>
      <c r="F36" s="12" t="s">
        <v>83</v>
      </c>
      <c r="G36" s="12" t="s">
        <v>38</v>
      </c>
      <c r="H36" s="71" t="s">
        <v>84</v>
      </c>
      <c r="J36" s="1" t="s">
        <v>77</v>
      </c>
      <c r="K36" s="25" t="s">
        <v>85</v>
      </c>
      <c r="L36" s="8">
        <f>2*10</f>
        <v>20</v>
      </c>
      <c r="M36" s="8">
        <v>160</v>
      </c>
      <c r="N36" s="8">
        <f>L36*M36</f>
        <v>3200</v>
      </c>
      <c r="O36" s="8">
        <f>4*10</f>
        <v>40</v>
      </c>
      <c r="P36" s="8">
        <f>O36*M36</f>
        <v>6400</v>
      </c>
      <c r="Q36" s="8">
        <f>4*10</f>
        <v>40</v>
      </c>
      <c r="R36" s="8">
        <f>Q36*M36</f>
        <v>6400</v>
      </c>
      <c r="S36" s="8">
        <f>4*10</f>
        <v>40</v>
      </c>
      <c r="T36" s="8">
        <f>S36*M36</f>
        <v>6400</v>
      </c>
      <c r="U36" s="8">
        <v>0</v>
      </c>
      <c r="V36" s="8">
        <f>U36*M36</f>
        <v>0</v>
      </c>
      <c r="W36" s="8">
        <f>N36+P36+R36+T36+V36</f>
        <v>22400</v>
      </c>
      <c r="X36" s="8" t="s">
        <v>82</v>
      </c>
      <c r="Y36" s="8">
        <f>SUM(W36:X36)</f>
        <v>22400</v>
      </c>
      <c r="Z36" s="102">
        <f t="shared" si="14"/>
        <v>13440</v>
      </c>
      <c r="AA36" s="103">
        <f t="shared" si="15"/>
        <v>7839.9999999999991</v>
      </c>
      <c r="AB36" s="102">
        <f t="shared" si="16"/>
        <v>1120.0000000000009</v>
      </c>
    </row>
    <row r="37" spans="1:28" ht="12" customHeight="1" x14ac:dyDescent="0.35">
      <c r="A37" s="1" t="s">
        <v>34</v>
      </c>
      <c r="B37" s="12">
        <v>89050</v>
      </c>
      <c r="C37" s="12" t="s">
        <v>35</v>
      </c>
      <c r="D37" s="12" t="s">
        <v>35</v>
      </c>
      <c r="E37" s="25" t="s">
        <v>36</v>
      </c>
      <c r="F37" s="12" t="s">
        <v>86</v>
      </c>
      <c r="G37" s="12" t="s">
        <v>38</v>
      </c>
      <c r="H37" s="71" t="s">
        <v>87</v>
      </c>
      <c r="J37" s="1" t="s">
        <v>77</v>
      </c>
      <c r="K37" s="25" t="s">
        <v>85</v>
      </c>
      <c r="L37" s="8">
        <v>10</v>
      </c>
      <c r="M37" s="8">
        <v>25</v>
      </c>
      <c r="N37" s="8">
        <f>L37*M37</f>
        <v>250</v>
      </c>
      <c r="O37" s="8">
        <f>4*10</f>
        <v>40</v>
      </c>
      <c r="P37" s="8">
        <f>O37*M37</f>
        <v>1000</v>
      </c>
      <c r="Q37" s="8">
        <f>4*10</f>
        <v>40</v>
      </c>
      <c r="R37" s="8">
        <f>Q37*M37</f>
        <v>1000</v>
      </c>
      <c r="S37" s="8">
        <f>4*10</f>
        <v>40</v>
      </c>
      <c r="T37" s="8">
        <f>S37*M37</f>
        <v>1000</v>
      </c>
      <c r="U37" s="8">
        <v>0</v>
      </c>
      <c r="V37" s="8">
        <f>U37*M37</f>
        <v>0</v>
      </c>
      <c r="W37" s="8">
        <f>N37+P37+R37+T37+V37</f>
        <v>3250</v>
      </c>
      <c r="X37" s="8" t="s">
        <v>82</v>
      </c>
      <c r="Y37" s="8">
        <f>SUM(W37:X37)</f>
        <v>3250</v>
      </c>
      <c r="Z37" s="102">
        <f t="shared" si="14"/>
        <v>1950</v>
      </c>
      <c r="AA37" s="103">
        <f t="shared" si="15"/>
        <v>1137.5</v>
      </c>
      <c r="AB37" s="102">
        <f t="shared" si="16"/>
        <v>162.5</v>
      </c>
    </row>
    <row r="38" spans="1:28" ht="12" customHeight="1" x14ac:dyDescent="0.35">
      <c r="A38" s="1" t="s">
        <v>34</v>
      </c>
      <c r="B38" s="12">
        <v>89050</v>
      </c>
      <c r="C38" s="12" t="s">
        <v>35</v>
      </c>
      <c r="D38" s="12" t="s">
        <v>35</v>
      </c>
      <c r="E38" s="25" t="s">
        <v>36</v>
      </c>
      <c r="F38" s="12" t="s">
        <v>88</v>
      </c>
      <c r="G38" s="12" t="s">
        <v>38</v>
      </c>
      <c r="H38" s="1" t="s">
        <v>89</v>
      </c>
      <c r="J38" s="1" t="s">
        <v>77</v>
      </c>
      <c r="K38" s="25" t="s">
        <v>81</v>
      </c>
      <c r="L38" s="8">
        <v>2</v>
      </c>
      <c r="M38" s="8">
        <v>50</v>
      </c>
      <c r="N38" s="8">
        <f>L38*M38</f>
        <v>100</v>
      </c>
      <c r="O38" s="8">
        <v>4</v>
      </c>
      <c r="P38" s="8">
        <f>O38*M38</f>
        <v>200</v>
      </c>
      <c r="Q38" s="8">
        <v>4</v>
      </c>
      <c r="R38" s="8">
        <f>Q38*M38</f>
        <v>200</v>
      </c>
      <c r="S38" s="8">
        <v>4</v>
      </c>
      <c r="T38" s="8">
        <f>S38*M38</f>
        <v>200</v>
      </c>
      <c r="U38" s="8">
        <v>0</v>
      </c>
      <c r="V38" s="8">
        <f>U38*M38</f>
        <v>0</v>
      </c>
      <c r="W38" s="8">
        <f>N38+P38+R38+T38+V38</f>
        <v>700</v>
      </c>
      <c r="X38" s="8" t="s">
        <v>82</v>
      </c>
      <c r="Y38" s="8">
        <f>SUM(W38:X38)</f>
        <v>700</v>
      </c>
      <c r="Z38" s="102">
        <f t="shared" si="14"/>
        <v>420</v>
      </c>
      <c r="AA38" s="103">
        <f t="shared" si="15"/>
        <v>244.99999999999997</v>
      </c>
      <c r="AB38" s="102">
        <f t="shared" si="16"/>
        <v>35.000000000000028</v>
      </c>
    </row>
    <row r="39" spans="1:28" ht="12" customHeight="1" x14ac:dyDescent="0.35">
      <c r="A39" s="115"/>
      <c r="B39" s="81"/>
      <c r="C39" s="81"/>
      <c r="D39" s="81"/>
      <c r="E39" s="81"/>
      <c r="F39" s="81"/>
      <c r="G39" s="81"/>
      <c r="H39" s="81" t="s">
        <v>90</v>
      </c>
      <c r="I39" s="47"/>
      <c r="J39" s="47"/>
      <c r="K39" s="45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AA39" s="103"/>
      <c r="AB39" s="102"/>
    </row>
    <row r="40" spans="1:28" ht="12" customHeight="1" x14ac:dyDescent="0.35">
      <c r="A40" s="1" t="s">
        <v>34</v>
      </c>
      <c r="B40" s="12">
        <v>89050</v>
      </c>
      <c r="C40" s="12" t="s">
        <v>35</v>
      </c>
      <c r="D40" s="12" t="s">
        <v>35</v>
      </c>
      <c r="E40" s="25" t="s">
        <v>36</v>
      </c>
      <c r="F40" s="12" t="s">
        <v>91</v>
      </c>
      <c r="G40" s="12" t="s">
        <v>38</v>
      </c>
      <c r="H40" s="71" t="s">
        <v>92</v>
      </c>
      <c r="J40" s="1" t="s">
        <v>77</v>
      </c>
      <c r="K40" s="25" t="s">
        <v>81</v>
      </c>
      <c r="L40" s="8">
        <v>0</v>
      </c>
      <c r="M40" s="8">
        <v>250</v>
      </c>
      <c r="N40" s="8">
        <f>L40*M40</f>
        <v>0</v>
      </c>
      <c r="O40" s="8">
        <v>16</v>
      </c>
      <c r="P40" s="8">
        <f>O40*M40</f>
        <v>4000</v>
      </c>
      <c r="Q40" s="8">
        <v>16</v>
      </c>
      <c r="R40" s="8">
        <f>Q40*M40</f>
        <v>4000</v>
      </c>
      <c r="S40" s="8">
        <v>16</v>
      </c>
      <c r="T40" s="8">
        <f>S40*M40</f>
        <v>4000</v>
      </c>
      <c r="U40" s="8">
        <v>0</v>
      </c>
      <c r="V40" s="8">
        <f>U40*M40</f>
        <v>0</v>
      </c>
      <c r="W40" s="8">
        <f>N40+P40+R40+T40+V40</f>
        <v>12000</v>
      </c>
      <c r="X40" s="8" t="s">
        <v>82</v>
      </c>
      <c r="Y40" s="8">
        <f>SUM(W40:X40)</f>
        <v>12000</v>
      </c>
      <c r="Z40" s="102">
        <f t="shared" si="14"/>
        <v>7200</v>
      </c>
      <c r="AA40" s="103">
        <f t="shared" si="15"/>
        <v>4200</v>
      </c>
      <c r="AB40" s="102">
        <f t="shared" si="16"/>
        <v>600</v>
      </c>
    </row>
    <row r="41" spans="1:28" ht="12" customHeight="1" x14ac:dyDescent="0.35">
      <c r="A41" s="1" t="s">
        <v>34</v>
      </c>
      <c r="B41" s="12">
        <v>89050</v>
      </c>
      <c r="C41" s="12" t="s">
        <v>35</v>
      </c>
      <c r="D41" s="12" t="s">
        <v>35</v>
      </c>
      <c r="E41" s="25" t="s">
        <v>36</v>
      </c>
      <c r="F41" s="12" t="s">
        <v>93</v>
      </c>
      <c r="G41" s="12" t="s">
        <v>38</v>
      </c>
      <c r="H41" s="71" t="s">
        <v>84</v>
      </c>
      <c r="J41" s="71" t="s">
        <v>77</v>
      </c>
      <c r="K41" s="84" t="s">
        <v>85</v>
      </c>
      <c r="L41" s="85">
        <v>0</v>
      </c>
      <c r="M41" s="86">
        <v>115</v>
      </c>
      <c r="N41" s="8">
        <v>0</v>
      </c>
      <c r="O41" s="8">
        <v>128</v>
      </c>
      <c r="P41" s="8">
        <f>O41*M41</f>
        <v>14720</v>
      </c>
      <c r="Q41" s="8">
        <v>128</v>
      </c>
      <c r="R41" s="8">
        <f>Q41*M41</f>
        <v>14720</v>
      </c>
      <c r="S41" s="8">
        <v>128</v>
      </c>
      <c r="T41" s="8">
        <f>S41*M41</f>
        <v>14720</v>
      </c>
      <c r="U41" s="8">
        <v>0</v>
      </c>
      <c r="V41" s="8">
        <v>0</v>
      </c>
      <c r="W41" s="8">
        <f>N41+P41+R41+T41+V41</f>
        <v>44160</v>
      </c>
      <c r="X41" s="86" t="s">
        <v>82</v>
      </c>
      <c r="Y41" s="8">
        <f t="shared" ref="Y41" si="17">SUM(W41:X41)</f>
        <v>44160</v>
      </c>
      <c r="Z41" s="102">
        <f t="shared" si="14"/>
        <v>26496</v>
      </c>
      <c r="AA41" s="103">
        <f t="shared" si="15"/>
        <v>15455.999999999998</v>
      </c>
      <c r="AB41" s="102">
        <f t="shared" si="16"/>
        <v>2208.0000000000018</v>
      </c>
    </row>
    <row r="42" spans="1:28" ht="12" customHeight="1" x14ac:dyDescent="0.35">
      <c r="A42" s="1" t="s">
        <v>34</v>
      </c>
      <c r="B42" s="12">
        <v>89050</v>
      </c>
      <c r="C42" s="12" t="s">
        <v>35</v>
      </c>
      <c r="D42" s="12" t="s">
        <v>35</v>
      </c>
      <c r="E42" s="25" t="s">
        <v>36</v>
      </c>
      <c r="F42" s="12" t="s">
        <v>94</v>
      </c>
      <c r="G42" s="12" t="s">
        <v>38</v>
      </c>
      <c r="H42" s="71" t="s">
        <v>87</v>
      </c>
      <c r="J42" s="1" t="s">
        <v>77</v>
      </c>
      <c r="K42" s="25" t="s">
        <v>85</v>
      </c>
      <c r="L42" s="8">
        <v>0</v>
      </c>
      <c r="M42" s="8">
        <v>25</v>
      </c>
      <c r="N42" s="8">
        <f>L42*M42</f>
        <v>0</v>
      </c>
      <c r="O42" s="8">
        <f>16*8</f>
        <v>128</v>
      </c>
      <c r="P42" s="8">
        <f>O42*M42</f>
        <v>3200</v>
      </c>
      <c r="Q42" s="8">
        <f>16*8</f>
        <v>128</v>
      </c>
      <c r="R42" s="8">
        <f>Q42*M42</f>
        <v>3200</v>
      </c>
      <c r="S42" s="8">
        <f>16*8</f>
        <v>128</v>
      </c>
      <c r="T42" s="8">
        <f>S42*M42</f>
        <v>3200</v>
      </c>
      <c r="U42" s="8">
        <v>0</v>
      </c>
      <c r="V42" s="8">
        <f>U42*M42</f>
        <v>0</v>
      </c>
      <c r="W42" s="8">
        <f>N42+P42+R42+T42+V42</f>
        <v>9600</v>
      </c>
      <c r="X42" s="8" t="s">
        <v>82</v>
      </c>
      <c r="Y42" s="8">
        <f>SUM(W42:X42)</f>
        <v>9600</v>
      </c>
      <c r="Z42" s="102">
        <f t="shared" si="14"/>
        <v>5760</v>
      </c>
      <c r="AA42" s="103">
        <f t="shared" si="15"/>
        <v>3360</v>
      </c>
      <c r="AB42" s="102">
        <f t="shared" si="16"/>
        <v>480</v>
      </c>
    </row>
    <row r="43" spans="1:28" ht="12" customHeight="1" x14ac:dyDescent="0.35">
      <c r="A43" s="1" t="s">
        <v>34</v>
      </c>
      <c r="B43" s="12">
        <v>89050</v>
      </c>
      <c r="C43" s="12" t="s">
        <v>35</v>
      </c>
      <c r="D43" s="12" t="s">
        <v>35</v>
      </c>
      <c r="E43" s="25" t="s">
        <v>36</v>
      </c>
      <c r="F43" s="12" t="s">
        <v>95</v>
      </c>
      <c r="G43" s="12" t="s">
        <v>38</v>
      </c>
      <c r="H43" s="1" t="s">
        <v>89</v>
      </c>
      <c r="J43" s="1" t="s">
        <v>77</v>
      </c>
      <c r="K43" s="25" t="s">
        <v>81</v>
      </c>
      <c r="L43" s="8">
        <v>0</v>
      </c>
      <c r="M43" s="8">
        <v>50</v>
      </c>
      <c r="N43" s="8">
        <f>L43*M43</f>
        <v>0</v>
      </c>
      <c r="O43" s="8">
        <v>16</v>
      </c>
      <c r="P43" s="8">
        <f>O43*M43</f>
        <v>800</v>
      </c>
      <c r="Q43" s="8">
        <v>16</v>
      </c>
      <c r="R43" s="8">
        <f>Q43*M43</f>
        <v>800</v>
      </c>
      <c r="S43" s="8">
        <v>16</v>
      </c>
      <c r="T43" s="8">
        <f>S43*M43</f>
        <v>800</v>
      </c>
      <c r="U43" s="8">
        <v>0</v>
      </c>
      <c r="V43" s="8">
        <f>U43*M43</f>
        <v>0</v>
      </c>
      <c r="W43" s="8">
        <f>N43+P43+R43+T43+V43</f>
        <v>2400</v>
      </c>
      <c r="X43" s="8" t="s">
        <v>82</v>
      </c>
      <c r="Y43" s="8">
        <f>SUM(W43:X43)</f>
        <v>2400</v>
      </c>
      <c r="Z43" s="102">
        <f t="shared" si="14"/>
        <v>1440</v>
      </c>
      <c r="AA43" s="103">
        <f t="shared" si="15"/>
        <v>840</v>
      </c>
      <c r="AB43" s="102">
        <f t="shared" si="16"/>
        <v>120</v>
      </c>
    </row>
    <row r="44" spans="1:28" ht="12" customHeight="1" x14ac:dyDescent="0.35">
      <c r="B44" s="12"/>
      <c r="C44" s="12"/>
      <c r="D44" s="12"/>
      <c r="E44" s="12"/>
      <c r="F44" s="12"/>
      <c r="G44" s="12"/>
      <c r="H44" s="12"/>
      <c r="I44" s="12"/>
      <c r="J44" s="12"/>
      <c r="K44" s="25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AA44" s="103"/>
      <c r="AB44" s="102"/>
    </row>
    <row r="45" spans="1:28" ht="12" customHeight="1" thickBot="1" x14ac:dyDescent="0.45">
      <c r="A45" s="16"/>
      <c r="B45" s="16"/>
      <c r="C45" s="16"/>
      <c r="D45" s="16"/>
      <c r="E45" s="16"/>
      <c r="F45" s="16"/>
      <c r="G45" s="16"/>
      <c r="H45" s="16" t="s">
        <v>96</v>
      </c>
      <c r="I45" s="16"/>
      <c r="J45" s="16"/>
      <c r="K45" s="22"/>
      <c r="L45" s="22"/>
      <c r="M45" s="23"/>
      <c r="N45" s="17">
        <f>SUM(N34:N43)</f>
        <v>4650</v>
      </c>
      <c r="O45" s="17"/>
      <c r="P45" s="17">
        <f>SUM(P34:P43)</f>
        <v>32520</v>
      </c>
      <c r="Q45" s="17"/>
      <c r="R45" s="17">
        <f>SUM(R34:R43)</f>
        <v>32520</v>
      </c>
      <c r="S45" s="17"/>
      <c r="T45" s="17">
        <f>SUM(T34:T43)</f>
        <v>32520</v>
      </c>
      <c r="U45" s="17"/>
      <c r="V45" s="17">
        <f>SUM(V34:V43)</f>
        <v>0</v>
      </c>
      <c r="W45" s="17">
        <f>N45+P45+R45+T45+V45</f>
        <v>102210</v>
      </c>
      <c r="X45" s="17">
        <f>SUM(X34:X43)</f>
        <v>0</v>
      </c>
      <c r="Y45" s="24">
        <f>SUM(W45:X45)</f>
        <v>102210</v>
      </c>
      <c r="AA45" s="103"/>
      <c r="AB45" s="102"/>
    </row>
    <row r="46" spans="1:28" ht="12" customHeight="1" x14ac:dyDescent="0.4">
      <c r="A46" s="30"/>
      <c r="B46" s="30"/>
      <c r="C46" s="30"/>
      <c r="D46" s="30"/>
      <c r="E46" s="30"/>
      <c r="F46" s="30"/>
      <c r="G46" s="30"/>
      <c r="H46" s="30" t="s">
        <v>97</v>
      </c>
      <c r="I46" s="30"/>
      <c r="J46" s="30"/>
      <c r="K46" s="30"/>
      <c r="L46" s="30"/>
      <c r="M46" s="3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AA46" s="103"/>
      <c r="AB46" s="102"/>
    </row>
    <row r="47" spans="1:28" ht="12" customHeight="1" x14ac:dyDescent="0.35">
      <c r="A47" s="1" t="s">
        <v>34</v>
      </c>
      <c r="B47" s="12">
        <v>89050</v>
      </c>
      <c r="C47" s="12" t="s">
        <v>35</v>
      </c>
      <c r="D47" s="12" t="s">
        <v>35</v>
      </c>
      <c r="E47" s="25" t="s">
        <v>36</v>
      </c>
      <c r="F47" s="12" t="s">
        <v>98</v>
      </c>
      <c r="G47" s="12" t="s">
        <v>38</v>
      </c>
      <c r="H47" s="1" t="s">
        <v>99</v>
      </c>
      <c r="I47" s="12"/>
      <c r="J47" s="12" t="s">
        <v>100</v>
      </c>
      <c r="K47" s="25" t="s">
        <v>101</v>
      </c>
      <c r="L47" s="8">
        <v>0</v>
      </c>
      <c r="M47" s="8">
        <v>1500</v>
      </c>
      <c r="N47" s="8">
        <f>L47*M47</f>
        <v>0</v>
      </c>
      <c r="O47" s="8">
        <v>1</v>
      </c>
      <c r="P47" s="8">
        <f>O47*M47</f>
        <v>1500</v>
      </c>
      <c r="Q47" s="8">
        <v>1</v>
      </c>
      <c r="R47" s="8">
        <f>Q47*M47</f>
        <v>1500</v>
      </c>
      <c r="S47" s="8">
        <v>0</v>
      </c>
      <c r="T47" s="8">
        <f>S47*M47</f>
        <v>0</v>
      </c>
      <c r="U47" s="8">
        <v>0</v>
      </c>
      <c r="V47" s="8">
        <f>U47*M47</f>
        <v>0</v>
      </c>
      <c r="W47" s="8">
        <f>N47+P47+R47+T47+V47</f>
        <v>3000</v>
      </c>
      <c r="X47" s="8">
        <v>0</v>
      </c>
      <c r="Y47" s="8">
        <f>SUM(W47:X47)</f>
        <v>3000</v>
      </c>
      <c r="Z47" s="102">
        <f t="shared" ref="Z47:Z49" si="18">Y47*0.6</f>
        <v>1800</v>
      </c>
      <c r="AA47" s="103">
        <f t="shared" si="15"/>
        <v>1050</v>
      </c>
      <c r="AB47" s="102">
        <f t="shared" si="16"/>
        <v>150</v>
      </c>
    </row>
    <row r="48" spans="1:28" ht="12" customHeight="1" x14ac:dyDescent="0.35">
      <c r="A48" s="1" t="s">
        <v>34</v>
      </c>
      <c r="B48" s="12">
        <v>89050</v>
      </c>
      <c r="C48" s="12" t="s">
        <v>35</v>
      </c>
      <c r="D48" s="12" t="s">
        <v>35</v>
      </c>
      <c r="E48" s="25" t="s">
        <v>36</v>
      </c>
      <c r="F48" s="12" t="s">
        <v>102</v>
      </c>
      <c r="G48" s="12" t="s">
        <v>38</v>
      </c>
      <c r="H48" s="12" t="s">
        <v>103</v>
      </c>
      <c r="I48" s="12"/>
      <c r="J48" s="12" t="s">
        <v>100</v>
      </c>
      <c r="K48" s="25" t="s">
        <v>101</v>
      </c>
      <c r="L48" s="8">
        <v>0</v>
      </c>
      <c r="M48" s="8">
        <v>300</v>
      </c>
      <c r="N48" s="8">
        <f>L48*M48</f>
        <v>0</v>
      </c>
      <c r="O48" s="8">
        <v>12</v>
      </c>
      <c r="P48" s="8">
        <f>O48*M48</f>
        <v>3600</v>
      </c>
      <c r="Q48" s="8">
        <v>12</v>
      </c>
      <c r="R48" s="8">
        <f>Q48*M48</f>
        <v>3600</v>
      </c>
      <c r="S48" s="8">
        <v>12</v>
      </c>
      <c r="T48" s="8">
        <f>S48*M48</f>
        <v>3600</v>
      </c>
      <c r="U48" s="8">
        <v>0</v>
      </c>
      <c r="V48" s="8">
        <f>U48*M48</f>
        <v>0</v>
      </c>
      <c r="W48" s="8">
        <f>N48+P48+R48+T48+V48</f>
        <v>10800</v>
      </c>
      <c r="X48" s="8">
        <v>0</v>
      </c>
      <c r="Y48" s="8">
        <f>SUM(W48:X48)</f>
        <v>10800</v>
      </c>
      <c r="Z48" s="102">
        <f t="shared" si="18"/>
        <v>6480</v>
      </c>
      <c r="AA48" s="103">
        <f t="shared" si="15"/>
        <v>3779.9999999999995</v>
      </c>
      <c r="AB48" s="102">
        <f t="shared" si="16"/>
        <v>540.00000000000045</v>
      </c>
    </row>
    <row r="49" spans="1:30" ht="12" customHeight="1" x14ac:dyDescent="0.35">
      <c r="A49" s="1" t="s">
        <v>34</v>
      </c>
      <c r="B49" s="12">
        <v>89050</v>
      </c>
      <c r="C49" s="12" t="s">
        <v>35</v>
      </c>
      <c r="D49" s="12" t="s">
        <v>35</v>
      </c>
      <c r="E49" s="25" t="s">
        <v>36</v>
      </c>
      <c r="F49" s="12" t="s">
        <v>104</v>
      </c>
      <c r="G49" s="12" t="s">
        <v>38</v>
      </c>
      <c r="H49" s="12" t="s">
        <v>105</v>
      </c>
      <c r="I49" s="12"/>
      <c r="J49" s="12" t="s">
        <v>100</v>
      </c>
      <c r="K49" s="25" t="s">
        <v>101</v>
      </c>
      <c r="L49" s="8">
        <v>0</v>
      </c>
      <c r="M49" s="8">
        <v>20</v>
      </c>
      <c r="N49" s="8">
        <f>L49*M49</f>
        <v>0</v>
      </c>
      <c r="O49" s="8">
        <v>12</v>
      </c>
      <c r="P49" s="8">
        <f>O49*M49</f>
        <v>240</v>
      </c>
      <c r="Q49" s="8">
        <v>12</v>
      </c>
      <c r="R49" s="8">
        <f>Q49*M49</f>
        <v>240</v>
      </c>
      <c r="S49" s="8">
        <v>12</v>
      </c>
      <c r="T49" s="8">
        <f>S49*M49</f>
        <v>240</v>
      </c>
      <c r="U49" s="8">
        <v>0</v>
      </c>
      <c r="V49" s="8">
        <f>U49*M49</f>
        <v>0</v>
      </c>
      <c r="W49" s="8">
        <f>N49+P49+R49+T49+V49</f>
        <v>720</v>
      </c>
      <c r="X49" s="8">
        <v>0</v>
      </c>
      <c r="Y49" s="8">
        <f>SUM(W49:X49)</f>
        <v>720</v>
      </c>
      <c r="Z49" s="102">
        <f t="shared" si="18"/>
        <v>432</v>
      </c>
      <c r="AA49" s="103">
        <f t="shared" si="15"/>
        <v>251.99999999999997</v>
      </c>
      <c r="AB49" s="102">
        <f t="shared" si="16"/>
        <v>36.000000000000028</v>
      </c>
    </row>
    <row r="50" spans="1:30" ht="12" customHeight="1" x14ac:dyDescent="0.35">
      <c r="B50" s="12"/>
      <c r="C50" s="12"/>
      <c r="D50" s="12"/>
      <c r="E50" s="12"/>
      <c r="F50" s="12"/>
      <c r="G50" s="12"/>
      <c r="H50" s="12"/>
      <c r="I50" s="12"/>
      <c r="J50" s="12"/>
      <c r="K50" s="25"/>
      <c r="AA50" s="103"/>
    </row>
    <row r="51" spans="1:30" ht="12" customHeight="1" thickBot="1" x14ac:dyDescent="0.45">
      <c r="A51" s="16"/>
      <c r="B51" s="26"/>
      <c r="C51" s="26"/>
      <c r="D51" s="26"/>
      <c r="E51" s="26"/>
      <c r="F51" s="26"/>
      <c r="G51" s="26"/>
      <c r="H51" s="26" t="s">
        <v>106</v>
      </c>
      <c r="I51" s="26"/>
      <c r="J51" s="26"/>
      <c r="K51" s="16"/>
      <c r="L51" s="16"/>
      <c r="M51" s="9"/>
      <c r="N51" s="87">
        <f>SUM(N47:N49)</f>
        <v>0</v>
      </c>
      <c r="O51" s="87"/>
      <c r="P51" s="87">
        <f>SUM(P47:P49)</f>
        <v>5340</v>
      </c>
      <c r="Q51" s="87"/>
      <c r="R51" s="87">
        <f>SUM(R47:R49)</f>
        <v>5340</v>
      </c>
      <c r="S51" s="87"/>
      <c r="T51" s="87">
        <f>SUM(T47:T49)</f>
        <v>3840</v>
      </c>
      <c r="U51" s="87"/>
      <c r="V51" s="87">
        <f>SUM(V47:V49)</f>
        <v>0</v>
      </c>
      <c r="W51" s="17">
        <f>N51+P51+R51+T51+V51</f>
        <v>14520</v>
      </c>
      <c r="X51" s="87">
        <f>SUM(X47:X49)</f>
        <v>0</v>
      </c>
      <c r="Y51" s="24">
        <f>SUM(W51:X51)</f>
        <v>14520</v>
      </c>
      <c r="AA51" s="103"/>
    </row>
    <row r="52" spans="1:30" ht="12" customHeight="1" x14ac:dyDescent="0.4">
      <c r="A52" s="30"/>
      <c r="B52" s="30"/>
      <c r="C52" s="30"/>
      <c r="D52" s="30"/>
      <c r="E52" s="30"/>
      <c r="F52" s="30"/>
      <c r="G52" s="30"/>
      <c r="H52" s="30" t="s">
        <v>107</v>
      </c>
      <c r="I52" s="30"/>
      <c r="J52" s="30"/>
      <c r="K52" s="30"/>
      <c r="L52" s="30"/>
      <c r="M52" s="3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AA52" s="103"/>
    </row>
    <row r="53" spans="1:30" ht="12" customHeight="1" x14ac:dyDescent="0.35">
      <c r="A53" s="1" t="s">
        <v>34</v>
      </c>
      <c r="B53" s="12">
        <v>89050</v>
      </c>
      <c r="C53" s="12" t="s">
        <v>35</v>
      </c>
      <c r="D53" s="12" t="s">
        <v>35</v>
      </c>
      <c r="E53" s="25" t="s">
        <v>36</v>
      </c>
      <c r="F53" s="12" t="s">
        <v>108</v>
      </c>
      <c r="G53" s="12" t="s">
        <v>38</v>
      </c>
      <c r="H53" s="12" t="s">
        <v>109</v>
      </c>
      <c r="I53" s="12"/>
      <c r="J53" s="12" t="s">
        <v>107</v>
      </c>
      <c r="K53" s="25" t="s">
        <v>42</v>
      </c>
      <c r="L53" s="8">
        <v>3</v>
      </c>
      <c r="M53" s="8">
        <v>100</v>
      </c>
      <c r="N53" s="8">
        <f>L53*M53</f>
        <v>300</v>
      </c>
      <c r="O53" s="8">
        <v>12</v>
      </c>
      <c r="P53" s="8">
        <f>O53*M53</f>
        <v>1200</v>
      </c>
      <c r="Q53" s="8">
        <v>12</v>
      </c>
      <c r="R53" s="8">
        <f>Q53*M53</f>
        <v>1200</v>
      </c>
      <c r="S53" s="8">
        <v>12</v>
      </c>
      <c r="T53" s="8">
        <f>S53*M53</f>
        <v>1200</v>
      </c>
      <c r="U53" s="8">
        <v>0</v>
      </c>
      <c r="V53" s="8">
        <f>U53*M53</f>
        <v>0</v>
      </c>
      <c r="W53" s="8">
        <f>N53+P53+R53+T53+V53</f>
        <v>3900</v>
      </c>
      <c r="X53" s="8">
        <v>0</v>
      </c>
      <c r="Y53" s="8">
        <f>SUM(W53:X53)</f>
        <v>3900</v>
      </c>
      <c r="Z53" s="102">
        <f t="shared" ref="Z53:Z54" si="19">Y53*0.6</f>
        <v>2340</v>
      </c>
      <c r="AA53" s="103">
        <f t="shared" si="15"/>
        <v>1365</v>
      </c>
      <c r="AB53" s="102">
        <f t="shared" ref="AB53:AB54" si="20">Y53-Z53-AA53</f>
        <v>195</v>
      </c>
    </row>
    <row r="54" spans="1:30" ht="12" customHeight="1" x14ac:dyDescent="0.35">
      <c r="A54" s="1" t="s">
        <v>34</v>
      </c>
      <c r="B54" s="12">
        <v>89050</v>
      </c>
      <c r="C54" s="12" t="s">
        <v>35</v>
      </c>
      <c r="D54" s="12" t="s">
        <v>35</v>
      </c>
      <c r="E54" s="25" t="s">
        <v>36</v>
      </c>
      <c r="F54" s="12" t="s">
        <v>110</v>
      </c>
      <c r="G54" s="12" t="s">
        <v>38</v>
      </c>
      <c r="H54" s="12" t="s">
        <v>111</v>
      </c>
      <c r="I54" s="12"/>
      <c r="J54" s="12" t="s">
        <v>107</v>
      </c>
      <c r="K54" s="25" t="s">
        <v>42</v>
      </c>
      <c r="L54" s="8">
        <v>3</v>
      </c>
      <c r="M54" s="8">
        <v>90</v>
      </c>
      <c r="N54" s="8">
        <f>L54*M54</f>
        <v>270</v>
      </c>
      <c r="O54" s="8">
        <v>12</v>
      </c>
      <c r="P54" s="8">
        <f>O54*M54</f>
        <v>1080</v>
      </c>
      <c r="Q54" s="8">
        <v>12</v>
      </c>
      <c r="R54" s="8">
        <f>Q54*M54</f>
        <v>1080</v>
      </c>
      <c r="S54" s="8">
        <v>12</v>
      </c>
      <c r="T54" s="8">
        <f>S54*M54</f>
        <v>1080</v>
      </c>
      <c r="U54" s="8">
        <v>0</v>
      </c>
      <c r="V54" s="8">
        <f>U54*M54</f>
        <v>0</v>
      </c>
      <c r="W54" s="8">
        <f>N54+P54+R54+T54+V54</f>
        <v>3510</v>
      </c>
      <c r="X54" s="8">
        <v>0</v>
      </c>
      <c r="Y54" s="8">
        <f>SUM(W54:X54)</f>
        <v>3510</v>
      </c>
      <c r="Z54" s="102">
        <f t="shared" si="19"/>
        <v>2106</v>
      </c>
      <c r="AA54" s="103">
        <f t="shared" si="15"/>
        <v>1228.5</v>
      </c>
      <c r="AB54" s="102">
        <f t="shared" si="20"/>
        <v>175.5</v>
      </c>
    </row>
    <row r="55" spans="1:30" ht="12" customHeight="1" x14ac:dyDescent="0.35">
      <c r="B55" s="12"/>
      <c r="C55" s="12"/>
      <c r="D55" s="12"/>
      <c r="E55" s="12"/>
      <c r="F55" s="12"/>
      <c r="G55" s="12"/>
      <c r="H55" s="12"/>
      <c r="I55" s="12"/>
      <c r="J55" s="12"/>
      <c r="K55" s="25"/>
    </row>
    <row r="56" spans="1:30" ht="12" customHeight="1" thickBot="1" x14ac:dyDescent="0.45">
      <c r="A56" s="16"/>
      <c r="B56" s="26"/>
      <c r="C56" s="26"/>
      <c r="D56" s="26"/>
      <c r="E56" s="26"/>
      <c r="F56" s="26"/>
      <c r="G56" s="26"/>
      <c r="H56" s="26" t="s">
        <v>112</v>
      </c>
      <c r="I56" s="26"/>
      <c r="J56" s="26"/>
      <c r="K56" s="16"/>
      <c r="L56" s="16"/>
      <c r="M56" s="9"/>
      <c r="N56" s="87">
        <f>SUM(N53:N54)</f>
        <v>570</v>
      </c>
      <c r="O56" s="87"/>
      <c r="P56" s="87">
        <f>SUM(P53:P54)</f>
        <v>2280</v>
      </c>
      <c r="Q56" s="87"/>
      <c r="R56" s="87">
        <f>SUM(R53:R54)</f>
        <v>2280</v>
      </c>
      <c r="S56" s="87"/>
      <c r="T56" s="87">
        <f>SUM(T53:T54)</f>
        <v>2280</v>
      </c>
      <c r="U56" s="87"/>
      <c r="V56" s="87">
        <f>SUM(V53:V54)</f>
        <v>0</v>
      </c>
      <c r="W56" s="17">
        <f>N56+P56+R56+T56+V56</f>
        <v>7410</v>
      </c>
      <c r="X56" s="87">
        <f>SUM(X53:X54)</f>
        <v>0</v>
      </c>
      <c r="Y56" s="24">
        <f>SUM(W56:X56)</f>
        <v>7410</v>
      </c>
    </row>
    <row r="57" spans="1:30" ht="39" customHeight="1" x14ac:dyDescent="0.35">
      <c r="A57" s="116"/>
      <c r="B57" s="2"/>
      <c r="C57" s="2"/>
      <c r="D57" s="2"/>
      <c r="E57" s="2"/>
      <c r="F57" s="2"/>
      <c r="G57" s="2"/>
      <c r="H57" s="108" t="s">
        <v>113</v>
      </c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</row>
    <row r="58" spans="1:30" ht="9.6" customHeight="1" thickBot="1" x14ac:dyDescent="0.45">
      <c r="A58" s="49"/>
      <c r="B58" s="63"/>
      <c r="C58" s="63"/>
      <c r="D58" s="63"/>
      <c r="E58" s="63"/>
      <c r="F58" s="63"/>
      <c r="G58" s="63"/>
      <c r="H58" s="63"/>
      <c r="I58" s="63"/>
      <c r="J58" s="63"/>
      <c r="K58" s="49"/>
      <c r="L58" s="49"/>
      <c r="M58" s="48"/>
      <c r="N58" s="75"/>
      <c r="O58" s="75"/>
      <c r="P58" s="75"/>
      <c r="Q58" s="75"/>
      <c r="R58" s="75"/>
      <c r="S58" s="75"/>
      <c r="T58" s="75"/>
      <c r="U58" s="75"/>
      <c r="V58" s="75"/>
      <c r="W58" s="42"/>
      <c r="X58" s="75"/>
      <c r="Y58" s="43"/>
    </row>
    <row r="59" spans="1:30" ht="12" customHeight="1" x14ac:dyDescent="0.4">
      <c r="A59" s="64"/>
      <c r="B59" s="64"/>
      <c r="C59" s="64"/>
      <c r="D59" s="64"/>
      <c r="E59" s="64"/>
      <c r="F59" s="64"/>
      <c r="G59" s="64"/>
      <c r="H59" s="64" t="s">
        <v>114</v>
      </c>
      <c r="I59" s="56"/>
      <c r="J59" s="56"/>
      <c r="K59" s="82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AA59" s="97"/>
      <c r="AD59" s="18"/>
    </row>
    <row r="60" spans="1:30" ht="12" customHeight="1" x14ac:dyDescent="0.4">
      <c r="A60" s="117"/>
      <c r="B60" s="66"/>
      <c r="C60" s="66"/>
      <c r="D60" s="66"/>
      <c r="E60" s="66"/>
      <c r="F60" s="66"/>
      <c r="G60" s="66"/>
      <c r="H60" s="66" t="s">
        <v>115</v>
      </c>
      <c r="I60" s="67"/>
      <c r="J60" s="67"/>
      <c r="K60" s="68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 spans="1:30" ht="12" customHeight="1" x14ac:dyDescent="0.35">
      <c r="A61" s="1" t="s">
        <v>116</v>
      </c>
      <c r="B61" s="12">
        <v>89050</v>
      </c>
      <c r="C61" s="12" t="s">
        <v>35</v>
      </c>
      <c r="D61" s="12" t="s">
        <v>35</v>
      </c>
      <c r="E61" s="25" t="s">
        <v>36</v>
      </c>
      <c r="F61" s="12" t="s">
        <v>38</v>
      </c>
      <c r="G61" s="12" t="s">
        <v>38</v>
      </c>
      <c r="H61" s="12" t="s">
        <v>117</v>
      </c>
      <c r="I61" s="12"/>
      <c r="J61" s="12" t="s">
        <v>118</v>
      </c>
      <c r="K61" s="25" t="s">
        <v>101</v>
      </c>
      <c r="L61" s="8">
        <f>$N$31</f>
        <v>74568.5</v>
      </c>
      <c r="M61" s="74">
        <v>0.6</v>
      </c>
      <c r="N61" s="8">
        <f t="shared" ref="N61:N68" si="21">L61*M61</f>
        <v>44741.1</v>
      </c>
      <c r="O61" s="8">
        <f>$P$31</f>
        <v>218617.95</v>
      </c>
      <c r="P61" s="8">
        <f t="shared" ref="P61:P68" si="22">O61*M61</f>
        <v>131170.76999999999</v>
      </c>
      <c r="Q61" s="8">
        <f>$R$31</f>
        <v>214067.95</v>
      </c>
      <c r="R61" s="8">
        <f t="shared" ref="R61:R68" si="23">Q61*M61</f>
        <v>128440.77</v>
      </c>
      <c r="S61" s="8">
        <f>$T$31</f>
        <v>180435.05</v>
      </c>
      <c r="T61" s="8">
        <f t="shared" ref="T61:T68" si="24">S61*M61</f>
        <v>108261.02999999998</v>
      </c>
      <c r="U61" s="8">
        <f>$V$31</f>
        <v>0</v>
      </c>
      <c r="V61" s="8">
        <f t="shared" ref="V61:V68" si="25">U61*M61</f>
        <v>0</v>
      </c>
      <c r="W61" s="8">
        <f t="shared" ref="W61:W68" si="26">N61+P61+R61+T61+V61</f>
        <v>412613.67</v>
      </c>
      <c r="X61" s="8">
        <v>0</v>
      </c>
      <c r="Y61" s="8">
        <f t="shared" ref="Y61:Y68" si="27">SUM(W61:X61)</f>
        <v>412613.67</v>
      </c>
    </row>
    <row r="62" spans="1:30" ht="12" customHeight="1" x14ac:dyDescent="0.35">
      <c r="A62" s="1" t="s">
        <v>116</v>
      </c>
      <c r="B62" s="12">
        <v>89050</v>
      </c>
      <c r="C62" s="12" t="s">
        <v>35</v>
      </c>
      <c r="D62" s="12" t="s">
        <v>35</v>
      </c>
      <c r="E62" s="25" t="s">
        <v>36</v>
      </c>
      <c r="F62" s="12" t="s">
        <v>38</v>
      </c>
      <c r="G62" s="12" t="s">
        <v>38</v>
      </c>
      <c r="H62" s="12" t="s">
        <v>119</v>
      </c>
      <c r="I62" s="12"/>
      <c r="J62" s="12" t="s">
        <v>118</v>
      </c>
      <c r="K62" s="25" t="s">
        <v>101</v>
      </c>
      <c r="L62" s="8">
        <f>$N$45</f>
        <v>4650</v>
      </c>
      <c r="M62" s="74">
        <v>0.6</v>
      </c>
      <c r="N62" s="8">
        <f t="shared" si="21"/>
        <v>2790</v>
      </c>
      <c r="O62" s="8">
        <f>$P$45</f>
        <v>32520</v>
      </c>
      <c r="P62" s="8">
        <f t="shared" si="22"/>
        <v>19512</v>
      </c>
      <c r="Q62" s="8">
        <f>$R$45</f>
        <v>32520</v>
      </c>
      <c r="R62" s="8">
        <f t="shared" si="23"/>
        <v>19512</v>
      </c>
      <c r="S62" s="8">
        <f>$T$45</f>
        <v>32520</v>
      </c>
      <c r="T62" s="8">
        <f t="shared" si="24"/>
        <v>19512</v>
      </c>
      <c r="U62" s="8">
        <f>$V$45</f>
        <v>0</v>
      </c>
      <c r="V62" s="8">
        <f t="shared" si="25"/>
        <v>0</v>
      </c>
      <c r="W62" s="8">
        <f t="shared" si="26"/>
        <v>61326</v>
      </c>
      <c r="X62" s="8">
        <v>0</v>
      </c>
      <c r="Y62" s="8">
        <f t="shared" si="27"/>
        <v>61326</v>
      </c>
    </row>
    <row r="63" spans="1:30" ht="12" customHeight="1" x14ac:dyDescent="0.35">
      <c r="A63" s="1" t="s">
        <v>116</v>
      </c>
      <c r="B63" s="12">
        <v>89050</v>
      </c>
      <c r="C63" s="12" t="s">
        <v>35</v>
      </c>
      <c r="D63" s="12" t="s">
        <v>35</v>
      </c>
      <c r="E63" s="25" t="s">
        <v>36</v>
      </c>
      <c r="F63" s="12" t="s">
        <v>38</v>
      </c>
      <c r="G63" s="12" t="s">
        <v>38</v>
      </c>
      <c r="H63" s="12" t="s">
        <v>120</v>
      </c>
      <c r="I63" s="12"/>
      <c r="J63" s="12" t="s">
        <v>118</v>
      </c>
      <c r="K63" s="25" t="s">
        <v>101</v>
      </c>
      <c r="L63" s="8">
        <f>$N$51</f>
        <v>0</v>
      </c>
      <c r="M63" s="74">
        <v>0.6</v>
      </c>
      <c r="N63" s="8">
        <f t="shared" si="21"/>
        <v>0</v>
      </c>
      <c r="O63" s="8">
        <f>$P$51</f>
        <v>5340</v>
      </c>
      <c r="P63" s="8">
        <f t="shared" si="22"/>
        <v>3204</v>
      </c>
      <c r="Q63" s="8">
        <f>$R$51</f>
        <v>5340</v>
      </c>
      <c r="R63" s="8">
        <f t="shared" si="23"/>
        <v>3204</v>
      </c>
      <c r="S63" s="8">
        <f>$T$51</f>
        <v>3840</v>
      </c>
      <c r="T63" s="8">
        <f t="shared" si="24"/>
        <v>2304</v>
      </c>
      <c r="U63" s="8">
        <f>$V$51</f>
        <v>0</v>
      </c>
      <c r="V63" s="8">
        <f t="shared" si="25"/>
        <v>0</v>
      </c>
      <c r="W63" s="8">
        <f t="shared" si="26"/>
        <v>8712</v>
      </c>
      <c r="X63" s="8">
        <v>0</v>
      </c>
      <c r="Y63" s="8">
        <f t="shared" si="27"/>
        <v>8712</v>
      </c>
    </row>
    <row r="64" spans="1:30" ht="12" customHeight="1" x14ac:dyDescent="0.35">
      <c r="A64" s="1" t="s">
        <v>116</v>
      </c>
      <c r="B64" s="12">
        <v>89050</v>
      </c>
      <c r="C64" s="12" t="s">
        <v>35</v>
      </c>
      <c r="D64" s="12" t="s">
        <v>35</v>
      </c>
      <c r="E64" s="25" t="s">
        <v>36</v>
      </c>
      <c r="F64" s="12" t="s">
        <v>38</v>
      </c>
      <c r="G64" s="12" t="s">
        <v>38</v>
      </c>
      <c r="H64" s="12" t="s">
        <v>121</v>
      </c>
      <c r="I64" s="12"/>
      <c r="J64" s="12" t="s">
        <v>118</v>
      </c>
      <c r="K64" s="25" t="s">
        <v>101</v>
      </c>
      <c r="L64" s="8">
        <f>$N$56</f>
        <v>570</v>
      </c>
      <c r="M64" s="20">
        <v>0.6</v>
      </c>
      <c r="N64" s="8">
        <f t="shared" si="21"/>
        <v>342</v>
      </c>
      <c r="O64" s="8">
        <f>$P$56</f>
        <v>2280</v>
      </c>
      <c r="P64" s="8">
        <f t="shared" si="22"/>
        <v>1368</v>
      </c>
      <c r="Q64" s="8">
        <f>$R$56</f>
        <v>2280</v>
      </c>
      <c r="R64" s="8">
        <f t="shared" si="23"/>
        <v>1368</v>
      </c>
      <c r="S64" s="8">
        <f>$T$56</f>
        <v>2280</v>
      </c>
      <c r="T64" s="8">
        <f t="shared" si="24"/>
        <v>1368</v>
      </c>
      <c r="U64" s="8">
        <f>$V$56</f>
        <v>0</v>
      </c>
      <c r="V64" s="8">
        <f t="shared" si="25"/>
        <v>0</v>
      </c>
      <c r="W64" s="8">
        <f t="shared" si="26"/>
        <v>4446</v>
      </c>
      <c r="X64" s="8">
        <v>0</v>
      </c>
      <c r="Y64" s="8">
        <f t="shared" si="27"/>
        <v>4446</v>
      </c>
    </row>
    <row r="65" spans="1:30" ht="12" customHeight="1" x14ac:dyDescent="0.35">
      <c r="A65" s="1" t="s">
        <v>116</v>
      </c>
      <c r="B65" s="12">
        <v>89050</v>
      </c>
      <c r="C65" s="12" t="s">
        <v>35</v>
      </c>
      <c r="D65" s="12" t="s">
        <v>35</v>
      </c>
      <c r="E65" s="25" t="s">
        <v>36</v>
      </c>
      <c r="F65" s="12" t="s">
        <v>122</v>
      </c>
      <c r="G65" s="12"/>
      <c r="H65" s="12" t="s">
        <v>123</v>
      </c>
      <c r="I65" s="12"/>
      <c r="J65" s="12" t="s">
        <v>118</v>
      </c>
      <c r="K65" s="25" t="s">
        <v>101</v>
      </c>
      <c r="L65" s="8">
        <v>0</v>
      </c>
      <c r="M65" s="8">
        <v>5000</v>
      </c>
      <c r="N65" s="8">
        <f t="shared" si="21"/>
        <v>0</v>
      </c>
      <c r="O65" s="8">
        <v>1</v>
      </c>
      <c r="P65" s="8">
        <f t="shared" si="22"/>
        <v>5000</v>
      </c>
      <c r="Q65" s="8">
        <v>1</v>
      </c>
      <c r="R65" s="8">
        <f t="shared" si="23"/>
        <v>5000</v>
      </c>
      <c r="S65" s="8"/>
      <c r="T65" s="8">
        <f t="shared" si="24"/>
        <v>0</v>
      </c>
      <c r="U65" s="8">
        <v>0</v>
      </c>
      <c r="V65" s="8">
        <f t="shared" si="25"/>
        <v>0</v>
      </c>
      <c r="W65" s="8">
        <f t="shared" si="26"/>
        <v>10000</v>
      </c>
      <c r="X65" s="8">
        <v>0</v>
      </c>
      <c r="Y65" s="8">
        <f t="shared" si="27"/>
        <v>10000</v>
      </c>
    </row>
    <row r="66" spans="1:30" ht="12" customHeight="1" x14ac:dyDescent="0.35">
      <c r="A66" s="1" t="s">
        <v>116</v>
      </c>
      <c r="B66" s="12">
        <v>89050</v>
      </c>
      <c r="C66" s="12" t="s">
        <v>35</v>
      </c>
      <c r="D66" s="12" t="s">
        <v>35</v>
      </c>
      <c r="E66" s="25" t="s">
        <v>36</v>
      </c>
      <c r="F66" s="12" t="s">
        <v>124</v>
      </c>
      <c r="G66" s="12"/>
      <c r="H66" s="12" t="s">
        <v>125</v>
      </c>
      <c r="I66" s="12"/>
      <c r="J66" s="12" t="s">
        <v>118</v>
      </c>
      <c r="K66" s="25" t="s">
        <v>101</v>
      </c>
      <c r="L66" s="8">
        <v>0</v>
      </c>
      <c r="M66" s="8">
        <v>5000</v>
      </c>
      <c r="N66" s="8">
        <f t="shared" si="21"/>
        <v>0</v>
      </c>
      <c r="O66" s="8">
        <v>2</v>
      </c>
      <c r="P66" s="8">
        <f t="shared" si="22"/>
        <v>10000</v>
      </c>
      <c r="Q66" s="8">
        <v>1</v>
      </c>
      <c r="R66" s="8">
        <f t="shared" si="23"/>
        <v>5000</v>
      </c>
      <c r="S66" s="8">
        <v>1</v>
      </c>
      <c r="T66" s="8">
        <f t="shared" si="24"/>
        <v>5000</v>
      </c>
      <c r="U66" s="8">
        <v>0</v>
      </c>
      <c r="V66" s="8">
        <f t="shared" si="25"/>
        <v>0</v>
      </c>
      <c r="W66" s="8">
        <f t="shared" si="26"/>
        <v>20000</v>
      </c>
      <c r="X66" s="8">
        <v>0</v>
      </c>
      <c r="Y66" s="8">
        <f t="shared" si="27"/>
        <v>20000</v>
      </c>
    </row>
    <row r="67" spans="1:30" ht="12" customHeight="1" x14ac:dyDescent="0.35">
      <c r="A67" s="1" t="s">
        <v>116</v>
      </c>
      <c r="B67" s="12">
        <v>89050</v>
      </c>
      <c r="C67" s="12" t="s">
        <v>35</v>
      </c>
      <c r="D67" s="12" t="s">
        <v>35</v>
      </c>
      <c r="E67" s="25" t="s">
        <v>36</v>
      </c>
      <c r="F67" s="12" t="s">
        <v>126</v>
      </c>
      <c r="G67" s="12"/>
      <c r="H67" s="12" t="s">
        <v>127</v>
      </c>
      <c r="I67" s="12"/>
      <c r="J67" s="12" t="s">
        <v>118</v>
      </c>
      <c r="K67" s="25" t="s">
        <v>101</v>
      </c>
      <c r="L67" s="8">
        <v>0</v>
      </c>
      <c r="M67" s="8">
        <v>1000</v>
      </c>
      <c r="N67" s="8">
        <f t="shared" si="21"/>
        <v>0</v>
      </c>
      <c r="O67" s="8">
        <v>3</v>
      </c>
      <c r="P67" s="8">
        <f t="shared" si="22"/>
        <v>3000</v>
      </c>
      <c r="Q67" s="8">
        <v>3</v>
      </c>
      <c r="R67" s="8">
        <f t="shared" si="23"/>
        <v>3000</v>
      </c>
      <c r="S67" s="8"/>
      <c r="T67" s="8">
        <f t="shared" si="24"/>
        <v>0</v>
      </c>
      <c r="U67" s="8">
        <v>0</v>
      </c>
      <c r="V67" s="8">
        <f t="shared" si="25"/>
        <v>0</v>
      </c>
      <c r="W67" s="8">
        <f t="shared" si="26"/>
        <v>6000</v>
      </c>
      <c r="X67" s="8">
        <v>0</v>
      </c>
      <c r="Y67" s="8">
        <f t="shared" si="27"/>
        <v>6000</v>
      </c>
    </row>
    <row r="68" spans="1:30" ht="12" customHeight="1" x14ac:dyDescent="0.35">
      <c r="A68" s="1" t="s">
        <v>116</v>
      </c>
      <c r="B68" s="12">
        <v>89050</v>
      </c>
      <c r="C68" s="12" t="s">
        <v>35</v>
      </c>
      <c r="D68" s="12" t="s">
        <v>35</v>
      </c>
      <c r="E68" s="25" t="s">
        <v>36</v>
      </c>
      <c r="F68" s="12" t="s">
        <v>128</v>
      </c>
      <c r="G68" s="12"/>
      <c r="H68" s="12" t="s">
        <v>129</v>
      </c>
      <c r="I68" s="12"/>
      <c r="J68" s="12" t="s">
        <v>118</v>
      </c>
      <c r="K68" s="25" t="s">
        <v>101</v>
      </c>
      <c r="L68" s="8">
        <v>0</v>
      </c>
      <c r="M68" s="8">
        <v>1000</v>
      </c>
      <c r="N68" s="8">
        <f t="shared" si="21"/>
        <v>0</v>
      </c>
      <c r="O68" s="8">
        <v>16</v>
      </c>
      <c r="P68" s="8">
        <f t="shared" si="22"/>
        <v>16000</v>
      </c>
      <c r="Q68" s="8">
        <v>16</v>
      </c>
      <c r="R68" s="8">
        <f t="shared" si="23"/>
        <v>16000</v>
      </c>
      <c r="S68" s="8">
        <v>16</v>
      </c>
      <c r="T68" s="8">
        <f t="shared" si="24"/>
        <v>16000</v>
      </c>
      <c r="U68" s="8">
        <v>0</v>
      </c>
      <c r="V68" s="8">
        <f t="shared" si="25"/>
        <v>0</v>
      </c>
      <c r="W68" s="8">
        <f t="shared" si="26"/>
        <v>48000</v>
      </c>
      <c r="X68" s="8">
        <v>0</v>
      </c>
      <c r="Y68" s="8">
        <f t="shared" si="27"/>
        <v>48000</v>
      </c>
    </row>
    <row r="69" spans="1:30" ht="12" customHeight="1" x14ac:dyDescent="0.35">
      <c r="B69" s="12"/>
      <c r="C69" s="12"/>
      <c r="D69" s="12"/>
      <c r="E69" s="12"/>
      <c r="F69" s="12"/>
      <c r="G69" s="12"/>
      <c r="H69" s="12"/>
      <c r="I69" s="12"/>
      <c r="J69" s="12"/>
      <c r="K69" s="25"/>
    </row>
    <row r="70" spans="1:30" ht="12" customHeight="1" thickBot="1" x14ac:dyDescent="0.45">
      <c r="A70" s="16"/>
      <c r="B70" s="16"/>
      <c r="C70" s="16"/>
      <c r="D70" s="16"/>
      <c r="E70" s="16"/>
      <c r="F70" s="16"/>
      <c r="G70" s="16"/>
      <c r="H70" s="16" t="s">
        <v>130</v>
      </c>
      <c r="I70" s="16"/>
      <c r="J70" s="16"/>
      <c r="K70" s="16"/>
      <c r="L70" s="19"/>
      <c r="M70" s="19"/>
      <c r="N70" s="24">
        <f>SUM(N61:N68)</f>
        <v>47873.1</v>
      </c>
      <c r="O70" s="24"/>
      <c r="P70" s="24">
        <f>SUM(P61:P68)</f>
        <v>189254.77</v>
      </c>
      <c r="Q70" s="24"/>
      <c r="R70" s="24">
        <f>SUM(R61:R68)</f>
        <v>181524.77000000002</v>
      </c>
      <c r="S70" s="24"/>
      <c r="T70" s="24">
        <f>SUM(T61:T68)</f>
        <v>152445.02999999997</v>
      </c>
      <c r="U70" s="24"/>
      <c r="V70" s="24">
        <f>SUM(V61:V68)</f>
        <v>0</v>
      </c>
      <c r="W70" s="24">
        <f>N70+P70+R70+T70+V70</f>
        <v>571097.66999999993</v>
      </c>
      <c r="X70" s="24">
        <f>SUM(X61:X68)</f>
        <v>0</v>
      </c>
      <c r="Y70" s="24">
        <f>SUM(W70:X70)</f>
        <v>571097.66999999993</v>
      </c>
    </row>
    <row r="71" spans="1:30" ht="12" customHeight="1" x14ac:dyDescent="0.35">
      <c r="B71" s="12"/>
      <c r="C71" s="12"/>
      <c r="D71" s="12"/>
      <c r="E71" s="12"/>
      <c r="F71" s="12"/>
      <c r="G71" s="12"/>
      <c r="H71" s="12"/>
      <c r="I71" s="12"/>
      <c r="J71" s="12"/>
      <c r="K71" s="25"/>
    </row>
    <row r="72" spans="1:30" ht="12" customHeight="1" x14ac:dyDescent="0.4">
      <c r="A72" s="1" t="s">
        <v>116</v>
      </c>
      <c r="B72" s="12">
        <v>89050</v>
      </c>
      <c r="C72" s="12" t="s">
        <v>35</v>
      </c>
      <c r="D72" s="12" t="s">
        <v>35</v>
      </c>
      <c r="E72" s="25" t="s">
        <v>36</v>
      </c>
      <c r="F72" s="12" t="s">
        <v>131</v>
      </c>
      <c r="G72" s="12" t="s">
        <v>38</v>
      </c>
      <c r="H72" s="4" t="s">
        <v>132</v>
      </c>
      <c r="I72" s="4"/>
      <c r="J72" s="1" t="s">
        <v>133</v>
      </c>
      <c r="K72" s="3"/>
      <c r="L72" s="3"/>
      <c r="M72" s="20">
        <v>0.1</v>
      </c>
      <c r="N72" s="32">
        <f>(N70)*M72</f>
        <v>4787.3100000000004</v>
      </c>
      <c r="O72" s="32"/>
      <c r="P72" s="32">
        <f>(P70)*M72</f>
        <v>18925.476999999999</v>
      </c>
      <c r="Q72" s="32"/>
      <c r="R72" s="32">
        <f>(R70)*M72</f>
        <v>18152.477000000003</v>
      </c>
      <c r="T72" s="32">
        <f>(T70)*M72</f>
        <v>15244.502999999997</v>
      </c>
      <c r="V72" s="32">
        <f>(V70)*M72</f>
        <v>0</v>
      </c>
      <c r="W72" s="32">
        <f>SUM(N72+P72+R72+T72+V72)</f>
        <v>57109.767</v>
      </c>
      <c r="X72" s="32">
        <v>0</v>
      </c>
      <c r="Y72" s="32">
        <f>SUM(W72:X72)</f>
        <v>57109.767</v>
      </c>
    </row>
    <row r="73" spans="1:30" ht="12" customHeight="1" x14ac:dyDescent="0.35">
      <c r="B73" s="12"/>
      <c r="C73" s="12"/>
      <c r="D73" s="12"/>
      <c r="E73" s="12"/>
      <c r="F73" s="12"/>
      <c r="G73" s="12"/>
      <c r="H73" s="12"/>
      <c r="I73" s="12"/>
      <c r="J73" s="12"/>
      <c r="K73" s="25"/>
    </row>
    <row r="74" spans="1:30" ht="12" customHeight="1" thickBot="1" x14ac:dyDescent="0.45">
      <c r="A74" s="16"/>
      <c r="B74" s="16"/>
      <c r="C74" s="16"/>
      <c r="D74" s="16"/>
      <c r="E74" s="16"/>
      <c r="F74" s="16"/>
      <c r="G74" s="16"/>
      <c r="H74" s="16" t="s">
        <v>134</v>
      </c>
      <c r="I74" s="16"/>
      <c r="J74" s="16"/>
      <c r="K74" s="16"/>
      <c r="L74" s="19"/>
      <c r="M74" s="19"/>
      <c r="N74" s="24">
        <f>SUM(N70:N72)</f>
        <v>52660.409999999996</v>
      </c>
      <c r="O74" s="24"/>
      <c r="P74" s="24">
        <f>SUM(P70:P72)</f>
        <v>208180.24699999997</v>
      </c>
      <c r="Q74" s="24"/>
      <c r="R74" s="24">
        <f>SUM(R70:R72)</f>
        <v>199677.24700000003</v>
      </c>
      <c r="S74" s="24"/>
      <c r="T74" s="24">
        <f>SUM(T70:T72)</f>
        <v>167689.53299999997</v>
      </c>
      <c r="U74" s="24"/>
      <c r="V74" s="24">
        <f>SUM(V70:V72)</f>
        <v>0</v>
      </c>
      <c r="W74" s="24">
        <f>N74+P74+R74+T74+V74</f>
        <v>628207.43699999992</v>
      </c>
      <c r="X74" s="24">
        <f>X72</f>
        <v>0</v>
      </c>
      <c r="Y74" s="24">
        <f>SUM(W74:X74)</f>
        <v>628207.43699999992</v>
      </c>
    </row>
    <row r="75" spans="1:30" ht="12" customHeight="1" x14ac:dyDescent="0.4">
      <c r="A75" s="116"/>
      <c r="B75" s="2"/>
      <c r="C75" s="2"/>
      <c r="D75" s="2"/>
      <c r="E75" s="2"/>
      <c r="F75" s="2"/>
      <c r="G75" s="2"/>
      <c r="H75" s="107" t="s">
        <v>135</v>
      </c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AA75" s="97"/>
      <c r="AD75" s="18"/>
    </row>
    <row r="76" spans="1:30" ht="12" customHeight="1" x14ac:dyDescent="0.4">
      <c r="A76" s="117"/>
      <c r="B76" s="66"/>
      <c r="C76" s="66"/>
      <c r="D76" s="66"/>
      <c r="E76" s="66"/>
      <c r="F76" s="66"/>
      <c r="G76" s="66"/>
      <c r="H76" s="66" t="s">
        <v>115</v>
      </c>
      <c r="I76" s="67"/>
      <c r="J76" s="67"/>
      <c r="K76" s="68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 spans="1:30" ht="12" customHeight="1" x14ac:dyDescent="0.35">
      <c r="A77" s="35" t="s">
        <v>136</v>
      </c>
      <c r="B77" s="12">
        <v>89050</v>
      </c>
      <c r="C77" s="12" t="s">
        <v>35</v>
      </c>
      <c r="D77" s="12" t="s">
        <v>35</v>
      </c>
      <c r="E77" s="25" t="s">
        <v>36</v>
      </c>
      <c r="F77" s="12" t="s">
        <v>38</v>
      </c>
      <c r="G77" s="12" t="s">
        <v>38</v>
      </c>
      <c r="H77" s="12" t="s">
        <v>137</v>
      </c>
      <c r="I77" s="12"/>
      <c r="J77" s="12" t="s">
        <v>138</v>
      </c>
      <c r="K77" s="25" t="s">
        <v>101</v>
      </c>
      <c r="L77" s="8">
        <v>1</v>
      </c>
      <c r="M77" s="74"/>
      <c r="N77" s="8">
        <v>10000</v>
      </c>
      <c r="O77" s="8">
        <v>1</v>
      </c>
      <c r="P77" s="8">
        <v>10000</v>
      </c>
      <c r="Q77" s="8">
        <v>1</v>
      </c>
      <c r="R77" s="8">
        <f>2571+4673.25</f>
        <v>7244.25</v>
      </c>
      <c r="S77" s="8"/>
      <c r="T77" s="8"/>
      <c r="U77" s="8">
        <f>$V$31</f>
        <v>0</v>
      </c>
      <c r="V77" s="8">
        <f>U77*M77</f>
        <v>0</v>
      </c>
      <c r="W77" s="8">
        <f>N77+P77+R77+T77+V77</f>
        <v>27244.25</v>
      </c>
      <c r="X77" s="8">
        <v>0</v>
      </c>
      <c r="Y77" s="8">
        <f>SUM(W77:X77)</f>
        <v>27244.25</v>
      </c>
    </row>
    <row r="78" spans="1:30" ht="12" customHeight="1" x14ac:dyDescent="0.35">
      <c r="A78" s="35" t="s">
        <v>136</v>
      </c>
      <c r="B78" s="12">
        <v>89050</v>
      </c>
      <c r="C78" s="12" t="s">
        <v>35</v>
      </c>
      <c r="D78" s="12" t="s">
        <v>35</v>
      </c>
      <c r="E78" s="25" t="s">
        <v>36</v>
      </c>
      <c r="F78" s="12" t="s">
        <v>38</v>
      </c>
      <c r="G78" s="12" t="s">
        <v>38</v>
      </c>
      <c r="H78" s="12" t="s">
        <v>139</v>
      </c>
      <c r="I78" s="12"/>
      <c r="J78" s="12" t="s">
        <v>138</v>
      </c>
      <c r="K78" s="25" t="s">
        <v>101</v>
      </c>
      <c r="L78" s="8"/>
      <c r="M78" s="74"/>
      <c r="N78" s="8"/>
      <c r="O78" s="8">
        <v>1</v>
      </c>
      <c r="P78" s="8">
        <v>885.31999999999994</v>
      </c>
      <c r="Q78" s="8"/>
      <c r="R78" s="8"/>
      <c r="S78" s="8"/>
      <c r="T78" s="8"/>
      <c r="U78" s="8">
        <f>$V$45</f>
        <v>0</v>
      </c>
      <c r="V78" s="8">
        <f>U78*M78</f>
        <v>0</v>
      </c>
      <c r="W78" s="8">
        <f>N78+P78+R78+T78+V78</f>
        <v>885.31999999999994</v>
      </c>
      <c r="X78" s="8">
        <v>0</v>
      </c>
      <c r="Y78" s="8">
        <f>SUM(W78:X78)</f>
        <v>885.31999999999994</v>
      </c>
    </row>
    <row r="79" spans="1:30" ht="12" customHeight="1" x14ac:dyDescent="0.35">
      <c r="A79" s="35" t="s">
        <v>136</v>
      </c>
      <c r="B79" s="12">
        <v>89050</v>
      </c>
      <c r="C79" s="12" t="s">
        <v>35</v>
      </c>
      <c r="D79" s="12" t="s">
        <v>35</v>
      </c>
      <c r="E79" s="25" t="s">
        <v>36</v>
      </c>
      <c r="F79" s="12" t="s">
        <v>38</v>
      </c>
      <c r="G79" s="12" t="s">
        <v>38</v>
      </c>
      <c r="H79" s="12" t="s">
        <v>140</v>
      </c>
      <c r="I79" s="12"/>
      <c r="J79" s="12" t="s">
        <v>138</v>
      </c>
      <c r="K79" s="25" t="s">
        <v>101</v>
      </c>
      <c r="L79" s="8"/>
      <c r="M79" s="74"/>
      <c r="N79" s="8"/>
      <c r="O79" s="8"/>
      <c r="P79" s="8"/>
      <c r="Q79" s="8"/>
      <c r="R79" s="8"/>
      <c r="S79" s="8"/>
      <c r="T79" s="8"/>
      <c r="U79" s="8">
        <f>$V$51</f>
        <v>0</v>
      </c>
      <c r="V79" s="8">
        <f>U79*M79</f>
        <v>0</v>
      </c>
      <c r="W79" s="8">
        <f>N79+P79+R79+T79+V79</f>
        <v>0</v>
      </c>
      <c r="X79" s="8">
        <v>0</v>
      </c>
      <c r="Y79" s="8">
        <f>SUM(W79:X79)</f>
        <v>0</v>
      </c>
    </row>
    <row r="80" spans="1:30" ht="12" customHeight="1" x14ac:dyDescent="0.35">
      <c r="A80" s="35" t="s">
        <v>136</v>
      </c>
      <c r="B80" s="12">
        <v>89050</v>
      </c>
      <c r="C80" s="12" t="s">
        <v>35</v>
      </c>
      <c r="D80" s="12" t="s">
        <v>35</v>
      </c>
      <c r="E80" s="25" t="s">
        <v>36</v>
      </c>
      <c r="F80" s="12" t="s">
        <v>38</v>
      </c>
      <c r="G80" s="12" t="s">
        <v>38</v>
      </c>
      <c r="H80" s="12" t="s">
        <v>141</v>
      </c>
      <c r="I80" s="12"/>
      <c r="J80" s="12" t="s">
        <v>138</v>
      </c>
      <c r="K80" s="25" t="s">
        <v>101</v>
      </c>
      <c r="L80" s="8"/>
      <c r="M80" s="20"/>
      <c r="N80" s="8"/>
      <c r="O80" s="8"/>
      <c r="P80" s="8"/>
      <c r="Q80" s="8"/>
      <c r="R80" s="8"/>
      <c r="S80" s="8"/>
      <c r="T80" s="8"/>
      <c r="U80" s="8">
        <f>$V$56</f>
        <v>0</v>
      </c>
      <c r="V80" s="8">
        <f>U80*M80</f>
        <v>0</v>
      </c>
      <c r="W80" s="8">
        <f>N80+P80+R80+T80+V80</f>
        <v>0</v>
      </c>
      <c r="X80" s="8">
        <v>0</v>
      </c>
      <c r="Y80" s="8">
        <f>SUM(W80:X80)</f>
        <v>0</v>
      </c>
    </row>
    <row r="81" spans="1:30" ht="12" customHeight="1" x14ac:dyDescent="0.35">
      <c r="A81" s="115"/>
      <c r="B81" s="81"/>
      <c r="C81" s="81"/>
      <c r="D81" s="81"/>
      <c r="E81" s="81"/>
      <c r="F81" s="81"/>
      <c r="G81" s="81"/>
      <c r="H81" s="81" t="s">
        <v>142</v>
      </c>
      <c r="I81" s="65"/>
      <c r="J81" s="65"/>
      <c r="K81" s="88"/>
      <c r="L81" s="89"/>
      <c r="M81" s="90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</row>
    <row r="82" spans="1:30" ht="12" customHeight="1" x14ac:dyDescent="0.35">
      <c r="A82" s="1" t="s">
        <v>143</v>
      </c>
      <c r="B82" s="12">
        <v>89050</v>
      </c>
      <c r="C82" s="12" t="s">
        <v>35</v>
      </c>
      <c r="D82" s="12" t="s">
        <v>35</v>
      </c>
      <c r="E82" s="25" t="s">
        <v>36</v>
      </c>
      <c r="F82" s="12" t="s">
        <v>144</v>
      </c>
      <c r="G82" s="12"/>
      <c r="H82" s="12" t="s">
        <v>145</v>
      </c>
      <c r="I82" s="12"/>
      <c r="J82" s="12" t="s">
        <v>138</v>
      </c>
      <c r="K82" s="25" t="s">
        <v>101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30" ht="12" customHeight="1" x14ac:dyDescent="0.35">
      <c r="A83" s="1" t="s">
        <v>143</v>
      </c>
      <c r="B83" s="12">
        <v>89050</v>
      </c>
      <c r="C83" s="12" t="s">
        <v>35</v>
      </c>
      <c r="D83" s="12" t="s">
        <v>35</v>
      </c>
      <c r="E83" s="25" t="s">
        <v>36</v>
      </c>
      <c r="F83" s="12" t="s">
        <v>146</v>
      </c>
      <c r="G83" s="12"/>
      <c r="H83" s="12" t="s">
        <v>147</v>
      </c>
      <c r="I83" s="12"/>
      <c r="J83" s="12" t="s">
        <v>138</v>
      </c>
      <c r="K83" s="25" t="s">
        <v>101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30" ht="12" customHeight="1" x14ac:dyDescent="0.35">
      <c r="A84" s="1" t="s">
        <v>143</v>
      </c>
      <c r="B84" s="12">
        <v>89050</v>
      </c>
      <c r="C84" s="12" t="s">
        <v>35</v>
      </c>
      <c r="D84" s="12" t="s">
        <v>35</v>
      </c>
      <c r="E84" s="25" t="s">
        <v>36</v>
      </c>
      <c r="F84" s="12" t="s">
        <v>148</v>
      </c>
      <c r="G84" s="12"/>
      <c r="H84" s="12" t="s">
        <v>149</v>
      </c>
      <c r="I84" s="12"/>
      <c r="J84" s="12" t="s">
        <v>138</v>
      </c>
      <c r="K84" s="25" t="s">
        <v>101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30" ht="12" customHeight="1" x14ac:dyDescent="0.35">
      <c r="A85" s="1" t="s">
        <v>143</v>
      </c>
      <c r="B85" s="12">
        <v>89050</v>
      </c>
      <c r="C85" s="12" t="s">
        <v>35</v>
      </c>
      <c r="D85" s="12" t="s">
        <v>35</v>
      </c>
      <c r="E85" s="25" t="s">
        <v>36</v>
      </c>
      <c r="F85" s="12" t="s">
        <v>150</v>
      </c>
      <c r="G85" s="12"/>
      <c r="H85" s="12" t="s">
        <v>151</v>
      </c>
      <c r="I85" s="12"/>
      <c r="J85" s="12" t="s">
        <v>138</v>
      </c>
      <c r="K85" s="25" t="s">
        <v>101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30" ht="12" customHeight="1" x14ac:dyDescent="0.35">
      <c r="B86" s="12"/>
      <c r="C86" s="12"/>
      <c r="D86" s="12"/>
      <c r="E86" s="12"/>
      <c r="F86" s="12"/>
      <c r="G86" s="12"/>
      <c r="H86" s="12"/>
      <c r="I86" s="12"/>
      <c r="J86" s="12"/>
      <c r="K86" s="25"/>
    </row>
    <row r="87" spans="1:30" ht="12" customHeight="1" thickBot="1" x14ac:dyDescent="0.45">
      <c r="A87" s="16"/>
      <c r="B87" s="16"/>
      <c r="C87" s="16"/>
      <c r="D87" s="16"/>
      <c r="E87" s="16"/>
      <c r="F87" s="16"/>
      <c r="G87" s="16"/>
      <c r="H87" s="16" t="s">
        <v>152</v>
      </c>
      <c r="I87" s="16"/>
      <c r="J87" s="16"/>
      <c r="K87" s="16"/>
      <c r="L87" s="19"/>
      <c r="M87" s="19"/>
      <c r="N87" s="24">
        <f>SUM(N77:N85)</f>
        <v>10000</v>
      </c>
      <c r="O87" s="24"/>
      <c r="P87" s="24">
        <f>SUM(P77:P85)</f>
        <v>10885.32</v>
      </c>
      <c r="Q87" s="24"/>
      <c r="R87" s="24">
        <f>SUM(R77:R85)</f>
        <v>7244.25</v>
      </c>
      <c r="S87" s="24"/>
      <c r="T87" s="24">
        <f>SUM(T77:T85)</f>
        <v>0</v>
      </c>
      <c r="U87" s="24"/>
      <c r="V87" s="24">
        <f>SUM(V77:V85)</f>
        <v>0</v>
      </c>
      <c r="W87" s="24">
        <f>N87+P87+R87+T87+V87</f>
        <v>28129.57</v>
      </c>
      <c r="X87" s="24">
        <f>SUM(X77:X85)</f>
        <v>0</v>
      </c>
      <c r="Y87" s="24">
        <f>SUM(W87:X87)</f>
        <v>28129.57</v>
      </c>
    </row>
    <row r="88" spans="1:30" ht="12" customHeight="1" x14ac:dyDescent="0.35">
      <c r="B88" s="12"/>
      <c r="C88" s="12"/>
      <c r="D88" s="12"/>
      <c r="E88" s="12"/>
      <c r="F88" s="12"/>
      <c r="G88" s="12"/>
      <c r="H88" s="12"/>
      <c r="I88" s="12"/>
      <c r="J88" s="12"/>
      <c r="K88" s="25"/>
    </row>
    <row r="89" spans="1:30" ht="12" customHeight="1" x14ac:dyDescent="0.4">
      <c r="A89" s="1" t="s">
        <v>143</v>
      </c>
      <c r="B89" s="12">
        <v>89050</v>
      </c>
      <c r="C89" s="12" t="s">
        <v>35</v>
      </c>
      <c r="D89" s="12" t="s">
        <v>35</v>
      </c>
      <c r="E89" s="25" t="s">
        <v>36</v>
      </c>
      <c r="F89" s="12" t="s">
        <v>131</v>
      </c>
      <c r="G89" s="12" t="s">
        <v>38</v>
      </c>
      <c r="H89" s="4" t="s">
        <v>153</v>
      </c>
      <c r="I89" s="4"/>
      <c r="J89" s="1" t="s">
        <v>133</v>
      </c>
      <c r="K89" s="3"/>
      <c r="L89" s="3"/>
      <c r="M89" s="20">
        <v>0.1</v>
      </c>
      <c r="N89" s="32">
        <f>(N87)*M89</f>
        <v>1000</v>
      </c>
      <c r="O89" s="32"/>
      <c r="P89" s="32">
        <f>(P87)*M89</f>
        <v>1088.5319999999999</v>
      </c>
      <c r="Q89" s="32"/>
      <c r="R89" s="32">
        <f>(R87)*M89</f>
        <v>724.42500000000007</v>
      </c>
      <c r="T89" s="32">
        <f>(T87)*M89</f>
        <v>0</v>
      </c>
      <c r="V89" s="32">
        <f>(V87)*M89</f>
        <v>0</v>
      </c>
      <c r="W89" s="32">
        <f>SUM(N89+P89+R89+T89+V89)</f>
        <v>2812.9570000000003</v>
      </c>
      <c r="X89" s="32">
        <v>0</v>
      </c>
      <c r="Y89" s="32">
        <f>SUM(W89:X89)</f>
        <v>2812.9570000000003</v>
      </c>
    </row>
    <row r="90" spans="1:30" ht="12" customHeight="1" x14ac:dyDescent="0.35">
      <c r="B90" s="12"/>
      <c r="C90" s="12"/>
      <c r="D90" s="12"/>
      <c r="E90" s="12"/>
      <c r="F90" s="12"/>
      <c r="G90" s="12"/>
      <c r="H90" s="12"/>
      <c r="I90" s="12"/>
      <c r="J90" s="12"/>
      <c r="K90" s="25"/>
    </row>
    <row r="91" spans="1:30" ht="12" customHeight="1" thickBot="1" x14ac:dyDescent="0.45">
      <c r="A91" s="16"/>
      <c r="B91" s="16"/>
      <c r="C91" s="16"/>
      <c r="D91" s="16"/>
      <c r="E91" s="16"/>
      <c r="F91" s="16"/>
      <c r="G91" s="16"/>
      <c r="H91" s="16" t="s">
        <v>154</v>
      </c>
      <c r="I91" s="16"/>
      <c r="J91" s="16"/>
      <c r="K91" s="16"/>
      <c r="L91" s="19"/>
      <c r="M91" s="19"/>
      <c r="N91" s="24">
        <f>SUM(N87:N89)</f>
        <v>11000</v>
      </c>
      <c r="O91" s="24"/>
      <c r="P91" s="24">
        <f>SUM(P87:P89)</f>
        <v>11973.851999999999</v>
      </c>
      <c r="Q91" s="24"/>
      <c r="R91" s="24">
        <f>SUM(R87:R89)</f>
        <v>7968.6750000000002</v>
      </c>
      <c r="S91" s="24"/>
      <c r="T91" s="24">
        <f>SUM(T87:T89)</f>
        <v>0</v>
      </c>
      <c r="U91" s="24"/>
      <c r="V91" s="24">
        <f>SUM(V87:V89)</f>
        <v>0</v>
      </c>
      <c r="W91" s="24">
        <f>N91+P91+R91+T91+V91</f>
        <v>30942.526999999998</v>
      </c>
      <c r="X91" s="24">
        <f>X89</f>
        <v>0</v>
      </c>
      <c r="Y91" s="24">
        <f>SUM(W91:X91)</f>
        <v>30942.526999999998</v>
      </c>
    </row>
    <row r="92" spans="1:30" ht="12" customHeight="1" x14ac:dyDescent="0.4">
      <c r="A92" s="64"/>
      <c r="B92" s="64"/>
      <c r="C92" s="64"/>
      <c r="D92" s="64"/>
      <c r="E92" s="64"/>
      <c r="F92" s="64"/>
      <c r="G92" s="64"/>
      <c r="H92" s="64" t="s">
        <v>155</v>
      </c>
      <c r="I92" s="56"/>
      <c r="J92" s="56"/>
      <c r="K92" s="82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AA92" s="97"/>
      <c r="AD92" s="18"/>
    </row>
    <row r="93" spans="1:30" ht="12" customHeight="1" x14ac:dyDescent="0.4">
      <c r="A93" s="117"/>
      <c r="B93" s="66"/>
      <c r="C93" s="66"/>
      <c r="D93" s="66"/>
      <c r="E93" s="66"/>
      <c r="F93" s="66"/>
      <c r="G93" s="66"/>
      <c r="H93" s="66" t="s">
        <v>115</v>
      </c>
      <c r="I93" s="67"/>
      <c r="J93" s="67"/>
      <c r="K93" s="68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 spans="1:30" ht="12" customHeight="1" x14ac:dyDescent="0.35">
      <c r="A94" s="1" t="s">
        <v>156</v>
      </c>
      <c r="B94" s="12">
        <v>89050</v>
      </c>
      <c r="C94" s="12" t="s">
        <v>35</v>
      </c>
      <c r="D94" s="12" t="s">
        <v>35</v>
      </c>
      <c r="E94" s="25" t="s">
        <v>36</v>
      </c>
      <c r="F94" s="12" t="s">
        <v>38</v>
      </c>
      <c r="G94" s="12" t="s">
        <v>38</v>
      </c>
      <c r="H94" s="12" t="s">
        <v>157</v>
      </c>
      <c r="I94" s="12"/>
      <c r="J94" s="12" t="s">
        <v>158</v>
      </c>
      <c r="K94" s="25" t="s">
        <v>101</v>
      </c>
      <c r="L94" s="8">
        <f>$N$31</f>
        <v>74568.5</v>
      </c>
      <c r="M94" s="74">
        <v>0.05</v>
      </c>
      <c r="N94" s="8">
        <f>L94*M94</f>
        <v>3728.4250000000002</v>
      </c>
      <c r="O94" s="8">
        <f>$P$31</f>
        <v>218617.95</v>
      </c>
      <c r="P94" s="8">
        <f>O94*M94</f>
        <v>10930.897500000001</v>
      </c>
      <c r="Q94" s="8">
        <f>$R$31</f>
        <v>214067.95</v>
      </c>
      <c r="R94" s="8">
        <f>Q94*M94</f>
        <v>10703.397500000001</v>
      </c>
      <c r="S94" s="8">
        <f>$T$31</f>
        <v>180435.05</v>
      </c>
      <c r="T94" s="8">
        <f>S94*M94</f>
        <v>9021.7525000000005</v>
      </c>
      <c r="U94" s="8">
        <f>$V$31</f>
        <v>0</v>
      </c>
      <c r="V94" s="8">
        <f>U94*M94</f>
        <v>0</v>
      </c>
      <c r="W94" s="8">
        <f>N94+P94+R94+T94+V94</f>
        <v>34384.472500000003</v>
      </c>
      <c r="X94" s="8">
        <v>0</v>
      </c>
      <c r="Y94" s="8">
        <f>SUM(W94:X94)</f>
        <v>34384.472500000003</v>
      </c>
    </row>
    <row r="95" spans="1:30" ht="12" customHeight="1" x14ac:dyDescent="0.35">
      <c r="A95" s="1" t="s">
        <v>156</v>
      </c>
      <c r="B95" s="12">
        <v>89050</v>
      </c>
      <c r="C95" s="12" t="s">
        <v>35</v>
      </c>
      <c r="D95" s="12" t="s">
        <v>35</v>
      </c>
      <c r="E95" s="25" t="s">
        <v>36</v>
      </c>
      <c r="F95" s="12" t="s">
        <v>38</v>
      </c>
      <c r="G95" s="12" t="s">
        <v>38</v>
      </c>
      <c r="H95" s="12" t="s">
        <v>159</v>
      </c>
      <c r="I95" s="12"/>
      <c r="J95" s="12" t="s">
        <v>158</v>
      </c>
      <c r="K95" s="25" t="s">
        <v>101</v>
      </c>
      <c r="L95" s="8">
        <f>$N$45</f>
        <v>4650</v>
      </c>
      <c r="M95" s="74">
        <v>0.05</v>
      </c>
      <c r="N95" s="8">
        <f>L95*M95</f>
        <v>232.5</v>
      </c>
      <c r="O95" s="8">
        <f>$P$45</f>
        <v>32520</v>
      </c>
      <c r="P95" s="8">
        <f>O95*M95</f>
        <v>1626</v>
      </c>
      <c r="Q95" s="8">
        <f>$R$45</f>
        <v>32520</v>
      </c>
      <c r="R95" s="8">
        <f>Q95*M95</f>
        <v>1626</v>
      </c>
      <c r="S95" s="8">
        <f>$T$45</f>
        <v>32520</v>
      </c>
      <c r="T95" s="8">
        <f>S95*M95</f>
        <v>1626</v>
      </c>
      <c r="U95" s="8">
        <f>$V$45</f>
        <v>0</v>
      </c>
      <c r="V95" s="8">
        <f>U95*M95</f>
        <v>0</v>
      </c>
      <c r="W95" s="8">
        <f>N95+P95+R95+T95+V95</f>
        <v>5110.5</v>
      </c>
      <c r="X95" s="8">
        <v>0</v>
      </c>
      <c r="Y95" s="8">
        <f>SUM(W95:X95)</f>
        <v>5110.5</v>
      </c>
    </row>
    <row r="96" spans="1:30" ht="12" customHeight="1" x14ac:dyDescent="0.35">
      <c r="A96" s="1" t="s">
        <v>156</v>
      </c>
      <c r="B96" s="12">
        <v>89050</v>
      </c>
      <c r="C96" s="12" t="s">
        <v>35</v>
      </c>
      <c r="D96" s="12" t="s">
        <v>35</v>
      </c>
      <c r="E96" s="25" t="s">
        <v>36</v>
      </c>
      <c r="F96" s="12" t="s">
        <v>38</v>
      </c>
      <c r="G96" s="12" t="s">
        <v>38</v>
      </c>
      <c r="H96" s="12" t="s">
        <v>160</v>
      </c>
      <c r="I96" s="12"/>
      <c r="J96" s="12" t="s">
        <v>158</v>
      </c>
      <c r="K96" s="25" t="s">
        <v>101</v>
      </c>
      <c r="L96" s="8">
        <f>$N$51</f>
        <v>0</v>
      </c>
      <c r="M96" s="74">
        <v>0.05</v>
      </c>
      <c r="N96" s="8">
        <f>L96*M96</f>
        <v>0</v>
      </c>
      <c r="O96" s="8">
        <f>$P$51</f>
        <v>5340</v>
      </c>
      <c r="P96" s="8">
        <f>O96*M96</f>
        <v>267</v>
      </c>
      <c r="Q96" s="8">
        <f>$R$51</f>
        <v>5340</v>
      </c>
      <c r="R96" s="8">
        <f>Q96*M96</f>
        <v>267</v>
      </c>
      <c r="S96" s="8">
        <f>$T$51</f>
        <v>3840</v>
      </c>
      <c r="T96" s="8">
        <f>S96*M96</f>
        <v>192</v>
      </c>
      <c r="U96" s="8">
        <f>$V$51</f>
        <v>0</v>
      </c>
      <c r="V96" s="8">
        <f>U96*M96</f>
        <v>0</v>
      </c>
      <c r="W96" s="8">
        <f>N96+P96+R96+T96+V96</f>
        <v>726</v>
      </c>
      <c r="X96" s="8">
        <v>0</v>
      </c>
      <c r="Y96" s="8">
        <f>SUM(W96:X96)</f>
        <v>726</v>
      </c>
    </row>
    <row r="97" spans="1:26" ht="12" customHeight="1" x14ac:dyDescent="0.35">
      <c r="A97" s="1" t="s">
        <v>156</v>
      </c>
      <c r="B97" s="12">
        <v>89050</v>
      </c>
      <c r="C97" s="12" t="s">
        <v>35</v>
      </c>
      <c r="D97" s="12" t="s">
        <v>35</v>
      </c>
      <c r="E97" s="25" t="s">
        <v>36</v>
      </c>
      <c r="F97" s="12" t="s">
        <v>38</v>
      </c>
      <c r="G97" s="12" t="s">
        <v>38</v>
      </c>
      <c r="H97" s="12" t="s">
        <v>161</v>
      </c>
      <c r="I97" s="12"/>
      <c r="J97" s="12" t="s">
        <v>158</v>
      </c>
      <c r="K97" s="25" t="s">
        <v>101</v>
      </c>
      <c r="L97" s="8">
        <f>$N$56</f>
        <v>570</v>
      </c>
      <c r="M97" s="20">
        <v>0.05</v>
      </c>
      <c r="N97" s="8">
        <f>L97*M97</f>
        <v>28.5</v>
      </c>
      <c r="O97" s="8">
        <f>$P$56</f>
        <v>2280</v>
      </c>
      <c r="P97" s="8">
        <f>O97*M97</f>
        <v>114</v>
      </c>
      <c r="Q97" s="8">
        <f>$R$56</f>
        <v>2280</v>
      </c>
      <c r="R97" s="8">
        <f>Q97*M97</f>
        <v>114</v>
      </c>
      <c r="S97" s="8">
        <f>$T$56</f>
        <v>2280</v>
      </c>
      <c r="T97" s="8">
        <f>S97*M97</f>
        <v>114</v>
      </c>
      <c r="U97" s="8">
        <f>$V$56</f>
        <v>0</v>
      </c>
      <c r="V97" s="8">
        <f>U97*M97</f>
        <v>0</v>
      </c>
      <c r="W97" s="8">
        <f>N97+P97+R97+T97+V97</f>
        <v>370.5</v>
      </c>
      <c r="X97" s="8">
        <v>0</v>
      </c>
      <c r="Y97" s="8">
        <f>SUM(W97:X97)</f>
        <v>370.5</v>
      </c>
    </row>
    <row r="98" spans="1:26" ht="12" customHeight="1" thickBot="1" x14ac:dyDescent="0.45">
      <c r="A98" s="16"/>
      <c r="B98" s="16"/>
      <c r="C98" s="16"/>
      <c r="D98" s="16"/>
      <c r="E98" s="16"/>
      <c r="F98" s="16"/>
      <c r="G98" s="16"/>
      <c r="H98" s="16" t="s">
        <v>162</v>
      </c>
      <c r="I98" s="16"/>
      <c r="J98" s="16"/>
      <c r="K98" s="16"/>
      <c r="L98" s="19"/>
      <c r="M98" s="19"/>
      <c r="N98" s="24">
        <f>SUM(N94:N97)</f>
        <v>3989.4250000000002</v>
      </c>
      <c r="O98" s="24"/>
      <c r="P98" s="24">
        <f>SUM(P94:P97)</f>
        <v>12937.897500000001</v>
      </c>
      <c r="Q98" s="24"/>
      <c r="R98" s="24">
        <f>SUM(R94:R97)</f>
        <v>12710.397500000001</v>
      </c>
      <c r="S98" s="24"/>
      <c r="T98" s="24">
        <f>SUM(T94:T97)</f>
        <v>10953.752500000001</v>
      </c>
      <c r="U98" s="24"/>
      <c r="V98" s="24">
        <f>SUM(V94:V97)</f>
        <v>0</v>
      </c>
      <c r="W98" s="24">
        <f>N98+P98+R98+T98+V98</f>
        <v>40591.472500000003</v>
      </c>
      <c r="X98" s="24">
        <f>SUM(X94:X97)</f>
        <v>0</v>
      </c>
      <c r="Y98" s="24">
        <f>SUM(W98:X98)</f>
        <v>40591.472500000003</v>
      </c>
    </row>
    <row r="99" spans="1:26" ht="12" customHeight="1" x14ac:dyDescent="0.35">
      <c r="B99" s="12"/>
      <c r="C99" s="12"/>
      <c r="D99" s="12"/>
      <c r="E99" s="12"/>
      <c r="F99" s="12"/>
      <c r="G99" s="12"/>
      <c r="H99" s="12"/>
      <c r="I99" s="12"/>
      <c r="J99" s="12"/>
      <c r="K99" s="25"/>
    </row>
    <row r="100" spans="1:26" ht="12" customHeight="1" x14ac:dyDescent="0.4">
      <c r="A100" s="1" t="s">
        <v>156</v>
      </c>
      <c r="B100" s="12">
        <v>89050</v>
      </c>
      <c r="C100" s="12" t="s">
        <v>35</v>
      </c>
      <c r="D100" s="12" t="s">
        <v>35</v>
      </c>
      <c r="E100" s="25" t="s">
        <v>36</v>
      </c>
      <c r="F100" s="12" t="s">
        <v>131</v>
      </c>
      <c r="G100" s="12" t="s">
        <v>38</v>
      </c>
      <c r="H100" s="4" t="s">
        <v>163</v>
      </c>
      <c r="I100" s="4"/>
      <c r="J100" s="1" t="s">
        <v>133</v>
      </c>
      <c r="K100" s="3"/>
      <c r="L100" s="3"/>
      <c r="M100" s="20">
        <v>0.1</v>
      </c>
      <c r="N100" s="32">
        <f>(N98)*M100</f>
        <v>398.94250000000005</v>
      </c>
      <c r="O100" s="32"/>
      <c r="P100" s="32">
        <f>(P98)*M100</f>
        <v>1293.7897500000001</v>
      </c>
      <c r="Q100" s="32"/>
      <c r="R100" s="32">
        <f>(R98)*M100</f>
        <v>1271.0397500000001</v>
      </c>
      <c r="T100" s="32">
        <f>(T98)*M100</f>
        <v>1095.3752500000001</v>
      </c>
      <c r="V100" s="32">
        <f>(V98)*M100</f>
        <v>0</v>
      </c>
      <c r="W100" s="32">
        <f>SUM(N100+P100+R100+T100+V100)</f>
        <v>4059.1472500000004</v>
      </c>
      <c r="X100" s="32">
        <v>0</v>
      </c>
      <c r="Y100" s="32">
        <f>SUM(W100:X100)</f>
        <v>4059.1472500000004</v>
      </c>
    </row>
    <row r="101" spans="1:26" ht="12" customHeight="1" x14ac:dyDescent="0.35">
      <c r="B101" s="12"/>
      <c r="C101" s="12"/>
      <c r="D101" s="12"/>
      <c r="E101" s="12"/>
      <c r="F101" s="12"/>
      <c r="G101" s="12"/>
      <c r="H101" s="12"/>
      <c r="I101" s="12"/>
      <c r="J101" s="12"/>
      <c r="K101" s="25"/>
    </row>
    <row r="102" spans="1:26" ht="12" customHeight="1" thickBot="1" x14ac:dyDescent="0.45">
      <c r="A102" s="16"/>
      <c r="B102" s="16"/>
      <c r="C102" s="16"/>
      <c r="D102" s="16"/>
      <c r="E102" s="16"/>
      <c r="F102" s="16"/>
      <c r="G102" s="16"/>
      <c r="H102" s="16" t="s">
        <v>164</v>
      </c>
      <c r="I102" s="16"/>
      <c r="J102" s="16"/>
      <c r="K102" s="16"/>
      <c r="L102" s="19"/>
      <c r="M102" s="19"/>
      <c r="N102" s="24">
        <f>SUM(N98:N100)</f>
        <v>4388.3675000000003</v>
      </c>
      <c r="O102" s="24"/>
      <c r="P102" s="24">
        <f>SUM(P98:P100)</f>
        <v>14231.687250000001</v>
      </c>
      <c r="Q102" s="24"/>
      <c r="R102" s="24">
        <f>SUM(R98:R100)</f>
        <v>13981.437250000001</v>
      </c>
      <c r="S102" s="24"/>
      <c r="T102" s="24">
        <f>SUM(T98:T100)</f>
        <v>12049.12775</v>
      </c>
      <c r="U102" s="24"/>
      <c r="V102" s="24">
        <f>SUM(V98:V100)</f>
        <v>0</v>
      </c>
      <c r="W102" s="24">
        <f>N102+P102+R102+T102+V102</f>
        <v>44650.619750000005</v>
      </c>
      <c r="X102" s="24">
        <f>X100</f>
        <v>0</v>
      </c>
      <c r="Y102" s="24">
        <f>SUM(W102:X102)</f>
        <v>44650.619750000005</v>
      </c>
    </row>
    <row r="103" spans="1:26" ht="12" customHeight="1" x14ac:dyDescent="0.4">
      <c r="A103" s="116"/>
      <c r="B103" s="2"/>
      <c r="C103" s="2"/>
      <c r="D103" s="2"/>
      <c r="E103" s="2"/>
      <c r="F103" s="2"/>
      <c r="G103" s="2"/>
      <c r="H103" s="2"/>
      <c r="I103" s="2"/>
      <c r="J103" s="2"/>
      <c r="K103" s="83"/>
      <c r="L103" s="18"/>
      <c r="M103" s="28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105"/>
    </row>
    <row r="104" spans="1:26" ht="12" customHeight="1" thickBot="1" x14ac:dyDescent="0.45">
      <c r="A104" s="10"/>
      <c r="B104" s="10"/>
      <c r="C104" s="10"/>
      <c r="D104" s="10"/>
      <c r="E104" s="10"/>
      <c r="F104" s="10"/>
      <c r="G104" s="10"/>
      <c r="H104" s="10" t="s">
        <v>165</v>
      </c>
      <c r="I104" s="10"/>
      <c r="J104" s="10"/>
      <c r="K104" s="10"/>
      <c r="L104" s="10"/>
      <c r="M104" s="29"/>
      <c r="N104" s="92">
        <f t="shared" ref="N104:V104" si="28">N102+N91+N74</f>
        <v>68048.777499999997</v>
      </c>
      <c r="O104" s="92">
        <f t="shared" si="28"/>
        <v>0</v>
      </c>
      <c r="P104" s="92">
        <f t="shared" si="28"/>
        <v>234385.78624999998</v>
      </c>
      <c r="Q104" s="92">
        <f t="shared" si="28"/>
        <v>0</v>
      </c>
      <c r="R104" s="92">
        <f t="shared" si="28"/>
        <v>221627.35925000004</v>
      </c>
      <c r="S104" s="92">
        <f t="shared" si="28"/>
        <v>0</v>
      </c>
      <c r="T104" s="92">
        <f t="shared" si="28"/>
        <v>179738.66074999998</v>
      </c>
      <c r="U104" s="92">
        <f t="shared" si="28"/>
        <v>0</v>
      </c>
      <c r="V104" s="92">
        <f t="shared" si="28"/>
        <v>0</v>
      </c>
      <c r="W104" s="92">
        <f>V104+T104+R104+P104+N104</f>
        <v>703800.58374999999</v>
      </c>
      <c r="X104" s="92">
        <f>X102+X91+X74</f>
        <v>0</v>
      </c>
      <c r="Y104" s="92">
        <f>SUM(W104:X104)</f>
        <v>703800.58374999999</v>
      </c>
    </row>
    <row r="105" spans="1:26" ht="12" customHeight="1" thickTop="1" x14ac:dyDescent="0.35"/>
    <row r="107" spans="1:26" ht="12" customHeight="1" x14ac:dyDescent="0.35">
      <c r="W107" s="70"/>
    </row>
    <row r="108" spans="1:26" ht="12" customHeight="1" x14ac:dyDescent="0.35">
      <c r="M108" s="2"/>
      <c r="X108" s="73"/>
    </row>
    <row r="109" spans="1:26" ht="12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35"/>
    </row>
    <row r="110" spans="1:26" ht="12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2"/>
    </row>
    <row r="112" spans="1:26" ht="12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35"/>
    </row>
    <row r="113" spans="1:32" ht="12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2"/>
    </row>
    <row r="115" spans="1:32" ht="12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35"/>
    </row>
    <row r="116" spans="1:32" ht="12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2"/>
    </row>
    <row r="118" spans="1:32" ht="12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35"/>
    </row>
    <row r="119" spans="1:32" ht="12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2"/>
    </row>
    <row r="120" spans="1:32" ht="12" customHeight="1" x14ac:dyDescent="0.35">
      <c r="AF120" s="1"/>
    </row>
    <row r="121" spans="1:32" ht="12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35"/>
    </row>
    <row r="122" spans="1:32" ht="12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2"/>
    </row>
    <row r="126" spans="1:32" ht="12" customHeight="1" x14ac:dyDescent="0.35">
      <c r="A126" s="116"/>
      <c r="B126" s="2"/>
      <c r="C126" s="2"/>
      <c r="D126" s="2"/>
      <c r="E126" s="2"/>
      <c r="F126" s="2"/>
      <c r="G126" s="2"/>
      <c r="H126" s="2"/>
      <c r="I126" s="2"/>
      <c r="J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8" spans="1:32" ht="12" customHeight="1" x14ac:dyDescent="0.35">
      <c r="A128" s="116"/>
      <c r="B128" s="2"/>
      <c r="C128" s="2"/>
      <c r="D128" s="2"/>
      <c r="E128" s="2"/>
      <c r="F128" s="2"/>
      <c r="G128" s="2"/>
      <c r="H128" s="2"/>
      <c r="I128" s="2"/>
      <c r="J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</sheetData>
  <mergeCells count="5">
    <mergeCell ref="H75:Y75"/>
    <mergeCell ref="H57:Y57"/>
    <mergeCell ref="H1:Y1"/>
    <mergeCell ref="H2:Y2"/>
    <mergeCell ref="H3:Y3"/>
  </mergeCells>
  <pageMargins left="0.7" right="0.7" top="0.75" bottom="0.75" header="0.3" footer="0.3"/>
  <pageSetup scale="53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83203125" defaultRowHeight="12.3" x14ac:dyDescent="0.4"/>
  <cols>
    <col min="1" max="1" width="10.83203125" style="50"/>
    <col min="2" max="2" width="18.1640625" style="50" customWidth="1"/>
    <col min="3" max="3" width="17" style="50" customWidth="1"/>
    <col min="4" max="16384" width="10.83203125" style="50"/>
  </cols>
  <sheetData>
    <row r="1" spans="2:3" ht="12.6" thickBot="1" x14ac:dyDescent="0.45"/>
    <row r="2" spans="2:3" ht="12.6" thickBot="1" x14ac:dyDescent="0.45">
      <c r="B2" s="54" t="s">
        <v>166</v>
      </c>
      <c r="C2" s="55" t="s">
        <v>167</v>
      </c>
    </row>
    <row r="3" spans="2:3" ht="24" customHeight="1" thickTop="1" x14ac:dyDescent="0.4">
      <c r="B3" s="53" t="s">
        <v>41</v>
      </c>
      <c r="C3" s="57" t="e">
        <f>SUMIF(Category,B3,TotalDOL)</f>
        <v>#REF!</v>
      </c>
    </row>
    <row r="4" spans="2:3" ht="23.25" customHeight="1" x14ac:dyDescent="0.4">
      <c r="B4" s="51" t="s">
        <v>73</v>
      </c>
      <c r="C4" s="57" t="e">
        <f>SUMIF(Category,"Fringe Benefits",TotalDOL)</f>
        <v>#REF!</v>
      </c>
    </row>
    <row r="5" spans="2:3" ht="23.25" customHeight="1" x14ac:dyDescent="0.4">
      <c r="B5" s="51" t="s">
        <v>77</v>
      </c>
      <c r="C5" s="57" t="e">
        <f>SUMIF(Category,"Travel",TotalDOL)</f>
        <v>#REF!</v>
      </c>
    </row>
    <row r="6" spans="2:3" ht="25" customHeight="1" x14ac:dyDescent="0.4">
      <c r="B6" s="51" t="s">
        <v>168</v>
      </c>
      <c r="C6" s="57" t="e">
        <f>SUMIF(Category,"Equipment",TotalDOL)</f>
        <v>#REF!</v>
      </c>
    </row>
    <row r="7" spans="2:3" ht="25" customHeight="1" x14ac:dyDescent="0.4">
      <c r="B7" s="51" t="s">
        <v>100</v>
      </c>
      <c r="C7" s="57" t="e">
        <f>SUMIF(Category,"Supplies",TotalDOL)</f>
        <v>#REF!</v>
      </c>
    </row>
    <row r="8" spans="2:3" ht="24" customHeight="1" x14ac:dyDescent="0.4">
      <c r="B8" s="51" t="s">
        <v>169</v>
      </c>
      <c r="C8" s="57" t="e">
        <f>SUMIF(Category,"Contractual",TotalDOL)</f>
        <v>#REF!</v>
      </c>
    </row>
    <row r="9" spans="2:3" ht="24" customHeight="1" x14ac:dyDescent="0.4">
      <c r="B9" s="51" t="s">
        <v>170</v>
      </c>
      <c r="C9" s="57" t="e">
        <f>SUMIF(Category,"Other",TotalDOL)</f>
        <v>#REF!</v>
      </c>
    </row>
    <row r="10" spans="2:3" ht="24" customHeight="1" thickBot="1" x14ac:dyDescent="0.45">
      <c r="B10" s="52" t="s">
        <v>133</v>
      </c>
      <c r="C10" s="58" t="e">
        <f>SUMIF(Category,"Indirect Charges",TotalDOL)</f>
        <v>#REF!</v>
      </c>
    </row>
    <row r="11" spans="2:3" ht="12.6" thickBot="1" x14ac:dyDescent="0.45"/>
    <row r="12" spans="2:3" ht="12.6" thickBot="1" x14ac:dyDescent="0.45">
      <c r="B12" s="60" t="s">
        <v>171</v>
      </c>
      <c r="C12" s="59" t="e">
        <f>SUM(C3:C10)</f>
        <v>#REF!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SharedWithUsers xmlns="dc808d36-874f-4b27-aec2-2fd649817929">
      <UserInfo>
        <DisplayName>Carlos Alejandro Hernández</DisplayName>
        <AccountId>2834</AccountId>
        <AccountType/>
      </UserInfo>
    </SharedWithUsers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3a684b84-d35d-4ed0-9b62-b4a83786fd0e"/>
  </ds:schemaRefs>
</ds:datastoreItem>
</file>

<file path=customXml/itemProps4.xml><?xml version="1.0" encoding="utf-8"?>
<ds:datastoreItem xmlns:ds="http://schemas.openxmlformats.org/officeDocument/2006/customXml" ds:itemID="{54D3772E-1F58-46FC-9260-0CB8398FC7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SAI</vt:lpstr>
      <vt:lpstr>SF-424 Cost Categories</vt:lpstr>
      <vt:lpstr>SAI!Category</vt:lpstr>
      <vt:lpstr>SAI!DL_Country</vt:lpstr>
      <vt:lpstr>SAI!DL_TotalDOL</vt:lpstr>
      <vt:lpstr>SAI!O1_Country</vt:lpstr>
      <vt:lpstr>SAI!O1_TotalDOL</vt:lpstr>
      <vt:lpstr>SAI!Print_Area</vt:lpstr>
      <vt:lpstr>SAI!SU_Country</vt:lpstr>
      <vt:lpstr>SAI!SU_TotalDOL</vt:lpstr>
      <vt:lpstr>SAI!TotalDOL</vt:lpstr>
      <vt:lpstr>SAI!TR_Country</vt:lpstr>
      <vt:lpstr>SAI!TR_TotalDOL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2024-08-16T02:46:44Z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0x01010070DCFE42B6DA174395680DED1A1F5DC1</vt:lpwstr>
  </property>
  <property fmtid="{D5CDD505-2E9C-101B-9397-08002B2CF9AE}" pid="4" name="MediaServiceImageTags">
    <vt:lpwstr/>
  </property>
</Properties>
</file>