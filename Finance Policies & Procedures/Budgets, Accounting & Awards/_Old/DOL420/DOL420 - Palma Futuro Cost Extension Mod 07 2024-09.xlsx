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art\Downloads\"/>
    </mc:Choice>
  </mc:AlternateContent>
  <xr:revisionPtr revIDLastSave="0" documentId="13_ncr:1_{198D36A9-DEF7-47A1-8814-A360472DF81D}" xr6:coauthVersionLast="47" xr6:coauthVersionMax="47" xr10:uidLastSave="{00000000-0000-0000-0000-000000000000}"/>
  <bookViews>
    <workbookView xWindow="-96" yWindow="-96" windowWidth="23232" windowHeight="12552" xr2:uid="{ECFBEE73-0471-4764-9C36-9DB94414E489}"/>
  </bookViews>
  <sheets>
    <sheet name="Cost-Extension DOL420" sheetId="3" r:id="rId1"/>
    <sheet name="Sub-award SAI" sheetId="2" r:id="rId2"/>
    <sheet name="JAA" sheetId="5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\A" localSheetId="0">'[1]SF 1411'!#REF!</definedName>
    <definedName name="\A">'[1]SF 1411'!#REF!</definedName>
    <definedName name="__1_0__123Grap" localSheetId="0" hidden="1">#REF!</definedName>
    <definedName name="__1_0__123Grap" hidden="1">#REF!</definedName>
    <definedName name="__2DAI_1">#N/A</definedName>
    <definedName name="__3FEE">#N/A</definedName>
    <definedName name="__AFP1">#N/A</definedName>
    <definedName name="__AFP2">#N/A</definedName>
    <definedName name="__AFP3">#N/A</definedName>
    <definedName name="__AFP4">#N/A</definedName>
    <definedName name="__AMP1">#N/A</definedName>
    <definedName name="__AMP2">#N/A</definedName>
    <definedName name="__AMP3">#N/A</definedName>
    <definedName name="__AMP4">#N/A</definedName>
    <definedName name="__DAI4">#N/A</definedName>
    <definedName name="__EES1">#N/A</definedName>
    <definedName name="__EES2">#N/A</definedName>
    <definedName name="__EES3">#N/A</definedName>
    <definedName name="__EES4">#N/A</definedName>
    <definedName name="__EXT1">#N/A</definedName>
    <definedName name="__EXT2">#N/A</definedName>
    <definedName name="__EXT3">#N/A</definedName>
    <definedName name="__EXT4">#N/A</definedName>
    <definedName name="__FCP1">#N/A</definedName>
    <definedName name="__FCP2">#N/A</definedName>
    <definedName name="__FCP3">#N/A</definedName>
    <definedName name="__FCP4">#N/A</definedName>
    <definedName name="__FRI1">#N/A</definedName>
    <definedName name="__FRI4">#N/A</definedName>
    <definedName name="__HRA1">#N/A</definedName>
    <definedName name="__HRA2">#N/A</definedName>
    <definedName name="__HRA3">#N/A</definedName>
    <definedName name="__HRA4">#N/A</definedName>
    <definedName name="__inf1" localSheetId="0">#REF!</definedName>
    <definedName name="__inf1">#REF!</definedName>
    <definedName name="__LT4">[2]Parameters!$B$40</definedName>
    <definedName name="__ODC1">#N/A</definedName>
    <definedName name="__ODC2">#N/A</definedName>
    <definedName name="__POL1">#N/A</definedName>
    <definedName name="__POL2">#N/A</definedName>
    <definedName name="__POL3">#N/A</definedName>
    <definedName name="__POL4">#N/A</definedName>
    <definedName name="__TOT1">#N/A</definedName>
    <definedName name="__TOT2">#N/A</definedName>
    <definedName name="__tot67000">[3]Specification!$F$191</definedName>
    <definedName name="__TRV1">#N/A</definedName>
    <definedName name="__TRV2">#N/A</definedName>
    <definedName name="__YR1">#REF!</definedName>
    <definedName name="__YR2">#REF!</definedName>
    <definedName name="_1" hidden="1">#REF!</definedName>
    <definedName name="_1_0__123Grap" hidden="1">#REF!</definedName>
    <definedName name="_2_0__123Grap" hidden="1">#REF!</definedName>
    <definedName name="_2DAI_1">#N/A</definedName>
    <definedName name="_3FEE">#N/A</definedName>
    <definedName name="_AFP1">#N/A</definedName>
    <definedName name="_AFP2">#N/A</definedName>
    <definedName name="_AFP3">#N/A</definedName>
    <definedName name="_AFP4">#N/A</definedName>
    <definedName name="_AMP1">#N/A</definedName>
    <definedName name="_AMP2">#N/A</definedName>
    <definedName name="_AMP3">#N/A</definedName>
    <definedName name="_AMP4">#N/A</definedName>
    <definedName name="_DAI4">#N/A</definedName>
    <definedName name="_EES1">#N/A</definedName>
    <definedName name="_EES2">#N/A</definedName>
    <definedName name="_EES3">#N/A</definedName>
    <definedName name="_EES4">#N/A</definedName>
    <definedName name="_EXT1">#N/A</definedName>
    <definedName name="_EXT2">#N/A</definedName>
    <definedName name="_EXT3">#N/A</definedName>
    <definedName name="_EXT4">#N/A</definedName>
    <definedName name="_FCP1">#N/A</definedName>
    <definedName name="_FCP2">#N/A</definedName>
    <definedName name="_FCP3">#N/A</definedName>
    <definedName name="_FCP4">#N/A</definedName>
    <definedName name="_xlnm._FilterDatabase" localSheetId="0" hidden="1">'Cost-Extension DOL420'!$A$4:$Z$333</definedName>
    <definedName name="_xlnm._FilterDatabase" localSheetId="1" hidden="1">'Sub-award SAI'!$F$4:$F$120</definedName>
    <definedName name="_FRI1">#N/A</definedName>
    <definedName name="_FRI4">#N/A</definedName>
    <definedName name="_hos1">[4]Parameters!$A$433</definedName>
    <definedName name="_hos10">[4]Parameters!$A$442</definedName>
    <definedName name="_hos11">[4]Parameters!$A$443</definedName>
    <definedName name="_hos12">[4]Parameters!$A$444</definedName>
    <definedName name="_hos13">[4]Parameters!$A$445</definedName>
    <definedName name="_hos14">[4]Parameters!$A$446</definedName>
    <definedName name="_hos15">[4]Parameters!$A$447</definedName>
    <definedName name="_hos16">[4]Parameters!$A$448</definedName>
    <definedName name="_hos17">[4]Parameters!$A$449</definedName>
    <definedName name="_hos18">[4]Parameters!$A$450</definedName>
    <definedName name="_hos19">[4]Parameters!$A$451</definedName>
    <definedName name="_hos2">[4]Parameters!$A$434</definedName>
    <definedName name="_hos20">[4]Parameters!$A$452</definedName>
    <definedName name="_hos21">[4]Parameters!$A$453</definedName>
    <definedName name="_hos3">[4]Parameters!$A$435</definedName>
    <definedName name="_hos4">[4]Parameters!$A$436</definedName>
    <definedName name="_hos5">[4]Parameters!$A$437</definedName>
    <definedName name="_hos6">[4]Parameters!$A$438</definedName>
    <definedName name="_hos7">[4]Parameters!$A$439</definedName>
    <definedName name="_hos8">[4]Parameters!$A$440</definedName>
    <definedName name="_hos9">[4]Parameters!$A$441</definedName>
    <definedName name="_HRA1">#N/A</definedName>
    <definedName name="_HRA2">#N/A</definedName>
    <definedName name="_HRA3">#N/A</definedName>
    <definedName name="_HRA4">#N/A</definedName>
    <definedName name="_inf1">#REF!</definedName>
    <definedName name="_Key1" hidden="1">#REF!</definedName>
    <definedName name="_key2" hidden="1">#REF!</definedName>
    <definedName name="_LT4">[2]Parameters!$B$40</definedName>
    <definedName name="_ODC1">#N/A</definedName>
    <definedName name="_ODC2">#N/A</definedName>
    <definedName name="_Order1" hidden="1">255</definedName>
    <definedName name="_Order2" hidden="1">255</definedName>
    <definedName name="_POL1">#N/A</definedName>
    <definedName name="_POL2">#N/A</definedName>
    <definedName name="_POL3">#N/A</definedName>
    <definedName name="_POL4">#N/A</definedName>
    <definedName name="_Sort" hidden="1">#REF!</definedName>
    <definedName name="_sort1" hidden="1">#REF!</definedName>
    <definedName name="_sub10">[4]Parameters!$H$26</definedName>
    <definedName name="_tcn1">[4]Parameters!$A$117</definedName>
    <definedName name="_tcn10">[4]Parameters!$A$126</definedName>
    <definedName name="_tcn2">[4]Parameters!$A$118</definedName>
    <definedName name="_tcn3">[4]Parameters!$A$119</definedName>
    <definedName name="_tcn4">[4]Parameters!$A$120</definedName>
    <definedName name="_tcn5">[4]Parameters!$A$121</definedName>
    <definedName name="_tcn6">[4]Parameters!$A$122</definedName>
    <definedName name="_tcn7">[4]Parameters!$A$123</definedName>
    <definedName name="_tcn8">[4]Parameters!$A$124</definedName>
    <definedName name="_tcn9">[4]Parameters!$A$125</definedName>
    <definedName name="_TOT1">#N/A</definedName>
    <definedName name="_TOT2">#N/A</definedName>
    <definedName name="_tot67000">[3]Specification!$F$191</definedName>
    <definedName name="_TRV1">#N/A</definedName>
    <definedName name="_TRV2">#N/A</definedName>
    <definedName name="_us1">[4]Parameters!$A$39</definedName>
    <definedName name="_us10">[4]Parameters!$A$48</definedName>
    <definedName name="_us11">[4]Parameters!$A$49</definedName>
    <definedName name="_us12">[4]Parameters!$A$50</definedName>
    <definedName name="_us13">[4]Parameters!$A$51</definedName>
    <definedName name="_us14">[4]Parameters!$A$52</definedName>
    <definedName name="_us15">[4]Parameters!$A$53</definedName>
    <definedName name="_us16">[4]Parameters!$A$54</definedName>
    <definedName name="_us17">[4]Parameters!$A$55</definedName>
    <definedName name="_us18">[4]Parameters!$A$56</definedName>
    <definedName name="_us19">[4]Parameters!$A$57</definedName>
    <definedName name="_us2">[4]Parameters!$A$40</definedName>
    <definedName name="_us20">[4]Parameters!$A$58</definedName>
    <definedName name="_us21">[4]Parameters!$A$59</definedName>
    <definedName name="_us22">[4]Parameters!$A$60</definedName>
    <definedName name="_us23">[4]Parameters!$A$61</definedName>
    <definedName name="_us24">[4]Parameters!$A$62</definedName>
    <definedName name="_us25">[4]Parameters!$A$63</definedName>
    <definedName name="_us26">[4]Parameters!$A$64</definedName>
    <definedName name="_us27">[4]Parameters!$A$65</definedName>
    <definedName name="_us28">[4]Parameters!$A$66</definedName>
    <definedName name="_us29">[4]Parameters!$A$67</definedName>
    <definedName name="_us3">[4]Parameters!$A$41</definedName>
    <definedName name="_us30">[4]Parameters!$A$68</definedName>
    <definedName name="_us31">[4]Parameters!$A$69</definedName>
    <definedName name="_us32">[4]Parameters!$A$70</definedName>
    <definedName name="_us33">[4]Parameters!$A$71</definedName>
    <definedName name="_us34">[4]Parameters!$A$72</definedName>
    <definedName name="_us35">[4]Parameters!$A$73</definedName>
    <definedName name="_us36">[4]Parameters!$A$74</definedName>
    <definedName name="_us37">[4]Parameters!$A$75</definedName>
    <definedName name="_us38">[4]Parameters!$A$76</definedName>
    <definedName name="_us39">[4]Parameters!$A$77</definedName>
    <definedName name="_us4">[4]Parameters!$A$42</definedName>
    <definedName name="_us40">[4]Parameters!$A$78</definedName>
    <definedName name="_us41">[4]Parameters!$A$79</definedName>
    <definedName name="_us42">[4]Parameters!$A$80</definedName>
    <definedName name="_us43">[4]Parameters!$A$81</definedName>
    <definedName name="_us44">[4]Parameters!$A$82</definedName>
    <definedName name="_us45">[4]Parameters!$A$83</definedName>
    <definedName name="_us46">[4]Parameters!$A$84</definedName>
    <definedName name="_us47">[4]Parameters!$A$85</definedName>
    <definedName name="_us48">[4]Parameters!$A$86</definedName>
    <definedName name="_us49">[4]Parameters!$A$87</definedName>
    <definedName name="_us5">[4]Parameters!$A$43</definedName>
    <definedName name="_us50">[4]Parameters!$A$88</definedName>
    <definedName name="_us51">[4]Parameters!$A$89</definedName>
    <definedName name="_us52">[4]Parameters!$A$90</definedName>
    <definedName name="_us53">[4]Parameters!$A$91</definedName>
    <definedName name="_us54">[4]Parameters!$A$92</definedName>
    <definedName name="_us55">[4]Parameters!$A$93</definedName>
    <definedName name="_us56">[4]Parameters!$A$94</definedName>
    <definedName name="_us57">[4]Parameters!$A$95</definedName>
    <definedName name="_us58">[4]Parameters!$A$96</definedName>
    <definedName name="_us59">[4]Parameters!$A$97</definedName>
    <definedName name="_us6">[4]Parameters!$A$44</definedName>
    <definedName name="_us60">[4]Parameters!$A$98</definedName>
    <definedName name="_us61">[4]Parameters!$A$99</definedName>
    <definedName name="_us62">[4]Parameters!$A$100</definedName>
    <definedName name="_us63">[4]Parameters!$A$101</definedName>
    <definedName name="_us64">[4]Parameters!$A$102</definedName>
    <definedName name="_us65">[4]Parameters!$A$103</definedName>
    <definedName name="_us66">[4]Parameters!$A$104</definedName>
    <definedName name="_us67">[4]Parameters!$A$105</definedName>
    <definedName name="_us68">[4]Parameters!$A$106</definedName>
    <definedName name="_us69">[4]Parameters!$A$107</definedName>
    <definedName name="_us7">[4]Parameters!$A$45</definedName>
    <definedName name="_us70">[4]Parameters!$A$108</definedName>
    <definedName name="_us71">[4]Parameters!$A$109</definedName>
    <definedName name="_us72">[4]Parameters!$A$110</definedName>
    <definedName name="_us73">[4]Parameters!$A$111</definedName>
    <definedName name="_us74">[4]Parameters!$A$112</definedName>
    <definedName name="_us75">[4]Parameters!$A$113</definedName>
    <definedName name="_us8">[4]Parameters!$A$46</definedName>
    <definedName name="_us9">[4]Parameters!$A$47</definedName>
    <definedName name="_YR1" localSheetId="0">#REF!</definedName>
    <definedName name="_YR1">#REF!</definedName>
    <definedName name="_YR2">#REF!</definedName>
    <definedName name="Abbiz51">[5]RATES!#REF!</definedName>
    <definedName name="Abbiz52">[5]RATES!#REF!</definedName>
    <definedName name="abs">'[6]Detailed Budget OPEN'!$C$71</definedName>
    <definedName name="ABT">#N/A</definedName>
    <definedName name="ACRLperc">#REF!</definedName>
    <definedName name="ACT">#N/A</definedName>
    <definedName name="adasdf" localSheetId="0" hidden="1">{"ViewPreCalc",#N/A,TRUE,"PreCalc";"ViewSummary",#N/A,TRUE,"Summary "}</definedName>
    <definedName name="adasdf" hidden="1">{"ViewPreCalc",#N/A,TRUE,"PreCalc";"ViewSummary",#N/A,TRUE,"Summary "}</definedName>
    <definedName name="Agbiz11">[5]RATES!#REF!</definedName>
    <definedName name="Agbiz12">[5]RATES!#REF!</definedName>
    <definedName name="Agbiz13">[5]RATES!#REF!</definedName>
    <definedName name="Agbiz41">[5]RATES!#REF!</definedName>
    <definedName name="Agbiz42">[5]RATES!#REF!</definedName>
    <definedName name="Agbiz43">[5]RATES!#REF!</definedName>
    <definedName name="Agbiz51">[5]RATES!#REF!</definedName>
    <definedName name="Agbiz52">[5]RATES!#REF!</definedName>
    <definedName name="Agbiz53">[5]RATES!#REF!</definedName>
    <definedName name="AIDMAX">[7]Parameters!$B$8</definedName>
    <definedName name="Airfare_Consultants" localSheetId="0">#REF!</definedName>
    <definedName name="Airfare_Consultants">#REF!</definedName>
    <definedName name="Airfare_Homeleave">#REF!</definedName>
    <definedName name="airship1">'[8]Input Tab'!$F$22</definedName>
    <definedName name="airship2">'[8]Input Tab'!$G$22</definedName>
    <definedName name="airship3">'[8]Input Tab'!$H$22</definedName>
    <definedName name="airship4">'[8]Input Tab'!#REF!</definedName>
    <definedName name="airship5">'[8]Input Tab'!#REF!</definedName>
    <definedName name="airshipment">[9]Sheet1!$C$41</definedName>
    <definedName name="Allowances">'[10]INPUTS Year 1'!$A$96:$A$96</definedName>
    <definedName name="APperc" localSheetId="0">#REF!</definedName>
    <definedName name="APperc">#REF!</definedName>
    <definedName name="ARperc">#REF!</definedName>
    <definedName name="ASI_Dec_1">#REF!</definedName>
    <definedName name="ASI_Dec_2">#REF!</definedName>
    <definedName name="ASI_Dec_3">#REF!</definedName>
    <definedName name="ASI_Dec_4">#REF!</definedName>
    <definedName name="ASI_Dec_5">#REF!</definedName>
    <definedName name="ASI_May_1">#REF!</definedName>
    <definedName name="ASI_May_2">#REF!</definedName>
    <definedName name="ASI_May_3">#REF!</definedName>
    <definedName name="ASI_May_4">#REF!</definedName>
    <definedName name="ASI_May_5">#REF!</definedName>
    <definedName name="ASI_Nov_1">#REF!</definedName>
    <definedName name="ASI_Nov_2">#REF!</definedName>
    <definedName name="ASI_nov_3">#REF!</definedName>
    <definedName name="ASI_Nov_4">#REF!</definedName>
    <definedName name="ASI_Nov_5">#REF!</definedName>
    <definedName name="ASU">#N/A</definedName>
    <definedName name="AWI_FACTOR_OPTION_YR1">[11]INDIRECTS!#REF!</definedName>
    <definedName name="AWI_FACTOR_OPTION_YR2">[11]INDIRECTS!#REF!</definedName>
    <definedName name="AWI_FACTOR_OPTION_YR3">[11]INDIRECTS!#REF!</definedName>
    <definedName name="AWI_FACTOR_OPTION_YR4">[11]INDIRECTS!#REF!</definedName>
    <definedName name="AWI_FACTOR_TABLE">[11]INDIRECTS!#REF!</definedName>
    <definedName name="AWU_FACTOR_OPTION_YR1B">[11]INDIRECTS!#REF!</definedName>
    <definedName name="BI">[12]Assumptions!$H$12</definedName>
    <definedName name="bkodc">[9]Sheet1!$C$32</definedName>
    <definedName name="BRANTRAV" localSheetId="0">#REF!</definedName>
    <definedName name="BRANTRAV">#REF!</definedName>
    <definedName name="Budget_years">#REF!</definedName>
    <definedName name="capital">[7]Parameters!$B$35</definedName>
    <definedName name="Category" localSheetId="1">'[13]Project Budget'!$G$8:$G$305</definedName>
    <definedName name="Category">'[14]Project Budget'!$G$8:$G$305</definedName>
    <definedName name="CCN">#N/A</definedName>
    <definedName name="CCN_Disount">#REF!</definedName>
    <definedName name="Chart_of_accounts">#REF!</definedName>
    <definedName name="CI">[2]Parameters!$B$3</definedName>
    <definedName name="CII">[9]Sheet1!$C$13</definedName>
    <definedName name="Clin_Opt_1" localSheetId="0">#REF!</definedName>
    <definedName name="Clin_Opt_1">#REF!</definedName>
    <definedName name="Clin_Opt_2">#REF!</definedName>
    <definedName name="Clin_Subrow">#REF!</definedName>
    <definedName name="Clin_Sum">#REF!</definedName>
    <definedName name="Clin_Totals">#REF!</definedName>
    <definedName name="Clin_Year_2">#REF!</definedName>
    <definedName name="Clin_Year_3">#REF!</definedName>
    <definedName name="clin1">[4]Parameters!$B$10</definedName>
    <definedName name="clin2">[4]Parameters!$B$11</definedName>
    <definedName name="clin3">[4]Parameters!$B$12</definedName>
    <definedName name="clin4">[4]Parameters!$B$13</definedName>
    <definedName name="clin5">[4]Parameters!$B$14</definedName>
    <definedName name="Clins" localSheetId="0">#REF!</definedName>
    <definedName name="Clins">#REF!</definedName>
    <definedName name="ClinSalSub">#REF!</definedName>
    <definedName name="CODE">'[15]Program Budget'!$T$6:$T$380</definedName>
    <definedName name="Composite_Indirect_Rates_Year_1">[11]INDIRECTS!$T$3:$Y$15</definedName>
    <definedName name="Composite_Indirect_Rates_Year_2">[11]INDIRECTS!#REF!</definedName>
    <definedName name="Composite_Indirect_Rates_Year_3">[11]INDIRECTS!#REF!</definedName>
    <definedName name="Composite_Indirect_Rates_Year_4">[11]INDIRECTS!#REF!</definedName>
    <definedName name="Composite_Indirect_Rates_Year_5">[11]INDIRECTS!#REF!</definedName>
    <definedName name="Cons">[5]RATES!#REF!</definedName>
    <definedName name="CONST" localSheetId="0">#REF!</definedName>
    <definedName name="CONST">#REF!</definedName>
    <definedName name="CONSULT">#N/A</definedName>
    <definedName name="consumables">[9]Sheet1!$C$42</definedName>
    <definedName name="COOPERATIVE_LEAGUE_OF_THE_USA" localSheetId="0">#REF!</definedName>
    <definedName name="COOPERATIVE_LEAGUE_OF_THE_USA">#REF!</definedName>
    <definedName name="COORD_QTR">#REF!</definedName>
    <definedName name="coordinator_monthly">#REF!</definedName>
    <definedName name="COST">'[15]Program Budget'!$N$6:$N$380</definedName>
    <definedName name="Cost_Elements">[11]INDIRECTS!$T$2:$Y$2</definedName>
    <definedName name="COSTS">#N/A</definedName>
    <definedName name="COUNTRY">#N/A</definedName>
    <definedName name="CTS">#N/A</definedName>
    <definedName name="Currency">#REF!</definedName>
    <definedName name="currency2">#REF!</definedName>
    <definedName name="CurrencyCode">#REF!</definedName>
    <definedName name="Cut">#REF!</definedName>
    <definedName name="DAI">#N/A</definedName>
    <definedName name="daiInd">1.4*1.5*1.09</definedName>
    <definedName name="danger">[4]Parameters!$B$522</definedName>
    <definedName name="dangerpay">'[16]Range Page'!$A$11</definedName>
    <definedName name="dangerpay.stta">'[8]Input Tab'!$F$28</definedName>
    <definedName name="dangerpay1">'[8]Input Tab'!$F$25</definedName>
    <definedName name="dangerpay2">'[8]Input Tab'!$G$25</definedName>
    <definedName name="dangerpay3">'[8]Input Tab'!$H$25</definedName>
    <definedName name="dangerpay4">'[8]Input Tab'!#REF!</definedName>
    <definedName name="dangerpay5">'[8]Input Tab'!#REF!</definedName>
    <definedName name="Dartotalpd">[7]Parameters!$B$29</definedName>
    <definedName name="Date" localSheetId="0">#REF!</definedName>
    <definedName name="Date">#REF!</definedName>
    <definedName name="Date1">[3]Summary!$E$6</definedName>
    <definedName name="Date2">[3]Summary!$E$7</definedName>
    <definedName name="Days">[5]RATES!#REF!</definedName>
    <definedName name="daysinKabul">[4]Parameters!$B$512</definedName>
    <definedName name="daysinPeshawar">[4]Parameters!$B$514</definedName>
    <definedName name="daysinTravel">[4]Parameters!$B$515</definedName>
    <definedName name="daysoutKabul">[4]Parameters!$B$513</definedName>
    <definedName name="dayspertrip">[12]Assumptions!$D$30</definedName>
    <definedName name="DBA">[7]Parameters!$B$12</definedName>
    <definedName name="director_monthly" localSheetId="0">#REF!</definedName>
    <definedName name="director_monthly">#REF!</definedName>
    <definedName name="Director_QTR">#REF!</definedName>
    <definedName name="discCCN">0.77</definedName>
    <definedName name="discCCNLT">(1-0)</definedName>
    <definedName name="discCCNst">(1-0.75)</definedName>
    <definedName name="discExpat">0.15</definedName>
    <definedName name="DL_Country" localSheetId="1">'[13]Project Budget'!$F$7:$F$24</definedName>
    <definedName name="DL_Country">'[14]Project Budget'!$F$7:$F$24</definedName>
    <definedName name="DL_TotalDOL" localSheetId="1">'[13]Project Budget'!$R$7:$R$23</definedName>
    <definedName name="DL_TotalDOL">'[14]Project Budget'!$R$7:$R$23</definedName>
    <definedName name="DM" localSheetId="0">#REF!</definedName>
    <definedName name="DM">#REF!</definedName>
    <definedName name="DOL418Codes">'[17]DOL418 Code Database'!$A$2:$F$143</definedName>
    <definedName name="DON">#N/A</definedName>
    <definedName name="ed6_8">[4]Parameters!$B$526</definedName>
    <definedName name="ed9_12">[4]Parameters!$B$527</definedName>
    <definedName name="edk_5">[4]Parameters!$B$525</definedName>
    <definedName name="eduallow1">'[8]Input Tab'!$F$16</definedName>
    <definedName name="eduallow2">'[8]Input Tab'!$G$16</definedName>
    <definedName name="eduallow3">'[8]Input Tab'!$H$16</definedName>
    <definedName name="eduallow4">'[8]Input Tab'!#REF!</definedName>
    <definedName name="eduallow5">'[8]Input Tab'!#REF!</definedName>
    <definedName name="eduallowance.expat1">'[16]Range Page'!$A$12</definedName>
    <definedName name="eduallowance.expat2">'[16]Range Page'!$A$13</definedName>
    <definedName name="eduallowance.expat3">'[16]Range Page'!$A$14</definedName>
    <definedName name="eduallowance.expat4">'[16]Range Page'!$A$15</definedName>
    <definedName name="edutravel1">'[8]Input Tab'!$F$17</definedName>
    <definedName name="edutravel2">'[8]Input Tab'!$G$17</definedName>
    <definedName name="edutravel3">'[8]Input Tab'!$H$17</definedName>
    <definedName name="edutravel4">'[8]Input Tab'!#REF!</definedName>
    <definedName name="edutravel5">'[8]Input Tab'!#REF!</definedName>
    <definedName name="END">#N/A</definedName>
    <definedName name="EQ_Country" localSheetId="1">'[13]Project Budget'!$F$85:$F$92</definedName>
    <definedName name="EQ_Country">'[14]Project Budget'!$F$85:$F$92</definedName>
    <definedName name="EQ_TotalDOL" localSheetId="1">'[13]Project Budget'!$R$85:$R$92</definedName>
    <definedName name="EQ_TotalDOL">'[14]Project Budget'!$R$85:$R$92</definedName>
    <definedName name="esc">0.035</definedName>
    <definedName name="EXC">#REF!</definedName>
    <definedName name="Exchange">#REF!</definedName>
    <definedName name="ExchangeRate">#REF!</definedName>
    <definedName name="Expat_Discount">#REF!</definedName>
    <definedName name="Expat_Fringe">#REF!</definedName>
    <definedName name="expatsalinc">[9]Sheet1!$C$7</definedName>
    <definedName name="expatsttasal">[9]Sheet1!$C$29</definedName>
    <definedName name="FB" localSheetId="0">#REF!</definedName>
    <definedName name="FB">#REF!</definedName>
    <definedName name="FB_T">#REF!</definedName>
    <definedName name="FCCM_GA">#REF!</definedName>
    <definedName name="FCCM_lab">#REF!</definedName>
    <definedName name="FCCM_MSE">#REF!</definedName>
    <definedName name="FCCM_Office">#REF!</definedName>
    <definedName name="FCCM_OfficeOther">#REF!</definedName>
    <definedName name="FDRs">#REF!</definedName>
    <definedName name="FEDEX">#REF!</definedName>
    <definedName name="FEE">#N/A</definedName>
    <definedName name="Firms">#REF!</definedName>
    <definedName name="Fixed_Fee">#REF!</definedName>
    <definedName name="FM">#REF!</definedName>
    <definedName name="FMI">#N/A</definedName>
    <definedName name="foreigntransferallow1">'[8]Input Tab'!$F$27</definedName>
    <definedName name="foreigntransferallow2">'[8]Input Tab'!$G$27</definedName>
    <definedName name="foreigntransferallow3">'[8]Input Tab'!$H$27</definedName>
    <definedName name="foreigntransferallow4">'[8]Input Tab'!#REF!</definedName>
    <definedName name="foreigntransferallow5">'[8]Input Tab'!#REF!</definedName>
    <definedName name="ForeignTransferAllowance">'[16]Range Page'!$A$16</definedName>
    <definedName name="FPMSA">#N/A</definedName>
    <definedName name="fringe">0.405</definedName>
    <definedName name="fringedir">[4]Parameters!$B$488</definedName>
    <definedName name="FTE_All" localSheetId="0">#REF!</definedName>
    <definedName name="FTE_All">#REF!</definedName>
    <definedName name="FTE_M">#REF!</definedName>
    <definedName name="FTE_Y">#REF!</definedName>
    <definedName name="FTE_Year1">#REF!</definedName>
    <definedName name="FTE_Year2">#REF!</definedName>
    <definedName name="FTE_Year3">#REF!</definedName>
    <definedName name="FTE_Year4">#REF!</definedName>
    <definedName name="FTE_Year5">#REF!</definedName>
    <definedName name="Full_time_Regular_Query">#REF!</definedName>
    <definedName name="G">#REF!</definedName>
    <definedName name="ga">0.091</definedName>
    <definedName name="ganda">'[8]Input Tab'!$A$17</definedName>
    <definedName name="GandA_by_firm" localSheetId="0">#REF!</definedName>
    <definedName name="GandA_by_firm">#REF!</definedName>
    <definedName name="GBP">[18]Summary!$G$16</definedName>
    <definedName name="GM" localSheetId="0">#REF!</definedName>
    <definedName name="GM">#REF!</definedName>
    <definedName name="Grand_Total" localSheetId="0">'[19]Schedule Items-Labor'!#REF!</definedName>
    <definedName name="Grand_Total">'[19]Schedule Items-Labor'!#REF!</definedName>
    <definedName name="grantfee">0.02</definedName>
    <definedName name="GRP">#REF!</definedName>
    <definedName name="guard">[9]Sheet1!$C$46</definedName>
    <definedName name="heading">#N/A</definedName>
    <definedName name="hhehandling">[9]Sheet1!$C$40</definedName>
    <definedName name="hheorigin">[9]Sheet1!$C$39</definedName>
    <definedName name="hheshipment">[9]Sheet1!$C$37</definedName>
    <definedName name="hhestorage">[9]Sheet1!$C$38</definedName>
    <definedName name="HIID1">#N/A</definedName>
    <definedName name="HIID4">#N/A</definedName>
    <definedName name="HISTORY">#REF!</definedName>
    <definedName name="ho">[4]Parameters!$A$431</definedName>
    <definedName name="homeleave1">'[8]Input Tab'!$F$20</definedName>
    <definedName name="homeleave2">'[8]Input Tab'!$G$20</definedName>
    <definedName name="homeleave3">'[8]Input Tab'!$H$20</definedName>
    <definedName name="homeleave4">'[8]Input Tab'!#REF!</definedName>
    <definedName name="homeleave5">'[8]Input Tab'!#REF!</definedName>
    <definedName name="hos10co">[4]Parameters!$G$442</definedName>
    <definedName name="hos10name">[4]Parameters!$C$442</definedName>
    <definedName name="hos10sal1">[4]Parameters!$E$442</definedName>
    <definedName name="hos1co">[4]Parameters!$G$433</definedName>
    <definedName name="hos1name">[4]Parameters!$C$433</definedName>
    <definedName name="hos1sal1">[4]Parameters!$E$433</definedName>
    <definedName name="hos2co">[4]Parameters!$G$434</definedName>
    <definedName name="hos2name">[4]Parameters!$C$434</definedName>
    <definedName name="hos2sal1">[4]Parameters!$E$434</definedName>
    <definedName name="hos3co">[4]Parameters!$G$435</definedName>
    <definedName name="hos3name">[4]Parameters!$C$435</definedName>
    <definedName name="hos3sal1">[4]Parameters!$E$435</definedName>
    <definedName name="hos4co">[4]Parameters!$G$436</definedName>
    <definedName name="hos4name">[4]Parameters!$C$436</definedName>
    <definedName name="hos4sal1">[4]Parameters!$E$436</definedName>
    <definedName name="hos5co">[4]Parameters!$G$437</definedName>
    <definedName name="hos5name">[4]Parameters!$C$437</definedName>
    <definedName name="hos5sal1">[4]Parameters!$E$437</definedName>
    <definedName name="hos6co">[4]Parameters!$G$438</definedName>
    <definedName name="hos6name">[4]Parameters!$C$438</definedName>
    <definedName name="hos6sal1">[4]Parameters!$E$438</definedName>
    <definedName name="hos7co">[4]Parameters!$G$439</definedName>
    <definedName name="hos7name">[4]Parameters!$C$439</definedName>
    <definedName name="hos7sal1">[4]Parameters!$E$439</definedName>
    <definedName name="hos8co">[4]Parameters!$G$440</definedName>
    <definedName name="hos8name">[4]Parameters!$C$440</definedName>
    <definedName name="hos8sal1">[4]Parameters!$E$440</definedName>
    <definedName name="hos9co">[4]Parameters!$G$441</definedName>
    <definedName name="hos9name">[4]Parameters!$C$441</definedName>
    <definedName name="hos9sal1">[4]Parameters!$E$441</definedName>
    <definedName name="hosco11">[4]Parameters!$G$443</definedName>
    <definedName name="hosco12">[4]Parameters!$G$444</definedName>
    <definedName name="hosco13">[4]Parameters!$G$445</definedName>
    <definedName name="hosco14">[4]Parameters!$G$446</definedName>
    <definedName name="hosco15">[4]Parameters!$G$447</definedName>
    <definedName name="hosco16">[4]Parameters!$G$448</definedName>
    <definedName name="hosco17">[4]Parameters!$G$449</definedName>
    <definedName name="hosco18">[4]Parameters!$G$450</definedName>
    <definedName name="hosco19">[4]Parameters!$G$451</definedName>
    <definedName name="hosco20">[4]Parameters!$G$452</definedName>
    <definedName name="hosco21">[4]Parameters!$G$453</definedName>
    <definedName name="hosjob1">[4]Parameters!$I$433</definedName>
    <definedName name="hosjob10">[4]Parameters!$I$442</definedName>
    <definedName name="hosjob2">[4]Parameters!$I$434</definedName>
    <definedName name="hosjob3">[4]Parameters!$I$435</definedName>
    <definedName name="hosjob4">[4]Parameters!$I$436</definedName>
    <definedName name="hosjob5">[4]Parameters!$I$437</definedName>
    <definedName name="hosjob6">[4]Parameters!$I$438</definedName>
    <definedName name="hosjob7">[4]Parameters!$I$439</definedName>
    <definedName name="hosjob8">[4]Parameters!$I$440</definedName>
    <definedName name="hosjob9">[4]Parameters!$I$441</definedName>
    <definedName name="hosname11">[4]Parameters!$C$443</definedName>
    <definedName name="hosname12">[4]Parameters!$C$444</definedName>
    <definedName name="hosname13">[4]Parameters!$C$445</definedName>
    <definedName name="hosname14">[4]Parameters!$C$446</definedName>
    <definedName name="hosname15">[4]Parameters!$C$447</definedName>
    <definedName name="hosname16">[4]Parameters!$C$448</definedName>
    <definedName name="hosname17">[4]Parameters!$C$449</definedName>
    <definedName name="hosname18">[4]Parameters!$C$450</definedName>
    <definedName name="hosname19">[4]Parameters!$C$451</definedName>
    <definedName name="hosname20">[4]Parameters!$C$452</definedName>
    <definedName name="hosname21">[4]Parameters!$C$453</definedName>
    <definedName name="hossal11">[4]Parameters!$E$443</definedName>
    <definedName name="hossal12">[4]Parameters!$E$444</definedName>
    <definedName name="hossal13">[4]Parameters!$E$445</definedName>
    <definedName name="hossal14">[4]Parameters!$E$446</definedName>
    <definedName name="hossal15">[4]Parameters!$E$447</definedName>
    <definedName name="hossal16">[4]Parameters!$E$448</definedName>
    <definedName name="hossal17">[4]Parameters!$E$449</definedName>
    <definedName name="hossal18">[4]Parameters!$E$450</definedName>
    <definedName name="hossal19">[4]Parameters!$E$451</definedName>
    <definedName name="hossal20">[4]Parameters!$E$452</definedName>
    <definedName name="hossal21">[4]Parameters!$E$453</definedName>
    <definedName name="hours_m">166.67</definedName>
    <definedName name="hours_y">1833</definedName>
    <definedName name="housing1">'[8]Input Tab'!$F$15</definedName>
    <definedName name="housing2">'[8]Input Tab'!$G$15</definedName>
    <definedName name="housing3">'[8]Input Tab'!$H$15</definedName>
    <definedName name="housing4">'[8]Input Tab'!#REF!</definedName>
    <definedName name="housing5">'[8]Input Tab'!#REF!</definedName>
    <definedName name="HQ_Fringe" localSheetId="0">#REF!</definedName>
    <definedName name="HQ_Fringe">#REF!</definedName>
    <definedName name="iff">0.0075</definedName>
    <definedName name="IMCC">#N/A</definedName>
    <definedName name="Indirect1">#REF!</definedName>
    <definedName name="indirect2">'[20]Input Tab'!$A$16</definedName>
    <definedName name="indirect3">'[20]Input Tab'!$A$17</definedName>
    <definedName name="inf" localSheetId="0">#REF!</definedName>
    <definedName name="inf" localSheetId="1">#REF!</definedName>
    <definedName name="inf">#REF!</definedName>
    <definedName name="Infl">[7]Parameters!$B$11</definedName>
    <definedName name="INFLATE">[5]RATES!#REF!</definedName>
    <definedName name="Inflation" localSheetId="0">#REF!</definedName>
    <definedName name="Inflation">#REF!</definedName>
    <definedName name="Inflation_factor_year_2">'[21]Budget Line Item'!$E$3</definedName>
    <definedName name="Inflation_factor_year_3">'[21]Budget Line Item'!$E$4</definedName>
    <definedName name="Inflation_factor_year_4">'[21]Budget Line Item'!$E$5</definedName>
    <definedName name="Inflation_factor_year_5">'[21]Budget Line Item'!$E$6</definedName>
    <definedName name="Insti11">[5]RATES!#REF!</definedName>
    <definedName name="Insti12">[5]RATES!#REF!</definedName>
    <definedName name="Insti13">[5]RATES!#REF!</definedName>
    <definedName name="Insti41">[5]RATES!#REF!</definedName>
    <definedName name="Insti42">[5]RATES!#REF!</definedName>
    <definedName name="Insti43">[5]RATES!#REF!</definedName>
    <definedName name="Insti51">[5]RATES!#REF!</definedName>
    <definedName name="Insti52">[5]RATES!#REF!</definedName>
    <definedName name="Insti53">[5]RATES!#REF!</definedName>
    <definedName name="interface_designer" localSheetId="0">#REF!</definedName>
    <definedName name="interface_designer">#REF!</definedName>
    <definedName name="INTERMIT">#N/A</definedName>
    <definedName name="intlfringe">'[8]Input Tab'!$A$19</definedName>
    <definedName name="intRt" localSheetId="0">#REF!</definedName>
    <definedName name="intRt">#REF!</definedName>
    <definedName name="INVperc">#REF!</definedName>
    <definedName name="isp_hardware_purchase">#REF!</definedName>
    <definedName name="ISTI1">#N/A</definedName>
    <definedName name="ISTI4">#N/A</definedName>
    <definedName name="IT">#REF!</definedName>
    <definedName name="ITE_Client">#REF!</definedName>
    <definedName name="ITE_Int">#REF!</definedName>
    <definedName name="ITE_lab">#REF!</definedName>
    <definedName name="ITE_Off">#REF!</definedName>
    <definedName name="ITE_OffOther">#REF!</definedName>
    <definedName name="ITE_on">#REF!</definedName>
    <definedName name="ITE_OnOther">#REF!</definedName>
    <definedName name="JEA_Country">#REF!</definedName>
    <definedName name="JEA_Year1">#REF!</definedName>
    <definedName name="Labor">'[22]DAI Budget '!$A$12:$Y$63</definedName>
    <definedName name="Labor_Categories" localSheetId="0">#REF!</definedName>
    <definedName name="Labor_Categories">#REF!</definedName>
    <definedName name="Labor_categories_and_levels">'[23]AMAP-MF'!$K$9:$K$33</definedName>
    <definedName name="Labor_category_and_level">'[24]AMAP-MF'!#REF!</definedName>
    <definedName name="Labor_Escalation" localSheetId="0">#REF!</definedName>
    <definedName name="Labor_Escalation">#REF!</definedName>
    <definedName name="Labor_Escalation_DPK">[25]Assumptions!$B$9</definedName>
    <definedName name="LABOR1">#N/A</definedName>
    <definedName name="LABOR2">#N/A</definedName>
    <definedName name="LBI">[12]Assumptions!$H$13</definedName>
    <definedName name="Local_Fringe" localSheetId="0">#REF!</definedName>
    <definedName name="Local_Fringe">#REF!</definedName>
    <definedName name="localfringe">'[8]Input Tab'!$A$23</definedName>
    <definedName name="localinflation_yr2">'[8]Input Tab'!$A$38</definedName>
    <definedName name="localinflation_yr3">'[8]Input Tab'!$A$39</definedName>
    <definedName name="localinflation_yr4">'[8]Input Tab'!$A$40</definedName>
    <definedName name="localnonlaborinflation_yr2">'[8]Input Tab'!$A$48</definedName>
    <definedName name="localnonlaborinflation_yr3">'[8]Input Tab'!$A$49</definedName>
    <definedName name="localnonlaborinflation_yr4">'[8]Input Tab'!$A$50</definedName>
    <definedName name="localperdiem">[12]Assumptions!$B$40:$F$42</definedName>
    <definedName name="localsalinc">[9]Sheet1!$C$9</definedName>
    <definedName name="localtravel">[12]Assumptions!$G$36:$J$46</definedName>
    <definedName name="localtripfactor">[9]Sheet1!$C$20</definedName>
    <definedName name="LOE">#N/A</definedName>
    <definedName name="lqa">[9]Sheet1!$C$45</definedName>
    <definedName name="LQA2wf">[7]Parameters!$B$15</definedName>
    <definedName name="ltlp">[4]Parameters!$A$128</definedName>
    <definedName name="ltlp1">[4]Parameters!$A$130</definedName>
    <definedName name="ltlp10">[4]Parameters!$A$139</definedName>
    <definedName name="ltlp10co">[4]Parameters!$G$139</definedName>
    <definedName name="ltlp10name">[4]Parameters!$C$139</definedName>
    <definedName name="ltlp10sal1">[4]Parameters!$E$139</definedName>
    <definedName name="ltlp11">[4]Parameters!$A$140</definedName>
    <definedName name="ltlp11co">[4]Parameters!$G$140</definedName>
    <definedName name="ltlp11name">[4]Parameters!$C$140</definedName>
    <definedName name="ltlp11sal1">[4]Parameters!$E$140</definedName>
    <definedName name="ltlp12">[4]Parameters!$A$141</definedName>
    <definedName name="ltlp12co">[4]Parameters!$G$141</definedName>
    <definedName name="ltlp12name">[4]Parameters!$C$141</definedName>
    <definedName name="ltlp12sal1">[4]Parameters!$E$141</definedName>
    <definedName name="ltlp13">[4]Parameters!$A$142</definedName>
    <definedName name="ltlp13co">[4]Parameters!$G$142</definedName>
    <definedName name="ltlp13name">[4]Parameters!$C$142</definedName>
    <definedName name="ltlp13sal1">[4]Parameters!$E$142</definedName>
    <definedName name="ltlp14">[4]Parameters!$A$143</definedName>
    <definedName name="ltlp14co">[4]Parameters!$G$143</definedName>
    <definedName name="ltlp14name">[4]Parameters!$C$143</definedName>
    <definedName name="ltlp14sal1">[4]Parameters!$E$143</definedName>
    <definedName name="ltlp15">[4]Parameters!$A$144</definedName>
    <definedName name="ltlp15co">[4]Parameters!$G$144</definedName>
    <definedName name="ltlp15name">[4]Parameters!$C$144</definedName>
    <definedName name="ltlp15sal1">[4]Parameters!$E$144</definedName>
    <definedName name="ltlp16">[4]Parameters!$A$145</definedName>
    <definedName name="ltlp16co">[4]Parameters!$G$145</definedName>
    <definedName name="ltlp16name">[4]Parameters!$C$145</definedName>
    <definedName name="ltlp16sal1">[4]Parameters!$E$145</definedName>
    <definedName name="ltlp17">[4]Parameters!$A$146</definedName>
    <definedName name="ltlp17co">[4]Parameters!$G$146</definedName>
    <definedName name="ltlp17name">[4]Parameters!$C$146</definedName>
    <definedName name="ltlp17sal1">[4]Parameters!$E$146</definedName>
    <definedName name="ltlp18">[4]Parameters!$A$147</definedName>
    <definedName name="ltlp18co">[4]Parameters!$G$147</definedName>
    <definedName name="ltlp18name">[4]Parameters!$C$147</definedName>
    <definedName name="ltlp18sal1">[4]Parameters!$E$147</definedName>
    <definedName name="ltlp19">[4]Parameters!$A$148</definedName>
    <definedName name="ltlp19co">[4]Parameters!$G$148</definedName>
    <definedName name="ltlp19name">[4]Parameters!$C$148</definedName>
    <definedName name="ltlp19sal1">[4]Parameters!$E$148</definedName>
    <definedName name="ltlp1co">[4]Parameters!$G$130</definedName>
    <definedName name="ltlp1name">[4]Parameters!$C$130</definedName>
    <definedName name="ltlp1sal1">[4]Parameters!$E$130</definedName>
    <definedName name="ltlp2">[4]Parameters!$A$131</definedName>
    <definedName name="ltlp20">[4]Parameters!$A$149</definedName>
    <definedName name="ltlp20co">[4]Parameters!$G$149</definedName>
    <definedName name="ltlp20name">[4]Parameters!$C$149</definedName>
    <definedName name="ltlp20sal1">[4]Parameters!$E$149</definedName>
    <definedName name="ltlp21">[4]Parameters!$A$150</definedName>
    <definedName name="ltlp21co">[4]Parameters!$G$150</definedName>
    <definedName name="ltlp21name">[4]Parameters!$C$150</definedName>
    <definedName name="ltlp21sal1">[4]Parameters!$E$150</definedName>
    <definedName name="ltlp22">[4]Parameters!$A$151</definedName>
    <definedName name="ltlp22co">[4]Parameters!$G$151</definedName>
    <definedName name="ltlp22name">[4]Parameters!$C$151</definedName>
    <definedName name="ltlp22sal1">[4]Parameters!$E$151</definedName>
    <definedName name="ltlp23">[4]Parameters!$A$152</definedName>
    <definedName name="ltlp23co">[4]Parameters!$G$152</definedName>
    <definedName name="ltlp23name">[4]Parameters!$C$152</definedName>
    <definedName name="ltlp23sal1">[4]Parameters!$E$152</definedName>
    <definedName name="ltlp24">[4]Parameters!$A$153</definedName>
    <definedName name="ltlp24co">[4]Parameters!$G$153</definedName>
    <definedName name="ltlp24name">[4]Parameters!$C$153</definedName>
    <definedName name="ltlp24sal1">[4]Parameters!$E$153</definedName>
    <definedName name="ltlp25">[4]Parameters!$A$154</definedName>
    <definedName name="ltlp26">[4]Parameters!$A$155</definedName>
    <definedName name="ltlp27">[4]Parameters!$A$156</definedName>
    <definedName name="ltlp28">[4]Parameters!$A$157</definedName>
    <definedName name="ltlp29">[4]Parameters!$A$158</definedName>
    <definedName name="ltlp2co">[4]Parameters!$G$131</definedName>
    <definedName name="ltlp2name">[4]Parameters!$C$131</definedName>
    <definedName name="ltlp2sal1">[4]Parameters!$E$131</definedName>
    <definedName name="ltlp3">[4]Parameters!$A$132</definedName>
    <definedName name="ltlp30">[4]Parameters!$A$159</definedName>
    <definedName name="ltlp31">[4]Parameters!$A$160</definedName>
    <definedName name="ltlp32">[4]Parameters!$A$161</definedName>
    <definedName name="ltlp33">[4]Parameters!$A$162</definedName>
    <definedName name="ltlp34">[4]Parameters!$A$163</definedName>
    <definedName name="ltlp35">[4]Parameters!$A$164</definedName>
    <definedName name="ltlp36">[4]Parameters!$A$165</definedName>
    <definedName name="ltlp37">[4]Parameters!$A$166</definedName>
    <definedName name="ltlp38">[4]Parameters!$A$167</definedName>
    <definedName name="ltlp39">[4]Parameters!$A$168</definedName>
    <definedName name="ltlp3co">[4]Parameters!$G$132</definedName>
    <definedName name="ltlp3name">[4]Parameters!$C$132</definedName>
    <definedName name="ltlp3sal1">[4]Parameters!$E$132</definedName>
    <definedName name="ltlp4">[4]Parameters!$A$133</definedName>
    <definedName name="ltlp40">[4]Parameters!$A$169</definedName>
    <definedName name="ltlp41">[4]Parameters!$A$170</definedName>
    <definedName name="ltlp42">[4]Parameters!$A$171</definedName>
    <definedName name="ltlp43">[4]Parameters!$A$172</definedName>
    <definedName name="ltlp44">[4]Parameters!$A$173</definedName>
    <definedName name="ltlp45">[4]Parameters!$A$174</definedName>
    <definedName name="ltlp46">[4]Parameters!$A$175</definedName>
    <definedName name="ltlp47">[4]Parameters!$A$176</definedName>
    <definedName name="ltlp48">[4]Parameters!$A$177</definedName>
    <definedName name="ltlp49">[4]Parameters!$A$178</definedName>
    <definedName name="ltlp4co">[4]Parameters!$G$133</definedName>
    <definedName name="ltlp4name">[4]Parameters!$C$133</definedName>
    <definedName name="ltlp4sal1">[4]Parameters!$E$133</definedName>
    <definedName name="ltlp5">[4]Parameters!$A$134</definedName>
    <definedName name="ltlp50">[4]Parameters!$A$179</definedName>
    <definedName name="ltlp51">[4]Parameters!$A$180</definedName>
    <definedName name="ltlp52">[4]Parameters!$A$181</definedName>
    <definedName name="ltlp53">[4]Parameters!$A$182</definedName>
    <definedName name="ltlp54">[4]Parameters!$A$183</definedName>
    <definedName name="ltlp55">[4]Parameters!$A$184</definedName>
    <definedName name="ltlp56">[4]Parameters!$A$185</definedName>
    <definedName name="ltlp57">[4]Parameters!$A$186</definedName>
    <definedName name="ltlp58">[4]Parameters!$A$187</definedName>
    <definedName name="ltlp59">[4]Parameters!$A$188</definedName>
    <definedName name="ltlp5co">[4]Parameters!$G$134</definedName>
    <definedName name="ltlp5name">[4]Parameters!$C$134</definedName>
    <definedName name="ltlp5sal1">[4]Parameters!$E$134</definedName>
    <definedName name="ltlp6">[4]Parameters!$A$135</definedName>
    <definedName name="ltlp60">[4]Parameters!$A$189</definedName>
    <definedName name="ltlp61">[4]Parameters!$A$190</definedName>
    <definedName name="ltlp62">[4]Parameters!$A$191</definedName>
    <definedName name="ltlp63">[4]Parameters!$A$192</definedName>
    <definedName name="ltlp64">[4]Parameters!$A$193</definedName>
    <definedName name="ltlp65">[4]Parameters!$A$194</definedName>
    <definedName name="ltlp66">[4]Parameters!$A$195</definedName>
    <definedName name="ltlp67">[4]Parameters!$A$196</definedName>
    <definedName name="ltlp68">[4]Parameters!$A$197</definedName>
    <definedName name="ltlp69">[4]Parameters!$A$198</definedName>
    <definedName name="ltlp6co">[4]Parameters!$G$135</definedName>
    <definedName name="ltlp6name">[4]Parameters!$C$135</definedName>
    <definedName name="ltlp6sal1">[4]Parameters!$E$135</definedName>
    <definedName name="ltlp7">[4]Parameters!$A$136</definedName>
    <definedName name="ltlp70">[4]Parameters!$A$199</definedName>
    <definedName name="ltlp71">[4]Parameters!$A$200</definedName>
    <definedName name="ltlp72">[4]Parameters!$A$201</definedName>
    <definedName name="ltlp73">[4]Parameters!$A$202</definedName>
    <definedName name="ltlp74">[4]Parameters!$A$203</definedName>
    <definedName name="ltlp75">[4]Parameters!$A$204</definedName>
    <definedName name="ltlp76">[4]Parameters!$A$205</definedName>
    <definedName name="ltlp7co">[4]Parameters!$G$136</definedName>
    <definedName name="ltlp7name">[4]Parameters!$C$136</definedName>
    <definedName name="ltlp7sal1">[4]Parameters!$E$136</definedName>
    <definedName name="ltlp8">[4]Parameters!$A$137</definedName>
    <definedName name="ltlp8co">[4]Parameters!$G$137</definedName>
    <definedName name="ltlp8name">[4]Parameters!$C$137</definedName>
    <definedName name="ltlp8sal1">[4]Parameters!$E$137</definedName>
    <definedName name="ltlp9">[4]Parameters!$A$138</definedName>
    <definedName name="ltlp9co">[4]Parameters!$G$138</definedName>
    <definedName name="ltlp9name">[4]Parameters!$C$138</definedName>
    <definedName name="ltlp9sal1">[4]Parameters!$E$138</definedName>
    <definedName name="ltlpco25">[4]Parameters!$G$154</definedName>
    <definedName name="ltlpco26">[4]Parameters!$G$155</definedName>
    <definedName name="ltlpco27">[4]Parameters!$G$156</definedName>
    <definedName name="ltlpco28">[4]Parameters!$G$157</definedName>
    <definedName name="ltlpco29">[4]Parameters!$G$158</definedName>
    <definedName name="ltlpco30">[4]Parameters!$G$159</definedName>
    <definedName name="ltlpco31">[4]Parameters!$G$160</definedName>
    <definedName name="ltlpco32">[4]Parameters!$G$161</definedName>
    <definedName name="ltlpco33">[4]Parameters!$G$162</definedName>
    <definedName name="ltlpco34">[4]Parameters!$G$163</definedName>
    <definedName name="ltlpco35">[4]Parameters!$G$164</definedName>
    <definedName name="ltlpco36">[4]Parameters!$G$165</definedName>
    <definedName name="ltlpco37">[4]Parameters!$G$166</definedName>
    <definedName name="ltlpco38">[4]Parameters!$G$167</definedName>
    <definedName name="ltlpco39">[4]Parameters!$G$168</definedName>
    <definedName name="ltlpco40">[4]Parameters!$G$169</definedName>
    <definedName name="ltlpco41">[4]Parameters!$G$170</definedName>
    <definedName name="ltlpco42">[4]Parameters!$G$171</definedName>
    <definedName name="ltlpco43">[4]Parameters!$G$172</definedName>
    <definedName name="ltlpco44">[4]Parameters!$G$173</definedName>
    <definedName name="ltlpco45">[4]Parameters!$G$174</definedName>
    <definedName name="ltlpco46">[4]Parameters!$G$175</definedName>
    <definedName name="ltlpco47">[4]Parameters!$G$176</definedName>
    <definedName name="ltlpco48">[4]Parameters!$G$177</definedName>
    <definedName name="ltlpco49">[4]Parameters!$G$178</definedName>
    <definedName name="ltlpco50">[4]Parameters!$G$179</definedName>
    <definedName name="ltlpco51">[4]Parameters!$G$180</definedName>
    <definedName name="ltlpco52">[4]Parameters!$G$181</definedName>
    <definedName name="ltlpco53">[4]Parameters!$G$182</definedName>
    <definedName name="ltlpco54">[4]Parameters!$G$183</definedName>
    <definedName name="ltlpco55">[4]Parameters!$G$184</definedName>
    <definedName name="ltlpco56">[4]Parameters!$G$185</definedName>
    <definedName name="ltlpco57">[4]Parameters!$G$186</definedName>
    <definedName name="ltlpco58">[4]Parameters!$G$187</definedName>
    <definedName name="ltlpco59">[4]Parameters!$G$188</definedName>
    <definedName name="ltlpco60">[4]Parameters!$G$189</definedName>
    <definedName name="ltlpco61">[4]Parameters!$G$190</definedName>
    <definedName name="ltlpco62">[4]Parameters!$G$191</definedName>
    <definedName name="ltlpco63">[4]Parameters!$G$192</definedName>
    <definedName name="ltlpco64">[4]Parameters!$G$193</definedName>
    <definedName name="ltlpco65">[4]Parameters!$G$194</definedName>
    <definedName name="ltlpco66">[4]Parameters!$G$195</definedName>
    <definedName name="ltlpco67">[4]Parameters!$G$196</definedName>
    <definedName name="ltlpco68">[4]Parameters!$G$197</definedName>
    <definedName name="ltlpco69">[4]Parameters!$G$198</definedName>
    <definedName name="ltlpco70">[4]Parameters!$G$199</definedName>
    <definedName name="ltlpco71">[4]Parameters!$G$200</definedName>
    <definedName name="ltlpco72">[4]Parameters!$G$201</definedName>
    <definedName name="ltlpco73">[4]Parameters!$G$202</definedName>
    <definedName name="ltlpco74">[4]Parameters!$G$203</definedName>
    <definedName name="ltlpco75">[4]Parameters!$G$204</definedName>
    <definedName name="ltlpjob1">[4]Parameters!$I$130</definedName>
    <definedName name="ltlpjob10">[4]Parameters!$I$139</definedName>
    <definedName name="ltlpjob11">[4]Parameters!$I$140</definedName>
    <definedName name="ltlpjob12">[4]Parameters!$I$141</definedName>
    <definedName name="ltlpjob13">[4]Parameters!$I$142</definedName>
    <definedName name="ltlpjob14">[4]Parameters!$I$143</definedName>
    <definedName name="ltlpjob15">[4]Parameters!$I$144</definedName>
    <definedName name="ltlpjob16">[4]Parameters!$I$145</definedName>
    <definedName name="ltlpjob17">[4]Parameters!$I$146</definedName>
    <definedName name="ltlpjob18">[4]Parameters!$I$147</definedName>
    <definedName name="ltlpjob19">[4]Parameters!$I$148</definedName>
    <definedName name="ltlpjob2">[4]Parameters!$I$131</definedName>
    <definedName name="ltlpjob20">[4]Parameters!$I$149</definedName>
    <definedName name="ltlpjob21">[4]Parameters!$I$150</definedName>
    <definedName name="ltlpjob22">[4]Parameters!$I$151</definedName>
    <definedName name="ltlpjob23">[4]Parameters!$I$152</definedName>
    <definedName name="ltlpjob24">[4]Parameters!$I$153</definedName>
    <definedName name="ltlpjob25">[4]Parameters!$I$154</definedName>
    <definedName name="ltlpjob26">[4]Parameters!$I$155</definedName>
    <definedName name="ltlpjob27">[4]Parameters!$I$156</definedName>
    <definedName name="ltlpjob28">[4]Parameters!$I$157</definedName>
    <definedName name="ltlpjob29">[4]Parameters!$I$158</definedName>
    <definedName name="ltlpjob3">[4]Parameters!$I$132</definedName>
    <definedName name="ltlpjob30">[4]Parameters!$I$159</definedName>
    <definedName name="ltlpjob31">[4]Parameters!$I$160</definedName>
    <definedName name="ltlpjob32">[4]Parameters!$I$161</definedName>
    <definedName name="ltlpjob33">[4]Parameters!$I$162</definedName>
    <definedName name="ltlpjob34">[4]Parameters!$I$163</definedName>
    <definedName name="ltlpjob35">[4]Parameters!$I$164</definedName>
    <definedName name="ltlpjob36">[4]Parameters!$I$165</definedName>
    <definedName name="ltlpjob37">[4]Parameters!$I$166</definedName>
    <definedName name="ltlpjob38">[4]Parameters!$I$167</definedName>
    <definedName name="ltlpjob39">[4]Parameters!$I$168</definedName>
    <definedName name="ltlpjob4">[4]Parameters!$I$133</definedName>
    <definedName name="ltlpjob40">[4]Parameters!$I$169</definedName>
    <definedName name="ltlpjob41">[4]Parameters!$I$170</definedName>
    <definedName name="ltlpjob42">[4]Parameters!$I$171</definedName>
    <definedName name="ltlpjob43">[4]Parameters!$I$172</definedName>
    <definedName name="ltlpjob44">[4]Parameters!$I$173</definedName>
    <definedName name="ltlpjob45">[4]Parameters!$I$174</definedName>
    <definedName name="ltlpjob46">[4]Parameters!$I$175</definedName>
    <definedName name="ltlpjob47">[4]Parameters!$I$176</definedName>
    <definedName name="ltlpjob48">[4]Parameters!$I$177</definedName>
    <definedName name="ltlpjob49">[4]Parameters!$I$178</definedName>
    <definedName name="ltlpjob5">[4]Parameters!$I$134</definedName>
    <definedName name="ltlpjob50">[4]Parameters!$I$179</definedName>
    <definedName name="ltlpjob51">[4]Parameters!$I$180</definedName>
    <definedName name="ltlpjob52">[4]Parameters!$I$181</definedName>
    <definedName name="ltlpjob53">[4]Parameters!$I$182</definedName>
    <definedName name="ltlpjob54">[4]Parameters!$I$183</definedName>
    <definedName name="ltlpjob55">[4]Parameters!$I$184</definedName>
    <definedName name="ltlpjob56">[4]Parameters!$I$185</definedName>
    <definedName name="ltlpjob57">[4]Parameters!$I$186</definedName>
    <definedName name="ltlpjob58">[4]Parameters!$I$187</definedName>
    <definedName name="ltlpjob59">[4]Parameters!$I$188</definedName>
    <definedName name="ltlpjob6">[4]Parameters!$I$135</definedName>
    <definedName name="ltlpjob60">[4]Parameters!$I$189</definedName>
    <definedName name="ltlpjob61">[4]Parameters!$I$190</definedName>
    <definedName name="ltlpjob62">[4]Parameters!$I$191</definedName>
    <definedName name="ltlpjob63">[4]Parameters!$I$192</definedName>
    <definedName name="ltlpjob64">[4]Parameters!$I$193</definedName>
    <definedName name="ltlpjob65">[4]Parameters!$I$194</definedName>
    <definedName name="ltlpjob66">[4]Parameters!$I$195</definedName>
    <definedName name="ltlpjob67">[4]Parameters!$I$196</definedName>
    <definedName name="ltlpjob68">[4]Parameters!$I$197</definedName>
    <definedName name="ltlpjob69">[4]Parameters!$I$198</definedName>
    <definedName name="ltlpjob7">[4]Parameters!$I$136</definedName>
    <definedName name="ltlpjob70">[4]Parameters!$I$199</definedName>
    <definedName name="ltlpjob71">[4]Parameters!$I$200</definedName>
    <definedName name="ltlpjob72">[4]Parameters!$I$201</definedName>
    <definedName name="ltlpjob73">[4]Parameters!$I$202</definedName>
    <definedName name="ltlpjob74">[4]Parameters!$I$203</definedName>
    <definedName name="ltlpjob75">[4]Parameters!$I$204</definedName>
    <definedName name="ltlpjob8">[4]Parameters!$I$137</definedName>
    <definedName name="ltlpjob9">[4]Parameters!$I$138</definedName>
    <definedName name="ltlpname25">[4]Parameters!$C$154</definedName>
    <definedName name="ltlpname26">[4]Parameters!$C$155</definedName>
    <definedName name="ltlpname27">[4]Parameters!$C$156</definedName>
    <definedName name="ltlpname28">[4]Parameters!$C$157</definedName>
    <definedName name="ltlpname29">[4]Parameters!$C$158</definedName>
    <definedName name="ltlpname30">[4]Parameters!$C$159</definedName>
    <definedName name="ltlpname31">[4]Parameters!$C$160</definedName>
    <definedName name="ltlpname32">[4]Parameters!$C$161</definedName>
    <definedName name="ltlpname33">[4]Parameters!$C$162</definedName>
    <definedName name="ltlpname34">[4]Parameters!$C$163</definedName>
    <definedName name="ltlpname35">[4]Parameters!$C$164</definedName>
    <definedName name="ltlpname36">[4]Parameters!$C$165</definedName>
    <definedName name="ltlpname37">[4]Parameters!$C$166</definedName>
    <definedName name="ltlpname38">[4]Parameters!$C$167</definedName>
    <definedName name="ltlpname39">[4]Parameters!$C$168</definedName>
    <definedName name="ltlpname40">[4]Parameters!$C$169</definedName>
    <definedName name="ltlpname41">[4]Parameters!$C$170</definedName>
    <definedName name="ltlpname42">[4]Parameters!$C$171</definedName>
    <definedName name="ltlpname43">[4]Parameters!$C$172</definedName>
    <definedName name="ltlpname44">[4]Parameters!$C$173</definedName>
    <definedName name="ltlpname45">[4]Parameters!$C$174</definedName>
    <definedName name="ltlpname46">[4]Parameters!$C$175</definedName>
    <definedName name="ltlpname47">[4]Parameters!$C$176</definedName>
    <definedName name="ltlpname48">[4]Parameters!$C$177</definedName>
    <definedName name="ltlpname49">[4]Parameters!$C$178</definedName>
    <definedName name="ltlpname50">[4]Parameters!$C$179</definedName>
    <definedName name="ltlpname51">[4]Parameters!$C$180</definedName>
    <definedName name="ltlpname52">[4]Parameters!$C$181</definedName>
    <definedName name="ltlpname53">[4]Parameters!$C$182</definedName>
    <definedName name="ltlpname54">[4]Parameters!$C$183</definedName>
    <definedName name="ltlpname55">[4]Parameters!$C$184</definedName>
    <definedName name="ltlpname56">[4]Parameters!$C$185</definedName>
    <definedName name="ltlpname57">[4]Parameters!$C$186</definedName>
    <definedName name="ltlpname58">[4]Parameters!$C$187</definedName>
    <definedName name="ltlpname59">[4]Parameters!$C$188</definedName>
    <definedName name="ltlpname60">[4]Parameters!$C$189</definedName>
    <definedName name="ltlpname61">[4]Parameters!$C$190</definedName>
    <definedName name="ltlpname62">[4]Parameters!$C$191</definedName>
    <definedName name="ltlpname63">[4]Parameters!$C$192</definedName>
    <definedName name="ltlpname64">[4]Parameters!$C$193</definedName>
    <definedName name="ltlpname65">[4]Parameters!$C$194</definedName>
    <definedName name="ltlpname66">[4]Parameters!$C$195</definedName>
    <definedName name="ltlpname67">[4]Parameters!$C$196</definedName>
    <definedName name="ltlpname68">[4]Parameters!$C$197</definedName>
    <definedName name="ltlpname69">[4]Parameters!$C$198</definedName>
    <definedName name="ltlpname70">[4]Parameters!$C$199</definedName>
    <definedName name="ltlpname71">[4]Parameters!$C$200</definedName>
    <definedName name="ltlpname72">[4]Parameters!$C$201</definedName>
    <definedName name="ltlpname73">[4]Parameters!$C$202</definedName>
    <definedName name="ltlpname74">[4]Parameters!$C$203</definedName>
    <definedName name="ltlpname75">[4]Parameters!$C$204</definedName>
    <definedName name="ltlpsal25">[4]Parameters!$E$154</definedName>
    <definedName name="ltlpsal26">[4]Parameters!$E$155</definedName>
    <definedName name="ltlpsal27">[4]Parameters!$E$156</definedName>
    <definedName name="ltlpsal28">[4]Parameters!$E$157</definedName>
    <definedName name="ltlpsal29">[4]Parameters!$E$158</definedName>
    <definedName name="ltlpsal30">[4]Parameters!$E$159</definedName>
    <definedName name="ltlpsal31">[4]Parameters!$E$160</definedName>
    <definedName name="ltlpsal32">[4]Parameters!$E$161</definedName>
    <definedName name="ltlpsal33">[4]Parameters!$E$162</definedName>
    <definedName name="ltlpsal34">[4]Parameters!$E$163</definedName>
    <definedName name="ltlpsal35">[4]Parameters!$E$164</definedName>
    <definedName name="ltlpsal36">[4]Parameters!$E$165</definedName>
    <definedName name="ltlpsal37">[4]Parameters!$E$166</definedName>
    <definedName name="ltlpsal38">[4]Parameters!$E$167</definedName>
    <definedName name="ltlpsal39">[4]Parameters!$E$168</definedName>
    <definedName name="ltlpsal40">[4]Parameters!$E$169</definedName>
    <definedName name="ltlpsal41">[4]Parameters!$E$170</definedName>
    <definedName name="ltlpsal42">[4]Parameters!$E$171</definedName>
    <definedName name="ltlpsal43">[4]Parameters!$E$172</definedName>
    <definedName name="ltlpsal44">[4]Parameters!$E$173</definedName>
    <definedName name="ltlpsal45">[4]Parameters!$E$174</definedName>
    <definedName name="ltlpsal46">[4]Parameters!$E$175</definedName>
    <definedName name="ltlpsal47">[4]Parameters!$E$176</definedName>
    <definedName name="ltlpsal48">[4]Parameters!$E$177</definedName>
    <definedName name="ltlpsal49">[4]Parameters!$E$178</definedName>
    <definedName name="ltlpsal50">[4]Parameters!$E$179</definedName>
    <definedName name="ltlpsal51">[4]Parameters!$E$180</definedName>
    <definedName name="ltlpsal52">[4]Parameters!$E$181</definedName>
    <definedName name="ltlpsal53">[4]Parameters!$E$182</definedName>
    <definedName name="ltlpsal54">[4]Parameters!$E$183</definedName>
    <definedName name="ltlpsal55">[4]Parameters!$E$184</definedName>
    <definedName name="ltlpsal56">[4]Parameters!$E$185</definedName>
    <definedName name="ltlpsal57">[4]Parameters!$E$186</definedName>
    <definedName name="ltlpsal58">[4]Parameters!$E$187</definedName>
    <definedName name="ltlpsal59">[4]Parameters!$E$188</definedName>
    <definedName name="ltlpsal60">[4]Parameters!$E$189</definedName>
    <definedName name="ltlpsal61">[4]Parameters!$E$190</definedName>
    <definedName name="ltlpsal62">[4]Parameters!$E$191</definedName>
    <definedName name="ltlpsal63">[4]Parameters!$E$192</definedName>
    <definedName name="ltlpsal64">[4]Parameters!$E$193</definedName>
    <definedName name="ltlpsal65">[4]Parameters!$E$194</definedName>
    <definedName name="ltlpsal66">[4]Parameters!$E$195</definedName>
    <definedName name="ltlpsal67">[4]Parameters!$E$196</definedName>
    <definedName name="ltlpsal68">[4]Parameters!$E$197</definedName>
    <definedName name="ltlpsal69">[4]Parameters!$E$198</definedName>
    <definedName name="ltlpsal70">[4]Parameters!$E$199</definedName>
    <definedName name="ltlpsal71">[4]Parameters!$E$200</definedName>
    <definedName name="ltlpsal72">[4]Parameters!$E$201</definedName>
    <definedName name="ltlpsal73">[4]Parameters!$E$202</definedName>
    <definedName name="ltlpsal74">[4]Parameters!$E$203</definedName>
    <definedName name="ltlpsal75">[4]Parameters!$E$204</definedName>
    <definedName name="ltls">[4]Parameters!$A$376</definedName>
    <definedName name="ltls1">[4]Parameters!$A$378</definedName>
    <definedName name="ltls10">[4]Parameters!$A$387</definedName>
    <definedName name="ltls10co">[4]Parameters!$G$387</definedName>
    <definedName name="ltls10name">[4]Parameters!$C$387</definedName>
    <definedName name="ltls10sal1">[4]Parameters!$E$387</definedName>
    <definedName name="ltls11">[4]Parameters!$A$388</definedName>
    <definedName name="ltls11co">[4]Parameters!$G$388</definedName>
    <definedName name="ltls11name">[4]Parameters!$C$388</definedName>
    <definedName name="ltls11sal1">[4]Parameters!$E$388</definedName>
    <definedName name="ltls12">[4]Parameters!$A$389</definedName>
    <definedName name="ltls12co">[4]Parameters!$G$389</definedName>
    <definedName name="ltls12name">[4]Parameters!$C$389</definedName>
    <definedName name="ltls12sal1">[4]Parameters!$E$389</definedName>
    <definedName name="ltls13">[4]Parameters!$A$390</definedName>
    <definedName name="ltls13co">[4]Parameters!$G$390</definedName>
    <definedName name="ltls13name">[4]Parameters!$C$390</definedName>
    <definedName name="ltls13sal1">[4]Parameters!$E$390</definedName>
    <definedName name="ltls14">[4]Parameters!$A$391</definedName>
    <definedName name="ltls14co">[4]Parameters!$G$391</definedName>
    <definedName name="ltls14name">[4]Parameters!$C$391</definedName>
    <definedName name="ltls14sal1">[4]Parameters!$E$391</definedName>
    <definedName name="ltls15">[4]Parameters!$A$392</definedName>
    <definedName name="ltls16">[4]Parameters!$A$393</definedName>
    <definedName name="ltls17">[4]Parameters!$A$394</definedName>
    <definedName name="ltls18">[4]Parameters!$A$395</definedName>
    <definedName name="ltls19">[4]Parameters!$A$396</definedName>
    <definedName name="ltls1co">[4]Parameters!$G$378</definedName>
    <definedName name="ltls1name">[4]Parameters!$C$378</definedName>
    <definedName name="ltls1sal1">[4]Parameters!$E$378</definedName>
    <definedName name="ltls2">[4]Parameters!$A$379</definedName>
    <definedName name="ltls20">[4]Parameters!$A$397</definedName>
    <definedName name="ltls21">[4]Parameters!$A$398</definedName>
    <definedName name="ltls22">[4]Parameters!$A$399</definedName>
    <definedName name="ltls23">[4]Parameters!$A$400</definedName>
    <definedName name="ltls24">[4]Parameters!$A$401</definedName>
    <definedName name="ltls25">[4]Parameters!$A$402</definedName>
    <definedName name="ltls26">[4]Parameters!$A$403</definedName>
    <definedName name="ltls27">[4]Parameters!$A$404</definedName>
    <definedName name="ltls28">[4]Parameters!$A$405</definedName>
    <definedName name="ltls29">[4]Parameters!$A$406</definedName>
    <definedName name="ltls2co">[4]Parameters!$G$379</definedName>
    <definedName name="ltls2name">[4]Parameters!$C$379</definedName>
    <definedName name="ltls2sal1">[4]Parameters!$E$379</definedName>
    <definedName name="ltls3">[4]Parameters!$A$380</definedName>
    <definedName name="ltls30">[4]Parameters!$A$407</definedName>
    <definedName name="ltls31">[4]Parameters!$A$408</definedName>
    <definedName name="ltls32">[4]Parameters!$A$409</definedName>
    <definedName name="ltls33">[4]Parameters!$A$410</definedName>
    <definedName name="ltls34">[4]Parameters!$A$411</definedName>
    <definedName name="ltls35">[4]Parameters!$A$412</definedName>
    <definedName name="ltls36">[4]Parameters!$A$413</definedName>
    <definedName name="ltls37">[4]Parameters!$A$414</definedName>
    <definedName name="ltls38">[4]Parameters!$A$415</definedName>
    <definedName name="ltls39">[4]Parameters!$A$416</definedName>
    <definedName name="ltls3co">[4]Parameters!$G$380</definedName>
    <definedName name="ltls3name">[4]Parameters!$C$380</definedName>
    <definedName name="ltls3sal1">[4]Parameters!$E$380</definedName>
    <definedName name="ltls4">[4]Parameters!$A$381</definedName>
    <definedName name="ltls40">[4]Parameters!$A$417</definedName>
    <definedName name="ltls41">[4]Parameters!$A$418</definedName>
    <definedName name="ltls42">[4]Parameters!$A$419</definedName>
    <definedName name="ltls43">[4]Parameters!$A$420</definedName>
    <definedName name="ltls44">[4]Parameters!$A$421</definedName>
    <definedName name="ltls45">[4]Parameters!$A$422</definedName>
    <definedName name="ltls46">[4]Parameters!$A$423</definedName>
    <definedName name="ltls47">[4]Parameters!$A$424</definedName>
    <definedName name="ltls48">[4]Parameters!$A$425</definedName>
    <definedName name="ltls49">[4]Parameters!$A$426</definedName>
    <definedName name="ltls4co">[4]Parameters!$G$381</definedName>
    <definedName name="ltls4name">[4]Parameters!$C$381</definedName>
    <definedName name="ltls4sal1">[4]Parameters!$E$381</definedName>
    <definedName name="ltls5">[4]Parameters!$A$382</definedName>
    <definedName name="ltls50">[4]Parameters!$A$427</definedName>
    <definedName name="ltls51">[4]Parameters!$A$428</definedName>
    <definedName name="ltls52">[4]Parameters!$A$429</definedName>
    <definedName name="ltls5co">[4]Parameters!$G$382</definedName>
    <definedName name="ltls5name">[4]Parameters!$C$382</definedName>
    <definedName name="ltls5sal1">[4]Parameters!$E$382</definedName>
    <definedName name="ltls6">[4]Parameters!$A$383</definedName>
    <definedName name="ltls6co">[4]Parameters!$G$383</definedName>
    <definedName name="ltls6name">[4]Parameters!$C$383</definedName>
    <definedName name="ltls6sal1">[4]Parameters!$E$383</definedName>
    <definedName name="ltls7">[4]Parameters!$A$384</definedName>
    <definedName name="ltls7co">[4]Parameters!$G$384</definedName>
    <definedName name="ltls7name">[4]Parameters!$C$384</definedName>
    <definedName name="ltls7sal1">[4]Parameters!$E$384</definedName>
    <definedName name="ltls8">[4]Parameters!$A$385</definedName>
    <definedName name="ltls8co">[4]Parameters!$G$385</definedName>
    <definedName name="ltls8name">[4]Parameters!$C$385</definedName>
    <definedName name="ltls8sal1">[4]Parameters!$E$385</definedName>
    <definedName name="ltls9">[4]Parameters!$A$386</definedName>
    <definedName name="ltls9co">[4]Parameters!$G$386</definedName>
    <definedName name="ltls9name">[4]Parameters!$C$386</definedName>
    <definedName name="ltls9sal1">[4]Parameters!$E$386</definedName>
    <definedName name="ltlsco15">[4]Parameters!$G$392</definedName>
    <definedName name="ltlsco16">[4]Parameters!$G$393</definedName>
    <definedName name="ltlsco17">[4]Parameters!$G$394</definedName>
    <definedName name="ltlsco18">[4]Parameters!$G$395</definedName>
    <definedName name="ltlsco19">[4]Parameters!$G$396</definedName>
    <definedName name="ltlsco20">[4]Parameters!$G$397</definedName>
    <definedName name="ltlsco21">[4]Parameters!$G$398</definedName>
    <definedName name="ltlsco22">[4]Parameters!$G$399</definedName>
    <definedName name="ltlsco23">[4]Parameters!$G$400</definedName>
    <definedName name="ltlsco24">[4]Parameters!$G$401</definedName>
    <definedName name="ltlsco25">[4]Parameters!$G$402</definedName>
    <definedName name="ltlsco26">[4]Parameters!$G$403</definedName>
    <definedName name="ltlsco27">[4]Parameters!$G$404</definedName>
    <definedName name="ltlsco28">[4]Parameters!$G$405</definedName>
    <definedName name="ltlsco29">[4]Parameters!$G$406</definedName>
    <definedName name="ltlsco30">[4]Parameters!$G$407</definedName>
    <definedName name="ltlsco31">[4]Parameters!$G$408</definedName>
    <definedName name="ltlsco32">[4]Parameters!$G$409</definedName>
    <definedName name="ltlsco33">[4]Parameters!$G$410</definedName>
    <definedName name="ltlsco34">[4]Parameters!$G$411</definedName>
    <definedName name="ltlsco35">[4]Parameters!$G$412</definedName>
    <definedName name="ltlsco36">[4]Parameters!$G$413</definedName>
    <definedName name="ltlsco37">[4]Parameters!$G$414</definedName>
    <definedName name="ltlsco38">[4]Parameters!$G$415</definedName>
    <definedName name="ltlsco39">[4]Parameters!$G$416</definedName>
    <definedName name="ltlsco40">[4]Parameters!$G$417</definedName>
    <definedName name="ltlsco41">[4]Parameters!$G$418</definedName>
    <definedName name="ltlsco42">[4]Parameters!$G$419</definedName>
    <definedName name="ltlsco43">[4]Parameters!$G$420</definedName>
    <definedName name="ltlsco44">[4]Parameters!$G$421</definedName>
    <definedName name="ltlsco45">[4]Parameters!$G$422</definedName>
    <definedName name="ltlsco46">[4]Parameters!$G$423</definedName>
    <definedName name="ltlsco47">[4]Parameters!$G$424</definedName>
    <definedName name="ltlsco48">[4]Parameters!$G$425</definedName>
    <definedName name="ltlsco49">[4]Parameters!$G$426</definedName>
    <definedName name="ltlsco50">[4]Parameters!$G$427</definedName>
    <definedName name="ltlsco51">[4]Parameters!$G$428</definedName>
    <definedName name="ltlsjob1">[4]Parameters!$I$378</definedName>
    <definedName name="ltlsjob10">[4]Parameters!$I$387</definedName>
    <definedName name="ltlsjob11">[4]Parameters!$I$388</definedName>
    <definedName name="ltlsjob12">[4]Parameters!$I$389</definedName>
    <definedName name="ltlsjob13">[4]Parameters!$I$390</definedName>
    <definedName name="ltlsjob14">[4]Parameters!$I$391</definedName>
    <definedName name="ltlsjob15">[4]Parameters!$I$392</definedName>
    <definedName name="ltlsjob16">[4]Parameters!$I$393</definedName>
    <definedName name="ltlsjob17">[4]Parameters!$I$394</definedName>
    <definedName name="ltlsjob18">[4]Parameters!$I$395</definedName>
    <definedName name="ltlsjob19">[4]Parameters!$I$396</definedName>
    <definedName name="ltlsjob2">[4]Parameters!$I$379</definedName>
    <definedName name="ltlsjob20">[4]Parameters!$I$397</definedName>
    <definedName name="ltlsjob21">[4]Parameters!$I$398</definedName>
    <definedName name="ltlsjob22">[4]Parameters!$I$399</definedName>
    <definedName name="ltlsjob23">[4]Parameters!$I$400</definedName>
    <definedName name="ltlsjob24">[4]Parameters!$I$401</definedName>
    <definedName name="ltlsjob25">[4]Parameters!$I$402</definedName>
    <definedName name="ltlsjob26">[4]Parameters!$I$403</definedName>
    <definedName name="ltlsjob27">[4]Parameters!$I$404</definedName>
    <definedName name="ltlsjob28">[4]Parameters!$I$405</definedName>
    <definedName name="ltlsjob29">[4]Parameters!$I$406</definedName>
    <definedName name="ltlsjob3">[4]Parameters!$I$380</definedName>
    <definedName name="ltlsjob30">[4]Parameters!$I$407</definedName>
    <definedName name="ltlsjob31">[4]Parameters!$I$408</definedName>
    <definedName name="ltlsjob32">[4]Parameters!$I$409</definedName>
    <definedName name="ltlsjob33">[4]Parameters!$I$410</definedName>
    <definedName name="ltlsjob34">[4]Parameters!$I$411</definedName>
    <definedName name="ltlsjob35">[4]Parameters!$I$412</definedName>
    <definedName name="ltlsjob36">[4]Parameters!$I$413</definedName>
    <definedName name="ltlsjob37">[4]Parameters!$I$414</definedName>
    <definedName name="ltlsjob38">[4]Parameters!$I$415</definedName>
    <definedName name="ltlsjob39">[4]Parameters!$I$416</definedName>
    <definedName name="ltlsjob4">[4]Parameters!$I$381</definedName>
    <definedName name="ltlsjob40">[4]Parameters!$I$417</definedName>
    <definedName name="ltlsjob41">[4]Parameters!$I$418</definedName>
    <definedName name="ltlsjob42">[4]Parameters!$I$419</definedName>
    <definedName name="ltlsjob43">[4]Parameters!$I$420</definedName>
    <definedName name="ltlsjob44">[4]Parameters!$I$421</definedName>
    <definedName name="ltlsjob45">[4]Parameters!$I$422</definedName>
    <definedName name="ltlsjob46">[4]Parameters!$I$423</definedName>
    <definedName name="ltlsjob47">[4]Parameters!$I$424</definedName>
    <definedName name="ltlsjob48">[4]Parameters!$I$425</definedName>
    <definedName name="ltlsjob49">[4]Parameters!$I$426</definedName>
    <definedName name="ltlsjob5">[4]Parameters!$I$382</definedName>
    <definedName name="ltlsjob50">[4]Parameters!$I$427</definedName>
    <definedName name="ltlsjob51">[4]Parameters!$I$428</definedName>
    <definedName name="ltlsjob6">[4]Parameters!$I$383</definedName>
    <definedName name="ltlsjob7">[4]Parameters!$I$384</definedName>
    <definedName name="ltlsjob8">[4]Parameters!$I$385</definedName>
    <definedName name="ltlsjob9">[4]Parameters!$I$386</definedName>
    <definedName name="ltlsname15">[4]Parameters!$C$392</definedName>
    <definedName name="ltlsname16">[4]Parameters!$C$393</definedName>
    <definedName name="ltlsname17">[4]Parameters!$C$394</definedName>
    <definedName name="ltlsname18">[4]Parameters!$C$395</definedName>
    <definedName name="ltlsname19">[4]Parameters!$C$396</definedName>
    <definedName name="ltlsname20">[4]Parameters!$C$397</definedName>
    <definedName name="ltlsname21">[4]Parameters!$C$398</definedName>
    <definedName name="ltlsname22">[4]Parameters!$C$399</definedName>
    <definedName name="ltlsname23">[4]Parameters!$C$400</definedName>
    <definedName name="ltlsname24">[4]Parameters!$C$401</definedName>
    <definedName name="ltlsname25">[4]Parameters!$C$402</definedName>
    <definedName name="ltlsname26">[4]Parameters!$C$403</definedName>
    <definedName name="ltlsname27">[4]Parameters!$C$404</definedName>
    <definedName name="ltlsname28">[4]Parameters!$C$405</definedName>
    <definedName name="ltlsname29">[4]Parameters!$C$406</definedName>
    <definedName name="ltlsname30">[4]Parameters!$C$407</definedName>
    <definedName name="ltlsname31">[4]Parameters!$C$408</definedName>
    <definedName name="ltlsname32">[4]Parameters!$C$409</definedName>
    <definedName name="ltlsname33">[4]Parameters!$C$410</definedName>
    <definedName name="ltlsname34">[4]Parameters!$C$411</definedName>
    <definedName name="ltlsname35">[4]Parameters!$C$412</definedName>
    <definedName name="ltlsname36">[4]Parameters!$C$413</definedName>
    <definedName name="ltlsname37">[4]Parameters!$C$414</definedName>
    <definedName name="ltlsname38">[4]Parameters!$C$415</definedName>
    <definedName name="ltlsname39">[4]Parameters!$C$416</definedName>
    <definedName name="ltlsname40">[4]Parameters!$C$417</definedName>
    <definedName name="ltlsname41">[4]Parameters!$C$418</definedName>
    <definedName name="ltlsname42">[4]Parameters!$C$419</definedName>
    <definedName name="ltlsname43">[4]Parameters!$C$420</definedName>
    <definedName name="ltlsname44">[4]Parameters!$C$421</definedName>
    <definedName name="ltlsname45">[4]Parameters!$C$422</definedName>
    <definedName name="ltlsname46">[4]Parameters!$C$423</definedName>
    <definedName name="ltlsname47">[4]Parameters!$C$424</definedName>
    <definedName name="ltlsname48">[4]Parameters!$C$425</definedName>
    <definedName name="ltlsname49">[4]Parameters!$C$426</definedName>
    <definedName name="ltlsname50">[4]Parameters!$C$427</definedName>
    <definedName name="ltlsname51">[4]Parameters!$C$428</definedName>
    <definedName name="ltlssal15">[4]Parameters!$E$392</definedName>
    <definedName name="ltlssal16">[4]Parameters!$E$393</definedName>
    <definedName name="ltlssal17">[4]Parameters!$E$394</definedName>
    <definedName name="ltlssal18">[4]Parameters!$E$395</definedName>
    <definedName name="ltlssal19">[4]Parameters!$E$396</definedName>
    <definedName name="ltlssal20">[4]Parameters!$E$397</definedName>
    <definedName name="ltlssal21">[4]Parameters!$E$398</definedName>
    <definedName name="ltlssal22">[4]Parameters!$E$399</definedName>
    <definedName name="ltlssal23">[4]Parameters!$E$400</definedName>
    <definedName name="ltlssal24">[4]Parameters!$E$401</definedName>
    <definedName name="ltlssal25">[4]Parameters!$E$402</definedName>
    <definedName name="ltlssal26">[4]Parameters!$E$403</definedName>
    <definedName name="ltlssal27">[4]Parameters!$E$404</definedName>
    <definedName name="ltlssal28">[4]Parameters!$E$405</definedName>
    <definedName name="ltlssal29">[4]Parameters!$E$406</definedName>
    <definedName name="ltlssal30">[4]Parameters!$E$407</definedName>
    <definedName name="ltlssal31">[4]Parameters!$E$408</definedName>
    <definedName name="ltlssal32">[4]Parameters!$E$409</definedName>
    <definedName name="ltlssal33">[4]Parameters!$E$410</definedName>
    <definedName name="ltlssal34">[4]Parameters!$E$411</definedName>
    <definedName name="ltlssal35">[4]Parameters!$E$412</definedName>
    <definedName name="ltlssal36">[4]Parameters!$E$413</definedName>
    <definedName name="ltlssal37">[4]Parameters!$E$414</definedName>
    <definedName name="ltlssal38">[4]Parameters!$E$415</definedName>
    <definedName name="ltlssal39">[4]Parameters!$E$416</definedName>
    <definedName name="ltlssal40">[4]Parameters!$E$417</definedName>
    <definedName name="ltlssal41">[4]Parameters!$E$418</definedName>
    <definedName name="ltlssal42">[4]Parameters!$E$419</definedName>
    <definedName name="ltlssal43">[4]Parameters!$E$420</definedName>
    <definedName name="ltlssal44">[4]Parameters!$E$421</definedName>
    <definedName name="ltlssal45">[4]Parameters!$E$422</definedName>
    <definedName name="ltlssal46">[4]Parameters!$E$423</definedName>
    <definedName name="ltlssal47">[4]Parameters!$E$424</definedName>
    <definedName name="ltlssal48">[4]Parameters!$E$425</definedName>
    <definedName name="ltlssal49">[4]Parameters!$E$426</definedName>
    <definedName name="ltlssal50">[4]Parameters!$E$427</definedName>
    <definedName name="ltlssal51">[4]Parameters!$E$428</definedName>
    <definedName name="LTTA" localSheetId="0">#REF!</definedName>
    <definedName name="LTTA">#REF!</definedName>
    <definedName name="Lttripfactor">[9]Sheet1!$C$17</definedName>
    <definedName name="makeready">[9]Sheet1!$C$47</definedName>
    <definedName name="malitravel">[9]Sheet1!$C$34</definedName>
    <definedName name="ME_Country" localSheetId="1">'[13]Project Budget'!$F$225:$F$299</definedName>
    <definedName name="ME_Country">'[14]Project Budget'!$F$225:$F$299</definedName>
    <definedName name="ME_TotalDOL" localSheetId="1">'[13]Project Budget'!$R$225:$R$299</definedName>
    <definedName name="ME_TotalDOL">'[14]Project Budget'!$R$225:$R$299</definedName>
    <definedName name="medex">232</definedName>
    <definedName name="Mid_Level_CCNRate">[25]Assumptions!$B$15</definedName>
    <definedName name="Mid_Level_TCNRate">[25]Assumptions!$B$13</definedName>
    <definedName name="mkt" localSheetId="0">#REF!</definedName>
    <definedName name="mkt">#REF!</definedName>
    <definedName name="MOBIS_Schedule">#REF!</definedName>
    <definedName name="monthly_fax">#REF!</definedName>
    <definedName name="monthly_phones">#REF!</definedName>
    <definedName name="MSE">#REF!</definedName>
    <definedName name="Mult_Yr1to3">#REF!</definedName>
    <definedName name="Mult_Yr4">#REF!</definedName>
    <definedName name="Mult_Yr5">#REF!</definedName>
    <definedName name="Multipliers_by_AMAP_year">#REF!</definedName>
    <definedName name="Multiply4">[5]RATES!#REF!</definedName>
    <definedName name="Multiply5">[5]RATES!#REF!</definedName>
    <definedName name="Mustaqbali_ISP" localSheetId="0">#REF!</definedName>
    <definedName name="Mustaqbali_ISP">#REF!</definedName>
    <definedName name="NAMEA">#REF!</definedName>
    <definedName name="NatRes11">[5]RATES!#REF!</definedName>
    <definedName name="NAWGA">#N/A</definedName>
    <definedName name="NFPA">#N/A</definedName>
    <definedName name="NICRA_GA">#REF!</definedName>
    <definedName name="NICRA_Overhead">#REF!</definedName>
    <definedName name="O1_Country" localSheetId="1">'[13]Project Budget'!$F$127:$F$172</definedName>
    <definedName name="O1_Country">'[14]Project Budget'!$F$127:$F$172</definedName>
    <definedName name="O1_TotalDOL" localSheetId="1">'[13]Project Budget'!$R$127:$R$171</definedName>
    <definedName name="O1_TotalDOL">'[14]Project Budget'!$R$127:$R$171</definedName>
    <definedName name="O2_Country" localSheetId="1">'[13]Project Budget'!$F$177:$F$219</definedName>
    <definedName name="O2_Country">'[14]Project Budget'!$F$177:$F$219</definedName>
    <definedName name="O2_TotalDOL" localSheetId="1">'[13]Project Budget'!$R$177:$R$219</definedName>
    <definedName name="O2_TotalDOL">'[14]Project Budget'!$R$177:$R$219</definedName>
    <definedName name="oceanship1">'[8]Input Tab'!$F$23</definedName>
    <definedName name="oceanship2">'[8]Input Tab'!$G$23</definedName>
    <definedName name="oceanship3">'[8]Input Tab'!$H$23</definedName>
    <definedName name="oceanship4">'[8]Input Tab'!#REF!</definedName>
    <definedName name="oceanship5">'[8]Input Tab'!#REF!</definedName>
    <definedName name="ODC">[5]RATES!#REF!</definedName>
    <definedName name="ODC_Escalation" localSheetId="0">#REF!</definedName>
    <definedName name="ODC_Escalation">#REF!</definedName>
    <definedName name="ODC_Escalation_DPK">[25]Assumptions!$B$10</definedName>
    <definedName name="ODCesc">[12]Assumptions!$H$14</definedName>
    <definedName name="office_isp" localSheetId="0">#REF!</definedName>
    <definedName name="office_isp">#REF!</definedName>
    <definedName name="Office_Rental">#REF!</definedName>
    <definedName name="Office_Util">#REF!</definedName>
    <definedName name="OH">0.522</definedName>
    <definedName name="Other_Direct_Costs">'[10]INPUTS Year 1'!#REF!</definedName>
    <definedName name="Other11">[5]RATES!#REF!</definedName>
    <definedName name="Other13">[5]RATES!#REF!</definedName>
    <definedName name="Othertotalpd">[7]Parameters!$B$32</definedName>
    <definedName name="overhead">'[16]Range Page'!$A$19</definedName>
    <definedName name="pack1">'[26]Input Tab'!#REF!</definedName>
    <definedName name="pack2">'[26]Input Tab'!#REF!</definedName>
    <definedName name="pack3">'[26]Input Tab'!#REF!</definedName>
    <definedName name="pack4">'[26]Input Tab'!#REF!</definedName>
    <definedName name="pack5">'[26]Input Tab'!#REF!</definedName>
    <definedName name="Para_localnonlaborinflation_yr2">'[27]Input Tab'!$A$41</definedName>
    <definedName name="Para_localnonlaborinflation_yr3">'[27]Input Tab'!$A$42</definedName>
    <definedName name="Para_localnonlaborinflation_yr4">'[27]Input Tab'!$A$43</definedName>
    <definedName name="parttimefringe">'[8]Input Tab'!$A$21</definedName>
    <definedName name="PDDAYS">#N/A</definedName>
    <definedName name="pdintl">[4]Parameters!$B$534</definedName>
    <definedName name="pdloc">[4]Parameters!$B$535</definedName>
    <definedName name="pdother">[4]Parameters!$B$536</definedName>
    <definedName name="pdpesh">[4]Parameters!$B$537</definedName>
    <definedName name="Per_Diem1" localSheetId="0">#REF!</definedName>
    <definedName name="Per_Diem1">#REF!</definedName>
    <definedName name="Per_Diem2">#REF!</definedName>
    <definedName name="Per_Diem3">#REF!</definedName>
    <definedName name="Perdiem">[12]Assumptions!$B$23:$F$25</definedName>
    <definedName name="perdiembko">[9]Sheet1!$C$22</definedName>
    <definedName name="perdiemfactor">[9]Sheet1!$C$26</definedName>
    <definedName name="perdiemintl">[9]Sheet1!$C$24</definedName>
    <definedName name="perdiemoth">[9]Sheet1!$C$25</definedName>
    <definedName name="Person_Days" localSheetId="0">#REF!</definedName>
    <definedName name="Person_Days">#REF!</definedName>
    <definedName name="Person_Year">#REF!</definedName>
    <definedName name="PHCC">[28]Facilities!$H$10</definedName>
    <definedName name="PHCU">[28]Facilities!$G$10</definedName>
    <definedName name="PIP">#N/A</definedName>
    <definedName name="PM">[5]RATES!#REF!</definedName>
    <definedName name="POA_usinflation_yr2">'[27]Input Tab'!$A$26</definedName>
    <definedName name="POA_usinflation_yr3">'[27]Input Tab'!$A$27</definedName>
    <definedName name="POA_usinflation_yr4">'[27]Input Tab'!$A$28</definedName>
    <definedName name="Policy11">[5]RATES!#REF!</definedName>
    <definedName name="Policy12">[5]RATES!#REF!</definedName>
    <definedName name="Policy13">[5]RATES!#REF!</definedName>
    <definedName name="Post_Differential" localSheetId="0">#REF!</definedName>
    <definedName name="Post_Differential">#REF!</definedName>
    <definedName name="postallow1">'[8]Input Tab'!$F$13</definedName>
    <definedName name="postallow2">'[8]Input Tab'!$G$13</definedName>
    <definedName name="postallow3">'[8]Input Tab'!$H$13</definedName>
    <definedName name="postallow4">'[8]Input Tab'!#REF!</definedName>
    <definedName name="postallow5">'[8]Input Tab'!#REF!</definedName>
    <definedName name="postallowance.expat3">'[16]Range Page'!$A$8</definedName>
    <definedName name="postallowance.expat4">'[16]Range Page'!$A$9</definedName>
    <definedName name="postdiff">[7]Parameters!$B$17</definedName>
    <definedName name="postdiff1">'[8]Input Tab'!$F$14</definedName>
    <definedName name="postdiff2">'[8]Input Tab'!$G$14</definedName>
    <definedName name="postdiff3">'[8]Input Tab'!$H$14</definedName>
    <definedName name="postdiff4">'[8]Input Tab'!#REF!</definedName>
    <definedName name="postdiff5">'[8]Input Tab'!#REF!</definedName>
    <definedName name="postdifferential">'[16]Range Page'!$A$10</definedName>
    <definedName name="_xlnm.Print_Area" localSheetId="1">'Sub-award SAI'!$F$1:$X$120</definedName>
    <definedName name="_xlnm.Print_Area">#REF!</definedName>
    <definedName name="Print_Area2" localSheetId="0">#REF!</definedName>
    <definedName name="Print_Area2">#REF!</definedName>
    <definedName name="_xlnm.Print_Titles">#N/A</definedName>
    <definedName name="PRINT_TITLES_MI">#REF!</definedName>
    <definedName name="Profit">#REF!</definedName>
    <definedName name="project">[4]Parameters!$B$5</definedName>
    <definedName name="Project_Name">[18]Summary!$E$3</definedName>
    <definedName name="Project_support_costs" localSheetId="0">#REF!</definedName>
    <definedName name="Project_support_costs">#REF!</definedName>
    <definedName name="PURD">#N/A</definedName>
    <definedName name="PURD1">#N/A</definedName>
    <definedName name="PURD4">#N/A</definedName>
    <definedName name="qtr_fee">#REF!</definedName>
    <definedName name="qtr_rate">#REF!</definedName>
    <definedName name="Raises_Expat">#REF!</definedName>
    <definedName name="Raises_HCN">#REF!</definedName>
    <definedName name="Raises_TCN">#REF!</definedName>
    <definedName name="randr1">'[8]Input Tab'!$F$21</definedName>
    <definedName name="randr2">'[8]Input Tab'!$G$21</definedName>
    <definedName name="randr3">'[8]Input Tab'!$H$21</definedName>
    <definedName name="randr4">'[8]Input Tab'!#REF!</definedName>
    <definedName name="randr5">'[8]Input Tab'!#REF!</definedName>
    <definedName name="rate" localSheetId="0">#REF!</definedName>
    <definedName name="rate">#REF!</definedName>
    <definedName name="ratecos">#REF!</definedName>
    <definedName name="Regional_Offices">'[29] Program Support Costs'!#REF!</definedName>
    <definedName name="relotravel1">'[8]Input Tab'!$F$18</definedName>
    <definedName name="relotravel2">'[8]Input Tab'!$G$18</definedName>
    <definedName name="relotravel3">'[8]Input Tab'!$H$18</definedName>
    <definedName name="relotravel4">'[8]Input Tab'!#REF!</definedName>
    <definedName name="relotravel5">'[8]Input Tab'!#REF!</definedName>
    <definedName name="RFP">[2]Parameters!$B$1</definedName>
    <definedName name="RFPNo">[2]Parameters!$B$2</definedName>
    <definedName name="rrair">[7]Parameters!$B$40</definedName>
    <definedName name="SAL" localSheetId="0">#REF!</definedName>
    <definedName name="SAL">#REF!</definedName>
    <definedName name="sales">#REF!</definedName>
    <definedName name="salesc">0.05</definedName>
    <definedName name="salinc">[7]Parameters!$B$9</definedName>
    <definedName name="salincr">[4]Parameters!$B$502</definedName>
    <definedName name="salincrloc">[4]Parameters!$B$503</definedName>
    <definedName name="salinf">'[30]WV Budget Detail'!$B$5</definedName>
    <definedName name="salmaxes6">[4]Parameters!$B$559</definedName>
    <definedName name="salmaxfsn">[4]Parameters!$B$560</definedName>
    <definedName name="Senior_CCNRate">[25]Assumptions!$B$14</definedName>
    <definedName name="Senior_TCNRate">[25]Assumptions!$B$12</definedName>
    <definedName name="SEV" localSheetId="0">#REF!</definedName>
    <definedName name="SEV">#REF!</definedName>
    <definedName name="severance">'[8]Input Tab'!$A$24</definedName>
    <definedName name="SEVPA" localSheetId="0">#REF!</definedName>
    <definedName name="SEVPA">#REF!</definedName>
    <definedName name="Site" localSheetId="0">[5]RATES!#REF!</definedName>
    <definedName name="Site">[5]RATES!#REF!</definedName>
    <definedName name="sma.1">'[8]Input Tab'!$F$26</definedName>
    <definedName name="sma.2">'[8]Input Tab'!$G$26</definedName>
    <definedName name="sma.3">'[8]Input Tab'!$H$26</definedName>
    <definedName name="sma.4">'[8]Input Tab'!#REF!</definedName>
    <definedName name="sma.5">'[8]Input Tab'!#REF!</definedName>
    <definedName name="software_developer" localSheetId="0">#REF!</definedName>
    <definedName name="software_developer">#REF!</definedName>
    <definedName name="Staff" localSheetId="0">[5]RATES!#REF!</definedName>
    <definedName name="Staff">[5]RATES!#REF!</definedName>
    <definedName name="staff_monthly" localSheetId="0">#REF!</definedName>
    <definedName name="staff_monthly">#REF!</definedName>
    <definedName name="STAFF_QTR">#REF!</definedName>
    <definedName name="START">#N/A</definedName>
    <definedName name="stlp">[4]Parameters!$A$298</definedName>
    <definedName name="stlp1">[4]Parameters!$A$300</definedName>
    <definedName name="stlp10">[4]Parameters!$A$309</definedName>
    <definedName name="stlp10co">[4]Parameters!$G$309</definedName>
    <definedName name="stlp10name">[4]Parameters!$C$309</definedName>
    <definedName name="stlp10sal1">[4]Parameters!$E$309</definedName>
    <definedName name="stlp11">[4]Parameters!$A$310</definedName>
    <definedName name="stlp12">[4]Parameters!$A$311</definedName>
    <definedName name="stlp13">[4]Parameters!$A$312</definedName>
    <definedName name="stlp14">[4]Parameters!$A$313</definedName>
    <definedName name="stlp15">[4]Parameters!$A$314</definedName>
    <definedName name="stlp16">[4]Parameters!$A$315</definedName>
    <definedName name="stlp17">[4]Parameters!$A$316</definedName>
    <definedName name="stlp18">[4]Parameters!$A$317</definedName>
    <definedName name="stlp19">[4]Parameters!$A$318</definedName>
    <definedName name="stlp1co">[4]Parameters!$G$300</definedName>
    <definedName name="stlp1name">[4]Parameters!$C$300</definedName>
    <definedName name="stlp1sal1">[4]Parameters!$E$300</definedName>
    <definedName name="stlp2">[4]Parameters!$A$301</definedName>
    <definedName name="stlp20">[4]Parameters!$A$319</definedName>
    <definedName name="stlp21">[4]Parameters!$A$320</definedName>
    <definedName name="stlp22">[4]Parameters!$A$321</definedName>
    <definedName name="stlp23">[4]Parameters!$A$322</definedName>
    <definedName name="stlp24">[4]Parameters!$A$323</definedName>
    <definedName name="stlp25">[4]Parameters!$A$324</definedName>
    <definedName name="stlp26">[4]Parameters!$A$325</definedName>
    <definedName name="stlp27">[4]Parameters!$A$326</definedName>
    <definedName name="stlp28">[4]Parameters!$A$327</definedName>
    <definedName name="stlp29">[4]Parameters!$A$328</definedName>
    <definedName name="stlp2co">[4]Parameters!$G$301</definedName>
    <definedName name="stlp2name">[4]Parameters!$C$301</definedName>
    <definedName name="stlp2sal1">[4]Parameters!$E$301</definedName>
    <definedName name="stlp3">[4]Parameters!$A$302</definedName>
    <definedName name="stlp30">[4]Parameters!$A$329</definedName>
    <definedName name="stlp31">[4]Parameters!$A$330</definedName>
    <definedName name="stlp32">[4]Parameters!$A$331</definedName>
    <definedName name="stlp33">[4]Parameters!$A$332</definedName>
    <definedName name="stlp34">[4]Parameters!$A$333</definedName>
    <definedName name="stlp35">[4]Parameters!$A$334</definedName>
    <definedName name="stlp36">[4]Parameters!$A$335</definedName>
    <definedName name="stlp37">[4]Parameters!$A$336</definedName>
    <definedName name="stlp38">[4]Parameters!$A$337</definedName>
    <definedName name="stlp39">[4]Parameters!$A$338</definedName>
    <definedName name="stlp3co">[4]Parameters!$G$302</definedName>
    <definedName name="stlp3name">[4]Parameters!$C$302</definedName>
    <definedName name="stlp3sal1">[4]Parameters!$E$302</definedName>
    <definedName name="stlp4">[4]Parameters!$A$303</definedName>
    <definedName name="stlp40">[4]Parameters!$A$339</definedName>
    <definedName name="stlp41">[4]Parameters!$A$340</definedName>
    <definedName name="stlp42">[4]Parameters!$A$341</definedName>
    <definedName name="stlp43">[4]Parameters!$A$342</definedName>
    <definedName name="stlp44">[4]Parameters!$A$343</definedName>
    <definedName name="stlp45">[4]Parameters!$A$344</definedName>
    <definedName name="stlp46">[4]Parameters!$A$345</definedName>
    <definedName name="stlp47">[4]Parameters!$A$346</definedName>
    <definedName name="stlp48">[4]Parameters!$A$347</definedName>
    <definedName name="stlp49">[4]Parameters!$A$348</definedName>
    <definedName name="stlp4co">[4]Parameters!$G$303</definedName>
    <definedName name="stlp4name">[4]Parameters!$C$303</definedName>
    <definedName name="stlp4sal1">[4]Parameters!$E$303</definedName>
    <definedName name="stlp5">[4]Parameters!$A$304</definedName>
    <definedName name="stlp50">[4]Parameters!$A$349</definedName>
    <definedName name="stlp51">[4]Parameters!$A$350</definedName>
    <definedName name="stlp52">[4]Parameters!$A$351</definedName>
    <definedName name="stlp53">[4]Parameters!$A$352</definedName>
    <definedName name="stlp54">[4]Parameters!$A$353</definedName>
    <definedName name="stlp55">[4]Parameters!$A$354</definedName>
    <definedName name="stlp56">[4]Parameters!$A$355</definedName>
    <definedName name="stlp57">[4]Parameters!$A$356</definedName>
    <definedName name="stlp58">[4]Parameters!$A$357</definedName>
    <definedName name="stlp59">[4]Parameters!$A$358</definedName>
    <definedName name="stlp5co">[4]Parameters!$G$304</definedName>
    <definedName name="stlp5name">[4]Parameters!$C$304</definedName>
    <definedName name="stlp5sal1">[4]Parameters!$E$304</definedName>
    <definedName name="stlp6">[4]Parameters!$A$305</definedName>
    <definedName name="stlp60">[4]Parameters!$A$359</definedName>
    <definedName name="stlp61">[4]Parameters!$A$360</definedName>
    <definedName name="stlp62">[4]Parameters!$A$361</definedName>
    <definedName name="stlp63">[4]Parameters!$A$362</definedName>
    <definedName name="stlp64">[4]Parameters!$A$363</definedName>
    <definedName name="stlp65">[4]Parameters!$A$364</definedName>
    <definedName name="stlp66">[4]Parameters!$A$365</definedName>
    <definedName name="stlp67">[4]Parameters!$A$366</definedName>
    <definedName name="stlp68">[4]Parameters!$A$367</definedName>
    <definedName name="stlp69">[4]Parameters!$A$368</definedName>
    <definedName name="stlp6co">[4]Parameters!$G$305</definedName>
    <definedName name="stlp6name">[4]Parameters!$C$305</definedName>
    <definedName name="stlp6sal1">[4]Parameters!$E$305</definedName>
    <definedName name="stlp7">[4]Parameters!$A$306</definedName>
    <definedName name="stlp70">[4]Parameters!$A$369</definedName>
    <definedName name="stlp71">[4]Parameters!$A$370</definedName>
    <definedName name="stlp72">[4]Parameters!$A$371</definedName>
    <definedName name="stlp73">[4]Parameters!$A$372</definedName>
    <definedName name="stlp74">[4]Parameters!$A$373</definedName>
    <definedName name="stlp75">[4]Parameters!$A$374</definedName>
    <definedName name="stlp7co">[4]Parameters!$G$306</definedName>
    <definedName name="stlp7name">[4]Parameters!$C$306</definedName>
    <definedName name="stlp7sal1">[4]Parameters!$E$306</definedName>
    <definedName name="stlp8">[4]Parameters!$A$307</definedName>
    <definedName name="stlp8co">[4]Parameters!$G$307</definedName>
    <definedName name="stlp8name">[4]Parameters!$C$307</definedName>
    <definedName name="stlp8sal1">[4]Parameters!$E$307</definedName>
    <definedName name="stlp9">[4]Parameters!$A$308</definedName>
    <definedName name="stlp9co">[4]Parameters!$G$308</definedName>
    <definedName name="stlp9name">[4]Parameters!$C$308</definedName>
    <definedName name="stlp9sal1">[4]Parameters!$E$308</definedName>
    <definedName name="stlpco11">[4]Parameters!$G$310</definedName>
    <definedName name="stlpco12">[4]Parameters!$G$311</definedName>
    <definedName name="stlpco13">[4]Parameters!$G$312</definedName>
    <definedName name="stlpco14">[4]Parameters!$G$313</definedName>
    <definedName name="stlpco15">[4]Parameters!$G$314</definedName>
    <definedName name="stlpco16">[4]Parameters!$G$315</definedName>
    <definedName name="stlpco17">[4]Parameters!$G$316</definedName>
    <definedName name="stlpco18">[4]Parameters!$G$317</definedName>
    <definedName name="stlpco19">[4]Parameters!$G$318</definedName>
    <definedName name="stlpco20">[4]Parameters!$G$319</definedName>
    <definedName name="stlpco21">[4]Parameters!$G$320</definedName>
    <definedName name="stlpco22">[4]Parameters!$G$321</definedName>
    <definedName name="stlpco23">[4]Parameters!$G$322</definedName>
    <definedName name="stlpco24">[4]Parameters!$G$323</definedName>
    <definedName name="stlpco25">[4]Parameters!$G$324</definedName>
    <definedName name="stlpco26">[4]Parameters!$G$325</definedName>
    <definedName name="stlpco27">[4]Parameters!$G$326</definedName>
    <definedName name="stlpco28">[4]Parameters!$G$327</definedName>
    <definedName name="stlpco29">[4]Parameters!$G$328</definedName>
    <definedName name="stlpco30">[4]Parameters!$G$329</definedName>
    <definedName name="stlpco31">[4]Parameters!$G$330</definedName>
    <definedName name="stlpco32">[4]Parameters!$G$331</definedName>
    <definedName name="stlpco33">[4]Parameters!$G$332</definedName>
    <definedName name="stlpco34">[4]Parameters!$G$333</definedName>
    <definedName name="stlpco35">[4]Parameters!$G$334</definedName>
    <definedName name="stlpco36">[4]Parameters!$G$335</definedName>
    <definedName name="stlpco37">[4]Parameters!$G$336</definedName>
    <definedName name="stlpco38">[4]Parameters!$G$337</definedName>
    <definedName name="stlpco39">[4]Parameters!$G$338</definedName>
    <definedName name="stlpco40">[4]Parameters!$G$339</definedName>
    <definedName name="stlpco41">[4]Parameters!$G$340</definedName>
    <definedName name="stlpco42">[4]Parameters!$G$341</definedName>
    <definedName name="stlpco43">[4]Parameters!$G$342</definedName>
    <definedName name="stlpco44">[4]Parameters!$G$343</definedName>
    <definedName name="stlpco45">[4]Parameters!$G$344</definedName>
    <definedName name="stlpco46">[4]Parameters!$G$345</definedName>
    <definedName name="stlpco47">[4]Parameters!$G$346</definedName>
    <definedName name="stlpco48">[4]Parameters!$G$347</definedName>
    <definedName name="stlpco49">[4]Parameters!$G$348</definedName>
    <definedName name="stlpco50">[4]Parameters!$G$349</definedName>
    <definedName name="stlpco51">[4]Parameters!$G$350</definedName>
    <definedName name="stlpco52">[4]Parameters!$G$351</definedName>
    <definedName name="stlpco53">[4]Parameters!$G$352</definedName>
    <definedName name="stlpco54">[4]Parameters!$G$353</definedName>
    <definedName name="stlpco55">[4]Parameters!$G$354</definedName>
    <definedName name="stlpco56">[4]Parameters!$G$355</definedName>
    <definedName name="stlpco57">[4]Parameters!$G$356</definedName>
    <definedName name="stlpco58">[4]Parameters!$G$357</definedName>
    <definedName name="stlpco59">[4]Parameters!$G$358</definedName>
    <definedName name="stlpco60">[4]Parameters!$G$359</definedName>
    <definedName name="stlpco61">[4]Parameters!$G$360</definedName>
    <definedName name="stlpco62">[4]Parameters!$G$361</definedName>
    <definedName name="stlpco63">[4]Parameters!$G$362</definedName>
    <definedName name="stlpco64">[4]Parameters!$G$363</definedName>
    <definedName name="stlpco65">[4]Parameters!$G$364</definedName>
    <definedName name="stlpco66">[4]Parameters!$G$365</definedName>
    <definedName name="stlpco67">[4]Parameters!$G$366</definedName>
    <definedName name="stlpco68">[4]Parameters!$G$367</definedName>
    <definedName name="stlpco69">[4]Parameters!$G$368</definedName>
    <definedName name="stlpco70">[4]Parameters!$G$369</definedName>
    <definedName name="stlpco71">[4]Parameters!$G$370</definedName>
    <definedName name="stlpco72">[4]Parameters!$G$371</definedName>
    <definedName name="stlpco73">[4]Parameters!$G$372</definedName>
    <definedName name="stlpco74">[4]Parameters!$G$373</definedName>
    <definedName name="stlpco75">[4]Parameters!$G$374</definedName>
    <definedName name="stlpjob1">[4]Parameters!$I$300</definedName>
    <definedName name="stlpjob10">[4]Parameters!$I$309</definedName>
    <definedName name="stlpjob11">[4]Parameters!$I$310</definedName>
    <definedName name="stlpjob12">[4]Parameters!$I$311</definedName>
    <definedName name="stlpjob13">[4]Parameters!$I$312</definedName>
    <definedName name="stlpjob14">[4]Parameters!$I$313</definedName>
    <definedName name="stlpjob15">[4]Parameters!$I$314</definedName>
    <definedName name="stlpjob16">[4]Parameters!$I$315</definedName>
    <definedName name="stlpjob17">[4]Parameters!$I$316</definedName>
    <definedName name="stlpjob18">[4]Parameters!$I$317</definedName>
    <definedName name="stlpjob19">[4]Parameters!$I$318</definedName>
    <definedName name="stlpjob2">[4]Parameters!$I$301</definedName>
    <definedName name="stlpjob20">[4]Parameters!$I$319</definedName>
    <definedName name="stlpjob21">[4]Parameters!$I$320</definedName>
    <definedName name="stlpjob22">[4]Parameters!$I$321</definedName>
    <definedName name="stlpjob23">[4]Parameters!$I$322</definedName>
    <definedName name="stlpjob24">[4]Parameters!$I$323</definedName>
    <definedName name="stlpjob25">[4]Parameters!$I$324</definedName>
    <definedName name="stlpjob26">[4]Parameters!$I$325</definedName>
    <definedName name="stlpjob27">[4]Parameters!$I$326</definedName>
    <definedName name="stlpjob28">[4]Parameters!$I$327</definedName>
    <definedName name="stlpjob29">[4]Parameters!$I$328</definedName>
    <definedName name="stlpjob3">[4]Parameters!$I$302</definedName>
    <definedName name="stlpjob30">[4]Parameters!$I$329</definedName>
    <definedName name="stlpjob31">[4]Parameters!$I$330</definedName>
    <definedName name="stlpjob32">[4]Parameters!$I$331</definedName>
    <definedName name="stlpjob33">[4]Parameters!$I$332</definedName>
    <definedName name="stlpjob34">[4]Parameters!$I$333</definedName>
    <definedName name="stlpjob35">[4]Parameters!$I$334</definedName>
    <definedName name="stlpjob36">[4]Parameters!$I$335</definedName>
    <definedName name="stlpjob37">[4]Parameters!$I$336</definedName>
    <definedName name="stlpjob38">[4]Parameters!$I$337</definedName>
    <definedName name="stlpjob39">[4]Parameters!$I$338</definedName>
    <definedName name="stlpjob4">[4]Parameters!$I$303</definedName>
    <definedName name="stlpjob40">[4]Parameters!$I$339</definedName>
    <definedName name="stlpjob41">[4]Parameters!$I$340</definedName>
    <definedName name="stlpjob42">[4]Parameters!$I$341</definedName>
    <definedName name="stlpjob43">[4]Parameters!$I$342</definedName>
    <definedName name="stlpjob44">[4]Parameters!$I$343</definedName>
    <definedName name="stlpjob45">[4]Parameters!$I$344</definedName>
    <definedName name="stlpjob46">[4]Parameters!$I$345</definedName>
    <definedName name="stlpjob47">[4]Parameters!$I$346</definedName>
    <definedName name="stlpjob48">[4]Parameters!$I$347</definedName>
    <definedName name="stlpjob49">[4]Parameters!$I$348</definedName>
    <definedName name="stlpjob5">[4]Parameters!$I$304</definedName>
    <definedName name="stlpjob50">[4]Parameters!$I$349</definedName>
    <definedName name="stlpjob51">[4]Parameters!$I$350</definedName>
    <definedName name="stlpjob52">[4]Parameters!$I$351</definedName>
    <definedName name="stlpjob53">[4]Parameters!$I$352</definedName>
    <definedName name="stlpjob54">[4]Parameters!$I$353</definedName>
    <definedName name="stlpjob55">[4]Parameters!$I$354</definedName>
    <definedName name="stlpjob56">[4]Parameters!$I$355</definedName>
    <definedName name="stlpjob57">[4]Parameters!$I$356</definedName>
    <definedName name="stlpjob58">[4]Parameters!$I$357</definedName>
    <definedName name="stlpjob59">[4]Parameters!$I$358</definedName>
    <definedName name="stlpjob6">[4]Parameters!$I$305</definedName>
    <definedName name="stlpjob60">[4]Parameters!$I$359</definedName>
    <definedName name="stlpjob61">[4]Parameters!$I$360</definedName>
    <definedName name="stlpjob62">[4]Parameters!$I$361</definedName>
    <definedName name="stlpjob63">[4]Parameters!$I$362</definedName>
    <definedName name="stlpjob64">[4]Parameters!$I$363</definedName>
    <definedName name="stlpjob65">[4]Parameters!$I$364</definedName>
    <definedName name="stlpjob66">[4]Parameters!$I$365</definedName>
    <definedName name="stlpjob67">[4]Parameters!$I$366</definedName>
    <definedName name="stlpjob68">[4]Parameters!$I$367</definedName>
    <definedName name="stlpjob69">[4]Parameters!$I$368</definedName>
    <definedName name="stlpjob7">[4]Parameters!$I$306</definedName>
    <definedName name="stlpjob70">[4]Parameters!$I$369</definedName>
    <definedName name="stlpjob71">[4]Parameters!$I$370</definedName>
    <definedName name="stlpjob72">[4]Parameters!$I$371</definedName>
    <definedName name="stlpjob73">[4]Parameters!$I$372</definedName>
    <definedName name="stlpjob74">[4]Parameters!$I$373</definedName>
    <definedName name="stlpjob75">[4]Parameters!$I$374</definedName>
    <definedName name="stlpjob8">[4]Parameters!$I$307</definedName>
    <definedName name="stlpjob9">[4]Parameters!$I$308</definedName>
    <definedName name="stlpname11">[4]Parameters!$C$310</definedName>
    <definedName name="stlpname12">[4]Parameters!$C$311</definedName>
    <definedName name="stlpname13">[4]Parameters!$C$312</definedName>
    <definedName name="stlpname14">[4]Parameters!$C$313</definedName>
    <definedName name="stlpname15">[4]Parameters!$C$314</definedName>
    <definedName name="stlpname16">[4]Parameters!$C$315</definedName>
    <definedName name="stlpname17">[4]Parameters!$C$316</definedName>
    <definedName name="stlpname18">[4]Parameters!$C$317</definedName>
    <definedName name="stlpname19">[4]Parameters!$C$318</definedName>
    <definedName name="stlpname20">[4]Parameters!$C$319</definedName>
    <definedName name="stlpname21">[4]Parameters!$C$320</definedName>
    <definedName name="stlpname22">[4]Parameters!$C$321</definedName>
    <definedName name="stlpname23">[4]Parameters!$C$322</definedName>
    <definedName name="stlpname24">[4]Parameters!$C$323</definedName>
    <definedName name="stlpname25">[4]Parameters!$C$324</definedName>
    <definedName name="stlpname26">[4]Parameters!$C$325</definedName>
    <definedName name="stlpname27">[4]Parameters!$C$326</definedName>
    <definedName name="stlpname28">[4]Parameters!$C$327</definedName>
    <definedName name="stlpname29">[4]Parameters!$C$328</definedName>
    <definedName name="stlpname30">[4]Parameters!$C$329</definedName>
    <definedName name="stlpname31">[4]Parameters!$C$330</definedName>
    <definedName name="stlpname32">[4]Parameters!$C$331</definedName>
    <definedName name="stlpname33">[4]Parameters!$C$332</definedName>
    <definedName name="stlpname34">[4]Parameters!$C$333</definedName>
    <definedName name="stlpname35">[4]Parameters!$C$334</definedName>
    <definedName name="stlpname36">[4]Parameters!$C$335</definedName>
    <definedName name="stlpname37">[4]Parameters!$C$336</definedName>
    <definedName name="stlpname38">[4]Parameters!$C$337</definedName>
    <definedName name="stlpname39">[4]Parameters!$C$338</definedName>
    <definedName name="stlpname40">[4]Parameters!$C$339</definedName>
    <definedName name="stlpname41">[4]Parameters!$C$340</definedName>
    <definedName name="stlpname42">[4]Parameters!$C$341</definedName>
    <definedName name="stlpname43">[4]Parameters!$C$342</definedName>
    <definedName name="stlpname44">[4]Parameters!$C$343</definedName>
    <definedName name="stlpname45">[4]Parameters!$C$344</definedName>
    <definedName name="stlpname46">[4]Parameters!$C$345</definedName>
    <definedName name="stlpname47">[4]Parameters!$C$346</definedName>
    <definedName name="stlpname48">[4]Parameters!$C$347</definedName>
    <definedName name="stlpname49">[4]Parameters!$C$348</definedName>
    <definedName name="stlpname50">[4]Parameters!$C$349</definedName>
    <definedName name="stlpname51">[4]Parameters!$C$350</definedName>
    <definedName name="stlpname52">[4]Parameters!$C$351</definedName>
    <definedName name="stlpname53">[4]Parameters!$C$352</definedName>
    <definedName name="stlpname54">[4]Parameters!$C$353</definedName>
    <definedName name="stlpname55">[4]Parameters!$C$354</definedName>
    <definedName name="stlpname56">[4]Parameters!$C$355</definedName>
    <definedName name="stlpname57">[4]Parameters!$C$356</definedName>
    <definedName name="stlpname58">[4]Parameters!$C$357</definedName>
    <definedName name="stlpname59">[4]Parameters!$C$358</definedName>
    <definedName name="stlpname60">[4]Parameters!$C$359</definedName>
    <definedName name="stlpname61">[4]Parameters!$C$360</definedName>
    <definedName name="stlpname62">[4]Parameters!$C$361</definedName>
    <definedName name="stlpname63">[4]Parameters!$C$362</definedName>
    <definedName name="stlpname64">[4]Parameters!$C$363</definedName>
    <definedName name="stlpname65">[4]Parameters!$C$364</definedName>
    <definedName name="stlpname66">[4]Parameters!$C$365</definedName>
    <definedName name="stlpname67">[4]Parameters!$C$366</definedName>
    <definedName name="stlpname68">[4]Parameters!$C$367</definedName>
    <definedName name="stlpname69">[4]Parameters!$C$368</definedName>
    <definedName name="stlpname70">[4]Parameters!$C$369</definedName>
    <definedName name="stlpname71">[4]Parameters!$C$370</definedName>
    <definedName name="stlpname72">[4]Parameters!$C$371</definedName>
    <definedName name="stlpname73">[4]Parameters!$C$372</definedName>
    <definedName name="stlpname74">[4]Parameters!$C$373</definedName>
    <definedName name="stlpname75">[4]Parameters!$C$374</definedName>
    <definedName name="stlpsal11">[4]Parameters!$E$310</definedName>
    <definedName name="stlpsal12">[4]Parameters!$E$311</definedName>
    <definedName name="stlpsal13">[4]Parameters!$E$312</definedName>
    <definedName name="stlpsal14">[4]Parameters!$E$313</definedName>
    <definedName name="stlpsal15">[4]Parameters!$E$314</definedName>
    <definedName name="stlpsal16">[4]Parameters!$E$315</definedName>
    <definedName name="stlpsal17">[4]Parameters!$E$316</definedName>
    <definedName name="stlpsal18">[4]Parameters!$E$317</definedName>
    <definedName name="stlpsal19">[4]Parameters!$E$318</definedName>
    <definedName name="stlpsal20">[4]Parameters!$E$319</definedName>
    <definedName name="stlpsal21">[4]Parameters!$E$320</definedName>
    <definedName name="stlpsal22">[4]Parameters!$E$321</definedName>
    <definedName name="stlpsal23">[4]Parameters!$E$322</definedName>
    <definedName name="stlpsal24">[4]Parameters!$E$323</definedName>
    <definedName name="stlpsal25">[4]Parameters!$E$324</definedName>
    <definedName name="stlpsal26">[4]Parameters!$E$325</definedName>
    <definedName name="stlpsal27">[4]Parameters!$E$326</definedName>
    <definedName name="stlpsal28">[4]Parameters!$E$327</definedName>
    <definedName name="stlpsal29">[4]Parameters!$E$328</definedName>
    <definedName name="stlpsal30">[4]Parameters!$E$329</definedName>
    <definedName name="stlpsal31">[4]Parameters!$E$330</definedName>
    <definedName name="stlpsal32">[4]Parameters!$E$331</definedName>
    <definedName name="stlpsal33">[4]Parameters!$E$332</definedName>
    <definedName name="stlpsal34">[4]Parameters!$E$333</definedName>
    <definedName name="stlpsal35">[4]Parameters!$E$334</definedName>
    <definedName name="stlpsal36">[4]Parameters!$E$335</definedName>
    <definedName name="stlpsal37">[4]Parameters!$E$336</definedName>
    <definedName name="stlpsal38">[4]Parameters!$E$337</definedName>
    <definedName name="stlpsal39">[4]Parameters!$E$338</definedName>
    <definedName name="stlpsal40">[4]Parameters!$E$339</definedName>
    <definedName name="stlpsal41">[4]Parameters!$E$340</definedName>
    <definedName name="stlpsal42">[4]Parameters!$E$341</definedName>
    <definedName name="stlpsal43">[4]Parameters!$E$342</definedName>
    <definedName name="stlpsal44">[4]Parameters!$E$343</definedName>
    <definedName name="stlpsal45">[4]Parameters!$E$344</definedName>
    <definedName name="stlpsal46">[4]Parameters!$E$345</definedName>
    <definedName name="stlpsal47">[4]Parameters!$E$346</definedName>
    <definedName name="stlpsal48">[4]Parameters!$E$347</definedName>
    <definedName name="stlpsal49">[4]Parameters!$E$348</definedName>
    <definedName name="stlpsal50">[4]Parameters!$E$349</definedName>
    <definedName name="stlpsal51">[4]Parameters!$E$350</definedName>
    <definedName name="stlpsal52">[4]Parameters!$E$351</definedName>
    <definedName name="stlpsal53">[4]Parameters!$E$352</definedName>
    <definedName name="stlpsal54">[4]Parameters!$E$353</definedName>
    <definedName name="stlpsal55">[4]Parameters!$E$354</definedName>
    <definedName name="stlpsal56">[4]Parameters!$E$355</definedName>
    <definedName name="stlpsal57">[4]Parameters!$E$356</definedName>
    <definedName name="stlpsal58">[4]Parameters!$E$357</definedName>
    <definedName name="stlpsal59">[4]Parameters!$E$358</definedName>
    <definedName name="stlpsal60">[4]Parameters!$E$359</definedName>
    <definedName name="stlpsal61">[4]Parameters!$E$360</definedName>
    <definedName name="stlpsal62">[4]Parameters!$E$361</definedName>
    <definedName name="stlpsal63">[4]Parameters!$E$362</definedName>
    <definedName name="stlpsal64">[4]Parameters!$E$363</definedName>
    <definedName name="stlpsal65">[4]Parameters!$E$364</definedName>
    <definedName name="stlpsal66">[4]Parameters!$E$365</definedName>
    <definedName name="stlpsal67">[4]Parameters!$E$366</definedName>
    <definedName name="stlpsal68">[4]Parameters!$E$367</definedName>
    <definedName name="stlpsal69">[4]Parameters!$E$368</definedName>
    <definedName name="stlpsal70">[4]Parameters!$E$369</definedName>
    <definedName name="stlpsal71">[4]Parameters!$E$370</definedName>
    <definedName name="stlpsal72">[4]Parameters!$E$371</definedName>
    <definedName name="stlpsal73">[4]Parameters!$E$372</definedName>
    <definedName name="stlpsal74">[4]Parameters!$E$373</definedName>
    <definedName name="stlpsal75">[4]Parameters!$E$374</definedName>
    <definedName name="storage1">'[8]Input Tab'!$F$24</definedName>
    <definedName name="storage2">'[8]Input Tab'!$G$24</definedName>
    <definedName name="storage3">'[8]Input Tab'!$H$24</definedName>
    <definedName name="storage4">'[8]Input Tab'!#REF!</definedName>
    <definedName name="storage5">'[8]Input Tab'!#REF!</definedName>
    <definedName name="STTA_Accra">[31]Assumptions!#REF!</definedName>
    <definedName name="STTA_Dayspertrip">[25]Assumptions!$B$25</definedName>
    <definedName name="STTA_Field">[31]Assumptions!#REF!</definedName>
    <definedName name="sttcn">[4]Parameters!$A$285</definedName>
    <definedName name="sttcn1">[4]Parameters!$A$287</definedName>
    <definedName name="sttcn10">[4]Parameters!$A$296</definedName>
    <definedName name="sttcn10co">[4]Parameters!$G$296</definedName>
    <definedName name="sttcn10name">[4]Parameters!$C$296</definedName>
    <definedName name="sttcn10sal1">[4]Parameters!$E$296</definedName>
    <definedName name="sttcn1co">[4]Parameters!$G$287</definedName>
    <definedName name="sttcn1name">[4]Parameters!$C$287</definedName>
    <definedName name="sttcn1sal1">[4]Parameters!$E$287</definedName>
    <definedName name="sttcn2">[4]Parameters!$A$288</definedName>
    <definedName name="sttcn2co">[4]Parameters!$G$288</definedName>
    <definedName name="sttcn2name">[4]Parameters!$C$288</definedName>
    <definedName name="sttcn2sal1">[4]Parameters!$E$288</definedName>
    <definedName name="sttcn3">[4]Parameters!$A$289</definedName>
    <definedName name="sttcn3co">[4]Parameters!$G$289</definedName>
    <definedName name="sttcn3name">[4]Parameters!$C$289</definedName>
    <definedName name="sttcn3sal1">[4]Parameters!$E$289</definedName>
    <definedName name="sttcn4">[4]Parameters!$A$290</definedName>
    <definedName name="sttcn4co">[4]Parameters!$G$290</definedName>
    <definedName name="sttcn4name">[4]Parameters!$C$290</definedName>
    <definedName name="sttcn4sal1">[4]Parameters!$E$290</definedName>
    <definedName name="sttcn5">[4]Parameters!$A$291</definedName>
    <definedName name="sttcn5co">[4]Parameters!$G$291</definedName>
    <definedName name="sttcn5name">[4]Parameters!$C$291</definedName>
    <definedName name="sttcn5sal1">[4]Parameters!$E$291</definedName>
    <definedName name="sttcn6">[4]Parameters!$A$292</definedName>
    <definedName name="sttcn6co">[4]Parameters!$G$292</definedName>
    <definedName name="sttcn6name">[4]Parameters!$C$292</definedName>
    <definedName name="sttcn6sal1">[4]Parameters!$E$292</definedName>
    <definedName name="sttcn7">[4]Parameters!$A$293</definedName>
    <definedName name="sttcn7co">[4]Parameters!$G$293</definedName>
    <definedName name="sttcn7name">[4]Parameters!$C$293</definedName>
    <definedName name="sttcn7sal1">[4]Parameters!$E$293</definedName>
    <definedName name="sttcn8">[4]Parameters!$A$294</definedName>
    <definedName name="sttcn8co">[4]Parameters!$G$294</definedName>
    <definedName name="sttcn8name">[4]Parameters!$C$294</definedName>
    <definedName name="sttcn8sal1">[4]Parameters!$E$294</definedName>
    <definedName name="sttcn9">[4]Parameters!$A$295</definedName>
    <definedName name="sttcn9co">[4]Parameters!$G$295</definedName>
    <definedName name="sttcn9name">[4]Parameters!$C$295</definedName>
    <definedName name="sttcn9sal1">[4]Parameters!$E$295</definedName>
    <definedName name="sttcnjob1">[4]Parameters!$I$287</definedName>
    <definedName name="sttcnjob10">[4]Parameters!$I$296</definedName>
    <definedName name="sttcnjob2">[4]Parameters!$I$288</definedName>
    <definedName name="sttcnjob3">[4]Parameters!$I$289</definedName>
    <definedName name="sttcnjob4">[4]Parameters!$I$290</definedName>
    <definedName name="sttcnjob5">[4]Parameters!$I$291</definedName>
    <definedName name="sttcnjob6">[4]Parameters!$I$292</definedName>
    <definedName name="sttcnjob7">[4]Parameters!$I$293</definedName>
    <definedName name="sttcnjob8">[4]Parameters!$I$294</definedName>
    <definedName name="sttcnjob9">[4]Parameters!$I$295</definedName>
    <definedName name="Sttripfactor">[9]Sheet1!$C$18</definedName>
    <definedName name="stus">[4]Parameters!$A$207</definedName>
    <definedName name="stus1">[4]Parameters!$A$209</definedName>
    <definedName name="stus10">[4]Parameters!$A$218</definedName>
    <definedName name="stus10co">[4]Parameters!$G$218</definedName>
    <definedName name="stus10name">[4]Parameters!$C$218</definedName>
    <definedName name="stus10sal1">[4]Parameters!$E$218</definedName>
    <definedName name="stus11">[4]Parameters!$A$219</definedName>
    <definedName name="stus12">[4]Parameters!$A$220</definedName>
    <definedName name="stus13">[4]Parameters!$A$221</definedName>
    <definedName name="stus14">[4]Parameters!$A$222</definedName>
    <definedName name="stus15">[4]Parameters!$A$223</definedName>
    <definedName name="stus16">[4]Parameters!$A$224</definedName>
    <definedName name="stus17">[4]Parameters!$A$225</definedName>
    <definedName name="stus18">[4]Parameters!$A$226</definedName>
    <definedName name="stus19">[4]Parameters!$A$227</definedName>
    <definedName name="stus1co">[4]Parameters!$G$209</definedName>
    <definedName name="stus1name">[4]Parameters!$C$209</definedName>
    <definedName name="stus1sal1">[4]Parameters!$E$209</definedName>
    <definedName name="stus2">[4]Parameters!$A$210</definedName>
    <definedName name="stus20">[4]Parameters!$A$228</definedName>
    <definedName name="stus21">[4]Parameters!$A$229</definedName>
    <definedName name="stus22">[4]Parameters!$A$230</definedName>
    <definedName name="stus23">[4]Parameters!$A$231</definedName>
    <definedName name="stus24">[4]Parameters!$A$232</definedName>
    <definedName name="stus25">[4]Parameters!$A$233</definedName>
    <definedName name="stus26">[4]Parameters!$A$234</definedName>
    <definedName name="stus27">[4]Parameters!$A$235</definedName>
    <definedName name="stus28">[4]Parameters!$A$236</definedName>
    <definedName name="stus29">[4]Parameters!$A$237</definedName>
    <definedName name="stus2co">[4]Parameters!$G$210</definedName>
    <definedName name="stus2name">[4]Parameters!$C$210</definedName>
    <definedName name="stus2sal1">[4]Parameters!$E$210</definedName>
    <definedName name="stus3">[4]Parameters!$A$211</definedName>
    <definedName name="stus30">[4]Parameters!$A$238</definedName>
    <definedName name="stus31">[4]Parameters!$A$239</definedName>
    <definedName name="stus32">[4]Parameters!$A$240</definedName>
    <definedName name="stus33">[4]Parameters!$A$241</definedName>
    <definedName name="stus34">[4]Parameters!$A$242</definedName>
    <definedName name="stus35">[4]Parameters!$A$243</definedName>
    <definedName name="stus36">[4]Parameters!$A$244</definedName>
    <definedName name="stus37">[4]Parameters!$A$245</definedName>
    <definedName name="stus38">[4]Parameters!$A$246</definedName>
    <definedName name="stus39">[4]Parameters!$A$247</definedName>
    <definedName name="stus3co">[4]Parameters!$G$211</definedName>
    <definedName name="stus3name">[4]Parameters!$C$211</definedName>
    <definedName name="stus3sal1">[4]Parameters!$E$211</definedName>
    <definedName name="stus4">[4]Parameters!$A$212</definedName>
    <definedName name="stus40">[4]Parameters!$A$248</definedName>
    <definedName name="stus41">[4]Parameters!$A$249</definedName>
    <definedName name="stus42">[4]Parameters!$A$250</definedName>
    <definedName name="stus43">[4]Parameters!$A$251</definedName>
    <definedName name="stus44">[4]Parameters!$A$252</definedName>
    <definedName name="stus45">[4]Parameters!$A$253</definedName>
    <definedName name="stus46">[4]Parameters!$A$254</definedName>
    <definedName name="stus47">[4]Parameters!$A$255</definedName>
    <definedName name="stus48">[4]Parameters!$A$256</definedName>
    <definedName name="stus49">[4]Parameters!$A$257</definedName>
    <definedName name="stus4co">[4]Parameters!$G$212</definedName>
    <definedName name="stus4name">[4]Parameters!$C$212</definedName>
    <definedName name="stus4sal1">[4]Parameters!$E$212</definedName>
    <definedName name="stus5">[4]Parameters!$A$213</definedName>
    <definedName name="stus50">[4]Parameters!$A$258</definedName>
    <definedName name="stus51">[4]Parameters!$A$259</definedName>
    <definedName name="stus52">[4]Parameters!$A$260</definedName>
    <definedName name="stus53">[4]Parameters!$A$261</definedName>
    <definedName name="stus54">[4]Parameters!$A$262</definedName>
    <definedName name="stus55">[4]Parameters!$A$263</definedName>
    <definedName name="stus56">[4]Parameters!$A$264</definedName>
    <definedName name="stus57">[4]Parameters!$A$265</definedName>
    <definedName name="stus58">[4]Parameters!$A$266</definedName>
    <definedName name="stus59">[4]Parameters!$A$267</definedName>
    <definedName name="stus5co">[4]Parameters!$G$213</definedName>
    <definedName name="stus5name">[4]Parameters!$C$213</definedName>
    <definedName name="stus5sal1">[4]Parameters!$E$213</definedName>
    <definedName name="stus6">[4]Parameters!$A$214</definedName>
    <definedName name="stus60">[4]Parameters!$A$268</definedName>
    <definedName name="stus61">[4]Parameters!$A$269</definedName>
    <definedName name="stus62">[4]Parameters!$A$270</definedName>
    <definedName name="stus63">[4]Parameters!$A$271</definedName>
    <definedName name="stus64">[4]Parameters!$A$272</definedName>
    <definedName name="stus65">[4]Parameters!$A$273</definedName>
    <definedName name="stus66">[4]Parameters!$A$274</definedName>
    <definedName name="stus67">[4]Parameters!$A$275</definedName>
    <definedName name="stus68">[4]Parameters!$A$276</definedName>
    <definedName name="stus69">[4]Parameters!$A$277</definedName>
    <definedName name="stus6co">[4]Parameters!$G$214</definedName>
    <definedName name="stus6name">[4]Parameters!$C$214</definedName>
    <definedName name="stus6sal1">[4]Parameters!$E$214</definedName>
    <definedName name="stus7">[4]Parameters!$A$215</definedName>
    <definedName name="stus70">[4]Parameters!$A$278</definedName>
    <definedName name="stus71">[4]Parameters!$A$279</definedName>
    <definedName name="stus72">[4]Parameters!$A$280</definedName>
    <definedName name="stus73">[4]Parameters!$A$281</definedName>
    <definedName name="stus74">[4]Parameters!$A$282</definedName>
    <definedName name="stus75">[4]Parameters!$A$283</definedName>
    <definedName name="stus7co">[4]Parameters!$G$215</definedName>
    <definedName name="stus7name">[4]Parameters!$C$215</definedName>
    <definedName name="stus7sal1">[4]Parameters!$E$215</definedName>
    <definedName name="stus8">[4]Parameters!$A$216</definedName>
    <definedName name="stus8co">[4]Parameters!$G$216</definedName>
    <definedName name="stus8name">[4]Parameters!$C$216</definedName>
    <definedName name="stus8sal1">[4]Parameters!$E$216</definedName>
    <definedName name="stus9">[4]Parameters!$A$217</definedName>
    <definedName name="stus9co">[4]Parameters!$G$217</definedName>
    <definedName name="stus9name">[4]Parameters!$C$217</definedName>
    <definedName name="stus9sal1">[4]Parameters!$E$217</definedName>
    <definedName name="stusco11">[4]Parameters!$G$219</definedName>
    <definedName name="stusco12">[4]Parameters!$G$220</definedName>
    <definedName name="stusco13">[4]Parameters!$G$221</definedName>
    <definedName name="stusco14">[4]Parameters!$G$222</definedName>
    <definedName name="stusco15">[4]Parameters!$G$223</definedName>
    <definedName name="stusco16">[4]Parameters!$G$224</definedName>
    <definedName name="stusco17">[4]Parameters!$G$225</definedName>
    <definedName name="stusco18">[4]Parameters!$G$226</definedName>
    <definedName name="stusco19">[4]Parameters!$G$227</definedName>
    <definedName name="stusco20">[4]Parameters!$G$228</definedName>
    <definedName name="stusco21">[4]Parameters!$G$229</definedName>
    <definedName name="stusco22">[4]Parameters!$G$230</definedName>
    <definedName name="stusco23">[4]Parameters!$G$231</definedName>
    <definedName name="stusco24">[4]Parameters!$G$232</definedName>
    <definedName name="stusco25">[4]Parameters!$G$233</definedName>
    <definedName name="stusco26">[4]Parameters!$G$234</definedName>
    <definedName name="stusco27">[4]Parameters!$G$235</definedName>
    <definedName name="stusco28">[4]Parameters!$G$236</definedName>
    <definedName name="stusco29">[4]Parameters!$G$237</definedName>
    <definedName name="stusco30">[4]Parameters!$G$238</definedName>
    <definedName name="stusco31">[4]Parameters!$G$239</definedName>
    <definedName name="stusco32">[4]Parameters!$G$240</definedName>
    <definedName name="stusco33">[4]Parameters!$G$241</definedName>
    <definedName name="stusco34">[4]Parameters!$G$242</definedName>
    <definedName name="stusco35">[4]Parameters!$G$243</definedName>
    <definedName name="stusco36">[4]Parameters!$G$244</definedName>
    <definedName name="stusco37">[4]Parameters!$G$245</definedName>
    <definedName name="stusco38">[4]Parameters!$G$246</definedName>
    <definedName name="stusco39">[4]Parameters!$G$247</definedName>
    <definedName name="stusco40">[4]Parameters!$G$248</definedName>
    <definedName name="stusco41">[4]Parameters!$G$249</definedName>
    <definedName name="stusco42">[4]Parameters!$G$250</definedName>
    <definedName name="stusco43">[4]Parameters!$G$251</definedName>
    <definedName name="stusco44">[4]Parameters!$G$252</definedName>
    <definedName name="stusco45">[4]Parameters!$G$253</definedName>
    <definedName name="stusco46">[4]Parameters!$G$254</definedName>
    <definedName name="stusco47">[4]Parameters!$G$255</definedName>
    <definedName name="stusco48">[4]Parameters!$G$256</definedName>
    <definedName name="stusco49">[4]Parameters!$G$257</definedName>
    <definedName name="stusco50">[4]Parameters!$G$258</definedName>
    <definedName name="stusco51">[4]Parameters!$G$259</definedName>
    <definedName name="stusco52">[4]Parameters!$G$260</definedName>
    <definedName name="stusco53">[4]Parameters!$G$261</definedName>
    <definedName name="stusco54">[4]Parameters!$G$262</definedName>
    <definedName name="stusco55">[4]Parameters!$G$263</definedName>
    <definedName name="stusco56">[4]Parameters!$G$264</definedName>
    <definedName name="stusco57">[4]Parameters!$G$265</definedName>
    <definedName name="stusco58">[4]Parameters!$G$266</definedName>
    <definedName name="stusco59">[4]Parameters!$G$267</definedName>
    <definedName name="stusco60">[4]Parameters!$G$268</definedName>
    <definedName name="stusco61">[4]Parameters!$G$269</definedName>
    <definedName name="stusco62">[4]Parameters!$G$270</definedName>
    <definedName name="stusco63">[4]Parameters!$G$271</definedName>
    <definedName name="stusco64">[4]Parameters!$G$272</definedName>
    <definedName name="stusco65">[4]Parameters!$G$273</definedName>
    <definedName name="stusco66">[4]Parameters!$G$274</definedName>
    <definedName name="stusco67">[4]Parameters!$G$275</definedName>
    <definedName name="stusco68">[4]Parameters!$G$276</definedName>
    <definedName name="stusco69">[4]Parameters!$G$277</definedName>
    <definedName name="stusco70">[4]Parameters!$G$278</definedName>
    <definedName name="stusco71">[4]Parameters!$G$279</definedName>
    <definedName name="stusco72">[4]Parameters!$G$280</definedName>
    <definedName name="stusco73">[4]Parameters!$G$281</definedName>
    <definedName name="stusco74">[4]Parameters!$G$282</definedName>
    <definedName name="stusco75">[4]Parameters!$G$283</definedName>
    <definedName name="stusjob1">[4]Parameters!$I$209</definedName>
    <definedName name="stusjob10">[4]Parameters!$I$218</definedName>
    <definedName name="stusjob11">[4]Parameters!$I$219</definedName>
    <definedName name="stusjob12">[4]Parameters!$I$220</definedName>
    <definedName name="stusjob13">[4]Parameters!$I$221</definedName>
    <definedName name="stusjob14">[4]Parameters!$I$222</definedName>
    <definedName name="stusjob15">[4]Parameters!$I$223</definedName>
    <definedName name="stusjob16">[4]Parameters!$I$224</definedName>
    <definedName name="stusjob17">[4]Parameters!$I$225</definedName>
    <definedName name="stusjob18">[4]Parameters!$I$226</definedName>
    <definedName name="stusjob19">[4]Parameters!$I$227</definedName>
    <definedName name="stusjob2">[4]Parameters!$I$210</definedName>
    <definedName name="stusjob20">[4]Parameters!$I$228</definedName>
    <definedName name="stusjob21">[4]Parameters!$I$229</definedName>
    <definedName name="stusjob22">[4]Parameters!$I$230</definedName>
    <definedName name="stusjob23">[4]Parameters!$I$231</definedName>
    <definedName name="stusjob24">[4]Parameters!$I$232</definedName>
    <definedName name="stusjob25">[4]Parameters!$I$233</definedName>
    <definedName name="stusjob26">[4]Parameters!$I$234</definedName>
    <definedName name="stusjob27">[4]Parameters!$I$235</definedName>
    <definedName name="stusjob28">[4]Parameters!$I$236</definedName>
    <definedName name="stusjob29">[4]Parameters!$I$237</definedName>
    <definedName name="stusjob3">[4]Parameters!$I$211</definedName>
    <definedName name="stusjob30">[4]Parameters!$I$238</definedName>
    <definedName name="stusjob31">[4]Parameters!$I$239</definedName>
    <definedName name="stusjob32">[4]Parameters!$I$240</definedName>
    <definedName name="stusjob33">[4]Parameters!$I$241</definedName>
    <definedName name="stusjob34">[4]Parameters!$I$242</definedName>
    <definedName name="stusjob35">[4]Parameters!$I$243</definedName>
    <definedName name="stusjob36">[4]Parameters!$I$244</definedName>
    <definedName name="stusjob37">[4]Parameters!$I$245</definedName>
    <definedName name="stusjob38">[4]Parameters!$I$246</definedName>
    <definedName name="stusjob39">[4]Parameters!$I$247</definedName>
    <definedName name="stusjob4">[4]Parameters!$I$212</definedName>
    <definedName name="stusjob40">[4]Parameters!$I$248</definedName>
    <definedName name="stusjob41">[4]Parameters!$I$249</definedName>
    <definedName name="stusjob42">[4]Parameters!$I$250</definedName>
    <definedName name="stusjob43">[4]Parameters!$I$251</definedName>
    <definedName name="stusjob44">[4]Parameters!$I$252</definedName>
    <definedName name="stusjob45">[4]Parameters!$I$253</definedName>
    <definedName name="stusjob46">[4]Parameters!$I$254</definedName>
    <definedName name="stusjob47">[4]Parameters!$I$255</definedName>
    <definedName name="stusjob48">[4]Parameters!$I$256</definedName>
    <definedName name="stusjob49">[4]Parameters!$I$257</definedName>
    <definedName name="stusjob5">[4]Parameters!$I$213</definedName>
    <definedName name="stusjob51">[4]Parameters!$I$259</definedName>
    <definedName name="stusjob52">[4]Parameters!$I$260</definedName>
    <definedName name="stusjob53">[4]Parameters!$I$261</definedName>
    <definedName name="stusjob54">[4]Parameters!$I$262</definedName>
    <definedName name="stusjob55">[4]Parameters!$I$263</definedName>
    <definedName name="stusjob56">[4]Parameters!$I$264</definedName>
    <definedName name="stusjob57">[4]Parameters!$I$265</definedName>
    <definedName name="stusjob58">[4]Parameters!$I$266</definedName>
    <definedName name="stusjob59">[4]Parameters!$I$267</definedName>
    <definedName name="stusjob6">[4]Parameters!$I$214</definedName>
    <definedName name="stusjob60">[4]Parameters!$I$268</definedName>
    <definedName name="stusjob61">[4]Parameters!$I$269</definedName>
    <definedName name="stusjob62">[4]Parameters!$I$270</definedName>
    <definedName name="stusjob63">[4]Parameters!$I$271</definedName>
    <definedName name="stusjob64">[4]Parameters!$I$272</definedName>
    <definedName name="stusjob65">[4]Parameters!$I$273</definedName>
    <definedName name="stusjob66">[4]Parameters!$I$274</definedName>
    <definedName name="stusjob67">[4]Parameters!$I$275</definedName>
    <definedName name="stusjob68">[4]Parameters!$I$276</definedName>
    <definedName name="stusjob69">[4]Parameters!$I$277</definedName>
    <definedName name="stusjob7">[4]Parameters!$I$215</definedName>
    <definedName name="stusjob70">[4]Parameters!$I$278</definedName>
    <definedName name="stusjob71">[4]Parameters!$I$279</definedName>
    <definedName name="stusjob72">[4]Parameters!$I$280</definedName>
    <definedName name="stusjob73">[4]Parameters!$I$281</definedName>
    <definedName name="stusjob74">[4]Parameters!$I$282</definedName>
    <definedName name="stusjob75">[4]Parameters!$I$283</definedName>
    <definedName name="stusjob8">[4]Parameters!$I$216</definedName>
    <definedName name="stusjob9">[4]Parameters!$I$217</definedName>
    <definedName name="stusname11">[4]Parameters!$C$219</definedName>
    <definedName name="stusname12">[4]Parameters!$C$220</definedName>
    <definedName name="stusname13">[4]Parameters!$C$221</definedName>
    <definedName name="stusname14">[4]Parameters!$C$222</definedName>
    <definedName name="stusname15">[4]Parameters!$C$223</definedName>
    <definedName name="stusname16">[4]Parameters!$C$224</definedName>
    <definedName name="stusname17">[4]Parameters!$C$225</definedName>
    <definedName name="stusname18">[4]Parameters!$C$226</definedName>
    <definedName name="stusname19">[4]Parameters!$C$227</definedName>
    <definedName name="stusname20">[4]Parameters!$C$228</definedName>
    <definedName name="stusname21">[4]Parameters!$C$229</definedName>
    <definedName name="stusname22">[4]Parameters!$C$230</definedName>
    <definedName name="stusname23">[4]Parameters!$C$231</definedName>
    <definedName name="stusname24">[4]Parameters!$C$232</definedName>
    <definedName name="stusname25">[4]Parameters!$C$233</definedName>
    <definedName name="stusname26">[4]Parameters!$C$234</definedName>
    <definedName name="stusname27">[4]Parameters!$C$235</definedName>
    <definedName name="stusname28">[4]Parameters!$C$236</definedName>
    <definedName name="stusname29">[4]Parameters!$C$237</definedName>
    <definedName name="stusname30">[4]Parameters!$C$238</definedName>
    <definedName name="stusname31">[4]Parameters!$C$239</definedName>
    <definedName name="stusname32">[4]Parameters!$C$240</definedName>
    <definedName name="stusname33">[4]Parameters!$C$241</definedName>
    <definedName name="stusname34">[4]Parameters!$C$242</definedName>
    <definedName name="stusname35">[4]Parameters!$C$243</definedName>
    <definedName name="stusname36">[4]Parameters!$C$244</definedName>
    <definedName name="stusname37">[4]Parameters!$C$245</definedName>
    <definedName name="stusname38">[4]Parameters!$C$246</definedName>
    <definedName name="stusname39">[4]Parameters!$C$247</definedName>
    <definedName name="stusname40">[4]Parameters!$C$248</definedName>
    <definedName name="stusname41">[4]Parameters!$C$249</definedName>
    <definedName name="stusname42">[4]Parameters!$C$250</definedName>
    <definedName name="stusname43">[4]Parameters!$C$251</definedName>
    <definedName name="stusname44">[4]Parameters!$C$252</definedName>
    <definedName name="stusname45">[4]Parameters!$C$253</definedName>
    <definedName name="stusname46">[4]Parameters!$C$254</definedName>
    <definedName name="stusname47">[4]Parameters!$C$255</definedName>
    <definedName name="stusname48">[4]Parameters!$C$256</definedName>
    <definedName name="stusname49">[4]Parameters!$C$257</definedName>
    <definedName name="stusname50">[4]Parameters!$C$258</definedName>
    <definedName name="stusname51">[4]Parameters!$C$259</definedName>
    <definedName name="stusname52">[4]Parameters!$C$260</definedName>
    <definedName name="stusname53">[4]Parameters!$C$261</definedName>
    <definedName name="stusname54">[4]Parameters!$C$262</definedName>
    <definedName name="stusname55">[4]Parameters!$C$263</definedName>
    <definedName name="stusname56">[4]Parameters!$C$264</definedName>
    <definedName name="stusname57">[4]Parameters!$C$265</definedName>
    <definedName name="stusname58">[4]Parameters!$C$266</definedName>
    <definedName name="stusname59">[4]Parameters!$C$267</definedName>
    <definedName name="stusname60">[4]Parameters!$C$268</definedName>
    <definedName name="stusname61">[4]Parameters!$C$269</definedName>
    <definedName name="stusname62">[4]Parameters!$C$270</definedName>
    <definedName name="stusname63">[4]Parameters!$C$271</definedName>
    <definedName name="stusname64">[4]Parameters!$C$272</definedName>
    <definedName name="stusname65">[4]Parameters!$C$273</definedName>
    <definedName name="stusname66">[4]Parameters!$C$274</definedName>
    <definedName name="stusname67">[4]Parameters!$C$275</definedName>
    <definedName name="stusname68">[4]Parameters!$C$276</definedName>
    <definedName name="stusname69">[4]Parameters!$C$277</definedName>
    <definedName name="stusname70">[4]Parameters!$C$278</definedName>
    <definedName name="stusname71">[4]Parameters!$C$279</definedName>
    <definedName name="stusname72">[4]Parameters!$C$280</definedName>
    <definedName name="stusname73">[4]Parameters!$C$281</definedName>
    <definedName name="stusname74">[4]Parameters!$C$282</definedName>
    <definedName name="stusname75">[4]Parameters!$C$283</definedName>
    <definedName name="stussal11">[4]Parameters!$E$219</definedName>
    <definedName name="stussal12">[4]Parameters!$E$220</definedName>
    <definedName name="stussal13">[4]Parameters!$E$221</definedName>
    <definedName name="stussal14">[4]Parameters!$E$222</definedName>
    <definedName name="stussal15">[4]Parameters!$E$223</definedName>
    <definedName name="stussal16">[4]Parameters!$E$224</definedName>
    <definedName name="stussal17">[4]Parameters!$E$225</definedName>
    <definedName name="stussal18">[4]Parameters!$E$226</definedName>
    <definedName name="stussal19">[4]Parameters!$E$227</definedName>
    <definedName name="stussal20">[4]Parameters!$E$228</definedName>
    <definedName name="stussal21">[4]Parameters!$E$229</definedName>
    <definedName name="stussal22">[4]Parameters!$E$230</definedName>
    <definedName name="stussal23">[4]Parameters!$E$231</definedName>
    <definedName name="stussal24">[4]Parameters!$E$232</definedName>
    <definedName name="stussal25">[4]Parameters!$E$233</definedName>
    <definedName name="stussal26">[4]Parameters!$E$234</definedName>
    <definedName name="stussal27">[4]Parameters!$E$235</definedName>
    <definedName name="stussal28">[4]Parameters!$E$236</definedName>
    <definedName name="stussal29">[4]Parameters!$E$237</definedName>
    <definedName name="stussal30">[4]Parameters!$E$238</definedName>
    <definedName name="stussal31">[4]Parameters!$E$239</definedName>
    <definedName name="stussal32">[4]Parameters!$E$240</definedName>
    <definedName name="stussal33">[4]Parameters!$E$241</definedName>
    <definedName name="stussal34">[4]Parameters!$E$242</definedName>
    <definedName name="stussal35">[4]Parameters!$E$243</definedName>
    <definedName name="stussal36">[4]Parameters!$E$244</definedName>
    <definedName name="stussal37">[4]Parameters!$E$245</definedName>
    <definedName name="stussal38">[4]Parameters!$E$246</definedName>
    <definedName name="stussal39">[4]Parameters!$E$247</definedName>
    <definedName name="stussal40">[4]Parameters!$E$248</definedName>
    <definedName name="stussal41">[4]Parameters!$E$249</definedName>
    <definedName name="stussal42">[4]Parameters!$E$250</definedName>
    <definedName name="stussal43">[4]Parameters!$E$251</definedName>
    <definedName name="stussal44">[4]Parameters!$E$252</definedName>
    <definedName name="stussal45">[4]Parameters!$E$253</definedName>
    <definedName name="stussal46">[4]Parameters!$E$254</definedName>
    <definedName name="stussal47">[4]Parameters!$E$255</definedName>
    <definedName name="stussal48">[4]Parameters!$E$256</definedName>
    <definedName name="stussal49">[4]Parameters!$E$257</definedName>
    <definedName name="stussal50">[4]Parameters!$E$258</definedName>
    <definedName name="stussal51">[4]Parameters!$E$259</definedName>
    <definedName name="stussal52">[4]Parameters!$E$260</definedName>
    <definedName name="stussal53">[4]Parameters!$E$261</definedName>
    <definedName name="stussal54">[4]Parameters!$E$262</definedName>
    <definedName name="stussal55">[4]Parameters!$E$263</definedName>
    <definedName name="stussal56">[4]Parameters!$E$264</definedName>
    <definedName name="stussal57">[4]Parameters!$E$265</definedName>
    <definedName name="stussal58">[4]Parameters!$E$266</definedName>
    <definedName name="stussal59">[4]Parameters!$E$267</definedName>
    <definedName name="stussal60">[4]Parameters!$E$268</definedName>
    <definedName name="stussal61">[4]Parameters!$E$269</definedName>
    <definedName name="stussal62">[4]Parameters!$E$270</definedName>
    <definedName name="stussal63">[4]Parameters!$E$271</definedName>
    <definedName name="stussal64">[4]Parameters!$E$272</definedName>
    <definedName name="stussal65">[4]Parameters!$E$273</definedName>
    <definedName name="stussal66">[4]Parameters!$E$274</definedName>
    <definedName name="stussal67">[4]Parameters!$E$275</definedName>
    <definedName name="stussal68">[4]Parameters!$E$276</definedName>
    <definedName name="stussal69">[4]Parameters!$E$277</definedName>
    <definedName name="stussal70">[4]Parameters!$E$278</definedName>
    <definedName name="stussal71">[4]Parameters!$E$279</definedName>
    <definedName name="stussal72">[4]Parameters!$E$280</definedName>
    <definedName name="stussal73">[4]Parameters!$E$281</definedName>
    <definedName name="stussal74">[4]Parameters!$E$282</definedName>
    <definedName name="stussal75">[4]Parameters!$E$283</definedName>
    <definedName name="SU_Country" localSheetId="1">'[13]Project Budget'!$F$97:$F$121</definedName>
    <definedName name="SU_Country">'[14]Project Budget'!$F$97:$F$121</definedName>
    <definedName name="SU_TotalDOL" localSheetId="1">'[13]Project Budget'!$R$97:$R$121</definedName>
    <definedName name="SU_TotalDOL">'[14]Project Budget'!$R$97:$R$121</definedName>
    <definedName name="Sub">[5]RATES!#REF!</definedName>
    <definedName name="sub10fee">[4]Parameters!$V$497</definedName>
    <definedName name="sub10fringeexp">[4]Parameters!$V$486</definedName>
    <definedName name="sub10fringeloc">[4]Parameters!$V$487</definedName>
    <definedName name="sub10ga">[4]Parameters!$V$494</definedName>
    <definedName name="sub10ohfo">[4]Parameters!$V$491</definedName>
    <definedName name="sub1name">[4]Parameters!$B$17</definedName>
    <definedName name="sub2name">[4]Parameters!$B$18</definedName>
    <definedName name="sub3name">[4]Parameters!$B$19</definedName>
    <definedName name="sub4name">[4]Parameters!$B$20</definedName>
    <definedName name="sub5name">[4]Parameters!$B$21</definedName>
    <definedName name="SUBCONTRACOR_IDs" localSheetId="0">#REF!</definedName>
    <definedName name="SUBCONTRACOR_IDs">#REF!</definedName>
    <definedName name="subfee">1.1</definedName>
    <definedName name="subho">[4]Parameters!$A$455</definedName>
    <definedName name="subho1">[4]Parameters!$A$457</definedName>
    <definedName name="subho10">[4]Parameters!$A$466</definedName>
    <definedName name="subho10co">[4]Parameters!$G$466</definedName>
    <definedName name="subho10name">[4]Parameters!$C$466</definedName>
    <definedName name="subho10sal1">[4]Parameters!$E$466</definedName>
    <definedName name="subho1co">[4]Parameters!$G$457</definedName>
    <definedName name="subho1name">[4]Parameters!$C$457</definedName>
    <definedName name="subho1sal1">[4]Parameters!$E$457</definedName>
    <definedName name="subho2">[4]Parameters!$A$458</definedName>
    <definedName name="subho2co">[4]Parameters!$G$458</definedName>
    <definedName name="subho2name">[4]Parameters!$C$458</definedName>
    <definedName name="subho2sal1">[4]Parameters!$E$458</definedName>
    <definedName name="subho3">[4]Parameters!$A$459</definedName>
    <definedName name="subho3co">[4]Parameters!$G$459</definedName>
    <definedName name="subho3name">[4]Parameters!$C$459</definedName>
    <definedName name="subho3sal1">[4]Parameters!$E$459</definedName>
    <definedName name="subho4">[4]Parameters!$A$460</definedName>
    <definedName name="subho4co">[4]Parameters!$G$460</definedName>
    <definedName name="subho4name">[4]Parameters!$C$460</definedName>
    <definedName name="subho4sal1">[4]Parameters!$E$460</definedName>
    <definedName name="subho5">[4]Parameters!$A$461</definedName>
    <definedName name="subho5co">[4]Parameters!$G$461</definedName>
    <definedName name="subho5name">[4]Parameters!$C$461</definedName>
    <definedName name="subho5sal1">[4]Parameters!$E$461</definedName>
    <definedName name="subho6">[4]Parameters!$A$462</definedName>
    <definedName name="subho6co">[4]Parameters!$G$462</definedName>
    <definedName name="subho6name">[4]Parameters!$C$462</definedName>
    <definedName name="subho6sal1">[4]Parameters!$E$462</definedName>
    <definedName name="subho7">[4]Parameters!$A$463</definedName>
    <definedName name="subho7co">[4]Parameters!$G$463</definedName>
    <definedName name="subho7name">[4]Parameters!$C$463</definedName>
    <definedName name="subho7sal1">[4]Parameters!$E$463</definedName>
    <definedName name="subho8">[4]Parameters!$A$464</definedName>
    <definedName name="subho8co">[4]Parameters!$G$464</definedName>
    <definedName name="subho8name">[4]Parameters!$C$464</definedName>
    <definedName name="subho8sal1">[4]Parameters!$E$464</definedName>
    <definedName name="subho9">[4]Parameters!$A$465</definedName>
    <definedName name="subho9co">[4]Parameters!$G$465</definedName>
    <definedName name="subho9name">[4]Parameters!$C$465</definedName>
    <definedName name="subho9sal1">[4]Parameters!$E$465</definedName>
    <definedName name="subhojob1">[4]Parameters!$I$457</definedName>
    <definedName name="subhojob10">[4]Parameters!$I$466</definedName>
    <definedName name="subhojob2">[4]Parameters!$I$458</definedName>
    <definedName name="subhojob3">[4]Parameters!$I$459</definedName>
    <definedName name="subhojob4">[4]Parameters!$I$460</definedName>
    <definedName name="subhojob5">[4]Parameters!$I$461</definedName>
    <definedName name="subhojob6">[4]Parameters!$I$462</definedName>
    <definedName name="subhojob7">[4]Parameters!$I$463</definedName>
    <definedName name="subhojob8">[4]Parameters!$I$464</definedName>
    <definedName name="subhojob9">[4]Parameters!$I$465</definedName>
    <definedName name="submulti">1.09*1.12</definedName>
    <definedName name="subname10">[4]Parameters!$B$26</definedName>
    <definedName name="subname11">[4]Parameters!$B$27</definedName>
    <definedName name="subname12">[4]Parameters!$B$28</definedName>
    <definedName name="subname13">[4]Parameters!$B$29</definedName>
    <definedName name="subname14">[4]Parameters!$B$30</definedName>
    <definedName name="subname15">[4]Parameters!$B$31</definedName>
    <definedName name="subname6">[4]Parameters!$B$22</definedName>
    <definedName name="subname7">[4]Parameters!$B$23</definedName>
    <definedName name="subname8">[4]Parameters!$B$24</definedName>
    <definedName name="subname9">[4]Parameters!$B$25</definedName>
    <definedName name="subrate">'[8]Input Tab'!$A$18</definedName>
    <definedName name="SUMSHELL" localSheetId="0">#REF!</definedName>
    <definedName name="SUMSHELL">#REF!</definedName>
    <definedName name="tcn">[4]Parameters!$A$115</definedName>
    <definedName name="TCN_CCN" localSheetId="0">#REF!</definedName>
    <definedName name="TCN_CCN">#REF!</definedName>
    <definedName name="TCN_Fringe">#REF!</definedName>
    <definedName name="tcn10co">[4]Parameters!$G$126</definedName>
    <definedName name="tcn10name">[4]Parameters!$C$126</definedName>
    <definedName name="tcn10sal1">[4]Parameters!$E$126</definedName>
    <definedName name="tcn1co">[4]Parameters!$G$117</definedName>
    <definedName name="tcn1name">[4]Parameters!$C$117</definedName>
    <definedName name="tcn1sal1">[4]Parameters!$E$117</definedName>
    <definedName name="tcn2co">[4]Parameters!$G$118</definedName>
    <definedName name="tcn2name">[4]Parameters!$C$118</definedName>
    <definedName name="tcn2sal1">[4]Parameters!$E$118</definedName>
    <definedName name="tcn3co">[4]Parameters!$G$119</definedName>
    <definedName name="tcn3name">[4]Parameters!$C$119</definedName>
    <definedName name="tcn3sal1">[4]Parameters!$E$119</definedName>
    <definedName name="tcn4co">[4]Parameters!$G$120</definedName>
    <definedName name="tcn4name">[4]Parameters!$C$120</definedName>
    <definedName name="tcn4sal1">[4]Parameters!$E$120</definedName>
    <definedName name="tcn5co">[4]Parameters!$G$121</definedName>
    <definedName name="tcn5name">[4]Parameters!$C$121</definedName>
    <definedName name="tcn5sal1">[4]Parameters!$E$121</definedName>
    <definedName name="tcn6co">[4]Parameters!$G$122</definedName>
    <definedName name="tcn6name">[4]Parameters!$C$122</definedName>
    <definedName name="tcn6sal1">[4]Parameters!$E$122</definedName>
    <definedName name="tcn7co">[4]Parameters!$G$123</definedName>
    <definedName name="tcn7name">[4]Parameters!$C$123</definedName>
    <definedName name="tcn7sal1">[4]Parameters!$E$123</definedName>
    <definedName name="tcn8co">[4]Parameters!$G$124</definedName>
    <definedName name="tcn8name">[4]Parameters!$C$124</definedName>
    <definedName name="tcn8sal1">[4]Parameters!$E$124</definedName>
    <definedName name="tcn9co">[4]Parameters!$G$125</definedName>
    <definedName name="tcn9name">[4]Parameters!$C$125</definedName>
    <definedName name="tcn9sal1">[4]Parameters!$E$125</definedName>
    <definedName name="TCNCCNSTTA_DaysYr1">'[32]B. Local Hire and TCNs'!$I$20</definedName>
    <definedName name="TCNCCNSTTA_DaysYr2">'[32]B. Local Hire and TCNs'!$K$20</definedName>
    <definedName name="TCNCCNSTTA_DaysYr3">'[32]B. Local Hire and TCNs'!$M$20</definedName>
    <definedName name="TCNCCNSTTA_DaysYr4">'[32]B. Local Hire and TCNs'!$O$20</definedName>
    <definedName name="TCNCCNSTTA_DaysYr5">'[32]B. Local Hire and TCNs'!$Q$20</definedName>
    <definedName name="tcnjob1">[4]Parameters!$I$117</definedName>
    <definedName name="tcnjob10">[4]Parameters!$I$126</definedName>
    <definedName name="tcnjob2">[4]Parameters!$I$118</definedName>
    <definedName name="tcnjob3">[4]Parameters!$I$119</definedName>
    <definedName name="tcnjob4">[4]Parameters!$I$120</definedName>
    <definedName name="tcnjob5">[4]Parameters!$I$121</definedName>
    <definedName name="tcnjob6">[4]Parameters!$I$122</definedName>
    <definedName name="tcnjob7">[4]Parameters!$I$123</definedName>
    <definedName name="tcnjob8">[4]Parameters!$I$124</definedName>
    <definedName name="tcnjob9">[4]Parameters!$I$125</definedName>
    <definedName name="Technical_Sector" localSheetId="0">#REF!</definedName>
    <definedName name="Technical_Sector">#REF!</definedName>
    <definedName name="Telephone">#REF!</definedName>
    <definedName name="test">'[33]Category Detail'!$A$4:$F$497</definedName>
    <definedName name="Title">[9]Sheet1!$C$15</definedName>
    <definedName name="TOPA">'[1]SF 1411'!#REF!</definedName>
    <definedName name="TotalDOL" localSheetId="1">'[13]Project Budget'!$R$8:$R$305</definedName>
    <definedName name="TotalDOL">'[14]Project Budget'!$R$8:$R$305</definedName>
    <definedName name="TotFur">[3]Specification!$F$133</definedName>
    <definedName name="TotMed">[3]Specification!$F$122</definedName>
    <definedName name="Totspa">[3]Specification!$F$205</definedName>
    <definedName name="TotToo">[3]Specification!$F$146</definedName>
    <definedName name="TotWatMat">[3]Specification!$F$156</definedName>
    <definedName name="TQSA1">'[8]Input Tab'!$F$19</definedName>
    <definedName name="TQSA2">'[8]Input Tab'!$G$19</definedName>
    <definedName name="TQSA3">'[8]Input Tab'!$H$19</definedName>
    <definedName name="TQSA4">'[8]Input Tab'!#REF!</definedName>
    <definedName name="TQSA5">'[8]Input Tab'!#REF!</definedName>
    <definedName name="TR_Country" localSheetId="1">'[13]Project Budget'!$F$28:$F$80</definedName>
    <definedName name="TR_Country">'[14]Project Budget'!$F$28:$F$80</definedName>
    <definedName name="TR_TotalDOL" localSheetId="1">'[13]Project Budget'!$R$28:$R$80</definedName>
    <definedName name="TR_TotalDOL">'[14]Project Budget'!$R$28:$R$80</definedName>
    <definedName name="Trade11">[5]RATES!#REF!</definedName>
    <definedName name="Trade12">[5]RATES!#REF!</definedName>
    <definedName name="Trade13">[5]RATES!#REF!</definedName>
    <definedName name="Trade41">[5]RATES!#REF!</definedName>
    <definedName name="Trade42">[5]RATES!#REF!</definedName>
    <definedName name="Trade43">[5]RATES!#REF!</definedName>
    <definedName name="Trade51">[5]RATES!#REF!</definedName>
    <definedName name="Trade52">[5]RATES!#REF!</definedName>
    <definedName name="Trade53">[5]RATES!#REF!</definedName>
    <definedName name="Training_Opt_1" localSheetId="0">#REF!</definedName>
    <definedName name="Training_Opt_1">#REF!</definedName>
    <definedName name="Training_Opt_2">#REF!</definedName>
    <definedName name="Training_Year_2">#REF!</definedName>
    <definedName name="Training_Year_3">#REF!</definedName>
    <definedName name="Transit">#REF!</definedName>
    <definedName name="Travel">'[10]INPUTS Year 1'!#REF!</definedName>
    <definedName name="traveldays">[12]Assumptions!$D$28</definedName>
    <definedName name="TRG">#N/A</definedName>
    <definedName name="TRIPS">#N/A</definedName>
    <definedName name="UFFVA">#N/A</definedName>
    <definedName name="ULAB">#N/A</definedName>
    <definedName name="UODC">#N/A</definedName>
    <definedName name="us">[4]Parameters!$A$37</definedName>
    <definedName name="us10co">[4]Parameters!$G$48</definedName>
    <definedName name="us10name">[4]Parameters!$C$48</definedName>
    <definedName name="us10sal1">[4]Parameters!$E$48</definedName>
    <definedName name="us1co">[4]Parameters!$G$39</definedName>
    <definedName name="us1name">[4]Parameters!$C$39</definedName>
    <definedName name="us1sal1">[4]Parameters!$E$39</definedName>
    <definedName name="us2co">[4]Parameters!$G$40</definedName>
    <definedName name="us2name">[4]Parameters!$C$40</definedName>
    <definedName name="us2sal1">[4]Parameters!$E$40</definedName>
    <definedName name="us3co">[4]Parameters!$G$41</definedName>
    <definedName name="us3name">[4]Parameters!$C$41</definedName>
    <definedName name="us3sal1">[4]Parameters!$E$41</definedName>
    <definedName name="us4co">[4]Parameters!$G$42</definedName>
    <definedName name="us4name">[4]Parameters!$C$42</definedName>
    <definedName name="us4sal1">[4]Parameters!$E$42</definedName>
    <definedName name="us5co">[4]Parameters!$G$43</definedName>
    <definedName name="us5name">[4]Parameters!$C$43</definedName>
    <definedName name="us5sal1">[4]Parameters!$E$43</definedName>
    <definedName name="us6co">[4]Parameters!$G$44</definedName>
    <definedName name="us6name">[4]Parameters!$C$44</definedName>
    <definedName name="us6sal1">[4]Parameters!$E$44</definedName>
    <definedName name="us7co">[4]Parameters!$G$45</definedName>
    <definedName name="us7name">[4]Parameters!$C$45</definedName>
    <definedName name="us7sal1">[4]Parameters!$E$45</definedName>
    <definedName name="us8co">[4]Parameters!$G$46</definedName>
    <definedName name="us8name">[4]Parameters!$C$46</definedName>
    <definedName name="us8sal1">[4]Parameters!$E$46</definedName>
    <definedName name="us9co">[4]Parameters!$G$47</definedName>
    <definedName name="us9name">[4]Parameters!$C$47</definedName>
    <definedName name="us9sal1">[4]Parameters!$E$47</definedName>
    <definedName name="usco11">[4]Parameters!$G$49</definedName>
    <definedName name="usco12">[4]Parameters!$G$50</definedName>
    <definedName name="usco13">[4]Parameters!$G$51</definedName>
    <definedName name="usco14">[4]Parameters!$G$52</definedName>
    <definedName name="usco15">[4]Parameters!$G$53</definedName>
    <definedName name="usco16">[4]Parameters!$G$54</definedName>
    <definedName name="usco17">[4]Parameters!$G$55</definedName>
    <definedName name="usco18">[4]Parameters!$G$56</definedName>
    <definedName name="usco19">[4]Parameters!$G$57</definedName>
    <definedName name="usco20">[4]Parameters!$G$58</definedName>
    <definedName name="usco21">[4]Parameters!$G$59</definedName>
    <definedName name="usco22">[4]Parameters!$G$60</definedName>
    <definedName name="usco23">[4]Parameters!$G$61</definedName>
    <definedName name="usco24">[4]Parameters!$G$62</definedName>
    <definedName name="usco25">[4]Parameters!$G$63</definedName>
    <definedName name="usco26">[4]Parameters!$G$64</definedName>
    <definedName name="usco27">[4]Parameters!$G$65</definedName>
    <definedName name="usco28">[4]Parameters!$G$66</definedName>
    <definedName name="usco29">[4]Parameters!$G$67</definedName>
    <definedName name="usco30">[4]Parameters!$G$68</definedName>
    <definedName name="usco31">[4]Parameters!$G$69</definedName>
    <definedName name="usco32">[4]Parameters!$G$70</definedName>
    <definedName name="usco33">[4]Parameters!$G$71</definedName>
    <definedName name="usco34">[4]Parameters!$G$72</definedName>
    <definedName name="usco35">[4]Parameters!$G$73</definedName>
    <definedName name="usco36">[4]Parameters!$G$74</definedName>
    <definedName name="usco37">[4]Parameters!$G$75</definedName>
    <definedName name="usco38">[4]Parameters!$G$76</definedName>
    <definedName name="usco39">[4]Parameters!$G$77</definedName>
    <definedName name="usco40">[4]Parameters!$G$78</definedName>
    <definedName name="usco41">[4]Parameters!$G$79</definedName>
    <definedName name="usco42">[4]Parameters!$G$80</definedName>
    <definedName name="usco43">[4]Parameters!$G$81</definedName>
    <definedName name="usco44">[4]Parameters!$G$82</definedName>
    <definedName name="usco45">[4]Parameters!$G$83</definedName>
    <definedName name="usco46">[4]Parameters!$G$84</definedName>
    <definedName name="usco47">[4]Parameters!$G$85</definedName>
    <definedName name="usco48">[4]Parameters!$G$86</definedName>
    <definedName name="usco49">[4]Parameters!$G$87</definedName>
    <definedName name="usco50">[4]Parameters!$G$88</definedName>
    <definedName name="usco51">[4]Parameters!$G$89</definedName>
    <definedName name="usco52">[4]Parameters!$G$90</definedName>
    <definedName name="usco53">[4]Parameters!$G$91</definedName>
    <definedName name="usco54">[4]Parameters!$G$92</definedName>
    <definedName name="usco55">[4]Parameters!$G$93</definedName>
    <definedName name="usco56">[4]Parameters!$G$94</definedName>
    <definedName name="usco57">[4]Parameters!$G$95</definedName>
    <definedName name="usco58">[4]Parameters!$G$96</definedName>
    <definedName name="usco59">[4]Parameters!$G$97</definedName>
    <definedName name="usco60">[4]Parameters!$G$98</definedName>
    <definedName name="usco61">[4]Parameters!$G$99</definedName>
    <definedName name="usco62">[4]Parameters!$G$100</definedName>
    <definedName name="usco63">[4]Parameters!$G$101</definedName>
    <definedName name="usco64">[4]Parameters!$G$102</definedName>
    <definedName name="usco65">[4]Parameters!$G$103</definedName>
    <definedName name="usco66">[4]Parameters!$G$104</definedName>
    <definedName name="usco67">[4]Parameters!$G$105</definedName>
    <definedName name="usco68">[4]Parameters!$G$106</definedName>
    <definedName name="usco69">[4]Parameters!$G$107</definedName>
    <definedName name="usco70">[4]Parameters!$G$108</definedName>
    <definedName name="usco71">[4]Parameters!$G$109</definedName>
    <definedName name="usco72">[4]Parameters!$G$110</definedName>
    <definedName name="usco73">[4]Parameters!$G$111</definedName>
    <definedName name="usco74">[4]Parameters!$G$112</definedName>
    <definedName name="usco75">[4]Parameters!$G$113</definedName>
    <definedName name="usd" localSheetId="0">#REF!</definedName>
    <definedName name="usd">#REF!</definedName>
    <definedName name="usfringe">'[8]Input Tab'!$A$20</definedName>
    <definedName name="usinflation_yr2">'[8]Input Tab'!$A$33</definedName>
    <definedName name="usinflation_yr3">'[8]Input Tab'!$A$34</definedName>
    <definedName name="usinflation_yr4">'[8]Input Tab'!$A$35</definedName>
    <definedName name="usjob1">[4]Parameters!$I$39</definedName>
    <definedName name="usjob10">[4]Parameters!$I$48</definedName>
    <definedName name="usjob11">[4]Parameters!$I$49</definedName>
    <definedName name="usjob12">[4]Parameters!$I$50</definedName>
    <definedName name="usjob13">[4]Parameters!$I$51</definedName>
    <definedName name="usjob14">[4]Parameters!$I$52</definedName>
    <definedName name="usjob15">[4]Parameters!$I$53</definedName>
    <definedName name="usjob16">[4]Parameters!$I$54</definedName>
    <definedName name="usjob17">[4]Parameters!$I$55</definedName>
    <definedName name="usjob18">[4]Parameters!$I$56</definedName>
    <definedName name="usjob19">[4]Parameters!$I$57</definedName>
    <definedName name="usjob2">[4]Parameters!$I$40</definedName>
    <definedName name="usjob20">[4]Parameters!$I$58</definedName>
    <definedName name="usjob21">[4]Parameters!$I$59</definedName>
    <definedName name="usjob22">[4]Parameters!$I$60</definedName>
    <definedName name="usjob23">[4]Parameters!$I$61</definedName>
    <definedName name="usjob24">[4]Parameters!$I$62</definedName>
    <definedName name="usjob25">[4]Parameters!$I$63</definedName>
    <definedName name="usjob26">[4]Parameters!$I$64</definedName>
    <definedName name="usjob27">[4]Parameters!$I$65</definedName>
    <definedName name="usjob28">[4]Parameters!$I$66</definedName>
    <definedName name="usjob29">[4]Parameters!$I$67</definedName>
    <definedName name="usjob3">[4]Parameters!$I$41</definedName>
    <definedName name="usjob30">[4]Parameters!$I$68</definedName>
    <definedName name="usjob31">[4]Parameters!$I$69</definedName>
    <definedName name="usjob32">[4]Parameters!$I$70</definedName>
    <definedName name="usjob33">[4]Parameters!$I$71</definedName>
    <definedName name="usjob34">[4]Parameters!$I$72</definedName>
    <definedName name="usjob35">[4]Parameters!$I$73</definedName>
    <definedName name="usjob36">[4]Parameters!$I$74</definedName>
    <definedName name="usjob37">[4]Parameters!$I$75</definedName>
    <definedName name="usjob38">[4]Parameters!$I$76</definedName>
    <definedName name="usjob39">[4]Parameters!$I$77</definedName>
    <definedName name="usjob4">[4]Parameters!$I$42</definedName>
    <definedName name="usjob40">[4]Parameters!$I$78</definedName>
    <definedName name="usjob41">[4]Parameters!$I$79</definedName>
    <definedName name="usjob42">[4]Parameters!$I$80</definedName>
    <definedName name="usjob43">[4]Parameters!$I$81</definedName>
    <definedName name="usjob44">[4]Parameters!$I$82</definedName>
    <definedName name="usjob45">[4]Parameters!$I$83</definedName>
    <definedName name="usjob46">[4]Parameters!$I$84</definedName>
    <definedName name="usjob47">[4]Parameters!$I$85</definedName>
    <definedName name="usjob48">[4]Parameters!$I$86</definedName>
    <definedName name="usjob49">[4]Parameters!$I$87</definedName>
    <definedName name="usjob5">[4]Parameters!$I$43</definedName>
    <definedName name="usjob50">[4]Parameters!$I$88</definedName>
    <definedName name="usjob51">[4]Parameters!$I$89</definedName>
    <definedName name="usjob52">[4]Parameters!$I$90</definedName>
    <definedName name="usjob53">[4]Parameters!$I$91</definedName>
    <definedName name="usjob54">[4]Parameters!$I$92</definedName>
    <definedName name="usjob55">[4]Parameters!$I$93</definedName>
    <definedName name="usjob56">[4]Parameters!$I$94</definedName>
    <definedName name="usjob57">[4]Parameters!$I$95</definedName>
    <definedName name="usjob58">[4]Parameters!$I$96</definedName>
    <definedName name="usjob59">[4]Parameters!$I$97</definedName>
    <definedName name="usjob6">[4]Parameters!$I$44</definedName>
    <definedName name="usjob60">[4]Parameters!$I$98</definedName>
    <definedName name="usjob61">[4]Parameters!$I$99</definedName>
    <definedName name="usjob62">[4]Parameters!$I$100</definedName>
    <definedName name="usjob63">[4]Parameters!$I$101</definedName>
    <definedName name="usjob64">[4]Parameters!$I$102</definedName>
    <definedName name="usjob65">[4]Parameters!$I$103</definedName>
    <definedName name="usjob66">[4]Parameters!$I$104</definedName>
    <definedName name="usjob67">[4]Parameters!$I$105</definedName>
    <definedName name="usjob68">[4]Parameters!$I$106</definedName>
    <definedName name="usjob69">[4]Parameters!$I$107</definedName>
    <definedName name="usjob7">[4]Parameters!$I$45</definedName>
    <definedName name="usjob70">[4]Parameters!$I$108</definedName>
    <definedName name="usjob71">[4]Parameters!$I$109</definedName>
    <definedName name="usjob72">[4]Parameters!$I$110</definedName>
    <definedName name="usjob73">[4]Parameters!$I$111</definedName>
    <definedName name="usjob74">[4]Parameters!$I$112</definedName>
    <definedName name="usjob75">[4]Parameters!$I$113</definedName>
    <definedName name="usjob8">[4]Parameters!$I$46</definedName>
    <definedName name="usjob9">[4]Parameters!$I$47</definedName>
    <definedName name="usname11">[4]Parameters!$C$49</definedName>
    <definedName name="usname12">[4]Parameters!$C$50</definedName>
    <definedName name="usname13">[4]Parameters!$C$51</definedName>
    <definedName name="usname14">[4]Parameters!$C$52</definedName>
    <definedName name="usname15">[4]Parameters!$C$53</definedName>
    <definedName name="usname16">[4]Parameters!$C$54</definedName>
    <definedName name="usname17">[4]Parameters!$C$55</definedName>
    <definedName name="usname18">[4]Parameters!$C$56</definedName>
    <definedName name="usname19">[4]Parameters!$C$57</definedName>
    <definedName name="usname20">[4]Parameters!$C$58</definedName>
    <definedName name="usname21">[4]Parameters!$C$59</definedName>
    <definedName name="usname22">[4]Parameters!$C$60</definedName>
    <definedName name="usname23">[4]Parameters!$C$61</definedName>
    <definedName name="usname24">[4]Parameters!$C$62</definedName>
    <definedName name="usname25">[4]Parameters!$C$63</definedName>
    <definedName name="usname26">[4]Parameters!$C$64</definedName>
    <definedName name="usname27">[4]Parameters!$C$65</definedName>
    <definedName name="usname28">[4]Parameters!$C$66</definedName>
    <definedName name="usname29">[4]Parameters!$C$67</definedName>
    <definedName name="usname30">[4]Parameters!$C$68</definedName>
    <definedName name="usname31">[4]Parameters!$C$69</definedName>
    <definedName name="usname32">[4]Parameters!$C$70</definedName>
    <definedName name="usname33">[4]Parameters!$C$71</definedName>
    <definedName name="usname34">[4]Parameters!$C$72</definedName>
    <definedName name="usname35">[4]Parameters!$C$73</definedName>
    <definedName name="usname36">[4]Parameters!$C$74</definedName>
    <definedName name="usname37">[4]Parameters!$C$75</definedName>
    <definedName name="usname38">[4]Parameters!$C$76</definedName>
    <definedName name="usname39">[4]Parameters!$C$77</definedName>
    <definedName name="usname40">[4]Parameters!$C$78</definedName>
    <definedName name="usname41">[4]Parameters!$C$79</definedName>
    <definedName name="usname42">[4]Parameters!$C$80</definedName>
    <definedName name="usname43">[4]Parameters!$C$81</definedName>
    <definedName name="usname44">[4]Parameters!$C$82</definedName>
    <definedName name="usname45">[4]Parameters!$C$83</definedName>
    <definedName name="usname46">[4]Parameters!$C$84</definedName>
    <definedName name="usname47">[4]Parameters!$C$85</definedName>
    <definedName name="usname48">[4]Parameters!$C$86</definedName>
    <definedName name="usname49">[4]Parameters!$C$87</definedName>
    <definedName name="usname50">[4]Parameters!$C$88</definedName>
    <definedName name="usname51">[4]Parameters!$C$89</definedName>
    <definedName name="usname52">[4]Parameters!$C$90</definedName>
    <definedName name="usname53">[4]Parameters!$C$91</definedName>
    <definedName name="usname54">[4]Parameters!$C$92</definedName>
    <definedName name="usname55">[4]Parameters!$C$93</definedName>
    <definedName name="usname56">[4]Parameters!$C$94</definedName>
    <definedName name="usname57">[4]Parameters!$C$95</definedName>
    <definedName name="usname58">[4]Parameters!$C$96</definedName>
    <definedName name="usname59">[4]Parameters!$C$97</definedName>
    <definedName name="usname60">[4]Parameters!$C$98</definedName>
    <definedName name="usname61">[4]Parameters!$C$99</definedName>
    <definedName name="usname62">[4]Parameters!$C$100</definedName>
    <definedName name="usname63">[4]Parameters!$C$101</definedName>
    <definedName name="usname64">[4]Parameters!$C$102</definedName>
    <definedName name="usname65">[4]Parameters!$C$103</definedName>
    <definedName name="usname66">[4]Parameters!$C$104</definedName>
    <definedName name="usname67">[4]Parameters!$C$105</definedName>
    <definedName name="usname68">[4]Parameters!$C$106</definedName>
    <definedName name="usname69">[4]Parameters!$C$107</definedName>
    <definedName name="usname70">[4]Parameters!$C$108</definedName>
    <definedName name="usname71">[4]Parameters!$C$109</definedName>
    <definedName name="usname72">[4]Parameters!$C$110</definedName>
    <definedName name="usname73">[4]Parameters!$C$111</definedName>
    <definedName name="usname74">[4]Parameters!$C$112</definedName>
    <definedName name="usname75">[4]Parameters!$C$113</definedName>
    <definedName name="usnonlaborinflation_yr2">'[8]Input Tab'!$A$43</definedName>
    <definedName name="usnonlaborinflation_yr3">'[8]Input Tab'!$A$44</definedName>
    <definedName name="usnonlaborinflation_yr4">'[8]Input Tab'!$A$45</definedName>
    <definedName name="USperdiem">[12]Assumptions!$D$29</definedName>
    <definedName name="ussal11">[4]Parameters!$E$49</definedName>
    <definedName name="ussal12">[4]Parameters!$E$50</definedName>
    <definedName name="ussal13">[4]Parameters!$E$51</definedName>
    <definedName name="ussal14">[4]Parameters!$E$52</definedName>
    <definedName name="ussal15">[4]Parameters!$E$53</definedName>
    <definedName name="ussal16">[4]Parameters!$E$54</definedName>
    <definedName name="ussal17">[4]Parameters!$E$55</definedName>
    <definedName name="ussal18">[4]Parameters!$E$56</definedName>
    <definedName name="ussal19">[4]Parameters!$E$57</definedName>
    <definedName name="ussal20">[4]Parameters!$E$58</definedName>
    <definedName name="ussal21">[4]Parameters!$E$59</definedName>
    <definedName name="ussal22">[4]Parameters!$E$60</definedName>
    <definedName name="ussal23">[4]Parameters!$E$61</definedName>
    <definedName name="ussal24">[4]Parameters!$E$62</definedName>
    <definedName name="ussal25">[4]Parameters!$E$63</definedName>
    <definedName name="ussal26">[4]Parameters!$E$64</definedName>
    <definedName name="ussal27">[4]Parameters!$E$65</definedName>
    <definedName name="ussal28">[4]Parameters!$E$66</definedName>
    <definedName name="ussal29">[4]Parameters!$E$67</definedName>
    <definedName name="ussal30">[4]Parameters!$E$68</definedName>
    <definedName name="ussal31">[4]Parameters!$E$69</definedName>
    <definedName name="ussal32">[4]Parameters!$E$70</definedName>
    <definedName name="ussal33">[4]Parameters!$E$71</definedName>
    <definedName name="ussal34">[4]Parameters!$E$72</definedName>
    <definedName name="ussal35">[4]Parameters!$E$73</definedName>
    <definedName name="ussal36">[4]Parameters!$E$74</definedName>
    <definedName name="ussal37">[4]Parameters!$E$75</definedName>
    <definedName name="ussal38">[4]Parameters!$E$76</definedName>
    <definedName name="ussal39">[4]Parameters!$E$77</definedName>
    <definedName name="ussal40">[4]Parameters!$E$78</definedName>
    <definedName name="ussal41">[4]Parameters!$E$79</definedName>
    <definedName name="ussal42">[4]Parameters!$E$80</definedName>
    <definedName name="ussal43">[4]Parameters!$E$81</definedName>
    <definedName name="ussal44">[4]Parameters!$E$82</definedName>
    <definedName name="ussal45">[4]Parameters!$E$83</definedName>
    <definedName name="ussal46">[4]Parameters!$E$84</definedName>
    <definedName name="ussal47">[4]Parameters!$E$85</definedName>
    <definedName name="ussal48">[4]Parameters!$E$86</definedName>
    <definedName name="ussal49">[4]Parameters!$E$87</definedName>
    <definedName name="ussal50">[4]Parameters!$E$88</definedName>
    <definedName name="ussal51">[4]Parameters!$E$89</definedName>
    <definedName name="ussal52">[4]Parameters!$E$90</definedName>
    <definedName name="ussal53">[4]Parameters!$E$91</definedName>
    <definedName name="ussal54">[4]Parameters!$E$92</definedName>
    <definedName name="ussal55">[4]Parameters!$E$93</definedName>
    <definedName name="ussal56">[4]Parameters!$E$94</definedName>
    <definedName name="ussal57">[4]Parameters!$E$95</definedName>
    <definedName name="ussal58">[4]Parameters!$E$96</definedName>
    <definedName name="ussal59">[4]Parameters!$E$97</definedName>
    <definedName name="ussal60">[4]Parameters!$E$98</definedName>
    <definedName name="ussal61">[4]Parameters!$E$99</definedName>
    <definedName name="ussal62">[4]Parameters!$E$100</definedName>
    <definedName name="ussal63">[4]Parameters!$E$101</definedName>
    <definedName name="ussal64">[4]Parameters!$E$102</definedName>
    <definedName name="ussal65">[4]Parameters!$E$103</definedName>
    <definedName name="ussal66">[4]Parameters!$E$104</definedName>
    <definedName name="ussal67">[4]Parameters!$E$105</definedName>
    <definedName name="ussal68">[4]Parameters!$E$106</definedName>
    <definedName name="ussal69">[4]Parameters!$E$107</definedName>
    <definedName name="ussal70">[4]Parameters!$E$108</definedName>
    <definedName name="ussal71">[4]Parameters!$E$109</definedName>
    <definedName name="ussal72">[4]Parameters!$E$110</definedName>
    <definedName name="ussal73">[4]Parameters!$E$111</definedName>
    <definedName name="ussal74">[4]Parameters!$E$112</definedName>
    <definedName name="ussal75">[4]Parameters!$E$113</definedName>
    <definedName name="ustaxi">[9]Sheet1!$C$35</definedName>
    <definedName name="UTOT">#N/A</definedName>
    <definedName name="vat">'[8]Input Tab'!$A$29</definedName>
    <definedName name="Vc_Days" localSheetId="0">#REF!</definedName>
    <definedName name="Vc_Days">#REF!</definedName>
    <definedName name="vCOGS">#REF!</definedName>
    <definedName name="WDA">#N/A</definedName>
    <definedName name="Wk_Days">#REF!</definedName>
    <definedName name="workdaysLT">[4]Parameters!$B$509</definedName>
    <definedName name="workdaysST">[4]Parameters!$B$510</definedName>
    <definedName name="workerscomp.expat">'[16]Range Page'!$A$17</definedName>
    <definedName name="workerscomp.STTA">'[16]Range Page'!$A$18</definedName>
    <definedName name="WORTH">#N/A</definedName>
    <definedName name="wrn.All._.Grant._.Forms." localSheetId="0" hidden="1">{"Form DD",#N/A,FALSE,"DD";"EE",#N/A,FALSE,"EE";"Indirects",#N/A,FALSE,"DD"}</definedName>
    <definedName name="wrn.All._.Grant._.Forms." hidden="1">{"Form DD",#N/A,FALSE,"DD";"EE",#N/A,FALSE,"EE";"Indirects",#N/A,FALSE,"DD"}</definedName>
    <definedName name="wrn.Print_Detail_And_Summary." localSheetId="0" hidden="1">{"ViewPreCalc",#N/A,TRUE,"PreCalc";"ViewSummary",#N/A,TRUE,"Summary "}</definedName>
    <definedName name="wrn.Print_Detail_And_Summary." hidden="1">{"ViewPreCalc",#N/A,TRUE,"PreCalc";"ViewSummary",#N/A,TRUE,"Summary "}</definedName>
    <definedName name="wrn.Summary._.1._.Year." localSheetId="0" hidden="1">{"One Year",#N/A,FALSE,"Summary"}</definedName>
    <definedName name="wrn.Summary._.1._.Year." hidden="1">{"One Year",#N/A,FALSE,"Summary"}</definedName>
    <definedName name="Y2inf">#REF!</definedName>
    <definedName name="Year_1_Cost_Centers">[11]INDIRECTS!$S$3:$S$15</definedName>
    <definedName name="Year_2_BAH_Fee">[11]INDIRECTS!#REF!</definedName>
    <definedName name="Year_2_Cost_Centers">[11]INDIRECTS!#REF!</definedName>
    <definedName name="Year_2_Subcontractor_Fee">[11]INDIRECTS!#REF!</definedName>
    <definedName name="Year_3_BAH_Fee">[11]INDIRECTS!#REF!</definedName>
    <definedName name="Year_3_Cost_Centers">[11]INDIRECTS!#REF!</definedName>
    <definedName name="Year_3_Subcontractor_Fee">[11]INDIRECTS!#REF!</definedName>
    <definedName name="Year_4_BAH_Fee">[11]INDIRECTS!#REF!</definedName>
    <definedName name="Year_4_Cost_Centers">[11]INDIRECTS!#REF!</definedName>
    <definedName name="Year_4_Subcontractor_Fee">[11]INDIRECTS!#REF!</definedName>
    <definedName name="Year_5_BAH_Fee">[11]INDIRECTS!#REF!</definedName>
    <definedName name="Year_5_Cost_Centers">[11]INDIRECTS!#REF!</definedName>
    <definedName name="Year_5_Subcontractor_Fee">[11]INDIRECTS!#REF!</definedName>
    <definedName name="Year1" localSheetId="0">#REF!</definedName>
    <definedName name="Year1">#REF!</definedName>
    <definedName name="YEARS">#REF!</definedName>
    <definedName name="yr_rate">#REF!</definedName>
    <definedName name="Yr1Sal">'[34]AED DETAILED BUDGET'!$G$3</definedName>
    <definedName name="Yr2Consult">'[34]AED DETAILED BUDGET'!$H$4</definedName>
    <definedName name="Yr2ODC">'[34]AED DETAILED BUDGET'!$H$6</definedName>
    <definedName name="Yr2Sal">'[34]AED DETAILED BUDGET'!$H$3</definedName>
    <definedName name="Yr2Travel">'[34]AED DETAILED BUDGET'!$H$5</definedName>
    <definedName name="Yr3Consult">'[34]AED DETAILED BUDGET'!$J$4</definedName>
    <definedName name="Yr3ODC">'[34]AED DETAILED BUDGET'!$J$6</definedName>
    <definedName name="Yr3Sal">'[34]AED DETAILED BUDGET'!$J$3</definedName>
    <definedName name="Yr3Travel">'[34]AED DETAILED BUDGET'!$J$5</definedName>
    <definedName name="Yr4Consult">'[34]AED DETAILED BUDGET'!$L$4</definedName>
    <definedName name="Yr4FI">'[34]AED DETAILED BUDGET'!$L$7</definedName>
    <definedName name="Yr4ODC">'[34]AED DETAILED BUDGET'!$L$6</definedName>
    <definedName name="Yr4Sal">'[34]AED DETAILED BUDGET'!$L$3</definedName>
    <definedName name="Yr4Travel">'[34]AED DETAILED BUDGET'!$L$5</definedName>
    <definedName name="Yr5Consult">'[34]AED DETAILED BUDGET'!$N$4</definedName>
    <definedName name="Yr5FI">'[34]AED DETAILED BUDGET'!$N$7</definedName>
    <definedName name="Yr5ODC">'[34]AED DETAILED BUDGET'!$N$6</definedName>
    <definedName name="Yr5Sal">'[34]AED DETAILED BUDGET'!$N$3</definedName>
    <definedName name="Yr5Travel">'[34]AED DETAILED BUDGET'!$N$5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183" i="3" l="1"/>
  <c r="W231" i="3"/>
  <c r="V251" i="3"/>
  <c r="V250" i="3"/>
  <c r="V228" i="3"/>
  <c r="V174" i="3"/>
  <c r="V173" i="3"/>
  <c r="V160" i="3"/>
  <c r="V106" i="3"/>
  <c r="V111" i="3"/>
  <c r="V112" i="3"/>
  <c r="V118" i="3"/>
  <c r="V121" i="3"/>
  <c r="V123" i="3"/>
  <c r="V124" i="3"/>
  <c r="V130" i="3"/>
  <c r="V94" i="3"/>
  <c r="V85" i="3"/>
  <c r="V84" i="3"/>
  <c r="V53" i="3"/>
  <c r="V55" i="3"/>
  <c r="V54" i="3"/>
  <c r="V43" i="3"/>
  <c r="C12" i="5" l="1"/>
  <c r="C11" i="5"/>
  <c r="X28" i="3" l="1"/>
  <c r="Z28" i="3" s="1"/>
  <c r="U8" i="2"/>
  <c r="U7" i="2"/>
  <c r="S83" i="2"/>
  <c r="T83" i="2" s="1"/>
  <c r="S81" i="2"/>
  <c r="S80" i="2"/>
  <c r="S78" i="2"/>
  <c r="S77" i="2"/>
  <c r="S76" i="2"/>
  <c r="S75" i="2"/>
  <c r="S73" i="2"/>
  <c r="S72" i="2"/>
  <c r="S70" i="2"/>
  <c r="S69" i="2"/>
  <c r="S67" i="2"/>
  <c r="S66" i="2"/>
  <c r="S64" i="2"/>
  <c r="S62" i="2"/>
  <c r="S57" i="2"/>
  <c r="I64" i="2"/>
  <c r="U110" i="2"/>
  <c r="U109" i="2"/>
  <c r="S110" i="2"/>
  <c r="S109" i="2"/>
  <c r="U112" i="2"/>
  <c r="V112" i="2" s="1"/>
  <c r="X112" i="2" s="1"/>
  <c r="S111" i="2"/>
  <c r="J110" i="2"/>
  <c r="J109" i="2"/>
  <c r="V29" i="2"/>
  <c r="S39" i="2"/>
  <c r="S38" i="2"/>
  <c r="S37" i="2"/>
  <c r="V111" i="2"/>
  <c r="X111" i="2" s="1"/>
  <c r="V109" i="2"/>
  <c r="X109" i="2" s="1"/>
  <c r="U113" i="2"/>
  <c r="Q113" i="2"/>
  <c r="O113" i="2"/>
  <c r="M113" i="2"/>
  <c r="K113" i="2"/>
  <c r="Y325" i="3"/>
  <c r="U325" i="3"/>
  <c r="S325" i="3"/>
  <c r="Q325" i="3"/>
  <c r="O325" i="3"/>
  <c r="M325" i="3"/>
  <c r="X323" i="3"/>
  <c r="Z323" i="3" s="1"/>
  <c r="X322" i="3"/>
  <c r="Z322" i="3" s="1"/>
  <c r="X321" i="3"/>
  <c r="Z321" i="3" s="1"/>
  <c r="Z320" i="3"/>
  <c r="X319" i="3"/>
  <c r="Z319" i="3" s="1"/>
  <c r="X318" i="3"/>
  <c r="Z318" i="3" s="1"/>
  <c r="X317" i="3"/>
  <c r="Z317" i="3" s="1"/>
  <c r="X316" i="3"/>
  <c r="Z316" i="3" s="1"/>
  <c r="X315" i="3"/>
  <c r="Z315" i="3" s="1"/>
  <c r="X313" i="3"/>
  <c r="Z313" i="3" s="1"/>
  <c r="X312" i="3"/>
  <c r="Z312" i="3" s="1"/>
  <c r="X311" i="3"/>
  <c r="Z311" i="3" s="1"/>
  <c r="X310" i="3"/>
  <c r="Z310" i="3" s="1"/>
  <c r="X307" i="3"/>
  <c r="Z307" i="3" s="1"/>
  <c r="X306" i="3"/>
  <c r="Z306" i="3" s="1"/>
  <c r="X304" i="3"/>
  <c r="X303" i="3"/>
  <c r="Z303" i="3" s="1"/>
  <c r="X302" i="3"/>
  <c r="Z302" i="3" s="1"/>
  <c r="X301" i="3"/>
  <c r="Z301" i="3" s="1"/>
  <c r="X300" i="3"/>
  <c r="Z300" i="3" s="1"/>
  <c r="X299" i="3"/>
  <c r="Z299" i="3" s="1"/>
  <c r="X298" i="3"/>
  <c r="Z298" i="3" s="1"/>
  <c r="X297" i="3"/>
  <c r="Z297" i="3" s="1"/>
  <c r="X296" i="3"/>
  <c r="Z296" i="3" s="1"/>
  <c r="X295" i="3"/>
  <c r="Z295" i="3" s="1"/>
  <c r="X293" i="3"/>
  <c r="Z293" i="3" s="1"/>
  <c r="X292" i="3"/>
  <c r="Z292" i="3" s="1"/>
  <c r="X291" i="3"/>
  <c r="Z291" i="3" s="1"/>
  <c r="X290" i="3"/>
  <c r="Z290" i="3" s="1"/>
  <c r="X289" i="3"/>
  <c r="Z289" i="3" s="1"/>
  <c r="X288" i="3"/>
  <c r="Z288" i="3" s="1"/>
  <c r="X287" i="3"/>
  <c r="Z287" i="3" s="1"/>
  <c r="X286" i="3"/>
  <c r="Z286" i="3" s="1"/>
  <c r="X285" i="3"/>
  <c r="Z285" i="3" s="1"/>
  <c r="X283" i="3"/>
  <c r="Z283" i="3" s="1"/>
  <c r="X281" i="3"/>
  <c r="Z281" i="3" s="1"/>
  <c r="X280" i="3"/>
  <c r="Z280" i="3" s="1"/>
  <c r="X279" i="3"/>
  <c r="Z279" i="3" s="1"/>
  <c r="Z278" i="3"/>
  <c r="X277" i="3"/>
  <c r="Z277" i="3" s="1"/>
  <c r="X276" i="3"/>
  <c r="Z276" i="3" s="1"/>
  <c r="X275" i="3"/>
  <c r="Z275" i="3" s="1"/>
  <c r="X274" i="3"/>
  <c r="Z274" i="3" s="1"/>
  <c r="X273" i="3"/>
  <c r="Z273" i="3" s="1"/>
  <c r="Z272" i="3"/>
  <c r="X271" i="3"/>
  <c r="Z271" i="3" s="1"/>
  <c r="X270" i="3"/>
  <c r="Z270" i="3" s="1"/>
  <c r="X269" i="3"/>
  <c r="Z269" i="3" s="1"/>
  <c r="X268" i="3"/>
  <c r="Z268" i="3" s="1"/>
  <c r="X265" i="3"/>
  <c r="Z265" i="3" s="1"/>
  <c r="X264" i="3"/>
  <c r="Z264" i="3" s="1"/>
  <c r="X262" i="3"/>
  <c r="Z262" i="3" s="1"/>
  <c r="X261" i="3"/>
  <c r="Z261" i="3" s="1"/>
  <c r="X259" i="3"/>
  <c r="Z259" i="3" s="1"/>
  <c r="X258" i="3"/>
  <c r="Z258" i="3" s="1"/>
  <c r="X255" i="3"/>
  <c r="Z255" i="3" s="1"/>
  <c r="Z254" i="3"/>
  <c r="X253" i="3"/>
  <c r="Z253" i="3" s="1"/>
  <c r="X252" i="3"/>
  <c r="Z252" i="3" s="1"/>
  <c r="X251" i="3"/>
  <c r="Z251" i="3" s="1"/>
  <c r="X250" i="3"/>
  <c r="Z250" i="3" s="1"/>
  <c r="X249" i="3"/>
  <c r="Z249" i="3" s="1"/>
  <c r="X246" i="3"/>
  <c r="Z246" i="3" s="1"/>
  <c r="X245" i="3"/>
  <c r="Z245" i="3" s="1"/>
  <c r="X244" i="3"/>
  <c r="Z244" i="3" s="1"/>
  <c r="X243" i="3"/>
  <c r="Z243" i="3" s="1"/>
  <c r="X241" i="3"/>
  <c r="Z241" i="3" s="1"/>
  <c r="X240" i="3"/>
  <c r="Z240" i="3" s="1"/>
  <c r="X239" i="3"/>
  <c r="Z239" i="3" s="1"/>
  <c r="X238" i="3"/>
  <c r="Z238" i="3" s="1"/>
  <c r="X237" i="3"/>
  <c r="Z237" i="3" s="1"/>
  <c r="X235" i="3"/>
  <c r="Z235" i="3" s="1"/>
  <c r="Y231" i="3"/>
  <c r="U231" i="3"/>
  <c r="S231" i="3"/>
  <c r="Q231" i="3"/>
  <c r="O231" i="3"/>
  <c r="M231" i="3"/>
  <c r="Z230" i="3"/>
  <c r="X229" i="3"/>
  <c r="Z229" i="3" s="1"/>
  <c r="X228" i="3"/>
  <c r="Z228" i="3" s="1"/>
  <c r="X224" i="3"/>
  <c r="Z224" i="3" s="1"/>
  <c r="X223" i="3"/>
  <c r="Z223" i="3" s="1"/>
  <c r="X222" i="3"/>
  <c r="Z222" i="3" s="1"/>
  <c r="X221" i="3"/>
  <c r="Z221" i="3" s="1"/>
  <c r="Z220" i="3"/>
  <c r="X219" i="3"/>
  <c r="Z219" i="3" s="1"/>
  <c r="X218" i="3"/>
  <c r="Z218" i="3" s="1"/>
  <c r="X217" i="3"/>
  <c r="Z217" i="3" s="1"/>
  <c r="X216" i="3"/>
  <c r="Z216" i="3" s="1"/>
  <c r="Z215" i="3"/>
  <c r="X214" i="3"/>
  <c r="Z214" i="3" s="1"/>
  <c r="X213" i="3"/>
  <c r="Z213" i="3" s="1"/>
  <c r="X212" i="3"/>
  <c r="Z212" i="3" s="1"/>
  <c r="X211" i="3"/>
  <c r="Z211" i="3" s="1"/>
  <c r="Z210" i="3"/>
  <c r="X209" i="3"/>
  <c r="Z209" i="3" s="1"/>
  <c r="X208" i="3"/>
  <c r="Z208" i="3" s="1"/>
  <c r="X207" i="3"/>
  <c r="Z207" i="3" s="1"/>
  <c r="X206" i="3"/>
  <c r="Z206" i="3" s="1"/>
  <c r="Z205" i="3"/>
  <c r="X203" i="3"/>
  <c r="Z203" i="3" s="1"/>
  <c r="X202" i="3"/>
  <c r="Z202" i="3" s="1"/>
  <c r="X201" i="3"/>
  <c r="Z201" i="3" s="1"/>
  <c r="X200" i="3"/>
  <c r="Z200" i="3" s="1"/>
  <c r="Z199" i="3"/>
  <c r="X198" i="3"/>
  <c r="Z198" i="3" s="1"/>
  <c r="X197" i="3"/>
  <c r="Z197" i="3" s="1"/>
  <c r="X196" i="3"/>
  <c r="Z196" i="3" s="1"/>
  <c r="X195" i="3"/>
  <c r="Z195" i="3" s="1"/>
  <c r="Z194" i="3"/>
  <c r="X192" i="3"/>
  <c r="Z192" i="3" s="1"/>
  <c r="X190" i="3"/>
  <c r="Z190" i="3" s="1"/>
  <c r="X189" i="3"/>
  <c r="Z189" i="3" s="1"/>
  <c r="X188" i="3"/>
  <c r="Z188" i="3" s="1"/>
  <c r="X187" i="3"/>
  <c r="Z187" i="3" s="1"/>
  <c r="Y183" i="3"/>
  <c r="S183" i="3"/>
  <c r="Q183" i="3"/>
  <c r="O183" i="3"/>
  <c r="M183" i="3"/>
  <c r="X181" i="3"/>
  <c r="Z181" i="3" s="1"/>
  <c r="X180" i="3"/>
  <c r="Z180" i="3" s="1"/>
  <c r="X179" i="3"/>
  <c r="Z179" i="3" s="1"/>
  <c r="X177" i="3"/>
  <c r="Z177" i="3" s="1"/>
  <c r="X176" i="3"/>
  <c r="Z176" i="3" s="1"/>
  <c r="X174" i="3"/>
  <c r="Z174" i="3" s="1"/>
  <c r="X173" i="3"/>
  <c r="Z173" i="3" s="1"/>
  <c r="X170" i="3"/>
  <c r="Z170" i="3" s="1"/>
  <c r="X169" i="3"/>
  <c r="Z169" i="3" s="1"/>
  <c r="X168" i="3"/>
  <c r="Z168" i="3" s="1"/>
  <c r="X166" i="3"/>
  <c r="Z166" i="3" s="1"/>
  <c r="X165" i="3"/>
  <c r="Z165" i="3" s="1"/>
  <c r="Z163" i="3"/>
  <c r="X161" i="3"/>
  <c r="Z161" i="3" s="1"/>
  <c r="X160" i="3"/>
  <c r="Z160" i="3" s="1"/>
  <c r="X158" i="3"/>
  <c r="Z158" i="3" s="1"/>
  <c r="X157" i="3"/>
  <c r="Z157" i="3" s="1"/>
  <c r="X156" i="3"/>
  <c r="Z156" i="3" s="1"/>
  <c r="X155" i="3"/>
  <c r="Z155" i="3" s="1"/>
  <c r="Z154" i="3"/>
  <c r="X153" i="3"/>
  <c r="Z153" i="3" s="1"/>
  <c r="X152" i="3"/>
  <c r="Z152" i="3" s="1"/>
  <c r="X151" i="3"/>
  <c r="Z151" i="3" s="1"/>
  <c r="X150" i="3"/>
  <c r="Z150" i="3" s="1"/>
  <c r="X147" i="3"/>
  <c r="Z147" i="3" s="1"/>
  <c r="X146" i="3"/>
  <c r="Z146" i="3" s="1"/>
  <c r="X142" i="3"/>
  <c r="Z142" i="3" s="1"/>
  <c r="X141" i="3"/>
  <c r="Z141" i="3" s="1"/>
  <c r="X140" i="3"/>
  <c r="Z140" i="3" s="1"/>
  <c r="X138" i="3"/>
  <c r="Z138" i="3" s="1"/>
  <c r="X137" i="3"/>
  <c r="Z137" i="3" s="1"/>
  <c r="Y133" i="3"/>
  <c r="U133" i="3"/>
  <c r="S133" i="3"/>
  <c r="Q133" i="3"/>
  <c r="O133" i="3"/>
  <c r="M133" i="3"/>
  <c r="Z132" i="3"/>
  <c r="X131" i="3"/>
  <c r="Z131" i="3" s="1"/>
  <c r="X130" i="3"/>
  <c r="Z130" i="3" s="1"/>
  <c r="X128" i="3"/>
  <c r="Z128" i="3" s="1"/>
  <c r="X127" i="3"/>
  <c r="Z127" i="3" s="1"/>
  <c r="X125" i="3"/>
  <c r="Z125" i="3" s="1"/>
  <c r="X124" i="3"/>
  <c r="Z124" i="3" s="1"/>
  <c r="X123" i="3"/>
  <c r="Z123" i="3" s="1"/>
  <c r="X122" i="3"/>
  <c r="Z122" i="3" s="1"/>
  <c r="X121" i="3"/>
  <c r="Z121" i="3" s="1"/>
  <c r="X120" i="3"/>
  <c r="Z120" i="3" s="1"/>
  <c r="X119" i="3"/>
  <c r="Z119" i="3" s="1"/>
  <c r="X118" i="3"/>
  <c r="Z118" i="3" s="1"/>
  <c r="X116" i="3"/>
  <c r="Z116" i="3" s="1"/>
  <c r="X115" i="3"/>
  <c r="Z115" i="3" s="1"/>
  <c r="X114" i="3"/>
  <c r="Z114" i="3" s="1"/>
  <c r="X113" i="3"/>
  <c r="Z113" i="3" s="1"/>
  <c r="X110" i="3"/>
  <c r="Z110" i="3" s="1"/>
  <c r="X109" i="3"/>
  <c r="Z109" i="3" s="1"/>
  <c r="X108" i="3"/>
  <c r="Z108" i="3" s="1"/>
  <c r="X107" i="3"/>
  <c r="Z107" i="3" s="1"/>
  <c r="X106" i="3"/>
  <c r="Z106" i="3" s="1"/>
  <c r="X105" i="3"/>
  <c r="Z105" i="3" s="1"/>
  <c r="Y102" i="3"/>
  <c r="W102" i="3"/>
  <c r="U102" i="3"/>
  <c r="S102" i="3"/>
  <c r="Q102" i="3"/>
  <c r="O102" i="3"/>
  <c r="M102" i="3"/>
  <c r="X100" i="3"/>
  <c r="Z100" i="3" s="1"/>
  <c r="X99" i="3"/>
  <c r="Z99" i="3" s="1"/>
  <c r="Z98" i="3"/>
  <c r="X97" i="3"/>
  <c r="Z97" i="3" s="1"/>
  <c r="X96" i="3"/>
  <c r="Z96" i="3" s="1"/>
  <c r="X95" i="3"/>
  <c r="Z95" i="3" s="1"/>
  <c r="X94" i="3"/>
  <c r="Z94" i="3" s="1"/>
  <c r="X93" i="3"/>
  <c r="Z93" i="3" s="1"/>
  <c r="Y90" i="3"/>
  <c r="U90" i="3"/>
  <c r="S90" i="3"/>
  <c r="Q90" i="3"/>
  <c r="O90" i="3"/>
  <c r="M90" i="3"/>
  <c r="Z89" i="3"/>
  <c r="X87" i="3"/>
  <c r="Z87" i="3" s="1"/>
  <c r="X85" i="3"/>
  <c r="Z85" i="3" s="1"/>
  <c r="X84" i="3"/>
  <c r="Z84" i="3" s="1"/>
  <c r="X81" i="3"/>
  <c r="Z81" i="3" s="1"/>
  <c r="X80" i="3"/>
  <c r="Z80" i="3" s="1"/>
  <c r="X79" i="3"/>
  <c r="Z79" i="3" s="1"/>
  <c r="X77" i="3"/>
  <c r="Z77" i="3" s="1"/>
  <c r="X76" i="3"/>
  <c r="Z76" i="3" s="1"/>
  <c r="X75" i="3"/>
  <c r="Z75" i="3" s="1"/>
  <c r="X73" i="3"/>
  <c r="Z73" i="3" s="1"/>
  <c r="X72" i="3"/>
  <c r="Z72" i="3" s="1"/>
  <c r="X71" i="3"/>
  <c r="Z71" i="3" s="1"/>
  <c r="X68" i="3"/>
  <c r="Z68" i="3" s="1"/>
  <c r="X67" i="3"/>
  <c r="Z67" i="3" s="1"/>
  <c r="X66" i="3"/>
  <c r="Z66" i="3" s="1"/>
  <c r="X64" i="3"/>
  <c r="Z64" i="3" s="1"/>
  <c r="X63" i="3"/>
  <c r="Z63" i="3" s="1"/>
  <c r="X62" i="3"/>
  <c r="Z62" i="3" s="1"/>
  <c r="X61" i="3"/>
  <c r="Z61" i="3" s="1"/>
  <c r="X59" i="3"/>
  <c r="Z59" i="3" s="1"/>
  <c r="X58" i="3"/>
  <c r="Z58" i="3" s="1"/>
  <c r="X57" i="3"/>
  <c r="Z57" i="3" s="1"/>
  <c r="X55" i="3"/>
  <c r="Z55" i="3" s="1"/>
  <c r="X54" i="3"/>
  <c r="Z54" i="3" s="1"/>
  <c r="X53" i="3"/>
  <c r="Z53" i="3" s="1"/>
  <c r="X50" i="3"/>
  <c r="Z50" i="3" s="1"/>
  <c r="K50" i="3"/>
  <c r="X49" i="3"/>
  <c r="Z49" i="3" s="1"/>
  <c r="X48" i="3"/>
  <c r="Z48" i="3" s="1"/>
  <c r="X47" i="3"/>
  <c r="Z47" i="3" s="1"/>
  <c r="X45" i="3"/>
  <c r="Z45" i="3" s="1"/>
  <c r="X44" i="3"/>
  <c r="Z44" i="3" s="1"/>
  <c r="X40" i="3"/>
  <c r="Z40" i="3" s="1"/>
  <c r="X39" i="3"/>
  <c r="Z39" i="3" s="1"/>
  <c r="X38" i="3"/>
  <c r="Z38" i="3" s="1"/>
  <c r="X37" i="3"/>
  <c r="Z37" i="3" s="1"/>
  <c r="Z32" i="3"/>
  <c r="X31" i="3"/>
  <c r="Z31" i="3" s="1"/>
  <c r="X30" i="3"/>
  <c r="Z30" i="3" s="1"/>
  <c r="X29" i="3"/>
  <c r="Z29" i="3" s="1"/>
  <c r="S26" i="3"/>
  <c r="S33" i="3" s="1"/>
  <c r="Q26" i="3"/>
  <c r="Q33" i="3" s="1"/>
  <c r="O26" i="3"/>
  <c r="O33" i="3" s="1"/>
  <c r="M26" i="3"/>
  <c r="M33" i="3" s="1"/>
  <c r="X24" i="3"/>
  <c r="Z24" i="3" s="1"/>
  <c r="X23" i="3"/>
  <c r="Z23" i="3" s="1"/>
  <c r="X21" i="3"/>
  <c r="Z21" i="3" s="1"/>
  <c r="X19" i="3"/>
  <c r="Z19" i="3" s="1"/>
  <c r="X18" i="3"/>
  <c r="Z18" i="3" s="1"/>
  <c r="X17" i="3"/>
  <c r="Z17" i="3" s="1"/>
  <c r="X16" i="3"/>
  <c r="Z16" i="3" s="1"/>
  <c r="X15" i="3"/>
  <c r="Z15" i="3" s="1"/>
  <c r="X14" i="3"/>
  <c r="Z14" i="3" s="1"/>
  <c r="X13" i="3"/>
  <c r="Z13" i="3" s="1"/>
  <c r="X12" i="3"/>
  <c r="Z12" i="3" s="1"/>
  <c r="X11" i="3"/>
  <c r="Z11" i="3" s="1"/>
  <c r="X10" i="3"/>
  <c r="Z10" i="3" s="1"/>
  <c r="X8" i="3"/>
  <c r="Z8" i="3" s="1"/>
  <c r="L7" i="3"/>
  <c r="T28" i="2"/>
  <c r="U28" i="2" s="1"/>
  <c r="T29" i="2"/>
  <c r="U29" i="2" s="1"/>
  <c r="T37" i="2"/>
  <c r="T38" i="2"/>
  <c r="T39" i="2"/>
  <c r="T41" i="2"/>
  <c r="T42" i="2"/>
  <c r="T43" i="2"/>
  <c r="U27" i="2"/>
  <c r="U50" i="2"/>
  <c r="X231" i="3" l="1"/>
  <c r="Z231" i="3" s="1"/>
  <c r="Q327" i="3"/>
  <c r="Q331" i="3" s="1"/>
  <c r="Y327" i="3"/>
  <c r="Y331" i="3" s="1"/>
  <c r="V110" i="2"/>
  <c r="X110" i="2" s="1"/>
  <c r="S113" i="2"/>
  <c r="V113" i="2" s="1"/>
  <c r="S327" i="3"/>
  <c r="S331" i="3" s="1"/>
  <c r="M327" i="3"/>
  <c r="M331" i="3" s="1"/>
  <c r="O327" i="3"/>
  <c r="O331" i="3" s="1"/>
  <c r="X102" i="3"/>
  <c r="Z102" i="3"/>
  <c r="Q37" i="2"/>
  <c r="Q8" i="2"/>
  <c r="Q7" i="2"/>
  <c r="U26" i="3" l="1"/>
  <c r="X7" i="3"/>
  <c r="Z7" i="3" l="1"/>
  <c r="U33" i="3"/>
  <c r="U47" i="2"/>
  <c r="U46" i="2"/>
  <c r="U45" i="2"/>
  <c r="U35" i="2"/>
  <c r="U34" i="2"/>
  <c r="U33" i="2"/>
  <c r="U32" i="2"/>
  <c r="U43" i="2"/>
  <c r="U42" i="2"/>
  <c r="U41" i="2"/>
  <c r="U39" i="2"/>
  <c r="U38" i="2"/>
  <c r="U37" i="2"/>
  <c r="S46" i="2"/>
  <c r="S47" i="2"/>
  <c r="S45" i="2"/>
  <c r="S35" i="2"/>
  <c r="S32" i="2"/>
  <c r="S30" i="2"/>
  <c r="R43" i="2"/>
  <c r="S43" i="2" s="1"/>
  <c r="R42" i="2"/>
  <c r="S42" i="2" s="1"/>
  <c r="R41" i="2"/>
  <c r="S41" i="2" s="1"/>
  <c r="R34" i="2"/>
  <c r="S34" i="2" s="1"/>
  <c r="R33" i="2"/>
  <c r="S33" i="2" s="1"/>
  <c r="S29" i="2"/>
  <c r="S28" i="2"/>
  <c r="S27" i="2"/>
  <c r="Q52" i="2"/>
  <c r="O52" i="2"/>
  <c r="M52" i="2"/>
  <c r="K52" i="2"/>
  <c r="T15" i="2"/>
  <c r="U15" i="2" s="1"/>
  <c r="T14" i="2"/>
  <c r="U14" i="2" s="1"/>
  <c r="T13" i="2"/>
  <c r="U13" i="2" s="1"/>
  <c r="T12" i="2"/>
  <c r="U12" i="2" s="1"/>
  <c r="T11" i="2"/>
  <c r="U11" i="2" s="1"/>
  <c r="R15" i="2"/>
  <c r="S15" i="2" s="1"/>
  <c r="R14" i="2"/>
  <c r="S14" i="2" s="1"/>
  <c r="R13" i="2"/>
  <c r="S13" i="2" s="1"/>
  <c r="R12" i="2"/>
  <c r="S12" i="2" s="1"/>
  <c r="R11" i="2"/>
  <c r="S11" i="2" s="1"/>
  <c r="R8" i="2"/>
  <c r="S8" i="2" s="1"/>
  <c r="R7" i="2"/>
  <c r="S7" i="2" s="1"/>
  <c r="U51" i="2"/>
  <c r="U49" i="2"/>
  <c r="R51" i="2"/>
  <c r="S51" i="2" s="1"/>
  <c r="R50" i="2"/>
  <c r="S50" i="2" s="1"/>
  <c r="R49" i="2"/>
  <c r="S49" i="2" s="1"/>
  <c r="V51" i="2" l="1"/>
  <c r="X51" i="2" s="1"/>
  <c r="V49" i="2"/>
  <c r="X49" i="2" s="1"/>
  <c r="V50" i="2"/>
  <c r="X50" i="2" s="1"/>
  <c r="U52" i="2"/>
  <c r="V28" i="2"/>
  <c r="X28" i="2" s="1"/>
  <c r="S52" i="2"/>
  <c r="U9" i="2"/>
  <c r="U21" i="2" s="1"/>
  <c r="R9" i="2"/>
  <c r="S9" i="2" s="1"/>
  <c r="S105" i="2"/>
  <c r="U88" i="2"/>
  <c r="U89" i="2"/>
  <c r="U90" i="2"/>
  <c r="U92" i="2"/>
  <c r="U94" i="2"/>
  <c r="U96" i="2"/>
  <c r="S88" i="2"/>
  <c r="S89" i="2"/>
  <c r="S90" i="2"/>
  <c r="S92" i="2"/>
  <c r="S94" i="2"/>
  <c r="S96" i="2"/>
  <c r="S98" i="2"/>
  <c r="V98" i="2" s="1"/>
  <c r="X98" i="2" s="1"/>
  <c r="R102" i="2"/>
  <c r="R101" i="2"/>
  <c r="R100" i="2"/>
  <c r="S100" i="2" s="1"/>
  <c r="R99" i="2"/>
  <c r="S99" i="2" s="1"/>
  <c r="R97" i="2"/>
  <c r="S97" i="2" s="1"/>
  <c r="R95" i="2"/>
  <c r="S95" i="2" s="1"/>
  <c r="R93" i="2"/>
  <c r="S93" i="2" s="1"/>
  <c r="R91" i="2"/>
  <c r="S91" i="2" s="1"/>
  <c r="R87" i="2"/>
  <c r="S87" i="2" s="1"/>
  <c r="T97" i="2"/>
  <c r="U97" i="2" s="1"/>
  <c r="T95" i="2"/>
  <c r="U95" i="2" s="1"/>
  <c r="T93" i="2"/>
  <c r="U93" i="2" s="1"/>
  <c r="T91" i="2"/>
  <c r="U91" i="2" s="1"/>
  <c r="T87" i="2"/>
  <c r="U87" i="2" s="1"/>
  <c r="N105" i="2"/>
  <c r="I102" i="2"/>
  <c r="I101" i="2"/>
  <c r="I100" i="2"/>
  <c r="I99" i="2"/>
  <c r="I97" i="2"/>
  <c r="I95" i="2"/>
  <c r="I93" i="2"/>
  <c r="I91" i="2"/>
  <c r="I87" i="2"/>
  <c r="I51" i="2"/>
  <c r="I50" i="2"/>
  <c r="I49" i="2"/>
  <c r="N21" i="2"/>
  <c r="I9" i="2"/>
  <c r="V88" i="2" l="1"/>
  <c r="X88" i="2" s="1"/>
  <c r="S101" i="2"/>
  <c r="V101" i="2" s="1"/>
  <c r="X101" i="2" s="1"/>
  <c r="V99" i="2"/>
  <c r="X99" i="2" s="1"/>
  <c r="V91" i="2"/>
  <c r="X91" i="2" s="1"/>
  <c r="V89" i="2"/>
  <c r="X89" i="2" s="1"/>
  <c r="V96" i="2"/>
  <c r="X96" i="2" s="1"/>
  <c r="V94" i="2"/>
  <c r="X94" i="2" s="1"/>
  <c r="V92" i="2"/>
  <c r="X92" i="2" s="1"/>
  <c r="V9" i="2"/>
  <c r="X9" i="2" s="1"/>
  <c r="S21" i="2"/>
  <c r="V21" i="2" s="1"/>
  <c r="X21" i="2" s="1"/>
  <c r="V90" i="2"/>
  <c r="X90" i="2" s="1"/>
  <c r="V100" i="2"/>
  <c r="X100" i="2" s="1"/>
  <c r="S102" i="2"/>
  <c r="V102" i="2" s="1"/>
  <c r="X102" i="2" s="1"/>
  <c r="V93" i="2"/>
  <c r="X93" i="2" s="1"/>
  <c r="V87" i="2"/>
  <c r="X87" i="2" s="1"/>
  <c r="V105" i="2"/>
  <c r="X105" i="2" s="1"/>
  <c r="V95" i="2"/>
  <c r="X95" i="2" s="1"/>
  <c r="V97" i="2"/>
  <c r="X97" i="2" s="1"/>
  <c r="O17" i="2" l="1"/>
  <c r="O24" i="2" s="1"/>
  <c r="K17" i="2"/>
  <c r="K24" i="2" s="1"/>
  <c r="U83" i="2"/>
  <c r="U84" i="2"/>
  <c r="U85" i="2"/>
  <c r="V60" i="2"/>
  <c r="X60" i="2" s="1"/>
  <c r="S84" i="2"/>
  <c r="S85" i="2"/>
  <c r="S107" i="2" s="1"/>
  <c r="V35" i="2"/>
  <c r="X35" i="2" s="1"/>
  <c r="O85" i="2"/>
  <c r="M85" i="2"/>
  <c r="K85" i="2"/>
  <c r="O84" i="2"/>
  <c r="M84" i="2"/>
  <c r="K84" i="2"/>
  <c r="O83" i="2"/>
  <c r="M83" i="2"/>
  <c r="K83" i="2"/>
  <c r="P78" i="2"/>
  <c r="N78" i="2"/>
  <c r="L78" i="2"/>
  <c r="I78" i="2"/>
  <c r="Q77" i="2"/>
  <c r="M77" i="2"/>
  <c r="I77" i="2"/>
  <c r="N77" i="2" s="1"/>
  <c r="P76" i="2"/>
  <c r="L76" i="2"/>
  <c r="I76" i="2"/>
  <c r="M75" i="2"/>
  <c r="I75" i="2"/>
  <c r="N75" i="2" s="1"/>
  <c r="P67" i="2"/>
  <c r="N67" i="2"/>
  <c r="L67" i="2"/>
  <c r="I67" i="2"/>
  <c r="P66" i="2"/>
  <c r="N66" i="2"/>
  <c r="L66" i="2"/>
  <c r="I66" i="2"/>
  <c r="P65" i="2"/>
  <c r="N65" i="2"/>
  <c r="L65" i="2"/>
  <c r="I65" i="2"/>
  <c r="P64" i="2"/>
  <c r="N64" i="2"/>
  <c r="L64" i="2"/>
  <c r="P63" i="2"/>
  <c r="N63" i="2"/>
  <c r="L63" i="2"/>
  <c r="I63" i="2"/>
  <c r="P62" i="2"/>
  <c r="N62" i="2"/>
  <c r="L62" i="2"/>
  <c r="I62" i="2"/>
  <c r="P57" i="2"/>
  <c r="N57" i="2"/>
  <c r="L57" i="2"/>
  <c r="I57" i="2"/>
  <c r="P56" i="2"/>
  <c r="N56" i="2"/>
  <c r="L56" i="2"/>
  <c r="I56" i="2"/>
  <c r="W52" i="2"/>
  <c r="N47" i="2"/>
  <c r="L47" i="2"/>
  <c r="I47" i="2"/>
  <c r="N46" i="2"/>
  <c r="L46" i="2"/>
  <c r="I46" i="2"/>
  <c r="N45" i="2"/>
  <c r="L45" i="2"/>
  <c r="I45" i="2"/>
  <c r="P43" i="2"/>
  <c r="N43" i="2"/>
  <c r="L43" i="2"/>
  <c r="I43" i="2"/>
  <c r="P42" i="2"/>
  <c r="N42" i="2"/>
  <c r="L42" i="2"/>
  <c r="I42" i="2"/>
  <c r="P41" i="2"/>
  <c r="N41" i="2"/>
  <c r="L41" i="2"/>
  <c r="I41" i="2"/>
  <c r="P39" i="2"/>
  <c r="N39" i="2"/>
  <c r="L39" i="2"/>
  <c r="I39" i="2"/>
  <c r="P38" i="2"/>
  <c r="N38" i="2"/>
  <c r="L38" i="2"/>
  <c r="I38" i="2"/>
  <c r="P37" i="2"/>
  <c r="N37" i="2"/>
  <c r="L37" i="2"/>
  <c r="I37" i="2"/>
  <c r="P34" i="2"/>
  <c r="N34" i="2"/>
  <c r="L34" i="2"/>
  <c r="I34" i="2"/>
  <c r="P33" i="2"/>
  <c r="N33" i="2"/>
  <c r="L33" i="2"/>
  <c r="I33" i="2"/>
  <c r="P32" i="2"/>
  <c r="N32" i="2"/>
  <c r="L32" i="2"/>
  <c r="I32" i="2"/>
  <c r="P29" i="2"/>
  <c r="N29" i="2"/>
  <c r="L29" i="2"/>
  <c r="I29" i="2"/>
  <c r="P28" i="2"/>
  <c r="N28" i="2"/>
  <c r="L28" i="2"/>
  <c r="I28" i="2"/>
  <c r="P27" i="2"/>
  <c r="N27" i="2"/>
  <c r="L27" i="2"/>
  <c r="I27" i="2"/>
  <c r="W24" i="2"/>
  <c r="P15" i="2"/>
  <c r="N15" i="2"/>
  <c r="L15" i="2"/>
  <c r="I15" i="2"/>
  <c r="P14" i="2"/>
  <c r="N14" i="2"/>
  <c r="L14" i="2"/>
  <c r="I14" i="2"/>
  <c r="P13" i="2"/>
  <c r="N13" i="2"/>
  <c r="L13" i="2"/>
  <c r="I13" i="2"/>
  <c r="P12" i="2"/>
  <c r="N12" i="2"/>
  <c r="L12" i="2"/>
  <c r="I12" i="2"/>
  <c r="P11" i="2"/>
  <c r="N11" i="2"/>
  <c r="L11" i="2"/>
  <c r="I11" i="2"/>
  <c r="P8" i="2"/>
  <c r="N8" i="2"/>
  <c r="L8" i="2"/>
  <c r="I8" i="2"/>
  <c r="P7" i="2"/>
  <c r="N7" i="2"/>
  <c r="L7" i="2"/>
  <c r="I7" i="2"/>
  <c r="M107" i="2" l="1"/>
  <c r="U107" i="2"/>
  <c r="Q107" i="2"/>
  <c r="K107" i="2"/>
  <c r="K115" i="2" s="1"/>
  <c r="O107" i="2"/>
  <c r="O115" i="2" s="1"/>
  <c r="W115" i="2"/>
  <c r="W120" i="2" s="1"/>
  <c r="V80" i="2"/>
  <c r="X80" i="2" s="1"/>
  <c r="V81" i="2"/>
  <c r="X81" i="2" s="1"/>
  <c r="V84" i="2"/>
  <c r="X84" i="2" s="1"/>
  <c r="V69" i="2"/>
  <c r="X69" i="2" s="1"/>
  <c r="V47" i="2"/>
  <c r="X47" i="2" s="1"/>
  <c r="V70" i="2"/>
  <c r="X70" i="2" s="1"/>
  <c r="V76" i="2"/>
  <c r="X76" i="2" s="1"/>
  <c r="U17" i="2"/>
  <c r="V32" i="2"/>
  <c r="X32" i="2" s="1"/>
  <c r="V66" i="2"/>
  <c r="X66" i="2" s="1"/>
  <c r="V34" i="2"/>
  <c r="X34" i="2" s="1"/>
  <c r="V72" i="2"/>
  <c r="X72" i="2" s="1"/>
  <c r="V33" i="2"/>
  <c r="X33" i="2" s="1"/>
  <c r="V64" i="2"/>
  <c r="X64" i="2" s="1"/>
  <c r="V85" i="2"/>
  <c r="X85" i="2" s="1"/>
  <c r="V73" i="2"/>
  <c r="X73" i="2" s="1"/>
  <c r="V63" i="2"/>
  <c r="X63" i="2" s="1"/>
  <c r="V46" i="2"/>
  <c r="X46" i="2" s="1"/>
  <c r="V15" i="2"/>
  <c r="X15" i="2" s="1"/>
  <c r="X29" i="2"/>
  <c r="V12" i="2"/>
  <c r="X12" i="2" s="1"/>
  <c r="V45" i="2"/>
  <c r="X45" i="2" s="1"/>
  <c r="V59" i="2"/>
  <c r="X59" i="2" s="1"/>
  <c r="V38" i="2"/>
  <c r="X38" i="2" s="1"/>
  <c r="V37" i="2"/>
  <c r="X37" i="2" s="1"/>
  <c r="V57" i="2"/>
  <c r="X57" i="2" s="1"/>
  <c r="V78" i="2"/>
  <c r="X78" i="2" s="1"/>
  <c r="V30" i="2"/>
  <c r="X30" i="2" s="1"/>
  <c r="V65" i="2"/>
  <c r="X65" i="2" s="1"/>
  <c r="V83" i="2"/>
  <c r="X83" i="2" s="1"/>
  <c r="V8" i="2"/>
  <c r="X8" i="2" s="1"/>
  <c r="V42" i="2"/>
  <c r="X42" i="2" s="1"/>
  <c r="V67" i="2"/>
  <c r="X67" i="2" s="1"/>
  <c r="V14" i="2"/>
  <c r="X14" i="2" s="1"/>
  <c r="V39" i="2"/>
  <c r="X39" i="2" s="1"/>
  <c r="V75" i="2"/>
  <c r="X75" i="2" s="1"/>
  <c r="S22" i="2"/>
  <c r="S19" i="2"/>
  <c r="V77" i="2"/>
  <c r="X77" i="2" s="1"/>
  <c r="V13" i="2"/>
  <c r="X13" i="2" s="1"/>
  <c r="U20" i="2"/>
  <c r="S20" i="2"/>
  <c r="M17" i="2"/>
  <c r="Q17" i="2"/>
  <c r="U19" i="2" l="1"/>
  <c r="V19" i="2" s="1"/>
  <c r="X19" i="2" s="1"/>
  <c r="V107" i="2"/>
  <c r="X107" i="2" s="1"/>
  <c r="V56" i="2"/>
  <c r="X56" i="2" s="1"/>
  <c r="V7" i="2"/>
  <c r="X7" i="2" s="1"/>
  <c r="V27" i="2"/>
  <c r="X27" i="2" s="1"/>
  <c r="V62" i="2"/>
  <c r="X62" i="2" s="1"/>
  <c r="S17" i="2"/>
  <c r="V17" i="2" s="1"/>
  <c r="X17" i="2" s="1"/>
  <c r="V20" i="2"/>
  <c r="X20" i="2" s="1"/>
  <c r="V11" i="2"/>
  <c r="X11" i="2" s="1"/>
  <c r="V52" i="2"/>
  <c r="X52" i="2" s="1"/>
  <c r="V41" i="2"/>
  <c r="X41" i="2" s="1"/>
  <c r="V43" i="2"/>
  <c r="X43" i="2" s="1"/>
  <c r="U22" i="2"/>
  <c r="V22" i="2" s="1"/>
  <c r="X22" i="2" s="1"/>
  <c r="K120" i="2"/>
  <c r="Q24" i="2"/>
  <c r="M24" i="2"/>
  <c r="M115" i="2" s="1"/>
  <c r="S24" i="2" l="1"/>
  <c r="S115" i="2" s="1"/>
  <c r="U24" i="2"/>
  <c r="U115" i="2" s="1"/>
  <c r="M117" i="2"/>
  <c r="M120" i="2" s="1"/>
  <c r="S117" i="2" l="1"/>
  <c r="U117" i="2"/>
  <c r="V24" i="2"/>
  <c r="X24" i="2" s="1"/>
  <c r="U120" i="2" l="1"/>
  <c r="V117" i="2"/>
  <c r="X117" i="2" s="1"/>
  <c r="S120" i="2"/>
  <c r="X113" i="2"/>
  <c r="Q115" i="2"/>
  <c r="Q120" i="2" l="1"/>
  <c r="V120" i="2" s="1"/>
  <c r="X120" i="2" s="1"/>
  <c r="V115" i="2"/>
  <c r="X115" i="2" s="1"/>
  <c r="U183" i="3" l="1"/>
  <c r="X183" i="3" s="1"/>
  <c r="Z183" i="3" s="1"/>
  <c r="X164" i="3"/>
  <c r="Z164" i="3" s="1"/>
  <c r="U327" i="3" l="1"/>
  <c r="U331" i="3" l="1"/>
  <c r="X88" i="3" l="1"/>
  <c r="Z88" i="3" s="1"/>
  <c r="X257" i="3"/>
  <c r="Z257" i="3" s="1"/>
  <c r="X20" i="3" l="1"/>
  <c r="Z20" i="3" s="1"/>
  <c r="Z26" i="3" s="1"/>
  <c r="Z33" i="3" s="1"/>
  <c r="W26" i="3"/>
  <c r="X111" i="3"/>
  <c r="Z111" i="3" s="1"/>
  <c r="W90" i="3"/>
  <c r="X43" i="3"/>
  <c r="Z43" i="3" s="1"/>
  <c r="X226" i="3" l="1"/>
  <c r="Z226" i="3" s="1"/>
  <c r="AB299" i="3" s="1"/>
  <c r="W33" i="3"/>
  <c r="X26" i="3"/>
  <c r="X33" i="3" s="1"/>
  <c r="W325" i="3"/>
  <c r="X256" i="3"/>
  <c r="Z256" i="3" s="1"/>
  <c r="AB186" i="3" s="1"/>
  <c r="X90" i="3"/>
  <c r="Z90" i="3" s="1"/>
  <c r="X325" i="3" l="1"/>
  <c r="Z325" i="3" s="1"/>
  <c r="X112" i="3"/>
  <c r="Z112" i="3" s="1"/>
  <c r="W133" i="3"/>
  <c r="AB183" i="3" l="1"/>
  <c r="AB307" i="3"/>
  <c r="X133" i="3"/>
  <c r="Z133" i="3" s="1"/>
  <c r="W327" i="3"/>
  <c r="X327" i="3" l="1"/>
  <c r="Z327" i="3" l="1"/>
  <c r="X329" i="3" l="1"/>
  <c r="W331" i="3"/>
  <c r="Z329" i="3" l="1"/>
  <c r="X331" i="3"/>
  <c r="Z331" i="3" s="1"/>
</calcChain>
</file>

<file path=xl/sharedStrings.xml><?xml version="1.0" encoding="utf-8"?>
<sst xmlns="http://schemas.openxmlformats.org/spreadsheetml/2006/main" count="2604" uniqueCount="659">
  <si>
    <t>Entity: P</t>
  </si>
  <si>
    <t>Project to Reduce Child Labor and Forced Labor in Palm Oil Supply Chains</t>
  </si>
  <si>
    <t>Unit/Dept.: CCL</t>
  </si>
  <si>
    <t>FOA-ILAB-18-09</t>
  </si>
  <si>
    <t>Funder-Grant: DOL420</t>
  </si>
  <si>
    <t>Partners of the Americas</t>
  </si>
  <si>
    <t>-</t>
  </si>
  <si>
    <t>Performance Indicators</t>
  </si>
  <si>
    <t>Gen. Concept</t>
  </si>
  <si>
    <t>Sage Activity Code</t>
  </si>
  <si>
    <t>Sage Object Code/Line Item</t>
  </si>
  <si>
    <t>Country Code (0 - DC, EC or CO)</t>
  </si>
  <si>
    <t>Subcontractor Code</t>
  </si>
  <si>
    <t>BUDGET ITEM</t>
  </si>
  <si>
    <t>COUNTRY</t>
  </si>
  <si>
    <t>CATEGORY</t>
  </si>
  <si>
    <t>UNIT</t>
  </si>
  <si>
    <t># of Units</t>
  </si>
  <si>
    <t>RATE/ UNIT</t>
  </si>
  <si>
    <t>Year 1</t>
  </si>
  <si>
    <t>Year 2</t>
  </si>
  <si>
    <t>Year 3</t>
  </si>
  <si>
    <t>Year 4</t>
  </si>
  <si>
    <t>Year 5</t>
  </si>
  <si>
    <t>Year 6</t>
  </si>
  <si>
    <t>TOTAL DOL</t>
  </si>
  <si>
    <t>TOTAL COST SHARING</t>
  </si>
  <si>
    <t>PROJECT GRAND TOTAL</t>
  </si>
  <si>
    <t>Direct Labor</t>
  </si>
  <si>
    <t>Key Personnel</t>
  </si>
  <si>
    <t>Local SalAKies and Benefits</t>
  </si>
  <si>
    <t>PERSNL-PD</t>
  </si>
  <si>
    <t>CO</t>
  </si>
  <si>
    <t>Project Director (100%)</t>
  </si>
  <si>
    <t>Colombia</t>
  </si>
  <si>
    <t>Salaries</t>
  </si>
  <si>
    <t>Month</t>
  </si>
  <si>
    <t>PERSNL-RML</t>
  </si>
  <si>
    <t>RML Officer (100%)</t>
  </si>
  <si>
    <t>Other Professional Personnel</t>
  </si>
  <si>
    <t>PERSNL-SCS</t>
  </si>
  <si>
    <t>Social Compliance Specialist (50%)</t>
  </si>
  <si>
    <t>PERSNL-SCC</t>
  </si>
  <si>
    <t>Social Compliance Coordinator (100%)</t>
  </si>
  <si>
    <t>PERSNL-STA</t>
  </si>
  <si>
    <t>Senior Technical Advisor (10%)</t>
  </si>
  <si>
    <t>None</t>
  </si>
  <si>
    <t>Finance and Administration Manager (50%)</t>
  </si>
  <si>
    <t>PERSNL-AM</t>
  </si>
  <si>
    <t>Administration Manager (33%)</t>
  </si>
  <si>
    <t>PERSNL-FO</t>
  </si>
  <si>
    <t>Finance Officer (33%)</t>
  </si>
  <si>
    <t>Finance and Admin Support (33%)</t>
  </si>
  <si>
    <t>PERSNL-COM</t>
  </si>
  <si>
    <t>Communication Specialist (50%)</t>
  </si>
  <si>
    <t>Ecuador</t>
  </si>
  <si>
    <t>Ecuador Project Coordinator (70%)</t>
  </si>
  <si>
    <t>PERSNL-DPD</t>
  </si>
  <si>
    <t>EC</t>
  </si>
  <si>
    <t>Deputy Project Director - Ecuador (100%)</t>
  </si>
  <si>
    <t>PERSNL-RM</t>
  </si>
  <si>
    <t>RML Coordinator - Ecuador (100%)</t>
  </si>
  <si>
    <t>PERSNL-FC</t>
  </si>
  <si>
    <t>Finance Coordinator - Ecuador (50%)</t>
  </si>
  <si>
    <t>Home Office Support</t>
  </si>
  <si>
    <t>Personnel</t>
  </si>
  <si>
    <t>PERSNL-PM</t>
  </si>
  <si>
    <t>Timesheets</t>
  </si>
  <si>
    <t>Project Manager (10%)</t>
  </si>
  <si>
    <t>All</t>
  </si>
  <si>
    <t>PERSNL-SPO</t>
  </si>
  <si>
    <t>Senior Program Officer (40%)</t>
  </si>
  <si>
    <t xml:space="preserve">Subtotal </t>
  </si>
  <si>
    <t>Fringe benefits - Project Director</t>
  </si>
  <si>
    <t>Fringe Benefits</t>
  </si>
  <si>
    <t>FRINGE-CO</t>
  </si>
  <si>
    <t>Fringe benefits - Colombia</t>
  </si>
  <si>
    <t xml:space="preserve">Fringe benefits - Ecuador </t>
  </si>
  <si>
    <t>Fringe</t>
  </si>
  <si>
    <t>FRINGE</t>
  </si>
  <si>
    <t xml:space="preserve">Fringe benefits - Home Office Support </t>
  </si>
  <si>
    <t>Subtotal Direct Labor</t>
  </si>
  <si>
    <t>Travel</t>
  </si>
  <si>
    <t>T1: Post-award Meeting with ILAB</t>
  </si>
  <si>
    <t>Colombia-based staff</t>
  </si>
  <si>
    <t>CE.T1.A</t>
  </si>
  <si>
    <t xml:space="preserve">Airfare - Colombia-DC </t>
  </si>
  <si>
    <t>Trip</t>
  </si>
  <si>
    <t>CE.T1.B</t>
  </si>
  <si>
    <t>86050 (M&amp;IE)/ 86030 (Lodging)</t>
  </si>
  <si>
    <t>Lodging and M&amp;IE in DC</t>
  </si>
  <si>
    <t>Day</t>
  </si>
  <si>
    <t>CE.T1.C</t>
  </si>
  <si>
    <t>Local transportation in DC</t>
  </si>
  <si>
    <t xml:space="preserve">U.S. Visa Fees </t>
  </si>
  <si>
    <t>T2: Field Personnel Annual Visits with ILAB</t>
  </si>
  <si>
    <t>CE.T2.A</t>
  </si>
  <si>
    <t>CE.T2.B</t>
  </si>
  <si>
    <t>CE.T2.C</t>
  </si>
  <si>
    <t>Ecuador- based staff</t>
  </si>
  <si>
    <t>CE.T2.D</t>
  </si>
  <si>
    <t xml:space="preserve">Airfare - Ecuador-DC </t>
  </si>
  <si>
    <t>CE.T2.E</t>
  </si>
  <si>
    <t>CE.T2.F</t>
  </si>
  <si>
    <t xml:space="preserve">US Visa Fees </t>
  </si>
  <si>
    <t>T3: Project Management Travel to Field</t>
  </si>
  <si>
    <t>Trips to Colombia</t>
  </si>
  <si>
    <t>CE.T3.A</t>
  </si>
  <si>
    <t xml:space="preserve">Airfare - DC-Colombia </t>
  </si>
  <si>
    <t>CE.T3.B</t>
  </si>
  <si>
    <t>Lodging and M&amp;IE in Colombia</t>
  </si>
  <si>
    <t>CE.T3.C</t>
  </si>
  <si>
    <t>Local transportation in Colombia</t>
  </si>
  <si>
    <t>Trips to Ecuador</t>
  </si>
  <si>
    <t>CE.T3.D</t>
  </si>
  <si>
    <t xml:space="preserve">Airfare - DC-Ecuador </t>
  </si>
  <si>
    <t>CE.T3.E</t>
  </si>
  <si>
    <t>Lodging and M&amp;IE in Ecuador</t>
  </si>
  <si>
    <t>CE.T3.F</t>
  </si>
  <si>
    <t>Local transportation in Ecuador</t>
  </si>
  <si>
    <t>Trips to Brazil</t>
  </si>
  <si>
    <t xml:space="preserve">Airfare - DC-Brazil </t>
  </si>
  <si>
    <t>Brazil</t>
  </si>
  <si>
    <t>Lodging and M&amp;IE in Brazil</t>
  </si>
  <si>
    <t>Local transportation in Brazil</t>
  </si>
  <si>
    <t xml:space="preserve">Brazilian Visa Fees </t>
  </si>
  <si>
    <t>Trips to Peru</t>
  </si>
  <si>
    <t>CE.T3.K</t>
  </si>
  <si>
    <t>Airfare - DC-Peru</t>
  </si>
  <si>
    <t>Peru</t>
  </si>
  <si>
    <t>CE.T3.L</t>
  </si>
  <si>
    <t>Lodging and M&amp;IE in Peru</t>
  </si>
  <si>
    <t>Local transportation in Peru</t>
  </si>
  <si>
    <t>T.4 Colombia-based Staff Travel to Ecuador, Peru, and Brazil for Non-M&amp;E Activities</t>
  </si>
  <si>
    <t>CE.T4.A</t>
  </si>
  <si>
    <t xml:space="preserve">Airfare - Colombia-Ecuador </t>
  </si>
  <si>
    <t>CE.T4.B</t>
  </si>
  <si>
    <t>CE.T4.C</t>
  </si>
  <si>
    <t>CE.T4.D</t>
  </si>
  <si>
    <t xml:space="preserve">Airfare - Colombia - Brazil </t>
  </si>
  <si>
    <t>CE.T4.E</t>
  </si>
  <si>
    <t>CE.T4.F</t>
  </si>
  <si>
    <t>CE.T4.G</t>
  </si>
  <si>
    <t>Airfare - Colombia - Peru</t>
  </si>
  <si>
    <t>CE.T4.H</t>
  </si>
  <si>
    <t>CE.T4.I</t>
  </si>
  <si>
    <t xml:space="preserve">T.5 Field-based Travel for Non-M&amp;E Activities </t>
  </si>
  <si>
    <t>CE.T5.A</t>
  </si>
  <si>
    <t xml:space="preserve">Lodging and M&amp;IE - Colombia </t>
  </si>
  <si>
    <t>CE.T5.B</t>
  </si>
  <si>
    <t xml:space="preserve">Local transportation - Colombia </t>
  </si>
  <si>
    <t>Ecuador-based staff</t>
  </si>
  <si>
    <t>CE.T5.C</t>
  </si>
  <si>
    <t>Lodging and M&amp;IE - Ecuador</t>
  </si>
  <si>
    <t>CE.T5.D</t>
  </si>
  <si>
    <t>Local transportation - Ecuador</t>
  </si>
  <si>
    <t>Subtotal Travel</t>
  </si>
  <si>
    <t>Equipment</t>
  </si>
  <si>
    <t>Project Office in Colombia</t>
  </si>
  <si>
    <t>Other program expenses</t>
  </si>
  <si>
    <t>DESKTOP</t>
  </si>
  <si>
    <t>Desktop computers and software - Colombia</t>
  </si>
  <si>
    <t>Unit</t>
  </si>
  <si>
    <t>LAPTOP-CO</t>
  </si>
  <si>
    <t xml:space="preserve">Laptop computers &amp; software - Colombia </t>
  </si>
  <si>
    <t>Printer, photocopier &amp; scanner - Colombia</t>
  </si>
  <si>
    <t>CELL-CO</t>
  </si>
  <si>
    <t>Cell phone - Colombia</t>
  </si>
  <si>
    <t>Filing cabinets</t>
  </si>
  <si>
    <t>Satellite Office in Ecuador</t>
  </si>
  <si>
    <t>LAPTOP-EC</t>
  </si>
  <si>
    <t xml:space="preserve">Laptop computers &amp; software </t>
  </si>
  <si>
    <t>CELL-EC</t>
  </si>
  <si>
    <t>Cell phone - Ecuador</t>
  </si>
  <si>
    <t>Subtotal Equipment</t>
  </si>
  <si>
    <t>Supplies and Office Expenses</t>
  </si>
  <si>
    <t>BANKFEE-CO</t>
  </si>
  <si>
    <t>Banking and cash handling fees - Colombia</t>
  </si>
  <si>
    <t>Supplies</t>
  </si>
  <si>
    <t>ACCT&amp;TAX</t>
  </si>
  <si>
    <t>Accounting and Tax Declaration Costs</t>
  </si>
  <si>
    <t>Postages and shipping</t>
  </si>
  <si>
    <t>COURIER-CO</t>
  </si>
  <si>
    <t>Courier fees/services - Colombia</t>
  </si>
  <si>
    <t>Recruitment/Procurement Advertising - Colombia</t>
  </si>
  <si>
    <t>Year</t>
  </si>
  <si>
    <t>Telephone</t>
  </si>
  <si>
    <t>Email/Internet - Colombia</t>
  </si>
  <si>
    <t>Phone - Colombia</t>
  </si>
  <si>
    <t xml:space="preserve">Colombia </t>
  </si>
  <si>
    <t>SUPPLY-CO</t>
  </si>
  <si>
    <t>Office supplies - Colombia</t>
  </si>
  <si>
    <t>RENT-CO</t>
  </si>
  <si>
    <t>Office space - Colombia</t>
  </si>
  <si>
    <t>Equipment rental and maintenance</t>
  </si>
  <si>
    <t>Equipment and office repairs and maintenance - Colombia</t>
  </si>
  <si>
    <t>Insurance</t>
  </si>
  <si>
    <t>PROP&amp;LIAB</t>
  </si>
  <si>
    <t>Property and liability insurance - Colombia</t>
  </si>
  <si>
    <t>Local Transportation</t>
  </si>
  <si>
    <t>Professional Fees</t>
  </si>
  <si>
    <t>LEGAL-CO</t>
  </si>
  <si>
    <t>Legal fees - Colombia</t>
  </si>
  <si>
    <t>BANKFEE-EC</t>
  </si>
  <si>
    <t>Banking and cash handling fees - Ecuador</t>
  </si>
  <si>
    <t>COURIER-EC</t>
  </si>
  <si>
    <t>Courier fees/services - Ecuador</t>
  </si>
  <si>
    <t>Recruitment/Procurement Advertising - Ecuador</t>
  </si>
  <si>
    <t>INTERNETEC</t>
  </si>
  <si>
    <t>Email/Internet - Ecuador</t>
  </si>
  <si>
    <t>PHONE-EC</t>
  </si>
  <si>
    <t>Phone - Ecuador</t>
  </si>
  <si>
    <t>SUPPLY-EC</t>
  </si>
  <si>
    <t>Office supplies - Ecuador</t>
  </si>
  <si>
    <t>RENT-EC</t>
  </si>
  <si>
    <t xml:space="preserve">Office space costs for Project Coordinator - Ecuador </t>
  </si>
  <si>
    <t>Legal fees - Ecuador</t>
  </si>
  <si>
    <t xml:space="preserve">Audits and Attestation Engagements </t>
  </si>
  <si>
    <t>Accounting</t>
  </si>
  <si>
    <t>Audit costs (A-133)</t>
  </si>
  <si>
    <t>Attestation Engagement</t>
  </si>
  <si>
    <t>Project-wide Web Fees</t>
  </si>
  <si>
    <t>OTP 2.2.1</t>
  </si>
  <si>
    <t xml:space="preserve">Webinar platform fees </t>
  </si>
  <si>
    <t>Website domain and hosting fees</t>
  </si>
  <si>
    <t>Subtotal Office Expenses</t>
  </si>
  <si>
    <t>Outcome 1: Strengthened capacity of private sector partners(s) in the Colombian and Ecuadorian palm oil sectors to implement a robust and sustainable social compliance system</t>
  </si>
  <si>
    <t>Activities/Costs</t>
  </si>
  <si>
    <t xml:space="preserve">1.1 Engage and coordinate with stakeholders to design and implement social compliance systems </t>
  </si>
  <si>
    <t>Training, seminAKs and workshops</t>
  </si>
  <si>
    <t>CE.1.1.A</t>
  </si>
  <si>
    <t>Coordination meetings and materials - Colombia</t>
  </si>
  <si>
    <t>Other</t>
  </si>
  <si>
    <t>Meeting</t>
  </si>
  <si>
    <t>CE.1.1.B</t>
  </si>
  <si>
    <t>Coordination meetings and materials - Ecuador</t>
  </si>
  <si>
    <t>1.2 Sub-award to SAI to develop social compliance systems</t>
  </si>
  <si>
    <t>SOTC 1.2.1</t>
  </si>
  <si>
    <t>Subgrants and subcontracts</t>
  </si>
  <si>
    <t>CE.1.2.A</t>
  </si>
  <si>
    <t>SAI</t>
  </si>
  <si>
    <t>Contractual: Sub-award to Social Accountability International (SAI) - Colombia</t>
  </si>
  <si>
    <t>Contractual</t>
  </si>
  <si>
    <t>CE.1.2.B</t>
  </si>
  <si>
    <t>Contractual: Sub-award to Social Accountability International (SAI) - Ecuador</t>
  </si>
  <si>
    <t>CE.1.2.C</t>
  </si>
  <si>
    <t>Contractual: Sub-award to Social Accountability International (SAI) - All</t>
  </si>
  <si>
    <t>Sub-Outcome 1.1 Increased understanding of labor practices and risks of child labor and forced labor in the Colombian and Ecuadorian palm oil sectors</t>
  </si>
  <si>
    <t>1.1.1 Form Multi-Stakeholder Advisory Councils for providing project updates and convening stakeholders</t>
  </si>
  <si>
    <t>CE.1.1.1.A</t>
  </si>
  <si>
    <t>Council meetings and materials - Colombia</t>
  </si>
  <si>
    <t>Council meetings and materials - Ecuador</t>
  </si>
  <si>
    <t>1.1.2 Conduct targeted research on gaps identified by the palm oil sector including the prevalence, nature, and risks of child labor and forced labor</t>
  </si>
  <si>
    <t>Research in Colombia</t>
  </si>
  <si>
    <t>OTP 1.1.1.1</t>
  </si>
  <si>
    <t>CE.1.1.2.A</t>
  </si>
  <si>
    <t>Coordination and planning meetings with research and sector stakeholders - Colombia</t>
  </si>
  <si>
    <t>Consulting services</t>
  </si>
  <si>
    <t>CE.1.1.2.B</t>
  </si>
  <si>
    <t>Contractual: Consultant fees - Colombia</t>
  </si>
  <si>
    <t xml:space="preserve">Research study materials - Colombia </t>
  </si>
  <si>
    <t>Study</t>
  </si>
  <si>
    <t>Printing and publications</t>
  </si>
  <si>
    <t xml:space="preserve">Design and printing of results and other learning documents </t>
  </si>
  <si>
    <t>Research in Ecuador</t>
  </si>
  <si>
    <t>Coordination and planning meetings with research and sector stakeholders - Ecuador</t>
  </si>
  <si>
    <t>Contractual: Consultant fees - Ecuador</t>
  </si>
  <si>
    <t>Research study materials - Ecuador</t>
  </si>
  <si>
    <t>Design and printing of results and other learning documents - Ecuador</t>
  </si>
  <si>
    <t>1.1.3 Coordinate market analysis plans with stakeholders</t>
  </si>
  <si>
    <t>OTP 1.1.3.1</t>
  </si>
  <si>
    <t>CE.1.1.3.A</t>
  </si>
  <si>
    <t>1.1.4 Carry out annual sectoral action-oriented workshop addressing child labor, forced labor, acceptable conditions of work</t>
  </si>
  <si>
    <t>Workshops in Colombia</t>
  </si>
  <si>
    <t>SOTC 1.1.1</t>
  </si>
  <si>
    <t>CE.1.1.4.A</t>
  </si>
  <si>
    <t>Planning and coordination meetings for workshops - Colombia</t>
  </si>
  <si>
    <t>CE.1.1.4.C</t>
  </si>
  <si>
    <t xml:space="preserve">Annual sectoral workshop - Colombia </t>
  </si>
  <si>
    <t>Workshop</t>
  </si>
  <si>
    <t>Workshops in Ecuador</t>
  </si>
  <si>
    <t>CE.1.1.4.D</t>
  </si>
  <si>
    <t>CE.1.1.4.E</t>
  </si>
  <si>
    <t>Planning and coordination meetings for workshops - Ecuador</t>
  </si>
  <si>
    <t>CE.1.1.4.F</t>
  </si>
  <si>
    <t>Annual sectoral workshop - Ecuador</t>
  </si>
  <si>
    <t>1.1.5 Develop and disseminate materials to promote acceptable conditions of work and address child labor and forced labor</t>
  </si>
  <si>
    <t>Guidelines tailored to Colombia</t>
  </si>
  <si>
    <t>CE.1.1.5.A</t>
  </si>
  <si>
    <t>CE.1.1.5.B</t>
  </si>
  <si>
    <t>Design and printing of materials - Colombia</t>
  </si>
  <si>
    <t>Document</t>
  </si>
  <si>
    <t>Guidelines tailored to Ecuador</t>
  </si>
  <si>
    <t>CE.1.1.5.C</t>
  </si>
  <si>
    <t>CE.1.1.5.D</t>
  </si>
  <si>
    <t>Design and printing of materials - Ecuador</t>
  </si>
  <si>
    <t>Material</t>
  </si>
  <si>
    <t xml:space="preserve">1.1.6 Sub-award to JE Austin for market analysis </t>
  </si>
  <si>
    <t>OTP 1.1.2.1</t>
  </si>
  <si>
    <t>CE.1.1.6.A</t>
  </si>
  <si>
    <t>Contractual: Sub-award to JE Austin - Colombia</t>
  </si>
  <si>
    <t>CE.1.1.6.B</t>
  </si>
  <si>
    <t>Contractual: Sub-award to JE Austin - Ecuador</t>
  </si>
  <si>
    <t>Contractual: Sub-award to JE Austin - All</t>
  </si>
  <si>
    <t>Subtotal Outcome 1</t>
  </si>
  <si>
    <t>Outcome 2: Increased understanding, at regional and global levels, of promising practices in social compliance systems in palm oil supply chains</t>
  </si>
  <si>
    <t xml:space="preserve">2.1 Collaborate with FEDEPALMA to highlight issues of child labor, forced labor, and the promotion of workers rights at the annual International Palm Oil Conference </t>
  </si>
  <si>
    <t>OTC 2.1</t>
  </si>
  <si>
    <t>CE.2.1.A</t>
  </si>
  <si>
    <t>Coordination and planning meetings</t>
  </si>
  <si>
    <t xml:space="preserve">Conference materials </t>
  </si>
  <si>
    <t>Event</t>
  </si>
  <si>
    <t xml:space="preserve">Travel: Stipend for guest speakers </t>
  </si>
  <si>
    <t>Speaker</t>
  </si>
  <si>
    <t xml:space="preserve">Travel: Stipends for stakeholders from target project countries </t>
  </si>
  <si>
    <t>Participant</t>
  </si>
  <si>
    <t>2.2 Provide opportunities for stakeholders from target project countries to attend global events outside the South American region</t>
  </si>
  <si>
    <t>CE.2.2.A</t>
  </si>
  <si>
    <t>Travel: Stipends for stakeholders from target project countries</t>
  </si>
  <si>
    <t>2.3. Organize regional forums in the South American region to share best practices and disseminate knowledge</t>
  </si>
  <si>
    <t>Regional Forum in Brazil</t>
  </si>
  <si>
    <t>OTP 2.1.1</t>
  </si>
  <si>
    <t>CE.2.3.A</t>
  </si>
  <si>
    <t>Coordination and planning meetings - Brazil</t>
  </si>
  <si>
    <t>CE.2.3.B</t>
  </si>
  <si>
    <t>Contractual: Event planning consultant fees - Brazil</t>
  </si>
  <si>
    <t>CE.2.3.C</t>
  </si>
  <si>
    <t>Regional Forum - Brazil</t>
  </si>
  <si>
    <t>CE.2.3.D</t>
  </si>
  <si>
    <t>Regional Forum in Peru</t>
  </si>
  <si>
    <t>Coordination and planning meetings - Peru</t>
  </si>
  <si>
    <t>CE.2.3.F</t>
  </si>
  <si>
    <t>Contractual: Event planning consultant fees - Peru</t>
  </si>
  <si>
    <t>CE.2.3.G</t>
  </si>
  <si>
    <t>Regional Forum - Peru</t>
  </si>
  <si>
    <t>CE.2.3.H</t>
  </si>
  <si>
    <t>2.4 Conduct study tours and workshops for the target project countries</t>
  </si>
  <si>
    <t>Study tour/workshops in Peru</t>
  </si>
  <si>
    <t>Contractual: planning consultant fees - Peru</t>
  </si>
  <si>
    <t>CE.2.4.C</t>
  </si>
  <si>
    <t>Study tour and workshop hosting - Peru</t>
  </si>
  <si>
    <t>Tour</t>
  </si>
  <si>
    <t>CE.2.4.D</t>
  </si>
  <si>
    <t>Study tour/workshops in Ecuador</t>
  </si>
  <si>
    <t>OTC 2.2</t>
  </si>
  <si>
    <t>Coordination and planning meetings - Ecuador</t>
  </si>
  <si>
    <t>Contractual: planning consultant fees - Ecuador</t>
  </si>
  <si>
    <t>CE.2.4.G</t>
  </si>
  <si>
    <t>Study tour and workshop hosting - Ecuador</t>
  </si>
  <si>
    <t>CE.2.4.H</t>
  </si>
  <si>
    <t>Study tour/workshops in Brazil</t>
  </si>
  <si>
    <t>CE.2.4.J</t>
  </si>
  <si>
    <t>Contractual: planning consultant fees - Brazil</t>
  </si>
  <si>
    <t>CE.2.4.K</t>
  </si>
  <si>
    <t>Study tour and workshop hosting - Brazil</t>
  </si>
  <si>
    <t>CE.2.4.L</t>
  </si>
  <si>
    <t>Study tour/workshops in Colombia</t>
  </si>
  <si>
    <t>Coordination and planning meetings - Colombia</t>
  </si>
  <si>
    <t>Contractual: planning consultant fees - Colombia</t>
  </si>
  <si>
    <t>CE.2.4.O</t>
  </si>
  <si>
    <t>Study tour and workshop hosting - Colombia</t>
  </si>
  <si>
    <t>CE.2.4.P</t>
  </si>
  <si>
    <t>2.5 Provide a virtual platform to share research, lessons, and tools from the project</t>
  </si>
  <si>
    <t>CE.2.5.A</t>
  </si>
  <si>
    <t>Contractual: Website creation, maintenance, and user manual development</t>
  </si>
  <si>
    <t>2.6 Identify and promote leading private sector entities that have strong/exemplary human rights programs/standards</t>
  </si>
  <si>
    <t>CE.2.6.A</t>
  </si>
  <si>
    <t>Contractual: Video production fees</t>
  </si>
  <si>
    <t>Video</t>
  </si>
  <si>
    <t>CE.2.6.B</t>
  </si>
  <si>
    <t xml:space="preserve">Radio spots and social media boosts </t>
  </si>
  <si>
    <t>Subtotal Outcome 2</t>
  </si>
  <si>
    <t>3: Monitoring, Evaluation, and Collection of Reliable Data</t>
  </si>
  <si>
    <t>3.1 Database Development</t>
  </si>
  <si>
    <t xml:space="preserve">Contractual: Consultant fees </t>
  </si>
  <si>
    <t>3.2 Monitoring Guidelines Development</t>
  </si>
  <si>
    <t>Monitoring guidelines production and printing</t>
  </si>
  <si>
    <t xml:space="preserve">Document </t>
  </si>
  <si>
    <t xml:space="preserve">Monitoring guidelines training workshop </t>
  </si>
  <si>
    <t>Travel: Ecuador-based staff airfare - Ecuador-Colombia</t>
  </si>
  <si>
    <t>Travel: Ecuador -based staff lodging and M&amp;IE in Colombia</t>
  </si>
  <si>
    <t>Travel: Ecuador-based staff local transportation - Colombia</t>
  </si>
  <si>
    <t>3.3. On-going M&amp;E Training</t>
  </si>
  <si>
    <t>CE.3.3.A</t>
  </si>
  <si>
    <t>On-going M&amp;E training workshops</t>
  </si>
  <si>
    <t>Travel: Ecuador-based staff airfare-Ecuador - Colombia</t>
  </si>
  <si>
    <t>Travel: Ecuador-based staff lodging and M&amp;IE in Colombia</t>
  </si>
  <si>
    <t>3.4 Collection of Reliable Data</t>
  </si>
  <si>
    <t>Data collection in Colombia</t>
  </si>
  <si>
    <t>CE.3.4.A</t>
  </si>
  <si>
    <t>CE.3.4.B</t>
  </si>
  <si>
    <t>Travel: Lodging and M&amp;IE- field verification and data collection visits - Colombia</t>
  </si>
  <si>
    <t>CE.3.4.C</t>
  </si>
  <si>
    <t>Travel: Local transportation - Colombia</t>
  </si>
  <si>
    <t>CE.3.4.D</t>
  </si>
  <si>
    <t>82420 (materials)/ 85300 (printing)</t>
  </si>
  <si>
    <t>Data collection materials and printing - Colombia</t>
  </si>
  <si>
    <t>CE.3.4.N</t>
  </si>
  <si>
    <t>Contractual: SubAward to Social Accountability International Data collection and verification - Colombia</t>
  </si>
  <si>
    <t>Data collection in Ecuador</t>
  </si>
  <si>
    <t>CE.3.4.F</t>
  </si>
  <si>
    <t>Travel: Lodging and M&amp;IE- field verification and data collection visits - Ecuador</t>
  </si>
  <si>
    <t>CE.3.4.G</t>
  </si>
  <si>
    <t>Travel: Local transportation - Ecuador</t>
  </si>
  <si>
    <t>CE.3.4.H</t>
  </si>
  <si>
    <t>Data collection materials and printing - Ecuador</t>
  </si>
  <si>
    <t>CE.3.4.I</t>
  </si>
  <si>
    <t>Contractual: SubAward to Social Accountability International Data collection and verification - Ecuador</t>
  </si>
  <si>
    <t>Data collection in Peru</t>
  </si>
  <si>
    <t>CE.3.4.J</t>
  </si>
  <si>
    <t>Travel: Lodging and M&amp;IE- field verification and data collection visits - Peru</t>
  </si>
  <si>
    <t>CE.3.4.K</t>
  </si>
  <si>
    <t>Travel: Local transportation - Peru</t>
  </si>
  <si>
    <t>Data collection in Brazil</t>
  </si>
  <si>
    <t>CE.3.4.L</t>
  </si>
  <si>
    <t>Travel: Lodging and M&amp;IE- field verification and data collection visits - Brazil</t>
  </si>
  <si>
    <t>CE.3.4.M</t>
  </si>
  <si>
    <t>Travel: Local transportation - Brazil</t>
  </si>
  <si>
    <t xml:space="preserve">3.5 Pre-Situational Analysis </t>
  </si>
  <si>
    <t>Colombia analysis</t>
  </si>
  <si>
    <t>Travel: Lodging and M&amp;IE in Colombia</t>
  </si>
  <si>
    <t>Travel: Local transportation in Colombia</t>
  </si>
  <si>
    <t>Analysis</t>
  </si>
  <si>
    <t>Coordination and data collection meetings - Colombia</t>
  </si>
  <si>
    <t xml:space="preserve">Ecuador analysis </t>
  </si>
  <si>
    <t xml:space="preserve">Travel: Airfare - Colombia - Ecuador </t>
  </si>
  <si>
    <t>Travel: Lodging and M&amp;IE in Ecuador</t>
  </si>
  <si>
    <t>Travel: Local transportation in Ecuador</t>
  </si>
  <si>
    <t>Data collection tools development and printing - Ecuador</t>
  </si>
  <si>
    <t>Coordination and data collection meetings - Ecuador</t>
  </si>
  <si>
    <t>Document Development</t>
  </si>
  <si>
    <t>CE.3.5.J</t>
  </si>
  <si>
    <t xml:space="preserve">Document translation </t>
  </si>
  <si>
    <t>Document design and printing</t>
  </si>
  <si>
    <t>3.6 Pre-CMEP Workshop</t>
  </si>
  <si>
    <t xml:space="preserve">Workshop </t>
  </si>
  <si>
    <t>3.7 CMEP Workshops</t>
  </si>
  <si>
    <t>CE.3.7.A</t>
  </si>
  <si>
    <t>CE.3.7.B</t>
  </si>
  <si>
    <t>CE.3.7.C</t>
  </si>
  <si>
    <t>CE.3.7.D</t>
  </si>
  <si>
    <t>Travel: Ecuador-based staff local transportation in Colombia</t>
  </si>
  <si>
    <t>CE.3.7.E</t>
  </si>
  <si>
    <t>Travel: HQ staff airfare - DC - Colombia</t>
  </si>
  <si>
    <t>CE.3.7.F</t>
  </si>
  <si>
    <t>Travel: HQ lodging and M&amp;IE in Colombia</t>
  </si>
  <si>
    <t>CE.3.7.G</t>
  </si>
  <si>
    <t>Travel: HQ staff local transportation in Colombia</t>
  </si>
  <si>
    <t>CE.3.7.H</t>
  </si>
  <si>
    <t>Document translation</t>
  </si>
  <si>
    <t>3.8 Annual CMEP Review Workshop</t>
  </si>
  <si>
    <t>CE.3.8.A</t>
  </si>
  <si>
    <t>CE.3.8.B</t>
  </si>
  <si>
    <t>CE.3.8.C</t>
  </si>
  <si>
    <t>CE.3.8.D</t>
  </si>
  <si>
    <t>CE.3.8.E</t>
  </si>
  <si>
    <t>Contractual: Sub-award to Social Accountability International Travel to Colombia to CMEP review workshops</t>
  </si>
  <si>
    <t>CE.3.8.F</t>
  </si>
  <si>
    <t>CE.3.8.G</t>
  </si>
  <si>
    <t>Travel: Colombia-based staff airfare - Colombia-Ecuador</t>
  </si>
  <si>
    <t>CE.3.8.H</t>
  </si>
  <si>
    <t>Travel: Colombia-based staff lodging and M&amp;IE in Ecuador</t>
  </si>
  <si>
    <t>CE.3.8.I</t>
  </si>
  <si>
    <t>Travel: Colombia-based staff local transportation in Ecuador</t>
  </si>
  <si>
    <t>CE.3.8.J</t>
  </si>
  <si>
    <t>Contractual: Sub-award to Social Accountability International Travel to Ecuador to CMEP review workshops</t>
  </si>
  <si>
    <t>3.9 External Evaluations</t>
  </si>
  <si>
    <t>Midterm Evaluation</t>
  </si>
  <si>
    <t>Evaluation</t>
  </si>
  <si>
    <t>CE.3.9.B</t>
  </si>
  <si>
    <t>Final Evaluation</t>
  </si>
  <si>
    <t xml:space="preserve">3.10 End-of-Project Final Analysis on CMEP Indicator Data and Overall Results Analysis </t>
  </si>
  <si>
    <t>Subtotal Monitoring, Evaluation, and Collection of Reliable Data</t>
  </si>
  <si>
    <t>Total Direct Costs</t>
  </si>
  <si>
    <t>Indirect cost applied</t>
  </si>
  <si>
    <t>IDC</t>
  </si>
  <si>
    <t xml:space="preserve">Total Indirect Costs (NICRA) </t>
  </si>
  <si>
    <t>Indirect Charges</t>
  </si>
  <si>
    <t>TOTAL COSTS</t>
  </si>
  <si>
    <t>Social Accountability International (SAI)</t>
  </si>
  <si>
    <t xml:space="preserve">Open1 Code </t>
  </si>
  <si>
    <t>YEAR 1</t>
  </si>
  <si>
    <t>YEAR 2</t>
  </si>
  <si>
    <t>YEAR 3</t>
  </si>
  <si>
    <r>
      <t xml:space="preserve">YEAR </t>
    </r>
    <r>
      <rPr>
        <b/>
        <sz val="8"/>
        <rFont val="Arial"/>
        <family val="2"/>
      </rPr>
      <t>4</t>
    </r>
  </si>
  <si>
    <t>YEAR 5</t>
  </si>
  <si>
    <t>YEAR 6</t>
  </si>
  <si>
    <t xml:space="preserve">Field-based Personnel </t>
  </si>
  <si>
    <t>MASTERCO</t>
  </si>
  <si>
    <t>2 Master Trainers - Colombia</t>
  </si>
  <si>
    <t xml:space="preserve">Month </t>
  </si>
  <si>
    <t>MASTEREC</t>
  </si>
  <si>
    <t>2 Master Trainers - Ecuador</t>
  </si>
  <si>
    <t>2 Master Trainers - Peru</t>
  </si>
  <si>
    <t>DIRECTOR</t>
  </si>
  <si>
    <t>Project Director</t>
  </si>
  <si>
    <t>MASTTRAIN</t>
  </si>
  <si>
    <t>Master Trainer/Curricula Developer</t>
  </si>
  <si>
    <t>MANAGER</t>
  </si>
  <si>
    <t>Manager, Research, Policy, Stakeholder Engagement</t>
  </si>
  <si>
    <t>ISSUEXPERT</t>
  </si>
  <si>
    <t>Issue Experts</t>
  </si>
  <si>
    <t>COMMMANGER</t>
  </si>
  <si>
    <t>Communications Manager</t>
  </si>
  <si>
    <t>FRINGECO</t>
  </si>
  <si>
    <t>FRINGEEC</t>
  </si>
  <si>
    <t>Fringe benefits - Ecuador</t>
  </si>
  <si>
    <t>Fringe benefits - Peru</t>
  </si>
  <si>
    <t>FRINGEDHQ</t>
  </si>
  <si>
    <t>T1: Travel to Colombia</t>
  </si>
  <si>
    <t>AIRFARECO</t>
  </si>
  <si>
    <t>Airfare - NYC-Colombia (2 people per trip)</t>
  </si>
  <si>
    <t>LODGINGCO</t>
  </si>
  <si>
    <t>Lodging and M&amp;IE</t>
  </si>
  <si>
    <t>TRANSCO</t>
  </si>
  <si>
    <t>Local transportation (1 driver for each day)</t>
  </si>
  <si>
    <t>VISASCO</t>
  </si>
  <si>
    <t>T2: Travel to Ecuador</t>
  </si>
  <si>
    <t>AIRFAREEC</t>
  </si>
  <si>
    <t>Airfare - NYC-Ecuador (2 people per trip)</t>
  </si>
  <si>
    <t>LODGINGEC</t>
  </si>
  <si>
    <t>TRANSEC</t>
  </si>
  <si>
    <t>VISASEC</t>
  </si>
  <si>
    <t>T3: Travel to Colombia for master trainers</t>
  </si>
  <si>
    <t>MTAIRFARCO</t>
  </si>
  <si>
    <t>Airfare - Latin America-Colombia (Master Trainers) (2 trainers per trip)</t>
  </si>
  <si>
    <t>MTLODGCO</t>
  </si>
  <si>
    <t>MTTRANSCO</t>
  </si>
  <si>
    <t>Local transportation</t>
  </si>
  <si>
    <t>T4: Travel to Ecuador for master trainers</t>
  </si>
  <si>
    <t>MTAIRFAREC</t>
  </si>
  <si>
    <t>Airfare - Latin America-Ecuador (Master Trainers) (2 trainers per trip)</t>
  </si>
  <si>
    <t>MTLODGEC</t>
  </si>
  <si>
    <t>MTTRANSEC</t>
  </si>
  <si>
    <t>T5: Travel to Washington, DC</t>
  </si>
  <si>
    <t>TRAINDC</t>
  </si>
  <si>
    <t>Train - NYC-DC</t>
  </si>
  <si>
    <t>LODGINGDC</t>
  </si>
  <si>
    <t>TRANSDC</t>
  </si>
  <si>
    <t>T6: Travel to Peru for master trainers</t>
  </si>
  <si>
    <t>Airfare - Latin America-Ecuador (Master Trainers) (1 trainer per trip)</t>
  </si>
  <si>
    <t>Subtotal Travel*</t>
  </si>
  <si>
    <r>
      <rPr>
        <b/>
        <u/>
        <sz val="8"/>
        <rFont val="Arial"/>
        <family val="2"/>
      </rPr>
      <t>Outcome 1:</t>
    </r>
    <r>
      <rPr>
        <b/>
        <sz val="8"/>
        <rFont val="Arial"/>
        <family val="2"/>
      </rPr>
      <t xml:space="preserve"> Strengthenend capacity of private sector partners(s) in the Colombian and Ecuadorian palm oil sectors to implement a robust and sustainable social compliance sytem</t>
    </r>
  </si>
  <si>
    <t>1.1. Conduct trainings for Social Performance Teams</t>
  </si>
  <si>
    <t>TRAININGCO</t>
  </si>
  <si>
    <t>Trainings for 8 Social Performance Teams at BIOCOSTA, PALCESAR (HQ plus one at each plant)</t>
  </si>
  <si>
    <t>TRAININGEC</t>
  </si>
  <si>
    <t>Trainings for 6 Social Performance Teams at ECUADOR PSP (HQ plus one at each plant)</t>
  </si>
  <si>
    <t>1.2. Carry out Social Fingerprint Assessments and Improvements Plans</t>
  </si>
  <si>
    <t>ASSESSCO</t>
  </si>
  <si>
    <t>Social Fingerprint Assessments and Improvements Plans for BIOCOSTA, PALCESAR</t>
  </si>
  <si>
    <t>Workshop/Field Visits</t>
  </si>
  <si>
    <t>ASSESSEC</t>
  </si>
  <si>
    <t>Social Fingerprint Assessments and Improvements Plans for ECUADOR PSP</t>
  </si>
  <si>
    <t xml:space="preserve">1.3 Facilitate farmer and community study circles and outreach </t>
  </si>
  <si>
    <t>STUDYCIRCO</t>
  </si>
  <si>
    <t>Farmer and community study circles (25 circles * 6 regions * 20 people per circle)</t>
  </si>
  <si>
    <t>OUTREACHCO</t>
  </si>
  <si>
    <t>Farmer and community awareness-raising and outreach</t>
  </si>
  <si>
    <t>Awards, Incentives, Materials</t>
  </si>
  <si>
    <t>STUDYCIREC</t>
  </si>
  <si>
    <t>Farmer and community study circles (25 circles * 3 regions * 20 people)</t>
  </si>
  <si>
    <t>OUTREACHEC</t>
  </si>
  <si>
    <t>TRAINCIRCO</t>
  </si>
  <si>
    <t>Training for study circle leaders ( 2 leaders * 25 circles * 6 regions)</t>
  </si>
  <si>
    <t>TRAINCIREC</t>
  </si>
  <si>
    <t>Training for study circle leaders ( 2 leaders * 25 circles * 3 regions)</t>
  </si>
  <si>
    <t>1.4 Carry out Social Fingerprint Assessments, Improvement Plans, and Follow-up Assessments for farms</t>
  </si>
  <si>
    <t>FOLLOWUPCO</t>
  </si>
  <si>
    <t xml:space="preserve">Social Fingeprint Assessments, Improvement Plans and Follow-up Assessments </t>
  </si>
  <si>
    <t>Assessments</t>
  </si>
  <si>
    <t>FOLLOWUPEC</t>
  </si>
  <si>
    <t>Social Fingeprint Assessments, Improvement Plans and Follow-up Assessments</t>
  </si>
  <si>
    <t xml:space="preserve">1.4 Implement TenSquared remediation projects </t>
  </si>
  <si>
    <t>TENSQUARCO</t>
  </si>
  <si>
    <t xml:space="preserve">TenSquared remediation projects </t>
  </si>
  <si>
    <t>Workshops/field visits</t>
  </si>
  <si>
    <t>TENSQUAREC</t>
  </si>
  <si>
    <t>TenSquared remediation projects</t>
  </si>
  <si>
    <t>1.5  Recruit and train trainers</t>
  </si>
  <si>
    <t>RECRUITCO</t>
  </si>
  <si>
    <t>Recruitment of Trainers (Internal: 2 * 8 plant/HQ sites; External: 5* 6 regions)</t>
  </si>
  <si>
    <t>Advertising</t>
  </si>
  <si>
    <t>TOTCO</t>
  </si>
  <si>
    <t>Training of Trainers (6 regions)</t>
  </si>
  <si>
    <t>RECRUITEC</t>
  </si>
  <si>
    <t>Recruitment of Trainers (Internal: 2 * 6 plant/HQ sites; External: 5* 3 regions)</t>
  </si>
  <si>
    <t>TOTEC</t>
  </si>
  <si>
    <t>Training of Trainers (3 regions)</t>
  </si>
  <si>
    <t>1.6 Engage and consult with stakeholders for mapping, risk assessment, and system development</t>
  </si>
  <si>
    <t>STAKECONCO</t>
  </si>
  <si>
    <t>Stakeholder consultations for mapping, risk assessment and system development</t>
  </si>
  <si>
    <t>STAKECONEC</t>
  </si>
  <si>
    <t xml:space="preserve">1.7 Develop Best Practice Handbook and Tools </t>
  </si>
  <si>
    <t>BESTBUYERS</t>
  </si>
  <si>
    <t>Best Practices Handbook and Tools for Buyers</t>
  </si>
  <si>
    <t>Publication</t>
  </si>
  <si>
    <t>BESTPRODUC</t>
  </si>
  <si>
    <t>Best Practices Handbook and Tools for Producers</t>
  </si>
  <si>
    <t>GUIDANCE</t>
  </si>
  <si>
    <t>Sector Guidance for Social and Environmental Auditors</t>
  </si>
  <si>
    <t>Activity 1a</t>
  </si>
  <si>
    <t>Training SPTs and Worker Circles at Aceites/Palmaceites, Palmagro, El Roble, Palmas del Cesar</t>
  </si>
  <si>
    <t>Training ANCUPA palm producers</t>
  </si>
  <si>
    <t>Activity 1b</t>
  </si>
  <si>
    <t>Train Community Assemblies and CC</t>
  </si>
  <si>
    <t>CEC fee</t>
  </si>
  <si>
    <t>ToT Program</t>
  </si>
  <si>
    <t>Activity 1c</t>
  </si>
  <si>
    <t>Train workers/producers organizations</t>
  </si>
  <si>
    <t>Workshop/Materials</t>
  </si>
  <si>
    <t>Activity 2 - The cost of this activity is factored into personnel time, SAI will NOT incur costs for this activity.</t>
  </si>
  <si>
    <t>Activity 3</t>
  </si>
  <si>
    <t>Translation</t>
  </si>
  <si>
    <t>Flat fee</t>
  </si>
  <si>
    <t>Data collection and verification - Colombia</t>
  </si>
  <si>
    <t>Data collection and verification - Ecuador</t>
  </si>
  <si>
    <t>Travel to Colombia to CMEP review workshops</t>
  </si>
  <si>
    <t>Travel to Ecuador to CMEP review workshops</t>
  </si>
  <si>
    <t xml:space="preserve">Subtotal M&amp;E </t>
  </si>
  <si>
    <t>IDCSAI</t>
  </si>
  <si>
    <t xml:space="preserve">Total Indirect Costs </t>
  </si>
  <si>
    <t xml:space="preserve">Deliverable </t>
  </si>
  <si>
    <t>Activities</t>
  </si>
  <si>
    <t>Payment
Amount</t>
  </si>
  <si>
    <t>Completion
Date</t>
  </si>
  <si>
    <t>Travel to Colombia –
Initial Engagement</t>
  </si>
  <si>
    <t>Submission of Trip Report and Work Plan (Outline of next Steps)</t>
  </si>
  <si>
    <t>Market Analysis Draft 1</t>
  </si>
  <si>
    <t>1) Outline of Market Analysis; 2) Travel to Colombia and Ecuador; 3) Submit Draft for USDOL and Partners review/comments</t>
  </si>
  <si>
    <t>Market Analysis Draft 2</t>
  </si>
  <si>
    <t>Submit Advanced Draft</t>
  </si>
  <si>
    <t>Market Analysis Final</t>
  </si>
  <si>
    <t>Submit Final Draft that incorporates USDOL and Partners feedback/comments</t>
  </si>
  <si>
    <t>Case Study 1 (Draft)</t>
  </si>
  <si>
    <t>1) Participate in virtual meetings, engage with key stakeholders to design Case Study 1; 2) Submit Draft Case Study 1 to USDOL and Partners for approval.</t>
  </si>
  <si>
    <t>Case Study 1</t>
  </si>
  <si>
    <t>Submit Final Case Study 1 to USDOL and Partners for approval.</t>
  </si>
  <si>
    <t>Case Study 2 (Draft)</t>
  </si>
  <si>
    <t>1) Participate in virtual meetings, engage with key stakeholders to design Case Study 2; 2) Submit Draft Case Study 2 to USDOL and Partners</t>
  </si>
  <si>
    <t xml:space="preserve">Case Study 2 </t>
  </si>
  <si>
    <t>1) Participate in virtual meetings, engage with key stakeholders to design Case Study 2; 2) Submit Draft and then Final Case Study 2 to USDOL and Partners for approval.</t>
  </si>
  <si>
    <t>N/A</t>
  </si>
  <si>
    <t>Case Study 3</t>
  </si>
  <si>
    <t>1) Participate in virtual meetings, engage with key stakeholders to design Case Study 3; 2) Submit Draft and then Final Case Study 3 to USDOL and Partners for Approval.</t>
  </si>
  <si>
    <t> </t>
  </si>
  <si>
    <t xml:space="preserve">Total Amount original budget: </t>
  </si>
  <si>
    <t>Total Amount modified budget (final payment amount)</t>
  </si>
  <si>
    <t xml:space="preserve">** please note that Partners entered into a fixed-price sub-award agreement with JAA; as such, their budget, created based on a detailed cost price analysis, is outlined above utilizing the fixed-price deliverables table included in their sub-award agreement. However,  on December 13, 2021, modification 04 of the JAA sub-award with was signed, in which the the last two deliverables (highlighted in red) were removed from JAA's contract, and an additional deliverable (Case Study 2 Draft, in green) was added. </t>
  </si>
  <si>
    <t>WEBINAR</t>
  </si>
  <si>
    <t>BRA</t>
  </si>
  <si>
    <t>PER</t>
  </si>
  <si>
    <t>COL2/USA</t>
  </si>
  <si>
    <t>COL2/ECU</t>
  </si>
  <si>
    <t>COL2</t>
  </si>
  <si>
    <t>COL2/ECU/USA</t>
  </si>
  <si>
    <t>ECU</t>
  </si>
  <si>
    <t>USA</t>
  </si>
  <si>
    <t>ECU/USA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</si>
</sst>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\ _B_s_-;\-* #,##0\ _B_s_-;_-* &quot;-&quot;??\ _B_s_-;_-@_-"/>
    <numFmt numFmtId="166" formatCode="_([$$-409]* #,##0_);_([$$-409]* \(#,##0\);_([$$-409]* &quot;-&quot;??_);_(@_)"/>
    <numFmt numFmtId="167" formatCode="_(* #,##0_);_(* \(#,##0\);_(* &quot;-&quot;??_);_(@_)"/>
    <numFmt numFmtId="168" formatCode="_-&quot;$&quot;* #,##0.00_-;\-&quot;$&quot;* #,##0.00_-;_-&quot;$&quot;* &quot;-&quot;??_-;_-@_-"/>
    <numFmt numFmtId="169" formatCode="_(&quot;$&quot;* #,##0_);_(&quot;$&quot;* \(#,##0\);_(&quot;$&quot;* &quot;-&quot;??_);_(@_)"/>
    <numFmt numFmtId="170" formatCode="_-* #,##0.00\ _B_s_-;\-* #,##0.00\ _B_s_-;_-* &quot;-&quot;??\ _B_s_-;_-@_-"/>
    <numFmt numFmtId="171" formatCode="_-* #,##0_-;\-* #,##0_-;_-* &quot;-&quot;??_-;_-@_-"/>
    <numFmt numFmtId="172" formatCode="_-* #,##0.00\ &quot;Bs&quot;_-;\-* #,##0.00\ &quot;Bs&quot;_-;_-* &quot;-&quot;??\ &quot;Bs&quot;_-;_-@_-"/>
    <numFmt numFmtId="173" formatCode="_([$$-409]* #,##0.00_);_([$$-409]* \(#,##0.00\);_([$$-409]* &quot;-&quot;??_);_(@_)"/>
    <numFmt numFmtId="174" formatCode="#,##0_ ;[Red]\-#,##0\ "/>
    <numFmt numFmtId="175" formatCode="0.0%"/>
    <numFmt numFmtId="176" formatCode="#,##0.0000"/>
    <numFmt numFmtId="177" formatCode="_-* #,##0.000000_-;\-* #,##0.000000_-;_-* &quot;-&quot;??_-;_-@_-"/>
    <numFmt numFmtId="178" formatCode="_-* #,##0.00000_-;\-* #,##0.00000_-;_-* &quot;-&quot;??_-;_-@_-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color theme="1"/>
      <name val="Calibri"/>
      <family val="2"/>
      <scheme val="minor"/>
    </font>
    <font>
      <sz val="8"/>
      <color rgb="FFFF6600"/>
      <name val="Arial"/>
      <family val="2"/>
    </font>
    <font>
      <u/>
      <sz val="9"/>
      <name val="Arial"/>
      <family val="2"/>
    </font>
    <font>
      <sz val="6"/>
      <name val="Arial"/>
      <family val="2"/>
    </font>
    <font>
      <i/>
      <u/>
      <sz val="9"/>
      <name val="Arial"/>
      <family val="2"/>
    </font>
    <font>
      <sz val="9"/>
      <color rgb="FFFF0000"/>
      <name val="Arial"/>
      <family val="2"/>
    </font>
    <font>
      <b/>
      <i/>
      <u/>
      <sz val="9"/>
      <name val="Arial"/>
      <family val="2"/>
    </font>
    <font>
      <sz val="8"/>
      <color rgb="FFFF0000"/>
      <name val="Arial"/>
      <family val="2"/>
    </font>
    <font>
      <i/>
      <sz val="9"/>
      <name val="Arial"/>
      <family val="2"/>
    </font>
    <font>
      <b/>
      <sz val="22"/>
      <name val="Arial"/>
      <family val="2"/>
    </font>
    <font>
      <u/>
      <sz val="8"/>
      <name val="Arial"/>
      <family val="2"/>
    </font>
    <font>
      <b/>
      <u/>
      <sz val="8"/>
      <name val="Arial"/>
      <family val="2"/>
    </font>
    <font>
      <b/>
      <i/>
      <u/>
      <sz val="8"/>
      <name val="Arial"/>
      <family val="2"/>
    </font>
    <font>
      <b/>
      <sz val="8"/>
      <color rgb="FFFF0000"/>
      <name val="Arial"/>
      <family val="2"/>
    </font>
    <font>
      <sz val="8"/>
      <color indexed="10"/>
      <name val="Arial"/>
      <family val="2"/>
    </font>
    <font>
      <sz val="8"/>
      <name val="Tahoma"/>
      <family val="2"/>
    </font>
    <font>
      <sz val="8"/>
      <color rgb="FFFF0000"/>
      <name val="Tahoma"/>
      <family val="2"/>
    </font>
    <font>
      <b/>
      <sz val="8"/>
      <color rgb="FF000000"/>
      <name val="Tahoma"/>
      <family val="2"/>
    </font>
    <font>
      <b/>
      <sz val="12"/>
      <name val="Arial"/>
      <family val="2"/>
    </font>
    <font>
      <b/>
      <sz val="15"/>
      <name val="Arial"/>
      <family val="2"/>
    </font>
    <font>
      <sz val="5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theme="9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6DCE4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4" fillId="0" borderId="0"/>
    <xf numFmtId="0" fontId="4" fillId="0" borderId="0"/>
    <xf numFmtId="0" fontId="7" fillId="0" borderId="0"/>
    <xf numFmtId="43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/>
    <xf numFmtId="168" fontId="7" fillId="0" borderId="0" applyFont="0" applyFill="0" applyBorder="0" applyAlignment="0" applyProtection="0"/>
    <xf numFmtId="0" fontId="4" fillId="0" borderId="0"/>
    <xf numFmtId="17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37">
    <xf numFmtId="0" fontId="0" fillId="0" borderId="0" xfId="0"/>
    <xf numFmtId="0" fontId="2" fillId="0" borderId="0" xfId="3" applyFont="1" applyAlignment="1">
      <alignment vertical="center"/>
    </xf>
    <xf numFmtId="49" fontId="5" fillId="2" borderId="2" xfId="3" applyNumberFormat="1" applyFont="1" applyFill="1" applyBorder="1" applyAlignment="1">
      <alignment horizontal="left" vertical="center" wrapText="1"/>
    </xf>
    <xf numFmtId="0" fontId="5" fillId="0" borderId="2" xfId="3" applyFont="1" applyBorder="1" applyAlignment="1">
      <alignment horizontal="center" vertical="center" wrapText="1"/>
    </xf>
    <xf numFmtId="0" fontId="5" fillId="0" borderId="2" xfId="3" applyFont="1" applyBorder="1" applyAlignment="1">
      <alignment horizontal="left" vertical="center" wrapText="1"/>
    </xf>
    <xf numFmtId="0" fontId="3" fillId="0" borderId="2" xfId="3" applyFont="1" applyBorder="1" applyAlignment="1">
      <alignment horizontal="center" vertical="center" wrapText="1"/>
    </xf>
    <xf numFmtId="3" fontId="3" fillId="0" borderId="2" xfId="3" applyNumberFormat="1" applyFont="1" applyBorder="1" applyAlignment="1">
      <alignment horizontal="center" vertical="center" wrapText="1"/>
    </xf>
    <xf numFmtId="3" fontId="3" fillId="0" borderId="2" xfId="3" applyNumberFormat="1" applyFont="1" applyBorder="1" applyAlignment="1">
      <alignment horizontal="center" vertical="center"/>
    </xf>
    <xf numFmtId="0" fontId="3" fillId="0" borderId="0" xfId="3" applyFont="1" applyAlignment="1">
      <alignment vertical="center"/>
    </xf>
    <xf numFmtId="0" fontId="3" fillId="3" borderId="0" xfId="3" applyFont="1" applyFill="1" applyAlignment="1">
      <alignment vertical="center" wrapText="1"/>
    </xf>
    <xf numFmtId="3" fontId="3" fillId="3" borderId="0" xfId="3" applyNumberFormat="1" applyFont="1" applyFill="1" applyAlignment="1">
      <alignment vertical="center" wrapText="1"/>
    </xf>
    <xf numFmtId="3" fontId="2" fillId="3" borderId="0" xfId="3" applyNumberFormat="1" applyFont="1" applyFill="1" applyAlignment="1">
      <alignment vertical="center"/>
    </xf>
    <xf numFmtId="0" fontId="3" fillId="0" borderId="0" xfId="3" applyFont="1" applyAlignment="1">
      <alignment horizontal="left" vertical="center" wrapText="1"/>
    </xf>
    <xf numFmtId="0" fontId="3" fillId="0" borderId="0" xfId="3" applyFont="1" applyAlignment="1">
      <alignment horizontal="left" vertical="center"/>
    </xf>
    <xf numFmtId="0" fontId="3" fillId="0" borderId="0" xfId="3" applyFont="1" applyAlignment="1">
      <alignment horizontal="right" vertical="center" wrapText="1"/>
    </xf>
    <xf numFmtId="3" fontId="3" fillId="0" borderId="0" xfId="3" applyNumberFormat="1" applyFont="1" applyAlignment="1">
      <alignment horizontal="right" vertical="center" wrapText="1"/>
    </xf>
    <xf numFmtId="3" fontId="2" fillId="0" borderId="0" xfId="3" applyNumberFormat="1" applyFont="1" applyAlignment="1">
      <alignment horizontal="right" vertical="center" wrapText="1"/>
    </xf>
    <xf numFmtId="3" fontId="2" fillId="0" borderId="0" xfId="3" applyNumberFormat="1" applyFont="1" applyAlignment="1">
      <alignment vertical="center" wrapText="1"/>
    </xf>
    <xf numFmtId="0" fontId="15" fillId="0" borderId="0" xfId="0" applyFont="1"/>
    <xf numFmtId="0" fontId="5" fillId="0" borderId="1" xfId="11" applyFont="1" applyBorder="1" applyAlignment="1">
      <alignment horizontal="center" wrapText="1"/>
    </xf>
    <xf numFmtId="0" fontId="6" fillId="0" borderId="0" xfId="11" applyFont="1"/>
    <xf numFmtId="0" fontId="6" fillId="0" borderId="0" xfId="11" applyFont="1" applyAlignment="1">
      <alignment horizontal="center"/>
    </xf>
    <xf numFmtId="6" fontId="5" fillId="0" borderId="0" xfId="11" applyNumberFormat="1" applyFont="1" applyAlignment="1">
      <alignment horizontal="center" vertical="center"/>
    </xf>
    <xf numFmtId="0" fontId="5" fillId="0" borderId="0" xfId="11" applyFont="1"/>
    <xf numFmtId="0" fontId="5" fillId="3" borderId="0" xfId="11" applyFont="1" applyFill="1" applyAlignment="1">
      <alignment vertical="center" wrapText="1"/>
    </xf>
    <xf numFmtId="0" fontId="5" fillId="3" borderId="0" xfId="11" applyFont="1" applyFill="1" applyAlignment="1">
      <alignment wrapText="1"/>
    </xf>
    <xf numFmtId="3" fontId="5" fillId="3" borderId="0" xfId="11" applyNumberFormat="1" applyFont="1" applyFill="1" applyAlignment="1">
      <alignment wrapText="1"/>
    </xf>
    <xf numFmtId="3" fontId="6" fillId="3" borderId="0" xfId="11" applyNumberFormat="1" applyFont="1" applyFill="1"/>
    <xf numFmtId="0" fontId="16" fillId="0" borderId="0" xfId="11" applyFont="1" applyAlignment="1">
      <alignment vertical="center"/>
    </xf>
    <xf numFmtId="0" fontId="5" fillId="0" borderId="0" xfId="11" applyFont="1" applyAlignment="1">
      <alignment horizontal="left" wrapText="1"/>
    </xf>
    <xf numFmtId="0" fontId="5" fillId="0" borderId="0" xfId="11" applyFont="1" applyAlignment="1">
      <alignment horizontal="left"/>
    </xf>
    <xf numFmtId="0" fontId="5" fillId="0" borderId="0" xfId="11" applyFont="1" applyAlignment="1">
      <alignment horizontal="right" wrapText="1"/>
    </xf>
    <xf numFmtId="3" fontId="5" fillId="0" borderId="0" xfId="11" applyNumberFormat="1" applyFont="1" applyAlignment="1">
      <alignment horizontal="right" wrapText="1"/>
    </xf>
    <xf numFmtId="3" fontId="6" fillId="0" borderId="0" xfId="11" applyNumberFormat="1" applyFont="1" applyAlignment="1">
      <alignment horizontal="right" wrapText="1"/>
    </xf>
    <xf numFmtId="0" fontId="6" fillId="0" borderId="1" xfId="11" applyFont="1" applyBorder="1"/>
    <xf numFmtId="0" fontId="6" fillId="0" borderId="1" xfId="11" applyFont="1" applyBorder="1" applyAlignment="1">
      <alignment horizontal="center"/>
    </xf>
    <xf numFmtId="0" fontId="6" fillId="0" borderId="0" xfId="11" applyFont="1" applyAlignment="1">
      <alignment horizontal="left" wrapText="1"/>
    </xf>
    <xf numFmtId="0" fontId="6" fillId="0" borderId="0" xfId="11" applyFont="1" applyAlignment="1">
      <alignment horizontal="left"/>
    </xf>
    <xf numFmtId="165" fontId="6" fillId="0" borderId="0" xfId="11" applyNumberFormat="1" applyFont="1" applyAlignment="1">
      <alignment horizontal="right" wrapText="1"/>
    </xf>
    <xf numFmtId="165" fontId="6" fillId="0" borderId="0" xfId="12" applyNumberFormat="1" applyFont="1" applyFill="1" applyBorder="1" applyAlignment="1"/>
    <xf numFmtId="165" fontId="5" fillId="0" borderId="0" xfId="11" applyNumberFormat="1" applyFont="1" applyAlignment="1">
      <alignment horizontal="right" wrapText="1"/>
    </xf>
    <xf numFmtId="0" fontId="6" fillId="0" borderId="0" xfId="11" applyFont="1" applyAlignment="1">
      <alignment wrapText="1"/>
    </xf>
    <xf numFmtId="10" fontId="6" fillId="0" borderId="0" xfId="13" applyNumberFormat="1" applyFont="1" applyFill="1" applyAlignment="1">
      <alignment horizontal="right" wrapText="1"/>
    </xf>
    <xf numFmtId="165" fontId="14" fillId="0" borderId="0" xfId="12" applyNumberFormat="1" applyFont="1" applyFill="1" applyBorder="1" applyAlignment="1"/>
    <xf numFmtId="10" fontId="6" fillId="0" borderId="0" xfId="11" applyNumberFormat="1" applyFont="1" applyAlignment="1">
      <alignment horizontal="right" wrapText="1"/>
    </xf>
    <xf numFmtId="0" fontId="6" fillId="0" borderId="0" xfId="11" applyFont="1" applyAlignment="1">
      <alignment horizontal="left" vertical="top"/>
    </xf>
    <xf numFmtId="0" fontId="6" fillId="0" borderId="0" xfId="11" applyFont="1" applyAlignment="1">
      <alignment horizontal="right" wrapText="1"/>
    </xf>
    <xf numFmtId="0" fontId="5" fillId="5" borderId="2" xfId="11" applyFont="1" applyFill="1" applyBorder="1" applyAlignment="1">
      <alignment wrapText="1"/>
    </xf>
    <xf numFmtId="0" fontId="5" fillId="5" borderId="2" xfId="11" applyFont="1" applyFill="1" applyBorder="1" applyAlignment="1">
      <alignment horizontal="right" wrapText="1"/>
    </xf>
    <xf numFmtId="3" fontId="5" fillId="5" borderId="2" xfId="11" applyNumberFormat="1" applyFont="1" applyFill="1" applyBorder="1" applyAlignment="1">
      <alignment horizontal="right" wrapText="1"/>
    </xf>
    <xf numFmtId="166" fontId="5" fillId="5" borderId="2" xfId="11" applyNumberFormat="1" applyFont="1" applyFill="1" applyBorder="1" applyAlignment="1">
      <alignment horizontal="right" wrapText="1"/>
    </xf>
    <xf numFmtId="169" fontId="5" fillId="5" borderId="2" xfId="11" applyNumberFormat="1" applyFont="1" applyFill="1" applyBorder="1" applyAlignment="1">
      <alignment horizontal="right" wrapText="1"/>
    </xf>
    <xf numFmtId="0" fontId="5" fillId="4" borderId="0" xfId="11" applyFont="1" applyFill="1" applyAlignment="1">
      <alignment wrapText="1"/>
    </xf>
    <xf numFmtId="0" fontId="5" fillId="4" borderId="0" xfId="11" applyFont="1" applyFill="1" applyAlignment="1">
      <alignment horizontal="right" wrapText="1"/>
    </xf>
    <xf numFmtId="3" fontId="5" fillId="4" borderId="0" xfId="11" applyNumberFormat="1" applyFont="1" applyFill="1" applyAlignment="1">
      <alignment horizontal="right" wrapText="1"/>
    </xf>
    <xf numFmtId="166" fontId="5" fillId="4" borderId="0" xfId="11" applyNumberFormat="1" applyFont="1" applyFill="1" applyAlignment="1">
      <alignment horizontal="right" wrapText="1"/>
    </xf>
    <xf numFmtId="169" fontId="5" fillId="4" borderId="0" xfId="11" applyNumberFormat="1" applyFont="1" applyFill="1" applyAlignment="1">
      <alignment horizontal="right" wrapText="1"/>
    </xf>
    <xf numFmtId="0" fontId="17" fillId="5" borderId="0" xfId="11" applyFont="1" applyFill="1" applyAlignment="1">
      <alignment wrapText="1"/>
    </xf>
    <xf numFmtId="0" fontId="5" fillId="5" borderId="0" xfId="11" applyFont="1" applyFill="1" applyAlignment="1">
      <alignment horizontal="right" wrapText="1"/>
    </xf>
    <xf numFmtId="3" fontId="5" fillId="5" borderId="0" xfId="11" applyNumberFormat="1" applyFont="1" applyFill="1" applyAlignment="1">
      <alignment horizontal="right" wrapText="1"/>
    </xf>
    <xf numFmtId="166" fontId="5" fillId="5" borderId="0" xfId="11" applyNumberFormat="1" applyFont="1" applyFill="1" applyAlignment="1">
      <alignment horizontal="right" wrapText="1"/>
    </xf>
    <xf numFmtId="169" fontId="5" fillId="5" borderId="0" xfId="11" applyNumberFormat="1" applyFont="1" applyFill="1" applyAlignment="1">
      <alignment horizontal="right" wrapText="1"/>
    </xf>
    <xf numFmtId="0" fontId="6" fillId="0" borderId="0" xfId="11" applyFont="1" applyAlignment="1">
      <alignment horizontal="left" vertical="top" wrapText="1"/>
    </xf>
    <xf numFmtId="0" fontId="6" fillId="5" borderId="0" xfId="11" applyFont="1" applyFill="1"/>
    <xf numFmtId="0" fontId="6" fillId="5" borderId="0" xfId="11" applyFont="1" applyFill="1" applyAlignment="1">
      <alignment horizontal="left" vertical="top" wrapText="1"/>
    </xf>
    <xf numFmtId="165" fontId="6" fillId="5" borderId="0" xfId="11" applyNumberFormat="1" applyFont="1" applyFill="1" applyAlignment="1">
      <alignment horizontal="right" wrapText="1"/>
    </xf>
    <xf numFmtId="0" fontId="5" fillId="3" borderId="3" xfId="11" applyFont="1" applyFill="1" applyBorder="1" applyAlignment="1">
      <alignment horizontal="left" vertical="top"/>
    </xf>
    <xf numFmtId="0" fontId="5" fillId="6" borderId="0" xfId="11" applyFont="1" applyFill="1" applyAlignment="1">
      <alignment horizontal="left" wrapText="1"/>
    </xf>
    <xf numFmtId="0" fontId="5" fillId="6" borderId="0" xfId="11" applyFont="1" applyFill="1" applyAlignment="1">
      <alignment horizontal="left" vertical="top"/>
    </xf>
    <xf numFmtId="165" fontId="5" fillId="6" borderId="0" xfId="11" applyNumberFormat="1" applyFont="1" applyFill="1" applyAlignment="1">
      <alignment horizontal="right" wrapText="1"/>
    </xf>
    <xf numFmtId="0" fontId="17" fillId="5" borderId="0" xfId="11" applyFont="1" applyFill="1" applyAlignment="1">
      <alignment horizontal="left" wrapText="1"/>
    </xf>
    <xf numFmtId="0" fontId="5" fillId="5" borderId="0" xfId="11" applyFont="1" applyFill="1" applyAlignment="1">
      <alignment horizontal="left" vertical="top"/>
    </xf>
    <xf numFmtId="0" fontId="19" fillId="5" borderId="0" xfId="11" applyFont="1" applyFill="1" applyAlignment="1">
      <alignment horizontal="left" wrapText="1"/>
    </xf>
    <xf numFmtId="0" fontId="19" fillId="5" borderId="0" xfId="11" applyFont="1" applyFill="1" applyAlignment="1">
      <alignment horizontal="left" vertical="top" wrapText="1"/>
    </xf>
    <xf numFmtId="0" fontId="6" fillId="5" borderId="0" xfId="11" applyFont="1" applyFill="1" applyAlignment="1">
      <alignment horizontal="left" wrapText="1"/>
    </xf>
    <xf numFmtId="0" fontId="6" fillId="5" borderId="0" xfId="11" applyFont="1" applyFill="1" applyAlignment="1">
      <alignment horizontal="left"/>
    </xf>
    <xf numFmtId="165" fontId="5" fillId="5" borderId="2" xfId="11" applyNumberFormat="1" applyFont="1" applyFill="1" applyBorder="1" applyAlignment="1">
      <alignment horizontal="right" wrapText="1"/>
    </xf>
    <xf numFmtId="0" fontId="5" fillId="0" borderId="0" xfId="11" applyFont="1" applyAlignment="1">
      <alignment wrapText="1"/>
    </xf>
    <xf numFmtId="0" fontId="5" fillId="7" borderId="2" xfId="11" applyFont="1" applyFill="1" applyBorder="1" applyAlignment="1">
      <alignment wrapText="1"/>
    </xf>
    <xf numFmtId="3" fontId="5" fillId="7" borderId="2" xfId="11" applyNumberFormat="1" applyFont="1" applyFill="1" applyBorder="1" applyAlignment="1">
      <alignment horizontal="right" wrapText="1"/>
    </xf>
    <xf numFmtId="166" fontId="5" fillId="7" borderId="2" xfId="11" applyNumberFormat="1" applyFont="1" applyFill="1" applyBorder="1" applyAlignment="1">
      <alignment horizontal="right" wrapText="1"/>
    </xf>
    <xf numFmtId="44" fontId="6" fillId="0" borderId="0" xfId="11" applyNumberFormat="1" applyFont="1"/>
    <xf numFmtId="0" fontId="17" fillId="0" borderId="0" xfId="11" applyFont="1" applyAlignment="1">
      <alignment wrapText="1"/>
    </xf>
    <xf numFmtId="169" fontId="6" fillId="0" borderId="0" xfId="11" applyNumberFormat="1" applyFont="1" applyAlignment="1">
      <alignment horizontal="right" wrapText="1"/>
    </xf>
    <xf numFmtId="3" fontId="6" fillId="0" borderId="0" xfId="11" applyNumberFormat="1" applyFont="1"/>
    <xf numFmtId="3" fontId="6" fillId="0" borderId="0" xfId="11" applyNumberFormat="1" applyFont="1" applyAlignment="1">
      <alignment wrapText="1"/>
    </xf>
    <xf numFmtId="0" fontId="20" fillId="0" borderId="0" xfId="11" applyFont="1"/>
    <xf numFmtId="10" fontId="5" fillId="0" borderId="0" xfId="11" applyNumberFormat="1" applyFont="1"/>
    <xf numFmtId="171" fontId="5" fillId="0" borderId="0" xfId="11" applyNumberFormat="1" applyFont="1" applyAlignment="1">
      <alignment horizontal="right" wrapText="1"/>
    </xf>
    <xf numFmtId="0" fontId="5" fillId="7" borderId="4" xfId="11" applyFont="1" applyFill="1" applyBorder="1" applyAlignment="1">
      <alignment wrapText="1"/>
    </xf>
    <xf numFmtId="3" fontId="5" fillId="7" borderId="4" xfId="11" applyNumberFormat="1" applyFont="1" applyFill="1" applyBorder="1" applyAlignment="1">
      <alignment horizontal="right" wrapText="1"/>
    </xf>
    <xf numFmtId="166" fontId="5" fillId="7" borderId="4" xfId="14" applyNumberFormat="1" applyFont="1" applyFill="1" applyBorder="1" applyAlignment="1">
      <alignment horizontal="right" wrapText="1"/>
    </xf>
    <xf numFmtId="166" fontId="5" fillId="7" borderId="4" xfId="11" applyNumberFormat="1" applyFont="1" applyFill="1" applyBorder="1" applyAlignment="1">
      <alignment horizontal="right" wrapText="1"/>
    </xf>
    <xf numFmtId="2" fontId="6" fillId="0" borderId="0" xfId="11" applyNumberFormat="1" applyFont="1"/>
    <xf numFmtId="0" fontId="21" fillId="0" borderId="0" xfId="11" applyFont="1" applyAlignment="1">
      <alignment wrapText="1"/>
    </xf>
    <xf numFmtId="165" fontId="6" fillId="0" borderId="0" xfId="11" applyNumberFormat="1" applyFont="1" applyAlignment="1">
      <alignment wrapText="1"/>
    </xf>
    <xf numFmtId="165" fontId="6" fillId="0" borderId="0" xfId="12" applyNumberFormat="1" applyFont="1" applyAlignment="1">
      <alignment wrapText="1"/>
    </xf>
    <xf numFmtId="0" fontId="22" fillId="0" borderId="0" xfId="0" applyFont="1"/>
    <xf numFmtId="4" fontId="22" fillId="0" borderId="0" xfId="0" applyNumberFormat="1" applyFont="1"/>
    <xf numFmtId="0" fontId="5" fillId="5" borderId="0" xfId="11" applyFont="1" applyFill="1" applyAlignment="1">
      <alignment wrapText="1"/>
    </xf>
    <xf numFmtId="44" fontId="5" fillId="0" borderId="0" xfId="11" applyNumberFormat="1" applyFont="1" applyAlignment="1">
      <alignment horizontal="right" wrapText="1"/>
    </xf>
    <xf numFmtId="173" fontId="5" fillId="5" borderId="2" xfId="11" applyNumberFormat="1" applyFont="1" applyFill="1" applyBorder="1" applyAlignment="1">
      <alignment horizontal="right" wrapText="1"/>
    </xf>
    <xf numFmtId="44" fontId="5" fillId="5" borderId="2" xfId="11" applyNumberFormat="1" applyFont="1" applyFill="1" applyBorder="1" applyAlignment="1">
      <alignment horizontal="right" wrapText="1"/>
    </xf>
    <xf numFmtId="173" fontId="5" fillId="7" borderId="2" xfId="11" applyNumberFormat="1" applyFont="1" applyFill="1" applyBorder="1" applyAlignment="1">
      <alignment horizontal="right" wrapText="1"/>
    </xf>
    <xf numFmtId="44" fontId="6" fillId="0" borderId="0" xfId="11" applyNumberFormat="1" applyFont="1" applyAlignment="1">
      <alignment horizontal="right" wrapText="1"/>
    </xf>
    <xf numFmtId="173" fontId="5" fillId="7" borderId="4" xfId="14" applyNumberFormat="1" applyFont="1" applyFill="1" applyBorder="1" applyAlignment="1">
      <alignment horizontal="right" wrapText="1"/>
    </xf>
    <xf numFmtId="165" fontId="2" fillId="0" borderId="0" xfId="11" applyNumberFormat="1" applyFont="1" applyAlignment="1">
      <alignment horizontal="right" wrapText="1"/>
    </xf>
    <xf numFmtId="44" fontId="5" fillId="7" borderId="2" xfId="11" applyNumberFormat="1" applyFont="1" applyFill="1" applyBorder="1" applyAlignment="1">
      <alignment horizontal="right" wrapText="1"/>
    </xf>
    <xf numFmtId="173" fontId="5" fillId="7" borderId="4" xfId="11" applyNumberFormat="1" applyFont="1" applyFill="1" applyBorder="1" applyAlignment="1">
      <alignment horizontal="right" wrapText="1"/>
    </xf>
    <xf numFmtId="44" fontId="24" fillId="7" borderId="5" xfId="0" applyNumberFormat="1" applyFont="1" applyFill="1" applyBorder="1" applyAlignment="1">
      <alignment wrapText="1"/>
    </xf>
    <xf numFmtId="0" fontId="23" fillId="0" borderId="0" xfId="0" applyFont="1"/>
    <xf numFmtId="0" fontId="6" fillId="8" borderId="0" xfId="11" applyFont="1" applyFill="1"/>
    <xf numFmtId="0" fontId="6" fillId="8" borderId="0" xfId="11" applyFont="1" applyFill="1" applyAlignment="1">
      <alignment horizontal="center"/>
    </xf>
    <xf numFmtId="0" fontId="6" fillId="8" borderId="0" xfId="11" applyFont="1" applyFill="1" applyAlignment="1">
      <alignment horizontal="left" wrapText="1"/>
    </xf>
    <xf numFmtId="0" fontId="6" fillId="8" borderId="0" xfId="11" applyFont="1" applyFill="1" applyAlignment="1">
      <alignment horizontal="left"/>
    </xf>
    <xf numFmtId="170" fontId="6" fillId="8" borderId="0" xfId="11" applyNumberFormat="1" applyFont="1" applyFill="1" applyAlignment="1">
      <alignment horizontal="right" wrapText="1"/>
    </xf>
    <xf numFmtId="165" fontId="6" fillId="8" borderId="0" xfId="11" applyNumberFormat="1" applyFont="1" applyFill="1" applyAlignment="1">
      <alignment horizontal="right" wrapText="1"/>
    </xf>
    <xf numFmtId="165" fontId="6" fillId="8" borderId="0" xfId="12" applyNumberFormat="1" applyFont="1" applyFill="1" applyBorder="1" applyAlignment="1"/>
    <xf numFmtId="0" fontId="6" fillId="8" borderId="1" xfId="11" applyFont="1" applyFill="1" applyBorder="1"/>
    <xf numFmtId="0" fontId="6" fillId="8" borderId="1" xfId="11" applyFont="1" applyFill="1" applyBorder="1" applyAlignment="1">
      <alignment horizontal="center"/>
    </xf>
    <xf numFmtId="10" fontId="6" fillId="8" borderId="0" xfId="13" applyNumberFormat="1" applyFont="1" applyFill="1" applyAlignment="1">
      <alignment horizontal="right" wrapText="1"/>
    </xf>
    <xf numFmtId="165" fontId="14" fillId="8" borderId="0" xfId="12" applyNumberFormat="1" applyFont="1" applyFill="1" applyBorder="1" applyAlignment="1"/>
    <xf numFmtId="0" fontId="17" fillId="8" borderId="0" xfId="11" applyFont="1" applyFill="1" applyAlignment="1">
      <alignment wrapText="1"/>
    </xf>
    <xf numFmtId="0" fontId="6" fillId="8" borderId="0" xfId="11" applyFont="1" applyFill="1" applyAlignment="1">
      <alignment horizontal="left" vertical="top" wrapText="1"/>
    </xf>
    <xf numFmtId="0" fontId="6" fillId="8" borderId="0" xfId="11" applyFont="1" applyFill="1" applyAlignment="1">
      <alignment wrapText="1"/>
    </xf>
    <xf numFmtId="0" fontId="17" fillId="8" borderId="0" xfId="11" applyFont="1" applyFill="1" applyAlignment="1">
      <alignment horizontal="left" wrapText="1"/>
    </xf>
    <xf numFmtId="0" fontId="5" fillId="8" borderId="0" xfId="11" applyFont="1" applyFill="1" applyAlignment="1">
      <alignment horizontal="left" vertical="top"/>
    </xf>
    <xf numFmtId="0" fontId="19" fillId="8" borderId="0" xfId="11" applyFont="1" applyFill="1" applyAlignment="1">
      <alignment horizontal="left" wrapText="1"/>
    </xf>
    <xf numFmtId="0" fontId="19" fillId="8" borderId="0" xfId="11" applyFont="1" applyFill="1" applyAlignment="1">
      <alignment horizontal="left" vertical="top" wrapText="1"/>
    </xf>
    <xf numFmtId="9" fontId="6" fillId="8" borderId="0" xfId="11" applyNumberFormat="1" applyFont="1" applyFill="1"/>
    <xf numFmtId="171" fontId="6" fillId="8" borderId="0" xfId="11" applyNumberFormat="1" applyFont="1" applyFill="1"/>
    <xf numFmtId="3" fontId="6" fillId="8" borderId="0" xfId="11" applyNumberFormat="1" applyFont="1" applyFill="1"/>
    <xf numFmtId="3" fontId="22" fillId="0" borderId="0" xfId="0" applyNumberFormat="1" applyFont="1"/>
    <xf numFmtId="3" fontId="6" fillId="5" borderId="0" xfId="11" applyNumberFormat="1" applyFont="1" applyFill="1" applyAlignment="1">
      <alignment horizontal="right" wrapText="1"/>
    </xf>
    <xf numFmtId="165" fontId="5" fillId="5" borderId="0" xfId="11" applyNumberFormat="1" applyFont="1" applyFill="1" applyAlignment="1">
      <alignment horizontal="right" wrapText="1"/>
    </xf>
    <xf numFmtId="44" fontId="5" fillId="5" borderId="0" xfId="11" applyNumberFormat="1" applyFont="1" applyFill="1" applyAlignment="1">
      <alignment horizontal="right" wrapText="1"/>
    </xf>
    <xf numFmtId="174" fontId="6" fillId="0" borderId="0" xfId="11" applyNumberFormat="1" applyFont="1"/>
    <xf numFmtId="9" fontId="6" fillId="0" borderId="0" xfId="2" applyFont="1"/>
    <xf numFmtId="0" fontId="5" fillId="0" borderId="2" xfId="11" applyFont="1" applyBorder="1" applyAlignment="1">
      <alignment horizontal="center" wrapText="1"/>
    </xf>
    <xf numFmtId="3" fontId="5" fillId="0" borderId="2" xfId="11" applyNumberFormat="1" applyFont="1" applyBorder="1" applyAlignment="1">
      <alignment horizontal="center" wrapText="1"/>
    </xf>
    <xf numFmtId="3" fontId="5" fillId="0" borderId="2" xfId="11" applyNumberFormat="1" applyFont="1" applyBorder="1" applyAlignment="1">
      <alignment horizontal="center"/>
    </xf>
    <xf numFmtId="3" fontId="5" fillId="8" borderId="2" xfId="11" applyNumberFormat="1" applyFont="1" applyFill="1" applyBorder="1" applyAlignment="1">
      <alignment horizontal="left" wrapText="1"/>
    </xf>
    <xf numFmtId="3" fontId="5" fillId="8" borderId="2" xfId="11" applyNumberFormat="1" applyFont="1" applyFill="1" applyBorder="1" applyAlignment="1">
      <alignment horizontal="left" vertical="top"/>
    </xf>
    <xf numFmtId="3" fontId="5" fillId="8" borderId="2" xfId="11" applyNumberFormat="1" applyFont="1" applyFill="1" applyBorder="1" applyAlignment="1">
      <alignment horizontal="right" wrapText="1"/>
    </xf>
    <xf numFmtId="3" fontId="6" fillId="8" borderId="2" xfId="2" applyNumberFormat="1" applyFont="1" applyFill="1" applyBorder="1" applyAlignment="1">
      <alignment horizontal="right" wrapText="1"/>
    </xf>
    <xf numFmtId="169" fontId="5" fillId="8" borderId="2" xfId="11" applyNumberFormat="1" applyFont="1" applyFill="1" applyBorder="1" applyAlignment="1">
      <alignment horizontal="right" wrapText="1"/>
    </xf>
    <xf numFmtId="3" fontId="6" fillId="8" borderId="2" xfId="11" applyNumberFormat="1" applyFont="1" applyFill="1" applyBorder="1"/>
    <xf numFmtId="0" fontId="5" fillId="0" borderId="0" xfId="11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1" xfId="3" applyFont="1" applyBorder="1" applyAlignment="1">
      <alignment horizontal="center" vertical="center" wrapText="1"/>
    </xf>
    <xf numFmtId="6" fontId="3" fillId="0" borderId="0" xfId="3" applyNumberFormat="1" applyFont="1" applyAlignment="1">
      <alignment horizontal="center" vertical="center"/>
    </xf>
    <xf numFmtId="10" fontId="2" fillId="0" borderId="0" xfId="2" applyNumberFormat="1" applyFont="1" applyAlignment="1">
      <alignment vertical="center"/>
    </xf>
    <xf numFmtId="0" fontId="5" fillId="8" borderId="0" xfId="11" applyFont="1" applyFill="1" applyAlignment="1">
      <alignment wrapText="1"/>
    </xf>
    <xf numFmtId="169" fontId="5" fillId="8" borderId="0" xfId="11" applyNumberFormat="1" applyFont="1" applyFill="1" applyAlignment="1">
      <alignment horizontal="right" wrapText="1"/>
    </xf>
    <xf numFmtId="44" fontId="5" fillId="8" borderId="0" xfId="11" applyNumberFormat="1" applyFont="1" applyFill="1" applyAlignment="1">
      <alignment horizontal="right" wrapText="1"/>
    </xf>
    <xf numFmtId="0" fontId="2" fillId="8" borderId="0" xfId="3" applyFont="1" applyFill="1" applyAlignment="1">
      <alignment vertical="center" wrapText="1"/>
    </xf>
    <xf numFmtId="1" fontId="6" fillId="0" borderId="0" xfId="11" applyNumberFormat="1" applyFont="1"/>
    <xf numFmtId="0" fontId="29" fillId="0" borderId="0" xfId="0" applyFont="1"/>
    <xf numFmtId="0" fontId="29" fillId="0" borderId="9" xfId="0" applyFont="1" applyBorder="1"/>
    <xf numFmtId="0" fontId="29" fillId="0" borderId="8" xfId="0" applyFont="1" applyBorder="1"/>
    <xf numFmtId="0" fontId="29" fillId="0" borderId="8" xfId="0" applyFont="1" applyBorder="1" applyAlignment="1">
      <alignment horizontal="left" vertical="center" wrapText="1"/>
    </xf>
    <xf numFmtId="0" fontId="29" fillId="0" borderId="9" xfId="0" applyFont="1" applyBorder="1" applyAlignment="1">
      <alignment horizontal="left" vertical="center" wrapText="1"/>
    </xf>
    <xf numFmtId="6" fontId="29" fillId="0" borderId="9" xfId="0" applyNumberFormat="1" applyFont="1" applyBorder="1" applyAlignment="1">
      <alignment horizontal="left" vertical="center"/>
    </xf>
    <xf numFmtId="14" fontId="29" fillId="0" borderId="9" xfId="0" applyNumberFormat="1" applyFont="1" applyBorder="1" applyAlignment="1">
      <alignment horizontal="left" vertical="center"/>
    </xf>
    <xf numFmtId="0" fontId="29" fillId="0" borderId="8" xfId="0" applyFont="1" applyBorder="1" applyAlignment="1">
      <alignment horizontal="left" vertical="center"/>
    </xf>
    <xf numFmtId="0" fontId="29" fillId="0" borderId="9" xfId="0" applyFont="1" applyBorder="1" applyAlignment="1">
      <alignment horizontal="left" vertical="center"/>
    </xf>
    <xf numFmtId="8" fontId="29" fillId="0" borderId="9" xfId="0" applyNumberFormat="1" applyFont="1" applyBorder="1" applyAlignment="1">
      <alignment horizontal="left" vertical="center"/>
    </xf>
    <xf numFmtId="0" fontId="30" fillId="0" borderId="8" xfId="0" applyFont="1" applyBorder="1" applyAlignment="1">
      <alignment horizontal="left" vertical="center"/>
    </xf>
    <xf numFmtId="0" fontId="30" fillId="0" borderId="9" xfId="0" applyFont="1" applyBorder="1" applyAlignment="1">
      <alignment horizontal="left" vertical="center" wrapText="1"/>
    </xf>
    <xf numFmtId="8" fontId="30" fillId="0" borderId="9" xfId="0" applyNumberFormat="1" applyFont="1" applyBorder="1" applyAlignment="1">
      <alignment horizontal="left" vertical="center"/>
    </xf>
    <xf numFmtId="0" fontId="30" fillId="0" borderId="9" xfId="0" applyFont="1" applyBorder="1" applyAlignment="1">
      <alignment horizontal="left" vertical="center"/>
    </xf>
    <xf numFmtId="0" fontId="28" fillId="0" borderId="9" xfId="0" applyFont="1" applyBorder="1" applyAlignment="1">
      <alignment horizontal="left" vertical="center"/>
    </xf>
    <xf numFmtId="6" fontId="28" fillId="0" borderId="9" xfId="0" applyNumberFormat="1" applyFont="1" applyBorder="1" applyAlignment="1">
      <alignment horizontal="left" vertical="center"/>
    </xf>
    <xf numFmtId="0" fontId="28" fillId="10" borderId="9" xfId="0" applyFont="1" applyFill="1" applyBorder="1" applyAlignment="1">
      <alignment horizontal="left" vertical="center" wrapText="1"/>
    </xf>
    <xf numFmtId="6" fontId="28" fillId="10" borderId="9" xfId="0" applyNumberFormat="1" applyFont="1" applyFill="1" applyBorder="1" applyAlignment="1">
      <alignment horizontal="left" vertical="center"/>
    </xf>
    <xf numFmtId="0" fontId="28" fillId="9" borderId="6" xfId="0" applyFont="1" applyFill="1" applyBorder="1" applyAlignment="1">
      <alignment horizontal="center"/>
    </xf>
    <xf numFmtId="0" fontId="28" fillId="9" borderId="7" xfId="0" applyFont="1" applyFill="1" applyBorder="1" applyAlignment="1">
      <alignment horizontal="center"/>
    </xf>
    <xf numFmtId="0" fontId="28" fillId="9" borderId="7" xfId="0" applyFont="1" applyFill="1" applyBorder="1" applyAlignment="1">
      <alignment horizontal="center" wrapText="1"/>
    </xf>
    <xf numFmtId="1" fontId="6" fillId="0" borderId="0" xfId="2" applyNumberFormat="1" applyFont="1"/>
    <xf numFmtId="0" fontId="31" fillId="0" borderId="8" xfId="0" applyFont="1" applyBorder="1" applyAlignment="1">
      <alignment horizontal="left" vertical="center"/>
    </xf>
    <xf numFmtId="0" fontId="31" fillId="0" borderId="9" xfId="0" applyFont="1" applyBorder="1" applyAlignment="1">
      <alignment horizontal="left" vertical="center" wrapText="1"/>
    </xf>
    <xf numFmtId="6" fontId="31" fillId="0" borderId="9" xfId="0" applyNumberFormat="1" applyFont="1" applyBorder="1" applyAlignment="1">
      <alignment horizontal="left" vertical="center"/>
    </xf>
    <xf numFmtId="14" fontId="31" fillId="0" borderId="9" xfId="0" applyNumberFormat="1" applyFont="1" applyBorder="1" applyAlignment="1">
      <alignment horizontal="left" vertical="center"/>
    </xf>
    <xf numFmtId="0" fontId="2" fillId="11" borderId="0" xfId="3" applyFont="1" applyFill="1" applyAlignment="1">
      <alignment vertical="center"/>
    </xf>
    <xf numFmtId="0" fontId="6" fillId="11" borderId="0" xfId="5" applyFont="1" applyFill="1"/>
    <xf numFmtId="0" fontId="6" fillId="11" borderId="1" xfId="3" applyFont="1" applyFill="1" applyBorder="1" applyAlignment="1">
      <alignment vertical="center"/>
    </xf>
    <xf numFmtId="0" fontId="6" fillId="11" borderId="1" xfId="3" applyFont="1" applyFill="1" applyBorder="1" applyAlignment="1">
      <alignment horizontal="left" vertical="center"/>
    </xf>
    <xf numFmtId="0" fontId="2" fillId="11" borderId="0" xfId="3" applyFont="1" applyFill="1" applyAlignment="1">
      <alignment horizontal="left" vertical="center" wrapText="1"/>
    </xf>
    <xf numFmtId="0" fontId="2" fillId="11" borderId="0" xfId="6" applyFont="1" applyFill="1" applyAlignment="1">
      <alignment horizontal="left" vertical="center"/>
    </xf>
    <xf numFmtId="165" fontId="2" fillId="11" borderId="0" xfId="6" applyNumberFormat="1" applyFont="1" applyFill="1" applyAlignment="1">
      <alignment horizontal="right" vertical="center"/>
    </xf>
    <xf numFmtId="165" fontId="2" fillId="11" borderId="0" xfId="0" applyNumberFormat="1" applyFont="1" applyFill="1" applyAlignment="1">
      <alignment horizontal="right" wrapText="1"/>
    </xf>
    <xf numFmtId="165" fontId="2" fillId="11" borderId="0" xfId="6" applyNumberFormat="1" applyFont="1" applyFill="1" applyAlignment="1">
      <alignment vertical="center"/>
    </xf>
    <xf numFmtId="0" fontId="3" fillId="11" borderId="0" xfId="3" applyFont="1" applyFill="1" applyAlignment="1">
      <alignment horizontal="left" vertical="center" wrapText="1"/>
    </xf>
    <xf numFmtId="0" fontId="3" fillId="11" borderId="0" xfId="6" applyFont="1" applyFill="1" applyAlignment="1">
      <alignment horizontal="left" vertical="center"/>
    </xf>
    <xf numFmtId="0" fontId="2" fillId="11" borderId="0" xfId="0" applyFont="1" applyFill="1" applyAlignment="1">
      <alignment horizontal="left" wrapText="1"/>
    </xf>
    <xf numFmtId="0" fontId="2" fillId="11" borderId="0" xfId="0" applyFont="1" applyFill="1" applyAlignment="1">
      <alignment horizontal="left"/>
    </xf>
    <xf numFmtId="0" fontId="6" fillId="11" borderId="1" xfId="6" applyFont="1" applyFill="1" applyBorder="1"/>
    <xf numFmtId="0" fontId="6" fillId="11" borderId="1" xfId="6" applyFont="1" applyFill="1" applyBorder="1" applyAlignment="1">
      <alignment horizontal="left"/>
    </xf>
    <xf numFmtId="0" fontId="6" fillId="11" borderId="0" xfId="3" applyFont="1" applyFill="1" applyAlignment="1">
      <alignment vertical="center"/>
    </xf>
    <xf numFmtId="0" fontId="6" fillId="11" borderId="0" xfId="3" applyFont="1" applyFill="1" applyAlignment="1">
      <alignment horizontal="left" vertical="center"/>
    </xf>
    <xf numFmtId="165" fontId="3" fillId="11" borderId="0" xfId="6" applyNumberFormat="1" applyFont="1" applyFill="1" applyAlignment="1">
      <alignment horizontal="right" vertical="center"/>
    </xf>
    <xf numFmtId="165" fontId="3" fillId="11" borderId="0" xfId="6" applyNumberFormat="1" applyFont="1" applyFill="1" applyAlignment="1">
      <alignment vertical="center"/>
    </xf>
    <xf numFmtId="10" fontId="2" fillId="11" borderId="0" xfId="8" applyNumberFormat="1" applyFont="1" applyFill="1" applyAlignment="1">
      <alignment horizontal="right" vertical="center"/>
    </xf>
    <xf numFmtId="165" fontId="27" fillId="11" borderId="0" xfId="6" applyNumberFormat="1" applyFont="1" applyFill="1" applyAlignment="1">
      <alignment horizontal="right" vertical="center"/>
    </xf>
    <xf numFmtId="164" fontId="2" fillId="11" borderId="0" xfId="3" applyNumberFormat="1" applyFont="1" applyFill="1" applyAlignment="1">
      <alignment vertical="center"/>
    </xf>
    <xf numFmtId="165" fontId="2" fillId="11" borderId="0" xfId="3" applyNumberFormat="1" applyFont="1" applyFill="1" applyAlignment="1">
      <alignment vertical="center"/>
    </xf>
    <xf numFmtId="10" fontId="2" fillId="11" borderId="0" xfId="6" applyNumberFormat="1" applyFont="1" applyFill="1" applyAlignment="1">
      <alignment horizontal="right" vertical="center"/>
    </xf>
    <xf numFmtId="0" fontId="2" fillId="11" borderId="0" xfId="6" applyFont="1" applyFill="1" applyAlignment="1">
      <alignment vertical="center"/>
    </xf>
    <xf numFmtId="0" fontId="2" fillId="11" borderId="0" xfId="6" applyFont="1" applyFill="1" applyAlignment="1">
      <alignment horizontal="right" vertical="center"/>
    </xf>
    <xf numFmtId="3" fontId="2" fillId="11" borderId="0" xfId="6" applyNumberFormat="1" applyFont="1" applyFill="1" applyAlignment="1">
      <alignment horizontal="right" vertical="center"/>
    </xf>
    <xf numFmtId="3" fontId="2" fillId="11" borderId="0" xfId="6" applyNumberFormat="1" applyFont="1" applyFill="1" applyAlignment="1">
      <alignment vertical="center"/>
    </xf>
    <xf numFmtId="176" fontId="2" fillId="11" borderId="0" xfId="6" applyNumberFormat="1" applyFont="1" applyFill="1" applyAlignment="1">
      <alignment horizontal="right" vertical="center"/>
    </xf>
    <xf numFmtId="0" fontId="3" fillId="11" borderId="2" xfId="3" applyFont="1" applyFill="1" applyBorder="1" applyAlignment="1">
      <alignment vertical="center" wrapText="1"/>
    </xf>
    <xf numFmtId="0" fontId="3" fillId="11" borderId="2" xfId="6" applyFont="1" applyFill="1" applyBorder="1" applyAlignment="1">
      <alignment vertical="center"/>
    </xf>
    <xf numFmtId="0" fontId="3" fillId="11" borderId="2" xfId="6" applyFont="1" applyFill="1" applyBorder="1" applyAlignment="1">
      <alignment horizontal="right" vertical="center"/>
    </xf>
    <xf numFmtId="3" fontId="3" fillId="11" borderId="2" xfId="6" applyNumberFormat="1" applyFont="1" applyFill="1" applyBorder="1" applyAlignment="1">
      <alignment horizontal="right" vertical="center"/>
    </xf>
    <xf numFmtId="166" fontId="3" fillId="11" borderId="2" xfId="6" applyNumberFormat="1" applyFont="1" applyFill="1" applyBorder="1" applyAlignment="1">
      <alignment horizontal="right" vertical="center"/>
    </xf>
    <xf numFmtId="165" fontId="3" fillId="11" borderId="2" xfId="6" applyNumberFormat="1" applyFont="1" applyFill="1" applyBorder="1" applyAlignment="1">
      <alignment horizontal="right" vertical="center"/>
    </xf>
    <xf numFmtId="0" fontId="3" fillId="11" borderId="0" xfId="3" applyFont="1" applyFill="1" applyAlignment="1">
      <alignment vertical="center" wrapText="1"/>
    </xf>
    <xf numFmtId="0" fontId="3" fillId="11" borderId="0" xfId="6" applyFont="1" applyFill="1" applyAlignment="1">
      <alignment vertical="center"/>
    </xf>
    <xf numFmtId="0" fontId="3" fillId="11" borderId="0" xfId="6" applyFont="1" applyFill="1" applyAlignment="1">
      <alignment horizontal="right" vertical="center"/>
    </xf>
    <xf numFmtId="3" fontId="3" fillId="11" borderId="0" xfId="6" applyNumberFormat="1" applyFont="1" applyFill="1" applyAlignment="1">
      <alignment horizontal="right" vertical="center"/>
    </xf>
    <xf numFmtId="166" fontId="3" fillId="11" borderId="0" xfId="6" applyNumberFormat="1" applyFont="1" applyFill="1" applyAlignment="1">
      <alignment horizontal="right" vertical="center"/>
    </xf>
    <xf numFmtId="166" fontId="3" fillId="11" borderId="0" xfId="6" applyNumberFormat="1" applyFont="1" applyFill="1" applyAlignment="1">
      <alignment vertical="center"/>
    </xf>
    <xf numFmtId="0" fontId="8" fillId="11" borderId="0" xfId="3" applyFont="1" applyFill="1" applyAlignment="1">
      <alignment horizontal="left" vertical="center"/>
    </xf>
    <xf numFmtId="0" fontId="9" fillId="11" borderId="0" xfId="3" applyFont="1" applyFill="1" applyAlignment="1">
      <alignment vertical="center" wrapText="1"/>
    </xf>
    <xf numFmtId="0" fontId="9" fillId="11" borderId="0" xfId="6" applyFont="1" applyFill="1" applyAlignment="1">
      <alignment vertical="center"/>
    </xf>
    <xf numFmtId="0" fontId="10" fillId="11" borderId="0" xfId="3" applyFont="1" applyFill="1" applyAlignment="1">
      <alignment horizontal="left" vertical="center"/>
    </xf>
    <xf numFmtId="0" fontId="11" fillId="11" borderId="0" xfId="3" applyFont="1" applyFill="1" applyAlignment="1">
      <alignment vertical="center" wrapText="1"/>
    </xf>
    <xf numFmtId="0" fontId="2" fillId="11" borderId="0" xfId="3" applyFont="1" applyFill="1" applyAlignment="1">
      <alignment vertical="center" wrapText="1"/>
    </xf>
    <xf numFmtId="166" fontId="3" fillId="11" borderId="0" xfId="9" applyNumberFormat="1" applyFont="1" applyFill="1" applyAlignment="1">
      <alignment horizontal="right" vertical="center"/>
    </xf>
    <xf numFmtId="167" fontId="2" fillId="11" borderId="0" xfId="7" applyNumberFormat="1" applyFont="1" applyFill="1" applyAlignment="1">
      <alignment vertical="center"/>
    </xf>
    <xf numFmtId="166" fontId="3" fillId="11" borderId="0" xfId="3" applyNumberFormat="1" applyFont="1" applyFill="1" applyAlignment="1">
      <alignment horizontal="right" vertical="center" wrapText="1"/>
    </xf>
    <xf numFmtId="164" fontId="2" fillId="11" borderId="0" xfId="1" applyFont="1" applyFill="1" applyAlignment="1">
      <alignment vertical="center"/>
    </xf>
    <xf numFmtId="165" fontId="6" fillId="11" borderId="0" xfId="3" applyNumberFormat="1" applyFont="1" applyFill="1" applyAlignment="1">
      <alignment horizontal="left" vertical="center" wrapText="1"/>
    </xf>
    <xf numFmtId="3" fontId="3" fillId="11" borderId="0" xfId="6" applyNumberFormat="1" applyFont="1" applyFill="1" applyAlignment="1">
      <alignment vertical="center"/>
    </xf>
    <xf numFmtId="0" fontId="2" fillId="11" borderId="0" xfId="9" applyFont="1" applyFill="1" applyAlignment="1">
      <alignment vertical="center"/>
    </xf>
    <xf numFmtId="0" fontId="9" fillId="11" borderId="0" xfId="3" applyFont="1" applyFill="1" applyAlignment="1">
      <alignment horizontal="left" vertical="center" wrapText="1"/>
    </xf>
    <xf numFmtId="165" fontId="2" fillId="11" borderId="0" xfId="9" applyNumberFormat="1" applyFont="1" applyFill="1" applyAlignment="1">
      <alignment vertical="center"/>
    </xf>
    <xf numFmtId="165" fontId="2" fillId="11" borderId="0" xfId="3" applyNumberFormat="1" applyFont="1" applyFill="1" applyAlignment="1">
      <alignment horizontal="right" vertical="center" wrapText="1"/>
    </xf>
    <xf numFmtId="3" fontId="2" fillId="11" borderId="0" xfId="9" applyNumberFormat="1" applyFont="1" applyFill="1" applyAlignment="1">
      <alignment vertical="center"/>
    </xf>
    <xf numFmtId="3" fontId="2" fillId="11" borderId="0" xfId="3" applyNumberFormat="1" applyFont="1" applyFill="1" applyAlignment="1">
      <alignment vertical="center"/>
    </xf>
    <xf numFmtId="165" fontId="2" fillId="11" borderId="0" xfId="9" applyNumberFormat="1" applyFont="1" applyFill="1" applyAlignment="1">
      <alignment horizontal="right" vertical="center"/>
    </xf>
    <xf numFmtId="0" fontId="3" fillId="11" borderId="2" xfId="3" applyFont="1" applyFill="1" applyBorder="1" applyAlignment="1">
      <alignment horizontal="left" vertical="center" wrapText="1"/>
    </xf>
    <xf numFmtId="0" fontId="3" fillId="11" borderId="2" xfId="6" applyFont="1" applyFill="1" applyBorder="1" applyAlignment="1">
      <alignment horizontal="left" vertical="center"/>
    </xf>
    <xf numFmtId="3" fontId="3" fillId="11" borderId="2" xfId="6" applyNumberFormat="1" applyFont="1" applyFill="1" applyBorder="1" applyAlignment="1">
      <alignment vertical="center"/>
    </xf>
    <xf numFmtId="166" fontId="3" fillId="11" borderId="2" xfId="10" applyNumberFormat="1" applyFont="1" applyFill="1" applyBorder="1" applyAlignment="1">
      <alignment horizontal="right" vertical="center"/>
    </xf>
    <xf numFmtId="0" fontId="12" fillId="11" borderId="0" xfId="3" applyFont="1" applyFill="1" applyAlignment="1">
      <alignment vertical="center"/>
    </xf>
    <xf numFmtId="0" fontId="3" fillId="11" borderId="3" xfId="3" applyFont="1" applyFill="1" applyBorder="1" applyAlignment="1">
      <alignment vertical="center"/>
    </xf>
    <xf numFmtId="0" fontId="3" fillId="11" borderId="3" xfId="6" applyFont="1" applyFill="1" applyBorder="1" applyAlignment="1">
      <alignment vertical="center"/>
    </xf>
    <xf numFmtId="0" fontId="9" fillId="11" borderId="0" xfId="6" applyFont="1" applyFill="1" applyAlignment="1">
      <alignment horizontal="left" vertical="center"/>
    </xf>
    <xf numFmtId="0" fontId="13" fillId="11" borderId="0" xfId="6" applyFont="1" applyFill="1" applyAlignment="1">
      <alignment horizontal="left" vertical="center"/>
    </xf>
    <xf numFmtId="0" fontId="13" fillId="11" borderId="0" xfId="6" applyFont="1" applyFill="1" applyAlignment="1">
      <alignment vertical="center"/>
    </xf>
    <xf numFmtId="0" fontId="14" fillId="11" borderId="0" xfId="3" applyFont="1" applyFill="1" applyAlignment="1">
      <alignment horizontal="left" vertical="center"/>
    </xf>
    <xf numFmtId="0" fontId="14" fillId="11" borderId="0" xfId="3" applyFont="1" applyFill="1" applyAlignment="1">
      <alignment vertical="center"/>
    </xf>
    <xf numFmtId="0" fontId="9" fillId="11" borderId="0" xfId="3" applyFont="1" applyFill="1" applyAlignment="1">
      <alignment vertical="center"/>
    </xf>
    <xf numFmtId="0" fontId="11" fillId="11" borderId="0" xfId="3" applyFont="1" applyFill="1" applyAlignment="1">
      <alignment horizontal="left" vertical="center" wrapText="1"/>
    </xf>
    <xf numFmtId="169" fontId="3" fillId="11" borderId="2" xfId="6" applyNumberFormat="1" applyFont="1" applyFill="1" applyBorder="1" applyAlignment="1">
      <alignment horizontal="right" vertical="center"/>
    </xf>
    <xf numFmtId="0" fontId="3" fillId="11" borderId="3" xfId="3" applyFont="1" applyFill="1" applyBorder="1" applyAlignment="1">
      <alignment horizontal="left" vertical="center"/>
    </xf>
    <xf numFmtId="0" fontId="3" fillId="11" borderId="3" xfId="6" applyFont="1" applyFill="1" applyBorder="1" applyAlignment="1">
      <alignment horizontal="left" vertical="center"/>
    </xf>
    <xf numFmtId="166" fontId="3" fillId="11" borderId="2" xfId="3" applyNumberFormat="1" applyFont="1" applyFill="1" applyBorder="1" applyAlignment="1">
      <alignment horizontal="right" vertical="center" wrapText="1"/>
    </xf>
    <xf numFmtId="169" fontId="2" fillId="11" borderId="0" xfId="6" applyNumberFormat="1" applyFont="1" applyFill="1" applyAlignment="1">
      <alignment horizontal="right" vertical="center"/>
    </xf>
    <xf numFmtId="169" fontId="2" fillId="11" borderId="0" xfId="6" applyNumberFormat="1" applyFont="1" applyFill="1" applyAlignment="1">
      <alignment vertical="center"/>
    </xf>
    <xf numFmtId="165" fontId="2" fillId="11" borderId="0" xfId="3" applyNumberFormat="1" applyFont="1" applyFill="1" applyAlignment="1">
      <alignment horizontal="center" vertical="center" wrapText="1"/>
    </xf>
    <xf numFmtId="0" fontId="12" fillId="11" borderId="0" xfId="6" applyFont="1" applyFill="1" applyAlignment="1">
      <alignment vertical="center"/>
    </xf>
    <xf numFmtId="10" fontId="3" fillId="11" borderId="0" xfId="6" applyNumberFormat="1" applyFont="1" applyFill="1" applyAlignment="1">
      <alignment vertical="center"/>
    </xf>
    <xf numFmtId="166" fontId="2" fillId="11" borderId="0" xfId="6" applyNumberFormat="1" applyFont="1" applyFill="1" applyAlignment="1">
      <alignment horizontal="right" vertical="center"/>
    </xf>
    <xf numFmtId="166" fontId="2" fillId="11" borderId="0" xfId="6" applyNumberFormat="1" applyFont="1" applyFill="1" applyAlignment="1">
      <alignment vertical="center"/>
    </xf>
    <xf numFmtId="0" fontId="3" fillId="11" borderId="4" xfId="3" applyFont="1" applyFill="1" applyBorder="1" applyAlignment="1">
      <alignment vertical="center" wrapText="1"/>
    </xf>
    <xf numFmtId="0" fontId="3" fillId="11" borderId="4" xfId="6" applyFont="1" applyFill="1" applyBorder="1" applyAlignment="1">
      <alignment vertical="center"/>
    </xf>
    <xf numFmtId="3" fontId="3" fillId="11" borderId="4" xfId="6" applyNumberFormat="1" applyFont="1" applyFill="1" applyBorder="1" applyAlignment="1">
      <alignment horizontal="right" vertical="center"/>
    </xf>
    <xf numFmtId="166" fontId="3" fillId="11" borderId="4" xfId="10" applyNumberFormat="1" applyFont="1" applyFill="1" applyBorder="1" applyAlignment="1">
      <alignment horizontal="right" vertical="center"/>
    </xf>
    <xf numFmtId="166" fontId="3" fillId="11" borderId="4" xfId="6" applyNumberFormat="1" applyFont="1" applyFill="1" applyBorder="1" applyAlignment="1">
      <alignment horizontal="right" vertical="center"/>
    </xf>
    <xf numFmtId="165" fontId="2" fillId="12" borderId="0" xfId="6" applyNumberFormat="1" applyFont="1" applyFill="1" applyAlignment="1">
      <alignment horizontal="right" vertical="center"/>
    </xf>
    <xf numFmtId="177" fontId="2" fillId="11" borderId="0" xfId="3" applyNumberFormat="1" applyFont="1" applyFill="1" applyAlignment="1">
      <alignment vertical="center"/>
    </xf>
    <xf numFmtId="178" fontId="2" fillId="11" borderId="0" xfId="1" applyNumberFormat="1" applyFont="1" applyFill="1" applyAlignment="1">
      <alignment vertical="center"/>
    </xf>
    <xf numFmtId="169" fontId="12" fillId="11" borderId="0" xfId="3" applyNumberFormat="1" applyFont="1" applyFill="1" applyAlignment="1">
      <alignment vertical="center"/>
    </xf>
    <xf numFmtId="169" fontId="2" fillId="11" borderId="0" xfId="3" applyNumberFormat="1" applyFont="1" applyFill="1" applyAlignment="1">
      <alignment vertical="center"/>
    </xf>
    <xf numFmtId="166" fontId="2" fillId="11" borderId="0" xfId="3" applyNumberFormat="1" applyFont="1" applyFill="1" applyAlignment="1">
      <alignment vertical="center"/>
    </xf>
    <xf numFmtId="0" fontId="2" fillId="13" borderId="0" xfId="3" applyFont="1" applyFill="1" applyAlignment="1">
      <alignment vertical="center"/>
    </xf>
    <xf numFmtId="0" fontId="6" fillId="13" borderId="0" xfId="5" applyFont="1" applyFill="1"/>
    <xf numFmtId="0" fontId="6" fillId="13" borderId="1" xfId="3" applyFont="1" applyFill="1" applyBorder="1" applyAlignment="1">
      <alignment vertical="center"/>
    </xf>
    <xf numFmtId="0" fontId="6" fillId="13" borderId="1" xfId="3" applyFont="1" applyFill="1" applyBorder="1" applyAlignment="1">
      <alignment horizontal="left" vertical="center"/>
    </xf>
    <xf numFmtId="0" fontId="2" fillId="13" borderId="0" xfId="3" applyFont="1" applyFill="1" applyAlignment="1">
      <alignment vertical="center" wrapText="1"/>
    </xf>
    <xf numFmtId="0" fontId="2" fillId="13" borderId="0" xfId="6" applyFont="1" applyFill="1" applyAlignment="1">
      <alignment vertical="center"/>
    </xf>
    <xf numFmtId="0" fontId="2" fillId="13" borderId="0" xfId="6" applyFont="1" applyFill="1" applyAlignment="1">
      <alignment horizontal="left" vertical="center"/>
    </xf>
    <xf numFmtId="165" fontId="2" fillId="13" borderId="0" xfId="6" applyNumberFormat="1" applyFont="1" applyFill="1" applyAlignment="1">
      <alignment horizontal="right" vertical="center"/>
    </xf>
    <xf numFmtId="165" fontId="2" fillId="13" borderId="0" xfId="6" applyNumberFormat="1" applyFont="1" applyFill="1" applyAlignment="1">
      <alignment vertical="center"/>
    </xf>
    <xf numFmtId="165" fontId="2" fillId="13" borderId="0" xfId="3" applyNumberFormat="1" applyFont="1" applyFill="1" applyAlignment="1">
      <alignment vertical="center"/>
    </xf>
    <xf numFmtId="0" fontId="2" fillId="13" borderId="0" xfId="3" applyFont="1" applyFill="1" applyAlignment="1">
      <alignment horizontal="left" vertical="center" wrapText="1"/>
    </xf>
    <xf numFmtId="0" fontId="12" fillId="13" borderId="0" xfId="3" applyFont="1" applyFill="1" applyAlignment="1">
      <alignment vertical="center"/>
    </xf>
    <xf numFmtId="165" fontId="2" fillId="0" borderId="0" xfId="6" applyNumberFormat="1" applyFont="1" applyAlignment="1">
      <alignment horizontal="right" vertical="center"/>
    </xf>
    <xf numFmtId="165" fontId="3" fillId="0" borderId="0" xfId="6" applyNumberFormat="1" applyFont="1" applyAlignment="1">
      <alignment horizontal="right" vertical="center"/>
    </xf>
    <xf numFmtId="3" fontId="2" fillId="0" borderId="0" xfId="6" applyNumberFormat="1" applyFont="1" applyAlignment="1">
      <alignment horizontal="right" vertical="center"/>
    </xf>
    <xf numFmtId="166" fontId="3" fillId="0" borderId="2" xfId="6" applyNumberFormat="1" applyFont="1" applyBorder="1" applyAlignment="1">
      <alignment horizontal="right" vertical="center"/>
    </xf>
    <xf numFmtId="165" fontId="3" fillId="0" borderId="2" xfId="6" applyNumberFormat="1" applyFont="1" applyBorder="1" applyAlignment="1">
      <alignment horizontal="right" vertical="center"/>
    </xf>
    <xf numFmtId="166" fontId="3" fillId="0" borderId="0" xfId="6" applyNumberFormat="1" applyFont="1" applyAlignment="1">
      <alignment horizontal="right" vertical="center"/>
    </xf>
    <xf numFmtId="0" fontId="2" fillId="0" borderId="0" xfId="6" applyFont="1" applyAlignment="1">
      <alignment vertical="center"/>
    </xf>
    <xf numFmtId="165" fontId="2" fillId="0" borderId="0" xfId="6" applyNumberFormat="1" applyFont="1" applyAlignment="1">
      <alignment vertical="center"/>
    </xf>
    <xf numFmtId="165" fontId="3" fillId="0" borderId="2" xfId="6" applyNumberFormat="1" applyFont="1" applyBorder="1" applyAlignment="1">
      <alignment vertical="center"/>
    </xf>
    <xf numFmtId="3" fontId="2" fillId="0" borderId="0" xfId="6" applyNumberFormat="1" applyFont="1" applyAlignment="1">
      <alignment vertical="center"/>
    </xf>
    <xf numFmtId="166" fontId="3" fillId="0" borderId="2" xfId="10" applyNumberFormat="1" applyFont="1" applyFill="1" applyBorder="1" applyAlignment="1">
      <alignment horizontal="right" vertical="center"/>
    </xf>
    <xf numFmtId="0" fontId="3" fillId="0" borderId="3" xfId="6" applyFont="1" applyBorder="1" applyAlignment="1">
      <alignment vertical="center"/>
    </xf>
    <xf numFmtId="0" fontId="13" fillId="0" borderId="0" xfId="6" applyFont="1" applyAlignment="1">
      <alignment horizontal="left" vertical="center"/>
    </xf>
    <xf numFmtId="0" fontId="9" fillId="0" borderId="0" xfId="6" applyFont="1" applyAlignment="1">
      <alignment vertical="center"/>
    </xf>
    <xf numFmtId="0" fontId="9" fillId="0" borderId="0" xfId="6" applyFont="1" applyAlignment="1">
      <alignment horizontal="left" vertical="center"/>
    </xf>
    <xf numFmtId="169" fontId="3" fillId="0" borderId="2" xfId="6" applyNumberFormat="1" applyFont="1" applyBorder="1" applyAlignment="1">
      <alignment horizontal="right" vertical="center"/>
    </xf>
    <xf numFmtId="169" fontId="3" fillId="0" borderId="2" xfId="10" applyNumberFormat="1" applyFont="1" applyFill="1" applyBorder="1" applyAlignment="1">
      <alignment vertical="center"/>
    </xf>
    <xf numFmtId="0" fontId="3" fillId="0" borderId="3" xfId="6" applyFont="1" applyBorder="1" applyAlignment="1">
      <alignment horizontal="left" vertical="center"/>
    </xf>
    <xf numFmtId="169" fontId="3" fillId="0" borderId="2" xfId="10" applyNumberFormat="1" applyFont="1" applyFill="1" applyBorder="1" applyAlignment="1">
      <alignment horizontal="right" vertical="center"/>
    </xf>
    <xf numFmtId="166" fontId="3" fillId="0" borderId="2" xfId="3" applyNumberFormat="1" applyFont="1" applyBorder="1" applyAlignment="1">
      <alignment horizontal="right" vertical="center" wrapText="1"/>
    </xf>
    <xf numFmtId="166" fontId="3" fillId="0" borderId="2" xfId="6" applyNumberFormat="1" applyFont="1" applyBorder="1" applyAlignment="1">
      <alignment vertical="center"/>
    </xf>
    <xf numFmtId="169" fontId="2" fillId="0" borderId="0" xfId="6" applyNumberFormat="1" applyFont="1" applyAlignment="1">
      <alignment horizontal="right" vertical="center"/>
    </xf>
    <xf numFmtId="165" fontId="2" fillId="0" borderId="0" xfId="3" applyNumberFormat="1" applyFont="1" applyAlignment="1">
      <alignment horizontal="center" vertical="center" wrapText="1"/>
    </xf>
    <xf numFmtId="166" fontId="2" fillId="0" borderId="0" xfId="6" applyNumberFormat="1" applyFont="1" applyAlignment="1">
      <alignment horizontal="right" vertical="center"/>
    </xf>
    <xf numFmtId="166" fontId="3" fillId="0" borderId="4" xfId="10" applyNumberFormat="1" applyFont="1" applyFill="1" applyBorder="1" applyAlignment="1">
      <alignment horizontal="right" vertical="center"/>
    </xf>
    <xf numFmtId="166" fontId="3" fillId="0" borderId="4" xfId="6" applyNumberFormat="1" applyFont="1" applyBorder="1" applyAlignment="1">
      <alignment vertical="center"/>
    </xf>
    <xf numFmtId="10" fontId="2" fillId="0" borderId="0" xfId="2" applyNumberFormat="1" applyFont="1" applyFill="1" applyAlignment="1">
      <alignment vertical="center"/>
    </xf>
    <xf numFmtId="175" fontId="2" fillId="0" borderId="0" xfId="2" applyNumberFormat="1" applyFont="1" applyFill="1" applyAlignment="1">
      <alignment vertical="center"/>
    </xf>
    <xf numFmtId="166" fontId="2" fillId="0" borderId="0" xfId="3" applyNumberFormat="1" applyFont="1" applyAlignment="1">
      <alignment vertical="center"/>
    </xf>
    <xf numFmtId="0" fontId="6" fillId="0" borderId="0" xfId="5" applyFont="1"/>
    <xf numFmtId="0" fontId="2" fillId="0" borderId="0" xfId="3" applyFont="1" applyAlignment="1">
      <alignment horizontal="left" vertical="center" wrapText="1"/>
    </xf>
    <xf numFmtId="0" fontId="2" fillId="0" borderId="0" xfId="6" applyFont="1" applyAlignment="1">
      <alignment horizontal="left" vertical="center"/>
    </xf>
    <xf numFmtId="0" fontId="6" fillId="0" borderId="1" xfId="6" applyFont="1" applyBorder="1"/>
    <xf numFmtId="0" fontId="6" fillId="0" borderId="1" xfId="6" applyFont="1" applyBorder="1" applyAlignment="1">
      <alignment horizontal="left"/>
    </xf>
    <xf numFmtId="0" fontId="2" fillId="0" borderId="0" xfId="3" applyFont="1" applyAlignment="1">
      <alignment vertical="center" wrapText="1"/>
    </xf>
    <xf numFmtId="0" fontId="6" fillId="12" borderId="1" xfId="6" applyFont="1" applyFill="1" applyBorder="1"/>
    <xf numFmtId="0" fontId="6" fillId="12" borderId="1" xfId="6" applyFont="1" applyFill="1" applyBorder="1" applyAlignment="1">
      <alignment horizontal="left"/>
    </xf>
    <xf numFmtId="0" fontId="14" fillId="13" borderId="1" xfId="3" applyFont="1" applyFill="1" applyBorder="1" applyAlignment="1">
      <alignment vertical="center"/>
    </xf>
    <xf numFmtId="0" fontId="6" fillId="13" borderId="1" xfId="6" applyFont="1" applyFill="1" applyBorder="1" applyAlignment="1">
      <alignment horizontal="left"/>
    </xf>
    <xf numFmtId="0" fontId="26" fillId="0" borderId="0" xfId="3" applyFont="1" applyAlignment="1">
      <alignment horizontal="center" vertical="center" wrapText="1"/>
    </xf>
    <xf numFmtId="0" fontId="26" fillId="0" borderId="0" xfId="3" applyFont="1" applyAlignment="1">
      <alignment horizontal="center" vertical="center"/>
    </xf>
    <xf numFmtId="0" fontId="2" fillId="0" borderId="0" xfId="3" applyFont="1" applyAlignment="1">
      <alignment horizontal="right" vertical="center" wrapText="1"/>
    </xf>
    <xf numFmtId="0" fontId="25" fillId="0" borderId="0" xfId="11" applyFont="1" applyAlignment="1">
      <alignment horizontal="center" wrapText="1"/>
    </xf>
    <xf numFmtId="0" fontId="25" fillId="0" borderId="0" xfId="11" applyFont="1" applyAlignment="1">
      <alignment horizontal="center" vertical="center" wrapText="1"/>
    </xf>
    <xf numFmtId="3" fontId="25" fillId="0" borderId="0" xfId="11" applyNumberFormat="1" applyFont="1" applyAlignment="1">
      <alignment horizontal="center" vertical="center" wrapText="1"/>
    </xf>
    <xf numFmtId="0" fontId="29" fillId="0" borderId="0" xfId="0" applyFont="1" applyAlignment="1">
      <alignment wrapText="1"/>
    </xf>
  </cellXfs>
  <cellStyles count="16">
    <cellStyle name="Comma" xfId="1" builtinId="3"/>
    <cellStyle name="Comma 2" xfId="7" xr:uid="{360471F0-2DF4-425A-AFB4-468E95EF3ABE}"/>
    <cellStyle name="Comma 2 2" xfId="12" xr:uid="{BF42D6E4-79A3-495E-8ACC-A5B6A54AD28F}"/>
    <cellStyle name="Currency 3" xfId="14" xr:uid="{68E4DCA4-55DF-44BE-8200-85E2FCF826A0}"/>
    <cellStyle name="Currency 3 3" xfId="15" xr:uid="{4E949200-7389-496C-BF1F-6EE91118AAAF}"/>
    <cellStyle name="Moneda 2 5" xfId="10" xr:uid="{115223ED-757C-4EF5-9819-6D2C49EEE396}"/>
    <cellStyle name="Normal" xfId="0" builtinId="0"/>
    <cellStyle name="Normal 2 5" xfId="6" xr:uid="{C2AAE4BC-AE42-4669-9594-66E37BE0EC3C}"/>
    <cellStyle name="Normal 3" xfId="3" xr:uid="{E9A187D7-6396-4004-BA73-1728C2F69B09}"/>
    <cellStyle name="Normal 3 2" xfId="9" xr:uid="{F817CA8F-CA15-4723-BBA4-2D91A972A891}"/>
    <cellStyle name="Normal 32 5" xfId="5" xr:uid="{60B82B49-2867-48AD-ADB7-677D3825F5F7}"/>
    <cellStyle name="Normal 5" xfId="4" xr:uid="{1B6E7114-A8FD-417C-A642-8BC697E24D1A}"/>
    <cellStyle name="Normal 6" xfId="11" xr:uid="{A327695F-C8E2-4EBF-BEEB-C8E9557FC922}"/>
    <cellStyle name="Percent" xfId="2" builtinId="5"/>
    <cellStyle name="Percent 2 2" xfId="13" xr:uid="{81D387B4-BB4E-4465-9D7B-EC2CB41CACD2}"/>
    <cellStyle name="Porcentaje 2 5" xfId="8" xr:uid="{64A00F32-78B4-46F7-87CF-6481F1A96F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42" Type="http://schemas.openxmlformats.org/officeDocument/2006/relationships/customXml" Target="../customXml/item1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4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customXml" Target="../customXml/item2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G%20PhP_ECA%20Budget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ing%20Cost%20v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Fs1/Files/Finance/Private/kate/BUDGET%20FORMATS%20TESTS/DFID%20BUDGE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st,%20RAMP,%20consistent%20with%20contract,%20with%20subs%20change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ISE%20Ethiopia%20MLVP%20to%20DAI%20Budget%2011-1-0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Documents%20and%20Settings/cascarrunz/Local%20Settings/Temporary%20Internet%20Files/Content.Outlook/F93S2T3P/LEBANON%20D-RASATI%20REVISION%2009%2023%2010%20revision%20OPEN%20BUDGE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ing%20Costv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posals.winrock.org/9587/Cost/ATLAS_Draft%20Budge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NAL_Cost_Spreadsheets.Mali_TRADE_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SAR%20Timor%20Leste%20Budget%20and%20Tracking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NI%20COST%20MODE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E%20Budget%20-%20Overall%20v6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sites/FA/Finance%20%20Operational/Budgets/_Closed%20Grants/DOL420%20Budget%20with%20Codes%20-%20Project%20to%20Reduce%20Child%20Labor%20and%20Forced%20Labor%20in%20Palm%20Oil%20Supply%20Chain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sites/FA/Finance%20%20Operational/Grant%20Setups%20&amp;%20Valid%20Combinations/DOL420%20Budget%20with%20Codes%20-%20Project%20to%20Reduce%20Child%20Labor%20and%20Forced%20Labor%20in%20Palm%20Oil%20Supply%20Chain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Users/Sase.Singh/AppData/Local/Microsoft/Windows/Temporary%20Internet%20Files/Content.Outlook/YV2D4COI/DOL%20416%20FY%202018%20Budget%20%20%202017-10-19%20EH%20CP%20(2)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llab.winrock.org/Documents%20and%20Settings/Daniel%20Crapper/Local%20Settings/Temporary%20Internet%20Files/OLK1ED/Save%20schools%20water%20RFP%20Budget%20-%20Ethiopia%20July%200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Users/ladin/Dropbox/1%20-%20FINANCIERA%202019/COLOMBIA%20AVANZA/1.%20ANTICIPO-%20Advance%20Expense/DOL418%20Advance%20Expense%20Report%20-%20December%202018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S:/Field%20CD/Field%20CD-v6-Jan-2007/03.%20Finance/Budget%20formats/DFID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I_MOBIS%20Peru%20ADP%20Budget%20Comp%20Range%20DLB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posals.winrock.org/9587/Cost/LWOB%20USDOL_Partner%20Budget%20-%20Lawyers%20without%20Borders_Revised%209-18-2018_MF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llab.winrock.org/Documents%20and%20Settings/CDiallo/Desktop/Copy%20of%20OVC%20Budget%20SC-US%20Revised-9%2029%2004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GIR%20MACRO%20II%20-%20El%20Salvador%20Profitability%20Analysis%20Fina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Budget%20Template--AMAP-MF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GIR%20WestBankGaza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xico%20AMAP%20Budget%20final.dai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inshare.winrock.org/Groups/FIN/Contracts/Funder/US%20Based/CP%201.4.27%20Budget%20Template-Streamlined%201Yr.%20US%20Based%20Programs%20Budget%20Template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posals.winrock.org/9587/Cost/Attachment%20F.%20USDOL_Partner%20Budget%20Template%20-%20Partners%20of%20the%20Americas%20V4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z0150.wc.mail.comcast.net/Documents%20and%20Settings/getenetk/Desktop/OFDA%20Budget%204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rt%2009_DAI%20Peru%20AD%20Cost%20Proposal%20-%20Comp%20Range24nov03.lh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Documents%20and%20Settings/MMontero/My%20Documents/Proposals%20FY%2010/DRC%20OPEQ%20June%202010/EDC%20FINALS/4.%20EDC%20DRC%20OPEQ%20budget%20FINAL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NADA%20Budget%20BAFO%20II_final%20(unprotected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rt%2002_Mexico%20AMAP%20Budget%20Fina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oposal%20Master%20-%20April%202005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Documents%20and%20Settings/srachmeler/Local%20Settings/Temp/XPgrpwise/Morocco%20Education%20Quality%20June%204%202009%20%20draft%20-%20S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SF 1411"/>
      <sheetName val="Budget Summary by Cost Element"/>
      <sheetName val="LTTA and STTA Summary"/>
      <sheetName val="Summary Staffing Matrix"/>
      <sheetName val="5-Year Detailed Budget Estimate"/>
      <sheetName val="Rate Approval Request"/>
      <sheetName val="CCN Social Cost Estimate"/>
      <sheetName val="Travel Fares Analysis"/>
      <sheetName val="IRG Inflation &amp; Merit Factors"/>
      <sheetName val="IQC Labor categories"/>
      <sheetName val="Graph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etailed"/>
      <sheetName val="JHPIEGO"/>
      <sheetName val="HKI"/>
      <sheetName val="TRG"/>
      <sheetName val="Georgetown"/>
      <sheetName val="The Mitchell Group"/>
      <sheetName val="Pop Council"/>
      <sheetName val="Prospect International"/>
      <sheetName val="EVF"/>
      <sheetName val="Training"/>
      <sheetName val="LOE"/>
      <sheetName val="Parameters"/>
      <sheetName val="Chart of Accounts"/>
      <sheetName val="Grap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Summary"/>
      <sheetName val="Input Sheet"/>
      <sheetName val="Specification"/>
      <sheetName val="Summary DFID"/>
      <sheetName val="Vb"/>
      <sheetName val="Module1"/>
      <sheetName val="Module2"/>
      <sheetName val="Module4"/>
      <sheetName val="Module5"/>
      <sheetName val="Module6"/>
      <sheetName val="Module7"/>
      <sheetName val="Module3"/>
      <sheetName val="Input_Sheet"/>
      <sheetName val="Summary_DFID"/>
      <sheetName val="Input_Sheet1"/>
      <sheetName val="Summary_DFID1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Summary"/>
      <sheetName val="Summary by CLIN"/>
      <sheetName val="LOE CLIN 1"/>
      <sheetName val="LOE Total"/>
      <sheetName val="Chemonics"/>
      <sheetName val="CLIN 1"/>
      <sheetName val="CLIN 2"/>
      <sheetName val="CLIN 3"/>
      <sheetName val="CLIN 4"/>
      <sheetName val="Shorebank CLIN 1"/>
      <sheetName val="IFDC CLIN 1"/>
      <sheetName val="Profitability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Year1"/>
      <sheetName val="Year2"/>
      <sheetName val="RATES"/>
      <sheetName val="Parameters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ed Budget OPEN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byYear"/>
      <sheetName val="Detailed"/>
      <sheetName val="LOE"/>
      <sheetName val="EVF"/>
      <sheetName val="EVF-OVC"/>
      <sheetName val="TRG"/>
      <sheetName val="Dev Assoc"/>
      <sheetName val="IGH CEIHD"/>
      <sheetName val="Porter Novelli"/>
      <sheetName val="Citizens"/>
      <sheetName val="HealthScope"/>
      <sheetName val="Parameters"/>
      <sheetName val="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C&amp;P Questions"/>
      <sheetName val=" DOA Form"/>
      <sheetName val="Input Tab"/>
      <sheetName val="COA"/>
      <sheetName val="Summary Budget"/>
      <sheetName val="Summary by Country"/>
      <sheetName val="Detailed Budget"/>
      <sheetName val="Thailand Budget"/>
      <sheetName val="Paraguay Budget"/>
      <sheetName val="Country C"/>
      <sheetName val="Country D"/>
      <sheetName val="Country E"/>
      <sheetName val="POA Budget"/>
      <sheetName val="LWOB Budget"/>
      <sheetName val="Training Detail"/>
      <sheetName val="Cost Share Detail"/>
      <sheetName val="SF 424"/>
      <sheetName val="SF 424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3. LOE"/>
      <sheetName val="Links"/>
      <sheetName val="1. CLIN"/>
      <sheetName val="2. Sum-Yr"/>
      <sheetName val="4. Main"/>
      <sheetName val="5. Travel"/>
      <sheetName val="6. Allow"/>
      <sheetName val="7. EVF"/>
      <sheetName val="8. AIRD"/>
      <sheetName val="9. CARE"/>
      <sheetName val="10. IBI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peline"/>
      <sheetName val="LOE Tracker"/>
      <sheetName val="Burn Chart"/>
      <sheetName val="INPUTS - Totals by Units"/>
      <sheetName val="INPUTS Year 1"/>
      <sheetName val="INPUTS Year 2"/>
      <sheetName val="INPUTS Year 3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ETAIL"/>
      <sheetName val="BAHODC"/>
      <sheetName val="SUB1"/>
      <sheetName val="SUB2"/>
      <sheetName val="SUB3"/>
      <sheetName val="SUB4"/>
      <sheetName val="SUB5"/>
      <sheetName val="SUB6"/>
      <sheetName val="SUB7"/>
      <sheetName val="SUB8"/>
      <sheetName val="SUB9"/>
      <sheetName val="INDIRECTS"/>
      <sheetName val="RATES"/>
      <sheetName val="read me first"/>
      <sheetName val="DCAA APPROVED INDIRECT RATES"/>
      <sheetName val="Parameter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Assumptions"/>
      <sheetName val="Summary"/>
      <sheetName val="Loaded"/>
      <sheetName val="Overall"/>
      <sheetName val="CORE"/>
      <sheetName val="Liberia"/>
      <sheetName val="Nigeria"/>
      <sheetName val="Jordan"/>
      <sheetName val="Pakistan"/>
      <sheetName val="ENE"/>
      <sheetName val="LAC"/>
      <sheetName val="ANE"/>
      <sheetName val="AFR"/>
      <sheetName val="ENE(b)"/>
      <sheetName val="LAC1"/>
      <sheetName val="LAC2"/>
      <sheetName val="ANE1"/>
      <sheetName val="ANE2"/>
      <sheetName val="ARF1"/>
      <sheetName val="ARF2"/>
      <sheetName val="ENE1"/>
      <sheetName val="ENE2"/>
      <sheetName val="Budget Notes"/>
      <sheetName val="Cost Share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Summary"/>
      <sheetName val="Project Budget"/>
      <sheetName val="SF-424 Cost Categories"/>
    </sheetNames>
    <sheetDataSet>
      <sheetData sheetId="0" refreshError="1"/>
      <sheetData sheetId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Summary"/>
      <sheetName val="Project Budget"/>
      <sheetName val="SF-424 Cost Categories"/>
    </sheetNames>
    <sheetDataSet>
      <sheetData sheetId="0" refreshError="1"/>
      <sheetData sheetId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Y18 POA SUMMARY BUDGET"/>
      <sheetName val="Sheet1"/>
      <sheetName val="Base"/>
      <sheetName val="DOL416"/>
      <sheetName val="Program Budget"/>
      <sheetName val="2018 Salaries Breakdown 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ge Page"/>
      <sheetName val="Budget Template"/>
      <sheetName val="Summary"/>
      <sheetName val="Donor Summar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L418 Field Report Main"/>
      <sheetName val="DOL418 Code Database"/>
      <sheetName val="Sheet3"/>
      <sheetName val="DOL418 Field Report Main (2)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Summary"/>
      <sheetName val="Summary DFID"/>
      <sheetName val="Global budget"/>
      <sheetName val="Input - site 1"/>
      <sheetName val="Specification - site 1"/>
      <sheetName val="Input - site 2"/>
      <sheetName val="Specification  - site 2"/>
      <sheetName val="Input - site 3"/>
      <sheetName val="Specification  - site 3"/>
      <sheetName val="Vb"/>
      <sheetName val="Module1"/>
      <sheetName val="Module2"/>
      <sheetName val="Module4"/>
      <sheetName val="Module5"/>
      <sheetName val="Module6"/>
      <sheetName val="Module7"/>
      <sheetName val="Module3"/>
      <sheetName val="Bank Reconciliation Septembe 09"/>
      <sheetName val="PKOT2600"/>
      <sheetName val="COST HEAD-REPORT"/>
      <sheetName val="OBJ-BvA"/>
      <sheetName val="Exchange Rate"/>
      <sheetName val="Analysis"/>
      <sheetName val="Reciepts &amp; Payments"/>
      <sheetName val="Analysis Sept"/>
      <sheetName val="Work Plan Update"/>
      <sheetName val="Coverting Data"/>
      <sheetName val="Changes in Nominal Codes"/>
      <sheetName val="Sheet1"/>
      <sheetName val="Merlin info"/>
      <sheetName val="Donor format"/>
      <sheetName val="Input"/>
      <sheetName val="Site 1"/>
      <sheetName val="Site 2"/>
      <sheetName val="Site 3"/>
      <sheetName val="Budget 08."/>
      <sheetName val="Std Format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Review"/>
      <sheetName val="MOBIS Schedule-Salary Analysis"/>
      <sheetName val="Summary by Year"/>
      <sheetName val="Summary by CLIN"/>
      <sheetName val="Staffing List"/>
      <sheetName val="Profitability"/>
      <sheetName val="Schedule Items-Labor"/>
      <sheetName val="Summary-Non-Labor"/>
      <sheetName val="Schedule Items-Other"/>
      <sheetName val="Non-Sch ODCs"/>
      <sheetName val="Procurement"/>
      <sheetName val="Local Travel "/>
      <sheetName val="Project Activity ODCs"/>
      <sheetName val="CLIN Ref"/>
      <sheetName val="DAI CLIN 1"/>
      <sheetName val="DAI CLIN 2"/>
      <sheetName val="DAI CLIN 3"/>
      <sheetName val="DAI CLIN 4"/>
      <sheetName val="Assumptions"/>
      <sheetName val="MOBIS Labor Categories"/>
      <sheetName val="MOBIS Schedule"/>
      <sheetName val="MOBIS Sch Expat"/>
      <sheetName val="MOBIS Schedule CCN "/>
      <sheetName val="Reference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Input Tab"/>
      <sheetName val="COA"/>
      <sheetName val="Summary Budget"/>
      <sheetName val="Detailed Budget"/>
      <sheetName val="Training Detail"/>
      <sheetName val="Cost Share Detail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per Partner"/>
      <sheetName val="Summary"/>
      <sheetName val="Budget Line Item"/>
      <sheetName val="Fringes"/>
      <sheetName val="Training"/>
      <sheetName val="Equipment"/>
      <sheetName val="Sheet16"/>
    </sheetNames>
    <sheetDataSet>
      <sheetData sheetId="0"/>
      <sheetData sheetId="1"/>
      <sheetData sheetId="2" refreshError="1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Review"/>
      <sheetName val="Profitability"/>
      <sheetName val="Summary"/>
      <sheetName val="DAI Budget "/>
      <sheetName val="DevTech"/>
      <sheetName val="The M Group "/>
      <sheetName val="Office"/>
      <sheetName val="US FBR"/>
      <sheetName val="Assumptions"/>
      <sheetName val="Schedule Items-Labor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MAP-MF"/>
      <sheetName val="DAI Budget "/>
      <sheetName val="Pricing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MAP-MF"/>
      <sheetName val="IT Specs"/>
      <sheetName val="Office Gear"/>
      <sheetName val="Assumptions"/>
      <sheetName val="Summary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ervice Revenue"/>
      <sheetName val="Profitability"/>
      <sheetName val="A. US Expat"/>
      <sheetName val="B. Local Hire and TCNs"/>
      <sheetName val="Travel"/>
      <sheetName val="Local Travel"/>
      <sheetName val="Allowances"/>
      <sheetName val="Admin  &amp; Support"/>
      <sheetName val="Computer Equipment"/>
      <sheetName val="Office"/>
      <sheetName val="ACCION"/>
      <sheetName val="OSU"/>
      <sheetName val="CEAL"/>
      <sheetName val="ICC"/>
      <sheetName val="IMCC"/>
      <sheetName val="Quisqueya"/>
      <sheetName val="MF Look-up Table"/>
      <sheetName val="Assumptions"/>
      <sheetName val="AMAP-M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C&amp;P Questions"/>
      <sheetName val="Input Tab"/>
      <sheetName val="COA"/>
      <sheetName val="Summary Budget"/>
      <sheetName val="Detailed Budget"/>
      <sheetName val="Training Detail"/>
      <sheetName val="Cost Share Detail"/>
      <sheetName val="SF 424"/>
      <sheetName val="SF 424A"/>
      <sheetName val="CP 1.4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/>
      <sheetData sheetId="1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Input Tab"/>
      <sheetName val="COA"/>
      <sheetName val="Summary Budget"/>
      <sheetName val="Detailed Budget"/>
      <sheetName val="Cost Share De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Full"/>
      <sheetName val="Budget - Prog Ops"/>
      <sheetName val="NBI-Loki Ops"/>
      <sheetName val="Office Operations"/>
      <sheetName val="Prog Supplies"/>
      <sheetName val="Materials and Equipment"/>
      <sheetName val="Staff at Locations"/>
      <sheetName val="Facilities"/>
      <sheetName val="Salaries"/>
      <sheetName val="HQ Technical Support"/>
      <sheetName val="IRC SUMMARY"/>
      <sheetName val="Input Tab"/>
      <sheetName val="Budget_Full"/>
      <sheetName val="Budget_-_Prog_Ops"/>
      <sheetName val="NBI-Loki_Ops"/>
      <sheetName val="Office_Operations"/>
      <sheetName val="Prog_Supplies"/>
      <sheetName val="Materials_and_Equipment"/>
      <sheetName val="Staff_at_Locations"/>
      <sheetName val="HQ_Technical_Support"/>
      <sheetName val="IRC_SUMMARY"/>
      <sheetName val="CPR"/>
      <sheetName val="Paramètres"/>
      <sheetName val="data summary"/>
      <sheetName val="Sudan Detail (USD$)"/>
      <sheetName val="Total Exp."/>
      <sheetName val="INPUT"/>
      <sheetName val="Do Not Touch"/>
      <sheetName val="Personnel Costs"/>
      <sheetName val="Definitions"/>
      <sheetName val="Logframe"/>
      <sheetName val="Budget_Full1"/>
      <sheetName val="Budget_-_Prog_Ops1"/>
      <sheetName val="NBI-Loki_Ops1"/>
      <sheetName val="Office_Operations1"/>
      <sheetName val="Prog_Supplies1"/>
      <sheetName val="Materials_and_Equipment1"/>
      <sheetName val="Staff_at_Locations1"/>
      <sheetName val="HQ_Technical_Support1"/>
      <sheetName val="Lists"/>
      <sheetName val="PSB paid"/>
      <sheetName val="IRC_SUMMARY1"/>
      <sheetName val="data_summary"/>
      <sheetName val="Detail-1"/>
      <sheetName val="CRS Detail budget"/>
      <sheetName val="Lookup"/>
      <sheetName val="Staff list"/>
      <sheetName val="original"/>
      <sheetName val="TB Criter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 Comp"/>
      <sheetName val="Summary by Year"/>
      <sheetName val="Summary by CLIN"/>
      <sheetName val="Summary Fee"/>
      <sheetName val="CLIN 1 Fee"/>
      <sheetName val="CLIN 2 Fee "/>
      <sheetName val="CLIN 3 Fee"/>
      <sheetName val="CLIN 4 Fee"/>
      <sheetName val="CLIN 5 Fee "/>
      <sheetName val="LABOR SUMMARY by CLIN"/>
      <sheetName val="Prof Labor by Year"/>
      <sheetName val="CCN Rates"/>
      <sheetName val="Prof Labor by CLIN"/>
      <sheetName val="Service &amp; Support Staff by Year"/>
      <sheetName val="Service &amp; Support by CLIN "/>
      <sheetName val="Fringe-US Expats by Year"/>
      <sheetName val="Fringe-US Expats by CLIN"/>
      <sheetName val="Social Charges-CCN by Year"/>
      <sheetName val="Social Charges-CCNs by CLIN"/>
      <sheetName val="Social Charges-S&amp;S by Year"/>
      <sheetName val="Social Charges-S&amp;S by CLIN"/>
      <sheetName val="Overhead-Prof Labor by Year"/>
      <sheetName val="Overhead-Prof Labor by CLIN"/>
      <sheetName val="Local Labor by Year"/>
      <sheetName val="Local Labor by CLIN"/>
      <sheetName val="LOCAL OH&amp;Soc. Costs"/>
      <sheetName val="Post Diff by Year"/>
      <sheetName val="Post Diff by CLIN"/>
      <sheetName val="Post Allow by Year"/>
      <sheetName val="Post Allow by CLIN"/>
      <sheetName val="Danger Pay by Year"/>
      <sheetName val="Danger Pay by CLIN"/>
      <sheetName val=" DBA-FGL by Year"/>
      <sheetName val=" DBA-FGL by CLIN"/>
      <sheetName val="US Allow by Year"/>
      <sheetName val="US Allow by CLIN"/>
      <sheetName val=" Travel-Start-up"/>
      <sheetName val="Local Travel by Year"/>
      <sheetName val=" Int'l Travel by Year"/>
      <sheetName val="Travel by CLIN"/>
      <sheetName val=" Program Support Costs"/>
      <sheetName val="Program Support Detail"/>
      <sheetName val="Computer Equipment"/>
      <sheetName val="Office Gear"/>
      <sheetName val="G&amp; C by Year"/>
      <sheetName val="G&amp;C by CLIN"/>
      <sheetName val="G&amp;C Detail"/>
      <sheetName val="Annex B Mtg-Wsho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F424"/>
      <sheetName val="SF424A"/>
      <sheetName val="Summary"/>
      <sheetName val="EDC Budget Detail"/>
      <sheetName val="WV Budget Detail"/>
      <sheetName val="AZMJ Budget Detail"/>
      <sheetName val="Procurement"/>
      <sheetName val="Labor Chart"/>
      <sheetName val="Rates"/>
      <sheetName val="#REF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mob Cost"/>
      <sheetName val="Michael T."/>
      <sheetName val="COMPENSATION"/>
      <sheetName val="DAI Summary (CPFF)"/>
      <sheetName val="Salaries (CPFF)"/>
      <sheetName val="Fringe"/>
      <sheetName val="Overhead"/>
      <sheetName val="Gross Margin"/>
      <sheetName val="Profit Sum"/>
      <sheetName val="Labor Profit"/>
      <sheetName val="LOE Totals"/>
      <sheetName val="Sum By Yr"/>
      <sheetName val="Sum By Component"/>
      <sheetName val="Budget Comp 1"/>
      <sheetName val="Budget Comp 2 "/>
      <sheetName val="Budget Comp 3"/>
      <sheetName val="Budget Comp 4"/>
      <sheetName val="Budget Comp 5"/>
      <sheetName val="Est. Labor LOE by Comp."/>
      <sheetName val="ODCs"/>
      <sheetName val="Travel"/>
      <sheetName val="Allowances"/>
      <sheetName val="Training"/>
      <sheetName val="Equipment"/>
      <sheetName val="Severence Pay"/>
      <sheetName val="OTF Sum"/>
      <sheetName val="WRI Sum"/>
      <sheetName val="changes"/>
      <sheetName val="Changes2"/>
      <sheetName val="Assumptions"/>
      <sheetName val="Labor By Comp"/>
      <sheetName val="MOBIS Days"/>
      <sheetName val="Salaries"/>
      <sheetName val="TQSA Calc"/>
      <sheetName val="HH Exp Calc"/>
      <sheetName val="OTF Budget"/>
      <sheetName val="WRI Budget"/>
      <sheetName val="MOBIS Schedule"/>
      <sheetName val="Subcontracts"/>
      <sheetName val="IRM (old)"/>
      <sheetName val="IRM (dai)"/>
      <sheetName val="PACT (old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A. US Expat"/>
      <sheetName val="B. Local Hire and TCNs"/>
      <sheetName val="Travel"/>
      <sheetName val="Local Travel"/>
      <sheetName val="Allowances"/>
      <sheetName val="Admin  &amp; Support"/>
      <sheetName val="Computer Equipment"/>
      <sheetName val="Office"/>
      <sheetName val="ACCION"/>
      <sheetName val="OSU"/>
      <sheetName val="CEAL"/>
      <sheetName val="ICC"/>
      <sheetName val="IMCC"/>
      <sheetName val="Quisqueya"/>
      <sheetName val="MF Look-up Table"/>
      <sheetName val="Assumptions"/>
      <sheetName val=" Program Support Cos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rect Rates"/>
      <sheetName val="Rate Sum"/>
      <sheetName val="2005 Rate"/>
      <sheetName val="2006 Rate"/>
      <sheetName val="2007 Rate"/>
      <sheetName val="2008 Rate"/>
      <sheetName val="2009 Rate"/>
      <sheetName val="Avg Rates"/>
      <sheetName val="Bid Categories"/>
      <sheetName val="Category Detai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ED SUMMARY BUDGET"/>
      <sheetName val="AED DETAILED BUDGET"/>
      <sheetName val="AED LEVEL OF EFFORT CHART"/>
    </sheetNames>
    <sheetDataSet>
      <sheetData sheetId="0" refreshError="1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9190C-803E-440E-8D1B-573B290DA434}">
  <sheetPr>
    <tabColor rgb="FFFF0000"/>
    <pageSetUpPr fitToPage="1"/>
  </sheetPr>
  <dimension ref="A1:BR339"/>
  <sheetViews>
    <sheetView tabSelected="1" zoomScaleNormal="100" workbookViewId="0">
      <pane xSplit="12" ySplit="6" topLeftCell="M8" activePane="bottomRight" state="frozen"/>
      <selection pane="topRight" activeCell="O1" sqref="O1"/>
      <selection pane="bottomLeft" activeCell="I7" sqref="I7"/>
      <selection pane="bottomRight" activeCell="I23" sqref="I23"/>
    </sheetView>
  </sheetViews>
  <sheetFormatPr defaultColWidth="13.15625" defaultRowHeight="11.4" x14ac:dyDescent="0.55000000000000004"/>
  <cols>
    <col min="1" max="1" width="9.734375" style="1" hidden="1" customWidth="1"/>
    <col min="2" max="2" width="9.20703125" style="1" hidden="1" customWidth="1"/>
    <col min="3" max="3" width="23.15625" style="1" hidden="1" customWidth="1"/>
    <col min="4" max="4" width="16" style="1" bestFit="1" customWidth="1"/>
    <col min="5" max="5" width="10.83984375" style="1" customWidth="1"/>
    <col min="6" max="6" width="11.1015625" style="1" bestFit="1" customWidth="1"/>
    <col min="7" max="7" width="48.578125" style="1" customWidth="1"/>
    <col min="8" max="8" width="9.41796875" style="1" customWidth="1"/>
    <col min="9" max="10" width="11.578125" style="1" customWidth="1"/>
    <col min="11" max="11" width="7.41796875" style="1" customWidth="1"/>
    <col min="12" max="12" width="10.83984375" style="1" customWidth="1"/>
    <col min="13" max="13" width="15.578125" style="1" customWidth="1"/>
    <col min="14" max="14" width="7.41796875" style="1" customWidth="1"/>
    <col min="15" max="15" width="15.578125" style="1" customWidth="1"/>
    <col min="16" max="16" width="7.41796875" style="1" customWidth="1"/>
    <col min="17" max="17" width="15.578125" style="1" customWidth="1"/>
    <col min="18" max="18" width="7.41796875" style="1" customWidth="1"/>
    <col min="19" max="19" width="15.578125" style="1" customWidth="1"/>
    <col min="20" max="20" width="7.41796875" style="1" customWidth="1"/>
    <col min="21" max="21" width="15.578125" style="1" customWidth="1"/>
    <col min="22" max="22" width="7.83984375" style="1" customWidth="1"/>
    <col min="23" max="23" width="15.578125" style="1" customWidth="1"/>
    <col min="24" max="24" width="16.15625" style="1" customWidth="1"/>
    <col min="25" max="25" width="12.41796875" style="1" customWidth="1"/>
    <col min="26" max="26" width="17.15625" style="1" customWidth="1"/>
    <col min="27" max="16384" width="13.15625" style="1"/>
  </cols>
  <sheetData>
    <row r="1" spans="1:26" ht="12" customHeight="1" x14ac:dyDescent="0.55000000000000004">
      <c r="B1" s="148"/>
      <c r="C1" s="148"/>
      <c r="D1" s="149" t="s">
        <v>0</v>
      </c>
      <c r="G1" s="330" t="s">
        <v>1</v>
      </c>
      <c r="H1" s="330"/>
      <c r="I1" s="330"/>
      <c r="J1" s="330"/>
      <c r="K1" s="330"/>
      <c r="L1" s="330"/>
      <c r="M1" s="330"/>
      <c r="N1" s="330"/>
      <c r="O1" s="330"/>
      <c r="P1" s="330"/>
      <c r="Q1" s="330"/>
      <c r="R1" s="330"/>
      <c r="S1" s="330"/>
      <c r="T1" s="330"/>
      <c r="U1" s="330"/>
      <c r="V1" s="330"/>
      <c r="W1" s="330"/>
      <c r="X1" s="330"/>
      <c r="Y1" s="330"/>
      <c r="Z1" s="330"/>
    </row>
    <row r="2" spans="1:26" ht="19" customHeight="1" x14ac:dyDescent="0.55000000000000004">
      <c r="B2" s="150"/>
      <c r="C2" s="150"/>
      <c r="D2" s="149" t="s">
        <v>2</v>
      </c>
      <c r="G2" s="330" t="s">
        <v>3</v>
      </c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  <c r="T2" s="330"/>
      <c r="U2" s="330"/>
      <c r="V2" s="330"/>
      <c r="W2" s="330"/>
      <c r="X2" s="330"/>
      <c r="Y2" s="330"/>
      <c r="Z2" s="330"/>
    </row>
    <row r="3" spans="1:26" ht="44.1" customHeight="1" x14ac:dyDescent="0.55000000000000004">
      <c r="D3" s="149" t="s">
        <v>4</v>
      </c>
      <c r="G3" s="331" t="s">
        <v>5</v>
      </c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  <c r="Z3" s="331"/>
    </row>
    <row r="4" spans="1:26" ht="58.5" customHeight="1" thickBot="1" x14ac:dyDescent="0.6">
      <c r="A4" s="1" t="s">
        <v>6</v>
      </c>
      <c r="B4" s="2" t="s">
        <v>7</v>
      </c>
      <c r="C4" s="2" t="s">
        <v>8</v>
      </c>
      <c r="D4" s="3" t="s">
        <v>9</v>
      </c>
      <c r="E4" s="3" t="s">
        <v>10</v>
      </c>
      <c r="F4" s="4" t="s">
        <v>11</v>
      </c>
      <c r="G4" s="5" t="s">
        <v>13</v>
      </c>
      <c r="H4" s="5" t="s">
        <v>14</v>
      </c>
      <c r="I4" s="5" t="s">
        <v>15</v>
      </c>
      <c r="J4" s="5" t="s">
        <v>16</v>
      </c>
      <c r="K4" s="5" t="s">
        <v>17</v>
      </c>
      <c r="L4" s="6" t="s">
        <v>18</v>
      </c>
      <c r="M4" s="7" t="s">
        <v>19</v>
      </c>
      <c r="N4" s="5" t="s">
        <v>17</v>
      </c>
      <c r="O4" s="7" t="s">
        <v>20</v>
      </c>
      <c r="P4" s="5" t="s">
        <v>17</v>
      </c>
      <c r="Q4" s="7" t="s">
        <v>21</v>
      </c>
      <c r="R4" s="5" t="s">
        <v>17</v>
      </c>
      <c r="S4" s="7" t="s">
        <v>22</v>
      </c>
      <c r="T4" s="5" t="s">
        <v>17</v>
      </c>
      <c r="U4" s="7" t="s">
        <v>23</v>
      </c>
      <c r="V4" s="5" t="s">
        <v>17</v>
      </c>
      <c r="W4" s="7" t="s">
        <v>24</v>
      </c>
      <c r="X4" s="6" t="s">
        <v>25</v>
      </c>
      <c r="Y4" s="6" t="s">
        <v>26</v>
      </c>
      <c r="Z4" s="6" t="s">
        <v>27</v>
      </c>
    </row>
    <row r="5" spans="1:26" x14ac:dyDescent="0.55000000000000004">
      <c r="A5" s="1" t="s">
        <v>6</v>
      </c>
      <c r="B5" s="8"/>
      <c r="C5" s="8"/>
      <c r="G5" s="9" t="s">
        <v>28</v>
      </c>
      <c r="H5" s="9"/>
      <c r="I5" s="9"/>
      <c r="J5" s="9"/>
      <c r="K5" s="9"/>
      <c r="L5" s="10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x14ac:dyDescent="0.55000000000000004">
      <c r="A6" s="1" t="s">
        <v>6</v>
      </c>
      <c r="G6" s="12" t="s">
        <v>29</v>
      </c>
      <c r="H6" s="12"/>
      <c r="I6" s="12"/>
      <c r="J6" s="13"/>
      <c r="K6" s="14"/>
      <c r="L6" s="15"/>
      <c r="M6" s="16"/>
      <c r="N6" s="16"/>
      <c r="O6" s="16"/>
      <c r="P6" s="16"/>
      <c r="Q6" s="17"/>
      <c r="R6" s="16"/>
      <c r="S6" s="16"/>
      <c r="T6" s="16"/>
      <c r="U6" s="16"/>
      <c r="V6" s="16"/>
      <c r="W6" s="16"/>
      <c r="X6" s="16"/>
      <c r="Y6" s="16"/>
    </row>
    <row r="7" spans="1:26" s="183" customFormat="1" x14ac:dyDescent="0.4">
      <c r="A7" s="183" t="s">
        <v>6</v>
      </c>
      <c r="C7" s="184" t="s">
        <v>30</v>
      </c>
      <c r="D7" s="185" t="s">
        <v>31</v>
      </c>
      <c r="E7" s="185">
        <v>70000</v>
      </c>
      <c r="F7" s="186" t="s">
        <v>654</v>
      </c>
      <c r="G7" s="187" t="s">
        <v>33</v>
      </c>
      <c r="H7" s="188" t="s">
        <v>34</v>
      </c>
      <c r="I7" s="188" t="s">
        <v>35</v>
      </c>
      <c r="J7" s="188" t="s">
        <v>36</v>
      </c>
      <c r="K7" s="189">
        <v>12</v>
      </c>
      <c r="L7" s="189">
        <f>19000000/4100</f>
        <v>4634.1463414634145</v>
      </c>
      <c r="M7" s="189">
        <v>102261.82999999999</v>
      </c>
      <c r="N7" s="190">
        <v>12</v>
      </c>
      <c r="O7" s="189">
        <v>108428.50000000001</v>
      </c>
      <c r="P7" s="189">
        <v>12</v>
      </c>
      <c r="Q7" s="191">
        <v>61281.990000000005</v>
      </c>
      <c r="R7" s="189">
        <v>12</v>
      </c>
      <c r="S7" s="189">
        <v>54009.699999999983</v>
      </c>
      <c r="T7" s="189">
        <v>10.021273839984833</v>
      </c>
      <c r="U7" s="189">
        <v>38721.119999999995</v>
      </c>
      <c r="V7" s="189">
        <v>12</v>
      </c>
      <c r="W7" s="291">
        <v>59628.194500000012</v>
      </c>
      <c r="X7" s="291">
        <f>SUM(M7+O7+Q7+S7+U7+W7)</f>
        <v>424331.3345</v>
      </c>
      <c r="Y7" s="291">
        <v>0</v>
      </c>
      <c r="Z7" s="291">
        <f>X7+Y7</f>
        <v>424331.3345</v>
      </c>
    </row>
    <row r="8" spans="1:26" s="183" customFormat="1" x14ac:dyDescent="0.4">
      <c r="A8" s="183" t="s">
        <v>6</v>
      </c>
      <c r="C8" s="184" t="s">
        <v>30</v>
      </c>
      <c r="D8" s="185" t="s">
        <v>37</v>
      </c>
      <c r="E8" s="185">
        <v>70000</v>
      </c>
      <c r="F8" s="186" t="s">
        <v>654</v>
      </c>
      <c r="G8" s="187" t="s">
        <v>38</v>
      </c>
      <c r="H8" s="188" t="s">
        <v>34</v>
      </c>
      <c r="I8" s="188" t="s">
        <v>35</v>
      </c>
      <c r="J8" s="188" t="s">
        <v>36</v>
      </c>
      <c r="K8" s="189">
        <v>11</v>
      </c>
      <c r="L8" s="189">
        <v>3331.4190209238059</v>
      </c>
      <c r="M8" s="189">
        <v>51030.310000000027</v>
      </c>
      <c r="N8" s="190">
        <v>12</v>
      </c>
      <c r="O8" s="189">
        <v>34708.899999999994</v>
      </c>
      <c r="P8" s="189">
        <v>12</v>
      </c>
      <c r="Q8" s="191">
        <v>32432.27</v>
      </c>
      <c r="R8" s="189">
        <v>12</v>
      </c>
      <c r="S8" s="189">
        <v>34016.499999999985</v>
      </c>
      <c r="T8" s="189">
        <v>12</v>
      </c>
      <c r="U8" s="189">
        <v>27879.83</v>
      </c>
      <c r="V8" s="189">
        <v>12</v>
      </c>
      <c r="W8" s="291">
        <v>40393.760000000002</v>
      </c>
      <c r="X8" s="291">
        <f>SUM(M8+O8+Q8+S8+U8+W8)</f>
        <v>220461.57</v>
      </c>
      <c r="Y8" s="291">
        <v>0</v>
      </c>
      <c r="Z8" s="291">
        <f>X8+Y8</f>
        <v>220461.57</v>
      </c>
    </row>
    <row r="9" spans="1:26" s="183" customFormat="1" x14ac:dyDescent="0.4">
      <c r="A9" s="183" t="s">
        <v>6</v>
      </c>
      <c r="C9" s="184"/>
      <c r="G9" s="192" t="s">
        <v>39</v>
      </c>
      <c r="H9" s="193"/>
      <c r="I9" s="193"/>
      <c r="J9" s="188"/>
      <c r="K9" s="189"/>
      <c r="L9" s="189"/>
      <c r="M9" s="189"/>
      <c r="N9" s="190"/>
      <c r="O9" s="189"/>
      <c r="P9" s="189"/>
      <c r="Q9" s="191"/>
      <c r="R9" s="189"/>
      <c r="S9" s="189"/>
      <c r="T9" s="189"/>
      <c r="U9" s="189"/>
      <c r="V9" s="189"/>
      <c r="W9" s="291"/>
      <c r="X9" s="291"/>
      <c r="Y9" s="291"/>
      <c r="Z9" s="291"/>
    </row>
    <row r="10" spans="1:26" s="183" customFormat="1" x14ac:dyDescent="0.4">
      <c r="A10" s="183" t="s">
        <v>6</v>
      </c>
      <c r="C10" s="184" t="s">
        <v>30</v>
      </c>
      <c r="D10" s="185" t="s">
        <v>40</v>
      </c>
      <c r="E10" s="185">
        <v>70000</v>
      </c>
      <c r="F10" s="186" t="s">
        <v>654</v>
      </c>
      <c r="G10" s="187" t="s">
        <v>41</v>
      </c>
      <c r="H10" s="188" t="s">
        <v>34</v>
      </c>
      <c r="I10" s="188" t="s">
        <v>35</v>
      </c>
      <c r="J10" s="188" t="s">
        <v>36</v>
      </c>
      <c r="K10" s="189">
        <v>8</v>
      </c>
      <c r="L10" s="189">
        <v>2732.8829260429002</v>
      </c>
      <c r="M10" s="189">
        <v>12771.480000000001</v>
      </c>
      <c r="N10" s="190">
        <v>12</v>
      </c>
      <c r="O10" s="189">
        <v>21886.97</v>
      </c>
      <c r="P10" s="189">
        <v>12</v>
      </c>
      <c r="Q10" s="191">
        <v>24896.83</v>
      </c>
      <c r="R10" s="189">
        <v>10</v>
      </c>
      <c r="S10" s="189">
        <v>30504.110000000004</v>
      </c>
      <c r="T10" s="189">
        <v>12</v>
      </c>
      <c r="U10" s="189">
        <v>32899.14</v>
      </c>
      <c r="V10" s="189">
        <v>6.3507216337345138</v>
      </c>
      <c r="W10" s="291">
        <v>17853.785749999999</v>
      </c>
      <c r="X10" s="291">
        <f t="shared" ref="X10:X21" si="0">SUM(M10+O10+Q10+S10+U10+W10)</f>
        <v>140812.31575000001</v>
      </c>
      <c r="Y10" s="291">
        <v>0</v>
      </c>
      <c r="Z10" s="291">
        <f t="shared" ref="Z10:Z21" si="1">X10+Y10</f>
        <v>140812.31575000001</v>
      </c>
    </row>
    <row r="11" spans="1:26" s="183" customFormat="1" x14ac:dyDescent="0.4">
      <c r="C11" s="184"/>
      <c r="D11" s="185" t="s">
        <v>42</v>
      </c>
      <c r="E11" s="185">
        <v>70000</v>
      </c>
      <c r="F11" s="186" t="s">
        <v>654</v>
      </c>
      <c r="G11" s="187" t="s">
        <v>43</v>
      </c>
      <c r="H11" s="194" t="s">
        <v>34</v>
      </c>
      <c r="I11" s="194" t="s">
        <v>35</v>
      </c>
      <c r="J11" s="195" t="s">
        <v>36</v>
      </c>
      <c r="K11" s="190"/>
      <c r="L11" s="189">
        <v>0</v>
      </c>
      <c r="M11" s="190">
        <v>0</v>
      </c>
      <c r="N11" s="190"/>
      <c r="O11" s="190">
        <v>0</v>
      </c>
      <c r="P11" s="189">
        <v>8</v>
      </c>
      <c r="Q11" s="191">
        <v>11655.34</v>
      </c>
      <c r="R11" s="189">
        <v>0</v>
      </c>
      <c r="S11" s="189">
        <v>151.16999999999999</v>
      </c>
      <c r="T11" s="189">
        <v>0</v>
      </c>
      <c r="U11" s="189">
        <v>0</v>
      </c>
      <c r="V11" s="189">
        <v>0</v>
      </c>
      <c r="W11" s="291">
        <v>0</v>
      </c>
      <c r="X11" s="291">
        <f t="shared" si="0"/>
        <v>11806.51</v>
      </c>
      <c r="Y11" s="291">
        <v>0</v>
      </c>
      <c r="Z11" s="291">
        <f t="shared" si="1"/>
        <v>11806.51</v>
      </c>
    </row>
    <row r="12" spans="1:26" s="183" customFormat="1" x14ac:dyDescent="0.4">
      <c r="A12" s="183" t="s">
        <v>6</v>
      </c>
      <c r="C12" s="184" t="s">
        <v>30</v>
      </c>
      <c r="D12" s="185" t="s">
        <v>44</v>
      </c>
      <c r="E12" s="185">
        <v>70000</v>
      </c>
      <c r="F12" s="186" t="s">
        <v>654</v>
      </c>
      <c r="G12" s="187" t="s">
        <v>45</v>
      </c>
      <c r="H12" s="188"/>
      <c r="I12" s="188" t="s">
        <v>35</v>
      </c>
      <c r="J12" s="188"/>
      <c r="K12" s="189">
        <v>11</v>
      </c>
      <c r="L12" s="189">
        <v>639.17999999999995</v>
      </c>
      <c r="M12" s="189">
        <v>0</v>
      </c>
      <c r="N12" s="190"/>
      <c r="O12" s="189">
        <v>0</v>
      </c>
      <c r="P12" s="189">
        <v>0</v>
      </c>
      <c r="Q12" s="191">
        <v>0</v>
      </c>
      <c r="R12" s="189">
        <v>11</v>
      </c>
      <c r="S12" s="189">
        <v>11505.24</v>
      </c>
      <c r="T12" s="189">
        <v>0</v>
      </c>
      <c r="U12" s="189">
        <v>0</v>
      </c>
      <c r="V12" s="189">
        <v>0</v>
      </c>
      <c r="W12" s="291">
        <v>0</v>
      </c>
      <c r="X12" s="291">
        <f t="shared" si="0"/>
        <v>11505.24</v>
      </c>
      <c r="Y12" s="291">
        <v>0</v>
      </c>
      <c r="Z12" s="291">
        <f t="shared" si="1"/>
        <v>11505.24</v>
      </c>
    </row>
    <row r="13" spans="1:26" s="183" customFormat="1" hidden="1" x14ac:dyDescent="0.4">
      <c r="A13" s="183" t="s">
        <v>6</v>
      </c>
      <c r="C13" s="184" t="s">
        <v>30</v>
      </c>
      <c r="D13" s="196" t="s">
        <v>46</v>
      </c>
      <c r="E13" s="196" t="s">
        <v>46</v>
      </c>
      <c r="F13" s="197" t="s">
        <v>46</v>
      </c>
      <c r="G13" s="187" t="s">
        <v>47</v>
      </c>
      <c r="H13" s="188" t="s">
        <v>34</v>
      </c>
      <c r="I13" s="188" t="s">
        <v>35</v>
      </c>
      <c r="J13" s="188" t="s">
        <v>36</v>
      </c>
      <c r="K13" s="189">
        <v>0</v>
      </c>
      <c r="L13" s="189"/>
      <c r="M13" s="189"/>
      <c r="N13" s="190">
        <v>0</v>
      </c>
      <c r="O13" s="189"/>
      <c r="P13" s="189">
        <v>0</v>
      </c>
      <c r="Q13" s="191"/>
      <c r="R13" s="189"/>
      <c r="S13" s="189">
        <v>0</v>
      </c>
      <c r="T13" s="189"/>
      <c r="U13" s="189">
        <v>0</v>
      </c>
      <c r="V13" s="189"/>
      <c r="W13" s="291">
        <v>0</v>
      </c>
      <c r="X13" s="291">
        <f t="shared" si="0"/>
        <v>0</v>
      </c>
      <c r="Y13" s="291">
        <v>0</v>
      </c>
      <c r="Z13" s="291">
        <f t="shared" si="1"/>
        <v>0</v>
      </c>
    </row>
    <row r="14" spans="1:26" s="183" customFormat="1" x14ac:dyDescent="0.4">
      <c r="A14" s="183" t="s">
        <v>6</v>
      </c>
      <c r="C14" s="184" t="s">
        <v>30</v>
      </c>
      <c r="D14" s="185" t="s">
        <v>48</v>
      </c>
      <c r="E14" s="185">
        <v>70000</v>
      </c>
      <c r="F14" s="186" t="s">
        <v>654</v>
      </c>
      <c r="G14" s="187" t="s">
        <v>49</v>
      </c>
      <c r="H14" s="188" t="s">
        <v>34</v>
      </c>
      <c r="I14" s="188" t="s">
        <v>35</v>
      </c>
      <c r="J14" s="188" t="s">
        <v>36</v>
      </c>
      <c r="K14" s="189">
        <v>11</v>
      </c>
      <c r="L14" s="189">
        <v>1703.7420148954436</v>
      </c>
      <c r="M14" s="189">
        <v>23267.280000000002</v>
      </c>
      <c r="N14" s="190">
        <v>12</v>
      </c>
      <c r="O14" s="189">
        <v>18176.030000000002</v>
      </c>
      <c r="P14" s="189">
        <v>12</v>
      </c>
      <c r="Q14" s="191">
        <v>15059.840000000002</v>
      </c>
      <c r="R14" s="189">
        <v>12</v>
      </c>
      <c r="S14" s="189">
        <v>14622.680000000002</v>
      </c>
      <c r="T14" s="189">
        <v>12</v>
      </c>
      <c r="U14" s="189">
        <v>22220.560000000001</v>
      </c>
      <c r="V14" s="189">
        <v>12</v>
      </c>
      <c r="W14" s="291">
        <v>20040.488635999998</v>
      </c>
      <c r="X14" s="291">
        <f t="shared" si="0"/>
        <v>113386.87863600001</v>
      </c>
      <c r="Y14" s="291">
        <v>0</v>
      </c>
      <c r="Z14" s="291">
        <f t="shared" si="1"/>
        <v>113386.87863600001</v>
      </c>
    </row>
    <row r="15" spans="1:26" s="183" customFormat="1" x14ac:dyDescent="0.4">
      <c r="A15" s="183" t="s">
        <v>6</v>
      </c>
      <c r="C15" s="184" t="s">
        <v>30</v>
      </c>
      <c r="D15" s="185" t="s">
        <v>50</v>
      </c>
      <c r="E15" s="185">
        <v>70000</v>
      </c>
      <c r="F15" s="186" t="s">
        <v>654</v>
      </c>
      <c r="G15" s="187" t="s">
        <v>51</v>
      </c>
      <c r="H15" s="188" t="s">
        <v>34</v>
      </c>
      <c r="I15" s="188" t="s">
        <v>35</v>
      </c>
      <c r="J15" s="188" t="s">
        <v>36</v>
      </c>
      <c r="K15" s="189">
        <v>11</v>
      </c>
      <c r="L15" s="189">
        <v>854.89835427907167</v>
      </c>
      <c r="M15" s="189">
        <v>14307.259999999997</v>
      </c>
      <c r="N15" s="190">
        <v>12</v>
      </c>
      <c r="O15" s="189">
        <v>15205.419999999998</v>
      </c>
      <c r="P15" s="189">
        <v>12</v>
      </c>
      <c r="Q15" s="191">
        <v>10536.679999999998</v>
      </c>
      <c r="R15" s="189">
        <v>12</v>
      </c>
      <c r="S15" s="189">
        <v>8631.5199999999986</v>
      </c>
      <c r="T15" s="189">
        <v>12</v>
      </c>
      <c r="U15" s="189">
        <v>10478.57</v>
      </c>
      <c r="V15" s="189">
        <v>12</v>
      </c>
      <c r="W15" s="291">
        <v>10265.383275000002</v>
      </c>
      <c r="X15" s="291">
        <f t="shared" si="0"/>
        <v>69424.833274999997</v>
      </c>
      <c r="Y15" s="291">
        <v>0</v>
      </c>
      <c r="Z15" s="291">
        <f t="shared" si="1"/>
        <v>69424.833274999997</v>
      </c>
    </row>
    <row r="16" spans="1:26" s="183" customFormat="1" hidden="1" x14ac:dyDescent="0.4">
      <c r="A16" s="183" t="s">
        <v>6</v>
      </c>
      <c r="C16" s="184" t="s">
        <v>30</v>
      </c>
      <c r="D16" s="326" t="s">
        <v>46</v>
      </c>
      <c r="E16" s="326" t="s">
        <v>46</v>
      </c>
      <c r="F16" s="327" t="s">
        <v>46</v>
      </c>
      <c r="G16" s="187" t="s">
        <v>52</v>
      </c>
      <c r="H16" s="188" t="s">
        <v>34</v>
      </c>
      <c r="I16" s="188" t="s">
        <v>35</v>
      </c>
      <c r="J16" s="188" t="s">
        <v>36</v>
      </c>
      <c r="K16" s="189">
        <v>0</v>
      </c>
      <c r="L16" s="189">
        <v>0</v>
      </c>
      <c r="M16" s="189">
        <v>0</v>
      </c>
      <c r="N16" s="190">
        <v>0</v>
      </c>
      <c r="O16" s="189">
        <v>0</v>
      </c>
      <c r="P16" s="189">
        <v>0</v>
      </c>
      <c r="Q16" s="191">
        <v>0</v>
      </c>
      <c r="R16" s="189"/>
      <c r="S16" s="189">
        <v>0</v>
      </c>
      <c r="T16" s="189">
        <v>0</v>
      </c>
      <c r="U16" s="189">
        <v>0</v>
      </c>
      <c r="V16" s="189">
        <v>0</v>
      </c>
      <c r="W16" s="291">
        <v>0</v>
      </c>
      <c r="X16" s="291">
        <f t="shared" si="0"/>
        <v>0</v>
      </c>
      <c r="Y16" s="291">
        <v>0</v>
      </c>
      <c r="Z16" s="291">
        <f t="shared" si="1"/>
        <v>0</v>
      </c>
    </row>
    <row r="17" spans="1:30" s="183" customFormat="1" x14ac:dyDescent="0.4">
      <c r="A17" s="183" t="s">
        <v>6</v>
      </c>
      <c r="C17" s="184" t="s">
        <v>30</v>
      </c>
      <c r="D17" s="185" t="s">
        <v>53</v>
      </c>
      <c r="E17" s="185">
        <v>70000</v>
      </c>
      <c r="F17" s="186" t="s">
        <v>654</v>
      </c>
      <c r="G17" s="187" t="s">
        <v>54</v>
      </c>
      <c r="H17" s="188" t="s">
        <v>55</v>
      </c>
      <c r="I17" s="188" t="s">
        <v>35</v>
      </c>
      <c r="J17" s="188" t="s">
        <v>36</v>
      </c>
      <c r="K17" s="189">
        <v>10</v>
      </c>
      <c r="L17" s="189">
        <v>2700.1227618295643</v>
      </c>
      <c r="M17" s="189">
        <v>0</v>
      </c>
      <c r="N17" s="190">
        <v>0</v>
      </c>
      <c r="O17" s="189">
        <v>0</v>
      </c>
      <c r="P17" s="189">
        <v>12</v>
      </c>
      <c r="Q17" s="191">
        <v>6751.77</v>
      </c>
      <c r="R17" s="189">
        <v>12</v>
      </c>
      <c r="S17" s="189">
        <v>29385.710000000003</v>
      </c>
      <c r="T17" s="189">
        <v>12</v>
      </c>
      <c r="U17" s="189">
        <v>30718.39</v>
      </c>
      <c r="V17" s="189">
        <v>10</v>
      </c>
      <c r="W17" s="291">
        <v>33079.525000000001</v>
      </c>
      <c r="X17" s="291">
        <f t="shared" si="0"/>
        <v>99935.39499999999</v>
      </c>
      <c r="Y17" s="291">
        <v>0</v>
      </c>
      <c r="Z17" s="291">
        <f t="shared" si="1"/>
        <v>99935.39499999999</v>
      </c>
    </row>
    <row r="18" spans="1:30" s="183" customFormat="1" hidden="1" x14ac:dyDescent="0.4">
      <c r="A18" s="183" t="s">
        <v>6</v>
      </c>
      <c r="C18" s="184" t="s">
        <v>30</v>
      </c>
      <c r="D18" s="196" t="s">
        <v>46</v>
      </c>
      <c r="E18" s="196" t="s">
        <v>46</v>
      </c>
      <c r="F18" s="197" t="s">
        <v>46</v>
      </c>
      <c r="G18" s="187" t="s">
        <v>56</v>
      </c>
      <c r="H18" s="188" t="s">
        <v>55</v>
      </c>
      <c r="I18" s="188" t="s">
        <v>35</v>
      </c>
      <c r="J18" s="188" t="s">
        <v>36</v>
      </c>
      <c r="K18" s="189">
        <v>0</v>
      </c>
      <c r="L18" s="189">
        <v>0</v>
      </c>
      <c r="M18" s="189"/>
      <c r="N18" s="190">
        <v>0</v>
      </c>
      <c r="O18" s="189"/>
      <c r="P18" s="189"/>
      <c r="Q18" s="191"/>
      <c r="R18" s="189"/>
      <c r="S18" s="189">
        <v>0</v>
      </c>
      <c r="T18" s="189"/>
      <c r="U18" s="189">
        <v>0</v>
      </c>
      <c r="V18" s="189"/>
      <c r="W18" s="291">
        <v>0</v>
      </c>
      <c r="X18" s="291">
        <f t="shared" si="0"/>
        <v>0</v>
      </c>
      <c r="Y18" s="291">
        <v>0</v>
      </c>
      <c r="Z18" s="291">
        <f t="shared" si="1"/>
        <v>0</v>
      </c>
    </row>
    <row r="19" spans="1:30" s="183" customFormat="1" x14ac:dyDescent="0.4">
      <c r="A19" s="183" t="s">
        <v>6</v>
      </c>
      <c r="C19" s="184" t="s">
        <v>30</v>
      </c>
      <c r="D19" s="185" t="s">
        <v>57</v>
      </c>
      <c r="E19" s="185">
        <v>70000</v>
      </c>
      <c r="F19" s="186" t="s">
        <v>656</v>
      </c>
      <c r="G19" s="187" t="s">
        <v>59</v>
      </c>
      <c r="H19" s="188" t="s">
        <v>55</v>
      </c>
      <c r="I19" s="188" t="s">
        <v>35</v>
      </c>
      <c r="J19" s="188" t="s">
        <v>36</v>
      </c>
      <c r="K19" s="189">
        <v>11.5</v>
      </c>
      <c r="L19" s="189">
        <v>5277.9100000000008</v>
      </c>
      <c r="M19" s="189">
        <v>64532.470000000008</v>
      </c>
      <c r="N19" s="190">
        <v>12</v>
      </c>
      <c r="O19" s="189">
        <v>55980.509999999995</v>
      </c>
      <c r="P19" s="189">
        <v>12</v>
      </c>
      <c r="Q19" s="191">
        <v>59181.94999999999</v>
      </c>
      <c r="R19" s="189">
        <v>12</v>
      </c>
      <c r="S19" s="189">
        <v>55959.180000000008</v>
      </c>
      <c r="T19" s="189">
        <v>12</v>
      </c>
      <c r="U19" s="189">
        <v>63334.920000000013</v>
      </c>
      <c r="V19" s="189">
        <v>6.3</v>
      </c>
      <c r="W19" s="291">
        <v>8489.6829999999991</v>
      </c>
      <c r="X19" s="291">
        <f t="shared" si="0"/>
        <v>307478.71300000005</v>
      </c>
      <c r="Y19" s="291">
        <v>0</v>
      </c>
      <c r="Z19" s="291">
        <f t="shared" si="1"/>
        <v>307478.71300000005</v>
      </c>
    </row>
    <row r="20" spans="1:30" s="183" customFormat="1" x14ac:dyDescent="0.4">
      <c r="A20" s="183" t="s">
        <v>6</v>
      </c>
      <c r="C20" s="184" t="s">
        <v>30</v>
      </c>
      <c r="D20" s="185" t="s">
        <v>60</v>
      </c>
      <c r="E20" s="185">
        <v>70000</v>
      </c>
      <c r="F20" s="186" t="s">
        <v>656</v>
      </c>
      <c r="G20" s="187" t="s">
        <v>61</v>
      </c>
      <c r="H20" s="188" t="s">
        <v>55</v>
      </c>
      <c r="I20" s="188" t="s">
        <v>35</v>
      </c>
      <c r="J20" s="188" t="s">
        <v>36</v>
      </c>
      <c r="K20" s="189">
        <v>11.5</v>
      </c>
      <c r="L20" s="189">
        <v>2534.5529999999999</v>
      </c>
      <c r="M20" s="189">
        <v>6256.14</v>
      </c>
      <c r="N20" s="190">
        <v>12</v>
      </c>
      <c r="O20" s="189">
        <v>26025.599999999995</v>
      </c>
      <c r="P20" s="189">
        <v>12</v>
      </c>
      <c r="Q20" s="191">
        <v>25049.539999999997</v>
      </c>
      <c r="R20" s="189">
        <v>12</v>
      </c>
      <c r="S20" s="189">
        <v>30763.720000000005</v>
      </c>
      <c r="T20" s="189">
        <v>12</v>
      </c>
      <c r="U20" s="189">
        <v>30414.599999999995</v>
      </c>
      <c r="V20" s="189">
        <v>4</v>
      </c>
      <c r="W20" s="291">
        <v>3696.0050000000001</v>
      </c>
      <c r="X20" s="291">
        <f t="shared" si="0"/>
        <v>122205.605</v>
      </c>
      <c r="Y20" s="291">
        <v>0</v>
      </c>
      <c r="Z20" s="291">
        <f t="shared" si="1"/>
        <v>122205.605</v>
      </c>
    </row>
    <row r="21" spans="1:30" s="183" customFormat="1" x14ac:dyDescent="0.4">
      <c r="A21" s="183" t="s">
        <v>6</v>
      </c>
      <c r="C21" s="184" t="s">
        <v>30</v>
      </c>
      <c r="D21" s="185" t="s">
        <v>62</v>
      </c>
      <c r="E21" s="185">
        <v>70000</v>
      </c>
      <c r="F21" s="186" t="s">
        <v>656</v>
      </c>
      <c r="G21" s="187" t="s">
        <v>63</v>
      </c>
      <c r="H21" s="188" t="s">
        <v>55</v>
      </c>
      <c r="I21" s="188" t="s">
        <v>35</v>
      </c>
      <c r="J21" s="188" t="s">
        <v>36</v>
      </c>
      <c r="K21" s="189">
        <v>5</v>
      </c>
      <c r="L21" s="189">
        <v>500</v>
      </c>
      <c r="M21" s="189">
        <v>5150.5199999999995</v>
      </c>
      <c r="N21" s="190">
        <v>12</v>
      </c>
      <c r="O21" s="189">
        <v>7142.0399999999991</v>
      </c>
      <c r="P21" s="189">
        <v>0</v>
      </c>
      <c r="Q21" s="191">
        <v>0</v>
      </c>
      <c r="R21" s="189"/>
      <c r="S21" s="189">
        <v>0</v>
      </c>
      <c r="T21" s="189"/>
      <c r="U21" s="189">
        <v>0</v>
      </c>
      <c r="V21" s="189">
        <v>5</v>
      </c>
      <c r="W21" s="291">
        <v>2500</v>
      </c>
      <c r="X21" s="291">
        <f t="shared" si="0"/>
        <v>14792.559999999998</v>
      </c>
      <c r="Y21" s="291">
        <v>0</v>
      </c>
      <c r="Z21" s="291">
        <f t="shared" si="1"/>
        <v>14792.559999999998</v>
      </c>
    </row>
    <row r="22" spans="1:30" s="183" customFormat="1" x14ac:dyDescent="0.4">
      <c r="A22" s="183" t="s">
        <v>6</v>
      </c>
      <c r="C22" s="184"/>
      <c r="G22" s="192" t="s">
        <v>64</v>
      </c>
      <c r="H22" s="193"/>
      <c r="I22" s="188"/>
      <c r="J22" s="188"/>
      <c r="K22" s="189"/>
      <c r="L22" s="189"/>
      <c r="M22" s="189"/>
      <c r="N22" s="190"/>
      <c r="O22" s="189"/>
      <c r="P22" s="189"/>
      <c r="Q22" s="191"/>
      <c r="R22" s="189"/>
      <c r="S22" s="189"/>
      <c r="T22" s="189"/>
      <c r="U22" s="189"/>
      <c r="V22" s="189"/>
      <c r="W22" s="291"/>
      <c r="X22" s="291"/>
      <c r="Y22" s="291"/>
      <c r="Z22" s="291"/>
    </row>
    <row r="23" spans="1:30" s="183" customFormat="1" x14ac:dyDescent="0.4">
      <c r="A23" s="183" t="s">
        <v>6</v>
      </c>
      <c r="C23" s="184" t="s">
        <v>65</v>
      </c>
      <c r="D23" s="185" t="s">
        <v>66</v>
      </c>
      <c r="E23" s="185" t="s">
        <v>67</v>
      </c>
      <c r="F23" s="186" t="s">
        <v>657</v>
      </c>
      <c r="G23" s="187" t="s">
        <v>68</v>
      </c>
      <c r="H23" s="188" t="s">
        <v>69</v>
      </c>
      <c r="I23" s="188" t="s">
        <v>35</v>
      </c>
      <c r="J23" s="188" t="s">
        <v>36</v>
      </c>
      <c r="K23" s="189">
        <v>12</v>
      </c>
      <c r="L23" s="189">
        <v>768.6491666666667</v>
      </c>
      <c r="M23" s="189">
        <v>37203.160000000011</v>
      </c>
      <c r="N23" s="190">
        <v>12</v>
      </c>
      <c r="O23" s="189">
        <v>28514.42</v>
      </c>
      <c r="P23" s="189">
        <v>12</v>
      </c>
      <c r="Q23" s="191">
        <v>13987.950000000003</v>
      </c>
      <c r="R23" s="189">
        <v>12</v>
      </c>
      <c r="S23" s="189">
        <v>6408.76</v>
      </c>
      <c r="T23" s="189">
        <v>12</v>
      </c>
      <c r="U23" s="189">
        <v>68562.38</v>
      </c>
      <c r="V23" s="189">
        <v>12</v>
      </c>
      <c r="W23" s="291">
        <v>17503.949999999997</v>
      </c>
      <c r="X23" s="291">
        <f t="shared" ref="X23:X24" si="2">SUM(M23+O23+Q23+S23+U23+W23)</f>
        <v>172180.62</v>
      </c>
      <c r="Y23" s="291">
        <v>0</v>
      </c>
      <c r="Z23" s="291">
        <f t="shared" ref="Z23:Z24" si="3">X23+Y23</f>
        <v>172180.62</v>
      </c>
    </row>
    <row r="24" spans="1:30" s="183" customFormat="1" x14ac:dyDescent="0.4">
      <c r="A24" s="183" t="s">
        <v>6</v>
      </c>
      <c r="C24" s="184" t="s">
        <v>65</v>
      </c>
      <c r="D24" s="185" t="s">
        <v>70</v>
      </c>
      <c r="E24" s="185" t="s">
        <v>67</v>
      </c>
      <c r="F24" s="186" t="s">
        <v>657</v>
      </c>
      <c r="G24" s="187" t="s">
        <v>71</v>
      </c>
      <c r="H24" s="188" t="s">
        <v>69</v>
      </c>
      <c r="I24" s="188" t="s">
        <v>35</v>
      </c>
      <c r="J24" s="188" t="s">
        <v>36</v>
      </c>
      <c r="K24" s="189">
        <v>12</v>
      </c>
      <c r="L24" s="189">
        <v>3982.2249999999999</v>
      </c>
      <c r="M24" s="189">
        <v>34409.82</v>
      </c>
      <c r="N24" s="190">
        <v>12</v>
      </c>
      <c r="O24" s="189">
        <v>44645.889999999992</v>
      </c>
      <c r="P24" s="189">
        <v>12</v>
      </c>
      <c r="Q24" s="191">
        <v>47485.68</v>
      </c>
      <c r="R24" s="189">
        <v>12</v>
      </c>
      <c r="S24" s="189">
        <v>27656.420000000002</v>
      </c>
      <c r="T24" s="189">
        <v>12</v>
      </c>
      <c r="U24" s="189">
        <v>6466.48</v>
      </c>
      <c r="V24" s="189">
        <v>0</v>
      </c>
      <c r="W24" s="291">
        <v>0</v>
      </c>
      <c r="X24" s="291">
        <f t="shared" si="2"/>
        <v>160664.29</v>
      </c>
      <c r="Y24" s="291">
        <v>0</v>
      </c>
      <c r="Z24" s="291">
        <f t="shared" si="3"/>
        <v>160664.29</v>
      </c>
      <c r="AA24" s="205"/>
    </row>
    <row r="25" spans="1:30" s="183" customFormat="1" x14ac:dyDescent="0.35">
      <c r="A25" s="183" t="s">
        <v>6</v>
      </c>
      <c r="C25" s="184"/>
      <c r="D25" s="198"/>
      <c r="E25" s="198"/>
      <c r="F25" s="199"/>
      <c r="G25" s="187"/>
      <c r="H25" s="188"/>
      <c r="I25" s="188"/>
      <c r="J25" s="188"/>
      <c r="K25" s="189"/>
      <c r="L25" s="189"/>
      <c r="M25" s="189"/>
      <c r="N25" s="189"/>
      <c r="O25" s="189"/>
      <c r="P25" s="189"/>
      <c r="Q25" s="191"/>
      <c r="R25" s="189"/>
      <c r="S25" s="189"/>
      <c r="T25" s="189"/>
      <c r="U25" s="189"/>
      <c r="V25" s="189"/>
      <c r="W25" s="291"/>
      <c r="X25" s="291"/>
      <c r="Y25" s="291"/>
      <c r="Z25" s="291"/>
      <c r="AA25" s="205"/>
    </row>
    <row r="26" spans="1:30" s="183" customFormat="1" x14ac:dyDescent="0.35">
      <c r="A26" s="183" t="s">
        <v>6</v>
      </c>
      <c r="C26" s="184"/>
      <c r="G26" s="192" t="s">
        <v>72</v>
      </c>
      <c r="H26" s="193"/>
      <c r="I26" s="193"/>
      <c r="J26" s="193"/>
      <c r="K26" s="200"/>
      <c r="L26" s="200"/>
      <c r="M26" s="200">
        <f t="shared" ref="M26:U26" si="4">SUM(M7:M24)</f>
        <v>351190.27000000014</v>
      </c>
      <c r="N26" s="200"/>
      <c r="O26" s="200">
        <f t="shared" si="4"/>
        <v>360714.27999999997</v>
      </c>
      <c r="P26" s="200"/>
      <c r="Q26" s="200">
        <f t="shared" si="4"/>
        <v>308319.84000000003</v>
      </c>
      <c r="R26" s="200"/>
      <c r="S26" s="200">
        <f t="shared" si="4"/>
        <v>303614.70999999996</v>
      </c>
      <c r="T26" s="200"/>
      <c r="U26" s="200">
        <f t="shared" si="4"/>
        <v>331695.99</v>
      </c>
      <c r="V26" s="200"/>
      <c r="W26" s="292">
        <f t="shared" ref="W26" si="5">SUM(W7:W24)</f>
        <v>213450.77516100003</v>
      </c>
      <c r="X26" s="292">
        <f>SUM(M26+O26+Q26+S26+U26+W26)</f>
        <v>1868985.8651610001</v>
      </c>
      <c r="Y26" s="292">
        <v>0</v>
      </c>
      <c r="Z26" s="292">
        <f>SUM(Z7:Z24)</f>
        <v>1868985.8651609998</v>
      </c>
      <c r="AA26" s="275"/>
    </row>
    <row r="27" spans="1:30" s="183" customFormat="1" x14ac:dyDescent="0.35">
      <c r="A27" s="183" t="s">
        <v>6</v>
      </c>
      <c r="C27" s="184"/>
      <c r="G27" s="192"/>
      <c r="H27" s="193"/>
      <c r="I27" s="193"/>
      <c r="J27" s="193"/>
      <c r="K27" s="200"/>
      <c r="L27" s="200"/>
      <c r="M27" s="200"/>
      <c r="N27" s="200"/>
      <c r="O27" s="200"/>
      <c r="P27" s="200"/>
      <c r="Q27" s="201"/>
      <c r="R27" s="200"/>
      <c r="S27" s="200"/>
      <c r="T27" s="200"/>
      <c r="U27" s="200"/>
      <c r="V27" s="200"/>
      <c r="W27" s="292"/>
      <c r="X27" s="291"/>
      <c r="Y27" s="292"/>
      <c r="Z27" s="291"/>
    </row>
    <row r="28" spans="1:30" s="183" customFormat="1" hidden="1" x14ac:dyDescent="0.35">
      <c r="A28" s="183" t="s">
        <v>6</v>
      </c>
      <c r="C28" s="184" t="s">
        <v>30</v>
      </c>
      <c r="D28" s="196" t="s">
        <v>46</v>
      </c>
      <c r="E28" s="196" t="s">
        <v>46</v>
      </c>
      <c r="F28" s="197" t="s">
        <v>46</v>
      </c>
      <c r="G28" s="187" t="s">
        <v>73</v>
      </c>
      <c r="H28" s="188" t="s">
        <v>34</v>
      </c>
      <c r="I28" s="188" t="s">
        <v>74</v>
      </c>
      <c r="J28" s="188"/>
      <c r="K28" s="189"/>
      <c r="L28" s="202">
        <v>0.3009</v>
      </c>
      <c r="M28" s="189">
        <v>0</v>
      </c>
      <c r="N28" s="189"/>
      <c r="O28" s="189">
        <v>0</v>
      </c>
      <c r="P28" s="189"/>
      <c r="Q28" s="191">
        <v>0</v>
      </c>
      <c r="R28" s="189"/>
      <c r="S28" s="189">
        <v>0</v>
      </c>
      <c r="T28" s="203"/>
      <c r="U28" s="189">
        <v>0</v>
      </c>
      <c r="V28" s="189"/>
      <c r="W28" s="291">
        <v>0</v>
      </c>
      <c r="X28" s="291">
        <f t="shared" ref="X28:X31" si="6">SUM(M28+O28+Q28+S28+U28+W28)</f>
        <v>0</v>
      </c>
      <c r="Y28" s="291">
        <v>0</v>
      </c>
      <c r="Z28" s="291">
        <f t="shared" ref="Z28:Z32" si="7">X28+Y28</f>
        <v>0</v>
      </c>
    </row>
    <row r="29" spans="1:30" s="183" customFormat="1" x14ac:dyDescent="0.35">
      <c r="A29" s="183" t="s">
        <v>6</v>
      </c>
      <c r="C29" s="184" t="s">
        <v>30</v>
      </c>
      <c r="D29" s="185" t="s">
        <v>75</v>
      </c>
      <c r="E29" s="185">
        <v>70015</v>
      </c>
      <c r="F29" s="186" t="s">
        <v>654</v>
      </c>
      <c r="G29" s="187" t="s">
        <v>76</v>
      </c>
      <c r="H29" s="188" t="s">
        <v>34</v>
      </c>
      <c r="I29" s="188" t="s">
        <v>74</v>
      </c>
      <c r="J29" s="188"/>
      <c r="K29" s="189"/>
      <c r="L29" s="202">
        <v>0.51849999999999996</v>
      </c>
      <c r="M29" s="189">
        <v>22324.84</v>
      </c>
      <c r="N29" s="189"/>
      <c r="O29" s="189">
        <v>40225.359999999979</v>
      </c>
      <c r="P29" s="189"/>
      <c r="Q29" s="191">
        <v>70666.859999999986</v>
      </c>
      <c r="R29" s="189"/>
      <c r="S29" s="189">
        <v>93903.47</v>
      </c>
      <c r="T29" s="189"/>
      <c r="U29" s="189">
        <v>90696.75</v>
      </c>
      <c r="V29" s="189"/>
      <c r="W29" s="291">
        <v>102320.44162097885</v>
      </c>
      <c r="X29" s="291">
        <f t="shared" si="6"/>
        <v>420137.72162097879</v>
      </c>
      <c r="Y29" s="291">
        <v>0</v>
      </c>
      <c r="Z29" s="291">
        <f t="shared" si="7"/>
        <v>420137.72162097879</v>
      </c>
      <c r="AB29" s="204"/>
      <c r="AC29" s="205"/>
      <c r="AD29" s="204"/>
    </row>
    <row r="30" spans="1:30" s="183" customFormat="1" hidden="1" x14ac:dyDescent="0.35">
      <c r="A30" s="183" t="s">
        <v>6</v>
      </c>
      <c r="C30" s="184" t="s">
        <v>30</v>
      </c>
      <c r="D30" s="326" t="s">
        <v>46</v>
      </c>
      <c r="E30" s="326" t="s">
        <v>46</v>
      </c>
      <c r="F30" s="327" t="s">
        <v>46</v>
      </c>
      <c r="G30" s="187" t="s">
        <v>77</v>
      </c>
      <c r="H30" s="188" t="s">
        <v>55</v>
      </c>
      <c r="I30" s="188" t="s">
        <v>74</v>
      </c>
      <c r="J30" s="188"/>
      <c r="K30" s="189"/>
      <c r="L30" s="202">
        <v>0.3402</v>
      </c>
      <c r="M30" s="189">
        <v>0</v>
      </c>
      <c r="N30" s="189"/>
      <c r="O30" s="189">
        <v>0</v>
      </c>
      <c r="P30" s="189"/>
      <c r="Q30" s="191">
        <v>0</v>
      </c>
      <c r="R30" s="189"/>
      <c r="S30" s="189">
        <v>0</v>
      </c>
      <c r="T30" s="189"/>
      <c r="U30" s="189">
        <v>0</v>
      </c>
      <c r="V30" s="189"/>
      <c r="W30" s="291">
        <v>0</v>
      </c>
      <c r="X30" s="291">
        <f t="shared" si="6"/>
        <v>0</v>
      </c>
      <c r="Y30" s="291">
        <v>0</v>
      </c>
      <c r="Z30" s="291">
        <f t="shared" si="7"/>
        <v>0</v>
      </c>
    </row>
    <row r="31" spans="1:30" s="183" customFormat="1" x14ac:dyDescent="0.35">
      <c r="A31" s="183" t="s">
        <v>6</v>
      </c>
      <c r="C31" s="184" t="s">
        <v>78</v>
      </c>
      <c r="D31" s="185" t="s">
        <v>79</v>
      </c>
      <c r="E31" s="185" t="s">
        <v>67</v>
      </c>
      <c r="F31" s="186" t="s">
        <v>657</v>
      </c>
      <c r="G31" s="187" t="s">
        <v>80</v>
      </c>
      <c r="H31" s="188" t="s">
        <v>69</v>
      </c>
      <c r="I31" s="188" t="s">
        <v>74</v>
      </c>
      <c r="J31" s="188"/>
      <c r="K31" s="189"/>
      <c r="L31" s="206">
        <v>0.23469999999999999</v>
      </c>
      <c r="M31" s="189">
        <v>15618.790938000002</v>
      </c>
      <c r="N31" s="189"/>
      <c r="O31" s="189">
        <v>17185.356819000001</v>
      </c>
      <c r="P31" s="189"/>
      <c r="Q31" s="191">
        <v>14427.860961</v>
      </c>
      <c r="R31" s="189"/>
      <c r="S31" s="189">
        <v>7995.0977459999995</v>
      </c>
      <c r="T31" s="189"/>
      <c r="U31" s="189">
        <v>17609.273441999998</v>
      </c>
      <c r="V31" s="189"/>
      <c r="W31" s="291">
        <v>4108.1770649999989</v>
      </c>
      <c r="X31" s="291">
        <f t="shared" si="6"/>
        <v>76944.556970999984</v>
      </c>
      <c r="Y31" s="291">
        <v>0</v>
      </c>
      <c r="Z31" s="291">
        <f t="shared" si="7"/>
        <v>76944.556970999984</v>
      </c>
      <c r="AA31" s="233"/>
    </row>
    <row r="32" spans="1:30" s="183" customFormat="1" x14ac:dyDescent="0.35">
      <c r="A32" s="183" t="s">
        <v>6</v>
      </c>
      <c r="C32" s="184"/>
      <c r="D32" s="198"/>
      <c r="E32" s="198"/>
      <c r="F32" s="199"/>
      <c r="G32" s="187"/>
      <c r="H32" s="207"/>
      <c r="I32" s="207"/>
      <c r="J32" s="188"/>
      <c r="K32" s="208"/>
      <c r="L32" s="209"/>
      <c r="M32" s="209"/>
      <c r="N32" s="209"/>
      <c r="O32" s="209"/>
      <c r="P32" s="209"/>
      <c r="Q32" s="210"/>
      <c r="R32" s="209"/>
      <c r="S32" s="211"/>
      <c r="T32" s="209"/>
      <c r="U32" s="209"/>
      <c r="V32" s="209"/>
      <c r="W32" s="293"/>
      <c r="X32" s="293"/>
      <c r="Y32" s="291"/>
      <c r="Z32" s="291">
        <f t="shared" si="7"/>
        <v>0</v>
      </c>
      <c r="AA32" s="274"/>
    </row>
    <row r="33" spans="1:26" s="183" customFormat="1" ht="11.7" thickBot="1" x14ac:dyDescent="0.4">
      <c r="A33" s="183" t="s">
        <v>6</v>
      </c>
      <c r="C33" s="184"/>
      <c r="G33" s="212" t="s">
        <v>81</v>
      </c>
      <c r="H33" s="213"/>
      <c r="I33" s="213"/>
      <c r="J33" s="214"/>
      <c r="K33" s="214"/>
      <c r="L33" s="215"/>
      <c r="M33" s="216">
        <f>SUM(M26:M31)</f>
        <v>389133.90093800018</v>
      </c>
      <c r="N33" s="216"/>
      <c r="O33" s="216">
        <f>SUM(O26:O31)</f>
        <v>418124.99681899993</v>
      </c>
      <c r="P33" s="216"/>
      <c r="Q33" s="216">
        <f t="shared" ref="Q33:U33" si="8">SUM(Q26:Q31)</f>
        <v>393414.56096100004</v>
      </c>
      <c r="R33" s="216"/>
      <c r="S33" s="216">
        <f t="shared" si="8"/>
        <v>405513.27774599992</v>
      </c>
      <c r="T33" s="216"/>
      <c r="U33" s="216">
        <f t="shared" si="8"/>
        <v>440002.01344199997</v>
      </c>
      <c r="V33" s="216"/>
      <c r="W33" s="294">
        <f t="shared" ref="W33" si="9">SUM(W26:W31)</f>
        <v>319879.39384697884</v>
      </c>
      <c r="X33" s="294">
        <f>SUM(X26:X32)</f>
        <v>2366068.1437529786</v>
      </c>
      <c r="Y33" s="294"/>
      <c r="Z33" s="295">
        <f>Z26+Z28+Z29+Z30+Z31+Z32</f>
        <v>2366068.1437529786</v>
      </c>
    </row>
    <row r="34" spans="1:26" s="183" customFormat="1" x14ac:dyDescent="0.35">
      <c r="A34" s="183" t="s">
        <v>6</v>
      </c>
      <c r="C34" s="184"/>
      <c r="D34" s="198"/>
      <c r="E34" s="198"/>
      <c r="F34" s="199"/>
      <c r="G34" s="218" t="s">
        <v>82</v>
      </c>
      <c r="H34" s="219"/>
      <c r="I34" s="219"/>
      <c r="J34" s="220"/>
      <c r="K34" s="220"/>
      <c r="L34" s="221"/>
      <c r="M34" s="222"/>
      <c r="N34" s="222"/>
      <c r="O34" s="222"/>
      <c r="P34" s="222"/>
      <c r="Q34" s="223"/>
      <c r="R34" s="222"/>
      <c r="S34" s="222"/>
      <c r="T34" s="222"/>
      <c r="U34" s="222"/>
      <c r="V34" s="222"/>
      <c r="W34" s="296"/>
      <c r="X34" s="296"/>
      <c r="Y34" s="296"/>
      <c r="Z34" s="296"/>
    </row>
    <row r="35" spans="1:26" s="183" customFormat="1" x14ac:dyDescent="0.35">
      <c r="A35" s="183" t="s">
        <v>6</v>
      </c>
      <c r="C35" s="184"/>
      <c r="D35" s="198"/>
      <c r="E35" s="198"/>
      <c r="F35" s="224"/>
      <c r="G35" s="225" t="s">
        <v>83</v>
      </c>
      <c r="H35" s="226"/>
      <c r="I35" s="226"/>
      <c r="J35" s="220"/>
      <c r="K35" s="220"/>
      <c r="L35" s="221"/>
      <c r="M35" s="222"/>
      <c r="N35" s="222"/>
      <c r="O35" s="222"/>
      <c r="P35" s="222"/>
      <c r="Q35" s="223"/>
      <c r="R35" s="222"/>
      <c r="S35" s="222"/>
      <c r="T35" s="222"/>
      <c r="U35" s="222"/>
      <c r="V35" s="222"/>
      <c r="W35" s="296"/>
      <c r="X35" s="296"/>
      <c r="Y35" s="296"/>
      <c r="Z35" s="296"/>
    </row>
    <row r="36" spans="1:26" s="183" customFormat="1" x14ac:dyDescent="0.35">
      <c r="A36" s="183" t="s">
        <v>6</v>
      </c>
      <c r="C36" s="184"/>
      <c r="D36" s="198"/>
      <c r="E36" s="198"/>
      <c r="F36" s="227"/>
      <c r="G36" s="228" t="s">
        <v>84</v>
      </c>
      <c r="H36" s="226"/>
      <c r="I36" s="226"/>
      <c r="J36" s="220"/>
      <c r="K36" s="220"/>
      <c r="L36" s="221"/>
      <c r="M36" s="222"/>
      <c r="N36" s="222"/>
      <c r="O36" s="222"/>
      <c r="P36" s="222"/>
      <c r="Q36" s="223"/>
      <c r="R36" s="222"/>
      <c r="S36" s="222"/>
      <c r="T36" s="222"/>
      <c r="U36" s="222"/>
      <c r="V36" s="222"/>
      <c r="W36" s="296"/>
      <c r="X36" s="296"/>
      <c r="Y36" s="296"/>
      <c r="Z36" s="296"/>
    </row>
    <row r="37" spans="1:26" s="183" customFormat="1" x14ac:dyDescent="0.35">
      <c r="A37" s="183" t="s">
        <v>6</v>
      </c>
      <c r="C37" s="184"/>
      <c r="D37" s="185" t="s">
        <v>85</v>
      </c>
      <c r="E37" s="185">
        <v>86040</v>
      </c>
      <c r="F37" s="186" t="s">
        <v>654</v>
      </c>
      <c r="G37" s="229" t="s">
        <v>86</v>
      </c>
      <c r="H37" s="207" t="s">
        <v>34</v>
      </c>
      <c r="I37" s="207" t="s">
        <v>82</v>
      </c>
      <c r="J37" s="188" t="s">
        <v>87</v>
      </c>
      <c r="K37" s="189">
        <v>3</v>
      </c>
      <c r="L37" s="189">
        <v>790</v>
      </c>
      <c r="M37" s="189">
        <v>5117.2699999999995</v>
      </c>
      <c r="N37" s="189">
        <v>0</v>
      </c>
      <c r="O37" s="189">
        <v>0</v>
      </c>
      <c r="P37" s="189">
        <v>0</v>
      </c>
      <c r="Q37" s="191">
        <v>0</v>
      </c>
      <c r="R37" s="189">
        <v>0</v>
      </c>
      <c r="S37" s="189">
        <v>0</v>
      </c>
      <c r="T37" s="189">
        <v>0</v>
      </c>
      <c r="U37" s="189">
        <v>0</v>
      </c>
      <c r="V37" s="189">
        <v>0</v>
      </c>
      <c r="W37" s="291">
        <v>0</v>
      </c>
      <c r="X37" s="291">
        <f t="shared" ref="X37:X40" si="10">SUM(M37+O37+Q37+S37+U37+W37)</f>
        <v>5117.2699999999995</v>
      </c>
      <c r="Y37" s="291">
        <v>0</v>
      </c>
      <c r="Z37" s="291">
        <f t="shared" ref="Z37:Z40" si="11">X37+Y37</f>
        <v>5117.2699999999995</v>
      </c>
    </row>
    <row r="38" spans="1:26" s="183" customFormat="1" x14ac:dyDescent="0.35">
      <c r="A38" s="183" t="s">
        <v>6</v>
      </c>
      <c r="C38" s="184"/>
      <c r="D38" s="185" t="s">
        <v>88</v>
      </c>
      <c r="E38" s="185" t="s">
        <v>89</v>
      </c>
      <c r="F38" s="186" t="s">
        <v>654</v>
      </c>
      <c r="G38" s="229" t="s">
        <v>90</v>
      </c>
      <c r="H38" s="207" t="s">
        <v>34</v>
      </c>
      <c r="I38" s="207" t="s">
        <v>82</v>
      </c>
      <c r="J38" s="188" t="s">
        <v>91</v>
      </c>
      <c r="K38" s="189">
        <v>30</v>
      </c>
      <c r="L38" s="189">
        <v>307.9243333333331</v>
      </c>
      <c r="M38" s="189">
        <v>9237.7299999999923</v>
      </c>
      <c r="N38" s="189">
        <v>0</v>
      </c>
      <c r="O38" s="189">
        <v>0</v>
      </c>
      <c r="P38" s="189">
        <v>0</v>
      </c>
      <c r="Q38" s="191">
        <v>0</v>
      </c>
      <c r="R38" s="189">
        <v>0</v>
      </c>
      <c r="S38" s="189">
        <v>0</v>
      </c>
      <c r="T38" s="189">
        <v>0</v>
      </c>
      <c r="U38" s="189">
        <v>0</v>
      </c>
      <c r="V38" s="189">
        <v>0</v>
      </c>
      <c r="W38" s="291">
        <v>0</v>
      </c>
      <c r="X38" s="291">
        <f t="shared" si="10"/>
        <v>9237.7299999999923</v>
      </c>
      <c r="Y38" s="291">
        <v>0</v>
      </c>
      <c r="Z38" s="291">
        <f t="shared" si="11"/>
        <v>9237.7299999999923</v>
      </c>
    </row>
    <row r="39" spans="1:26" s="183" customFormat="1" x14ac:dyDescent="0.35">
      <c r="A39" s="183" t="s">
        <v>6</v>
      </c>
      <c r="C39" s="184"/>
      <c r="D39" s="185" t="s">
        <v>92</v>
      </c>
      <c r="E39" s="185">
        <v>86000</v>
      </c>
      <c r="F39" s="186" t="s">
        <v>654</v>
      </c>
      <c r="G39" s="229" t="s">
        <v>93</v>
      </c>
      <c r="H39" s="207" t="s">
        <v>34</v>
      </c>
      <c r="I39" s="207" t="s">
        <v>82</v>
      </c>
      <c r="J39" s="188" t="s">
        <v>91</v>
      </c>
      <c r="K39" s="189">
        <v>10</v>
      </c>
      <c r="L39" s="189">
        <v>37</v>
      </c>
      <c r="M39" s="189">
        <v>356.66</v>
      </c>
      <c r="N39" s="189">
        <v>0</v>
      </c>
      <c r="O39" s="189">
        <v>0</v>
      </c>
      <c r="P39" s="189">
        <v>0</v>
      </c>
      <c r="Q39" s="191">
        <v>0</v>
      </c>
      <c r="R39" s="189">
        <v>0</v>
      </c>
      <c r="S39" s="189">
        <v>0</v>
      </c>
      <c r="T39" s="189">
        <v>0</v>
      </c>
      <c r="U39" s="189">
        <v>0</v>
      </c>
      <c r="V39" s="189">
        <v>0</v>
      </c>
      <c r="W39" s="291">
        <v>0</v>
      </c>
      <c r="X39" s="291">
        <f t="shared" si="10"/>
        <v>356.66</v>
      </c>
      <c r="Y39" s="291">
        <v>0</v>
      </c>
      <c r="Z39" s="291">
        <f t="shared" si="11"/>
        <v>356.66</v>
      </c>
    </row>
    <row r="40" spans="1:26" s="183" customFormat="1" hidden="1" x14ac:dyDescent="0.35">
      <c r="A40" s="183" t="s">
        <v>6</v>
      </c>
      <c r="C40" s="184"/>
      <c r="D40" s="196" t="s">
        <v>46</v>
      </c>
      <c r="E40" s="196" t="s">
        <v>46</v>
      </c>
      <c r="F40" s="197" t="s">
        <v>46</v>
      </c>
      <c r="G40" s="229" t="s">
        <v>94</v>
      </c>
      <c r="H40" s="207" t="s">
        <v>34</v>
      </c>
      <c r="I40" s="207" t="s">
        <v>82</v>
      </c>
      <c r="J40" s="188" t="s">
        <v>87</v>
      </c>
      <c r="K40" s="189">
        <v>0</v>
      </c>
      <c r="L40" s="189"/>
      <c r="M40" s="189">
        <v>0</v>
      </c>
      <c r="N40" s="189">
        <v>0</v>
      </c>
      <c r="O40" s="189"/>
      <c r="P40" s="189">
        <v>0</v>
      </c>
      <c r="Q40" s="191"/>
      <c r="R40" s="189">
        <v>0</v>
      </c>
      <c r="S40" s="189"/>
      <c r="T40" s="189"/>
      <c r="U40" s="189">
        <v>0</v>
      </c>
      <c r="V40" s="189"/>
      <c r="W40" s="291">
        <v>0</v>
      </c>
      <c r="X40" s="291">
        <f t="shared" si="10"/>
        <v>0</v>
      </c>
      <c r="Y40" s="291">
        <v>0</v>
      </c>
      <c r="Z40" s="291">
        <f t="shared" si="11"/>
        <v>0</v>
      </c>
    </row>
    <row r="41" spans="1:26" s="183" customFormat="1" x14ac:dyDescent="0.35">
      <c r="A41" s="183" t="s">
        <v>6</v>
      </c>
      <c r="C41" s="184"/>
      <c r="D41" s="198"/>
      <c r="E41" s="198"/>
      <c r="F41" s="199"/>
      <c r="G41" s="225" t="s">
        <v>95</v>
      </c>
      <c r="H41" s="226"/>
      <c r="I41" s="226"/>
      <c r="J41" s="188"/>
      <c r="K41" s="189"/>
      <c r="L41" s="189"/>
      <c r="M41" s="189"/>
      <c r="N41" s="189"/>
      <c r="O41" s="189"/>
      <c r="P41" s="189"/>
      <c r="Q41" s="191"/>
      <c r="R41" s="189"/>
      <c r="S41" s="189"/>
      <c r="T41" s="189"/>
      <c r="U41" s="189"/>
      <c r="V41" s="189"/>
      <c r="W41" s="291"/>
      <c r="X41" s="291"/>
      <c r="Y41" s="291"/>
      <c r="Z41" s="291"/>
    </row>
    <row r="42" spans="1:26" s="183" customFormat="1" x14ac:dyDescent="0.35">
      <c r="A42" s="183" t="s">
        <v>6</v>
      </c>
      <c r="C42" s="184"/>
      <c r="D42" s="198"/>
      <c r="E42" s="198"/>
      <c r="F42" s="227"/>
      <c r="G42" s="228" t="s">
        <v>84</v>
      </c>
      <c r="H42" s="226"/>
      <c r="I42" s="226"/>
      <c r="J42" s="220"/>
      <c r="K42" s="220"/>
      <c r="L42" s="221"/>
      <c r="M42" s="222"/>
      <c r="N42" s="222"/>
      <c r="O42" s="222"/>
      <c r="P42" s="222"/>
      <c r="Q42" s="223"/>
      <c r="R42" s="222"/>
      <c r="S42" s="222"/>
      <c r="T42" s="222"/>
      <c r="U42" s="222"/>
      <c r="V42" s="222"/>
      <c r="W42" s="296"/>
      <c r="X42" s="296"/>
      <c r="Y42" s="296"/>
      <c r="Z42" s="296"/>
    </row>
    <row r="43" spans="1:26" s="183" customFormat="1" x14ac:dyDescent="0.35">
      <c r="A43" s="183" t="s">
        <v>6</v>
      </c>
      <c r="C43" s="184"/>
      <c r="D43" s="185" t="s">
        <v>96</v>
      </c>
      <c r="E43" s="185">
        <v>86040</v>
      </c>
      <c r="F43" s="186" t="s">
        <v>654</v>
      </c>
      <c r="G43" s="229" t="s">
        <v>86</v>
      </c>
      <c r="H43" s="207" t="s">
        <v>34</v>
      </c>
      <c r="I43" s="207" t="s">
        <v>82</v>
      </c>
      <c r="J43" s="188" t="s">
        <v>87</v>
      </c>
      <c r="K43" s="189">
        <v>2</v>
      </c>
      <c r="L43" s="189">
        <v>790</v>
      </c>
      <c r="M43" s="189">
        <v>1376.4799999999996</v>
      </c>
      <c r="N43" s="189">
        <v>0</v>
      </c>
      <c r="O43" s="189">
        <v>0</v>
      </c>
      <c r="P43" s="189">
        <v>0</v>
      </c>
      <c r="Q43" s="191">
        <v>0</v>
      </c>
      <c r="R43" s="189">
        <v>1</v>
      </c>
      <c r="S43" s="189">
        <v>765.09999999999991</v>
      </c>
      <c r="T43" s="189">
        <v>0</v>
      </c>
      <c r="U43" s="189">
        <v>226.93</v>
      </c>
      <c r="V43" s="189">
        <f>+W43/L43</f>
        <v>0.55310126582278485</v>
      </c>
      <c r="W43" s="291">
        <v>436.95</v>
      </c>
      <c r="X43" s="291">
        <f t="shared" ref="X43:X45" si="12">SUM(M43+O43+Q43+S43+U43+W43)</f>
        <v>2805.4599999999991</v>
      </c>
      <c r="Y43" s="291">
        <v>0</v>
      </c>
      <c r="Z43" s="291">
        <f t="shared" ref="Z43:Z45" si="13">X43+Y43</f>
        <v>2805.4599999999991</v>
      </c>
    </row>
    <row r="44" spans="1:26" s="183" customFormat="1" x14ac:dyDescent="0.35">
      <c r="A44" s="183" t="s">
        <v>6</v>
      </c>
      <c r="C44" s="184"/>
      <c r="D44" s="185" t="s">
        <v>97</v>
      </c>
      <c r="E44" s="185" t="s">
        <v>89</v>
      </c>
      <c r="F44" s="186" t="s">
        <v>654</v>
      </c>
      <c r="G44" s="229" t="s">
        <v>90</v>
      </c>
      <c r="H44" s="207" t="s">
        <v>34</v>
      </c>
      <c r="I44" s="207" t="s">
        <v>82</v>
      </c>
      <c r="J44" s="188" t="s">
        <v>91</v>
      </c>
      <c r="K44" s="189">
        <v>4</v>
      </c>
      <c r="L44" s="189">
        <v>307.9243333333331</v>
      </c>
      <c r="M44" s="189">
        <v>1108.5899999999999</v>
      </c>
      <c r="N44" s="189">
        <v>0</v>
      </c>
      <c r="O44" s="189">
        <v>0</v>
      </c>
      <c r="P44" s="189">
        <v>0</v>
      </c>
      <c r="Q44" s="191">
        <v>0</v>
      </c>
      <c r="R44" s="189">
        <v>9.5</v>
      </c>
      <c r="S44" s="189">
        <v>2966.4500000000003</v>
      </c>
      <c r="T44" s="189">
        <v>0</v>
      </c>
      <c r="U44" s="189">
        <v>788.82999999999993</v>
      </c>
      <c r="V44" s="189">
        <v>0</v>
      </c>
      <c r="W44" s="291">
        <v>0</v>
      </c>
      <c r="X44" s="291">
        <f t="shared" si="12"/>
        <v>4863.87</v>
      </c>
      <c r="Y44" s="291">
        <v>0</v>
      </c>
      <c r="Z44" s="291">
        <f t="shared" si="13"/>
        <v>4863.87</v>
      </c>
    </row>
    <row r="45" spans="1:26" s="183" customFormat="1" x14ac:dyDescent="0.35">
      <c r="A45" s="183" t="s">
        <v>6</v>
      </c>
      <c r="C45" s="184"/>
      <c r="D45" s="185" t="s">
        <v>98</v>
      </c>
      <c r="E45" s="185">
        <v>86000</v>
      </c>
      <c r="F45" s="186" t="s">
        <v>654</v>
      </c>
      <c r="G45" s="229" t="s">
        <v>93</v>
      </c>
      <c r="H45" s="207" t="s">
        <v>34</v>
      </c>
      <c r="I45" s="207" t="s">
        <v>82</v>
      </c>
      <c r="J45" s="188" t="s">
        <v>91</v>
      </c>
      <c r="K45" s="189">
        <v>7</v>
      </c>
      <c r="L45" s="189">
        <v>18</v>
      </c>
      <c r="M45" s="189">
        <v>124.76</v>
      </c>
      <c r="N45" s="189">
        <v>0</v>
      </c>
      <c r="O45" s="189">
        <v>0</v>
      </c>
      <c r="P45" s="189">
        <v>0</v>
      </c>
      <c r="Q45" s="191">
        <v>0</v>
      </c>
      <c r="R45" s="189">
        <v>2.2999999999999998</v>
      </c>
      <c r="S45" s="189">
        <v>41.569999999999993</v>
      </c>
      <c r="T45" s="189">
        <v>0</v>
      </c>
      <c r="U45" s="189">
        <v>0</v>
      </c>
      <c r="V45" s="189">
        <v>0</v>
      </c>
      <c r="W45" s="291">
        <v>0</v>
      </c>
      <c r="X45" s="291">
        <f t="shared" si="12"/>
        <v>166.32999999999998</v>
      </c>
      <c r="Y45" s="291">
        <v>0</v>
      </c>
      <c r="Z45" s="291">
        <f t="shared" si="13"/>
        <v>166.32999999999998</v>
      </c>
    </row>
    <row r="46" spans="1:26" s="183" customFormat="1" x14ac:dyDescent="0.35">
      <c r="A46" s="183" t="s">
        <v>6</v>
      </c>
      <c r="C46" s="184"/>
      <c r="D46" s="198"/>
      <c r="E46" s="198"/>
      <c r="F46" s="199"/>
      <c r="G46" s="228" t="s">
        <v>99</v>
      </c>
      <c r="H46" s="207"/>
      <c r="I46" s="207"/>
      <c r="J46" s="188"/>
      <c r="K46" s="189"/>
      <c r="L46" s="189"/>
      <c r="M46" s="189"/>
      <c r="N46" s="189"/>
      <c r="O46" s="189"/>
      <c r="P46" s="189"/>
      <c r="Q46" s="191"/>
      <c r="R46" s="189"/>
      <c r="S46" s="189"/>
      <c r="T46" s="189"/>
      <c r="U46" s="189"/>
      <c r="V46" s="189"/>
      <c r="W46" s="291"/>
      <c r="X46" s="291"/>
      <c r="Y46" s="291">
        <v>0</v>
      </c>
      <c r="Z46" s="291">
        <v>0</v>
      </c>
    </row>
    <row r="47" spans="1:26" s="183" customFormat="1" x14ac:dyDescent="0.35">
      <c r="A47" s="183" t="s">
        <v>6</v>
      </c>
      <c r="C47" s="184"/>
      <c r="D47" s="185" t="s">
        <v>100</v>
      </c>
      <c r="E47" s="185">
        <v>86040</v>
      </c>
      <c r="F47" s="186" t="s">
        <v>656</v>
      </c>
      <c r="G47" s="229" t="s">
        <v>101</v>
      </c>
      <c r="H47" s="207" t="s">
        <v>55</v>
      </c>
      <c r="I47" s="207" t="s">
        <v>82</v>
      </c>
      <c r="J47" s="188" t="s">
        <v>87</v>
      </c>
      <c r="K47" s="189">
        <v>2</v>
      </c>
      <c r="L47" s="189">
        <v>990</v>
      </c>
      <c r="M47" s="189">
        <v>2101.8599999999997</v>
      </c>
      <c r="N47" s="189">
        <v>0</v>
      </c>
      <c r="O47" s="189">
        <v>0</v>
      </c>
      <c r="P47" s="189">
        <v>0</v>
      </c>
      <c r="Q47" s="191">
        <v>0</v>
      </c>
      <c r="R47" s="189">
        <v>1</v>
      </c>
      <c r="S47" s="189">
        <v>803.66</v>
      </c>
      <c r="T47" s="189">
        <v>0</v>
      </c>
      <c r="U47" s="189">
        <v>0</v>
      </c>
      <c r="V47" s="189">
        <v>0</v>
      </c>
      <c r="W47" s="291">
        <v>0</v>
      </c>
      <c r="X47" s="291">
        <f t="shared" ref="X47:X50" si="14">SUM(M47+O47+Q47+S47+U47+W47)</f>
        <v>2905.5199999999995</v>
      </c>
      <c r="Y47" s="291">
        <v>0</v>
      </c>
      <c r="Z47" s="291">
        <f t="shared" ref="Z47:Z50" si="15">X47+Y47</f>
        <v>2905.5199999999995</v>
      </c>
    </row>
    <row r="48" spans="1:26" s="183" customFormat="1" x14ac:dyDescent="0.35">
      <c r="A48" s="183" t="s">
        <v>6</v>
      </c>
      <c r="C48" s="184"/>
      <c r="D48" s="185" t="s">
        <v>102</v>
      </c>
      <c r="E48" s="185" t="s">
        <v>89</v>
      </c>
      <c r="F48" s="186" t="s">
        <v>656</v>
      </c>
      <c r="G48" s="229" t="s">
        <v>90</v>
      </c>
      <c r="H48" s="207" t="s">
        <v>55</v>
      </c>
      <c r="I48" s="207" t="s">
        <v>82</v>
      </c>
      <c r="J48" s="188" t="s">
        <v>91</v>
      </c>
      <c r="K48" s="189">
        <v>11</v>
      </c>
      <c r="L48" s="189">
        <v>215</v>
      </c>
      <c r="M48" s="189">
        <v>2465.7000000000003</v>
      </c>
      <c r="N48" s="189">
        <v>0</v>
      </c>
      <c r="O48" s="189">
        <v>0</v>
      </c>
      <c r="P48" s="189">
        <v>0</v>
      </c>
      <c r="Q48" s="191">
        <v>0</v>
      </c>
      <c r="R48" s="189">
        <v>1.5</v>
      </c>
      <c r="S48" s="189">
        <v>337.73</v>
      </c>
      <c r="T48" s="189">
        <v>0</v>
      </c>
      <c r="U48" s="189">
        <v>0</v>
      </c>
      <c r="V48" s="189">
        <v>0</v>
      </c>
      <c r="W48" s="291">
        <v>0</v>
      </c>
      <c r="X48" s="291">
        <f t="shared" si="14"/>
        <v>2803.4300000000003</v>
      </c>
      <c r="Y48" s="291">
        <v>0</v>
      </c>
      <c r="Z48" s="291">
        <f t="shared" si="15"/>
        <v>2803.4300000000003</v>
      </c>
    </row>
    <row r="49" spans="1:70" s="183" customFormat="1" x14ac:dyDescent="0.35">
      <c r="A49" s="183" t="s">
        <v>6</v>
      </c>
      <c r="C49" s="184"/>
      <c r="D49" s="185" t="s">
        <v>103</v>
      </c>
      <c r="E49" s="185">
        <v>86000</v>
      </c>
      <c r="F49" s="186" t="s">
        <v>656</v>
      </c>
      <c r="G49" s="229" t="s">
        <v>93</v>
      </c>
      <c r="H49" s="207" t="s">
        <v>55</v>
      </c>
      <c r="I49" s="207" t="s">
        <v>82</v>
      </c>
      <c r="J49" s="188" t="s">
        <v>91</v>
      </c>
      <c r="K49" s="189">
        <v>7</v>
      </c>
      <c r="L49" s="189">
        <v>18</v>
      </c>
      <c r="M49" s="189">
        <v>129.49</v>
      </c>
      <c r="N49" s="189">
        <v>0</v>
      </c>
      <c r="O49" s="189">
        <v>0</v>
      </c>
      <c r="P49" s="189">
        <v>0</v>
      </c>
      <c r="Q49" s="191">
        <v>0</v>
      </c>
      <c r="R49" s="189">
        <v>6.4</v>
      </c>
      <c r="S49" s="189">
        <v>116</v>
      </c>
      <c r="T49" s="189">
        <v>0</v>
      </c>
      <c r="U49" s="189">
        <v>0</v>
      </c>
      <c r="V49" s="189">
        <v>0</v>
      </c>
      <c r="W49" s="291">
        <v>0</v>
      </c>
      <c r="X49" s="291">
        <f t="shared" si="14"/>
        <v>245.49</v>
      </c>
      <c r="Y49" s="291">
        <v>0</v>
      </c>
      <c r="Z49" s="291">
        <f t="shared" si="15"/>
        <v>245.49</v>
      </c>
    </row>
    <row r="50" spans="1:70" s="183" customFormat="1" hidden="1" x14ac:dyDescent="0.35">
      <c r="A50" s="183" t="s">
        <v>6</v>
      </c>
      <c r="C50" s="184"/>
      <c r="D50" s="326" t="s">
        <v>46</v>
      </c>
      <c r="E50" s="326" t="s">
        <v>46</v>
      </c>
      <c r="F50" s="327" t="s">
        <v>46</v>
      </c>
      <c r="G50" s="229" t="s">
        <v>104</v>
      </c>
      <c r="H50" s="207" t="s">
        <v>55</v>
      </c>
      <c r="I50" s="207" t="s">
        <v>82</v>
      </c>
      <c r="J50" s="188" t="s">
        <v>87</v>
      </c>
      <c r="K50" s="189">
        <f>M50/L50</f>
        <v>0</v>
      </c>
      <c r="L50" s="189">
        <v>160</v>
      </c>
      <c r="M50" s="189">
        <v>0</v>
      </c>
      <c r="N50" s="189">
        <v>0</v>
      </c>
      <c r="O50" s="189">
        <v>0</v>
      </c>
      <c r="P50" s="189">
        <v>0</v>
      </c>
      <c r="Q50" s="191">
        <v>0</v>
      </c>
      <c r="R50" s="189">
        <v>0</v>
      </c>
      <c r="S50" s="189">
        <v>0</v>
      </c>
      <c r="T50" s="189">
        <v>0</v>
      </c>
      <c r="U50" s="189">
        <v>0</v>
      </c>
      <c r="V50" s="189">
        <v>0</v>
      </c>
      <c r="W50" s="291">
        <v>0</v>
      </c>
      <c r="X50" s="291">
        <f t="shared" si="14"/>
        <v>0</v>
      </c>
      <c r="Y50" s="291">
        <v>0</v>
      </c>
      <c r="Z50" s="291">
        <f t="shared" si="15"/>
        <v>0</v>
      </c>
    </row>
    <row r="51" spans="1:70" s="183" customFormat="1" x14ac:dyDescent="0.35">
      <c r="A51" s="183" t="s">
        <v>6</v>
      </c>
      <c r="C51" s="184"/>
      <c r="D51" s="198"/>
      <c r="E51" s="198"/>
      <c r="F51" s="224"/>
      <c r="G51" s="225" t="s">
        <v>105</v>
      </c>
      <c r="H51" s="226"/>
      <c r="I51" s="226"/>
      <c r="J51" s="220"/>
      <c r="K51" s="220"/>
      <c r="L51" s="221"/>
      <c r="M51" s="222"/>
      <c r="N51" s="222"/>
      <c r="O51" s="222"/>
      <c r="P51" s="222"/>
      <c r="Q51" s="223"/>
      <c r="R51" s="222"/>
      <c r="S51" s="222"/>
      <c r="T51" s="222"/>
      <c r="U51" s="222"/>
      <c r="V51" s="222"/>
      <c r="W51" s="296"/>
      <c r="X51" s="296"/>
      <c r="Y51" s="296"/>
      <c r="Z51" s="296"/>
      <c r="AA51" s="230"/>
      <c r="AB51" s="231"/>
      <c r="AC51" s="205"/>
      <c r="AD51" s="232"/>
      <c r="AE51" s="232"/>
      <c r="AF51" s="232"/>
      <c r="AG51" s="232"/>
      <c r="AH51" s="232"/>
      <c r="AI51" s="232"/>
      <c r="AJ51" s="232"/>
      <c r="AK51" s="232"/>
      <c r="AL51" s="232"/>
      <c r="AM51" s="233"/>
      <c r="AP51" s="232"/>
      <c r="AQ51" s="232"/>
      <c r="AR51" s="232"/>
      <c r="AS51" s="232"/>
      <c r="AT51" s="232"/>
      <c r="AU51" s="232"/>
      <c r="AV51" s="232"/>
      <c r="AW51" s="232"/>
      <c r="AX51" s="232"/>
      <c r="AY51" s="232"/>
      <c r="AZ51" s="232"/>
      <c r="BA51" s="232"/>
      <c r="BB51" s="232"/>
      <c r="BF51" s="232"/>
      <c r="BG51" s="232"/>
      <c r="BH51" s="232"/>
      <c r="BI51" s="232"/>
      <c r="BJ51" s="232"/>
      <c r="BK51" s="232"/>
      <c r="BL51" s="232"/>
      <c r="BM51" s="232"/>
      <c r="BN51" s="232"/>
      <c r="BO51" s="232"/>
      <c r="BP51" s="232"/>
      <c r="BQ51" s="232"/>
      <c r="BR51" s="232"/>
    </row>
    <row r="52" spans="1:70" s="183" customFormat="1" x14ac:dyDescent="0.35">
      <c r="A52" s="183" t="s">
        <v>6</v>
      </c>
      <c r="C52" s="184"/>
      <c r="D52" s="198"/>
      <c r="E52" s="198"/>
      <c r="F52" s="224"/>
      <c r="G52" s="225" t="s">
        <v>106</v>
      </c>
      <c r="H52" s="226"/>
      <c r="I52" s="226"/>
      <c r="J52" s="220"/>
      <c r="K52" s="220"/>
      <c r="L52" s="221"/>
      <c r="M52" s="222"/>
      <c r="N52" s="222"/>
      <c r="O52" s="222"/>
      <c r="P52" s="222"/>
      <c r="Q52" s="223"/>
      <c r="R52" s="222"/>
      <c r="S52" s="222"/>
      <c r="T52" s="222"/>
      <c r="U52" s="222"/>
      <c r="V52" s="222"/>
      <c r="W52" s="296"/>
      <c r="X52" s="296"/>
      <c r="Y52" s="296"/>
      <c r="Z52" s="296"/>
      <c r="AA52" s="230"/>
      <c r="AB52" s="231"/>
      <c r="AC52" s="205"/>
      <c r="AD52" s="232"/>
      <c r="AE52" s="232"/>
      <c r="AF52" s="232"/>
      <c r="AG52" s="232"/>
      <c r="AH52" s="232"/>
      <c r="AI52" s="232"/>
      <c r="AJ52" s="232"/>
      <c r="AK52" s="232"/>
      <c r="AL52" s="232"/>
      <c r="AM52" s="233"/>
      <c r="AP52" s="232"/>
      <c r="AQ52" s="232"/>
      <c r="AR52" s="232"/>
      <c r="AS52" s="232"/>
      <c r="AT52" s="232"/>
      <c r="AU52" s="232"/>
      <c r="AV52" s="232"/>
      <c r="AW52" s="232"/>
      <c r="AX52" s="232"/>
      <c r="AY52" s="232"/>
      <c r="AZ52" s="232"/>
      <c r="BA52" s="232"/>
      <c r="BB52" s="232"/>
      <c r="BF52" s="232"/>
      <c r="BG52" s="232"/>
      <c r="BH52" s="232"/>
      <c r="BI52" s="232"/>
      <c r="BJ52" s="232"/>
      <c r="BK52" s="232"/>
      <c r="BL52" s="232"/>
      <c r="BM52" s="232"/>
      <c r="BN52" s="232"/>
      <c r="BO52" s="232"/>
      <c r="BP52" s="232"/>
      <c r="BQ52" s="232"/>
      <c r="BR52" s="232"/>
    </row>
    <row r="53" spans="1:70" s="183" customFormat="1" x14ac:dyDescent="0.35">
      <c r="A53" s="183" t="s">
        <v>6</v>
      </c>
      <c r="C53" s="184"/>
      <c r="D53" s="185" t="s">
        <v>107</v>
      </c>
      <c r="E53" s="185">
        <v>86040</v>
      </c>
      <c r="F53" s="186" t="s">
        <v>657</v>
      </c>
      <c r="G53" s="229" t="s">
        <v>108</v>
      </c>
      <c r="H53" s="207" t="s">
        <v>34</v>
      </c>
      <c r="I53" s="207" t="s">
        <v>82</v>
      </c>
      <c r="J53" s="188" t="s">
        <v>87</v>
      </c>
      <c r="K53" s="189">
        <v>5</v>
      </c>
      <c r="L53" s="189">
        <v>890</v>
      </c>
      <c r="M53" s="189">
        <v>4628.8300000000008</v>
      </c>
      <c r="N53" s="189">
        <v>0</v>
      </c>
      <c r="O53" s="189">
        <v>0</v>
      </c>
      <c r="P53" s="189">
        <v>0</v>
      </c>
      <c r="Q53" s="191">
        <v>0</v>
      </c>
      <c r="R53" s="189">
        <v>1</v>
      </c>
      <c r="S53" s="189">
        <v>779.17</v>
      </c>
      <c r="T53" s="189">
        <v>1.1685393258426966</v>
      </c>
      <c r="U53" s="189">
        <v>3171.6499999999996</v>
      </c>
      <c r="V53" s="189">
        <f>+W53/L53</f>
        <v>1</v>
      </c>
      <c r="W53" s="291">
        <v>890</v>
      </c>
      <c r="X53" s="291">
        <f t="shared" ref="X53:X55" si="16">SUM(M53+O53+Q53+S53+U53+W53)</f>
        <v>9469.6500000000015</v>
      </c>
      <c r="Y53" s="291">
        <v>0</v>
      </c>
      <c r="Z53" s="291">
        <f t="shared" ref="Z53:Z55" si="17">X53+Y53</f>
        <v>9469.6500000000015</v>
      </c>
    </row>
    <row r="54" spans="1:70" s="183" customFormat="1" x14ac:dyDescent="0.35">
      <c r="A54" s="183" t="s">
        <v>6</v>
      </c>
      <c r="C54" s="184"/>
      <c r="D54" s="185" t="s">
        <v>109</v>
      </c>
      <c r="E54" s="185" t="s">
        <v>89</v>
      </c>
      <c r="F54" s="186" t="s">
        <v>657</v>
      </c>
      <c r="G54" s="229" t="s">
        <v>110</v>
      </c>
      <c r="H54" s="207" t="s">
        <v>34</v>
      </c>
      <c r="I54" s="207" t="s">
        <v>82</v>
      </c>
      <c r="J54" s="188" t="s">
        <v>91</v>
      </c>
      <c r="K54" s="189">
        <v>11</v>
      </c>
      <c r="L54" s="189">
        <v>265</v>
      </c>
      <c r="M54" s="189">
        <v>2878.6800000000003</v>
      </c>
      <c r="N54" s="189">
        <v>0</v>
      </c>
      <c r="O54" s="189">
        <v>0</v>
      </c>
      <c r="P54" s="189">
        <v>1</v>
      </c>
      <c r="Q54" s="191">
        <v>49.53</v>
      </c>
      <c r="R54" s="189">
        <v>2.7</v>
      </c>
      <c r="S54" s="189">
        <v>708.75</v>
      </c>
      <c r="T54" s="189">
        <v>3.3707169811320754</v>
      </c>
      <c r="U54" s="189">
        <v>2425.09</v>
      </c>
      <c r="V54" s="189">
        <f>+W54/L54</f>
        <v>3.0360754716981129</v>
      </c>
      <c r="W54" s="291">
        <v>804.56</v>
      </c>
      <c r="X54" s="291">
        <f t="shared" si="16"/>
        <v>6866.6100000000006</v>
      </c>
      <c r="Y54" s="291">
        <v>0</v>
      </c>
      <c r="Z54" s="291">
        <f t="shared" si="17"/>
        <v>6866.6100000000006</v>
      </c>
    </row>
    <row r="55" spans="1:70" s="183" customFormat="1" x14ac:dyDescent="0.35">
      <c r="A55" s="183" t="s">
        <v>6</v>
      </c>
      <c r="C55" s="184"/>
      <c r="D55" s="185" t="s">
        <v>111</v>
      </c>
      <c r="E55" s="185">
        <v>86000</v>
      </c>
      <c r="F55" s="186" t="s">
        <v>657</v>
      </c>
      <c r="G55" s="229" t="s">
        <v>112</v>
      </c>
      <c r="H55" s="207" t="s">
        <v>34</v>
      </c>
      <c r="I55" s="207" t="s">
        <v>82</v>
      </c>
      <c r="J55" s="188" t="s">
        <v>91</v>
      </c>
      <c r="K55" s="189">
        <v>13</v>
      </c>
      <c r="L55" s="189">
        <v>25</v>
      </c>
      <c r="M55" s="189">
        <v>318.59999999999991</v>
      </c>
      <c r="N55" s="189">
        <v>0</v>
      </c>
      <c r="O55" s="189">
        <v>0</v>
      </c>
      <c r="P55" s="189">
        <v>1</v>
      </c>
      <c r="Q55" s="191">
        <v>10.96</v>
      </c>
      <c r="R55" s="189">
        <v>4</v>
      </c>
      <c r="S55" s="189">
        <v>0</v>
      </c>
      <c r="T55" s="189">
        <v>4.6984000000000004</v>
      </c>
      <c r="U55" s="189">
        <v>391.42</v>
      </c>
      <c r="V55" s="189">
        <f>+W55/L55</f>
        <v>13.2508</v>
      </c>
      <c r="W55" s="291">
        <v>331.27</v>
      </c>
      <c r="X55" s="291">
        <f t="shared" si="16"/>
        <v>1052.25</v>
      </c>
      <c r="Y55" s="291">
        <v>0</v>
      </c>
      <c r="Z55" s="291">
        <f t="shared" si="17"/>
        <v>1052.25</v>
      </c>
    </row>
    <row r="56" spans="1:70" s="183" customFormat="1" x14ac:dyDescent="0.35">
      <c r="A56" s="183" t="s">
        <v>6</v>
      </c>
      <c r="C56" s="184"/>
      <c r="D56" s="198"/>
      <c r="E56" s="198"/>
      <c r="F56" s="199"/>
      <c r="G56" s="228" t="s">
        <v>113</v>
      </c>
      <c r="H56" s="207"/>
      <c r="I56" s="207"/>
      <c r="J56" s="188"/>
      <c r="K56" s="189"/>
      <c r="L56" s="189"/>
      <c r="M56" s="189"/>
      <c r="N56" s="189"/>
      <c r="O56" s="189"/>
      <c r="P56" s="189"/>
      <c r="Q56" s="191"/>
      <c r="R56" s="189"/>
      <c r="S56" s="189"/>
      <c r="T56" s="189"/>
      <c r="U56" s="189"/>
      <c r="V56" s="189"/>
      <c r="W56" s="291"/>
      <c r="X56" s="291"/>
      <c r="Y56" s="291"/>
      <c r="Z56" s="291"/>
    </row>
    <row r="57" spans="1:70" s="183" customFormat="1" x14ac:dyDescent="0.35">
      <c r="A57" s="183" t="s">
        <v>6</v>
      </c>
      <c r="C57" s="184"/>
      <c r="D57" s="185" t="s">
        <v>114</v>
      </c>
      <c r="E57" s="185">
        <v>86040</v>
      </c>
      <c r="F57" s="186" t="s">
        <v>657</v>
      </c>
      <c r="G57" s="229" t="s">
        <v>115</v>
      </c>
      <c r="H57" s="207" t="s">
        <v>55</v>
      </c>
      <c r="I57" s="207" t="s">
        <v>82</v>
      </c>
      <c r="J57" s="188" t="s">
        <v>87</v>
      </c>
      <c r="K57" s="189">
        <v>1</v>
      </c>
      <c r="L57" s="189">
        <v>1090</v>
      </c>
      <c r="M57" s="189">
        <v>1290.81</v>
      </c>
      <c r="N57" s="189">
        <v>0</v>
      </c>
      <c r="O57" s="189">
        <v>0</v>
      </c>
      <c r="P57" s="189">
        <v>0</v>
      </c>
      <c r="Q57" s="191">
        <v>0</v>
      </c>
      <c r="R57" s="189">
        <v>0</v>
      </c>
      <c r="S57" s="189">
        <v>0</v>
      </c>
      <c r="T57" s="189">
        <v>0</v>
      </c>
      <c r="U57" s="189">
        <v>0</v>
      </c>
      <c r="V57" s="189">
        <v>0</v>
      </c>
      <c r="W57" s="291">
        <v>400</v>
      </c>
      <c r="X57" s="291">
        <f t="shared" ref="X57:X59" si="18">SUM(M57+O57+Q57+S57+U57+W57)</f>
        <v>1690.81</v>
      </c>
      <c r="Y57" s="291">
        <v>0</v>
      </c>
      <c r="Z57" s="291">
        <f t="shared" ref="Z57:Z59" si="19">X57+Y57</f>
        <v>1690.81</v>
      </c>
    </row>
    <row r="58" spans="1:70" s="183" customFormat="1" x14ac:dyDescent="0.35">
      <c r="A58" s="183" t="s">
        <v>6</v>
      </c>
      <c r="C58" s="184"/>
      <c r="D58" s="185" t="s">
        <v>116</v>
      </c>
      <c r="E58" s="185" t="s">
        <v>89</v>
      </c>
      <c r="F58" s="186" t="s">
        <v>657</v>
      </c>
      <c r="G58" s="229" t="s">
        <v>117</v>
      </c>
      <c r="H58" s="207" t="s">
        <v>55</v>
      </c>
      <c r="I58" s="207" t="s">
        <v>82</v>
      </c>
      <c r="J58" s="188" t="s">
        <v>91</v>
      </c>
      <c r="K58" s="189">
        <v>3</v>
      </c>
      <c r="L58" s="189">
        <v>205</v>
      </c>
      <c r="M58" s="189">
        <v>586.89</v>
      </c>
      <c r="N58" s="189">
        <v>0</v>
      </c>
      <c r="O58" s="189">
        <v>0</v>
      </c>
      <c r="P58" s="189">
        <v>0</v>
      </c>
      <c r="Q58" s="191">
        <v>0</v>
      </c>
      <c r="R58" s="189">
        <v>0</v>
      </c>
      <c r="S58" s="189">
        <v>0</v>
      </c>
      <c r="T58" s="189">
        <v>0</v>
      </c>
      <c r="U58" s="189">
        <v>0</v>
      </c>
      <c r="V58" s="189">
        <v>0</v>
      </c>
      <c r="W58" s="291">
        <v>1753</v>
      </c>
      <c r="X58" s="291">
        <f t="shared" si="18"/>
        <v>2339.89</v>
      </c>
      <c r="Y58" s="291">
        <v>0</v>
      </c>
      <c r="Z58" s="291">
        <f t="shared" si="19"/>
        <v>2339.89</v>
      </c>
    </row>
    <row r="59" spans="1:70" s="183" customFormat="1" x14ac:dyDescent="0.35">
      <c r="A59" s="183" t="s">
        <v>6</v>
      </c>
      <c r="C59" s="184"/>
      <c r="D59" s="185" t="s">
        <v>118</v>
      </c>
      <c r="E59" s="185">
        <v>86000</v>
      </c>
      <c r="F59" s="186" t="s">
        <v>657</v>
      </c>
      <c r="G59" s="229" t="s">
        <v>119</v>
      </c>
      <c r="H59" s="207" t="s">
        <v>55</v>
      </c>
      <c r="I59" s="207" t="s">
        <v>82</v>
      </c>
      <c r="J59" s="188" t="s">
        <v>91</v>
      </c>
      <c r="K59" s="189">
        <v>7</v>
      </c>
      <c r="L59" s="189">
        <v>25</v>
      </c>
      <c r="M59" s="189">
        <v>170</v>
      </c>
      <c r="N59" s="189">
        <v>0</v>
      </c>
      <c r="O59" s="189">
        <v>0</v>
      </c>
      <c r="P59" s="189">
        <v>0</v>
      </c>
      <c r="Q59" s="191">
        <v>0</v>
      </c>
      <c r="R59" s="189">
        <v>0</v>
      </c>
      <c r="S59" s="189">
        <v>0</v>
      </c>
      <c r="T59" s="189">
        <v>0</v>
      </c>
      <c r="U59" s="189">
        <v>0</v>
      </c>
      <c r="V59" s="189">
        <v>0</v>
      </c>
      <c r="W59" s="291">
        <v>0</v>
      </c>
      <c r="X59" s="291">
        <f t="shared" si="18"/>
        <v>170</v>
      </c>
      <c r="Y59" s="291">
        <v>0</v>
      </c>
      <c r="Z59" s="291">
        <f t="shared" si="19"/>
        <v>170</v>
      </c>
    </row>
    <row r="60" spans="1:70" s="183" customFormat="1" hidden="1" x14ac:dyDescent="0.35">
      <c r="A60" s="183" t="s">
        <v>6</v>
      </c>
      <c r="C60" s="184"/>
      <c r="D60" s="198"/>
      <c r="E60" s="198"/>
      <c r="F60" s="199"/>
      <c r="G60" s="228" t="s">
        <v>120</v>
      </c>
      <c r="H60" s="207"/>
      <c r="I60" s="207"/>
      <c r="J60" s="188"/>
      <c r="K60" s="189"/>
      <c r="L60" s="189"/>
      <c r="M60" s="189"/>
      <c r="N60" s="189"/>
      <c r="O60" s="189"/>
      <c r="P60" s="189"/>
      <c r="Q60" s="191"/>
      <c r="R60" s="189"/>
      <c r="S60" s="189"/>
      <c r="T60" s="189"/>
      <c r="U60" s="189"/>
      <c r="V60" s="189"/>
      <c r="W60" s="291"/>
      <c r="X60" s="291"/>
      <c r="Y60" s="291"/>
      <c r="Z60" s="291"/>
    </row>
    <row r="61" spans="1:70" s="183" customFormat="1" hidden="1" x14ac:dyDescent="0.35">
      <c r="A61" s="183" t="s">
        <v>6</v>
      </c>
      <c r="C61" s="184"/>
      <c r="D61" s="326" t="s">
        <v>46</v>
      </c>
      <c r="E61" s="326" t="s">
        <v>46</v>
      </c>
      <c r="F61" s="327" t="s">
        <v>46</v>
      </c>
      <c r="G61" s="229" t="s">
        <v>121</v>
      </c>
      <c r="H61" s="207" t="s">
        <v>122</v>
      </c>
      <c r="I61" s="207" t="s">
        <v>82</v>
      </c>
      <c r="J61" s="188" t="s">
        <v>87</v>
      </c>
      <c r="K61" s="189">
        <v>0</v>
      </c>
      <c r="L61" s="189">
        <v>1545</v>
      </c>
      <c r="M61" s="189">
        <v>0</v>
      </c>
      <c r="N61" s="189">
        <v>0</v>
      </c>
      <c r="O61" s="189">
        <v>0</v>
      </c>
      <c r="P61" s="189">
        <v>0</v>
      </c>
      <c r="Q61" s="191">
        <v>0</v>
      </c>
      <c r="R61" s="189">
        <v>0</v>
      </c>
      <c r="S61" s="189">
        <v>0</v>
      </c>
      <c r="T61" s="189">
        <v>0</v>
      </c>
      <c r="U61" s="189">
        <v>0</v>
      </c>
      <c r="V61" s="189">
        <v>0</v>
      </c>
      <c r="W61" s="291">
        <v>0</v>
      </c>
      <c r="X61" s="291">
        <f t="shared" ref="X61:X64" si="20">SUM(M61+O61+Q61+S61+U61+W61)</f>
        <v>0</v>
      </c>
      <c r="Y61" s="291">
        <v>0</v>
      </c>
      <c r="Z61" s="291">
        <f t="shared" ref="Z61:Z64" si="21">X61+Y61</f>
        <v>0</v>
      </c>
    </row>
    <row r="62" spans="1:70" s="183" customFormat="1" hidden="1" x14ac:dyDescent="0.35">
      <c r="A62" s="183" t="s">
        <v>6</v>
      </c>
      <c r="C62" s="184"/>
      <c r="D62" s="326" t="s">
        <v>46</v>
      </c>
      <c r="E62" s="326" t="s">
        <v>46</v>
      </c>
      <c r="F62" s="327" t="s">
        <v>46</v>
      </c>
      <c r="G62" s="229" t="s">
        <v>123</v>
      </c>
      <c r="H62" s="207" t="s">
        <v>122</v>
      </c>
      <c r="I62" s="207" t="s">
        <v>82</v>
      </c>
      <c r="J62" s="188" t="s">
        <v>91</v>
      </c>
      <c r="K62" s="189">
        <v>0</v>
      </c>
      <c r="L62" s="189">
        <v>250</v>
      </c>
      <c r="M62" s="189">
        <v>0</v>
      </c>
      <c r="N62" s="189">
        <v>0</v>
      </c>
      <c r="O62" s="189">
        <v>0</v>
      </c>
      <c r="P62" s="189">
        <v>0</v>
      </c>
      <c r="Q62" s="191">
        <v>0</v>
      </c>
      <c r="R62" s="189">
        <v>0</v>
      </c>
      <c r="S62" s="189">
        <v>0</v>
      </c>
      <c r="T62" s="189">
        <v>0</v>
      </c>
      <c r="U62" s="189">
        <v>0</v>
      </c>
      <c r="V62" s="189">
        <v>0</v>
      </c>
      <c r="W62" s="291">
        <v>0</v>
      </c>
      <c r="X62" s="291">
        <f t="shared" si="20"/>
        <v>0</v>
      </c>
      <c r="Y62" s="291">
        <v>0</v>
      </c>
      <c r="Z62" s="291">
        <f t="shared" si="21"/>
        <v>0</v>
      </c>
    </row>
    <row r="63" spans="1:70" s="183" customFormat="1" hidden="1" x14ac:dyDescent="0.35">
      <c r="A63" s="183" t="s">
        <v>6</v>
      </c>
      <c r="C63" s="184"/>
      <c r="D63" s="326" t="s">
        <v>46</v>
      </c>
      <c r="E63" s="326" t="s">
        <v>46</v>
      </c>
      <c r="F63" s="327" t="s">
        <v>46</v>
      </c>
      <c r="G63" s="229" t="s">
        <v>124</v>
      </c>
      <c r="H63" s="207" t="s">
        <v>122</v>
      </c>
      <c r="I63" s="207" t="s">
        <v>82</v>
      </c>
      <c r="J63" s="188" t="s">
        <v>91</v>
      </c>
      <c r="K63" s="189">
        <v>0</v>
      </c>
      <c r="L63" s="189">
        <v>25</v>
      </c>
      <c r="M63" s="189">
        <v>0</v>
      </c>
      <c r="N63" s="189">
        <v>0</v>
      </c>
      <c r="O63" s="189">
        <v>0</v>
      </c>
      <c r="P63" s="189">
        <v>0</v>
      </c>
      <c r="Q63" s="191">
        <v>0</v>
      </c>
      <c r="R63" s="189">
        <v>0</v>
      </c>
      <c r="S63" s="189">
        <v>0</v>
      </c>
      <c r="T63" s="189">
        <v>0</v>
      </c>
      <c r="U63" s="189">
        <v>0</v>
      </c>
      <c r="V63" s="189">
        <v>0</v>
      </c>
      <c r="W63" s="291">
        <v>0</v>
      </c>
      <c r="X63" s="291">
        <f t="shared" si="20"/>
        <v>0</v>
      </c>
      <c r="Y63" s="291">
        <v>0</v>
      </c>
      <c r="Z63" s="291">
        <f t="shared" si="21"/>
        <v>0</v>
      </c>
    </row>
    <row r="64" spans="1:70" s="183" customFormat="1" hidden="1" x14ac:dyDescent="0.35">
      <c r="A64" s="183" t="s">
        <v>6</v>
      </c>
      <c r="C64" s="184"/>
      <c r="D64" s="326" t="s">
        <v>46</v>
      </c>
      <c r="E64" s="326" t="s">
        <v>46</v>
      </c>
      <c r="F64" s="327" t="s">
        <v>46</v>
      </c>
      <c r="G64" s="229" t="s">
        <v>125</v>
      </c>
      <c r="H64" s="207" t="s">
        <v>122</v>
      </c>
      <c r="I64" s="207" t="s">
        <v>82</v>
      </c>
      <c r="J64" s="188" t="s">
        <v>87</v>
      </c>
      <c r="K64" s="189">
        <v>0</v>
      </c>
      <c r="L64" s="189">
        <v>160</v>
      </c>
      <c r="M64" s="189">
        <v>0</v>
      </c>
      <c r="N64" s="189">
        <v>0</v>
      </c>
      <c r="O64" s="189">
        <v>0</v>
      </c>
      <c r="P64" s="189">
        <v>0</v>
      </c>
      <c r="Q64" s="191">
        <v>0</v>
      </c>
      <c r="R64" s="189">
        <v>0</v>
      </c>
      <c r="S64" s="189">
        <v>0</v>
      </c>
      <c r="T64" s="189">
        <v>0</v>
      </c>
      <c r="U64" s="189">
        <v>0</v>
      </c>
      <c r="V64" s="189">
        <v>0</v>
      </c>
      <c r="W64" s="291">
        <v>0</v>
      </c>
      <c r="X64" s="291">
        <f t="shared" si="20"/>
        <v>0</v>
      </c>
      <c r="Y64" s="291">
        <v>0</v>
      </c>
      <c r="Z64" s="291">
        <f t="shared" si="21"/>
        <v>0</v>
      </c>
    </row>
    <row r="65" spans="1:70" s="183" customFormat="1" x14ac:dyDescent="0.35">
      <c r="A65" s="183" t="s">
        <v>6</v>
      </c>
      <c r="C65" s="184"/>
      <c r="D65" s="198"/>
      <c r="E65" s="198"/>
      <c r="F65" s="199"/>
      <c r="G65" s="228" t="s">
        <v>126</v>
      </c>
      <c r="H65" s="207"/>
      <c r="I65" s="207"/>
      <c r="J65" s="188"/>
      <c r="K65" s="189"/>
      <c r="L65" s="189"/>
      <c r="M65" s="189"/>
      <c r="N65" s="189"/>
      <c r="O65" s="189"/>
      <c r="P65" s="189"/>
      <c r="Q65" s="191"/>
      <c r="R65" s="189"/>
      <c r="S65" s="189"/>
      <c r="T65" s="189"/>
      <c r="U65" s="189"/>
      <c r="V65" s="189"/>
      <c r="W65" s="291"/>
      <c r="X65" s="291"/>
      <c r="Y65" s="291"/>
      <c r="Z65" s="291"/>
    </row>
    <row r="66" spans="1:70" s="183" customFormat="1" x14ac:dyDescent="0.35">
      <c r="A66" s="183" t="s">
        <v>6</v>
      </c>
      <c r="C66" s="184"/>
      <c r="D66" s="185" t="s">
        <v>127</v>
      </c>
      <c r="E66" s="185">
        <v>86040</v>
      </c>
      <c r="F66" s="186" t="s">
        <v>657</v>
      </c>
      <c r="G66" s="229" t="s">
        <v>128</v>
      </c>
      <c r="H66" s="207" t="s">
        <v>129</v>
      </c>
      <c r="I66" s="207" t="s">
        <v>82</v>
      </c>
      <c r="J66" s="188" t="s">
        <v>87</v>
      </c>
      <c r="K66" s="189">
        <v>0</v>
      </c>
      <c r="L66" s="189">
        <v>850</v>
      </c>
      <c r="M66" s="189">
        <v>0</v>
      </c>
      <c r="N66" s="189">
        <v>0</v>
      </c>
      <c r="O66" s="189">
        <v>0</v>
      </c>
      <c r="P66" s="189">
        <v>0</v>
      </c>
      <c r="Q66" s="191">
        <v>0</v>
      </c>
      <c r="R66" s="189">
        <v>0</v>
      </c>
      <c r="S66" s="189">
        <v>0</v>
      </c>
      <c r="T66" s="189">
        <v>0</v>
      </c>
      <c r="U66" s="189">
        <v>458.13</v>
      </c>
      <c r="V66" s="189">
        <v>0</v>
      </c>
      <c r="W66" s="291">
        <v>0</v>
      </c>
      <c r="X66" s="291">
        <f t="shared" ref="X66:X68" si="22">SUM(M66+O66+Q66+S66+U66+W66)</f>
        <v>458.13</v>
      </c>
      <c r="Y66" s="291">
        <v>0</v>
      </c>
      <c r="Z66" s="291">
        <f t="shared" ref="Z66:Z68" si="23">X66+Y66</f>
        <v>458.13</v>
      </c>
    </row>
    <row r="67" spans="1:70" s="183" customFormat="1" x14ac:dyDescent="0.35">
      <c r="A67" s="183" t="s">
        <v>6</v>
      </c>
      <c r="C67" s="184"/>
      <c r="D67" s="185" t="s">
        <v>130</v>
      </c>
      <c r="E67" s="185" t="s">
        <v>89</v>
      </c>
      <c r="F67" s="186" t="s">
        <v>657</v>
      </c>
      <c r="G67" s="229" t="s">
        <v>131</v>
      </c>
      <c r="H67" s="207" t="s">
        <v>129</v>
      </c>
      <c r="I67" s="207" t="s">
        <v>82</v>
      </c>
      <c r="J67" s="188" t="s">
        <v>91</v>
      </c>
      <c r="K67" s="189">
        <v>0</v>
      </c>
      <c r="L67" s="189">
        <v>250</v>
      </c>
      <c r="M67" s="189">
        <v>0</v>
      </c>
      <c r="N67" s="189">
        <v>0</v>
      </c>
      <c r="O67" s="189">
        <v>0</v>
      </c>
      <c r="P67" s="189">
        <v>0</v>
      </c>
      <c r="Q67" s="191">
        <v>0</v>
      </c>
      <c r="R67" s="189">
        <v>0</v>
      </c>
      <c r="S67" s="189">
        <v>0</v>
      </c>
      <c r="T67" s="189">
        <v>0</v>
      </c>
      <c r="U67" s="189">
        <v>705.67</v>
      </c>
      <c r="V67" s="189">
        <v>0</v>
      </c>
      <c r="W67" s="291">
        <v>1200</v>
      </c>
      <c r="X67" s="291">
        <f t="shared" si="22"/>
        <v>1905.67</v>
      </c>
      <c r="Y67" s="291">
        <v>0</v>
      </c>
      <c r="Z67" s="291">
        <f t="shared" si="23"/>
        <v>1905.67</v>
      </c>
    </row>
    <row r="68" spans="1:70" s="183" customFormat="1" hidden="1" x14ac:dyDescent="0.35">
      <c r="A68" s="183" t="s">
        <v>6</v>
      </c>
      <c r="C68" s="184"/>
      <c r="D68" s="326" t="s">
        <v>46</v>
      </c>
      <c r="E68" s="326" t="s">
        <v>46</v>
      </c>
      <c r="F68" s="327" t="s">
        <v>46</v>
      </c>
      <c r="G68" s="229" t="s">
        <v>132</v>
      </c>
      <c r="H68" s="207" t="s">
        <v>129</v>
      </c>
      <c r="I68" s="207" t="s">
        <v>82</v>
      </c>
      <c r="J68" s="188" t="s">
        <v>91</v>
      </c>
      <c r="K68" s="189">
        <v>0</v>
      </c>
      <c r="L68" s="189">
        <v>25</v>
      </c>
      <c r="M68" s="189">
        <v>0</v>
      </c>
      <c r="N68" s="189">
        <v>0</v>
      </c>
      <c r="O68" s="189">
        <v>0</v>
      </c>
      <c r="P68" s="189">
        <v>0</v>
      </c>
      <c r="Q68" s="191">
        <v>0</v>
      </c>
      <c r="R68" s="189">
        <v>0</v>
      </c>
      <c r="S68" s="189">
        <v>0</v>
      </c>
      <c r="T68" s="189">
        <v>0</v>
      </c>
      <c r="U68" s="189">
        <v>0</v>
      </c>
      <c r="V68" s="189">
        <v>0</v>
      </c>
      <c r="W68" s="291">
        <v>0</v>
      </c>
      <c r="X68" s="291">
        <f t="shared" si="22"/>
        <v>0</v>
      </c>
      <c r="Y68" s="291">
        <v>0</v>
      </c>
      <c r="Z68" s="291">
        <f t="shared" si="23"/>
        <v>0</v>
      </c>
    </row>
    <row r="69" spans="1:70" s="183" customFormat="1" ht="22.8" x14ac:dyDescent="0.35">
      <c r="A69" s="183" t="s">
        <v>6</v>
      </c>
      <c r="C69" s="184"/>
      <c r="D69" s="198"/>
      <c r="E69" s="198"/>
      <c r="F69" s="224"/>
      <c r="G69" s="225" t="s">
        <v>133</v>
      </c>
      <c r="H69" s="226"/>
      <c r="I69" s="226"/>
      <c r="J69" s="220"/>
      <c r="K69" s="220"/>
      <c r="L69" s="221"/>
      <c r="M69" s="222"/>
      <c r="N69" s="222"/>
      <c r="O69" s="222"/>
      <c r="P69" s="222"/>
      <c r="Q69" s="223"/>
      <c r="R69" s="222"/>
      <c r="S69" s="222"/>
      <c r="T69" s="222"/>
      <c r="U69" s="222"/>
      <c r="V69" s="222"/>
      <c r="W69" s="296"/>
      <c r="X69" s="296"/>
      <c r="Y69" s="296"/>
      <c r="Z69" s="296"/>
      <c r="AA69" s="230"/>
      <c r="AB69" s="231"/>
      <c r="AC69" s="205"/>
      <c r="AD69" s="232"/>
      <c r="AE69" s="232"/>
      <c r="AF69" s="232"/>
      <c r="AG69" s="232"/>
      <c r="AH69" s="232"/>
      <c r="AI69" s="232"/>
      <c r="AJ69" s="232"/>
      <c r="AK69" s="232"/>
      <c r="AL69" s="232"/>
      <c r="AM69" s="233"/>
      <c r="AP69" s="232"/>
      <c r="AQ69" s="232"/>
      <c r="AR69" s="232"/>
      <c r="AS69" s="232"/>
      <c r="AT69" s="232"/>
      <c r="AU69" s="232"/>
      <c r="AV69" s="232"/>
      <c r="AW69" s="232"/>
      <c r="AX69" s="232"/>
      <c r="AY69" s="232"/>
      <c r="AZ69" s="232"/>
      <c r="BA69" s="232"/>
      <c r="BB69" s="232"/>
      <c r="BF69" s="232"/>
      <c r="BG69" s="232"/>
      <c r="BH69" s="232"/>
      <c r="BI69" s="232"/>
      <c r="BJ69" s="232"/>
      <c r="BK69" s="232"/>
      <c r="BL69" s="232"/>
      <c r="BM69" s="232"/>
      <c r="BN69" s="232"/>
      <c r="BO69" s="232"/>
      <c r="BP69" s="232"/>
      <c r="BQ69" s="232"/>
      <c r="BR69" s="232"/>
    </row>
    <row r="70" spans="1:70" s="183" customFormat="1" x14ac:dyDescent="0.35">
      <c r="A70" s="183" t="s">
        <v>6</v>
      </c>
      <c r="C70" s="184"/>
      <c r="D70" s="198"/>
      <c r="E70" s="198"/>
      <c r="F70" s="199"/>
      <c r="G70" s="228" t="s">
        <v>113</v>
      </c>
      <c r="H70" s="207"/>
      <c r="I70" s="207"/>
      <c r="J70" s="188"/>
      <c r="K70" s="189"/>
      <c r="L70" s="189"/>
      <c r="M70" s="189"/>
      <c r="N70" s="189"/>
      <c r="O70" s="189"/>
      <c r="P70" s="189"/>
      <c r="Q70" s="191"/>
      <c r="R70" s="189"/>
      <c r="S70" s="189"/>
      <c r="T70" s="189"/>
      <c r="U70" s="189"/>
      <c r="V70" s="189"/>
      <c r="W70" s="291"/>
      <c r="X70" s="291"/>
      <c r="Y70" s="291"/>
      <c r="Z70" s="297"/>
    </row>
    <row r="71" spans="1:70" s="183" customFormat="1" x14ac:dyDescent="0.35">
      <c r="A71" s="183" t="s">
        <v>6</v>
      </c>
      <c r="C71" s="184"/>
      <c r="D71" s="185" t="s">
        <v>134</v>
      </c>
      <c r="E71" s="185">
        <v>86040</v>
      </c>
      <c r="F71" s="186" t="s">
        <v>654</v>
      </c>
      <c r="G71" s="229" t="s">
        <v>135</v>
      </c>
      <c r="H71" s="207" t="s">
        <v>55</v>
      </c>
      <c r="I71" s="207" t="s">
        <v>82</v>
      </c>
      <c r="J71" s="188" t="s">
        <v>87</v>
      </c>
      <c r="K71" s="189">
        <v>8</v>
      </c>
      <c r="L71" s="189">
        <v>490</v>
      </c>
      <c r="M71" s="189">
        <v>3718.6300000000006</v>
      </c>
      <c r="N71" s="189">
        <v>0</v>
      </c>
      <c r="O71" s="189">
        <v>0</v>
      </c>
      <c r="P71" s="189">
        <v>2.2999999999999998</v>
      </c>
      <c r="Q71" s="191">
        <v>1128.0600000000002</v>
      </c>
      <c r="R71" s="189">
        <v>5.6</v>
      </c>
      <c r="S71" s="189">
        <v>2246.23</v>
      </c>
      <c r="T71" s="189">
        <v>1</v>
      </c>
      <c r="U71" s="189">
        <v>0</v>
      </c>
      <c r="V71" s="189">
        <v>2</v>
      </c>
      <c r="W71" s="291">
        <v>0</v>
      </c>
      <c r="X71" s="291">
        <f t="shared" ref="X71:X73" si="24">SUM(M71+O71+Q71+S71+U71+W71)</f>
        <v>7092.92</v>
      </c>
      <c r="Y71" s="291">
        <v>0</v>
      </c>
      <c r="Z71" s="291">
        <f t="shared" ref="Z71:Z73" si="25">X71+Y71</f>
        <v>7092.92</v>
      </c>
    </row>
    <row r="72" spans="1:70" s="183" customFormat="1" x14ac:dyDescent="0.35">
      <c r="A72" s="183" t="s">
        <v>6</v>
      </c>
      <c r="C72" s="184"/>
      <c r="D72" s="185" t="s">
        <v>136</v>
      </c>
      <c r="E72" s="185" t="s">
        <v>89</v>
      </c>
      <c r="F72" s="186" t="s">
        <v>654</v>
      </c>
      <c r="G72" s="229" t="s">
        <v>117</v>
      </c>
      <c r="H72" s="207" t="s">
        <v>55</v>
      </c>
      <c r="I72" s="207" t="s">
        <v>82</v>
      </c>
      <c r="J72" s="188" t="s">
        <v>91</v>
      </c>
      <c r="K72" s="189">
        <v>9</v>
      </c>
      <c r="L72" s="189">
        <v>205</v>
      </c>
      <c r="M72" s="189">
        <v>1799.9</v>
      </c>
      <c r="N72" s="189">
        <v>0</v>
      </c>
      <c r="O72" s="189">
        <v>0</v>
      </c>
      <c r="P72" s="189">
        <v>14</v>
      </c>
      <c r="Q72" s="191">
        <v>2953.61</v>
      </c>
      <c r="R72" s="189">
        <v>16</v>
      </c>
      <c r="S72" s="189">
        <v>2475.88</v>
      </c>
      <c r="T72" s="189">
        <v>4.0585365853658537</v>
      </c>
      <c r="U72" s="189">
        <v>0</v>
      </c>
      <c r="V72" s="189">
        <v>8.1170731707317074</v>
      </c>
      <c r="W72" s="291">
        <v>0</v>
      </c>
      <c r="X72" s="291">
        <f t="shared" si="24"/>
        <v>7229.39</v>
      </c>
      <c r="Y72" s="291">
        <v>0</v>
      </c>
      <c r="Z72" s="291">
        <f t="shared" si="25"/>
        <v>7229.39</v>
      </c>
    </row>
    <row r="73" spans="1:70" s="183" customFormat="1" x14ac:dyDescent="0.35">
      <c r="A73" s="183" t="s">
        <v>6</v>
      </c>
      <c r="C73" s="184"/>
      <c r="D73" s="185" t="s">
        <v>137</v>
      </c>
      <c r="E73" s="185">
        <v>86000</v>
      </c>
      <c r="F73" s="186" t="s">
        <v>654</v>
      </c>
      <c r="G73" s="229" t="s">
        <v>119</v>
      </c>
      <c r="H73" s="207" t="s">
        <v>55</v>
      </c>
      <c r="I73" s="207" t="s">
        <v>82</v>
      </c>
      <c r="J73" s="188" t="s">
        <v>91</v>
      </c>
      <c r="K73" s="189">
        <v>8</v>
      </c>
      <c r="L73" s="189">
        <v>25</v>
      </c>
      <c r="M73" s="189">
        <v>188.28000000000003</v>
      </c>
      <c r="N73" s="189">
        <v>0</v>
      </c>
      <c r="O73" s="189">
        <v>0</v>
      </c>
      <c r="P73" s="189">
        <v>3.5</v>
      </c>
      <c r="Q73" s="191">
        <v>86.679999999999993</v>
      </c>
      <c r="R73" s="189">
        <v>7.4</v>
      </c>
      <c r="S73" s="189">
        <v>84.550000000000011</v>
      </c>
      <c r="T73" s="189">
        <v>4</v>
      </c>
      <c r="U73" s="189">
        <v>0</v>
      </c>
      <c r="V73" s="189">
        <v>8</v>
      </c>
      <c r="W73" s="291">
        <v>0</v>
      </c>
      <c r="X73" s="291">
        <f t="shared" si="24"/>
        <v>359.51000000000005</v>
      </c>
      <c r="Y73" s="291">
        <v>0</v>
      </c>
      <c r="Z73" s="291">
        <f t="shared" si="25"/>
        <v>359.51000000000005</v>
      </c>
    </row>
    <row r="74" spans="1:70" s="183" customFormat="1" ht="11.25" customHeight="1" x14ac:dyDescent="0.35">
      <c r="A74" s="183" t="s">
        <v>6</v>
      </c>
      <c r="C74" s="184"/>
      <c r="D74" s="198"/>
      <c r="E74" s="198"/>
      <c r="F74" s="198"/>
      <c r="G74" s="228" t="s">
        <v>120</v>
      </c>
      <c r="H74" s="207"/>
      <c r="I74" s="207"/>
      <c r="J74" s="188"/>
      <c r="K74" s="189"/>
      <c r="L74" s="189"/>
      <c r="M74" s="189"/>
      <c r="N74" s="189"/>
      <c r="O74" s="189"/>
      <c r="P74" s="189"/>
      <c r="Q74" s="191"/>
      <c r="R74" s="189"/>
      <c r="S74" s="189"/>
      <c r="T74" s="189"/>
      <c r="U74" s="189"/>
      <c r="V74" s="189"/>
      <c r="W74" s="291"/>
      <c r="X74" s="291"/>
      <c r="Y74" s="291"/>
      <c r="Z74" s="298"/>
    </row>
    <row r="75" spans="1:70" s="183" customFormat="1" x14ac:dyDescent="0.35">
      <c r="A75" s="183" t="s">
        <v>6</v>
      </c>
      <c r="C75" s="184"/>
      <c r="D75" s="185" t="s">
        <v>138</v>
      </c>
      <c r="E75" s="185">
        <v>86040</v>
      </c>
      <c r="F75" s="186" t="s">
        <v>654</v>
      </c>
      <c r="G75" s="229" t="s">
        <v>139</v>
      </c>
      <c r="H75" s="207" t="s">
        <v>122</v>
      </c>
      <c r="I75" s="207" t="s">
        <v>82</v>
      </c>
      <c r="J75" s="188" t="s">
        <v>87</v>
      </c>
      <c r="K75" s="189">
        <v>0</v>
      </c>
      <c r="L75" s="189">
        <v>1300</v>
      </c>
      <c r="M75" s="189">
        <v>0</v>
      </c>
      <c r="N75" s="189">
        <v>0</v>
      </c>
      <c r="O75" s="189">
        <v>0</v>
      </c>
      <c r="P75" s="189">
        <v>0</v>
      </c>
      <c r="Q75" s="191">
        <v>0</v>
      </c>
      <c r="R75" s="189">
        <v>2</v>
      </c>
      <c r="S75" s="189">
        <v>2217.8300000000004</v>
      </c>
      <c r="T75" s="189">
        <v>0</v>
      </c>
      <c r="U75" s="189">
        <v>0</v>
      </c>
      <c r="V75" s="189"/>
      <c r="W75" s="291">
        <v>0</v>
      </c>
      <c r="X75" s="291">
        <f t="shared" ref="X75:X77" si="26">SUM(M75+O75+Q75+S75+U75+W75)</f>
        <v>2217.8300000000004</v>
      </c>
      <c r="Y75" s="291">
        <v>0</v>
      </c>
      <c r="Z75" s="291">
        <f t="shared" ref="Z75:Z77" si="27">X75+Y75</f>
        <v>2217.8300000000004</v>
      </c>
    </row>
    <row r="76" spans="1:70" s="183" customFormat="1" x14ac:dyDescent="0.35">
      <c r="A76" s="183" t="s">
        <v>6</v>
      </c>
      <c r="C76" s="184"/>
      <c r="D76" s="185" t="s">
        <v>140</v>
      </c>
      <c r="E76" s="185" t="s">
        <v>89</v>
      </c>
      <c r="F76" s="186" t="s">
        <v>654</v>
      </c>
      <c r="G76" s="229" t="s">
        <v>123</v>
      </c>
      <c r="H76" s="207" t="s">
        <v>122</v>
      </c>
      <c r="I76" s="207" t="s">
        <v>82</v>
      </c>
      <c r="J76" s="188" t="s">
        <v>91</v>
      </c>
      <c r="K76" s="189">
        <v>0</v>
      </c>
      <c r="L76" s="189">
        <v>250</v>
      </c>
      <c r="M76" s="189">
        <v>0</v>
      </c>
      <c r="N76" s="189">
        <v>0</v>
      </c>
      <c r="O76" s="189">
        <v>0</v>
      </c>
      <c r="P76" s="189">
        <v>0</v>
      </c>
      <c r="Q76" s="191">
        <v>0</v>
      </c>
      <c r="R76" s="189">
        <v>10</v>
      </c>
      <c r="S76" s="189">
        <v>3355.0599999999995</v>
      </c>
      <c r="T76" s="189">
        <v>0</v>
      </c>
      <c r="U76" s="189">
        <v>0</v>
      </c>
      <c r="V76" s="189"/>
      <c r="W76" s="291">
        <v>0</v>
      </c>
      <c r="X76" s="291">
        <f t="shared" si="26"/>
        <v>3355.0599999999995</v>
      </c>
      <c r="Y76" s="291">
        <v>0</v>
      </c>
      <c r="Z76" s="291">
        <f t="shared" si="27"/>
        <v>3355.0599999999995</v>
      </c>
    </row>
    <row r="77" spans="1:70" s="183" customFormat="1" x14ac:dyDescent="0.35">
      <c r="A77" s="183" t="s">
        <v>6</v>
      </c>
      <c r="C77" s="184"/>
      <c r="D77" s="185" t="s">
        <v>141</v>
      </c>
      <c r="E77" s="185">
        <v>86000</v>
      </c>
      <c r="F77" s="186" t="s">
        <v>654</v>
      </c>
      <c r="G77" s="229" t="s">
        <v>124</v>
      </c>
      <c r="H77" s="207" t="s">
        <v>122</v>
      </c>
      <c r="I77" s="207" t="s">
        <v>82</v>
      </c>
      <c r="J77" s="188" t="s">
        <v>91</v>
      </c>
      <c r="K77" s="189">
        <v>0</v>
      </c>
      <c r="L77" s="189">
        <v>25</v>
      </c>
      <c r="M77" s="189">
        <v>0</v>
      </c>
      <c r="N77" s="189">
        <v>0</v>
      </c>
      <c r="O77" s="189">
        <v>0</v>
      </c>
      <c r="P77" s="189">
        <v>0</v>
      </c>
      <c r="Q77" s="191">
        <v>0</v>
      </c>
      <c r="R77" s="189">
        <v>12</v>
      </c>
      <c r="S77" s="189">
        <v>333.58000000000004</v>
      </c>
      <c r="T77" s="189">
        <v>0</v>
      </c>
      <c r="U77" s="189">
        <v>0</v>
      </c>
      <c r="V77" s="189"/>
      <c r="W77" s="291">
        <v>0</v>
      </c>
      <c r="X77" s="291">
        <f t="shared" si="26"/>
        <v>333.58000000000004</v>
      </c>
      <c r="Y77" s="291">
        <v>0</v>
      </c>
      <c r="Z77" s="291">
        <f t="shared" si="27"/>
        <v>333.58000000000004</v>
      </c>
    </row>
    <row r="78" spans="1:70" s="183" customFormat="1" x14ac:dyDescent="0.35">
      <c r="A78" s="183" t="s">
        <v>6</v>
      </c>
      <c r="C78" s="184"/>
      <c r="D78" s="198"/>
      <c r="E78" s="198"/>
      <c r="F78" s="199"/>
      <c r="G78" s="228" t="s">
        <v>126</v>
      </c>
      <c r="H78" s="207"/>
      <c r="I78" s="207"/>
      <c r="J78" s="188"/>
      <c r="K78" s="189"/>
      <c r="L78" s="189"/>
      <c r="M78" s="189"/>
      <c r="N78" s="189"/>
      <c r="O78" s="189"/>
      <c r="P78" s="189"/>
      <c r="Q78" s="191"/>
      <c r="R78" s="189"/>
      <c r="S78" s="189"/>
      <c r="T78" s="189"/>
      <c r="U78" s="189"/>
      <c r="V78" s="189"/>
      <c r="W78" s="291"/>
      <c r="X78" s="291"/>
      <c r="Y78" s="291"/>
      <c r="Z78" s="298"/>
    </row>
    <row r="79" spans="1:70" s="183" customFormat="1" x14ac:dyDescent="0.35">
      <c r="A79" s="183" t="s">
        <v>6</v>
      </c>
      <c r="C79" s="184"/>
      <c r="D79" s="185" t="s">
        <v>142</v>
      </c>
      <c r="E79" s="185">
        <v>86040</v>
      </c>
      <c r="F79" s="186" t="s">
        <v>654</v>
      </c>
      <c r="G79" s="229" t="s">
        <v>143</v>
      </c>
      <c r="H79" s="207" t="s">
        <v>129</v>
      </c>
      <c r="I79" s="207" t="s">
        <v>82</v>
      </c>
      <c r="J79" s="188" t="s">
        <v>87</v>
      </c>
      <c r="K79" s="189">
        <v>0</v>
      </c>
      <c r="L79" s="189">
        <v>630</v>
      </c>
      <c r="M79" s="189">
        <v>0</v>
      </c>
      <c r="N79" s="189">
        <v>1</v>
      </c>
      <c r="O79" s="189">
        <v>382.91</v>
      </c>
      <c r="P79" s="189">
        <v>0</v>
      </c>
      <c r="Q79" s="191">
        <v>0</v>
      </c>
      <c r="R79" s="189">
        <v>5</v>
      </c>
      <c r="S79" s="189">
        <v>656.51</v>
      </c>
      <c r="T79" s="189">
        <v>2.6984126984126986</v>
      </c>
      <c r="U79" s="189">
        <v>3754.05</v>
      </c>
      <c r="V79" s="189"/>
      <c r="W79" s="291">
        <v>0</v>
      </c>
      <c r="X79" s="291">
        <f t="shared" ref="X79:X81" si="28">SUM(M79+O79+Q79+S79+U79+W79)</f>
        <v>4793.47</v>
      </c>
      <c r="Y79" s="291">
        <v>0</v>
      </c>
      <c r="Z79" s="291">
        <f t="shared" ref="Z79:Z81" si="29">X79+Y79</f>
        <v>4793.47</v>
      </c>
    </row>
    <row r="80" spans="1:70" s="183" customFormat="1" x14ac:dyDescent="0.35">
      <c r="A80" s="183" t="s">
        <v>6</v>
      </c>
      <c r="C80" s="184"/>
      <c r="D80" s="185" t="s">
        <v>144</v>
      </c>
      <c r="E80" s="185" t="s">
        <v>89</v>
      </c>
      <c r="F80" s="186" t="s">
        <v>654</v>
      </c>
      <c r="G80" s="229" t="s">
        <v>131</v>
      </c>
      <c r="H80" s="207" t="s">
        <v>129</v>
      </c>
      <c r="I80" s="207" t="s">
        <v>82</v>
      </c>
      <c r="J80" s="188" t="s">
        <v>91</v>
      </c>
      <c r="K80" s="189">
        <v>0</v>
      </c>
      <c r="L80" s="189">
        <v>250</v>
      </c>
      <c r="M80" s="189">
        <v>0</v>
      </c>
      <c r="N80" s="189">
        <v>0</v>
      </c>
      <c r="O80" s="189">
        <v>0</v>
      </c>
      <c r="P80" s="189">
        <v>0</v>
      </c>
      <c r="Q80" s="191">
        <v>0</v>
      </c>
      <c r="R80" s="189">
        <v>15</v>
      </c>
      <c r="S80" s="189">
        <v>2909.5699999999997</v>
      </c>
      <c r="T80" s="189">
        <v>8.7680000000000007</v>
      </c>
      <c r="U80" s="189">
        <v>1773.29</v>
      </c>
      <c r="V80" s="189"/>
      <c r="W80" s="291">
        <v>0</v>
      </c>
      <c r="X80" s="291">
        <f t="shared" si="28"/>
        <v>4682.8599999999997</v>
      </c>
      <c r="Y80" s="291">
        <v>0</v>
      </c>
      <c r="Z80" s="291">
        <f t="shared" si="29"/>
        <v>4682.8599999999997</v>
      </c>
    </row>
    <row r="81" spans="1:39" s="183" customFormat="1" x14ac:dyDescent="0.35">
      <c r="A81" s="183" t="s">
        <v>6</v>
      </c>
      <c r="C81" s="184"/>
      <c r="D81" s="185" t="s">
        <v>145</v>
      </c>
      <c r="E81" s="185">
        <v>86000</v>
      </c>
      <c r="F81" s="186" t="s">
        <v>654</v>
      </c>
      <c r="G81" s="229" t="s">
        <v>132</v>
      </c>
      <c r="H81" s="207" t="s">
        <v>129</v>
      </c>
      <c r="I81" s="207" t="s">
        <v>82</v>
      </c>
      <c r="J81" s="188" t="s">
        <v>91</v>
      </c>
      <c r="K81" s="189">
        <v>0</v>
      </c>
      <c r="L81" s="189">
        <v>25</v>
      </c>
      <c r="M81" s="189">
        <v>0</v>
      </c>
      <c r="N81" s="189">
        <v>0</v>
      </c>
      <c r="O81" s="189">
        <v>0</v>
      </c>
      <c r="P81" s="189">
        <v>0</v>
      </c>
      <c r="Q81" s="191">
        <v>0</v>
      </c>
      <c r="R81" s="189">
        <v>10</v>
      </c>
      <c r="S81" s="189">
        <v>77.680000000000007</v>
      </c>
      <c r="T81" s="189">
        <v>8</v>
      </c>
      <c r="U81" s="189">
        <v>90.960000000000008</v>
      </c>
      <c r="V81" s="189"/>
      <c r="W81" s="291">
        <v>0</v>
      </c>
      <c r="X81" s="291">
        <f t="shared" si="28"/>
        <v>168.64000000000001</v>
      </c>
      <c r="Y81" s="291">
        <v>0</v>
      </c>
      <c r="Z81" s="291">
        <f t="shared" si="29"/>
        <v>168.64000000000001</v>
      </c>
    </row>
    <row r="82" spans="1:39" s="183" customFormat="1" x14ac:dyDescent="0.35">
      <c r="A82" s="183" t="s">
        <v>6</v>
      </c>
      <c r="C82" s="184"/>
      <c r="D82" s="198"/>
      <c r="E82" s="198"/>
      <c r="F82" s="199"/>
      <c r="G82" s="225" t="s">
        <v>146</v>
      </c>
      <c r="H82" s="226"/>
      <c r="I82" s="226"/>
      <c r="J82" s="188"/>
      <c r="K82" s="189"/>
      <c r="L82" s="189"/>
      <c r="M82" s="189"/>
      <c r="N82" s="189"/>
      <c r="O82" s="189"/>
      <c r="P82" s="189"/>
      <c r="Q82" s="191"/>
      <c r="R82" s="189"/>
      <c r="S82" s="189"/>
      <c r="T82" s="189"/>
      <c r="U82" s="189"/>
      <c r="V82" s="189"/>
      <c r="W82" s="291"/>
      <c r="X82" s="291"/>
      <c r="Y82" s="291"/>
      <c r="Z82" s="291"/>
    </row>
    <row r="83" spans="1:39" s="183" customFormat="1" x14ac:dyDescent="0.35">
      <c r="A83" s="183" t="s">
        <v>6</v>
      </c>
      <c r="C83" s="184"/>
      <c r="D83" s="198"/>
      <c r="E83" s="198"/>
      <c r="F83" s="199"/>
      <c r="G83" s="228" t="s">
        <v>84</v>
      </c>
      <c r="H83" s="226"/>
      <c r="I83" s="226"/>
      <c r="J83" s="188"/>
      <c r="K83" s="189"/>
      <c r="L83" s="189"/>
      <c r="M83" s="189"/>
      <c r="N83" s="189"/>
      <c r="O83" s="189"/>
      <c r="P83" s="189"/>
      <c r="Q83" s="191"/>
      <c r="R83" s="189"/>
      <c r="S83" s="189"/>
      <c r="T83" s="189"/>
      <c r="U83" s="189"/>
      <c r="V83" s="189"/>
      <c r="W83" s="291"/>
      <c r="X83" s="291"/>
      <c r="Y83" s="291"/>
      <c r="Z83" s="297"/>
    </row>
    <row r="84" spans="1:39" s="183" customFormat="1" ht="12" customHeight="1" x14ac:dyDescent="0.35">
      <c r="A84" s="183" t="s">
        <v>6</v>
      </c>
      <c r="C84" s="184"/>
      <c r="D84" s="185" t="s">
        <v>147</v>
      </c>
      <c r="E84" s="185" t="s">
        <v>89</v>
      </c>
      <c r="F84" s="186" t="s">
        <v>654</v>
      </c>
      <c r="G84" s="187" t="s">
        <v>148</v>
      </c>
      <c r="H84" s="188" t="s">
        <v>34</v>
      </c>
      <c r="I84" s="207" t="s">
        <v>82</v>
      </c>
      <c r="J84" s="188" t="s">
        <v>36</v>
      </c>
      <c r="K84" s="189">
        <v>12</v>
      </c>
      <c r="L84" s="189">
        <v>150</v>
      </c>
      <c r="M84" s="189">
        <v>4841.8899999999994</v>
      </c>
      <c r="N84" s="189">
        <v>12</v>
      </c>
      <c r="O84" s="189">
        <v>1456.49</v>
      </c>
      <c r="P84" s="189">
        <v>12</v>
      </c>
      <c r="Q84" s="191">
        <v>536.37999999999988</v>
      </c>
      <c r="R84" s="189">
        <v>6</v>
      </c>
      <c r="S84" s="189">
        <v>642.04</v>
      </c>
      <c r="T84" s="189">
        <v>6.26</v>
      </c>
      <c r="U84" s="189">
        <v>1751</v>
      </c>
      <c r="V84" s="189">
        <f>+W84/L84</f>
        <v>2.0866666666666664</v>
      </c>
      <c r="W84" s="291">
        <v>313</v>
      </c>
      <c r="X84" s="291">
        <f t="shared" ref="X84:X85" si="30">SUM(M84+O84+Q84+S84+U84+W84)</f>
        <v>9540.7999999999993</v>
      </c>
      <c r="Y84" s="291">
        <v>0</v>
      </c>
      <c r="Z84" s="291">
        <f t="shared" ref="Z84:Z85" si="31">X84+Y84</f>
        <v>9540.7999999999993</v>
      </c>
    </row>
    <row r="85" spans="1:39" s="183" customFormat="1" ht="12" customHeight="1" x14ac:dyDescent="0.35">
      <c r="A85" s="183" t="s">
        <v>6</v>
      </c>
      <c r="C85" s="184"/>
      <c r="D85" s="185" t="s">
        <v>149</v>
      </c>
      <c r="E85" s="185">
        <v>86000</v>
      </c>
      <c r="F85" s="186" t="s">
        <v>654</v>
      </c>
      <c r="G85" s="187" t="s">
        <v>150</v>
      </c>
      <c r="H85" s="188" t="s">
        <v>34</v>
      </c>
      <c r="I85" s="207" t="s">
        <v>82</v>
      </c>
      <c r="J85" s="188" t="s">
        <v>36</v>
      </c>
      <c r="K85" s="189">
        <v>12</v>
      </c>
      <c r="L85" s="189">
        <v>150</v>
      </c>
      <c r="M85" s="189">
        <v>4593.87</v>
      </c>
      <c r="N85" s="189">
        <v>12</v>
      </c>
      <c r="O85" s="189">
        <v>468.43</v>
      </c>
      <c r="P85" s="189">
        <v>12</v>
      </c>
      <c r="Q85" s="191">
        <v>505.77</v>
      </c>
      <c r="R85" s="189">
        <v>6</v>
      </c>
      <c r="S85" s="189">
        <v>544.16</v>
      </c>
      <c r="T85" s="189">
        <v>5</v>
      </c>
      <c r="U85" s="189">
        <v>900.2</v>
      </c>
      <c r="V85" s="189">
        <f>+W85/L85</f>
        <v>1.6666666666666667</v>
      </c>
      <c r="W85" s="291">
        <v>250</v>
      </c>
      <c r="X85" s="291">
        <f t="shared" si="30"/>
        <v>7262.4299999999994</v>
      </c>
      <c r="Y85" s="291">
        <v>0</v>
      </c>
      <c r="Z85" s="291">
        <f t="shared" si="31"/>
        <v>7262.4299999999994</v>
      </c>
    </row>
    <row r="86" spans="1:39" s="183" customFormat="1" ht="12" customHeight="1" x14ac:dyDescent="0.35">
      <c r="A86" s="183" t="s">
        <v>6</v>
      </c>
      <c r="C86" s="184"/>
      <c r="D86" s="198"/>
      <c r="E86" s="198"/>
      <c r="F86" s="199"/>
      <c r="G86" s="228" t="s">
        <v>151</v>
      </c>
      <c r="H86" s="188"/>
      <c r="I86" s="207"/>
      <c r="J86" s="188"/>
      <c r="K86" s="189"/>
      <c r="L86" s="189"/>
      <c r="M86" s="189"/>
      <c r="N86" s="189"/>
      <c r="O86" s="189"/>
      <c r="P86" s="189"/>
      <c r="Q86" s="191"/>
      <c r="R86" s="189"/>
      <c r="S86" s="189"/>
      <c r="T86" s="189"/>
      <c r="U86" s="189"/>
      <c r="V86" s="189"/>
      <c r="W86" s="291"/>
      <c r="X86" s="291"/>
      <c r="Y86" s="291"/>
      <c r="Z86" s="298"/>
    </row>
    <row r="87" spans="1:39" s="183" customFormat="1" ht="12" customHeight="1" x14ac:dyDescent="0.35">
      <c r="A87" s="183" t="s">
        <v>6</v>
      </c>
      <c r="C87" s="184"/>
      <c r="D87" s="185" t="s">
        <v>152</v>
      </c>
      <c r="E87" s="185" t="s">
        <v>89</v>
      </c>
      <c r="F87" s="186" t="s">
        <v>656</v>
      </c>
      <c r="G87" s="187" t="s">
        <v>153</v>
      </c>
      <c r="H87" s="188" t="s">
        <v>55</v>
      </c>
      <c r="I87" s="207" t="s">
        <v>82</v>
      </c>
      <c r="J87" s="188" t="s">
        <v>36</v>
      </c>
      <c r="K87" s="189">
        <v>3</v>
      </c>
      <c r="L87" s="189">
        <v>150</v>
      </c>
      <c r="M87" s="189">
        <v>0</v>
      </c>
      <c r="N87" s="189">
        <v>12</v>
      </c>
      <c r="O87" s="189">
        <v>0</v>
      </c>
      <c r="P87" s="189">
        <v>1</v>
      </c>
      <c r="Q87" s="191">
        <v>15</v>
      </c>
      <c r="R87" s="189">
        <v>0</v>
      </c>
      <c r="S87" s="189">
        <v>0</v>
      </c>
      <c r="T87" s="189">
        <v>0</v>
      </c>
      <c r="U87" s="189">
        <v>0</v>
      </c>
      <c r="V87" s="189">
        <v>0</v>
      </c>
      <c r="W87" s="291">
        <v>0</v>
      </c>
      <c r="X87" s="291">
        <f t="shared" ref="X87:X88" si="32">SUM(M87+O87+Q87+S87+U87+W87)</f>
        <v>15</v>
      </c>
      <c r="Y87" s="291">
        <v>0</v>
      </c>
      <c r="Z87" s="291">
        <f t="shared" ref="Z87:Z89" si="33">X87+Y87</f>
        <v>15</v>
      </c>
    </row>
    <row r="88" spans="1:39" s="183" customFormat="1" ht="12" customHeight="1" x14ac:dyDescent="0.35">
      <c r="A88" s="183" t="s">
        <v>6</v>
      </c>
      <c r="C88" s="184"/>
      <c r="D88" s="185" t="s">
        <v>154</v>
      </c>
      <c r="E88" s="185">
        <v>86000</v>
      </c>
      <c r="F88" s="186" t="s">
        <v>656</v>
      </c>
      <c r="G88" s="187" t="s">
        <v>155</v>
      </c>
      <c r="H88" s="188" t="s">
        <v>55</v>
      </c>
      <c r="I88" s="207" t="s">
        <v>82</v>
      </c>
      <c r="J88" s="188" t="s">
        <v>36</v>
      </c>
      <c r="K88" s="189">
        <v>3</v>
      </c>
      <c r="L88" s="189">
        <v>150</v>
      </c>
      <c r="M88" s="189">
        <v>311</v>
      </c>
      <c r="N88" s="189">
        <v>12</v>
      </c>
      <c r="O88" s="189">
        <v>22</v>
      </c>
      <c r="P88" s="189">
        <v>1</v>
      </c>
      <c r="Q88" s="191">
        <v>20</v>
      </c>
      <c r="R88" s="189">
        <v>0</v>
      </c>
      <c r="S88" s="189">
        <v>0</v>
      </c>
      <c r="T88" s="189">
        <v>0</v>
      </c>
      <c r="U88" s="189">
        <v>0</v>
      </c>
      <c r="V88" s="189">
        <v>0</v>
      </c>
      <c r="W88" s="291">
        <v>25</v>
      </c>
      <c r="X88" s="291">
        <f t="shared" si="32"/>
        <v>378</v>
      </c>
      <c r="Y88" s="291">
        <v>0</v>
      </c>
      <c r="Z88" s="291">
        <f t="shared" si="33"/>
        <v>378</v>
      </c>
    </row>
    <row r="89" spans="1:39" s="183" customFormat="1" ht="12" customHeight="1" x14ac:dyDescent="0.35">
      <c r="A89" s="183" t="s">
        <v>6</v>
      </c>
      <c r="C89" s="184"/>
      <c r="D89" s="198"/>
      <c r="E89" s="198"/>
      <c r="F89" s="234"/>
      <c r="G89" s="187"/>
      <c r="H89" s="188"/>
      <c r="I89" s="188"/>
      <c r="J89" s="188"/>
      <c r="K89" s="189"/>
      <c r="L89" s="189"/>
      <c r="M89" s="189"/>
      <c r="N89" s="189"/>
      <c r="O89" s="189"/>
      <c r="P89" s="189"/>
      <c r="Q89" s="191"/>
      <c r="R89" s="189"/>
      <c r="S89" s="189"/>
      <c r="T89" s="189"/>
      <c r="U89" s="189"/>
      <c r="V89" s="189"/>
      <c r="W89" s="291"/>
      <c r="X89" s="291"/>
      <c r="Y89" s="291"/>
      <c r="Z89" s="298">
        <f t="shared" si="33"/>
        <v>0</v>
      </c>
    </row>
    <row r="90" spans="1:39" s="183" customFormat="1" ht="12" customHeight="1" thickBot="1" x14ac:dyDescent="0.4">
      <c r="A90" s="183" t="s">
        <v>6</v>
      </c>
      <c r="C90" s="184" t="s">
        <v>82</v>
      </c>
      <c r="D90" s="198"/>
      <c r="E90" s="198"/>
      <c r="F90" s="199"/>
      <c r="G90" s="212" t="s">
        <v>156</v>
      </c>
      <c r="H90" s="213"/>
      <c r="I90" s="213"/>
      <c r="J90" s="214"/>
      <c r="K90" s="214"/>
      <c r="L90" s="215"/>
      <c r="M90" s="216">
        <f t="shared" ref="M90:U90" si="34">SUM(M37:M88)</f>
        <v>47345.919999999998</v>
      </c>
      <c r="N90" s="216"/>
      <c r="O90" s="216">
        <f t="shared" si="34"/>
        <v>2329.83</v>
      </c>
      <c r="P90" s="216"/>
      <c r="Q90" s="216">
        <f t="shared" si="34"/>
        <v>5305.99</v>
      </c>
      <c r="R90" s="216"/>
      <c r="S90" s="216">
        <f t="shared" si="34"/>
        <v>22061.52</v>
      </c>
      <c r="T90" s="216"/>
      <c r="U90" s="216">
        <f t="shared" si="34"/>
        <v>16437.22</v>
      </c>
      <c r="V90" s="216"/>
      <c r="W90" s="294">
        <f t="shared" ref="W90" si="35">SUM(W37:W88)</f>
        <v>6403.7800000000007</v>
      </c>
      <c r="X90" s="294">
        <f>M90+O90+Q90+S90+U90+W90</f>
        <v>99884.26</v>
      </c>
      <c r="Y90" s="294">
        <f>SUM(Y36:Y88)</f>
        <v>0</v>
      </c>
      <c r="Z90" s="299">
        <f>X90+Y90</f>
        <v>99884.26</v>
      </c>
    </row>
    <row r="91" spans="1:39" s="183" customFormat="1" ht="12" customHeight="1" x14ac:dyDescent="0.35">
      <c r="A91" s="183" t="s">
        <v>6</v>
      </c>
      <c r="C91" s="184"/>
      <c r="G91" s="218" t="s">
        <v>157</v>
      </c>
      <c r="H91" s="219"/>
      <c r="I91" s="219"/>
      <c r="J91" s="219"/>
      <c r="K91" s="219"/>
      <c r="L91" s="235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300"/>
      <c r="X91" s="300"/>
      <c r="Y91" s="300"/>
      <c r="Z91" s="300"/>
    </row>
    <row r="92" spans="1:39" s="183" customFormat="1" ht="12" customHeight="1" x14ac:dyDescent="0.35">
      <c r="A92" s="183" t="s">
        <v>6</v>
      </c>
      <c r="C92" s="184"/>
      <c r="G92" s="225" t="s">
        <v>158</v>
      </c>
      <c r="H92" s="219"/>
      <c r="I92" s="219"/>
      <c r="J92" s="219"/>
      <c r="K92" s="219"/>
      <c r="L92" s="235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300"/>
      <c r="X92" s="300"/>
      <c r="Y92" s="300"/>
      <c r="Z92" s="297"/>
      <c r="AA92" s="236"/>
      <c r="AB92" s="231"/>
      <c r="AC92" s="205"/>
      <c r="AM92" s="233"/>
    </row>
    <row r="93" spans="1:39" s="183" customFormat="1" ht="22" customHeight="1" x14ac:dyDescent="0.35">
      <c r="A93" s="183" t="s">
        <v>6</v>
      </c>
      <c r="C93" s="184" t="s">
        <v>159</v>
      </c>
      <c r="D93" s="185" t="s">
        <v>160</v>
      </c>
      <c r="E93" s="185">
        <v>82401</v>
      </c>
      <c r="F93" s="186" t="s">
        <v>654</v>
      </c>
      <c r="G93" s="229" t="s">
        <v>161</v>
      </c>
      <c r="H93" s="188" t="s">
        <v>34</v>
      </c>
      <c r="I93" s="188" t="s">
        <v>157</v>
      </c>
      <c r="J93" s="188" t="s">
        <v>162</v>
      </c>
      <c r="K93" s="189">
        <v>1</v>
      </c>
      <c r="L93" s="189">
        <v>1100</v>
      </c>
      <c r="M93" s="189">
        <v>266.85000000000002</v>
      </c>
      <c r="N93" s="189">
        <v>0</v>
      </c>
      <c r="O93" s="189">
        <v>37.25</v>
      </c>
      <c r="P93" s="189">
        <v>0</v>
      </c>
      <c r="Q93" s="191">
        <v>35.180000000000007</v>
      </c>
      <c r="R93" s="189">
        <v>0</v>
      </c>
      <c r="S93" s="189">
        <v>0</v>
      </c>
      <c r="T93" s="189">
        <v>0.02</v>
      </c>
      <c r="U93" s="189">
        <v>37.79</v>
      </c>
      <c r="V93" s="189">
        <v>0</v>
      </c>
      <c r="W93" s="291">
        <v>0</v>
      </c>
      <c r="X93" s="291">
        <f t="shared" ref="X93:X97" si="36">SUM(M93+O93+Q93+S93+U93+W93)</f>
        <v>377.07000000000005</v>
      </c>
      <c r="Y93" s="291">
        <v>0</v>
      </c>
      <c r="Z93" s="291">
        <f t="shared" ref="Z93:Z100" si="37">X93+Y93</f>
        <v>377.07000000000005</v>
      </c>
    </row>
    <row r="94" spans="1:39" s="183" customFormat="1" ht="22" customHeight="1" x14ac:dyDescent="0.35">
      <c r="A94" s="183" t="s">
        <v>6</v>
      </c>
      <c r="C94" s="184" t="s">
        <v>159</v>
      </c>
      <c r="D94" s="185" t="s">
        <v>163</v>
      </c>
      <c r="E94" s="185">
        <v>82401</v>
      </c>
      <c r="F94" s="186" t="s">
        <v>652</v>
      </c>
      <c r="G94" s="187" t="s">
        <v>164</v>
      </c>
      <c r="H94" s="188" t="s">
        <v>34</v>
      </c>
      <c r="I94" s="188" t="s">
        <v>157</v>
      </c>
      <c r="J94" s="188" t="s">
        <v>162</v>
      </c>
      <c r="K94" s="189">
        <v>4</v>
      </c>
      <c r="L94" s="189">
        <v>1100</v>
      </c>
      <c r="M94" s="189">
        <v>2501.4299999999998</v>
      </c>
      <c r="N94" s="189">
        <v>0</v>
      </c>
      <c r="O94" s="189">
        <v>354.81999999999988</v>
      </c>
      <c r="P94" s="189">
        <v>0</v>
      </c>
      <c r="Q94" s="191">
        <v>6333.53</v>
      </c>
      <c r="R94" s="189">
        <v>0</v>
      </c>
      <c r="S94" s="189">
        <v>2592.8999999999992</v>
      </c>
      <c r="T94" s="189">
        <v>2.5360081339712912</v>
      </c>
      <c r="U94" s="189">
        <v>4883.09</v>
      </c>
      <c r="V94" s="189">
        <f>+W94/L94</f>
        <v>3.6030045454545467</v>
      </c>
      <c r="W94" s="291">
        <v>3963.3050000000012</v>
      </c>
      <c r="X94" s="291">
        <f t="shared" si="36"/>
        <v>20629.074999999997</v>
      </c>
      <c r="Y94" s="291">
        <v>0</v>
      </c>
      <c r="Z94" s="291">
        <f t="shared" si="37"/>
        <v>20629.074999999997</v>
      </c>
    </row>
    <row r="95" spans="1:39" s="183" customFormat="1" ht="22" hidden="1" customHeight="1" x14ac:dyDescent="0.35">
      <c r="A95" s="183" t="s">
        <v>6</v>
      </c>
      <c r="C95" s="184" t="s">
        <v>159</v>
      </c>
      <c r="D95" s="196" t="s">
        <v>46</v>
      </c>
      <c r="E95" s="196" t="s">
        <v>46</v>
      </c>
      <c r="F95" s="197" t="s">
        <v>46</v>
      </c>
      <c r="G95" s="187" t="s">
        <v>165</v>
      </c>
      <c r="H95" s="188" t="s">
        <v>34</v>
      </c>
      <c r="I95" s="188" t="s">
        <v>157</v>
      </c>
      <c r="J95" s="188" t="s">
        <v>162</v>
      </c>
      <c r="K95" s="189"/>
      <c r="L95" s="189"/>
      <c r="M95" s="189"/>
      <c r="N95" s="189">
        <v>0</v>
      </c>
      <c r="O95" s="189"/>
      <c r="P95" s="189">
        <v>0</v>
      </c>
      <c r="Q95" s="191"/>
      <c r="R95" s="189">
        <v>0</v>
      </c>
      <c r="S95" s="189">
        <v>0</v>
      </c>
      <c r="T95" s="189">
        <v>0</v>
      </c>
      <c r="U95" s="189">
        <v>0</v>
      </c>
      <c r="V95" s="189">
        <v>0</v>
      </c>
      <c r="W95" s="291">
        <v>0</v>
      </c>
      <c r="X95" s="291">
        <f t="shared" si="36"/>
        <v>0</v>
      </c>
      <c r="Y95" s="291">
        <v>0</v>
      </c>
      <c r="Z95" s="291">
        <f t="shared" si="37"/>
        <v>0</v>
      </c>
    </row>
    <row r="96" spans="1:39" s="183" customFormat="1" ht="22" customHeight="1" x14ac:dyDescent="0.35">
      <c r="A96" s="183" t="s">
        <v>6</v>
      </c>
      <c r="C96" s="184" t="s">
        <v>159</v>
      </c>
      <c r="D96" s="185" t="s">
        <v>166</v>
      </c>
      <c r="E96" s="185">
        <v>82401</v>
      </c>
      <c r="F96" s="186" t="s">
        <v>654</v>
      </c>
      <c r="G96" s="187" t="s">
        <v>167</v>
      </c>
      <c r="H96" s="188" t="s">
        <v>34</v>
      </c>
      <c r="I96" s="188" t="s">
        <v>157</v>
      </c>
      <c r="J96" s="188" t="s">
        <v>162</v>
      </c>
      <c r="K96" s="189">
        <v>1</v>
      </c>
      <c r="L96" s="189">
        <v>700</v>
      </c>
      <c r="M96" s="189">
        <v>444.64</v>
      </c>
      <c r="N96" s="189">
        <v>0</v>
      </c>
      <c r="O96" s="189">
        <v>0</v>
      </c>
      <c r="P96" s="189">
        <v>0</v>
      </c>
      <c r="Q96" s="191">
        <v>0</v>
      </c>
      <c r="R96" s="189">
        <v>0</v>
      </c>
      <c r="S96" s="189">
        <v>0</v>
      </c>
      <c r="T96" s="189">
        <v>0</v>
      </c>
      <c r="U96" s="189">
        <v>0</v>
      </c>
      <c r="V96" s="189">
        <v>0</v>
      </c>
      <c r="W96" s="291">
        <v>0</v>
      </c>
      <c r="X96" s="291">
        <f t="shared" si="36"/>
        <v>444.64</v>
      </c>
      <c r="Y96" s="291">
        <v>0</v>
      </c>
      <c r="Z96" s="291">
        <f t="shared" si="37"/>
        <v>444.64</v>
      </c>
    </row>
    <row r="97" spans="1:70" s="183" customFormat="1" ht="22" hidden="1" customHeight="1" x14ac:dyDescent="0.35">
      <c r="A97" s="183" t="s">
        <v>6</v>
      </c>
      <c r="C97" s="184" t="s">
        <v>159</v>
      </c>
      <c r="D97" s="196" t="s">
        <v>46</v>
      </c>
      <c r="E97" s="196" t="s">
        <v>46</v>
      </c>
      <c r="F97" s="197" t="s">
        <v>46</v>
      </c>
      <c r="G97" s="187" t="s">
        <v>168</v>
      </c>
      <c r="H97" s="188" t="s">
        <v>34</v>
      </c>
      <c r="I97" s="188" t="s">
        <v>157</v>
      </c>
      <c r="J97" s="188" t="s">
        <v>162</v>
      </c>
      <c r="K97" s="189"/>
      <c r="L97" s="189"/>
      <c r="M97" s="189"/>
      <c r="N97" s="189">
        <v>0</v>
      </c>
      <c r="O97" s="189"/>
      <c r="P97" s="189">
        <v>0</v>
      </c>
      <c r="Q97" s="191"/>
      <c r="R97" s="189">
        <v>0</v>
      </c>
      <c r="S97" s="189">
        <v>0</v>
      </c>
      <c r="T97" s="189">
        <v>0</v>
      </c>
      <c r="U97" s="189">
        <v>0</v>
      </c>
      <c r="V97" s="189">
        <v>0</v>
      </c>
      <c r="W97" s="291">
        <v>0</v>
      </c>
      <c r="X97" s="291">
        <f t="shared" si="36"/>
        <v>0</v>
      </c>
      <c r="Y97" s="291">
        <v>0</v>
      </c>
      <c r="Z97" s="291">
        <f t="shared" si="37"/>
        <v>0</v>
      </c>
    </row>
    <row r="98" spans="1:70" s="183" customFormat="1" ht="12" customHeight="1" x14ac:dyDescent="0.35">
      <c r="A98" s="183" t="s">
        <v>6</v>
      </c>
      <c r="C98" s="184"/>
      <c r="D98" s="198"/>
      <c r="E98" s="198"/>
      <c r="F98" s="199"/>
      <c r="G98" s="237" t="s">
        <v>169</v>
      </c>
      <c r="H98" s="188"/>
      <c r="I98" s="188"/>
      <c r="J98" s="188"/>
      <c r="K98" s="189"/>
      <c r="L98" s="189"/>
      <c r="M98" s="189"/>
      <c r="N98" s="189"/>
      <c r="O98" s="189"/>
      <c r="P98" s="189"/>
      <c r="Q98" s="191"/>
      <c r="R98" s="189"/>
      <c r="S98" s="189">
        <v>0</v>
      </c>
      <c r="T98" s="189"/>
      <c r="U98" s="189"/>
      <c r="V98" s="189"/>
      <c r="W98" s="291"/>
      <c r="X98" s="291"/>
      <c r="Y98" s="291"/>
      <c r="Z98" s="298">
        <f t="shared" si="37"/>
        <v>0</v>
      </c>
      <c r="AA98" s="238"/>
      <c r="AB98" s="231"/>
      <c r="AC98" s="205"/>
      <c r="AD98" s="205"/>
      <c r="AE98" s="205"/>
      <c r="AF98" s="205"/>
      <c r="AG98" s="205"/>
      <c r="AH98" s="205"/>
      <c r="AI98" s="205"/>
      <c r="AJ98" s="205"/>
      <c r="AK98" s="205"/>
      <c r="AL98" s="205"/>
      <c r="AM98" s="233"/>
      <c r="AP98" s="205"/>
      <c r="AQ98" s="205"/>
      <c r="AR98" s="205"/>
      <c r="AS98" s="205"/>
      <c r="AT98" s="205"/>
      <c r="AU98" s="205"/>
      <c r="AV98" s="205"/>
      <c r="AW98" s="205"/>
      <c r="AX98" s="205"/>
      <c r="AY98" s="205"/>
      <c r="AZ98" s="205"/>
      <c r="BA98" s="205"/>
      <c r="BB98" s="205"/>
      <c r="BF98" s="205"/>
      <c r="BG98" s="205"/>
      <c r="BH98" s="205"/>
      <c r="BI98" s="205"/>
      <c r="BJ98" s="205"/>
      <c r="BK98" s="205"/>
      <c r="BL98" s="205"/>
      <c r="BM98" s="205"/>
      <c r="BN98" s="205"/>
      <c r="BO98" s="205"/>
      <c r="BP98" s="205"/>
      <c r="BQ98" s="205"/>
      <c r="BR98" s="205"/>
    </row>
    <row r="99" spans="1:70" s="183" customFormat="1" ht="12" customHeight="1" x14ac:dyDescent="0.35">
      <c r="A99" s="183" t="s">
        <v>6</v>
      </c>
      <c r="C99" s="184" t="s">
        <v>159</v>
      </c>
      <c r="D99" s="185" t="s">
        <v>170</v>
      </c>
      <c r="E99" s="185">
        <v>82401</v>
      </c>
      <c r="F99" s="186" t="s">
        <v>658</v>
      </c>
      <c r="G99" s="187" t="s">
        <v>171</v>
      </c>
      <c r="H99" s="188" t="s">
        <v>55</v>
      </c>
      <c r="I99" s="188" t="s">
        <v>157</v>
      </c>
      <c r="J99" s="188" t="s">
        <v>162</v>
      </c>
      <c r="K99" s="189">
        <v>1</v>
      </c>
      <c r="L99" s="189">
        <v>1100</v>
      </c>
      <c r="M99" s="189">
        <v>3371.5599999999995</v>
      </c>
      <c r="N99" s="189">
        <v>0</v>
      </c>
      <c r="O99" s="189">
        <v>145.89000000000004</v>
      </c>
      <c r="P99" s="189">
        <v>0</v>
      </c>
      <c r="Q99" s="191">
        <v>141.38999999999999</v>
      </c>
      <c r="R99" s="189">
        <v>0</v>
      </c>
      <c r="S99" s="189">
        <v>129.45000000000002</v>
      </c>
      <c r="T99" s="189">
        <v>1.7863636363636363E-2</v>
      </c>
      <c r="U99" s="189">
        <v>201.87</v>
      </c>
      <c r="V99" s="189">
        <v>6.9818181818181819E-3</v>
      </c>
      <c r="W99" s="291">
        <v>4</v>
      </c>
      <c r="X99" s="291">
        <f t="shared" ref="X99:X100" si="38">SUM(M99+O99+Q99+S99+U99+W99)</f>
        <v>3994.1599999999989</v>
      </c>
      <c r="Y99" s="291">
        <v>0</v>
      </c>
      <c r="Z99" s="291">
        <f t="shared" si="37"/>
        <v>3994.1599999999989</v>
      </c>
    </row>
    <row r="100" spans="1:70" s="183" customFormat="1" x14ac:dyDescent="0.35">
      <c r="A100" s="183" t="s">
        <v>6</v>
      </c>
      <c r="C100" s="184" t="s">
        <v>159</v>
      </c>
      <c r="D100" s="185" t="s">
        <v>172</v>
      </c>
      <c r="E100" s="185">
        <v>82401</v>
      </c>
      <c r="F100" s="186" t="s">
        <v>656</v>
      </c>
      <c r="G100" s="187" t="s">
        <v>173</v>
      </c>
      <c r="H100" s="188" t="s">
        <v>55</v>
      </c>
      <c r="I100" s="188" t="s">
        <v>157</v>
      </c>
      <c r="J100" s="188" t="s">
        <v>162</v>
      </c>
      <c r="K100" s="189">
        <v>1</v>
      </c>
      <c r="L100" s="189">
        <v>700</v>
      </c>
      <c r="M100" s="189">
        <v>48</v>
      </c>
      <c r="N100" s="189">
        <v>0</v>
      </c>
      <c r="O100" s="189">
        <v>0</v>
      </c>
      <c r="P100" s="189">
        <v>0</v>
      </c>
      <c r="Q100" s="191">
        <v>0</v>
      </c>
      <c r="R100" s="189">
        <v>0</v>
      </c>
      <c r="S100" s="189">
        <v>0</v>
      </c>
      <c r="T100" s="189">
        <v>0</v>
      </c>
      <c r="U100" s="189">
        <v>0</v>
      </c>
      <c r="V100" s="189">
        <v>0</v>
      </c>
      <c r="W100" s="291">
        <v>0</v>
      </c>
      <c r="X100" s="291">
        <f t="shared" si="38"/>
        <v>48</v>
      </c>
      <c r="Y100" s="291">
        <v>0</v>
      </c>
      <c r="Z100" s="291">
        <f t="shared" si="37"/>
        <v>48</v>
      </c>
    </row>
    <row r="101" spans="1:70" s="183" customFormat="1" x14ac:dyDescent="0.35">
      <c r="A101" s="183" t="s">
        <v>6</v>
      </c>
      <c r="C101" s="184"/>
      <c r="D101" s="198"/>
      <c r="E101" s="198"/>
      <c r="F101" s="199"/>
      <c r="G101" s="187"/>
      <c r="H101" s="207"/>
      <c r="I101" s="207"/>
      <c r="J101" s="188"/>
      <c r="K101" s="189"/>
      <c r="L101" s="189"/>
      <c r="M101" s="189"/>
      <c r="N101" s="189"/>
      <c r="O101" s="189"/>
      <c r="P101" s="189"/>
      <c r="Q101" s="191"/>
      <c r="R101" s="189"/>
      <c r="S101" s="189"/>
      <c r="T101" s="189"/>
      <c r="U101" s="189"/>
      <c r="V101" s="189"/>
      <c r="W101" s="291"/>
      <c r="X101" s="291"/>
      <c r="Y101" s="291"/>
      <c r="Z101" s="297"/>
    </row>
    <row r="102" spans="1:70" s="183" customFormat="1" ht="11.7" thickBot="1" x14ac:dyDescent="0.4">
      <c r="A102" s="183" t="s">
        <v>6</v>
      </c>
      <c r="C102" s="184"/>
      <c r="G102" s="212" t="s">
        <v>174</v>
      </c>
      <c r="H102" s="213"/>
      <c r="I102" s="213"/>
      <c r="J102" s="214"/>
      <c r="K102" s="214"/>
      <c r="L102" s="215"/>
      <c r="M102" s="216">
        <f t="shared" ref="M102:U102" si="39">SUM(M93:M100)</f>
        <v>6632.48</v>
      </c>
      <c r="N102" s="216"/>
      <c r="O102" s="216">
        <f t="shared" si="39"/>
        <v>537.95999999999992</v>
      </c>
      <c r="P102" s="216"/>
      <c r="Q102" s="216">
        <f t="shared" si="39"/>
        <v>6510.1</v>
      </c>
      <c r="R102" s="216"/>
      <c r="S102" s="216">
        <f t="shared" si="39"/>
        <v>2722.349999999999</v>
      </c>
      <c r="T102" s="216"/>
      <c r="U102" s="216">
        <f t="shared" si="39"/>
        <v>5122.75</v>
      </c>
      <c r="V102" s="216"/>
      <c r="W102" s="294">
        <f t="shared" ref="W102" si="40">SUM(W93:W100)</f>
        <v>3967.3050000000012</v>
      </c>
      <c r="X102" s="294">
        <f>M102+O102+Q102+S102+U102+W102</f>
        <v>25492.945</v>
      </c>
      <c r="Y102" s="294">
        <f>SUM(Y94:Y100)</f>
        <v>0</v>
      </c>
      <c r="Z102" s="294">
        <f>SUM(Z93:Z100)</f>
        <v>25492.944999999996</v>
      </c>
    </row>
    <row r="103" spans="1:70" s="183" customFormat="1" x14ac:dyDescent="0.35">
      <c r="A103" s="183" t="s">
        <v>6</v>
      </c>
      <c r="C103" s="184"/>
      <c r="G103" s="218" t="s">
        <v>175</v>
      </c>
      <c r="H103" s="219"/>
      <c r="I103" s="219"/>
      <c r="J103" s="219"/>
      <c r="K103" s="219"/>
      <c r="L103" s="235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300"/>
      <c r="X103" s="300"/>
      <c r="Y103" s="300"/>
      <c r="Z103" s="300"/>
    </row>
    <row r="104" spans="1:70" s="183" customFormat="1" x14ac:dyDescent="0.35">
      <c r="A104" s="183" t="s">
        <v>6</v>
      </c>
      <c r="C104" s="184"/>
      <c r="G104" s="225" t="s">
        <v>158</v>
      </c>
      <c r="H104" s="219"/>
      <c r="I104" s="219"/>
      <c r="J104" s="219"/>
      <c r="K104" s="219"/>
      <c r="L104" s="235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300"/>
      <c r="X104" s="300"/>
      <c r="Y104" s="300"/>
      <c r="Z104" s="300"/>
      <c r="AA104" s="240"/>
      <c r="AB104" s="231"/>
      <c r="AC104" s="205"/>
      <c r="AD104" s="241"/>
      <c r="AE104" s="241"/>
      <c r="AF104" s="241"/>
      <c r="AG104" s="241"/>
      <c r="AH104" s="241"/>
      <c r="AI104" s="241"/>
      <c r="AJ104" s="241"/>
      <c r="AK104" s="241"/>
      <c r="AL104" s="241"/>
      <c r="AM104" s="233"/>
      <c r="AP104" s="241"/>
      <c r="AQ104" s="241"/>
      <c r="AR104" s="241"/>
      <c r="AS104" s="241"/>
      <c r="AT104" s="241"/>
      <c r="AU104" s="241"/>
      <c r="AV104" s="241"/>
      <c r="AW104" s="241"/>
      <c r="AX104" s="241"/>
      <c r="AY104" s="241"/>
      <c r="AZ104" s="241"/>
      <c r="BA104" s="241"/>
      <c r="BB104" s="241"/>
      <c r="BF104" s="241"/>
      <c r="BG104" s="241"/>
      <c r="BH104" s="241"/>
      <c r="BI104" s="241"/>
      <c r="BJ104" s="241"/>
      <c r="BK104" s="241"/>
      <c r="BL104" s="241"/>
      <c r="BM104" s="241"/>
      <c r="BN104" s="241"/>
      <c r="BO104" s="241"/>
      <c r="BP104" s="241"/>
      <c r="BQ104" s="241"/>
      <c r="BR104" s="241"/>
    </row>
    <row r="105" spans="1:70" s="183" customFormat="1" x14ac:dyDescent="0.35">
      <c r="A105" s="183" t="s">
        <v>6</v>
      </c>
      <c r="C105" s="184" t="s">
        <v>159</v>
      </c>
      <c r="D105" s="185" t="s">
        <v>176</v>
      </c>
      <c r="E105" s="185">
        <v>90900</v>
      </c>
      <c r="F105" s="186" t="s">
        <v>654</v>
      </c>
      <c r="G105" s="187" t="s">
        <v>177</v>
      </c>
      <c r="H105" s="188" t="s">
        <v>34</v>
      </c>
      <c r="I105" s="188" t="s">
        <v>178</v>
      </c>
      <c r="J105" s="188" t="s">
        <v>36</v>
      </c>
      <c r="K105" s="189">
        <v>11</v>
      </c>
      <c r="L105" s="189">
        <v>68</v>
      </c>
      <c r="M105" s="189">
        <v>409.31000000000017</v>
      </c>
      <c r="N105" s="189">
        <v>12</v>
      </c>
      <c r="O105" s="189">
        <v>3063.88</v>
      </c>
      <c r="P105" s="189">
        <v>12</v>
      </c>
      <c r="Q105" s="191">
        <v>428.39999999999992</v>
      </c>
      <c r="R105" s="189">
        <v>12</v>
      </c>
      <c r="S105" s="189">
        <v>10411.32</v>
      </c>
      <c r="T105" s="189">
        <v>12.0624</v>
      </c>
      <c r="U105" s="189">
        <v>2783.7599999999984</v>
      </c>
      <c r="V105" s="189">
        <v>12</v>
      </c>
      <c r="W105" s="291">
        <v>822.32</v>
      </c>
      <c r="X105" s="291">
        <f t="shared" ref="X105:X116" si="41">SUM(M105+O105+Q105+S105+U105+W105)</f>
        <v>17918.989999999998</v>
      </c>
      <c r="Y105" s="291">
        <v>0</v>
      </c>
      <c r="Z105" s="291">
        <f t="shared" ref="Z105:Z116" si="42">X105+Y105</f>
        <v>17918.989999999998</v>
      </c>
    </row>
    <row r="106" spans="1:70" s="183" customFormat="1" x14ac:dyDescent="0.35">
      <c r="C106" s="184"/>
      <c r="D106" s="185" t="s">
        <v>179</v>
      </c>
      <c r="E106" s="185">
        <v>82105</v>
      </c>
      <c r="F106" s="186" t="s">
        <v>654</v>
      </c>
      <c r="G106" s="187" t="s">
        <v>180</v>
      </c>
      <c r="H106" s="188" t="s">
        <v>34</v>
      </c>
      <c r="I106" s="188" t="s">
        <v>178</v>
      </c>
      <c r="J106" s="188" t="s">
        <v>36</v>
      </c>
      <c r="K106" s="189">
        <v>11</v>
      </c>
      <c r="L106" s="189">
        <v>226.99535211267604</v>
      </c>
      <c r="M106" s="189">
        <v>0</v>
      </c>
      <c r="N106" s="189">
        <v>0</v>
      </c>
      <c r="O106" s="189">
        <v>0</v>
      </c>
      <c r="P106" s="189">
        <v>0</v>
      </c>
      <c r="Q106" s="191">
        <v>0</v>
      </c>
      <c r="R106" s="189">
        <v>12</v>
      </c>
      <c r="S106" s="189">
        <v>1395.04</v>
      </c>
      <c r="T106" s="189">
        <v>11.59380566829252</v>
      </c>
      <c r="U106" s="189">
        <v>1994.58</v>
      </c>
      <c r="V106" s="189">
        <f>+W106/L106</f>
        <v>15.413575509084694</v>
      </c>
      <c r="W106" s="291">
        <v>3498.81</v>
      </c>
      <c r="X106" s="291">
        <f t="shared" si="41"/>
        <v>6888.43</v>
      </c>
      <c r="Y106" s="291">
        <v>0</v>
      </c>
      <c r="Z106" s="291">
        <f t="shared" si="42"/>
        <v>6888.43</v>
      </c>
    </row>
    <row r="107" spans="1:70" s="183" customFormat="1" x14ac:dyDescent="0.35">
      <c r="A107" s="183" t="s">
        <v>6</v>
      </c>
      <c r="C107" s="184" t="s">
        <v>181</v>
      </c>
      <c r="D107" s="185" t="s">
        <v>182</v>
      </c>
      <c r="E107" s="185">
        <v>82350</v>
      </c>
      <c r="F107" s="186" t="s">
        <v>654</v>
      </c>
      <c r="G107" s="187" t="s">
        <v>183</v>
      </c>
      <c r="H107" s="188" t="s">
        <v>34</v>
      </c>
      <c r="I107" s="188" t="s">
        <v>178</v>
      </c>
      <c r="J107" s="188" t="s">
        <v>36</v>
      </c>
      <c r="K107" s="189">
        <v>11</v>
      </c>
      <c r="L107" s="189">
        <v>5</v>
      </c>
      <c r="M107" s="189">
        <v>3073.1599999999985</v>
      </c>
      <c r="N107" s="189">
        <v>12</v>
      </c>
      <c r="O107" s="189">
        <v>2948.5</v>
      </c>
      <c r="P107" s="189">
        <v>12</v>
      </c>
      <c r="Q107" s="191">
        <v>2291.6</v>
      </c>
      <c r="R107" s="189">
        <v>12</v>
      </c>
      <c r="S107" s="189">
        <v>58.75</v>
      </c>
      <c r="T107" s="189">
        <v>2.6</v>
      </c>
      <c r="U107" s="189">
        <v>22.93</v>
      </c>
      <c r="V107" s="189">
        <v>0</v>
      </c>
      <c r="W107" s="291">
        <v>0</v>
      </c>
      <c r="X107" s="291">
        <f t="shared" si="41"/>
        <v>8394.9399999999987</v>
      </c>
      <c r="Y107" s="291">
        <v>0</v>
      </c>
      <c r="Z107" s="291">
        <f t="shared" si="42"/>
        <v>8394.9399999999987</v>
      </c>
    </row>
    <row r="108" spans="1:70" s="183" customFormat="1" hidden="1" x14ac:dyDescent="0.35">
      <c r="A108" s="183" t="s">
        <v>6</v>
      </c>
      <c r="C108" s="184" t="s">
        <v>159</v>
      </c>
      <c r="D108" s="196" t="s">
        <v>46</v>
      </c>
      <c r="E108" s="196" t="s">
        <v>46</v>
      </c>
      <c r="F108" s="197" t="s">
        <v>46</v>
      </c>
      <c r="G108" s="187" t="s">
        <v>184</v>
      </c>
      <c r="H108" s="188" t="s">
        <v>34</v>
      </c>
      <c r="I108" s="188" t="s">
        <v>178</v>
      </c>
      <c r="J108" s="188" t="s">
        <v>185</v>
      </c>
      <c r="K108" s="189"/>
      <c r="L108" s="189"/>
      <c r="M108" s="189"/>
      <c r="N108" s="189"/>
      <c r="O108" s="189"/>
      <c r="P108" s="189"/>
      <c r="Q108" s="191"/>
      <c r="R108" s="189"/>
      <c r="S108" s="189">
        <v>0</v>
      </c>
      <c r="T108" s="189"/>
      <c r="U108" s="189">
        <v>0</v>
      </c>
      <c r="V108" s="189"/>
      <c r="W108" s="291">
        <v>0</v>
      </c>
      <c r="X108" s="291">
        <f t="shared" si="41"/>
        <v>0</v>
      </c>
      <c r="Y108" s="291">
        <v>0</v>
      </c>
      <c r="Z108" s="291">
        <f t="shared" si="42"/>
        <v>0</v>
      </c>
    </row>
    <row r="109" spans="1:70" s="183" customFormat="1" hidden="1" x14ac:dyDescent="0.35">
      <c r="A109" s="183" t="s">
        <v>6</v>
      </c>
      <c r="C109" s="184" t="s">
        <v>186</v>
      </c>
      <c r="D109" s="196" t="s">
        <v>46</v>
      </c>
      <c r="E109" s="196" t="s">
        <v>46</v>
      </c>
      <c r="F109" s="197" t="s">
        <v>46</v>
      </c>
      <c r="G109" s="187" t="s">
        <v>187</v>
      </c>
      <c r="H109" s="188" t="s">
        <v>34</v>
      </c>
      <c r="I109" s="188" t="s">
        <v>178</v>
      </c>
      <c r="J109" s="188" t="s">
        <v>36</v>
      </c>
      <c r="K109" s="189"/>
      <c r="L109" s="189"/>
      <c r="M109" s="189"/>
      <c r="N109" s="189"/>
      <c r="O109" s="189"/>
      <c r="P109" s="189"/>
      <c r="Q109" s="191"/>
      <c r="R109" s="189"/>
      <c r="S109" s="189">
        <v>0</v>
      </c>
      <c r="T109" s="189"/>
      <c r="U109" s="189">
        <v>0</v>
      </c>
      <c r="V109" s="189"/>
      <c r="W109" s="291">
        <v>0</v>
      </c>
      <c r="X109" s="291">
        <f t="shared" si="41"/>
        <v>0</v>
      </c>
      <c r="Y109" s="291">
        <v>0</v>
      </c>
      <c r="Z109" s="291">
        <f t="shared" si="42"/>
        <v>0</v>
      </c>
    </row>
    <row r="110" spans="1:70" s="183" customFormat="1" hidden="1" x14ac:dyDescent="0.35">
      <c r="A110" s="183" t="s">
        <v>6</v>
      </c>
      <c r="C110" s="184" t="s">
        <v>159</v>
      </c>
      <c r="D110" s="196" t="s">
        <v>46</v>
      </c>
      <c r="E110" s="196" t="s">
        <v>46</v>
      </c>
      <c r="F110" s="197" t="s">
        <v>46</v>
      </c>
      <c r="G110" s="187" t="s">
        <v>188</v>
      </c>
      <c r="H110" s="188" t="s">
        <v>189</v>
      </c>
      <c r="I110" s="188" t="s">
        <v>178</v>
      </c>
      <c r="J110" s="188" t="s">
        <v>36</v>
      </c>
      <c r="K110" s="189"/>
      <c r="L110" s="189"/>
      <c r="M110" s="189"/>
      <c r="N110" s="189"/>
      <c r="O110" s="189"/>
      <c r="P110" s="189"/>
      <c r="Q110" s="191"/>
      <c r="R110" s="189"/>
      <c r="S110" s="189">
        <v>0</v>
      </c>
      <c r="T110" s="189"/>
      <c r="U110" s="189">
        <v>0</v>
      </c>
      <c r="V110" s="189"/>
      <c r="W110" s="291">
        <v>0</v>
      </c>
      <c r="X110" s="291">
        <f t="shared" si="41"/>
        <v>0</v>
      </c>
      <c r="Y110" s="291">
        <v>0</v>
      </c>
      <c r="Z110" s="291">
        <f t="shared" si="42"/>
        <v>0</v>
      </c>
    </row>
    <row r="111" spans="1:70" s="183" customFormat="1" x14ac:dyDescent="0.35">
      <c r="A111" s="183" t="s">
        <v>6</v>
      </c>
      <c r="C111" s="184" t="s">
        <v>178</v>
      </c>
      <c r="D111" s="185" t="s">
        <v>190</v>
      </c>
      <c r="E111" s="185">
        <v>82401</v>
      </c>
      <c r="F111" s="186" t="s">
        <v>654</v>
      </c>
      <c r="G111" s="187" t="s">
        <v>191</v>
      </c>
      <c r="H111" s="188" t="s">
        <v>34</v>
      </c>
      <c r="I111" s="188" t="s">
        <v>178</v>
      </c>
      <c r="J111" s="188" t="s">
        <v>36</v>
      </c>
      <c r="K111" s="189">
        <v>11</v>
      </c>
      <c r="L111" s="189">
        <v>20</v>
      </c>
      <c r="M111" s="189">
        <v>950.87000000000023</v>
      </c>
      <c r="N111" s="189">
        <v>12</v>
      </c>
      <c r="O111" s="189">
        <v>350.42999999999995</v>
      </c>
      <c r="P111" s="189">
        <v>5</v>
      </c>
      <c r="Q111" s="191">
        <v>2381.02</v>
      </c>
      <c r="R111" s="189">
        <v>11</v>
      </c>
      <c r="S111" s="189">
        <v>48.010000000000005</v>
      </c>
      <c r="T111" s="189">
        <v>31.407</v>
      </c>
      <c r="U111" s="189">
        <v>899.29999999999984</v>
      </c>
      <c r="V111" s="189">
        <f>+W111/L111</f>
        <v>10.452500000000001</v>
      </c>
      <c r="W111" s="291">
        <v>209.05</v>
      </c>
      <c r="X111" s="291">
        <f t="shared" si="41"/>
        <v>4838.68</v>
      </c>
      <c r="Y111" s="291">
        <v>0</v>
      </c>
      <c r="Z111" s="291">
        <f t="shared" si="42"/>
        <v>4838.68</v>
      </c>
    </row>
    <row r="112" spans="1:70" s="183" customFormat="1" x14ac:dyDescent="0.35">
      <c r="A112" s="183" t="s">
        <v>6</v>
      </c>
      <c r="C112" s="184" t="s">
        <v>159</v>
      </c>
      <c r="D112" s="185" t="s">
        <v>192</v>
      </c>
      <c r="E112" s="185">
        <v>85180</v>
      </c>
      <c r="F112" s="186" t="s">
        <v>654</v>
      </c>
      <c r="G112" s="187" t="s">
        <v>193</v>
      </c>
      <c r="H112" s="188" t="s">
        <v>34</v>
      </c>
      <c r="I112" s="188" t="s">
        <v>178</v>
      </c>
      <c r="J112" s="188" t="s">
        <v>36</v>
      </c>
      <c r="K112" s="189">
        <v>11</v>
      </c>
      <c r="L112" s="189">
        <v>1180.7208333333333</v>
      </c>
      <c r="M112" s="189">
        <v>26264.12</v>
      </c>
      <c r="N112" s="189">
        <v>12</v>
      </c>
      <c r="O112" s="189">
        <v>25761.77</v>
      </c>
      <c r="P112" s="189">
        <v>12</v>
      </c>
      <c r="Q112" s="191">
        <v>5196.78</v>
      </c>
      <c r="R112" s="189">
        <v>10</v>
      </c>
      <c r="S112" s="189">
        <v>6239.45</v>
      </c>
      <c r="T112" s="189">
        <v>12</v>
      </c>
      <c r="U112" s="189">
        <v>14915.000000000002</v>
      </c>
      <c r="V112" s="189">
        <f>+W112/L112</f>
        <v>12.300785537083632</v>
      </c>
      <c r="W112" s="291">
        <v>14523.793750000001</v>
      </c>
      <c r="X112" s="291">
        <f t="shared" si="41"/>
        <v>92900.913749999992</v>
      </c>
      <c r="Y112" s="291">
        <v>0</v>
      </c>
      <c r="Z112" s="291">
        <f t="shared" si="42"/>
        <v>92900.913749999992</v>
      </c>
    </row>
    <row r="113" spans="1:70" s="183" customFormat="1" hidden="1" x14ac:dyDescent="0.35">
      <c r="A113" s="183" t="s">
        <v>6</v>
      </c>
      <c r="C113" s="184" t="s">
        <v>194</v>
      </c>
      <c r="D113" s="196" t="s">
        <v>46</v>
      </c>
      <c r="E113" s="196" t="s">
        <v>46</v>
      </c>
      <c r="F113" s="197" t="s">
        <v>46</v>
      </c>
      <c r="G113" s="187" t="s">
        <v>195</v>
      </c>
      <c r="H113" s="188" t="s">
        <v>34</v>
      </c>
      <c r="I113" s="188" t="s">
        <v>178</v>
      </c>
      <c r="J113" s="188" t="s">
        <v>185</v>
      </c>
      <c r="K113" s="189">
        <v>1</v>
      </c>
      <c r="L113" s="189">
        <v>0</v>
      </c>
      <c r="M113" s="189">
        <v>0</v>
      </c>
      <c r="N113" s="189">
        <v>1</v>
      </c>
      <c r="O113" s="189"/>
      <c r="P113" s="189">
        <v>1</v>
      </c>
      <c r="Q113" s="191"/>
      <c r="R113" s="189">
        <v>1</v>
      </c>
      <c r="S113" s="189">
        <v>0</v>
      </c>
      <c r="T113" s="189"/>
      <c r="U113" s="189">
        <v>0</v>
      </c>
      <c r="V113" s="189"/>
      <c r="W113" s="291">
        <v>0</v>
      </c>
      <c r="X113" s="291">
        <f t="shared" si="41"/>
        <v>0</v>
      </c>
      <c r="Y113" s="291">
        <v>0</v>
      </c>
      <c r="Z113" s="291">
        <f t="shared" si="42"/>
        <v>0</v>
      </c>
    </row>
    <row r="114" spans="1:70" s="183" customFormat="1" x14ac:dyDescent="0.35">
      <c r="A114" s="183" t="s">
        <v>6</v>
      </c>
      <c r="C114" s="184" t="s">
        <v>196</v>
      </c>
      <c r="D114" s="185" t="s">
        <v>197</v>
      </c>
      <c r="E114" s="185">
        <v>89500</v>
      </c>
      <c r="F114" s="186" t="s">
        <v>654</v>
      </c>
      <c r="G114" s="187" t="s">
        <v>198</v>
      </c>
      <c r="H114" s="188" t="s">
        <v>34</v>
      </c>
      <c r="I114" s="188" t="s">
        <v>178</v>
      </c>
      <c r="J114" s="188" t="s">
        <v>185</v>
      </c>
      <c r="K114" s="189">
        <v>1</v>
      </c>
      <c r="L114" s="189">
        <v>0</v>
      </c>
      <c r="M114" s="189">
        <v>0</v>
      </c>
      <c r="N114" s="189">
        <v>1</v>
      </c>
      <c r="O114" s="189">
        <v>140</v>
      </c>
      <c r="P114" s="189">
        <v>0</v>
      </c>
      <c r="Q114" s="191">
        <v>0</v>
      </c>
      <c r="R114" s="189">
        <v>0</v>
      </c>
      <c r="S114" s="189">
        <v>0</v>
      </c>
      <c r="T114" s="189"/>
      <c r="U114" s="189">
        <v>0</v>
      </c>
      <c r="V114" s="189"/>
      <c r="W114" s="291">
        <v>0</v>
      </c>
      <c r="X114" s="291">
        <f t="shared" si="41"/>
        <v>140</v>
      </c>
      <c r="Y114" s="291">
        <v>0</v>
      </c>
      <c r="Z114" s="291">
        <f t="shared" si="42"/>
        <v>140</v>
      </c>
    </row>
    <row r="115" spans="1:70" s="183" customFormat="1" hidden="1" x14ac:dyDescent="0.35">
      <c r="C115" s="184"/>
      <c r="D115" s="326" t="s">
        <v>46</v>
      </c>
      <c r="E115" s="326" t="s">
        <v>46</v>
      </c>
      <c r="F115" s="327" t="s">
        <v>46</v>
      </c>
      <c r="G115" s="187" t="s">
        <v>199</v>
      </c>
      <c r="H115" s="188" t="s">
        <v>34</v>
      </c>
      <c r="I115" s="188" t="s">
        <v>178</v>
      </c>
      <c r="J115" s="188" t="s">
        <v>36</v>
      </c>
      <c r="K115" s="189"/>
      <c r="L115" s="189">
        <v>10</v>
      </c>
      <c r="M115" s="189">
        <v>0</v>
      </c>
      <c r="N115" s="189"/>
      <c r="O115" s="189">
        <v>0</v>
      </c>
      <c r="P115" s="189">
        <v>6</v>
      </c>
      <c r="Q115" s="191">
        <v>0</v>
      </c>
      <c r="R115" s="189">
        <v>11</v>
      </c>
      <c r="S115" s="189">
        <v>0</v>
      </c>
      <c r="T115" s="189">
        <v>0</v>
      </c>
      <c r="U115" s="189">
        <v>0</v>
      </c>
      <c r="V115" s="189">
        <v>0</v>
      </c>
      <c r="W115" s="291">
        <v>0</v>
      </c>
      <c r="X115" s="291">
        <f t="shared" si="41"/>
        <v>0</v>
      </c>
      <c r="Y115" s="291">
        <v>0</v>
      </c>
      <c r="Z115" s="291">
        <f t="shared" si="42"/>
        <v>0</v>
      </c>
    </row>
    <row r="116" spans="1:70" s="183" customFormat="1" x14ac:dyDescent="0.35">
      <c r="A116" s="183" t="s">
        <v>6</v>
      </c>
      <c r="C116" s="184" t="s">
        <v>200</v>
      </c>
      <c r="D116" s="185" t="s">
        <v>201</v>
      </c>
      <c r="E116" s="185">
        <v>81010</v>
      </c>
      <c r="F116" s="186" t="s">
        <v>654</v>
      </c>
      <c r="G116" s="187" t="s">
        <v>202</v>
      </c>
      <c r="H116" s="188" t="s">
        <v>34</v>
      </c>
      <c r="I116" s="188" t="s">
        <v>178</v>
      </c>
      <c r="J116" s="188" t="s">
        <v>185</v>
      </c>
      <c r="K116" s="189">
        <v>1</v>
      </c>
      <c r="L116" s="189">
        <v>500</v>
      </c>
      <c r="M116" s="189">
        <v>1762.88</v>
      </c>
      <c r="N116" s="189">
        <v>1</v>
      </c>
      <c r="O116" s="189">
        <v>66.47</v>
      </c>
      <c r="P116" s="189">
        <v>1</v>
      </c>
      <c r="Q116" s="191">
        <v>1027.1499999999999</v>
      </c>
      <c r="R116" s="189">
        <v>1</v>
      </c>
      <c r="S116" s="189">
        <v>943.15999999999985</v>
      </c>
      <c r="T116" s="189">
        <v>0.16792000000000001</v>
      </c>
      <c r="U116" s="189">
        <v>846.78000000000009</v>
      </c>
      <c r="V116" s="189">
        <v>0.08</v>
      </c>
      <c r="W116" s="291">
        <v>0</v>
      </c>
      <c r="X116" s="291">
        <f t="shared" si="41"/>
        <v>4646.4399999999996</v>
      </c>
      <c r="Y116" s="291">
        <v>0</v>
      </c>
      <c r="Z116" s="291">
        <f t="shared" si="42"/>
        <v>4646.4399999999996</v>
      </c>
    </row>
    <row r="117" spans="1:70" s="183" customFormat="1" x14ac:dyDescent="0.35">
      <c r="A117" s="183" t="s">
        <v>6</v>
      </c>
      <c r="C117" s="184"/>
      <c r="D117" s="198"/>
      <c r="E117" s="198"/>
      <c r="F117" s="199"/>
      <c r="G117" s="237" t="s">
        <v>169</v>
      </c>
      <c r="H117" s="188"/>
      <c r="I117" s="188"/>
      <c r="J117" s="188"/>
      <c r="K117" s="189"/>
      <c r="L117" s="189"/>
      <c r="M117" s="189"/>
      <c r="N117" s="189"/>
      <c r="O117" s="189"/>
      <c r="P117" s="189"/>
      <c r="Q117" s="191"/>
      <c r="R117" s="189"/>
      <c r="S117" s="189"/>
      <c r="T117" s="189"/>
      <c r="U117" s="189"/>
      <c r="V117" s="189"/>
      <c r="W117" s="291"/>
      <c r="X117" s="291"/>
      <c r="Y117" s="291"/>
      <c r="Z117" s="291"/>
      <c r="AA117" s="242"/>
      <c r="AB117" s="231"/>
      <c r="AC117" s="205"/>
      <c r="AD117" s="239"/>
      <c r="AE117" s="239"/>
      <c r="AF117" s="239"/>
      <c r="AG117" s="239"/>
      <c r="AH117" s="239"/>
      <c r="AI117" s="239"/>
      <c r="AJ117" s="239"/>
      <c r="AK117" s="239"/>
      <c r="AL117" s="239"/>
      <c r="AM117" s="233"/>
      <c r="AP117" s="239"/>
      <c r="AQ117" s="239"/>
      <c r="AR117" s="239"/>
      <c r="AS117" s="239"/>
      <c r="AT117" s="239"/>
      <c r="AU117" s="239"/>
      <c r="AV117" s="239"/>
      <c r="AW117" s="239"/>
      <c r="AX117" s="239"/>
      <c r="AY117" s="239"/>
      <c r="AZ117" s="239"/>
      <c r="BA117" s="239"/>
      <c r="BB117" s="239"/>
      <c r="BF117" s="239"/>
      <c r="BG117" s="239"/>
      <c r="BH117" s="239"/>
      <c r="BI117" s="239"/>
      <c r="BJ117" s="239"/>
      <c r="BK117" s="239"/>
      <c r="BL117" s="239"/>
      <c r="BM117" s="239"/>
      <c r="BN117" s="239"/>
      <c r="BO117" s="239"/>
      <c r="BP117" s="239"/>
      <c r="BQ117" s="239"/>
      <c r="BR117" s="239"/>
    </row>
    <row r="118" spans="1:70" s="183" customFormat="1" x14ac:dyDescent="0.35">
      <c r="A118" s="183" t="s">
        <v>6</v>
      </c>
      <c r="C118" s="184" t="s">
        <v>159</v>
      </c>
      <c r="D118" s="185" t="s">
        <v>203</v>
      </c>
      <c r="E118" s="185">
        <v>90900</v>
      </c>
      <c r="F118" s="186" t="s">
        <v>656</v>
      </c>
      <c r="G118" s="187" t="s">
        <v>204</v>
      </c>
      <c r="H118" s="188" t="s">
        <v>55</v>
      </c>
      <c r="I118" s="188" t="s">
        <v>178</v>
      </c>
      <c r="J118" s="188" t="s">
        <v>36</v>
      </c>
      <c r="K118" s="189">
        <v>10</v>
      </c>
      <c r="L118" s="189">
        <v>30</v>
      </c>
      <c r="M118" s="189">
        <v>46</v>
      </c>
      <c r="N118" s="189">
        <v>12</v>
      </c>
      <c r="O118" s="189">
        <v>0</v>
      </c>
      <c r="P118" s="189">
        <v>0</v>
      </c>
      <c r="Q118" s="191">
        <v>33</v>
      </c>
      <c r="R118" s="189">
        <v>0</v>
      </c>
      <c r="S118" s="189">
        <v>30</v>
      </c>
      <c r="T118" s="189">
        <v>1.4333333333333333</v>
      </c>
      <c r="U118" s="189">
        <v>30</v>
      </c>
      <c r="V118" s="189">
        <f>+W118/L118</f>
        <v>0.33333333333333331</v>
      </c>
      <c r="W118" s="291">
        <v>10</v>
      </c>
      <c r="X118" s="291">
        <f t="shared" ref="X118:X125" si="43">SUM(M118+O118+Q118+S118+U118+W118)</f>
        <v>149</v>
      </c>
      <c r="Y118" s="291">
        <v>0</v>
      </c>
      <c r="Z118" s="291">
        <f t="shared" ref="Z118:Z125" si="44">X118+Y118</f>
        <v>149</v>
      </c>
    </row>
    <row r="119" spans="1:70" s="183" customFormat="1" x14ac:dyDescent="0.35">
      <c r="A119" s="183" t="s">
        <v>6</v>
      </c>
      <c r="C119" s="184" t="s">
        <v>181</v>
      </c>
      <c r="D119" s="185" t="s">
        <v>205</v>
      </c>
      <c r="E119" s="185">
        <v>82350</v>
      </c>
      <c r="F119" s="186" t="s">
        <v>656</v>
      </c>
      <c r="G119" s="187" t="s">
        <v>206</v>
      </c>
      <c r="H119" s="188" t="s">
        <v>55</v>
      </c>
      <c r="I119" s="188" t="s">
        <v>178</v>
      </c>
      <c r="J119" s="188" t="s">
        <v>36</v>
      </c>
      <c r="K119" s="189">
        <v>10</v>
      </c>
      <c r="L119" s="189">
        <v>5</v>
      </c>
      <c r="M119" s="189">
        <v>139.1</v>
      </c>
      <c r="N119" s="189">
        <v>12</v>
      </c>
      <c r="O119" s="189">
        <v>25.29</v>
      </c>
      <c r="P119" s="189">
        <v>0</v>
      </c>
      <c r="Q119" s="191">
        <v>10</v>
      </c>
      <c r="R119" s="189">
        <v>4</v>
      </c>
      <c r="S119" s="189">
        <v>32</v>
      </c>
      <c r="T119" s="189">
        <v>2</v>
      </c>
      <c r="U119" s="189">
        <v>10</v>
      </c>
      <c r="V119" s="189">
        <v>0</v>
      </c>
      <c r="W119" s="291">
        <v>0</v>
      </c>
      <c r="X119" s="291">
        <f t="shared" si="43"/>
        <v>216.39</v>
      </c>
      <c r="Y119" s="291">
        <v>0</v>
      </c>
      <c r="Z119" s="291">
        <f t="shared" si="44"/>
        <v>216.39</v>
      </c>
    </row>
    <row r="120" spans="1:70" s="183" customFormat="1" hidden="1" x14ac:dyDescent="0.35">
      <c r="A120" s="183" t="s">
        <v>6</v>
      </c>
      <c r="C120" s="184" t="s">
        <v>159</v>
      </c>
      <c r="D120" s="326" t="s">
        <v>46</v>
      </c>
      <c r="E120" s="326" t="s">
        <v>46</v>
      </c>
      <c r="F120" s="327" t="s">
        <v>46</v>
      </c>
      <c r="G120" s="187" t="s">
        <v>207</v>
      </c>
      <c r="H120" s="188" t="s">
        <v>55</v>
      </c>
      <c r="I120" s="188" t="s">
        <v>178</v>
      </c>
      <c r="J120" s="188" t="s">
        <v>185</v>
      </c>
      <c r="K120" s="189">
        <v>1</v>
      </c>
      <c r="L120" s="189">
        <v>700</v>
      </c>
      <c r="M120" s="189">
        <v>0</v>
      </c>
      <c r="N120" s="189">
        <v>1</v>
      </c>
      <c r="O120" s="189">
        <v>0</v>
      </c>
      <c r="P120" s="189">
        <v>0</v>
      </c>
      <c r="Q120" s="191">
        <v>0</v>
      </c>
      <c r="R120" s="189">
        <v>0</v>
      </c>
      <c r="S120" s="189">
        <v>0</v>
      </c>
      <c r="T120" s="189">
        <v>0</v>
      </c>
      <c r="U120" s="189">
        <v>0</v>
      </c>
      <c r="V120" s="189">
        <v>0</v>
      </c>
      <c r="W120" s="291">
        <v>0</v>
      </c>
      <c r="X120" s="291">
        <f t="shared" si="43"/>
        <v>0</v>
      </c>
      <c r="Y120" s="291">
        <v>0</v>
      </c>
      <c r="Z120" s="291">
        <f t="shared" si="44"/>
        <v>0</v>
      </c>
    </row>
    <row r="121" spans="1:70" s="183" customFormat="1" x14ac:dyDescent="0.35">
      <c r="A121" s="183" t="s">
        <v>6</v>
      </c>
      <c r="C121" s="184" t="s">
        <v>186</v>
      </c>
      <c r="D121" s="185" t="s">
        <v>208</v>
      </c>
      <c r="E121" s="185">
        <v>82030</v>
      </c>
      <c r="F121" s="186" t="s">
        <v>658</v>
      </c>
      <c r="G121" s="187" t="s">
        <v>209</v>
      </c>
      <c r="H121" s="188" t="s">
        <v>55</v>
      </c>
      <c r="I121" s="188" t="s">
        <v>178</v>
      </c>
      <c r="J121" s="188" t="s">
        <v>36</v>
      </c>
      <c r="K121" s="189">
        <v>10</v>
      </c>
      <c r="L121" s="189">
        <v>45</v>
      </c>
      <c r="M121" s="189">
        <v>900.26</v>
      </c>
      <c r="N121" s="189">
        <v>12</v>
      </c>
      <c r="O121" s="189">
        <v>621.21</v>
      </c>
      <c r="P121" s="189">
        <v>0</v>
      </c>
      <c r="Q121" s="191">
        <v>21.750000000000004</v>
      </c>
      <c r="R121" s="189">
        <v>4</v>
      </c>
      <c r="S121" s="189">
        <v>7.379999999999999</v>
      </c>
      <c r="T121" s="189">
        <v>0.22133333333333335</v>
      </c>
      <c r="U121" s="189">
        <v>0</v>
      </c>
      <c r="V121" s="189">
        <f>+W121/L121</f>
        <v>8.8888888888888892E-2</v>
      </c>
      <c r="W121" s="291">
        <v>4</v>
      </c>
      <c r="X121" s="291">
        <f t="shared" si="43"/>
        <v>1554.6000000000001</v>
      </c>
      <c r="Y121" s="291">
        <v>0</v>
      </c>
      <c r="Z121" s="291">
        <f t="shared" si="44"/>
        <v>1554.6000000000001</v>
      </c>
    </row>
    <row r="122" spans="1:70" s="183" customFormat="1" x14ac:dyDescent="0.35">
      <c r="A122" s="183" t="s">
        <v>6</v>
      </c>
      <c r="C122" s="184" t="s">
        <v>159</v>
      </c>
      <c r="D122" s="185" t="s">
        <v>210</v>
      </c>
      <c r="E122" s="185">
        <v>82030</v>
      </c>
      <c r="F122" s="186" t="s">
        <v>656</v>
      </c>
      <c r="G122" s="187" t="s">
        <v>211</v>
      </c>
      <c r="H122" s="188" t="s">
        <v>55</v>
      </c>
      <c r="I122" s="188" t="s">
        <v>178</v>
      </c>
      <c r="J122" s="188" t="s">
        <v>36</v>
      </c>
      <c r="K122" s="189">
        <v>10</v>
      </c>
      <c r="L122" s="189">
        <v>45</v>
      </c>
      <c r="M122" s="189">
        <v>198.42999999999998</v>
      </c>
      <c r="N122" s="189">
        <v>12</v>
      </c>
      <c r="O122" s="189">
        <v>200.36999999999998</v>
      </c>
      <c r="P122" s="189">
        <v>0</v>
      </c>
      <c r="Q122" s="191">
        <v>-15.870000000000001</v>
      </c>
      <c r="R122" s="189">
        <v>4</v>
      </c>
      <c r="S122" s="189">
        <v>0</v>
      </c>
      <c r="T122" s="189">
        <v>0</v>
      </c>
      <c r="U122" s="189">
        <v>0</v>
      </c>
      <c r="V122" s="189">
        <v>0</v>
      </c>
      <c r="W122" s="291">
        <v>0</v>
      </c>
      <c r="X122" s="291">
        <f t="shared" si="43"/>
        <v>382.92999999999995</v>
      </c>
      <c r="Y122" s="291">
        <v>0</v>
      </c>
      <c r="Z122" s="291">
        <f t="shared" si="44"/>
        <v>382.92999999999995</v>
      </c>
    </row>
    <row r="123" spans="1:70" s="183" customFormat="1" x14ac:dyDescent="0.35">
      <c r="A123" s="183" t="s">
        <v>6</v>
      </c>
      <c r="C123" s="184" t="s">
        <v>178</v>
      </c>
      <c r="D123" s="185" t="s">
        <v>212</v>
      </c>
      <c r="E123" s="185">
        <v>82401</v>
      </c>
      <c r="F123" s="186" t="s">
        <v>656</v>
      </c>
      <c r="G123" s="187" t="s">
        <v>213</v>
      </c>
      <c r="H123" s="188" t="s">
        <v>55</v>
      </c>
      <c r="I123" s="188" t="s">
        <v>178</v>
      </c>
      <c r="J123" s="188" t="s">
        <v>36</v>
      </c>
      <c r="K123" s="189">
        <v>10</v>
      </c>
      <c r="L123" s="189">
        <v>30</v>
      </c>
      <c r="M123" s="189">
        <v>1128.6899999999998</v>
      </c>
      <c r="N123" s="189">
        <v>12</v>
      </c>
      <c r="O123" s="189">
        <v>442.80000000000007</v>
      </c>
      <c r="P123" s="189">
        <v>3</v>
      </c>
      <c r="Q123" s="191">
        <v>494.16</v>
      </c>
      <c r="R123" s="189">
        <v>4</v>
      </c>
      <c r="S123" s="189">
        <v>181.62</v>
      </c>
      <c r="T123" s="189">
        <v>6.9666666666666668</v>
      </c>
      <c r="U123" s="189">
        <v>115.65</v>
      </c>
      <c r="V123" s="189">
        <f>+W123/L123</f>
        <v>3.4876666666666667</v>
      </c>
      <c r="W123" s="291">
        <v>104.63</v>
      </c>
      <c r="X123" s="291">
        <f t="shared" si="43"/>
        <v>2467.5499999999997</v>
      </c>
      <c r="Y123" s="291">
        <v>0</v>
      </c>
      <c r="Z123" s="291">
        <f t="shared" si="44"/>
        <v>2467.5499999999997</v>
      </c>
    </row>
    <row r="124" spans="1:70" s="183" customFormat="1" x14ac:dyDescent="0.35">
      <c r="A124" s="183" t="s">
        <v>6</v>
      </c>
      <c r="C124" s="184" t="s">
        <v>159</v>
      </c>
      <c r="D124" s="185" t="s">
        <v>214</v>
      </c>
      <c r="E124" s="185">
        <v>85180</v>
      </c>
      <c r="F124" s="186" t="s">
        <v>656</v>
      </c>
      <c r="G124" s="229" t="s">
        <v>215</v>
      </c>
      <c r="H124" s="207" t="s">
        <v>55</v>
      </c>
      <c r="I124" s="188" t="s">
        <v>178</v>
      </c>
      <c r="J124" s="188" t="s">
        <v>36</v>
      </c>
      <c r="K124" s="189">
        <v>10</v>
      </c>
      <c r="L124" s="189">
        <v>430.3</v>
      </c>
      <c r="M124" s="189">
        <v>4810</v>
      </c>
      <c r="N124" s="189">
        <v>12</v>
      </c>
      <c r="O124" s="189">
        <v>4400</v>
      </c>
      <c r="P124" s="189">
        <v>0</v>
      </c>
      <c r="Q124" s="191">
        <v>10</v>
      </c>
      <c r="R124" s="189">
        <v>4</v>
      </c>
      <c r="S124" s="189">
        <v>0</v>
      </c>
      <c r="T124" s="189">
        <v>4.6851034162212413</v>
      </c>
      <c r="U124" s="189">
        <v>3024</v>
      </c>
      <c r="V124" s="189">
        <f>+W124/L124</f>
        <v>5.4659539855914474</v>
      </c>
      <c r="W124" s="291">
        <v>2352</v>
      </c>
      <c r="X124" s="291">
        <f t="shared" si="43"/>
        <v>14596</v>
      </c>
      <c r="Y124" s="291">
        <v>0</v>
      </c>
      <c r="Z124" s="291">
        <f t="shared" si="44"/>
        <v>14596</v>
      </c>
    </row>
    <row r="125" spans="1:70" s="183" customFormat="1" hidden="1" x14ac:dyDescent="0.35">
      <c r="A125" s="183" t="s">
        <v>6</v>
      </c>
      <c r="C125" s="184" t="s">
        <v>200</v>
      </c>
      <c r="D125" s="326" t="s">
        <v>46</v>
      </c>
      <c r="E125" s="326" t="s">
        <v>46</v>
      </c>
      <c r="F125" s="327" t="s">
        <v>46</v>
      </c>
      <c r="G125" s="187" t="s">
        <v>216</v>
      </c>
      <c r="H125" s="188" t="s">
        <v>55</v>
      </c>
      <c r="I125" s="188" t="s">
        <v>178</v>
      </c>
      <c r="J125" s="188" t="s">
        <v>185</v>
      </c>
      <c r="K125" s="189">
        <v>1</v>
      </c>
      <c r="L125" s="189">
        <v>500</v>
      </c>
      <c r="M125" s="189">
        <v>0</v>
      </c>
      <c r="N125" s="189">
        <v>1</v>
      </c>
      <c r="O125" s="189">
        <v>0</v>
      </c>
      <c r="P125" s="189">
        <v>0</v>
      </c>
      <c r="Q125" s="191">
        <v>0</v>
      </c>
      <c r="R125" s="189">
        <v>1</v>
      </c>
      <c r="S125" s="189">
        <v>0</v>
      </c>
      <c r="T125" s="189">
        <v>0</v>
      </c>
      <c r="U125" s="189">
        <v>0</v>
      </c>
      <c r="V125" s="189">
        <v>0</v>
      </c>
      <c r="W125" s="291">
        <v>0</v>
      </c>
      <c r="X125" s="291">
        <f t="shared" si="43"/>
        <v>0</v>
      </c>
      <c r="Y125" s="291">
        <v>0</v>
      </c>
      <c r="Z125" s="291">
        <f t="shared" si="44"/>
        <v>0</v>
      </c>
    </row>
    <row r="126" spans="1:70" s="183" customFormat="1" hidden="1" x14ac:dyDescent="0.35">
      <c r="A126" s="183" t="s">
        <v>6</v>
      </c>
      <c r="C126" s="184"/>
      <c r="D126" s="198"/>
      <c r="E126" s="198"/>
      <c r="F126" s="198"/>
      <c r="G126" s="187" t="s">
        <v>217</v>
      </c>
      <c r="H126" s="188"/>
      <c r="I126" s="188"/>
      <c r="J126" s="188"/>
      <c r="K126" s="189"/>
      <c r="L126" s="189"/>
      <c r="M126" s="189"/>
      <c r="N126" s="189"/>
      <c r="O126" s="189"/>
      <c r="P126" s="189"/>
      <c r="Q126" s="191"/>
      <c r="R126" s="189"/>
      <c r="S126" s="189"/>
      <c r="T126" s="189"/>
      <c r="U126" s="189"/>
      <c r="V126" s="189"/>
      <c r="W126" s="291"/>
      <c r="X126" s="291"/>
      <c r="Y126" s="291"/>
      <c r="Z126" s="291"/>
    </row>
    <row r="127" spans="1:70" s="183" customFormat="1" hidden="1" x14ac:dyDescent="0.35">
      <c r="A127" s="183" t="s">
        <v>6</v>
      </c>
      <c r="C127" s="184" t="s">
        <v>218</v>
      </c>
      <c r="D127" s="326" t="s">
        <v>46</v>
      </c>
      <c r="E127" s="326" t="s">
        <v>46</v>
      </c>
      <c r="F127" s="327" t="s">
        <v>46</v>
      </c>
      <c r="G127" s="187" t="s">
        <v>219</v>
      </c>
      <c r="H127" s="188" t="s">
        <v>34</v>
      </c>
      <c r="I127" s="188" t="s">
        <v>178</v>
      </c>
      <c r="J127" s="188" t="s">
        <v>185</v>
      </c>
      <c r="K127" s="189">
        <v>1</v>
      </c>
      <c r="L127" s="189">
        <v>5000</v>
      </c>
      <c r="M127" s="189">
        <v>0</v>
      </c>
      <c r="N127" s="189">
        <v>1</v>
      </c>
      <c r="O127" s="189">
        <v>0</v>
      </c>
      <c r="P127" s="189">
        <v>0</v>
      </c>
      <c r="Q127" s="191">
        <v>0</v>
      </c>
      <c r="R127" s="189">
        <v>0</v>
      </c>
      <c r="S127" s="189">
        <v>0</v>
      </c>
      <c r="T127" s="189">
        <v>0</v>
      </c>
      <c r="U127" s="189">
        <v>0</v>
      </c>
      <c r="V127" s="189">
        <v>0</v>
      </c>
      <c r="W127" s="291">
        <v>0</v>
      </c>
      <c r="X127" s="291">
        <f t="shared" ref="X127:X128" si="45">SUM(M127+O127+Q127+S127+U127+W127)</f>
        <v>0</v>
      </c>
      <c r="Y127" s="291">
        <v>0</v>
      </c>
      <c r="Z127" s="291">
        <f t="shared" ref="Z127:Z128" si="46">X127+Y127</f>
        <v>0</v>
      </c>
    </row>
    <row r="128" spans="1:70" s="183" customFormat="1" hidden="1" x14ac:dyDescent="0.35">
      <c r="A128" s="183" t="s">
        <v>6</v>
      </c>
      <c r="C128" s="184" t="s">
        <v>218</v>
      </c>
      <c r="D128" s="326" t="s">
        <v>46</v>
      </c>
      <c r="E128" s="326" t="s">
        <v>46</v>
      </c>
      <c r="F128" s="327" t="s">
        <v>46</v>
      </c>
      <c r="G128" s="187" t="s">
        <v>220</v>
      </c>
      <c r="H128" s="188" t="s">
        <v>69</v>
      </c>
      <c r="I128" s="188" t="s">
        <v>178</v>
      </c>
      <c r="J128" s="188" t="s">
        <v>185</v>
      </c>
      <c r="K128" s="189">
        <v>0</v>
      </c>
      <c r="L128" s="189">
        <v>100000</v>
      </c>
      <c r="M128" s="189">
        <v>0</v>
      </c>
      <c r="N128" s="189">
        <v>0</v>
      </c>
      <c r="O128" s="189">
        <v>0</v>
      </c>
      <c r="P128" s="189">
        <v>0</v>
      </c>
      <c r="Q128" s="191">
        <v>0</v>
      </c>
      <c r="R128" s="189">
        <v>0</v>
      </c>
      <c r="S128" s="189">
        <v>0</v>
      </c>
      <c r="T128" s="189">
        <v>0</v>
      </c>
      <c r="U128" s="189">
        <v>0</v>
      </c>
      <c r="V128" s="189">
        <v>0</v>
      </c>
      <c r="W128" s="291">
        <v>0</v>
      </c>
      <c r="X128" s="291">
        <f t="shared" si="45"/>
        <v>0</v>
      </c>
      <c r="Y128" s="291">
        <v>0</v>
      </c>
      <c r="Z128" s="291">
        <f t="shared" si="46"/>
        <v>0</v>
      </c>
    </row>
    <row r="129" spans="1:70" s="183" customFormat="1" x14ac:dyDescent="0.35">
      <c r="A129" s="183" t="s">
        <v>6</v>
      </c>
      <c r="C129" s="184"/>
      <c r="D129" s="198"/>
      <c r="E129" s="198"/>
      <c r="F129" s="198"/>
      <c r="G129" s="187" t="s">
        <v>221</v>
      </c>
      <c r="H129" s="188"/>
      <c r="I129" s="188"/>
      <c r="J129" s="188"/>
      <c r="K129" s="189"/>
      <c r="L129" s="189"/>
      <c r="M129" s="189"/>
      <c r="N129" s="189"/>
      <c r="O129" s="189"/>
      <c r="P129" s="189"/>
      <c r="Q129" s="191"/>
      <c r="R129" s="189"/>
      <c r="S129" s="189"/>
      <c r="T129" s="189"/>
      <c r="U129" s="189"/>
      <c r="V129" s="189"/>
      <c r="W129" s="291"/>
      <c r="X129" s="291"/>
      <c r="Y129" s="291"/>
      <c r="Z129" s="291"/>
      <c r="AA129" s="242"/>
      <c r="AB129" s="231"/>
      <c r="AC129" s="205"/>
      <c r="AD129" s="239"/>
      <c r="AE129" s="239"/>
      <c r="AF129" s="239"/>
      <c r="AG129" s="239"/>
      <c r="AH129" s="239"/>
      <c r="AI129" s="239"/>
      <c r="AJ129" s="239"/>
      <c r="AK129" s="239"/>
      <c r="AL129" s="239"/>
      <c r="AM129" s="233"/>
      <c r="AP129" s="239"/>
      <c r="AQ129" s="239"/>
      <c r="AR129" s="239"/>
      <c r="AS129" s="239"/>
      <c r="AT129" s="239"/>
      <c r="AU129" s="239"/>
      <c r="AV129" s="239"/>
      <c r="AW129" s="239"/>
      <c r="AX129" s="239"/>
      <c r="AY129" s="239"/>
      <c r="AZ129" s="239"/>
      <c r="BA129" s="239"/>
      <c r="BB129" s="239"/>
      <c r="BF129" s="239"/>
      <c r="BG129" s="239"/>
      <c r="BH129" s="239"/>
      <c r="BI129" s="239"/>
      <c r="BJ129" s="239"/>
      <c r="BK129" s="239"/>
      <c r="BL129" s="239"/>
      <c r="BM129" s="239"/>
      <c r="BN129" s="239"/>
      <c r="BO129" s="239"/>
      <c r="BP129" s="239"/>
      <c r="BQ129" s="239"/>
      <c r="BR129" s="239"/>
    </row>
    <row r="130" spans="1:70" s="183" customFormat="1" x14ac:dyDescent="0.35">
      <c r="A130" s="183" t="s">
        <v>6</v>
      </c>
      <c r="B130" s="183" t="s">
        <v>222</v>
      </c>
      <c r="C130" s="184" t="s">
        <v>200</v>
      </c>
      <c r="D130" s="185" t="s">
        <v>649</v>
      </c>
      <c r="E130" s="185">
        <v>89400</v>
      </c>
      <c r="F130" s="186" t="s">
        <v>652</v>
      </c>
      <c r="G130" s="187" t="s">
        <v>223</v>
      </c>
      <c r="H130" s="188" t="s">
        <v>69</v>
      </c>
      <c r="I130" s="188" t="s">
        <v>178</v>
      </c>
      <c r="J130" s="188" t="s">
        <v>36</v>
      </c>
      <c r="K130" s="189">
        <v>3</v>
      </c>
      <c r="L130" s="189">
        <v>35</v>
      </c>
      <c r="M130" s="189">
        <v>0</v>
      </c>
      <c r="N130" s="189">
        <v>12</v>
      </c>
      <c r="O130" s="189">
        <v>0</v>
      </c>
      <c r="P130" s="189">
        <v>12</v>
      </c>
      <c r="Q130" s="191">
        <v>425.70000000000005</v>
      </c>
      <c r="R130" s="189">
        <v>12</v>
      </c>
      <c r="S130" s="189">
        <v>352.31000000000006</v>
      </c>
      <c r="T130" s="189">
        <v>10.658285714285716</v>
      </c>
      <c r="U130" s="189">
        <v>59.05</v>
      </c>
      <c r="V130" s="189">
        <f>+W130/L130</f>
        <v>8.9485714285714302</v>
      </c>
      <c r="W130" s="291">
        <v>313.20000000000005</v>
      </c>
      <c r="X130" s="291">
        <f t="shared" ref="X130:X131" si="47">SUM(M130+O130+Q130+S130+U130+W130)</f>
        <v>1150.2600000000002</v>
      </c>
      <c r="Y130" s="291">
        <v>0</v>
      </c>
      <c r="Z130" s="291">
        <f t="shared" ref="Z130:Z132" si="48">X130+Y130</f>
        <v>1150.2600000000002</v>
      </c>
    </row>
    <row r="131" spans="1:70" s="183" customFormat="1" hidden="1" x14ac:dyDescent="0.35">
      <c r="A131" s="183" t="s">
        <v>6</v>
      </c>
      <c r="C131" s="184" t="s">
        <v>200</v>
      </c>
      <c r="D131" s="326" t="s">
        <v>46</v>
      </c>
      <c r="E131" s="326" t="s">
        <v>46</v>
      </c>
      <c r="F131" s="327" t="s">
        <v>46</v>
      </c>
      <c r="G131" s="187" t="s">
        <v>224</v>
      </c>
      <c r="H131" s="188" t="s">
        <v>69</v>
      </c>
      <c r="I131" s="188" t="s">
        <v>178</v>
      </c>
      <c r="J131" s="188" t="s">
        <v>185</v>
      </c>
      <c r="K131" s="189">
        <v>1</v>
      </c>
      <c r="L131" s="189">
        <v>120</v>
      </c>
      <c r="M131" s="189">
        <v>0</v>
      </c>
      <c r="N131" s="189">
        <v>1</v>
      </c>
      <c r="O131" s="189">
        <v>0</v>
      </c>
      <c r="P131" s="189">
        <v>1</v>
      </c>
      <c r="Q131" s="191">
        <v>0</v>
      </c>
      <c r="R131" s="189">
        <v>0</v>
      </c>
      <c r="S131" s="189">
        <v>0</v>
      </c>
      <c r="T131" s="189">
        <v>0</v>
      </c>
      <c r="U131" s="189">
        <v>0</v>
      </c>
      <c r="V131" s="189">
        <v>0</v>
      </c>
      <c r="W131" s="291">
        <v>0</v>
      </c>
      <c r="X131" s="291">
        <f t="shared" si="47"/>
        <v>0</v>
      </c>
      <c r="Y131" s="291">
        <v>0</v>
      </c>
      <c r="Z131" s="291">
        <f t="shared" si="48"/>
        <v>0</v>
      </c>
    </row>
    <row r="132" spans="1:70" s="183" customFormat="1" x14ac:dyDescent="0.35">
      <c r="A132" s="183" t="s">
        <v>6</v>
      </c>
      <c r="C132" s="184"/>
      <c r="D132" s="198"/>
      <c r="E132" s="198"/>
      <c r="F132" s="199"/>
      <c r="G132" s="187"/>
      <c r="H132" s="188"/>
      <c r="I132" s="188"/>
      <c r="J132" s="188"/>
      <c r="K132" s="207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300"/>
      <c r="X132" s="300"/>
      <c r="Y132" s="300"/>
      <c r="Z132" s="291">
        <f t="shared" si="48"/>
        <v>0</v>
      </c>
    </row>
    <row r="133" spans="1:70" s="183" customFormat="1" ht="11.7" thickBot="1" x14ac:dyDescent="0.4">
      <c r="A133" s="183" t="s">
        <v>6</v>
      </c>
      <c r="C133" s="184"/>
      <c r="G133" s="243" t="s">
        <v>225</v>
      </c>
      <c r="H133" s="244"/>
      <c r="I133" s="244"/>
      <c r="J133" s="213"/>
      <c r="K133" s="213"/>
      <c r="L133" s="245"/>
      <c r="M133" s="246">
        <f t="shared" ref="M133:U133" si="49">SUM(M105:M131)</f>
        <v>39682.82</v>
      </c>
      <c r="N133" s="246"/>
      <c r="O133" s="246">
        <f t="shared" si="49"/>
        <v>38020.720000000008</v>
      </c>
      <c r="P133" s="246"/>
      <c r="Q133" s="246">
        <f t="shared" si="49"/>
        <v>12303.689999999999</v>
      </c>
      <c r="R133" s="246"/>
      <c r="S133" s="246">
        <f t="shared" si="49"/>
        <v>19699.04</v>
      </c>
      <c r="T133" s="246"/>
      <c r="U133" s="246">
        <f t="shared" si="49"/>
        <v>24701.05</v>
      </c>
      <c r="V133" s="246"/>
      <c r="W133" s="301">
        <f t="shared" ref="W133" si="50">SUM(W105:W131)</f>
        <v>21837.803750000003</v>
      </c>
      <c r="X133" s="294">
        <f>M133+O133+Q133+S133+U133+W133</f>
        <v>156245.12375</v>
      </c>
      <c r="Y133" s="301">
        <f>SUM(Y107:Y125)</f>
        <v>0</v>
      </c>
      <c r="Z133" s="295">
        <f>X133+Y133</f>
        <v>156245.12375</v>
      </c>
    </row>
    <row r="134" spans="1:70" s="183" customFormat="1" x14ac:dyDescent="0.35">
      <c r="A134" s="183" t="s">
        <v>6</v>
      </c>
      <c r="C134" s="184"/>
      <c r="G134" s="248" t="s">
        <v>226</v>
      </c>
      <c r="H134" s="249"/>
      <c r="I134" s="249"/>
      <c r="J134" s="249"/>
      <c r="K134" s="249"/>
      <c r="L134" s="249"/>
      <c r="M134" s="249"/>
      <c r="N134" s="249"/>
      <c r="O134" s="249"/>
      <c r="P134" s="249"/>
      <c r="Q134" s="249"/>
      <c r="R134" s="249"/>
      <c r="S134" s="249"/>
      <c r="T134" s="249"/>
      <c r="U134" s="249"/>
      <c r="V134" s="249"/>
      <c r="W134" s="302"/>
      <c r="X134" s="302"/>
      <c r="Y134" s="302"/>
      <c r="Z134" s="297"/>
    </row>
    <row r="135" spans="1:70" s="183" customFormat="1" x14ac:dyDescent="0.35">
      <c r="A135" s="183" t="s">
        <v>6</v>
      </c>
      <c r="C135" s="184"/>
      <c r="G135" s="192" t="s">
        <v>227</v>
      </c>
      <c r="H135" s="193"/>
      <c r="I135" s="193"/>
      <c r="J135" s="193"/>
      <c r="K135" s="200"/>
      <c r="L135" s="200"/>
      <c r="M135" s="200"/>
      <c r="N135" s="200"/>
      <c r="O135" s="200"/>
      <c r="P135" s="200"/>
      <c r="Q135" s="201"/>
      <c r="R135" s="200"/>
      <c r="S135" s="200"/>
      <c r="T135" s="200"/>
      <c r="U135" s="200"/>
      <c r="V135" s="200"/>
      <c r="W135" s="292"/>
      <c r="X135" s="292"/>
      <c r="Y135" s="292"/>
      <c r="Z135" s="297"/>
    </row>
    <row r="136" spans="1:70" s="183" customFormat="1" ht="22.8" x14ac:dyDescent="0.35">
      <c r="A136" s="183" t="s">
        <v>6</v>
      </c>
      <c r="C136" s="184"/>
      <c r="G136" s="237" t="s">
        <v>228</v>
      </c>
      <c r="H136" s="250"/>
      <c r="I136" s="188"/>
      <c r="J136" s="251"/>
      <c r="K136" s="251"/>
      <c r="L136" s="251"/>
      <c r="M136" s="251"/>
      <c r="N136" s="251"/>
      <c r="O136" s="251"/>
      <c r="P136" s="251"/>
      <c r="Q136" s="252"/>
      <c r="R136" s="251"/>
      <c r="S136" s="251"/>
      <c r="T136" s="251"/>
      <c r="U136" s="251"/>
      <c r="V136" s="251"/>
      <c r="W136" s="303"/>
      <c r="X136" s="303"/>
      <c r="Y136" s="303"/>
      <c r="Z136" s="303"/>
    </row>
    <row r="137" spans="1:70" s="183" customFormat="1" x14ac:dyDescent="0.35">
      <c r="A137" s="183" t="s">
        <v>6</v>
      </c>
      <c r="C137" s="184" t="s">
        <v>229</v>
      </c>
      <c r="D137" s="185" t="s">
        <v>230</v>
      </c>
      <c r="E137" s="185">
        <v>87010</v>
      </c>
      <c r="F137" s="186" t="s">
        <v>654</v>
      </c>
      <c r="G137" s="187" t="s">
        <v>231</v>
      </c>
      <c r="H137" s="188" t="s">
        <v>34</v>
      </c>
      <c r="I137" s="188" t="s">
        <v>232</v>
      </c>
      <c r="J137" s="188" t="s">
        <v>233</v>
      </c>
      <c r="K137" s="189">
        <v>17</v>
      </c>
      <c r="L137" s="189">
        <v>75</v>
      </c>
      <c r="M137" s="189">
        <v>1305.7900000000002</v>
      </c>
      <c r="N137" s="189">
        <v>56</v>
      </c>
      <c r="O137" s="189">
        <v>4244.54</v>
      </c>
      <c r="P137" s="189">
        <v>0</v>
      </c>
      <c r="Q137" s="191">
        <v>-46.47</v>
      </c>
      <c r="R137" s="189">
        <v>0</v>
      </c>
      <c r="S137" s="189">
        <v>0</v>
      </c>
      <c r="T137" s="189">
        <v>0</v>
      </c>
      <c r="U137" s="189">
        <v>0</v>
      </c>
      <c r="V137" s="189">
        <v>0</v>
      </c>
      <c r="W137" s="291">
        <v>5000</v>
      </c>
      <c r="X137" s="291">
        <f t="shared" ref="X137:X138" si="51">SUM(M137+O137+Q137+S137+U137+W137)</f>
        <v>10503.86</v>
      </c>
      <c r="Y137" s="291">
        <v>0</v>
      </c>
      <c r="Z137" s="291">
        <f t="shared" ref="Z137:Z138" si="52">X137+Y137</f>
        <v>10503.86</v>
      </c>
    </row>
    <row r="138" spans="1:70" s="183" customFormat="1" x14ac:dyDescent="0.35">
      <c r="A138" s="183" t="s">
        <v>6</v>
      </c>
      <c r="C138" s="184" t="s">
        <v>229</v>
      </c>
      <c r="D138" s="185" t="s">
        <v>234</v>
      </c>
      <c r="E138" s="185">
        <v>87010</v>
      </c>
      <c r="F138" s="186" t="s">
        <v>656</v>
      </c>
      <c r="G138" s="187" t="s">
        <v>235</v>
      </c>
      <c r="H138" s="188" t="s">
        <v>55</v>
      </c>
      <c r="I138" s="188" t="s">
        <v>232</v>
      </c>
      <c r="J138" s="188" t="s">
        <v>233</v>
      </c>
      <c r="K138" s="189">
        <v>5</v>
      </c>
      <c r="L138" s="189">
        <v>75</v>
      </c>
      <c r="M138" s="189">
        <v>365.07</v>
      </c>
      <c r="N138" s="189">
        <v>25</v>
      </c>
      <c r="O138" s="189">
        <v>1882.0300000000004</v>
      </c>
      <c r="P138" s="189">
        <v>19</v>
      </c>
      <c r="Q138" s="191">
        <v>1422.8999999999999</v>
      </c>
      <c r="R138" s="189">
        <v>0</v>
      </c>
      <c r="S138" s="189">
        <v>0</v>
      </c>
      <c r="T138" s="189">
        <v>0</v>
      </c>
      <c r="U138" s="189">
        <v>1280.78</v>
      </c>
      <c r="V138" s="189">
        <v>0</v>
      </c>
      <c r="W138" s="291">
        <v>14720</v>
      </c>
      <c r="X138" s="291">
        <f t="shared" si="51"/>
        <v>19670.78</v>
      </c>
      <c r="Y138" s="291">
        <v>0</v>
      </c>
      <c r="Z138" s="291">
        <f t="shared" si="52"/>
        <v>19670.78</v>
      </c>
    </row>
    <row r="139" spans="1:70" s="183" customFormat="1" x14ac:dyDescent="0.35">
      <c r="A139" s="183" t="s">
        <v>6</v>
      </c>
      <c r="C139" s="184"/>
      <c r="D139" s="198"/>
      <c r="E139" s="198"/>
      <c r="F139" s="199"/>
      <c r="G139" s="237" t="s">
        <v>236</v>
      </c>
      <c r="H139" s="250"/>
      <c r="I139" s="188"/>
      <c r="J139" s="188"/>
      <c r="K139" s="189"/>
      <c r="L139" s="189"/>
      <c r="M139" s="189"/>
      <c r="N139" s="189"/>
      <c r="O139" s="189"/>
      <c r="P139" s="189"/>
      <c r="Q139" s="191"/>
      <c r="R139" s="189"/>
      <c r="S139" s="189"/>
      <c r="T139" s="189"/>
      <c r="U139" s="189"/>
      <c r="V139" s="189"/>
      <c r="W139" s="291"/>
      <c r="X139" s="291"/>
      <c r="Y139" s="291"/>
      <c r="Z139" s="291"/>
    </row>
    <row r="140" spans="1:70" s="290" customFormat="1" ht="22.8" x14ac:dyDescent="0.35">
      <c r="A140" s="253">
        <v>0.40486358077742945</v>
      </c>
      <c r="B140" s="183" t="s">
        <v>237</v>
      </c>
      <c r="C140" s="184" t="s">
        <v>238</v>
      </c>
      <c r="D140" s="328" t="s">
        <v>239</v>
      </c>
      <c r="E140" s="328">
        <v>89050</v>
      </c>
      <c r="F140" s="282" t="s">
        <v>654</v>
      </c>
      <c r="G140" s="289" t="s">
        <v>241</v>
      </c>
      <c r="H140" s="285" t="s">
        <v>34</v>
      </c>
      <c r="I140" s="285" t="s">
        <v>242</v>
      </c>
      <c r="J140" s="285"/>
      <c r="K140" s="286"/>
      <c r="L140" s="286"/>
      <c r="M140" s="286">
        <v>49553.069999999985</v>
      </c>
      <c r="N140" s="286"/>
      <c r="O140" s="286">
        <v>139963.62000000002</v>
      </c>
      <c r="P140" s="286"/>
      <c r="Q140" s="287">
        <v>207151.13999999998</v>
      </c>
      <c r="R140" s="286"/>
      <c r="S140" s="286">
        <v>257072.95</v>
      </c>
      <c r="T140" s="286"/>
      <c r="U140" s="286">
        <v>337715.95</v>
      </c>
      <c r="V140" s="286">
        <v>0</v>
      </c>
      <c r="W140" s="286">
        <v>97482.439999999944</v>
      </c>
      <c r="X140" s="286">
        <f t="shared" ref="X140:X142" si="53">SUM(M140+O140+Q140+S140+U140+W140)</f>
        <v>1088939.17</v>
      </c>
      <c r="Y140" s="286">
        <v>0</v>
      </c>
      <c r="Z140" s="286">
        <f t="shared" ref="Z140:Z142" si="54">X140+Y140</f>
        <v>1088939.17</v>
      </c>
    </row>
    <row r="141" spans="1:70" s="290" customFormat="1" ht="22.8" x14ac:dyDescent="0.35">
      <c r="A141" s="253">
        <v>0.3414267068368203</v>
      </c>
      <c r="B141" s="183" t="s">
        <v>237</v>
      </c>
      <c r="C141" s="184" t="s">
        <v>238</v>
      </c>
      <c r="D141" s="328" t="s">
        <v>243</v>
      </c>
      <c r="E141" s="328">
        <v>89050</v>
      </c>
      <c r="F141" s="282" t="s">
        <v>656</v>
      </c>
      <c r="G141" s="289" t="s">
        <v>244</v>
      </c>
      <c r="H141" s="285" t="s">
        <v>55</v>
      </c>
      <c r="I141" s="285" t="s">
        <v>242</v>
      </c>
      <c r="J141" s="285"/>
      <c r="K141" s="286"/>
      <c r="L141" s="286"/>
      <c r="M141" s="286">
        <v>4490.79</v>
      </c>
      <c r="N141" s="286"/>
      <c r="O141" s="286">
        <v>45083.549999999996</v>
      </c>
      <c r="P141" s="286"/>
      <c r="Q141" s="287">
        <v>50805.34</v>
      </c>
      <c r="R141" s="286"/>
      <c r="S141" s="286">
        <v>105193.03</v>
      </c>
      <c r="T141" s="286"/>
      <c r="U141" s="286">
        <v>98949.670000000013</v>
      </c>
      <c r="V141" s="286">
        <v>0</v>
      </c>
      <c r="W141" s="286">
        <v>92570.22</v>
      </c>
      <c r="X141" s="286">
        <f t="shared" si="53"/>
        <v>397092.6</v>
      </c>
      <c r="Y141" s="286">
        <v>0</v>
      </c>
      <c r="Z141" s="286">
        <f t="shared" si="54"/>
        <v>397092.6</v>
      </c>
    </row>
    <row r="142" spans="1:70" s="290" customFormat="1" ht="22.8" x14ac:dyDescent="0.35">
      <c r="A142" s="253">
        <v>0.25370971238575019</v>
      </c>
      <c r="B142" s="183" t="s">
        <v>237</v>
      </c>
      <c r="C142" s="184" t="s">
        <v>238</v>
      </c>
      <c r="D142" s="328" t="s">
        <v>245</v>
      </c>
      <c r="E142" s="328">
        <v>89050</v>
      </c>
      <c r="F142" s="282" t="s">
        <v>657</v>
      </c>
      <c r="G142" s="289" t="s">
        <v>246</v>
      </c>
      <c r="H142" s="285" t="s">
        <v>69</v>
      </c>
      <c r="I142" s="285" t="s">
        <v>242</v>
      </c>
      <c r="J142" s="285"/>
      <c r="K142" s="286"/>
      <c r="L142" s="286"/>
      <c r="M142" s="286">
        <v>89260.099999999962</v>
      </c>
      <c r="N142" s="286"/>
      <c r="O142" s="286">
        <v>117916.99999999999</v>
      </c>
      <c r="P142" s="286"/>
      <c r="Q142" s="287">
        <v>140154.77000000002</v>
      </c>
      <c r="R142" s="286"/>
      <c r="S142" s="286">
        <v>223253.22</v>
      </c>
      <c r="T142" s="286"/>
      <c r="U142" s="286">
        <v>222680.38999999998</v>
      </c>
      <c r="V142" s="286"/>
      <c r="W142" s="286">
        <v>-59077.529999999962</v>
      </c>
      <c r="X142" s="286">
        <f t="shared" si="53"/>
        <v>734187.95000000007</v>
      </c>
      <c r="Y142" s="286">
        <v>0</v>
      </c>
      <c r="Z142" s="286">
        <f t="shared" si="54"/>
        <v>734187.95000000007</v>
      </c>
    </row>
    <row r="143" spans="1:70" s="247" customFormat="1" x14ac:dyDescent="0.35">
      <c r="A143" s="253" t="s">
        <v>6</v>
      </c>
      <c r="B143" s="183"/>
      <c r="C143" s="184"/>
      <c r="D143" s="254"/>
      <c r="E143" s="254"/>
      <c r="F143" s="253"/>
      <c r="G143" s="187"/>
      <c r="H143" s="188"/>
      <c r="I143" s="188"/>
      <c r="J143" s="188"/>
      <c r="K143" s="189"/>
      <c r="L143" s="189"/>
      <c r="M143" s="189"/>
      <c r="N143" s="189"/>
      <c r="O143" s="189"/>
      <c r="P143" s="189"/>
      <c r="Q143" s="191"/>
      <c r="R143" s="189"/>
      <c r="S143" s="189"/>
      <c r="T143" s="189"/>
      <c r="U143" s="189"/>
      <c r="V143" s="189"/>
      <c r="W143" s="291"/>
      <c r="X143" s="291"/>
      <c r="Y143" s="291"/>
      <c r="Z143" s="291"/>
    </row>
    <row r="144" spans="1:70" s="183" customFormat="1" x14ac:dyDescent="0.35">
      <c r="A144" s="183" t="s">
        <v>6</v>
      </c>
      <c r="C144" s="184"/>
      <c r="G144" s="255" t="s">
        <v>247</v>
      </c>
      <c r="H144" s="226"/>
      <c r="I144" s="226"/>
      <c r="J144" s="226"/>
      <c r="K144" s="226"/>
      <c r="L144" s="226"/>
      <c r="M144" s="226"/>
      <c r="N144" s="226"/>
      <c r="O144" s="226"/>
      <c r="P144" s="226"/>
      <c r="Q144" s="226"/>
      <c r="R144" s="226"/>
      <c r="S144" s="226"/>
      <c r="T144" s="226"/>
      <c r="U144" s="226"/>
      <c r="V144" s="226"/>
      <c r="W144" s="304"/>
      <c r="X144" s="304"/>
      <c r="Y144" s="304"/>
      <c r="Z144" s="297"/>
    </row>
    <row r="145" spans="1:26" s="183" customFormat="1" ht="22.8" x14ac:dyDescent="0.35">
      <c r="A145" s="183" t="s">
        <v>6</v>
      </c>
      <c r="C145" s="184"/>
      <c r="G145" s="237" t="s">
        <v>248</v>
      </c>
      <c r="H145" s="250"/>
      <c r="I145" s="250"/>
      <c r="J145" s="250"/>
      <c r="K145" s="250"/>
      <c r="L145" s="250"/>
      <c r="M145" s="250"/>
      <c r="N145" s="250"/>
      <c r="O145" s="250"/>
      <c r="P145" s="250"/>
      <c r="Q145" s="226"/>
      <c r="R145" s="250"/>
      <c r="S145" s="250"/>
      <c r="T145" s="250"/>
      <c r="U145" s="250"/>
      <c r="V145" s="250"/>
      <c r="W145" s="305"/>
      <c r="X145" s="305"/>
      <c r="Y145" s="305"/>
      <c r="Z145" s="297"/>
    </row>
    <row r="146" spans="1:26" s="183" customFormat="1" x14ac:dyDescent="0.35">
      <c r="A146" s="183" t="s">
        <v>6</v>
      </c>
      <c r="C146" s="184" t="s">
        <v>229</v>
      </c>
      <c r="D146" s="185" t="s">
        <v>249</v>
      </c>
      <c r="E146" s="185">
        <v>87010</v>
      </c>
      <c r="F146" s="186" t="s">
        <v>654</v>
      </c>
      <c r="G146" s="187" t="s">
        <v>250</v>
      </c>
      <c r="H146" s="188" t="s">
        <v>34</v>
      </c>
      <c r="I146" s="188" t="s">
        <v>232</v>
      </c>
      <c r="J146" s="188" t="s">
        <v>233</v>
      </c>
      <c r="K146" s="189">
        <v>1</v>
      </c>
      <c r="L146" s="189">
        <v>75</v>
      </c>
      <c r="M146" s="189">
        <v>0</v>
      </c>
      <c r="N146" s="189">
        <v>4</v>
      </c>
      <c r="O146" s="189">
        <v>331.06</v>
      </c>
      <c r="P146" s="189">
        <v>0</v>
      </c>
      <c r="Q146" s="191">
        <v>0</v>
      </c>
      <c r="R146" s="189">
        <v>0</v>
      </c>
      <c r="S146" s="189">
        <v>0</v>
      </c>
      <c r="T146" s="189">
        <v>0</v>
      </c>
      <c r="U146" s="189">
        <v>0</v>
      </c>
      <c r="V146" s="189">
        <v>0</v>
      </c>
      <c r="W146" s="291">
        <v>0</v>
      </c>
      <c r="X146" s="291">
        <f t="shared" ref="X146:X147" si="55">SUM(M146+O146+Q146+S146+U146+W146)</f>
        <v>331.06</v>
      </c>
      <c r="Y146" s="291">
        <v>0</v>
      </c>
      <c r="Z146" s="291">
        <f t="shared" ref="Z146:Z147" si="56">X146+Y146</f>
        <v>331.06</v>
      </c>
    </row>
    <row r="147" spans="1:26" s="183" customFormat="1" hidden="1" x14ac:dyDescent="0.35">
      <c r="A147" s="183" t="s">
        <v>6</v>
      </c>
      <c r="C147" s="184" t="s">
        <v>229</v>
      </c>
      <c r="D147" s="326" t="s">
        <v>46</v>
      </c>
      <c r="E147" s="326" t="s">
        <v>46</v>
      </c>
      <c r="F147" s="327" t="s">
        <v>46</v>
      </c>
      <c r="G147" s="187" t="s">
        <v>251</v>
      </c>
      <c r="H147" s="188" t="s">
        <v>55</v>
      </c>
      <c r="I147" s="188" t="s">
        <v>232</v>
      </c>
      <c r="J147" s="188" t="s">
        <v>233</v>
      </c>
      <c r="K147" s="189">
        <v>1</v>
      </c>
      <c r="L147" s="189">
        <v>75</v>
      </c>
      <c r="M147" s="189">
        <v>0</v>
      </c>
      <c r="N147" s="189">
        <v>0</v>
      </c>
      <c r="O147" s="189">
        <v>0</v>
      </c>
      <c r="P147" s="189">
        <v>0</v>
      </c>
      <c r="Q147" s="191">
        <v>0</v>
      </c>
      <c r="R147" s="189">
        <v>0</v>
      </c>
      <c r="S147" s="189">
        <v>0</v>
      </c>
      <c r="T147" s="189">
        <v>0</v>
      </c>
      <c r="U147" s="189">
        <v>0</v>
      </c>
      <c r="V147" s="189">
        <v>0</v>
      </c>
      <c r="W147" s="291">
        <v>0</v>
      </c>
      <c r="X147" s="291">
        <f t="shared" si="55"/>
        <v>0</v>
      </c>
      <c r="Y147" s="291">
        <v>0</v>
      </c>
      <c r="Z147" s="291">
        <f t="shared" si="56"/>
        <v>0</v>
      </c>
    </row>
    <row r="148" spans="1:26" s="183" customFormat="1" ht="34.200000000000003" x14ac:dyDescent="0.35">
      <c r="A148" s="183" t="s">
        <v>6</v>
      </c>
      <c r="C148" s="184"/>
      <c r="G148" s="237" t="s">
        <v>252</v>
      </c>
      <c r="H148" s="250"/>
      <c r="I148" s="250"/>
      <c r="J148" s="250"/>
      <c r="K148" s="250"/>
      <c r="L148" s="250"/>
      <c r="M148" s="250"/>
      <c r="N148" s="250"/>
      <c r="O148" s="250"/>
      <c r="P148" s="250"/>
      <c r="Q148" s="226"/>
      <c r="R148" s="250"/>
      <c r="S148" s="250"/>
      <c r="T148" s="250"/>
      <c r="U148" s="250"/>
      <c r="V148" s="250"/>
      <c r="W148" s="305"/>
      <c r="X148" s="305"/>
      <c r="Y148" s="305"/>
      <c r="Z148" s="297"/>
    </row>
    <row r="149" spans="1:26" s="183" customFormat="1" x14ac:dyDescent="0.35">
      <c r="A149" s="183" t="s">
        <v>6</v>
      </c>
      <c r="C149" s="184"/>
      <c r="G149" s="256" t="s">
        <v>253</v>
      </c>
      <c r="H149" s="250"/>
      <c r="I149" s="250"/>
      <c r="J149" s="250"/>
      <c r="K149" s="250"/>
      <c r="L149" s="250"/>
      <c r="M149" s="250"/>
      <c r="N149" s="250"/>
      <c r="O149" s="250"/>
      <c r="P149" s="250"/>
      <c r="Q149" s="226"/>
      <c r="R149" s="250"/>
      <c r="S149" s="250"/>
      <c r="T149" s="250"/>
      <c r="U149" s="250"/>
      <c r="V149" s="250"/>
      <c r="W149" s="305"/>
      <c r="X149" s="305"/>
      <c r="Y149" s="305"/>
      <c r="Z149" s="297"/>
    </row>
    <row r="150" spans="1:26" s="183" customFormat="1" ht="22.8" x14ac:dyDescent="0.35">
      <c r="A150" s="183" t="s">
        <v>6</v>
      </c>
      <c r="B150" s="183" t="s">
        <v>254</v>
      </c>
      <c r="C150" s="184" t="s">
        <v>159</v>
      </c>
      <c r="D150" s="185" t="s">
        <v>255</v>
      </c>
      <c r="E150" s="185">
        <v>87010</v>
      </c>
      <c r="F150" s="186" t="s">
        <v>654</v>
      </c>
      <c r="G150" s="187" t="s">
        <v>256</v>
      </c>
      <c r="H150" s="188" t="s">
        <v>34</v>
      </c>
      <c r="I150" s="188" t="s">
        <v>232</v>
      </c>
      <c r="J150" s="188" t="s">
        <v>233</v>
      </c>
      <c r="K150" s="189">
        <v>9</v>
      </c>
      <c r="L150" s="189">
        <v>75</v>
      </c>
      <c r="M150" s="189">
        <v>651.65</v>
      </c>
      <c r="N150" s="189">
        <v>118</v>
      </c>
      <c r="O150" s="189">
        <v>1058.6100000000001</v>
      </c>
      <c r="P150" s="189">
        <v>14</v>
      </c>
      <c r="Q150" s="191">
        <v>1064.47</v>
      </c>
      <c r="R150" s="189">
        <v>0</v>
      </c>
      <c r="S150" s="189">
        <v>0</v>
      </c>
      <c r="T150" s="189">
        <v>0</v>
      </c>
      <c r="U150" s="189">
        <v>0</v>
      </c>
      <c r="V150" s="189">
        <v>0</v>
      </c>
      <c r="W150" s="291">
        <v>0</v>
      </c>
      <c r="X150" s="291">
        <f t="shared" ref="X150:X153" si="57">SUM(M150+O150+Q150+S150+U150+W150)</f>
        <v>2774.7300000000005</v>
      </c>
      <c r="Y150" s="291">
        <v>0</v>
      </c>
      <c r="Z150" s="291">
        <f t="shared" ref="Z150:Z158" si="58">X150+Y150</f>
        <v>2774.7300000000005</v>
      </c>
    </row>
    <row r="151" spans="1:26" s="279" customFormat="1" x14ac:dyDescent="0.35">
      <c r="A151" s="279" t="s">
        <v>6</v>
      </c>
      <c r="B151" s="279" t="s">
        <v>254</v>
      </c>
      <c r="C151" s="280" t="s">
        <v>257</v>
      </c>
      <c r="D151" s="281" t="s">
        <v>258</v>
      </c>
      <c r="E151" s="281">
        <v>81000</v>
      </c>
      <c r="F151" s="282" t="s">
        <v>654</v>
      </c>
      <c r="G151" s="289" t="s">
        <v>259</v>
      </c>
      <c r="H151" s="285" t="s">
        <v>34</v>
      </c>
      <c r="I151" s="285" t="s">
        <v>232</v>
      </c>
      <c r="J151" s="285" t="s">
        <v>91</v>
      </c>
      <c r="K151" s="286">
        <v>1</v>
      </c>
      <c r="L151" s="286">
        <v>79980</v>
      </c>
      <c r="M151" s="286">
        <v>0</v>
      </c>
      <c r="N151" s="286">
        <v>0</v>
      </c>
      <c r="O151" s="286">
        <v>0</v>
      </c>
      <c r="P151" s="286">
        <v>0</v>
      </c>
      <c r="Q151" s="287">
        <v>0</v>
      </c>
      <c r="R151" s="286">
        <v>0.3</v>
      </c>
      <c r="S151" s="286">
        <v>23994</v>
      </c>
      <c r="T151" s="286">
        <v>0.7</v>
      </c>
      <c r="U151" s="286">
        <v>55986</v>
      </c>
      <c r="V151" s="286">
        <v>0</v>
      </c>
      <c r="W151" s="286">
        <v>0</v>
      </c>
      <c r="X151" s="286">
        <f t="shared" si="57"/>
        <v>79980</v>
      </c>
      <c r="Y151" s="286">
        <v>0</v>
      </c>
      <c r="Z151" s="286">
        <f t="shared" si="58"/>
        <v>79980</v>
      </c>
    </row>
    <row r="152" spans="1:26" s="183" customFormat="1" hidden="1" x14ac:dyDescent="0.35">
      <c r="A152" s="183" t="s">
        <v>6</v>
      </c>
      <c r="B152" s="183" t="s">
        <v>254</v>
      </c>
      <c r="C152" s="184" t="s">
        <v>159</v>
      </c>
      <c r="D152" s="326" t="s">
        <v>46</v>
      </c>
      <c r="E152" s="326" t="s">
        <v>46</v>
      </c>
      <c r="F152" s="327" t="s">
        <v>46</v>
      </c>
      <c r="G152" s="187" t="s">
        <v>260</v>
      </c>
      <c r="H152" s="188" t="s">
        <v>34</v>
      </c>
      <c r="I152" s="188" t="s">
        <v>232</v>
      </c>
      <c r="J152" s="188" t="s">
        <v>261</v>
      </c>
      <c r="K152" s="189">
        <v>2</v>
      </c>
      <c r="L152" s="189">
        <v>1000</v>
      </c>
      <c r="M152" s="189">
        <v>0</v>
      </c>
      <c r="N152" s="189">
        <v>0</v>
      </c>
      <c r="O152" s="189">
        <v>0</v>
      </c>
      <c r="P152" s="189">
        <v>0</v>
      </c>
      <c r="Q152" s="191">
        <v>0</v>
      </c>
      <c r="R152" s="189">
        <v>0</v>
      </c>
      <c r="S152" s="189">
        <v>0</v>
      </c>
      <c r="T152" s="189">
        <v>0</v>
      </c>
      <c r="U152" s="189">
        <v>0</v>
      </c>
      <c r="V152" s="189">
        <v>0</v>
      </c>
      <c r="W152" s="291">
        <v>0</v>
      </c>
      <c r="X152" s="291">
        <f t="shared" si="57"/>
        <v>0</v>
      </c>
      <c r="Y152" s="291">
        <v>0</v>
      </c>
      <c r="Z152" s="291">
        <f t="shared" si="58"/>
        <v>0</v>
      </c>
    </row>
    <row r="153" spans="1:26" s="183" customFormat="1" hidden="1" x14ac:dyDescent="0.35">
      <c r="A153" s="183" t="s">
        <v>6</v>
      </c>
      <c r="B153" s="183" t="s">
        <v>254</v>
      </c>
      <c r="C153" s="184" t="s">
        <v>262</v>
      </c>
      <c r="D153" s="326" t="s">
        <v>46</v>
      </c>
      <c r="E153" s="326" t="s">
        <v>46</v>
      </c>
      <c r="F153" s="327" t="s">
        <v>46</v>
      </c>
      <c r="G153" s="187" t="s">
        <v>263</v>
      </c>
      <c r="H153" s="188" t="s">
        <v>34</v>
      </c>
      <c r="I153" s="188" t="s">
        <v>232</v>
      </c>
      <c r="J153" s="188" t="s">
        <v>261</v>
      </c>
      <c r="K153" s="189">
        <v>2</v>
      </c>
      <c r="L153" s="189">
        <v>1500</v>
      </c>
      <c r="M153" s="189">
        <v>0</v>
      </c>
      <c r="N153" s="189">
        <v>0</v>
      </c>
      <c r="O153" s="189">
        <v>0</v>
      </c>
      <c r="P153" s="189">
        <v>0</v>
      </c>
      <c r="Q153" s="191">
        <v>0</v>
      </c>
      <c r="R153" s="189">
        <v>0</v>
      </c>
      <c r="S153" s="189">
        <v>0</v>
      </c>
      <c r="T153" s="189">
        <v>0</v>
      </c>
      <c r="U153" s="189">
        <v>0</v>
      </c>
      <c r="V153" s="189">
        <v>0</v>
      </c>
      <c r="W153" s="291">
        <v>0</v>
      </c>
      <c r="X153" s="291">
        <f t="shared" si="57"/>
        <v>0</v>
      </c>
      <c r="Y153" s="291">
        <v>0</v>
      </c>
      <c r="Z153" s="291">
        <f t="shared" si="58"/>
        <v>0</v>
      </c>
    </row>
    <row r="154" spans="1:26" s="183" customFormat="1" hidden="1" x14ac:dyDescent="0.35">
      <c r="A154" s="183" t="s">
        <v>6</v>
      </c>
      <c r="C154" s="184"/>
      <c r="D154" s="198"/>
      <c r="E154" s="198"/>
      <c r="F154" s="199"/>
      <c r="G154" s="256" t="s">
        <v>264</v>
      </c>
      <c r="H154" s="188"/>
      <c r="I154" s="188"/>
      <c r="J154" s="188"/>
      <c r="K154" s="189"/>
      <c r="L154" s="189"/>
      <c r="M154" s="189"/>
      <c r="N154" s="189"/>
      <c r="O154" s="189"/>
      <c r="P154" s="189"/>
      <c r="Q154" s="191"/>
      <c r="R154" s="189"/>
      <c r="S154" s="189"/>
      <c r="T154" s="189"/>
      <c r="U154" s="189"/>
      <c r="V154" s="189"/>
      <c r="W154" s="291"/>
      <c r="X154" s="291"/>
      <c r="Y154" s="291"/>
      <c r="Z154" s="298">
        <f t="shared" si="58"/>
        <v>0</v>
      </c>
    </row>
    <row r="155" spans="1:26" s="183" customFormat="1" ht="22.8" hidden="1" x14ac:dyDescent="0.35">
      <c r="A155" s="183" t="s">
        <v>6</v>
      </c>
      <c r="B155" s="183" t="s">
        <v>254</v>
      </c>
      <c r="C155" s="184" t="s">
        <v>159</v>
      </c>
      <c r="D155" s="326" t="s">
        <v>46</v>
      </c>
      <c r="E155" s="326" t="s">
        <v>46</v>
      </c>
      <c r="F155" s="327" t="s">
        <v>46</v>
      </c>
      <c r="G155" s="187" t="s">
        <v>265</v>
      </c>
      <c r="H155" s="188" t="s">
        <v>55</v>
      </c>
      <c r="I155" s="188" t="s">
        <v>232</v>
      </c>
      <c r="J155" s="188" t="s">
        <v>233</v>
      </c>
      <c r="K155" s="189">
        <v>4</v>
      </c>
      <c r="L155" s="189">
        <v>75</v>
      </c>
      <c r="M155" s="189">
        <v>0</v>
      </c>
      <c r="N155" s="189">
        <v>0</v>
      </c>
      <c r="O155" s="189">
        <v>0</v>
      </c>
      <c r="P155" s="189">
        <v>0</v>
      </c>
      <c r="Q155" s="191">
        <v>0</v>
      </c>
      <c r="R155" s="189">
        <v>0</v>
      </c>
      <c r="S155" s="189">
        <v>0</v>
      </c>
      <c r="T155" s="189">
        <v>0</v>
      </c>
      <c r="U155" s="189">
        <v>0</v>
      </c>
      <c r="V155" s="189">
        <v>0</v>
      </c>
      <c r="W155" s="291">
        <v>0</v>
      </c>
      <c r="X155" s="291">
        <f t="shared" ref="X155:X158" si="59">SUM(M155+O155+Q155+S155+U155+W155)</f>
        <v>0</v>
      </c>
      <c r="Y155" s="291">
        <v>0</v>
      </c>
      <c r="Z155" s="291">
        <f t="shared" si="58"/>
        <v>0</v>
      </c>
    </row>
    <row r="156" spans="1:26" s="183" customFormat="1" hidden="1" x14ac:dyDescent="0.35">
      <c r="A156" s="183" t="s">
        <v>6</v>
      </c>
      <c r="B156" s="183" t="s">
        <v>254</v>
      </c>
      <c r="C156" s="184" t="s">
        <v>257</v>
      </c>
      <c r="D156" s="326" t="s">
        <v>46</v>
      </c>
      <c r="E156" s="326" t="s">
        <v>46</v>
      </c>
      <c r="F156" s="327" t="s">
        <v>46</v>
      </c>
      <c r="G156" s="187" t="s">
        <v>266</v>
      </c>
      <c r="H156" s="188" t="s">
        <v>55</v>
      </c>
      <c r="I156" s="188" t="s">
        <v>232</v>
      </c>
      <c r="J156" s="188" t="s">
        <v>91</v>
      </c>
      <c r="K156" s="189">
        <v>45</v>
      </c>
      <c r="L156" s="189">
        <v>200</v>
      </c>
      <c r="M156" s="189">
        <v>0</v>
      </c>
      <c r="N156" s="189">
        <v>0</v>
      </c>
      <c r="O156" s="189">
        <v>0</v>
      </c>
      <c r="P156" s="189">
        <v>0</v>
      </c>
      <c r="Q156" s="191">
        <v>0</v>
      </c>
      <c r="R156" s="189">
        <v>0</v>
      </c>
      <c r="S156" s="189">
        <v>0</v>
      </c>
      <c r="T156" s="189">
        <v>0</v>
      </c>
      <c r="U156" s="189">
        <v>0</v>
      </c>
      <c r="V156" s="189">
        <v>0</v>
      </c>
      <c r="W156" s="291">
        <v>0</v>
      </c>
      <c r="X156" s="291">
        <f t="shared" si="59"/>
        <v>0</v>
      </c>
      <c r="Y156" s="291">
        <v>0</v>
      </c>
      <c r="Z156" s="291">
        <f t="shared" si="58"/>
        <v>0</v>
      </c>
    </row>
    <row r="157" spans="1:26" s="183" customFormat="1" hidden="1" x14ac:dyDescent="0.35">
      <c r="A157" s="183" t="s">
        <v>6</v>
      </c>
      <c r="B157" s="183" t="s">
        <v>254</v>
      </c>
      <c r="C157" s="184" t="s">
        <v>159</v>
      </c>
      <c r="D157" s="326" t="s">
        <v>46</v>
      </c>
      <c r="E157" s="326" t="s">
        <v>46</v>
      </c>
      <c r="F157" s="327" t="s">
        <v>46</v>
      </c>
      <c r="G157" s="187" t="s">
        <v>267</v>
      </c>
      <c r="H157" s="188" t="s">
        <v>55</v>
      </c>
      <c r="I157" s="188" t="s">
        <v>232</v>
      </c>
      <c r="J157" s="188" t="s">
        <v>261</v>
      </c>
      <c r="K157" s="189">
        <v>2</v>
      </c>
      <c r="L157" s="189">
        <v>900</v>
      </c>
      <c r="M157" s="189">
        <v>0</v>
      </c>
      <c r="N157" s="189">
        <v>0</v>
      </c>
      <c r="O157" s="189">
        <v>0</v>
      </c>
      <c r="P157" s="189">
        <v>0</v>
      </c>
      <c r="Q157" s="191">
        <v>0</v>
      </c>
      <c r="R157" s="189">
        <v>0</v>
      </c>
      <c r="S157" s="189">
        <v>0</v>
      </c>
      <c r="T157" s="189">
        <v>0</v>
      </c>
      <c r="U157" s="189">
        <v>0</v>
      </c>
      <c r="V157" s="189">
        <v>0</v>
      </c>
      <c r="W157" s="291">
        <v>0</v>
      </c>
      <c r="X157" s="291">
        <f t="shared" si="59"/>
        <v>0</v>
      </c>
      <c r="Y157" s="291">
        <v>0</v>
      </c>
      <c r="Z157" s="291">
        <f t="shared" si="58"/>
        <v>0</v>
      </c>
    </row>
    <row r="158" spans="1:26" s="183" customFormat="1" ht="22.8" hidden="1" x14ac:dyDescent="0.35">
      <c r="A158" s="183" t="s">
        <v>6</v>
      </c>
      <c r="B158" s="183" t="s">
        <v>254</v>
      </c>
      <c r="C158" s="184" t="s">
        <v>262</v>
      </c>
      <c r="D158" s="326" t="s">
        <v>46</v>
      </c>
      <c r="E158" s="326" t="s">
        <v>46</v>
      </c>
      <c r="F158" s="327" t="s">
        <v>46</v>
      </c>
      <c r="G158" s="187" t="s">
        <v>268</v>
      </c>
      <c r="H158" s="188" t="s">
        <v>55</v>
      </c>
      <c r="I158" s="188" t="s">
        <v>232</v>
      </c>
      <c r="J158" s="188" t="s">
        <v>261</v>
      </c>
      <c r="K158" s="189">
        <v>2</v>
      </c>
      <c r="L158" s="189">
        <v>1500</v>
      </c>
      <c r="M158" s="189">
        <v>0</v>
      </c>
      <c r="N158" s="189">
        <v>0</v>
      </c>
      <c r="O158" s="189">
        <v>0</v>
      </c>
      <c r="P158" s="189">
        <v>0</v>
      </c>
      <c r="Q158" s="191">
        <v>0</v>
      </c>
      <c r="R158" s="189">
        <v>0</v>
      </c>
      <c r="S158" s="189">
        <v>0</v>
      </c>
      <c r="T158" s="189">
        <v>0</v>
      </c>
      <c r="U158" s="189">
        <v>0</v>
      </c>
      <c r="V158" s="189">
        <v>0</v>
      </c>
      <c r="W158" s="291">
        <v>0</v>
      </c>
      <c r="X158" s="291">
        <f t="shared" si="59"/>
        <v>0</v>
      </c>
      <c r="Y158" s="291">
        <v>0</v>
      </c>
      <c r="Z158" s="291">
        <f t="shared" si="58"/>
        <v>0</v>
      </c>
    </row>
    <row r="159" spans="1:26" s="183" customFormat="1" x14ac:dyDescent="0.35">
      <c r="A159" s="183" t="s">
        <v>6</v>
      </c>
      <c r="C159" s="184"/>
      <c r="D159" s="198"/>
      <c r="E159" s="198"/>
      <c r="F159" s="199"/>
      <c r="G159" s="237" t="s">
        <v>269</v>
      </c>
      <c r="H159" s="250"/>
      <c r="I159" s="250"/>
      <c r="J159" s="250"/>
      <c r="K159" s="250"/>
      <c r="L159" s="250"/>
      <c r="M159" s="250"/>
      <c r="N159" s="250"/>
      <c r="O159" s="250"/>
      <c r="P159" s="250"/>
      <c r="Q159" s="226"/>
      <c r="R159" s="250"/>
      <c r="S159" s="250"/>
      <c r="T159" s="250"/>
      <c r="U159" s="250"/>
      <c r="V159" s="250"/>
      <c r="W159" s="305"/>
      <c r="X159" s="305"/>
      <c r="Y159" s="305"/>
      <c r="Z159" s="298"/>
    </row>
    <row r="160" spans="1:26" s="183" customFormat="1" x14ac:dyDescent="0.35">
      <c r="A160" s="183" t="s">
        <v>6</v>
      </c>
      <c r="B160" s="183" t="s">
        <v>270</v>
      </c>
      <c r="C160" s="184" t="s">
        <v>229</v>
      </c>
      <c r="D160" s="185" t="s">
        <v>271</v>
      </c>
      <c r="E160" s="185">
        <v>87010</v>
      </c>
      <c r="F160" s="186" t="s">
        <v>654</v>
      </c>
      <c r="G160" s="187" t="s">
        <v>231</v>
      </c>
      <c r="H160" s="188" t="s">
        <v>34</v>
      </c>
      <c r="I160" s="188" t="s">
        <v>232</v>
      </c>
      <c r="J160" s="188" t="s">
        <v>233</v>
      </c>
      <c r="K160" s="189">
        <v>53</v>
      </c>
      <c r="L160" s="189">
        <v>75</v>
      </c>
      <c r="M160" s="189">
        <v>3972.8000000000011</v>
      </c>
      <c r="N160" s="189">
        <v>0</v>
      </c>
      <c r="O160" s="189">
        <v>0</v>
      </c>
      <c r="P160" s="189">
        <v>42</v>
      </c>
      <c r="Q160" s="191">
        <v>3154.29</v>
      </c>
      <c r="R160" s="189">
        <v>0</v>
      </c>
      <c r="S160" s="189">
        <v>-1.0199999999999998</v>
      </c>
      <c r="T160" s="189">
        <v>55.785957723577191</v>
      </c>
      <c r="U160" s="189">
        <v>1671.9299999999998</v>
      </c>
      <c r="V160" s="189">
        <f>+W160/L160</f>
        <v>7.16</v>
      </c>
      <c r="W160" s="291">
        <v>537</v>
      </c>
      <c r="X160" s="291">
        <f t="shared" ref="X160:X161" si="60">SUM(M160+O160+Q160+S160+U160+W160)</f>
        <v>9335</v>
      </c>
      <c r="Y160" s="291">
        <v>0</v>
      </c>
      <c r="Z160" s="291">
        <f t="shared" ref="Z160:Z161" si="61">X160+Y160</f>
        <v>9335</v>
      </c>
    </row>
    <row r="161" spans="1:26" s="183" customFormat="1" hidden="1" x14ac:dyDescent="0.35">
      <c r="A161" s="183" t="s">
        <v>6</v>
      </c>
      <c r="B161" s="183" t="s">
        <v>270</v>
      </c>
      <c r="C161" s="184" t="s">
        <v>229</v>
      </c>
      <c r="D161" s="326" t="s">
        <v>46</v>
      </c>
      <c r="E161" s="326" t="s">
        <v>46</v>
      </c>
      <c r="F161" s="327" t="s">
        <v>46</v>
      </c>
      <c r="G161" s="187" t="s">
        <v>235</v>
      </c>
      <c r="H161" s="188" t="s">
        <v>55</v>
      </c>
      <c r="I161" s="188" t="s">
        <v>232</v>
      </c>
      <c r="J161" s="188" t="s">
        <v>233</v>
      </c>
      <c r="K161" s="189">
        <v>4</v>
      </c>
      <c r="L161" s="189">
        <v>75</v>
      </c>
      <c r="M161" s="189">
        <v>0</v>
      </c>
      <c r="N161" s="189">
        <v>0</v>
      </c>
      <c r="O161" s="189">
        <v>0</v>
      </c>
      <c r="P161" s="189">
        <v>0</v>
      </c>
      <c r="Q161" s="191">
        <v>0</v>
      </c>
      <c r="R161" s="189">
        <v>0</v>
      </c>
      <c r="S161" s="189">
        <v>0</v>
      </c>
      <c r="T161" s="189">
        <v>0</v>
      </c>
      <c r="U161" s="189">
        <v>0</v>
      </c>
      <c r="V161" s="189">
        <v>0</v>
      </c>
      <c r="W161" s="291">
        <v>0</v>
      </c>
      <c r="X161" s="291">
        <f t="shared" si="60"/>
        <v>0</v>
      </c>
      <c r="Y161" s="291">
        <v>0</v>
      </c>
      <c r="Z161" s="291">
        <f t="shared" si="61"/>
        <v>0</v>
      </c>
    </row>
    <row r="162" spans="1:26" s="183" customFormat="1" ht="22.8" x14ac:dyDescent="0.35">
      <c r="A162" s="183" t="s">
        <v>6</v>
      </c>
      <c r="C162" s="184"/>
      <c r="G162" s="237" t="s">
        <v>272</v>
      </c>
      <c r="H162" s="188"/>
      <c r="I162" s="188"/>
      <c r="J162" s="188"/>
      <c r="K162" s="189"/>
      <c r="L162" s="189"/>
      <c r="M162" s="189"/>
      <c r="N162" s="189"/>
      <c r="O162" s="189"/>
      <c r="P162" s="189"/>
      <c r="Q162" s="191"/>
      <c r="R162" s="189"/>
      <c r="S162" s="189"/>
      <c r="T162" s="189"/>
      <c r="U162" s="189"/>
      <c r="V162" s="189"/>
      <c r="W162" s="291"/>
      <c r="X162" s="291"/>
      <c r="Y162" s="291"/>
      <c r="Z162" s="298"/>
    </row>
    <row r="163" spans="1:26" s="183" customFormat="1" x14ac:dyDescent="0.35">
      <c r="A163" s="183" t="s">
        <v>6</v>
      </c>
      <c r="C163" s="184"/>
      <c r="G163" s="256" t="s">
        <v>273</v>
      </c>
      <c r="H163" s="188"/>
      <c r="I163" s="188"/>
      <c r="J163" s="188"/>
      <c r="K163" s="189"/>
      <c r="L163" s="189"/>
      <c r="M163" s="189"/>
      <c r="N163" s="189"/>
      <c r="O163" s="189"/>
      <c r="P163" s="189"/>
      <c r="Q163" s="191"/>
      <c r="R163" s="189"/>
      <c r="S163" s="189"/>
      <c r="T163" s="189"/>
      <c r="U163" s="189"/>
      <c r="V163" s="189"/>
      <c r="W163" s="291"/>
      <c r="X163" s="291"/>
      <c r="Y163" s="291"/>
      <c r="Z163" s="298">
        <f t="shared" ref="Z163:Z166" si="62">X163+Y163</f>
        <v>0</v>
      </c>
    </row>
    <row r="164" spans="1:26" s="279" customFormat="1" x14ac:dyDescent="0.35">
      <c r="A164" s="279" t="s">
        <v>6</v>
      </c>
      <c r="B164" s="279" t="s">
        <v>274</v>
      </c>
      <c r="C164" s="280" t="s">
        <v>257</v>
      </c>
      <c r="D164" s="281" t="s">
        <v>275</v>
      </c>
      <c r="E164" s="281">
        <v>81000</v>
      </c>
      <c r="F164" s="282" t="s">
        <v>654</v>
      </c>
      <c r="G164" s="289" t="s">
        <v>259</v>
      </c>
      <c r="H164" s="285" t="s">
        <v>34</v>
      </c>
      <c r="I164" s="285" t="s">
        <v>232</v>
      </c>
      <c r="J164" s="285" t="s">
        <v>91</v>
      </c>
      <c r="K164" s="286">
        <v>0</v>
      </c>
      <c r="L164" s="286">
        <v>200</v>
      </c>
      <c r="M164" s="286">
        <v>0</v>
      </c>
      <c r="N164" s="286">
        <v>0</v>
      </c>
      <c r="O164" s="286">
        <v>0</v>
      </c>
      <c r="P164" s="286">
        <v>0</v>
      </c>
      <c r="Q164" s="287">
        <v>0</v>
      </c>
      <c r="R164" s="286">
        <v>10</v>
      </c>
      <c r="S164" s="286">
        <v>0</v>
      </c>
      <c r="T164" s="286">
        <v>20</v>
      </c>
      <c r="U164" s="286">
        <v>2132.94</v>
      </c>
      <c r="V164" s="286">
        <v>0</v>
      </c>
      <c r="W164" s="286">
        <v>0</v>
      </c>
      <c r="X164" s="286">
        <f t="shared" ref="X164:X166" si="63">SUM(M164+O164+Q164+S164+U164+W164)</f>
        <v>2132.94</v>
      </c>
      <c r="Y164" s="286">
        <v>0</v>
      </c>
      <c r="Z164" s="286">
        <f t="shared" si="62"/>
        <v>2132.94</v>
      </c>
    </row>
    <row r="165" spans="1:26" s="183" customFormat="1" hidden="1" x14ac:dyDescent="0.35">
      <c r="A165" s="183" t="s">
        <v>6</v>
      </c>
      <c r="B165" s="183" t="s">
        <v>274</v>
      </c>
      <c r="C165" s="184" t="s">
        <v>229</v>
      </c>
      <c r="D165" s="326" t="s">
        <v>46</v>
      </c>
      <c r="E165" s="326" t="s">
        <v>46</v>
      </c>
      <c r="F165" s="327" t="s">
        <v>46</v>
      </c>
      <c r="G165" s="187" t="s">
        <v>276</v>
      </c>
      <c r="H165" s="188" t="s">
        <v>34</v>
      </c>
      <c r="I165" s="188" t="s">
        <v>232</v>
      </c>
      <c r="J165" s="188" t="s">
        <v>233</v>
      </c>
      <c r="K165" s="189">
        <v>0</v>
      </c>
      <c r="L165" s="189">
        <v>75</v>
      </c>
      <c r="M165" s="189">
        <v>0</v>
      </c>
      <c r="N165" s="189">
        <v>0</v>
      </c>
      <c r="O165" s="189">
        <v>0</v>
      </c>
      <c r="P165" s="189">
        <v>0</v>
      </c>
      <c r="Q165" s="191">
        <v>0</v>
      </c>
      <c r="R165" s="189">
        <v>2</v>
      </c>
      <c r="S165" s="189">
        <v>0</v>
      </c>
      <c r="T165" s="189">
        <v>4</v>
      </c>
      <c r="U165" s="189">
        <v>0</v>
      </c>
      <c r="V165" s="189">
        <v>0</v>
      </c>
      <c r="W165" s="291">
        <v>0</v>
      </c>
      <c r="X165" s="291">
        <f t="shared" si="63"/>
        <v>0</v>
      </c>
      <c r="Y165" s="291">
        <v>0</v>
      </c>
      <c r="Z165" s="291">
        <f t="shared" si="62"/>
        <v>0</v>
      </c>
    </row>
    <row r="166" spans="1:26" s="183" customFormat="1" x14ac:dyDescent="0.35">
      <c r="A166" s="183" t="s">
        <v>6</v>
      </c>
      <c r="B166" s="183" t="s">
        <v>274</v>
      </c>
      <c r="C166" s="184" t="s">
        <v>229</v>
      </c>
      <c r="D166" s="185" t="s">
        <v>277</v>
      </c>
      <c r="E166" s="185">
        <v>87000</v>
      </c>
      <c r="F166" s="186" t="s">
        <v>654</v>
      </c>
      <c r="G166" s="187" t="s">
        <v>278</v>
      </c>
      <c r="H166" s="188" t="s">
        <v>34</v>
      </c>
      <c r="I166" s="188" t="s">
        <v>232</v>
      </c>
      <c r="J166" s="188" t="s">
        <v>279</v>
      </c>
      <c r="K166" s="189">
        <v>0</v>
      </c>
      <c r="L166" s="189">
        <v>2300</v>
      </c>
      <c r="M166" s="189">
        <v>0</v>
      </c>
      <c r="N166" s="189">
        <v>0</v>
      </c>
      <c r="O166" s="189">
        <v>0</v>
      </c>
      <c r="P166" s="189">
        <v>0</v>
      </c>
      <c r="Q166" s="191">
        <v>0</v>
      </c>
      <c r="R166" s="189">
        <v>1</v>
      </c>
      <c r="S166" s="189">
        <v>0</v>
      </c>
      <c r="T166" s="189">
        <v>5.3189826086956522</v>
      </c>
      <c r="U166" s="189">
        <v>1405.8200000000002</v>
      </c>
      <c r="V166" s="189">
        <v>0</v>
      </c>
      <c r="W166" s="291">
        <v>0</v>
      </c>
      <c r="X166" s="291">
        <f t="shared" si="63"/>
        <v>1405.8200000000002</v>
      </c>
      <c r="Y166" s="291">
        <v>0</v>
      </c>
      <c r="Z166" s="291">
        <f t="shared" si="62"/>
        <v>1405.8200000000002</v>
      </c>
    </row>
    <row r="167" spans="1:26" s="183" customFormat="1" x14ac:dyDescent="0.35">
      <c r="A167" s="183" t="s">
        <v>6</v>
      </c>
      <c r="C167" s="184"/>
      <c r="D167" s="198"/>
      <c r="E167" s="198"/>
      <c r="F167" s="199"/>
      <c r="G167" s="256" t="s">
        <v>280</v>
      </c>
      <c r="H167" s="188"/>
      <c r="I167" s="188"/>
      <c r="J167" s="188"/>
      <c r="K167" s="189">
        <v>0</v>
      </c>
      <c r="L167" s="189"/>
      <c r="M167" s="189"/>
      <c r="N167" s="189">
        <v>0</v>
      </c>
      <c r="O167" s="189"/>
      <c r="P167" s="189"/>
      <c r="Q167" s="191"/>
      <c r="R167" s="189"/>
      <c r="S167" s="189"/>
      <c r="T167" s="189"/>
      <c r="U167" s="189"/>
      <c r="V167" s="189"/>
      <c r="W167" s="291"/>
      <c r="X167" s="291"/>
      <c r="Y167" s="291"/>
      <c r="Z167" s="298"/>
    </row>
    <row r="168" spans="1:26" s="279" customFormat="1" x14ac:dyDescent="0.35">
      <c r="A168" s="279" t="s">
        <v>6</v>
      </c>
      <c r="B168" s="279" t="s">
        <v>274</v>
      </c>
      <c r="C168" s="280" t="s">
        <v>257</v>
      </c>
      <c r="D168" s="281" t="s">
        <v>281</v>
      </c>
      <c r="E168" s="281">
        <v>81000</v>
      </c>
      <c r="F168" s="282" t="s">
        <v>656</v>
      </c>
      <c r="G168" s="289" t="s">
        <v>266</v>
      </c>
      <c r="H168" s="285" t="s">
        <v>55</v>
      </c>
      <c r="I168" s="285" t="s">
        <v>232</v>
      </c>
      <c r="J168" s="285" t="s">
        <v>91</v>
      </c>
      <c r="K168" s="286">
        <v>0</v>
      </c>
      <c r="L168" s="286">
        <v>200</v>
      </c>
      <c r="M168" s="286">
        <v>0</v>
      </c>
      <c r="N168" s="286">
        <v>0</v>
      </c>
      <c r="O168" s="286">
        <v>0</v>
      </c>
      <c r="P168" s="286">
        <v>0</v>
      </c>
      <c r="Q168" s="287">
        <v>0</v>
      </c>
      <c r="R168" s="286">
        <v>2.5</v>
      </c>
      <c r="S168" s="286">
        <v>0</v>
      </c>
      <c r="T168" s="286">
        <v>0</v>
      </c>
      <c r="U168" s="286">
        <v>2240.4</v>
      </c>
      <c r="V168" s="286">
        <v>0</v>
      </c>
      <c r="W168" s="286">
        <v>0</v>
      </c>
      <c r="X168" s="286">
        <f t="shared" ref="X168:X170" si="64">SUM(M168+O168+Q168+S168+U168+W168)</f>
        <v>2240.4</v>
      </c>
      <c r="Y168" s="286">
        <v>0</v>
      </c>
      <c r="Z168" s="286">
        <f t="shared" ref="Z168:Z170" si="65">X168+Y168</f>
        <v>2240.4</v>
      </c>
    </row>
    <row r="169" spans="1:26" s="183" customFormat="1" x14ac:dyDescent="0.35">
      <c r="A169" s="183" t="s">
        <v>6</v>
      </c>
      <c r="B169" s="183" t="s">
        <v>274</v>
      </c>
      <c r="C169" s="184" t="s">
        <v>229</v>
      </c>
      <c r="D169" s="185" t="s">
        <v>282</v>
      </c>
      <c r="E169" s="185">
        <v>87000</v>
      </c>
      <c r="F169" s="186" t="s">
        <v>656</v>
      </c>
      <c r="G169" s="187" t="s">
        <v>283</v>
      </c>
      <c r="H169" s="188" t="s">
        <v>55</v>
      </c>
      <c r="I169" s="188" t="s">
        <v>232</v>
      </c>
      <c r="J169" s="188" t="s">
        <v>233</v>
      </c>
      <c r="K169" s="189">
        <v>0</v>
      </c>
      <c r="L169" s="189">
        <v>75</v>
      </c>
      <c r="M169" s="189">
        <v>0</v>
      </c>
      <c r="N169" s="189">
        <v>0</v>
      </c>
      <c r="O169" s="189">
        <v>0</v>
      </c>
      <c r="P169" s="189">
        <v>2</v>
      </c>
      <c r="Q169" s="191">
        <v>77</v>
      </c>
      <c r="R169" s="189">
        <v>0</v>
      </c>
      <c r="S169" s="189">
        <v>0</v>
      </c>
      <c r="T169" s="189">
        <v>0.66666666666666663</v>
      </c>
      <c r="U169" s="189">
        <v>850</v>
      </c>
      <c r="V169" s="189">
        <v>0</v>
      </c>
      <c r="W169" s="291">
        <v>0</v>
      </c>
      <c r="X169" s="291">
        <f t="shared" si="64"/>
        <v>927</v>
      </c>
      <c r="Y169" s="291">
        <v>0</v>
      </c>
      <c r="Z169" s="291">
        <f t="shared" si="65"/>
        <v>927</v>
      </c>
    </row>
    <row r="170" spans="1:26" s="183" customFormat="1" x14ac:dyDescent="0.35">
      <c r="A170" s="183" t="s">
        <v>6</v>
      </c>
      <c r="B170" s="183" t="s">
        <v>274</v>
      </c>
      <c r="C170" s="184" t="s">
        <v>229</v>
      </c>
      <c r="D170" s="185" t="s">
        <v>284</v>
      </c>
      <c r="E170" s="185">
        <v>87000</v>
      </c>
      <c r="F170" s="186" t="s">
        <v>656</v>
      </c>
      <c r="G170" s="187" t="s">
        <v>285</v>
      </c>
      <c r="H170" s="188" t="s">
        <v>55</v>
      </c>
      <c r="I170" s="188" t="s">
        <v>232</v>
      </c>
      <c r="J170" s="188" t="s">
        <v>279</v>
      </c>
      <c r="K170" s="189">
        <v>0</v>
      </c>
      <c r="L170" s="189">
        <v>2300</v>
      </c>
      <c r="M170" s="189">
        <v>0</v>
      </c>
      <c r="N170" s="189">
        <v>0</v>
      </c>
      <c r="O170" s="189">
        <v>0</v>
      </c>
      <c r="P170" s="189">
        <v>1</v>
      </c>
      <c r="Q170" s="191">
        <v>1141.21</v>
      </c>
      <c r="R170" s="189">
        <v>1</v>
      </c>
      <c r="S170" s="189">
        <v>822.44</v>
      </c>
      <c r="T170" s="189">
        <v>2.2699869565217394</v>
      </c>
      <c r="U170" s="189">
        <v>8385.74</v>
      </c>
      <c r="V170" s="189">
        <v>0</v>
      </c>
      <c r="W170" s="291">
        <v>0</v>
      </c>
      <c r="X170" s="291">
        <f t="shared" si="64"/>
        <v>10349.39</v>
      </c>
      <c r="Y170" s="291">
        <v>0</v>
      </c>
      <c r="Z170" s="291">
        <f t="shared" si="65"/>
        <v>10349.39</v>
      </c>
    </row>
    <row r="171" spans="1:26" s="183" customFormat="1" ht="22.8" x14ac:dyDescent="0.35">
      <c r="A171" s="183" t="s">
        <v>6</v>
      </c>
      <c r="C171" s="184"/>
      <c r="D171" s="198"/>
      <c r="E171" s="198"/>
      <c r="F171" s="199"/>
      <c r="G171" s="237" t="s">
        <v>286</v>
      </c>
      <c r="H171" s="188"/>
      <c r="I171" s="188"/>
      <c r="J171" s="188"/>
      <c r="K171" s="189"/>
      <c r="L171" s="189"/>
      <c r="M171" s="189"/>
      <c r="N171" s="189"/>
      <c r="O171" s="189"/>
      <c r="P171" s="189"/>
      <c r="Q171" s="191"/>
      <c r="R171" s="189"/>
      <c r="S171" s="189"/>
      <c r="T171" s="189"/>
      <c r="U171" s="189"/>
      <c r="V171" s="189"/>
      <c r="W171" s="291"/>
      <c r="X171" s="291"/>
      <c r="Y171" s="291"/>
      <c r="Z171" s="298"/>
    </row>
    <row r="172" spans="1:26" s="183" customFormat="1" x14ac:dyDescent="0.35">
      <c r="A172" s="183" t="s">
        <v>6</v>
      </c>
      <c r="C172" s="184"/>
      <c r="D172" s="198"/>
      <c r="E172" s="198"/>
      <c r="F172" s="199"/>
      <c r="G172" s="256" t="s">
        <v>287</v>
      </c>
      <c r="H172" s="188"/>
      <c r="I172" s="188"/>
      <c r="J172" s="188"/>
      <c r="K172" s="189"/>
      <c r="L172" s="189"/>
      <c r="M172" s="189"/>
      <c r="N172" s="189"/>
      <c r="O172" s="189"/>
      <c r="P172" s="189"/>
      <c r="Q172" s="191"/>
      <c r="R172" s="189"/>
      <c r="S172" s="189"/>
      <c r="T172" s="189"/>
      <c r="U172" s="189"/>
      <c r="V172" s="189"/>
      <c r="W172" s="291"/>
      <c r="X172" s="291"/>
      <c r="Y172" s="291"/>
      <c r="Z172" s="298"/>
    </row>
    <row r="173" spans="1:26" s="279" customFormat="1" x14ac:dyDescent="0.35">
      <c r="A173" s="183" t="s">
        <v>6</v>
      </c>
      <c r="B173" s="183"/>
      <c r="C173" s="184" t="s">
        <v>257</v>
      </c>
      <c r="D173" s="281" t="s">
        <v>288</v>
      </c>
      <c r="E173" s="281">
        <v>81000</v>
      </c>
      <c r="F173" s="282" t="s">
        <v>654</v>
      </c>
      <c r="G173" s="289" t="s">
        <v>259</v>
      </c>
      <c r="H173" s="285" t="s">
        <v>34</v>
      </c>
      <c r="I173" s="285" t="s">
        <v>242</v>
      </c>
      <c r="J173" s="285" t="s">
        <v>91</v>
      </c>
      <c r="K173" s="286">
        <v>10</v>
      </c>
      <c r="L173" s="286">
        <v>200</v>
      </c>
      <c r="M173" s="286">
        <v>0</v>
      </c>
      <c r="N173" s="286">
        <v>0</v>
      </c>
      <c r="O173" s="286">
        <v>0</v>
      </c>
      <c r="P173" s="286">
        <v>3</v>
      </c>
      <c r="Q173" s="287">
        <v>621.63</v>
      </c>
      <c r="R173" s="286">
        <v>4.3</v>
      </c>
      <c r="S173" s="286">
        <v>5649</v>
      </c>
      <c r="T173" s="286">
        <v>28.75</v>
      </c>
      <c r="U173" s="286">
        <v>3080.7799999999997</v>
      </c>
      <c r="V173" s="286">
        <f>+W173/L173</f>
        <v>12.985700000000001</v>
      </c>
      <c r="W173" s="286">
        <v>2597.1400000000003</v>
      </c>
      <c r="X173" s="286">
        <f t="shared" ref="X173:X174" si="66">SUM(M173+O173+Q173+S173+U173+W173)</f>
        <v>11948.55</v>
      </c>
      <c r="Y173" s="286">
        <v>0</v>
      </c>
      <c r="Z173" s="286">
        <f t="shared" ref="Z173:Z174" si="67">X173+Y173</f>
        <v>11948.55</v>
      </c>
    </row>
    <row r="174" spans="1:26" s="183" customFormat="1" x14ac:dyDescent="0.35">
      <c r="A174" s="183" t="s">
        <v>6</v>
      </c>
      <c r="C174" s="184" t="s">
        <v>262</v>
      </c>
      <c r="D174" s="185" t="s">
        <v>289</v>
      </c>
      <c r="E174" s="185">
        <v>85300</v>
      </c>
      <c r="F174" s="186" t="s">
        <v>654</v>
      </c>
      <c r="G174" s="187" t="s">
        <v>290</v>
      </c>
      <c r="H174" s="188" t="s">
        <v>34</v>
      </c>
      <c r="I174" s="188" t="s">
        <v>232</v>
      </c>
      <c r="J174" s="188" t="s">
        <v>291</v>
      </c>
      <c r="K174" s="189">
        <v>1</v>
      </c>
      <c r="L174" s="189">
        <v>500</v>
      </c>
      <c r="M174" s="189">
        <v>0</v>
      </c>
      <c r="N174" s="189">
        <v>0</v>
      </c>
      <c r="O174" s="189">
        <v>0</v>
      </c>
      <c r="P174" s="189">
        <v>11</v>
      </c>
      <c r="Q174" s="191">
        <v>5590.59</v>
      </c>
      <c r="R174" s="189">
        <v>1</v>
      </c>
      <c r="S174" s="189">
        <v>7542.8100000000013</v>
      </c>
      <c r="T174" s="189">
        <v>5.4</v>
      </c>
      <c r="U174" s="189">
        <v>3360.01</v>
      </c>
      <c r="V174" s="189">
        <f>+W174/L174</f>
        <v>1.10684</v>
      </c>
      <c r="W174" s="291">
        <v>553.42000000000007</v>
      </c>
      <c r="X174" s="291">
        <f t="shared" si="66"/>
        <v>17046.830000000002</v>
      </c>
      <c r="Y174" s="291">
        <v>0</v>
      </c>
      <c r="Z174" s="291">
        <f t="shared" si="67"/>
        <v>17046.830000000002</v>
      </c>
    </row>
    <row r="175" spans="1:26" s="183" customFormat="1" x14ac:dyDescent="0.35">
      <c r="A175" s="183" t="s">
        <v>6</v>
      </c>
      <c r="C175" s="184"/>
      <c r="D175" s="198"/>
      <c r="E175" s="198"/>
      <c r="F175" s="199"/>
      <c r="G175" s="256" t="s">
        <v>292</v>
      </c>
      <c r="H175" s="188"/>
      <c r="I175" s="188"/>
      <c r="J175" s="188"/>
      <c r="K175" s="189"/>
      <c r="L175" s="189"/>
      <c r="M175" s="189"/>
      <c r="N175" s="189"/>
      <c r="O175" s="189"/>
      <c r="P175" s="189"/>
      <c r="Q175" s="191"/>
      <c r="R175" s="189"/>
      <c r="S175" s="189"/>
      <c r="T175" s="189"/>
      <c r="U175" s="189"/>
      <c r="V175" s="189"/>
      <c r="W175" s="291"/>
      <c r="X175" s="291"/>
      <c r="Y175" s="291"/>
      <c r="Z175" s="298"/>
    </row>
    <row r="176" spans="1:26" s="279" customFormat="1" x14ac:dyDescent="0.35">
      <c r="A176" s="183" t="s">
        <v>6</v>
      </c>
      <c r="B176" s="183"/>
      <c r="C176" s="184" t="s">
        <v>257</v>
      </c>
      <c r="D176" s="281" t="s">
        <v>293</v>
      </c>
      <c r="E176" s="281">
        <v>81000</v>
      </c>
      <c r="F176" s="282" t="s">
        <v>656</v>
      </c>
      <c r="G176" s="289" t="s">
        <v>266</v>
      </c>
      <c r="H176" s="285" t="s">
        <v>55</v>
      </c>
      <c r="I176" s="285" t="s">
        <v>242</v>
      </c>
      <c r="J176" s="285" t="s">
        <v>91</v>
      </c>
      <c r="K176" s="286">
        <v>10</v>
      </c>
      <c r="L176" s="286">
        <v>200</v>
      </c>
      <c r="M176" s="286">
        <v>0</v>
      </c>
      <c r="N176" s="286">
        <v>0</v>
      </c>
      <c r="O176" s="286">
        <v>0</v>
      </c>
      <c r="P176" s="286">
        <v>0</v>
      </c>
      <c r="Q176" s="287">
        <v>0</v>
      </c>
      <c r="R176" s="286">
        <v>8</v>
      </c>
      <c r="S176" s="286">
        <v>1318.45</v>
      </c>
      <c r="T176" s="286">
        <v>0</v>
      </c>
      <c r="U176" s="286">
        <v>0</v>
      </c>
      <c r="V176" s="286">
        <v>0</v>
      </c>
      <c r="W176" s="286">
        <v>0</v>
      </c>
      <c r="X176" s="286">
        <f t="shared" ref="X176:X177" si="68">SUM(M176+O176+Q176+S176+U176+W176)</f>
        <v>1318.45</v>
      </c>
      <c r="Y176" s="286">
        <v>0</v>
      </c>
      <c r="Z176" s="286">
        <f t="shared" ref="Z176:Z177" si="69">X176+Y176</f>
        <v>1318.45</v>
      </c>
    </row>
    <row r="177" spans="1:29" s="183" customFormat="1" x14ac:dyDescent="0.35">
      <c r="A177" s="183" t="s">
        <v>6</v>
      </c>
      <c r="C177" s="184" t="s">
        <v>262</v>
      </c>
      <c r="D177" s="185" t="s">
        <v>294</v>
      </c>
      <c r="E177" s="185">
        <v>85300</v>
      </c>
      <c r="F177" s="186" t="s">
        <v>656</v>
      </c>
      <c r="G177" s="187" t="s">
        <v>295</v>
      </c>
      <c r="H177" s="188" t="s">
        <v>55</v>
      </c>
      <c r="I177" s="188" t="s">
        <v>232</v>
      </c>
      <c r="J177" s="188" t="s">
        <v>296</v>
      </c>
      <c r="K177" s="189">
        <v>1</v>
      </c>
      <c r="L177" s="189">
        <v>500</v>
      </c>
      <c r="M177" s="189">
        <v>0</v>
      </c>
      <c r="N177" s="189">
        <v>0</v>
      </c>
      <c r="O177" s="189">
        <v>0</v>
      </c>
      <c r="P177" s="189">
        <v>1</v>
      </c>
      <c r="Q177" s="191">
        <v>171.6</v>
      </c>
      <c r="R177" s="189">
        <v>2</v>
      </c>
      <c r="S177" s="189">
        <v>979.67999999999984</v>
      </c>
      <c r="T177" s="189">
        <v>3.92</v>
      </c>
      <c r="U177" s="189">
        <v>2232.8000000000002</v>
      </c>
      <c r="V177" s="189">
        <v>1.04</v>
      </c>
      <c r="W177" s="291">
        <v>0</v>
      </c>
      <c r="X177" s="291">
        <f t="shared" si="68"/>
        <v>3384.08</v>
      </c>
      <c r="Y177" s="291">
        <v>0</v>
      </c>
      <c r="Z177" s="291">
        <f t="shared" si="69"/>
        <v>3384.08</v>
      </c>
    </row>
    <row r="178" spans="1:29" s="183" customFormat="1" x14ac:dyDescent="0.35">
      <c r="A178" s="183" t="s">
        <v>6</v>
      </c>
      <c r="C178" s="184"/>
      <c r="D178" s="198"/>
      <c r="E178" s="198"/>
      <c r="F178" s="199"/>
      <c r="G178" s="237" t="s">
        <v>297</v>
      </c>
      <c r="H178" s="188"/>
      <c r="I178" s="188"/>
      <c r="J178" s="188"/>
      <c r="K178" s="189"/>
      <c r="L178" s="189"/>
      <c r="M178" s="189"/>
      <c r="N178" s="189"/>
      <c r="O178" s="189"/>
      <c r="P178" s="189"/>
      <c r="Q178" s="191"/>
      <c r="R178" s="189"/>
      <c r="S178" s="189"/>
      <c r="T178" s="189"/>
      <c r="U178" s="189"/>
      <c r="V178" s="189"/>
      <c r="W178" s="291"/>
      <c r="X178" s="291"/>
      <c r="Y178" s="291"/>
      <c r="Z178" s="298"/>
    </row>
    <row r="179" spans="1:29" s="290" customFormat="1" x14ac:dyDescent="0.35">
      <c r="A179" s="254">
        <v>0.20085431599059284</v>
      </c>
      <c r="B179" s="183" t="s">
        <v>298</v>
      </c>
      <c r="C179" s="184" t="s">
        <v>238</v>
      </c>
      <c r="D179" s="328" t="s">
        <v>299</v>
      </c>
      <c r="E179" s="328">
        <v>89050</v>
      </c>
      <c r="F179" s="282" t="s">
        <v>654</v>
      </c>
      <c r="G179" s="289" t="s">
        <v>300</v>
      </c>
      <c r="H179" s="285" t="s">
        <v>34</v>
      </c>
      <c r="I179" s="285" t="s">
        <v>242</v>
      </c>
      <c r="J179" s="285"/>
      <c r="K179" s="286"/>
      <c r="L179" s="286"/>
      <c r="M179" s="286">
        <v>87573.5</v>
      </c>
      <c r="N179" s="286">
        <v>0</v>
      </c>
      <c r="O179" s="286">
        <v>132767.5</v>
      </c>
      <c r="P179" s="286">
        <v>0</v>
      </c>
      <c r="Q179" s="287">
        <v>43809.5</v>
      </c>
      <c r="R179" s="286">
        <v>0</v>
      </c>
      <c r="S179" s="286">
        <v>0</v>
      </c>
      <c r="T179" s="286">
        <v>0</v>
      </c>
      <c r="U179" s="286">
        <v>0</v>
      </c>
      <c r="V179" s="286">
        <v>0</v>
      </c>
      <c r="W179" s="286">
        <v>0</v>
      </c>
      <c r="X179" s="286">
        <f t="shared" ref="X179:X181" si="70">SUM(M179+O179+Q179+S179+U179+W179)</f>
        <v>264150.5</v>
      </c>
      <c r="Y179" s="286">
        <v>0</v>
      </c>
      <c r="Z179" s="286">
        <f t="shared" ref="Z179:Z181" si="71">X179+Y179</f>
        <v>264150.5</v>
      </c>
    </row>
    <row r="180" spans="1:29" s="290" customFormat="1" x14ac:dyDescent="0.35">
      <c r="A180" s="254">
        <v>5.9431986670775351E-2</v>
      </c>
      <c r="B180" s="183" t="s">
        <v>298</v>
      </c>
      <c r="C180" s="184" t="s">
        <v>238</v>
      </c>
      <c r="D180" s="328" t="s">
        <v>301</v>
      </c>
      <c r="E180" s="328">
        <v>89050</v>
      </c>
      <c r="F180" s="282" t="s">
        <v>656</v>
      </c>
      <c r="G180" s="289" t="s">
        <v>302</v>
      </c>
      <c r="H180" s="285" t="s">
        <v>55</v>
      </c>
      <c r="I180" s="285" t="s">
        <v>242</v>
      </c>
      <c r="J180" s="285"/>
      <c r="K180" s="286"/>
      <c r="L180" s="286"/>
      <c r="M180" s="286">
        <v>0</v>
      </c>
      <c r="N180" s="286">
        <v>0</v>
      </c>
      <c r="O180" s="286">
        <v>0</v>
      </c>
      <c r="P180" s="286">
        <v>0</v>
      </c>
      <c r="Q180" s="287">
        <v>24764.5</v>
      </c>
      <c r="R180" s="286">
        <v>0</v>
      </c>
      <c r="S180" s="286">
        <v>0</v>
      </c>
      <c r="T180" s="286">
        <v>0</v>
      </c>
      <c r="U180" s="286">
        <v>0</v>
      </c>
      <c r="V180" s="286">
        <v>0</v>
      </c>
      <c r="W180" s="286">
        <v>0</v>
      </c>
      <c r="X180" s="286">
        <f t="shared" si="70"/>
        <v>24764.5</v>
      </c>
      <c r="Y180" s="286">
        <v>0</v>
      </c>
      <c r="Z180" s="286">
        <f t="shared" si="71"/>
        <v>24764.5</v>
      </c>
    </row>
    <row r="181" spans="1:29" s="290" customFormat="1" hidden="1" x14ac:dyDescent="0.35">
      <c r="A181" s="254">
        <v>0.73971369733863179</v>
      </c>
      <c r="B181" s="183" t="s">
        <v>298</v>
      </c>
      <c r="C181" s="184" t="s">
        <v>238</v>
      </c>
      <c r="D181" s="326" t="s">
        <v>46</v>
      </c>
      <c r="E181" s="326" t="s">
        <v>46</v>
      </c>
      <c r="F181" s="327" t="s">
        <v>46</v>
      </c>
      <c r="G181" s="289" t="s">
        <v>303</v>
      </c>
      <c r="H181" s="285" t="s">
        <v>69</v>
      </c>
      <c r="I181" s="285" t="s">
        <v>242</v>
      </c>
      <c r="J181" s="285"/>
      <c r="K181" s="286"/>
      <c r="L181" s="286"/>
      <c r="M181" s="286">
        <v>0</v>
      </c>
      <c r="N181" s="286">
        <v>0</v>
      </c>
      <c r="O181" s="286">
        <v>0</v>
      </c>
      <c r="P181" s="286">
        <v>0</v>
      </c>
      <c r="Q181" s="287">
        <v>0</v>
      </c>
      <c r="R181" s="286">
        <v>0</v>
      </c>
      <c r="S181" s="286">
        <v>0</v>
      </c>
      <c r="T181" s="286">
        <v>0</v>
      </c>
      <c r="U181" s="286">
        <v>0</v>
      </c>
      <c r="V181" s="286">
        <v>0</v>
      </c>
      <c r="W181" s="286">
        <v>0</v>
      </c>
      <c r="X181" s="286">
        <f t="shared" si="70"/>
        <v>0</v>
      </c>
      <c r="Y181" s="286">
        <v>0</v>
      </c>
      <c r="Z181" s="286">
        <f t="shared" si="71"/>
        <v>0</v>
      </c>
    </row>
    <row r="182" spans="1:29" s="247" customFormat="1" x14ac:dyDescent="0.35">
      <c r="A182" s="183" t="s">
        <v>6</v>
      </c>
      <c r="B182" s="183"/>
      <c r="C182" s="184"/>
      <c r="D182" s="254"/>
      <c r="E182" s="254"/>
      <c r="F182" s="253"/>
      <c r="G182" s="187"/>
      <c r="H182" s="188"/>
      <c r="I182" s="188"/>
      <c r="J182" s="188"/>
      <c r="K182" s="189"/>
      <c r="L182" s="189"/>
      <c r="M182" s="189"/>
      <c r="N182" s="189"/>
      <c r="O182" s="189"/>
      <c r="P182" s="189"/>
      <c r="Q182" s="191"/>
      <c r="R182" s="189"/>
      <c r="S182" s="189"/>
      <c r="T182" s="189"/>
      <c r="U182" s="189"/>
      <c r="V182" s="189"/>
      <c r="W182" s="291"/>
      <c r="X182" s="291"/>
      <c r="Y182" s="291"/>
      <c r="Z182" s="298"/>
      <c r="AC182" s="276"/>
    </row>
    <row r="183" spans="1:29" s="183" customFormat="1" ht="11.7" thickBot="1" x14ac:dyDescent="0.4">
      <c r="A183" s="183" t="s">
        <v>6</v>
      </c>
      <c r="C183" s="184"/>
      <c r="G183" s="212" t="s">
        <v>304</v>
      </c>
      <c r="H183" s="213"/>
      <c r="I183" s="213"/>
      <c r="J183" s="213"/>
      <c r="K183" s="217"/>
      <c r="L183" s="217"/>
      <c r="M183" s="257">
        <f t="shared" ref="M183:U183" si="72">SUM(M137:M181)</f>
        <v>237172.76999999993</v>
      </c>
      <c r="N183" s="257"/>
      <c r="O183" s="257">
        <f t="shared" si="72"/>
        <v>443247.91</v>
      </c>
      <c r="P183" s="257"/>
      <c r="Q183" s="257">
        <f t="shared" si="72"/>
        <v>479882.47</v>
      </c>
      <c r="R183" s="257"/>
      <c r="S183" s="257">
        <f t="shared" si="72"/>
        <v>625824.55999999994</v>
      </c>
      <c r="T183" s="257"/>
      <c r="U183" s="257">
        <f t="shared" si="72"/>
        <v>741973.21000000008</v>
      </c>
      <c r="V183" s="257"/>
      <c r="W183" s="306">
        <f>SUM(W137:W181)</f>
        <v>154382.69</v>
      </c>
      <c r="X183" s="306">
        <f>M183+O183+Q183+S183+U183+W183</f>
        <v>2682483.61</v>
      </c>
      <c r="Y183" s="306">
        <f>SUM(Y137:Y181)</f>
        <v>0</v>
      </c>
      <c r="Z183" s="307">
        <f>X183+Y183</f>
        <v>2682483.61</v>
      </c>
      <c r="AB183" s="277">
        <f>Z183+Z231+Z325</f>
        <v>3186544.3181491094</v>
      </c>
    </row>
    <row r="184" spans="1:29" s="183" customFormat="1" x14ac:dyDescent="0.35">
      <c r="A184" s="183" t="s">
        <v>6</v>
      </c>
      <c r="C184" s="184"/>
      <c r="G184" s="258" t="s">
        <v>305</v>
      </c>
      <c r="H184" s="259"/>
      <c r="I184" s="259"/>
      <c r="J184" s="259"/>
      <c r="K184" s="259"/>
      <c r="L184" s="259"/>
      <c r="M184" s="259"/>
      <c r="N184" s="259"/>
      <c r="O184" s="259"/>
      <c r="P184" s="259"/>
      <c r="Q184" s="249"/>
      <c r="R184" s="259"/>
      <c r="S184" s="259"/>
      <c r="T184" s="259"/>
      <c r="U184" s="259"/>
      <c r="V184" s="259"/>
      <c r="W184" s="308"/>
      <c r="X184" s="308"/>
      <c r="Y184" s="308"/>
      <c r="Z184" s="297"/>
    </row>
    <row r="185" spans="1:29" s="183" customFormat="1" x14ac:dyDescent="0.35">
      <c r="A185" s="183" t="s">
        <v>6</v>
      </c>
      <c r="C185" s="184"/>
      <c r="G185" s="192" t="s">
        <v>227</v>
      </c>
      <c r="H185" s="193"/>
      <c r="I185" s="193"/>
      <c r="J185" s="193"/>
      <c r="K185" s="200"/>
      <c r="L185" s="200"/>
      <c r="M185" s="200"/>
      <c r="N185" s="200"/>
      <c r="O185" s="200"/>
      <c r="P185" s="200"/>
      <c r="Q185" s="201"/>
      <c r="R185" s="200"/>
      <c r="S185" s="200"/>
      <c r="T185" s="200"/>
      <c r="U185" s="200"/>
      <c r="V185" s="200"/>
      <c r="W185" s="292"/>
      <c r="X185" s="292"/>
      <c r="Y185" s="292"/>
      <c r="Z185" s="297"/>
    </row>
    <row r="186" spans="1:29" s="183" customFormat="1" ht="34.200000000000003" x14ac:dyDescent="0.35">
      <c r="A186" s="183" t="s">
        <v>6</v>
      </c>
      <c r="C186" s="184"/>
      <c r="G186" s="237" t="s">
        <v>306</v>
      </c>
      <c r="H186" s="193"/>
      <c r="I186" s="193"/>
      <c r="J186" s="193"/>
      <c r="K186" s="200"/>
      <c r="L186" s="200"/>
      <c r="M186" s="200"/>
      <c r="N186" s="200"/>
      <c r="O186" s="200"/>
      <c r="P186" s="200"/>
      <c r="Q186" s="201"/>
      <c r="R186" s="200"/>
      <c r="S186" s="200"/>
      <c r="T186" s="200"/>
      <c r="U186" s="200"/>
      <c r="V186" s="200"/>
      <c r="W186" s="292"/>
      <c r="X186" s="292"/>
      <c r="Y186" s="292"/>
      <c r="Z186" s="297"/>
      <c r="AB186" s="205">
        <f>Z187+Z192+Z195+Z197+Z198+Z201+Z203+Z208+Z209+Z214+Z223+Z224+Z229+Z243+Z250+Z251+Z252+Z256+Z257+Z258+Z261+Z263</f>
        <v>200674.78</v>
      </c>
    </row>
    <row r="187" spans="1:29" s="183" customFormat="1" x14ac:dyDescent="0.35">
      <c r="A187" s="183" t="s">
        <v>6</v>
      </c>
      <c r="B187" s="183" t="s">
        <v>307</v>
      </c>
      <c r="C187" s="184" t="s">
        <v>229</v>
      </c>
      <c r="D187" s="185" t="s">
        <v>308</v>
      </c>
      <c r="E187" s="185">
        <v>87010</v>
      </c>
      <c r="F187" s="186" t="s">
        <v>653</v>
      </c>
      <c r="G187" s="187" t="s">
        <v>309</v>
      </c>
      <c r="H187" s="188" t="s">
        <v>34</v>
      </c>
      <c r="I187" s="188" t="s">
        <v>232</v>
      </c>
      <c r="J187" s="188" t="s">
        <v>233</v>
      </c>
      <c r="K187" s="189">
        <v>51</v>
      </c>
      <c r="L187" s="189">
        <v>75</v>
      </c>
      <c r="M187" s="189">
        <v>3769.61</v>
      </c>
      <c r="N187" s="189">
        <v>0</v>
      </c>
      <c r="O187" s="189">
        <v>0</v>
      </c>
      <c r="P187" s="189">
        <v>0</v>
      </c>
      <c r="Q187" s="191">
        <v>8.379999999999999</v>
      </c>
      <c r="R187" s="189">
        <v>24</v>
      </c>
      <c r="S187" s="189">
        <v>1824.93</v>
      </c>
      <c r="T187" s="189">
        <v>0</v>
      </c>
      <c r="U187" s="189">
        <v>0</v>
      </c>
      <c r="V187" s="189">
        <v>0</v>
      </c>
      <c r="W187" s="291">
        <v>0</v>
      </c>
      <c r="X187" s="291">
        <f t="shared" ref="X187:X190" si="73">SUM(M187+O187+Q187+S187+U187+W187)</f>
        <v>5602.92</v>
      </c>
      <c r="Y187" s="291">
        <v>0</v>
      </c>
      <c r="Z187" s="291">
        <f t="shared" ref="Z187:Z190" si="74">X187+Y187</f>
        <v>5602.92</v>
      </c>
    </row>
    <row r="188" spans="1:29" s="183" customFormat="1" hidden="1" x14ac:dyDescent="0.35">
      <c r="A188" s="183" t="s">
        <v>6</v>
      </c>
      <c r="B188" s="183" t="s">
        <v>307</v>
      </c>
      <c r="C188" s="184" t="s">
        <v>262</v>
      </c>
      <c r="D188" s="326" t="s">
        <v>46</v>
      </c>
      <c r="E188" s="326" t="s">
        <v>46</v>
      </c>
      <c r="F188" s="327" t="s">
        <v>46</v>
      </c>
      <c r="G188" s="187" t="s">
        <v>310</v>
      </c>
      <c r="H188" s="188" t="s">
        <v>34</v>
      </c>
      <c r="I188" s="188" t="s">
        <v>232</v>
      </c>
      <c r="J188" s="188" t="s">
        <v>311</v>
      </c>
      <c r="K188" s="189">
        <v>1</v>
      </c>
      <c r="L188" s="189">
        <v>1000</v>
      </c>
      <c r="M188" s="189">
        <v>0</v>
      </c>
      <c r="N188" s="189">
        <v>0</v>
      </c>
      <c r="O188" s="189">
        <v>0</v>
      </c>
      <c r="P188" s="189">
        <v>0</v>
      </c>
      <c r="Q188" s="191">
        <v>0</v>
      </c>
      <c r="R188" s="189">
        <v>0</v>
      </c>
      <c r="S188" s="189">
        <v>0</v>
      </c>
      <c r="T188" s="189">
        <v>0</v>
      </c>
      <c r="U188" s="189">
        <v>0</v>
      </c>
      <c r="V188" s="189">
        <v>0</v>
      </c>
      <c r="W188" s="291">
        <v>0</v>
      </c>
      <c r="X188" s="291">
        <f t="shared" si="73"/>
        <v>0</v>
      </c>
      <c r="Y188" s="291">
        <v>0</v>
      </c>
      <c r="Z188" s="291">
        <f t="shared" si="74"/>
        <v>0</v>
      </c>
    </row>
    <row r="189" spans="1:29" s="183" customFormat="1" hidden="1" x14ac:dyDescent="0.35">
      <c r="A189" s="183" t="s">
        <v>6</v>
      </c>
      <c r="B189" s="183" t="s">
        <v>307</v>
      </c>
      <c r="C189" s="184" t="s">
        <v>200</v>
      </c>
      <c r="D189" s="326" t="s">
        <v>46</v>
      </c>
      <c r="E189" s="326" t="s">
        <v>46</v>
      </c>
      <c r="F189" s="327" t="s">
        <v>46</v>
      </c>
      <c r="G189" s="187" t="s">
        <v>312</v>
      </c>
      <c r="H189" s="188" t="s">
        <v>34</v>
      </c>
      <c r="I189" s="188" t="s">
        <v>82</v>
      </c>
      <c r="J189" s="188" t="s">
        <v>313</v>
      </c>
      <c r="K189" s="189">
        <v>2</v>
      </c>
      <c r="L189" s="189">
        <v>1200</v>
      </c>
      <c r="M189" s="189">
        <v>0</v>
      </c>
      <c r="N189" s="189">
        <v>0</v>
      </c>
      <c r="O189" s="189">
        <v>0</v>
      </c>
      <c r="P189" s="189">
        <v>0</v>
      </c>
      <c r="Q189" s="191">
        <v>0</v>
      </c>
      <c r="R189" s="189">
        <v>0</v>
      </c>
      <c r="S189" s="189">
        <v>0</v>
      </c>
      <c r="T189" s="189">
        <v>0</v>
      </c>
      <c r="U189" s="189">
        <v>0</v>
      </c>
      <c r="V189" s="189">
        <v>0</v>
      </c>
      <c r="W189" s="291">
        <v>0</v>
      </c>
      <c r="X189" s="291">
        <f t="shared" si="73"/>
        <v>0</v>
      </c>
      <c r="Y189" s="291">
        <v>0</v>
      </c>
      <c r="Z189" s="291">
        <f t="shared" si="74"/>
        <v>0</v>
      </c>
    </row>
    <row r="190" spans="1:29" s="183" customFormat="1" hidden="1" x14ac:dyDescent="0.35">
      <c r="A190" s="183" t="s">
        <v>6</v>
      </c>
      <c r="B190" s="183" t="s">
        <v>307</v>
      </c>
      <c r="C190" s="184" t="s">
        <v>200</v>
      </c>
      <c r="D190" s="326" t="s">
        <v>46</v>
      </c>
      <c r="E190" s="326" t="s">
        <v>46</v>
      </c>
      <c r="F190" s="327" t="s">
        <v>46</v>
      </c>
      <c r="G190" s="187" t="s">
        <v>314</v>
      </c>
      <c r="H190" s="188" t="s">
        <v>69</v>
      </c>
      <c r="I190" s="188" t="s">
        <v>82</v>
      </c>
      <c r="J190" s="188" t="s">
        <v>315</v>
      </c>
      <c r="K190" s="189">
        <v>2</v>
      </c>
      <c r="L190" s="189">
        <v>1200</v>
      </c>
      <c r="M190" s="189">
        <v>0</v>
      </c>
      <c r="N190" s="189">
        <v>0</v>
      </c>
      <c r="O190" s="189">
        <v>0</v>
      </c>
      <c r="P190" s="189">
        <v>0</v>
      </c>
      <c r="Q190" s="191">
        <v>0</v>
      </c>
      <c r="R190" s="189">
        <v>0</v>
      </c>
      <c r="S190" s="189">
        <v>0</v>
      </c>
      <c r="T190" s="189">
        <v>0.91666666666666663</v>
      </c>
      <c r="U190" s="189">
        <v>0</v>
      </c>
      <c r="V190" s="189">
        <v>0</v>
      </c>
      <c r="W190" s="291">
        <v>0</v>
      </c>
      <c r="X190" s="291">
        <f t="shared" si="73"/>
        <v>0</v>
      </c>
      <c r="Y190" s="291">
        <v>0</v>
      </c>
      <c r="Z190" s="291">
        <f t="shared" si="74"/>
        <v>0</v>
      </c>
    </row>
    <row r="191" spans="1:29" s="183" customFormat="1" ht="22.8" x14ac:dyDescent="0.35">
      <c r="A191" s="183" t="s">
        <v>6</v>
      </c>
      <c r="C191" s="184"/>
      <c r="D191" s="198"/>
      <c r="E191" s="198"/>
      <c r="F191" s="199"/>
      <c r="G191" s="237" t="s">
        <v>316</v>
      </c>
      <c r="H191" s="193"/>
      <c r="I191" s="193"/>
      <c r="J191" s="193"/>
      <c r="K191" s="200"/>
      <c r="L191" s="200"/>
      <c r="M191" s="200"/>
      <c r="N191" s="200"/>
      <c r="O191" s="200"/>
      <c r="P191" s="200"/>
      <c r="Q191" s="201"/>
      <c r="R191" s="200"/>
      <c r="S191" s="200"/>
      <c r="T191" s="200"/>
      <c r="U191" s="200"/>
      <c r="V191" s="200"/>
      <c r="W191" s="292"/>
      <c r="X191" s="292"/>
      <c r="Y191" s="292"/>
      <c r="Z191" s="291"/>
    </row>
    <row r="192" spans="1:29" s="183" customFormat="1" x14ac:dyDescent="0.35">
      <c r="A192" s="183" t="s">
        <v>6</v>
      </c>
      <c r="B192" s="183" t="s">
        <v>307</v>
      </c>
      <c r="C192" s="184" t="s">
        <v>200</v>
      </c>
      <c r="D192" s="185" t="s">
        <v>317</v>
      </c>
      <c r="E192" s="185">
        <v>86000</v>
      </c>
      <c r="F192" s="185" t="s">
        <v>655</v>
      </c>
      <c r="G192" s="187" t="s">
        <v>318</v>
      </c>
      <c r="H192" s="188" t="s">
        <v>69</v>
      </c>
      <c r="I192" s="188" t="s">
        <v>82</v>
      </c>
      <c r="J192" s="188" t="s">
        <v>315</v>
      </c>
      <c r="K192" s="189">
        <v>4</v>
      </c>
      <c r="L192" s="189">
        <v>2300</v>
      </c>
      <c r="M192" s="189">
        <v>0</v>
      </c>
      <c r="N192" s="189">
        <v>1</v>
      </c>
      <c r="O192" s="189">
        <v>2692.1600000000008</v>
      </c>
      <c r="P192" s="189">
        <v>0</v>
      </c>
      <c r="Q192" s="191">
        <v>0</v>
      </c>
      <c r="R192" s="189">
        <v>0</v>
      </c>
      <c r="S192" s="189">
        <v>0</v>
      </c>
      <c r="T192" s="189">
        <v>0</v>
      </c>
      <c r="U192" s="189">
        <v>0</v>
      </c>
      <c r="V192" s="189">
        <v>0</v>
      </c>
      <c r="W192" s="291">
        <v>0</v>
      </c>
      <c r="X192" s="291">
        <f>SUM(M192+O192+Q192+S192+U192+W192)</f>
        <v>2692.1600000000008</v>
      </c>
      <c r="Y192" s="291">
        <v>0</v>
      </c>
      <c r="Z192" s="291">
        <f>X192+Y192</f>
        <v>2692.1600000000008</v>
      </c>
    </row>
    <row r="193" spans="1:28" s="183" customFormat="1" ht="22.8" x14ac:dyDescent="0.35">
      <c r="A193" s="183" t="s">
        <v>6</v>
      </c>
      <c r="C193" s="184"/>
      <c r="D193" s="198"/>
      <c r="E193" s="198"/>
      <c r="F193" s="199"/>
      <c r="G193" s="237" t="s">
        <v>319</v>
      </c>
      <c r="H193" s="188"/>
      <c r="I193" s="188"/>
      <c r="J193" s="188"/>
      <c r="K193" s="189"/>
      <c r="L193" s="189"/>
      <c r="M193" s="189"/>
      <c r="N193" s="189"/>
      <c r="O193" s="189"/>
      <c r="P193" s="189"/>
      <c r="Q193" s="191"/>
      <c r="R193" s="189"/>
      <c r="S193" s="189"/>
      <c r="T193" s="189"/>
      <c r="U193" s="189"/>
      <c r="V193" s="189"/>
      <c r="W193" s="291"/>
      <c r="X193" s="291"/>
      <c r="Y193" s="291"/>
      <c r="Z193" s="291"/>
      <c r="AB193" s="277"/>
    </row>
    <row r="194" spans="1:28" s="183" customFormat="1" x14ac:dyDescent="0.35">
      <c r="A194" s="183" t="s">
        <v>6</v>
      </c>
      <c r="C194" s="184"/>
      <c r="D194" s="198"/>
      <c r="E194" s="198"/>
      <c r="F194" s="199"/>
      <c r="G194" s="256" t="s">
        <v>320</v>
      </c>
      <c r="H194" s="188"/>
      <c r="I194" s="188"/>
      <c r="J194" s="188"/>
      <c r="K194" s="189"/>
      <c r="L194" s="189"/>
      <c r="M194" s="189"/>
      <c r="N194" s="189"/>
      <c r="O194" s="189"/>
      <c r="P194" s="189"/>
      <c r="Q194" s="191"/>
      <c r="R194" s="189"/>
      <c r="S194" s="189"/>
      <c r="T194" s="189"/>
      <c r="U194" s="189"/>
      <c r="V194" s="189"/>
      <c r="W194" s="291"/>
      <c r="X194" s="291"/>
      <c r="Y194" s="291"/>
      <c r="Z194" s="291">
        <f t="shared" ref="Z194:Z203" si="75">X194+Y194</f>
        <v>0</v>
      </c>
    </row>
    <row r="195" spans="1:28" s="183" customFormat="1" x14ac:dyDescent="0.35">
      <c r="A195" s="183" t="s">
        <v>6</v>
      </c>
      <c r="B195" s="183" t="s">
        <v>321</v>
      </c>
      <c r="C195" s="184" t="s">
        <v>229</v>
      </c>
      <c r="D195" s="185" t="s">
        <v>322</v>
      </c>
      <c r="E195" s="185">
        <v>87010</v>
      </c>
      <c r="F195" s="186" t="s">
        <v>650</v>
      </c>
      <c r="G195" s="187" t="s">
        <v>323</v>
      </c>
      <c r="H195" s="188" t="s">
        <v>122</v>
      </c>
      <c r="I195" s="188" t="s">
        <v>232</v>
      </c>
      <c r="J195" s="188" t="s">
        <v>233</v>
      </c>
      <c r="K195" s="189">
        <v>0</v>
      </c>
      <c r="L195" s="189">
        <v>75</v>
      </c>
      <c r="M195" s="189">
        <v>0</v>
      </c>
      <c r="N195" s="189">
        <v>0</v>
      </c>
      <c r="O195" s="189">
        <v>0</v>
      </c>
      <c r="P195" s="189">
        <v>4</v>
      </c>
      <c r="Q195" s="191">
        <v>314.89999999999998</v>
      </c>
      <c r="R195" s="189">
        <v>0</v>
      </c>
      <c r="S195" s="189">
        <v>0</v>
      </c>
      <c r="T195" s="189">
        <v>0</v>
      </c>
      <c r="U195" s="189">
        <v>0</v>
      </c>
      <c r="V195" s="189">
        <v>0</v>
      </c>
      <c r="W195" s="291">
        <v>0</v>
      </c>
      <c r="X195" s="291">
        <f t="shared" ref="X195:X198" si="76">SUM(M195+O195+Q195+S195+U195+W195)</f>
        <v>314.89999999999998</v>
      </c>
      <c r="Y195" s="291">
        <v>0</v>
      </c>
      <c r="Z195" s="291">
        <f t="shared" si="75"/>
        <v>314.89999999999998</v>
      </c>
    </row>
    <row r="196" spans="1:28" s="279" customFormat="1" x14ac:dyDescent="0.35">
      <c r="A196" s="183" t="s">
        <v>6</v>
      </c>
      <c r="B196" s="183" t="s">
        <v>321</v>
      </c>
      <c r="C196" s="184" t="s">
        <v>257</v>
      </c>
      <c r="D196" s="281" t="s">
        <v>324</v>
      </c>
      <c r="E196" s="281">
        <v>81000</v>
      </c>
      <c r="F196" s="282" t="s">
        <v>650</v>
      </c>
      <c r="G196" s="289" t="s">
        <v>325</v>
      </c>
      <c r="H196" s="285" t="s">
        <v>122</v>
      </c>
      <c r="I196" s="285" t="s">
        <v>242</v>
      </c>
      <c r="J196" s="285" t="s">
        <v>91</v>
      </c>
      <c r="K196" s="286">
        <v>0</v>
      </c>
      <c r="L196" s="286">
        <v>200</v>
      </c>
      <c r="M196" s="286">
        <v>0</v>
      </c>
      <c r="N196" s="286">
        <v>0</v>
      </c>
      <c r="O196" s="286">
        <v>0</v>
      </c>
      <c r="P196" s="286">
        <v>0</v>
      </c>
      <c r="Q196" s="287">
        <v>0</v>
      </c>
      <c r="R196" s="286">
        <v>30</v>
      </c>
      <c r="S196" s="286">
        <v>3279.8500000000004</v>
      </c>
      <c r="T196" s="286">
        <v>0</v>
      </c>
      <c r="U196" s="286">
        <v>0</v>
      </c>
      <c r="V196" s="286">
        <v>0</v>
      </c>
      <c r="W196" s="286">
        <v>0</v>
      </c>
      <c r="X196" s="286">
        <f t="shared" si="76"/>
        <v>3279.8500000000004</v>
      </c>
      <c r="Y196" s="286">
        <v>0</v>
      </c>
      <c r="Z196" s="286">
        <f t="shared" si="75"/>
        <v>3279.8500000000004</v>
      </c>
    </row>
    <row r="197" spans="1:28" s="183" customFormat="1" x14ac:dyDescent="0.35">
      <c r="A197" s="183" t="s">
        <v>6</v>
      </c>
      <c r="B197" s="183" t="s">
        <v>321</v>
      </c>
      <c r="C197" s="184" t="s">
        <v>229</v>
      </c>
      <c r="D197" s="185" t="s">
        <v>326</v>
      </c>
      <c r="E197" s="185">
        <v>87000</v>
      </c>
      <c r="F197" s="186" t="s">
        <v>650</v>
      </c>
      <c r="G197" s="187" t="s">
        <v>327</v>
      </c>
      <c r="H197" s="188" t="s">
        <v>122</v>
      </c>
      <c r="I197" s="188" t="s">
        <v>232</v>
      </c>
      <c r="J197" s="188" t="s">
        <v>311</v>
      </c>
      <c r="K197" s="189">
        <v>0</v>
      </c>
      <c r="L197" s="189">
        <v>4000</v>
      </c>
      <c r="M197" s="189">
        <v>0</v>
      </c>
      <c r="N197" s="189">
        <v>0</v>
      </c>
      <c r="O197" s="189">
        <v>0</v>
      </c>
      <c r="P197" s="189">
        <v>0</v>
      </c>
      <c r="Q197" s="191">
        <v>0</v>
      </c>
      <c r="R197" s="189">
        <v>1</v>
      </c>
      <c r="S197" s="189">
        <v>9806.41</v>
      </c>
      <c r="T197" s="189">
        <v>0</v>
      </c>
      <c r="U197" s="189">
        <v>0</v>
      </c>
      <c r="V197" s="189">
        <v>0</v>
      </c>
      <c r="W197" s="291">
        <v>0</v>
      </c>
      <c r="X197" s="291">
        <f t="shared" si="76"/>
        <v>9806.41</v>
      </c>
      <c r="Y197" s="291">
        <v>0</v>
      </c>
      <c r="Z197" s="291">
        <f t="shared" si="75"/>
        <v>9806.41</v>
      </c>
    </row>
    <row r="198" spans="1:28" s="183" customFormat="1" x14ac:dyDescent="0.35">
      <c r="A198" s="183" t="s">
        <v>6</v>
      </c>
      <c r="B198" s="183" t="s">
        <v>321</v>
      </c>
      <c r="C198" s="184" t="s">
        <v>200</v>
      </c>
      <c r="D198" s="185" t="s">
        <v>328</v>
      </c>
      <c r="E198" s="185">
        <v>86000</v>
      </c>
      <c r="F198" s="186" t="s">
        <v>650</v>
      </c>
      <c r="G198" s="187" t="s">
        <v>318</v>
      </c>
      <c r="H198" s="188" t="s">
        <v>69</v>
      </c>
      <c r="I198" s="188" t="s">
        <v>82</v>
      </c>
      <c r="J198" s="188" t="s">
        <v>315</v>
      </c>
      <c r="K198" s="189">
        <v>0</v>
      </c>
      <c r="L198" s="189">
        <v>1200</v>
      </c>
      <c r="M198" s="189">
        <v>0</v>
      </c>
      <c r="N198" s="189">
        <v>0</v>
      </c>
      <c r="O198" s="189">
        <v>0</v>
      </c>
      <c r="P198" s="189">
        <v>0</v>
      </c>
      <c r="Q198" s="191">
        <v>0</v>
      </c>
      <c r="R198" s="189">
        <v>8</v>
      </c>
      <c r="S198" s="189">
        <v>22495.489999999998</v>
      </c>
      <c r="T198" s="189">
        <v>7.9416666666666663E-3</v>
      </c>
      <c r="U198" s="189">
        <v>190.09</v>
      </c>
      <c r="V198" s="189">
        <v>0</v>
      </c>
      <c r="W198" s="291">
        <v>0</v>
      </c>
      <c r="X198" s="291">
        <f t="shared" si="76"/>
        <v>22685.579999999998</v>
      </c>
      <c r="Y198" s="291">
        <v>0</v>
      </c>
      <c r="Z198" s="291">
        <f t="shared" si="75"/>
        <v>22685.579999999998</v>
      </c>
    </row>
    <row r="199" spans="1:28" s="183" customFormat="1" x14ac:dyDescent="0.35">
      <c r="A199" s="183" t="s">
        <v>6</v>
      </c>
      <c r="C199" s="184"/>
      <c r="D199" s="198"/>
      <c r="E199" s="198"/>
      <c r="F199" s="199"/>
      <c r="G199" s="256" t="s">
        <v>329</v>
      </c>
      <c r="H199" s="188"/>
      <c r="I199" s="188"/>
      <c r="J199" s="188"/>
      <c r="K199" s="189"/>
      <c r="L199" s="189"/>
      <c r="M199" s="189"/>
      <c r="N199" s="189"/>
      <c r="O199" s="189"/>
      <c r="P199" s="189">
        <v>0</v>
      </c>
      <c r="Q199" s="191"/>
      <c r="R199" s="189"/>
      <c r="S199" s="189"/>
      <c r="T199" s="189"/>
      <c r="U199" s="189"/>
      <c r="V199" s="189"/>
      <c r="W199" s="291"/>
      <c r="X199" s="291"/>
      <c r="Y199" s="291"/>
      <c r="Z199" s="291">
        <f t="shared" si="75"/>
        <v>0</v>
      </c>
    </row>
    <row r="200" spans="1:28" s="183" customFormat="1" hidden="1" x14ac:dyDescent="0.35">
      <c r="A200" s="183" t="s">
        <v>6</v>
      </c>
      <c r="C200" s="184" t="s">
        <v>229</v>
      </c>
      <c r="D200" s="326" t="s">
        <v>46</v>
      </c>
      <c r="E200" s="326" t="s">
        <v>46</v>
      </c>
      <c r="F200" s="327" t="s">
        <v>46</v>
      </c>
      <c r="G200" s="187" t="s">
        <v>330</v>
      </c>
      <c r="H200" s="188" t="s">
        <v>129</v>
      </c>
      <c r="I200" s="188" t="s">
        <v>232</v>
      </c>
      <c r="J200" s="188" t="s">
        <v>233</v>
      </c>
      <c r="K200" s="189">
        <v>0</v>
      </c>
      <c r="L200" s="189">
        <v>75</v>
      </c>
      <c r="M200" s="189">
        <v>0</v>
      </c>
      <c r="N200" s="189">
        <v>0</v>
      </c>
      <c r="O200" s="189">
        <v>0</v>
      </c>
      <c r="P200" s="189">
        <v>0</v>
      </c>
      <c r="Q200" s="191">
        <v>0</v>
      </c>
      <c r="R200" s="189">
        <v>0</v>
      </c>
      <c r="S200" s="189">
        <v>0</v>
      </c>
      <c r="T200" s="189">
        <v>0</v>
      </c>
      <c r="U200" s="189">
        <v>0</v>
      </c>
      <c r="V200" s="189">
        <v>0</v>
      </c>
      <c r="W200" s="291">
        <v>0</v>
      </c>
      <c r="X200" s="291">
        <f t="shared" ref="X200:X203" si="77">SUM(M200+O200+Q200+S200+U200+W200)</f>
        <v>0</v>
      </c>
      <c r="Y200" s="291">
        <v>0</v>
      </c>
      <c r="Z200" s="291">
        <f t="shared" si="75"/>
        <v>0</v>
      </c>
    </row>
    <row r="201" spans="1:28" s="279" customFormat="1" x14ac:dyDescent="0.35">
      <c r="A201" s="183" t="s">
        <v>6</v>
      </c>
      <c r="B201" s="183"/>
      <c r="C201" s="184" t="s">
        <v>257</v>
      </c>
      <c r="D201" s="281" t="s">
        <v>331</v>
      </c>
      <c r="E201" s="281">
        <v>81000</v>
      </c>
      <c r="F201" s="282" t="s">
        <v>651</v>
      </c>
      <c r="G201" s="289" t="s">
        <v>332</v>
      </c>
      <c r="H201" s="285" t="s">
        <v>129</v>
      </c>
      <c r="I201" s="285" t="s">
        <v>242</v>
      </c>
      <c r="J201" s="285" t="s">
        <v>91</v>
      </c>
      <c r="K201" s="286">
        <v>0</v>
      </c>
      <c r="L201" s="286">
        <v>200</v>
      </c>
      <c r="M201" s="286">
        <v>0</v>
      </c>
      <c r="N201" s="286">
        <v>0</v>
      </c>
      <c r="O201" s="286">
        <v>0</v>
      </c>
      <c r="P201" s="286">
        <v>0</v>
      </c>
      <c r="Q201" s="287">
        <v>0</v>
      </c>
      <c r="R201" s="286">
        <v>30</v>
      </c>
      <c r="S201" s="286">
        <v>3703.56</v>
      </c>
      <c r="T201" s="286">
        <v>0</v>
      </c>
      <c r="U201" s="286">
        <v>0</v>
      </c>
      <c r="V201" s="286">
        <v>0</v>
      </c>
      <c r="W201" s="286">
        <v>0</v>
      </c>
      <c r="X201" s="286">
        <f t="shared" si="77"/>
        <v>3703.56</v>
      </c>
      <c r="Y201" s="286">
        <v>0</v>
      </c>
      <c r="Z201" s="286">
        <f t="shared" si="75"/>
        <v>3703.56</v>
      </c>
    </row>
    <row r="202" spans="1:28" s="183" customFormat="1" x14ac:dyDescent="0.35">
      <c r="A202" s="183" t="s">
        <v>6</v>
      </c>
      <c r="C202" s="184" t="s">
        <v>229</v>
      </c>
      <c r="D202" s="185" t="s">
        <v>333</v>
      </c>
      <c r="E202" s="185">
        <v>87000</v>
      </c>
      <c r="F202" s="186" t="s">
        <v>651</v>
      </c>
      <c r="G202" s="187" t="s">
        <v>334</v>
      </c>
      <c r="H202" s="188" t="s">
        <v>129</v>
      </c>
      <c r="I202" s="188" t="s">
        <v>232</v>
      </c>
      <c r="J202" s="188" t="s">
        <v>311</v>
      </c>
      <c r="K202" s="189">
        <v>0</v>
      </c>
      <c r="L202" s="189">
        <v>4000</v>
      </c>
      <c r="M202" s="189">
        <v>0</v>
      </c>
      <c r="N202" s="189">
        <v>0</v>
      </c>
      <c r="O202" s="189">
        <v>0</v>
      </c>
      <c r="P202" s="189">
        <v>0</v>
      </c>
      <c r="Q202" s="191">
        <v>0</v>
      </c>
      <c r="R202" s="189">
        <v>1</v>
      </c>
      <c r="S202" s="189">
        <v>4618.05</v>
      </c>
      <c r="T202" s="189">
        <v>0</v>
      </c>
      <c r="U202" s="189">
        <v>0</v>
      </c>
      <c r="V202" s="189">
        <v>0</v>
      </c>
      <c r="W202" s="291">
        <v>0</v>
      </c>
      <c r="X202" s="291">
        <f t="shared" si="77"/>
        <v>4618.05</v>
      </c>
      <c r="Y202" s="291">
        <v>0</v>
      </c>
      <c r="Z202" s="291">
        <f t="shared" si="75"/>
        <v>4618.05</v>
      </c>
    </row>
    <row r="203" spans="1:28" s="183" customFormat="1" x14ac:dyDescent="0.35">
      <c r="A203" s="183" t="s">
        <v>6</v>
      </c>
      <c r="C203" s="184" t="s">
        <v>200</v>
      </c>
      <c r="D203" s="185" t="s">
        <v>335</v>
      </c>
      <c r="E203" s="185">
        <v>86000</v>
      </c>
      <c r="F203" s="186" t="s">
        <v>651</v>
      </c>
      <c r="G203" s="187" t="s">
        <v>318</v>
      </c>
      <c r="H203" s="188" t="s">
        <v>69</v>
      </c>
      <c r="I203" s="188" t="s">
        <v>82</v>
      </c>
      <c r="J203" s="188" t="s">
        <v>315</v>
      </c>
      <c r="K203" s="189">
        <v>0</v>
      </c>
      <c r="L203" s="189">
        <v>1200</v>
      </c>
      <c r="M203" s="189">
        <v>0</v>
      </c>
      <c r="N203" s="189">
        <v>0</v>
      </c>
      <c r="O203" s="189">
        <v>0</v>
      </c>
      <c r="P203" s="189">
        <v>0</v>
      </c>
      <c r="Q203" s="191">
        <v>0</v>
      </c>
      <c r="R203" s="189">
        <v>7.9999999999999982</v>
      </c>
      <c r="S203" s="189">
        <v>13960.56</v>
      </c>
      <c r="T203" s="189">
        <v>0</v>
      </c>
      <c r="U203" s="189">
        <v>0</v>
      </c>
      <c r="V203" s="189">
        <v>0</v>
      </c>
      <c r="W203" s="291">
        <v>0</v>
      </c>
      <c r="X203" s="291">
        <f t="shared" si="77"/>
        <v>13960.56</v>
      </c>
      <c r="Y203" s="291">
        <v>0</v>
      </c>
      <c r="Z203" s="291">
        <f t="shared" si="75"/>
        <v>13960.56</v>
      </c>
    </row>
    <row r="204" spans="1:28" s="183" customFormat="1" ht="22.8" x14ac:dyDescent="0.35">
      <c r="A204" s="183" t="s">
        <v>6</v>
      </c>
      <c r="C204" s="184"/>
      <c r="D204" s="198"/>
      <c r="E204" s="198"/>
      <c r="F204" s="199"/>
      <c r="G204" s="237" t="s">
        <v>336</v>
      </c>
      <c r="H204" s="188"/>
      <c r="I204" s="188"/>
      <c r="J204" s="188"/>
      <c r="K204" s="189"/>
      <c r="L204" s="189"/>
      <c r="M204" s="189"/>
      <c r="N204" s="189"/>
      <c r="O204" s="189"/>
      <c r="P204" s="189"/>
      <c r="Q204" s="191"/>
      <c r="R204" s="189"/>
      <c r="S204" s="189"/>
      <c r="T204" s="189"/>
      <c r="U204" s="189"/>
      <c r="V204" s="189"/>
      <c r="W204" s="291"/>
      <c r="X204" s="291"/>
      <c r="Y204" s="291"/>
      <c r="Z204" s="291"/>
    </row>
    <row r="205" spans="1:28" s="183" customFormat="1" x14ac:dyDescent="0.35">
      <c r="A205" s="183" t="s">
        <v>6</v>
      </c>
      <c r="C205" s="184"/>
      <c r="D205" s="198"/>
      <c r="E205" s="198"/>
      <c r="F205" s="199"/>
      <c r="G205" s="256" t="s">
        <v>337</v>
      </c>
      <c r="H205" s="188"/>
      <c r="I205" s="188"/>
      <c r="J205" s="188"/>
      <c r="K205" s="189"/>
      <c r="L205" s="189"/>
      <c r="M205" s="189"/>
      <c r="N205" s="189"/>
      <c r="O205" s="189"/>
      <c r="P205" s="189"/>
      <c r="Q205" s="191"/>
      <c r="R205" s="189"/>
      <c r="S205" s="189"/>
      <c r="T205" s="189"/>
      <c r="U205" s="189"/>
      <c r="V205" s="189"/>
      <c r="W205" s="291"/>
      <c r="X205" s="291"/>
      <c r="Y205" s="291"/>
      <c r="Z205" s="291">
        <f t="shared" ref="Z205:Z224" si="78">X205+Y205</f>
        <v>0</v>
      </c>
    </row>
    <row r="206" spans="1:28" s="183" customFormat="1" hidden="1" x14ac:dyDescent="0.35">
      <c r="A206" s="183" t="s">
        <v>6</v>
      </c>
      <c r="C206" s="184" t="s">
        <v>229</v>
      </c>
      <c r="D206" s="326" t="s">
        <v>46</v>
      </c>
      <c r="E206" s="326" t="s">
        <v>46</v>
      </c>
      <c r="F206" s="327" t="s">
        <v>46</v>
      </c>
      <c r="G206" s="187" t="s">
        <v>330</v>
      </c>
      <c r="H206" s="188" t="s">
        <v>129</v>
      </c>
      <c r="I206" s="188" t="s">
        <v>232</v>
      </c>
      <c r="J206" s="188" t="s">
        <v>233</v>
      </c>
      <c r="K206" s="189">
        <v>0</v>
      </c>
      <c r="L206" s="189">
        <v>75</v>
      </c>
      <c r="M206" s="189">
        <v>0</v>
      </c>
      <c r="N206" s="189">
        <v>0</v>
      </c>
      <c r="O206" s="189">
        <v>0</v>
      </c>
      <c r="P206" s="189">
        <v>0</v>
      </c>
      <c r="Q206" s="191">
        <v>0</v>
      </c>
      <c r="R206" s="189">
        <v>0</v>
      </c>
      <c r="S206" s="189">
        <v>0</v>
      </c>
      <c r="T206" s="189">
        <v>3</v>
      </c>
      <c r="U206" s="189">
        <v>0</v>
      </c>
      <c r="V206" s="189">
        <v>0</v>
      </c>
      <c r="W206" s="291">
        <v>0</v>
      </c>
      <c r="X206" s="291">
        <f t="shared" ref="X206:X209" si="79">SUM(M206+O206+Q206+S206+U206+W206)</f>
        <v>0</v>
      </c>
      <c r="Y206" s="291">
        <v>0</v>
      </c>
      <c r="Z206" s="291">
        <f t="shared" si="78"/>
        <v>0</v>
      </c>
    </row>
    <row r="207" spans="1:28" hidden="1" x14ac:dyDescent="0.35">
      <c r="A207" s="1" t="s">
        <v>6</v>
      </c>
      <c r="C207" s="320" t="s">
        <v>257</v>
      </c>
      <c r="D207" s="326" t="s">
        <v>46</v>
      </c>
      <c r="E207" s="326" t="s">
        <v>46</v>
      </c>
      <c r="F207" s="327" t="s">
        <v>46</v>
      </c>
      <c r="G207" s="321" t="s">
        <v>338</v>
      </c>
      <c r="H207" s="322" t="s">
        <v>129</v>
      </c>
      <c r="I207" s="322" t="s">
        <v>242</v>
      </c>
      <c r="J207" s="322" t="s">
        <v>91</v>
      </c>
      <c r="K207" s="291">
        <v>0</v>
      </c>
      <c r="L207" s="291">
        <v>200</v>
      </c>
      <c r="M207" s="291">
        <v>0</v>
      </c>
      <c r="N207" s="291">
        <v>0</v>
      </c>
      <c r="O207" s="291">
        <v>0</v>
      </c>
      <c r="P207" s="291">
        <v>0</v>
      </c>
      <c r="Q207" s="298">
        <v>0</v>
      </c>
      <c r="R207" s="291">
        <v>0</v>
      </c>
      <c r="S207" s="291">
        <v>0</v>
      </c>
      <c r="T207" s="291">
        <v>25</v>
      </c>
      <c r="U207" s="291">
        <v>0</v>
      </c>
      <c r="V207" s="291">
        <v>0</v>
      </c>
      <c r="W207" s="291">
        <v>0</v>
      </c>
      <c r="X207" s="291">
        <f t="shared" si="79"/>
        <v>0</v>
      </c>
      <c r="Y207" s="291">
        <v>0</v>
      </c>
      <c r="Z207" s="291">
        <f t="shared" si="78"/>
        <v>0</v>
      </c>
    </row>
    <row r="208" spans="1:28" s="183" customFormat="1" x14ac:dyDescent="0.35">
      <c r="A208" s="183" t="s">
        <v>6</v>
      </c>
      <c r="C208" s="184" t="s">
        <v>229</v>
      </c>
      <c r="D208" s="185" t="s">
        <v>339</v>
      </c>
      <c r="E208" s="185">
        <v>87000</v>
      </c>
      <c r="F208" s="186" t="s">
        <v>651</v>
      </c>
      <c r="G208" s="187" t="s">
        <v>340</v>
      </c>
      <c r="H208" s="188" t="s">
        <v>129</v>
      </c>
      <c r="I208" s="188" t="s">
        <v>232</v>
      </c>
      <c r="J208" s="188" t="s">
        <v>341</v>
      </c>
      <c r="K208" s="189">
        <v>0</v>
      </c>
      <c r="L208" s="189">
        <v>1500</v>
      </c>
      <c r="M208" s="189">
        <v>0</v>
      </c>
      <c r="N208" s="189">
        <v>0</v>
      </c>
      <c r="O208" s="189">
        <v>0</v>
      </c>
      <c r="P208" s="189">
        <v>0</v>
      </c>
      <c r="Q208" s="191">
        <v>0</v>
      </c>
      <c r="R208" s="189">
        <v>0</v>
      </c>
      <c r="S208" s="189">
        <v>0</v>
      </c>
      <c r="T208" s="189">
        <v>1</v>
      </c>
      <c r="U208" s="189">
        <v>2559.35</v>
      </c>
      <c r="V208" s="189">
        <v>0</v>
      </c>
      <c r="W208" s="291">
        <v>0</v>
      </c>
      <c r="X208" s="291">
        <f t="shared" si="79"/>
        <v>2559.35</v>
      </c>
      <c r="Y208" s="291">
        <v>0</v>
      </c>
      <c r="Z208" s="291">
        <f t="shared" si="78"/>
        <v>2559.35</v>
      </c>
    </row>
    <row r="209" spans="1:26" s="183" customFormat="1" x14ac:dyDescent="0.35">
      <c r="A209" s="183" t="s">
        <v>6</v>
      </c>
      <c r="C209" s="184" t="s">
        <v>200</v>
      </c>
      <c r="D209" s="185" t="s">
        <v>342</v>
      </c>
      <c r="E209" s="185">
        <v>86000</v>
      </c>
      <c r="F209" s="186" t="s">
        <v>651</v>
      </c>
      <c r="G209" s="187" t="s">
        <v>318</v>
      </c>
      <c r="H209" s="188" t="s">
        <v>69</v>
      </c>
      <c r="I209" s="188" t="s">
        <v>82</v>
      </c>
      <c r="J209" s="188" t="s">
        <v>315</v>
      </c>
      <c r="K209" s="189">
        <v>0</v>
      </c>
      <c r="L209" s="189">
        <v>1200</v>
      </c>
      <c r="M209" s="189">
        <v>0</v>
      </c>
      <c r="N209" s="189">
        <v>0</v>
      </c>
      <c r="O209" s="189">
        <v>0</v>
      </c>
      <c r="P209" s="189">
        <v>0</v>
      </c>
      <c r="Q209" s="191">
        <v>0</v>
      </c>
      <c r="R209" s="189">
        <v>0</v>
      </c>
      <c r="S209" s="189">
        <v>0</v>
      </c>
      <c r="T209" s="189">
        <v>12</v>
      </c>
      <c r="U209" s="189">
        <v>35782.459999999992</v>
      </c>
      <c r="V209" s="189">
        <v>0</v>
      </c>
      <c r="W209" s="291">
        <v>0</v>
      </c>
      <c r="X209" s="291">
        <f t="shared" si="79"/>
        <v>35782.459999999992</v>
      </c>
      <c r="Y209" s="291">
        <v>0</v>
      </c>
      <c r="Z209" s="291">
        <f t="shared" si="78"/>
        <v>35782.459999999992</v>
      </c>
    </row>
    <row r="210" spans="1:26" s="183" customFormat="1" x14ac:dyDescent="0.35">
      <c r="A210" s="183" t="s">
        <v>6</v>
      </c>
      <c r="C210" s="184"/>
      <c r="D210" s="198"/>
      <c r="E210" s="198"/>
      <c r="F210" s="199"/>
      <c r="G210" s="256" t="s">
        <v>343</v>
      </c>
      <c r="H210" s="188"/>
      <c r="I210" s="188"/>
      <c r="J210" s="188"/>
      <c r="K210" s="189"/>
      <c r="L210" s="189"/>
      <c r="M210" s="189"/>
      <c r="N210" s="189"/>
      <c r="O210" s="189"/>
      <c r="P210" s="189"/>
      <c r="Q210" s="191"/>
      <c r="R210" s="189"/>
      <c r="S210" s="189"/>
      <c r="T210" s="189"/>
      <c r="U210" s="189"/>
      <c r="V210" s="189"/>
      <c r="W210" s="291"/>
      <c r="X210" s="291"/>
      <c r="Y210" s="291"/>
      <c r="Z210" s="291">
        <f t="shared" si="78"/>
        <v>0</v>
      </c>
    </row>
    <row r="211" spans="1:26" s="183" customFormat="1" hidden="1" x14ac:dyDescent="0.35">
      <c r="A211" s="183" t="s">
        <v>6</v>
      </c>
      <c r="B211" s="183" t="s">
        <v>344</v>
      </c>
      <c r="C211" s="184" t="s">
        <v>229</v>
      </c>
      <c r="D211" s="326" t="s">
        <v>46</v>
      </c>
      <c r="E211" s="326" t="s">
        <v>46</v>
      </c>
      <c r="F211" s="327" t="s">
        <v>46</v>
      </c>
      <c r="G211" s="187" t="s">
        <v>345</v>
      </c>
      <c r="H211" s="188" t="s">
        <v>55</v>
      </c>
      <c r="I211" s="188" t="s">
        <v>232</v>
      </c>
      <c r="J211" s="188" t="s">
        <v>233</v>
      </c>
      <c r="K211" s="189">
        <v>0</v>
      </c>
      <c r="L211" s="189">
        <v>75</v>
      </c>
      <c r="M211" s="189">
        <v>0</v>
      </c>
      <c r="N211" s="189">
        <v>0</v>
      </c>
      <c r="O211" s="189">
        <v>0</v>
      </c>
      <c r="P211" s="189">
        <v>0</v>
      </c>
      <c r="Q211" s="191">
        <v>0</v>
      </c>
      <c r="R211" s="189">
        <v>0</v>
      </c>
      <c r="S211" s="189">
        <v>0</v>
      </c>
      <c r="T211" s="189">
        <v>0</v>
      </c>
      <c r="U211" s="189">
        <v>0</v>
      </c>
      <c r="V211" s="189">
        <v>0</v>
      </c>
      <c r="W211" s="291">
        <v>0</v>
      </c>
      <c r="X211" s="291">
        <f t="shared" ref="X211:X214" si="80">SUM(M211+O211+Q211+S211+U211+W211)</f>
        <v>0</v>
      </c>
      <c r="Y211" s="291">
        <v>0</v>
      </c>
      <c r="Z211" s="291">
        <f t="shared" si="78"/>
        <v>0</v>
      </c>
    </row>
    <row r="212" spans="1:26" hidden="1" x14ac:dyDescent="0.35">
      <c r="A212" s="1" t="s">
        <v>6</v>
      </c>
      <c r="B212" s="1" t="s">
        <v>344</v>
      </c>
      <c r="C212" s="320" t="s">
        <v>257</v>
      </c>
      <c r="D212" s="326" t="s">
        <v>46</v>
      </c>
      <c r="E212" s="326" t="s">
        <v>46</v>
      </c>
      <c r="F212" s="327" t="s">
        <v>46</v>
      </c>
      <c r="G212" s="321" t="s">
        <v>346</v>
      </c>
      <c r="H212" s="322" t="s">
        <v>55</v>
      </c>
      <c r="I212" s="322" t="s">
        <v>242</v>
      </c>
      <c r="J212" s="322" t="s">
        <v>91</v>
      </c>
      <c r="K212" s="291">
        <v>0</v>
      </c>
      <c r="L212" s="291">
        <v>200</v>
      </c>
      <c r="M212" s="291">
        <v>0</v>
      </c>
      <c r="N212" s="291">
        <v>0</v>
      </c>
      <c r="O212" s="291">
        <v>0</v>
      </c>
      <c r="P212" s="291">
        <v>0</v>
      </c>
      <c r="Q212" s="298">
        <v>0</v>
      </c>
      <c r="R212" s="291">
        <v>0</v>
      </c>
      <c r="S212" s="291">
        <v>0</v>
      </c>
      <c r="T212" s="291">
        <v>0</v>
      </c>
      <c r="U212" s="291">
        <v>0</v>
      </c>
      <c r="V212" s="291">
        <v>0</v>
      </c>
      <c r="W212" s="291">
        <v>0</v>
      </c>
      <c r="X212" s="291">
        <f t="shared" si="80"/>
        <v>0</v>
      </c>
      <c r="Y212" s="291">
        <v>0</v>
      </c>
      <c r="Z212" s="291">
        <f t="shared" si="78"/>
        <v>0</v>
      </c>
    </row>
    <row r="213" spans="1:26" s="183" customFormat="1" x14ac:dyDescent="0.35">
      <c r="A213" s="183" t="s">
        <v>6</v>
      </c>
      <c r="B213" s="183" t="s">
        <v>344</v>
      </c>
      <c r="C213" s="184" t="s">
        <v>229</v>
      </c>
      <c r="D213" s="185" t="s">
        <v>347</v>
      </c>
      <c r="E213" s="185">
        <v>87000</v>
      </c>
      <c r="F213" s="186" t="s">
        <v>656</v>
      </c>
      <c r="G213" s="187" t="s">
        <v>348</v>
      </c>
      <c r="H213" s="188" t="s">
        <v>55</v>
      </c>
      <c r="I213" s="188" t="s">
        <v>232</v>
      </c>
      <c r="J213" s="188" t="s">
        <v>341</v>
      </c>
      <c r="K213" s="189">
        <v>0</v>
      </c>
      <c r="L213" s="189">
        <v>1500</v>
      </c>
      <c r="M213" s="189">
        <v>0</v>
      </c>
      <c r="N213" s="189">
        <v>0</v>
      </c>
      <c r="O213" s="189">
        <v>0</v>
      </c>
      <c r="P213" s="189">
        <v>0</v>
      </c>
      <c r="Q213" s="191">
        <v>0</v>
      </c>
      <c r="R213" s="189">
        <v>0</v>
      </c>
      <c r="S213" s="189">
        <v>0</v>
      </c>
      <c r="T213" s="189">
        <v>0</v>
      </c>
      <c r="U213" s="189">
        <v>91.1</v>
      </c>
      <c r="V213" s="189">
        <v>0</v>
      </c>
      <c r="W213" s="291">
        <v>0</v>
      </c>
      <c r="X213" s="291">
        <f t="shared" si="80"/>
        <v>91.1</v>
      </c>
      <c r="Y213" s="291">
        <v>0</v>
      </c>
      <c r="Z213" s="291">
        <f t="shared" si="78"/>
        <v>91.1</v>
      </c>
    </row>
    <row r="214" spans="1:26" s="183" customFormat="1" x14ac:dyDescent="0.35">
      <c r="A214" s="183" t="s">
        <v>6</v>
      </c>
      <c r="B214" s="183" t="s">
        <v>344</v>
      </c>
      <c r="C214" s="184" t="s">
        <v>200</v>
      </c>
      <c r="D214" s="185" t="s">
        <v>349</v>
      </c>
      <c r="E214" s="185">
        <v>86000</v>
      </c>
      <c r="F214" s="186" t="s">
        <v>656</v>
      </c>
      <c r="G214" s="187" t="s">
        <v>318</v>
      </c>
      <c r="H214" s="188" t="s">
        <v>69</v>
      </c>
      <c r="I214" s="188" t="s">
        <v>82</v>
      </c>
      <c r="J214" s="188" t="s">
        <v>315</v>
      </c>
      <c r="K214" s="189">
        <v>0</v>
      </c>
      <c r="L214" s="189">
        <v>1200</v>
      </c>
      <c r="M214" s="189">
        <v>0</v>
      </c>
      <c r="N214" s="189">
        <v>0</v>
      </c>
      <c r="O214" s="189">
        <v>0</v>
      </c>
      <c r="P214" s="189">
        <v>0</v>
      </c>
      <c r="Q214" s="191">
        <v>0</v>
      </c>
      <c r="R214" s="189">
        <v>0</v>
      </c>
      <c r="S214" s="189">
        <v>0</v>
      </c>
      <c r="T214" s="189">
        <v>17.991308333333333</v>
      </c>
      <c r="U214" s="189">
        <v>21963.37</v>
      </c>
      <c r="V214" s="189">
        <v>0</v>
      </c>
      <c r="W214" s="291">
        <v>0</v>
      </c>
      <c r="X214" s="291">
        <f t="shared" si="80"/>
        <v>21963.37</v>
      </c>
      <c r="Y214" s="291">
        <v>0</v>
      </c>
      <c r="Z214" s="291">
        <f t="shared" si="78"/>
        <v>21963.37</v>
      </c>
    </row>
    <row r="215" spans="1:26" s="183" customFormat="1" x14ac:dyDescent="0.35">
      <c r="A215" s="183" t="s">
        <v>6</v>
      </c>
      <c r="C215" s="184"/>
      <c r="D215" s="198"/>
      <c r="E215" s="198"/>
      <c r="F215" s="199"/>
      <c r="G215" s="256" t="s">
        <v>350</v>
      </c>
      <c r="H215" s="188"/>
      <c r="I215" s="188"/>
      <c r="J215" s="188"/>
      <c r="K215" s="189"/>
      <c r="L215" s="189"/>
      <c r="M215" s="189"/>
      <c r="N215" s="189"/>
      <c r="O215" s="189"/>
      <c r="P215" s="189"/>
      <c r="Q215" s="191"/>
      <c r="R215" s="189"/>
      <c r="S215" s="189"/>
      <c r="T215" s="189"/>
      <c r="U215" s="189"/>
      <c r="V215" s="189"/>
      <c r="W215" s="291"/>
      <c r="X215" s="291"/>
      <c r="Y215" s="291"/>
      <c r="Z215" s="291">
        <f t="shared" si="78"/>
        <v>0</v>
      </c>
    </row>
    <row r="216" spans="1:26" s="183" customFormat="1" hidden="1" x14ac:dyDescent="0.35">
      <c r="A216" s="183" t="s">
        <v>6</v>
      </c>
      <c r="C216" s="184" t="s">
        <v>229</v>
      </c>
      <c r="D216" s="326" t="s">
        <v>46</v>
      </c>
      <c r="E216" s="326" t="s">
        <v>46</v>
      </c>
      <c r="F216" s="327" t="s">
        <v>46</v>
      </c>
      <c r="G216" s="187" t="s">
        <v>323</v>
      </c>
      <c r="H216" s="188" t="s">
        <v>122</v>
      </c>
      <c r="I216" s="188" t="s">
        <v>232</v>
      </c>
      <c r="J216" s="188" t="s">
        <v>233</v>
      </c>
      <c r="K216" s="189">
        <v>0</v>
      </c>
      <c r="L216" s="189">
        <v>75</v>
      </c>
      <c r="M216" s="189">
        <v>0</v>
      </c>
      <c r="N216" s="189">
        <v>0</v>
      </c>
      <c r="O216" s="189">
        <v>0</v>
      </c>
      <c r="P216" s="189">
        <v>0</v>
      </c>
      <c r="Q216" s="191">
        <v>0</v>
      </c>
      <c r="R216" s="189">
        <v>0</v>
      </c>
      <c r="S216" s="189">
        <v>0</v>
      </c>
      <c r="T216" s="189">
        <v>0</v>
      </c>
      <c r="U216" s="189">
        <v>0</v>
      </c>
      <c r="V216" s="189">
        <v>0</v>
      </c>
      <c r="W216" s="291">
        <v>0</v>
      </c>
      <c r="X216" s="291">
        <f t="shared" ref="X216:X219" si="81">SUM(M216+O216+Q216+S216+U216+W216)</f>
        <v>0</v>
      </c>
      <c r="Y216" s="291">
        <v>0</v>
      </c>
      <c r="Z216" s="291">
        <f t="shared" si="78"/>
        <v>0</v>
      </c>
    </row>
    <row r="217" spans="1:26" s="279" customFormat="1" x14ac:dyDescent="0.35">
      <c r="A217" s="183" t="s">
        <v>6</v>
      </c>
      <c r="B217" s="183"/>
      <c r="C217" s="184" t="s">
        <v>257</v>
      </c>
      <c r="D217" s="281" t="s">
        <v>351</v>
      </c>
      <c r="E217" s="281">
        <v>81000</v>
      </c>
      <c r="F217" s="282" t="s">
        <v>650</v>
      </c>
      <c r="G217" s="289" t="s">
        <v>352</v>
      </c>
      <c r="H217" s="285" t="s">
        <v>122</v>
      </c>
      <c r="I217" s="285" t="s">
        <v>242</v>
      </c>
      <c r="J217" s="285" t="s">
        <v>91</v>
      </c>
      <c r="K217" s="286">
        <v>0</v>
      </c>
      <c r="L217" s="286">
        <v>200</v>
      </c>
      <c r="M217" s="286">
        <v>0</v>
      </c>
      <c r="N217" s="286">
        <v>0</v>
      </c>
      <c r="O217" s="286">
        <v>0</v>
      </c>
      <c r="P217" s="286">
        <v>0</v>
      </c>
      <c r="Q217" s="287">
        <v>0</v>
      </c>
      <c r="R217" s="286">
        <v>0</v>
      </c>
      <c r="S217" s="286">
        <v>1504.5</v>
      </c>
      <c r="T217" s="286">
        <v>0</v>
      </c>
      <c r="U217" s="286">
        <v>0</v>
      </c>
      <c r="V217" s="286">
        <v>0</v>
      </c>
      <c r="W217" s="286">
        <v>0</v>
      </c>
      <c r="X217" s="286">
        <f t="shared" si="81"/>
        <v>1504.5</v>
      </c>
      <c r="Y217" s="286">
        <v>0</v>
      </c>
      <c r="Z217" s="286">
        <f t="shared" si="78"/>
        <v>1504.5</v>
      </c>
    </row>
    <row r="218" spans="1:26" s="183" customFormat="1" x14ac:dyDescent="0.35">
      <c r="A218" s="183" t="s">
        <v>6</v>
      </c>
      <c r="C218" s="184" t="s">
        <v>229</v>
      </c>
      <c r="D218" s="185" t="s">
        <v>353</v>
      </c>
      <c r="E218" s="185">
        <v>87000</v>
      </c>
      <c r="F218" s="186" t="s">
        <v>650</v>
      </c>
      <c r="G218" s="187" t="s">
        <v>354</v>
      </c>
      <c r="H218" s="188" t="s">
        <v>122</v>
      </c>
      <c r="I218" s="188" t="s">
        <v>232</v>
      </c>
      <c r="J218" s="188" t="s">
        <v>341</v>
      </c>
      <c r="K218" s="189">
        <v>0</v>
      </c>
      <c r="L218" s="189">
        <v>1500</v>
      </c>
      <c r="M218" s="189">
        <v>0</v>
      </c>
      <c r="N218" s="189">
        <v>0</v>
      </c>
      <c r="O218" s="189">
        <v>0</v>
      </c>
      <c r="P218" s="189">
        <v>0</v>
      </c>
      <c r="Q218" s="191">
        <v>0</v>
      </c>
      <c r="R218" s="189">
        <v>0</v>
      </c>
      <c r="S218" s="189">
        <v>9887.07</v>
      </c>
      <c r="T218" s="189">
        <v>0</v>
      </c>
      <c r="U218" s="189">
        <v>0</v>
      </c>
      <c r="V218" s="189">
        <v>0</v>
      </c>
      <c r="W218" s="291">
        <v>0</v>
      </c>
      <c r="X218" s="291">
        <f t="shared" si="81"/>
        <v>9887.07</v>
      </c>
      <c r="Y218" s="291">
        <v>0</v>
      </c>
      <c r="Z218" s="291">
        <f t="shared" si="78"/>
        <v>9887.07</v>
      </c>
    </row>
    <row r="219" spans="1:26" s="183" customFormat="1" x14ac:dyDescent="0.35">
      <c r="A219" s="183" t="s">
        <v>6</v>
      </c>
      <c r="C219" s="184" t="s">
        <v>200</v>
      </c>
      <c r="D219" s="185" t="s">
        <v>355</v>
      </c>
      <c r="E219" s="185">
        <v>86000</v>
      </c>
      <c r="F219" s="186" t="s">
        <v>650</v>
      </c>
      <c r="G219" s="187" t="s">
        <v>318</v>
      </c>
      <c r="H219" s="188" t="s">
        <v>69</v>
      </c>
      <c r="I219" s="188" t="s">
        <v>82</v>
      </c>
      <c r="J219" s="188" t="s">
        <v>315</v>
      </c>
      <c r="K219" s="189">
        <v>0</v>
      </c>
      <c r="L219" s="189">
        <v>1200</v>
      </c>
      <c r="M219" s="189">
        <v>0</v>
      </c>
      <c r="N219" s="189">
        <v>0</v>
      </c>
      <c r="O219" s="189">
        <v>0</v>
      </c>
      <c r="P219" s="189">
        <v>0</v>
      </c>
      <c r="Q219" s="191">
        <v>0</v>
      </c>
      <c r="R219" s="189">
        <v>0</v>
      </c>
      <c r="S219" s="189">
        <v>21541.619999999992</v>
      </c>
      <c r="T219" s="189">
        <v>7.9416666666666663E-3</v>
      </c>
      <c r="U219" s="189">
        <v>9.5299999999999994</v>
      </c>
      <c r="V219" s="189">
        <v>0</v>
      </c>
      <c r="W219" s="291">
        <v>0</v>
      </c>
      <c r="X219" s="291">
        <f t="shared" si="81"/>
        <v>21551.149999999991</v>
      </c>
      <c r="Y219" s="291">
        <v>0</v>
      </c>
      <c r="Z219" s="291">
        <f t="shared" si="78"/>
        <v>21551.149999999991</v>
      </c>
    </row>
    <row r="220" spans="1:26" s="183" customFormat="1" x14ac:dyDescent="0.35">
      <c r="A220" s="183" t="s">
        <v>6</v>
      </c>
      <c r="C220" s="184"/>
      <c r="D220" s="198"/>
      <c r="E220" s="198"/>
      <c r="F220" s="199"/>
      <c r="G220" s="256" t="s">
        <v>356</v>
      </c>
      <c r="H220" s="188"/>
      <c r="I220" s="188"/>
      <c r="J220" s="188"/>
      <c r="K220" s="189"/>
      <c r="L220" s="189"/>
      <c r="M220" s="189"/>
      <c r="N220" s="189"/>
      <c r="O220" s="189"/>
      <c r="P220" s="189"/>
      <c r="Q220" s="191"/>
      <c r="R220" s="189"/>
      <c r="S220" s="189"/>
      <c r="T220" s="189"/>
      <c r="U220" s="189"/>
      <c r="V220" s="189"/>
      <c r="W220" s="291"/>
      <c r="X220" s="291"/>
      <c r="Y220" s="291"/>
      <c r="Z220" s="291">
        <f t="shared" si="78"/>
        <v>0</v>
      </c>
    </row>
    <row r="221" spans="1:26" s="183" customFormat="1" hidden="1" x14ac:dyDescent="0.35">
      <c r="A221" s="183" t="s">
        <v>6</v>
      </c>
      <c r="B221" s="183" t="s">
        <v>344</v>
      </c>
      <c r="C221" s="184" t="s">
        <v>229</v>
      </c>
      <c r="D221" s="326" t="s">
        <v>46</v>
      </c>
      <c r="E221" s="326" t="s">
        <v>46</v>
      </c>
      <c r="F221" s="327" t="s">
        <v>46</v>
      </c>
      <c r="G221" s="187" t="s">
        <v>357</v>
      </c>
      <c r="H221" s="188" t="s">
        <v>34</v>
      </c>
      <c r="I221" s="188" t="s">
        <v>232</v>
      </c>
      <c r="J221" s="188" t="s">
        <v>233</v>
      </c>
      <c r="K221" s="189">
        <v>0</v>
      </c>
      <c r="L221" s="189">
        <v>75</v>
      </c>
      <c r="M221" s="189">
        <v>0</v>
      </c>
      <c r="N221" s="189">
        <v>0</v>
      </c>
      <c r="O221" s="189">
        <v>0</v>
      </c>
      <c r="P221" s="189">
        <v>0</v>
      </c>
      <c r="Q221" s="191">
        <v>0</v>
      </c>
      <c r="R221" s="189">
        <v>3</v>
      </c>
      <c r="S221" s="189">
        <v>0</v>
      </c>
      <c r="T221" s="189">
        <v>0</v>
      </c>
      <c r="U221" s="189">
        <v>0</v>
      </c>
      <c r="V221" s="189">
        <v>0</v>
      </c>
      <c r="W221" s="291">
        <v>0</v>
      </c>
      <c r="X221" s="291">
        <f t="shared" ref="X221:X224" si="82">SUM(M221+O221+Q221+S221+U221+W221)</f>
        <v>0</v>
      </c>
      <c r="Y221" s="291">
        <v>0</v>
      </c>
      <c r="Z221" s="291">
        <f t="shared" si="78"/>
        <v>0</v>
      </c>
    </row>
    <row r="222" spans="1:26" hidden="1" x14ac:dyDescent="0.35">
      <c r="A222" s="1" t="s">
        <v>6</v>
      </c>
      <c r="B222" s="1" t="s">
        <v>344</v>
      </c>
      <c r="C222" s="320" t="s">
        <v>257</v>
      </c>
      <c r="D222" s="326" t="s">
        <v>46</v>
      </c>
      <c r="E222" s="326" t="s">
        <v>46</v>
      </c>
      <c r="F222" s="327" t="s">
        <v>46</v>
      </c>
      <c r="G222" s="321" t="s">
        <v>358</v>
      </c>
      <c r="H222" s="322" t="s">
        <v>34</v>
      </c>
      <c r="I222" s="322" t="s">
        <v>242</v>
      </c>
      <c r="J222" s="322" t="s">
        <v>91</v>
      </c>
      <c r="K222" s="291">
        <v>0</v>
      </c>
      <c r="L222" s="291">
        <v>200</v>
      </c>
      <c r="M222" s="291">
        <v>0</v>
      </c>
      <c r="N222" s="291">
        <v>0</v>
      </c>
      <c r="O222" s="291">
        <v>0</v>
      </c>
      <c r="P222" s="291">
        <v>0</v>
      </c>
      <c r="Q222" s="298">
        <v>0</v>
      </c>
      <c r="R222" s="291">
        <v>14</v>
      </c>
      <c r="S222" s="291">
        <v>0</v>
      </c>
      <c r="T222" s="291">
        <v>0</v>
      </c>
      <c r="U222" s="291">
        <v>0</v>
      </c>
      <c r="V222" s="291">
        <v>0</v>
      </c>
      <c r="W222" s="291">
        <v>0</v>
      </c>
      <c r="X222" s="291">
        <f t="shared" si="82"/>
        <v>0</v>
      </c>
      <c r="Y222" s="291">
        <v>0</v>
      </c>
      <c r="Z222" s="291">
        <f t="shared" si="78"/>
        <v>0</v>
      </c>
    </row>
    <row r="223" spans="1:26" s="183" customFormat="1" x14ac:dyDescent="0.35">
      <c r="A223" s="183" t="s">
        <v>6</v>
      </c>
      <c r="B223" s="183" t="s">
        <v>344</v>
      </c>
      <c r="C223" s="184" t="s">
        <v>229</v>
      </c>
      <c r="D223" s="185" t="s">
        <v>359</v>
      </c>
      <c r="E223" s="185">
        <v>87000</v>
      </c>
      <c r="F223" s="186" t="s">
        <v>654</v>
      </c>
      <c r="G223" s="187" t="s">
        <v>360</v>
      </c>
      <c r="H223" s="188" t="s">
        <v>34</v>
      </c>
      <c r="I223" s="188" t="s">
        <v>232</v>
      </c>
      <c r="J223" s="188" t="s">
        <v>341</v>
      </c>
      <c r="K223" s="189">
        <v>0</v>
      </c>
      <c r="L223" s="189">
        <v>1500</v>
      </c>
      <c r="M223" s="189">
        <v>0</v>
      </c>
      <c r="N223" s="189">
        <v>0</v>
      </c>
      <c r="O223" s="189">
        <v>0</v>
      </c>
      <c r="P223" s="189">
        <v>0</v>
      </c>
      <c r="Q223" s="191">
        <v>0</v>
      </c>
      <c r="R223" s="189">
        <v>1</v>
      </c>
      <c r="S223" s="189">
        <v>1488.83</v>
      </c>
      <c r="T223" s="189">
        <v>0</v>
      </c>
      <c r="U223" s="189">
        <v>0</v>
      </c>
      <c r="V223" s="189">
        <v>0</v>
      </c>
      <c r="W223" s="291">
        <v>0</v>
      </c>
      <c r="X223" s="291">
        <f t="shared" si="82"/>
        <v>1488.83</v>
      </c>
      <c r="Y223" s="291">
        <v>0</v>
      </c>
      <c r="Z223" s="291">
        <f t="shared" si="78"/>
        <v>1488.83</v>
      </c>
    </row>
    <row r="224" spans="1:26" s="183" customFormat="1" x14ac:dyDescent="0.35">
      <c r="A224" s="183" t="s">
        <v>6</v>
      </c>
      <c r="B224" s="183" t="s">
        <v>344</v>
      </c>
      <c r="C224" s="184" t="s">
        <v>200</v>
      </c>
      <c r="D224" s="185" t="s">
        <v>361</v>
      </c>
      <c r="E224" s="185">
        <v>86000</v>
      </c>
      <c r="F224" s="186" t="s">
        <v>654</v>
      </c>
      <c r="G224" s="187" t="s">
        <v>318</v>
      </c>
      <c r="H224" s="188" t="s">
        <v>69</v>
      </c>
      <c r="I224" s="188" t="s">
        <v>82</v>
      </c>
      <c r="J224" s="188" t="s">
        <v>315</v>
      </c>
      <c r="K224" s="189">
        <v>0</v>
      </c>
      <c r="L224" s="189">
        <v>1200</v>
      </c>
      <c r="M224" s="189">
        <v>0</v>
      </c>
      <c r="N224" s="189">
        <v>0</v>
      </c>
      <c r="O224" s="189">
        <v>0</v>
      </c>
      <c r="P224" s="189">
        <v>0</v>
      </c>
      <c r="Q224" s="191">
        <v>0</v>
      </c>
      <c r="R224" s="189">
        <v>12</v>
      </c>
      <c r="S224" s="189">
        <v>9665.7800000000007</v>
      </c>
      <c r="T224" s="189">
        <v>0</v>
      </c>
      <c r="U224" s="189">
        <v>0</v>
      </c>
      <c r="V224" s="189">
        <v>0</v>
      </c>
      <c r="W224" s="291">
        <v>0</v>
      </c>
      <c r="X224" s="291">
        <f t="shared" si="82"/>
        <v>9665.7800000000007</v>
      </c>
      <c r="Y224" s="291">
        <v>0</v>
      </c>
      <c r="Z224" s="291">
        <f t="shared" si="78"/>
        <v>9665.7800000000007</v>
      </c>
    </row>
    <row r="225" spans="1:28" s="183" customFormat="1" ht="22.8" x14ac:dyDescent="0.35">
      <c r="A225" s="183" t="s">
        <v>6</v>
      </c>
      <c r="C225" s="184"/>
      <c r="D225" s="198"/>
      <c r="E225" s="198"/>
      <c r="F225" s="199"/>
      <c r="G225" s="237" t="s">
        <v>362</v>
      </c>
      <c r="H225" s="193"/>
      <c r="I225" s="193"/>
      <c r="J225" s="193"/>
      <c r="K225" s="200"/>
      <c r="L225" s="200"/>
      <c r="M225" s="200"/>
      <c r="N225" s="200"/>
      <c r="O225" s="200"/>
      <c r="P225" s="200"/>
      <c r="Q225" s="201"/>
      <c r="R225" s="200"/>
      <c r="S225" s="200"/>
      <c r="T225" s="200"/>
      <c r="U225" s="200"/>
      <c r="V225" s="200"/>
      <c r="W225" s="292"/>
      <c r="X225" s="292"/>
      <c r="Y225" s="292"/>
      <c r="Z225" s="291"/>
    </row>
    <row r="226" spans="1:28" s="279" customFormat="1" ht="22.8" x14ac:dyDescent="0.35">
      <c r="A226" s="183" t="s">
        <v>6</v>
      </c>
      <c r="B226" s="183"/>
      <c r="C226" s="184" t="s">
        <v>200</v>
      </c>
      <c r="D226" s="281" t="s">
        <v>363</v>
      </c>
      <c r="E226" s="281">
        <v>81035</v>
      </c>
      <c r="F226" s="282" t="s">
        <v>652</v>
      </c>
      <c r="G226" s="289" t="s">
        <v>364</v>
      </c>
      <c r="H226" s="285" t="s">
        <v>69</v>
      </c>
      <c r="I226" s="285" t="s">
        <v>242</v>
      </c>
      <c r="J226" s="285" t="s">
        <v>91</v>
      </c>
      <c r="K226" s="286">
        <v>20</v>
      </c>
      <c r="L226" s="286">
        <v>1101.5</v>
      </c>
      <c r="M226" s="286">
        <v>0</v>
      </c>
      <c r="N226" s="286">
        <v>0</v>
      </c>
      <c r="O226" s="286">
        <v>0</v>
      </c>
      <c r="P226" s="286">
        <v>12</v>
      </c>
      <c r="Q226" s="287">
        <v>7997.4700000000012</v>
      </c>
      <c r="R226" s="286">
        <v>12</v>
      </c>
      <c r="S226" s="286">
        <v>8124.829999999999</v>
      </c>
      <c r="T226" s="286">
        <v>12</v>
      </c>
      <c r="U226" s="286">
        <v>8628.36</v>
      </c>
      <c r="V226" s="286">
        <v>12</v>
      </c>
      <c r="W226" s="286">
        <v>12196.71064910966</v>
      </c>
      <c r="X226" s="286">
        <f>SUM(M226+O226+Q226+S226+U226+W226)</f>
        <v>36947.37064910966</v>
      </c>
      <c r="Y226" s="286">
        <v>0</v>
      </c>
      <c r="Z226" s="286">
        <f>X226+Y226</f>
        <v>36947.37064910966</v>
      </c>
      <c r="AB226" s="288"/>
    </row>
    <row r="227" spans="1:28" s="183" customFormat="1" ht="22.8" x14ac:dyDescent="0.35">
      <c r="A227" s="183" t="s">
        <v>6</v>
      </c>
      <c r="C227" s="184"/>
      <c r="D227" s="198"/>
      <c r="E227" s="198"/>
      <c r="F227" s="199"/>
      <c r="G227" s="237" t="s">
        <v>365</v>
      </c>
      <c r="H227" s="188"/>
      <c r="I227" s="188"/>
      <c r="J227" s="188"/>
      <c r="K227" s="189"/>
      <c r="L227" s="189"/>
      <c r="M227" s="189"/>
      <c r="N227" s="189"/>
      <c r="O227" s="189"/>
      <c r="P227" s="189"/>
      <c r="Q227" s="191"/>
      <c r="R227" s="189"/>
      <c r="S227" s="189"/>
      <c r="T227" s="189"/>
      <c r="U227" s="189"/>
      <c r="V227" s="189"/>
      <c r="W227" s="291"/>
      <c r="X227" s="291"/>
      <c r="Y227" s="291"/>
      <c r="Z227" s="291"/>
    </row>
    <row r="228" spans="1:28" s="279" customFormat="1" x14ac:dyDescent="0.35">
      <c r="A228" s="183" t="s">
        <v>6</v>
      </c>
      <c r="B228" s="183"/>
      <c r="C228" s="184" t="s">
        <v>159</v>
      </c>
      <c r="D228" s="185" t="s">
        <v>366</v>
      </c>
      <c r="E228" s="185">
        <v>80402</v>
      </c>
      <c r="F228" s="186" t="s">
        <v>652</v>
      </c>
      <c r="G228" s="289" t="s">
        <v>367</v>
      </c>
      <c r="H228" s="285" t="s">
        <v>69</v>
      </c>
      <c r="I228" s="285" t="s">
        <v>242</v>
      </c>
      <c r="J228" s="285" t="s">
        <v>368</v>
      </c>
      <c r="K228" s="286">
        <v>0</v>
      </c>
      <c r="L228" s="286">
        <v>5000</v>
      </c>
      <c r="M228" s="286">
        <v>0</v>
      </c>
      <c r="N228" s="286">
        <v>0</v>
      </c>
      <c r="O228" s="286">
        <v>0</v>
      </c>
      <c r="P228" s="286">
        <v>0</v>
      </c>
      <c r="Q228" s="287">
        <v>0</v>
      </c>
      <c r="R228" s="286">
        <v>0</v>
      </c>
      <c r="S228" s="286">
        <v>0</v>
      </c>
      <c r="T228" s="286">
        <v>1</v>
      </c>
      <c r="U228" s="286">
        <v>0</v>
      </c>
      <c r="V228" s="286">
        <f>+W228/L228</f>
        <v>0.75</v>
      </c>
      <c r="W228" s="286">
        <v>3750</v>
      </c>
      <c r="X228" s="286">
        <f t="shared" ref="X228:X229" si="83">SUM(M228+O228+Q228+S228+U228+W228)</f>
        <v>3750</v>
      </c>
      <c r="Y228" s="286">
        <v>0</v>
      </c>
      <c r="Z228" s="286">
        <f t="shared" ref="Z228:Z229" si="84">X228+Y228</f>
        <v>3750</v>
      </c>
    </row>
    <row r="229" spans="1:28" s="183" customFormat="1" x14ac:dyDescent="0.35">
      <c r="A229" s="183" t="s">
        <v>6</v>
      </c>
      <c r="C229" s="184" t="s">
        <v>159</v>
      </c>
      <c r="D229" s="185" t="s">
        <v>369</v>
      </c>
      <c r="E229" s="185">
        <v>90450</v>
      </c>
      <c r="F229" s="186" t="s">
        <v>652</v>
      </c>
      <c r="G229" s="187" t="s">
        <v>370</v>
      </c>
      <c r="H229" s="188" t="s">
        <v>69</v>
      </c>
      <c r="I229" s="188" t="s">
        <v>232</v>
      </c>
      <c r="J229" s="188" t="s">
        <v>185</v>
      </c>
      <c r="K229" s="189">
        <v>0</v>
      </c>
      <c r="L229" s="189">
        <v>436</v>
      </c>
      <c r="M229" s="189">
        <v>0</v>
      </c>
      <c r="N229" s="189">
        <v>1</v>
      </c>
      <c r="O229" s="189">
        <v>435.82999999999993</v>
      </c>
      <c r="P229" s="189">
        <v>0</v>
      </c>
      <c r="Q229" s="191">
        <v>0</v>
      </c>
      <c r="R229" s="189">
        <v>0</v>
      </c>
      <c r="S229" s="189">
        <v>0</v>
      </c>
      <c r="T229" s="189">
        <v>0</v>
      </c>
      <c r="U229" s="189">
        <v>0</v>
      </c>
      <c r="V229" s="189">
        <v>0</v>
      </c>
      <c r="W229" s="291">
        <v>0</v>
      </c>
      <c r="X229" s="291">
        <f t="shared" si="83"/>
        <v>435.82999999999993</v>
      </c>
      <c r="Y229" s="291">
        <v>0</v>
      </c>
      <c r="Z229" s="291">
        <f t="shared" si="84"/>
        <v>435.82999999999993</v>
      </c>
    </row>
    <row r="230" spans="1:28" s="183" customFormat="1" x14ac:dyDescent="0.35">
      <c r="A230" s="183" t="s">
        <v>6</v>
      </c>
      <c r="C230" s="184"/>
      <c r="D230" s="198"/>
      <c r="E230" s="198"/>
      <c r="F230" s="199"/>
      <c r="G230" s="187"/>
      <c r="H230" s="188"/>
      <c r="I230" s="188"/>
      <c r="J230" s="188"/>
      <c r="K230" s="189"/>
      <c r="L230" s="189"/>
      <c r="M230" s="189"/>
      <c r="N230" s="189"/>
      <c r="O230" s="189"/>
      <c r="P230" s="189"/>
      <c r="Q230" s="191"/>
      <c r="R230" s="189"/>
      <c r="S230" s="189"/>
      <c r="T230" s="189"/>
      <c r="U230" s="189"/>
      <c r="V230" s="189"/>
      <c r="W230" s="291"/>
      <c r="X230" s="291"/>
      <c r="Y230" s="291"/>
      <c r="Z230" s="291">
        <f>X230+Y230</f>
        <v>0</v>
      </c>
    </row>
    <row r="231" spans="1:28" s="183" customFormat="1" ht="11.7" thickBot="1" x14ac:dyDescent="0.4">
      <c r="A231" s="183" t="s">
        <v>6</v>
      </c>
      <c r="C231" s="184"/>
      <c r="G231" s="212" t="s">
        <v>371</v>
      </c>
      <c r="H231" s="213"/>
      <c r="I231" s="213"/>
      <c r="J231" s="213"/>
      <c r="K231" s="217"/>
      <c r="L231" s="217"/>
      <c r="M231" s="257">
        <f t="shared" ref="M231:U231" si="85">SUM(M187:M229)</f>
        <v>3769.61</v>
      </c>
      <c r="N231" s="257"/>
      <c r="O231" s="257">
        <f t="shared" si="85"/>
        <v>3127.9900000000007</v>
      </c>
      <c r="P231" s="257"/>
      <c r="Q231" s="257">
        <f t="shared" si="85"/>
        <v>8320.7500000000018</v>
      </c>
      <c r="R231" s="257"/>
      <c r="S231" s="257">
        <f t="shared" si="85"/>
        <v>111901.48</v>
      </c>
      <c r="T231" s="257"/>
      <c r="U231" s="257">
        <f t="shared" si="85"/>
        <v>69224.259999999995</v>
      </c>
      <c r="V231" s="257"/>
      <c r="W231" s="306">
        <f>SUM(W187:W229)</f>
        <v>15946.71064910966</v>
      </c>
      <c r="X231" s="294">
        <f>M231+O231+Q231+S231+U231+W231</f>
        <v>212290.80064910965</v>
      </c>
      <c r="Y231" s="306">
        <f>SUM(Y187:Y229)</f>
        <v>0</v>
      </c>
      <c r="Z231" s="309">
        <f>X231+Y231</f>
        <v>212290.80064910965</v>
      </c>
    </row>
    <row r="232" spans="1:28" s="183" customFormat="1" x14ac:dyDescent="0.35">
      <c r="A232" s="183" t="s">
        <v>6</v>
      </c>
      <c r="C232" s="184"/>
      <c r="G232" s="248" t="s">
        <v>372</v>
      </c>
      <c r="H232" s="249"/>
      <c r="I232" s="249"/>
      <c r="J232" s="249"/>
      <c r="K232" s="249"/>
      <c r="L232" s="249"/>
      <c r="M232" s="249"/>
      <c r="N232" s="249"/>
      <c r="O232" s="249"/>
      <c r="P232" s="249"/>
      <c r="Q232" s="249"/>
      <c r="R232" s="249"/>
      <c r="S232" s="249"/>
      <c r="T232" s="249"/>
      <c r="U232" s="249"/>
      <c r="V232" s="249"/>
      <c r="W232" s="302"/>
      <c r="X232" s="302"/>
      <c r="Y232" s="302"/>
      <c r="Z232" s="297"/>
    </row>
    <row r="233" spans="1:28" s="183" customFormat="1" x14ac:dyDescent="0.35">
      <c r="A233" s="183" t="s">
        <v>6</v>
      </c>
      <c r="C233" s="184"/>
      <c r="G233" s="218" t="s">
        <v>227</v>
      </c>
      <c r="H233" s="219"/>
      <c r="I233" s="219"/>
      <c r="J233" s="219"/>
      <c r="K233" s="200"/>
      <c r="L233" s="200"/>
      <c r="M233" s="200"/>
      <c r="N233" s="200"/>
      <c r="O233" s="200"/>
      <c r="P233" s="200"/>
      <c r="Q233" s="201"/>
      <c r="R233" s="200"/>
      <c r="S233" s="200"/>
      <c r="T233" s="200"/>
      <c r="U233" s="200"/>
      <c r="V233" s="200"/>
      <c r="W233" s="292"/>
      <c r="X233" s="292"/>
      <c r="Y233" s="291"/>
      <c r="Z233" s="297"/>
    </row>
    <row r="234" spans="1:28" s="183" customFormat="1" hidden="1" x14ac:dyDescent="0.35">
      <c r="A234" s="183" t="s">
        <v>6</v>
      </c>
      <c r="C234" s="184"/>
      <c r="G234" s="225" t="s">
        <v>373</v>
      </c>
      <c r="H234" s="226"/>
      <c r="I234" s="226"/>
      <c r="J234" s="219"/>
      <c r="K234" s="200"/>
      <c r="L234" s="200"/>
      <c r="M234" s="200"/>
      <c r="N234" s="200"/>
      <c r="O234" s="200"/>
      <c r="P234" s="200"/>
      <c r="Q234" s="201"/>
      <c r="R234" s="200"/>
      <c r="S234" s="200"/>
      <c r="T234" s="200"/>
      <c r="U234" s="200"/>
      <c r="V234" s="200"/>
      <c r="W234" s="292"/>
      <c r="X234" s="292"/>
      <c r="Y234" s="291"/>
      <c r="Z234" s="297"/>
    </row>
    <row r="235" spans="1:28" hidden="1" x14ac:dyDescent="0.35">
      <c r="A235" s="1" t="s">
        <v>6</v>
      </c>
      <c r="C235" s="320" t="s">
        <v>257</v>
      </c>
      <c r="D235" s="323" t="s">
        <v>46</v>
      </c>
      <c r="E235" s="323" t="s">
        <v>46</v>
      </c>
      <c r="F235" s="324" t="s">
        <v>46</v>
      </c>
      <c r="G235" s="325" t="s">
        <v>374</v>
      </c>
      <c r="H235" s="297" t="s">
        <v>69</v>
      </c>
      <c r="I235" s="297" t="s">
        <v>242</v>
      </c>
      <c r="J235" s="322" t="s">
        <v>91</v>
      </c>
      <c r="K235" s="291">
        <v>0</v>
      </c>
      <c r="L235" s="291">
        <v>0</v>
      </c>
      <c r="M235" s="291">
        <v>0</v>
      </c>
      <c r="N235" s="291"/>
      <c r="O235" s="291">
        <v>0</v>
      </c>
      <c r="P235" s="291"/>
      <c r="Q235" s="298">
        <v>0</v>
      </c>
      <c r="R235" s="291">
        <v>0</v>
      </c>
      <c r="S235" s="291">
        <v>0</v>
      </c>
      <c r="T235" s="291"/>
      <c r="U235" s="291">
        <v>0</v>
      </c>
      <c r="V235" s="291"/>
      <c r="W235" s="291">
        <v>0</v>
      </c>
      <c r="X235" s="291">
        <f>SUM(M235+O235+Q235+S235+U235+W235)</f>
        <v>0</v>
      </c>
      <c r="Y235" s="291">
        <v>0</v>
      </c>
      <c r="Z235" s="291">
        <f>X235+Y235</f>
        <v>0</v>
      </c>
    </row>
    <row r="236" spans="1:28" s="183" customFormat="1" hidden="1" x14ac:dyDescent="0.35">
      <c r="A236" s="183" t="s">
        <v>6</v>
      </c>
      <c r="C236" s="184"/>
      <c r="D236" s="198"/>
      <c r="E236" s="198"/>
      <c r="F236" s="199"/>
      <c r="G236" s="237" t="s">
        <v>375</v>
      </c>
      <c r="H236" s="250"/>
      <c r="I236" s="250"/>
      <c r="J236" s="188"/>
      <c r="K236" s="207"/>
      <c r="L236" s="210"/>
      <c r="M236" s="189"/>
      <c r="N236" s="210"/>
      <c r="O236" s="189"/>
      <c r="P236" s="210"/>
      <c r="Q236" s="191"/>
      <c r="R236" s="189"/>
      <c r="S236" s="189"/>
      <c r="T236" s="189"/>
      <c r="U236" s="189"/>
      <c r="V236" s="189"/>
      <c r="W236" s="291"/>
      <c r="X236" s="291"/>
      <c r="Y236" s="291"/>
      <c r="Z236" s="297"/>
    </row>
    <row r="237" spans="1:28" s="183" customFormat="1" hidden="1" x14ac:dyDescent="0.35">
      <c r="A237" s="183" t="s">
        <v>6</v>
      </c>
      <c r="C237" s="184" t="s">
        <v>262</v>
      </c>
      <c r="D237" s="326" t="s">
        <v>46</v>
      </c>
      <c r="E237" s="326" t="s">
        <v>46</v>
      </c>
      <c r="F237" s="327" t="s">
        <v>46</v>
      </c>
      <c r="G237" s="187" t="s">
        <v>376</v>
      </c>
      <c r="H237" s="188" t="s">
        <v>69</v>
      </c>
      <c r="I237" s="188" t="s">
        <v>232</v>
      </c>
      <c r="J237" s="188" t="s">
        <v>377</v>
      </c>
      <c r="K237" s="189">
        <v>1</v>
      </c>
      <c r="L237" s="189">
        <v>800</v>
      </c>
      <c r="M237" s="189">
        <v>0</v>
      </c>
      <c r="N237" s="189">
        <v>0</v>
      </c>
      <c r="O237" s="189">
        <v>0</v>
      </c>
      <c r="P237" s="189">
        <v>0</v>
      </c>
      <c r="Q237" s="191">
        <v>0</v>
      </c>
      <c r="R237" s="189">
        <v>0</v>
      </c>
      <c r="S237" s="189">
        <v>0</v>
      </c>
      <c r="T237" s="189"/>
      <c r="U237" s="189">
        <v>0</v>
      </c>
      <c r="V237" s="189"/>
      <c r="W237" s="291">
        <v>0</v>
      </c>
      <c r="X237" s="291">
        <f t="shared" ref="X237:X241" si="86">SUM(M237+O237+Q237+S237+U237+W237)</f>
        <v>0</v>
      </c>
      <c r="Y237" s="291">
        <v>0</v>
      </c>
      <c r="Z237" s="291">
        <f t="shared" ref="Z237:Z241" si="87">X237+Y237</f>
        <v>0</v>
      </c>
    </row>
    <row r="238" spans="1:28" s="183" customFormat="1" hidden="1" x14ac:dyDescent="0.35">
      <c r="A238" s="183" t="s">
        <v>6</v>
      </c>
      <c r="C238" s="184" t="s">
        <v>229</v>
      </c>
      <c r="D238" s="326" t="s">
        <v>46</v>
      </c>
      <c r="E238" s="326" t="s">
        <v>46</v>
      </c>
      <c r="F238" s="327" t="s">
        <v>46</v>
      </c>
      <c r="G238" s="187" t="s">
        <v>378</v>
      </c>
      <c r="H238" s="188" t="s">
        <v>69</v>
      </c>
      <c r="I238" s="188" t="s">
        <v>232</v>
      </c>
      <c r="J238" s="188" t="s">
        <v>279</v>
      </c>
      <c r="K238" s="189">
        <v>1</v>
      </c>
      <c r="L238" s="189">
        <v>700</v>
      </c>
      <c r="M238" s="189">
        <v>0</v>
      </c>
      <c r="N238" s="189">
        <v>0</v>
      </c>
      <c r="O238" s="189">
        <v>0</v>
      </c>
      <c r="P238" s="189">
        <v>0</v>
      </c>
      <c r="Q238" s="191">
        <v>0</v>
      </c>
      <c r="R238" s="189">
        <v>0</v>
      </c>
      <c r="S238" s="189">
        <v>0</v>
      </c>
      <c r="T238" s="189"/>
      <c r="U238" s="189">
        <v>0</v>
      </c>
      <c r="V238" s="189"/>
      <c r="W238" s="291">
        <v>0</v>
      </c>
      <c r="X238" s="291">
        <f t="shared" si="86"/>
        <v>0</v>
      </c>
      <c r="Y238" s="291">
        <v>0</v>
      </c>
      <c r="Z238" s="291">
        <f t="shared" si="87"/>
        <v>0</v>
      </c>
    </row>
    <row r="239" spans="1:28" s="183" customFormat="1" hidden="1" x14ac:dyDescent="0.35">
      <c r="A239" s="183" t="s">
        <v>6</v>
      </c>
      <c r="C239" s="184" t="s">
        <v>82</v>
      </c>
      <c r="D239" s="326" t="s">
        <v>46</v>
      </c>
      <c r="E239" s="326" t="s">
        <v>46</v>
      </c>
      <c r="F239" s="327" t="s">
        <v>46</v>
      </c>
      <c r="G239" s="229" t="s">
        <v>379</v>
      </c>
      <c r="H239" s="207" t="s">
        <v>55</v>
      </c>
      <c r="I239" s="207" t="s">
        <v>82</v>
      </c>
      <c r="J239" s="188" t="s">
        <v>87</v>
      </c>
      <c r="K239" s="189">
        <v>1</v>
      </c>
      <c r="L239" s="189">
        <v>490</v>
      </c>
      <c r="M239" s="189">
        <v>0</v>
      </c>
      <c r="N239" s="189">
        <v>0</v>
      </c>
      <c r="O239" s="189">
        <v>0</v>
      </c>
      <c r="P239" s="189">
        <v>0</v>
      </c>
      <c r="Q239" s="191">
        <v>0</v>
      </c>
      <c r="R239" s="189">
        <v>0</v>
      </c>
      <c r="S239" s="189">
        <v>0</v>
      </c>
      <c r="T239" s="189"/>
      <c r="U239" s="189">
        <v>0</v>
      </c>
      <c r="V239" s="189"/>
      <c r="W239" s="291">
        <v>0</v>
      </c>
      <c r="X239" s="291">
        <f t="shared" si="86"/>
        <v>0</v>
      </c>
      <c r="Y239" s="291">
        <v>0</v>
      </c>
      <c r="Z239" s="291">
        <f t="shared" si="87"/>
        <v>0</v>
      </c>
    </row>
    <row r="240" spans="1:28" s="183" customFormat="1" hidden="1" x14ac:dyDescent="0.35">
      <c r="A240" s="183" t="s">
        <v>6</v>
      </c>
      <c r="C240" s="184" t="s">
        <v>82</v>
      </c>
      <c r="D240" s="326" t="s">
        <v>46</v>
      </c>
      <c r="E240" s="326" t="s">
        <v>46</v>
      </c>
      <c r="F240" s="327" t="s">
        <v>46</v>
      </c>
      <c r="G240" s="229" t="s">
        <v>380</v>
      </c>
      <c r="H240" s="207" t="s">
        <v>55</v>
      </c>
      <c r="I240" s="207" t="s">
        <v>82</v>
      </c>
      <c r="J240" s="188" t="s">
        <v>91</v>
      </c>
      <c r="K240" s="189">
        <v>3</v>
      </c>
      <c r="L240" s="189">
        <v>205</v>
      </c>
      <c r="M240" s="189">
        <v>0</v>
      </c>
      <c r="N240" s="189">
        <v>0</v>
      </c>
      <c r="O240" s="189">
        <v>0</v>
      </c>
      <c r="P240" s="189">
        <v>0</v>
      </c>
      <c r="Q240" s="191">
        <v>0</v>
      </c>
      <c r="R240" s="189">
        <v>0</v>
      </c>
      <c r="S240" s="189">
        <v>0</v>
      </c>
      <c r="T240" s="189"/>
      <c r="U240" s="189">
        <v>0</v>
      </c>
      <c r="V240" s="189"/>
      <c r="W240" s="291">
        <v>0</v>
      </c>
      <c r="X240" s="291">
        <f t="shared" si="86"/>
        <v>0</v>
      </c>
      <c r="Y240" s="291">
        <v>0</v>
      </c>
      <c r="Z240" s="291">
        <f t="shared" si="87"/>
        <v>0</v>
      </c>
    </row>
    <row r="241" spans="1:27" s="183" customFormat="1" hidden="1" x14ac:dyDescent="0.35">
      <c r="A241" s="183" t="s">
        <v>6</v>
      </c>
      <c r="C241" s="184" t="s">
        <v>82</v>
      </c>
      <c r="D241" s="326" t="s">
        <v>46</v>
      </c>
      <c r="E241" s="326" t="s">
        <v>46</v>
      </c>
      <c r="F241" s="327" t="s">
        <v>46</v>
      </c>
      <c r="G241" s="229" t="s">
        <v>381</v>
      </c>
      <c r="H241" s="207" t="s">
        <v>55</v>
      </c>
      <c r="I241" s="207" t="s">
        <v>82</v>
      </c>
      <c r="J241" s="188" t="s">
        <v>91</v>
      </c>
      <c r="K241" s="189">
        <v>3</v>
      </c>
      <c r="L241" s="189">
        <v>25</v>
      </c>
      <c r="M241" s="189">
        <v>0</v>
      </c>
      <c r="N241" s="189">
        <v>0</v>
      </c>
      <c r="O241" s="189">
        <v>0</v>
      </c>
      <c r="P241" s="189">
        <v>0</v>
      </c>
      <c r="Q241" s="191">
        <v>0</v>
      </c>
      <c r="R241" s="189">
        <v>0</v>
      </c>
      <c r="S241" s="189">
        <v>0</v>
      </c>
      <c r="T241" s="189"/>
      <c r="U241" s="189">
        <v>0</v>
      </c>
      <c r="V241" s="189"/>
      <c r="W241" s="291">
        <v>0</v>
      </c>
      <c r="X241" s="291">
        <f t="shared" si="86"/>
        <v>0</v>
      </c>
      <c r="Y241" s="291">
        <v>0</v>
      </c>
      <c r="Z241" s="291">
        <f t="shared" si="87"/>
        <v>0</v>
      </c>
    </row>
    <row r="242" spans="1:27" s="183" customFormat="1" x14ac:dyDescent="0.35">
      <c r="A242" s="183" t="s">
        <v>6</v>
      </c>
      <c r="C242" s="184"/>
      <c r="D242" s="198"/>
      <c r="E242" s="198"/>
      <c r="F242" s="199"/>
      <c r="G242" s="237" t="s">
        <v>382</v>
      </c>
      <c r="H242" s="250"/>
      <c r="I242" s="250"/>
      <c r="J242" s="188"/>
      <c r="K242" s="207"/>
      <c r="L242" s="210"/>
      <c r="M242" s="189"/>
      <c r="N242" s="189"/>
      <c r="O242" s="189"/>
      <c r="P242" s="189"/>
      <c r="Q242" s="191"/>
      <c r="R242" s="189"/>
      <c r="S242" s="189"/>
      <c r="T242" s="189"/>
      <c r="U242" s="189"/>
      <c r="V242" s="189"/>
      <c r="W242" s="291"/>
      <c r="X242" s="291"/>
      <c r="Y242" s="291"/>
      <c r="Z242" s="297"/>
    </row>
    <row r="243" spans="1:27" s="183" customFormat="1" x14ac:dyDescent="0.35">
      <c r="A243" s="183" t="s">
        <v>6</v>
      </c>
      <c r="C243" s="184" t="s">
        <v>229</v>
      </c>
      <c r="D243" s="185" t="s">
        <v>383</v>
      </c>
      <c r="E243" s="185">
        <v>87000</v>
      </c>
      <c r="F243" s="185" t="s">
        <v>655</v>
      </c>
      <c r="G243" s="229" t="s">
        <v>384</v>
      </c>
      <c r="H243" s="207" t="s">
        <v>69</v>
      </c>
      <c r="I243" s="207" t="s">
        <v>232</v>
      </c>
      <c r="J243" s="188" t="s">
        <v>279</v>
      </c>
      <c r="K243" s="189">
        <v>2</v>
      </c>
      <c r="L243" s="189">
        <v>150</v>
      </c>
      <c r="M243" s="189">
        <v>63.8</v>
      </c>
      <c r="N243" s="189">
        <v>0</v>
      </c>
      <c r="O243" s="189">
        <v>0</v>
      </c>
      <c r="P243" s="189">
        <v>0</v>
      </c>
      <c r="Q243" s="191">
        <v>0</v>
      </c>
      <c r="R243" s="189">
        <v>0</v>
      </c>
      <c r="S243" s="189">
        <v>0</v>
      </c>
      <c r="T243" s="189"/>
      <c r="U243" s="189">
        <v>0</v>
      </c>
      <c r="V243" s="189"/>
      <c r="W243" s="291">
        <v>0</v>
      </c>
      <c r="X243" s="291">
        <f t="shared" ref="X243:X246" si="88">SUM(M243+O243+Q243+S243+U243+W243)</f>
        <v>63.8</v>
      </c>
      <c r="Y243" s="291">
        <v>0</v>
      </c>
      <c r="Z243" s="291">
        <f t="shared" ref="Z243:Z246" si="89">X243+Y243</f>
        <v>63.8</v>
      </c>
    </row>
    <row r="244" spans="1:27" s="183" customFormat="1" hidden="1" x14ac:dyDescent="0.35">
      <c r="A244" s="183" t="s">
        <v>6</v>
      </c>
      <c r="C244" s="184" t="s">
        <v>82</v>
      </c>
      <c r="D244" s="326" t="s">
        <v>46</v>
      </c>
      <c r="E244" s="326" t="s">
        <v>46</v>
      </c>
      <c r="F244" s="327" t="s">
        <v>46</v>
      </c>
      <c r="G244" s="229" t="s">
        <v>385</v>
      </c>
      <c r="H244" s="207" t="s">
        <v>55</v>
      </c>
      <c r="I244" s="207" t="s">
        <v>82</v>
      </c>
      <c r="J244" s="188" t="s">
        <v>87</v>
      </c>
      <c r="K244" s="189">
        <v>1</v>
      </c>
      <c r="L244" s="189">
        <v>490</v>
      </c>
      <c r="M244" s="189">
        <v>0</v>
      </c>
      <c r="N244" s="189">
        <v>0</v>
      </c>
      <c r="O244" s="189">
        <v>0</v>
      </c>
      <c r="P244" s="189">
        <v>0</v>
      </c>
      <c r="Q244" s="191">
        <v>0</v>
      </c>
      <c r="R244" s="189">
        <v>0</v>
      </c>
      <c r="S244" s="189">
        <v>0</v>
      </c>
      <c r="T244" s="189"/>
      <c r="U244" s="189">
        <v>0</v>
      </c>
      <c r="V244" s="189"/>
      <c r="W244" s="291">
        <v>0</v>
      </c>
      <c r="X244" s="291">
        <f t="shared" si="88"/>
        <v>0</v>
      </c>
      <c r="Y244" s="291">
        <v>0</v>
      </c>
      <c r="Z244" s="291">
        <f t="shared" si="89"/>
        <v>0</v>
      </c>
    </row>
    <row r="245" spans="1:27" s="183" customFormat="1" hidden="1" x14ac:dyDescent="0.35">
      <c r="A245" s="183" t="s">
        <v>6</v>
      </c>
      <c r="C245" s="184" t="s">
        <v>82</v>
      </c>
      <c r="D245" s="326" t="s">
        <v>46</v>
      </c>
      <c r="E245" s="326" t="s">
        <v>46</v>
      </c>
      <c r="F245" s="327" t="s">
        <v>46</v>
      </c>
      <c r="G245" s="229" t="s">
        <v>386</v>
      </c>
      <c r="H245" s="207" t="s">
        <v>55</v>
      </c>
      <c r="I245" s="207" t="s">
        <v>82</v>
      </c>
      <c r="J245" s="188" t="s">
        <v>91</v>
      </c>
      <c r="K245" s="189">
        <v>3</v>
      </c>
      <c r="L245" s="189">
        <v>205</v>
      </c>
      <c r="M245" s="189">
        <v>0</v>
      </c>
      <c r="N245" s="189">
        <v>0</v>
      </c>
      <c r="O245" s="189">
        <v>0</v>
      </c>
      <c r="P245" s="189">
        <v>0</v>
      </c>
      <c r="Q245" s="191">
        <v>0</v>
      </c>
      <c r="R245" s="189">
        <v>0</v>
      </c>
      <c r="S245" s="189">
        <v>0</v>
      </c>
      <c r="T245" s="189"/>
      <c r="U245" s="189">
        <v>0</v>
      </c>
      <c r="V245" s="189"/>
      <c r="W245" s="291">
        <v>0</v>
      </c>
      <c r="X245" s="291">
        <f t="shared" si="88"/>
        <v>0</v>
      </c>
      <c r="Y245" s="291">
        <v>0</v>
      </c>
      <c r="Z245" s="291">
        <f t="shared" si="89"/>
        <v>0</v>
      </c>
    </row>
    <row r="246" spans="1:27" s="183" customFormat="1" hidden="1" x14ac:dyDescent="0.35">
      <c r="A246" s="183" t="s">
        <v>6</v>
      </c>
      <c r="C246" s="184" t="s">
        <v>82</v>
      </c>
      <c r="D246" s="326" t="s">
        <v>46</v>
      </c>
      <c r="E246" s="326" t="s">
        <v>46</v>
      </c>
      <c r="F246" s="327" t="s">
        <v>46</v>
      </c>
      <c r="G246" s="229" t="s">
        <v>381</v>
      </c>
      <c r="H246" s="207" t="s">
        <v>55</v>
      </c>
      <c r="I246" s="207" t="s">
        <v>82</v>
      </c>
      <c r="J246" s="188" t="s">
        <v>91</v>
      </c>
      <c r="K246" s="189">
        <v>3</v>
      </c>
      <c r="L246" s="189">
        <v>25</v>
      </c>
      <c r="M246" s="189">
        <v>0</v>
      </c>
      <c r="N246" s="189">
        <v>0</v>
      </c>
      <c r="O246" s="189">
        <v>0</v>
      </c>
      <c r="P246" s="189">
        <v>0</v>
      </c>
      <c r="Q246" s="191">
        <v>0</v>
      </c>
      <c r="R246" s="189">
        <v>0</v>
      </c>
      <c r="S246" s="189">
        <v>0</v>
      </c>
      <c r="T246" s="189"/>
      <c r="U246" s="189">
        <v>0</v>
      </c>
      <c r="V246" s="189"/>
      <c r="W246" s="291">
        <v>0</v>
      </c>
      <c r="X246" s="291">
        <f t="shared" si="88"/>
        <v>0</v>
      </c>
      <c r="Y246" s="291">
        <v>0</v>
      </c>
      <c r="Z246" s="291">
        <f t="shared" si="89"/>
        <v>0</v>
      </c>
    </row>
    <row r="247" spans="1:27" s="183" customFormat="1" x14ac:dyDescent="0.35">
      <c r="A247" s="183" t="s">
        <v>6</v>
      </c>
      <c r="C247" s="184"/>
      <c r="D247" s="198"/>
      <c r="E247" s="198"/>
      <c r="F247" s="199"/>
      <c r="G247" s="225" t="s">
        <v>387</v>
      </c>
      <c r="H247" s="226"/>
      <c r="I247" s="226"/>
      <c r="J247" s="188"/>
      <c r="K247" s="189"/>
      <c r="L247" s="189"/>
      <c r="M247" s="189"/>
      <c r="N247" s="189"/>
      <c r="O247" s="189"/>
      <c r="P247" s="189"/>
      <c r="Q247" s="191"/>
      <c r="R247" s="189"/>
      <c r="S247" s="189"/>
      <c r="T247" s="189"/>
      <c r="U247" s="189"/>
      <c r="V247" s="189"/>
      <c r="W247" s="291"/>
      <c r="X247" s="291"/>
      <c r="Y247" s="291"/>
      <c r="Z247" s="297"/>
    </row>
    <row r="248" spans="1:27" s="183" customFormat="1" x14ac:dyDescent="0.35">
      <c r="A248" s="183" t="s">
        <v>6</v>
      </c>
      <c r="C248" s="184"/>
      <c r="D248" s="198"/>
      <c r="E248" s="198"/>
      <c r="F248" s="199"/>
      <c r="G248" s="228" t="s">
        <v>388</v>
      </c>
      <c r="H248" s="226"/>
      <c r="I248" s="226"/>
      <c r="J248" s="188"/>
      <c r="K248" s="189"/>
      <c r="L248" s="189"/>
      <c r="M248" s="189"/>
      <c r="N248" s="189"/>
      <c r="O248" s="189"/>
      <c r="P248" s="189"/>
      <c r="Q248" s="191"/>
      <c r="R248" s="189"/>
      <c r="S248" s="189"/>
      <c r="T248" s="189"/>
      <c r="U248" s="189"/>
      <c r="V248" s="189"/>
      <c r="W248" s="291"/>
      <c r="X248" s="291"/>
      <c r="Y248" s="291"/>
      <c r="Z248" s="297"/>
    </row>
    <row r="249" spans="1:27" s="279" customFormat="1" x14ac:dyDescent="0.35">
      <c r="A249" s="183" t="s">
        <v>6</v>
      </c>
      <c r="B249" s="183"/>
      <c r="C249" s="184" t="s">
        <v>257</v>
      </c>
      <c r="D249" s="281" t="s">
        <v>389</v>
      </c>
      <c r="E249" s="281">
        <v>81000</v>
      </c>
      <c r="F249" s="282" t="s">
        <v>654</v>
      </c>
      <c r="G249" s="283" t="s">
        <v>259</v>
      </c>
      <c r="H249" s="284" t="s">
        <v>34</v>
      </c>
      <c r="I249" s="284" t="s">
        <v>242</v>
      </c>
      <c r="J249" s="285" t="s">
        <v>91</v>
      </c>
      <c r="K249" s="286">
        <v>50</v>
      </c>
      <c r="L249" s="286">
        <v>200</v>
      </c>
      <c r="M249" s="286">
        <v>0</v>
      </c>
      <c r="N249" s="286">
        <v>0</v>
      </c>
      <c r="O249" s="286">
        <v>0</v>
      </c>
      <c r="P249" s="286">
        <v>24</v>
      </c>
      <c r="Q249" s="287">
        <v>4800</v>
      </c>
      <c r="R249" s="286">
        <v>0</v>
      </c>
      <c r="S249" s="286">
        <v>0</v>
      </c>
      <c r="T249" s="286"/>
      <c r="U249" s="286">
        <v>1031.6400000000001</v>
      </c>
      <c r="V249" s="286"/>
      <c r="W249" s="286">
        <v>12572.5175</v>
      </c>
      <c r="X249" s="286">
        <f t="shared" ref="X249:X253" si="90">SUM(M249+O249+Q249+S249+U249+W249)</f>
        <v>18404.157500000001</v>
      </c>
      <c r="Y249" s="286">
        <v>0</v>
      </c>
      <c r="Z249" s="286">
        <f t="shared" ref="Z249:Z262" si="91">X249+Y249</f>
        <v>18404.157500000001</v>
      </c>
      <c r="AA249" s="288"/>
    </row>
    <row r="250" spans="1:27" s="183" customFormat="1" ht="22.8" x14ac:dyDescent="0.35">
      <c r="A250" s="183" t="s">
        <v>6</v>
      </c>
      <c r="C250" s="184" t="s">
        <v>82</v>
      </c>
      <c r="D250" s="185" t="s">
        <v>390</v>
      </c>
      <c r="E250" s="185" t="s">
        <v>89</v>
      </c>
      <c r="F250" s="186" t="s">
        <v>654</v>
      </c>
      <c r="G250" s="229" t="s">
        <v>391</v>
      </c>
      <c r="H250" s="207" t="s">
        <v>34</v>
      </c>
      <c r="I250" s="207" t="s">
        <v>82</v>
      </c>
      <c r="J250" s="188" t="s">
        <v>91</v>
      </c>
      <c r="K250" s="189">
        <v>24</v>
      </c>
      <c r="L250" s="189">
        <v>195</v>
      </c>
      <c r="M250" s="189">
        <v>0</v>
      </c>
      <c r="N250" s="189">
        <v>0</v>
      </c>
      <c r="O250" s="189">
        <v>0</v>
      </c>
      <c r="P250" s="189">
        <v>1</v>
      </c>
      <c r="Q250" s="191">
        <v>93.08</v>
      </c>
      <c r="R250" s="189">
        <v>22</v>
      </c>
      <c r="S250" s="189">
        <v>2185.0000000000005</v>
      </c>
      <c r="T250" s="189">
        <v>28.427948717948716</v>
      </c>
      <c r="U250" s="189">
        <v>3366.5699999999997</v>
      </c>
      <c r="V250" s="189">
        <f>+W250/L250</f>
        <v>7.054666666666666</v>
      </c>
      <c r="W250" s="291">
        <v>1375.6599999999999</v>
      </c>
      <c r="X250" s="291">
        <f t="shared" si="90"/>
        <v>7020.3099999999995</v>
      </c>
      <c r="Y250" s="291">
        <v>0</v>
      </c>
      <c r="Z250" s="291">
        <f t="shared" si="91"/>
        <v>7020.3099999999995</v>
      </c>
    </row>
    <row r="251" spans="1:27" s="183" customFormat="1" x14ac:dyDescent="0.35">
      <c r="A251" s="183" t="s">
        <v>6</v>
      </c>
      <c r="C251" s="184" t="s">
        <v>82</v>
      </c>
      <c r="D251" s="185" t="s">
        <v>392</v>
      </c>
      <c r="E251" s="185">
        <v>86000</v>
      </c>
      <c r="F251" s="186" t="s">
        <v>654</v>
      </c>
      <c r="G251" s="229" t="s">
        <v>393</v>
      </c>
      <c r="H251" s="207" t="s">
        <v>34</v>
      </c>
      <c r="I251" s="207" t="s">
        <v>82</v>
      </c>
      <c r="J251" s="188" t="s">
        <v>87</v>
      </c>
      <c r="K251" s="189">
        <v>8</v>
      </c>
      <c r="L251" s="189">
        <v>290</v>
      </c>
      <c r="M251" s="189">
        <v>0</v>
      </c>
      <c r="N251" s="189">
        <v>0</v>
      </c>
      <c r="O251" s="189">
        <v>0</v>
      </c>
      <c r="P251" s="189">
        <v>0</v>
      </c>
      <c r="Q251" s="191">
        <v>0</v>
      </c>
      <c r="R251" s="189">
        <v>10</v>
      </c>
      <c r="S251" s="189">
        <v>3527.5199999999995</v>
      </c>
      <c r="T251" s="189">
        <v>11.925551724137931</v>
      </c>
      <c r="U251" s="189">
        <v>4389.3399999999992</v>
      </c>
      <c r="V251" s="189">
        <f>+W251/L251</f>
        <v>3.8430344827586209</v>
      </c>
      <c r="W251" s="291">
        <v>1114.48</v>
      </c>
      <c r="X251" s="291">
        <f t="shared" si="90"/>
        <v>9031.3399999999983</v>
      </c>
      <c r="Y251" s="291">
        <v>0</v>
      </c>
      <c r="Z251" s="291">
        <f t="shared" si="91"/>
        <v>9031.3399999999983</v>
      </c>
    </row>
    <row r="252" spans="1:27" s="183" customFormat="1" x14ac:dyDescent="0.35">
      <c r="A252" s="183" t="s">
        <v>6</v>
      </c>
      <c r="C252" s="184" t="s">
        <v>262</v>
      </c>
      <c r="D252" s="185" t="s">
        <v>394</v>
      </c>
      <c r="E252" s="185" t="s">
        <v>395</v>
      </c>
      <c r="F252" s="186" t="s">
        <v>654</v>
      </c>
      <c r="G252" s="229" t="s">
        <v>396</v>
      </c>
      <c r="H252" s="207" t="s">
        <v>34</v>
      </c>
      <c r="I252" s="207" t="s">
        <v>82</v>
      </c>
      <c r="J252" s="188" t="s">
        <v>36</v>
      </c>
      <c r="K252" s="189">
        <v>10</v>
      </c>
      <c r="L252" s="189">
        <v>25</v>
      </c>
      <c r="M252" s="189">
        <v>0</v>
      </c>
      <c r="N252" s="189">
        <v>0</v>
      </c>
      <c r="O252" s="189">
        <v>0</v>
      </c>
      <c r="P252" s="189">
        <v>0</v>
      </c>
      <c r="Q252" s="191">
        <v>0</v>
      </c>
      <c r="R252" s="189">
        <v>1.2</v>
      </c>
      <c r="S252" s="189">
        <v>30.930000000000003</v>
      </c>
      <c r="T252" s="189">
        <v>0</v>
      </c>
      <c r="U252" s="189">
        <v>50</v>
      </c>
      <c r="V252" s="189">
        <v>0</v>
      </c>
      <c r="W252" s="291">
        <v>0</v>
      </c>
      <c r="X252" s="291">
        <f t="shared" si="90"/>
        <v>80.930000000000007</v>
      </c>
      <c r="Y252" s="291">
        <v>0</v>
      </c>
      <c r="Z252" s="291">
        <f t="shared" si="91"/>
        <v>80.930000000000007</v>
      </c>
    </row>
    <row r="253" spans="1:27" s="279" customFormat="1" ht="22.8" x14ac:dyDescent="0.35">
      <c r="A253" s="279" t="s">
        <v>6</v>
      </c>
      <c r="C253" s="280"/>
      <c r="D253" s="281" t="s">
        <v>397</v>
      </c>
      <c r="E253" s="281">
        <v>89050</v>
      </c>
      <c r="F253" s="282" t="s">
        <v>654</v>
      </c>
      <c r="G253" s="283" t="s">
        <v>398</v>
      </c>
      <c r="H253" s="284" t="s">
        <v>34</v>
      </c>
      <c r="I253" s="284" t="s">
        <v>232</v>
      </c>
      <c r="J253" s="285" t="s">
        <v>185</v>
      </c>
      <c r="K253" s="286">
        <v>12</v>
      </c>
      <c r="L253" s="286">
        <v>2220.8333333333335</v>
      </c>
      <c r="M253" s="286">
        <v>0</v>
      </c>
      <c r="N253" s="286">
        <v>0</v>
      </c>
      <c r="O253" s="286">
        <v>0</v>
      </c>
      <c r="P253" s="286">
        <v>0</v>
      </c>
      <c r="Q253" s="287">
        <v>0</v>
      </c>
      <c r="R253" s="286">
        <v>0</v>
      </c>
      <c r="S253" s="286">
        <v>21599.91</v>
      </c>
      <c r="T253" s="286">
        <v>12</v>
      </c>
      <c r="U253" s="286">
        <v>774.8</v>
      </c>
      <c r="V253" s="286">
        <v>2.7692307692307692</v>
      </c>
      <c r="W253" s="286">
        <v>32025.200000000004</v>
      </c>
      <c r="X253" s="286">
        <f t="shared" si="90"/>
        <v>54399.91</v>
      </c>
      <c r="Y253" s="286">
        <v>0</v>
      </c>
      <c r="Z253" s="286">
        <f t="shared" si="91"/>
        <v>54399.91</v>
      </c>
    </row>
    <row r="254" spans="1:27" s="183" customFormat="1" x14ac:dyDescent="0.35">
      <c r="A254" s="183" t="s">
        <v>6</v>
      </c>
      <c r="C254" s="184"/>
      <c r="D254" s="198"/>
      <c r="E254" s="198"/>
      <c r="F254" s="199"/>
      <c r="G254" s="228" t="s">
        <v>399</v>
      </c>
      <c r="H254" s="207"/>
      <c r="I254" s="207"/>
      <c r="J254" s="188"/>
      <c r="K254" s="189"/>
      <c r="L254" s="189"/>
      <c r="M254" s="189"/>
      <c r="N254" s="189"/>
      <c r="O254" s="189"/>
      <c r="P254" s="189"/>
      <c r="Q254" s="191"/>
      <c r="R254" s="189"/>
      <c r="S254" s="189"/>
      <c r="T254" s="189"/>
      <c r="U254" s="189"/>
      <c r="V254" s="189"/>
      <c r="W254" s="291"/>
      <c r="X254" s="291"/>
      <c r="Y254" s="291">
        <v>0</v>
      </c>
      <c r="Z254" s="298">
        <f t="shared" si="91"/>
        <v>0</v>
      </c>
    </row>
    <row r="255" spans="1:27" hidden="1" x14ac:dyDescent="0.35">
      <c r="A255" s="1" t="s">
        <v>6</v>
      </c>
      <c r="C255" s="320" t="s">
        <v>257</v>
      </c>
      <c r="D255" s="326" t="s">
        <v>46</v>
      </c>
      <c r="E255" s="326" t="s">
        <v>46</v>
      </c>
      <c r="F255" s="327" t="s">
        <v>46</v>
      </c>
      <c r="G255" s="325" t="s">
        <v>266</v>
      </c>
      <c r="H255" s="297" t="s">
        <v>55</v>
      </c>
      <c r="I255" s="297" t="s">
        <v>242</v>
      </c>
      <c r="J255" s="322" t="s">
        <v>91</v>
      </c>
      <c r="K255" s="291">
        <v>35</v>
      </c>
      <c r="L255" s="291">
        <v>200</v>
      </c>
      <c r="M255" s="291">
        <v>0</v>
      </c>
      <c r="N255" s="291">
        <v>0</v>
      </c>
      <c r="O255" s="291">
        <v>0</v>
      </c>
      <c r="P255" s="291">
        <v>0</v>
      </c>
      <c r="Q255" s="298">
        <v>0</v>
      </c>
      <c r="R255" s="291">
        <v>0</v>
      </c>
      <c r="S255" s="291">
        <v>0</v>
      </c>
      <c r="T255" s="291">
        <v>0</v>
      </c>
      <c r="U255" s="291">
        <v>0</v>
      </c>
      <c r="V255" s="291">
        <v>0</v>
      </c>
      <c r="W255" s="291">
        <v>0</v>
      </c>
      <c r="X255" s="291">
        <f t="shared" ref="X255:X259" si="92">SUM(M255+O255+Q255+S255+U255+W255)</f>
        <v>0</v>
      </c>
      <c r="Y255" s="291">
        <v>0</v>
      </c>
      <c r="Z255" s="291">
        <f t="shared" si="91"/>
        <v>0</v>
      </c>
    </row>
    <row r="256" spans="1:27" s="183" customFormat="1" ht="22.8" x14ac:dyDescent="0.35">
      <c r="A256" s="183" t="s">
        <v>6</v>
      </c>
      <c r="C256" s="184" t="s">
        <v>82</v>
      </c>
      <c r="D256" s="185" t="s">
        <v>400</v>
      </c>
      <c r="E256" s="185" t="s">
        <v>89</v>
      </c>
      <c r="F256" s="186" t="s">
        <v>656</v>
      </c>
      <c r="G256" s="229" t="s">
        <v>401</v>
      </c>
      <c r="H256" s="207" t="s">
        <v>55</v>
      </c>
      <c r="I256" s="207" t="s">
        <v>82</v>
      </c>
      <c r="J256" s="188" t="s">
        <v>91</v>
      </c>
      <c r="K256" s="189">
        <v>18</v>
      </c>
      <c r="L256" s="189">
        <v>185</v>
      </c>
      <c r="M256" s="189">
        <v>0</v>
      </c>
      <c r="N256" s="189">
        <v>0</v>
      </c>
      <c r="O256" s="189">
        <v>0</v>
      </c>
      <c r="P256" s="189">
        <v>8.75</v>
      </c>
      <c r="Q256" s="191">
        <v>1619.6499999999999</v>
      </c>
      <c r="R256" s="189">
        <v>43.6</v>
      </c>
      <c r="S256" s="189">
        <v>6125.64</v>
      </c>
      <c r="T256" s="189">
        <v>35.761513513513513</v>
      </c>
      <c r="U256" s="189">
        <v>9233.73</v>
      </c>
      <c r="V256" s="189">
        <v>23.535135135135135</v>
      </c>
      <c r="W256" s="291">
        <v>9956.59</v>
      </c>
      <c r="X256" s="291">
        <f t="shared" si="92"/>
        <v>26935.61</v>
      </c>
      <c r="Y256" s="291">
        <v>0</v>
      </c>
      <c r="Z256" s="291">
        <f t="shared" si="91"/>
        <v>26935.61</v>
      </c>
    </row>
    <row r="257" spans="1:26" s="183" customFormat="1" x14ac:dyDescent="0.35">
      <c r="A257" s="183" t="s">
        <v>6</v>
      </c>
      <c r="C257" s="184" t="s">
        <v>82</v>
      </c>
      <c r="D257" s="185" t="s">
        <v>402</v>
      </c>
      <c r="E257" s="185">
        <v>86000</v>
      </c>
      <c r="F257" s="186" t="s">
        <v>656</v>
      </c>
      <c r="G257" s="229" t="s">
        <v>403</v>
      </c>
      <c r="H257" s="207" t="s">
        <v>55</v>
      </c>
      <c r="I257" s="207" t="s">
        <v>82</v>
      </c>
      <c r="J257" s="188" t="s">
        <v>87</v>
      </c>
      <c r="K257" s="189">
        <v>6</v>
      </c>
      <c r="L257" s="189">
        <v>275</v>
      </c>
      <c r="M257" s="189">
        <v>0</v>
      </c>
      <c r="N257" s="189">
        <v>0</v>
      </c>
      <c r="O257" s="189">
        <v>0</v>
      </c>
      <c r="P257" s="189">
        <v>0</v>
      </c>
      <c r="Q257" s="191">
        <v>0</v>
      </c>
      <c r="R257" s="189">
        <v>18</v>
      </c>
      <c r="S257" s="189">
        <v>6639.9</v>
      </c>
      <c r="T257" s="189">
        <v>8.1999999999999993</v>
      </c>
      <c r="U257" s="189">
        <v>8969.89</v>
      </c>
      <c r="V257" s="189">
        <v>5.167272727272727</v>
      </c>
      <c r="W257" s="291">
        <v>3031.17</v>
      </c>
      <c r="X257" s="291">
        <f t="shared" si="92"/>
        <v>18640.96</v>
      </c>
      <c r="Y257" s="291">
        <v>0</v>
      </c>
      <c r="Z257" s="291">
        <f t="shared" si="91"/>
        <v>18640.96</v>
      </c>
    </row>
    <row r="258" spans="1:26" s="183" customFormat="1" x14ac:dyDescent="0.35">
      <c r="A258" s="183" t="s">
        <v>6</v>
      </c>
      <c r="C258" s="184" t="s">
        <v>262</v>
      </c>
      <c r="D258" s="185" t="s">
        <v>404</v>
      </c>
      <c r="E258" s="185" t="s">
        <v>395</v>
      </c>
      <c r="F258" s="186" t="s">
        <v>656</v>
      </c>
      <c r="G258" s="229" t="s">
        <v>405</v>
      </c>
      <c r="H258" s="207" t="s">
        <v>55</v>
      </c>
      <c r="I258" s="207" t="s">
        <v>232</v>
      </c>
      <c r="J258" s="188" t="s">
        <v>36</v>
      </c>
      <c r="K258" s="189">
        <v>10</v>
      </c>
      <c r="L258" s="189">
        <v>20</v>
      </c>
      <c r="M258" s="189">
        <v>0</v>
      </c>
      <c r="N258" s="189">
        <v>0</v>
      </c>
      <c r="O258" s="189">
        <v>0</v>
      </c>
      <c r="P258" s="189">
        <v>0</v>
      </c>
      <c r="Q258" s="191">
        <v>0</v>
      </c>
      <c r="R258" s="189">
        <v>0</v>
      </c>
      <c r="S258" s="189">
        <v>0</v>
      </c>
      <c r="T258" s="189">
        <v>0</v>
      </c>
      <c r="U258" s="189">
        <v>15</v>
      </c>
      <c r="V258" s="189">
        <v>0</v>
      </c>
      <c r="W258" s="291">
        <v>0</v>
      </c>
      <c r="X258" s="291">
        <f t="shared" si="92"/>
        <v>15</v>
      </c>
      <c r="Y258" s="291">
        <v>0</v>
      </c>
      <c r="Z258" s="291">
        <f t="shared" si="91"/>
        <v>15</v>
      </c>
    </row>
    <row r="259" spans="1:26" s="279" customFormat="1" ht="22.8" x14ac:dyDescent="0.35">
      <c r="A259" s="279" t="s">
        <v>6</v>
      </c>
      <c r="C259" s="280"/>
      <c r="D259" s="281" t="s">
        <v>406</v>
      </c>
      <c r="E259" s="281">
        <v>89050</v>
      </c>
      <c r="F259" s="282" t="s">
        <v>654</v>
      </c>
      <c r="G259" s="283" t="s">
        <v>407</v>
      </c>
      <c r="H259" s="284" t="s">
        <v>34</v>
      </c>
      <c r="I259" s="284" t="s">
        <v>232</v>
      </c>
      <c r="J259" s="285" t="s">
        <v>185</v>
      </c>
      <c r="K259" s="286">
        <v>12</v>
      </c>
      <c r="L259" s="286">
        <v>1570.8333333333333</v>
      </c>
      <c r="M259" s="286">
        <v>0</v>
      </c>
      <c r="N259" s="286">
        <v>0</v>
      </c>
      <c r="O259" s="286">
        <v>0</v>
      </c>
      <c r="P259" s="286">
        <v>0</v>
      </c>
      <c r="Q259" s="287">
        <v>0</v>
      </c>
      <c r="R259" s="286">
        <v>0</v>
      </c>
      <c r="S259" s="286">
        <v>14400.01</v>
      </c>
      <c r="T259" s="286">
        <v>12</v>
      </c>
      <c r="U259" s="286">
        <v>0</v>
      </c>
      <c r="V259" s="286">
        <v>2.8251375593246677</v>
      </c>
      <c r="W259" s="286">
        <v>23287.82</v>
      </c>
      <c r="X259" s="286">
        <f t="shared" si="92"/>
        <v>37687.83</v>
      </c>
      <c r="Y259" s="286">
        <v>0</v>
      </c>
      <c r="Z259" s="286">
        <f t="shared" si="91"/>
        <v>37687.83</v>
      </c>
    </row>
    <row r="260" spans="1:26" s="183" customFormat="1" x14ac:dyDescent="0.35">
      <c r="A260" s="183" t="s">
        <v>6</v>
      </c>
      <c r="C260" s="184"/>
      <c r="D260" s="198"/>
      <c r="E260" s="198"/>
      <c r="F260" s="199"/>
      <c r="G260" s="228" t="s">
        <v>408</v>
      </c>
      <c r="H260" s="226"/>
      <c r="I260" s="226"/>
      <c r="J260" s="188"/>
      <c r="K260" s="189"/>
      <c r="L260" s="189"/>
      <c r="M260" s="189"/>
      <c r="N260" s="189"/>
      <c r="O260" s="189"/>
      <c r="P260" s="189"/>
      <c r="Q260" s="191"/>
      <c r="R260" s="189"/>
      <c r="S260" s="189"/>
      <c r="T260" s="189"/>
      <c r="U260" s="189"/>
      <c r="V260" s="189"/>
      <c r="W260" s="291"/>
      <c r="X260" s="291"/>
      <c r="Y260" s="291"/>
      <c r="Z260" s="297"/>
    </row>
    <row r="261" spans="1:26" s="183" customFormat="1" ht="22.8" x14ac:dyDescent="0.35">
      <c r="C261" s="184"/>
      <c r="D261" s="185" t="s">
        <v>409</v>
      </c>
      <c r="E261" s="185" t="s">
        <v>89</v>
      </c>
      <c r="F261" s="186" t="s">
        <v>654</v>
      </c>
      <c r="G261" s="229" t="s">
        <v>410</v>
      </c>
      <c r="H261" s="207" t="s">
        <v>129</v>
      </c>
      <c r="I261" s="207" t="s">
        <v>82</v>
      </c>
      <c r="J261" s="188" t="s">
        <v>91</v>
      </c>
      <c r="K261" s="189">
        <v>0</v>
      </c>
      <c r="L261" s="189">
        <v>250</v>
      </c>
      <c r="M261" s="189">
        <v>0</v>
      </c>
      <c r="N261" s="189">
        <v>0</v>
      </c>
      <c r="O261" s="189">
        <v>0</v>
      </c>
      <c r="P261" s="189">
        <v>0</v>
      </c>
      <c r="Q261" s="191">
        <v>0</v>
      </c>
      <c r="R261" s="189">
        <v>0</v>
      </c>
      <c r="S261" s="189">
        <v>3621.2799999999997</v>
      </c>
      <c r="T261" s="189">
        <v>31.135999999999999</v>
      </c>
      <c r="U261" s="189">
        <v>2801.84</v>
      </c>
      <c r="V261" s="189">
        <v>7.2080000000000002</v>
      </c>
      <c r="W261" s="291">
        <v>1802</v>
      </c>
      <c r="X261" s="291">
        <f t="shared" ref="X261:X262" si="93">SUM(M261+O261+Q261+S261+U261+W261)</f>
        <v>8225.119999999999</v>
      </c>
      <c r="Y261" s="291">
        <v>0</v>
      </c>
      <c r="Z261" s="291">
        <f t="shared" si="91"/>
        <v>8225.119999999999</v>
      </c>
    </row>
    <row r="262" spans="1:26" s="183" customFormat="1" x14ac:dyDescent="0.35">
      <c r="C262" s="184"/>
      <c r="D262" s="185" t="s">
        <v>411</v>
      </c>
      <c r="E262" s="185">
        <v>86000</v>
      </c>
      <c r="F262" s="186" t="s">
        <v>654</v>
      </c>
      <c r="G262" s="229" t="s">
        <v>412</v>
      </c>
      <c r="H262" s="207" t="s">
        <v>129</v>
      </c>
      <c r="I262" s="207" t="s">
        <v>82</v>
      </c>
      <c r="J262" s="188" t="s">
        <v>87</v>
      </c>
      <c r="K262" s="189">
        <v>0</v>
      </c>
      <c r="L262" s="189">
        <v>50</v>
      </c>
      <c r="M262" s="189">
        <v>0</v>
      </c>
      <c r="N262" s="189">
        <v>0</v>
      </c>
      <c r="O262" s="189">
        <v>0</v>
      </c>
      <c r="P262" s="189">
        <v>0</v>
      </c>
      <c r="Q262" s="191">
        <v>0</v>
      </c>
      <c r="R262" s="189">
        <v>0</v>
      </c>
      <c r="S262" s="189">
        <v>1681.01</v>
      </c>
      <c r="T262" s="189">
        <v>8</v>
      </c>
      <c r="U262" s="189">
        <v>5228.83</v>
      </c>
      <c r="V262" s="189">
        <v>7</v>
      </c>
      <c r="W262" s="291">
        <v>400</v>
      </c>
      <c r="X262" s="291">
        <f t="shared" si="93"/>
        <v>7309.84</v>
      </c>
      <c r="Y262" s="291">
        <v>0</v>
      </c>
      <c r="Z262" s="291">
        <f t="shared" si="91"/>
        <v>7309.84</v>
      </c>
    </row>
    <row r="263" spans="1:26" s="183" customFormat="1" x14ac:dyDescent="0.35">
      <c r="A263" s="183" t="s">
        <v>6</v>
      </c>
      <c r="C263" s="184"/>
      <c r="D263" s="198"/>
      <c r="E263" s="198"/>
      <c r="F263" s="199"/>
      <c r="G263" s="228" t="s">
        <v>413</v>
      </c>
      <c r="H263" s="226"/>
      <c r="I263" s="226"/>
      <c r="J263" s="188"/>
      <c r="K263" s="189"/>
      <c r="L263" s="189"/>
      <c r="M263" s="189"/>
      <c r="N263" s="189"/>
      <c r="O263" s="189"/>
      <c r="P263" s="189"/>
      <c r="Q263" s="191"/>
      <c r="R263" s="189"/>
      <c r="S263" s="189"/>
      <c r="T263" s="189"/>
      <c r="U263" s="189"/>
      <c r="V263" s="189"/>
      <c r="W263" s="291"/>
      <c r="X263" s="291"/>
      <c r="Y263" s="291"/>
      <c r="Z263" s="297"/>
    </row>
    <row r="264" spans="1:26" s="183" customFormat="1" ht="22.8" x14ac:dyDescent="0.35">
      <c r="C264" s="184"/>
      <c r="D264" s="185" t="s">
        <v>414</v>
      </c>
      <c r="E264" s="185" t="s">
        <v>89</v>
      </c>
      <c r="F264" s="186" t="s">
        <v>654</v>
      </c>
      <c r="G264" s="229" t="s">
        <v>415</v>
      </c>
      <c r="H264" s="207" t="s">
        <v>122</v>
      </c>
      <c r="I264" s="207" t="s">
        <v>82</v>
      </c>
      <c r="J264" s="188" t="s">
        <v>91</v>
      </c>
      <c r="K264" s="189">
        <v>0</v>
      </c>
      <c r="L264" s="189">
        <v>286</v>
      </c>
      <c r="M264" s="189">
        <v>0</v>
      </c>
      <c r="N264" s="189">
        <v>0</v>
      </c>
      <c r="O264" s="189">
        <v>0</v>
      </c>
      <c r="P264" s="189">
        <v>0</v>
      </c>
      <c r="Q264" s="191">
        <v>0</v>
      </c>
      <c r="R264" s="189">
        <v>22.6</v>
      </c>
      <c r="S264" s="189">
        <v>4013.56</v>
      </c>
      <c r="T264" s="189">
        <v>0</v>
      </c>
      <c r="U264" s="189">
        <v>20.669999999999998</v>
      </c>
      <c r="V264" s="189">
        <v>0</v>
      </c>
      <c r="W264" s="291">
        <v>0</v>
      </c>
      <c r="X264" s="291">
        <f t="shared" ref="X264:X265" si="94">SUM(M264+O264+Q264+S264+U264+W264)</f>
        <v>4034.23</v>
      </c>
      <c r="Y264" s="291">
        <v>0</v>
      </c>
      <c r="Z264" s="291">
        <f t="shared" ref="Z264:Z265" si="95">X264+Y264</f>
        <v>4034.23</v>
      </c>
    </row>
    <row r="265" spans="1:26" s="183" customFormat="1" x14ac:dyDescent="0.35">
      <c r="C265" s="184"/>
      <c r="D265" s="185" t="s">
        <v>416</v>
      </c>
      <c r="E265" s="185">
        <v>86000</v>
      </c>
      <c r="F265" s="186" t="s">
        <v>654</v>
      </c>
      <c r="G265" s="229" t="s">
        <v>417</v>
      </c>
      <c r="H265" s="207" t="s">
        <v>122</v>
      </c>
      <c r="I265" s="207" t="s">
        <v>82</v>
      </c>
      <c r="J265" s="188" t="s">
        <v>87</v>
      </c>
      <c r="K265" s="189">
        <v>0</v>
      </c>
      <c r="L265" s="189">
        <v>50</v>
      </c>
      <c r="M265" s="189">
        <v>0</v>
      </c>
      <c r="N265" s="189">
        <v>0</v>
      </c>
      <c r="O265" s="189">
        <v>0</v>
      </c>
      <c r="P265" s="189">
        <v>0</v>
      </c>
      <c r="Q265" s="191">
        <v>0</v>
      </c>
      <c r="R265" s="189">
        <v>6</v>
      </c>
      <c r="S265" s="189">
        <v>10711.18</v>
      </c>
      <c r="T265" s="189">
        <v>0</v>
      </c>
      <c r="U265" s="189">
        <v>0</v>
      </c>
      <c r="V265" s="189">
        <v>0</v>
      </c>
      <c r="W265" s="291">
        <v>0</v>
      </c>
      <c r="X265" s="291">
        <f t="shared" si="94"/>
        <v>10711.18</v>
      </c>
      <c r="Y265" s="291">
        <v>0</v>
      </c>
      <c r="Z265" s="291">
        <f t="shared" si="95"/>
        <v>10711.18</v>
      </c>
    </row>
    <row r="266" spans="1:26" s="183" customFormat="1" x14ac:dyDescent="0.35">
      <c r="A266" s="183" t="s">
        <v>6</v>
      </c>
      <c r="C266" s="184"/>
      <c r="D266" s="198"/>
      <c r="E266" s="198"/>
      <c r="F266" s="199"/>
      <c r="G266" s="225" t="s">
        <v>418</v>
      </c>
      <c r="H266" s="226"/>
      <c r="I266" s="226"/>
      <c r="J266" s="188"/>
      <c r="K266" s="189"/>
      <c r="L266" s="189"/>
      <c r="M266" s="189"/>
      <c r="N266" s="189"/>
      <c r="O266" s="189"/>
      <c r="P266" s="189"/>
      <c r="Q266" s="191"/>
      <c r="R266" s="189"/>
      <c r="S266" s="189"/>
      <c r="T266" s="189"/>
      <c r="U266" s="189"/>
      <c r="V266" s="189"/>
      <c r="W266" s="291"/>
      <c r="X266" s="291"/>
      <c r="Y266" s="291"/>
      <c r="Z266" s="297"/>
    </row>
    <row r="267" spans="1:26" s="183" customFormat="1" hidden="1" x14ac:dyDescent="0.35">
      <c r="A267" s="183" t="s">
        <v>6</v>
      </c>
      <c r="C267" s="184"/>
      <c r="D267" s="198"/>
      <c r="E267" s="198"/>
      <c r="F267" s="199"/>
      <c r="G267" s="228" t="s">
        <v>419</v>
      </c>
      <c r="H267" s="226"/>
      <c r="I267" s="226"/>
      <c r="J267" s="188"/>
      <c r="K267" s="189"/>
      <c r="L267" s="189"/>
      <c r="M267" s="189"/>
      <c r="N267" s="189"/>
      <c r="O267" s="189"/>
      <c r="P267" s="189"/>
      <c r="Q267" s="191"/>
      <c r="R267" s="189"/>
      <c r="S267" s="189"/>
      <c r="T267" s="189"/>
      <c r="U267" s="189"/>
      <c r="V267" s="189"/>
      <c r="W267" s="291"/>
      <c r="X267" s="291"/>
      <c r="Y267" s="291"/>
      <c r="Z267" s="297"/>
    </row>
    <row r="268" spans="1:26" s="183" customFormat="1" hidden="1" x14ac:dyDescent="0.35">
      <c r="A268" s="183" t="s">
        <v>6</v>
      </c>
      <c r="C268" s="184" t="s">
        <v>82</v>
      </c>
      <c r="D268" s="326" t="s">
        <v>46</v>
      </c>
      <c r="E268" s="326" t="s">
        <v>46</v>
      </c>
      <c r="F268" s="327" t="s">
        <v>46</v>
      </c>
      <c r="G268" s="229" t="s">
        <v>420</v>
      </c>
      <c r="H268" s="207" t="s">
        <v>34</v>
      </c>
      <c r="I268" s="207" t="s">
        <v>82</v>
      </c>
      <c r="J268" s="188" t="s">
        <v>91</v>
      </c>
      <c r="K268" s="189">
        <v>15</v>
      </c>
      <c r="L268" s="189">
        <v>195</v>
      </c>
      <c r="M268" s="189">
        <v>0</v>
      </c>
      <c r="N268" s="189">
        <v>0</v>
      </c>
      <c r="O268" s="189">
        <v>0</v>
      </c>
      <c r="P268" s="189">
        <v>0</v>
      </c>
      <c r="Q268" s="191">
        <v>0</v>
      </c>
      <c r="R268" s="189">
        <v>0</v>
      </c>
      <c r="S268" s="189">
        <v>0</v>
      </c>
      <c r="T268" s="189">
        <v>0</v>
      </c>
      <c r="U268" s="189">
        <v>0</v>
      </c>
      <c r="V268" s="189">
        <v>0</v>
      </c>
      <c r="W268" s="291">
        <v>0</v>
      </c>
      <c r="X268" s="291">
        <f t="shared" ref="X268:X271" si="96">SUM(M268+O268+Q268+S268+U268+W268)</f>
        <v>0</v>
      </c>
      <c r="Y268" s="291">
        <v>0</v>
      </c>
      <c r="Z268" s="291">
        <f t="shared" ref="Z268:Z281" si="97">X268+Y268</f>
        <v>0</v>
      </c>
    </row>
    <row r="269" spans="1:26" s="183" customFormat="1" hidden="1" x14ac:dyDescent="0.35">
      <c r="A269" s="183" t="s">
        <v>6</v>
      </c>
      <c r="C269" s="184" t="s">
        <v>82</v>
      </c>
      <c r="D269" s="326" t="s">
        <v>46</v>
      </c>
      <c r="E269" s="326" t="s">
        <v>46</v>
      </c>
      <c r="F269" s="327" t="s">
        <v>46</v>
      </c>
      <c r="G269" s="229" t="s">
        <v>421</v>
      </c>
      <c r="H269" s="207" t="s">
        <v>34</v>
      </c>
      <c r="I269" s="207" t="s">
        <v>82</v>
      </c>
      <c r="J269" s="188" t="s">
        <v>87</v>
      </c>
      <c r="K269" s="189">
        <v>3</v>
      </c>
      <c r="L269" s="189">
        <v>290</v>
      </c>
      <c r="M269" s="189">
        <v>0</v>
      </c>
      <c r="N269" s="189">
        <v>0</v>
      </c>
      <c r="O269" s="189">
        <v>0</v>
      </c>
      <c r="P269" s="189">
        <v>0</v>
      </c>
      <c r="Q269" s="191">
        <v>0</v>
      </c>
      <c r="R269" s="189">
        <v>0</v>
      </c>
      <c r="S269" s="189">
        <v>0</v>
      </c>
      <c r="T269" s="189">
        <v>0</v>
      </c>
      <c r="U269" s="189">
        <v>0</v>
      </c>
      <c r="V269" s="189">
        <v>0</v>
      </c>
      <c r="W269" s="291">
        <v>0</v>
      </c>
      <c r="X269" s="291">
        <f t="shared" si="96"/>
        <v>0</v>
      </c>
      <c r="Y269" s="291">
        <v>0</v>
      </c>
      <c r="Z269" s="291">
        <f t="shared" si="97"/>
        <v>0</v>
      </c>
    </row>
    <row r="270" spans="1:26" s="183" customFormat="1" hidden="1" x14ac:dyDescent="0.35">
      <c r="A270" s="183" t="s">
        <v>6</v>
      </c>
      <c r="C270" s="184" t="s">
        <v>262</v>
      </c>
      <c r="D270" s="326" t="s">
        <v>46</v>
      </c>
      <c r="E270" s="326" t="s">
        <v>46</v>
      </c>
      <c r="F270" s="327" t="s">
        <v>46</v>
      </c>
      <c r="G270" s="229" t="s">
        <v>396</v>
      </c>
      <c r="H270" s="207" t="s">
        <v>34</v>
      </c>
      <c r="I270" s="207" t="s">
        <v>232</v>
      </c>
      <c r="J270" s="188" t="s">
        <v>422</v>
      </c>
      <c r="K270" s="189">
        <v>1</v>
      </c>
      <c r="L270" s="189">
        <v>500</v>
      </c>
      <c r="M270" s="189">
        <v>0</v>
      </c>
      <c r="N270" s="189">
        <v>0</v>
      </c>
      <c r="O270" s="189">
        <v>0</v>
      </c>
      <c r="P270" s="189">
        <v>0</v>
      </c>
      <c r="Q270" s="191">
        <v>0</v>
      </c>
      <c r="R270" s="189">
        <v>0</v>
      </c>
      <c r="S270" s="189">
        <v>0</v>
      </c>
      <c r="T270" s="189">
        <v>0</v>
      </c>
      <c r="U270" s="189">
        <v>0</v>
      </c>
      <c r="V270" s="189">
        <v>0</v>
      </c>
      <c r="W270" s="291">
        <v>0</v>
      </c>
      <c r="X270" s="291">
        <f t="shared" si="96"/>
        <v>0</v>
      </c>
      <c r="Y270" s="291">
        <v>0</v>
      </c>
      <c r="Z270" s="291">
        <f t="shared" si="97"/>
        <v>0</v>
      </c>
    </row>
    <row r="271" spans="1:26" s="183" customFormat="1" hidden="1" x14ac:dyDescent="0.35">
      <c r="A271" s="183" t="s">
        <v>6</v>
      </c>
      <c r="C271" s="184" t="s">
        <v>229</v>
      </c>
      <c r="D271" s="326" t="s">
        <v>46</v>
      </c>
      <c r="E271" s="326" t="s">
        <v>46</v>
      </c>
      <c r="F271" s="327" t="s">
        <v>46</v>
      </c>
      <c r="G271" s="229" t="s">
        <v>423</v>
      </c>
      <c r="H271" s="207" t="s">
        <v>34</v>
      </c>
      <c r="I271" s="207" t="s">
        <v>232</v>
      </c>
      <c r="J271" s="188" t="s">
        <v>233</v>
      </c>
      <c r="K271" s="189">
        <v>10</v>
      </c>
      <c r="L271" s="189">
        <v>120</v>
      </c>
      <c r="M271" s="189">
        <v>0</v>
      </c>
      <c r="N271" s="189">
        <v>0</v>
      </c>
      <c r="O271" s="189">
        <v>0</v>
      </c>
      <c r="P271" s="189">
        <v>0</v>
      </c>
      <c r="Q271" s="191">
        <v>0</v>
      </c>
      <c r="R271" s="189">
        <v>0</v>
      </c>
      <c r="S271" s="189">
        <v>0</v>
      </c>
      <c r="T271" s="189">
        <v>0</v>
      </c>
      <c r="U271" s="189">
        <v>0</v>
      </c>
      <c r="V271" s="189">
        <v>0</v>
      </c>
      <c r="W271" s="291">
        <v>0</v>
      </c>
      <c r="X271" s="291">
        <f t="shared" si="96"/>
        <v>0</v>
      </c>
      <c r="Y271" s="291">
        <v>0</v>
      </c>
      <c r="Z271" s="291">
        <f t="shared" si="97"/>
        <v>0</v>
      </c>
    </row>
    <row r="272" spans="1:26" s="183" customFormat="1" hidden="1" x14ac:dyDescent="0.35">
      <c r="A272" s="183" t="s">
        <v>6</v>
      </c>
      <c r="C272" s="184"/>
      <c r="D272" s="198"/>
      <c r="E272" s="198"/>
      <c r="F272" s="199"/>
      <c r="G272" s="228" t="s">
        <v>424</v>
      </c>
      <c r="H272" s="207"/>
      <c r="I272" s="207"/>
      <c r="J272" s="188"/>
      <c r="K272" s="189"/>
      <c r="L272" s="189"/>
      <c r="M272" s="189"/>
      <c r="N272" s="189"/>
      <c r="O272" s="189"/>
      <c r="P272" s="189"/>
      <c r="Q272" s="191"/>
      <c r="R272" s="189"/>
      <c r="S272" s="189"/>
      <c r="T272" s="189"/>
      <c r="U272" s="189"/>
      <c r="V272" s="189"/>
      <c r="W272" s="291"/>
      <c r="X272" s="291"/>
      <c r="Y272" s="291">
        <v>0</v>
      </c>
      <c r="Z272" s="298">
        <f t="shared" si="97"/>
        <v>0</v>
      </c>
    </row>
    <row r="273" spans="1:26" s="183" customFormat="1" hidden="1" x14ac:dyDescent="0.35">
      <c r="A273" s="183" t="s">
        <v>6</v>
      </c>
      <c r="C273" s="184" t="s">
        <v>82</v>
      </c>
      <c r="D273" s="326" t="s">
        <v>46</v>
      </c>
      <c r="E273" s="326" t="s">
        <v>46</v>
      </c>
      <c r="F273" s="327" t="s">
        <v>46</v>
      </c>
      <c r="G273" s="229" t="s">
        <v>425</v>
      </c>
      <c r="H273" s="207" t="s">
        <v>55</v>
      </c>
      <c r="I273" s="207" t="s">
        <v>82</v>
      </c>
      <c r="J273" s="188" t="s">
        <v>87</v>
      </c>
      <c r="K273" s="189">
        <v>3</v>
      </c>
      <c r="L273" s="189">
        <v>490</v>
      </c>
      <c r="M273" s="189">
        <v>0</v>
      </c>
      <c r="N273" s="189">
        <v>0</v>
      </c>
      <c r="O273" s="189">
        <v>0</v>
      </c>
      <c r="P273" s="189">
        <v>0</v>
      </c>
      <c r="Q273" s="191">
        <v>0</v>
      </c>
      <c r="R273" s="189">
        <v>0</v>
      </c>
      <c r="S273" s="189">
        <v>0</v>
      </c>
      <c r="T273" s="189">
        <v>0</v>
      </c>
      <c r="U273" s="189">
        <v>0</v>
      </c>
      <c r="V273" s="189">
        <v>0</v>
      </c>
      <c r="W273" s="291">
        <v>0</v>
      </c>
      <c r="X273" s="291">
        <f t="shared" ref="X273:X277" si="98">SUM(M273+O273+Q273+S273+U273+W273)</f>
        <v>0</v>
      </c>
      <c r="Y273" s="291">
        <v>0</v>
      </c>
      <c r="Z273" s="291">
        <f t="shared" si="97"/>
        <v>0</v>
      </c>
    </row>
    <row r="274" spans="1:26" s="183" customFormat="1" hidden="1" x14ac:dyDescent="0.35">
      <c r="A274" s="183" t="s">
        <v>6</v>
      </c>
      <c r="C274" s="184" t="s">
        <v>82</v>
      </c>
      <c r="D274" s="326" t="s">
        <v>46</v>
      </c>
      <c r="E274" s="326" t="s">
        <v>46</v>
      </c>
      <c r="F274" s="327" t="s">
        <v>46</v>
      </c>
      <c r="G274" s="229" t="s">
        <v>426</v>
      </c>
      <c r="H274" s="207" t="s">
        <v>55</v>
      </c>
      <c r="I274" s="207" t="s">
        <v>82</v>
      </c>
      <c r="J274" s="188" t="s">
        <v>91</v>
      </c>
      <c r="K274" s="189">
        <v>21</v>
      </c>
      <c r="L274" s="189">
        <v>205</v>
      </c>
      <c r="M274" s="189">
        <v>0</v>
      </c>
      <c r="N274" s="189">
        <v>0</v>
      </c>
      <c r="O274" s="189">
        <v>0</v>
      </c>
      <c r="P274" s="189">
        <v>0</v>
      </c>
      <c r="Q274" s="191">
        <v>0</v>
      </c>
      <c r="R274" s="189">
        <v>0</v>
      </c>
      <c r="S274" s="189">
        <v>0</v>
      </c>
      <c r="T274" s="189">
        <v>0</v>
      </c>
      <c r="U274" s="189">
        <v>0</v>
      </c>
      <c r="V274" s="189">
        <v>0</v>
      </c>
      <c r="W274" s="291">
        <v>0</v>
      </c>
      <c r="X274" s="291">
        <f t="shared" si="98"/>
        <v>0</v>
      </c>
      <c r="Y274" s="291">
        <v>0</v>
      </c>
      <c r="Z274" s="291">
        <f t="shared" si="97"/>
        <v>0</v>
      </c>
    </row>
    <row r="275" spans="1:26" s="183" customFormat="1" hidden="1" x14ac:dyDescent="0.35">
      <c r="A275" s="183" t="s">
        <v>6</v>
      </c>
      <c r="C275" s="184" t="s">
        <v>82</v>
      </c>
      <c r="D275" s="326" t="s">
        <v>46</v>
      </c>
      <c r="E275" s="326" t="s">
        <v>46</v>
      </c>
      <c r="F275" s="327" t="s">
        <v>46</v>
      </c>
      <c r="G275" s="229" t="s">
        <v>427</v>
      </c>
      <c r="H275" s="207" t="s">
        <v>55</v>
      </c>
      <c r="I275" s="207" t="s">
        <v>82</v>
      </c>
      <c r="J275" s="188" t="s">
        <v>87</v>
      </c>
      <c r="K275" s="189">
        <v>1</v>
      </c>
      <c r="L275" s="189">
        <v>900</v>
      </c>
      <c r="M275" s="189">
        <v>0</v>
      </c>
      <c r="N275" s="189">
        <v>0</v>
      </c>
      <c r="O275" s="189">
        <v>0</v>
      </c>
      <c r="P275" s="189">
        <v>0</v>
      </c>
      <c r="Q275" s="191">
        <v>0</v>
      </c>
      <c r="R275" s="189">
        <v>0</v>
      </c>
      <c r="S275" s="189">
        <v>0</v>
      </c>
      <c r="T275" s="189">
        <v>0</v>
      </c>
      <c r="U275" s="189">
        <v>0</v>
      </c>
      <c r="V275" s="189">
        <v>0</v>
      </c>
      <c r="W275" s="291">
        <v>0</v>
      </c>
      <c r="X275" s="291">
        <f t="shared" si="98"/>
        <v>0</v>
      </c>
      <c r="Y275" s="291">
        <v>0</v>
      </c>
      <c r="Z275" s="291">
        <f t="shared" si="97"/>
        <v>0</v>
      </c>
    </row>
    <row r="276" spans="1:26" s="183" customFormat="1" hidden="1" x14ac:dyDescent="0.35">
      <c r="A276" s="183" t="s">
        <v>6</v>
      </c>
      <c r="C276" s="184" t="s">
        <v>262</v>
      </c>
      <c r="D276" s="326" t="s">
        <v>46</v>
      </c>
      <c r="E276" s="326" t="s">
        <v>46</v>
      </c>
      <c r="F276" s="327" t="s">
        <v>46</v>
      </c>
      <c r="G276" s="229" t="s">
        <v>428</v>
      </c>
      <c r="H276" s="207" t="s">
        <v>55</v>
      </c>
      <c r="I276" s="207" t="s">
        <v>232</v>
      </c>
      <c r="J276" s="188" t="s">
        <v>422</v>
      </c>
      <c r="K276" s="189">
        <v>1</v>
      </c>
      <c r="L276" s="189">
        <v>500</v>
      </c>
      <c r="M276" s="189">
        <v>0</v>
      </c>
      <c r="N276" s="189">
        <v>0</v>
      </c>
      <c r="O276" s="189">
        <v>0</v>
      </c>
      <c r="P276" s="189">
        <v>0</v>
      </c>
      <c r="Q276" s="191">
        <v>0</v>
      </c>
      <c r="R276" s="189">
        <v>0</v>
      </c>
      <c r="S276" s="189">
        <v>0</v>
      </c>
      <c r="T276" s="189">
        <v>0</v>
      </c>
      <c r="U276" s="189">
        <v>0</v>
      </c>
      <c r="V276" s="189">
        <v>0</v>
      </c>
      <c r="W276" s="291">
        <v>0</v>
      </c>
      <c r="X276" s="291">
        <f t="shared" si="98"/>
        <v>0</v>
      </c>
      <c r="Y276" s="291">
        <v>0</v>
      </c>
      <c r="Z276" s="291">
        <f t="shared" si="97"/>
        <v>0</v>
      </c>
    </row>
    <row r="277" spans="1:26" s="183" customFormat="1" hidden="1" x14ac:dyDescent="0.35">
      <c r="A277" s="183" t="s">
        <v>6</v>
      </c>
      <c r="C277" s="184" t="s">
        <v>229</v>
      </c>
      <c r="D277" s="326" t="s">
        <v>46</v>
      </c>
      <c r="E277" s="326" t="s">
        <v>46</v>
      </c>
      <c r="F277" s="327" t="s">
        <v>46</v>
      </c>
      <c r="G277" s="229" t="s">
        <v>429</v>
      </c>
      <c r="H277" s="207" t="s">
        <v>55</v>
      </c>
      <c r="I277" s="207" t="s">
        <v>232</v>
      </c>
      <c r="J277" s="188" t="s">
        <v>233</v>
      </c>
      <c r="K277" s="189">
        <v>5</v>
      </c>
      <c r="L277" s="189">
        <v>300</v>
      </c>
      <c r="M277" s="189">
        <v>0</v>
      </c>
      <c r="N277" s="189">
        <v>0</v>
      </c>
      <c r="O277" s="189">
        <v>0</v>
      </c>
      <c r="P277" s="189">
        <v>0</v>
      </c>
      <c r="Q277" s="191">
        <v>0</v>
      </c>
      <c r="R277" s="189">
        <v>0</v>
      </c>
      <c r="S277" s="189">
        <v>0</v>
      </c>
      <c r="T277" s="189">
        <v>0</v>
      </c>
      <c r="U277" s="189">
        <v>0</v>
      </c>
      <c r="V277" s="189">
        <v>0</v>
      </c>
      <c r="W277" s="291">
        <v>0</v>
      </c>
      <c r="X277" s="291">
        <f t="shared" si="98"/>
        <v>0</v>
      </c>
      <c r="Y277" s="291">
        <v>0</v>
      </c>
      <c r="Z277" s="291">
        <f t="shared" si="97"/>
        <v>0</v>
      </c>
    </row>
    <row r="278" spans="1:26" s="183" customFormat="1" x14ac:dyDescent="0.35">
      <c r="A278" s="183" t="s">
        <v>6</v>
      </c>
      <c r="C278" s="184"/>
      <c r="D278" s="198"/>
      <c r="E278" s="198"/>
      <c r="F278" s="199"/>
      <c r="G278" s="228" t="s">
        <v>430</v>
      </c>
      <c r="H278" s="207"/>
      <c r="I278" s="207"/>
      <c r="J278" s="188"/>
      <c r="K278" s="189"/>
      <c r="L278" s="189"/>
      <c r="M278" s="189"/>
      <c r="N278" s="189"/>
      <c r="O278" s="189"/>
      <c r="P278" s="189"/>
      <c r="Q278" s="191"/>
      <c r="R278" s="189"/>
      <c r="S278" s="189"/>
      <c r="T278" s="189"/>
      <c r="U278" s="189"/>
      <c r="V278" s="189"/>
      <c r="W278" s="291"/>
      <c r="X278" s="291"/>
      <c r="Y278" s="291">
        <v>0</v>
      </c>
      <c r="Z278" s="298">
        <f t="shared" si="97"/>
        <v>0</v>
      </c>
    </row>
    <row r="279" spans="1:26" s="279" customFormat="1" x14ac:dyDescent="0.35">
      <c r="A279" s="183" t="s">
        <v>6</v>
      </c>
      <c r="B279" s="183"/>
      <c r="C279" s="184" t="s">
        <v>257</v>
      </c>
      <c r="D279" s="185" t="s">
        <v>431</v>
      </c>
      <c r="E279" s="185">
        <v>81000</v>
      </c>
      <c r="F279" s="186" t="s">
        <v>652</v>
      </c>
      <c r="G279" s="283" t="s">
        <v>374</v>
      </c>
      <c r="H279" s="284" t="s">
        <v>69</v>
      </c>
      <c r="I279" s="284" t="s">
        <v>242</v>
      </c>
      <c r="J279" s="285" t="s">
        <v>91</v>
      </c>
      <c r="K279" s="286">
        <v>17.8</v>
      </c>
      <c r="L279" s="286">
        <v>200</v>
      </c>
      <c r="M279" s="286">
        <v>3573.26</v>
      </c>
      <c r="N279" s="286">
        <v>71</v>
      </c>
      <c r="O279" s="286">
        <v>14293.06</v>
      </c>
      <c r="P279" s="286">
        <v>0</v>
      </c>
      <c r="Q279" s="287">
        <v>0</v>
      </c>
      <c r="R279" s="286">
        <v>0</v>
      </c>
      <c r="S279" s="286">
        <v>0</v>
      </c>
      <c r="T279" s="286">
        <v>0</v>
      </c>
      <c r="U279" s="286">
        <v>0</v>
      </c>
      <c r="V279" s="286">
        <v>0</v>
      </c>
      <c r="W279" s="286">
        <v>0</v>
      </c>
      <c r="X279" s="286">
        <f t="shared" ref="X279:X281" si="99">SUM(M279+O279+Q279+S279+U279+W279)</f>
        <v>17866.32</v>
      </c>
      <c r="Y279" s="286">
        <v>0</v>
      </c>
      <c r="Z279" s="286">
        <f t="shared" si="97"/>
        <v>17866.32</v>
      </c>
    </row>
    <row r="280" spans="1:26" s="183" customFormat="1" hidden="1" x14ac:dyDescent="0.35">
      <c r="A280" s="183" t="s">
        <v>6</v>
      </c>
      <c r="C280" s="184" t="s">
        <v>159</v>
      </c>
      <c r="D280" s="326" t="s">
        <v>46</v>
      </c>
      <c r="E280" s="326" t="s">
        <v>46</v>
      </c>
      <c r="F280" s="327" t="s">
        <v>46</v>
      </c>
      <c r="G280" s="229" t="s">
        <v>432</v>
      </c>
      <c r="H280" s="207" t="s">
        <v>69</v>
      </c>
      <c r="I280" s="207" t="s">
        <v>232</v>
      </c>
      <c r="J280" s="188" t="s">
        <v>377</v>
      </c>
      <c r="K280" s="189">
        <v>1</v>
      </c>
      <c r="L280" s="189">
        <v>2000</v>
      </c>
      <c r="M280" s="189">
        <v>0</v>
      </c>
      <c r="N280" s="189">
        <v>0</v>
      </c>
      <c r="O280" s="189">
        <v>0</v>
      </c>
      <c r="P280" s="189">
        <v>0</v>
      </c>
      <c r="Q280" s="191">
        <v>0</v>
      </c>
      <c r="R280" s="189">
        <v>0</v>
      </c>
      <c r="S280" s="189">
        <v>0</v>
      </c>
      <c r="T280" s="189">
        <v>0</v>
      </c>
      <c r="U280" s="189">
        <v>0</v>
      </c>
      <c r="V280" s="189">
        <v>0</v>
      </c>
      <c r="W280" s="291">
        <v>0</v>
      </c>
      <c r="X280" s="291">
        <f t="shared" si="99"/>
        <v>0</v>
      </c>
      <c r="Y280" s="291">
        <v>0</v>
      </c>
      <c r="Z280" s="291">
        <f t="shared" si="97"/>
        <v>0</v>
      </c>
    </row>
    <row r="281" spans="1:26" s="183" customFormat="1" hidden="1" x14ac:dyDescent="0.35">
      <c r="A281" s="183" t="s">
        <v>6</v>
      </c>
      <c r="C281" s="184" t="s">
        <v>262</v>
      </c>
      <c r="D281" s="326" t="s">
        <v>46</v>
      </c>
      <c r="E281" s="326" t="s">
        <v>46</v>
      </c>
      <c r="F281" s="327" t="s">
        <v>46</v>
      </c>
      <c r="G281" s="229" t="s">
        <v>433</v>
      </c>
      <c r="H281" s="207" t="s">
        <v>69</v>
      </c>
      <c r="I281" s="207" t="s">
        <v>232</v>
      </c>
      <c r="J281" s="207" t="s">
        <v>291</v>
      </c>
      <c r="K281" s="189">
        <v>1</v>
      </c>
      <c r="L281" s="189">
        <v>1000</v>
      </c>
      <c r="M281" s="189">
        <v>0</v>
      </c>
      <c r="N281" s="189">
        <v>0</v>
      </c>
      <c r="O281" s="189">
        <v>0</v>
      </c>
      <c r="P281" s="189">
        <v>0</v>
      </c>
      <c r="Q281" s="191">
        <v>0</v>
      </c>
      <c r="R281" s="189">
        <v>0</v>
      </c>
      <c r="S281" s="189">
        <v>0</v>
      </c>
      <c r="T281" s="189">
        <v>0</v>
      </c>
      <c r="U281" s="189">
        <v>0</v>
      </c>
      <c r="V281" s="189">
        <v>0</v>
      </c>
      <c r="W281" s="291">
        <v>0</v>
      </c>
      <c r="X281" s="291">
        <f t="shared" si="99"/>
        <v>0</v>
      </c>
      <c r="Y281" s="291">
        <v>0</v>
      </c>
      <c r="Z281" s="291">
        <f t="shared" si="97"/>
        <v>0</v>
      </c>
    </row>
    <row r="282" spans="1:26" s="183" customFormat="1" hidden="1" x14ac:dyDescent="0.35">
      <c r="A282" s="183" t="s">
        <v>6</v>
      </c>
      <c r="C282" s="184"/>
      <c r="D282" s="198"/>
      <c r="E282" s="198"/>
      <c r="F282" s="199"/>
      <c r="G282" s="225" t="s">
        <v>434</v>
      </c>
      <c r="H282" s="226"/>
      <c r="I282" s="226"/>
      <c r="J282" s="188"/>
      <c r="K282" s="189"/>
      <c r="L282" s="189"/>
      <c r="M282" s="189"/>
      <c r="N282" s="189"/>
      <c r="O282" s="189"/>
      <c r="P282" s="189"/>
      <c r="Q282" s="191"/>
      <c r="R282" s="189"/>
      <c r="S282" s="189"/>
      <c r="T282" s="189"/>
      <c r="U282" s="189"/>
      <c r="V282" s="189"/>
      <c r="W282" s="291"/>
      <c r="X282" s="291"/>
      <c r="Y282" s="291"/>
      <c r="Z282" s="298"/>
    </row>
    <row r="283" spans="1:26" s="183" customFormat="1" hidden="1" x14ac:dyDescent="0.35">
      <c r="A283" s="183" t="s">
        <v>6</v>
      </c>
      <c r="C283" s="184" t="s">
        <v>229</v>
      </c>
      <c r="D283" s="196" t="s">
        <v>46</v>
      </c>
      <c r="E283" s="196" t="s">
        <v>46</v>
      </c>
      <c r="F283" s="197" t="s">
        <v>46</v>
      </c>
      <c r="G283" s="229" t="s">
        <v>435</v>
      </c>
      <c r="H283" s="207" t="s">
        <v>69</v>
      </c>
      <c r="I283" s="207" t="s">
        <v>232</v>
      </c>
      <c r="J283" s="188" t="s">
        <v>279</v>
      </c>
      <c r="K283" s="189">
        <v>1</v>
      </c>
      <c r="L283" s="189">
        <v>0</v>
      </c>
      <c r="M283" s="189">
        <v>0</v>
      </c>
      <c r="N283" s="189"/>
      <c r="O283" s="189">
        <v>0</v>
      </c>
      <c r="P283" s="189"/>
      <c r="Q283" s="191">
        <v>0</v>
      </c>
      <c r="R283" s="189">
        <v>0</v>
      </c>
      <c r="S283" s="189">
        <v>0</v>
      </c>
      <c r="T283" s="189"/>
      <c r="U283" s="189">
        <v>0</v>
      </c>
      <c r="V283" s="189"/>
      <c r="W283" s="291">
        <v>0</v>
      </c>
      <c r="X283" s="291">
        <f>SUM(M283+O283+Q283+S283+U283+W283)</f>
        <v>0</v>
      </c>
      <c r="Y283" s="291">
        <v>0</v>
      </c>
      <c r="Z283" s="291">
        <f>X283+Y283</f>
        <v>0</v>
      </c>
    </row>
    <row r="284" spans="1:26" s="183" customFormat="1" x14ac:dyDescent="0.35">
      <c r="A284" s="183" t="s">
        <v>6</v>
      </c>
      <c r="C284" s="184"/>
      <c r="D284" s="198"/>
      <c r="E284" s="198"/>
      <c r="F284" s="199"/>
      <c r="G284" s="225" t="s">
        <v>436</v>
      </c>
      <c r="H284" s="226"/>
      <c r="I284" s="226"/>
      <c r="J284" s="188"/>
      <c r="K284" s="189"/>
      <c r="L284" s="189"/>
      <c r="M284" s="189"/>
      <c r="N284" s="189"/>
      <c r="O284" s="189"/>
      <c r="P284" s="189"/>
      <c r="Q284" s="191"/>
      <c r="R284" s="189"/>
      <c r="S284" s="189"/>
      <c r="T284" s="189"/>
      <c r="U284" s="189"/>
      <c r="V284" s="189"/>
      <c r="W284" s="291"/>
      <c r="X284" s="291"/>
      <c r="Y284" s="291"/>
      <c r="Z284" s="298"/>
    </row>
    <row r="285" spans="1:26" s="183" customFormat="1" x14ac:dyDescent="0.35">
      <c r="A285" s="183" t="s">
        <v>6</v>
      </c>
      <c r="C285" s="184" t="s">
        <v>229</v>
      </c>
      <c r="D285" s="185" t="s">
        <v>437</v>
      </c>
      <c r="E285" s="185">
        <v>87000</v>
      </c>
      <c r="F285" s="197" t="s">
        <v>653</v>
      </c>
      <c r="G285" s="229" t="s">
        <v>273</v>
      </c>
      <c r="H285" s="207" t="s">
        <v>69</v>
      </c>
      <c r="I285" s="207" t="s">
        <v>232</v>
      </c>
      <c r="J285" s="188" t="s">
        <v>279</v>
      </c>
      <c r="K285" s="189">
        <v>4.4000000000000004</v>
      </c>
      <c r="L285" s="189">
        <v>1000</v>
      </c>
      <c r="M285" s="189">
        <v>4401.1899999999996</v>
      </c>
      <c r="N285" s="189">
        <v>0</v>
      </c>
      <c r="O285" s="189">
        <v>0</v>
      </c>
      <c r="P285" s="189">
        <v>1</v>
      </c>
      <c r="Q285" s="191">
        <v>336.4</v>
      </c>
      <c r="R285" s="189">
        <v>0</v>
      </c>
      <c r="S285" s="189">
        <v>0</v>
      </c>
      <c r="T285" s="189">
        <v>0</v>
      </c>
      <c r="U285" s="189">
        <v>0</v>
      </c>
      <c r="V285" s="189">
        <v>0</v>
      </c>
      <c r="W285" s="291">
        <v>0</v>
      </c>
      <c r="X285" s="291">
        <f t="shared" ref="X285:X293" si="100">SUM(M285+O285+Q285+S285+U285+W285)</f>
        <v>4737.5899999999992</v>
      </c>
      <c r="Y285" s="291">
        <v>0</v>
      </c>
      <c r="Z285" s="291">
        <f t="shared" ref="Z285:Z293" si="101">X285+Y285</f>
        <v>4737.5899999999992</v>
      </c>
    </row>
    <row r="286" spans="1:26" s="183" customFormat="1" x14ac:dyDescent="0.35">
      <c r="A286" s="183" t="s">
        <v>6</v>
      </c>
      <c r="C286" s="184" t="s">
        <v>82</v>
      </c>
      <c r="D286" s="185" t="s">
        <v>438</v>
      </c>
      <c r="E286" s="185">
        <v>86040</v>
      </c>
      <c r="F286" s="197" t="s">
        <v>653</v>
      </c>
      <c r="G286" s="229" t="s">
        <v>379</v>
      </c>
      <c r="H286" s="207" t="s">
        <v>55</v>
      </c>
      <c r="I286" s="207" t="s">
        <v>82</v>
      </c>
      <c r="J286" s="188" t="s">
        <v>87</v>
      </c>
      <c r="K286" s="189">
        <v>2</v>
      </c>
      <c r="L286" s="189">
        <v>490</v>
      </c>
      <c r="M286" s="189">
        <v>903.03000000000009</v>
      </c>
      <c r="N286" s="189">
        <v>0</v>
      </c>
      <c r="O286" s="189">
        <v>0</v>
      </c>
      <c r="P286" s="189">
        <v>0</v>
      </c>
      <c r="Q286" s="191">
        <v>0</v>
      </c>
      <c r="R286" s="189">
        <v>0</v>
      </c>
      <c r="S286" s="189">
        <v>0</v>
      </c>
      <c r="T286" s="189">
        <v>0</v>
      </c>
      <c r="U286" s="189">
        <v>0</v>
      </c>
      <c r="V286" s="189">
        <v>0</v>
      </c>
      <c r="W286" s="291">
        <v>0</v>
      </c>
      <c r="X286" s="291">
        <f t="shared" si="100"/>
        <v>903.03000000000009</v>
      </c>
      <c r="Y286" s="291">
        <v>0</v>
      </c>
      <c r="Z286" s="291">
        <f t="shared" si="101"/>
        <v>903.03000000000009</v>
      </c>
    </row>
    <row r="287" spans="1:26" s="183" customFormat="1" x14ac:dyDescent="0.35">
      <c r="A287" s="183" t="s">
        <v>6</v>
      </c>
      <c r="C287" s="184" t="s">
        <v>82</v>
      </c>
      <c r="D287" s="185" t="s">
        <v>439</v>
      </c>
      <c r="E287" s="185" t="s">
        <v>89</v>
      </c>
      <c r="F287" s="197" t="s">
        <v>653</v>
      </c>
      <c r="G287" s="229" t="s">
        <v>386</v>
      </c>
      <c r="H287" s="207" t="s">
        <v>55</v>
      </c>
      <c r="I287" s="207" t="s">
        <v>82</v>
      </c>
      <c r="J287" s="188" t="s">
        <v>91</v>
      </c>
      <c r="K287" s="189">
        <v>32.299999999999997</v>
      </c>
      <c r="L287" s="189">
        <v>205</v>
      </c>
      <c r="M287" s="189">
        <v>6626.3200000000006</v>
      </c>
      <c r="N287" s="189">
        <v>0</v>
      </c>
      <c r="O287" s="189">
        <v>0</v>
      </c>
      <c r="P287" s="189">
        <v>0</v>
      </c>
      <c r="Q287" s="191">
        <v>0</v>
      </c>
      <c r="R287" s="189">
        <v>0</v>
      </c>
      <c r="S287" s="189">
        <v>0</v>
      </c>
      <c r="T287" s="189">
        <v>0</v>
      </c>
      <c r="U287" s="189">
        <v>0</v>
      </c>
      <c r="V287" s="189">
        <v>0</v>
      </c>
      <c r="W287" s="291">
        <v>0</v>
      </c>
      <c r="X287" s="291">
        <f t="shared" si="100"/>
        <v>6626.3200000000006</v>
      </c>
      <c r="Y287" s="291">
        <v>0</v>
      </c>
      <c r="Z287" s="291">
        <f t="shared" si="101"/>
        <v>6626.3200000000006</v>
      </c>
    </row>
    <row r="288" spans="1:26" s="183" customFormat="1" x14ac:dyDescent="0.35">
      <c r="A288" s="183" t="s">
        <v>6</v>
      </c>
      <c r="C288" s="184" t="s">
        <v>82</v>
      </c>
      <c r="D288" s="185" t="s">
        <v>440</v>
      </c>
      <c r="E288" s="185">
        <v>86000</v>
      </c>
      <c r="F288" s="197" t="s">
        <v>653</v>
      </c>
      <c r="G288" s="229" t="s">
        <v>441</v>
      </c>
      <c r="H288" s="207" t="s">
        <v>55</v>
      </c>
      <c r="I288" s="207" t="s">
        <v>82</v>
      </c>
      <c r="J288" s="188" t="s">
        <v>91</v>
      </c>
      <c r="K288" s="189">
        <v>16</v>
      </c>
      <c r="L288" s="189">
        <v>25</v>
      </c>
      <c r="M288" s="189">
        <v>402.74999999999994</v>
      </c>
      <c r="N288" s="189">
        <v>0</v>
      </c>
      <c r="O288" s="189">
        <v>0</v>
      </c>
      <c r="P288" s="189">
        <v>0</v>
      </c>
      <c r="Q288" s="191">
        <v>0</v>
      </c>
      <c r="R288" s="189">
        <v>0</v>
      </c>
      <c r="S288" s="189">
        <v>0</v>
      </c>
      <c r="T288" s="189">
        <v>0</v>
      </c>
      <c r="U288" s="189">
        <v>0</v>
      </c>
      <c r="V288" s="189">
        <v>0</v>
      </c>
      <c r="W288" s="291">
        <v>0</v>
      </c>
      <c r="X288" s="291">
        <f t="shared" si="100"/>
        <v>402.74999999999994</v>
      </c>
      <c r="Y288" s="291">
        <v>0</v>
      </c>
      <c r="Z288" s="291">
        <f t="shared" si="101"/>
        <v>402.74999999999994</v>
      </c>
    </row>
    <row r="289" spans="1:28" s="183" customFormat="1" x14ac:dyDescent="0.35">
      <c r="A289" s="183" t="s">
        <v>6</v>
      </c>
      <c r="C289" s="184" t="s">
        <v>82</v>
      </c>
      <c r="D289" s="185" t="s">
        <v>442</v>
      </c>
      <c r="E289" s="185">
        <v>86040</v>
      </c>
      <c r="F289" s="186" t="s">
        <v>657</v>
      </c>
      <c r="G289" s="229" t="s">
        <v>443</v>
      </c>
      <c r="H289" s="207" t="s">
        <v>69</v>
      </c>
      <c r="I289" s="207" t="s">
        <v>82</v>
      </c>
      <c r="J289" s="188" t="s">
        <v>87</v>
      </c>
      <c r="K289" s="189">
        <v>1.8</v>
      </c>
      <c r="L289" s="189">
        <v>890</v>
      </c>
      <c r="M289" s="189">
        <v>1572.26</v>
      </c>
      <c r="N289" s="189">
        <v>0</v>
      </c>
      <c r="O289" s="189">
        <v>0</v>
      </c>
      <c r="P289" s="189">
        <v>1</v>
      </c>
      <c r="Q289" s="191">
        <v>708.97</v>
      </c>
      <c r="R289" s="189">
        <v>0</v>
      </c>
      <c r="S289" s="189">
        <v>0</v>
      </c>
      <c r="T289" s="189">
        <v>0</v>
      </c>
      <c r="U289" s="189">
        <v>0</v>
      </c>
      <c r="V289" s="189">
        <v>0</v>
      </c>
      <c r="W289" s="291">
        <v>0</v>
      </c>
      <c r="X289" s="291">
        <f t="shared" si="100"/>
        <v>2281.23</v>
      </c>
      <c r="Y289" s="291">
        <v>0</v>
      </c>
      <c r="Z289" s="291">
        <f t="shared" si="101"/>
        <v>2281.23</v>
      </c>
    </row>
    <row r="290" spans="1:28" s="183" customFormat="1" x14ac:dyDescent="0.35">
      <c r="A290" s="183" t="s">
        <v>6</v>
      </c>
      <c r="C290" s="184" t="s">
        <v>82</v>
      </c>
      <c r="D290" s="185" t="s">
        <v>444</v>
      </c>
      <c r="E290" s="185" t="s">
        <v>89</v>
      </c>
      <c r="F290" s="186" t="s">
        <v>657</v>
      </c>
      <c r="G290" s="229" t="s">
        <v>445</v>
      </c>
      <c r="H290" s="207" t="s">
        <v>69</v>
      </c>
      <c r="I290" s="207" t="s">
        <v>82</v>
      </c>
      <c r="J290" s="188" t="s">
        <v>91</v>
      </c>
      <c r="K290" s="189">
        <v>19.5</v>
      </c>
      <c r="L290" s="189">
        <v>265</v>
      </c>
      <c r="M290" s="189">
        <v>5177.03</v>
      </c>
      <c r="N290" s="189">
        <v>0</v>
      </c>
      <c r="O290" s="189">
        <v>0</v>
      </c>
      <c r="P290" s="189">
        <v>0</v>
      </c>
      <c r="Q290" s="191">
        <v>0</v>
      </c>
      <c r="R290" s="189">
        <v>0</v>
      </c>
      <c r="S290" s="189">
        <v>0</v>
      </c>
      <c r="T290" s="189">
        <v>0</v>
      </c>
      <c r="U290" s="189">
        <v>0</v>
      </c>
      <c r="V290" s="189">
        <v>0</v>
      </c>
      <c r="W290" s="291">
        <v>0</v>
      </c>
      <c r="X290" s="291">
        <f t="shared" si="100"/>
        <v>5177.03</v>
      </c>
      <c r="Y290" s="291">
        <v>0</v>
      </c>
      <c r="Z290" s="291">
        <f t="shared" si="101"/>
        <v>5177.03</v>
      </c>
    </row>
    <row r="291" spans="1:28" s="183" customFormat="1" x14ac:dyDescent="0.35">
      <c r="A291" s="183" t="s">
        <v>6</v>
      </c>
      <c r="C291" s="184" t="s">
        <v>82</v>
      </c>
      <c r="D291" s="185" t="s">
        <v>446</v>
      </c>
      <c r="E291" s="185">
        <v>86000</v>
      </c>
      <c r="F291" s="186" t="s">
        <v>657</v>
      </c>
      <c r="G291" s="229" t="s">
        <v>447</v>
      </c>
      <c r="H291" s="207" t="s">
        <v>69</v>
      </c>
      <c r="I291" s="207" t="s">
        <v>82</v>
      </c>
      <c r="J291" s="188" t="s">
        <v>91</v>
      </c>
      <c r="K291" s="189">
        <v>6</v>
      </c>
      <c r="L291" s="189">
        <v>20</v>
      </c>
      <c r="M291" s="189">
        <v>129.92000000000002</v>
      </c>
      <c r="N291" s="189">
        <v>0</v>
      </c>
      <c r="O291" s="189">
        <v>0</v>
      </c>
      <c r="P291" s="189">
        <v>0</v>
      </c>
      <c r="Q291" s="191">
        <v>0</v>
      </c>
      <c r="R291" s="189">
        <v>0</v>
      </c>
      <c r="S291" s="189">
        <v>0</v>
      </c>
      <c r="T291" s="189">
        <v>0</v>
      </c>
      <c r="U291" s="189">
        <v>0</v>
      </c>
      <c r="V291" s="189">
        <v>0</v>
      </c>
      <c r="W291" s="291">
        <v>0</v>
      </c>
      <c r="X291" s="291">
        <f t="shared" si="100"/>
        <v>129.92000000000002</v>
      </c>
      <c r="Y291" s="291">
        <v>0</v>
      </c>
      <c r="Z291" s="291">
        <f t="shared" si="101"/>
        <v>129.92000000000002</v>
      </c>
    </row>
    <row r="292" spans="1:28" s="183" customFormat="1" x14ac:dyDescent="0.35">
      <c r="A292" s="183" t="s">
        <v>6</v>
      </c>
      <c r="C292" s="184" t="s">
        <v>159</v>
      </c>
      <c r="D292" s="185" t="s">
        <v>448</v>
      </c>
      <c r="E292" s="185">
        <v>81021</v>
      </c>
      <c r="F292" s="197" t="s">
        <v>653</v>
      </c>
      <c r="G292" s="229" t="s">
        <v>449</v>
      </c>
      <c r="H292" s="207" t="s">
        <v>69</v>
      </c>
      <c r="I292" s="207" t="s">
        <v>232</v>
      </c>
      <c r="J292" s="188" t="s">
        <v>291</v>
      </c>
      <c r="K292" s="189">
        <v>1</v>
      </c>
      <c r="L292" s="189">
        <v>1500</v>
      </c>
      <c r="M292" s="189">
        <v>1920.8</v>
      </c>
      <c r="N292" s="189">
        <v>1</v>
      </c>
      <c r="O292" s="189">
        <v>356.27000000000004</v>
      </c>
      <c r="P292" s="189">
        <v>0</v>
      </c>
      <c r="Q292" s="191">
        <v>0</v>
      </c>
      <c r="R292" s="189">
        <v>0</v>
      </c>
      <c r="S292" s="189">
        <v>0</v>
      </c>
      <c r="T292" s="189">
        <v>0</v>
      </c>
      <c r="U292" s="189">
        <v>0</v>
      </c>
      <c r="V292" s="189">
        <v>0</v>
      </c>
      <c r="W292" s="291">
        <v>0</v>
      </c>
      <c r="X292" s="291">
        <f t="shared" si="100"/>
        <v>2277.0700000000002</v>
      </c>
      <c r="Y292" s="291">
        <v>0</v>
      </c>
      <c r="Z292" s="291">
        <f t="shared" si="101"/>
        <v>2277.0700000000002</v>
      </c>
    </row>
    <row r="293" spans="1:28" s="183" customFormat="1" hidden="1" x14ac:dyDescent="0.35">
      <c r="A293" s="183" t="s">
        <v>6</v>
      </c>
      <c r="C293" s="184" t="s">
        <v>262</v>
      </c>
      <c r="D293" s="326" t="s">
        <v>46</v>
      </c>
      <c r="E293" s="326" t="s">
        <v>46</v>
      </c>
      <c r="F293" s="327" t="s">
        <v>46</v>
      </c>
      <c r="G293" s="229" t="s">
        <v>433</v>
      </c>
      <c r="H293" s="207" t="s">
        <v>69</v>
      </c>
      <c r="I293" s="207" t="s">
        <v>232</v>
      </c>
      <c r="J293" s="188" t="s">
        <v>291</v>
      </c>
      <c r="K293" s="189">
        <v>1</v>
      </c>
      <c r="L293" s="189">
        <v>0</v>
      </c>
      <c r="M293" s="189">
        <v>0</v>
      </c>
      <c r="N293" s="189">
        <v>0</v>
      </c>
      <c r="O293" s="189">
        <v>0</v>
      </c>
      <c r="P293" s="189">
        <v>0</v>
      </c>
      <c r="Q293" s="191">
        <v>0</v>
      </c>
      <c r="R293" s="189">
        <v>0</v>
      </c>
      <c r="S293" s="189">
        <v>0</v>
      </c>
      <c r="T293" s="189">
        <v>0</v>
      </c>
      <c r="U293" s="189">
        <v>0</v>
      </c>
      <c r="V293" s="189">
        <v>0</v>
      </c>
      <c r="W293" s="291">
        <v>0</v>
      </c>
      <c r="X293" s="291">
        <f t="shared" si="100"/>
        <v>0</v>
      </c>
      <c r="Y293" s="291">
        <v>0</v>
      </c>
      <c r="Z293" s="291">
        <f t="shared" si="101"/>
        <v>0</v>
      </c>
    </row>
    <row r="294" spans="1:28" s="183" customFormat="1" x14ac:dyDescent="0.35">
      <c r="A294" s="183" t="s">
        <v>6</v>
      </c>
      <c r="C294" s="184"/>
      <c r="D294" s="198"/>
      <c r="E294" s="198"/>
      <c r="F294" s="199"/>
      <c r="G294" s="225" t="s">
        <v>450</v>
      </c>
      <c r="H294" s="226"/>
      <c r="I294" s="226"/>
      <c r="J294" s="188"/>
      <c r="K294" s="189"/>
      <c r="L294" s="189"/>
      <c r="M294" s="189"/>
      <c r="N294" s="189"/>
      <c r="O294" s="189"/>
      <c r="P294" s="189"/>
      <c r="Q294" s="191"/>
      <c r="R294" s="189"/>
      <c r="S294" s="189"/>
      <c r="T294" s="189"/>
      <c r="U294" s="189"/>
      <c r="V294" s="189"/>
      <c r="W294" s="291"/>
      <c r="X294" s="291"/>
      <c r="Y294" s="291"/>
      <c r="Z294" s="297"/>
    </row>
    <row r="295" spans="1:28" s="183" customFormat="1" x14ac:dyDescent="0.35">
      <c r="A295" s="183" t="s">
        <v>6</v>
      </c>
      <c r="C295" s="184" t="s">
        <v>229</v>
      </c>
      <c r="D295" s="185" t="s">
        <v>451</v>
      </c>
      <c r="E295" s="185">
        <v>87000</v>
      </c>
      <c r="F295" s="197" t="s">
        <v>653</v>
      </c>
      <c r="G295" s="229" t="s">
        <v>273</v>
      </c>
      <c r="H295" s="207" t="s">
        <v>69</v>
      </c>
      <c r="I295" s="207" t="s">
        <v>232</v>
      </c>
      <c r="J295" s="188" t="s">
        <v>279</v>
      </c>
      <c r="K295" s="189">
        <v>2</v>
      </c>
      <c r="L295" s="189">
        <v>3000</v>
      </c>
      <c r="M295" s="189">
        <v>0</v>
      </c>
      <c r="N295" s="189">
        <v>0</v>
      </c>
      <c r="O295" s="189">
        <v>0</v>
      </c>
      <c r="P295" s="189">
        <v>1.45</v>
      </c>
      <c r="Q295" s="191">
        <v>1458.1100000000001</v>
      </c>
      <c r="R295" s="189">
        <v>2</v>
      </c>
      <c r="S295" s="189">
        <v>6908.1400000000012</v>
      </c>
      <c r="T295" s="189">
        <v>1</v>
      </c>
      <c r="U295" s="189">
        <v>1788.68</v>
      </c>
      <c r="V295" s="189">
        <v>0</v>
      </c>
      <c r="W295" s="291">
        <v>0</v>
      </c>
      <c r="X295" s="291">
        <f t="shared" ref="X295:X304" si="102">SUM(M295+O295+Q295+S295+U295+W295)</f>
        <v>10154.930000000002</v>
      </c>
      <c r="Y295" s="291">
        <v>0</v>
      </c>
      <c r="Z295" s="291">
        <f t="shared" ref="Z295:Z303" si="103">X295+Y295</f>
        <v>10154.930000000002</v>
      </c>
    </row>
    <row r="296" spans="1:28" s="183" customFormat="1" x14ac:dyDescent="0.35">
      <c r="A296" s="183" t="s">
        <v>6</v>
      </c>
      <c r="C296" s="184" t="s">
        <v>82</v>
      </c>
      <c r="D296" s="185" t="s">
        <v>452</v>
      </c>
      <c r="E296" s="185">
        <v>86040</v>
      </c>
      <c r="F296" s="197" t="s">
        <v>653</v>
      </c>
      <c r="G296" s="229" t="s">
        <v>379</v>
      </c>
      <c r="H296" s="207" t="s">
        <v>55</v>
      </c>
      <c r="I296" s="207" t="s">
        <v>82</v>
      </c>
      <c r="J296" s="188" t="s">
        <v>87</v>
      </c>
      <c r="K296" s="189">
        <v>6</v>
      </c>
      <c r="L296" s="189">
        <v>490</v>
      </c>
      <c r="M296" s="189">
        <v>0</v>
      </c>
      <c r="N296" s="189">
        <v>0</v>
      </c>
      <c r="O296" s="189">
        <v>0</v>
      </c>
      <c r="P296" s="189">
        <v>3.2</v>
      </c>
      <c r="Q296" s="191">
        <v>1582.97</v>
      </c>
      <c r="R296" s="189">
        <v>3.5</v>
      </c>
      <c r="S296" s="189">
        <v>1276.68</v>
      </c>
      <c r="T296" s="189">
        <v>3.5571428571428569</v>
      </c>
      <c r="U296" s="189">
        <v>3651.6400000000003</v>
      </c>
      <c r="V296" s="189">
        <v>0</v>
      </c>
      <c r="W296" s="291">
        <v>0</v>
      </c>
      <c r="X296" s="291">
        <f t="shared" si="102"/>
        <v>6511.2900000000009</v>
      </c>
      <c r="Y296" s="291">
        <v>0</v>
      </c>
      <c r="Z296" s="291">
        <f t="shared" si="103"/>
        <v>6511.2900000000009</v>
      </c>
    </row>
    <row r="297" spans="1:28" s="183" customFormat="1" x14ac:dyDescent="0.35">
      <c r="A297" s="183" t="s">
        <v>6</v>
      </c>
      <c r="C297" s="184" t="s">
        <v>82</v>
      </c>
      <c r="D297" s="185" t="s">
        <v>453</v>
      </c>
      <c r="E297" s="185" t="s">
        <v>89</v>
      </c>
      <c r="F297" s="197" t="s">
        <v>653</v>
      </c>
      <c r="G297" s="229" t="s">
        <v>386</v>
      </c>
      <c r="H297" s="207" t="s">
        <v>55</v>
      </c>
      <c r="I297" s="207" t="s">
        <v>82</v>
      </c>
      <c r="J297" s="188" t="s">
        <v>91</v>
      </c>
      <c r="K297" s="189">
        <v>22</v>
      </c>
      <c r="L297" s="189">
        <v>205</v>
      </c>
      <c r="M297" s="189">
        <v>0</v>
      </c>
      <c r="N297" s="189">
        <v>0</v>
      </c>
      <c r="O297" s="189">
        <v>0</v>
      </c>
      <c r="P297" s="189">
        <v>8</v>
      </c>
      <c r="Q297" s="191">
        <v>1672.1100000000001</v>
      </c>
      <c r="R297" s="189">
        <v>13.5</v>
      </c>
      <c r="S297" s="189">
        <v>993.98</v>
      </c>
      <c r="T297" s="189">
        <v>13.614634146341464</v>
      </c>
      <c r="U297" s="189">
        <v>2828.66</v>
      </c>
      <c r="V297" s="189">
        <v>0</v>
      </c>
      <c r="W297" s="291">
        <v>0</v>
      </c>
      <c r="X297" s="291">
        <f t="shared" si="102"/>
        <v>5494.75</v>
      </c>
      <c r="Y297" s="291">
        <v>0</v>
      </c>
      <c r="Z297" s="291">
        <f t="shared" si="103"/>
        <v>5494.75</v>
      </c>
    </row>
    <row r="298" spans="1:28" s="183" customFormat="1" x14ac:dyDescent="0.35">
      <c r="A298" s="183" t="s">
        <v>6</v>
      </c>
      <c r="C298" s="184" t="s">
        <v>82</v>
      </c>
      <c r="D298" s="185" t="s">
        <v>454</v>
      </c>
      <c r="E298" s="185">
        <v>86000</v>
      </c>
      <c r="F298" s="197" t="s">
        <v>653</v>
      </c>
      <c r="G298" s="229" t="s">
        <v>441</v>
      </c>
      <c r="H298" s="207" t="s">
        <v>55</v>
      </c>
      <c r="I298" s="207" t="s">
        <v>82</v>
      </c>
      <c r="J298" s="188" t="s">
        <v>91</v>
      </c>
      <c r="K298" s="189">
        <v>48</v>
      </c>
      <c r="L298" s="189">
        <v>50</v>
      </c>
      <c r="M298" s="189">
        <v>0</v>
      </c>
      <c r="N298" s="189">
        <v>0</v>
      </c>
      <c r="O298" s="189">
        <v>0</v>
      </c>
      <c r="P298" s="189">
        <v>29</v>
      </c>
      <c r="Q298" s="191">
        <v>723.21</v>
      </c>
      <c r="R298" s="189">
        <v>50</v>
      </c>
      <c r="S298" s="189">
        <v>147.10000000000002</v>
      </c>
      <c r="T298" s="189">
        <v>24</v>
      </c>
      <c r="U298" s="189">
        <v>283.99</v>
      </c>
      <c r="V298" s="189">
        <v>0</v>
      </c>
      <c r="W298" s="291">
        <v>0</v>
      </c>
      <c r="X298" s="291">
        <f t="shared" si="102"/>
        <v>1154.3000000000002</v>
      </c>
      <c r="Y298" s="291">
        <v>0</v>
      </c>
      <c r="Z298" s="291">
        <f t="shared" si="103"/>
        <v>1154.3000000000002</v>
      </c>
    </row>
    <row r="299" spans="1:28" s="279" customFormat="1" ht="22.8" x14ac:dyDescent="0.35">
      <c r="A299" s="279" t="s">
        <v>6</v>
      </c>
      <c r="C299" s="280"/>
      <c r="D299" s="281" t="s">
        <v>455</v>
      </c>
      <c r="E299" s="281">
        <v>89050</v>
      </c>
      <c r="F299" s="329" t="s">
        <v>653</v>
      </c>
      <c r="G299" s="283" t="s">
        <v>456</v>
      </c>
      <c r="H299" s="284" t="s">
        <v>34</v>
      </c>
      <c r="I299" s="284" t="s">
        <v>82</v>
      </c>
      <c r="J299" s="285" t="s">
        <v>91</v>
      </c>
      <c r="K299" s="286">
        <v>1</v>
      </c>
      <c r="L299" s="286">
        <v>7500</v>
      </c>
      <c r="M299" s="286">
        <v>0</v>
      </c>
      <c r="N299" s="286">
        <v>0</v>
      </c>
      <c r="O299" s="286">
        <v>0</v>
      </c>
      <c r="P299" s="286">
        <v>0</v>
      </c>
      <c r="Q299" s="287">
        <v>0</v>
      </c>
      <c r="R299" s="286">
        <v>1</v>
      </c>
      <c r="S299" s="286">
        <v>4631.8</v>
      </c>
      <c r="T299" s="286">
        <v>1</v>
      </c>
      <c r="U299" s="286">
        <v>0</v>
      </c>
      <c r="V299" s="286">
        <v>0</v>
      </c>
      <c r="W299" s="286">
        <v>7500</v>
      </c>
      <c r="X299" s="286">
        <f t="shared" si="102"/>
        <v>12131.8</v>
      </c>
      <c r="Y299" s="286">
        <v>0</v>
      </c>
      <c r="Z299" s="286">
        <f t="shared" si="103"/>
        <v>12131.8</v>
      </c>
      <c r="AB299" s="288">
        <f>SUM(Z140+Z141+Z142+Z151+Z164+Z168+Z173+Z176+Z179+Z180+Z196+Z201+Z217+Z226+Z228+Z249+Z253+Z259+Z279+Z299+Z304)</f>
        <v>2796432.3581491099</v>
      </c>
    </row>
    <row r="300" spans="1:28" s="183" customFormat="1" x14ac:dyDescent="0.35">
      <c r="A300" s="183" t="s">
        <v>6</v>
      </c>
      <c r="C300" s="184"/>
      <c r="D300" s="185" t="s">
        <v>457</v>
      </c>
      <c r="E300" s="185">
        <v>87000</v>
      </c>
      <c r="F300" s="197" t="s">
        <v>653</v>
      </c>
      <c r="G300" s="229" t="s">
        <v>280</v>
      </c>
      <c r="H300" s="207" t="s">
        <v>69</v>
      </c>
      <c r="I300" s="207" t="s">
        <v>232</v>
      </c>
      <c r="J300" s="188" t="s">
        <v>279</v>
      </c>
      <c r="K300" s="189">
        <v>2</v>
      </c>
      <c r="L300" s="189">
        <v>3000</v>
      </c>
      <c r="M300" s="189">
        <v>0</v>
      </c>
      <c r="N300" s="189">
        <v>0</v>
      </c>
      <c r="O300" s="189">
        <v>0</v>
      </c>
      <c r="P300" s="189">
        <v>0</v>
      </c>
      <c r="Q300" s="191">
        <v>0</v>
      </c>
      <c r="R300" s="189">
        <v>0</v>
      </c>
      <c r="S300" s="189">
        <v>0</v>
      </c>
      <c r="T300" s="189">
        <v>0</v>
      </c>
      <c r="U300" s="189">
        <v>130.5</v>
      </c>
      <c r="V300" s="189">
        <v>0.33333333333333331</v>
      </c>
      <c r="W300" s="291">
        <v>0</v>
      </c>
      <c r="X300" s="291">
        <f t="shared" si="102"/>
        <v>130.5</v>
      </c>
      <c r="Y300" s="291">
        <v>0</v>
      </c>
      <c r="Z300" s="291">
        <f t="shared" si="103"/>
        <v>130.5</v>
      </c>
    </row>
    <row r="301" spans="1:28" s="183" customFormat="1" x14ac:dyDescent="0.35">
      <c r="A301" s="183" t="s">
        <v>6</v>
      </c>
      <c r="C301" s="184"/>
      <c r="D301" s="185" t="s">
        <v>458</v>
      </c>
      <c r="E301" s="185">
        <v>86040</v>
      </c>
      <c r="F301" s="197" t="s">
        <v>653</v>
      </c>
      <c r="G301" s="229" t="s">
        <v>459</v>
      </c>
      <c r="H301" s="207" t="s">
        <v>34</v>
      </c>
      <c r="I301" s="207" t="s">
        <v>82</v>
      </c>
      <c r="J301" s="188" t="s">
        <v>87</v>
      </c>
      <c r="K301" s="189">
        <v>6</v>
      </c>
      <c r="L301" s="189">
        <v>490</v>
      </c>
      <c r="M301" s="189">
        <v>0</v>
      </c>
      <c r="N301" s="189">
        <v>0</v>
      </c>
      <c r="O301" s="189">
        <v>0</v>
      </c>
      <c r="P301" s="189">
        <v>0</v>
      </c>
      <c r="Q301" s="191">
        <v>0</v>
      </c>
      <c r="R301" s="189">
        <v>0</v>
      </c>
      <c r="S301" s="189">
        <v>0</v>
      </c>
      <c r="T301" s="189">
        <v>0</v>
      </c>
      <c r="U301" s="189">
        <v>2840.1</v>
      </c>
      <c r="V301" s="189">
        <v>2.536734693877551</v>
      </c>
      <c r="W301" s="291">
        <v>0</v>
      </c>
      <c r="X301" s="291">
        <f t="shared" si="102"/>
        <v>2840.1</v>
      </c>
      <c r="Y301" s="291">
        <v>0</v>
      </c>
      <c r="Z301" s="291">
        <f t="shared" si="103"/>
        <v>2840.1</v>
      </c>
    </row>
    <row r="302" spans="1:28" s="183" customFormat="1" x14ac:dyDescent="0.35">
      <c r="A302" s="183" t="s">
        <v>6</v>
      </c>
      <c r="C302" s="184"/>
      <c r="D302" s="185" t="s">
        <v>460</v>
      </c>
      <c r="E302" s="185" t="s">
        <v>89</v>
      </c>
      <c r="F302" s="197" t="s">
        <v>653</v>
      </c>
      <c r="G302" s="229" t="s">
        <v>461</v>
      </c>
      <c r="H302" s="207" t="s">
        <v>34</v>
      </c>
      <c r="I302" s="207" t="s">
        <v>82</v>
      </c>
      <c r="J302" s="188" t="s">
        <v>91</v>
      </c>
      <c r="K302" s="189">
        <v>22</v>
      </c>
      <c r="L302" s="189">
        <v>205</v>
      </c>
      <c r="M302" s="189">
        <v>0</v>
      </c>
      <c r="N302" s="189">
        <v>0</v>
      </c>
      <c r="O302" s="189">
        <v>0</v>
      </c>
      <c r="P302" s="189">
        <v>0</v>
      </c>
      <c r="Q302" s="191">
        <v>0</v>
      </c>
      <c r="R302" s="189">
        <v>0</v>
      </c>
      <c r="S302" s="189">
        <v>800.7299999999999</v>
      </c>
      <c r="T302" s="189">
        <v>0</v>
      </c>
      <c r="U302" s="189">
        <v>846.20999999999992</v>
      </c>
      <c r="V302" s="189">
        <v>11.175609756097561</v>
      </c>
      <c r="W302" s="291">
        <v>0</v>
      </c>
      <c r="X302" s="291">
        <f t="shared" si="102"/>
        <v>1646.9399999999998</v>
      </c>
      <c r="Y302" s="291">
        <v>0</v>
      </c>
      <c r="Z302" s="291">
        <f t="shared" si="103"/>
        <v>1646.9399999999998</v>
      </c>
    </row>
    <row r="303" spans="1:28" s="183" customFormat="1" x14ac:dyDescent="0.35">
      <c r="A303" s="183" t="s">
        <v>6</v>
      </c>
      <c r="C303" s="184"/>
      <c r="D303" s="185" t="s">
        <v>462</v>
      </c>
      <c r="E303" s="185">
        <v>86000</v>
      </c>
      <c r="F303" s="197" t="s">
        <v>653</v>
      </c>
      <c r="G303" s="229" t="s">
        <v>463</v>
      </c>
      <c r="H303" s="207" t="s">
        <v>34</v>
      </c>
      <c r="I303" s="207" t="s">
        <v>82</v>
      </c>
      <c r="J303" s="188" t="s">
        <v>91</v>
      </c>
      <c r="K303" s="189">
        <v>48</v>
      </c>
      <c r="L303" s="189">
        <v>50</v>
      </c>
      <c r="M303" s="189">
        <v>0</v>
      </c>
      <c r="N303" s="189">
        <v>0</v>
      </c>
      <c r="O303" s="189">
        <v>0</v>
      </c>
      <c r="P303" s="189">
        <v>0</v>
      </c>
      <c r="Q303" s="191">
        <v>0</v>
      </c>
      <c r="R303" s="189">
        <v>0</v>
      </c>
      <c r="S303" s="189">
        <v>0</v>
      </c>
      <c r="T303" s="189">
        <v>0</v>
      </c>
      <c r="U303" s="189">
        <v>397.75</v>
      </c>
      <c r="V303" s="189">
        <v>24</v>
      </c>
      <c r="W303" s="291">
        <v>0</v>
      </c>
      <c r="X303" s="291">
        <f t="shared" si="102"/>
        <v>397.75</v>
      </c>
      <c r="Y303" s="291">
        <v>0</v>
      </c>
      <c r="Z303" s="291">
        <f t="shared" si="103"/>
        <v>397.75</v>
      </c>
    </row>
    <row r="304" spans="1:28" s="279" customFormat="1" ht="22.8" x14ac:dyDescent="0.35">
      <c r="A304" s="279" t="s">
        <v>6</v>
      </c>
      <c r="C304" s="280"/>
      <c r="D304" s="281" t="s">
        <v>464</v>
      </c>
      <c r="E304" s="281">
        <v>89050</v>
      </c>
      <c r="F304" s="329" t="s">
        <v>653</v>
      </c>
      <c r="G304" s="283" t="s">
        <v>465</v>
      </c>
      <c r="H304" s="284" t="s">
        <v>34</v>
      </c>
      <c r="I304" s="284" t="s">
        <v>82</v>
      </c>
      <c r="J304" s="285" t="s">
        <v>91</v>
      </c>
      <c r="K304" s="286">
        <v>1</v>
      </c>
      <c r="L304" s="286">
        <v>8000</v>
      </c>
      <c r="M304" s="286">
        <v>0</v>
      </c>
      <c r="N304" s="286">
        <v>0</v>
      </c>
      <c r="O304" s="286">
        <v>0</v>
      </c>
      <c r="P304" s="286">
        <v>0</v>
      </c>
      <c r="Q304" s="287">
        <v>0</v>
      </c>
      <c r="R304" s="286"/>
      <c r="S304" s="286">
        <v>0</v>
      </c>
      <c r="T304" s="286">
        <v>0</v>
      </c>
      <c r="U304" s="286">
        <v>0</v>
      </c>
      <c r="V304" s="286">
        <v>1</v>
      </c>
      <c r="W304" s="286">
        <v>8000</v>
      </c>
      <c r="X304" s="286">
        <f t="shared" si="102"/>
        <v>8000</v>
      </c>
      <c r="Y304" s="286">
        <v>0</v>
      </c>
      <c r="Z304" s="273">
        <v>2</v>
      </c>
    </row>
    <row r="305" spans="1:28" s="183" customFormat="1" x14ac:dyDescent="0.35">
      <c r="A305" s="183" t="s">
        <v>6</v>
      </c>
      <c r="C305" s="184"/>
      <c r="D305" s="198"/>
      <c r="E305" s="198"/>
      <c r="F305" s="199"/>
      <c r="G305" s="225" t="s">
        <v>466</v>
      </c>
      <c r="H305" s="226"/>
      <c r="I305" s="226"/>
      <c r="J305" s="188"/>
      <c r="K305" s="189"/>
      <c r="L305" s="189"/>
      <c r="M305" s="189"/>
      <c r="N305" s="189"/>
      <c r="O305" s="189"/>
      <c r="P305" s="189"/>
      <c r="Q305" s="191"/>
      <c r="R305" s="189"/>
      <c r="S305" s="189"/>
      <c r="T305" s="189"/>
      <c r="U305" s="189"/>
      <c r="V305" s="189"/>
      <c r="W305" s="291"/>
      <c r="X305" s="291"/>
      <c r="Y305" s="291"/>
      <c r="Z305" s="297"/>
    </row>
    <row r="306" spans="1:28" s="183" customFormat="1" hidden="1" x14ac:dyDescent="0.35">
      <c r="A306" s="183" t="s">
        <v>6</v>
      </c>
      <c r="C306" s="184" t="s">
        <v>200</v>
      </c>
      <c r="D306" s="326" t="s">
        <v>46</v>
      </c>
      <c r="E306" s="326" t="s">
        <v>46</v>
      </c>
      <c r="F306" s="327" t="s">
        <v>46</v>
      </c>
      <c r="G306" s="229" t="s">
        <v>467</v>
      </c>
      <c r="H306" s="207" t="s">
        <v>69</v>
      </c>
      <c r="I306" s="207" t="s">
        <v>232</v>
      </c>
      <c r="J306" s="188" t="s">
        <v>468</v>
      </c>
      <c r="K306" s="189">
        <v>0</v>
      </c>
      <c r="L306" s="189">
        <v>35000</v>
      </c>
      <c r="M306" s="189">
        <v>0</v>
      </c>
      <c r="N306" s="189">
        <v>0</v>
      </c>
      <c r="O306" s="189">
        <v>0</v>
      </c>
      <c r="P306" s="189">
        <v>0</v>
      </c>
      <c r="Q306" s="191">
        <v>0</v>
      </c>
      <c r="R306" s="189">
        <v>0</v>
      </c>
      <c r="S306" s="189">
        <v>0</v>
      </c>
      <c r="T306" s="189">
        <v>0</v>
      </c>
      <c r="U306" s="189">
        <v>0</v>
      </c>
      <c r="V306" s="189">
        <v>0</v>
      </c>
      <c r="W306" s="291">
        <v>0</v>
      </c>
      <c r="X306" s="291">
        <f t="shared" ref="X306:X307" si="104">SUM(M306+O306+Q306+S306+U306+W306)</f>
        <v>0</v>
      </c>
      <c r="Y306" s="291">
        <v>0</v>
      </c>
      <c r="Z306" s="291">
        <f t="shared" ref="Z306:Z307" si="105">X306+Y306</f>
        <v>0</v>
      </c>
    </row>
    <row r="307" spans="1:28" s="183" customFormat="1" x14ac:dyDescent="0.35">
      <c r="A307" s="183" t="s">
        <v>6</v>
      </c>
      <c r="C307" s="184" t="s">
        <v>200</v>
      </c>
      <c r="D307" s="185" t="s">
        <v>469</v>
      </c>
      <c r="E307" s="185">
        <v>81010</v>
      </c>
      <c r="F307" s="185" t="s">
        <v>655</v>
      </c>
      <c r="G307" s="229" t="s">
        <v>470</v>
      </c>
      <c r="H307" s="207" t="s">
        <v>69</v>
      </c>
      <c r="I307" s="207" t="s">
        <v>232</v>
      </c>
      <c r="J307" s="188" t="s">
        <v>468</v>
      </c>
      <c r="K307" s="189">
        <v>1</v>
      </c>
      <c r="L307" s="189">
        <v>15000</v>
      </c>
      <c r="M307" s="189">
        <v>0</v>
      </c>
      <c r="N307" s="189">
        <v>0</v>
      </c>
      <c r="O307" s="189">
        <v>0</v>
      </c>
      <c r="P307" s="189">
        <v>0</v>
      </c>
      <c r="Q307" s="191">
        <v>0</v>
      </c>
      <c r="R307" s="189">
        <v>0</v>
      </c>
      <c r="S307" s="189">
        <v>0</v>
      </c>
      <c r="T307" s="189">
        <v>1</v>
      </c>
      <c r="U307" s="189">
        <v>346.07</v>
      </c>
      <c r="V307" s="189">
        <v>0</v>
      </c>
      <c r="W307" s="291">
        <v>0</v>
      </c>
      <c r="X307" s="291">
        <f t="shared" si="104"/>
        <v>346.07</v>
      </c>
      <c r="Y307" s="291">
        <v>0</v>
      </c>
      <c r="Z307" s="291">
        <f t="shared" si="105"/>
        <v>346.07</v>
      </c>
      <c r="AB307" s="277">
        <f>(Z231+Z325+Z183)-AB299</f>
        <v>390111.9599999995</v>
      </c>
    </row>
    <row r="308" spans="1:28" s="183" customFormat="1" ht="22.8" hidden="1" x14ac:dyDescent="0.35">
      <c r="A308" s="183" t="s">
        <v>6</v>
      </c>
      <c r="C308" s="184"/>
      <c r="D308" s="198"/>
      <c r="E308" s="198"/>
      <c r="F308" s="199"/>
      <c r="G308" s="225" t="s">
        <v>471</v>
      </c>
      <c r="H308" s="226"/>
      <c r="I308" s="226"/>
      <c r="J308" s="188"/>
      <c r="K308" s="189"/>
      <c r="L308" s="189"/>
      <c r="M308" s="189"/>
      <c r="N308" s="189"/>
      <c r="O308" s="189"/>
      <c r="P308" s="189"/>
      <c r="Q308" s="191"/>
      <c r="R308" s="189"/>
      <c r="S308" s="189"/>
      <c r="T308" s="189"/>
      <c r="U308" s="189"/>
      <c r="V308" s="189"/>
      <c r="W308" s="291"/>
      <c r="X308" s="291"/>
      <c r="Y308" s="291"/>
      <c r="Z308" s="297"/>
      <c r="AB308" s="277"/>
    </row>
    <row r="309" spans="1:28" s="183" customFormat="1" hidden="1" x14ac:dyDescent="0.35">
      <c r="A309" s="183" t="s">
        <v>6</v>
      </c>
      <c r="C309" s="184"/>
      <c r="D309" s="198"/>
      <c r="E309" s="198"/>
      <c r="F309" s="199"/>
      <c r="G309" s="228" t="s">
        <v>419</v>
      </c>
      <c r="H309" s="226"/>
      <c r="I309" s="226"/>
      <c r="J309" s="188"/>
      <c r="K309" s="189"/>
      <c r="L309" s="189"/>
      <c r="M309" s="189"/>
      <c r="N309" s="189"/>
      <c r="O309" s="189"/>
      <c r="P309" s="189"/>
      <c r="Q309" s="191"/>
      <c r="R309" s="189"/>
      <c r="S309" s="189"/>
      <c r="T309" s="189"/>
      <c r="U309" s="189"/>
      <c r="V309" s="189"/>
      <c r="W309" s="291"/>
      <c r="X309" s="291"/>
      <c r="Y309" s="291"/>
      <c r="Z309" s="297"/>
    </row>
    <row r="310" spans="1:28" s="183" customFormat="1" hidden="1" x14ac:dyDescent="0.35">
      <c r="A310" s="183" t="s">
        <v>6</v>
      </c>
      <c r="C310" s="184" t="s">
        <v>82</v>
      </c>
      <c r="D310" s="326" t="s">
        <v>46</v>
      </c>
      <c r="E310" s="326" t="s">
        <v>46</v>
      </c>
      <c r="F310" s="327" t="s">
        <v>46</v>
      </c>
      <c r="G310" s="229" t="s">
        <v>420</v>
      </c>
      <c r="H310" s="207" t="s">
        <v>34</v>
      </c>
      <c r="I310" s="207" t="s">
        <v>82</v>
      </c>
      <c r="J310" s="188" t="s">
        <v>91</v>
      </c>
      <c r="K310" s="189">
        <v>0</v>
      </c>
      <c r="L310" s="189">
        <v>195</v>
      </c>
      <c r="M310" s="189">
        <v>0</v>
      </c>
      <c r="N310" s="189">
        <v>0</v>
      </c>
      <c r="O310" s="189">
        <v>0</v>
      </c>
      <c r="P310" s="189">
        <v>0</v>
      </c>
      <c r="Q310" s="191">
        <v>0</v>
      </c>
      <c r="R310" s="189">
        <v>0</v>
      </c>
      <c r="S310" s="189">
        <v>0</v>
      </c>
      <c r="T310" s="189">
        <v>0</v>
      </c>
      <c r="U310" s="189">
        <v>0</v>
      </c>
      <c r="V310" s="189">
        <v>0</v>
      </c>
      <c r="W310" s="291">
        <v>0</v>
      </c>
      <c r="X310" s="291">
        <f t="shared" ref="X310:X313" si="106">SUM(M310+O310+Q310+S310+U310+W310)</f>
        <v>0</v>
      </c>
      <c r="Y310" s="291">
        <v>0</v>
      </c>
      <c r="Z310" s="291">
        <f t="shared" ref="Z310:Z313" si="107">X310+Y310</f>
        <v>0</v>
      </c>
    </row>
    <row r="311" spans="1:28" s="183" customFormat="1" hidden="1" x14ac:dyDescent="0.35">
      <c r="A311" s="183" t="s">
        <v>6</v>
      </c>
      <c r="C311" s="184" t="s">
        <v>82</v>
      </c>
      <c r="D311" s="326" t="s">
        <v>46</v>
      </c>
      <c r="E311" s="326" t="s">
        <v>46</v>
      </c>
      <c r="F311" s="327" t="s">
        <v>46</v>
      </c>
      <c r="G311" s="229" t="s">
        <v>421</v>
      </c>
      <c r="H311" s="207" t="s">
        <v>34</v>
      </c>
      <c r="I311" s="207" t="s">
        <v>82</v>
      </c>
      <c r="J311" s="188" t="s">
        <v>87</v>
      </c>
      <c r="K311" s="189">
        <v>0</v>
      </c>
      <c r="L311" s="189">
        <v>290</v>
      </c>
      <c r="M311" s="189">
        <v>0</v>
      </c>
      <c r="N311" s="189">
        <v>0</v>
      </c>
      <c r="O311" s="189">
        <v>0</v>
      </c>
      <c r="P311" s="189">
        <v>0</v>
      </c>
      <c r="Q311" s="191">
        <v>0</v>
      </c>
      <c r="R311" s="189">
        <v>0</v>
      </c>
      <c r="S311" s="189">
        <v>0</v>
      </c>
      <c r="T311" s="189">
        <v>0</v>
      </c>
      <c r="U311" s="189">
        <v>0</v>
      </c>
      <c r="V311" s="189">
        <v>0</v>
      </c>
      <c r="W311" s="291">
        <v>0</v>
      </c>
      <c r="X311" s="291">
        <f t="shared" si="106"/>
        <v>0</v>
      </c>
      <c r="Y311" s="291">
        <v>0</v>
      </c>
      <c r="Z311" s="291">
        <f t="shared" si="107"/>
        <v>0</v>
      </c>
    </row>
    <row r="312" spans="1:28" s="183" customFormat="1" hidden="1" x14ac:dyDescent="0.35">
      <c r="A312" s="183" t="s">
        <v>6</v>
      </c>
      <c r="C312" s="184" t="s">
        <v>262</v>
      </c>
      <c r="D312" s="326" t="s">
        <v>46</v>
      </c>
      <c r="E312" s="326" t="s">
        <v>46</v>
      </c>
      <c r="F312" s="327" t="s">
        <v>46</v>
      </c>
      <c r="G312" s="229" t="s">
        <v>396</v>
      </c>
      <c r="H312" s="207" t="s">
        <v>34</v>
      </c>
      <c r="I312" s="207" t="s">
        <v>232</v>
      </c>
      <c r="J312" s="188" t="s">
        <v>422</v>
      </c>
      <c r="K312" s="189">
        <v>0</v>
      </c>
      <c r="L312" s="189">
        <v>500</v>
      </c>
      <c r="M312" s="189">
        <v>0</v>
      </c>
      <c r="N312" s="189">
        <v>0</v>
      </c>
      <c r="O312" s="189">
        <v>0</v>
      </c>
      <c r="P312" s="189">
        <v>0</v>
      </c>
      <c r="Q312" s="191">
        <v>0</v>
      </c>
      <c r="R312" s="189">
        <v>0</v>
      </c>
      <c r="S312" s="189">
        <v>0</v>
      </c>
      <c r="T312" s="189">
        <v>0</v>
      </c>
      <c r="U312" s="189">
        <v>0</v>
      </c>
      <c r="V312" s="189">
        <v>0</v>
      </c>
      <c r="W312" s="291">
        <v>0</v>
      </c>
      <c r="X312" s="291">
        <f t="shared" si="106"/>
        <v>0</v>
      </c>
      <c r="Y312" s="291">
        <v>0</v>
      </c>
      <c r="Z312" s="291">
        <f t="shared" si="107"/>
        <v>0</v>
      </c>
    </row>
    <row r="313" spans="1:28" s="183" customFormat="1" hidden="1" x14ac:dyDescent="0.35">
      <c r="A313" s="183" t="s">
        <v>6</v>
      </c>
      <c r="C313" s="184" t="s">
        <v>229</v>
      </c>
      <c r="D313" s="326" t="s">
        <v>46</v>
      </c>
      <c r="E313" s="326" t="s">
        <v>46</v>
      </c>
      <c r="F313" s="327" t="s">
        <v>46</v>
      </c>
      <c r="G313" s="229" t="s">
        <v>423</v>
      </c>
      <c r="H313" s="207" t="s">
        <v>34</v>
      </c>
      <c r="I313" s="207" t="s">
        <v>232</v>
      </c>
      <c r="J313" s="188" t="s">
        <v>233</v>
      </c>
      <c r="K313" s="189">
        <v>0</v>
      </c>
      <c r="L313" s="189">
        <v>120</v>
      </c>
      <c r="M313" s="189">
        <v>0</v>
      </c>
      <c r="N313" s="189">
        <v>0</v>
      </c>
      <c r="O313" s="189">
        <v>0</v>
      </c>
      <c r="P313" s="189">
        <v>0</v>
      </c>
      <c r="Q313" s="191">
        <v>0</v>
      </c>
      <c r="R313" s="189">
        <v>0</v>
      </c>
      <c r="S313" s="189">
        <v>0</v>
      </c>
      <c r="T313" s="189">
        <v>0</v>
      </c>
      <c r="U313" s="189">
        <v>0</v>
      </c>
      <c r="V313" s="189">
        <v>0</v>
      </c>
      <c r="W313" s="291">
        <v>0</v>
      </c>
      <c r="X313" s="291">
        <f t="shared" si="106"/>
        <v>0</v>
      </c>
      <c r="Y313" s="291">
        <v>0</v>
      </c>
      <c r="Z313" s="291">
        <f t="shared" si="107"/>
        <v>0</v>
      </c>
    </row>
    <row r="314" spans="1:28" s="183" customFormat="1" hidden="1" x14ac:dyDescent="0.35">
      <c r="A314" s="183" t="s">
        <v>6</v>
      </c>
      <c r="C314" s="184"/>
      <c r="D314" s="198"/>
      <c r="E314" s="198"/>
      <c r="F314" s="199"/>
      <c r="G314" s="228" t="s">
        <v>424</v>
      </c>
      <c r="H314" s="207"/>
      <c r="I314" s="207"/>
      <c r="J314" s="188"/>
      <c r="K314" s="189"/>
      <c r="L314" s="189"/>
      <c r="M314" s="189"/>
      <c r="N314" s="189"/>
      <c r="O314" s="189"/>
      <c r="P314" s="189"/>
      <c r="Q314" s="191"/>
      <c r="R314" s="189"/>
      <c r="S314" s="189"/>
      <c r="T314" s="189"/>
      <c r="U314" s="189"/>
      <c r="V314" s="189"/>
      <c r="W314" s="291"/>
      <c r="X314" s="291"/>
      <c r="Y314" s="291"/>
      <c r="Z314" s="298"/>
    </row>
    <row r="315" spans="1:28" s="183" customFormat="1" hidden="1" x14ac:dyDescent="0.35">
      <c r="A315" s="183" t="s">
        <v>6</v>
      </c>
      <c r="C315" s="184" t="s">
        <v>82</v>
      </c>
      <c r="D315" s="326" t="s">
        <v>46</v>
      </c>
      <c r="E315" s="326" t="s">
        <v>46</v>
      </c>
      <c r="F315" s="327" t="s">
        <v>46</v>
      </c>
      <c r="G315" s="229" t="s">
        <v>425</v>
      </c>
      <c r="H315" s="207" t="s">
        <v>55</v>
      </c>
      <c r="I315" s="207" t="s">
        <v>82</v>
      </c>
      <c r="J315" s="188" t="s">
        <v>87</v>
      </c>
      <c r="K315" s="189">
        <v>0</v>
      </c>
      <c r="L315" s="189">
        <v>490</v>
      </c>
      <c r="M315" s="189">
        <v>0</v>
      </c>
      <c r="N315" s="189">
        <v>0</v>
      </c>
      <c r="O315" s="189">
        <v>0</v>
      </c>
      <c r="P315" s="189">
        <v>0</v>
      </c>
      <c r="Q315" s="191">
        <v>0</v>
      </c>
      <c r="R315" s="189">
        <v>0</v>
      </c>
      <c r="S315" s="189">
        <v>0</v>
      </c>
      <c r="T315" s="189">
        <v>0</v>
      </c>
      <c r="U315" s="189">
        <v>0</v>
      </c>
      <c r="V315" s="189">
        <v>0</v>
      </c>
      <c r="W315" s="291">
        <v>0</v>
      </c>
      <c r="X315" s="291">
        <f t="shared" ref="X315:X319" si="108">SUM(M315+O315+Q315+S315+U315+W315)</f>
        <v>0</v>
      </c>
      <c r="Y315" s="291">
        <v>0</v>
      </c>
      <c r="Z315" s="291">
        <f t="shared" ref="Z315:Z323" si="109">X315+Y315</f>
        <v>0</v>
      </c>
    </row>
    <row r="316" spans="1:28" s="183" customFormat="1" hidden="1" x14ac:dyDescent="0.35">
      <c r="A316" s="183" t="s">
        <v>6</v>
      </c>
      <c r="C316" s="184" t="s">
        <v>82</v>
      </c>
      <c r="D316" s="326" t="s">
        <v>46</v>
      </c>
      <c r="E316" s="326" t="s">
        <v>46</v>
      </c>
      <c r="F316" s="327" t="s">
        <v>46</v>
      </c>
      <c r="G316" s="229" t="s">
        <v>426</v>
      </c>
      <c r="H316" s="207" t="s">
        <v>55</v>
      </c>
      <c r="I316" s="207" t="s">
        <v>82</v>
      </c>
      <c r="J316" s="188" t="s">
        <v>91</v>
      </c>
      <c r="K316" s="189">
        <v>0</v>
      </c>
      <c r="L316" s="189">
        <v>205</v>
      </c>
      <c r="M316" s="189">
        <v>0</v>
      </c>
      <c r="N316" s="189">
        <v>0</v>
      </c>
      <c r="O316" s="189">
        <v>0</v>
      </c>
      <c r="P316" s="189">
        <v>0</v>
      </c>
      <c r="Q316" s="191">
        <v>0</v>
      </c>
      <c r="R316" s="189">
        <v>0</v>
      </c>
      <c r="S316" s="189">
        <v>0</v>
      </c>
      <c r="T316" s="189">
        <v>0</v>
      </c>
      <c r="U316" s="189">
        <v>0</v>
      </c>
      <c r="V316" s="189">
        <v>0</v>
      </c>
      <c r="W316" s="291">
        <v>0</v>
      </c>
      <c r="X316" s="291">
        <f t="shared" si="108"/>
        <v>0</v>
      </c>
      <c r="Y316" s="291">
        <v>0</v>
      </c>
      <c r="Z316" s="291">
        <f t="shared" si="109"/>
        <v>0</v>
      </c>
    </row>
    <row r="317" spans="1:28" s="183" customFormat="1" hidden="1" x14ac:dyDescent="0.35">
      <c r="A317" s="183" t="s">
        <v>6</v>
      </c>
      <c r="C317" s="184" t="s">
        <v>82</v>
      </c>
      <c r="D317" s="326" t="s">
        <v>46</v>
      </c>
      <c r="E317" s="326" t="s">
        <v>46</v>
      </c>
      <c r="F317" s="327" t="s">
        <v>46</v>
      </c>
      <c r="G317" s="229" t="s">
        <v>427</v>
      </c>
      <c r="H317" s="207" t="s">
        <v>55</v>
      </c>
      <c r="I317" s="207" t="s">
        <v>82</v>
      </c>
      <c r="J317" s="188" t="s">
        <v>87</v>
      </c>
      <c r="K317" s="189">
        <v>0</v>
      </c>
      <c r="L317" s="189">
        <v>300</v>
      </c>
      <c r="M317" s="189">
        <v>0</v>
      </c>
      <c r="N317" s="189">
        <v>0</v>
      </c>
      <c r="O317" s="189">
        <v>0</v>
      </c>
      <c r="P317" s="189">
        <v>0</v>
      </c>
      <c r="Q317" s="191">
        <v>0</v>
      </c>
      <c r="R317" s="189">
        <v>0</v>
      </c>
      <c r="S317" s="189">
        <v>0</v>
      </c>
      <c r="T317" s="189">
        <v>0</v>
      </c>
      <c r="U317" s="189">
        <v>0</v>
      </c>
      <c r="V317" s="189">
        <v>0</v>
      </c>
      <c r="W317" s="291">
        <v>0</v>
      </c>
      <c r="X317" s="291">
        <f t="shared" si="108"/>
        <v>0</v>
      </c>
      <c r="Y317" s="291">
        <v>0</v>
      </c>
      <c r="Z317" s="291">
        <f t="shared" si="109"/>
        <v>0</v>
      </c>
    </row>
    <row r="318" spans="1:28" s="183" customFormat="1" hidden="1" x14ac:dyDescent="0.35">
      <c r="A318" s="183" t="s">
        <v>6</v>
      </c>
      <c r="C318" s="184" t="s">
        <v>262</v>
      </c>
      <c r="D318" s="326" t="s">
        <v>46</v>
      </c>
      <c r="E318" s="326" t="s">
        <v>46</v>
      </c>
      <c r="F318" s="327" t="s">
        <v>46</v>
      </c>
      <c r="G318" s="229" t="s">
        <v>428</v>
      </c>
      <c r="H318" s="207" t="s">
        <v>55</v>
      </c>
      <c r="I318" s="207" t="s">
        <v>232</v>
      </c>
      <c r="J318" s="188" t="s">
        <v>422</v>
      </c>
      <c r="K318" s="189">
        <v>0</v>
      </c>
      <c r="L318" s="189">
        <v>500</v>
      </c>
      <c r="M318" s="189">
        <v>0</v>
      </c>
      <c r="N318" s="189">
        <v>0</v>
      </c>
      <c r="O318" s="189">
        <v>0</v>
      </c>
      <c r="P318" s="189">
        <v>0</v>
      </c>
      <c r="Q318" s="191">
        <v>0</v>
      </c>
      <c r="R318" s="189">
        <v>0</v>
      </c>
      <c r="S318" s="189">
        <v>0</v>
      </c>
      <c r="T318" s="189">
        <v>0</v>
      </c>
      <c r="U318" s="189">
        <v>0</v>
      </c>
      <c r="V318" s="189">
        <v>0</v>
      </c>
      <c r="W318" s="291">
        <v>0</v>
      </c>
      <c r="X318" s="291">
        <f t="shared" si="108"/>
        <v>0</v>
      </c>
      <c r="Y318" s="291">
        <v>0</v>
      </c>
      <c r="Z318" s="291">
        <f t="shared" si="109"/>
        <v>0</v>
      </c>
    </row>
    <row r="319" spans="1:28" s="183" customFormat="1" hidden="1" x14ac:dyDescent="0.35">
      <c r="A319" s="183" t="s">
        <v>6</v>
      </c>
      <c r="C319" s="184" t="s">
        <v>229</v>
      </c>
      <c r="D319" s="326" t="s">
        <v>46</v>
      </c>
      <c r="E319" s="326" t="s">
        <v>46</v>
      </c>
      <c r="F319" s="327" t="s">
        <v>46</v>
      </c>
      <c r="G319" s="229" t="s">
        <v>429</v>
      </c>
      <c r="H319" s="207" t="s">
        <v>55</v>
      </c>
      <c r="I319" s="207" t="s">
        <v>232</v>
      </c>
      <c r="J319" s="188" t="s">
        <v>233</v>
      </c>
      <c r="K319" s="189">
        <v>0</v>
      </c>
      <c r="L319" s="189">
        <v>300</v>
      </c>
      <c r="M319" s="189">
        <v>0</v>
      </c>
      <c r="N319" s="189">
        <v>0</v>
      </c>
      <c r="O319" s="189">
        <v>0</v>
      </c>
      <c r="P319" s="189">
        <v>0</v>
      </c>
      <c r="Q319" s="191">
        <v>0</v>
      </c>
      <c r="R319" s="189">
        <v>0</v>
      </c>
      <c r="S319" s="189">
        <v>0</v>
      </c>
      <c r="T319" s="189">
        <v>0</v>
      </c>
      <c r="U319" s="189">
        <v>0</v>
      </c>
      <c r="V319" s="189">
        <v>0</v>
      </c>
      <c r="W319" s="291">
        <v>0</v>
      </c>
      <c r="X319" s="291">
        <f t="shared" si="108"/>
        <v>0</v>
      </c>
      <c r="Y319" s="291">
        <v>0</v>
      </c>
      <c r="Z319" s="291">
        <f t="shared" si="109"/>
        <v>0</v>
      </c>
    </row>
    <row r="320" spans="1:28" s="183" customFormat="1" hidden="1" x14ac:dyDescent="0.35">
      <c r="A320" s="183" t="s">
        <v>6</v>
      </c>
      <c r="C320" s="184"/>
      <c r="D320" s="198"/>
      <c r="E320" s="198"/>
      <c r="F320" s="199"/>
      <c r="G320" s="228" t="s">
        <v>430</v>
      </c>
      <c r="H320" s="207"/>
      <c r="I320" s="207"/>
      <c r="J320" s="188"/>
      <c r="K320" s="189"/>
      <c r="L320" s="189"/>
      <c r="M320" s="189"/>
      <c r="N320" s="189"/>
      <c r="O320" s="189"/>
      <c r="P320" s="189"/>
      <c r="Q320" s="191"/>
      <c r="R320" s="189"/>
      <c r="S320" s="189"/>
      <c r="T320" s="189"/>
      <c r="U320" s="189"/>
      <c r="V320" s="189"/>
      <c r="W320" s="291"/>
      <c r="X320" s="291"/>
      <c r="Y320" s="291">
        <v>0</v>
      </c>
      <c r="Z320" s="298">
        <f t="shared" si="109"/>
        <v>0</v>
      </c>
    </row>
    <row r="321" spans="1:28" hidden="1" x14ac:dyDescent="0.35">
      <c r="A321" s="1" t="s">
        <v>6</v>
      </c>
      <c r="C321" s="320" t="s">
        <v>257</v>
      </c>
      <c r="D321" s="326" t="s">
        <v>46</v>
      </c>
      <c r="E321" s="326" t="s">
        <v>46</v>
      </c>
      <c r="F321" s="327" t="s">
        <v>46</v>
      </c>
      <c r="G321" s="325" t="s">
        <v>374</v>
      </c>
      <c r="H321" s="297" t="s">
        <v>69</v>
      </c>
      <c r="I321" s="297" t="s">
        <v>242</v>
      </c>
      <c r="J321" s="322" t="s">
        <v>91</v>
      </c>
      <c r="K321" s="291">
        <v>0</v>
      </c>
      <c r="L321" s="291">
        <v>200</v>
      </c>
      <c r="M321" s="291">
        <v>0</v>
      </c>
      <c r="N321" s="291"/>
      <c r="O321" s="291">
        <v>0</v>
      </c>
      <c r="P321" s="291">
        <v>0</v>
      </c>
      <c r="Q321" s="298">
        <v>0</v>
      </c>
      <c r="R321" s="291">
        <v>0</v>
      </c>
      <c r="S321" s="291">
        <v>0</v>
      </c>
      <c r="T321" s="291">
        <v>0</v>
      </c>
      <c r="U321" s="291">
        <v>0</v>
      </c>
      <c r="V321" s="291">
        <v>0</v>
      </c>
      <c r="W321" s="291">
        <v>0</v>
      </c>
      <c r="X321" s="291">
        <f t="shared" ref="X321:X323" si="110">SUM(M321+O321+Q321+S321+U321+W321)</f>
        <v>0</v>
      </c>
      <c r="Y321" s="291">
        <v>0</v>
      </c>
      <c r="Z321" s="291">
        <f t="shared" si="109"/>
        <v>0</v>
      </c>
    </row>
    <row r="322" spans="1:28" s="183" customFormat="1" hidden="1" x14ac:dyDescent="0.35">
      <c r="A322" s="183" t="s">
        <v>6</v>
      </c>
      <c r="C322" s="184" t="s">
        <v>159</v>
      </c>
      <c r="D322" s="326" t="s">
        <v>46</v>
      </c>
      <c r="E322" s="326" t="s">
        <v>46</v>
      </c>
      <c r="F322" s="327" t="s">
        <v>46</v>
      </c>
      <c r="G322" s="229" t="s">
        <v>432</v>
      </c>
      <c r="H322" s="207" t="s">
        <v>69</v>
      </c>
      <c r="I322" s="207" t="s">
        <v>232</v>
      </c>
      <c r="J322" s="188" t="s">
        <v>377</v>
      </c>
      <c r="K322" s="189">
        <v>0</v>
      </c>
      <c r="L322" s="189">
        <v>1500</v>
      </c>
      <c r="M322" s="189">
        <v>0</v>
      </c>
      <c r="N322" s="189">
        <v>0</v>
      </c>
      <c r="O322" s="189">
        <v>0</v>
      </c>
      <c r="P322" s="189">
        <v>0</v>
      </c>
      <c r="Q322" s="191">
        <v>0</v>
      </c>
      <c r="R322" s="189">
        <v>0</v>
      </c>
      <c r="S322" s="189">
        <v>0</v>
      </c>
      <c r="T322" s="189">
        <v>0</v>
      </c>
      <c r="U322" s="189">
        <v>0</v>
      </c>
      <c r="V322" s="189">
        <v>0</v>
      </c>
      <c r="W322" s="291">
        <v>0</v>
      </c>
      <c r="X322" s="291">
        <f t="shared" si="110"/>
        <v>0</v>
      </c>
      <c r="Y322" s="291">
        <v>0</v>
      </c>
      <c r="Z322" s="291">
        <f t="shared" si="109"/>
        <v>0</v>
      </c>
    </row>
    <row r="323" spans="1:28" s="183" customFormat="1" hidden="1" x14ac:dyDescent="0.35">
      <c r="A323" s="183" t="s">
        <v>6</v>
      </c>
      <c r="C323" s="184" t="s">
        <v>262</v>
      </c>
      <c r="D323" s="196" t="s">
        <v>46</v>
      </c>
      <c r="E323" s="196" t="s">
        <v>46</v>
      </c>
      <c r="F323" s="197" t="s">
        <v>46</v>
      </c>
      <c r="G323" s="229" t="s">
        <v>433</v>
      </c>
      <c r="H323" s="207" t="s">
        <v>69</v>
      </c>
      <c r="I323" s="207" t="s">
        <v>232</v>
      </c>
      <c r="J323" s="207" t="s">
        <v>291</v>
      </c>
      <c r="K323" s="189">
        <v>0</v>
      </c>
      <c r="L323" s="189">
        <v>0</v>
      </c>
      <c r="M323" s="189">
        <v>0</v>
      </c>
      <c r="N323" s="189"/>
      <c r="O323" s="189">
        <v>0</v>
      </c>
      <c r="P323" s="189"/>
      <c r="Q323" s="191">
        <v>0</v>
      </c>
      <c r="R323" s="189"/>
      <c r="S323" s="189">
        <v>0</v>
      </c>
      <c r="T323" s="189"/>
      <c r="U323" s="189">
        <v>0</v>
      </c>
      <c r="V323" s="189"/>
      <c r="W323" s="291">
        <v>0</v>
      </c>
      <c r="X323" s="291">
        <f t="shared" si="110"/>
        <v>0</v>
      </c>
      <c r="Y323" s="291">
        <v>0</v>
      </c>
      <c r="Z323" s="291">
        <f t="shared" si="109"/>
        <v>0</v>
      </c>
    </row>
    <row r="324" spans="1:28" s="183" customFormat="1" x14ac:dyDescent="0.35">
      <c r="A324" s="183" t="s">
        <v>6</v>
      </c>
      <c r="C324" s="184"/>
      <c r="D324" s="198"/>
      <c r="E324" s="198"/>
      <c r="F324" s="199"/>
      <c r="G324" s="229"/>
      <c r="H324" s="207"/>
      <c r="I324" s="207"/>
      <c r="J324" s="207"/>
      <c r="K324" s="189"/>
      <c r="L324" s="189"/>
      <c r="M324" s="189"/>
      <c r="N324" s="189"/>
      <c r="O324" s="189"/>
      <c r="P324" s="189"/>
      <c r="Q324" s="191"/>
      <c r="R324" s="189"/>
      <c r="S324" s="189"/>
      <c r="T324" s="189"/>
      <c r="U324" s="189"/>
      <c r="V324" s="189"/>
      <c r="W324" s="291"/>
      <c r="X324" s="291"/>
      <c r="Y324" s="291"/>
      <c r="Z324" s="298"/>
      <c r="AB324" s="278"/>
    </row>
    <row r="325" spans="1:28" s="183" customFormat="1" ht="23.1" thickBot="1" x14ac:dyDescent="0.4">
      <c r="A325" s="183" t="s">
        <v>6</v>
      </c>
      <c r="C325" s="184"/>
      <c r="G325" s="212" t="s">
        <v>472</v>
      </c>
      <c r="H325" s="213"/>
      <c r="I325" s="213"/>
      <c r="J325" s="213"/>
      <c r="K325" s="217"/>
      <c r="L325" s="217"/>
      <c r="M325" s="257">
        <f>SUM(M235:M323)</f>
        <v>24770.359999999997</v>
      </c>
      <c r="N325" s="257"/>
      <c r="O325" s="257">
        <f>SUM(O235:O323)</f>
        <v>14649.33</v>
      </c>
      <c r="P325" s="257"/>
      <c r="Q325" s="257">
        <f>SUM(Q235:Q323)</f>
        <v>12994.5</v>
      </c>
      <c r="R325" s="257"/>
      <c r="S325" s="257">
        <f>SUM(S235:S323)</f>
        <v>89294.37</v>
      </c>
      <c r="T325" s="257"/>
      <c r="U325" s="257">
        <f>SUM(U235:U323)</f>
        <v>48995.909999999989</v>
      </c>
      <c r="V325" s="257"/>
      <c r="W325" s="306">
        <f>SUM(W235:W323)</f>
        <v>101065.4375</v>
      </c>
      <c r="X325" s="294">
        <f>M325+O325+Q325+S325+U325+W325</f>
        <v>291769.90749999997</v>
      </c>
      <c r="Y325" s="306">
        <f>SUM(Y235:Y323)</f>
        <v>0</v>
      </c>
      <c r="Z325" s="294">
        <f>X325+Y325</f>
        <v>291769.90749999997</v>
      </c>
    </row>
    <row r="326" spans="1:28" s="183" customFormat="1" x14ac:dyDescent="0.35">
      <c r="A326" s="183" t="s">
        <v>6</v>
      </c>
      <c r="C326" s="184"/>
      <c r="G326" s="218"/>
      <c r="H326" s="219"/>
      <c r="I326" s="219"/>
      <c r="J326" s="207"/>
      <c r="K326" s="207"/>
      <c r="L326" s="209"/>
      <c r="M326" s="209"/>
      <c r="N326" s="209"/>
      <c r="O326" s="209"/>
      <c r="P326" s="209"/>
      <c r="Q326" s="210"/>
      <c r="R326" s="209"/>
      <c r="S326" s="209"/>
      <c r="T326" s="209"/>
      <c r="U326" s="209"/>
      <c r="V326" s="209"/>
      <c r="W326" s="293"/>
      <c r="X326" s="293"/>
      <c r="Y326" s="291"/>
      <c r="Z326" s="297"/>
    </row>
    <row r="327" spans="1:28" s="183" customFormat="1" ht="11.7" thickBot="1" x14ac:dyDescent="0.4">
      <c r="A327" s="183" t="s">
        <v>6</v>
      </c>
      <c r="C327" s="184"/>
      <c r="G327" s="212" t="s">
        <v>473</v>
      </c>
      <c r="H327" s="213"/>
      <c r="I327" s="213"/>
      <c r="J327" s="213"/>
      <c r="K327" s="213"/>
      <c r="L327" s="215"/>
      <c r="M327" s="260">
        <f>SUM(M33+M90+M102+M133+M183+M231+M325)</f>
        <v>748507.86093800003</v>
      </c>
      <c r="N327" s="216"/>
      <c r="O327" s="260">
        <f>SUM(O33+O90+O102+O133+O183+O231+O325)</f>
        <v>920038.73681899987</v>
      </c>
      <c r="P327" s="216"/>
      <c r="Q327" s="260">
        <f>SUM(Q33+Q90+Q102+Q133+Q183+Q231+Q325)</f>
        <v>918732.06096099992</v>
      </c>
      <c r="R327" s="216"/>
      <c r="S327" s="260">
        <f>SUM(S33+S90+S102+S133+S183+S231+S325)</f>
        <v>1277016.5977459997</v>
      </c>
      <c r="T327" s="216"/>
      <c r="U327" s="260">
        <f>SUM(U33+U90+U102+U133+U183+U231+U325)</f>
        <v>1346456.413442</v>
      </c>
      <c r="V327" s="216"/>
      <c r="W327" s="310">
        <f>SUM(W33+W90+W102+W133+W183+W231+W325)</f>
        <v>623483.12074608856</v>
      </c>
      <c r="X327" s="294">
        <f>M327+O327+Q327+S327+U327+W327</f>
        <v>5834234.7906520879</v>
      </c>
      <c r="Y327" s="294">
        <f>SUM(Y33+Y102+Y133+Y183+Y22+Y325)</f>
        <v>0</v>
      </c>
      <c r="Z327" s="311">
        <f>X327+Y327</f>
        <v>5834234.7906520879</v>
      </c>
    </row>
    <row r="328" spans="1:28" s="183" customFormat="1" x14ac:dyDescent="0.35">
      <c r="A328" s="183" t="s">
        <v>6</v>
      </c>
      <c r="C328" s="184"/>
      <c r="G328" s="225"/>
      <c r="H328" s="226"/>
      <c r="I328" s="226"/>
      <c r="J328" s="207"/>
      <c r="K328" s="207"/>
      <c r="L328" s="209"/>
      <c r="M328" s="261"/>
      <c r="N328" s="261"/>
      <c r="O328" s="261"/>
      <c r="P328" s="261"/>
      <c r="Q328" s="262"/>
      <c r="R328" s="261"/>
      <c r="S328" s="261"/>
      <c r="T328" s="261"/>
      <c r="U328" s="261"/>
      <c r="V328" s="261"/>
      <c r="W328" s="312"/>
      <c r="X328" s="312"/>
      <c r="Y328" s="312"/>
      <c r="Z328" s="297"/>
    </row>
    <row r="329" spans="1:28" s="183" customFormat="1" x14ac:dyDescent="0.35">
      <c r="A329" s="183" t="s">
        <v>6</v>
      </c>
      <c r="C329" s="184" t="s">
        <v>474</v>
      </c>
      <c r="D329" s="185" t="s">
        <v>475</v>
      </c>
      <c r="E329" s="185">
        <v>94050</v>
      </c>
      <c r="F329" s="186" t="s">
        <v>657</v>
      </c>
      <c r="G329" s="225" t="s">
        <v>476</v>
      </c>
      <c r="H329" s="226"/>
      <c r="I329" s="207" t="s">
        <v>477</v>
      </c>
      <c r="J329" s="219"/>
      <c r="K329" s="219"/>
      <c r="L329" s="206">
        <v>0.2828</v>
      </c>
      <c r="M329" s="263">
        <v>214746.9053031122</v>
      </c>
      <c r="N329" s="261"/>
      <c r="O329" s="263">
        <v>263959.11359337106</v>
      </c>
      <c r="P329" s="261"/>
      <c r="Q329" s="263">
        <v>263584.22828971088</v>
      </c>
      <c r="R329" s="210"/>
      <c r="S329" s="263">
        <v>366376.06189332728</v>
      </c>
      <c r="T329" s="210"/>
      <c r="U329" s="263">
        <v>380777.8737213976</v>
      </c>
      <c r="V329" s="210"/>
      <c r="W329" s="313">
        <v>176321.02654699385</v>
      </c>
      <c r="X329" s="312">
        <f>SUM(M329+O329+Q329+S329+U329+W329)</f>
        <v>1665765.2093479126</v>
      </c>
      <c r="Y329" s="291">
        <v>0</v>
      </c>
      <c r="Z329" s="291">
        <f>X329+Y329</f>
        <v>1665765.2093479126</v>
      </c>
    </row>
    <row r="330" spans="1:28" s="183" customFormat="1" x14ac:dyDescent="0.55000000000000004">
      <c r="A330" s="183" t="s">
        <v>6</v>
      </c>
      <c r="G330" s="247"/>
      <c r="H330" s="264"/>
      <c r="I330" s="264"/>
      <c r="J330" s="265"/>
      <c r="K330" s="219"/>
      <c r="L330" s="221"/>
      <c r="M330" s="266"/>
      <c r="N330" s="266"/>
      <c r="O330" s="266"/>
      <c r="P330" s="266"/>
      <c r="Q330" s="267"/>
      <c r="R330" s="266"/>
      <c r="S330" s="266"/>
      <c r="T330" s="266"/>
      <c r="U330" s="266"/>
      <c r="V330" s="266"/>
      <c r="W330" s="314"/>
      <c r="X330" s="314"/>
      <c r="Y330" s="314"/>
      <c r="Z330" s="297"/>
    </row>
    <row r="331" spans="1:28" s="183" customFormat="1" ht="11.7" thickBot="1" x14ac:dyDescent="0.6">
      <c r="A331" s="183" t="s">
        <v>6</v>
      </c>
      <c r="G331" s="268" t="s">
        <v>478</v>
      </c>
      <c r="H331" s="269"/>
      <c r="I331" s="269"/>
      <c r="J331" s="269"/>
      <c r="K331" s="269"/>
      <c r="L331" s="270"/>
      <c r="M331" s="271">
        <f>M327+M329</f>
        <v>963254.76624111226</v>
      </c>
      <c r="N331" s="272"/>
      <c r="O331" s="271">
        <f>O327+O329</f>
        <v>1183997.8504123709</v>
      </c>
      <c r="P331" s="272"/>
      <c r="Q331" s="271">
        <f>Q327+Q329</f>
        <v>1182316.2892507107</v>
      </c>
      <c r="R331" s="272"/>
      <c r="S331" s="271">
        <f>S327+S329</f>
        <v>1643392.6596393269</v>
      </c>
      <c r="T331" s="272"/>
      <c r="U331" s="271">
        <f>U327+U329</f>
        <v>1727234.2871633978</v>
      </c>
      <c r="V331" s="272"/>
      <c r="W331" s="315">
        <f>W327+W329</f>
        <v>799804.14729308244</v>
      </c>
      <c r="X331" s="315">
        <f>X327+X329</f>
        <v>7500000</v>
      </c>
      <c r="Y331" s="315">
        <f>Y327+Y329</f>
        <v>0</v>
      </c>
      <c r="Z331" s="316">
        <f>X331+Y331</f>
        <v>7500000</v>
      </c>
    </row>
    <row r="332" spans="1:28" s="183" customFormat="1" ht="11.7" thickTop="1" x14ac:dyDescent="0.55000000000000004">
      <c r="A332" s="183" t="s">
        <v>6</v>
      </c>
      <c r="W332" s="1"/>
      <c r="X332" s="1"/>
      <c r="Y332" s="1"/>
      <c r="Z332" s="1"/>
    </row>
    <row r="333" spans="1:28" x14ac:dyDescent="0.4">
      <c r="A333" s="1" t="s">
        <v>6</v>
      </c>
      <c r="G333" s="18"/>
      <c r="M333" s="151"/>
      <c r="N333" s="151"/>
      <c r="O333" s="151"/>
      <c r="P333" s="151"/>
      <c r="Q333" s="151"/>
      <c r="R333" s="151"/>
      <c r="S333" s="151"/>
      <c r="T333" s="151"/>
      <c r="U333" s="151"/>
      <c r="V333" s="151"/>
      <c r="W333" s="317"/>
      <c r="Z333" s="318"/>
    </row>
    <row r="334" spans="1:28" ht="37.5" customHeight="1" x14ac:dyDescent="0.55000000000000004">
      <c r="M334" s="151"/>
      <c r="O334" s="151"/>
      <c r="Q334" s="151"/>
      <c r="S334" s="151"/>
      <c r="U334" s="151"/>
      <c r="W334" s="317"/>
      <c r="Z334" s="319"/>
    </row>
    <row r="335" spans="1:28" ht="13.5" customHeight="1" x14ac:dyDescent="0.55000000000000004">
      <c r="Z335" s="319"/>
    </row>
    <row r="336" spans="1:28" ht="15" customHeight="1" x14ac:dyDescent="0.55000000000000004"/>
    <row r="337" spans="26:26" ht="15" customHeight="1" x14ac:dyDescent="0.55000000000000004"/>
    <row r="338" spans="26:26" ht="15" customHeight="1" x14ac:dyDescent="0.55000000000000004">
      <c r="Z338" s="332"/>
    </row>
    <row r="339" spans="26:26" x14ac:dyDescent="0.55000000000000004">
      <c r="Z339" s="332"/>
    </row>
  </sheetData>
  <autoFilter ref="A4:Z333" xr:uid="{8B9FBE01-8900-4E92-AB9E-39382795CE26}"/>
  <mergeCells count="4">
    <mergeCell ref="G1:Z1"/>
    <mergeCell ref="G2:Z2"/>
    <mergeCell ref="G3:Z3"/>
    <mergeCell ref="Z338:Z339"/>
  </mergeCells>
  <pageMargins left="0.25" right="0.25" top="0.75" bottom="0.75" header="0.3" footer="0.3"/>
  <pageSetup scale="22" fitToWidth="2" fitToHeight="2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81398-F5DB-45EB-BC09-876620C86BFA}">
  <sheetPr>
    <pageSetUpPr fitToPage="1"/>
  </sheetPr>
  <dimension ref="A1:AA144"/>
  <sheetViews>
    <sheetView topLeftCell="E1" zoomScale="70" zoomScaleNormal="70" zoomScaleSheetLayoutView="90" workbookViewId="0">
      <pane xSplit="6" ySplit="5" topLeftCell="K6" activePane="bottomRight" state="frozen"/>
      <selection pane="topRight" activeCell="K1" sqref="K1"/>
      <selection pane="bottomLeft" activeCell="E6" sqref="E6"/>
      <selection pane="bottomRight" activeCell="K7" sqref="K7"/>
    </sheetView>
  </sheetViews>
  <sheetFormatPr defaultColWidth="11.41796875" defaultRowHeight="10.199999999999999" x14ac:dyDescent="0.35"/>
  <cols>
    <col min="1" max="1" width="9.41796875" style="20" hidden="1" customWidth="1"/>
    <col min="2" max="2" width="9.15625" style="20" hidden="1" customWidth="1"/>
    <col min="3" max="3" width="8.578125" style="21" hidden="1" customWidth="1"/>
    <col min="4" max="4" width="10.578125" style="20" hidden="1" customWidth="1"/>
    <col min="5" max="5" width="17.26171875" style="20" hidden="1" customWidth="1"/>
    <col min="6" max="6" width="54.41796875" style="41" customWidth="1"/>
    <col min="7" max="7" width="9.41796875" style="41" customWidth="1"/>
    <col min="8" max="8" width="7.41796875" style="41" customWidth="1"/>
    <col min="9" max="9" width="9.41796875" style="41" customWidth="1"/>
    <col min="10" max="10" width="8.83984375" style="85" customWidth="1"/>
    <col min="11" max="11" width="14.15625" style="84" customWidth="1"/>
    <col min="12" max="12" width="8.83984375" style="84" customWidth="1"/>
    <col min="13" max="13" width="12.15625" style="84" customWidth="1"/>
    <col min="14" max="14" width="9" style="84" customWidth="1"/>
    <col min="15" max="15" width="11.83984375" style="84" customWidth="1"/>
    <col min="16" max="16" width="9.15625" style="84" customWidth="1"/>
    <col min="17" max="17" width="11.83984375" style="84" customWidth="1"/>
    <col min="18" max="18" width="7.578125" style="84" customWidth="1"/>
    <col min="19" max="19" width="11.83984375" style="84" customWidth="1"/>
    <col min="20" max="20" width="8.578125" style="84" customWidth="1"/>
    <col min="21" max="21" width="11.83984375" style="84" customWidth="1"/>
    <col min="22" max="22" width="15.68359375" style="84" customWidth="1"/>
    <col min="23" max="23" width="10.41796875" style="84" customWidth="1"/>
    <col min="24" max="24" width="12" style="84" customWidth="1"/>
    <col min="25" max="25" width="9" style="20" customWidth="1"/>
    <col min="26" max="26" width="18.15625" style="20" customWidth="1"/>
    <col min="27" max="16384" width="11.41796875" style="20"/>
  </cols>
  <sheetData>
    <row r="1" spans="1:26" ht="15" x14ac:dyDescent="0.5">
      <c r="A1" s="19" t="s">
        <v>0</v>
      </c>
      <c r="F1" s="333" t="s">
        <v>1</v>
      </c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3"/>
      <c r="T1" s="333"/>
      <c r="U1" s="333"/>
      <c r="V1" s="333"/>
      <c r="W1" s="333"/>
      <c r="X1" s="333"/>
      <c r="Y1" s="147"/>
      <c r="Z1" s="23"/>
    </row>
    <row r="2" spans="1:26" ht="21" x14ac:dyDescent="0.4">
      <c r="A2" s="19" t="s">
        <v>2</v>
      </c>
      <c r="F2" s="334" t="s">
        <v>3</v>
      </c>
      <c r="G2" s="334"/>
      <c r="H2" s="334"/>
      <c r="I2" s="334"/>
      <c r="J2" s="334"/>
      <c r="K2" s="334"/>
      <c r="L2" s="334"/>
      <c r="M2" s="334"/>
      <c r="N2" s="334"/>
      <c r="O2" s="334"/>
      <c r="P2" s="334"/>
      <c r="Q2" s="334"/>
      <c r="R2" s="334"/>
      <c r="S2" s="334"/>
      <c r="T2" s="334"/>
      <c r="U2" s="334"/>
      <c r="V2" s="334"/>
      <c r="W2" s="334"/>
      <c r="X2" s="334"/>
      <c r="Y2" s="22"/>
    </row>
    <row r="3" spans="1:26" ht="31.5" x14ac:dyDescent="0.4">
      <c r="A3" s="19" t="s">
        <v>4</v>
      </c>
      <c r="F3" s="335" t="s">
        <v>479</v>
      </c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</row>
    <row r="4" spans="1:26" ht="42.3" thickBot="1" x14ac:dyDescent="0.45">
      <c r="A4" s="138" t="s">
        <v>9</v>
      </c>
      <c r="B4" s="138" t="s">
        <v>10</v>
      </c>
      <c r="C4" s="138" t="s">
        <v>11</v>
      </c>
      <c r="D4" s="138" t="s">
        <v>12</v>
      </c>
      <c r="E4" s="138" t="s">
        <v>480</v>
      </c>
      <c r="F4" s="138" t="s">
        <v>13</v>
      </c>
      <c r="G4" s="138" t="s">
        <v>14</v>
      </c>
      <c r="H4" s="138" t="s">
        <v>16</v>
      </c>
      <c r="I4" s="138" t="s">
        <v>17</v>
      </c>
      <c r="J4" s="139" t="s">
        <v>18</v>
      </c>
      <c r="K4" s="140" t="s">
        <v>481</v>
      </c>
      <c r="L4" s="138" t="s">
        <v>17</v>
      </c>
      <c r="M4" s="140" t="s">
        <v>482</v>
      </c>
      <c r="N4" s="138" t="s">
        <v>17</v>
      </c>
      <c r="O4" s="140" t="s">
        <v>483</v>
      </c>
      <c r="P4" s="138" t="s">
        <v>17</v>
      </c>
      <c r="Q4" s="140" t="s">
        <v>484</v>
      </c>
      <c r="R4" s="138" t="s">
        <v>17</v>
      </c>
      <c r="S4" s="140" t="s">
        <v>485</v>
      </c>
      <c r="T4" s="138" t="s">
        <v>17</v>
      </c>
      <c r="U4" s="140" t="s">
        <v>486</v>
      </c>
      <c r="V4" s="139" t="s">
        <v>25</v>
      </c>
      <c r="W4" s="139" t="s">
        <v>26</v>
      </c>
      <c r="X4" s="139" t="s">
        <v>27</v>
      </c>
    </row>
    <row r="5" spans="1:26" ht="9.4" customHeight="1" x14ac:dyDescent="0.4">
      <c r="F5" s="24" t="s">
        <v>28</v>
      </c>
      <c r="G5" s="24"/>
      <c r="H5" s="25"/>
      <c r="I5" s="25"/>
      <c r="J5" s="26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8"/>
    </row>
    <row r="6" spans="1:26" ht="12" customHeight="1" x14ac:dyDescent="0.4">
      <c r="F6" s="29" t="s">
        <v>487</v>
      </c>
      <c r="G6" s="29"/>
      <c r="H6" s="30"/>
      <c r="I6" s="31"/>
      <c r="J6" s="32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</row>
    <row r="7" spans="1:26" ht="12" customHeight="1" x14ac:dyDescent="0.35">
      <c r="A7" s="34" t="s">
        <v>239</v>
      </c>
      <c r="B7" s="34">
        <v>7370</v>
      </c>
      <c r="C7" s="35" t="s">
        <v>32</v>
      </c>
      <c r="D7" s="34" t="s">
        <v>240</v>
      </c>
      <c r="E7" s="34" t="s">
        <v>488</v>
      </c>
      <c r="F7" s="36" t="s">
        <v>489</v>
      </c>
      <c r="G7" s="36" t="s">
        <v>34</v>
      </c>
      <c r="H7" s="37" t="s">
        <v>490</v>
      </c>
      <c r="I7" s="38">
        <f>12*2*0.2</f>
        <v>4.8000000000000007</v>
      </c>
      <c r="J7" s="38">
        <v>9000</v>
      </c>
      <c r="K7" s="98">
        <v>33315.65</v>
      </c>
      <c r="L7" s="38">
        <f>12*2*0.2</f>
        <v>4.8000000000000007</v>
      </c>
      <c r="M7" s="98">
        <v>101566.87</v>
      </c>
      <c r="N7" s="38">
        <f>12*2*0.2</f>
        <v>4.8000000000000007</v>
      </c>
      <c r="O7" s="98">
        <v>127762.53</v>
      </c>
      <c r="P7" s="38">
        <f>12*2*0.2</f>
        <v>4.8000000000000007</v>
      </c>
      <c r="Q7" s="98">
        <f>152871.88-21600</f>
        <v>131271.88</v>
      </c>
      <c r="R7" s="38">
        <f>SUM(12*2*0.25)</f>
        <v>6</v>
      </c>
      <c r="S7" s="38">
        <f>R7*J7</f>
        <v>54000</v>
      </c>
      <c r="T7" s="38">
        <v>0.81666666666666665</v>
      </c>
      <c r="U7" s="38">
        <f>T7*J7</f>
        <v>7350</v>
      </c>
      <c r="V7" s="38">
        <f>SUM(K7+M7+O7+Q7+S7+U7)</f>
        <v>455266.93</v>
      </c>
      <c r="W7" s="38">
        <v>0</v>
      </c>
      <c r="X7" s="38">
        <f>SUM(V7:W7)</f>
        <v>455266.93</v>
      </c>
      <c r="Y7" s="21"/>
      <c r="Z7" s="156"/>
    </row>
    <row r="8" spans="1:26" ht="12" customHeight="1" x14ac:dyDescent="0.35">
      <c r="A8" s="34" t="s">
        <v>243</v>
      </c>
      <c r="B8" s="34">
        <v>7370</v>
      </c>
      <c r="C8" s="35" t="s">
        <v>58</v>
      </c>
      <c r="D8" s="34" t="s">
        <v>240</v>
      </c>
      <c r="E8" s="34" t="s">
        <v>491</v>
      </c>
      <c r="F8" s="36" t="s">
        <v>492</v>
      </c>
      <c r="G8" s="36" t="s">
        <v>55</v>
      </c>
      <c r="H8" s="37" t="s">
        <v>36</v>
      </c>
      <c r="I8" s="38">
        <f>12*2*0.2</f>
        <v>4.8000000000000007</v>
      </c>
      <c r="J8" s="38">
        <v>9000</v>
      </c>
      <c r="K8" s="98">
        <v>2625</v>
      </c>
      <c r="L8" s="38">
        <f>12*2*0.2</f>
        <v>4.8000000000000007</v>
      </c>
      <c r="M8" s="98">
        <v>26159.38</v>
      </c>
      <c r="N8" s="38">
        <f>12*2*0.2</f>
        <v>4.8000000000000007</v>
      </c>
      <c r="O8" s="98">
        <v>39393.769999999997</v>
      </c>
      <c r="P8" s="38">
        <f>12*2*0.2</f>
        <v>4.8000000000000007</v>
      </c>
      <c r="Q8" s="98">
        <f>53462.5-14400</f>
        <v>39062.5</v>
      </c>
      <c r="R8" s="38">
        <f>SUM(12*2*0.25)</f>
        <v>6</v>
      </c>
      <c r="S8" s="38">
        <f>R8*J8</f>
        <v>54000</v>
      </c>
      <c r="T8" s="38">
        <v>1.0068888888888889</v>
      </c>
      <c r="U8" s="38">
        <f>T8*J8</f>
        <v>9062</v>
      </c>
      <c r="V8" s="38">
        <f>SUM(K8+M8+O8+Q8+S8+U8)</f>
        <v>170302.65</v>
      </c>
      <c r="W8" s="38">
        <v>0</v>
      </c>
      <c r="X8" s="38">
        <f>SUM(V8:W8)</f>
        <v>170302.65</v>
      </c>
      <c r="Y8" s="39"/>
    </row>
    <row r="9" spans="1:26" s="111" customFormat="1" ht="11.25" customHeight="1" x14ac:dyDescent="0.35">
      <c r="C9" s="112"/>
      <c r="F9" s="113" t="s">
        <v>493</v>
      </c>
      <c r="G9" s="113" t="s">
        <v>129</v>
      </c>
      <c r="H9" s="114" t="s">
        <v>36</v>
      </c>
      <c r="I9" s="115">
        <f>SUM(12*2*0.04)</f>
        <v>0.96</v>
      </c>
      <c r="J9" s="116">
        <v>9000</v>
      </c>
      <c r="K9" s="116"/>
      <c r="L9" s="115"/>
      <c r="M9" s="116"/>
      <c r="N9" s="116"/>
      <c r="O9" s="117"/>
      <c r="R9" s="116">
        <f>SUM(12*2*0.04)</f>
        <v>0.96</v>
      </c>
      <c r="S9" s="116">
        <f>J9*R9</f>
        <v>8640</v>
      </c>
      <c r="T9" s="116">
        <v>0.66779999999999995</v>
      </c>
      <c r="U9" s="116">
        <f>J9*T9</f>
        <v>6010.2</v>
      </c>
      <c r="V9" s="116">
        <f>SUM(K9+M9+O9+Q9+S9+U9)</f>
        <v>14650.2</v>
      </c>
      <c r="X9" s="116">
        <f>SUM(V9:W9)</f>
        <v>14650.2</v>
      </c>
    </row>
    <row r="10" spans="1:26" ht="12" customHeight="1" x14ac:dyDescent="0.4">
      <c r="F10" s="29" t="s">
        <v>64</v>
      </c>
      <c r="G10" s="29"/>
      <c r="H10" s="37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9"/>
    </row>
    <row r="11" spans="1:26" ht="12" customHeight="1" x14ac:dyDescent="0.35">
      <c r="A11" s="34" t="s">
        <v>245</v>
      </c>
      <c r="B11" s="34">
        <v>7370</v>
      </c>
      <c r="C11" s="35">
        <v>0</v>
      </c>
      <c r="D11" s="34" t="s">
        <v>240</v>
      </c>
      <c r="E11" s="34" t="s">
        <v>494</v>
      </c>
      <c r="F11" s="20" t="s">
        <v>495</v>
      </c>
      <c r="G11" s="36" t="s">
        <v>69</v>
      </c>
      <c r="H11" s="37" t="s">
        <v>36</v>
      </c>
      <c r="I11" s="38">
        <f>12*0.2</f>
        <v>2.4000000000000004</v>
      </c>
      <c r="J11" s="38">
        <v>9583</v>
      </c>
      <c r="K11" s="98">
        <v>21970.44</v>
      </c>
      <c r="L11" s="38">
        <f>12*0.2</f>
        <v>2.4000000000000004</v>
      </c>
      <c r="M11" s="98">
        <v>46876.98</v>
      </c>
      <c r="N11" s="38">
        <f>12*0.2</f>
        <v>2.4000000000000004</v>
      </c>
      <c r="O11" s="98">
        <v>60000.99</v>
      </c>
      <c r="P11" s="38">
        <f>12*0.2</f>
        <v>2.4000000000000004</v>
      </c>
      <c r="Q11" s="98">
        <v>69940.800000000003</v>
      </c>
      <c r="R11" s="38">
        <f>12*0.2</f>
        <v>2.4000000000000004</v>
      </c>
      <c r="S11" s="38">
        <f>J11*R11</f>
        <v>22999.200000000004</v>
      </c>
      <c r="T11" s="38">
        <f>3*0.2</f>
        <v>0.60000000000000009</v>
      </c>
      <c r="U11" s="38">
        <f>T11*J11</f>
        <v>5749.8000000000011</v>
      </c>
      <c r="V11" s="38">
        <f>SUM(K11+M11+O11+Q11+S11+U11)</f>
        <v>227538.21000000002</v>
      </c>
      <c r="W11" s="38">
        <v>0</v>
      </c>
      <c r="X11" s="38">
        <f>SUM(V11:W11)</f>
        <v>227538.21000000002</v>
      </c>
      <c r="Y11" s="39"/>
    </row>
    <row r="12" spans="1:26" ht="12" customHeight="1" x14ac:dyDescent="0.35">
      <c r="A12" s="34" t="s">
        <v>245</v>
      </c>
      <c r="B12" s="34">
        <v>7370</v>
      </c>
      <c r="C12" s="35">
        <v>0</v>
      </c>
      <c r="D12" s="34" t="s">
        <v>240</v>
      </c>
      <c r="E12" s="34" t="s">
        <v>496</v>
      </c>
      <c r="F12" s="36" t="s">
        <v>497</v>
      </c>
      <c r="G12" s="36" t="s">
        <v>69</v>
      </c>
      <c r="H12" s="37" t="s">
        <v>36</v>
      </c>
      <c r="I12" s="38">
        <f>12*0.2</f>
        <v>2.4000000000000004</v>
      </c>
      <c r="J12" s="38">
        <v>9000</v>
      </c>
      <c r="K12" s="98">
        <v>2256.91</v>
      </c>
      <c r="L12" s="38">
        <f>12*0.1</f>
        <v>1.2000000000000002</v>
      </c>
      <c r="M12" s="98">
        <v>10929.23</v>
      </c>
      <c r="N12" s="38">
        <f>12*0.1</f>
        <v>1.2000000000000002</v>
      </c>
      <c r="O12" s="98">
        <v>4678.95</v>
      </c>
      <c r="P12" s="38">
        <f>12*0.1</f>
        <v>1.2000000000000002</v>
      </c>
      <c r="Q12" s="98">
        <v>20305.16</v>
      </c>
      <c r="R12" s="38">
        <f>12*0.05</f>
        <v>0.60000000000000009</v>
      </c>
      <c r="S12" s="38">
        <f t="shared" ref="S12:S15" si="0">J12*R12</f>
        <v>5400.0000000000009</v>
      </c>
      <c r="T12" s="38">
        <f>3*0.05</f>
        <v>0.15000000000000002</v>
      </c>
      <c r="U12" s="38">
        <f>T12*J12</f>
        <v>1350.0000000000002</v>
      </c>
      <c r="V12" s="38">
        <f>SUM(K12+M12+O12+Q12+S12+U12)</f>
        <v>44920.25</v>
      </c>
      <c r="W12" s="38">
        <v>0</v>
      </c>
      <c r="X12" s="38">
        <f>SUM(V12:W12)</f>
        <v>44920.25</v>
      </c>
      <c r="Y12" s="39"/>
    </row>
    <row r="13" spans="1:26" ht="12" customHeight="1" x14ac:dyDescent="0.35">
      <c r="A13" s="34" t="s">
        <v>245</v>
      </c>
      <c r="B13" s="34">
        <v>7370</v>
      </c>
      <c r="C13" s="35">
        <v>0</v>
      </c>
      <c r="D13" s="34" t="s">
        <v>240</v>
      </c>
      <c r="E13" s="34" t="s">
        <v>498</v>
      </c>
      <c r="F13" s="36" t="s">
        <v>499</v>
      </c>
      <c r="G13" s="36" t="s">
        <v>69</v>
      </c>
      <c r="H13" s="37" t="s">
        <v>36</v>
      </c>
      <c r="I13" s="38">
        <f>12*0.2</f>
        <v>2.4000000000000004</v>
      </c>
      <c r="J13" s="38">
        <v>6000</v>
      </c>
      <c r="K13" s="98">
        <v>9234.4599999999991</v>
      </c>
      <c r="L13" s="38">
        <f>12*0.15</f>
        <v>1.7999999999999998</v>
      </c>
      <c r="M13" s="98">
        <v>5020.0600000000004</v>
      </c>
      <c r="N13" s="38">
        <f>12*0.15</f>
        <v>1.7999999999999998</v>
      </c>
      <c r="O13" s="98">
        <v>2339.62</v>
      </c>
      <c r="P13" s="38">
        <f>12*0.15</f>
        <v>1.7999999999999998</v>
      </c>
      <c r="Q13" s="98">
        <v>9556.1200000000008</v>
      </c>
      <c r="R13" s="38">
        <f>12*0.05</f>
        <v>0.60000000000000009</v>
      </c>
      <c r="S13" s="38">
        <f t="shared" si="0"/>
        <v>3600.0000000000005</v>
      </c>
      <c r="T13" s="38">
        <f>3*0.05</f>
        <v>0.15000000000000002</v>
      </c>
      <c r="U13" s="38">
        <f>T13*J13</f>
        <v>900.00000000000011</v>
      </c>
      <c r="V13" s="38">
        <f>SUM(K13+M13+O13+Q13+S13+U13)</f>
        <v>30650.260000000002</v>
      </c>
      <c r="W13" s="38">
        <v>0</v>
      </c>
      <c r="X13" s="38">
        <f>SUM(V13:W13)</f>
        <v>30650.260000000002</v>
      </c>
      <c r="Y13" s="39"/>
    </row>
    <row r="14" spans="1:26" ht="12" customHeight="1" x14ac:dyDescent="0.35">
      <c r="A14" s="34" t="s">
        <v>245</v>
      </c>
      <c r="B14" s="34">
        <v>7370</v>
      </c>
      <c r="C14" s="35">
        <v>0</v>
      </c>
      <c r="D14" s="34" t="s">
        <v>240</v>
      </c>
      <c r="E14" s="34" t="s">
        <v>500</v>
      </c>
      <c r="F14" s="20" t="s">
        <v>501</v>
      </c>
      <c r="G14" s="36" t="s">
        <v>69</v>
      </c>
      <c r="H14" s="37" t="s">
        <v>36</v>
      </c>
      <c r="I14" s="38">
        <f>12*0.1</f>
        <v>1.2000000000000002</v>
      </c>
      <c r="J14" s="38">
        <v>7500</v>
      </c>
      <c r="K14" s="98">
        <v>22494.65</v>
      </c>
      <c r="L14" s="38">
        <f>12*0.1</f>
        <v>1.2000000000000002</v>
      </c>
      <c r="M14" s="98">
        <v>2268.4299999999998</v>
      </c>
      <c r="N14" s="38">
        <f>12*0.1</f>
        <v>1.2000000000000002</v>
      </c>
      <c r="O14" s="98">
        <v>4228.7299999999996</v>
      </c>
      <c r="P14" s="38">
        <f>12*0.1</f>
        <v>1.2000000000000002</v>
      </c>
      <c r="Q14" s="38">
        <v>0</v>
      </c>
      <c r="R14" s="38">
        <f>1</f>
        <v>1</v>
      </c>
      <c r="S14" s="38">
        <f t="shared" si="0"/>
        <v>7500</v>
      </c>
      <c r="T14" s="38">
        <f>3*0.1</f>
        <v>0.30000000000000004</v>
      </c>
      <c r="U14" s="38">
        <f>T14*J14</f>
        <v>2250.0000000000005</v>
      </c>
      <c r="V14" s="38">
        <f>SUM(K14+M14+O14+Q14+S14+U14)</f>
        <v>38741.81</v>
      </c>
      <c r="W14" s="38">
        <v>0</v>
      </c>
      <c r="X14" s="38">
        <f>SUM(V14:W14)</f>
        <v>38741.81</v>
      </c>
      <c r="Y14" s="39"/>
    </row>
    <row r="15" spans="1:26" ht="12" customHeight="1" x14ac:dyDescent="0.35">
      <c r="A15" s="34" t="s">
        <v>245</v>
      </c>
      <c r="B15" s="34">
        <v>7370</v>
      </c>
      <c r="C15" s="35">
        <v>0</v>
      </c>
      <c r="D15" s="34" t="s">
        <v>240</v>
      </c>
      <c r="E15" s="34" t="s">
        <v>502</v>
      </c>
      <c r="F15" s="36" t="s">
        <v>503</v>
      </c>
      <c r="G15" s="36" t="s">
        <v>69</v>
      </c>
      <c r="H15" s="37" t="s">
        <v>36</v>
      </c>
      <c r="I15" s="38">
        <f>12*0.1</f>
        <v>1.2000000000000002</v>
      </c>
      <c r="J15" s="38">
        <v>6958</v>
      </c>
      <c r="K15" s="97">
        <v>17.02</v>
      </c>
      <c r="L15" s="38">
        <f>12*0.1</f>
        <v>1.2000000000000002</v>
      </c>
      <c r="M15" s="98">
        <v>6330.03</v>
      </c>
      <c r="N15" s="38">
        <f>12*0.1</f>
        <v>1.2000000000000002</v>
      </c>
      <c r="O15" s="98">
        <v>13464.75</v>
      </c>
      <c r="P15" s="38">
        <f>12*0.1</f>
        <v>1.2000000000000002</v>
      </c>
      <c r="Q15" s="98">
        <v>14687.98</v>
      </c>
      <c r="R15" s="38">
        <f>12*0.075</f>
        <v>0.89999999999999991</v>
      </c>
      <c r="S15" s="38">
        <f t="shared" si="0"/>
        <v>6262.2</v>
      </c>
      <c r="T15" s="38">
        <f>3*0.075</f>
        <v>0.22499999999999998</v>
      </c>
      <c r="U15" s="38">
        <f>T15*J15</f>
        <v>1565.55</v>
      </c>
      <c r="V15" s="38">
        <f>SUM(K15+M15+O15+Q15+S15+U15)</f>
        <v>42327.53</v>
      </c>
      <c r="W15" s="38">
        <v>0</v>
      </c>
      <c r="X15" s="38">
        <f>SUM(V15:W15)</f>
        <v>42327.53</v>
      </c>
      <c r="Y15" s="39"/>
    </row>
    <row r="16" spans="1:26" ht="12" customHeight="1" x14ac:dyDescent="0.35">
      <c r="F16" s="36"/>
      <c r="G16" s="36"/>
      <c r="H16" s="37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9"/>
    </row>
    <row r="17" spans="1:25" ht="12" customHeight="1" x14ac:dyDescent="0.4">
      <c r="F17" s="29" t="s">
        <v>72</v>
      </c>
      <c r="G17" s="29"/>
      <c r="H17" s="30"/>
      <c r="I17" s="40"/>
      <c r="J17" s="40"/>
      <c r="K17" s="100">
        <f>SUM(K7:K15)</f>
        <v>91914.12999999999</v>
      </c>
      <c r="L17" s="40"/>
      <c r="M17" s="40">
        <f>SUM(M7:M15)</f>
        <v>199150.98</v>
      </c>
      <c r="N17" s="40"/>
      <c r="O17" s="40">
        <f>SUM(O7:O15)</f>
        <v>251869.34</v>
      </c>
      <c r="P17" s="40"/>
      <c r="Q17" s="40">
        <f>SUM(Q7:Q15)</f>
        <v>284824.44</v>
      </c>
      <c r="R17" s="40"/>
      <c r="S17" s="40">
        <f>SUM(S7:S15)</f>
        <v>162401.40000000002</v>
      </c>
      <c r="T17" s="40"/>
      <c r="U17" s="40">
        <f>SUM(U7:U15)</f>
        <v>34237.550000000003</v>
      </c>
      <c r="V17" s="40">
        <f>SUM(K17+M17+O17+Q17+S17+U17)</f>
        <v>1024397.84</v>
      </c>
      <c r="W17" s="40">
        <v>0</v>
      </c>
      <c r="X17" s="40">
        <f>SUM(V17:W17)</f>
        <v>1024397.84</v>
      </c>
      <c r="Y17" s="39"/>
    </row>
    <row r="18" spans="1:25" ht="12" customHeight="1" x14ac:dyDescent="0.4">
      <c r="F18" s="29"/>
      <c r="G18" s="29"/>
      <c r="H18" s="3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38"/>
      <c r="W18" s="40"/>
      <c r="X18" s="40"/>
      <c r="Y18" s="39"/>
    </row>
    <row r="19" spans="1:25" ht="12" customHeight="1" x14ac:dyDescent="0.35">
      <c r="A19" s="34" t="s">
        <v>239</v>
      </c>
      <c r="B19" s="34">
        <v>7370</v>
      </c>
      <c r="C19" s="35" t="s">
        <v>32</v>
      </c>
      <c r="D19" s="34" t="s">
        <v>240</v>
      </c>
      <c r="E19" s="34" t="s">
        <v>504</v>
      </c>
      <c r="F19" s="36" t="s">
        <v>76</v>
      </c>
      <c r="G19" s="36" t="s">
        <v>34</v>
      </c>
      <c r="H19" s="37"/>
      <c r="I19" s="38"/>
      <c r="J19" s="42">
        <v>0.1</v>
      </c>
      <c r="K19" s="38">
        <v>0</v>
      </c>
      <c r="L19" s="38"/>
      <c r="M19" s="38">
        <v>0</v>
      </c>
      <c r="N19" s="38"/>
      <c r="O19" s="38">
        <v>0</v>
      </c>
      <c r="P19" s="38"/>
      <c r="Q19" s="38">
        <v>0</v>
      </c>
      <c r="R19" s="38"/>
      <c r="S19" s="38">
        <f>$J$19*SUM(S7)</f>
        <v>5400</v>
      </c>
      <c r="T19" s="38"/>
      <c r="U19" s="38">
        <f>$J$19*SUM(U7)</f>
        <v>735</v>
      </c>
      <c r="V19" s="38">
        <f>SUM(K19+M19+O19+Q19+S19+U19)</f>
        <v>6135</v>
      </c>
      <c r="W19" s="38">
        <v>0</v>
      </c>
      <c r="X19" s="38">
        <f>SUM(V19:W19)</f>
        <v>6135</v>
      </c>
      <c r="Y19" s="39"/>
    </row>
    <row r="20" spans="1:25" ht="12" customHeight="1" x14ac:dyDescent="0.35">
      <c r="A20" s="34" t="s">
        <v>243</v>
      </c>
      <c r="B20" s="34">
        <v>7370</v>
      </c>
      <c r="C20" s="35" t="s">
        <v>58</v>
      </c>
      <c r="D20" s="34" t="s">
        <v>240</v>
      </c>
      <c r="E20" s="34" t="s">
        <v>505</v>
      </c>
      <c r="F20" s="36" t="s">
        <v>506</v>
      </c>
      <c r="G20" s="36" t="s">
        <v>55</v>
      </c>
      <c r="H20" s="37"/>
      <c r="I20" s="38"/>
      <c r="J20" s="42">
        <v>0.1</v>
      </c>
      <c r="K20" s="38">
        <v>0</v>
      </c>
      <c r="L20" s="38"/>
      <c r="M20" s="38">
        <v>0</v>
      </c>
      <c r="N20" s="38"/>
      <c r="O20" s="38">
        <v>0</v>
      </c>
      <c r="P20" s="38"/>
      <c r="Q20" s="38">
        <v>0</v>
      </c>
      <c r="R20" s="38"/>
      <c r="S20" s="38">
        <f>$J$20*SUM(S8)</f>
        <v>5400</v>
      </c>
      <c r="T20" s="38"/>
      <c r="U20" s="38">
        <f>$J$20*SUM(U8)</f>
        <v>906.2</v>
      </c>
      <c r="V20" s="38">
        <f>SUM(K20+M20+O20+Q20+S20+U20)</f>
        <v>6306.2</v>
      </c>
      <c r="W20" s="38">
        <v>0</v>
      </c>
      <c r="X20" s="38">
        <f>SUM(V20:W20)</f>
        <v>6306.2</v>
      </c>
      <c r="Y20" s="43"/>
    </row>
    <row r="21" spans="1:25" s="111" customFormat="1" ht="11.25" customHeight="1" x14ac:dyDescent="0.35">
      <c r="A21" s="118"/>
      <c r="B21" s="118"/>
      <c r="C21" s="119"/>
      <c r="D21" s="118"/>
      <c r="E21" s="118"/>
      <c r="F21" s="113" t="s">
        <v>507</v>
      </c>
      <c r="G21" s="113" t="s">
        <v>129</v>
      </c>
      <c r="H21" s="114"/>
      <c r="I21" s="116"/>
      <c r="J21" s="120">
        <v>0.1</v>
      </c>
      <c r="K21" s="116"/>
      <c r="L21" s="116"/>
      <c r="M21" s="116"/>
      <c r="N21" s="116">
        <f t="shared" ref="N21" si="1">SUM(K21+M21)</f>
        <v>0</v>
      </c>
      <c r="O21" s="121"/>
      <c r="R21" s="129"/>
      <c r="S21" s="130">
        <f>J21*S9</f>
        <v>864</v>
      </c>
      <c r="U21" s="130">
        <f>J21*U9</f>
        <v>601.02</v>
      </c>
      <c r="V21" s="116">
        <f>SUM(K21+M21+O21+Q21+S21+U21)</f>
        <v>1465.02</v>
      </c>
      <c r="X21" s="116">
        <f>SUM(V21:W21)</f>
        <v>1465.02</v>
      </c>
    </row>
    <row r="22" spans="1:25" ht="12" customHeight="1" x14ac:dyDescent="0.35">
      <c r="A22" s="34" t="s">
        <v>245</v>
      </c>
      <c r="B22" s="34">
        <v>7370</v>
      </c>
      <c r="C22" s="35">
        <v>0</v>
      </c>
      <c r="D22" s="34" t="s">
        <v>240</v>
      </c>
      <c r="E22" s="34" t="s">
        <v>508</v>
      </c>
      <c r="F22" s="36" t="s">
        <v>80</v>
      </c>
      <c r="G22" s="36" t="s">
        <v>69</v>
      </c>
      <c r="H22" s="37"/>
      <c r="I22" s="38"/>
      <c r="J22" s="44">
        <v>0.28999999999999998</v>
      </c>
      <c r="K22" s="98">
        <v>14379.07</v>
      </c>
      <c r="L22" s="38"/>
      <c r="M22" s="98">
        <v>17856.18</v>
      </c>
      <c r="N22" s="38"/>
      <c r="O22" s="98">
        <v>20792.57</v>
      </c>
      <c r="P22" s="38"/>
      <c r="Q22" s="98">
        <v>29912.45</v>
      </c>
      <c r="R22" s="38"/>
      <c r="S22" s="38">
        <f>$J$22*SUM(S11:S15)</f>
        <v>13270.805999999999</v>
      </c>
      <c r="T22" s="38"/>
      <c r="U22" s="38">
        <f>$J$22*SUM(U11:U15)</f>
        <v>3426.4514999999997</v>
      </c>
      <c r="V22" s="38">
        <f>SUM(K22+M22+O22+Q22+S22+U22)</f>
        <v>99637.527499999997</v>
      </c>
      <c r="W22" s="38">
        <v>0</v>
      </c>
      <c r="X22" s="38">
        <f>SUM(V22:W22)</f>
        <v>99637.527499999997</v>
      </c>
      <c r="Y22" s="43"/>
    </row>
    <row r="23" spans="1:25" ht="12" customHeight="1" x14ac:dyDescent="0.35">
      <c r="H23" s="45"/>
      <c r="I23" s="46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8"/>
      <c r="X23" s="33"/>
      <c r="Y23" s="39"/>
    </row>
    <row r="24" spans="1:25" ht="12" customHeight="1" thickBot="1" x14ac:dyDescent="0.45">
      <c r="F24" s="47" t="s">
        <v>81</v>
      </c>
      <c r="G24" s="47"/>
      <c r="H24" s="48"/>
      <c r="I24" s="48"/>
      <c r="J24" s="49"/>
      <c r="K24" s="101">
        <f>SUM(K17:K22)</f>
        <v>106293.19999999998</v>
      </c>
      <c r="L24" s="50"/>
      <c r="M24" s="101">
        <f>SUM(M17:M22)</f>
        <v>217007.16</v>
      </c>
      <c r="N24" s="101"/>
      <c r="O24" s="101">
        <f>SUM(O17:O22)</f>
        <v>272661.90999999997</v>
      </c>
      <c r="P24" s="101"/>
      <c r="Q24" s="101">
        <f>SUM(Q17:Q22)</f>
        <v>314736.89</v>
      </c>
      <c r="R24" s="50"/>
      <c r="S24" s="50">
        <f>SUM(S17:S22)</f>
        <v>187336.20600000003</v>
      </c>
      <c r="T24" s="50"/>
      <c r="U24" s="50">
        <f>SUM(U17:U22)</f>
        <v>39906.2215</v>
      </c>
      <c r="V24" s="50">
        <f>K24+M24+O24+Q24+S24+U24</f>
        <v>1137941.5875000001</v>
      </c>
      <c r="W24" s="50">
        <f>SUM(W7:W22)</f>
        <v>0</v>
      </c>
      <c r="X24" s="51">
        <f>SUM(V24:W24)</f>
        <v>1137941.5875000001</v>
      </c>
    </row>
    <row r="25" spans="1:25" ht="12" customHeight="1" x14ac:dyDescent="0.4">
      <c r="F25" s="52" t="s">
        <v>82</v>
      </c>
      <c r="G25" s="52"/>
      <c r="H25" s="53"/>
      <c r="I25" s="53"/>
      <c r="J25" s="54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6"/>
    </row>
    <row r="26" spans="1:25" ht="12" customHeight="1" x14ac:dyDescent="0.4">
      <c r="F26" s="57" t="s">
        <v>509</v>
      </c>
      <c r="G26" s="57"/>
      <c r="H26" s="58"/>
      <c r="I26" s="58"/>
      <c r="J26" s="59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1"/>
    </row>
    <row r="27" spans="1:25" ht="12" customHeight="1" x14ac:dyDescent="0.35">
      <c r="A27" s="34" t="s">
        <v>239</v>
      </c>
      <c r="B27" s="34">
        <v>7370</v>
      </c>
      <c r="C27" s="35" t="s">
        <v>32</v>
      </c>
      <c r="D27" s="34" t="s">
        <v>240</v>
      </c>
      <c r="E27" s="34" t="s">
        <v>510</v>
      </c>
      <c r="F27" s="41" t="s">
        <v>511</v>
      </c>
      <c r="G27" s="41" t="s">
        <v>34</v>
      </c>
      <c r="H27" s="62" t="s">
        <v>87</v>
      </c>
      <c r="I27" s="38">
        <f>2*2</f>
        <v>4</v>
      </c>
      <c r="J27" s="38">
        <v>1200</v>
      </c>
      <c r="K27" s="98">
        <v>3370.75</v>
      </c>
      <c r="L27" s="38">
        <f>2*1</f>
        <v>2</v>
      </c>
      <c r="M27" s="98">
        <v>1304.55</v>
      </c>
      <c r="N27" s="38">
        <f>2*1</f>
        <v>2</v>
      </c>
      <c r="O27" s="97">
        <v>362.9</v>
      </c>
      <c r="P27" s="38">
        <f>2*1</f>
        <v>2</v>
      </c>
      <c r="Q27" s="132">
        <v>3054.81</v>
      </c>
      <c r="R27" s="38">
        <v>1</v>
      </c>
      <c r="S27" s="38">
        <f>R27*J27</f>
        <v>1200</v>
      </c>
      <c r="T27" s="38">
        <v>1</v>
      </c>
      <c r="U27" s="38">
        <f>T27*J27</f>
        <v>1200</v>
      </c>
      <c r="V27" s="38">
        <f>K27+M27+O27+Q27+S27+U27</f>
        <v>10493.01</v>
      </c>
      <c r="W27" s="38">
        <v>0</v>
      </c>
      <c r="X27" s="38">
        <f>SUM(V27:W27)</f>
        <v>10493.01</v>
      </c>
    </row>
    <row r="28" spans="1:25" ht="14.1" customHeight="1" x14ac:dyDescent="0.35">
      <c r="A28" s="34" t="s">
        <v>239</v>
      </c>
      <c r="B28" s="34">
        <v>7370</v>
      </c>
      <c r="C28" s="35" t="s">
        <v>32</v>
      </c>
      <c r="D28" s="34" t="s">
        <v>240</v>
      </c>
      <c r="E28" s="34" t="s">
        <v>512</v>
      </c>
      <c r="F28" s="41" t="s">
        <v>513</v>
      </c>
      <c r="G28" s="20" t="s">
        <v>34</v>
      </c>
      <c r="H28" s="62" t="s">
        <v>91</v>
      </c>
      <c r="I28" s="38">
        <f>2*2*6</f>
        <v>24</v>
      </c>
      <c r="J28" s="38">
        <v>150</v>
      </c>
      <c r="K28" s="98">
        <v>2347.1</v>
      </c>
      <c r="L28" s="38">
        <f>2*1*6</f>
        <v>12</v>
      </c>
      <c r="M28" s="97">
        <v>740.3</v>
      </c>
      <c r="N28" s="38">
        <f>2*1*6</f>
        <v>12</v>
      </c>
      <c r="O28" s="38">
        <v>0</v>
      </c>
      <c r="P28" s="38">
        <f>2*1*6</f>
        <v>12</v>
      </c>
      <c r="Q28" s="132">
        <v>1517.03</v>
      </c>
      <c r="R28" s="38">
        <v>6</v>
      </c>
      <c r="S28" s="38">
        <f t="shared" ref="S28:S47" si="2">R28*J28</f>
        <v>900</v>
      </c>
      <c r="T28" s="38">
        <f>1*6</f>
        <v>6</v>
      </c>
      <c r="U28" s="38">
        <f t="shared" ref="U28:U29" si="3">T28*J28</f>
        <v>900</v>
      </c>
      <c r="V28" s="38">
        <f>K28+M28+O28+Q28+S28+U28</f>
        <v>6404.4299999999994</v>
      </c>
      <c r="W28" s="38">
        <v>0</v>
      </c>
      <c r="X28" s="38">
        <f>SUM(V28:W28)</f>
        <v>6404.4299999999994</v>
      </c>
    </row>
    <row r="29" spans="1:25" ht="12" customHeight="1" x14ac:dyDescent="0.35">
      <c r="A29" s="34" t="s">
        <v>239</v>
      </c>
      <c r="B29" s="34">
        <v>7370</v>
      </c>
      <c r="C29" s="35" t="s">
        <v>32</v>
      </c>
      <c r="D29" s="34" t="s">
        <v>240</v>
      </c>
      <c r="E29" s="34" t="s">
        <v>514</v>
      </c>
      <c r="F29" s="41" t="s">
        <v>515</v>
      </c>
      <c r="G29" s="20" t="s">
        <v>34</v>
      </c>
      <c r="H29" s="62" t="s">
        <v>91</v>
      </c>
      <c r="I29" s="38">
        <f>2*6</f>
        <v>12</v>
      </c>
      <c r="J29" s="38">
        <v>100</v>
      </c>
      <c r="K29" s="97">
        <v>178.71</v>
      </c>
      <c r="L29" s="38">
        <f>1*6</f>
        <v>6</v>
      </c>
      <c r="M29" s="97">
        <v>293.64</v>
      </c>
      <c r="N29" s="38">
        <f>1*6</f>
        <v>6</v>
      </c>
      <c r="O29" s="38">
        <v>0</v>
      </c>
      <c r="P29" s="38">
        <f>1*6</f>
        <v>6</v>
      </c>
      <c r="Q29" s="132">
        <v>213.14</v>
      </c>
      <c r="R29" s="38">
        <v>6</v>
      </c>
      <c r="S29" s="38">
        <f t="shared" si="2"/>
        <v>600</v>
      </c>
      <c r="T29" s="38">
        <f>1*6</f>
        <v>6</v>
      </c>
      <c r="U29" s="38">
        <f t="shared" si="3"/>
        <v>600</v>
      </c>
      <c r="V29" s="38">
        <f>K29+M29+O29+Q28+S29+U29</f>
        <v>3189.38</v>
      </c>
      <c r="W29" s="38">
        <v>0</v>
      </c>
      <c r="X29" s="38">
        <f>SUM(V29:W29)</f>
        <v>3189.38</v>
      </c>
    </row>
    <row r="30" spans="1:25" ht="12" customHeight="1" x14ac:dyDescent="0.4">
      <c r="A30" s="34" t="s">
        <v>239</v>
      </c>
      <c r="B30" s="34">
        <v>7370</v>
      </c>
      <c r="C30" s="35" t="s">
        <v>32</v>
      </c>
      <c r="D30" s="34" t="s">
        <v>240</v>
      </c>
      <c r="E30" s="34" t="s">
        <v>516</v>
      </c>
      <c r="F30" s="41" t="s">
        <v>104</v>
      </c>
      <c r="G30" s="20" t="s">
        <v>34</v>
      </c>
      <c r="H30" s="62" t="s">
        <v>87</v>
      </c>
      <c r="I30" s="38">
        <v>2</v>
      </c>
      <c r="J30" s="38">
        <v>100</v>
      </c>
      <c r="K30" s="106">
        <v>0</v>
      </c>
      <c r="L30" s="38">
        <v>1</v>
      </c>
      <c r="M30" s="38">
        <v>0</v>
      </c>
      <c r="N30" s="38">
        <v>1</v>
      </c>
      <c r="O30" s="38">
        <v>0</v>
      </c>
      <c r="P30" s="38">
        <v>1</v>
      </c>
      <c r="Q30" s="33">
        <v>0</v>
      </c>
      <c r="R30" s="38">
        <v>0</v>
      </c>
      <c r="S30" s="38">
        <f t="shared" si="2"/>
        <v>0</v>
      </c>
      <c r="T30" s="38"/>
      <c r="U30" s="38"/>
      <c r="V30" s="38">
        <f>K30+M30+O30+Q30+S30+U30</f>
        <v>0</v>
      </c>
      <c r="W30" s="38">
        <v>0</v>
      </c>
      <c r="X30" s="38">
        <f>SUM(V30:W30)</f>
        <v>0</v>
      </c>
    </row>
    <row r="31" spans="1:25" ht="12" customHeight="1" x14ac:dyDescent="0.35">
      <c r="F31" s="57" t="s">
        <v>517</v>
      </c>
      <c r="G31" s="63"/>
      <c r="H31" s="64"/>
      <c r="I31" s="65"/>
      <c r="J31" s="65"/>
      <c r="K31" s="65"/>
      <c r="L31" s="65"/>
      <c r="M31" s="65"/>
      <c r="N31" s="65"/>
      <c r="O31" s="65"/>
      <c r="P31" s="65"/>
      <c r="Q31" s="133"/>
      <c r="R31" s="65"/>
      <c r="S31" s="65"/>
      <c r="T31" s="65"/>
      <c r="U31" s="65"/>
      <c r="V31" s="65"/>
      <c r="W31" s="65"/>
      <c r="X31" s="65"/>
    </row>
    <row r="32" spans="1:25" ht="12" customHeight="1" x14ac:dyDescent="0.35">
      <c r="A32" s="34" t="s">
        <v>243</v>
      </c>
      <c r="B32" s="34">
        <v>7370</v>
      </c>
      <c r="C32" s="35" t="s">
        <v>58</v>
      </c>
      <c r="D32" s="34" t="s">
        <v>240</v>
      </c>
      <c r="E32" s="34" t="s">
        <v>518</v>
      </c>
      <c r="F32" s="41" t="s">
        <v>519</v>
      </c>
      <c r="G32" s="41" t="s">
        <v>55</v>
      </c>
      <c r="H32" s="62" t="s">
        <v>87</v>
      </c>
      <c r="I32" s="38">
        <f>2*1</f>
        <v>2</v>
      </c>
      <c r="J32" s="38">
        <v>1200</v>
      </c>
      <c r="K32" s="97">
        <v>813.28</v>
      </c>
      <c r="L32" s="38">
        <f>2*1</f>
        <v>2</v>
      </c>
      <c r="M32" s="38">
        <v>0</v>
      </c>
      <c r="N32" s="38">
        <f>2*1</f>
        <v>2</v>
      </c>
      <c r="O32" s="38">
        <v>0</v>
      </c>
      <c r="P32" s="38">
        <f>2*1</f>
        <v>2</v>
      </c>
      <c r="Q32" s="33">
        <v>0</v>
      </c>
      <c r="R32" s="38">
        <v>1</v>
      </c>
      <c r="S32" s="38">
        <f t="shared" si="2"/>
        <v>1200</v>
      </c>
      <c r="T32" s="38">
        <v>1</v>
      </c>
      <c r="U32" s="38">
        <f t="shared" ref="U32:U35" si="4">T32*J32</f>
        <v>1200</v>
      </c>
      <c r="V32" s="38">
        <f>K32+M32+O32+Q32+S32+U32</f>
        <v>3213.2799999999997</v>
      </c>
      <c r="W32" s="38">
        <v>0</v>
      </c>
      <c r="X32" s="38">
        <f>SUM(V32:W32)</f>
        <v>3213.2799999999997</v>
      </c>
    </row>
    <row r="33" spans="1:24" ht="14.1" customHeight="1" x14ac:dyDescent="0.35">
      <c r="A33" s="34" t="s">
        <v>243</v>
      </c>
      <c r="B33" s="34">
        <v>7370</v>
      </c>
      <c r="C33" s="35" t="s">
        <v>58</v>
      </c>
      <c r="D33" s="34" t="s">
        <v>240</v>
      </c>
      <c r="E33" s="34" t="s">
        <v>520</v>
      </c>
      <c r="F33" s="41" t="s">
        <v>513</v>
      </c>
      <c r="G33" s="20" t="s">
        <v>55</v>
      </c>
      <c r="H33" s="62" t="s">
        <v>91</v>
      </c>
      <c r="I33" s="38">
        <f>2*1*6</f>
        <v>12</v>
      </c>
      <c r="J33" s="38">
        <v>150</v>
      </c>
      <c r="K33" s="97">
        <v>943.21</v>
      </c>
      <c r="L33" s="38">
        <f>2*1*6</f>
        <v>12</v>
      </c>
      <c r="M33" s="38">
        <v>0</v>
      </c>
      <c r="N33" s="38">
        <f>2*1*6</f>
        <v>12</v>
      </c>
      <c r="O33" s="38">
        <v>0</v>
      </c>
      <c r="P33" s="38">
        <f>2*1*6</f>
        <v>12</v>
      </c>
      <c r="Q33" s="33">
        <v>0</v>
      </c>
      <c r="R33" s="38">
        <f>1*6</f>
        <v>6</v>
      </c>
      <c r="S33" s="38">
        <f t="shared" si="2"/>
        <v>900</v>
      </c>
      <c r="T33" s="38">
        <v>2</v>
      </c>
      <c r="U33" s="38">
        <f t="shared" si="4"/>
        <v>300</v>
      </c>
      <c r="V33" s="38">
        <f>K33+M33+O33+Q33+S33+U33</f>
        <v>2143.21</v>
      </c>
      <c r="W33" s="38">
        <v>0</v>
      </c>
      <c r="X33" s="38">
        <f>SUM(V33:W33)</f>
        <v>2143.21</v>
      </c>
    </row>
    <row r="34" spans="1:24" ht="12" customHeight="1" x14ac:dyDescent="0.35">
      <c r="A34" s="34" t="s">
        <v>243</v>
      </c>
      <c r="B34" s="34">
        <v>7370</v>
      </c>
      <c r="C34" s="35" t="s">
        <v>58</v>
      </c>
      <c r="D34" s="34" t="s">
        <v>240</v>
      </c>
      <c r="E34" s="34" t="s">
        <v>521</v>
      </c>
      <c r="F34" s="41" t="s">
        <v>515</v>
      </c>
      <c r="G34" s="41" t="s">
        <v>55</v>
      </c>
      <c r="H34" s="62" t="s">
        <v>91</v>
      </c>
      <c r="I34" s="38">
        <f>1*6</f>
        <v>6</v>
      </c>
      <c r="J34" s="38">
        <v>100</v>
      </c>
      <c r="K34" s="97">
        <v>109.3</v>
      </c>
      <c r="L34" s="38">
        <f>1*6</f>
        <v>6</v>
      </c>
      <c r="M34" s="38">
        <v>0</v>
      </c>
      <c r="N34" s="38">
        <f>1*6</f>
        <v>6</v>
      </c>
      <c r="O34" s="38">
        <v>0</v>
      </c>
      <c r="P34" s="38">
        <f>1*6</f>
        <v>6</v>
      </c>
      <c r="Q34" s="33">
        <v>0</v>
      </c>
      <c r="R34" s="38">
        <f>1*6</f>
        <v>6</v>
      </c>
      <c r="S34" s="38">
        <f t="shared" si="2"/>
        <v>600</v>
      </c>
      <c r="T34" s="38">
        <v>2</v>
      </c>
      <c r="U34" s="38">
        <f t="shared" si="4"/>
        <v>200</v>
      </c>
      <c r="V34" s="38">
        <f>K34+M34+O34+Q34+S34+U34</f>
        <v>909.3</v>
      </c>
      <c r="W34" s="38">
        <v>0</v>
      </c>
      <c r="X34" s="38">
        <f>SUM(V34:W34)</f>
        <v>909.3</v>
      </c>
    </row>
    <row r="35" spans="1:24" ht="12" customHeight="1" x14ac:dyDescent="0.35">
      <c r="A35" s="34" t="s">
        <v>243</v>
      </c>
      <c r="B35" s="34">
        <v>7370</v>
      </c>
      <c r="C35" s="35" t="s">
        <v>58</v>
      </c>
      <c r="D35" s="34" t="s">
        <v>240</v>
      </c>
      <c r="E35" s="34" t="s">
        <v>522</v>
      </c>
      <c r="F35" s="41" t="s">
        <v>104</v>
      </c>
      <c r="G35" s="20" t="s">
        <v>55</v>
      </c>
      <c r="H35" s="62" t="s">
        <v>87</v>
      </c>
      <c r="I35" s="38">
        <v>2</v>
      </c>
      <c r="J35" s="38">
        <v>100</v>
      </c>
      <c r="K35" s="38">
        <v>0</v>
      </c>
      <c r="L35" s="38">
        <v>1</v>
      </c>
      <c r="M35" s="38">
        <v>0</v>
      </c>
      <c r="N35" s="38">
        <v>1</v>
      </c>
      <c r="O35" s="38">
        <v>0</v>
      </c>
      <c r="P35" s="38">
        <v>1</v>
      </c>
      <c r="Q35" s="33">
        <v>0</v>
      </c>
      <c r="R35" s="38">
        <v>0</v>
      </c>
      <c r="S35" s="38">
        <f t="shared" si="2"/>
        <v>0</v>
      </c>
      <c r="T35" s="38">
        <v>0</v>
      </c>
      <c r="U35" s="38">
        <f t="shared" si="4"/>
        <v>0</v>
      </c>
      <c r="V35" s="38">
        <f>K35+M35+O35+Q35+S35+U35</f>
        <v>0</v>
      </c>
      <c r="W35" s="38">
        <v>0</v>
      </c>
      <c r="X35" s="38">
        <f>SUM(V35:W35)</f>
        <v>0</v>
      </c>
    </row>
    <row r="36" spans="1:24" ht="12" customHeight="1" x14ac:dyDescent="0.35">
      <c r="F36" s="57" t="s">
        <v>523</v>
      </c>
      <c r="G36" s="63"/>
      <c r="H36" s="64"/>
      <c r="I36" s="65"/>
      <c r="J36" s="65"/>
      <c r="K36" s="65"/>
      <c r="L36" s="65"/>
      <c r="M36" s="65"/>
      <c r="N36" s="65"/>
      <c r="O36" s="65"/>
      <c r="P36" s="65"/>
      <c r="Q36" s="133"/>
      <c r="R36" s="65"/>
      <c r="S36" s="65"/>
      <c r="T36" s="65"/>
      <c r="U36" s="65"/>
      <c r="V36" s="65"/>
      <c r="W36" s="65"/>
      <c r="X36" s="65"/>
    </row>
    <row r="37" spans="1:24" ht="12" customHeight="1" x14ac:dyDescent="0.35">
      <c r="A37" s="34" t="s">
        <v>239</v>
      </c>
      <c r="B37" s="34">
        <v>7370</v>
      </c>
      <c r="C37" s="35" t="s">
        <v>32</v>
      </c>
      <c r="D37" s="34" t="s">
        <v>240</v>
      </c>
      <c r="E37" s="34" t="s">
        <v>524</v>
      </c>
      <c r="F37" s="41" t="s">
        <v>525</v>
      </c>
      <c r="G37" s="41" t="s">
        <v>34</v>
      </c>
      <c r="H37" s="62" t="s">
        <v>87</v>
      </c>
      <c r="I37" s="38">
        <f>2*3</f>
        <v>6</v>
      </c>
      <c r="J37" s="38">
        <v>1000</v>
      </c>
      <c r="K37" s="98">
        <v>5129.71</v>
      </c>
      <c r="L37" s="38">
        <f>2*3</f>
        <v>6</v>
      </c>
      <c r="M37" s="98">
        <v>2398.2399999999998</v>
      </c>
      <c r="N37" s="38">
        <f>2*3</f>
        <v>6</v>
      </c>
      <c r="O37" s="98">
        <v>4358.2299999999996</v>
      </c>
      <c r="P37" s="38">
        <f>2*1</f>
        <v>2</v>
      </c>
      <c r="Q37" s="132">
        <f>19884.03-4632</f>
        <v>15252.029999999999</v>
      </c>
      <c r="R37" s="38">
        <v>3</v>
      </c>
      <c r="S37" s="38">
        <f>R37*J37</f>
        <v>3000</v>
      </c>
      <c r="T37" s="38">
        <f>2*1</f>
        <v>2</v>
      </c>
      <c r="U37" s="38">
        <f t="shared" ref="U37:U47" si="5">T37*J37</f>
        <v>2000</v>
      </c>
      <c r="V37" s="38">
        <f>K37+M37+O37+Q37+S37+U37</f>
        <v>32138.21</v>
      </c>
      <c r="W37" s="38">
        <v>0</v>
      </c>
      <c r="X37" s="38">
        <f>SUM(V37:W37)</f>
        <v>32138.21</v>
      </c>
    </row>
    <row r="38" spans="1:24" ht="12" customHeight="1" x14ac:dyDescent="0.35">
      <c r="A38" s="34" t="s">
        <v>239</v>
      </c>
      <c r="B38" s="34">
        <v>7370</v>
      </c>
      <c r="C38" s="35" t="s">
        <v>32</v>
      </c>
      <c r="D38" s="34" t="s">
        <v>240</v>
      </c>
      <c r="E38" s="34" t="s">
        <v>526</v>
      </c>
      <c r="F38" s="41" t="s">
        <v>513</v>
      </c>
      <c r="G38" s="20" t="s">
        <v>34</v>
      </c>
      <c r="H38" s="62" t="s">
        <v>91</v>
      </c>
      <c r="I38" s="38">
        <f>2*3*6</f>
        <v>36</v>
      </c>
      <c r="J38" s="38">
        <v>150</v>
      </c>
      <c r="K38" s="98">
        <v>2743.06</v>
      </c>
      <c r="L38" s="38">
        <f>2*3*6</f>
        <v>36</v>
      </c>
      <c r="M38" s="98">
        <v>1060.43</v>
      </c>
      <c r="N38" s="38">
        <f>2*3*6</f>
        <v>36</v>
      </c>
      <c r="O38" s="98">
        <v>6971.25</v>
      </c>
      <c r="P38" s="38">
        <f>2*1*6</f>
        <v>12</v>
      </c>
      <c r="Q38" s="132">
        <v>16109.19</v>
      </c>
      <c r="R38" s="38">
        <v>33.333333000000003</v>
      </c>
      <c r="S38" s="38">
        <f>R38*J38</f>
        <v>4999.9999500000004</v>
      </c>
      <c r="T38" s="38">
        <f>2*1*10</f>
        <v>20</v>
      </c>
      <c r="U38" s="38">
        <f t="shared" si="5"/>
        <v>3000</v>
      </c>
      <c r="V38" s="38">
        <f>K38+M38+O38+Q38+S38+U38</f>
        <v>34883.929950000005</v>
      </c>
      <c r="W38" s="38">
        <v>0</v>
      </c>
      <c r="X38" s="38">
        <f>SUM(V38:W38)</f>
        <v>34883.929950000005</v>
      </c>
    </row>
    <row r="39" spans="1:24" ht="12" customHeight="1" x14ac:dyDescent="0.35">
      <c r="A39" s="34" t="s">
        <v>239</v>
      </c>
      <c r="B39" s="34">
        <v>7370</v>
      </c>
      <c r="C39" s="35" t="s">
        <v>32</v>
      </c>
      <c r="D39" s="34" t="s">
        <v>240</v>
      </c>
      <c r="E39" s="34" t="s">
        <v>527</v>
      </c>
      <c r="F39" s="41" t="s">
        <v>528</v>
      </c>
      <c r="G39" s="20" t="s">
        <v>34</v>
      </c>
      <c r="H39" s="62" t="s">
        <v>91</v>
      </c>
      <c r="I39" s="38">
        <f>3*6</f>
        <v>18</v>
      </c>
      <c r="J39" s="38">
        <v>100</v>
      </c>
      <c r="K39" s="97">
        <v>750.61</v>
      </c>
      <c r="L39" s="38">
        <f>3*6</f>
        <v>18</v>
      </c>
      <c r="M39" s="97">
        <v>361.65</v>
      </c>
      <c r="N39" s="38">
        <f>3*6</f>
        <v>18</v>
      </c>
      <c r="O39" s="98">
        <v>5358.62</v>
      </c>
      <c r="P39" s="38">
        <f>1*6</f>
        <v>6</v>
      </c>
      <c r="Q39" s="132">
        <v>17293.02</v>
      </c>
      <c r="R39" s="38">
        <v>45</v>
      </c>
      <c r="S39" s="38">
        <f>R39*J39</f>
        <v>4500</v>
      </c>
      <c r="T39" s="38">
        <f>1*10</f>
        <v>10</v>
      </c>
      <c r="U39" s="38">
        <f t="shared" si="5"/>
        <v>1000</v>
      </c>
      <c r="V39" s="38">
        <f>K39+M39+O39+Q39+S39+U39</f>
        <v>29263.9</v>
      </c>
      <c r="W39" s="38">
        <v>0</v>
      </c>
      <c r="X39" s="38">
        <f>SUM(V39:W39)</f>
        <v>29263.9</v>
      </c>
    </row>
    <row r="40" spans="1:24" ht="12" customHeight="1" x14ac:dyDescent="0.35">
      <c r="F40" s="57" t="s">
        <v>529</v>
      </c>
      <c r="G40" s="63"/>
      <c r="H40" s="64"/>
      <c r="I40" s="65"/>
      <c r="J40" s="65"/>
      <c r="K40" s="65"/>
      <c r="L40" s="65"/>
      <c r="M40" s="65"/>
      <c r="N40" s="65"/>
      <c r="O40" s="65"/>
      <c r="P40" s="65"/>
      <c r="Q40" s="133"/>
      <c r="R40" s="65"/>
      <c r="S40" s="65"/>
      <c r="T40" s="65"/>
      <c r="U40" s="65"/>
      <c r="V40" s="65"/>
      <c r="W40" s="65"/>
      <c r="X40" s="65"/>
    </row>
    <row r="41" spans="1:24" ht="12" customHeight="1" x14ac:dyDescent="0.35">
      <c r="A41" s="34" t="s">
        <v>243</v>
      </c>
      <c r="B41" s="34">
        <v>7370</v>
      </c>
      <c r="C41" s="35" t="s">
        <v>58</v>
      </c>
      <c r="D41" s="34" t="s">
        <v>240</v>
      </c>
      <c r="E41" s="34" t="s">
        <v>530</v>
      </c>
      <c r="F41" s="41" t="s">
        <v>531</v>
      </c>
      <c r="G41" s="41" t="s">
        <v>55</v>
      </c>
      <c r="H41" s="62" t="s">
        <v>87</v>
      </c>
      <c r="I41" s="38">
        <f>2*3</f>
        <v>6</v>
      </c>
      <c r="J41" s="38">
        <v>1000</v>
      </c>
      <c r="K41" s="38">
        <v>0</v>
      </c>
      <c r="L41" s="38">
        <f>2*3</f>
        <v>6</v>
      </c>
      <c r="M41" s="38">
        <v>0</v>
      </c>
      <c r="N41" s="38">
        <f>2*3</f>
        <v>6</v>
      </c>
      <c r="O41" s="38">
        <v>0</v>
      </c>
      <c r="P41" s="38">
        <f>2*1</f>
        <v>2</v>
      </c>
      <c r="Q41" s="132">
        <v>18811.89</v>
      </c>
      <c r="R41" s="38">
        <f>2*3</f>
        <v>6</v>
      </c>
      <c r="S41" s="38">
        <f t="shared" si="2"/>
        <v>6000</v>
      </c>
      <c r="T41" s="38">
        <f>2*1</f>
        <v>2</v>
      </c>
      <c r="U41" s="38">
        <f t="shared" si="5"/>
        <v>2000</v>
      </c>
      <c r="V41" s="38">
        <f>K41+M41+O41+Q41+S41+U41</f>
        <v>26811.89</v>
      </c>
      <c r="W41" s="38">
        <v>0</v>
      </c>
      <c r="X41" s="38">
        <f>SUM(V41:W41)</f>
        <v>26811.89</v>
      </c>
    </row>
    <row r="42" spans="1:24" ht="12" customHeight="1" x14ac:dyDescent="0.35">
      <c r="A42" s="34" t="s">
        <v>243</v>
      </c>
      <c r="B42" s="34">
        <v>7370</v>
      </c>
      <c r="C42" s="35" t="s">
        <v>58</v>
      </c>
      <c r="D42" s="34" t="s">
        <v>240</v>
      </c>
      <c r="E42" s="34" t="s">
        <v>532</v>
      </c>
      <c r="F42" s="41" t="s">
        <v>513</v>
      </c>
      <c r="G42" s="20" t="s">
        <v>55</v>
      </c>
      <c r="H42" s="62" t="s">
        <v>91</v>
      </c>
      <c r="I42" s="38">
        <f>2*3*6</f>
        <v>36</v>
      </c>
      <c r="J42" s="38">
        <v>150</v>
      </c>
      <c r="K42" s="38">
        <v>0</v>
      </c>
      <c r="L42" s="38">
        <f>2*3*6</f>
        <v>36</v>
      </c>
      <c r="M42" s="97">
        <v>141</v>
      </c>
      <c r="N42" s="38">
        <f>2*3*6</f>
        <v>36</v>
      </c>
      <c r="O42" s="98">
        <v>1235.5</v>
      </c>
      <c r="P42" s="38">
        <f>2*1*6</f>
        <v>12</v>
      </c>
      <c r="Q42" s="132">
        <v>12987.57</v>
      </c>
      <c r="R42" s="38">
        <f>2*3*10</f>
        <v>60</v>
      </c>
      <c r="S42" s="38">
        <f t="shared" si="2"/>
        <v>9000</v>
      </c>
      <c r="T42" s="38">
        <f>2*1*10</f>
        <v>20</v>
      </c>
      <c r="U42" s="38">
        <f t="shared" si="5"/>
        <v>3000</v>
      </c>
      <c r="V42" s="38">
        <f>K42+M42+O42+Q42+S42+U42</f>
        <v>26364.07</v>
      </c>
      <c r="W42" s="38">
        <v>0</v>
      </c>
      <c r="X42" s="38">
        <f>SUM(V42:W42)</f>
        <v>26364.07</v>
      </c>
    </row>
    <row r="43" spans="1:24" ht="12" customHeight="1" x14ac:dyDescent="0.35">
      <c r="A43" s="34" t="s">
        <v>243</v>
      </c>
      <c r="B43" s="34">
        <v>7370</v>
      </c>
      <c r="C43" s="35" t="s">
        <v>58</v>
      </c>
      <c r="D43" s="34" t="s">
        <v>240</v>
      </c>
      <c r="E43" s="34" t="s">
        <v>533</v>
      </c>
      <c r="F43" s="41" t="s">
        <v>528</v>
      </c>
      <c r="G43" s="41" t="s">
        <v>55</v>
      </c>
      <c r="H43" s="62" t="s">
        <v>91</v>
      </c>
      <c r="I43" s="38">
        <f>3*6</f>
        <v>18</v>
      </c>
      <c r="J43" s="38">
        <v>100</v>
      </c>
      <c r="K43" s="38">
        <v>0</v>
      </c>
      <c r="L43" s="38">
        <f>3*6</f>
        <v>18</v>
      </c>
      <c r="M43" s="38">
        <v>0</v>
      </c>
      <c r="N43" s="38">
        <f>3*6</f>
        <v>18</v>
      </c>
      <c r="O43" s="97">
        <v>106.62</v>
      </c>
      <c r="P43" s="38">
        <f>1*6</f>
        <v>6</v>
      </c>
      <c r="Q43" s="132">
        <v>6559.73</v>
      </c>
      <c r="R43" s="38">
        <f>3*2*10</f>
        <v>60</v>
      </c>
      <c r="S43" s="38">
        <f t="shared" si="2"/>
        <v>6000</v>
      </c>
      <c r="T43" s="38">
        <f>1*10</f>
        <v>10</v>
      </c>
      <c r="U43" s="38">
        <f t="shared" si="5"/>
        <v>1000</v>
      </c>
      <c r="V43" s="38">
        <f>K43+M43+O43+Q43+S43+U43</f>
        <v>13666.349999999999</v>
      </c>
      <c r="W43" s="38">
        <v>0</v>
      </c>
      <c r="X43" s="38">
        <f>SUM(V43:W43)</f>
        <v>13666.349999999999</v>
      </c>
    </row>
    <row r="44" spans="1:24" ht="12" customHeight="1" x14ac:dyDescent="0.35">
      <c r="F44" s="57" t="s">
        <v>534</v>
      </c>
      <c r="G44" s="57"/>
      <c r="H44" s="64"/>
      <c r="I44" s="65"/>
      <c r="J44" s="65"/>
      <c r="K44" s="65"/>
      <c r="L44" s="65"/>
      <c r="M44" s="65"/>
      <c r="N44" s="65"/>
      <c r="O44" s="65"/>
      <c r="P44" s="65"/>
      <c r="Q44" s="133"/>
      <c r="R44" s="65"/>
      <c r="S44" s="65"/>
      <c r="T44" s="65"/>
      <c r="U44" s="65"/>
      <c r="V44" s="65"/>
      <c r="W44" s="65"/>
      <c r="X44" s="65"/>
    </row>
    <row r="45" spans="1:24" ht="12" customHeight="1" x14ac:dyDescent="0.35">
      <c r="A45" s="34" t="s">
        <v>245</v>
      </c>
      <c r="B45" s="34">
        <v>7370</v>
      </c>
      <c r="C45" s="35">
        <v>0</v>
      </c>
      <c r="D45" s="34" t="s">
        <v>240</v>
      </c>
      <c r="E45" s="34" t="s">
        <v>535</v>
      </c>
      <c r="F45" s="41" t="s">
        <v>536</v>
      </c>
      <c r="G45" s="41" t="s">
        <v>69</v>
      </c>
      <c r="H45" s="62" t="s">
        <v>87</v>
      </c>
      <c r="I45" s="38">
        <f>2*2</f>
        <v>4</v>
      </c>
      <c r="J45" s="38">
        <v>250</v>
      </c>
      <c r="K45" s="98">
        <v>2002.08</v>
      </c>
      <c r="L45" s="38">
        <f>2*2</f>
        <v>4</v>
      </c>
      <c r="M45" s="97">
        <v>391.11</v>
      </c>
      <c r="N45" s="38">
        <f>2*2</f>
        <v>4</v>
      </c>
      <c r="O45" s="38">
        <v>0</v>
      </c>
      <c r="P45" s="38"/>
      <c r="Q45" s="33">
        <v>0</v>
      </c>
      <c r="R45" s="38">
        <v>0</v>
      </c>
      <c r="S45" s="38">
        <f t="shared" si="2"/>
        <v>0</v>
      </c>
      <c r="T45" s="38">
        <v>0</v>
      </c>
      <c r="U45" s="38">
        <f t="shared" si="5"/>
        <v>0</v>
      </c>
      <c r="V45" s="38">
        <f>K45+M45+O45+Q45+S45+U45</f>
        <v>2393.19</v>
      </c>
      <c r="W45" s="38">
        <v>0</v>
      </c>
      <c r="X45" s="38">
        <f>SUM(V45:W45)</f>
        <v>2393.19</v>
      </c>
    </row>
    <row r="46" spans="1:24" ht="12" customHeight="1" x14ac:dyDescent="0.35">
      <c r="A46" s="34" t="s">
        <v>245</v>
      </c>
      <c r="B46" s="34">
        <v>7370</v>
      </c>
      <c r="C46" s="35">
        <v>0</v>
      </c>
      <c r="D46" s="34" t="s">
        <v>240</v>
      </c>
      <c r="E46" s="34" t="s">
        <v>537</v>
      </c>
      <c r="F46" s="41" t="s">
        <v>513</v>
      </c>
      <c r="G46" s="41" t="s">
        <v>69</v>
      </c>
      <c r="H46" s="62" t="s">
        <v>91</v>
      </c>
      <c r="I46" s="38">
        <f>2*2*2</f>
        <v>8</v>
      </c>
      <c r="J46" s="38">
        <v>250</v>
      </c>
      <c r="K46" s="98">
        <v>2050.09</v>
      </c>
      <c r="L46" s="38">
        <f>2*2*2</f>
        <v>8</v>
      </c>
      <c r="M46" s="97">
        <v>619.66</v>
      </c>
      <c r="N46" s="38">
        <f>2*2*2</f>
        <v>8</v>
      </c>
      <c r="O46" s="38">
        <v>0</v>
      </c>
      <c r="P46" s="38"/>
      <c r="Q46" s="33">
        <v>0</v>
      </c>
      <c r="R46" s="38">
        <v>0</v>
      </c>
      <c r="S46" s="38">
        <f t="shared" si="2"/>
        <v>0</v>
      </c>
      <c r="T46" s="38">
        <v>0</v>
      </c>
      <c r="U46" s="38">
        <f t="shared" si="5"/>
        <v>0</v>
      </c>
      <c r="V46" s="38">
        <f>K46+M46+O46+Q46+S46+U46</f>
        <v>2669.75</v>
      </c>
      <c r="W46" s="38">
        <v>0</v>
      </c>
      <c r="X46" s="38">
        <f>SUM(V46:W46)</f>
        <v>2669.75</v>
      </c>
    </row>
    <row r="47" spans="1:24" ht="12" customHeight="1" x14ac:dyDescent="0.35">
      <c r="A47" s="34" t="s">
        <v>245</v>
      </c>
      <c r="B47" s="34">
        <v>7370</v>
      </c>
      <c r="C47" s="35">
        <v>0</v>
      </c>
      <c r="D47" s="34" t="s">
        <v>240</v>
      </c>
      <c r="E47" s="34" t="s">
        <v>538</v>
      </c>
      <c r="F47" s="41" t="s">
        <v>528</v>
      </c>
      <c r="G47" s="41" t="s">
        <v>69</v>
      </c>
      <c r="H47" s="62" t="s">
        <v>91</v>
      </c>
      <c r="I47" s="38">
        <f>2*2</f>
        <v>4</v>
      </c>
      <c r="J47" s="38">
        <v>50</v>
      </c>
      <c r="K47" s="97">
        <v>284.95999999999998</v>
      </c>
      <c r="L47" s="38">
        <f>2*2</f>
        <v>4</v>
      </c>
      <c r="M47" s="97">
        <v>83.11</v>
      </c>
      <c r="N47" s="38">
        <f>2*2</f>
        <v>4</v>
      </c>
      <c r="O47" s="38">
        <v>0</v>
      </c>
      <c r="P47" s="38"/>
      <c r="Q47" s="33">
        <v>0</v>
      </c>
      <c r="R47" s="38">
        <v>0</v>
      </c>
      <c r="S47" s="38">
        <f t="shared" si="2"/>
        <v>0</v>
      </c>
      <c r="T47" s="38">
        <v>0</v>
      </c>
      <c r="U47" s="38">
        <f t="shared" si="5"/>
        <v>0</v>
      </c>
      <c r="V47" s="38">
        <f>K47+M47+O47+Q47+S47+U47</f>
        <v>368.07</v>
      </c>
      <c r="W47" s="38">
        <v>0</v>
      </c>
      <c r="X47" s="38">
        <f>SUM(V47:W47)</f>
        <v>368.07</v>
      </c>
    </row>
    <row r="48" spans="1:24" s="111" customFormat="1" ht="11.25" customHeight="1" x14ac:dyDescent="0.35">
      <c r="C48" s="112"/>
      <c r="F48" s="122" t="s">
        <v>539</v>
      </c>
      <c r="H48" s="123"/>
      <c r="I48" s="116"/>
      <c r="J48" s="116"/>
      <c r="K48" s="116"/>
      <c r="L48" s="116"/>
      <c r="M48" s="116"/>
      <c r="N48" s="116"/>
      <c r="S48" s="131"/>
      <c r="T48" s="131"/>
      <c r="U48" s="131"/>
      <c r="V48" s="131"/>
      <c r="W48" s="131"/>
      <c r="X48" s="131"/>
    </row>
    <row r="49" spans="1:24" s="111" customFormat="1" ht="11.25" customHeight="1" x14ac:dyDescent="0.35">
      <c r="A49" s="118" t="s">
        <v>243</v>
      </c>
      <c r="B49" s="118">
        <v>7370</v>
      </c>
      <c r="C49" s="119" t="s">
        <v>58</v>
      </c>
      <c r="D49" s="118" t="s">
        <v>240</v>
      </c>
      <c r="E49" s="118"/>
      <c r="F49" s="124" t="s">
        <v>540</v>
      </c>
      <c r="G49" s="124" t="s">
        <v>129</v>
      </c>
      <c r="H49" s="123" t="s">
        <v>87</v>
      </c>
      <c r="I49" s="116">
        <f>1*2</f>
        <v>2</v>
      </c>
      <c r="J49" s="116">
        <v>1000</v>
      </c>
      <c r="K49" s="116"/>
      <c r="L49" s="116"/>
      <c r="M49" s="116"/>
      <c r="N49" s="116"/>
      <c r="R49" s="116">
        <f>1*2</f>
        <v>2</v>
      </c>
      <c r="S49" s="131">
        <f>J49*R49</f>
        <v>2000</v>
      </c>
      <c r="T49" s="131">
        <v>1</v>
      </c>
      <c r="U49" s="131">
        <f>T49*J49</f>
        <v>1000</v>
      </c>
      <c r="V49" s="116">
        <f>K49+M49+O49+Q49+S49+U49</f>
        <v>3000</v>
      </c>
      <c r="W49" s="131"/>
      <c r="X49" s="116">
        <f>SUM(V49:W49)</f>
        <v>3000</v>
      </c>
    </row>
    <row r="50" spans="1:24" s="111" customFormat="1" ht="11.25" customHeight="1" x14ac:dyDescent="0.35">
      <c r="A50" s="118" t="s">
        <v>243</v>
      </c>
      <c r="B50" s="118">
        <v>7370</v>
      </c>
      <c r="C50" s="119" t="s">
        <v>58</v>
      </c>
      <c r="D50" s="118" t="s">
        <v>240</v>
      </c>
      <c r="E50" s="118"/>
      <c r="F50" s="124" t="s">
        <v>513</v>
      </c>
      <c r="G50" s="124" t="s">
        <v>129</v>
      </c>
      <c r="H50" s="123" t="s">
        <v>91</v>
      </c>
      <c r="I50" s="116">
        <f>2*6</f>
        <v>12</v>
      </c>
      <c r="J50" s="116">
        <v>150</v>
      </c>
      <c r="K50" s="116"/>
      <c r="L50" s="116"/>
      <c r="M50" s="116"/>
      <c r="N50" s="116"/>
      <c r="R50" s="116">
        <f>2*6</f>
        <v>12</v>
      </c>
      <c r="S50" s="131">
        <f>J50*R50</f>
        <v>1800</v>
      </c>
      <c r="T50" s="131">
        <v>7</v>
      </c>
      <c r="U50" s="131">
        <f>T50*J50</f>
        <v>1050</v>
      </c>
      <c r="V50" s="116">
        <f>K50+M50+O50+Q50+S50+U50</f>
        <v>2850</v>
      </c>
      <c r="W50" s="131"/>
      <c r="X50" s="116">
        <f>SUM(V50:W50)</f>
        <v>2850</v>
      </c>
    </row>
    <row r="51" spans="1:24" s="111" customFormat="1" ht="11.25" customHeight="1" x14ac:dyDescent="0.35">
      <c r="A51" s="118" t="s">
        <v>243</v>
      </c>
      <c r="B51" s="118">
        <v>7370</v>
      </c>
      <c r="C51" s="119" t="s">
        <v>58</v>
      </c>
      <c r="D51" s="118" t="s">
        <v>240</v>
      </c>
      <c r="E51" s="118"/>
      <c r="F51" s="124" t="s">
        <v>528</v>
      </c>
      <c r="G51" s="124" t="s">
        <v>129</v>
      </c>
      <c r="H51" s="123" t="s">
        <v>91</v>
      </c>
      <c r="I51" s="116">
        <f>2*6</f>
        <v>12</v>
      </c>
      <c r="J51" s="116">
        <v>100</v>
      </c>
      <c r="K51" s="116"/>
      <c r="L51" s="116"/>
      <c r="M51" s="116"/>
      <c r="N51" s="116"/>
      <c r="R51" s="116">
        <f>2*6</f>
        <v>12</v>
      </c>
      <c r="S51" s="131">
        <f>J51*R51</f>
        <v>1200</v>
      </c>
      <c r="T51" s="131">
        <v>7</v>
      </c>
      <c r="U51" s="131">
        <f>T51*J51</f>
        <v>700</v>
      </c>
      <c r="V51" s="116">
        <f>K51+M51+O51+Q51+S51+U51</f>
        <v>1900</v>
      </c>
      <c r="W51" s="131"/>
      <c r="X51" s="116">
        <f>SUM(V51:W51)</f>
        <v>1900</v>
      </c>
    </row>
    <row r="52" spans="1:24" ht="12" customHeight="1" thickBot="1" x14ac:dyDescent="0.45">
      <c r="F52" s="47" t="s">
        <v>541</v>
      </c>
      <c r="G52" s="47"/>
      <c r="H52" s="48"/>
      <c r="I52" s="48"/>
      <c r="J52" s="49"/>
      <c r="K52" s="50">
        <f>SUM(K27:K51)</f>
        <v>20722.859999999997</v>
      </c>
      <c r="L52" s="50"/>
      <c r="M52" s="50">
        <f>SUM(M27:M51)</f>
        <v>7393.6899999999987</v>
      </c>
      <c r="N52" s="50"/>
      <c r="O52" s="50">
        <f>SUM(O27:O51)</f>
        <v>18393.12</v>
      </c>
      <c r="P52" s="50"/>
      <c r="Q52" s="50">
        <f>SUM(Q27:Q51)</f>
        <v>91798.409999999989</v>
      </c>
      <c r="R52" s="50"/>
      <c r="S52" s="50">
        <f>SUM(S27:S51)</f>
        <v>43899.999949999998</v>
      </c>
      <c r="T52" s="50"/>
      <c r="U52" s="50">
        <f>SUM(U27:U51)</f>
        <v>19150</v>
      </c>
      <c r="V52" s="50">
        <f>SUM(K52+M52+O52+Q52+S52+U52)</f>
        <v>201358.07994999998</v>
      </c>
      <c r="W52" s="50">
        <f>SUM(W27:W47)</f>
        <v>0</v>
      </c>
      <c r="X52" s="51">
        <f>SUM(V52:W52)</f>
        <v>201358.07994999998</v>
      </c>
    </row>
    <row r="53" spans="1:24" ht="12" customHeight="1" x14ac:dyDescent="0.35">
      <c r="F53" s="66" t="s">
        <v>542</v>
      </c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</row>
    <row r="54" spans="1:24" ht="14.1" customHeight="1" x14ac:dyDescent="0.4">
      <c r="F54" s="67" t="s">
        <v>227</v>
      </c>
      <c r="G54" s="67"/>
      <c r="H54" s="68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</row>
    <row r="55" spans="1:24" ht="20.5" customHeight="1" x14ac:dyDescent="0.35">
      <c r="F55" s="70" t="s">
        <v>543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</row>
    <row r="56" spans="1:24" ht="28.5" customHeight="1" x14ac:dyDescent="0.35">
      <c r="A56" s="34" t="s">
        <v>239</v>
      </c>
      <c r="B56" s="34">
        <v>7370</v>
      </c>
      <c r="C56" s="35" t="s">
        <v>32</v>
      </c>
      <c r="D56" s="34" t="s">
        <v>240</v>
      </c>
      <c r="E56" s="34" t="s">
        <v>544</v>
      </c>
      <c r="F56" s="36" t="s">
        <v>545</v>
      </c>
      <c r="G56" s="36" t="s">
        <v>34</v>
      </c>
      <c r="H56" s="37" t="s">
        <v>279</v>
      </c>
      <c r="I56" s="38">
        <f>8*4</f>
        <v>32</v>
      </c>
      <c r="J56" s="38">
        <v>250</v>
      </c>
      <c r="K56" s="98">
        <v>1646.57</v>
      </c>
      <c r="L56" s="38">
        <f>8*4</f>
        <v>32</v>
      </c>
      <c r="M56" s="98">
        <v>16904.080000000002</v>
      </c>
      <c r="N56" s="38">
        <f>8*4</f>
        <v>32</v>
      </c>
      <c r="O56" s="98">
        <v>13605.3</v>
      </c>
      <c r="P56" s="38">
        <f>8*4</f>
        <v>32</v>
      </c>
      <c r="Q56" s="98">
        <v>9934.85</v>
      </c>
      <c r="R56" s="38"/>
      <c r="S56" s="38"/>
      <c r="T56" s="38"/>
      <c r="U56" s="38"/>
      <c r="V56" s="38">
        <f>K56+M56+O56+Q56+S56+U56</f>
        <v>42090.8</v>
      </c>
      <c r="W56" s="38">
        <v>0</v>
      </c>
      <c r="X56" s="38">
        <f>SUM(V56:W56)</f>
        <v>42090.8</v>
      </c>
    </row>
    <row r="57" spans="1:24" ht="23.5" customHeight="1" x14ac:dyDescent="0.35">
      <c r="A57" s="34" t="s">
        <v>243</v>
      </c>
      <c r="B57" s="34">
        <v>7370</v>
      </c>
      <c r="C57" s="35" t="s">
        <v>58</v>
      </c>
      <c r="D57" s="34" t="s">
        <v>240</v>
      </c>
      <c r="E57" s="34" t="s">
        <v>546</v>
      </c>
      <c r="F57" s="36" t="s">
        <v>547</v>
      </c>
      <c r="G57" s="36" t="s">
        <v>55</v>
      </c>
      <c r="H57" s="37" t="s">
        <v>279</v>
      </c>
      <c r="I57" s="38">
        <f>6*4</f>
        <v>24</v>
      </c>
      <c r="J57" s="38">
        <v>250</v>
      </c>
      <c r="K57" s="38">
        <v>0</v>
      </c>
      <c r="L57" s="38">
        <f>6*4</f>
        <v>24</v>
      </c>
      <c r="M57" s="98">
        <v>11583.17</v>
      </c>
      <c r="N57" s="38">
        <f>6*4</f>
        <v>24</v>
      </c>
      <c r="O57" s="98">
        <v>7645.83</v>
      </c>
      <c r="P57" s="38">
        <f>6*4</f>
        <v>24</v>
      </c>
      <c r="Q57" s="98">
        <v>1594.69</v>
      </c>
      <c r="R57" s="38">
        <v>12.705240000000005</v>
      </c>
      <c r="S57" s="136">
        <f>R57*J57</f>
        <v>3176.3100000000013</v>
      </c>
      <c r="T57" s="38"/>
      <c r="U57" s="38"/>
      <c r="V57" s="38">
        <f>K57+M57+O57+Q57+S57+U57</f>
        <v>24000</v>
      </c>
      <c r="W57" s="38">
        <v>0</v>
      </c>
      <c r="X57" s="38">
        <f>SUM(V57:W57)</f>
        <v>24000</v>
      </c>
    </row>
    <row r="58" spans="1:24" ht="21" customHeight="1" x14ac:dyDescent="0.35">
      <c r="F58" s="70" t="s">
        <v>548</v>
      </c>
      <c r="G58" s="70"/>
      <c r="H58" s="71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</row>
    <row r="59" spans="1:24" ht="27" customHeight="1" x14ac:dyDescent="0.35">
      <c r="A59" s="34" t="s">
        <v>239</v>
      </c>
      <c r="B59" s="34">
        <v>7370</v>
      </c>
      <c r="C59" s="35" t="s">
        <v>32</v>
      </c>
      <c r="D59" s="34" t="s">
        <v>240</v>
      </c>
      <c r="E59" s="34" t="s">
        <v>549</v>
      </c>
      <c r="F59" s="36" t="s">
        <v>550</v>
      </c>
      <c r="G59" s="36" t="s">
        <v>34</v>
      </c>
      <c r="H59" s="36" t="s">
        <v>551</v>
      </c>
      <c r="I59" s="38">
        <v>2</v>
      </c>
      <c r="J59" s="38">
        <v>1000</v>
      </c>
      <c r="K59" s="38">
        <v>0</v>
      </c>
      <c r="L59" s="38">
        <v>2</v>
      </c>
      <c r="M59" s="98">
        <v>5536.77</v>
      </c>
      <c r="N59" s="38">
        <v>2</v>
      </c>
      <c r="O59" s="98">
        <v>5170.6000000000004</v>
      </c>
      <c r="P59" s="38">
        <v>2</v>
      </c>
      <c r="Q59" s="98">
        <v>5739.24</v>
      </c>
      <c r="R59" s="38"/>
      <c r="S59" s="38"/>
      <c r="T59" s="38"/>
      <c r="U59" s="38"/>
      <c r="V59" s="38">
        <f>K59+M59+O59+Q59+S59+U59</f>
        <v>16446.61</v>
      </c>
      <c r="W59" s="38">
        <v>0</v>
      </c>
      <c r="X59" s="38">
        <f>SUM(V59:W59)</f>
        <v>16446.61</v>
      </c>
    </row>
    <row r="60" spans="1:24" ht="27" customHeight="1" x14ac:dyDescent="0.35">
      <c r="A60" s="34" t="s">
        <v>243</v>
      </c>
      <c r="B60" s="34">
        <v>7370</v>
      </c>
      <c r="C60" s="35" t="s">
        <v>58</v>
      </c>
      <c r="D60" s="34" t="s">
        <v>240</v>
      </c>
      <c r="E60" s="34" t="s">
        <v>552</v>
      </c>
      <c r="F60" s="36" t="s">
        <v>553</v>
      </c>
      <c r="G60" s="36" t="s">
        <v>55</v>
      </c>
      <c r="H60" s="36" t="s">
        <v>551</v>
      </c>
      <c r="I60" s="38">
        <v>1</v>
      </c>
      <c r="J60" s="38">
        <v>1000</v>
      </c>
      <c r="K60" s="38">
        <v>0</v>
      </c>
      <c r="L60" s="38">
        <v>1</v>
      </c>
      <c r="M60" s="98">
        <v>3200</v>
      </c>
      <c r="N60" s="38">
        <v>1</v>
      </c>
      <c r="O60" s="97">
        <v>811.07</v>
      </c>
      <c r="P60" s="38">
        <v>1</v>
      </c>
      <c r="Q60" s="38">
        <v>0</v>
      </c>
      <c r="R60" s="38"/>
      <c r="S60" s="38"/>
      <c r="T60" s="38"/>
      <c r="U60" s="38"/>
      <c r="V60" s="38">
        <f>K60+M60+O60+Q60+S60+U60</f>
        <v>4011.07</v>
      </c>
      <c r="W60" s="38">
        <v>0</v>
      </c>
      <c r="X60" s="38">
        <f>SUM(V60:W60)</f>
        <v>4011.07</v>
      </c>
    </row>
    <row r="61" spans="1:24" ht="27" customHeight="1" x14ac:dyDescent="0.35">
      <c r="F61" s="70" t="s">
        <v>554</v>
      </c>
      <c r="G61" s="70"/>
      <c r="H61" s="72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</row>
    <row r="62" spans="1:24" ht="27" customHeight="1" x14ac:dyDescent="0.35">
      <c r="A62" s="34" t="s">
        <v>239</v>
      </c>
      <c r="B62" s="34">
        <v>7370</v>
      </c>
      <c r="C62" s="35" t="s">
        <v>32</v>
      </c>
      <c r="D62" s="34" t="s">
        <v>240</v>
      </c>
      <c r="E62" s="34" t="s">
        <v>555</v>
      </c>
      <c r="F62" s="36" t="s">
        <v>556</v>
      </c>
      <c r="G62" s="36" t="s">
        <v>34</v>
      </c>
      <c r="H62" s="37" t="s">
        <v>279</v>
      </c>
      <c r="I62" s="38">
        <f>25*6*20</f>
        <v>3000</v>
      </c>
      <c r="J62" s="38">
        <v>20</v>
      </c>
      <c r="K62" s="38">
        <v>0</v>
      </c>
      <c r="L62" s="38">
        <f>25*6*20</f>
        <v>3000</v>
      </c>
      <c r="M62" s="38">
        <v>0</v>
      </c>
      <c r="N62" s="38">
        <f>25*6*20</f>
        <v>3000</v>
      </c>
      <c r="O62" s="98">
        <v>11933.12</v>
      </c>
      <c r="P62" s="38">
        <f>25*6*20</f>
        <v>3000</v>
      </c>
      <c r="Q62" s="98">
        <v>22179.46</v>
      </c>
      <c r="R62" s="38">
        <v>1294.3709999999999</v>
      </c>
      <c r="S62" s="136">
        <f>R62*J62</f>
        <v>25887.42</v>
      </c>
      <c r="T62" s="38"/>
      <c r="U62" s="38"/>
      <c r="V62" s="38">
        <f t="shared" ref="V62:V67" si="6">K62+M62+O62+Q62+S62+U62</f>
        <v>60000</v>
      </c>
      <c r="W62" s="38">
        <v>0</v>
      </c>
      <c r="X62" s="38">
        <f t="shared" ref="X62:X67" si="7">SUM(V62:W62)</f>
        <v>60000</v>
      </c>
    </row>
    <row r="63" spans="1:24" ht="29.5" customHeight="1" x14ac:dyDescent="0.35">
      <c r="A63" s="34" t="s">
        <v>239</v>
      </c>
      <c r="B63" s="34">
        <v>7370</v>
      </c>
      <c r="C63" s="35" t="s">
        <v>32</v>
      </c>
      <c r="D63" s="34" t="s">
        <v>240</v>
      </c>
      <c r="E63" s="34" t="s">
        <v>557</v>
      </c>
      <c r="F63" s="36" t="s">
        <v>558</v>
      </c>
      <c r="G63" s="36" t="s">
        <v>34</v>
      </c>
      <c r="H63" s="36" t="s">
        <v>559</v>
      </c>
      <c r="I63" s="38">
        <f>25*6</f>
        <v>150</v>
      </c>
      <c r="J63" s="38">
        <v>20</v>
      </c>
      <c r="K63" s="38">
        <v>0</v>
      </c>
      <c r="L63" s="38">
        <f>25*6</f>
        <v>150</v>
      </c>
      <c r="M63" s="38">
        <v>0</v>
      </c>
      <c r="N63" s="38">
        <f>25*6</f>
        <v>150</v>
      </c>
      <c r="O63" s="98">
        <v>9130.33</v>
      </c>
      <c r="P63" s="38">
        <f>25*6</f>
        <v>150</v>
      </c>
      <c r="Q63" s="98">
        <v>4931.1000000000004</v>
      </c>
      <c r="R63" s="38"/>
      <c r="S63" s="38"/>
      <c r="T63" s="38"/>
      <c r="U63" s="38"/>
      <c r="V63" s="38">
        <f t="shared" si="6"/>
        <v>14061.43</v>
      </c>
      <c r="W63" s="38">
        <v>0</v>
      </c>
      <c r="X63" s="38">
        <f t="shared" si="7"/>
        <v>14061.43</v>
      </c>
    </row>
    <row r="64" spans="1:24" ht="30" customHeight="1" x14ac:dyDescent="0.35">
      <c r="A64" s="34" t="s">
        <v>243</v>
      </c>
      <c r="B64" s="34">
        <v>7370</v>
      </c>
      <c r="C64" s="35" t="s">
        <v>58</v>
      </c>
      <c r="D64" s="34" t="s">
        <v>240</v>
      </c>
      <c r="E64" s="34" t="s">
        <v>560</v>
      </c>
      <c r="F64" s="36" t="s">
        <v>561</v>
      </c>
      <c r="G64" s="36" t="s">
        <v>55</v>
      </c>
      <c r="H64" s="37" t="s">
        <v>279</v>
      </c>
      <c r="I64" s="38">
        <f>25*3*20</f>
        <v>1500</v>
      </c>
      <c r="J64" s="38">
        <v>20</v>
      </c>
      <c r="K64" s="38">
        <v>0</v>
      </c>
      <c r="L64" s="38">
        <f>25*3*20</f>
        <v>1500</v>
      </c>
      <c r="M64" s="38">
        <v>0</v>
      </c>
      <c r="N64" s="38">
        <f>25*3*20</f>
        <v>1500</v>
      </c>
      <c r="O64" s="38">
        <v>0</v>
      </c>
      <c r="P64" s="38">
        <f>25*3*20</f>
        <v>1500</v>
      </c>
      <c r="Q64" s="98">
        <v>2957.08</v>
      </c>
      <c r="R64" s="38">
        <v>1352.146</v>
      </c>
      <c r="S64" s="136">
        <f>R64*J64</f>
        <v>27042.92</v>
      </c>
      <c r="T64" s="38"/>
      <c r="U64" s="38"/>
      <c r="V64" s="38">
        <f t="shared" si="6"/>
        <v>30000</v>
      </c>
      <c r="W64" s="38">
        <v>0</v>
      </c>
      <c r="X64" s="38">
        <f t="shared" si="7"/>
        <v>30000</v>
      </c>
    </row>
    <row r="65" spans="1:24" ht="13" customHeight="1" x14ac:dyDescent="0.35">
      <c r="A65" s="34" t="s">
        <v>243</v>
      </c>
      <c r="B65" s="34">
        <v>7370</v>
      </c>
      <c r="C65" s="35" t="s">
        <v>58</v>
      </c>
      <c r="D65" s="34" t="s">
        <v>240</v>
      </c>
      <c r="E65" s="34" t="s">
        <v>562</v>
      </c>
      <c r="F65" s="36" t="s">
        <v>558</v>
      </c>
      <c r="G65" s="36" t="s">
        <v>55</v>
      </c>
      <c r="H65" s="36" t="s">
        <v>559</v>
      </c>
      <c r="I65" s="38">
        <f>25*3</f>
        <v>75</v>
      </c>
      <c r="J65" s="38">
        <v>20</v>
      </c>
      <c r="K65" s="38">
        <v>0</v>
      </c>
      <c r="L65" s="38">
        <f>25*3</f>
        <v>75</v>
      </c>
      <c r="M65" s="38">
        <v>0</v>
      </c>
      <c r="N65" s="38">
        <f>25*3</f>
        <v>75</v>
      </c>
      <c r="O65" s="38">
        <v>0</v>
      </c>
      <c r="P65" s="38">
        <f>25*3</f>
        <v>75</v>
      </c>
      <c r="Q65" s="98">
        <v>7151.79</v>
      </c>
      <c r="R65" s="38"/>
      <c r="S65" s="38"/>
      <c r="T65" s="38"/>
      <c r="U65" s="38"/>
      <c r="V65" s="38">
        <f t="shared" si="6"/>
        <v>7151.79</v>
      </c>
      <c r="W65" s="38">
        <v>0</v>
      </c>
      <c r="X65" s="38">
        <f t="shared" si="7"/>
        <v>7151.79</v>
      </c>
    </row>
    <row r="66" spans="1:24" ht="30" customHeight="1" x14ac:dyDescent="0.35">
      <c r="A66" s="34" t="s">
        <v>239</v>
      </c>
      <c r="B66" s="34">
        <v>7370</v>
      </c>
      <c r="C66" s="35" t="s">
        <v>32</v>
      </c>
      <c r="D66" s="34" t="s">
        <v>240</v>
      </c>
      <c r="E66" s="34" t="s">
        <v>563</v>
      </c>
      <c r="F66" s="36" t="s">
        <v>564</v>
      </c>
      <c r="G66" s="36" t="s">
        <v>34</v>
      </c>
      <c r="H66" s="37" t="s">
        <v>279</v>
      </c>
      <c r="I66" s="38">
        <f>2*25*6</f>
        <v>300</v>
      </c>
      <c r="J66" s="38">
        <v>20</v>
      </c>
      <c r="K66" s="98">
        <v>70.91</v>
      </c>
      <c r="L66" s="38">
        <f>2*25*6</f>
        <v>300</v>
      </c>
      <c r="M66" s="110">
        <v>-70.91</v>
      </c>
      <c r="N66" s="38">
        <f>2*25*6</f>
        <v>300</v>
      </c>
      <c r="O66" s="98">
        <v>4523.66</v>
      </c>
      <c r="P66" s="38">
        <f>2*25*6</f>
        <v>300</v>
      </c>
      <c r="Q66" s="98">
        <v>8362.5</v>
      </c>
      <c r="R66" s="38">
        <v>255.69200000000001</v>
      </c>
      <c r="S66" s="136">
        <f>R66*J66</f>
        <v>5113.84</v>
      </c>
      <c r="T66" s="38"/>
      <c r="U66" s="38"/>
      <c r="V66" s="38">
        <f t="shared" si="6"/>
        <v>18000</v>
      </c>
      <c r="W66" s="38">
        <v>0</v>
      </c>
      <c r="X66" s="38">
        <f t="shared" si="7"/>
        <v>18000</v>
      </c>
    </row>
    <row r="67" spans="1:24" ht="12" customHeight="1" x14ac:dyDescent="0.35">
      <c r="A67" s="34" t="s">
        <v>243</v>
      </c>
      <c r="B67" s="34">
        <v>7370</v>
      </c>
      <c r="C67" s="35" t="s">
        <v>58</v>
      </c>
      <c r="D67" s="34" t="s">
        <v>240</v>
      </c>
      <c r="E67" s="34" t="s">
        <v>565</v>
      </c>
      <c r="F67" s="36" t="s">
        <v>566</v>
      </c>
      <c r="G67" s="36" t="s">
        <v>55</v>
      </c>
      <c r="H67" s="37" t="s">
        <v>279</v>
      </c>
      <c r="I67" s="38">
        <f>2*25*3</f>
        <v>150</v>
      </c>
      <c r="J67" s="38">
        <v>40</v>
      </c>
      <c r="K67" s="38">
        <v>0</v>
      </c>
      <c r="L67" s="38">
        <f>2*25*3</f>
        <v>150</v>
      </c>
      <c r="M67" s="38"/>
      <c r="N67" s="38">
        <f>2*25*3</f>
        <v>150</v>
      </c>
      <c r="O67" s="38"/>
      <c r="P67" s="38">
        <f>2*25*3</f>
        <v>150</v>
      </c>
      <c r="Q67" s="97">
        <v>496.88</v>
      </c>
      <c r="R67" s="38">
        <v>212.57800000000003</v>
      </c>
      <c r="S67" s="136">
        <f>R67*J67</f>
        <v>8503.1200000000008</v>
      </c>
      <c r="T67" s="38"/>
      <c r="U67" s="38"/>
      <c r="V67" s="38">
        <f t="shared" si="6"/>
        <v>9000</v>
      </c>
      <c r="W67" s="38">
        <v>0</v>
      </c>
      <c r="X67" s="38">
        <f t="shared" si="7"/>
        <v>9000</v>
      </c>
    </row>
    <row r="68" spans="1:24" ht="12" customHeight="1" x14ac:dyDescent="0.35">
      <c r="F68" s="70" t="s">
        <v>567</v>
      </c>
      <c r="G68" s="70"/>
      <c r="H68" s="74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</row>
    <row r="69" spans="1:24" ht="21" customHeight="1" x14ac:dyDescent="0.35">
      <c r="A69" s="34" t="s">
        <v>239</v>
      </c>
      <c r="B69" s="34">
        <v>7370</v>
      </c>
      <c r="C69" s="35" t="s">
        <v>32</v>
      </c>
      <c r="D69" s="34" t="s">
        <v>240</v>
      </c>
      <c r="E69" s="34" t="s">
        <v>568</v>
      </c>
      <c r="F69" s="36" t="s">
        <v>569</v>
      </c>
      <c r="G69" s="36" t="s">
        <v>34</v>
      </c>
      <c r="H69" s="37" t="s">
        <v>570</v>
      </c>
      <c r="I69" s="38">
        <v>100</v>
      </c>
      <c r="J69" s="38">
        <v>100</v>
      </c>
      <c r="K69" s="38">
        <v>0</v>
      </c>
      <c r="L69" s="38">
        <v>100</v>
      </c>
      <c r="M69" s="98">
        <v>9868</v>
      </c>
      <c r="N69" s="38">
        <v>100</v>
      </c>
      <c r="O69" s="98">
        <v>10240.25</v>
      </c>
      <c r="P69" s="38">
        <v>300</v>
      </c>
      <c r="Q69" s="98">
        <v>14204.42</v>
      </c>
      <c r="R69" s="38">
        <v>256.87330000000003</v>
      </c>
      <c r="S69" s="136">
        <f>R69*J69</f>
        <v>25687.33</v>
      </c>
      <c r="T69" s="38"/>
      <c r="U69" s="38"/>
      <c r="V69" s="38">
        <f>K69+M69+O69+Q69+S69+U69</f>
        <v>60000</v>
      </c>
      <c r="W69" s="38">
        <v>0</v>
      </c>
      <c r="X69" s="38">
        <f>SUM(V69:W69)</f>
        <v>60000</v>
      </c>
    </row>
    <row r="70" spans="1:24" ht="20.5" customHeight="1" x14ac:dyDescent="0.35">
      <c r="A70" s="34" t="s">
        <v>243</v>
      </c>
      <c r="B70" s="34">
        <v>7370</v>
      </c>
      <c r="C70" s="35" t="s">
        <v>58</v>
      </c>
      <c r="D70" s="34" t="s">
        <v>240</v>
      </c>
      <c r="E70" s="34" t="s">
        <v>571</v>
      </c>
      <c r="F70" s="36" t="s">
        <v>572</v>
      </c>
      <c r="G70" s="36" t="s">
        <v>55</v>
      </c>
      <c r="H70" s="37" t="s">
        <v>570</v>
      </c>
      <c r="I70" s="38">
        <v>100</v>
      </c>
      <c r="J70" s="38">
        <v>200</v>
      </c>
      <c r="K70" s="38">
        <v>0</v>
      </c>
      <c r="L70" s="38">
        <v>100</v>
      </c>
      <c r="M70" s="98">
        <v>4000</v>
      </c>
      <c r="N70" s="38">
        <v>100</v>
      </c>
      <c r="O70" s="98">
        <v>1537.56</v>
      </c>
      <c r="P70" s="38">
        <v>300</v>
      </c>
      <c r="Q70" s="98">
        <v>8420.9</v>
      </c>
      <c r="R70" s="38">
        <v>230.20770000000002</v>
      </c>
      <c r="S70" s="136">
        <f>R70*J70</f>
        <v>46041.54</v>
      </c>
      <c r="T70" s="38"/>
      <c r="U70" s="38"/>
      <c r="V70" s="38">
        <f>K70+M70+O70+Q70+S70+U70</f>
        <v>60000</v>
      </c>
      <c r="W70" s="38">
        <v>0</v>
      </c>
      <c r="X70" s="38">
        <f>SUM(V70:W70)</f>
        <v>60000</v>
      </c>
    </row>
    <row r="71" spans="1:24" ht="25.5" customHeight="1" x14ac:dyDescent="0.35">
      <c r="F71" s="70" t="s">
        <v>573</v>
      </c>
      <c r="G71" s="70"/>
      <c r="H71" s="74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</row>
    <row r="72" spans="1:24" ht="14.1" customHeight="1" x14ac:dyDescent="0.35">
      <c r="A72" s="34" t="s">
        <v>239</v>
      </c>
      <c r="B72" s="34">
        <v>7370</v>
      </c>
      <c r="C72" s="35" t="s">
        <v>32</v>
      </c>
      <c r="D72" s="34" t="s">
        <v>240</v>
      </c>
      <c r="E72" s="34" t="s">
        <v>574</v>
      </c>
      <c r="F72" s="36" t="s">
        <v>575</v>
      </c>
      <c r="G72" s="36" t="s">
        <v>34</v>
      </c>
      <c r="H72" s="36" t="s">
        <v>576</v>
      </c>
      <c r="I72" s="38">
        <v>10</v>
      </c>
      <c r="J72" s="38">
        <v>1500</v>
      </c>
      <c r="K72" s="38">
        <v>0</v>
      </c>
      <c r="L72" s="38">
        <v>30</v>
      </c>
      <c r="M72" s="38">
        <v>0</v>
      </c>
      <c r="N72" s="38">
        <v>30</v>
      </c>
      <c r="O72" s="97">
        <v>300.37</v>
      </c>
      <c r="P72" s="38">
        <v>30</v>
      </c>
      <c r="Q72" s="98">
        <v>4085.25</v>
      </c>
      <c r="R72" s="38">
        <v>26.663554909465098</v>
      </c>
      <c r="S72" s="136">
        <f>R72*J72</f>
        <v>39995.332364197646</v>
      </c>
      <c r="T72" s="38"/>
      <c r="U72" s="38"/>
      <c r="V72" s="38">
        <f>K72+M72+O72+Q72+S72+U72</f>
        <v>44380.952364197648</v>
      </c>
      <c r="W72" s="38">
        <v>0</v>
      </c>
      <c r="X72" s="38">
        <f>SUM(V72:W72)</f>
        <v>44380.952364197648</v>
      </c>
    </row>
    <row r="73" spans="1:24" ht="23.1" customHeight="1" x14ac:dyDescent="0.35">
      <c r="A73" s="34" t="s">
        <v>243</v>
      </c>
      <c r="B73" s="34">
        <v>7370</v>
      </c>
      <c r="C73" s="35" t="s">
        <v>58</v>
      </c>
      <c r="D73" s="34" t="s">
        <v>240</v>
      </c>
      <c r="E73" s="34" t="s">
        <v>577</v>
      </c>
      <c r="F73" s="36" t="s">
        <v>578</v>
      </c>
      <c r="G73" s="36" t="s">
        <v>55</v>
      </c>
      <c r="H73" s="36" t="s">
        <v>576</v>
      </c>
      <c r="I73" s="38">
        <v>10</v>
      </c>
      <c r="J73" s="38">
        <v>1500</v>
      </c>
      <c r="K73" s="38">
        <v>0</v>
      </c>
      <c r="L73" s="38">
        <v>30</v>
      </c>
      <c r="M73" s="38">
        <v>0</v>
      </c>
      <c r="N73" s="38">
        <v>30</v>
      </c>
      <c r="O73" s="38">
        <v>0</v>
      </c>
      <c r="P73" s="38">
        <v>30</v>
      </c>
      <c r="Q73" s="38">
        <v>0</v>
      </c>
      <c r="R73" s="38">
        <v>19.389667803030196</v>
      </c>
      <c r="S73" s="136">
        <f>R73*J73</f>
        <v>29084.501704545295</v>
      </c>
      <c r="T73" s="38"/>
      <c r="U73" s="38"/>
      <c r="V73" s="38">
        <f>K73+M73+O73+Q73+S73+U73</f>
        <v>29084.501704545295</v>
      </c>
      <c r="W73" s="38">
        <v>0</v>
      </c>
      <c r="X73" s="38">
        <f>SUM(V73:W73)</f>
        <v>29084.501704545295</v>
      </c>
    </row>
    <row r="74" spans="1:24" ht="24" customHeight="1" x14ac:dyDescent="0.35">
      <c r="F74" s="70" t="s">
        <v>579</v>
      </c>
      <c r="G74" s="70"/>
      <c r="H74" s="74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</row>
    <row r="75" spans="1:24" ht="14.25" customHeight="1" x14ac:dyDescent="0.35">
      <c r="A75" s="34" t="s">
        <v>239</v>
      </c>
      <c r="B75" s="34">
        <v>7370</v>
      </c>
      <c r="C75" s="35" t="s">
        <v>32</v>
      </c>
      <c r="D75" s="34" t="s">
        <v>240</v>
      </c>
      <c r="E75" s="34" t="s">
        <v>580</v>
      </c>
      <c r="F75" s="36" t="s">
        <v>581</v>
      </c>
      <c r="G75" s="36" t="s">
        <v>34</v>
      </c>
      <c r="H75" s="37" t="s">
        <v>582</v>
      </c>
      <c r="I75" s="38">
        <f>(2*8)+(5*6)</f>
        <v>46</v>
      </c>
      <c r="J75" s="38">
        <v>50</v>
      </c>
      <c r="K75" s="38">
        <v>0</v>
      </c>
      <c r="L75" s="38">
        <v>0</v>
      </c>
      <c r="M75" s="38">
        <f>L75*J75</f>
        <v>0</v>
      </c>
      <c r="N75" s="38">
        <f>0.33*I75</f>
        <v>15.180000000000001</v>
      </c>
      <c r="O75" s="38">
        <v>0</v>
      </c>
      <c r="P75" s="38">
        <v>0</v>
      </c>
      <c r="Q75" s="38">
        <v>0</v>
      </c>
      <c r="R75" s="38">
        <v>24.471999999999998</v>
      </c>
      <c r="S75" s="136">
        <f>R75*J75</f>
        <v>1223.5999999999999</v>
      </c>
      <c r="T75" s="38"/>
      <c r="U75" s="38"/>
      <c r="V75" s="38">
        <f>K75+M75+O75+Q75+S75+U75</f>
        <v>1223.5999999999999</v>
      </c>
      <c r="W75" s="38">
        <v>0</v>
      </c>
      <c r="X75" s="38">
        <f>SUM(V75:W75)</f>
        <v>1223.5999999999999</v>
      </c>
    </row>
    <row r="76" spans="1:24" ht="16" customHeight="1" x14ac:dyDescent="0.35">
      <c r="A76" s="34" t="s">
        <v>239</v>
      </c>
      <c r="B76" s="34">
        <v>7370</v>
      </c>
      <c r="C76" s="35" t="s">
        <v>32</v>
      </c>
      <c r="D76" s="34" t="s">
        <v>240</v>
      </c>
      <c r="E76" s="34" t="s">
        <v>583</v>
      </c>
      <c r="F76" s="36" t="s">
        <v>584</v>
      </c>
      <c r="G76" s="36" t="s">
        <v>34</v>
      </c>
      <c r="H76" s="37" t="s">
        <v>279</v>
      </c>
      <c r="I76" s="38">
        <f>6*4</f>
        <v>24</v>
      </c>
      <c r="J76" s="38">
        <v>2000</v>
      </c>
      <c r="K76" s="38">
        <v>0</v>
      </c>
      <c r="L76" s="38">
        <f>6*2</f>
        <v>12</v>
      </c>
      <c r="M76" s="38">
        <v>0</v>
      </c>
      <c r="N76" s="38">
        <v>12</v>
      </c>
      <c r="O76" s="98">
        <v>4826.8</v>
      </c>
      <c r="P76" s="38">
        <f>2*6</f>
        <v>12</v>
      </c>
      <c r="Q76" s="98">
        <v>1345.59</v>
      </c>
      <c r="R76" s="38">
        <v>34.163805000000004</v>
      </c>
      <c r="S76" s="136">
        <f>R76*J76</f>
        <v>68327.61</v>
      </c>
      <c r="T76" s="38"/>
      <c r="U76" s="38"/>
      <c r="V76" s="38">
        <f>K76+M76+O76+Q76+S76+U76</f>
        <v>74500</v>
      </c>
      <c r="W76" s="38">
        <v>0</v>
      </c>
      <c r="X76" s="38">
        <f>SUM(V76:W76)</f>
        <v>74500</v>
      </c>
    </row>
    <row r="77" spans="1:24" ht="15" customHeight="1" x14ac:dyDescent="0.35">
      <c r="A77" s="34" t="s">
        <v>243</v>
      </c>
      <c r="B77" s="34">
        <v>7370</v>
      </c>
      <c r="C77" s="35" t="s">
        <v>58</v>
      </c>
      <c r="D77" s="34" t="s">
        <v>240</v>
      </c>
      <c r="E77" s="34" t="s">
        <v>585</v>
      </c>
      <c r="F77" s="36" t="s">
        <v>586</v>
      </c>
      <c r="G77" s="36" t="s">
        <v>55</v>
      </c>
      <c r="H77" s="37" t="s">
        <v>582</v>
      </c>
      <c r="I77" s="38">
        <f>(2*6)+(5*3)</f>
        <v>27</v>
      </c>
      <c r="J77" s="38">
        <v>50</v>
      </c>
      <c r="K77" s="38">
        <v>0</v>
      </c>
      <c r="L77" s="38">
        <v>0</v>
      </c>
      <c r="M77" s="38">
        <f>L77*J77</f>
        <v>0</v>
      </c>
      <c r="N77" s="38">
        <f>0.33*I77</f>
        <v>8.91</v>
      </c>
      <c r="O77" s="38">
        <v>0</v>
      </c>
      <c r="P77" s="38">
        <v>0</v>
      </c>
      <c r="Q77" s="38">
        <f>P77*J77</f>
        <v>0</v>
      </c>
      <c r="R77" s="38">
        <v>14.364000000000001</v>
      </c>
      <c r="S77" s="136">
        <f>R77*J77</f>
        <v>718.2</v>
      </c>
      <c r="T77" s="38"/>
      <c r="U77" s="38"/>
      <c r="V77" s="38">
        <f>K77+M77+O77+Q77+S77+U77</f>
        <v>718.2</v>
      </c>
      <c r="W77" s="38">
        <v>0</v>
      </c>
      <c r="X77" s="38">
        <f>SUM(V77:W77)</f>
        <v>718.2</v>
      </c>
    </row>
    <row r="78" spans="1:24" ht="12" customHeight="1" x14ac:dyDescent="0.35">
      <c r="A78" s="34" t="s">
        <v>243</v>
      </c>
      <c r="B78" s="34">
        <v>7370</v>
      </c>
      <c r="C78" s="35" t="s">
        <v>58</v>
      </c>
      <c r="D78" s="34" t="s">
        <v>240</v>
      </c>
      <c r="E78" s="34" t="s">
        <v>587</v>
      </c>
      <c r="F78" s="36" t="s">
        <v>588</v>
      </c>
      <c r="G78" s="36" t="s">
        <v>55</v>
      </c>
      <c r="H78" s="37" t="s">
        <v>279</v>
      </c>
      <c r="I78" s="38">
        <f>3*4</f>
        <v>12</v>
      </c>
      <c r="J78" s="38">
        <v>3000</v>
      </c>
      <c r="K78" s="38">
        <v>0</v>
      </c>
      <c r="L78" s="38">
        <f>3*2</f>
        <v>6</v>
      </c>
      <c r="M78" s="38">
        <v>0</v>
      </c>
      <c r="N78" s="38">
        <f>2*3</f>
        <v>6</v>
      </c>
      <c r="O78" s="38">
        <v>0</v>
      </c>
      <c r="P78" s="38">
        <f>2*3</f>
        <v>6</v>
      </c>
      <c r="Q78" s="98">
        <v>5162.09</v>
      </c>
      <c r="R78" s="38">
        <v>18.279303333333335</v>
      </c>
      <c r="S78" s="136">
        <f>R78*J78</f>
        <v>54837.91</v>
      </c>
      <c r="T78" s="38"/>
      <c r="U78" s="38"/>
      <c r="V78" s="38">
        <f>K78+M78+O78+Q78+S78+U78</f>
        <v>60000</v>
      </c>
      <c r="W78" s="38">
        <v>0</v>
      </c>
      <c r="X78" s="38">
        <f>SUM(V78:W78)</f>
        <v>60000</v>
      </c>
    </row>
    <row r="79" spans="1:24" ht="12" customHeight="1" x14ac:dyDescent="0.35">
      <c r="F79" s="70" t="s">
        <v>589</v>
      </c>
      <c r="G79" s="74"/>
      <c r="H79" s="7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</row>
    <row r="80" spans="1:24" ht="20.100000000000001" customHeight="1" x14ac:dyDescent="0.35">
      <c r="A80" s="34" t="s">
        <v>239</v>
      </c>
      <c r="B80" s="34">
        <v>7370</v>
      </c>
      <c r="C80" s="35" t="s">
        <v>32</v>
      </c>
      <c r="D80" s="34" t="s">
        <v>240</v>
      </c>
      <c r="E80" s="34" t="s">
        <v>590</v>
      </c>
      <c r="F80" s="20" t="s">
        <v>591</v>
      </c>
      <c r="G80" s="36" t="s">
        <v>34</v>
      </c>
      <c r="H80" s="37" t="s">
        <v>233</v>
      </c>
      <c r="I80" s="38">
        <v>2</v>
      </c>
      <c r="J80" s="38">
        <v>2000</v>
      </c>
      <c r="K80" s="38">
        <v>0</v>
      </c>
      <c r="L80" s="38">
        <v>2</v>
      </c>
      <c r="M80" s="38">
        <v>0</v>
      </c>
      <c r="N80" s="38">
        <v>2</v>
      </c>
      <c r="O80" s="98">
        <v>2607.19</v>
      </c>
      <c r="P80" s="38">
        <v>2</v>
      </c>
      <c r="Q80" s="98">
        <v>1579.15</v>
      </c>
      <c r="R80" s="38">
        <v>1.90683</v>
      </c>
      <c r="S80" s="136">
        <f>R80*J80</f>
        <v>3813.66</v>
      </c>
      <c r="T80" s="38"/>
      <c r="U80" s="38"/>
      <c r="V80" s="38">
        <f>K80+M80+O80+Q80+S80+U80</f>
        <v>8000</v>
      </c>
      <c r="W80" s="38">
        <v>0</v>
      </c>
      <c r="X80" s="38">
        <f>SUM(V80:W80)</f>
        <v>8000</v>
      </c>
    </row>
    <row r="81" spans="1:24" ht="12" customHeight="1" x14ac:dyDescent="0.35">
      <c r="A81" s="34" t="s">
        <v>243</v>
      </c>
      <c r="B81" s="34">
        <v>7370</v>
      </c>
      <c r="C81" s="35" t="s">
        <v>58</v>
      </c>
      <c r="D81" s="34" t="s">
        <v>240</v>
      </c>
      <c r="E81" s="34" t="s">
        <v>592</v>
      </c>
      <c r="F81" s="20" t="s">
        <v>591</v>
      </c>
      <c r="G81" s="36" t="s">
        <v>55</v>
      </c>
      <c r="H81" s="37" t="s">
        <v>233</v>
      </c>
      <c r="I81" s="38">
        <v>2</v>
      </c>
      <c r="J81" s="38">
        <v>2000</v>
      </c>
      <c r="K81" s="38">
        <v>0</v>
      </c>
      <c r="L81" s="38">
        <v>2</v>
      </c>
      <c r="M81" s="38">
        <v>0</v>
      </c>
      <c r="N81" s="38">
        <v>2</v>
      </c>
      <c r="O81" s="97">
        <v>75</v>
      </c>
      <c r="P81" s="38">
        <v>2</v>
      </c>
      <c r="Q81" s="98">
        <v>1987.92</v>
      </c>
      <c r="R81" s="38">
        <v>2.96854</v>
      </c>
      <c r="S81" s="136">
        <f>R81*J81</f>
        <v>5937.08</v>
      </c>
      <c r="T81" s="38"/>
      <c r="U81" s="38"/>
      <c r="V81" s="38">
        <f>K81+M81+O81+Q81+S81+U81</f>
        <v>8000</v>
      </c>
      <c r="W81" s="38">
        <v>0</v>
      </c>
      <c r="X81" s="38">
        <f>SUM(V81:W81)</f>
        <v>8000</v>
      </c>
    </row>
    <row r="82" spans="1:24" ht="12" customHeight="1" x14ac:dyDescent="0.35">
      <c r="F82" s="70" t="s">
        <v>593</v>
      </c>
      <c r="G82" s="74"/>
      <c r="H82" s="7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</row>
    <row r="83" spans="1:24" ht="12" customHeight="1" x14ac:dyDescent="0.35">
      <c r="A83" s="34" t="s">
        <v>245</v>
      </c>
      <c r="B83" s="34">
        <v>7370</v>
      </c>
      <c r="C83" s="35">
        <v>0</v>
      </c>
      <c r="D83" s="34" t="s">
        <v>240</v>
      </c>
      <c r="E83" s="34" t="s">
        <v>594</v>
      </c>
      <c r="F83" s="36" t="s">
        <v>595</v>
      </c>
      <c r="G83" s="36" t="s">
        <v>69</v>
      </c>
      <c r="H83" s="37" t="s">
        <v>596</v>
      </c>
      <c r="I83" s="38">
        <v>0</v>
      </c>
      <c r="J83" s="38">
        <v>10000</v>
      </c>
      <c r="K83" s="38">
        <f>I83*J83</f>
        <v>0</v>
      </c>
      <c r="L83" s="38">
        <v>0</v>
      </c>
      <c r="M83" s="38">
        <f>L83*J83</f>
        <v>0</v>
      </c>
      <c r="N83" s="38">
        <v>0</v>
      </c>
      <c r="O83" s="38">
        <f>N83*J83</f>
        <v>0</v>
      </c>
      <c r="P83" s="38">
        <v>1</v>
      </c>
      <c r="Q83" s="38">
        <v>0</v>
      </c>
      <c r="R83" s="38">
        <v>1</v>
      </c>
      <c r="S83" s="136">
        <f>R83*J83</f>
        <v>10000</v>
      </c>
      <c r="T83" s="38">
        <f>S83/J83</f>
        <v>1</v>
      </c>
      <c r="U83" s="38">
        <f>T83*N83</f>
        <v>0</v>
      </c>
      <c r="V83" s="38">
        <f>K83+M83+O83+Q83+S83+U83</f>
        <v>10000</v>
      </c>
      <c r="W83" s="38">
        <v>0</v>
      </c>
      <c r="X83" s="38">
        <f>SUM(V83:W83)</f>
        <v>10000</v>
      </c>
    </row>
    <row r="84" spans="1:24" x14ac:dyDescent="0.35">
      <c r="A84" s="34" t="s">
        <v>245</v>
      </c>
      <c r="B84" s="34">
        <v>7370</v>
      </c>
      <c r="C84" s="35">
        <v>0</v>
      </c>
      <c r="D84" s="34" t="s">
        <v>240</v>
      </c>
      <c r="E84" s="34" t="s">
        <v>597</v>
      </c>
      <c r="F84" s="41" t="s">
        <v>598</v>
      </c>
      <c r="G84" s="36" t="s">
        <v>69</v>
      </c>
      <c r="H84" s="37" t="s">
        <v>596</v>
      </c>
      <c r="I84" s="38">
        <v>0</v>
      </c>
      <c r="J84" s="38">
        <v>10000</v>
      </c>
      <c r="K84" s="38">
        <f>I84*J84</f>
        <v>0</v>
      </c>
      <c r="L84" s="38">
        <v>0</v>
      </c>
      <c r="M84" s="38">
        <f>L84*J84</f>
        <v>0</v>
      </c>
      <c r="N84" s="38">
        <v>0</v>
      </c>
      <c r="O84" s="38">
        <f>N84*J84</f>
        <v>0</v>
      </c>
      <c r="P84" s="38">
        <v>1</v>
      </c>
      <c r="Q84" s="98">
        <v>11607.8</v>
      </c>
      <c r="R84" s="38"/>
      <c r="S84" s="38">
        <f>R84*L84</f>
        <v>0</v>
      </c>
      <c r="T84" s="38"/>
      <c r="U84" s="38">
        <f>T84*N84</f>
        <v>0</v>
      </c>
      <c r="V84" s="38">
        <f>K84+M84+O84+Q84+S84+U84</f>
        <v>11607.8</v>
      </c>
      <c r="W84" s="38">
        <v>0</v>
      </c>
      <c r="X84" s="38">
        <f>SUM(V84:W84)</f>
        <v>11607.8</v>
      </c>
    </row>
    <row r="85" spans="1:24" ht="11.25" customHeight="1" x14ac:dyDescent="0.35">
      <c r="A85" s="34" t="s">
        <v>245</v>
      </c>
      <c r="B85" s="34">
        <v>7370</v>
      </c>
      <c r="C85" s="35">
        <v>0</v>
      </c>
      <c r="D85" s="34" t="s">
        <v>240</v>
      </c>
      <c r="E85" s="34" t="s">
        <v>599</v>
      </c>
      <c r="F85" s="36" t="s">
        <v>600</v>
      </c>
      <c r="G85" s="36" t="s">
        <v>69</v>
      </c>
      <c r="H85" s="37" t="s">
        <v>596</v>
      </c>
      <c r="I85" s="38">
        <v>0</v>
      </c>
      <c r="J85" s="38">
        <v>10000</v>
      </c>
      <c r="K85" s="38">
        <f>I85*J85</f>
        <v>0</v>
      </c>
      <c r="L85" s="38">
        <v>0</v>
      </c>
      <c r="M85" s="38">
        <f>L85*J85</f>
        <v>0</v>
      </c>
      <c r="N85" s="38">
        <v>0</v>
      </c>
      <c r="O85" s="38">
        <f>N85*J85</f>
        <v>0</v>
      </c>
      <c r="P85" s="38">
        <v>1</v>
      </c>
      <c r="Q85" s="98">
        <v>10320.08</v>
      </c>
      <c r="R85" s="38"/>
      <c r="S85" s="38">
        <f>R85*L85</f>
        <v>0</v>
      </c>
      <c r="T85" s="38"/>
      <c r="U85" s="38">
        <f>T85*N85</f>
        <v>0</v>
      </c>
      <c r="V85" s="38">
        <f>K85+M85+O85+Q85+S85+U85</f>
        <v>10320.08</v>
      </c>
      <c r="W85" s="38">
        <v>0</v>
      </c>
      <c r="X85" s="38">
        <f>SUM(V85:W85)</f>
        <v>10320.08</v>
      </c>
    </row>
    <row r="86" spans="1:24" s="111" customFormat="1" x14ac:dyDescent="0.35">
      <c r="C86" s="112"/>
      <c r="F86" s="125" t="s">
        <v>601</v>
      </c>
      <c r="G86" s="125"/>
      <c r="H86" s="125"/>
      <c r="I86" s="125"/>
      <c r="J86" s="125"/>
      <c r="K86" s="125"/>
      <c r="L86" s="125"/>
      <c r="M86" s="125"/>
      <c r="N86" s="125"/>
      <c r="O86" s="125"/>
    </row>
    <row r="87" spans="1:24" s="111" customFormat="1" ht="20.399999999999999" x14ac:dyDescent="0.35">
      <c r="A87" s="118" t="s">
        <v>239</v>
      </c>
      <c r="B87" s="118">
        <v>7370</v>
      </c>
      <c r="C87" s="119" t="s">
        <v>32</v>
      </c>
      <c r="D87" s="118" t="s">
        <v>240</v>
      </c>
      <c r="E87" s="118"/>
      <c r="F87" s="113" t="s">
        <v>602</v>
      </c>
      <c r="G87" s="113" t="s">
        <v>34</v>
      </c>
      <c r="H87" s="114" t="s">
        <v>279</v>
      </c>
      <c r="I87" s="116">
        <f>8*4</f>
        <v>32</v>
      </c>
      <c r="J87" s="116">
        <v>250</v>
      </c>
      <c r="K87" s="116"/>
      <c r="L87" s="116"/>
      <c r="M87" s="116"/>
      <c r="N87" s="116"/>
      <c r="R87" s="116">
        <f>8*4</f>
        <v>32</v>
      </c>
      <c r="S87" s="116">
        <f>J87*R87</f>
        <v>8000</v>
      </c>
      <c r="T87" s="116">
        <f>1*4</f>
        <v>4</v>
      </c>
      <c r="U87" s="116">
        <f>J87*T87</f>
        <v>1000</v>
      </c>
      <c r="V87" s="116">
        <f>K87+M87+O87+Q87+S87+U87</f>
        <v>9000</v>
      </c>
      <c r="X87" s="116">
        <f>SUM(V87:W87)</f>
        <v>9000</v>
      </c>
    </row>
    <row r="88" spans="1:24" s="111" customFormat="1" x14ac:dyDescent="0.35">
      <c r="A88" s="118" t="s">
        <v>243</v>
      </c>
      <c r="B88" s="118">
        <v>7370</v>
      </c>
      <c r="C88" s="119" t="s">
        <v>58</v>
      </c>
      <c r="D88" s="118" t="s">
        <v>240</v>
      </c>
      <c r="E88" s="118"/>
      <c r="F88" s="113" t="s">
        <v>603</v>
      </c>
      <c r="G88" s="113" t="s">
        <v>55</v>
      </c>
      <c r="H88" s="114" t="s">
        <v>279</v>
      </c>
      <c r="I88" s="116">
        <v>12</v>
      </c>
      <c r="J88" s="116">
        <v>250</v>
      </c>
      <c r="K88" s="116"/>
      <c r="L88" s="116"/>
      <c r="M88" s="116"/>
      <c r="N88" s="116"/>
      <c r="R88" s="116">
        <v>12</v>
      </c>
      <c r="S88" s="116">
        <f t="shared" ref="S88:S102" si="8">J88*R88</f>
        <v>3000</v>
      </c>
      <c r="T88" s="116">
        <v>2</v>
      </c>
      <c r="U88" s="116">
        <f t="shared" ref="U88:U96" si="9">J88*T88</f>
        <v>500</v>
      </c>
      <c r="V88" s="116">
        <f t="shared" ref="V88:V102" si="10">K88+M88+O88+Q88+S88+U88</f>
        <v>3500</v>
      </c>
      <c r="X88" s="116">
        <f t="shared" ref="X88:X102" si="11">SUM(V88:W88)</f>
        <v>3500</v>
      </c>
    </row>
    <row r="89" spans="1:24" s="111" customFormat="1" ht="11.25" customHeight="1" x14ac:dyDescent="0.35">
      <c r="C89" s="112"/>
      <c r="F89" s="125" t="s">
        <v>604</v>
      </c>
      <c r="G89" s="125"/>
      <c r="H89" s="126"/>
      <c r="I89" s="116"/>
      <c r="J89" s="116"/>
      <c r="K89" s="116"/>
      <c r="L89" s="116"/>
      <c r="M89" s="116"/>
      <c r="N89" s="116"/>
      <c r="O89" s="116"/>
      <c r="R89" s="116"/>
      <c r="S89" s="116">
        <f t="shared" si="8"/>
        <v>0</v>
      </c>
      <c r="T89" s="116"/>
      <c r="U89" s="116">
        <f t="shared" si="9"/>
        <v>0</v>
      </c>
      <c r="V89" s="116">
        <f t="shared" si="10"/>
        <v>0</v>
      </c>
      <c r="X89" s="116">
        <f t="shared" si="11"/>
        <v>0</v>
      </c>
    </row>
    <row r="90" spans="1:24" s="111" customFormat="1" ht="11.25" customHeight="1" x14ac:dyDescent="0.35">
      <c r="A90" s="118" t="s">
        <v>239</v>
      </c>
      <c r="B90" s="118">
        <v>7370</v>
      </c>
      <c r="C90" s="119" t="s">
        <v>32</v>
      </c>
      <c r="D90" s="118" t="s">
        <v>240</v>
      </c>
      <c r="E90" s="118"/>
      <c r="F90" s="113" t="s">
        <v>605</v>
      </c>
      <c r="G90" s="113" t="s">
        <v>34</v>
      </c>
      <c r="H90" s="113" t="s">
        <v>551</v>
      </c>
      <c r="I90" s="116">
        <v>6</v>
      </c>
      <c r="J90" s="116">
        <v>100</v>
      </c>
      <c r="K90" s="116"/>
      <c r="L90" s="116"/>
      <c r="M90" s="116"/>
      <c r="N90" s="116"/>
      <c r="R90" s="116">
        <v>6</v>
      </c>
      <c r="S90" s="116">
        <f t="shared" si="8"/>
        <v>600</v>
      </c>
      <c r="T90" s="116">
        <v>1</v>
      </c>
      <c r="U90" s="116">
        <f t="shared" si="9"/>
        <v>100</v>
      </c>
      <c r="V90" s="116">
        <f t="shared" si="10"/>
        <v>700</v>
      </c>
      <c r="X90" s="116">
        <f t="shared" si="11"/>
        <v>700</v>
      </c>
    </row>
    <row r="91" spans="1:24" s="111" customFormat="1" ht="11.25" customHeight="1" x14ac:dyDescent="0.35">
      <c r="A91" s="118"/>
      <c r="B91" s="118"/>
      <c r="C91" s="119"/>
      <c r="D91" s="118"/>
      <c r="E91" s="118"/>
      <c r="F91" s="113" t="s">
        <v>605</v>
      </c>
      <c r="G91" s="113" t="s">
        <v>34</v>
      </c>
      <c r="H91" s="113" t="s">
        <v>606</v>
      </c>
      <c r="I91" s="116">
        <f>1*3*12</f>
        <v>36</v>
      </c>
      <c r="J91" s="116">
        <v>150</v>
      </c>
      <c r="K91" s="116"/>
      <c r="L91" s="116"/>
      <c r="M91" s="116"/>
      <c r="N91" s="116"/>
      <c r="R91" s="116">
        <f>1*3*12</f>
        <v>36</v>
      </c>
      <c r="S91" s="116">
        <f t="shared" si="8"/>
        <v>5400</v>
      </c>
      <c r="T91" s="116">
        <f>1*3*3</f>
        <v>9</v>
      </c>
      <c r="U91" s="116">
        <f t="shared" si="9"/>
        <v>1350</v>
      </c>
      <c r="V91" s="116">
        <f t="shared" si="10"/>
        <v>6750</v>
      </c>
      <c r="X91" s="116">
        <f t="shared" si="11"/>
        <v>6750</v>
      </c>
    </row>
    <row r="92" spans="1:24" s="111" customFormat="1" ht="11.25" customHeight="1" x14ac:dyDescent="0.35">
      <c r="A92" s="118"/>
      <c r="B92" s="118"/>
      <c r="C92" s="119"/>
      <c r="D92" s="118"/>
      <c r="E92" s="118"/>
      <c r="F92" s="113" t="s">
        <v>607</v>
      </c>
      <c r="G92" s="113" t="s">
        <v>34</v>
      </c>
      <c r="H92" s="113" t="s">
        <v>551</v>
      </c>
      <c r="I92" s="116">
        <v>6</v>
      </c>
      <c r="J92" s="116">
        <v>100</v>
      </c>
      <c r="K92" s="116"/>
      <c r="L92" s="116"/>
      <c r="M92" s="116"/>
      <c r="N92" s="116"/>
      <c r="R92" s="116">
        <v>6</v>
      </c>
      <c r="S92" s="116">
        <f t="shared" si="8"/>
        <v>600</v>
      </c>
      <c r="T92" s="116">
        <v>1</v>
      </c>
      <c r="U92" s="116">
        <f t="shared" si="9"/>
        <v>100</v>
      </c>
      <c r="V92" s="116">
        <f t="shared" si="10"/>
        <v>700</v>
      </c>
      <c r="X92" s="116">
        <f t="shared" si="11"/>
        <v>700</v>
      </c>
    </row>
    <row r="93" spans="1:24" s="111" customFormat="1" ht="11.25" customHeight="1" x14ac:dyDescent="0.35">
      <c r="A93" s="118"/>
      <c r="B93" s="118"/>
      <c r="C93" s="119"/>
      <c r="D93" s="118"/>
      <c r="E93" s="118"/>
      <c r="F93" s="113" t="s">
        <v>607</v>
      </c>
      <c r="G93" s="113" t="s">
        <v>34</v>
      </c>
      <c r="H93" s="111" t="s">
        <v>606</v>
      </c>
      <c r="I93" s="116">
        <f>1*3*12</f>
        <v>36</v>
      </c>
      <c r="J93" s="116">
        <v>150</v>
      </c>
      <c r="K93" s="116"/>
      <c r="L93" s="116"/>
      <c r="M93" s="116"/>
      <c r="N93" s="116"/>
      <c r="R93" s="116">
        <f>1*3*12</f>
        <v>36</v>
      </c>
      <c r="S93" s="116">
        <f t="shared" si="8"/>
        <v>5400</v>
      </c>
      <c r="T93" s="116">
        <f>1*3*3</f>
        <v>9</v>
      </c>
      <c r="U93" s="116">
        <f t="shared" si="9"/>
        <v>1350</v>
      </c>
      <c r="V93" s="116">
        <f t="shared" si="10"/>
        <v>6750</v>
      </c>
      <c r="X93" s="116">
        <f t="shared" si="11"/>
        <v>6750</v>
      </c>
    </row>
    <row r="94" spans="1:24" s="111" customFormat="1" ht="11.25" customHeight="1" x14ac:dyDescent="0.35">
      <c r="A94" s="118"/>
      <c r="B94" s="118"/>
      <c r="C94" s="119"/>
      <c r="D94" s="118"/>
      <c r="E94" s="118"/>
      <c r="F94" s="113" t="s">
        <v>605</v>
      </c>
      <c r="G94" s="113" t="s">
        <v>55</v>
      </c>
      <c r="H94" s="113" t="s">
        <v>551</v>
      </c>
      <c r="I94" s="116">
        <v>6</v>
      </c>
      <c r="J94" s="116">
        <v>100</v>
      </c>
      <c r="K94" s="116"/>
      <c r="L94" s="116"/>
      <c r="M94" s="116"/>
      <c r="N94" s="116"/>
      <c r="R94" s="116">
        <v>6</v>
      </c>
      <c r="S94" s="116">
        <f t="shared" si="8"/>
        <v>600</v>
      </c>
      <c r="T94" s="116">
        <v>1</v>
      </c>
      <c r="U94" s="116">
        <f t="shared" si="9"/>
        <v>100</v>
      </c>
      <c r="V94" s="116">
        <f t="shared" si="10"/>
        <v>700</v>
      </c>
      <c r="X94" s="116">
        <f t="shared" si="11"/>
        <v>700</v>
      </c>
    </row>
    <row r="95" spans="1:24" s="111" customFormat="1" ht="11.25" customHeight="1" x14ac:dyDescent="0.35">
      <c r="A95" s="118" t="s">
        <v>243</v>
      </c>
      <c r="B95" s="118">
        <v>7370</v>
      </c>
      <c r="C95" s="119" t="s">
        <v>58</v>
      </c>
      <c r="D95" s="118" t="s">
        <v>240</v>
      </c>
      <c r="E95" s="118"/>
      <c r="F95" s="113" t="s">
        <v>605</v>
      </c>
      <c r="G95" s="113" t="s">
        <v>55</v>
      </c>
      <c r="H95" s="113" t="s">
        <v>606</v>
      </c>
      <c r="I95" s="116">
        <f>1*3*12</f>
        <v>36</v>
      </c>
      <c r="J95" s="116">
        <v>150</v>
      </c>
      <c r="K95" s="116"/>
      <c r="L95" s="116"/>
      <c r="M95" s="116"/>
      <c r="N95" s="116"/>
      <c r="R95" s="116">
        <f>1*3*12</f>
        <v>36</v>
      </c>
      <c r="S95" s="116">
        <f t="shared" si="8"/>
        <v>5400</v>
      </c>
      <c r="T95" s="116">
        <f>1*3*3</f>
        <v>9</v>
      </c>
      <c r="U95" s="116">
        <f t="shared" si="9"/>
        <v>1350</v>
      </c>
      <c r="V95" s="116">
        <f t="shared" si="10"/>
        <v>6750</v>
      </c>
      <c r="X95" s="116">
        <f t="shared" si="11"/>
        <v>6750</v>
      </c>
    </row>
    <row r="96" spans="1:24" s="111" customFormat="1" ht="11.25" customHeight="1" x14ac:dyDescent="0.35">
      <c r="C96" s="112"/>
      <c r="F96" s="113" t="s">
        <v>607</v>
      </c>
      <c r="G96" s="113" t="s">
        <v>55</v>
      </c>
      <c r="H96" s="113" t="s">
        <v>551</v>
      </c>
      <c r="I96" s="116">
        <v>6</v>
      </c>
      <c r="J96" s="116">
        <v>100</v>
      </c>
      <c r="K96" s="116"/>
      <c r="L96" s="116"/>
      <c r="M96" s="116"/>
      <c r="N96" s="116"/>
      <c r="R96" s="116">
        <v>6</v>
      </c>
      <c r="S96" s="116">
        <f t="shared" si="8"/>
        <v>600</v>
      </c>
      <c r="T96" s="116">
        <v>1</v>
      </c>
      <c r="U96" s="116">
        <f t="shared" si="9"/>
        <v>100</v>
      </c>
      <c r="V96" s="116">
        <f t="shared" si="10"/>
        <v>700</v>
      </c>
      <c r="X96" s="116">
        <f t="shared" si="11"/>
        <v>700</v>
      </c>
    </row>
    <row r="97" spans="1:24" s="111" customFormat="1" ht="11.25" customHeight="1" x14ac:dyDescent="0.35">
      <c r="C97" s="112"/>
      <c r="F97" s="113" t="s">
        <v>607</v>
      </c>
      <c r="G97" s="113" t="s">
        <v>55</v>
      </c>
      <c r="H97" s="111" t="s">
        <v>606</v>
      </c>
      <c r="I97" s="116">
        <f>1*3*12</f>
        <v>36</v>
      </c>
      <c r="J97" s="116">
        <v>150</v>
      </c>
      <c r="K97" s="116"/>
      <c r="L97" s="116"/>
      <c r="M97" s="116"/>
      <c r="N97" s="116"/>
      <c r="R97" s="116">
        <f>1*3*12</f>
        <v>36</v>
      </c>
      <c r="S97" s="116">
        <f t="shared" si="8"/>
        <v>5400</v>
      </c>
      <c r="T97" s="116">
        <f>1*3*3</f>
        <v>9</v>
      </c>
      <c r="U97" s="116">
        <f>J97*T97-142</f>
        <v>1208</v>
      </c>
      <c r="V97" s="116">
        <f t="shared" si="10"/>
        <v>6608</v>
      </c>
      <c r="X97" s="116">
        <f t="shared" si="11"/>
        <v>6608</v>
      </c>
    </row>
    <row r="98" spans="1:24" s="111" customFormat="1" ht="11.25" customHeight="1" x14ac:dyDescent="0.35">
      <c r="C98" s="112"/>
      <c r="F98" s="125" t="s">
        <v>608</v>
      </c>
      <c r="G98" s="125"/>
      <c r="H98" s="127"/>
      <c r="I98" s="128"/>
      <c r="J98" s="128"/>
      <c r="K98" s="128"/>
      <c r="L98" s="128"/>
      <c r="M98" s="128"/>
      <c r="N98" s="128"/>
      <c r="O98" s="128"/>
      <c r="R98" s="128"/>
      <c r="S98" s="116">
        <f t="shared" si="8"/>
        <v>0</v>
      </c>
      <c r="T98" s="128"/>
      <c r="U98" s="128"/>
      <c r="V98" s="116">
        <f t="shared" si="10"/>
        <v>0</v>
      </c>
      <c r="X98" s="116">
        <f t="shared" si="11"/>
        <v>0</v>
      </c>
    </row>
    <row r="99" spans="1:24" s="111" customFormat="1" ht="11.25" customHeight="1" x14ac:dyDescent="0.35">
      <c r="A99" s="118" t="s">
        <v>239</v>
      </c>
      <c r="B99" s="118">
        <v>7370</v>
      </c>
      <c r="C99" s="119" t="s">
        <v>32</v>
      </c>
      <c r="D99" s="118" t="s">
        <v>240</v>
      </c>
      <c r="E99" s="118"/>
      <c r="F99" s="113" t="s">
        <v>609</v>
      </c>
      <c r="G99" s="113" t="s">
        <v>34</v>
      </c>
      <c r="H99" s="114" t="s">
        <v>610</v>
      </c>
      <c r="I99" s="116">
        <f>25*5</f>
        <v>125</v>
      </c>
      <c r="J99" s="116">
        <v>45</v>
      </c>
      <c r="K99" s="116"/>
      <c r="L99" s="116"/>
      <c r="M99" s="116"/>
      <c r="N99" s="116"/>
      <c r="R99" s="116">
        <f>25*5</f>
        <v>125</v>
      </c>
      <c r="S99" s="116">
        <f t="shared" si="8"/>
        <v>5625</v>
      </c>
      <c r="T99" s="116">
        <v>0</v>
      </c>
      <c r="U99" s="116">
        <v>0</v>
      </c>
      <c r="V99" s="116">
        <f t="shared" si="10"/>
        <v>5625</v>
      </c>
      <c r="X99" s="116">
        <f t="shared" si="11"/>
        <v>5625</v>
      </c>
    </row>
    <row r="100" spans="1:24" s="111" customFormat="1" ht="11.25" customHeight="1" x14ac:dyDescent="0.35">
      <c r="A100" s="118" t="s">
        <v>239</v>
      </c>
      <c r="B100" s="118">
        <v>7370</v>
      </c>
      <c r="C100" s="119" t="s">
        <v>32</v>
      </c>
      <c r="D100" s="118" t="s">
        <v>240</v>
      </c>
      <c r="E100" s="118"/>
      <c r="F100" s="113" t="s">
        <v>609</v>
      </c>
      <c r="G100" s="113" t="s">
        <v>55</v>
      </c>
      <c r="H100" s="114" t="s">
        <v>610</v>
      </c>
      <c r="I100" s="116">
        <f>25*5</f>
        <v>125</v>
      </c>
      <c r="J100" s="116">
        <v>45</v>
      </c>
      <c r="K100" s="116"/>
      <c r="L100" s="116"/>
      <c r="M100" s="116"/>
      <c r="N100" s="116"/>
      <c r="R100" s="116">
        <f>25*5</f>
        <v>125</v>
      </c>
      <c r="S100" s="116">
        <f t="shared" si="8"/>
        <v>5625</v>
      </c>
      <c r="T100" s="116">
        <v>0</v>
      </c>
      <c r="U100" s="116">
        <v>0</v>
      </c>
      <c r="V100" s="116">
        <f t="shared" si="10"/>
        <v>5625</v>
      </c>
      <c r="X100" s="116">
        <f t="shared" si="11"/>
        <v>5625</v>
      </c>
    </row>
    <row r="101" spans="1:24" s="111" customFormat="1" ht="11.25" customHeight="1" x14ac:dyDescent="0.35">
      <c r="A101" s="118" t="s">
        <v>243</v>
      </c>
      <c r="B101" s="118">
        <v>7370</v>
      </c>
      <c r="C101" s="119" t="s">
        <v>58</v>
      </c>
      <c r="D101" s="118" t="s">
        <v>240</v>
      </c>
      <c r="E101" s="118"/>
      <c r="F101" s="113" t="s">
        <v>609</v>
      </c>
      <c r="G101" s="113" t="s">
        <v>129</v>
      </c>
      <c r="H101" s="114" t="s">
        <v>610</v>
      </c>
      <c r="I101" s="116">
        <f>25*5</f>
        <v>125</v>
      </c>
      <c r="J101" s="116">
        <v>45</v>
      </c>
      <c r="K101" s="116"/>
      <c r="L101" s="116"/>
      <c r="M101" s="116"/>
      <c r="N101" s="116"/>
      <c r="R101" s="116">
        <f>25*5</f>
        <v>125</v>
      </c>
      <c r="S101" s="116">
        <f t="shared" si="8"/>
        <v>5625</v>
      </c>
      <c r="T101" s="116">
        <v>0</v>
      </c>
      <c r="U101" s="116">
        <v>0</v>
      </c>
      <c r="V101" s="116">
        <f t="shared" si="10"/>
        <v>5625</v>
      </c>
      <c r="X101" s="116">
        <f t="shared" si="11"/>
        <v>5625</v>
      </c>
    </row>
    <row r="102" spans="1:24" s="111" customFormat="1" ht="11.25" customHeight="1" x14ac:dyDescent="0.35">
      <c r="A102" s="118" t="s">
        <v>243</v>
      </c>
      <c r="B102" s="118">
        <v>7370</v>
      </c>
      <c r="C102" s="119" t="s">
        <v>58</v>
      </c>
      <c r="D102" s="118" t="s">
        <v>240</v>
      </c>
      <c r="E102" s="118"/>
      <c r="F102" s="113" t="s">
        <v>607</v>
      </c>
      <c r="G102" s="113" t="s">
        <v>129</v>
      </c>
      <c r="H102" s="114" t="s">
        <v>610</v>
      </c>
      <c r="I102" s="116">
        <f>10*5</f>
        <v>50</v>
      </c>
      <c r="J102" s="116">
        <v>45</v>
      </c>
      <c r="K102" s="116"/>
      <c r="L102" s="116"/>
      <c r="M102" s="116"/>
      <c r="N102" s="116"/>
      <c r="R102" s="116">
        <f>10*5</f>
        <v>50</v>
      </c>
      <c r="S102" s="116">
        <f t="shared" si="8"/>
        <v>2250</v>
      </c>
      <c r="T102" s="116">
        <v>0</v>
      </c>
      <c r="U102" s="116">
        <v>0</v>
      </c>
      <c r="V102" s="116">
        <f t="shared" si="10"/>
        <v>2250</v>
      </c>
      <c r="X102" s="116">
        <f t="shared" si="11"/>
        <v>2250</v>
      </c>
    </row>
    <row r="103" spans="1:24" s="111" customFormat="1" ht="20.399999999999999" x14ac:dyDescent="0.35">
      <c r="C103" s="112"/>
      <c r="F103" s="127" t="s">
        <v>611</v>
      </c>
      <c r="G103" s="125"/>
      <c r="H103" s="113"/>
      <c r="I103" s="116"/>
      <c r="J103" s="116"/>
      <c r="K103" s="116"/>
      <c r="L103" s="116"/>
      <c r="M103" s="116"/>
      <c r="N103" s="116"/>
      <c r="O103" s="116"/>
    </row>
    <row r="104" spans="1:24" s="111" customFormat="1" ht="11.25" customHeight="1" x14ac:dyDescent="0.35">
      <c r="C104" s="112"/>
      <c r="F104" s="125" t="s">
        <v>612</v>
      </c>
      <c r="G104" s="125"/>
      <c r="H104" s="113"/>
      <c r="I104" s="116"/>
      <c r="J104" s="116"/>
      <c r="K104" s="116"/>
      <c r="L104" s="116"/>
      <c r="M104" s="116"/>
      <c r="N104" s="116"/>
      <c r="O104" s="116"/>
    </row>
    <row r="105" spans="1:24" s="111" customFormat="1" ht="11.25" customHeight="1" x14ac:dyDescent="0.35">
      <c r="A105" s="118" t="s">
        <v>239</v>
      </c>
      <c r="B105" s="118">
        <v>7370</v>
      </c>
      <c r="C105" s="119" t="s">
        <v>32</v>
      </c>
      <c r="D105" s="118" t="s">
        <v>240</v>
      </c>
      <c r="E105" s="118"/>
      <c r="F105" s="113" t="s">
        <v>613</v>
      </c>
      <c r="G105" s="113" t="s">
        <v>69</v>
      </c>
      <c r="H105" s="113" t="s">
        <v>614</v>
      </c>
      <c r="I105" s="116">
        <v>1</v>
      </c>
      <c r="J105" s="116">
        <v>5000</v>
      </c>
      <c r="K105" s="116"/>
      <c r="L105" s="116">
        <v>0</v>
      </c>
      <c r="M105" s="116">
        <v>0</v>
      </c>
      <c r="N105" s="116">
        <f>SUM(K105+M105)</f>
        <v>0</v>
      </c>
      <c r="R105" s="111">
        <v>1</v>
      </c>
      <c r="S105" s="116">
        <f t="shared" ref="S105" si="12">J105*R105</f>
        <v>5000</v>
      </c>
      <c r="T105" s="116">
        <v>0</v>
      </c>
      <c r="U105" s="116">
        <v>0</v>
      </c>
      <c r="V105" s="116">
        <f t="shared" ref="V105" si="13">K105+M105+O105+Q105+S105+U105</f>
        <v>5000</v>
      </c>
      <c r="X105" s="116">
        <f t="shared" ref="X105" si="14">SUM(V105:W105)</f>
        <v>5000</v>
      </c>
    </row>
    <row r="106" spans="1:24" ht="12" customHeight="1" x14ac:dyDescent="0.35">
      <c r="F106" s="36"/>
      <c r="G106" s="36"/>
      <c r="H106" s="37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</row>
    <row r="107" spans="1:24" ht="12" customHeight="1" thickBot="1" x14ac:dyDescent="0.45">
      <c r="F107" s="47" t="s">
        <v>304</v>
      </c>
      <c r="G107" s="47"/>
      <c r="H107" s="47"/>
      <c r="I107" s="76"/>
      <c r="J107" s="76"/>
      <c r="K107" s="51">
        <f>SUM(K56:K105)</f>
        <v>1717.48</v>
      </c>
      <c r="L107" s="51"/>
      <c r="M107" s="51">
        <f>SUM(M56:M105)</f>
        <v>51021.11</v>
      </c>
      <c r="N107" s="102"/>
      <c r="O107" s="51">
        <f>SUM(O56:O105)</f>
        <v>72407.08</v>
      </c>
      <c r="P107" s="102"/>
      <c r="Q107" s="51">
        <f>SUM(Q56:Q105)</f>
        <v>122060.78999999998</v>
      </c>
      <c r="R107" s="51"/>
      <c r="S107" s="51">
        <f>SUM(S56:S105)</f>
        <v>414515.37406874297</v>
      </c>
      <c r="T107" s="51"/>
      <c r="U107" s="51">
        <f>SUM(U56:U105)</f>
        <v>7158</v>
      </c>
      <c r="V107" s="51">
        <f>SUM(K107+M107+O107+Q107)+S107+U107</f>
        <v>668879.83406874293</v>
      </c>
      <c r="W107" s="51">
        <v>0</v>
      </c>
      <c r="X107" s="51">
        <f>SUM(V107:W107)</f>
        <v>668879.83406874293</v>
      </c>
    </row>
    <row r="108" spans="1:24" ht="11.5" customHeight="1" x14ac:dyDescent="0.4">
      <c r="F108" s="99"/>
      <c r="G108" s="99"/>
      <c r="H108" s="99"/>
      <c r="I108" s="134"/>
      <c r="J108" s="134"/>
      <c r="K108" s="61"/>
      <c r="L108" s="61"/>
      <c r="M108" s="61"/>
      <c r="N108" s="135"/>
      <c r="O108" s="61"/>
      <c r="P108" s="135"/>
      <c r="Q108" s="61"/>
      <c r="R108" s="61"/>
      <c r="S108" s="61"/>
      <c r="T108" s="61"/>
      <c r="U108" s="61"/>
      <c r="V108" s="61"/>
      <c r="W108" s="61"/>
      <c r="X108" s="61"/>
    </row>
    <row r="109" spans="1:24" s="111" customFormat="1" ht="11.4" x14ac:dyDescent="0.4">
      <c r="C109" s="112"/>
      <c r="F109" s="155" t="s">
        <v>615</v>
      </c>
      <c r="G109" s="152"/>
      <c r="H109" s="152"/>
      <c r="I109" s="116">
        <v>12</v>
      </c>
      <c r="J109" s="116">
        <f>Q109/P109</f>
        <v>1799.9925000000001</v>
      </c>
      <c r="K109" s="153"/>
      <c r="L109" s="153"/>
      <c r="M109" s="153"/>
      <c r="N109" s="154"/>
      <c r="O109" s="153"/>
      <c r="P109" s="116">
        <v>12</v>
      </c>
      <c r="Q109" s="116">
        <v>21599.91</v>
      </c>
      <c r="R109" s="116">
        <v>14.805617245627412</v>
      </c>
      <c r="S109" s="116">
        <f>R109*J109</f>
        <v>26650</v>
      </c>
      <c r="T109" s="116">
        <v>3.4166809028370952</v>
      </c>
      <c r="U109" s="116">
        <f>T109*J109</f>
        <v>6150</v>
      </c>
      <c r="V109" s="116">
        <f t="shared" ref="V109:V112" si="15">K109+M109+O109+Q109+S109+U109</f>
        <v>54399.91</v>
      </c>
      <c r="W109" s="153"/>
      <c r="X109" s="116">
        <f t="shared" ref="X109:X112" si="16">SUM(V109:W109)</f>
        <v>54399.91</v>
      </c>
    </row>
    <row r="110" spans="1:24" s="111" customFormat="1" ht="11.4" x14ac:dyDescent="0.4">
      <c r="C110" s="112"/>
      <c r="F110" s="155" t="s">
        <v>616</v>
      </c>
      <c r="G110" s="152"/>
      <c r="H110" s="152"/>
      <c r="I110" s="116">
        <v>12</v>
      </c>
      <c r="J110" s="116">
        <f>Q110/P110</f>
        <v>1200.0008333333333</v>
      </c>
      <c r="K110" s="153"/>
      <c r="L110" s="153"/>
      <c r="M110" s="153"/>
      <c r="N110" s="154"/>
      <c r="O110" s="153"/>
      <c r="P110" s="116">
        <v>12</v>
      </c>
      <c r="Q110" s="116">
        <v>14400.01</v>
      </c>
      <c r="R110" s="116">
        <v>15.708322424776094</v>
      </c>
      <c r="S110" s="116">
        <f>R110*J110</f>
        <v>18850</v>
      </c>
      <c r="T110" s="116">
        <v>3.6981809730180735</v>
      </c>
      <c r="U110" s="116">
        <f>T110*J110</f>
        <v>4437.8202494391653</v>
      </c>
      <c r="V110" s="116">
        <f t="shared" si="15"/>
        <v>37687.830249439168</v>
      </c>
      <c r="W110" s="153"/>
      <c r="X110" s="116">
        <f t="shared" si="16"/>
        <v>37687.830249439168</v>
      </c>
    </row>
    <row r="111" spans="1:24" s="111" customFormat="1" ht="11.4" x14ac:dyDescent="0.4">
      <c r="C111" s="112"/>
      <c r="F111" s="155" t="s">
        <v>617</v>
      </c>
      <c r="G111" s="152"/>
      <c r="H111" s="152"/>
      <c r="I111" s="116">
        <v>1</v>
      </c>
      <c r="J111" s="116">
        <v>7500</v>
      </c>
      <c r="K111" s="153"/>
      <c r="L111" s="153"/>
      <c r="M111" s="153"/>
      <c r="N111" s="154"/>
      <c r="O111" s="153"/>
      <c r="P111" s="116">
        <v>1</v>
      </c>
      <c r="Q111" s="116">
        <v>4631.8</v>
      </c>
      <c r="R111" s="116">
        <v>1</v>
      </c>
      <c r="S111" s="116">
        <f>R111*J111</f>
        <v>7500</v>
      </c>
      <c r="T111" s="116">
        <v>0</v>
      </c>
      <c r="U111" s="116">
        <v>0</v>
      </c>
      <c r="V111" s="116">
        <f t="shared" si="15"/>
        <v>12131.8</v>
      </c>
      <c r="W111" s="153"/>
      <c r="X111" s="116">
        <f t="shared" si="16"/>
        <v>12131.8</v>
      </c>
    </row>
    <row r="112" spans="1:24" s="111" customFormat="1" ht="11.4" x14ac:dyDescent="0.4">
      <c r="C112" s="112"/>
      <c r="F112" s="155" t="s">
        <v>618</v>
      </c>
      <c r="G112" s="152"/>
      <c r="H112" s="152"/>
      <c r="I112" s="116">
        <v>1</v>
      </c>
      <c r="J112" s="116">
        <v>8000</v>
      </c>
      <c r="K112" s="153"/>
      <c r="L112" s="153"/>
      <c r="M112" s="153"/>
      <c r="N112" s="154"/>
      <c r="O112" s="153"/>
      <c r="P112" s="116">
        <v>1</v>
      </c>
      <c r="Q112" s="116">
        <v>0</v>
      </c>
      <c r="R112" s="116">
        <v>0</v>
      </c>
      <c r="S112" s="116">
        <v>0</v>
      </c>
      <c r="T112" s="116">
        <v>1</v>
      </c>
      <c r="U112" s="116">
        <f>T112*J112</f>
        <v>8000</v>
      </c>
      <c r="V112" s="116">
        <f t="shared" si="15"/>
        <v>8000</v>
      </c>
      <c r="W112" s="153"/>
      <c r="X112" s="116">
        <f t="shared" si="16"/>
        <v>8000</v>
      </c>
    </row>
    <row r="113" spans="1:25" s="146" customFormat="1" ht="11.1" customHeight="1" thickBot="1" x14ac:dyDescent="0.45">
      <c r="A113" s="141" t="s">
        <v>227</v>
      </c>
      <c r="B113" s="141"/>
      <c r="C113" s="142"/>
      <c r="D113" s="143"/>
      <c r="E113" s="143"/>
      <c r="F113" s="141" t="s">
        <v>619</v>
      </c>
      <c r="G113" s="143"/>
      <c r="H113" s="143"/>
      <c r="I113" s="143"/>
      <c r="J113" s="144"/>
      <c r="K113" s="145">
        <f>SUM(K109:K112)</f>
        <v>0</v>
      </c>
      <c r="L113" s="143"/>
      <c r="M113" s="145">
        <f>SUM(M109:M112)</f>
        <v>0</v>
      </c>
      <c r="N113" s="143"/>
      <c r="O113" s="145">
        <f>SUM(O109:O112)</f>
        <v>0</v>
      </c>
      <c r="Q113" s="145">
        <f>SUM(Q109:Q112)</f>
        <v>40631.72</v>
      </c>
      <c r="S113" s="145">
        <f>SUM(S109:S112)</f>
        <v>53000</v>
      </c>
      <c r="U113" s="145">
        <f>SUM(U109:U112)</f>
        <v>18587.820249439166</v>
      </c>
      <c r="V113" s="145">
        <f>SUM(K113+M113+O113+Q113)+S113+U113</f>
        <v>112219.54024943916</v>
      </c>
      <c r="X113" s="145">
        <f>SUM(V113:W113)</f>
        <v>112219.54024943916</v>
      </c>
    </row>
    <row r="114" spans="1:25" ht="11.25" customHeight="1" x14ac:dyDescent="0.4">
      <c r="F114" s="77"/>
      <c r="G114" s="77"/>
      <c r="J114" s="33"/>
      <c r="K114" s="33"/>
      <c r="L114" s="33"/>
      <c r="M114" s="104"/>
      <c r="N114" s="104"/>
      <c r="O114" s="104"/>
      <c r="P114" s="104"/>
      <c r="Q114" s="104"/>
      <c r="R114" s="33"/>
      <c r="S114" s="33"/>
      <c r="T114" s="33"/>
      <c r="U114" s="33"/>
      <c r="V114" s="33"/>
      <c r="W114" s="38"/>
      <c r="X114" s="33"/>
    </row>
    <row r="115" spans="1:25" ht="12" customHeight="1" thickBot="1" x14ac:dyDescent="0.45">
      <c r="F115" s="78" t="s">
        <v>473</v>
      </c>
      <c r="G115" s="78"/>
      <c r="H115" s="78"/>
      <c r="I115" s="78"/>
      <c r="J115" s="79"/>
      <c r="K115" s="103">
        <f>SUM(K24+K52+K107+K113)</f>
        <v>128733.53999999998</v>
      </c>
      <c r="L115" s="80"/>
      <c r="M115" s="103">
        <f>SUM(M24+M52+M107+M113)</f>
        <v>275421.96000000002</v>
      </c>
      <c r="N115" s="107"/>
      <c r="O115" s="103">
        <f>SUM(O24+O52+O107+O113)</f>
        <v>363462.11</v>
      </c>
      <c r="P115" s="107"/>
      <c r="Q115" s="103">
        <f>SUM(Q24+Q52+Q107+Q113)</f>
        <v>569227.80999999994</v>
      </c>
      <c r="R115" s="80"/>
      <c r="S115" s="80">
        <f>SUM(S24+S52+S107+S113)</f>
        <v>698751.58001874294</v>
      </c>
      <c r="T115" s="80"/>
      <c r="U115" s="80">
        <f>SUM(U24+U52+U107+U113)</f>
        <v>84802.041749439173</v>
      </c>
      <c r="V115" s="80">
        <f>K115+M115+O115+Q115+S115+U115</f>
        <v>2120399.0417681821</v>
      </c>
      <c r="W115" s="80">
        <f>SUM(W24+W52+W107)</f>
        <v>0</v>
      </c>
      <c r="X115" s="80">
        <f>SUM(V115:W115)</f>
        <v>2120399.0417681821</v>
      </c>
    </row>
    <row r="116" spans="1:25" ht="12" customHeight="1" x14ac:dyDescent="0.35">
      <c r="F116" s="82"/>
      <c r="G116" s="82"/>
      <c r="J116" s="33"/>
      <c r="K116" s="83"/>
      <c r="L116" s="83"/>
      <c r="M116" s="104"/>
      <c r="N116" s="104"/>
      <c r="O116" s="104"/>
      <c r="P116" s="104"/>
      <c r="Q116" s="104"/>
      <c r="R116" s="83"/>
      <c r="S116" s="83"/>
      <c r="T116" s="83"/>
      <c r="U116" s="83"/>
      <c r="V116" s="83"/>
      <c r="W116" s="83"/>
      <c r="X116" s="83"/>
    </row>
    <row r="117" spans="1:25" ht="12" customHeight="1" x14ac:dyDescent="0.4">
      <c r="A117" s="34" t="s">
        <v>245</v>
      </c>
      <c r="B117" s="34">
        <v>7370</v>
      </c>
      <c r="C117" s="35">
        <v>0</v>
      </c>
      <c r="D117" s="34" t="s">
        <v>240</v>
      </c>
      <c r="E117" s="34" t="s">
        <v>620</v>
      </c>
      <c r="F117" s="41" t="s">
        <v>621</v>
      </c>
      <c r="G117" s="82"/>
      <c r="H117" s="77"/>
      <c r="I117" s="77"/>
      <c r="J117" s="44">
        <v>0.1</v>
      </c>
      <c r="K117" s="104">
        <v>14570.42</v>
      </c>
      <c r="L117" s="83"/>
      <c r="M117" s="104">
        <f>(M115)*J117</f>
        <v>27542.196000000004</v>
      </c>
      <c r="N117" s="104"/>
      <c r="O117" s="98">
        <v>34649.160000000003</v>
      </c>
      <c r="P117" s="81"/>
      <c r="Q117" s="98">
        <v>56922.83</v>
      </c>
      <c r="S117" s="83">
        <f>(S115)*J117</f>
        <v>69875.158001874297</v>
      </c>
      <c r="U117" s="83">
        <f>U115*J117</f>
        <v>8480.2041749439177</v>
      </c>
      <c r="V117" s="83">
        <f>SUM(K117+M117+O117+Q117)+S117+U117</f>
        <v>212039.96817681822</v>
      </c>
      <c r="W117" s="83">
        <v>0</v>
      </c>
      <c r="X117" s="83">
        <f>SUM(V117:W117)</f>
        <v>212039.96817681822</v>
      </c>
    </row>
    <row r="118" spans="1:25" ht="12" customHeight="1" x14ac:dyDescent="0.4">
      <c r="G118" s="82"/>
      <c r="H118" s="77"/>
      <c r="I118" s="77"/>
      <c r="J118" s="44"/>
      <c r="K118" s="83"/>
      <c r="L118" s="83"/>
      <c r="M118" s="83"/>
      <c r="N118" s="83"/>
      <c r="O118" s="83"/>
      <c r="Q118" s="83"/>
      <c r="S118" s="83"/>
      <c r="U118" s="83"/>
      <c r="V118" s="83"/>
      <c r="W118" s="83"/>
      <c r="X118" s="83"/>
      <c r="Y118" s="85"/>
    </row>
    <row r="119" spans="1:25" ht="12" customHeight="1" x14ac:dyDescent="0.4">
      <c r="F119" s="23"/>
      <c r="G119" s="86"/>
      <c r="H119" s="87"/>
      <c r="I119" s="23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</row>
    <row r="120" spans="1:25" ht="12" customHeight="1" thickBot="1" x14ac:dyDescent="0.45">
      <c r="F120" s="89" t="s">
        <v>478</v>
      </c>
      <c r="G120" s="89"/>
      <c r="H120" s="89"/>
      <c r="I120" s="89"/>
      <c r="J120" s="90"/>
      <c r="K120" s="105">
        <f>K115+K117</f>
        <v>143303.96</v>
      </c>
      <c r="L120" s="92"/>
      <c r="M120" s="105">
        <f>M115+M117</f>
        <v>302964.15600000002</v>
      </c>
      <c r="N120" s="108"/>
      <c r="O120" s="109">
        <v>398111.26</v>
      </c>
      <c r="P120" s="108"/>
      <c r="Q120" s="108">
        <f>Q115+Q117</f>
        <v>626150.6399999999</v>
      </c>
      <c r="R120" s="92"/>
      <c r="S120" s="92">
        <f>S115+S117</f>
        <v>768626.73802061728</v>
      </c>
      <c r="T120" s="92"/>
      <c r="U120" s="92">
        <f>U115+U117</f>
        <v>93282.245924383096</v>
      </c>
      <c r="V120" s="91">
        <f>K120+M120+O120+Q120+S120+U120</f>
        <v>2332438.9999450003</v>
      </c>
      <c r="W120" s="91">
        <f>W115+W117</f>
        <v>0</v>
      </c>
      <c r="X120" s="91">
        <f>SUM(V120:W120)</f>
        <v>2332438.9999450003</v>
      </c>
    </row>
    <row r="121" spans="1:25" ht="12" customHeight="1" thickTop="1" x14ac:dyDescent="0.35"/>
    <row r="122" spans="1:25" x14ac:dyDescent="0.35">
      <c r="Q122" s="137"/>
      <c r="S122" s="137"/>
      <c r="U122" s="137"/>
      <c r="V122" s="137"/>
    </row>
    <row r="123" spans="1:25" x14ac:dyDescent="0.35">
      <c r="S123" s="178"/>
      <c r="V123" s="93"/>
    </row>
    <row r="124" spans="1:25" x14ac:dyDescent="0.35">
      <c r="J124" s="20"/>
    </row>
    <row r="125" spans="1:25" x14ac:dyDescent="0.35">
      <c r="F125" s="94"/>
      <c r="G125" s="94"/>
      <c r="H125" s="95"/>
      <c r="Y125" s="136"/>
    </row>
    <row r="126" spans="1:25" ht="15" customHeight="1" x14ac:dyDescent="0.35">
      <c r="F126" s="94"/>
      <c r="G126" s="94"/>
      <c r="H126" s="96"/>
      <c r="Y126" s="136"/>
    </row>
    <row r="127" spans="1:25" ht="13.5" customHeight="1" x14ac:dyDescent="0.35"/>
    <row r="128" spans="1:25" x14ac:dyDescent="0.35">
      <c r="F128" s="94"/>
      <c r="G128" s="94"/>
      <c r="H128" s="95"/>
    </row>
    <row r="129" spans="6:27" x14ac:dyDescent="0.35">
      <c r="F129" s="94"/>
      <c r="G129" s="94"/>
      <c r="H129" s="96"/>
    </row>
    <row r="131" spans="6:27" x14ac:dyDescent="0.35">
      <c r="F131" s="94"/>
      <c r="G131" s="94"/>
      <c r="H131" s="95"/>
    </row>
    <row r="132" spans="6:27" x14ac:dyDescent="0.35">
      <c r="F132" s="94"/>
      <c r="G132" s="94"/>
      <c r="H132" s="96"/>
    </row>
    <row r="134" spans="6:27" x14ac:dyDescent="0.35">
      <c r="F134" s="94"/>
      <c r="G134" s="94"/>
      <c r="H134" s="95"/>
    </row>
    <row r="135" spans="6:27" x14ac:dyDescent="0.35">
      <c r="F135" s="94"/>
      <c r="G135" s="94"/>
      <c r="H135" s="96"/>
    </row>
    <row r="136" spans="6:27" x14ac:dyDescent="0.35">
      <c r="AA136" s="41"/>
    </row>
    <row r="137" spans="6:27" x14ac:dyDescent="0.35">
      <c r="F137" s="94"/>
      <c r="G137" s="94"/>
      <c r="H137" s="95"/>
    </row>
    <row r="138" spans="6:27" x14ac:dyDescent="0.35">
      <c r="F138" s="94"/>
      <c r="G138" s="94"/>
      <c r="H138" s="96"/>
    </row>
    <row r="142" spans="6:27" x14ac:dyDescent="0.35"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</row>
    <row r="144" spans="6:27" x14ac:dyDescent="0.35"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</row>
  </sheetData>
  <autoFilter ref="F4:F120" xr:uid="{28981398-F5DB-45EB-BC09-876620C86BFA}"/>
  <mergeCells count="3">
    <mergeCell ref="F1:X1"/>
    <mergeCell ref="F2:X2"/>
    <mergeCell ref="F3:X3"/>
  </mergeCells>
  <pageMargins left="0.7" right="0.7" top="0.75" bottom="0.75" header="0.3" footer="0.3"/>
  <pageSetup scale="48" fitToHeight="0" orientation="landscape" r:id="rId1"/>
  <headerFooter alignWithMargins="0"/>
  <rowBreaks count="1" manualBreakCount="1">
    <brk id="52" min="5" max="16" man="1"/>
  </rowBreaks>
  <ignoredErrors>
    <ignoredError sqref="V2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F0993-FEF7-4D03-8643-1F482828A405}">
  <dimension ref="A1:F20"/>
  <sheetViews>
    <sheetView topLeftCell="A9" zoomScale="80" zoomScaleNormal="80" workbookViewId="0">
      <selection activeCell="A2" sqref="A2"/>
    </sheetView>
  </sheetViews>
  <sheetFormatPr defaultColWidth="8.68359375" defaultRowHeight="14.4" x14ac:dyDescent="0.55000000000000004"/>
  <cols>
    <col min="1" max="1" width="21.83984375" customWidth="1"/>
    <col min="2" max="2" width="28.41796875" customWidth="1"/>
    <col min="3" max="3" width="23" customWidth="1"/>
    <col min="4" max="4" width="22.578125" customWidth="1"/>
  </cols>
  <sheetData>
    <row r="1" spans="1:6" ht="28.8" x14ac:dyDescent="0.55000000000000004">
      <c r="A1" s="175" t="s">
        <v>622</v>
      </c>
      <c r="B1" s="176" t="s">
        <v>623</v>
      </c>
      <c r="C1" s="177" t="s">
        <v>624</v>
      </c>
      <c r="D1" s="177" t="s">
        <v>625</v>
      </c>
      <c r="E1" s="157"/>
      <c r="F1" s="157"/>
    </row>
    <row r="2" spans="1:6" ht="63.75" customHeight="1" x14ac:dyDescent="0.55000000000000004">
      <c r="A2" s="160" t="s">
        <v>626</v>
      </c>
      <c r="B2" s="161" t="s">
        <v>627</v>
      </c>
      <c r="C2" s="162">
        <v>51704</v>
      </c>
      <c r="D2" s="163">
        <v>43539</v>
      </c>
      <c r="E2" s="157"/>
      <c r="F2" s="157"/>
    </row>
    <row r="3" spans="1:6" ht="93" customHeight="1" x14ac:dyDescent="0.55000000000000004">
      <c r="A3" s="164" t="s">
        <v>628</v>
      </c>
      <c r="B3" s="161" t="s">
        <v>629</v>
      </c>
      <c r="C3" s="162">
        <v>78056</v>
      </c>
      <c r="D3" s="163">
        <v>43983</v>
      </c>
      <c r="E3" s="157"/>
      <c r="F3" s="157"/>
    </row>
    <row r="4" spans="1:6" x14ac:dyDescent="0.55000000000000004">
      <c r="A4" s="164" t="s">
        <v>630</v>
      </c>
      <c r="B4" s="165" t="s">
        <v>631</v>
      </c>
      <c r="C4" s="162">
        <v>38842</v>
      </c>
      <c r="D4" s="163">
        <v>44119</v>
      </c>
      <c r="E4" s="157"/>
      <c r="F4" s="157"/>
    </row>
    <row r="5" spans="1:6" ht="68.25" customHeight="1" x14ac:dyDescent="0.55000000000000004">
      <c r="A5" s="164" t="s">
        <v>632</v>
      </c>
      <c r="B5" s="161" t="s">
        <v>633</v>
      </c>
      <c r="C5" s="162">
        <v>49529</v>
      </c>
      <c r="D5" s="163">
        <v>44515</v>
      </c>
      <c r="E5" s="157"/>
      <c r="F5" s="157"/>
    </row>
    <row r="6" spans="1:6" ht="89.25" customHeight="1" x14ac:dyDescent="0.55000000000000004">
      <c r="A6" s="164" t="s">
        <v>634</v>
      </c>
      <c r="B6" s="161" t="s">
        <v>635</v>
      </c>
      <c r="C6" s="166">
        <v>35869.5</v>
      </c>
      <c r="D6" s="163">
        <v>43826</v>
      </c>
      <c r="E6" s="157"/>
      <c r="F6" s="157"/>
    </row>
    <row r="7" spans="1:6" ht="66" customHeight="1" x14ac:dyDescent="0.55000000000000004">
      <c r="A7" s="164" t="s">
        <v>636</v>
      </c>
      <c r="B7" s="161" t="s">
        <v>637</v>
      </c>
      <c r="C7" s="166">
        <v>15869.5</v>
      </c>
      <c r="D7" s="163">
        <v>44136</v>
      </c>
      <c r="E7" s="157"/>
      <c r="F7" s="157"/>
    </row>
    <row r="8" spans="1:6" ht="79.5" customHeight="1" x14ac:dyDescent="0.55000000000000004">
      <c r="A8" s="179" t="s">
        <v>638</v>
      </c>
      <c r="B8" s="180" t="s">
        <v>639</v>
      </c>
      <c r="C8" s="181">
        <v>19045</v>
      </c>
      <c r="D8" s="182">
        <v>44408</v>
      </c>
      <c r="E8" s="157"/>
      <c r="F8" s="157"/>
    </row>
    <row r="9" spans="1:6" ht="111" customHeight="1" x14ac:dyDescent="0.55000000000000004">
      <c r="A9" s="167" t="s">
        <v>640</v>
      </c>
      <c r="B9" s="168" t="s">
        <v>641</v>
      </c>
      <c r="C9" s="169">
        <v>38090.5</v>
      </c>
      <c r="D9" s="170" t="s">
        <v>642</v>
      </c>
      <c r="E9" s="157"/>
      <c r="F9" s="157"/>
    </row>
    <row r="10" spans="1:6" ht="123" customHeight="1" x14ac:dyDescent="0.55000000000000004">
      <c r="A10" s="167" t="s">
        <v>643</v>
      </c>
      <c r="B10" s="168" t="s">
        <v>644</v>
      </c>
      <c r="C10" s="169">
        <v>41666.5</v>
      </c>
      <c r="D10" s="170" t="s">
        <v>642</v>
      </c>
      <c r="E10" s="157"/>
      <c r="F10" s="157"/>
    </row>
    <row r="11" spans="1:6" ht="21.75" customHeight="1" x14ac:dyDescent="0.55000000000000004">
      <c r="A11" s="164" t="s">
        <v>645</v>
      </c>
      <c r="B11" s="171" t="s">
        <v>646</v>
      </c>
      <c r="C11" s="172">
        <f>C2+C3+C4+C5+C6+C7+C9+C10</f>
        <v>349627</v>
      </c>
      <c r="D11" s="165" t="s">
        <v>645</v>
      </c>
      <c r="E11" s="157"/>
      <c r="F11" s="157"/>
    </row>
    <row r="12" spans="1:6" ht="28.8" x14ac:dyDescent="0.55000000000000004">
      <c r="A12" s="164" t="s">
        <v>645</v>
      </c>
      <c r="B12" s="173" t="s">
        <v>647</v>
      </c>
      <c r="C12" s="174">
        <f>C2+C3+C4+C5+C6+C7+C8</f>
        <v>288915</v>
      </c>
      <c r="D12" s="165" t="s">
        <v>645</v>
      </c>
      <c r="E12" s="157"/>
      <c r="F12" s="157"/>
    </row>
    <row r="13" spans="1:6" x14ac:dyDescent="0.55000000000000004">
      <c r="A13" s="159" t="s">
        <v>645</v>
      </c>
      <c r="B13" s="158" t="s">
        <v>645</v>
      </c>
      <c r="C13" s="158" t="s">
        <v>645</v>
      </c>
      <c r="D13" s="158" t="s">
        <v>645</v>
      </c>
      <c r="E13" s="157"/>
      <c r="F13" s="157"/>
    </row>
    <row r="14" spans="1:6" x14ac:dyDescent="0.55000000000000004">
      <c r="A14" s="157"/>
      <c r="B14" s="157"/>
      <c r="C14" s="157"/>
      <c r="D14" s="157"/>
      <c r="E14" s="157"/>
      <c r="F14" s="157"/>
    </row>
    <row r="15" spans="1:6" x14ac:dyDescent="0.55000000000000004">
      <c r="A15" s="157"/>
      <c r="B15" s="157"/>
      <c r="C15" s="157"/>
      <c r="D15" s="157"/>
      <c r="E15" s="157"/>
      <c r="F15" s="157"/>
    </row>
    <row r="16" spans="1:6" x14ac:dyDescent="0.55000000000000004">
      <c r="A16" s="336" t="s">
        <v>648</v>
      </c>
      <c r="B16" s="336"/>
      <c r="C16" s="336"/>
      <c r="D16" s="336"/>
      <c r="E16" s="336"/>
      <c r="F16" s="336"/>
    </row>
    <row r="17" spans="1:6" x14ac:dyDescent="0.55000000000000004">
      <c r="A17" s="336"/>
      <c r="B17" s="336"/>
      <c r="C17" s="336"/>
      <c r="D17" s="336"/>
      <c r="E17" s="336"/>
      <c r="F17" s="336"/>
    </row>
    <row r="18" spans="1:6" x14ac:dyDescent="0.55000000000000004">
      <c r="A18" s="336"/>
      <c r="B18" s="336"/>
      <c r="C18" s="336"/>
      <c r="D18" s="336"/>
      <c r="E18" s="336"/>
      <c r="F18" s="336"/>
    </row>
    <row r="19" spans="1:6" ht="21" customHeight="1" x14ac:dyDescent="0.55000000000000004">
      <c r="A19" s="336"/>
      <c r="B19" s="336"/>
      <c r="C19" s="336"/>
      <c r="D19" s="336"/>
      <c r="E19" s="336"/>
      <c r="F19" s="336"/>
    </row>
    <row r="20" spans="1:6" x14ac:dyDescent="0.55000000000000004">
      <c r="A20" s="157"/>
      <c r="B20" s="157"/>
      <c r="C20" s="157"/>
      <c r="D20" s="157"/>
      <c r="E20" s="157"/>
      <c r="F20" s="157"/>
    </row>
  </sheetData>
  <mergeCells count="1">
    <mergeCell ref="A16:F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698F83-CA50-4486-8B75-5B34D5DAB9CC}">
  <ds:schemaRefs>
    <ds:schemaRef ds:uri="http://schemas.microsoft.com/office/2006/metadata/properties"/>
    <ds:schemaRef ds:uri="http://schemas.microsoft.com/office/infopath/2007/PartnerControls"/>
    <ds:schemaRef ds:uri="3a684b84-d35d-4ed0-9b62-b4a83786fd0e"/>
    <ds:schemaRef ds:uri="dc808d36-874f-4b27-aec2-2fd649817929"/>
  </ds:schemaRefs>
</ds:datastoreItem>
</file>

<file path=customXml/itemProps2.xml><?xml version="1.0" encoding="utf-8"?>
<ds:datastoreItem xmlns:ds="http://schemas.openxmlformats.org/officeDocument/2006/customXml" ds:itemID="{30A0A153-D593-4C58-8ABB-52AFD79889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A40F2C-9F36-4A91-BDB2-5E9155E6CF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Cost-Extension DOL420</vt:lpstr>
      <vt:lpstr>Sub-award SAI</vt:lpstr>
      <vt:lpstr>JAA</vt:lpstr>
      <vt:lpstr>'Sub-award SAI'!Print_Area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Danielle Martin</cp:lastModifiedBy>
  <cp:revision/>
  <dcterms:created xsi:type="dcterms:W3CDTF">2023-03-30T19:09:22Z</dcterms:created>
  <dcterms:modified xsi:type="dcterms:W3CDTF">2024-09-26T00:41:50Z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