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showInkAnnotation="0" codeName="ThisWorkbook"/>
  <mc:AlternateContent xmlns:mc="http://schemas.openxmlformats.org/markup-compatibility/2006">
    <mc:Choice Requires="x15">
      <x15ac:absPath xmlns:x15ac="http://schemas.microsoft.com/office/spreadsheetml/2010/11/ac" url="C:\Users\dmart\Downloads\"/>
    </mc:Choice>
  </mc:AlternateContent>
  <xr:revisionPtr revIDLastSave="0" documentId="13_ncr:1_{A991FBE9-3C08-4786-A22D-CA4A5C8CAF03}" xr6:coauthVersionLast="47" xr6:coauthVersionMax="47" xr10:uidLastSave="{00000000-0000-0000-0000-000000000000}"/>
  <bookViews>
    <workbookView xWindow="-96" yWindow="-96" windowWidth="23232" windowHeight="12552" tabRatio="916" firstSheet="13" activeTab="14" xr2:uid="{00000000-000D-0000-FFFF-FFFF00000000}"/>
  </bookViews>
  <sheets>
    <sheet name="AgroJusto Budget" sheetId="161" state="hidden" r:id="rId1"/>
    <sheet name=" Activities Detail" sheetId="165" state="hidden" r:id="rId2"/>
    <sheet name="US &amp; Local Summaries" sheetId="147" state="hidden" r:id="rId3"/>
    <sheet name="TA Summary" sheetId="149" state="hidden" r:id="rId4"/>
    <sheet name="Funding By Partner" sheetId="148" state="hidden" r:id="rId5"/>
    <sheet name="LOE Table" sheetId="141" state="hidden" r:id="rId6"/>
    <sheet name="Total Budget by Sponsored Class" sheetId="156" state="hidden" r:id="rId7"/>
    <sheet name="US Costs by Sponsored Class" sheetId="150" state="hidden" r:id="rId8"/>
    <sheet name="Incountry Costs by GL USD" sheetId="152" state="hidden" r:id="rId9"/>
    <sheet name="IC by GL in LC" sheetId="155" state="hidden" r:id="rId10"/>
    <sheet name="Office Budget" sheetId="151" state="hidden" r:id="rId11"/>
    <sheet name="Assumptions" sheetId="8" state="hidden" r:id="rId12"/>
    <sheet name="Budget Summary" sheetId="160" state="hidden" r:id="rId13"/>
    <sheet name="INDES Sub Budget Summary " sheetId="166" r:id="rId14"/>
    <sheet name="INDES Sub Budget" sheetId="170" r:id="rId15"/>
    <sheet name="INDES Sub Activities Detail" sheetId="169" r:id="rId16"/>
    <sheet name="Travel" sheetId="159" state="hidden" r:id="rId17"/>
    <sheet name="HO LOE" sheetId="146" state="hidden" r:id="rId18"/>
    <sheet name="SF424" sheetId="145" state="hidden" r:id="rId19"/>
    <sheet name="SF424a" sheetId="142" state="hidden" r:id="rId20"/>
  </sheets>
  <externalReferences>
    <externalReference r:id="rId21"/>
    <externalReference r:id="rId22"/>
  </externalReferences>
  <definedNames>
    <definedName name="_xlnm._FilterDatabase" localSheetId="1" hidden="1">' Activities Detail'!$C$5:$C$295</definedName>
    <definedName name="_xlnm._FilterDatabase" localSheetId="9" hidden="1">'IC by GL in LC'!#REF!</definedName>
    <definedName name="_xlnm._FilterDatabase" localSheetId="8" hidden="1">'Incountry Costs by GL USD'!#REF!</definedName>
    <definedName name="_xlnm._FilterDatabase" localSheetId="5" hidden="1">'LOE Table'!$V$10:$V$230</definedName>
    <definedName name="_xlnm._FilterDatabase" localSheetId="18" hidden="1">'SF424'!$C$47:$C$70</definedName>
    <definedName name="_xlnm._FilterDatabase" localSheetId="6" hidden="1">'Total Budget by Sponsored Class'!#REF!</definedName>
    <definedName name="_xlnm._FilterDatabase" localSheetId="2" hidden="1">'US &amp; Local Summaries'!#REF!</definedName>
    <definedName name="_xlnm._FilterDatabase" localSheetId="7" hidden="1">'US Costs by Sponsored Class'!#REF!</definedName>
    <definedName name="agentfee" localSheetId="16">#REF!</definedName>
    <definedName name="agentfee">Assumptions!$D$55</definedName>
    <definedName name="avrent" localSheetId="15">[1]Assumptions!$D$111</definedName>
    <definedName name="avrent" localSheetId="16">#REF!</definedName>
    <definedName name="avrent">Assumptions!$D$98</definedName>
    <definedName name="Category">#REF!</definedName>
    <definedName name="Check25" localSheetId="18">'SF424'!$A$5</definedName>
    <definedName name="Check26" localSheetId="18">'SF424'!$A$6</definedName>
    <definedName name="Check27" localSheetId="18">'SF424'!$A$7</definedName>
    <definedName name="Check28" localSheetId="18">'SF424'!$D$5</definedName>
    <definedName name="Check29" localSheetId="18">'SF424'!$D$6</definedName>
    <definedName name="Check30" localSheetId="18">'SF424'!$D$7</definedName>
    <definedName name="Check32" localSheetId="18">'SF424'!$A$126</definedName>
    <definedName name="Check33" localSheetId="18">'SF424'!$A$127</definedName>
    <definedName name="Check35" localSheetId="18">'SF424'!$A$129</definedName>
    <definedName name="Check36" localSheetId="18">'SF424'!$A$131</definedName>
    <definedName name="coffee" localSheetId="15">[1]Assumptions!$D$108</definedName>
    <definedName name="coffee" localSheetId="16">#REF!</definedName>
    <definedName name="coffee">Assumptions!$D$95</definedName>
    <definedName name="consairfare" localSheetId="16">#REF!</definedName>
    <definedName name="consairfare">Assumptions!$D$80</definedName>
    <definedName name="consground" localSheetId="16">#REF!</definedName>
    <definedName name="consground">Assumptions!$D$81</definedName>
    <definedName name="conslodg" localSheetId="16">#REF!</definedName>
    <definedName name="conslodg">Assumptions!$D$82</definedName>
    <definedName name="consmeals" localSheetId="16">#REF!</definedName>
    <definedName name="consmeals">Assumptions!$D$83</definedName>
    <definedName name="consmisc" localSheetId="16">#REF!</definedName>
    <definedName name="consmisc">Assumptions!$D$84</definedName>
    <definedName name="DL_Country" localSheetId="16">'[2]Line-Item Budget'!#REF!</definedName>
    <definedName name="DL_Country">#REF!</definedName>
    <definedName name="DL_TotalDOL">#REF!</definedName>
    <definedName name="Dropdown1" localSheetId="18">'SF424'!$G$5</definedName>
    <definedName name="Dropdown2" localSheetId="18">'SF424'!#REF!</definedName>
    <definedName name="EQ_Country" localSheetId="16">'[2]Line-Item Budget'!#REF!</definedName>
    <definedName name="EQ_Country">#REF!</definedName>
    <definedName name="EQ_TotalDOL" localSheetId="16">'[2]Line-Item Budget'!#REF!</definedName>
    <definedName name="EQ_TotalDOL">#REF!</definedName>
    <definedName name="er" localSheetId="16">#REF!</definedName>
    <definedName name="er">Assumptions!$B$17</definedName>
    <definedName name="ground" localSheetId="16">#REF!</definedName>
    <definedName name="ground">Assumptions!$D$59</definedName>
    <definedName name="guideprint">Assumptions!$D$103</definedName>
    <definedName name="inmuniz" localSheetId="16">#REF!</definedName>
    <definedName name="inmuniz">Assumptions!$D$57</definedName>
    <definedName name="intairfare" localSheetId="16">#REF!</definedName>
    <definedName name="intairfare">Assumptions!$D$52</definedName>
    <definedName name="intcalls" localSheetId="16">#REF!</definedName>
    <definedName name="intcalls">Assumptions!#REF!</definedName>
    <definedName name="intcons" localSheetId="16">#REF!</definedName>
    <definedName name="intcons">Assumptions!$D$77</definedName>
    <definedName name="intmisc" localSheetId="16">#REF!</definedName>
    <definedName name="intmisc">Assumptions!$D$60</definedName>
    <definedName name="livingq" localSheetId="16">#REF!</definedName>
    <definedName name="livingq">Assumptions!#REF!</definedName>
    <definedName name="Local_transport_part">[2]Assumptions!$B$10:$D$10</definedName>
    <definedName name="localairfare" localSheetId="16">#REF!</definedName>
    <definedName name="localairfare">Assumptions!$D$73</definedName>
    <definedName name="localcons" localSheetId="16">#REF!</definedName>
    <definedName name="localcons">Assumptions!$D$79</definedName>
    <definedName name="locallodg" localSheetId="16">#REF!</definedName>
    <definedName name="locallodg">Assumptions!$D$70</definedName>
    <definedName name="localmeals" localSheetId="16">#REF!</definedName>
    <definedName name="localmeals">Assumptions!$D$71</definedName>
    <definedName name="localmisc" localSheetId="16">#REF!</definedName>
    <definedName name="localmisc">Assumptions!$D$72</definedName>
    <definedName name="lunch" localSheetId="15">[1]Assumptions!$D$109</definedName>
    <definedName name="Lunch" localSheetId="16">[2]Assumptions!$B$19:$D$19</definedName>
    <definedName name="lunch">Assumptions!$D$96</definedName>
    <definedName name="mats" localSheetId="15">[1]Assumptions!$D$112</definedName>
    <definedName name="mats" localSheetId="16">#REF!</definedName>
    <definedName name="mats">Assumptions!$D$99</definedName>
    <definedName name="ME_TotalDOL">#REF!</definedName>
    <definedName name="medex" localSheetId="16">#REF!</definedName>
    <definedName name="medex">Assumptions!$D$58</definedName>
    <definedName name="meetcost" localSheetId="16">#REF!+#REF!</definedName>
    <definedName name="meetcost">Assumptions!$D$95+Assumptions!$D$96</definedName>
    <definedName name="mileage" localSheetId="16">#REF!</definedName>
    <definedName name="mileage">Assumptions!#REF!</definedName>
    <definedName name="natcalls" localSheetId="16">#REF!</definedName>
    <definedName name="natcalls">Assumptions!#REF!</definedName>
    <definedName name="O1_Country" localSheetId="16">'[2]Line-Item Budget'!#REF!</definedName>
    <definedName name="O1_Country">#REF!</definedName>
    <definedName name="O1_TotalDOL" localSheetId="16">'[2]Line-Item Budget'!#REF!</definedName>
    <definedName name="O1_TotalDOL">#REF!</definedName>
    <definedName name="O2_Country" localSheetId="16">'[2]Line-Item Budget'!#REF!</definedName>
    <definedName name="O2_Country">#REF!</definedName>
    <definedName name="O2_TotalDOL" localSheetId="16">'[2]Line-Item Budget'!#REF!</definedName>
    <definedName name="O2_TotalDOL">#REF!</definedName>
    <definedName name="partairfare" localSheetId="15">[1]Assumptions!$D$99</definedName>
    <definedName name="partairfare" localSheetId="16">#REF!</definedName>
    <definedName name="partairfare">Assumptions!$D$88</definedName>
    <definedName name="partground" localSheetId="15">[1]Assumptions!$D$100</definedName>
    <definedName name="partground" localSheetId="16">#REF!</definedName>
    <definedName name="partground">Assumptions!$D$89</definedName>
    <definedName name="partlodg" localSheetId="15">[1]Assumptions!$D$102</definedName>
    <definedName name="partlodg" localSheetId="16">#REF!</definedName>
    <definedName name="partlodg">Assumptions!$D$90</definedName>
    <definedName name="partmats" localSheetId="16">#REF!</definedName>
    <definedName name="partmats">Assumptions!$D$100</definedName>
    <definedName name="partmeals" localSheetId="15">[1]Assumptions!$D$104</definedName>
    <definedName name="partmeals" localSheetId="16">#REF!</definedName>
    <definedName name="partmeals">Assumptions!$D$91</definedName>
    <definedName name="partmisc" localSheetId="15">[1]Assumptions!$D$106</definedName>
    <definedName name="partmisc" localSheetId="16">#REF!</definedName>
    <definedName name="partmisc">Assumptions!$D$93</definedName>
    <definedName name="partprint" localSheetId="16">#REF!</definedName>
    <definedName name="partprint">Assumptions!$D$102</definedName>
    <definedName name="parttransp" localSheetId="15">[1]Assumptions!$D$98</definedName>
    <definedName name="parttransp" localSheetId="16">#REF!</definedName>
    <definedName name="parttransp">Assumptions!$D$87</definedName>
    <definedName name="print" localSheetId="15">[1]Assumptions!$D$114</definedName>
    <definedName name="print" localSheetId="16">#REF!</definedName>
    <definedName name="print">Assumptions!$D$101</definedName>
    <definedName name="_xlnm.Print_Area" localSheetId="1">' Activities Detail'!$C$5:$V$276</definedName>
    <definedName name="_xlnm.Print_Area" localSheetId="11">Assumptions!$A$5:$S$46</definedName>
    <definedName name="_xlnm.Print_Area" localSheetId="4">'Funding By Partner'!$A$1:$Q$36</definedName>
    <definedName name="_xlnm.Print_Area" localSheetId="9">'IC by GL in LC'!$D$1:$W$55</definedName>
    <definedName name="_xlnm.Print_Area" localSheetId="8">'Incountry Costs by GL USD'!$D$1:$W$58</definedName>
    <definedName name="_xlnm.Print_Area" localSheetId="5">'LOE Table'!$A$1:$S$230</definedName>
    <definedName name="_xlnm.Print_Area" localSheetId="18">'SF424'!$A$1:$I$145</definedName>
    <definedName name="_xlnm.Print_Area" localSheetId="3">'TA Summary'!$B$1:$S$32</definedName>
    <definedName name="_xlnm.Print_Area" localSheetId="6">'Total Budget by Sponsored Class'!$B$1:$W$48</definedName>
    <definedName name="_xlnm.Print_Area" localSheetId="2">'US &amp; Local Summaries'!$A$1:$U$52</definedName>
    <definedName name="_xlnm.Print_Area" localSheetId="7">'US Costs by Sponsored Class'!$B$1:$W$47</definedName>
    <definedName name="_xlnm.Print_Titles" localSheetId="1">' Activities Detail'!$5:$14</definedName>
    <definedName name="_xlnm.Print_Titles" localSheetId="4">'Funding By Partner'!$1:$7</definedName>
    <definedName name="_xlnm.Print_Titles" localSheetId="9">'IC by GL in LC'!$1:$14</definedName>
    <definedName name="_xlnm.Print_Titles" localSheetId="8">'Incountry Costs by GL USD'!$1:$14</definedName>
    <definedName name="_xlnm.Print_Titles" localSheetId="5">'LOE Table'!$1:$10</definedName>
    <definedName name="_xlnm.Print_Titles" localSheetId="3">'TA Summary'!$1:$9</definedName>
    <definedName name="_xlnm.Print_Titles" localSheetId="6">'Total Budget by Sponsored Class'!$1:$9</definedName>
    <definedName name="_xlnm.Print_Titles" localSheetId="2">'US &amp; Local Summaries'!$1:$7</definedName>
    <definedName name="_xlnm.Print_Titles" localSheetId="7">'US Costs by Sponsored Class'!$1:$9</definedName>
    <definedName name="regcons" localSheetId="16">#REF!</definedName>
    <definedName name="regcons">Assumptions!$D$78</definedName>
    <definedName name="roomrent" localSheetId="15">[1]Assumptions!$D$110</definedName>
    <definedName name="roomrent" localSheetId="16">#REF!</definedName>
    <definedName name="roomrent">Assumptions!$D$97</definedName>
    <definedName name="SU_Country" localSheetId="16">'[2]Line-Item Budget'!#REF!</definedName>
    <definedName name="SU_Country">#REF!</definedName>
    <definedName name="SU_TotalDOL">#REF!</definedName>
    <definedName name="surveyor">Assumptions!$D$85</definedName>
    <definedName name="tdlunch" localSheetId="16">#REF!</definedName>
    <definedName name="tdlunch">Assumptions!$D$92</definedName>
    <definedName name="Text1" localSheetId="18">'SF424'!$G$8</definedName>
    <definedName name="Text10" localSheetId="18">'SF424'!$F$18</definedName>
    <definedName name="Text11" localSheetId="18">'SF424'!$A$20</definedName>
    <definedName name="Text12" localSheetId="18">'SF424'!$A$21</definedName>
    <definedName name="Text13" localSheetId="18">'SF424'!$A$22</definedName>
    <definedName name="Text14" localSheetId="18">'SF424'!$A$23</definedName>
    <definedName name="Text15" localSheetId="18">'SF424'!$A$24</definedName>
    <definedName name="Text16" localSheetId="18">'SF424'!$A$25</definedName>
    <definedName name="Text17" localSheetId="18">'SF424'!$A$26</definedName>
    <definedName name="Text18" localSheetId="18">'SF424'!$A$27</definedName>
    <definedName name="Text19" localSheetId="18">'SF424'!$A$31</definedName>
    <definedName name="Text20" localSheetId="18">'SF424'!$F$31</definedName>
    <definedName name="Text22" localSheetId="18">'SF424'!$A$33</definedName>
    <definedName name="Text23" localSheetId="18">'SF424'!$A$34</definedName>
    <definedName name="Text24" localSheetId="18">'SF424'!$A$35</definedName>
    <definedName name="Text25" localSheetId="18">'SF424'!$A$36</definedName>
    <definedName name="Text26" localSheetId="18">'SF424'!$A$38</definedName>
    <definedName name="Text27" localSheetId="18">'SF424'!$A$40</definedName>
    <definedName name="Text29" localSheetId="18">'SF424'!$A$41</definedName>
    <definedName name="Text3" localSheetId="18">'SF424'!$A$10</definedName>
    <definedName name="Text30" localSheetId="18">'SF424'!$A$42</definedName>
    <definedName name="Text31" localSheetId="18">'SF424'!$A$77</definedName>
    <definedName name="Text32" localSheetId="18">'SF424'!$A$79</definedName>
    <definedName name="Text33" localSheetId="18">'SF424'!$A$81</definedName>
    <definedName name="Text34" localSheetId="18">'SF424'!$A$83</definedName>
    <definedName name="Text35" localSheetId="18">'SF424'!$A$86</definedName>
    <definedName name="Text36" localSheetId="18">'SF424'!$A$89</definedName>
    <definedName name="Text37" localSheetId="18">'SF424'!#REF!</definedName>
    <definedName name="Text38" localSheetId="18">'SF424'!$A$97</definedName>
    <definedName name="Text39" localSheetId="18">'SF424'!$A$102</definedName>
    <definedName name="Text4" localSheetId="18">'SF424'!$A$12</definedName>
    <definedName name="Text40" localSheetId="18">'SF424'!$A$94</definedName>
    <definedName name="Text42" localSheetId="18">'SF424'!$A$112</definedName>
    <definedName name="Text44" localSheetId="18">'SF424'!$A$114</definedName>
    <definedName name="Text5" localSheetId="18">'SF424'!$F$12</definedName>
    <definedName name="Text52" localSheetId="18">'SF424'!$A$125</definedName>
    <definedName name="Text55" localSheetId="18">'SF424'!$A$134</definedName>
    <definedName name="Text56" localSheetId="18">'SF424'!$A$135</definedName>
    <definedName name="Text57" localSheetId="18">'SF424'!$A$136</definedName>
    <definedName name="Text58" localSheetId="18">'SF424'!$A$137</definedName>
    <definedName name="Text59" localSheetId="18">'SF424'!$A$138</definedName>
    <definedName name="Text6" localSheetId="18">'SF424'!$A$14</definedName>
    <definedName name="Text60" localSheetId="18">'SF424'!$A$140</definedName>
    <definedName name="Text61" localSheetId="18">'SF424'!$H$140</definedName>
    <definedName name="Text63" localSheetId="18">'SF424'!$I$142</definedName>
    <definedName name="Text64" localSheetId="18">'SF424'!#REF!</definedName>
    <definedName name="Text65" localSheetId="18">'SF424'!$A$142</definedName>
    <definedName name="Text66" localSheetId="18">'SF424'!$A$141</definedName>
    <definedName name="Text7" localSheetId="18">'SF424'!$E$14</definedName>
    <definedName name="Text75" localSheetId="18">'SF424'!$C$118</definedName>
    <definedName name="Text76" localSheetId="18">'SF424'!$C$119</definedName>
    <definedName name="Text77" localSheetId="18">'SF424'!$C$120</definedName>
    <definedName name="Text78" localSheetId="18">'SF424'!$C$121</definedName>
    <definedName name="Text79" localSheetId="18">'SF424'!$C$122</definedName>
    <definedName name="Text8" localSheetId="18">'SF424'!$A$16</definedName>
    <definedName name="Text80" localSheetId="18">'SF424'!$C$116</definedName>
    <definedName name="Text9" localSheetId="18">'SF424'!$A$18</definedName>
    <definedName name="TotalDOL">#REF!</definedName>
    <definedName name="TR_Country" localSheetId="16">'[2]Line-Item Budget'!#REF!</definedName>
    <definedName name="TR_Country">#REF!</definedName>
    <definedName name="TR_TotalDOL">#REF!</definedName>
    <definedName name="travmisc" localSheetId="16">#REF!+#REF!+#REF!</definedName>
    <definedName name="travmisc">Assumptions!$D$57+Assumptions!$D$60+Assumptions!$D$55</definedName>
    <definedName name="usaidlodg" localSheetId="16">#REF!</definedName>
    <definedName name="usaidlodg">Assumptions!$D$53</definedName>
    <definedName name="usaidmeal" localSheetId="16">#REF!</definedName>
    <definedName name="usaidmeal">Assumptions!$D$54</definedName>
    <definedName name="usaidperd" localSheetId="16">#REF!+#REF!</definedName>
    <definedName name="usaidperd">Assumptions!$D$54+Assumptions!$D$53</definedName>
    <definedName name="uspost" localSheetId="16">#REF!</definedName>
    <definedName name="uspost">Assumptions!#REF!</definedName>
    <definedName name="visa" localSheetId="16">#REF!</definedName>
    <definedName name="visa">Assumptions!$D$56</definedName>
    <definedName name="workshop">Assumptions!$D$104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98" i="169" l="1"/>
  <c r="T79" i="169"/>
  <c r="K24" i="161"/>
  <c r="I24" i="161"/>
  <c r="I25" i="161"/>
  <c r="K58" i="161"/>
  <c r="J370" i="169"/>
  <c r="G96" i="169"/>
  <c r="S85" i="170"/>
  <c r="R84" i="170"/>
  <c r="T84" i="170" s="1"/>
  <c r="R83" i="170"/>
  <c r="T83" i="170" s="1"/>
  <c r="Q81" i="170"/>
  <c r="O81" i="170"/>
  <c r="M81" i="170"/>
  <c r="K81" i="170"/>
  <c r="Q80" i="170"/>
  <c r="O80" i="170"/>
  <c r="M80" i="170"/>
  <c r="K80" i="170"/>
  <c r="Q79" i="170"/>
  <c r="O79" i="170"/>
  <c r="M79" i="170"/>
  <c r="K79" i="170"/>
  <c r="Q78" i="170"/>
  <c r="O78" i="170"/>
  <c r="M78" i="170"/>
  <c r="K78" i="170"/>
  <c r="Q77" i="170"/>
  <c r="O77" i="170"/>
  <c r="M77" i="170"/>
  <c r="K77" i="170"/>
  <c r="Q76" i="170"/>
  <c r="O76" i="170"/>
  <c r="M76" i="170"/>
  <c r="K76" i="170"/>
  <c r="T75" i="170"/>
  <c r="Q74" i="170"/>
  <c r="O74" i="170"/>
  <c r="M74" i="170"/>
  <c r="K74" i="170"/>
  <c r="R74" i="170" s="1"/>
  <c r="T74" i="170" s="1"/>
  <c r="Q73" i="170"/>
  <c r="O73" i="170"/>
  <c r="M73" i="170"/>
  <c r="K73" i="170"/>
  <c r="R73" i="170" s="1"/>
  <c r="T73" i="170" s="1"/>
  <c r="Q72" i="170"/>
  <c r="O72" i="170"/>
  <c r="M72" i="170"/>
  <c r="Q71" i="170"/>
  <c r="O71" i="170"/>
  <c r="M71" i="170"/>
  <c r="K71" i="170"/>
  <c r="Q70" i="170"/>
  <c r="O70" i="170"/>
  <c r="M70" i="170"/>
  <c r="K70" i="170"/>
  <c r="Q69" i="170"/>
  <c r="O69" i="170"/>
  <c r="M69" i="170"/>
  <c r="K69" i="170"/>
  <c r="Q68" i="170"/>
  <c r="O68" i="170"/>
  <c r="M68" i="170"/>
  <c r="K68" i="170"/>
  <c r="R68" i="170" s="1"/>
  <c r="T68" i="170" s="1"/>
  <c r="Q67" i="170"/>
  <c r="O67" i="170"/>
  <c r="M67" i="170"/>
  <c r="K67" i="170"/>
  <c r="R67" i="170" s="1"/>
  <c r="T67" i="170" s="1"/>
  <c r="Q64" i="170"/>
  <c r="O64" i="170"/>
  <c r="M64" i="170"/>
  <c r="K64" i="170"/>
  <c r="R64" i="170" s="1"/>
  <c r="T64" i="170" s="1"/>
  <c r="Q63" i="170"/>
  <c r="O63" i="170"/>
  <c r="M63" i="170"/>
  <c r="K63" i="170"/>
  <c r="Q62" i="170"/>
  <c r="O62" i="170"/>
  <c r="M62" i="170"/>
  <c r="K62" i="170"/>
  <c r="Q61" i="170"/>
  <c r="O61" i="170"/>
  <c r="M61" i="170"/>
  <c r="K61" i="170"/>
  <c r="Q60" i="170"/>
  <c r="O60" i="170"/>
  <c r="M60" i="170"/>
  <c r="K60" i="170"/>
  <c r="Q59" i="170"/>
  <c r="O59" i="170"/>
  <c r="M59" i="170"/>
  <c r="K59" i="170"/>
  <c r="Q58" i="170"/>
  <c r="O58" i="170"/>
  <c r="M58" i="170"/>
  <c r="K58" i="170"/>
  <c r="Q56" i="170"/>
  <c r="O56" i="170"/>
  <c r="M56" i="170"/>
  <c r="K56" i="170"/>
  <c r="T53" i="170"/>
  <c r="S53" i="170"/>
  <c r="R53" i="170"/>
  <c r="Q53" i="170"/>
  <c r="O53" i="170"/>
  <c r="M53" i="170"/>
  <c r="K53" i="170"/>
  <c r="S50" i="170"/>
  <c r="Q49" i="170"/>
  <c r="O49" i="170"/>
  <c r="M49" i="170"/>
  <c r="K49" i="170"/>
  <c r="Q48" i="170"/>
  <c r="O48" i="170"/>
  <c r="M48" i="170"/>
  <c r="K48" i="170"/>
  <c r="Q47" i="170"/>
  <c r="O47" i="170"/>
  <c r="M47" i="170"/>
  <c r="K47" i="170"/>
  <c r="Q46" i="170"/>
  <c r="O46" i="170"/>
  <c r="M46" i="170"/>
  <c r="K46" i="170"/>
  <c r="Q45" i="170"/>
  <c r="O45" i="170"/>
  <c r="M45" i="170"/>
  <c r="K45" i="170"/>
  <c r="Q44" i="170"/>
  <c r="O44" i="170"/>
  <c r="M44" i="170"/>
  <c r="K44" i="170"/>
  <c r="Q43" i="170"/>
  <c r="O43" i="170"/>
  <c r="M43" i="170"/>
  <c r="K43" i="170"/>
  <c r="Q42" i="170"/>
  <c r="O42" i="170"/>
  <c r="M42" i="170"/>
  <c r="K42" i="170"/>
  <c r="Q41" i="170"/>
  <c r="O41" i="170"/>
  <c r="M41" i="170"/>
  <c r="K41" i="170"/>
  <c r="Q40" i="170"/>
  <c r="O40" i="170"/>
  <c r="M40" i="170"/>
  <c r="K40" i="170"/>
  <c r="Q39" i="170"/>
  <c r="O39" i="170"/>
  <c r="M39" i="170"/>
  <c r="K39" i="170"/>
  <c r="S37" i="170"/>
  <c r="Q35" i="170"/>
  <c r="Q37" i="170" s="1"/>
  <c r="O35" i="170"/>
  <c r="O37" i="170" s="1"/>
  <c r="M35" i="170"/>
  <c r="M37" i="170" s="1"/>
  <c r="K35" i="170"/>
  <c r="S33" i="170"/>
  <c r="Q32" i="170"/>
  <c r="O32" i="170"/>
  <c r="M32" i="170"/>
  <c r="K32" i="170"/>
  <c r="Q31" i="170"/>
  <c r="Q33" i="170" s="1"/>
  <c r="O31" i="170"/>
  <c r="O33" i="170" s="1"/>
  <c r="M31" i="170"/>
  <c r="K31" i="170"/>
  <c r="S29" i="170"/>
  <c r="R27" i="170"/>
  <c r="T27" i="170" s="1"/>
  <c r="S22" i="170"/>
  <c r="S87" i="170" s="1"/>
  <c r="S91" i="170" s="1"/>
  <c r="Q19" i="170"/>
  <c r="O19" i="170"/>
  <c r="M19" i="170"/>
  <c r="K19" i="170"/>
  <c r="Q18" i="170"/>
  <c r="O18" i="170"/>
  <c r="M18" i="170"/>
  <c r="K18" i="170"/>
  <c r="R18" i="170" s="1"/>
  <c r="T18" i="170" s="1"/>
  <c r="Q17" i="170"/>
  <c r="O17" i="170"/>
  <c r="M17" i="170"/>
  <c r="K17" i="170"/>
  <c r="Q16" i="170"/>
  <c r="O16" i="170"/>
  <c r="M16" i="170"/>
  <c r="K16" i="170"/>
  <c r="R16" i="170" s="1"/>
  <c r="T16" i="170" s="1"/>
  <c r="Q15" i="170"/>
  <c r="O15" i="170"/>
  <c r="M15" i="170"/>
  <c r="K15" i="170"/>
  <c r="Q14" i="170"/>
  <c r="O14" i="170"/>
  <c r="M14" i="170"/>
  <c r="K14" i="170"/>
  <c r="R14" i="170" s="1"/>
  <c r="T14" i="170" s="1"/>
  <c r="Q13" i="170"/>
  <c r="O13" i="170"/>
  <c r="M13" i="170"/>
  <c r="M22" i="170" s="1"/>
  <c r="K13" i="170"/>
  <c r="D714" i="169"/>
  <c r="G714" i="169" s="1"/>
  <c r="D713" i="169"/>
  <c r="G713" i="169" s="1"/>
  <c r="D712" i="169"/>
  <c r="G712" i="169" s="1"/>
  <c r="D711" i="169"/>
  <c r="G711" i="169" s="1"/>
  <c r="D710" i="169"/>
  <c r="G710" i="169" s="1"/>
  <c r="G709" i="169"/>
  <c r="F707" i="169"/>
  <c r="E707" i="169"/>
  <c r="D707" i="169"/>
  <c r="G707" i="169" s="1"/>
  <c r="D706" i="169"/>
  <c r="G706" i="169" s="1"/>
  <c r="D705" i="169"/>
  <c r="G705" i="169" s="1"/>
  <c r="D700" i="169"/>
  <c r="G700" i="169" s="1"/>
  <c r="D699" i="169"/>
  <c r="G699" i="169" s="1"/>
  <c r="D698" i="169"/>
  <c r="G698" i="169" s="1"/>
  <c r="D697" i="169"/>
  <c r="G697" i="169" s="1"/>
  <c r="D696" i="169"/>
  <c r="G696" i="169" s="1"/>
  <c r="F694" i="169"/>
  <c r="E694" i="169"/>
  <c r="D694" i="169"/>
  <c r="G694" i="169" s="1"/>
  <c r="F693" i="169"/>
  <c r="D693" i="169"/>
  <c r="G693" i="169" s="1"/>
  <c r="F692" i="169"/>
  <c r="D692" i="169"/>
  <c r="G692" i="169" s="1"/>
  <c r="D687" i="169"/>
  <c r="G687" i="169" s="1"/>
  <c r="D686" i="169"/>
  <c r="D685" i="169"/>
  <c r="D684" i="169"/>
  <c r="B684" i="169"/>
  <c r="F683" i="169"/>
  <c r="D683" i="169"/>
  <c r="G683" i="169" s="1"/>
  <c r="F682" i="169"/>
  <c r="D682" i="169"/>
  <c r="G682" i="169" s="1"/>
  <c r="G681" i="169"/>
  <c r="D679" i="169"/>
  <c r="G679" i="169" s="1"/>
  <c r="F678" i="169"/>
  <c r="D678" i="169"/>
  <c r="G678" i="169" s="1"/>
  <c r="F677" i="169"/>
  <c r="D677" i="169"/>
  <c r="G677" i="169" s="1"/>
  <c r="F676" i="169"/>
  <c r="E676" i="169"/>
  <c r="D676" i="169"/>
  <c r="G676" i="169" s="1"/>
  <c r="F675" i="169"/>
  <c r="E675" i="169"/>
  <c r="D675" i="169"/>
  <c r="G675" i="169" s="1"/>
  <c r="F674" i="169"/>
  <c r="D674" i="169"/>
  <c r="G674" i="169" s="1"/>
  <c r="F673" i="169"/>
  <c r="D673" i="169"/>
  <c r="G673" i="169" s="1"/>
  <c r="D668" i="169"/>
  <c r="G668" i="169" s="1"/>
  <c r="D667" i="169"/>
  <c r="D666" i="169"/>
  <c r="D665" i="169"/>
  <c r="B665" i="169"/>
  <c r="F664" i="169"/>
  <c r="D664" i="169"/>
  <c r="G664" i="169" s="1"/>
  <c r="F663" i="169"/>
  <c r="D663" i="169"/>
  <c r="G663" i="169" s="1"/>
  <c r="G662" i="169"/>
  <c r="D660" i="169"/>
  <c r="G660" i="169" s="1"/>
  <c r="F659" i="169"/>
  <c r="D659" i="169"/>
  <c r="G659" i="169" s="1"/>
  <c r="F658" i="169"/>
  <c r="D658" i="169"/>
  <c r="G658" i="169" s="1"/>
  <c r="F657" i="169"/>
  <c r="E657" i="169"/>
  <c r="D657" i="169"/>
  <c r="G657" i="169" s="1"/>
  <c r="F656" i="169"/>
  <c r="E656" i="169"/>
  <c r="D656" i="169"/>
  <c r="G656" i="169" s="1"/>
  <c r="F655" i="169"/>
  <c r="D655" i="169"/>
  <c r="G655" i="169" s="1"/>
  <c r="F654" i="169"/>
  <c r="D654" i="169"/>
  <c r="G654" i="169" s="1"/>
  <c r="G649" i="169"/>
  <c r="D648" i="169"/>
  <c r="D647" i="169"/>
  <c r="D646" i="169"/>
  <c r="B646" i="169"/>
  <c r="F645" i="169"/>
  <c r="D645" i="169"/>
  <c r="G645" i="169" s="1"/>
  <c r="F644" i="169"/>
  <c r="D644" i="169"/>
  <c r="G644" i="169" s="1"/>
  <c r="G643" i="169"/>
  <c r="D641" i="169"/>
  <c r="G641" i="169" s="1"/>
  <c r="F640" i="169"/>
  <c r="D640" i="169"/>
  <c r="G640" i="169" s="1"/>
  <c r="F639" i="169"/>
  <c r="D639" i="169"/>
  <c r="G639" i="169" s="1"/>
  <c r="F638" i="169"/>
  <c r="E638" i="169"/>
  <c r="D638" i="169"/>
  <c r="G638" i="169" s="1"/>
  <c r="F637" i="169"/>
  <c r="E637" i="169"/>
  <c r="D637" i="169"/>
  <c r="G637" i="169" s="1"/>
  <c r="F636" i="169"/>
  <c r="D636" i="169"/>
  <c r="G636" i="169" s="1"/>
  <c r="F635" i="169"/>
  <c r="D635" i="169"/>
  <c r="G635" i="169" s="1"/>
  <c r="G630" i="169"/>
  <c r="D629" i="169"/>
  <c r="D628" i="169"/>
  <c r="D627" i="169"/>
  <c r="B627" i="169"/>
  <c r="F626" i="169"/>
  <c r="D626" i="169"/>
  <c r="G626" i="169" s="1"/>
  <c r="F625" i="169"/>
  <c r="D625" i="169"/>
  <c r="G625" i="169" s="1"/>
  <c r="G624" i="169"/>
  <c r="D622" i="169"/>
  <c r="G622" i="169" s="1"/>
  <c r="F621" i="169"/>
  <c r="D621" i="169"/>
  <c r="G621" i="169" s="1"/>
  <c r="F620" i="169"/>
  <c r="D620" i="169"/>
  <c r="G620" i="169" s="1"/>
  <c r="F619" i="169"/>
  <c r="E619" i="169"/>
  <c r="D619" i="169"/>
  <c r="G619" i="169" s="1"/>
  <c r="F618" i="169"/>
  <c r="E618" i="169"/>
  <c r="D618" i="169"/>
  <c r="G618" i="169" s="1"/>
  <c r="F617" i="169"/>
  <c r="D617" i="169"/>
  <c r="G617" i="169" s="1"/>
  <c r="F616" i="169"/>
  <c r="D616" i="169"/>
  <c r="G616" i="169" s="1"/>
  <c r="G611" i="169"/>
  <c r="D610" i="169"/>
  <c r="D609" i="169"/>
  <c r="D608" i="169"/>
  <c r="B608" i="169"/>
  <c r="F607" i="169"/>
  <c r="D607" i="169"/>
  <c r="G607" i="169" s="1"/>
  <c r="F606" i="169"/>
  <c r="D606" i="169"/>
  <c r="G606" i="169" s="1"/>
  <c r="G605" i="169"/>
  <c r="D603" i="169"/>
  <c r="G603" i="169" s="1"/>
  <c r="F602" i="169"/>
  <c r="D602" i="169"/>
  <c r="G602" i="169" s="1"/>
  <c r="F601" i="169"/>
  <c r="D601" i="169"/>
  <c r="G601" i="169" s="1"/>
  <c r="F600" i="169"/>
  <c r="E600" i="169"/>
  <c r="D600" i="169"/>
  <c r="G600" i="169" s="1"/>
  <c r="F599" i="169"/>
  <c r="E599" i="169"/>
  <c r="D599" i="169"/>
  <c r="G599" i="169" s="1"/>
  <c r="F598" i="169"/>
  <c r="D598" i="169"/>
  <c r="G598" i="169" s="1"/>
  <c r="F597" i="169"/>
  <c r="D597" i="169"/>
  <c r="G597" i="169" s="1"/>
  <c r="D592" i="169"/>
  <c r="G592" i="169" s="1"/>
  <c r="D591" i="169"/>
  <c r="G591" i="169" s="1"/>
  <c r="D590" i="169"/>
  <c r="G590" i="169" s="1"/>
  <c r="D589" i="169"/>
  <c r="G589" i="169" s="1"/>
  <c r="D588" i="169"/>
  <c r="G588" i="169" s="1"/>
  <c r="G587" i="169"/>
  <c r="F585" i="169"/>
  <c r="E585" i="169"/>
  <c r="D585" i="169"/>
  <c r="G585" i="169" s="1"/>
  <c r="F584" i="169"/>
  <c r="D584" i="169"/>
  <c r="G584" i="169" s="1"/>
  <c r="F583" i="169"/>
  <c r="D583" i="169"/>
  <c r="G583" i="169" s="1"/>
  <c r="D578" i="169"/>
  <c r="G578" i="169" s="1"/>
  <c r="D577" i="169"/>
  <c r="G577" i="169" s="1"/>
  <c r="D576" i="169"/>
  <c r="G576" i="169" s="1"/>
  <c r="D575" i="169"/>
  <c r="G575" i="169" s="1"/>
  <c r="D574" i="169"/>
  <c r="G574" i="169" s="1"/>
  <c r="F572" i="169"/>
  <c r="E572" i="169"/>
  <c r="D572" i="169"/>
  <c r="G572" i="169" s="1"/>
  <c r="F571" i="169"/>
  <c r="D571" i="169"/>
  <c r="G571" i="169" s="1"/>
  <c r="F570" i="169"/>
  <c r="D570" i="169"/>
  <c r="G570" i="169" s="1"/>
  <c r="D564" i="169"/>
  <c r="G564" i="169" s="1"/>
  <c r="D563" i="169"/>
  <c r="G563" i="169" s="1"/>
  <c r="D562" i="169"/>
  <c r="G562" i="169" s="1"/>
  <c r="D561" i="169"/>
  <c r="G561" i="169" s="1"/>
  <c r="D560" i="169"/>
  <c r="G560" i="169" s="1"/>
  <c r="G559" i="169"/>
  <c r="F557" i="169"/>
  <c r="E557" i="169"/>
  <c r="D557" i="169"/>
  <c r="G557" i="169" s="1"/>
  <c r="F556" i="169"/>
  <c r="D556" i="169"/>
  <c r="G556" i="169" s="1"/>
  <c r="F555" i="169"/>
  <c r="D555" i="169"/>
  <c r="G555" i="169" s="1"/>
  <c r="D550" i="169"/>
  <c r="G550" i="169" s="1"/>
  <c r="D549" i="169"/>
  <c r="G549" i="169" s="1"/>
  <c r="D548" i="169"/>
  <c r="G548" i="169" s="1"/>
  <c r="D547" i="169"/>
  <c r="G547" i="169" s="1"/>
  <c r="D546" i="169"/>
  <c r="G546" i="169" s="1"/>
  <c r="F544" i="169"/>
  <c r="E544" i="169"/>
  <c r="D544" i="169"/>
  <c r="G544" i="169" s="1"/>
  <c r="F543" i="169"/>
  <c r="D543" i="169"/>
  <c r="G543" i="169" s="1"/>
  <c r="F542" i="169"/>
  <c r="D542" i="169"/>
  <c r="G542" i="169" s="1"/>
  <c r="D536" i="169"/>
  <c r="G536" i="169" s="1"/>
  <c r="D535" i="169"/>
  <c r="G535" i="169" s="1"/>
  <c r="D534" i="169"/>
  <c r="G534" i="169" s="1"/>
  <c r="D533" i="169"/>
  <c r="G533" i="169" s="1"/>
  <c r="D532" i="169"/>
  <c r="G532" i="169" s="1"/>
  <c r="G531" i="169"/>
  <c r="E529" i="169"/>
  <c r="D529" i="169"/>
  <c r="G529" i="169" s="1"/>
  <c r="F528" i="169"/>
  <c r="G528" i="169" s="1"/>
  <c r="E528" i="169"/>
  <c r="J525" i="169"/>
  <c r="D522" i="169"/>
  <c r="G522" i="169" s="1"/>
  <c r="F521" i="169"/>
  <c r="D521" i="169"/>
  <c r="G521" i="169" s="1"/>
  <c r="F520" i="169"/>
  <c r="D520" i="169"/>
  <c r="G520" i="169" s="1"/>
  <c r="D519" i="169"/>
  <c r="G519" i="169" s="1"/>
  <c r="D518" i="169"/>
  <c r="G518" i="169" s="1"/>
  <c r="E516" i="169"/>
  <c r="D516" i="169"/>
  <c r="G516" i="169" s="1"/>
  <c r="F515" i="169"/>
  <c r="G515" i="169" s="1"/>
  <c r="E515" i="169"/>
  <c r="D509" i="169"/>
  <c r="G509" i="169" s="1"/>
  <c r="D508" i="169"/>
  <c r="G508" i="169" s="1"/>
  <c r="D507" i="169"/>
  <c r="G507" i="169" s="1"/>
  <c r="D506" i="169"/>
  <c r="G506" i="169" s="1"/>
  <c r="D505" i="169"/>
  <c r="G505" i="169" s="1"/>
  <c r="G504" i="169"/>
  <c r="F501" i="169"/>
  <c r="E501" i="169"/>
  <c r="D501" i="169"/>
  <c r="G501" i="169" s="1"/>
  <c r="F500" i="169"/>
  <c r="D500" i="169"/>
  <c r="G500" i="169" s="1"/>
  <c r="F499" i="169"/>
  <c r="D499" i="169"/>
  <c r="G499" i="169" s="1"/>
  <c r="D494" i="169"/>
  <c r="G494" i="169" s="1"/>
  <c r="D493" i="169"/>
  <c r="G493" i="169" s="1"/>
  <c r="D492" i="169"/>
  <c r="G492" i="169" s="1"/>
  <c r="D491" i="169"/>
  <c r="G491" i="169" s="1"/>
  <c r="D490" i="169"/>
  <c r="G490" i="169" s="1"/>
  <c r="G489" i="169"/>
  <c r="F487" i="169"/>
  <c r="E487" i="169"/>
  <c r="D487" i="169"/>
  <c r="G487" i="169" s="1"/>
  <c r="F486" i="169"/>
  <c r="D486" i="169"/>
  <c r="G486" i="169" s="1"/>
  <c r="F485" i="169"/>
  <c r="D485" i="169"/>
  <c r="G485" i="169" s="1"/>
  <c r="D479" i="169"/>
  <c r="G479" i="169" s="1"/>
  <c r="D478" i="169"/>
  <c r="G478" i="169" s="1"/>
  <c r="D477" i="169"/>
  <c r="G477" i="169" s="1"/>
  <c r="D476" i="169"/>
  <c r="G476" i="169" s="1"/>
  <c r="D475" i="169"/>
  <c r="G475" i="169" s="1"/>
  <c r="G474" i="169"/>
  <c r="F472" i="169"/>
  <c r="E472" i="169"/>
  <c r="D472" i="169"/>
  <c r="G472" i="169" s="1"/>
  <c r="F471" i="169"/>
  <c r="D471" i="169"/>
  <c r="G471" i="169" s="1"/>
  <c r="F470" i="169"/>
  <c r="D470" i="169"/>
  <c r="G470" i="169" s="1"/>
  <c r="D465" i="169"/>
  <c r="G465" i="169" s="1"/>
  <c r="F464" i="169"/>
  <c r="D464" i="169"/>
  <c r="G464" i="169" s="1"/>
  <c r="F463" i="169"/>
  <c r="D463" i="169"/>
  <c r="G463" i="169" s="1"/>
  <c r="D462" i="169"/>
  <c r="G462" i="169" s="1"/>
  <c r="D461" i="169"/>
  <c r="G461" i="169" s="1"/>
  <c r="G460" i="169"/>
  <c r="M456" i="169"/>
  <c r="D453" i="169"/>
  <c r="G453" i="169" s="1"/>
  <c r="D452" i="169"/>
  <c r="G452" i="169" s="1"/>
  <c r="D451" i="169"/>
  <c r="G451" i="169" s="1"/>
  <c r="D450" i="169"/>
  <c r="G450" i="169" s="1"/>
  <c r="D449" i="169"/>
  <c r="G449" i="169" s="1"/>
  <c r="G448" i="169"/>
  <c r="F446" i="169"/>
  <c r="E446" i="169"/>
  <c r="D446" i="169"/>
  <c r="G446" i="169" s="1"/>
  <c r="F445" i="169"/>
  <c r="D445" i="169"/>
  <c r="G445" i="169" s="1"/>
  <c r="F444" i="169"/>
  <c r="D444" i="169"/>
  <c r="G444" i="169" s="1"/>
  <c r="D439" i="169"/>
  <c r="G439" i="169" s="1"/>
  <c r="F438" i="169"/>
  <c r="D438" i="169"/>
  <c r="G438" i="169" s="1"/>
  <c r="F437" i="169"/>
  <c r="D437" i="169"/>
  <c r="G437" i="169" s="1"/>
  <c r="F436" i="169"/>
  <c r="D436" i="169"/>
  <c r="G436" i="169" s="1"/>
  <c r="F435" i="169"/>
  <c r="D435" i="169"/>
  <c r="G435" i="169" s="1"/>
  <c r="F433" i="169"/>
  <c r="E433" i="169"/>
  <c r="D433" i="169"/>
  <c r="G433" i="169" s="1"/>
  <c r="F432" i="169"/>
  <c r="D432" i="169"/>
  <c r="G432" i="169" s="1"/>
  <c r="F431" i="169"/>
  <c r="D431" i="169"/>
  <c r="G431" i="169" s="1"/>
  <c r="D425" i="169"/>
  <c r="G425" i="169" s="1"/>
  <c r="D424" i="169"/>
  <c r="G424" i="169" s="1"/>
  <c r="D423" i="169"/>
  <c r="G423" i="169" s="1"/>
  <c r="D422" i="169"/>
  <c r="G422" i="169" s="1"/>
  <c r="D421" i="169"/>
  <c r="G421" i="169" s="1"/>
  <c r="G420" i="169"/>
  <c r="F418" i="169"/>
  <c r="E418" i="169"/>
  <c r="D418" i="169"/>
  <c r="G418" i="169" s="1"/>
  <c r="D417" i="169"/>
  <c r="G417" i="169" s="1"/>
  <c r="D416" i="169"/>
  <c r="G416" i="169" s="1"/>
  <c r="D410" i="169"/>
  <c r="G410" i="169" s="1"/>
  <c r="F409" i="169"/>
  <c r="D409" i="169"/>
  <c r="G409" i="169" s="1"/>
  <c r="F408" i="169"/>
  <c r="D408" i="169"/>
  <c r="G408" i="169" s="1"/>
  <c r="F407" i="169"/>
  <c r="D407" i="169"/>
  <c r="G407" i="169" s="1"/>
  <c r="F406" i="169"/>
  <c r="D406" i="169"/>
  <c r="G406" i="169" s="1"/>
  <c r="F404" i="169"/>
  <c r="E404" i="169"/>
  <c r="D404" i="169"/>
  <c r="G404" i="169" s="1"/>
  <c r="F403" i="169"/>
  <c r="D403" i="169"/>
  <c r="G403" i="169" s="1"/>
  <c r="F402" i="169"/>
  <c r="D402" i="169"/>
  <c r="G402" i="169" s="1"/>
  <c r="D396" i="169"/>
  <c r="G396" i="169" s="1"/>
  <c r="D395" i="169"/>
  <c r="G395" i="169" s="1"/>
  <c r="D394" i="169"/>
  <c r="G394" i="169" s="1"/>
  <c r="D393" i="169"/>
  <c r="G393" i="169" s="1"/>
  <c r="D392" i="169"/>
  <c r="G392" i="169" s="1"/>
  <c r="F390" i="169"/>
  <c r="E390" i="169"/>
  <c r="D390" i="169"/>
  <c r="G390" i="169" s="1"/>
  <c r="D389" i="169"/>
  <c r="G389" i="169" s="1"/>
  <c r="D388" i="169"/>
  <c r="G388" i="169" s="1"/>
  <c r="D383" i="169"/>
  <c r="G383" i="169" s="1"/>
  <c r="D382" i="169"/>
  <c r="G382" i="169" s="1"/>
  <c r="D381" i="169"/>
  <c r="G381" i="169" s="1"/>
  <c r="F380" i="169"/>
  <c r="D380" i="169"/>
  <c r="G380" i="169" s="1"/>
  <c r="F379" i="169"/>
  <c r="D379" i="169"/>
  <c r="G379" i="169" s="1"/>
  <c r="F377" i="169"/>
  <c r="E377" i="169"/>
  <c r="D377" i="169"/>
  <c r="G377" i="169" s="1"/>
  <c r="D376" i="169"/>
  <c r="G376" i="169" s="1"/>
  <c r="D375" i="169"/>
  <c r="G375" i="169" s="1"/>
  <c r="D369" i="169"/>
  <c r="G369" i="169" s="1"/>
  <c r="D368" i="169"/>
  <c r="G368" i="169" s="1"/>
  <c r="D367" i="169"/>
  <c r="G367" i="169" s="1"/>
  <c r="D366" i="169"/>
  <c r="G366" i="169" s="1"/>
  <c r="D365" i="169"/>
  <c r="G365" i="169" s="1"/>
  <c r="I364" i="169"/>
  <c r="F363" i="169"/>
  <c r="E363" i="169"/>
  <c r="D363" i="169"/>
  <c r="G363" i="169" s="1"/>
  <c r="D362" i="169"/>
  <c r="G362" i="169" s="1"/>
  <c r="D361" i="169"/>
  <c r="G361" i="169" s="1"/>
  <c r="D356" i="169"/>
  <c r="G356" i="169" s="1"/>
  <c r="D355" i="169"/>
  <c r="G355" i="169" s="1"/>
  <c r="F354" i="169"/>
  <c r="D354" i="169"/>
  <c r="G354" i="169" s="1"/>
  <c r="F353" i="169"/>
  <c r="D353" i="169"/>
  <c r="G353" i="169" s="1"/>
  <c r="F352" i="169"/>
  <c r="D352" i="169"/>
  <c r="G352" i="169" s="1"/>
  <c r="F350" i="169"/>
  <c r="E350" i="169"/>
  <c r="D350" i="169"/>
  <c r="G350" i="169" s="1"/>
  <c r="D349" i="169"/>
  <c r="G349" i="169" s="1"/>
  <c r="D348" i="169"/>
  <c r="G348" i="169" s="1"/>
  <c r="D343" i="169"/>
  <c r="G343" i="169" s="1"/>
  <c r="D342" i="169"/>
  <c r="G342" i="169" s="1"/>
  <c r="D341" i="169"/>
  <c r="G341" i="169" s="1"/>
  <c r="D340" i="169"/>
  <c r="G340" i="169" s="1"/>
  <c r="D339" i="169"/>
  <c r="G339" i="169" s="1"/>
  <c r="E337" i="169"/>
  <c r="D337" i="169"/>
  <c r="G337" i="169" s="1"/>
  <c r="D336" i="169"/>
  <c r="G336" i="169" s="1"/>
  <c r="D335" i="169"/>
  <c r="G335" i="169" s="1"/>
  <c r="D330" i="169"/>
  <c r="G330" i="169" s="1"/>
  <c r="D329" i="169"/>
  <c r="G329" i="169" s="1"/>
  <c r="F328" i="169"/>
  <c r="D328" i="169"/>
  <c r="G328" i="169" s="1"/>
  <c r="F327" i="169"/>
  <c r="D327" i="169"/>
  <c r="G327" i="169" s="1"/>
  <c r="F326" i="169"/>
  <c r="D326" i="169"/>
  <c r="G326" i="169" s="1"/>
  <c r="F324" i="169"/>
  <c r="E324" i="169"/>
  <c r="D324" i="169"/>
  <c r="G324" i="169" s="1"/>
  <c r="F323" i="169"/>
  <c r="D323" i="169"/>
  <c r="G323" i="169" s="1"/>
  <c r="F322" i="169"/>
  <c r="D322" i="169"/>
  <c r="G322" i="169" s="1"/>
  <c r="D316" i="169"/>
  <c r="G316" i="169" s="1"/>
  <c r="D315" i="169"/>
  <c r="G315" i="169" s="1"/>
  <c r="D314" i="169"/>
  <c r="G314" i="169" s="1"/>
  <c r="D313" i="169"/>
  <c r="G313" i="169" s="1"/>
  <c r="D312" i="169"/>
  <c r="G312" i="169" s="1"/>
  <c r="G311" i="169"/>
  <c r="F310" i="169"/>
  <c r="E310" i="169"/>
  <c r="D310" i="169"/>
  <c r="G310" i="169" s="1"/>
  <c r="D309" i="169"/>
  <c r="G309" i="169" s="1"/>
  <c r="D308" i="169"/>
  <c r="G308" i="169" s="1"/>
  <c r="D303" i="169"/>
  <c r="G303" i="169" s="1"/>
  <c r="D302" i="169"/>
  <c r="G302" i="169" s="1"/>
  <c r="D301" i="169"/>
  <c r="G301" i="169" s="1"/>
  <c r="F300" i="169"/>
  <c r="D300" i="169"/>
  <c r="G300" i="169" s="1"/>
  <c r="F299" i="169"/>
  <c r="D299" i="169"/>
  <c r="G299" i="169" s="1"/>
  <c r="F297" i="169"/>
  <c r="E297" i="169"/>
  <c r="D297" i="169"/>
  <c r="G297" i="169" s="1"/>
  <c r="D296" i="169"/>
  <c r="G296" i="169" s="1"/>
  <c r="D295" i="169"/>
  <c r="G295" i="169" s="1"/>
  <c r="D289" i="169"/>
  <c r="G289" i="169" s="1"/>
  <c r="D288" i="169"/>
  <c r="G288" i="169" s="1"/>
  <c r="D287" i="169"/>
  <c r="G287" i="169" s="1"/>
  <c r="D286" i="169"/>
  <c r="G286" i="169" s="1"/>
  <c r="D285" i="169"/>
  <c r="G285" i="169" s="1"/>
  <c r="F282" i="169"/>
  <c r="E282" i="169"/>
  <c r="D282" i="169"/>
  <c r="G282" i="169" s="1"/>
  <c r="F281" i="169"/>
  <c r="G281" i="169" s="1"/>
  <c r="E281" i="169"/>
  <c r="D280" i="169"/>
  <c r="G280" i="169" s="1"/>
  <c r="D279" i="169"/>
  <c r="G279" i="169" s="1"/>
  <c r="D274" i="169"/>
  <c r="G274" i="169" s="1"/>
  <c r="F273" i="169"/>
  <c r="D273" i="169"/>
  <c r="G273" i="169" s="1"/>
  <c r="F272" i="169"/>
  <c r="D272" i="169"/>
  <c r="G272" i="169" s="1"/>
  <c r="D271" i="169"/>
  <c r="G271" i="169" s="1"/>
  <c r="D270" i="169"/>
  <c r="G270" i="169" s="1"/>
  <c r="F268" i="169"/>
  <c r="E268" i="169"/>
  <c r="D268" i="169"/>
  <c r="G268" i="169" s="1"/>
  <c r="G267" i="169"/>
  <c r="E267" i="169"/>
  <c r="D266" i="169"/>
  <c r="G266" i="169" s="1"/>
  <c r="D265" i="169"/>
  <c r="G265" i="169" s="1"/>
  <c r="D259" i="169"/>
  <c r="G259" i="169" s="1"/>
  <c r="D258" i="169"/>
  <c r="G258" i="169" s="1"/>
  <c r="D257" i="169"/>
  <c r="G257" i="169" s="1"/>
  <c r="D256" i="169"/>
  <c r="G256" i="169" s="1"/>
  <c r="D255" i="169"/>
  <c r="G255" i="169" s="1"/>
  <c r="G254" i="169"/>
  <c r="F252" i="169"/>
  <c r="E252" i="169"/>
  <c r="D252" i="169"/>
  <c r="G252" i="169" s="1"/>
  <c r="F251" i="169"/>
  <c r="D251" i="169"/>
  <c r="G251" i="169" s="1"/>
  <c r="F250" i="169"/>
  <c r="D250" i="169"/>
  <c r="G250" i="169" s="1"/>
  <c r="D245" i="169"/>
  <c r="G245" i="169" s="1"/>
  <c r="F244" i="169"/>
  <c r="D244" i="169"/>
  <c r="G244" i="169" s="1"/>
  <c r="F243" i="169"/>
  <c r="D243" i="169"/>
  <c r="G243" i="169" s="1"/>
  <c r="D242" i="169"/>
  <c r="G242" i="169" s="1"/>
  <c r="D241" i="169"/>
  <c r="G241" i="169" s="1"/>
  <c r="F239" i="169"/>
  <c r="E239" i="169"/>
  <c r="D239" i="169"/>
  <c r="G239" i="169" s="1"/>
  <c r="F238" i="169"/>
  <c r="G238" i="169" s="1"/>
  <c r="E238" i="169"/>
  <c r="F237" i="169"/>
  <c r="D237" i="169"/>
  <c r="G237" i="169" s="1"/>
  <c r="F236" i="169"/>
  <c r="D236" i="169"/>
  <c r="G236" i="169" s="1"/>
  <c r="D231" i="169"/>
  <c r="G231" i="169" s="1"/>
  <c r="D230" i="169"/>
  <c r="G230" i="169" s="1"/>
  <c r="D229" i="169"/>
  <c r="G229" i="169" s="1"/>
  <c r="D228" i="169"/>
  <c r="G228" i="169" s="1"/>
  <c r="D227" i="169"/>
  <c r="G227" i="169" s="1"/>
  <c r="F225" i="169"/>
  <c r="D225" i="169"/>
  <c r="G225" i="169" s="1"/>
  <c r="F224" i="169"/>
  <c r="D224" i="169"/>
  <c r="G224" i="169" s="1"/>
  <c r="G219" i="169"/>
  <c r="D218" i="169"/>
  <c r="G218" i="169" s="1"/>
  <c r="D217" i="169"/>
  <c r="G217" i="169" s="1"/>
  <c r="D216" i="169"/>
  <c r="G216" i="169" s="1"/>
  <c r="D215" i="169"/>
  <c r="G215" i="169" s="1"/>
  <c r="D214" i="169"/>
  <c r="G214" i="169" s="1"/>
  <c r="F212" i="169"/>
  <c r="D212" i="169"/>
  <c r="G212" i="169" s="1"/>
  <c r="F211" i="169"/>
  <c r="D211" i="169"/>
  <c r="G211" i="169" s="1"/>
  <c r="D205" i="169"/>
  <c r="G205" i="169" s="1"/>
  <c r="D204" i="169"/>
  <c r="G204" i="169" s="1"/>
  <c r="D203" i="169"/>
  <c r="G203" i="169" s="1"/>
  <c r="D202" i="169"/>
  <c r="G202" i="169" s="1"/>
  <c r="D201" i="169"/>
  <c r="G201" i="169" s="1"/>
  <c r="G200" i="169"/>
  <c r="F198" i="169"/>
  <c r="E198" i="169"/>
  <c r="D198" i="169"/>
  <c r="G198" i="169" s="1"/>
  <c r="F197" i="169"/>
  <c r="D197" i="169"/>
  <c r="G197" i="169" s="1"/>
  <c r="F196" i="169"/>
  <c r="D196" i="169"/>
  <c r="G196" i="169" s="1"/>
  <c r="G191" i="169"/>
  <c r="D190" i="169"/>
  <c r="G190" i="169" s="1"/>
  <c r="F189" i="169"/>
  <c r="D189" i="169"/>
  <c r="G189" i="169" s="1"/>
  <c r="F188" i="169"/>
  <c r="D188" i="169"/>
  <c r="G188" i="169" s="1"/>
  <c r="F187" i="169"/>
  <c r="D187" i="169"/>
  <c r="G187" i="169" s="1"/>
  <c r="F186" i="169"/>
  <c r="D186" i="169"/>
  <c r="G186" i="169" s="1"/>
  <c r="F183" i="169"/>
  <c r="G183" i="169" s="1"/>
  <c r="E183" i="169"/>
  <c r="F182" i="169"/>
  <c r="D182" i="169"/>
  <c r="G182" i="169" s="1"/>
  <c r="F181" i="169"/>
  <c r="D181" i="169"/>
  <c r="G181" i="169" s="1"/>
  <c r="D175" i="169"/>
  <c r="G175" i="169" s="1"/>
  <c r="D174" i="169"/>
  <c r="G174" i="169" s="1"/>
  <c r="D173" i="169"/>
  <c r="G173" i="169" s="1"/>
  <c r="D172" i="169"/>
  <c r="G172" i="169" s="1"/>
  <c r="D171" i="169"/>
  <c r="G171" i="169" s="1"/>
  <c r="G170" i="169"/>
  <c r="F168" i="169"/>
  <c r="E168" i="169"/>
  <c r="D168" i="169"/>
  <c r="G168" i="169" s="1"/>
  <c r="F167" i="169"/>
  <c r="D167" i="169"/>
  <c r="G167" i="169" s="1"/>
  <c r="F166" i="169"/>
  <c r="D166" i="169"/>
  <c r="G166" i="169" s="1"/>
  <c r="G161" i="169"/>
  <c r="D160" i="169"/>
  <c r="G160" i="169" s="1"/>
  <c r="F159" i="169"/>
  <c r="D159" i="169"/>
  <c r="G159" i="169" s="1"/>
  <c r="F158" i="169"/>
  <c r="D158" i="169"/>
  <c r="G158" i="169" s="1"/>
  <c r="F157" i="169"/>
  <c r="D157" i="169"/>
  <c r="G157" i="169" s="1"/>
  <c r="F156" i="169"/>
  <c r="D156" i="169"/>
  <c r="G156" i="169" s="1"/>
  <c r="F153" i="169"/>
  <c r="G153" i="169" s="1"/>
  <c r="E153" i="169"/>
  <c r="F152" i="169"/>
  <c r="D152" i="169"/>
  <c r="G152" i="169" s="1"/>
  <c r="F151" i="169"/>
  <c r="D151" i="169"/>
  <c r="G151" i="169" s="1"/>
  <c r="D144" i="169"/>
  <c r="G144" i="169" s="1"/>
  <c r="D143" i="169"/>
  <c r="G143" i="169" s="1"/>
  <c r="D142" i="169"/>
  <c r="G142" i="169" s="1"/>
  <c r="D141" i="169"/>
  <c r="G141" i="169" s="1"/>
  <c r="D140" i="169"/>
  <c r="G140" i="169" s="1"/>
  <c r="G139" i="169"/>
  <c r="F137" i="169"/>
  <c r="E137" i="169"/>
  <c r="D137" i="169"/>
  <c r="G137" i="169" s="1"/>
  <c r="F136" i="169"/>
  <c r="D136" i="169"/>
  <c r="G136" i="169" s="1"/>
  <c r="F135" i="169"/>
  <c r="D135" i="169"/>
  <c r="G135" i="169" s="1"/>
  <c r="D130" i="169"/>
  <c r="G130" i="169" s="1"/>
  <c r="D129" i="169"/>
  <c r="G129" i="169" s="1"/>
  <c r="D128" i="169"/>
  <c r="G128" i="169" s="1"/>
  <c r="F127" i="169"/>
  <c r="D127" i="169"/>
  <c r="G127" i="169" s="1"/>
  <c r="F126" i="169"/>
  <c r="D126" i="169"/>
  <c r="G126" i="169" s="1"/>
  <c r="G125" i="169"/>
  <c r="F123" i="169"/>
  <c r="E123" i="169"/>
  <c r="D123" i="169"/>
  <c r="G123" i="169" s="1"/>
  <c r="F122" i="169"/>
  <c r="D122" i="169"/>
  <c r="G122" i="169" s="1"/>
  <c r="F121" i="169"/>
  <c r="D121" i="169"/>
  <c r="G121" i="169" s="1"/>
  <c r="D115" i="169"/>
  <c r="G115" i="169" s="1"/>
  <c r="D114" i="169"/>
  <c r="G114" i="169" s="1"/>
  <c r="D113" i="169"/>
  <c r="G113" i="169" s="1"/>
  <c r="D112" i="169"/>
  <c r="G112" i="169" s="1"/>
  <c r="D111" i="169"/>
  <c r="G111" i="169" s="1"/>
  <c r="G110" i="169"/>
  <c r="F108" i="169"/>
  <c r="E108" i="169"/>
  <c r="D108" i="169"/>
  <c r="G108" i="169" s="1"/>
  <c r="F107" i="169"/>
  <c r="D107" i="169"/>
  <c r="G107" i="169" s="1"/>
  <c r="F106" i="169"/>
  <c r="D106" i="169"/>
  <c r="G106" i="169" s="1"/>
  <c r="D101" i="169"/>
  <c r="G101" i="169" s="1"/>
  <c r="D100" i="169"/>
  <c r="G100" i="169" s="1"/>
  <c r="G99" i="169"/>
  <c r="D98" i="169"/>
  <c r="G98" i="169" s="1"/>
  <c r="G95" i="169"/>
  <c r="D91" i="169"/>
  <c r="G91" i="169" s="1"/>
  <c r="D90" i="169"/>
  <c r="G90" i="169" s="1"/>
  <c r="D89" i="169"/>
  <c r="G89" i="169" s="1"/>
  <c r="D88" i="169"/>
  <c r="G88" i="169" s="1"/>
  <c r="D87" i="169"/>
  <c r="G87" i="169" s="1"/>
  <c r="G86" i="169"/>
  <c r="F84" i="169"/>
  <c r="E84" i="169"/>
  <c r="D84" i="169"/>
  <c r="G84" i="169" s="1"/>
  <c r="F83" i="169"/>
  <c r="D83" i="169"/>
  <c r="G83" i="169" s="1"/>
  <c r="F82" i="169"/>
  <c r="D82" i="169"/>
  <c r="G82" i="169" s="1"/>
  <c r="D75" i="169"/>
  <c r="G75" i="169" s="1"/>
  <c r="D74" i="169"/>
  <c r="G74" i="169" s="1"/>
  <c r="D73" i="169"/>
  <c r="G73" i="169" s="1"/>
  <c r="D72" i="169"/>
  <c r="G72" i="169" s="1"/>
  <c r="D71" i="169"/>
  <c r="G71" i="169" s="1"/>
  <c r="G70" i="169"/>
  <c r="F68" i="169"/>
  <c r="E68" i="169"/>
  <c r="D68" i="169"/>
  <c r="G68" i="169" s="1"/>
  <c r="F67" i="169"/>
  <c r="D67" i="169"/>
  <c r="G67" i="169" s="1"/>
  <c r="F66" i="169"/>
  <c r="D66" i="169"/>
  <c r="G66" i="169" s="1"/>
  <c r="D62" i="169"/>
  <c r="G62" i="169" s="1"/>
  <c r="D61" i="169"/>
  <c r="G61" i="169" s="1"/>
  <c r="D60" i="169"/>
  <c r="G60" i="169" s="1"/>
  <c r="D59" i="169"/>
  <c r="G59" i="169" s="1"/>
  <c r="D58" i="169"/>
  <c r="G58" i="169" s="1"/>
  <c r="G57" i="169"/>
  <c r="F55" i="169"/>
  <c r="E55" i="169"/>
  <c r="D55" i="169"/>
  <c r="G55" i="169" s="1"/>
  <c r="F54" i="169"/>
  <c r="D54" i="169"/>
  <c r="G54" i="169" s="1"/>
  <c r="F53" i="169"/>
  <c r="D53" i="169"/>
  <c r="G53" i="169" s="1"/>
  <c r="D45" i="169"/>
  <c r="G45" i="169" s="1"/>
  <c r="D44" i="169"/>
  <c r="G44" i="169" s="1"/>
  <c r="D43" i="169"/>
  <c r="G43" i="169" s="1"/>
  <c r="D42" i="169"/>
  <c r="G42" i="169" s="1"/>
  <c r="D41" i="169"/>
  <c r="G41" i="169" s="1"/>
  <c r="G40" i="169"/>
  <c r="F38" i="169"/>
  <c r="E38" i="169"/>
  <c r="D38" i="169"/>
  <c r="G38" i="169" s="1"/>
  <c r="F37" i="169"/>
  <c r="D37" i="169"/>
  <c r="G37" i="169" s="1"/>
  <c r="F36" i="169"/>
  <c r="D36" i="169"/>
  <c r="G36" i="169" s="1"/>
  <c r="D32" i="169"/>
  <c r="G32" i="169" s="1"/>
  <c r="D31" i="169"/>
  <c r="G31" i="169" s="1"/>
  <c r="D30" i="169"/>
  <c r="G30" i="169" s="1"/>
  <c r="D29" i="169"/>
  <c r="G29" i="169" s="1"/>
  <c r="D28" i="169"/>
  <c r="G28" i="169" s="1"/>
  <c r="G27" i="169"/>
  <c r="F25" i="169"/>
  <c r="E25" i="169"/>
  <c r="D25" i="169"/>
  <c r="G25" i="169" s="1"/>
  <c r="F24" i="169"/>
  <c r="D24" i="169"/>
  <c r="G24" i="169" s="1"/>
  <c r="F23" i="169"/>
  <c r="D23" i="169"/>
  <c r="G23" i="169" s="1"/>
  <c r="M16" i="169"/>
  <c r="Q14" i="169"/>
  <c r="N14" i="169"/>
  <c r="K14" i="169"/>
  <c r="H14" i="169"/>
  <c r="B10" i="169"/>
  <c r="B9" i="169"/>
  <c r="B8" i="169"/>
  <c r="B7" i="169"/>
  <c r="B6" i="169"/>
  <c r="A5" i="169"/>
  <c r="E18" i="166"/>
  <c r="D18" i="166"/>
  <c r="C18" i="166"/>
  <c r="B18" i="166"/>
  <c r="F17" i="166"/>
  <c r="F16" i="166"/>
  <c r="E15" i="166"/>
  <c r="D15" i="166"/>
  <c r="C15" i="166"/>
  <c r="B15" i="166"/>
  <c r="B14" i="166"/>
  <c r="F14" i="166" s="1"/>
  <c r="E13" i="166"/>
  <c r="D13" i="166"/>
  <c r="C13" i="166"/>
  <c r="B13" i="166"/>
  <c r="E12" i="166"/>
  <c r="D12" i="166"/>
  <c r="C12" i="166"/>
  <c r="B12" i="166"/>
  <c r="E11" i="166"/>
  <c r="D11" i="166"/>
  <c r="C11" i="166"/>
  <c r="B11" i="166"/>
  <c r="A5" i="160"/>
  <c r="P69" i="161"/>
  <c r="P68" i="161"/>
  <c r="R68" i="161"/>
  <c r="R67" i="161"/>
  <c r="I70" i="161"/>
  <c r="F184" i="165"/>
  <c r="F68" i="165"/>
  <c r="I68" i="165"/>
  <c r="O70" i="161"/>
  <c r="M70" i="161"/>
  <c r="K70" i="161"/>
  <c r="R69" i="161"/>
  <c r="F33" i="165"/>
  <c r="F34" i="165"/>
  <c r="F22" i="165"/>
  <c r="I125" i="161"/>
  <c r="P67" i="161"/>
  <c r="P66" i="161"/>
  <c r="P65" i="161"/>
  <c r="P64" i="161"/>
  <c r="P63" i="161"/>
  <c r="F202" i="165"/>
  <c r="F145" i="165"/>
  <c r="F25" i="165"/>
  <c r="F225" i="165"/>
  <c r="F200" i="165"/>
  <c r="F126" i="165"/>
  <c r="F102" i="165"/>
  <c r="F85" i="165"/>
  <c r="F75" i="165"/>
  <c r="F70" i="165"/>
  <c r="F53" i="165"/>
  <c r="F38" i="165"/>
  <c r="F186" i="165"/>
  <c r="F204" i="165"/>
  <c r="F231" i="165"/>
  <c r="F233" i="165"/>
  <c r="F244" i="165"/>
  <c r="F246" i="165"/>
  <c r="F268" i="165"/>
  <c r="F270" i="165"/>
  <c r="F206" i="165"/>
  <c r="F188" i="165"/>
  <c r="F159" i="165"/>
  <c r="F128" i="165"/>
  <c r="F109" i="165"/>
  <c r="F104" i="165"/>
  <c r="F87" i="165"/>
  <c r="F72" i="165"/>
  <c r="F55" i="165"/>
  <c r="F40" i="165"/>
  <c r="F30" i="165"/>
  <c r="F28" i="165"/>
  <c r="F24" i="165"/>
  <c r="F183" i="165"/>
  <c r="F171" i="165"/>
  <c r="D67" i="8"/>
  <c r="F169" i="165"/>
  <c r="F157" i="165"/>
  <c r="F158" i="165"/>
  <c r="F201" i="165"/>
  <c r="I134" i="161"/>
  <c r="O82" i="161"/>
  <c r="M82" i="161"/>
  <c r="K82" i="161"/>
  <c r="I82" i="161"/>
  <c r="P82" i="161"/>
  <c r="O79" i="161"/>
  <c r="M79" i="161"/>
  <c r="K79" i="161"/>
  <c r="P79" i="161"/>
  <c r="I41" i="161"/>
  <c r="K41" i="161"/>
  <c r="K36" i="161"/>
  <c r="K13" i="161"/>
  <c r="I109" i="165"/>
  <c r="I55" i="165"/>
  <c r="K55" i="165"/>
  <c r="I133" i="161"/>
  <c r="I115" i="161"/>
  <c r="K25" i="161"/>
  <c r="O131" i="161"/>
  <c r="K131" i="161"/>
  <c r="M131" i="161"/>
  <c r="K16" i="161"/>
  <c r="R64" i="161"/>
  <c r="H14" i="161"/>
  <c r="K14" i="161"/>
  <c r="I14" i="161"/>
  <c r="M14" i="161"/>
  <c r="O14" i="161"/>
  <c r="P14" i="161"/>
  <c r="K19" i="161"/>
  <c r="I124" i="161"/>
  <c r="K124" i="161"/>
  <c r="M124" i="161"/>
  <c r="O124" i="161"/>
  <c r="P124" i="161"/>
  <c r="R124" i="161"/>
  <c r="P70" i="161"/>
  <c r="P131" i="161"/>
  <c r="O19" i="161"/>
  <c r="M19" i="161"/>
  <c r="I13" i="161"/>
  <c r="O17" i="161"/>
  <c r="M17" i="161"/>
  <c r="K17" i="161"/>
  <c r="O13" i="161"/>
  <c r="M13" i="161"/>
  <c r="P13" i="161"/>
  <c r="R13" i="161"/>
  <c r="M103" i="161"/>
  <c r="K103" i="161"/>
  <c r="N102" i="161"/>
  <c r="N103" i="161"/>
  <c r="L103" i="161"/>
  <c r="N101" i="161"/>
  <c r="N99" i="161"/>
  <c r="I103" i="161"/>
  <c r="H37" i="161"/>
  <c r="O23" i="161"/>
  <c r="M23" i="161"/>
  <c r="F265" i="165"/>
  <c r="I265" i="165"/>
  <c r="F264" i="165"/>
  <c r="I264" i="165"/>
  <c r="F229" i="165"/>
  <c r="I229" i="165"/>
  <c r="I202" i="165"/>
  <c r="F210" i="165"/>
  <c r="I210" i="165"/>
  <c r="F209" i="165"/>
  <c r="I209" i="165"/>
  <c r="I206" i="165"/>
  <c r="F205" i="165"/>
  <c r="I205" i="165"/>
  <c r="I204" i="165"/>
  <c r="I201" i="165"/>
  <c r="H200" i="165"/>
  <c r="I200" i="165"/>
  <c r="G200" i="165"/>
  <c r="F199" i="165"/>
  <c r="I199" i="165"/>
  <c r="F198" i="165"/>
  <c r="I198" i="165"/>
  <c r="I183" i="165"/>
  <c r="G145" i="165"/>
  <c r="F119" i="165"/>
  <c r="I119" i="165"/>
  <c r="F118" i="165"/>
  <c r="I118" i="165"/>
  <c r="I102" i="165"/>
  <c r="H98" i="165"/>
  <c r="V74" i="165"/>
  <c r="I75" i="165"/>
  <c r="K75" i="165"/>
  <c r="F76" i="165"/>
  <c r="I76" i="165"/>
  <c r="I53" i="165"/>
  <c r="F59" i="165"/>
  <c r="I59" i="165"/>
  <c r="F58" i="165"/>
  <c r="I58" i="165"/>
  <c r="F54" i="165"/>
  <c r="I54" i="165"/>
  <c r="F44" i="165"/>
  <c r="I44" i="165"/>
  <c r="F43" i="165"/>
  <c r="I43" i="165"/>
  <c r="I40" i="165"/>
  <c r="F39" i="165"/>
  <c r="I39" i="165"/>
  <c r="I38" i="165"/>
  <c r="K119" i="165"/>
  <c r="K118" i="165"/>
  <c r="K76" i="165"/>
  <c r="K53" i="165"/>
  <c r="K54" i="165"/>
  <c r="K58" i="165"/>
  <c r="K59" i="165"/>
  <c r="K38" i="165"/>
  <c r="K39" i="165"/>
  <c r="K43" i="165"/>
  <c r="K44" i="165"/>
  <c r="K40" i="165"/>
  <c r="V243" i="165"/>
  <c r="V230" i="165"/>
  <c r="V101" i="165"/>
  <c r="V84" i="165"/>
  <c r="V69" i="165"/>
  <c r="V61" i="165"/>
  <c r="V46" i="165"/>
  <c r="V32" i="165"/>
  <c r="V27" i="165"/>
  <c r="R216" i="165"/>
  <c r="M107" i="161"/>
  <c r="L81" i="165"/>
  <c r="F228" i="165"/>
  <c r="F227" i="165"/>
  <c r="H184" i="165"/>
  <c r="I184" i="165"/>
  <c r="G184" i="165"/>
  <c r="I136" i="165"/>
  <c r="G136" i="165"/>
  <c r="I51" i="165"/>
  <c r="I34" i="165"/>
  <c r="K34" i="165"/>
  <c r="I33" i="165"/>
  <c r="K33" i="165"/>
  <c r="I30" i="165"/>
  <c r="K30" i="165"/>
  <c r="F29" i="165"/>
  <c r="I29" i="165"/>
  <c r="I28" i="165"/>
  <c r="K28" i="165"/>
  <c r="I90" i="161"/>
  <c r="I91" i="161"/>
  <c r="K29" i="165"/>
  <c r="I270" i="165"/>
  <c r="F269" i="165"/>
  <c r="I269" i="165"/>
  <c r="I268" i="165"/>
  <c r="H262" i="165"/>
  <c r="G262" i="165"/>
  <c r="F262" i="165"/>
  <c r="H261" i="165"/>
  <c r="F261" i="165"/>
  <c r="H260" i="165"/>
  <c r="F260" i="165"/>
  <c r="F254" i="165"/>
  <c r="I254" i="165"/>
  <c r="K254" i="165"/>
  <c r="H253" i="165"/>
  <c r="G253" i="165"/>
  <c r="F253" i="165"/>
  <c r="H252" i="165"/>
  <c r="I252" i="165"/>
  <c r="G252" i="165"/>
  <c r="F245" i="165"/>
  <c r="I245" i="165"/>
  <c r="I244" i="165"/>
  <c r="I243" i="165"/>
  <c r="F242" i="165"/>
  <c r="I242" i="165"/>
  <c r="G241" i="165"/>
  <c r="F241" i="165"/>
  <c r="F240" i="165"/>
  <c r="F239" i="165"/>
  <c r="F232" i="165"/>
  <c r="I232" i="165"/>
  <c r="I231" i="165"/>
  <c r="H226" i="165"/>
  <c r="G226" i="165"/>
  <c r="F226" i="165"/>
  <c r="H225" i="165"/>
  <c r="G225" i="165"/>
  <c r="H220" i="165"/>
  <c r="G220" i="165"/>
  <c r="F220" i="165"/>
  <c r="H219" i="165"/>
  <c r="F219" i="165"/>
  <c r="H218" i="165"/>
  <c r="F218" i="165"/>
  <c r="H192" i="165"/>
  <c r="F192" i="165"/>
  <c r="H191" i="165"/>
  <c r="F191" i="165"/>
  <c r="F187" i="165"/>
  <c r="K184" i="165"/>
  <c r="F182" i="165"/>
  <c r="F181" i="165"/>
  <c r="I181" i="165"/>
  <c r="H176" i="165"/>
  <c r="F175" i="165"/>
  <c r="F174" i="165"/>
  <c r="H170" i="165"/>
  <c r="F170" i="165"/>
  <c r="H169" i="165"/>
  <c r="H167" i="165"/>
  <c r="G167" i="165"/>
  <c r="F167" i="165"/>
  <c r="H166" i="165"/>
  <c r="F166" i="165"/>
  <c r="H165" i="165"/>
  <c r="F165" i="165"/>
  <c r="H158" i="165"/>
  <c r="H157" i="165"/>
  <c r="I156" i="165"/>
  <c r="K156" i="165"/>
  <c r="F155" i="165"/>
  <c r="I155" i="165"/>
  <c r="H154" i="165"/>
  <c r="G154" i="165"/>
  <c r="F154" i="165"/>
  <c r="H153" i="165"/>
  <c r="F153" i="165"/>
  <c r="H152" i="165"/>
  <c r="F152" i="165"/>
  <c r="H145" i="165"/>
  <c r="I145" i="165"/>
  <c r="F144" i="165"/>
  <c r="F143" i="165"/>
  <c r="F135" i="165"/>
  <c r="F134" i="165"/>
  <c r="I134" i="165"/>
  <c r="H129" i="165"/>
  <c r="H128" i="165"/>
  <c r="H127" i="165"/>
  <c r="F127" i="165"/>
  <c r="H126" i="165"/>
  <c r="I125" i="165"/>
  <c r="I117" i="165"/>
  <c r="K117" i="165"/>
  <c r="G117" i="165"/>
  <c r="H116" i="165"/>
  <c r="F116" i="165"/>
  <c r="H115" i="165"/>
  <c r="F115" i="165"/>
  <c r="F108" i="165"/>
  <c r="F107" i="165"/>
  <c r="F103" i="165"/>
  <c r="H100" i="165"/>
  <c r="I100" i="165"/>
  <c r="K100" i="165"/>
  <c r="G100" i="165"/>
  <c r="H99" i="165"/>
  <c r="F99" i="165"/>
  <c r="F98" i="165"/>
  <c r="K93" i="165"/>
  <c r="F91" i="165"/>
  <c r="F90" i="165"/>
  <c r="C89" i="165"/>
  <c r="H86" i="165"/>
  <c r="F86" i="165"/>
  <c r="H85" i="165"/>
  <c r="I83" i="165"/>
  <c r="H71" i="165"/>
  <c r="F71" i="165"/>
  <c r="H70" i="165"/>
  <c r="G68" i="165"/>
  <c r="F67" i="165"/>
  <c r="I67" i="165" s="1"/>
  <c r="F66" i="165"/>
  <c r="I66" i="165" s="1"/>
  <c r="F26" i="165"/>
  <c r="I26" i="165"/>
  <c r="K26" i="165"/>
  <c r="H25" i="165"/>
  <c r="I25" i="165"/>
  <c r="G25" i="165"/>
  <c r="H24" i="165"/>
  <c r="I24" i="165"/>
  <c r="G24" i="165"/>
  <c r="H23" i="165"/>
  <c r="F23" i="165"/>
  <c r="H22" i="165"/>
  <c r="J276" i="165"/>
  <c r="O16" i="165"/>
  <c r="S14" i="165"/>
  <c r="U279" i="165"/>
  <c r="P14" i="165"/>
  <c r="R279" i="165"/>
  <c r="M14" i="165"/>
  <c r="O279" i="165"/>
  <c r="J14" i="165"/>
  <c r="L279" i="165"/>
  <c r="D10" i="165"/>
  <c r="D9" i="165"/>
  <c r="D8" i="165"/>
  <c r="D7" i="165"/>
  <c r="D6" i="165"/>
  <c r="N252" i="165"/>
  <c r="N55" i="165"/>
  <c r="N53" i="165"/>
  <c r="N229" i="165"/>
  <c r="N118" i="165"/>
  <c r="N119" i="165"/>
  <c r="N75" i="165"/>
  <c r="N76" i="165"/>
  <c r="N54" i="165"/>
  <c r="N58" i="165"/>
  <c r="N40" i="165"/>
  <c r="N59" i="165"/>
  <c r="N38" i="165"/>
  <c r="N39" i="165"/>
  <c r="N44" i="165"/>
  <c r="N43" i="165"/>
  <c r="N51" i="165"/>
  <c r="V51" i="165"/>
  <c r="H227" i="165"/>
  <c r="I227" i="165"/>
  <c r="I225" i="165"/>
  <c r="K225" i="165"/>
  <c r="H228" i="165"/>
  <c r="I228" i="165"/>
  <c r="K228" i="165"/>
  <c r="N83" i="165"/>
  <c r="O81" i="165"/>
  <c r="K91" i="161"/>
  <c r="N68" i="165"/>
  <c r="I170" i="165"/>
  <c r="N170" i="165"/>
  <c r="K134" i="165"/>
  <c r="N134" i="165"/>
  <c r="I90" i="165"/>
  <c r="K90" i="165"/>
  <c r="I246" i="165"/>
  <c r="I240" i="165"/>
  <c r="K240" i="165"/>
  <c r="I127" i="165"/>
  <c r="K127" i="165"/>
  <c r="I167" i="165"/>
  <c r="K167" i="165"/>
  <c r="I152" i="165"/>
  <c r="I157" i="165"/>
  <c r="K157" i="165"/>
  <c r="I174" i="165"/>
  <c r="K174" i="165"/>
  <c r="I192" i="165"/>
  <c r="I135" i="165"/>
  <c r="N135" i="165"/>
  <c r="I187" i="165"/>
  <c r="I220" i="165"/>
  <c r="K220" i="165"/>
  <c r="I126" i="165"/>
  <c r="K126" i="165"/>
  <c r="I70" i="165"/>
  <c r="I86" i="165"/>
  <c r="N86" i="165"/>
  <c r="I182" i="165"/>
  <c r="K182" i="165"/>
  <c r="I191" i="165"/>
  <c r="N136" i="165"/>
  <c r="I171" i="165"/>
  <c r="K171" i="165"/>
  <c r="I128" i="165"/>
  <c r="K128" i="165"/>
  <c r="I241" i="165"/>
  <c r="N241" i="165"/>
  <c r="I91" i="165"/>
  <c r="K91" i="165"/>
  <c r="I23" i="165"/>
  <c r="N23" i="165"/>
  <c r="I103" i="165"/>
  <c r="N30" i="165"/>
  <c r="N28" i="165"/>
  <c r="N34" i="165"/>
  <c r="N33" i="165"/>
  <c r="N29" i="165"/>
  <c r="I71" i="165"/>
  <c r="N71" i="165"/>
  <c r="I158" i="165"/>
  <c r="K158" i="165"/>
  <c r="I175" i="165"/>
  <c r="K175" i="165"/>
  <c r="I186" i="165"/>
  <c r="I218" i="165"/>
  <c r="R16" i="165"/>
  <c r="N93" i="165"/>
  <c r="N24" i="165"/>
  <c r="I72" i="165"/>
  <c r="K72" i="165"/>
  <c r="I104" i="165"/>
  <c r="I169" i="165"/>
  <c r="K169" i="165"/>
  <c r="I219" i="165"/>
  <c r="K219" i="165"/>
  <c r="I98" i="165"/>
  <c r="I115" i="165"/>
  <c r="I99" i="165"/>
  <c r="I116" i="165"/>
  <c r="K116" i="165"/>
  <c r="I154" i="165"/>
  <c r="N154" i="165"/>
  <c r="I165" i="165"/>
  <c r="I188" i="165"/>
  <c r="I260" i="165"/>
  <c r="I239" i="165"/>
  <c r="I107" i="165"/>
  <c r="I166" i="165"/>
  <c r="I261" i="165"/>
  <c r="I22" i="165"/>
  <c r="N22" i="165"/>
  <c r="I108" i="165"/>
  <c r="I144" i="165"/>
  <c r="K144" i="165"/>
  <c r="I226" i="165"/>
  <c r="N226" i="165" s="1"/>
  <c r="K226" i="165"/>
  <c r="I87" i="165"/>
  <c r="N87" i="165"/>
  <c r="N26" i="165"/>
  <c r="I253" i="165"/>
  <c r="I143" i="165"/>
  <c r="N67" i="165"/>
  <c r="K25" i="165"/>
  <c r="N155" i="165"/>
  <c r="H159" i="165"/>
  <c r="I159" i="165"/>
  <c r="K155" i="165"/>
  <c r="N231" i="165"/>
  <c r="N100" i="165"/>
  <c r="H193" i="165"/>
  <c r="K24" i="165"/>
  <c r="N232" i="165"/>
  <c r="N156" i="165"/>
  <c r="I85" i="165"/>
  <c r="N145" i="165"/>
  <c r="K252" i="165"/>
  <c r="I153" i="165"/>
  <c r="N254" i="165"/>
  <c r="N125" i="165"/>
  <c r="K125" i="165"/>
  <c r="N117" i="165"/>
  <c r="N242" i="165"/>
  <c r="K242" i="165"/>
  <c r="K145" i="165"/>
  <c r="N184" i="165"/>
  <c r="I233" i="165"/>
  <c r="D234" i="165"/>
  <c r="I262" i="165"/>
  <c r="G121" i="165"/>
  <c r="Q229" i="165"/>
  <c r="V229" i="165"/>
  <c r="G221" i="165"/>
  <c r="K253" i="165"/>
  <c r="L250" i="165"/>
  <c r="G256" i="165"/>
  <c r="Q183" i="165"/>
  <c r="Q119" i="165"/>
  <c r="G147" i="165"/>
  <c r="G138" i="165"/>
  <c r="N126" i="165"/>
  <c r="Q118" i="165"/>
  <c r="K99" i="165"/>
  <c r="Q245" i="165"/>
  <c r="Q75" i="165"/>
  <c r="Q76" i="165"/>
  <c r="N240" i="165"/>
  <c r="K170" i="165"/>
  <c r="N228" i="165"/>
  <c r="N90" i="165"/>
  <c r="N225" i="165"/>
  <c r="O132" i="165"/>
  <c r="K98" i="161"/>
  <c r="K239" i="165"/>
  <c r="N152" i="165"/>
  <c r="N260" i="165"/>
  <c r="N98" i="165"/>
  <c r="K22" i="165"/>
  <c r="N165" i="165"/>
  <c r="K115" i="165"/>
  <c r="L113" i="165"/>
  <c r="I93" i="161"/>
  <c r="K218" i="165"/>
  <c r="L216" i="165"/>
  <c r="I107" i="161"/>
  <c r="K152" i="165"/>
  <c r="I97" i="161"/>
  <c r="K227" i="165"/>
  <c r="L223" i="165"/>
  <c r="I108" i="161"/>
  <c r="Q227" i="165"/>
  <c r="N227" i="165"/>
  <c r="Q244" i="165"/>
  <c r="K68" i="165"/>
  <c r="Q25" i="165"/>
  <c r="Q246" i="165"/>
  <c r="N181" i="165"/>
  <c r="Q181" i="165"/>
  <c r="N70" i="165"/>
  <c r="N128" i="165"/>
  <c r="N157" i="165"/>
  <c r="N218" i="165"/>
  <c r="K241" i="165"/>
  <c r="N219" i="165"/>
  <c r="N174" i="165"/>
  <c r="N175" i="165"/>
  <c r="K154" i="165"/>
  <c r="N220" i="165"/>
  <c r="N167" i="165"/>
  <c r="N182" i="165"/>
  <c r="K86" i="165"/>
  <c r="N127" i="165"/>
  <c r="K70" i="165"/>
  <c r="Q254" i="165"/>
  <c r="Q166" i="165"/>
  <c r="Q192" i="165"/>
  <c r="Q187" i="165"/>
  <c r="K135" i="165"/>
  <c r="Q186" i="165"/>
  <c r="N171" i="165"/>
  <c r="Q116" i="165"/>
  <c r="N91" i="165"/>
  <c r="Q220" i="165"/>
  <c r="K136" i="165"/>
  <c r="N116" i="165"/>
  <c r="Q171" i="165"/>
  <c r="Q240" i="165"/>
  <c r="Q261" i="165"/>
  <c r="Q126" i="165"/>
  <c r="Q26" i="165"/>
  <c r="K98" i="165"/>
  <c r="N99" i="165"/>
  <c r="N169" i="165"/>
  <c r="K166" i="165"/>
  <c r="N115" i="165"/>
  <c r="K260" i="165"/>
  <c r="K165" i="165"/>
  <c r="N158" i="165"/>
  <c r="N72" i="165"/>
  <c r="N144" i="165"/>
  <c r="Q23" i="165"/>
  <c r="K23" i="165"/>
  <c r="Q175" i="165"/>
  <c r="K71" i="165"/>
  <c r="N166" i="165"/>
  <c r="Q191" i="165"/>
  <c r="Q86" i="165"/>
  <c r="Q83" i="165"/>
  <c r="R81" i="165"/>
  <c r="M91" i="161"/>
  <c r="Q68" i="165"/>
  <c r="Q188" i="165"/>
  <c r="Q143" i="165"/>
  <c r="Q157" i="165"/>
  <c r="Q99" i="165"/>
  <c r="Q115" i="165"/>
  <c r="Q156" i="165"/>
  <c r="Q232" i="165"/>
  <c r="Q158" i="165"/>
  <c r="Q71" i="165"/>
  <c r="Q135" i="165"/>
  <c r="Q155" i="165"/>
  <c r="Q117" i="165"/>
  <c r="N239" i="165"/>
  <c r="Q145" i="165"/>
  <c r="Q136" i="165"/>
  <c r="Q24" i="165"/>
  <c r="Q231" i="165"/>
  <c r="Q152" i="165"/>
  <c r="Q128" i="165"/>
  <c r="Q90" i="165"/>
  <c r="Q174" i="165"/>
  <c r="Q169" i="165"/>
  <c r="Q260" i="165"/>
  <c r="Q22" i="165"/>
  <c r="Q100" i="165"/>
  <c r="Q91" i="165"/>
  <c r="R49" i="165"/>
  <c r="M89" i="161"/>
  <c r="Q165" i="165"/>
  <c r="Q125" i="165"/>
  <c r="Q154" i="165"/>
  <c r="Q252" i="165"/>
  <c r="Q226" i="165"/>
  <c r="Q219" i="165"/>
  <c r="Q225" i="165"/>
  <c r="Q167" i="165"/>
  <c r="Q239" i="165"/>
  <c r="K261" i="165"/>
  <c r="Q170" i="165"/>
  <c r="Q241" i="165"/>
  <c r="Q182" i="165"/>
  <c r="U16" i="165"/>
  <c r="T109" i="165"/>
  <c r="Q93" i="165"/>
  <c r="Q98" i="165"/>
  <c r="Q70" i="165"/>
  <c r="N261" i="165"/>
  <c r="Q127" i="165"/>
  <c r="Q72" i="165"/>
  <c r="Q218" i="165"/>
  <c r="Q144" i="165"/>
  <c r="Q228" i="165"/>
  <c r="Q253" i="165"/>
  <c r="K181" i="165"/>
  <c r="L179" i="165"/>
  <c r="Q134" i="165"/>
  <c r="K87" i="165"/>
  <c r="N143" i="165"/>
  <c r="N253" i="165"/>
  <c r="O250" i="165"/>
  <c r="K110" i="161"/>
  <c r="Q87" i="165"/>
  <c r="K143" i="165"/>
  <c r="L141" i="165"/>
  <c r="I99" i="161"/>
  <c r="Q67" i="165"/>
  <c r="K67" i="165"/>
  <c r="Q66" i="165"/>
  <c r="N66" i="165"/>
  <c r="K66" i="165"/>
  <c r="Q262" i="165"/>
  <c r="N262" i="165"/>
  <c r="K262" i="165"/>
  <c r="Q153" i="165"/>
  <c r="N153" i="165"/>
  <c r="K153" i="165"/>
  <c r="Q85" i="165"/>
  <c r="N85" i="165"/>
  <c r="K85" i="165"/>
  <c r="H160" i="165"/>
  <c r="N233" i="165"/>
  <c r="Q233" i="165"/>
  <c r="Q159" i="165"/>
  <c r="N159" i="165"/>
  <c r="K159" i="165"/>
  <c r="I102" i="161"/>
  <c r="O49" i="165"/>
  <c r="K89" i="161"/>
  <c r="I110" i="161"/>
  <c r="O64" i="165"/>
  <c r="K90" i="161"/>
  <c r="T202" i="165"/>
  <c r="V202" i="165"/>
  <c r="T265" i="165"/>
  <c r="T264" i="165"/>
  <c r="T268" i="165"/>
  <c r="T269" i="165"/>
  <c r="T270" i="165"/>
  <c r="O223" i="165"/>
  <c r="K108" i="161"/>
  <c r="R223" i="165"/>
  <c r="M108" i="161"/>
  <c r="O237" i="165"/>
  <c r="K109" i="161"/>
  <c r="O216" i="165"/>
  <c r="K107" i="161"/>
  <c r="T201" i="165"/>
  <c r="V201" i="165"/>
  <c r="T205" i="165"/>
  <c r="T206" i="165"/>
  <c r="T210" i="165"/>
  <c r="T198" i="165"/>
  <c r="T204" i="165"/>
  <c r="T209" i="165"/>
  <c r="T200" i="165"/>
  <c r="V200" i="165"/>
  <c r="T199" i="165"/>
  <c r="V199" i="165"/>
  <c r="T99" i="165"/>
  <c r="V99" i="165"/>
  <c r="T183" i="165"/>
  <c r="V183" i="165"/>
  <c r="T119" i="165"/>
  <c r="V119" i="165"/>
  <c r="T98" i="165"/>
  <c r="V98" i="165"/>
  <c r="T102" i="165"/>
  <c r="T118" i="165"/>
  <c r="V118" i="165"/>
  <c r="T100" i="165"/>
  <c r="V100" i="165"/>
  <c r="L96" i="165"/>
  <c r="I92" i="161"/>
  <c r="R113" i="165"/>
  <c r="M93" i="161"/>
  <c r="T75" i="165"/>
  <c r="T76" i="165"/>
  <c r="R64" i="165"/>
  <c r="M90" i="161"/>
  <c r="O141" i="165"/>
  <c r="K99" i="161"/>
  <c r="O150" i="165"/>
  <c r="K100" i="161"/>
  <c r="R163" i="165"/>
  <c r="M101" i="161"/>
  <c r="L237" i="165"/>
  <c r="I109" i="161"/>
  <c r="O96" i="165"/>
  <c r="K92" i="161"/>
  <c r="T159" i="165"/>
  <c r="R141" i="165"/>
  <c r="M99" i="161"/>
  <c r="T136" i="165"/>
  <c r="V136" i="165"/>
  <c r="T165" i="165"/>
  <c r="V165" i="165"/>
  <c r="M97" i="161"/>
  <c r="R20" i="165"/>
  <c r="M88" i="161"/>
  <c r="T227" i="165"/>
  <c r="V227" i="165"/>
  <c r="T108" i="165"/>
  <c r="R250" i="165"/>
  <c r="M110" i="161"/>
  <c r="R258" i="165"/>
  <c r="M111" i="161"/>
  <c r="O179" i="165"/>
  <c r="T103" i="165"/>
  <c r="R132" i="165"/>
  <c r="M98" i="161"/>
  <c r="O113" i="165"/>
  <c r="K93" i="161"/>
  <c r="T104" i="165"/>
  <c r="R150" i="165"/>
  <c r="M100" i="161"/>
  <c r="K97" i="161"/>
  <c r="T107" i="165"/>
  <c r="T175" i="165"/>
  <c r="T184" i="165"/>
  <c r="T262" i="165"/>
  <c r="V262" i="165"/>
  <c r="T155" i="165"/>
  <c r="V155" i="165"/>
  <c r="T152" i="165"/>
  <c r="T67" i="165"/>
  <c r="V67" i="165"/>
  <c r="T153" i="165"/>
  <c r="V153" i="165"/>
  <c r="T68" i="165"/>
  <c r="V68" i="165"/>
  <c r="T66" i="165"/>
  <c r="T87" i="165"/>
  <c r="T143" i="165"/>
  <c r="V143" i="165"/>
  <c r="T117" i="165"/>
  <c r="T134" i="165"/>
  <c r="V134" i="165"/>
  <c r="T86" i="165"/>
  <c r="T174" i="165"/>
  <c r="T144" i="165"/>
  <c r="V144" i="165"/>
  <c r="T166" i="165"/>
  <c r="V166" i="165"/>
  <c r="T156" i="165"/>
  <c r="V156" i="165"/>
  <c r="L150" i="165"/>
  <c r="I100" i="161"/>
  <c r="O163" i="165"/>
  <c r="T254" i="165"/>
  <c r="V254" i="165"/>
  <c r="T261" i="165"/>
  <c r="V261" i="165"/>
  <c r="T135" i="165"/>
  <c r="V135" i="165"/>
  <c r="T85" i="165"/>
  <c r="T181" i="165"/>
  <c r="T186" i="165"/>
  <c r="T253" i="165"/>
  <c r="V253" i="165"/>
  <c r="T158" i="165"/>
  <c r="T241" i="165"/>
  <c r="V241" i="165"/>
  <c r="T228" i="165"/>
  <c r="V228" i="165"/>
  <c r="T188" i="165"/>
  <c r="T23" i="165"/>
  <c r="V23" i="165"/>
  <c r="T91" i="165"/>
  <c r="T83" i="165"/>
  <c r="V83" i="165"/>
  <c r="L132" i="165"/>
  <c r="I98" i="161"/>
  <c r="L163" i="165"/>
  <c r="I101" i="161"/>
  <c r="L258" i="165"/>
  <c r="O258" i="165"/>
  <c r="K111" i="161"/>
  <c r="R96" i="165"/>
  <c r="M92" i="161"/>
  <c r="T239" i="165"/>
  <c r="T127" i="165"/>
  <c r="T70" i="165"/>
  <c r="T24" i="165"/>
  <c r="V24" i="165"/>
  <c r="T125" i="165"/>
  <c r="V125" i="165"/>
  <c r="T240" i="165"/>
  <c r="V240" i="165"/>
  <c r="T170" i="165"/>
  <c r="T187" i="165"/>
  <c r="T157" i="165"/>
  <c r="T225" i="165"/>
  <c r="V225" i="165"/>
  <c r="T219" i="165"/>
  <c r="V219" i="165"/>
  <c r="T182" i="165"/>
  <c r="V182" i="165"/>
  <c r="T252" i="165"/>
  <c r="V252" i="165"/>
  <c r="T154" i="165"/>
  <c r="V154" i="165"/>
  <c r="T220" i="165"/>
  <c r="V220" i="165"/>
  <c r="T71" i="165"/>
  <c r="T192" i="165"/>
  <c r="T191" i="165"/>
  <c r="T26" i="165"/>
  <c r="V26" i="165"/>
  <c r="T90" i="165"/>
  <c r="T226" i="165"/>
  <c r="V226" i="165"/>
  <c r="T115" i="165"/>
  <c r="V115" i="165"/>
  <c r="T167" i="165"/>
  <c r="V167" i="165"/>
  <c r="T116" i="165"/>
  <c r="V116" i="165"/>
  <c r="T171" i="165"/>
  <c r="T169" i="165"/>
  <c r="T126" i="165"/>
  <c r="T145" i="165"/>
  <c r="V145" i="165"/>
  <c r="T242" i="165"/>
  <c r="T260" i="165"/>
  <c r="T72" i="165"/>
  <c r="T22" i="165"/>
  <c r="T218" i="165"/>
  <c r="V218" i="165"/>
  <c r="T128" i="165"/>
  <c r="T25" i="165"/>
  <c r="V25" i="165"/>
  <c r="L64" i="165"/>
  <c r="M94" i="161"/>
  <c r="K112" i="161"/>
  <c r="I111" i="161"/>
  <c r="L101" i="161"/>
  <c r="K101" i="161"/>
  <c r="V260" i="165"/>
  <c r="U258" i="165"/>
  <c r="O111" i="161"/>
  <c r="L102" i="161"/>
  <c r="K102" i="161"/>
  <c r="V239" i="165"/>
  <c r="U237" i="165"/>
  <c r="U196" i="165"/>
  <c r="V198" i="165"/>
  <c r="V117" i="165"/>
  <c r="U113" i="165"/>
  <c r="V66" i="165"/>
  <c r="U64" i="165"/>
  <c r="O90" i="161"/>
  <c r="P90" i="161"/>
  <c r="U163" i="165"/>
  <c r="U49" i="165"/>
  <c r="O89" i="161"/>
  <c r="U150" i="165"/>
  <c r="V152" i="165"/>
  <c r="U179" i="165"/>
  <c r="V181" i="165"/>
  <c r="U20" i="165"/>
  <c r="O88" i="161"/>
  <c r="V22" i="165"/>
  <c r="U250" i="165"/>
  <c r="U96" i="165"/>
  <c r="U141" i="165"/>
  <c r="U81" i="165"/>
  <c r="U132" i="165"/>
  <c r="U223" i="165"/>
  <c r="U216" i="165"/>
  <c r="K104" i="161"/>
  <c r="P111" i="161"/>
  <c r="V81" i="165"/>
  <c r="O91" i="161"/>
  <c r="V258" i="165"/>
  <c r="V163" i="165"/>
  <c r="O101" i="161"/>
  <c r="P101" i="161"/>
  <c r="O110" i="161"/>
  <c r="P110" i="161"/>
  <c r="V250" i="165"/>
  <c r="V64" i="165"/>
  <c r="V96" i="165"/>
  <c r="O92" i="161"/>
  <c r="P92" i="161"/>
  <c r="V113" i="165"/>
  <c r="O93" i="161"/>
  <c r="P93" i="161"/>
  <c r="V216" i="165"/>
  <c r="O107" i="161"/>
  <c r="P107" i="161"/>
  <c r="V196" i="165"/>
  <c r="O103" i="161"/>
  <c r="P103" i="161"/>
  <c r="V132" i="165"/>
  <c r="O98" i="161"/>
  <c r="P98" i="161"/>
  <c r="O109" i="161"/>
  <c r="V141" i="165"/>
  <c r="O99" i="161"/>
  <c r="P99" i="161"/>
  <c r="O102" i="161"/>
  <c r="V223" i="165"/>
  <c r="O108" i="161"/>
  <c r="P108" i="161"/>
  <c r="V150" i="165"/>
  <c r="O100" i="161"/>
  <c r="P100" i="161"/>
  <c r="V124" i="165"/>
  <c r="O97" i="161"/>
  <c r="O104" i="161"/>
  <c r="P91" i="161"/>
  <c r="O94" i="161"/>
  <c r="O24" i="161"/>
  <c r="M24" i="161"/>
  <c r="O25" i="161"/>
  <c r="M25" i="161"/>
  <c r="P25" i="161"/>
  <c r="I55" i="161"/>
  <c r="P24" i="161"/>
  <c r="K31" i="161"/>
  <c r="O31" i="161"/>
  <c r="M31" i="161"/>
  <c r="I31" i="161"/>
  <c r="P31" i="161"/>
  <c r="H57" i="161"/>
  <c r="J129" i="161"/>
  <c r="K129" i="161"/>
  <c r="O48" i="161"/>
  <c r="M48" i="161"/>
  <c r="K48" i="161"/>
  <c r="I48" i="161"/>
  <c r="P48" i="161"/>
  <c r="H46" i="161"/>
  <c r="M46" i="161"/>
  <c r="O47" i="161"/>
  <c r="M47" i="161"/>
  <c r="K47" i="161"/>
  <c r="I47" i="161"/>
  <c r="P47" i="161"/>
  <c r="O45" i="161"/>
  <c r="M45" i="161"/>
  <c r="K45" i="161"/>
  <c r="I45" i="161"/>
  <c r="P45" i="161"/>
  <c r="I19" i="161"/>
  <c r="P19" i="161"/>
  <c r="R48" i="161"/>
  <c r="R47" i="161"/>
  <c r="R45" i="161"/>
  <c r="K46" i="161"/>
  <c r="O46" i="161"/>
  <c r="I46" i="161"/>
  <c r="P46" i="161"/>
  <c r="H22" i="161"/>
  <c r="H21" i="161"/>
  <c r="Q112" i="161"/>
  <c r="R105" i="161"/>
  <c r="K21" i="161"/>
  <c r="M21" i="161"/>
  <c r="O21" i="161"/>
  <c r="M22" i="161"/>
  <c r="O22" i="161"/>
  <c r="K22" i="161"/>
  <c r="I22" i="161"/>
  <c r="P22" i="161"/>
  <c r="R46" i="161"/>
  <c r="H42" i="161"/>
  <c r="R63" i="161"/>
  <c r="O16" i="161"/>
  <c r="M16" i="161"/>
  <c r="K20" i="161"/>
  <c r="O20" i="161"/>
  <c r="M20" i="161"/>
  <c r="K18" i="161"/>
  <c r="K26" i="161"/>
  <c r="O18" i="161"/>
  <c r="M18" i="161"/>
  <c r="M30" i="161"/>
  <c r="M33" i="161"/>
  <c r="K30" i="161"/>
  <c r="K33" i="161"/>
  <c r="O30" i="161"/>
  <c r="O33" i="161"/>
  <c r="M26" i="161"/>
  <c r="O26" i="161"/>
  <c r="O43" i="161"/>
  <c r="O42" i="161"/>
  <c r="O41" i="161"/>
  <c r="O37" i="161"/>
  <c r="O38" i="161"/>
  <c r="O39" i="161"/>
  <c r="O36" i="161"/>
  <c r="M36" i="161"/>
  <c r="M43" i="161"/>
  <c r="M42" i="161"/>
  <c r="M41" i="161"/>
  <c r="P41" i="161"/>
  <c r="M39" i="161"/>
  <c r="M38" i="161"/>
  <c r="M37" i="161"/>
  <c r="K43" i="161"/>
  <c r="K42" i="161"/>
  <c r="K37" i="161"/>
  <c r="K38" i="161"/>
  <c r="K39" i="161"/>
  <c r="O58" i="161"/>
  <c r="M58" i="161"/>
  <c r="O83" i="161"/>
  <c r="O74" i="161"/>
  <c r="O75" i="161"/>
  <c r="O76" i="161"/>
  <c r="O77" i="161"/>
  <c r="O78" i="161"/>
  <c r="O80" i="161"/>
  <c r="O81" i="161"/>
  <c r="O73" i="161"/>
  <c r="O85" i="161"/>
  <c r="M73" i="161"/>
  <c r="M83" i="161"/>
  <c r="M74" i="161"/>
  <c r="M75" i="161"/>
  <c r="M76" i="161"/>
  <c r="M77" i="161"/>
  <c r="M78" i="161"/>
  <c r="M80" i="161"/>
  <c r="M81" i="161"/>
  <c r="K73" i="161"/>
  <c r="K83" i="161"/>
  <c r="K74" i="161"/>
  <c r="K75" i="161"/>
  <c r="K76" i="161"/>
  <c r="K77" i="161"/>
  <c r="K78" i="161"/>
  <c r="K80" i="161"/>
  <c r="K81" i="161"/>
  <c r="N130" i="161"/>
  <c r="O130" i="161"/>
  <c r="N129" i="161"/>
  <c r="O129" i="161"/>
  <c r="L130" i="161"/>
  <c r="M130" i="161"/>
  <c r="L129" i="161"/>
  <c r="M129" i="161"/>
  <c r="J130" i="161"/>
  <c r="K130" i="161"/>
  <c r="I129" i="161"/>
  <c r="P129" i="161"/>
  <c r="O134" i="161"/>
  <c r="O125" i="161"/>
  <c r="O126" i="161"/>
  <c r="O127" i="161"/>
  <c r="O122" i="161"/>
  <c r="O121" i="161"/>
  <c r="O120" i="161"/>
  <c r="O118" i="161"/>
  <c r="O117" i="161"/>
  <c r="O115" i="161"/>
  <c r="M115" i="161"/>
  <c r="M137" i="161"/>
  <c r="M136" i="161"/>
  <c r="M134" i="161"/>
  <c r="M133" i="161"/>
  <c r="M127" i="161"/>
  <c r="M126" i="161"/>
  <c r="M125" i="161"/>
  <c r="M121" i="161"/>
  <c r="M122" i="161"/>
  <c r="M120" i="161"/>
  <c r="M118" i="161"/>
  <c r="M117" i="161"/>
  <c r="K115" i="161"/>
  <c r="P115" i="161"/>
  <c r="K137" i="161"/>
  <c r="K136" i="161"/>
  <c r="K134" i="161"/>
  <c r="K133" i="161"/>
  <c r="K127" i="161"/>
  <c r="K126" i="161"/>
  <c r="K125" i="161"/>
  <c r="K121" i="161"/>
  <c r="K122" i="161"/>
  <c r="K120" i="161"/>
  <c r="K118" i="161"/>
  <c r="K117" i="161"/>
  <c r="Q138" i="161"/>
  <c r="O133" i="161"/>
  <c r="O137" i="161"/>
  <c r="P133" i="161"/>
  <c r="K85" i="161"/>
  <c r="M85" i="161"/>
  <c r="M138" i="161"/>
  <c r="K138" i="161"/>
  <c r="P134" i="161"/>
  <c r="R133" i="161"/>
  <c r="R134" i="161"/>
  <c r="I118" i="161"/>
  <c r="P118" i="161"/>
  <c r="I117" i="161"/>
  <c r="P117" i="161"/>
  <c r="I120" i="161"/>
  <c r="P120" i="161"/>
  <c r="I121" i="161"/>
  <c r="P121" i="161"/>
  <c r="I122" i="161"/>
  <c r="P122" i="161"/>
  <c r="I126" i="161"/>
  <c r="P126" i="161"/>
  <c r="I127" i="161"/>
  <c r="P127" i="161"/>
  <c r="I130" i="161"/>
  <c r="P130" i="161"/>
  <c r="P125" i="161"/>
  <c r="R126" i="161"/>
  <c r="R117" i="161"/>
  <c r="R131" i="161"/>
  <c r="R129" i="161"/>
  <c r="R118" i="161"/>
  <c r="R127" i="161"/>
  <c r="R122" i="161"/>
  <c r="R115" i="161"/>
  <c r="R121" i="161"/>
  <c r="R125" i="161"/>
  <c r="R120" i="161"/>
  <c r="R130" i="161"/>
  <c r="E68" i="8"/>
  <c r="D91" i="8"/>
  <c r="F271" i="165"/>
  <c r="E67" i="8"/>
  <c r="E66" i="8"/>
  <c r="D66" i="8"/>
  <c r="F211" i="165"/>
  <c r="I211" i="165"/>
  <c r="T211" i="165"/>
  <c r="F266" i="165"/>
  <c r="I266" i="165"/>
  <c r="F207" i="165"/>
  <c r="I207" i="165"/>
  <c r="F56" i="165"/>
  <c r="I56" i="165"/>
  <c r="F45" i="165"/>
  <c r="I45" i="165"/>
  <c r="F77" i="165"/>
  <c r="I77" i="165"/>
  <c r="F41" i="165"/>
  <c r="I41" i="165"/>
  <c r="F60" i="165"/>
  <c r="I60" i="165"/>
  <c r="F31" i="165"/>
  <c r="I31" i="165"/>
  <c r="F35" i="165"/>
  <c r="I35" i="165"/>
  <c r="I271" i="165"/>
  <c r="T271" i="165"/>
  <c r="F110" i="165"/>
  <c r="I110" i="165"/>
  <c r="T110" i="165"/>
  <c r="F160" i="165"/>
  <c r="I160" i="165"/>
  <c r="F189" i="165"/>
  <c r="I189" i="165"/>
  <c r="F172" i="165"/>
  <c r="I172" i="165"/>
  <c r="F105" i="165"/>
  <c r="I105" i="165"/>
  <c r="F234" i="165"/>
  <c r="I234" i="165"/>
  <c r="F73" i="165"/>
  <c r="I73" i="165"/>
  <c r="F92" i="165"/>
  <c r="I92" i="165"/>
  <c r="F88" i="165"/>
  <c r="I88" i="165"/>
  <c r="F193" i="165"/>
  <c r="I193" i="165"/>
  <c r="F247" i="165"/>
  <c r="I247" i="165"/>
  <c r="F176" i="165"/>
  <c r="I176" i="165"/>
  <c r="F129" i="165"/>
  <c r="I129" i="165"/>
  <c r="I21" i="161"/>
  <c r="P21" i="161"/>
  <c r="K11" i="159"/>
  <c r="I11" i="159"/>
  <c r="F11" i="159"/>
  <c r="K10" i="159"/>
  <c r="I10" i="159"/>
  <c r="F10" i="159"/>
  <c r="K9" i="159"/>
  <c r="I9" i="159"/>
  <c r="F9" i="159"/>
  <c r="N9" i="159"/>
  <c r="K73" i="165"/>
  <c r="N73" i="165"/>
  <c r="Q73" i="165"/>
  <c r="T73" i="165"/>
  <c r="Q234" i="165"/>
  <c r="G235" i="165"/>
  <c r="N234" i="165"/>
  <c r="K60" i="165"/>
  <c r="N60" i="165"/>
  <c r="K35" i="165"/>
  <c r="N35" i="165"/>
  <c r="G111" i="165"/>
  <c r="T105" i="165"/>
  <c r="K41" i="165"/>
  <c r="N41" i="165"/>
  <c r="K31" i="165"/>
  <c r="N31" i="165"/>
  <c r="K172" i="165"/>
  <c r="Q172" i="165"/>
  <c r="G177" i="165"/>
  <c r="N172" i="165"/>
  <c r="T172" i="165"/>
  <c r="K77" i="165"/>
  <c r="N77" i="165"/>
  <c r="Q77" i="165"/>
  <c r="T77" i="165"/>
  <c r="G94" i="165"/>
  <c r="T88" i="165"/>
  <c r="N88" i="165"/>
  <c r="Q88" i="165"/>
  <c r="K88" i="165"/>
  <c r="K129" i="165"/>
  <c r="G130" i="165"/>
  <c r="Q129" i="165"/>
  <c r="N129" i="165"/>
  <c r="T129" i="165"/>
  <c r="G194" i="165"/>
  <c r="Q189" i="165"/>
  <c r="T189" i="165"/>
  <c r="K45" i="165"/>
  <c r="N45" i="165"/>
  <c r="N176" i="165"/>
  <c r="Q176" i="165"/>
  <c r="K176" i="165"/>
  <c r="T176" i="165"/>
  <c r="G161" i="165"/>
  <c r="Q160" i="165"/>
  <c r="N160" i="165"/>
  <c r="T160" i="165"/>
  <c r="K160" i="165"/>
  <c r="K56" i="165"/>
  <c r="N56" i="165"/>
  <c r="G213" i="165"/>
  <c r="T207" i="165"/>
  <c r="K92" i="165"/>
  <c r="Q92" i="165"/>
  <c r="N92" i="165"/>
  <c r="T92" i="165"/>
  <c r="G248" i="165"/>
  <c r="Q247" i="165"/>
  <c r="T266" i="165"/>
  <c r="G272" i="165"/>
  <c r="Q193" i="165"/>
  <c r="T193" i="165"/>
  <c r="N10" i="159"/>
  <c r="N11" i="159"/>
  <c r="R21" i="161"/>
  <c r="L280" i="165"/>
  <c r="O280" i="165"/>
  <c r="O281" i="165"/>
  <c r="R280" i="165"/>
  <c r="R281" i="165"/>
  <c r="U280" i="165"/>
  <c r="U281" i="165"/>
  <c r="G47" i="165"/>
  <c r="G62" i="165"/>
  <c r="G79" i="165"/>
  <c r="L49" i="165"/>
  <c r="L20" i="165"/>
  <c r="L276" i="165"/>
  <c r="I49" i="161"/>
  <c r="L281" i="165"/>
  <c r="V281" i="165"/>
  <c r="M49" i="161"/>
  <c r="M51" i="161"/>
  <c r="O49" i="161"/>
  <c r="O51" i="161"/>
  <c r="I88" i="161"/>
  <c r="K49" i="161"/>
  <c r="V49" i="165"/>
  <c r="I89" i="161"/>
  <c r="P89" i="161"/>
  <c r="V280" i="165"/>
  <c r="U276" i="165"/>
  <c r="Q140" i="161"/>
  <c r="I137" i="161"/>
  <c r="P137" i="161"/>
  <c r="R137" i="161"/>
  <c r="O136" i="161"/>
  <c r="O138" i="161"/>
  <c r="I136" i="161"/>
  <c r="I84" i="161"/>
  <c r="P84" i="161"/>
  <c r="I83" i="161"/>
  <c r="P83" i="161"/>
  <c r="I81" i="161"/>
  <c r="P81" i="161"/>
  <c r="I80" i="161"/>
  <c r="P80" i="161"/>
  <c r="I78" i="161"/>
  <c r="P78" i="161"/>
  <c r="I77" i="161"/>
  <c r="P77" i="161"/>
  <c r="I76" i="161"/>
  <c r="P76" i="161"/>
  <c r="I75" i="161"/>
  <c r="I74" i="161"/>
  <c r="P74" i="161"/>
  <c r="I73" i="161"/>
  <c r="Q70" i="161"/>
  <c r="R66" i="161"/>
  <c r="R70" i="161"/>
  <c r="Q60" i="161"/>
  <c r="I58" i="161"/>
  <c r="P58" i="161"/>
  <c r="Q55" i="161"/>
  <c r="B13" i="160"/>
  <c r="O53" i="161"/>
  <c r="O55" i="161"/>
  <c r="E13" i="160"/>
  <c r="M53" i="161"/>
  <c r="M55" i="161"/>
  <c r="D13" i="160"/>
  <c r="K53" i="161"/>
  <c r="K55" i="161"/>
  <c r="C13" i="160"/>
  <c r="Q51" i="161"/>
  <c r="I43" i="161"/>
  <c r="P43" i="161"/>
  <c r="I42" i="161"/>
  <c r="P42" i="161"/>
  <c r="I39" i="161"/>
  <c r="P39" i="161"/>
  <c r="I38" i="161"/>
  <c r="P38" i="161"/>
  <c r="I37" i="161"/>
  <c r="P37" i="161"/>
  <c r="I36" i="161"/>
  <c r="Q33" i="161"/>
  <c r="Q26" i="161"/>
  <c r="I20" i="161"/>
  <c r="P20" i="161"/>
  <c r="I18" i="161"/>
  <c r="P18" i="161"/>
  <c r="I17" i="161"/>
  <c r="P17" i="161"/>
  <c r="I16" i="161"/>
  <c r="I30" i="161"/>
  <c r="F16" i="160"/>
  <c r="P30" i="161"/>
  <c r="P33" i="161"/>
  <c r="I33" i="161"/>
  <c r="P16" i="161"/>
  <c r="P26" i="161"/>
  <c r="R26" i="161"/>
  <c r="I26" i="161"/>
  <c r="P36" i="161"/>
  <c r="I51" i="161"/>
  <c r="P73" i="161"/>
  <c r="I85" i="161"/>
  <c r="P136" i="161"/>
  <c r="P138" i="161"/>
  <c r="I138" i="161"/>
  <c r="P49" i="161"/>
  <c r="P51" i="161"/>
  <c r="R51" i="161"/>
  <c r="K51" i="161"/>
  <c r="R43" i="161"/>
  <c r="R74" i="161"/>
  <c r="R17" i="161"/>
  <c r="R78" i="161"/>
  <c r="Q142" i="161"/>
  <c r="Q146" i="161"/>
  <c r="F13" i="160"/>
  <c r="R38" i="161"/>
  <c r="R79" i="161"/>
  <c r="R82" i="161"/>
  <c r="R19" i="161"/>
  <c r="R42" i="161"/>
  <c r="R84" i="161"/>
  <c r="R18" i="161"/>
  <c r="R20" i="161"/>
  <c r="R41" i="161"/>
  <c r="R81" i="161"/>
  <c r="P53" i="161"/>
  <c r="R76" i="161"/>
  <c r="R83" i="161"/>
  <c r="R39" i="161"/>
  <c r="R58" i="161"/>
  <c r="R80" i="161"/>
  <c r="R37" i="161"/>
  <c r="R22" i="161"/>
  <c r="P75" i="161"/>
  <c r="R75" i="161"/>
  <c r="K36" i="159"/>
  <c r="I36" i="159"/>
  <c r="F36" i="159"/>
  <c r="K34" i="159"/>
  <c r="I34" i="159"/>
  <c r="F34" i="159"/>
  <c r="K33" i="159"/>
  <c r="I33" i="159"/>
  <c r="F33" i="159"/>
  <c r="K32" i="159"/>
  <c r="I32" i="159"/>
  <c r="F32" i="159"/>
  <c r="K27" i="159"/>
  <c r="I27" i="159"/>
  <c r="F27" i="159"/>
  <c r="K25" i="159"/>
  <c r="I25" i="159"/>
  <c r="F25" i="159"/>
  <c r="K24" i="159"/>
  <c r="I24" i="159"/>
  <c r="F24" i="159"/>
  <c r="K19" i="159"/>
  <c r="I19" i="159"/>
  <c r="F19" i="159"/>
  <c r="K17" i="159"/>
  <c r="I17" i="159"/>
  <c r="F17" i="159"/>
  <c r="K16" i="159"/>
  <c r="I16" i="159"/>
  <c r="F16" i="159"/>
  <c r="K8" i="159"/>
  <c r="I8" i="159"/>
  <c r="F8" i="159"/>
  <c r="K6" i="159"/>
  <c r="I6" i="159"/>
  <c r="F6" i="159"/>
  <c r="K5" i="159"/>
  <c r="I5" i="159"/>
  <c r="F5" i="159"/>
  <c r="P85" i="161"/>
  <c r="R16" i="161"/>
  <c r="R14" i="161"/>
  <c r="N34" i="159"/>
  <c r="K12" i="159"/>
  <c r="I20" i="159"/>
  <c r="F20" i="159"/>
  <c r="C15" i="160"/>
  <c r="N33" i="159"/>
  <c r="R77" i="161"/>
  <c r="R136" i="161"/>
  <c r="R138" i="161"/>
  <c r="N17" i="159"/>
  <c r="K28" i="159"/>
  <c r="B10" i="160"/>
  <c r="N27" i="159"/>
  <c r="K20" i="159"/>
  <c r="N36" i="159"/>
  <c r="C11" i="160"/>
  <c r="D11" i="160"/>
  <c r="R25" i="161"/>
  <c r="D10" i="160"/>
  <c r="R53" i="161"/>
  <c r="P55" i="161"/>
  <c r="R55" i="161"/>
  <c r="E11" i="160"/>
  <c r="R36" i="161"/>
  <c r="R73" i="161"/>
  <c r="R85" i="161"/>
  <c r="N6" i="159"/>
  <c r="F28" i="159"/>
  <c r="N8" i="159"/>
  <c r="N32" i="159"/>
  <c r="I37" i="159"/>
  <c r="F12" i="159"/>
  <c r="N19" i="159"/>
  <c r="K37" i="159"/>
  <c r="I28" i="159"/>
  <c r="N25" i="159"/>
  <c r="F37" i="159"/>
  <c r="N5" i="159"/>
  <c r="N16" i="159"/>
  <c r="N24" i="159"/>
  <c r="I12" i="159"/>
  <c r="D36" i="8"/>
  <c r="C36" i="8"/>
  <c r="M37" i="8"/>
  <c r="D45" i="8"/>
  <c r="C45" i="8"/>
  <c r="M46" i="8"/>
  <c r="U41" i="150"/>
  <c r="F18" i="147"/>
  <c r="H6" i="152"/>
  <c r="H6" i="155"/>
  <c r="E6" i="150"/>
  <c r="I6" i="147"/>
  <c r="H6" i="156"/>
  <c r="C6" i="156"/>
  <c r="D3" i="155"/>
  <c r="D4" i="155"/>
  <c r="D5" i="155"/>
  <c r="D6" i="155"/>
  <c r="D2" i="155"/>
  <c r="D3" i="152"/>
  <c r="D4" i="152"/>
  <c r="D5" i="152"/>
  <c r="D6" i="152"/>
  <c r="D2" i="152"/>
  <c r="C6" i="150"/>
  <c r="B6" i="150"/>
  <c r="C5" i="150"/>
  <c r="B5" i="150"/>
  <c r="C4" i="150"/>
  <c r="B4" i="150"/>
  <c r="C3" i="150"/>
  <c r="B3" i="150"/>
  <c r="C2" i="150"/>
  <c r="B2" i="150"/>
  <c r="C3" i="156"/>
  <c r="C4" i="156"/>
  <c r="C5" i="156"/>
  <c r="C2" i="156"/>
  <c r="B3" i="156"/>
  <c r="B4" i="156"/>
  <c r="B5" i="156"/>
  <c r="B6" i="156"/>
  <c r="B2" i="156"/>
  <c r="A3" i="147"/>
  <c r="A4" i="147"/>
  <c r="A5" i="147"/>
  <c r="A6" i="147"/>
  <c r="A2" i="147"/>
  <c r="E3" i="152"/>
  <c r="E3" i="155"/>
  <c r="E4" i="152"/>
  <c r="E4" i="155"/>
  <c r="E5" i="152"/>
  <c r="E5" i="155"/>
  <c r="E6" i="152"/>
  <c r="E6" i="155"/>
  <c r="E2" i="152"/>
  <c r="E2" i="155"/>
  <c r="F6" i="147"/>
  <c r="F3" i="147"/>
  <c r="F4" i="147"/>
  <c r="F5" i="147"/>
  <c r="F2" i="147"/>
  <c r="A118" i="141"/>
  <c r="C118" i="141"/>
  <c r="F118" i="141"/>
  <c r="I118" i="141"/>
  <c r="L118" i="141"/>
  <c r="O118" i="141"/>
  <c r="A119" i="141"/>
  <c r="C119" i="141"/>
  <c r="F119" i="141"/>
  <c r="I119" i="141"/>
  <c r="L119" i="141"/>
  <c r="O119" i="141"/>
  <c r="A120" i="141"/>
  <c r="C120" i="141"/>
  <c r="F120" i="141"/>
  <c r="I120" i="141"/>
  <c r="L120" i="141"/>
  <c r="O120" i="141"/>
  <c r="A121" i="141"/>
  <c r="C121" i="141"/>
  <c r="F121" i="141"/>
  <c r="I121" i="141"/>
  <c r="L121" i="141"/>
  <c r="O121" i="141"/>
  <c r="A122" i="141"/>
  <c r="C122" i="141"/>
  <c r="F122" i="141"/>
  <c r="I122" i="141"/>
  <c r="L122" i="141"/>
  <c r="O122" i="141"/>
  <c r="A123" i="141"/>
  <c r="C123" i="141"/>
  <c r="F123" i="141"/>
  <c r="I123" i="141"/>
  <c r="L123" i="141"/>
  <c r="O123" i="141"/>
  <c r="A124" i="141"/>
  <c r="C124" i="141"/>
  <c r="F124" i="141"/>
  <c r="I124" i="141"/>
  <c r="L124" i="141"/>
  <c r="O124" i="141"/>
  <c r="A125" i="141"/>
  <c r="C125" i="141"/>
  <c r="F125" i="141"/>
  <c r="I125" i="141"/>
  <c r="L125" i="141"/>
  <c r="O125" i="141"/>
  <c r="A126" i="141"/>
  <c r="C126" i="141"/>
  <c r="F126" i="141"/>
  <c r="I126" i="141"/>
  <c r="L126" i="141"/>
  <c r="O126" i="141"/>
  <c r="A127" i="141"/>
  <c r="C127" i="141"/>
  <c r="F127" i="141"/>
  <c r="I127" i="141"/>
  <c r="L127" i="141"/>
  <c r="O127" i="141"/>
  <c r="A128" i="141"/>
  <c r="C128" i="141"/>
  <c r="F128" i="141"/>
  <c r="I128" i="141"/>
  <c r="L128" i="141"/>
  <c r="O128" i="141"/>
  <c r="A129" i="141"/>
  <c r="C129" i="141"/>
  <c r="F129" i="141"/>
  <c r="I129" i="141"/>
  <c r="L129" i="141"/>
  <c r="O129" i="141"/>
  <c r="A130" i="141"/>
  <c r="C130" i="141"/>
  <c r="F130" i="141"/>
  <c r="I130" i="141"/>
  <c r="L130" i="141"/>
  <c r="O130" i="141"/>
  <c r="A131" i="141"/>
  <c r="C131" i="141"/>
  <c r="F131" i="141"/>
  <c r="I131" i="141"/>
  <c r="L131" i="141"/>
  <c r="O131" i="141"/>
  <c r="A132" i="141"/>
  <c r="C132" i="141"/>
  <c r="F132" i="141"/>
  <c r="I132" i="141"/>
  <c r="L132" i="141"/>
  <c r="O132" i="141"/>
  <c r="A133" i="141"/>
  <c r="C133" i="141"/>
  <c r="F133" i="141"/>
  <c r="I133" i="141"/>
  <c r="L133" i="141"/>
  <c r="O133" i="141"/>
  <c r="A134" i="141"/>
  <c r="C134" i="141"/>
  <c r="F134" i="141"/>
  <c r="I134" i="141"/>
  <c r="L134" i="141"/>
  <c r="O134" i="141"/>
  <c r="A135" i="141"/>
  <c r="C135" i="141"/>
  <c r="F135" i="141"/>
  <c r="I135" i="141"/>
  <c r="L135" i="141"/>
  <c r="O135" i="141"/>
  <c r="A136" i="141"/>
  <c r="C136" i="141"/>
  <c r="F136" i="141"/>
  <c r="I136" i="141"/>
  <c r="L136" i="141"/>
  <c r="O136" i="141"/>
  <c r="A137" i="141"/>
  <c r="C137" i="141"/>
  <c r="F137" i="141"/>
  <c r="I137" i="141"/>
  <c r="L137" i="141"/>
  <c r="O137" i="141"/>
  <c r="A138" i="141"/>
  <c r="C138" i="141"/>
  <c r="F138" i="141"/>
  <c r="I138" i="141"/>
  <c r="L138" i="141"/>
  <c r="O138" i="141"/>
  <c r="A139" i="141"/>
  <c r="C139" i="141"/>
  <c r="F139" i="141"/>
  <c r="I139" i="141"/>
  <c r="L139" i="141"/>
  <c r="O139" i="141"/>
  <c r="A140" i="141"/>
  <c r="C140" i="141"/>
  <c r="F140" i="141"/>
  <c r="I140" i="141"/>
  <c r="L140" i="141"/>
  <c r="O140" i="141"/>
  <c r="A141" i="141"/>
  <c r="C141" i="141"/>
  <c r="F141" i="141"/>
  <c r="I141" i="141"/>
  <c r="L141" i="141"/>
  <c r="O141" i="141"/>
  <c r="A142" i="141"/>
  <c r="C142" i="141"/>
  <c r="F142" i="141"/>
  <c r="I142" i="141"/>
  <c r="L142" i="141"/>
  <c r="O142" i="141"/>
  <c r="A143" i="141"/>
  <c r="C143" i="141"/>
  <c r="F143" i="141"/>
  <c r="I143" i="141"/>
  <c r="L143" i="141"/>
  <c r="O143" i="141"/>
  <c r="A144" i="141"/>
  <c r="C144" i="141"/>
  <c r="F144" i="141"/>
  <c r="I144" i="141"/>
  <c r="L144" i="141"/>
  <c r="O144" i="141"/>
  <c r="A145" i="141"/>
  <c r="C145" i="141"/>
  <c r="F145" i="141"/>
  <c r="I145" i="141"/>
  <c r="L145" i="141"/>
  <c r="O145" i="141"/>
  <c r="A146" i="141"/>
  <c r="C146" i="141"/>
  <c r="F146" i="141"/>
  <c r="I146" i="141"/>
  <c r="L146" i="141"/>
  <c r="O146" i="141"/>
  <c r="A147" i="141"/>
  <c r="C147" i="141"/>
  <c r="F147" i="141"/>
  <c r="I147" i="141"/>
  <c r="L147" i="141"/>
  <c r="O147" i="141"/>
  <c r="A148" i="141"/>
  <c r="C148" i="141"/>
  <c r="F148" i="141"/>
  <c r="I148" i="141"/>
  <c r="L148" i="141"/>
  <c r="O148" i="141"/>
  <c r="A149" i="141"/>
  <c r="C149" i="141"/>
  <c r="F149" i="141"/>
  <c r="I149" i="141"/>
  <c r="L149" i="141"/>
  <c r="O149" i="141"/>
  <c r="A150" i="141"/>
  <c r="C150" i="141"/>
  <c r="F150" i="141"/>
  <c r="I150" i="141"/>
  <c r="L150" i="141"/>
  <c r="O150" i="141"/>
  <c r="A151" i="141"/>
  <c r="C151" i="141"/>
  <c r="F151" i="141"/>
  <c r="I151" i="141"/>
  <c r="L151" i="141"/>
  <c r="O151" i="141"/>
  <c r="A152" i="141"/>
  <c r="C152" i="141"/>
  <c r="F152" i="141"/>
  <c r="I152" i="141"/>
  <c r="L152" i="141"/>
  <c r="O152" i="141"/>
  <c r="A153" i="141"/>
  <c r="C153" i="141"/>
  <c r="F153" i="141"/>
  <c r="I153" i="141"/>
  <c r="L153" i="141"/>
  <c r="O153" i="141"/>
  <c r="A154" i="141"/>
  <c r="C154" i="141"/>
  <c r="F154" i="141"/>
  <c r="I154" i="141"/>
  <c r="L154" i="141"/>
  <c r="O154" i="141"/>
  <c r="A155" i="141"/>
  <c r="C155" i="141"/>
  <c r="F155" i="141"/>
  <c r="I155" i="141"/>
  <c r="L155" i="141"/>
  <c r="O155" i="141"/>
  <c r="A156" i="141"/>
  <c r="C156" i="141"/>
  <c r="F156" i="141"/>
  <c r="I156" i="141"/>
  <c r="L156" i="141"/>
  <c r="O156" i="141"/>
  <c r="A157" i="141"/>
  <c r="C157" i="141"/>
  <c r="F157" i="141"/>
  <c r="I157" i="141"/>
  <c r="L157" i="141"/>
  <c r="O157" i="141"/>
  <c r="A158" i="141"/>
  <c r="C158" i="141"/>
  <c r="F158" i="141"/>
  <c r="I158" i="141"/>
  <c r="L158" i="141"/>
  <c r="O158" i="141"/>
  <c r="A159" i="141"/>
  <c r="C159" i="141"/>
  <c r="F159" i="141"/>
  <c r="I159" i="141"/>
  <c r="L159" i="141"/>
  <c r="O159" i="141"/>
  <c r="A160" i="141"/>
  <c r="C160" i="141"/>
  <c r="F160" i="141"/>
  <c r="I160" i="141"/>
  <c r="L160" i="141"/>
  <c r="O160" i="141"/>
  <c r="A161" i="141"/>
  <c r="C161" i="141"/>
  <c r="F161" i="141"/>
  <c r="I161" i="141"/>
  <c r="L161" i="141"/>
  <c r="O161" i="141"/>
  <c r="A162" i="141"/>
  <c r="C162" i="141"/>
  <c r="F162" i="141"/>
  <c r="I162" i="141"/>
  <c r="L162" i="141"/>
  <c r="O162" i="141"/>
  <c r="A163" i="141"/>
  <c r="C163" i="141"/>
  <c r="F163" i="141"/>
  <c r="I163" i="141"/>
  <c r="L163" i="141"/>
  <c r="O163" i="141"/>
  <c r="A164" i="141"/>
  <c r="C164" i="141"/>
  <c r="F164" i="141"/>
  <c r="I164" i="141"/>
  <c r="L164" i="141"/>
  <c r="O164" i="141"/>
  <c r="A165" i="141"/>
  <c r="C165" i="141"/>
  <c r="F165" i="141"/>
  <c r="I165" i="141"/>
  <c r="L165" i="141"/>
  <c r="O165" i="141"/>
  <c r="A166" i="141"/>
  <c r="C166" i="141"/>
  <c r="F166" i="141"/>
  <c r="I166" i="141"/>
  <c r="L166" i="141"/>
  <c r="O166" i="141"/>
  <c r="A167" i="141"/>
  <c r="C167" i="141"/>
  <c r="F167" i="141"/>
  <c r="I167" i="141"/>
  <c r="L167" i="141"/>
  <c r="O167" i="141"/>
  <c r="A168" i="141"/>
  <c r="C168" i="141"/>
  <c r="F168" i="141"/>
  <c r="I168" i="141"/>
  <c r="L168" i="141"/>
  <c r="O168" i="141"/>
  <c r="A169" i="141"/>
  <c r="C169" i="141"/>
  <c r="F169" i="141"/>
  <c r="I169" i="141"/>
  <c r="L169" i="141"/>
  <c r="O169" i="141"/>
  <c r="A170" i="141"/>
  <c r="C170" i="141"/>
  <c r="F170" i="141"/>
  <c r="I170" i="141"/>
  <c r="L170" i="141"/>
  <c r="O170" i="141"/>
  <c r="A171" i="141"/>
  <c r="C171" i="141"/>
  <c r="F171" i="141"/>
  <c r="I171" i="141"/>
  <c r="L171" i="141"/>
  <c r="O171" i="141"/>
  <c r="A172" i="141"/>
  <c r="C172" i="141"/>
  <c r="F172" i="141"/>
  <c r="I172" i="141"/>
  <c r="L172" i="141"/>
  <c r="O172" i="141"/>
  <c r="A173" i="141"/>
  <c r="C173" i="141"/>
  <c r="F173" i="141"/>
  <c r="I173" i="141"/>
  <c r="L173" i="141"/>
  <c r="O173" i="141"/>
  <c r="A174" i="141"/>
  <c r="C174" i="141"/>
  <c r="F174" i="141"/>
  <c r="I174" i="141"/>
  <c r="L174" i="141"/>
  <c r="O174" i="141"/>
  <c r="A175" i="141"/>
  <c r="C175" i="141"/>
  <c r="F175" i="141"/>
  <c r="I175" i="141"/>
  <c r="L175" i="141"/>
  <c r="O175" i="141"/>
  <c r="A176" i="141"/>
  <c r="C176" i="141"/>
  <c r="F176" i="141"/>
  <c r="I176" i="141"/>
  <c r="L176" i="141"/>
  <c r="O176" i="141"/>
  <c r="A177" i="141"/>
  <c r="C177" i="141"/>
  <c r="F177" i="141"/>
  <c r="I177" i="141"/>
  <c r="L177" i="141"/>
  <c r="O177" i="141"/>
  <c r="A178" i="141"/>
  <c r="C178" i="141"/>
  <c r="F178" i="141"/>
  <c r="I178" i="141"/>
  <c r="L178" i="141"/>
  <c r="O178" i="141"/>
  <c r="A179" i="141"/>
  <c r="C179" i="141"/>
  <c r="F179" i="141"/>
  <c r="I179" i="141"/>
  <c r="L179" i="141"/>
  <c r="O179" i="141"/>
  <c r="A180" i="141"/>
  <c r="C180" i="141"/>
  <c r="F180" i="141"/>
  <c r="I180" i="141"/>
  <c r="L180" i="141"/>
  <c r="O180" i="141"/>
  <c r="A181" i="141"/>
  <c r="C181" i="141"/>
  <c r="F181" i="141"/>
  <c r="I181" i="141"/>
  <c r="L181" i="141"/>
  <c r="O181" i="141"/>
  <c r="A182" i="141"/>
  <c r="C182" i="141"/>
  <c r="F182" i="141"/>
  <c r="I182" i="141"/>
  <c r="L182" i="141"/>
  <c r="O182" i="141"/>
  <c r="A183" i="141"/>
  <c r="C183" i="141"/>
  <c r="F183" i="141"/>
  <c r="I183" i="141"/>
  <c r="L183" i="141"/>
  <c r="O183" i="141"/>
  <c r="A184" i="141"/>
  <c r="C184" i="141"/>
  <c r="F184" i="141"/>
  <c r="I184" i="141"/>
  <c r="L184" i="141"/>
  <c r="O184" i="141"/>
  <c r="A185" i="141"/>
  <c r="C185" i="141"/>
  <c r="F185" i="141"/>
  <c r="I185" i="141"/>
  <c r="L185" i="141"/>
  <c r="O185" i="141"/>
  <c r="A186" i="141"/>
  <c r="C186" i="141"/>
  <c r="F186" i="141"/>
  <c r="I186" i="141"/>
  <c r="L186" i="141"/>
  <c r="O186" i="141"/>
  <c r="A187" i="141"/>
  <c r="C187" i="141"/>
  <c r="F187" i="141"/>
  <c r="I187" i="141"/>
  <c r="L187" i="141"/>
  <c r="O187" i="141"/>
  <c r="A188" i="141"/>
  <c r="C188" i="141"/>
  <c r="F188" i="141"/>
  <c r="I188" i="141"/>
  <c r="L188" i="141"/>
  <c r="O188" i="141"/>
  <c r="A189" i="141"/>
  <c r="C189" i="141"/>
  <c r="F189" i="141"/>
  <c r="I189" i="141"/>
  <c r="L189" i="141"/>
  <c r="O189" i="141"/>
  <c r="O114" i="141"/>
  <c r="L114" i="141"/>
  <c r="I114" i="141"/>
  <c r="F114" i="141"/>
  <c r="C114" i="141"/>
  <c r="A114" i="141"/>
  <c r="O113" i="141"/>
  <c r="L113" i="141"/>
  <c r="I113" i="141"/>
  <c r="F113" i="141"/>
  <c r="C113" i="141"/>
  <c r="A113" i="141"/>
  <c r="O112" i="141"/>
  <c r="L112" i="141"/>
  <c r="I112" i="141"/>
  <c r="F112" i="141"/>
  <c r="C112" i="141"/>
  <c r="A112" i="141"/>
  <c r="O111" i="141"/>
  <c r="L111" i="141"/>
  <c r="I111" i="141"/>
  <c r="F111" i="141"/>
  <c r="C111" i="141"/>
  <c r="A111" i="141"/>
  <c r="A110" i="141"/>
  <c r="C110" i="141"/>
  <c r="F110" i="141"/>
  <c r="I110" i="141"/>
  <c r="L110" i="141"/>
  <c r="O110" i="141"/>
  <c r="A103" i="141"/>
  <c r="C103" i="141"/>
  <c r="F103" i="141"/>
  <c r="I103" i="141"/>
  <c r="L103" i="141"/>
  <c r="O103" i="141"/>
  <c r="A104" i="141"/>
  <c r="C104" i="141"/>
  <c r="F104" i="141"/>
  <c r="I104" i="141"/>
  <c r="L104" i="141"/>
  <c r="O104" i="141"/>
  <c r="A105" i="141"/>
  <c r="C105" i="141"/>
  <c r="F105" i="141"/>
  <c r="I105" i="141"/>
  <c r="L105" i="141"/>
  <c r="O105" i="141"/>
  <c r="A106" i="141"/>
  <c r="C106" i="141"/>
  <c r="F106" i="141"/>
  <c r="I106" i="141"/>
  <c r="L106" i="141"/>
  <c r="O106" i="141"/>
  <c r="A107" i="141"/>
  <c r="C107" i="141"/>
  <c r="F107" i="141"/>
  <c r="I107" i="141"/>
  <c r="L107" i="141"/>
  <c r="O107" i="141"/>
  <c r="A108" i="141"/>
  <c r="C108" i="141"/>
  <c r="F108" i="141"/>
  <c r="I108" i="141"/>
  <c r="L108" i="141"/>
  <c r="O108" i="141"/>
  <c r="A109" i="141"/>
  <c r="C109" i="141"/>
  <c r="F109" i="141"/>
  <c r="I109" i="141"/>
  <c r="L109" i="141"/>
  <c r="O109" i="141"/>
  <c r="A30" i="141"/>
  <c r="C30" i="141"/>
  <c r="F30" i="141"/>
  <c r="I30" i="141"/>
  <c r="L30" i="141"/>
  <c r="O30" i="141"/>
  <c r="A31" i="141"/>
  <c r="C31" i="141"/>
  <c r="F31" i="141"/>
  <c r="I31" i="141"/>
  <c r="L31" i="141"/>
  <c r="O31" i="141"/>
  <c r="A32" i="141"/>
  <c r="C32" i="141"/>
  <c r="F32" i="141"/>
  <c r="I32" i="141"/>
  <c r="L32" i="141"/>
  <c r="O32" i="141"/>
  <c r="A33" i="141"/>
  <c r="C33" i="141"/>
  <c r="F33" i="141"/>
  <c r="I33" i="141"/>
  <c r="L33" i="141"/>
  <c r="O33" i="141"/>
  <c r="A34" i="141"/>
  <c r="C34" i="141"/>
  <c r="F34" i="141"/>
  <c r="I34" i="141"/>
  <c r="L34" i="141"/>
  <c r="O34" i="141"/>
  <c r="A35" i="141"/>
  <c r="C35" i="141"/>
  <c r="F35" i="141"/>
  <c r="I35" i="141"/>
  <c r="L35" i="141"/>
  <c r="O35" i="141"/>
  <c r="A36" i="141"/>
  <c r="C36" i="141"/>
  <c r="F36" i="141"/>
  <c r="I36" i="141"/>
  <c r="L36" i="141"/>
  <c r="O36" i="141"/>
  <c r="A37" i="141"/>
  <c r="C37" i="141"/>
  <c r="F37" i="141"/>
  <c r="I37" i="141"/>
  <c r="L37" i="141"/>
  <c r="O37" i="141"/>
  <c r="A38" i="141"/>
  <c r="C38" i="141"/>
  <c r="F38" i="141"/>
  <c r="I38" i="141"/>
  <c r="L38" i="141"/>
  <c r="O38" i="141"/>
  <c r="A39" i="141"/>
  <c r="C39" i="141"/>
  <c r="F39" i="141"/>
  <c r="I39" i="141"/>
  <c r="L39" i="141"/>
  <c r="O39" i="141"/>
  <c r="A40" i="141"/>
  <c r="C40" i="141"/>
  <c r="F40" i="141"/>
  <c r="I40" i="141"/>
  <c r="L40" i="141"/>
  <c r="O40" i="141"/>
  <c r="A41" i="141"/>
  <c r="C41" i="141"/>
  <c r="F41" i="141"/>
  <c r="I41" i="141"/>
  <c r="L41" i="141"/>
  <c r="O41" i="141"/>
  <c r="A42" i="141"/>
  <c r="C42" i="141"/>
  <c r="F42" i="141"/>
  <c r="I42" i="141"/>
  <c r="L42" i="141"/>
  <c r="O42" i="141"/>
  <c r="A43" i="141"/>
  <c r="C43" i="141"/>
  <c r="F43" i="141"/>
  <c r="I43" i="141"/>
  <c r="L43" i="141"/>
  <c r="O43" i="141"/>
  <c r="A44" i="141"/>
  <c r="C44" i="141"/>
  <c r="F44" i="141"/>
  <c r="I44" i="141"/>
  <c r="L44" i="141"/>
  <c r="O44" i="141"/>
  <c r="A45" i="141"/>
  <c r="C45" i="141"/>
  <c r="F45" i="141"/>
  <c r="I45" i="141"/>
  <c r="L45" i="141"/>
  <c r="O45" i="141"/>
  <c r="A46" i="141"/>
  <c r="C46" i="141"/>
  <c r="F46" i="141"/>
  <c r="I46" i="141"/>
  <c r="L46" i="141"/>
  <c r="O46" i="141"/>
  <c r="A47" i="141"/>
  <c r="C47" i="141"/>
  <c r="F47" i="141"/>
  <c r="I47" i="141"/>
  <c r="L47" i="141"/>
  <c r="O47" i="141"/>
  <c r="A48" i="141"/>
  <c r="C48" i="141"/>
  <c r="F48" i="141"/>
  <c r="I48" i="141"/>
  <c r="L48" i="141"/>
  <c r="O48" i="141"/>
  <c r="A49" i="141"/>
  <c r="C49" i="141"/>
  <c r="F49" i="141"/>
  <c r="I49" i="141"/>
  <c r="L49" i="141"/>
  <c r="O49" i="141"/>
  <c r="A50" i="141"/>
  <c r="C50" i="141"/>
  <c r="F50" i="141"/>
  <c r="I50" i="141"/>
  <c r="L50" i="141"/>
  <c r="O50" i="141"/>
  <c r="A51" i="141"/>
  <c r="C51" i="141"/>
  <c r="F51" i="141"/>
  <c r="I51" i="141"/>
  <c r="L51" i="141"/>
  <c r="O51" i="141"/>
  <c r="A52" i="141"/>
  <c r="C52" i="141"/>
  <c r="F52" i="141"/>
  <c r="I52" i="141"/>
  <c r="L52" i="141"/>
  <c r="O52" i="141"/>
  <c r="A53" i="141"/>
  <c r="C53" i="141"/>
  <c r="F53" i="141"/>
  <c r="I53" i="141"/>
  <c r="L53" i="141"/>
  <c r="O53" i="141"/>
  <c r="A54" i="141"/>
  <c r="C54" i="141"/>
  <c r="F54" i="141"/>
  <c r="I54" i="141"/>
  <c r="L54" i="141"/>
  <c r="O54" i="141"/>
  <c r="A55" i="141"/>
  <c r="C55" i="141"/>
  <c r="F55" i="141"/>
  <c r="I55" i="141"/>
  <c r="L55" i="141"/>
  <c r="O55" i="141"/>
  <c r="A56" i="141"/>
  <c r="C56" i="141"/>
  <c r="F56" i="141"/>
  <c r="I56" i="141"/>
  <c r="L56" i="141"/>
  <c r="O56" i="141"/>
  <c r="A57" i="141"/>
  <c r="C57" i="141"/>
  <c r="F57" i="141"/>
  <c r="I57" i="141"/>
  <c r="L57" i="141"/>
  <c r="O57" i="141"/>
  <c r="A58" i="141"/>
  <c r="C58" i="141"/>
  <c r="F58" i="141"/>
  <c r="I58" i="141"/>
  <c r="L58" i="141"/>
  <c r="O58" i="141"/>
  <c r="A59" i="141"/>
  <c r="C59" i="141"/>
  <c r="F59" i="141"/>
  <c r="I59" i="141"/>
  <c r="L59" i="141"/>
  <c r="O59" i="141"/>
  <c r="A60" i="141"/>
  <c r="C60" i="141"/>
  <c r="F60" i="141"/>
  <c r="I60" i="141"/>
  <c r="L60" i="141"/>
  <c r="O60" i="141"/>
  <c r="A61" i="141"/>
  <c r="C61" i="141"/>
  <c r="F61" i="141"/>
  <c r="I61" i="141"/>
  <c r="L61" i="141"/>
  <c r="O61" i="141"/>
  <c r="A62" i="141"/>
  <c r="C62" i="141"/>
  <c r="F62" i="141"/>
  <c r="I62" i="141"/>
  <c r="L62" i="141"/>
  <c r="O62" i="141"/>
  <c r="A63" i="141"/>
  <c r="C63" i="141"/>
  <c r="F63" i="141"/>
  <c r="I63" i="141"/>
  <c r="L63" i="141"/>
  <c r="O63" i="141"/>
  <c r="A64" i="141"/>
  <c r="C64" i="141"/>
  <c r="F64" i="141"/>
  <c r="I64" i="141"/>
  <c r="L64" i="141"/>
  <c r="O64" i="141"/>
  <c r="A65" i="141"/>
  <c r="C65" i="141"/>
  <c r="F65" i="141"/>
  <c r="I65" i="141"/>
  <c r="L65" i="141"/>
  <c r="O65" i="141"/>
  <c r="A66" i="141"/>
  <c r="C66" i="141"/>
  <c r="F66" i="141"/>
  <c r="I66" i="141"/>
  <c r="L66" i="141"/>
  <c r="O66" i="141"/>
  <c r="A67" i="141"/>
  <c r="C67" i="141"/>
  <c r="F67" i="141"/>
  <c r="I67" i="141"/>
  <c r="L67" i="141"/>
  <c r="O67" i="141"/>
  <c r="A68" i="141"/>
  <c r="C68" i="141"/>
  <c r="F68" i="141"/>
  <c r="I68" i="141"/>
  <c r="L68" i="141"/>
  <c r="O68" i="141"/>
  <c r="A69" i="141"/>
  <c r="C69" i="141"/>
  <c r="F69" i="141"/>
  <c r="I69" i="141"/>
  <c r="L69" i="141"/>
  <c r="O69" i="141"/>
  <c r="A70" i="141"/>
  <c r="C70" i="141"/>
  <c r="F70" i="141"/>
  <c r="I70" i="141"/>
  <c r="L70" i="141"/>
  <c r="O70" i="141"/>
  <c r="A71" i="141"/>
  <c r="C71" i="141"/>
  <c r="F71" i="141"/>
  <c r="I71" i="141"/>
  <c r="L71" i="141"/>
  <c r="O71" i="141"/>
  <c r="A72" i="141"/>
  <c r="C72" i="141"/>
  <c r="F72" i="141"/>
  <c r="I72" i="141"/>
  <c r="L72" i="141"/>
  <c r="O72" i="141"/>
  <c r="A73" i="141"/>
  <c r="C73" i="141"/>
  <c r="F73" i="141"/>
  <c r="I73" i="141"/>
  <c r="L73" i="141"/>
  <c r="O73" i="141"/>
  <c r="A74" i="141"/>
  <c r="C74" i="141"/>
  <c r="F74" i="141"/>
  <c r="I74" i="141"/>
  <c r="L74" i="141"/>
  <c r="O74" i="141"/>
  <c r="A75" i="141"/>
  <c r="C75" i="141"/>
  <c r="F75" i="141"/>
  <c r="I75" i="141"/>
  <c r="L75" i="141"/>
  <c r="O75" i="141"/>
  <c r="A76" i="141"/>
  <c r="C76" i="141"/>
  <c r="F76" i="141"/>
  <c r="I76" i="141"/>
  <c r="L76" i="141"/>
  <c r="O76" i="141"/>
  <c r="A77" i="141"/>
  <c r="C77" i="141"/>
  <c r="F77" i="141"/>
  <c r="I77" i="141"/>
  <c r="L77" i="141"/>
  <c r="O77" i="141"/>
  <c r="A78" i="141"/>
  <c r="C78" i="141"/>
  <c r="F78" i="141"/>
  <c r="I78" i="141"/>
  <c r="L78" i="141"/>
  <c r="O78" i="141"/>
  <c r="A79" i="141"/>
  <c r="C79" i="141"/>
  <c r="F79" i="141"/>
  <c r="I79" i="141"/>
  <c r="L79" i="141"/>
  <c r="O79" i="141"/>
  <c r="A80" i="141"/>
  <c r="C80" i="141"/>
  <c r="F80" i="141"/>
  <c r="I80" i="141"/>
  <c r="L80" i="141"/>
  <c r="O80" i="141"/>
  <c r="A81" i="141"/>
  <c r="C81" i="141"/>
  <c r="F81" i="141"/>
  <c r="I81" i="141"/>
  <c r="L81" i="141"/>
  <c r="O81" i="141"/>
  <c r="A82" i="141"/>
  <c r="C82" i="141"/>
  <c r="F82" i="141"/>
  <c r="I82" i="141"/>
  <c r="L82" i="141"/>
  <c r="O82" i="141"/>
  <c r="A83" i="141"/>
  <c r="C83" i="141"/>
  <c r="F83" i="141"/>
  <c r="I83" i="141"/>
  <c r="L83" i="141"/>
  <c r="O83" i="141"/>
  <c r="A84" i="141"/>
  <c r="C84" i="141"/>
  <c r="F84" i="141"/>
  <c r="I84" i="141"/>
  <c r="L84" i="141"/>
  <c r="O84" i="141"/>
  <c r="A85" i="141"/>
  <c r="C85" i="141"/>
  <c r="F85" i="141"/>
  <c r="I85" i="141"/>
  <c r="L85" i="141"/>
  <c r="O85" i="141"/>
  <c r="A86" i="141"/>
  <c r="C86" i="141"/>
  <c r="F86" i="141"/>
  <c r="I86" i="141"/>
  <c r="L86" i="141"/>
  <c r="O86" i="141"/>
  <c r="A87" i="141"/>
  <c r="C87" i="141"/>
  <c r="F87" i="141"/>
  <c r="I87" i="141"/>
  <c r="L87" i="141"/>
  <c r="O87" i="141"/>
  <c r="A88" i="141"/>
  <c r="C88" i="141"/>
  <c r="F88" i="141"/>
  <c r="I88" i="141"/>
  <c r="L88" i="141"/>
  <c r="O88" i="141"/>
  <c r="A89" i="141"/>
  <c r="C89" i="141"/>
  <c r="F89" i="141"/>
  <c r="I89" i="141"/>
  <c r="L89" i="141"/>
  <c r="O89" i="141"/>
  <c r="A90" i="141"/>
  <c r="C90" i="141"/>
  <c r="F90" i="141"/>
  <c r="I90" i="141"/>
  <c r="L90" i="141"/>
  <c r="O90" i="141"/>
  <c r="A91" i="141"/>
  <c r="C91" i="141"/>
  <c r="F91" i="141"/>
  <c r="I91" i="141"/>
  <c r="L91" i="141"/>
  <c r="O91" i="141"/>
  <c r="A92" i="141"/>
  <c r="C92" i="141"/>
  <c r="F92" i="141"/>
  <c r="I92" i="141"/>
  <c r="L92" i="141"/>
  <c r="O92" i="141"/>
  <c r="A93" i="141"/>
  <c r="C93" i="141"/>
  <c r="F93" i="141"/>
  <c r="I93" i="141"/>
  <c r="L93" i="141"/>
  <c r="O93" i="141"/>
  <c r="A94" i="141"/>
  <c r="C94" i="141"/>
  <c r="F94" i="141"/>
  <c r="I94" i="141"/>
  <c r="L94" i="141"/>
  <c r="O94" i="141"/>
  <c r="A95" i="141"/>
  <c r="C95" i="141"/>
  <c r="F95" i="141"/>
  <c r="I95" i="141"/>
  <c r="L95" i="141"/>
  <c r="O95" i="141"/>
  <c r="A96" i="141"/>
  <c r="C96" i="141"/>
  <c r="F96" i="141"/>
  <c r="I96" i="141"/>
  <c r="L96" i="141"/>
  <c r="O96" i="141"/>
  <c r="A97" i="141"/>
  <c r="C97" i="141"/>
  <c r="F97" i="141"/>
  <c r="I97" i="141"/>
  <c r="L97" i="141"/>
  <c r="O97" i="141"/>
  <c r="A98" i="141"/>
  <c r="C98" i="141"/>
  <c r="F98" i="141"/>
  <c r="I98" i="141"/>
  <c r="L98" i="141"/>
  <c r="O98" i="141"/>
  <c r="A99" i="141"/>
  <c r="C99" i="141"/>
  <c r="F99" i="141"/>
  <c r="I99" i="141"/>
  <c r="L99" i="141"/>
  <c r="O99" i="141"/>
  <c r="A100" i="141"/>
  <c r="C100" i="141"/>
  <c r="F100" i="141"/>
  <c r="I100" i="141"/>
  <c r="L100" i="141"/>
  <c r="O100" i="141"/>
  <c r="A101" i="141"/>
  <c r="C101" i="141"/>
  <c r="F101" i="141"/>
  <c r="I101" i="141"/>
  <c r="L101" i="141"/>
  <c r="O101" i="141"/>
  <c r="A102" i="141"/>
  <c r="C102" i="141"/>
  <c r="F102" i="141"/>
  <c r="I102" i="141"/>
  <c r="L102" i="141"/>
  <c r="O102" i="141"/>
  <c r="L10" i="155"/>
  <c r="L9" i="149"/>
  <c r="H23" i="150"/>
  <c r="H24" i="150"/>
  <c r="H25" i="150"/>
  <c r="H26" i="150"/>
  <c r="H27" i="150"/>
  <c r="B1" i="156"/>
  <c r="U11" i="155"/>
  <c r="R11" i="155"/>
  <c r="O11" i="155"/>
  <c r="L11" i="155"/>
  <c r="I11" i="155"/>
  <c r="R48" i="147"/>
  <c r="O48" i="147"/>
  <c r="L48" i="147"/>
  <c r="I48" i="147"/>
  <c r="R26" i="147"/>
  <c r="O26" i="147"/>
  <c r="L26" i="147"/>
  <c r="I26" i="147"/>
  <c r="T32" i="148"/>
  <c r="R13" i="155"/>
  <c r="L13" i="155"/>
  <c r="C9" i="149"/>
  <c r="N30" i="148"/>
  <c r="N28" i="148"/>
  <c r="N26" i="148"/>
  <c r="N24" i="148"/>
  <c r="N22" i="148"/>
  <c r="N20" i="148"/>
  <c r="N18" i="148"/>
  <c r="N16" i="148"/>
  <c r="N14" i="148"/>
  <c r="K30" i="148"/>
  <c r="K28" i="148"/>
  <c r="K26" i="148"/>
  <c r="K24" i="148"/>
  <c r="K22" i="148"/>
  <c r="K20" i="148"/>
  <c r="K18" i="148"/>
  <c r="K16" i="148"/>
  <c r="K14" i="148"/>
  <c r="H30" i="148"/>
  <c r="H28" i="148"/>
  <c r="H26" i="148"/>
  <c r="H24" i="148"/>
  <c r="H22" i="148"/>
  <c r="H20" i="148"/>
  <c r="H18" i="148"/>
  <c r="H16" i="148"/>
  <c r="H14" i="148"/>
  <c r="E30" i="148"/>
  <c r="E28" i="148"/>
  <c r="E26" i="148"/>
  <c r="E24" i="148"/>
  <c r="E22" i="148"/>
  <c r="E20" i="148"/>
  <c r="E18" i="148"/>
  <c r="E16" i="148"/>
  <c r="E14" i="148"/>
  <c r="B30" i="148"/>
  <c r="A30" i="148"/>
  <c r="B28" i="148"/>
  <c r="A28" i="148"/>
  <c r="B26" i="148"/>
  <c r="A26" i="148"/>
  <c r="B24" i="148"/>
  <c r="A24" i="148"/>
  <c r="B22" i="148"/>
  <c r="A22" i="148"/>
  <c r="R24" i="148"/>
  <c r="R22" i="148"/>
  <c r="R30" i="148"/>
  <c r="R28" i="148"/>
  <c r="R26" i="148"/>
  <c r="B20" i="148"/>
  <c r="A20" i="148"/>
  <c r="B18" i="148"/>
  <c r="A18" i="148"/>
  <c r="B16" i="148"/>
  <c r="A16" i="148"/>
  <c r="B14" i="148"/>
  <c r="A14" i="148"/>
  <c r="AF9" i="146"/>
  <c r="AC9" i="146"/>
  <c r="Z9" i="146"/>
  <c r="W9" i="146"/>
  <c r="T9" i="146"/>
  <c r="I9" i="141"/>
  <c r="R32" i="148"/>
  <c r="R20" i="148"/>
  <c r="R18" i="148"/>
  <c r="R16" i="148"/>
  <c r="R14" i="148"/>
  <c r="R12" i="148"/>
  <c r="I55" i="142"/>
  <c r="A221" i="141"/>
  <c r="O18" i="141"/>
  <c r="L18" i="141"/>
  <c r="I18" i="141"/>
  <c r="F18" i="141"/>
  <c r="C18" i="141"/>
  <c r="A18" i="141"/>
  <c r="O17" i="141"/>
  <c r="L17" i="141"/>
  <c r="I17" i="141"/>
  <c r="F17" i="141"/>
  <c r="C17" i="141"/>
  <c r="A17" i="141"/>
  <c r="O16" i="141"/>
  <c r="L16" i="141"/>
  <c r="I16" i="141"/>
  <c r="F16" i="141"/>
  <c r="C16" i="141"/>
  <c r="A16" i="141"/>
  <c r="O15" i="141"/>
  <c r="L15" i="141"/>
  <c r="I15" i="141"/>
  <c r="F15" i="141"/>
  <c r="C15" i="141"/>
  <c r="A15" i="141"/>
  <c r="O14" i="141"/>
  <c r="L14" i="141"/>
  <c r="I14" i="141"/>
  <c r="F14" i="141"/>
  <c r="C14" i="141"/>
  <c r="A14" i="141"/>
  <c r="A13" i="141"/>
  <c r="AI42" i="146"/>
  <c r="AI41" i="146"/>
  <c r="AI40" i="146"/>
  <c r="AI27" i="146"/>
  <c r="AI26" i="146"/>
  <c r="AI25" i="146"/>
  <c r="AI24" i="146"/>
  <c r="AI22" i="146"/>
  <c r="AI21" i="146"/>
  <c r="AI20" i="146"/>
  <c r="AI19" i="146"/>
  <c r="AI18" i="146"/>
  <c r="AI17" i="146"/>
  <c r="AI16" i="146"/>
  <c r="AF45" i="146"/>
  <c r="AC45" i="146"/>
  <c r="Z45" i="146"/>
  <c r="W45" i="146"/>
  <c r="T45" i="146"/>
  <c r="AH42" i="146"/>
  <c r="AE42" i="146"/>
  <c r="AB42" i="146"/>
  <c r="Y42" i="146"/>
  <c r="V42" i="146"/>
  <c r="AH41" i="146"/>
  <c r="AE41" i="146"/>
  <c r="AB41" i="146"/>
  <c r="Y41" i="146"/>
  <c r="V41" i="146"/>
  <c r="AH40" i="146"/>
  <c r="AE40" i="146"/>
  <c r="AB40" i="146"/>
  <c r="Y40" i="146"/>
  <c r="V40" i="146"/>
  <c r="AF30" i="146"/>
  <c r="AC30" i="146"/>
  <c r="Z30" i="146"/>
  <c r="W30" i="146"/>
  <c r="T30" i="146"/>
  <c r="AH27" i="146"/>
  <c r="AE27" i="146"/>
  <c r="AB27" i="146"/>
  <c r="Y27" i="146"/>
  <c r="V27" i="146"/>
  <c r="AH26" i="146"/>
  <c r="AE26" i="146"/>
  <c r="AB26" i="146"/>
  <c r="Y26" i="146"/>
  <c r="V26" i="146"/>
  <c r="AH25" i="146"/>
  <c r="AE25" i="146"/>
  <c r="AB25" i="146"/>
  <c r="Y25" i="146"/>
  <c r="V25" i="146"/>
  <c r="AH24" i="146"/>
  <c r="AE24" i="146"/>
  <c r="AB24" i="146"/>
  <c r="Y24" i="146"/>
  <c r="V24" i="146"/>
  <c r="AH22" i="146"/>
  <c r="AE22" i="146"/>
  <c r="AB22" i="146"/>
  <c r="Y22" i="146"/>
  <c r="V22" i="146"/>
  <c r="AH21" i="146"/>
  <c r="AE21" i="146"/>
  <c r="AB21" i="146"/>
  <c r="Y21" i="146"/>
  <c r="V21" i="146"/>
  <c r="AH20" i="146"/>
  <c r="AE20" i="146"/>
  <c r="AB20" i="146"/>
  <c r="Y20" i="146"/>
  <c r="V20" i="146"/>
  <c r="AH19" i="146"/>
  <c r="AE19" i="146"/>
  <c r="AB19" i="146"/>
  <c r="Y19" i="146"/>
  <c r="V19" i="146"/>
  <c r="AH18" i="146"/>
  <c r="AE18" i="146"/>
  <c r="AB18" i="146"/>
  <c r="Y18" i="146"/>
  <c r="V18" i="146"/>
  <c r="AH17" i="146"/>
  <c r="AE17" i="146"/>
  <c r="AB17" i="146"/>
  <c r="Y17" i="146"/>
  <c r="V17" i="146"/>
  <c r="AH16" i="146"/>
  <c r="AE16" i="146"/>
  <c r="AB16" i="146"/>
  <c r="Y16" i="146"/>
  <c r="V16" i="146"/>
  <c r="AB46" i="8"/>
  <c r="AE46" i="8"/>
  <c r="AE45" i="8"/>
  <c r="AB37" i="8"/>
  <c r="AE37" i="8"/>
  <c r="AE36" i="8"/>
  <c r="E50" i="151"/>
  <c r="A5" i="151"/>
  <c r="A4" i="151"/>
  <c r="A3" i="151"/>
  <c r="A2" i="151"/>
  <c r="A1" i="151"/>
  <c r="G17" i="151"/>
  <c r="K17" i="151"/>
  <c r="G18" i="151"/>
  <c r="K18" i="151"/>
  <c r="G19" i="151"/>
  <c r="K19" i="151"/>
  <c r="G20" i="151"/>
  <c r="K20" i="151"/>
  <c r="G21" i="151"/>
  <c r="K21" i="151"/>
  <c r="G22" i="151"/>
  <c r="K22" i="151"/>
  <c r="G23" i="151"/>
  <c r="K23" i="151"/>
  <c r="G24" i="151"/>
  <c r="K24" i="151"/>
  <c r="G25" i="151"/>
  <c r="K25" i="151"/>
  <c r="G26" i="151"/>
  <c r="K26" i="151"/>
  <c r="G27" i="151"/>
  <c r="K27" i="151"/>
  <c r="G28" i="151"/>
  <c r="K28" i="151"/>
  <c r="G29" i="151"/>
  <c r="K29" i="151"/>
  <c r="G30" i="151"/>
  <c r="K30" i="151"/>
  <c r="G31" i="151"/>
  <c r="K31" i="151"/>
  <c r="G32" i="151"/>
  <c r="K32" i="151"/>
  <c r="G33" i="151"/>
  <c r="K33" i="151"/>
  <c r="G34" i="151"/>
  <c r="K34" i="151"/>
  <c r="G35" i="151"/>
  <c r="K35" i="151"/>
  <c r="G36" i="151"/>
  <c r="K36" i="151"/>
  <c r="G37" i="151"/>
  <c r="K37" i="151"/>
  <c r="G38" i="151"/>
  <c r="K38" i="151"/>
  <c r="G39" i="151"/>
  <c r="K39" i="151"/>
  <c r="G40" i="151"/>
  <c r="K40" i="151"/>
  <c r="G41" i="151"/>
  <c r="K41" i="151"/>
  <c r="G42" i="151"/>
  <c r="K42" i="151"/>
  <c r="G43" i="151"/>
  <c r="K43" i="151"/>
  <c r="G44" i="151"/>
  <c r="K44" i="151"/>
  <c r="G45" i="151"/>
  <c r="K45" i="151"/>
  <c r="G46" i="151"/>
  <c r="K46" i="151"/>
  <c r="G47" i="151"/>
  <c r="K47" i="151"/>
  <c r="G48" i="151"/>
  <c r="K48" i="151"/>
  <c r="G49" i="151"/>
  <c r="K49" i="151"/>
  <c r="G16" i="151"/>
  <c r="K16" i="151"/>
  <c r="B1" i="150"/>
  <c r="R23" i="147"/>
  <c r="O23" i="147"/>
  <c r="L23" i="147"/>
  <c r="I23" i="147"/>
  <c r="O35" i="148"/>
  <c r="L35" i="148"/>
  <c r="I35" i="148"/>
  <c r="F35" i="148"/>
  <c r="C35" i="148"/>
  <c r="H140" i="145"/>
  <c r="B137" i="145"/>
  <c r="A1" i="147"/>
  <c r="A5" i="146"/>
  <c r="A4" i="146"/>
  <c r="A3" i="146"/>
  <c r="A2" i="146"/>
  <c r="A1" i="146"/>
  <c r="A5" i="141"/>
  <c r="A4" i="141"/>
  <c r="A3" i="141"/>
  <c r="A2" i="141"/>
  <c r="A1" i="141"/>
  <c r="A5" i="148"/>
  <c r="A4" i="148"/>
  <c r="A3" i="148"/>
  <c r="A2" i="148"/>
  <c r="A1" i="148"/>
  <c r="B5" i="149"/>
  <c r="B4" i="149"/>
  <c r="B3" i="149"/>
  <c r="B2" i="149"/>
  <c r="B1" i="149"/>
  <c r="G114" i="145"/>
  <c r="R15" i="147"/>
  <c r="O15" i="147"/>
  <c r="L15" i="147"/>
  <c r="I15" i="147"/>
  <c r="F26" i="147"/>
  <c r="Q32" i="148"/>
  <c r="N9" i="148"/>
  <c r="K9" i="148"/>
  <c r="H9" i="148"/>
  <c r="E9" i="148"/>
  <c r="B9" i="148"/>
  <c r="F48" i="147"/>
  <c r="U32" i="147"/>
  <c r="Q45" i="146"/>
  <c r="N45" i="146"/>
  <c r="K45" i="146"/>
  <c r="H45" i="146"/>
  <c r="E45" i="146"/>
  <c r="S42" i="146"/>
  <c r="P42" i="146"/>
  <c r="M42" i="146"/>
  <c r="J42" i="146"/>
  <c r="G42" i="146"/>
  <c r="S41" i="146"/>
  <c r="P41" i="146"/>
  <c r="M41" i="146"/>
  <c r="J41" i="146"/>
  <c r="G41" i="146"/>
  <c r="S40" i="146"/>
  <c r="P40" i="146"/>
  <c r="G40" i="146"/>
  <c r="J40" i="146"/>
  <c r="M40" i="146"/>
  <c r="Q30" i="146"/>
  <c r="N30" i="146"/>
  <c r="K30" i="146"/>
  <c r="H30" i="146"/>
  <c r="E30" i="146"/>
  <c r="S27" i="146"/>
  <c r="P27" i="146"/>
  <c r="M27" i="146"/>
  <c r="J27" i="146"/>
  <c r="G27" i="146"/>
  <c r="S26" i="146"/>
  <c r="P26" i="146"/>
  <c r="M26" i="146"/>
  <c r="J26" i="146"/>
  <c r="G26" i="146"/>
  <c r="S25" i="146"/>
  <c r="P25" i="146"/>
  <c r="M25" i="146"/>
  <c r="J25" i="146"/>
  <c r="G25" i="146"/>
  <c r="S24" i="146"/>
  <c r="P24" i="146"/>
  <c r="M24" i="146"/>
  <c r="J24" i="146"/>
  <c r="G24" i="146"/>
  <c r="S22" i="146"/>
  <c r="P22" i="146"/>
  <c r="M22" i="146"/>
  <c r="J22" i="146"/>
  <c r="G22" i="146"/>
  <c r="S21" i="146"/>
  <c r="P21" i="146"/>
  <c r="M21" i="146"/>
  <c r="J21" i="146"/>
  <c r="G21" i="146"/>
  <c r="S20" i="146"/>
  <c r="P20" i="146"/>
  <c r="M20" i="146"/>
  <c r="J20" i="146"/>
  <c r="G20" i="146"/>
  <c r="S19" i="146"/>
  <c r="P19" i="146"/>
  <c r="M19" i="146"/>
  <c r="J19" i="146"/>
  <c r="G19" i="146"/>
  <c r="S18" i="146"/>
  <c r="P18" i="146"/>
  <c r="M18" i="146"/>
  <c r="J18" i="146"/>
  <c r="G18" i="146"/>
  <c r="S17" i="146"/>
  <c r="P17" i="146"/>
  <c r="M17" i="146"/>
  <c r="J17" i="146"/>
  <c r="G17" i="146"/>
  <c r="S16" i="146"/>
  <c r="P16" i="146"/>
  <c r="M16" i="146"/>
  <c r="J16" i="146"/>
  <c r="G16" i="146"/>
  <c r="AK16" i="146"/>
  <c r="D31" i="146"/>
  <c r="D32" i="146"/>
  <c r="D33" i="146"/>
  <c r="D48" i="146"/>
  <c r="D47" i="146"/>
  <c r="D46" i="146"/>
  <c r="R17" i="147"/>
  <c r="L17" i="147"/>
  <c r="I17" i="147"/>
  <c r="F17" i="147"/>
  <c r="D69" i="8"/>
  <c r="E69" i="8"/>
  <c r="F68" i="8"/>
  <c r="F67" i="8"/>
  <c r="F66" i="8"/>
  <c r="J27" i="8"/>
  <c r="M27" i="8"/>
  <c r="P27" i="8"/>
  <c r="S27" i="8"/>
  <c r="V27" i="8"/>
  <c r="Y27" i="8"/>
  <c r="AB27" i="8"/>
  <c r="AE27" i="8"/>
  <c r="AH27" i="8"/>
  <c r="A228" i="141"/>
  <c r="A227" i="141"/>
  <c r="A226" i="141"/>
  <c r="A225" i="141"/>
  <c r="A224" i="141"/>
  <c r="A223" i="141"/>
  <c r="A222" i="141"/>
  <c r="A214" i="141"/>
  <c r="A207" i="141"/>
  <c r="A200" i="141"/>
  <c r="A193" i="141"/>
  <c r="A192" i="141"/>
  <c r="A116" i="141"/>
  <c r="A28" i="141"/>
  <c r="A27" i="141"/>
  <c r="A20" i="141"/>
  <c r="A12" i="141"/>
  <c r="C215" i="141"/>
  <c r="C216" i="141"/>
  <c r="C217" i="141"/>
  <c r="C218" i="141"/>
  <c r="C219" i="141"/>
  <c r="C195" i="141"/>
  <c r="C196" i="141"/>
  <c r="C194" i="141"/>
  <c r="C197" i="141"/>
  <c r="C198" i="141"/>
  <c r="A195" i="141"/>
  <c r="A196" i="141"/>
  <c r="A197" i="141"/>
  <c r="A198" i="141"/>
  <c r="A194" i="141"/>
  <c r="A215" i="141"/>
  <c r="A216" i="141"/>
  <c r="A217" i="141"/>
  <c r="A218" i="141"/>
  <c r="A219" i="141"/>
  <c r="B37" i="142"/>
  <c r="B38" i="142"/>
  <c r="B39" i="142"/>
  <c r="E17" i="142"/>
  <c r="C201" i="141"/>
  <c r="C202" i="141"/>
  <c r="F202" i="141"/>
  <c r="I202" i="141"/>
  <c r="L202" i="141"/>
  <c r="O202" i="141"/>
  <c r="C203" i="141"/>
  <c r="C204" i="141"/>
  <c r="C205" i="141"/>
  <c r="F201" i="141"/>
  <c r="I201" i="141"/>
  <c r="L201" i="141"/>
  <c r="O201" i="141"/>
  <c r="F203" i="141"/>
  <c r="F204" i="141"/>
  <c r="F205" i="141"/>
  <c r="I203" i="141"/>
  <c r="I204" i="141"/>
  <c r="I205" i="141"/>
  <c r="L203" i="141"/>
  <c r="O203" i="141"/>
  <c r="L204" i="141"/>
  <c r="L205" i="141"/>
  <c r="O204" i="141"/>
  <c r="O205" i="141"/>
  <c r="F215" i="141"/>
  <c r="I215" i="141"/>
  <c r="L215" i="141"/>
  <c r="O215" i="141"/>
  <c r="F216" i="141"/>
  <c r="I216" i="141"/>
  <c r="L216" i="141"/>
  <c r="O216" i="141"/>
  <c r="F217" i="141"/>
  <c r="I217" i="141"/>
  <c r="L217" i="141"/>
  <c r="O217" i="141"/>
  <c r="F218" i="141"/>
  <c r="I218" i="141"/>
  <c r="L218" i="141"/>
  <c r="O218" i="141"/>
  <c r="F219" i="141"/>
  <c r="I219" i="141"/>
  <c r="L219" i="141"/>
  <c r="O219" i="141"/>
  <c r="A205" i="141"/>
  <c r="A204" i="141"/>
  <c r="A203" i="141"/>
  <c r="A202" i="141"/>
  <c r="A201" i="141"/>
  <c r="O208" i="141"/>
  <c r="O209" i="141"/>
  <c r="O210" i="141"/>
  <c r="O211" i="141"/>
  <c r="O212" i="141"/>
  <c r="O194" i="141"/>
  <c r="O195" i="141"/>
  <c r="O196" i="141"/>
  <c r="O197" i="141"/>
  <c r="O198" i="141"/>
  <c r="F198" i="141"/>
  <c r="I198" i="141"/>
  <c r="L198" i="141"/>
  <c r="O117" i="141"/>
  <c r="O190" i="141"/>
  <c r="O29" i="141"/>
  <c r="O21" i="141"/>
  <c r="O22" i="141"/>
  <c r="O23" i="141"/>
  <c r="O24" i="141"/>
  <c r="O25" i="141"/>
  <c r="L208" i="141"/>
  <c r="L209" i="141"/>
  <c r="L210" i="141"/>
  <c r="L211" i="141"/>
  <c r="L212" i="141"/>
  <c r="L194" i="141"/>
  <c r="L195" i="141"/>
  <c r="L196" i="141"/>
  <c r="L197" i="141"/>
  <c r="F197" i="141"/>
  <c r="I197" i="141"/>
  <c r="L117" i="141"/>
  <c r="L190" i="141"/>
  <c r="L29" i="141"/>
  <c r="L21" i="141"/>
  <c r="C21" i="141"/>
  <c r="F21" i="141"/>
  <c r="I21" i="141"/>
  <c r="L22" i="141"/>
  <c r="L23" i="141"/>
  <c r="L24" i="141"/>
  <c r="L25" i="141"/>
  <c r="I208" i="141"/>
  <c r="I209" i="141"/>
  <c r="I210" i="141"/>
  <c r="I211" i="141"/>
  <c r="I212" i="141"/>
  <c r="I194" i="141"/>
  <c r="I195" i="141"/>
  <c r="I196" i="141"/>
  <c r="I117" i="141"/>
  <c r="I190" i="141"/>
  <c r="I29" i="141"/>
  <c r="I22" i="141"/>
  <c r="I23" i="141"/>
  <c r="I24" i="141"/>
  <c r="I25" i="141"/>
  <c r="F208" i="141"/>
  <c r="F209" i="141"/>
  <c r="F210" i="141"/>
  <c r="F211" i="141"/>
  <c r="F212" i="141"/>
  <c r="F194" i="141"/>
  <c r="F195" i="141"/>
  <c r="F196" i="141"/>
  <c r="F117" i="141"/>
  <c r="F190" i="141"/>
  <c r="F29" i="141"/>
  <c r="F22" i="141"/>
  <c r="F23" i="141"/>
  <c r="F24" i="141"/>
  <c r="F25" i="141"/>
  <c r="C208" i="141"/>
  <c r="C209" i="141"/>
  <c r="C210" i="141"/>
  <c r="C211" i="141"/>
  <c r="C212" i="141"/>
  <c r="C117" i="141"/>
  <c r="C190" i="141"/>
  <c r="C29" i="141"/>
  <c r="C22" i="141"/>
  <c r="C23" i="141"/>
  <c r="C24" i="141"/>
  <c r="C25" i="141"/>
  <c r="B52" i="142"/>
  <c r="B51" i="142"/>
  <c r="B50" i="142"/>
  <c r="B49" i="142"/>
  <c r="M44" i="142"/>
  <c r="K44" i="142"/>
  <c r="I44" i="142"/>
  <c r="G44" i="142"/>
  <c r="G40" i="142"/>
  <c r="I40" i="142"/>
  <c r="K40" i="142"/>
  <c r="M39" i="142"/>
  <c r="M38" i="142"/>
  <c r="M37" i="142"/>
  <c r="M36" i="142"/>
  <c r="B36" i="142"/>
  <c r="M24" i="142"/>
  <c r="K17" i="142"/>
  <c r="I17" i="142"/>
  <c r="G17" i="142"/>
  <c r="M9" i="142"/>
  <c r="M10" i="142"/>
  <c r="M11" i="142"/>
  <c r="K12" i="142"/>
  <c r="G12" i="142"/>
  <c r="E12" i="142"/>
  <c r="A209" i="141"/>
  <c r="A210" i="141"/>
  <c r="A211" i="141"/>
  <c r="A212" i="141"/>
  <c r="A190" i="141"/>
  <c r="A208" i="141"/>
  <c r="A117" i="141"/>
  <c r="A29" i="141"/>
  <c r="A22" i="141"/>
  <c r="A23" i="141"/>
  <c r="A24" i="141"/>
  <c r="A25" i="141"/>
  <c r="A21" i="141"/>
  <c r="B114" i="145"/>
  <c r="C15" i="149"/>
  <c r="R12" i="150"/>
  <c r="F23" i="147"/>
  <c r="O10" i="147"/>
  <c r="O32" i="147"/>
  <c r="F19" i="147"/>
  <c r="I37" i="147"/>
  <c r="C19" i="149"/>
  <c r="S19" i="149"/>
  <c r="O37" i="147"/>
  <c r="L37" i="147"/>
  <c r="R37" i="147"/>
  <c r="I53" i="142"/>
  <c r="K53" i="142"/>
  <c r="G53" i="142"/>
  <c r="M53" i="142"/>
  <c r="H55" i="155"/>
  <c r="K116" i="145"/>
  <c r="AK40" i="146"/>
  <c r="N37" i="159"/>
  <c r="I38" i="159"/>
  <c r="AK18" i="146"/>
  <c r="AK20" i="146"/>
  <c r="AK24" i="146"/>
  <c r="AK26" i="146"/>
  <c r="AK27" i="146"/>
  <c r="AK21" i="146"/>
  <c r="AK41" i="146"/>
  <c r="AK17" i="146"/>
  <c r="AK42" i="146"/>
  <c r="E15" i="160"/>
  <c r="AH46" i="8"/>
  <c r="F38" i="159"/>
  <c r="M40" i="142"/>
  <c r="AK19" i="146"/>
  <c r="AK25" i="146"/>
  <c r="D15" i="160"/>
  <c r="N28" i="159"/>
  <c r="K38" i="159"/>
  <c r="AK22" i="146"/>
  <c r="G50" i="151"/>
  <c r="N12" i="159"/>
  <c r="E36" i="8"/>
  <c r="P36" i="8"/>
  <c r="F69" i="8"/>
  <c r="E10" i="160"/>
  <c r="R31" i="161"/>
  <c r="R24" i="161"/>
  <c r="R30" i="161"/>
  <c r="R33" i="161"/>
  <c r="C10" i="160"/>
  <c r="K50" i="151"/>
  <c r="AH37" i="8"/>
  <c r="N20" i="159"/>
  <c r="E45" i="8"/>
  <c r="P45" i="8"/>
  <c r="R35" i="148"/>
  <c r="C55" i="142"/>
  <c r="C26" i="149"/>
  <c r="R135" i="141"/>
  <c r="R34" i="152"/>
  <c r="R31" i="155"/>
  <c r="F16" i="147"/>
  <c r="F9" i="141"/>
  <c r="F9" i="149"/>
  <c r="H9" i="146"/>
  <c r="O12" i="150"/>
  <c r="O13" i="152"/>
  <c r="L56" i="152"/>
  <c r="L53" i="155"/>
  <c r="R46" i="152"/>
  <c r="R43" i="155"/>
  <c r="U34" i="152"/>
  <c r="U31" i="155"/>
  <c r="U46" i="152"/>
  <c r="U43" i="155"/>
  <c r="R18" i="150"/>
  <c r="U52" i="152"/>
  <c r="U49" i="155"/>
  <c r="U56" i="152"/>
  <c r="U53" i="155"/>
  <c r="U55" i="152"/>
  <c r="I28" i="152"/>
  <c r="I25" i="155"/>
  <c r="I39" i="152"/>
  <c r="I36" i="155"/>
  <c r="O34" i="152"/>
  <c r="O31" i="155"/>
  <c r="I56" i="152"/>
  <c r="I53" i="155"/>
  <c r="O56" i="152"/>
  <c r="O53" i="155"/>
  <c r="U43" i="152"/>
  <c r="U40" i="155"/>
  <c r="R187" i="141"/>
  <c r="R131" i="141"/>
  <c r="R123" i="141"/>
  <c r="N9" i="146"/>
  <c r="R91" i="141"/>
  <c r="R83" i="141"/>
  <c r="R71" i="141"/>
  <c r="R31" i="141"/>
  <c r="R103" i="141"/>
  <c r="R94" i="141"/>
  <c r="R90" i="141"/>
  <c r="R62" i="141"/>
  <c r="R42" i="141"/>
  <c r="R110" i="141"/>
  <c r="R186" i="141"/>
  <c r="R174" i="141"/>
  <c r="R138" i="141"/>
  <c r="R126" i="141"/>
  <c r="R32" i="150"/>
  <c r="I34" i="150"/>
  <c r="O46" i="152"/>
  <c r="O43" i="155"/>
  <c r="U19" i="150"/>
  <c r="I37" i="150"/>
  <c r="O21" i="150"/>
  <c r="I54" i="152"/>
  <c r="I51" i="155"/>
  <c r="I18" i="150"/>
  <c r="U33" i="150"/>
  <c r="U34" i="156"/>
  <c r="I34" i="152"/>
  <c r="I31" i="155"/>
  <c r="C221" i="141"/>
  <c r="O43" i="152"/>
  <c r="O40" i="155"/>
  <c r="I47" i="152"/>
  <c r="I44" i="155"/>
  <c r="U26" i="147"/>
  <c r="R189" i="141"/>
  <c r="R181" i="141"/>
  <c r="R190" i="141"/>
  <c r="F225" i="141"/>
  <c r="I222" i="141"/>
  <c r="O223" i="141"/>
  <c r="R196" i="141"/>
  <c r="R218" i="141"/>
  <c r="R202" i="141"/>
  <c r="T22" i="148"/>
  <c r="R65" i="141"/>
  <c r="R57" i="141"/>
  <c r="R173" i="141"/>
  <c r="R161" i="141"/>
  <c r="U48" i="147"/>
  <c r="R154" i="141"/>
  <c r="R153" i="141"/>
  <c r="O29" i="150"/>
  <c r="R19" i="150"/>
  <c r="R33" i="150"/>
  <c r="U34" i="150"/>
  <c r="I29" i="152"/>
  <c r="I26" i="155"/>
  <c r="I41" i="152"/>
  <c r="I38" i="155"/>
  <c r="I50" i="152"/>
  <c r="I47" i="155"/>
  <c r="L34" i="152"/>
  <c r="R52" i="152"/>
  <c r="R49" i="155"/>
  <c r="L31" i="150"/>
  <c r="O33" i="150"/>
  <c r="R34" i="150"/>
  <c r="U37" i="150"/>
  <c r="I29" i="150"/>
  <c r="I32" i="150"/>
  <c r="I51" i="152"/>
  <c r="I48" i="155"/>
  <c r="R55" i="152"/>
  <c r="R52" i="155"/>
  <c r="O18" i="150"/>
  <c r="O34" i="150"/>
  <c r="R37" i="150"/>
  <c r="U39" i="150"/>
  <c r="I30" i="152"/>
  <c r="I33" i="150"/>
  <c r="I52" i="152"/>
  <c r="I49" i="155"/>
  <c r="L43" i="152"/>
  <c r="L40" i="155"/>
  <c r="R56" i="152"/>
  <c r="R53" i="155"/>
  <c r="O37" i="150"/>
  <c r="R39" i="150"/>
  <c r="R40" i="156"/>
  <c r="I31" i="150"/>
  <c r="I46" i="152"/>
  <c r="I43" i="155"/>
  <c r="I53" i="152"/>
  <c r="I50" i="155"/>
  <c r="L46" i="152"/>
  <c r="L43" i="155"/>
  <c r="O39" i="150"/>
  <c r="U15" i="150"/>
  <c r="U15" i="156"/>
  <c r="U29" i="150"/>
  <c r="I15" i="150"/>
  <c r="I15" i="156"/>
  <c r="R15" i="150"/>
  <c r="R15" i="156"/>
  <c r="R29" i="150"/>
  <c r="U16" i="150"/>
  <c r="U31" i="150"/>
  <c r="I16" i="150"/>
  <c r="I19" i="150"/>
  <c r="I36" i="152"/>
  <c r="I33" i="155"/>
  <c r="I39" i="150"/>
  <c r="L52" i="152"/>
  <c r="L49" i="155"/>
  <c r="O52" i="152"/>
  <c r="O49" i="155"/>
  <c r="R16" i="150"/>
  <c r="R31" i="150"/>
  <c r="U18" i="150"/>
  <c r="U32" i="150"/>
  <c r="I26" i="152"/>
  <c r="I23" i="155"/>
  <c r="I37" i="152"/>
  <c r="I34" i="155"/>
  <c r="I55" i="152"/>
  <c r="I52" i="155"/>
  <c r="L55" i="152"/>
  <c r="L52" i="155"/>
  <c r="O55" i="152"/>
  <c r="O52" i="155"/>
  <c r="R43" i="152"/>
  <c r="R40" i="155"/>
  <c r="R89" i="141"/>
  <c r="R61" i="141"/>
  <c r="R45" i="141"/>
  <c r="R33" i="141"/>
  <c r="R141" i="141"/>
  <c r="R129" i="141"/>
  <c r="R195" i="141"/>
  <c r="R73" i="141"/>
  <c r="R49" i="141"/>
  <c r="R185" i="141"/>
  <c r="R169" i="141"/>
  <c r="R137" i="141"/>
  <c r="R121" i="141"/>
  <c r="R25" i="141"/>
  <c r="R209" i="141"/>
  <c r="I228" i="141"/>
  <c r="I38" i="150"/>
  <c r="I31" i="152"/>
  <c r="I28" i="155"/>
  <c r="I42" i="152"/>
  <c r="I39" i="155"/>
  <c r="I43" i="152"/>
  <c r="I40" i="155"/>
  <c r="I20" i="152"/>
  <c r="I20" i="155"/>
  <c r="I40" i="152"/>
  <c r="I37" i="155"/>
  <c r="U22" i="150"/>
  <c r="O221" i="141"/>
  <c r="O230" i="141"/>
  <c r="L224" i="141"/>
  <c r="F223" i="141"/>
  <c r="R29" i="141"/>
  <c r="R204" i="141"/>
  <c r="R100" i="141"/>
  <c r="R96" i="141"/>
  <c r="R92" i="141"/>
  <c r="R88" i="141"/>
  <c r="R84" i="141"/>
  <c r="R80" i="141"/>
  <c r="R76" i="141"/>
  <c r="R72" i="141"/>
  <c r="R68" i="141"/>
  <c r="R64" i="141"/>
  <c r="R60" i="141"/>
  <c r="R56" i="141"/>
  <c r="R52" i="141"/>
  <c r="R48" i="141"/>
  <c r="R44" i="141"/>
  <c r="R40" i="141"/>
  <c r="R36" i="141"/>
  <c r="R108" i="141"/>
  <c r="R104" i="141"/>
  <c r="R188" i="141"/>
  <c r="R184" i="141"/>
  <c r="R172" i="141"/>
  <c r="R148" i="141"/>
  <c r="R23" i="141"/>
  <c r="R176" i="141"/>
  <c r="R164" i="141"/>
  <c r="R156" i="141"/>
  <c r="R128" i="141"/>
  <c r="F228" i="141"/>
  <c r="R15" i="141"/>
  <c r="R16" i="141"/>
  <c r="I13" i="152"/>
  <c r="R140" i="141"/>
  <c r="L12" i="156"/>
  <c r="L12" i="150"/>
  <c r="R97" i="141"/>
  <c r="R177" i="141"/>
  <c r="R162" i="141"/>
  <c r="R157" i="141"/>
  <c r="R180" i="141"/>
  <c r="R160" i="141"/>
  <c r="R152" i="141"/>
  <c r="R136" i="141"/>
  <c r="U23" i="147"/>
  <c r="R168" i="141"/>
  <c r="R144" i="141"/>
  <c r="R132" i="141"/>
  <c r="R124" i="141"/>
  <c r="L13" i="152"/>
  <c r="R198" i="141"/>
  <c r="R216" i="141"/>
  <c r="I10" i="147"/>
  <c r="I32" i="147"/>
  <c r="R95" i="141"/>
  <c r="R67" i="141"/>
  <c r="R43" i="141"/>
  <c r="R39" i="141"/>
  <c r="R107" i="141"/>
  <c r="R151" i="141"/>
  <c r="R139" i="141"/>
  <c r="Q22" i="148"/>
  <c r="R212" i="141"/>
  <c r="R22" i="141"/>
  <c r="R211" i="141"/>
  <c r="I223" i="141"/>
  <c r="I227" i="141"/>
  <c r="L227" i="141"/>
  <c r="O224" i="141"/>
  <c r="O225" i="141"/>
  <c r="R217" i="141"/>
  <c r="R215" i="141"/>
  <c r="O226" i="141"/>
  <c r="Q16" i="148"/>
  <c r="T14" i="148"/>
  <c r="Q30" i="148"/>
  <c r="T28" i="148"/>
  <c r="C230" i="141"/>
  <c r="C227" i="141"/>
  <c r="F224" i="141"/>
  <c r="F227" i="141"/>
  <c r="L223" i="141"/>
  <c r="L225" i="141"/>
  <c r="O222" i="141"/>
  <c r="O228" i="141"/>
  <c r="L226" i="141"/>
  <c r="R203" i="141"/>
  <c r="R102" i="141"/>
  <c r="R78" i="141"/>
  <c r="R58" i="141"/>
  <c r="R54" i="141"/>
  <c r="R51" i="141"/>
  <c r="R50" i="141"/>
  <c r="R30" i="141"/>
  <c r="R113" i="141"/>
  <c r="R182" i="141"/>
  <c r="R167" i="141"/>
  <c r="R142" i="141"/>
  <c r="R134" i="141"/>
  <c r="R130" i="141"/>
  <c r="R22" i="150"/>
  <c r="R21" i="150"/>
  <c r="U21" i="150"/>
  <c r="L32" i="150"/>
  <c r="O19" i="150"/>
  <c r="O31" i="150"/>
  <c r="L33" i="150"/>
  <c r="O32" i="150"/>
  <c r="L15" i="150"/>
  <c r="L34" i="150"/>
  <c r="L16" i="150"/>
  <c r="L37" i="150"/>
  <c r="L18" i="150"/>
  <c r="L39" i="150"/>
  <c r="L19" i="150"/>
  <c r="O15" i="150"/>
  <c r="O15" i="156"/>
  <c r="L29" i="150"/>
  <c r="O16" i="150"/>
  <c r="O22" i="150"/>
  <c r="I21" i="150"/>
  <c r="I21" i="152"/>
  <c r="I21" i="155"/>
  <c r="F37" i="147"/>
  <c r="U37" i="147"/>
  <c r="C225" i="141"/>
  <c r="R194" i="141"/>
  <c r="Q9" i="146"/>
  <c r="U13" i="155"/>
  <c r="O9" i="141"/>
  <c r="U13" i="152"/>
  <c r="R10" i="147"/>
  <c r="R32" i="147"/>
  <c r="U12" i="150"/>
  <c r="U12" i="156"/>
  <c r="O9" i="149"/>
  <c r="Q24" i="148"/>
  <c r="T24" i="148"/>
  <c r="F222" i="141"/>
  <c r="R21" i="141"/>
  <c r="R205" i="141"/>
  <c r="C226" i="141"/>
  <c r="R201" i="141"/>
  <c r="L221" i="141"/>
  <c r="R14" i="141"/>
  <c r="L230" i="141"/>
  <c r="F230" i="141"/>
  <c r="R17" i="141"/>
  <c r="F221" i="141"/>
  <c r="R32" i="141"/>
  <c r="C223" i="141"/>
  <c r="R120" i="141"/>
  <c r="C224" i="141"/>
  <c r="R117" i="141"/>
  <c r="O17" i="147"/>
  <c r="U17" i="147"/>
  <c r="L228" i="141"/>
  <c r="R208" i="141"/>
  <c r="F15" i="147"/>
  <c r="U15" i="147"/>
  <c r="I9" i="149"/>
  <c r="O13" i="155"/>
  <c r="K9" i="146"/>
  <c r="O12" i="156"/>
  <c r="L10" i="147"/>
  <c r="L32" i="147"/>
  <c r="R210" i="141"/>
  <c r="R197" i="141"/>
  <c r="I226" i="141"/>
  <c r="T18" i="148"/>
  <c r="Q26" i="148"/>
  <c r="R99" i="141"/>
  <c r="R87" i="141"/>
  <c r="R79" i="141"/>
  <c r="R75" i="141"/>
  <c r="R63" i="141"/>
  <c r="R59" i="141"/>
  <c r="R55" i="141"/>
  <c r="R47" i="141"/>
  <c r="R35" i="141"/>
  <c r="R112" i="141"/>
  <c r="R183" i="141"/>
  <c r="R179" i="141"/>
  <c r="R175" i="141"/>
  <c r="R171" i="141"/>
  <c r="R163" i="141"/>
  <c r="R159" i="141"/>
  <c r="R155" i="141"/>
  <c r="R147" i="141"/>
  <c r="R143" i="141"/>
  <c r="R127" i="141"/>
  <c r="R119" i="141"/>
  <c r="Q18" i="148"/>
  <c r="C222" i="141"/>
  <c r="R24" i="141"/>
  <c r="I224" i="141"/>
  <c r="L222" i="141"/>
  <c r="T26" i="148"/>
  <c r="I13" i="155"/>
  <c r="E9" i="146"/>
  <c r="I12" i="156"/>
  <c r="F10" i="147"/>
  <c r="F32" i="147"/>
  <c r="I12" i="150"/>
  <c r="C9" i="141"/>
  <c r="I225" i="141"/>
  <c r="R219" i="141"/>
  <c r="T16" i="148"/>
  <c r="R98" i="141"/>
  <c r="R82" i="141"/>
  <c r="R70" i="141"/>
  <c r="R46" i="141"/>
  <c r="R34" i="141"/>
  <c r="R106" i="141"/>
  <c r="R166" i="141"/>
  <c r="R158" i="141"/>
  <c r="R146" i="141"/>
  <c r="R122" i="141"/>
  <c r="R118" i="141"/>
  <c r="R18" i="141"/>
  <c r="T20" i="148"/>
  <c r="T30" i="148"/>
  <c r="R12" i="156"/>
  <c r="L9" i="141"/>
  <c r="R13" i="152"/>
  <c r="R111" i="141"/>
  <c r="F226" i="141"/>
  <c r="C228" i="141"/>
  <c r="I221" i="141"/>
  <c r="I230" i="141"/>
  <c r="Q20" i="148"/>
  <c r="Q14" i="148"/>
  <c r="R101" i="141"/>
  <c r="R93" i="141"/>
  <c r="R85" i="141"/>
  <c r="R81" i="141"/>
  <c r="R77" i="141"/>
  <c r="R69" i="141"/>
  <c r="R53" i="141"/>
  <c r="R41" i="141"/>
  <c r="R37" i="141"/>
  <c r="R109" i="141"/>
  <c r="R105" i="141"/>
  <c r="R114" i="141"/>
  <c r="R165" i="141"/>
  <c r="R149" i="141"/>
  <c r="R145" i="141"/>
  <c r="R133" i="141"/>
  <c r="R125" i="141"/>
  <c r="O227" i="141"/>
  <c r="Q28" i="148"/>
  <c r="R86" i="141"/>
  <c r="R74" i="141"/>
  <c r="R66" i="141"/>
  <c r="R38" i="141"/>
  <c r="R178" i="141"/>
  <c r="R170" i="141"/>
  <c r="R150" i="141"/>
  <c r="I22" i="150"/>
  <c r="I27" i="152"/>
  <c r="I24" i="155"/>
  <c r="L21" i="150"/>
  <c r="L22" i="150"/>
  <c r="F14" i="147"/>
  <c r="R22" i="152"/>
  <c r="B11" i="160"/>
  <c r="F11" i="160"/>
  <c r="F10" i="160"/>
  <c r="N38" i="159"/>
  <c r="E37" i="8"/>
  <c r="P37" i="8"/>
  <c r="E46" i="8"/>
  <c r="P46" i="8"/>
  <c r="H56" i="152"/>
  <c r="H53" i="155"/>
  <c r="S46" i="8"/>
  <c r="S37" i="8"/>
  <c r="F11" i="146"/>
  <c r="F46" i="146"/>
  <c r="R223" i="141"/>
  <c r="L33" i="152"/>
  <c r="L30" i="155"/>
  <c r="H18" i="150"/>
  <c r="I35" i="156"/>
  <c r="H21" i="150"/>
  <c r="R34" i="156"/>
  <c r="C20" i="149"/>
  <c r="I45" i="152"/>
  <c r="I41" i="155"/>
  <c r="I34" i="156"/>
  <c r="H43" i="152"/>
  <c r="H40" i="155"/>
  <c r="H39" i="150"/>
  <c r="O34" i="156"/>
  <c r="L31" i="155"/>
  <c r="H34" i="152"/>
  <c r="H31" i="155"/>
  <c r="I35" i="152"/>
  <c r="I32" i="155"/>
  <c r="H52" i="152"/>
  <c r="H49" i="155"/>
  <c r="I49" i="152"/>
  <c r="U52" i="155"/>
  <c r="U40" i="156"/>
  <c r="F39" i="147"/>
  <c r="I36" i="150"/>
  <c r="I37" i="156"/>
  <c r="C29" i="149"/>
  <c r="H37" i="150"/>
  <c r="I18" i="147"/>
  <c r="H34" i="150"/>
  <c r="O40" i="156"/>
  <c r="L49" i="152"/>
  <c r="L46" i="155"/>
  <c r="I19" i="152"/>
  <c r="I19" i="155"/>
  <c r="H55" i="152"/>
  <c r="H52" i="155"/>
  <c r="H19" i="150"/>
  <c r="H31" i="150"/>
  <c r="I23" i="152"/>
  <c r="I22" i="155"/>
  <c r="L38" i="150"/>
  <c r="L40" i="156"/>
  <c r="I40" i="156"/>
  <c r="I30" i="156"/>
  <c r="I27" i="155"/>
  <c r="H46" i="152"/>
  <c r="H43" i="155"/>
  <c r="R227" i="141"/>
  <c r="R221" i="141"/>
  <c r="H22" i="150"/>
  <c r="L34" i="156"/>
  <c r="H33" i="150"/>
  <c r="F19" i="149"/>
  <c r="H32" i="150"/>
  <c r="R228" i="141"/>
  <c r="H16" i="150"/>
  <c r="L44" i="152"/>
  <c r="L42" i="155"/>
  <c r="H29" i="150"/>
  <c r="L15" i="156"/>
  <c r="H15" i="156"/>
  <c r="H15" i="150"/>
  <c r="O45" i="147"/>
  <c r="R230" i="141"/>
  <c r="L36" i="150"/>
  <c r="L47" i="152"/>
  <c r="I48" i="152"/>
  <c r="L14" i="147"/>
  <c r="I38" i="152"/>
  <c r="R222" i="141"/>
  <c r="R224" i="141"/>
  <c r="I18" i="152"/>
  <c r="R225" i="141"/>
  <c r="R226" i="141"/>
  <c r="O17" i="152"/>
  <c r="L32" i="152"/>
  <c r="U32" i="152"/>
  <c r="R33" i="152"/>
  <c r="R30" i="155"/>
  <c r="O33" i="152"/>
  <c r="O30" i="155"/>
  <c r="U33" i="152"/>
  <c r="U30" i="155"/>
  <c r="O32" i="152"/>
  <c r="R91" i="161"/>
  <c r="F47" i="146"/>
  <c r="F32" i="146"/>
  <c r="F16" i="146"/>
  <c r="F21" i="146"/>
  <c r="F25" i="146"/>
  <c r="F18" i="146"/>
  <c r="F40" i="146"/>
  <c r="F48" i="146"/>
  <c r="F19" i="146"/>
  <c r="F26" i="146"/>
  <c r="F33" i="146"/>
  <c r="I11" i="146"/>
  <c r="I19" i="146"/>
  <c r="F24" i="146"/>
  <c r="F45" i="146"/>
  <c r="G45" i="146"/>
  <c r="F31" i="146"/>
  <c r="F30" i="146"/>
  <c r="G30" i="146"/>
  <c r="F20" i="146"/>
  <c r="F22" i="146"/>
  <c r="F17" i="146"/>
  <c r="F42" i="146"/>
  <c r="F41" i="146"/>
  <c r="F27" i="146"/>
  <c r="H34" i="156"/>
  <c r="F28" i="149"/>
  <c r="I33" i="156"/>
  <c r="F20" i="149"/>
  <c r="H40" i="156"/>
  <c r="I41" i="147"/>
  <c r="F29" i="149"/>
  <c r="I46" i="155"/>
  <c r="I39" i="156"/>
  <c r="I45" i="147"/>
  <c r="O36" i="150"/>
  <c r="I40" i="147"/>
  <c r="L45" i="147"/>
  <c r="R45" i="147"/>
  <c r="L50" i="152"/>
  <c r="L47" i="155"/>
  <c r="O54" i="152"/>
  <c r="O51" i="155"/>
  <c r="L27" i="152"/>
  <c r="L31" i="152"/>
  <c r="O36" i="152"/>
  <c r="O33" i="155"/>
  <c r="L35" i="152"/>
  <c r="L54" i="152"/>
  <c r="L51" i="152"/>
  <c r="L21" i="152"/>
  <c r="L23" i="152"/>
  <c r="L24" i="152"/>
  <c r="L25" i="152"/>
  <c r="L19" i="152"/>
  <c r="L19" i="155"/>
  <c r="L42" i="152"/>
  <c r="L36" i="152"/>
  <c r="O39" i="152"/>
  <c r="O36" i="155"/>
  <c r="F26" i="149"/>
  <c r="F15" i="149"/>
  <c r="L39" i="152"/>
  <c r="L20" i="152"/>
  <c r="O40" i="152"/>
  <c r="O37" i="155"/>
  <c r="L29" i="152"/>
  <c r="L48" i="152"/>
  <c r="L40" i="152"/>
  <c r="L37" i="155"/>
  <c r="O53" i="152"/>
  <c r="O50" i="155"/>
  <c r="O37" i="152"/>
  <c r="O34" i="155"/>
  <c r="O26" i="152"/>
  <c r="O23" i="155"/>
  <c r="O28" i="152"/>
  <c r="O25" i="155"/>
  <c r="L53" i="152"/>
  <c r="L37" i="152"/>
  <c r="L34" i="155"/>
  <c r="L38" i="152"/>
  <c r="L35" i="155"/>
  <c r="L30" i="152"/>
  <c r="L26" i="152"/>
  <c r="O50" i="152"/>
  <c r="O47" i="155"/>
  <c r="L28" i="152"/>
  <c r="O14" i="147"/>
  <c r="R14" i="147"/>
  <c r="O31" i="152"/>
  <c r="L18" i="152"/>
  <c r="O38" i="150"/>
  <c r="H18" i="152"/>
  <c r="H18" i="155"/>
  <c r="I18" i="155"/>
  <c r="I20" i="156"/>
  <c r="H20" i="156"/>
  <c r="O47" i="152"/>
  <c r="F41" i="147"/>
  <c r="I45" i="155"/>
  <c r="I38" i="156"/>
  <c r="I14" i="147"/>
  <c r="I15" i="152"/>
  <c r="I35" i="155"/>
  <c r="C24" i="149"/>
  <c r="C25" i="149"/>
  <c r="L37" i="156"/>
  <c r="L44" i="155"/>
  <c r="O19" i="156"/>
  <c r="O17" i="155"/>
  <c r="O22" i="152"/>
  <c r="R32" i="152"/>
  <c r="U22" i="152"/>
  <c r="L17" i="152"/>
  <c r="L22" i="152"/>
  <c r="I38" i="147"/>
  <c r="R17" i="152"/>
  <c r="I44" i="152"/>
  <c r="T22" i="152"/>
  <c r="S22" i="152"/>
  <c r="J22" i="152"/>
  <c r="P22" i="152"/>
  <c r="Q22" i="152"/>
  <c r="I22" i="152"/>
  <c r="M22" i="152"/>
  <c r="N22" i="152"/>
  <c r="V22" i="152"/>
  <c r="W22" i="152"/>
  <c r="K22" i="152"/>
  <c r="U29" i="155"/>
  <c r="U17" i="152"/>
  <c r="O29" i="155"/>
  <c r="L29" i="155"/>
  <c r="I33" i="146"/>
  <c r="I48" i="146"/>
  <c r="I41" i="146"/>
  <c r="I24" i="146"/>
  <c r="R111" i="161"/>
  <c r="I104" i="161"/>
  <c r="R110" i="161"/>
  <c r="R103" i="161"/>
  <c r="R108" i="161"/>
  <c r="R101" i="161"/>
  <c r="R100" i="161"/>
  <c r="R99" i="161"/>
  <c r="P97" i="161"/>
  <c r="I20" i="146"/>
  <c r="I21" i="146"/>
  <c r="I46" i="146"/>
  <c r="I27" i="146"/>
  <c r="I31" i="146"/>
  <c r="L11" i="146"/>
  <c r="L41" i="146"/>
  <c r="I17" i="146"/>
  <c r="I22" i="146"/>
  <c r="I25" i="146"/>
  <c r="I32" i="146"/>
  <c r="I16" i="146"/>
  <c r="I28" i="146"/>
  <c r="I42" i="146"/>
  <c r="I30" i="146"/>
  <c r="J30" i="146"/>
  <c r="I45" i="146"/>
  <c r="J45" i="146"/>
  <c r="I47" i="146"/>
  <c r="I40" i="146"/>
  <c r="I43" i="146"/>
  <c r="H48" i="146"/>
  <c r="J48" i="146"/>
  <c r="I18" i="146"/>
  <c r="F43" i="146"/>
  <c r="E48" i="146"/>
  <c r="G48" i="146"/>
  <c r="I26" i="146"/>
  <c r="F28" i="146"/>
  <c r="E31" i="146"/>
  <c r="G31" i="146"/>
  <c r="I14" i="150"/>
  <c r="I14" i="156"/>
  <c r="O41" i="152"/>
  <c r="O38" i="155"/>
  <c r="O49" i="152"/>
  <c r="L41" i="152"/>
  <c r="O48" i="152"/>
  <c r="L41" i="147"/>
  <c r="U49" i="152"/>
  <c r="U46" i="155"/>
  <c r="O18" i="147"/>
  <c r="R18" i="147"/>
  <c r="L45" i="152"/>
  <c r="L22" i="156"/>
  <c r="O44" i="152"/>
  <c r="O42" i="155"/>
  <c r="L38" i="147"/>
  <c r="O19" i="152"/>
  <c r="O19" i="155"/>
  <c r="O35" i="152"/>
  <c r="O32" i="155"/>
  <c r="I20" i="149"/>
  <c r="L51" i="155"/>
  <c r="O27" i="152"/>
  <c r="O24" i="155"/>
  <c r="L23" i="155"/>
  <c r="U37" i="152"/>
  <c r="I39" i="147"/>
  <c r="L36" i="147"/>
  <c r="R40" i="152"/>
  <c r="R37" i="155"/>
  <c r="U40" i="152"/>
  <c r="L20" i="155"/>
  <c r="L19" i="147"/>
  <c r="L21" i="155"/>
  <c r="U36" i="152"/>
  <c r="U33" i="155"/>
  <c r="O21" i="152"/>
  <c r="O21" i="155"/>
  <c r="U28" i="152"/>
  <c r="U25" i="155"/>
  <c r="O38" i="152"/>
  <c r="U14" i="147"/>
  <c r="U53" i="152"/>
  <c r="U50" i="155"/>
  <c r="I19" i="147"/>
  <c r="I26" i="149"/>
  <c r="U54" i="152"/>
  <c r="U51" i="155"/>
  <c r="L27" i="155"/>
  <c r="L30" i="156"/>
  <c r="L26" i="155"/>
  <c r="U29" i="152"/>
  <c r="U26" i="155"/>
  <c r="O20" i="152"/>
  <c r="O20" i="155"/>
  <c r="L33" i="155"/>
  <c r="L22" i="155"/>
  <c r="L24" i="155"/>
  <c r="L50" i="155"/>
  <c r="U26" i="152"/>
  <c r="U23" i="155"/>
  <c r="L38" i="156"/>
  <c r="L45" i="155"/>
  <c r="O29" i="152"/>
  <c r="O26" i="155"/>
  <c r="O30" i="152"/>
  <c r="L48" i="155"/>
  <c r="L35" i="156"/>
  <c r="L28" i="155"/>
  <c r="O51" i="152"/>
  <c r="O48" i="155"/>
  <c r="U31" i="152"/>
  <c r="L25" i="155"/>
  <c r="I16" i="147"/>
  <c r="L36" i="155"/>
  <c r="L16" i="147"/>
  <c r="U39" i="152"/>
  <c r="U36" i="155"/>
  <c r="L39" i="147"/>
  <c r="L39" i="155"/>
  <c r="L32" i="155"/>
  <c r="O42" i="152"/>
  <c r="O39" i="155"/>
  <c r="O23" i="152"/>
  <c r="O22" i="155"/>
  <c r="O24" i="152"/>
  <c r="O25" i="152"/>
  <c r="L32" i="156"/>
  <c r="L40" i="147"/>
  <c r="L39" i="156"/>
  <c r="O35" i="156"/>
  <c r="O28" i="155"/>
  <c r="R50" i="152"/>
  <c r="R47" i="155"/>
  <c r="U50" i="152"/>
  <c r="I15" i="149"/>
  <c r="O45" i="152"/>
  <c r="I34" i="147"/>
  <c r="F45" i="147"/>
  <c r="U45" i="147"/>
  <c r="U38" i="150"/>
  <c r="O18" i="152"/>
  <c r="I15" i="155"/>
  <c r="F34" i="147"/>
  <c r="L15" i="152"/>
  <c r="L20" i="156"/>
  <c r="L18" i="155"/>
  <c r="R36" i="150"/>
  <c r="R47" i="152"/>
  <c r="C28" i="149"/>
  <c r="U36" i="150"/>
  <c r="U47" i="152"/>
  <c r="U44" i="155"/>
  <c r="O37" i="156"/>
  <c r="O44" i="155"/>
  <c r="R38" i="150"/>
  <c r="F38" i="147"/>
  <c r="I32" i="152"/>
  <c r="I42" i="155"/>
  <c r="I36" i="147"/>
  <c r="R29" i="155"/>
  <c r="L19" i="156"/>
  <c r="L17" i="155"/>
  <c r="R19" i="156"/>
  <c r="R17" i="155"/>
  <c r="U19" i="156"/>
  <c r="U17" i="155"/>
  <c r="H22" i="152"/>
  <c r="I22" i="156"/>
  <c r="I33" i="152"/>
  <c r="I17" i="152"/>
  <c r="R97" i="161"/>
  <c r="L42" i="146"/>
  <c r="L17" i="146"/>
  <c r="L19" i="146"/>
  <c r="L26" i="146"/>
  <c r="H33" i="146"/>
  <c r="J33" i="146"/>
  <c r="L31" i="146"/>
  <c r="L24" i="146"/>
  <c r="H46" i="146"/>
  <c r="J46" i="146"/>
  <c r="B15" i="160"/>
  <c r="F15" i="160"/>
  <c r="H47" i="146"/>
  <c r="J47" i="146"/>
  <c r="L27" i="146"/>
  <c r="L47" i="146"/>
  <c r="L30" i="146"/>
  <c r="M30" i="146"/>
  <c r="L40" i="146"/>
  <c r="L43" i="146"/>
  <c r="L20" i="146"/>
  <c r="L48" i="146"/>
  <c r="L46" i="146"/>
  <c r="L22" i="146"/>
  <c r="L18" i="146"/>
  <c r="L16" i="146"/>
  <c r="L28" i="146"/>
  <c r="L33" i="146"/>
  <c r="L45" i="146"/>
  <c r="M45" i="146"/>
  <c r="L25" i="146"/>
  <c r="I112" i="161"/>
  <c r="R93" i="161"/>
  <c r="O112" i="161"/>
  <c r="O140" i="161"/>
  <c r="I94" i="161"/>
  <c r="I140" i="161"/>
  <c r="R92" i="161"/>
  <c r="R98" i="161"/>
  <c r="R89" i="161"/>
  <c r="C12" i="160"/>
  <c r="D12" i="160"/>
  <c r="E12" i="160"/>
  <c r="L32" i="146"/>
  <c r="K32" i="146"/>
  <c r="M32" i="146"/>
  <c r="L21" i="146"/>
  <c r="O11" i="146"/>
  <c r="R11" i="146"/>
  <c r="R24" i="146"/>
  <c r="H31" i="146"/>
  <c r="J31" i="146"/>
  <c r="H32" i="146"/>
  <c r="J32" i="146"/>
  <c r="E47" i="146"/>
  <c r="G47" i="146"/>
  <c r="E46" i="146"/>
  <c r="G46" i="146"/>
  <c r="D45" i="146"/>
  <c r="D30" i="146"/>
  <c r="E33" i="146"/>
  <c r="G33" i="146"/>
  <c r="E32" i="146"/>
  <c r="G32" i="146"/>
  <c r="O32" i="146"/>
  <c r="C13" i="149"/>
  <c r="C12" i="149"/>
  <c r="L14" i="150"/>
  <c r="I41" i="150"/>
  <c r="R29" i="152"/>
  <c r="R26" i="155"/>
  <c r="U51" i="152"/>
  <c r="U48" i="155"/>
  <c r="O26" i="149"/>
  <c r="L33" i="156"/>
  <c r="L41" i="155"/>
  <c r="L18" i="147"/>
  <c r="U18" i="147"/>
  <c r="U35" i="152"/>
  <c r="U32" i="155"/>
  <c r="F13" i="149"/>
  <c r="L38" i="155"/>
  <c r="O46" i="155"/>
  <c r="I29" i="149"/>
  <c r="R41" i="152"/>
  <c r="R38" i="155"/>
  <c r="U41" i="152"/>
  <c r="U38" i="155"/>
  <c r="R49" i="152"/>
  <c r="R46" i="155"/>
  <c r="I16" i="152"/>
  <c r="I16" i="155"/>
  <c r="O28" i="149"/>
  <c r="O39" i="156"/>
  <c r="R35" i="152"/>
  <c r="O15" i="149"/>
  <c r="U45" i="152"/>
  <c r="O39" i="147"/>
  <c r="R19" i="152"/>
  <c r="R53" i="152"/>
  <c r="R36" i="152"/>
  <c r="O22" i="156"/>
  <c r="R19" i="147"/>
  <c r="U48" i="152"/>
  <c r="O40" i="147"/>
  <c r="L15" i="149"/>
  <c r="S15" i="149"/>
  <c r="R45" i="152"/>
  <c r="R39" i="147"/>
  <c r="U38" i="152"/>
  <c r="U35" i="155"/>
  <c r="R48" i="152"/>
  <c r="O30" i="156"/>
  <c r="O27" i="155"/>
  <c r="R37" i="156"/>
  <c r="H50" i="152"/>
  <c r="H47" i="155"/>
  <c r="U47" i="155"/>
  <c r="R16" i="147"/>
  <c r="R26" i="152"/>
  <c r="U19" i="152"/>
  <c r="U19" i="155"/>
  <c r="U20" i="152"/>
  <c r="R38" i="152"/>
  <c r="R35" i="155"/>
  <c r="O38" i="156"/>
  <c r="O45" i="155"/>
  <c r="L20" i="149"/>
  <c r="S20" i="149"/>
  <c r="R20" i="152"/>
  <c r="O35" i="155"/>
  <c r="R21" i="152"/>
  <c r="R21" i="155"/>
  <c r="O20" i="149"/>
  <c r="U27" i="152"/>
  <c r="U24" i="155"/>
  <c r="R38" i="147"/>
  <c r="U42" i="152"/>
  <c r="U39" i="155"/>
  <c r="U30" i="152"/>
  <c r="I19" i="149"/>
  <c r="U21" i="152"/>
  <c r="U21" i="155"/>
  <c r="R27" i="152"/>
  <c r="R24" i="155"/>
  <c r="U35" i="156"/>
  <c r="U28" i="155"/>
  <c r="U23" i="152"/>
  <c r="U22" i="155"/>
  <c r="U24" i="152"/>
  <c r="U25" i="152"/>
  <c r="O32" i="156"/>
  <c r="L26" i="149"/>
  <c r="R30" i="152"/>
  <c r="H30" i="152"/>
  <c r="H27" i="155"/>
  <c r="R28" i="152"/>
  <c r="U34" i="155"/>
  <c r="U44" i="152"/>
  <c r="U42" i="155"/>
  <c r="O36" i="147"/>
  <c r="R51" i="152"/>
  <c r="R48" i="155"/>
  <c r="L28" i="149"/>
  <c r="O33" i="156"/>
  <c r="O41" i="155"/>
  <c r="R40" i="147"/>
  <c r="R39" i="152"/>
  <c r="R42" i="152"/>
  <c r="R39" i="155"/>
  <c r="R31" i="152"/>
  <c r="R24" i="152"/>
  <c r="R25" i="152"/>
  <c r="R23" i="152"/>
  <c r="R22" i="155"/>
  <c r="H29" i="152"/>
  <c r="H26" i="155"/>
  <c r="R54" i="152"/>
  <c r="H40" i="152"/>
  <c r="H37" i="155"/>
  <c r="U37" i="155"/>
  <c r="L29" i="149"/>
  <c r="R37" i="152"/>
  <c r="R34" i="155"/>
  <c r="R44" i="152"/>
  <c r="R36" i="147"/>
  <c r="S25" i="141"/>
  <c r="V25" i="141"/>
  <c r="S201" i="141"/>
  <c r="S15" i="141"/>
  <c r="V15" i="141"/>
  <c r="R44" i="155"/>
  <c r="H47" i="152"/>
  <c r="H44" i="155"/>
  <c r="H36" i="150"/>
  <c r="S24" i="141"/>
  <c r="V24" i="141"/>
  <c r="C14" i="149"/>
  <c r="S204" i="141"/>
  <c r="V204" i="141"/>
  <c r="U37" i="156"/>
  <c r="F12" i="147"/>
  <c r="I25" i="149"/>
  <c r="O15" i="152"/>
  <c r="S189" i="141"/>
  <c r="V189" i="141"/>
  <c r="O20" i="156"/>
  <c r="O18" i="155"/>
  <c r="I17" i="156"/>
  <c r="S202" i="141"/>
  <c r="V202" i="141"/>
  <c r="U18" i="152"/>
  <c r="R18" i="152"/>
  <c r="S203" i="141"/>
  <c r="V203" i="141"/>
  <c r="R33" i="146"/>
  <c r="R19" i="146"/>
  <c r="L14" i="156"/>
  <c r="L15" i="155"/>
  <c r="H38" i="150"/>
  <c r="H33" i="152"/>
  <c r="H30" i="155"/>
  <c r="I30" i="155"/>
  <c r="I32" i="156"/>
  <c r="H32" i="152"/>
  <c r="H29" i="155"/>
  <c r="I29" i="155"/>
  <c r="F36" i="147"/>
  <c r="F40" i="147"/>
  <c r="H17" i="152"/>
  <c r="H17" i="155"/>
  <c r="I17" i="155"/>
  <c r="I19" i="156"/>
  <c r="O19" i="146"/>
  <c r="K31" i="146"/>
  <c r="M31" i="146"/>
  <c r="K48" i="146"/>
  <c r="M48" i="146"/>
  <c r="R48" i="146"/>
  <c r="R25" i="146"/>
  <c r="K33" i="146"/>
  <c r="M33" i="146"/>
  <c r="O17" i="146"/>
  <c r="O47" i="146"/>
  <c r="O31" i="146"/>
  <c r="O24" i="146"/>
  <c r="R20" i="146"/>
  <c r="R47" i="146"/>
  <c r="O27" i="146"/>
  <c r="O48" i="146"/>
  <c r="R21" i="146"/>
  <c r="R27" i="146"/>
  <c r="U11" i="146"/>
  <c r="U18" i="146"/>
  <c r="O41" i="146"/>
  <c r="O22" i="146"/>
  <c r="R46" i="146"/>
  <c r="O45" i="146"/>
  <c r="P45" i="146"/>
  <c r="R31" i="146"/>
  <c r="R22" i="146"/>
  <c r="R26" i="146"/>
  <c r="R17" i="146"/>
  <c r="O25" i="146"/>
  <c r="R40" i="146"/>
  <c r="R43" i="146"/>
  <c r="Q48" i="146"/>
  <c r="S48" i="146"/>
  <c r="R41" i="146"/>
  <c r="R42" i="146"/>
  <c r="O21" i="146"/>
  <c r="O40" i="146"/>
  <c r="O43" i="146"/>
  <c r="N48" i="146"/>
  <c r="P48" i="146"/>
  <c r="O16" i="146"/>
  <c r="O28" i="146"/>
  <c r="R30" i="146"/>
  <c r="S30" i="146"/>
  <c r="K46" i="146"/>
  <c r="M46" i="146"/>
  <c r="O26" i="146"/>
  <c r="O46" i="146"/>
  <c r="R45" i="146"/>
  <c r="S45" i="146"/>
  <c r="R32" i="146"/>
  <c r="R16" i="146"/>
  <c r="R28" i="146"/>
  <c r="R18" i="146"/>
  <c r="K47" i="146"/>
  <c r="M47" i="146"/>
  <c r="O20" i="146"/>
  <c r="O18" i="146"/>
  <c r="O33" i="146"/>
  <c r="O42" i="146"/>
  <c r="O30" i="146"/>
  <c r="P30" i="146"/>
  <c r="R107" i="161"/>
  <c r="R90" i="161"/>
  <c r="S26" i="149"/>
  <c r="H25" i="152"/>
  <c r="U39" i="156"/>
  <c r="F14" i="149"/>
  <c r="F12" i="149"/>
  <c r="U15" i="152"/>
  <c r="O14" i="150"/>
  <c r="L41" i="150"/>
  <c r="C17" i="149"/>
  <c r="U39" i="147"/>
  <c r="N46" i="146"/>
  <c r="P46" i="146"/>
  <c r="H45" i="152"/>
  <c r="H41" i="155"/>
  <c r="O29" i="149"/>
  <c r="S29" i="149"/>
  <c r="O41" i="147"/>
  <c r="S210" i="141"/>
  <c r="V210" i="141"/>
  <c r="H24" i="152"/>
  <c r="S87" i="141"/>
  <c r="V87" i="141"/>
  <c r="R41" i="147"/>
  <c r="I58" i="152"/>
  <c r="H58" i="152"/>
  <c r="S68" i="141"/>
  <c r="V68" i="141"/>
  <c r="I55" i="155"/>
  <c r="S125" i="141"/>
  <c r="V125" i="141"/>
  <c r="S164" i="141"/>
  <c r="V164" i="141"/>
  <c r="H49" i="152"/>
  <c r="H46" i="155"/>
  <c r="S109" i="141"/>
  <c r="V109" i="141"/>
  <c r="S29" i="141"/>
  <c r="U40" i="147"/>
  <c r="S205" i="141"/>
  <c r="V205" i="141"/>
  <c r="H41" i="152"/>
  <c r="H38" i="155"/>
  <c r="S119" i="141"/>
  <c r="V119" i="141"/>
  <c r="S59" i="141"/>
  <c r="V59" i="141"/>
  <c r="S130" i="141"/>
  <c r="V130" i="141"/>
  <c r="S107" i="141"/>
  <c r="V107" i="141"/>
  <c r="S74" i="141"/>
  <c r="V74" i="141"/>
  <c r="S110" i="141"/>
  <c r="V110" i="141"/>
  <c r="S97" i="141"/>
  <c r="V97" i="141"/>
  <c r="S69" i="141"/>
  <c r="V69" i="141"/>
  <c r="S91" i="141"/>
  <c r="V91" i="141"/>
  <c r="S103" i="141"/>
  <c r="V103" i="141"/>
  <c r="S77" i="141"/>
  <c r="V77" i="141"/>
  <c r="S106" i="141"/>
  <c r="V106" i="141"/>
  <c r="R35" i="156"/>
  <c r="H35" i="156"/>
  <c r="R28" i="155"/>
  <c r="H31" i="152"/>
  <c r="H28" i="155"/>
  <c r="S134" i="141"/>
  <c r="V134" i="141"/>
  <c r="S96" i="141"/>
  <c r="V96" i="141"/>
  <c r="S127" i="141"/>
  <c r="V127" i="141"/>
  <c r="S166" i="141"/>
  <c r="V166" i="141"/>
  <c r="S172" i="141"/>
  <c r="V172" i="141"/>
  <c r="S44" i="141"/>
  <c r="V44" i="141"/>
  <c r="S57" i="141"/>
  <c r="V57" i="141"/>
  <c r="S41" i="141"/>
  <c r="V41" i="141"/>
  <c r="R27" i="155"/>
  <c r="R30" i="156"/>
  <c r="U36" i="147"/>
  <c r="S42" i="141"/>
  <c r="V42" i="141"/>
  <c r="S23" i="141"/>
  <c r="V23" i="141"/>
  <c r="S148" i="141"/>
  <c r="V148" i="141"/>
  <c r="S34" i="141"/>
  <c r="V34" i="141"/>
  <c r="S93" i="141"/>
  <c r="V93" i="141"/>
  <c r="H37" i="156"/>
  <c r="S126" i="141"/>
  <c r="V126" i="141"/>
  <c r="H23" i="152"/>
  <c r="H22" i="155"/>
  <c r="U32" i="156"/>
  <c r="H37" i="152"/>
  <c r="H34" i="155"/>
  <c r="H51" i="152"/>
  <c r="H48" i="155"/>
  <c r="H42" i="152"/>
  <c r="H39" i="155"/>
  <c r="R36" i="155"/>
  <c r="H39" i="152"/>
  <c r="H36" i="155"/>
  <c r="O19" i="147"/>
  <c r="U19" i="147"/>
  <c r="R32" i="155"/>
  <c r="H35" i="152"/>
  <c r="H32" i="155"/>
  <c r="R32" i="156"/>
  <c r="O38" i="147"/>
  <c r="U38" i="147"/>
  <c r="R23" i="155"/>
  <c r="H26" i="152"/>
  <c r="H23" i="155"/>
  <c r="R38" i="156"/>
  <c r="R45" i="155"/>
  <c r="O19" i="149"/>
  <c r="H48" i="152"/>
  <c r="H45" i="155"/>
  <c r="R50" i="155"/>
  <c r="H53" i="152"/>
  <c r="H50" i="155"/>
  <c r="R25" i="155"/>
  <c r="H28" i="152"/>
  <c r="H25" i="155"/>
  <c r="O16" i="147"/>
  <c r="U16" i="147"/>
  <c r="R33" i="156"/>
  <c r="R41" i="155"/>
  <c r="S54" i="141"/>
  <c r="V54" i="141"/>
  <c r="S163" i="141"/>
  <c r="V163" i="141"/>
  <c r="S146" i="141"/>
  <c r="V146" i="141"/>
  <c r="S65" i="141"/>
  <c r="V65" i="141"/>
  <c r="S46" i="141"/>
  <c r="V46" i="141"/>
  <c r="S187" i="141"/>
  <c r="V187" i="141"/>
  <c r="R20" i="155"/>
  <c r="R22" i="156"/>
  <c r="H27" i="152"/>
  <c r="H24" i="155"/>
  <c r="R33" i="155"/>
  <c r="H36" i="152"/>
  <c r="H33" i="155"/>
  <c r="R42" i="155"/>
  <c r="H44" i="152"/>
  <c r="H42" i="155"/>
  <c r="U30" i="156"/>
  <c r="U27" i="155"/>
  <c r="H21" i="152"/>
  <c r="H21" i="155"/>
  <c r="L19" i="149"/>
  <c r="U41" i="155"/>
  <c r="U33" i="156"/>
  <c r="S39" i="141"/>
  <c r="V39" i="141"/>
  <c r="S63" i="141"/>
  <c r="V63" i="141"/>
  <c r="S135" i="141"/>
  <c r="V135" i="141"/>
  <c r="S43" i="141"/>
  <c r="V43" i="141"/>
  <c r="S113" i="141"/>
  <c r="V113" i="141"/>
  <c r="S190" i="141"/>
  <c r="V190" i="141"/>
  <c r="U20" i="155"/>
  <c r="U22" i="156"/>
  <c r="I28" i="149"/>
  <c r="S28" i="149"/>
  <c r="U38" i="156"/>
  <c r="U45" i="155"/>
  <c r="R19" i="155"/>
  <c r="H19" i="152"/>
  <c r="H19" i="155"/>
  <c r="R51" i="155"/>
  <c r="H54" i="152"/>
  <c r="H51" i="155"/>
  <c r="R39" i="156"/>
  <c r="H39" i="156"/>
  <c r="S169" i="141"/>
  <c r="V169" i="141"/>
  <c r="S58" i="141"/>
  <c r="V58" i="141"/>
  <c r="S138" i="141"/>
  <c r="V138" i="141"/>
  <c r="S112" i="141"/>
  <c r="V112" i="141"/>
  <c r="H20" i="152"/>
  <c r="H20" i="155"/>
  <c r="H38" i="152"/>
  <c r="H35" i="155"/>
  <c r="S145" i="141"/>
  <c r="V145" i="141"/>
  <c r="S40" i="141"/>
  <c r="V40" i="141"/>
  <c r="S104" i="141"/>
  <c r="V104" i="141"/>
  <c r="S75" i="141"/>
  <c r="V75" i="141"/>
  <c r="S80" i="141"/>
  <c r="V80" i="141"/>
  <c r="S101" i="141"/>
  <c r="V101" i="141"/>
  <c r="S131" i="141"/>
  <c r="V131" i="141"/>
  <c r="S156" i="141"/>
  <c r="V156" i="141"/>
  <c r="S73" i="141"/>
  <c r="V73" i="141"/>
  <c r="S159" i="141"/>
  <c r="V159" i="141"/>
  <c r="S79" i="141"/>
  <c r="V79" i="141"/>
  <c r="S53" i="141"/>
  <c r="V53" i="141"/>
  <c r="S184" i="141"/>
  <c r="V184" i="141"/>
  <c r="S100" i="141"/>
  <c r="V100" i="141"/>
  <c r="S140" i="141"/>
  <c r="V140" i="141"/>
  <c r="S160" i="141"/>
  <c r="V160" i="141"/>
  <c r="S111" i="141"/>
  <c r="V111" i="141"/>
  <c r="S124" i="141"/>
  <c r="V124" i="141"/>
  <c r="S142" i="141"/>
  <c r="V142" i="141"/>
  <c r="S82" i="141"/>
  <c r="V82" i="141"/>
  <c r="S178" i="141"/>
  <c r="V178" i="141"/>
  <c r="S89" i="141"/>
  <c r="V89" i="141"/>
  <c r="Q47" i="146"/>
  <c r="S47" i="146"/>
  <c r="I12" i="147"/>
  <c r="S52" i="141"/>
  <c r="V52" i="141"/>
  <c r="S98" i="141"/>
  <c r="V98" i="141"/>
  <c r="F18" i="149"/>
  <c r="U41" i="146"/>
  <c r="U17" i="146"/>
  <c r="U27" i="146"/>
  <c r="U42" i="146"/>
  <c r="U24" i="146"/>
  <c r="U25" i="146"/>
  <c r="U31" i="146"/>
  <c r="U20" i="146"/>
  <c r="U32" i="146"/>
  <c r="F35" i="147"/>
  <c r="S198" i="141"/>
  <c r="V198" i="141"/>
  <c r="S165" i="141"/>
  <c r="V165" i="141"/>
  <c r="S175" i="141"/>
  <c r="V175" i="141"/>
  <c r="S181" i="141"/>
  <c r="V181" i="141"/>
  <c r="S162" i="141"/>
  <c r="V162" i="141"/>
  <c r="S174" i="141"/>
  <c r="V174" i="141"/>
  <c r="S83" i="141"/>
  <c r="V83" i="141"/>
  <c r="S143" i="141"/>
  <c r="V143" i="141"/>
  <c r="S117" i="141"/>
  <c r="U18" i="155"/>
  <c r="U20" i="156"/>
  <c r="O15" i="155"/>
  <c r="S22" i="141"/>
  <c r="V22" i="141"/>
  <c r="F24" i="149"/>
  <c r="O25" i="149"/>
  <c r="R20" i="156"/>
  <c r="R18" i="155"/>
  <c r="S61" i="141"/>
  <c r="V61" i="141"/>
  <c r="S194" i="141"/>
  <c r="S84" i="141"/>
  <c r="V84" i="141"/>
  <c r="I24" i="149"/>
  <c r="S88" i="141"/>
  <c r="V88" i="141"/>
  <c r="F25" i="149"/>
  <c r="S173" i="141"/>
  <c r="V173" i="141"/>
  <c r="S105" i="141"/>
  <c r="V105" i="141"/>
  <c r="S185" i="141"/>
  <c r="V185" i="141"/>
  <c r="S128" i="141"/>
  <c r="V128" i="141"/>
  <c r="S102" i="141"/>
  <c r="V102" i="141"/>
  <c r="L34" i="147"/>
  <c r="C18" i="149"/>
  <c r="R15" i="152"/>
  <c r="V201" i="141"/>
  <c r="S183" i="141"/>
  <c r="V183" i="141"/>
  <c r="H19" i="156"/>
  <c r="I42" i="156"/>
  <c r="F42" i="147"/>
  <c r="I57" i="155"/>
  <c r="N47" i="146"/>
  <c r="P47" i="146"/>
  <c r="N33" i="146"/>
  <c r="P33" i="146"/>
  <c r="U40" i="146"/>
  <c r="U30" i="146"/>
  <c r="V30" i="146"/>
  <c r="Q46" i="146"/>
  <c r="S46" i="146"/>
  <c r="U33" i="146"/>
  <c r="U26" i="146"/>
  <c r="U19" i="146"/>
  <c r="U47" i="146"/>
  <c r="U46" i="146"/>
  <c r="U16" i="146"/>
  <c r="U28" i="146"/>
  <c r="U22" i="146"/>
  <c r="U21" i="146"/>
  <c r="U45" i="146"/>
  <c r="V45" i="146"/>
  <c r="X11" i="146"/>
  <c r="U48" i="146"/>
  <c r="N32" i="146"/>
  <c r="P32" i="146"/>
  <c r="N31" i="146"/>
  <c r="P31" i="146"/>
  <c r="B17" i="160"/>
  <c r="E17" i="160"/>
  <c r="B12" i="160"/>
  <c r="F12" i="160"/>
  <c r="R49" i="161"/>
  <c r="S215" i="141"/>
  <c r="V215" i="141"/>
  <c r="S217" i="141"/>
  <c r="V217" i="141"/>
  <c r="S50" i="141"/>
  <c r="V50" i="141"/>
  <c r="S45" i="141"/>
  <c r="V45" i="141"/>
  <c r="S158" i="141"/>
  <c r="V158" i="141"/>
  <c r="S161" i="141"/>
  <c r="V161" i="141"/>
  <c r="I13" i="149"/>
  <c r="S37" i="141"/>
  <c r="V37" i="141"/>
  <c r="S139" i="141"/>
  <c r="V139" i="141"/>
  <c r="S48" i="141"/>
  <c r="V48" i="141"/>
  <c r="S212" i="141"/>
  <c r="V212" i="141"/>
  <c r="S216" i="141"/>
  <c r="V216" i="141"/>
  <c r="S108" i="141"/>
  <c r="V108" i="141"/>
  <c r="S118" i="141"/>
  <c r="V118" i="141"/>
  <c r="S196" i="141"/>
  <c r="V196" i="141"/>
  <c r="H32" i="156"/>
  <c r="O14" i="156"/>
  <c r="I12" i="149"/>
  <c r="S18" i="141"/>
  <c r="V18" i="141"/>
  <c r="U14" i="150"/>
  <c r="R41" i="150"/>
  <c r="V200" i="141"/>
  <c r="V199" i="141"/>
  <c r="R14" i="150"/>
  <c r="O41" i="150"/>
  <c r="S122" i="141"/>
  <c r="V122" i="141"/>
  <c r="S132" i="141"/>
  <c r="V132" i="141"/>
  <c r="S171" i="141"/>
  <c r="V171" i="141"/>
  <c r="S35" i="141"/>
  <c r="V35" i="141"/>
  <c r="S186" i="141"/>
  <c r="V186" i="141"/>
  <c r="S30" i="141"/>
  <c r="V30" i="141"/>
  <c r="S167" i="141"/>
  <c r="V167" i="141"/>
  <c r="S129" i="141"/>
  <c r="V129" i="141"/>
  <c r="S92" i="141"/>
  <c r="V92" i="141"/>
  <c r="S123" i="141"/>
  <c r="V123" i="141"/>
  <c r="S85" i="141"/>
  <c r="V85" i="141"/>
  <c r="S49" i="141"/>
  <c r="V49" i="141"/>
  <c r="S137" i="141"/>
  <c r="V137" i="141"/>
  <c r="S17" i="141"/>
  <c r="V17" i="141"/>
  <c r="H38" i="156"/>
  <c r="S72" i="141"/>
  <c r="V72" i="141"/>
  <c r="S152" i="141"/>
  <c r="V152" i="141"/>
  <c r="S153" i="141"/>
  <c r="V153" i="141"/>
  <c r="S32" i="141"/>
  <c r="V32" i="141"/>
  <c r="U41" i="147"/>
  <c r="S99" i="141"/>
  <c r="V99" i="141"/>
  <c r="S136" i="141"/>
  <c r="V136" i="141"/>
  <c r="S144" i="141"/>
  <c r="V144" i="141"/>
  <c r="S56" i="141"/>
  <c r="V56" i="141"/>
  <c r="S38" i="141"/>
  <c r="V38" i="141"/>
  <c r="S36" i="141"/>
  <c r="V36" i="141"/>
  <c r="H33" i="156"/>
  <c r="H30" i="156"/>
  <c r="E21" i="142"/>
  <c r="M21" i="142"/>
  <c r="S31" i="141"/>
  <c r="V31" i="141"/>
  <c r="S179" i="141"/>
  <c r="V179" i="141"/>
  <c r="S120" i="141"/>
  <c r="V120" i="141"/>
  <c r="S176" i="141"/>
  <c r="V176" i="141"/>
  <c r="H22" i="156"/>
  <c r="S168" i="141"/>
  <c r="V168" i="141"/>
  <c r="S95" i="141"/>
  <c r="V95" i="141"/>
  <c r="S62" i="141"/>
  <c r="V62" i="141"/>
  <c r="C27" i="149"/>
  <c r="C30" i="149"/>
  <c r="L12" i="147"/>
  <c r="S149" i="141"/>
  <c r="V149" i="141"/>
  <c r="S90" i="141"/>
  <c r="V90" i="141"/>
  <c r="O34" i="147"/>
  <c r="S188" i="141"/>
  <c r="V188" i="141"/>
  <c r="S70" i="141"/>
  <c r="V70" i="141"/>
  <c r="S76" i="141"/>
  <c r="V76" i="141"/>
  <c r="X26" i="146"/>
  <c r="X22" i="146"/>
  <c r="X32" i="146"/>
  <c r="AA11" i="146"/>
  <c r="X45" i="146"/>
  <c r="Y45" i="146"/>
  <c r="X40" i="146"/>
  <c r="X17" i="146"/>
  <c r="X25" i="146"/>
  <c r="X47" i="146"/>
  <c r="X41" i="146"/>
  <c r="X19" i="146"/>
  <c r="X18" i="146"/>
  <c r="X30" i="146"/>
  <c r="Y30" i="146"/>
  <c r="X16" i="146"/>
  <c r="X48" i="146"/>
  <c r="X24" i="146"/>
  <c r="X31" i="146"/>
  <c r="X46" i="146"/>
  <c r="X27" i="146"/>
  <c r="X42" i="146"/>
  <c r="X21" i="146"/>
  <c r="X33" i="146"/>
  <c r="X20" i="146"/>
  <c r="S151" i="141"/>
  <c r="V151" i="141"/>
  <c r="S51" i="141"/>
  <c r="V51" i="141"/>
  <c r="S33" i="141"/>
  <c r="V33" i="141"/>
  <c r="U15" i="155"/>
  <c r="S78" i="141"/>
  <c r="V78" i="141"/>
  <c r="R34" i="147"/>
  <c r="F13" i="147"/>
  <c r="S182" i="141"/>
  <c r="V182" i="141"/>
  <c r="O24" i="149"/>
  <c r="S141" i="141"/>
  <c r="V141" i="141"/>
  <c r="S21" i="141"/>
  <c r="S150" i="141"/>
  <c r="V150" i="141"/>
  <c r="S177" i="141"/>
  <c r="V177" i="141"/>
  <c r="S16" i="141"/>
  <c r="V16" i="141"/>
  <c r="S66" i="141"/>
  <c r="V66" i="141"/>
  <c r="S170" i="141"/>
  <c r="V170" i="141"/>
  <c r="S121" i="141"/>
  <c r="V121" i="141"/>
  <c r="S147" i="141"/>
  <c r="V147" i="141"/>
  <c r="S226" i="141"/>
  <c r="V226" i="141"/>
  <c r="S114" i="141"/>
  <c r="V114" i="141"/>
  <c r="S71" i="141"/>
  <c r="V71" i="141"/>
  <c r="S81" i="141"/>
  <c r="V81" i="141"/>
  <c r="S47" i="141"/>
  <c r="V47" i="141"/>
  <c r="I14" i="149"/>
  <c r="R15" i="155"/>
  <c r="I43" i="150"/>
  <c r="S133" i="141"/>
  <c r="V133" i="141"/>
  <c r="V194" i="141"/>
  <c r="S67" i="141"/>
  <c r="V67" i="141"/>
  <c r="S55" i="141"/>
  <c r="V55" i="141"/>
  <c r="S154" i="141"/>
  <c r="V154" i="141"/>
  <c r="Q33" i="146"/>
  <c r="S33" i="146"/>
  <c r="Q31" i="146"/>
  <c r="S31" i="146"/>
  <c r="Q32" i="146"/>
  <c r="S32" i="146"/>
  <c r="V29" i="141"/>
  <c r="S64" i="141"/>
  <c r="V64" i="141"/>
  <c r="S86" i="141"/>
  <c r="V86" i="141"/>
  <c r="L16" i="152"/>
  <c r="S180" i="141"/>
  <c r="V180" i="141"/>
  <c r="S60" i="141"/>
  <c r="V60" i="141"/>
  <c r="S155" i="141"/>
  <c r="V155" i="141"/>
  <c r="V117" i="141"/>
  <c r="U43" i="146"/>
  <c r="S94" i="141"/>
  <c r="V94" i="141"/>
  <c r="H15" i="152"/>
  <c r="H15" i="155"/>
  <c r="F44" i="147"/>
  <c r="H42" i="156"/>
  <c r="S223" i="141"/>
  <c r="V223" i="141"/>
  <c r="O13" i="149"/>
  <c r="S211" i="141"/>
  <c r="V211" i="141"/>
  <c r="S157" i="141"/>
  <c r="V157" i="141"/>
  <c r="O14" i="149"/>
  <c r="F17" i="149"/>
  <c r="S195" i="141"/>
  <c r="H41" i="150"/>
  <c r="S197" i="141"/>
  <c r="V197" i="141"/>
  <c r="S219" i="141"/>
  <c r="V219" i="141"/>
  <c r="I17" i="149"/>
  <c r="H14" i="150"/>
  <c r="O12" i="149"/>
  <c r="U14" i="156"/>
  <c r="S14" i="141"/>
  <c r="V14" i="141"/>
  <c r="S218" i="141"/>
  <c r="R14" i="156"/>
  <c r="S208" i="141"/>
  <c r="S209" i="141"/>
  <c r="V209" i="141"/>
  <c r="V27" i="141"/>
  <c r="I35" i="147"/>
  <c r="H14" i="156"/>
  <c r="V116" i="141"/>
  <c r="U34" i="147"/>
  <c r="I13" i="147"/>
  <c r="V26" i="141"/>
  <c r="T31" i="146"/>
  <c r="V31" i="146"/>
  <c r="T33" i="146"/>
  <c r="V33" i="146"/>
  <c r="T32" i="146"/>
  <c r="V32" i="146"/>
  <c r="I44" i="156"/>
  <c r="H44" i="156"/>
  <c r="H43" i="150"/>
  <c r="S224" i="141"/>
  <c r="V224" i="141"/>
  <c r="V28" i="141"/>
  <c r="I27" i="149"/>
  <c r="I30" i="149"/>
  <c r="L17" i="156"/>
  <c r="L16" i="155"/>
  <c r="L55" i="155"/>
  <c r="L58" i="152"/>
  <c r="I18" i="149"/>
  <c r="T46" i="146"/>
  <c r="V46" i="146"/>
  <c r="T48" i="146"/>
  <c r="V48" i="146"/>
  <c r="T47" i="146"/>
  <c r="V47" i="146"/>
  <c r="L25" i="149"/>
  <c r="S25" i="149"/>
  <c r="C16" i="149"/>
  <c r="F20" i="147"/>
  <c r="O16" i="152"/>
  <c r="V12" i="141"/>
  <c r="V19" i="141"/>
  <c r="V21" i="141"/>
  <c r="V20" i="141"/>
  <c r="F16" i="149"/>
  <c r="L24" i="149"/>
  <c r="S24" i="149"/>
  <c r="X28" i="146"/>
  <c r="X43" i="146"/>
  <c r="O18" i="149"/>
  <c r="S222" i="141"/>
  <c r="V115" i="141"/>
  <c r="AA24" i="146"/>
  <c r="AA19" i="146"/>
  <c r="AA47" i="146"/>
  <c r="AA40" i="146"/>
  <c r="AA26" i="146"/>
  <c r="AA33" i="146"/>
  <c r="AA25" i="146"/>
  <c r="AA41" i="146"/>
  <c r="AA46" i="146"/>
  <c r="AA17" i="146"/>
  <c r="AA48" i="146"/>
  <c r="AA32" i="146"/>
  <c r="AD11" i="146"/>
  <c r="AA16" i="146"/>
  <c r="AA21" i="146"/>
  <c r="AA45" i="146"/>
  <c r="AB45" i="146"/>
  <c r="AA42" i="146"/>
  <c r="AA22" i="146"/>
  <c r="AA27" i="146"/>
  <c r="AA18" i="146"/>
  <c r="AA20" i="146"/>
  <c r="AA31" i="146"/>
  <c r="AA30" i="146"/>
  <c r="AB30" i="146"/>
  <c r="R12" i="147"/>
  <c r="F47" i="147"/>
  <c r="E20" i="142"/>
  <c r="I47" i="150"/>
  <c r="O17" i="149"/>
  <c r="V195" i="141"/>
  <c r="V193" i="141"/>
  <c r="L13" i="149"/>
  <c r="S13" i="149"/>
  <c r="S225" i="141"/>
  <c r="V225" i="141"/>
  <c r="V208" i="141"/>
  <c r="V206" i="141"/>
  <c r="V192" i="141"/>
  <c r="V207" i="141"/>
  <c r="V191" i="141"/>
  <c r="S221" i="141"/>
  <c r="V221" i="141"/>
  <c r="V218" i="141"/>
  <c r="V214" i="141"/>
  <c r="V213" i="141"/>
  <c r="S228" i="141"/>
  <c r="V228" i="141"/>
  <c r="S230" i="141"/>
  <c r="V229" i="141"/>
  <c r="L14" i="149"/>
  <c r="S14" i="149"/>
  <c r="L12" i="149"/>
  <c r="S12" i="149"/>
  <c r="V11" i="141"/>
  <c r="T230" i="141"/>
  <c r="V13" i="141"/>
  <c r="S227" i="141"/>
  <c r="V227" i="141"/>
  <c r="E22" i="142"/>
  <c r="M22" i="142"/>
  <c r="F21" i="149"/>
  <c r="O43" i="150"/>
  <c r="V222" i="141"/>
  <c r="I45" i="150"/>
  <c r="AD40" i="146"/>
  <c r="AD42" i="146"/>
  <c r="AD31" i="146"/>
  <c r="AD16" i="146"/>
  <c r="AD19" i="146"/>
  <c r="AD20" i="146"/>
  <c r="AD25" i="146"/>
  <c r="AD22" i="146"/>
  <c r="AD46" i="146"/>
  <c r="AG11" i="146"/>
  <c r="AD45" i="146"/>
  <c r="AE45" i="146"/>
  <c r="AD47" i="146"/>
  <c r="AD26" i="146"/>
  <c r="AD48" i="146"/>
  <c r="AD17" i="146"/>
  <c r="AD41" i="146"/>
  <c r="AD33" i="146"/>
  <c r="AD30" i="146"/>
  <c r="AE30" i="146"/>
  <c r="AD24" i="146"/>
  <c r="AD18" i="146"/>
  <c r="AD27" i="146"/>
  <c r="AD32" i="146"/>
  <c r="AD21" i="146"/>
  <c r="W46" i="146"/>
  <c r="Y46" i="146"/>
  <c r="W48" i="146"/>
  <c r="Y48" i="146"/>
  <c r="W47" i="146"/>
  <c r="Y47" i="146"/>
  <c r="I16" i="149"/>
  <c r="I21" i="149"/>
  <c r="I32" i="149"/>
  <c r="AA43" i="146"/>
  <c r="C21" i="149"/>
  <c r="I20" i="147"/>
  <c r="I22" i="147"/>
  <c r="AA28" i="146"/>
  <c r="W31" i="146"/>
  <c r="Y31" i="146"/>
  <c r="W33" i="146"/>
  <c r="Y33" i="146"/>
  <c r="W32" i="146"/>
  <c r="Y32" i="146"/>
  <c r="F22" i="147"/>
  <c r="I42" i="147"/>
  <c r="L57" i="155"/>
  <c r="O17" i="156"/>
  <c r="O42" i="156"/>
  <c r="O16" i="155"/>
  <c r="O55" i="155"/>
  <c r="O58" i="152"/>
  <c r="F25" i="147"/>
  <c r="F50" i="147"/>
  <c r="U16" i="152"/>
  <c r="R16" i="152"/>
  <c r="L13" i="147"/>
  <c r="L42" i="156"/>
  <c r="L43" i="150"/>
  <c r="I48" i="156"/>
  <c r="H48" i="156"/>
  <c r="M20" i="142"/>
  <c r="V230" i="141"/>
  <c r="F28" i="147"/>
  <c r="F52" i="147"/>
  <c r="V220" i="141"/>
  <c r="O12" i="147"/>
  <c r="U12" i="147"/>
  <c r="E23" i="142"/>
  <c r="M23" i="142"/>
  <c r="H16" i="152"/>
  <c r="H16" i="155"/>
  <c r="AD43" i="146"/>
  <c r="AC47" i="146"/>
  <c r="AE47" i="146"/>
  <c r="O27" i="149"/>
  <c r="I25" i="147"/>
  <c r="I28" i="147"/>
  <c r="O30" i="149"/>
  <c r="U43" i="150"/>
  <c r="I46" i="156"/>
  <c r="H46" i="156"/>
  <c r="H45" i="150"/>
  <c r="H47" i="150"/>
  <c r="O16" i="149"/>
  <c r="O21" i="149"/>
  <c r="I47" i="147"/>
  <c r="F27" i="149"/>
  <c r="F30" i="149"/>
  <c r="Z46" i="146"/>
  <c r="AB46" i="146"/>
  <c r="Z47" i="146"/>
  <c r="AB47" i="146"/>
  <c r="Z48" i="146"/>
  <c r="AB48" i="146"/>
  <c r="R17" i="156"/>
  <c r="R16" i="155"/>
  <c r="R55" i="155"/>
  <c r="R58" i="152"/>
  <c r="I44" i="147"/>
  <c r="I50" i="147"/>
  <c r="O44" i="156"/>
  <c r="O47" i="150"/>
  <c r="U17" i="156"/>
  <c r="U42" i="156"/>
  <c r="U16" i="155"/>
  <c r="U55" i="155"/>
  <c r="U58" i="152"/>
  <c r="H35" i="148"/>
  <c r="H12" i="148"/>
  <c r="AD28" i="146"/>
  <c r="I49" i="150"/>
  <c r="Z33" i="146"/>
  <c r="AB33" i="146"/>
  <c r="Z32" i="146"/>
  <c r="AB32" i="146"/>
  <c r="Z31" i="146"/>
  <c r="AB31" i="146"/>
  <c r="L35" i="147"/>
  <c r="L44" i="156"/>
  <c r="L47" i="150"/>
  <c r="L20" i="147"/>
  <c r="S21" i="149"/>
  <c r="C32" i="149"/>
  <c r="S32" i="149"/>
  <c r="AG18" i="146"/>
  <c r="AJ18" i="146"/>
  <c r="AG41" i="146"/>
  <c r="AJ41" i="146"/>
  <c r="AG47" i="146"/>
  <c r="AG21" i="146"/>
  <c r="AJ21" i="146"/>
  <c r="AG24" i="146"/>
  <c r="AJ24" i="146"/>
  <c r="AG32" i="146"/>
  <c r="AG26" i="146"/>
  <c r="AJ26" i="146"/>
  <c r="AG31" i="146"/>
  <c r="AG16" i="146"/>
  <c r="AJ16" i="146"/>
  <c r="AG40" i="146"/>
  <c r="AG17" i="146"/>
  <c r="AJ17" i="146"/>
  <c r="AG33" i="146"/>
  <c r="AG19" i="146"/>
  <c r="AJ19" i="146"/>
  <c r="AG42" i="146"/>
  <c r="AJ42" i="146"/>
  <c r="AG20" i="146"/>
  <c r="AJ20" i="146"/>
  <c r="AG48" i="146"/>
  <c r="AG22" i="146"/>
  <c r="AJ22" i="146"/>
  <c r="AG27" i="146"/>
  <c r="AJ27" i="146"/>
  <c r="AG25" i="146"/>
  <c r="AJ25" i="146"/>
  <c r="AG46" i="146"/>
  <c r="AG30" i="146"/>
  <c r="AH30" i="146"/>
  <c r="AG45" i="146"/>
  <c r="AH45" i="146"/>
  <c r="R13" i="147"/>
  <c r="B35" i="148"/>
  <c r="L18" i="149"/>
  <c r="S18" i="149"/>
  <c r="AC46" i="146"/>
  <c r="AE46" i="146"/>
  <c r="L49" i="150"/>
  <c r="AC48" i="146"/>
  <c r="AE48" i="146"/>
  <c r="I52" i="147"/>
  <c r="O45" i="150"/>
  <c r="O46" i="156"/>
  <c r="O48" i="156"/>
  <c r="R35" i="147"/>
  <c r="L22" i="147"/>
  <c r="R42" i="156"/>
  <c r="H17" i="156"/>
  <c r="U44" i="156"/>
  <c r="U47" i="150"/>
  <c r="O32" i="149"/>
  <c r="R43" i="150"/>
  <c r="AC31" i="146"/>
  <c r="AE31" i="146"/>
  <c r="AC33" i="146"/>
  <c r="AE33" i="146"/>
  <c r="AC32" i="146"/>
  <c r="AE32" i="146"/>
  <c r="L45" i="150"/>
  <c r="L46" i="156"/>
  <c r="L48" i="156"/>
  <c r="AG43" i="146"/>
  <c r="E25" i="142"/>
  <c r="M25" i="142"/>
  <c r="F32" i="149"/>
  <c r="AJ40" i="146"/>
  <c r="E35" i="148"/>
  <c r="E12" i="148"/>
  <c r="O35" i="147"/>
  <c r="U35" i="147"/>
  <c r="R22" i="147"/>
  <c r="R20" i="147"/>
  <c r="AG28" i="146"/>
  <c r="L42" i="147"/>
  <c r="O57" i="155"/>
  <c r="Q35" i="148"/>
  <c r="T35" i="148"/>
  <c r="B12" i="148"/>
  <c r="N35" i="148"/>
  <c r="N12" i="148"/>
  <c r="R25" i="147"/>
  <c r="R28" i="147"/>
  <c r="L17" i="149"/>
  <c r="S17" i="149"/>
  <c r="O13" i="147"/>
  <c r="U13" i="147"/>
  <c r="AF46" i="146"/>
  <c r="AH46" i="146"/>
  <c r="AF48" i="146"/>
  <c r="AH48" i="146"/>
  <c r="AF47" i="146"/>
  <c r="AH47" i="146"/>
  <c r="L27" i="149"/>
  <c r="E27" i="142"/>
  <c r="M27" i="142"/>
  <c r="L25" i="147"/>
  <c r="L28" i="147"/>
  <c r="L44" i="147"/>
  <c r="R57" i="155"/>
  <c r="O44" i="147"/>
  <c r="O42" i="147"/>
  <c r="U57" i="155"/>
  <c r="R42" i="147"/>
  <c r="U42" i="147"/>
  <c r="AF31" i="146"/>
  <c r="AH31" i="146"/>
  <c r="AF33" i="146"/>
  <c r="AH33" i="146"/>
  <c r="AF32" i="146"/>
  <c r="AH32" i="146"/>
  <c r="U45" i="150"/>
  <c r="U46" i="156"/>
  <c r="U48" i="156"/>
  <c r="R44" i="156"/>
  <c r="R47" i="150"/>
  <c r="I8" i="142"/>
  <c r="C116" i="145"/>
  <c r="C122" i="145"/>
  <c r="E43" i="142"/>
  <c r="T12" i="148"/>
  <c r="Q12" i="148"/>
  <c r="L16" i="149"/>
  <c r="O20" i="147"/>
  <c r="U20" i="147"/>
  <c r="E18" i="142"/>
  <c r="M18" i="142"/>
  <c r="O47" i="147"/>
  <c r="O50" i="147"/>
  <c r="O52" i="147"/>
  <c r="R47" i="147"/>
  <c r="L30" i="149"/>
  <c r="S27" i="149"/>
  <c r="L47" i="147"/>
  <c r="R45" i="150"/>
  <c r="R46" i="156"/>
  <c r="R48" i="156"/>
  <c r="R44" i="147"/>
  <c r="K35" i="148"/>
  <c r="K12" i="148"/>
  <c r="O49" i="150"/>
  <c r="I12" i="142"/>
  <c r="M8" i="142"/>
  <c r="M12" i="142"/>
  <c r="E45" i="142"/>
  <c r="I43" i="142"/>
  <c r="I45" i="142"/>
  <c r="M43" i="142"/>
  <c r="M45" i="142"/>
  <c r="K43" i="142"/>
  <c r="K45" i="142"/>
  <c r="G43" i="142"/>
  <c r="G45" i="142"/>
  <c r="O22" i="147"/>
  <c r="U22" i="147"/>
  <c r="L21" i="149"/>
  <c r="S16" i="149"/>
  <c r="U49" i="150"/>
  <c r="R50" i="147"/>
  <c r="R52" i="147"/>
  <c r="U47" i="147"/>
  <c r="U44" i="147"/>
  <c r="R49" i="150"/>
  <c r="L32" i="149"/>
  <c r="S30" i="149"/>
  <c r="E19" i="142"/>
  <c r="L50" i="147"/>
  <c r="O25" i="147"/>
  <c r="L52" i="147"/>
  <c r="U52" i="147"/>
  <c r="U50" i="147"/>
  <c r="M19" i="142"/>
  <c r="E26" i="142"/>
  <c r="O28" i="147"/>
  <c r="U28" i="147"/>
  <c r="U25" i="147"/>
  <c r="M26" i="142"/>
  <c r="E28" i="142"/>
  <c r="M28" i="142"/>
  <c r="K57" i="161"/>
  <c r="K60" i="161"/>
  <c r="M57" i="161"/>
  <c r="M60" i="161"/>
  <c r="O57" i="161"/>
  <c r="O60" i="161"/>
  <c r="O142" i="161"/>
  <c r="O144" i="161"/>
  <c r="I57" i="161"/>
  <c r="P57" i="161"/>
  <c r="P60" i="161"/>
  <c r="I60" i="161"/>
  <c r="I142" i="161"/>
  <c r="I144" i="161"/>
  <c r="E20" i="160"/>
  <c r="C14" i="160"/>
  <c r="D14" i="160"/>
  <c r="R57" i="161"/>
  <c r="E14" i="160"/>
  <c r="E19" i="160"/>
  <c r="R60" i="161"/>
  <c r="B14" i="160"/>
  <c r="E21" i="160"/>
  <c r="O146" i="161"/>
  <c r="F14" i="160"/>
  <c r="B19" i="160"/>
  <c r="I146" i="161"/>
  <c r="B20" i="160"/>
  <c r="B21" i="160"/>
  <c r="R70" i="170" l="1"/>
  <c r="T70" i="170" s="1"/>
  <c r="R72" i="170"/>
  <c r="T72" i="170" s="1"/>
  <c r="R77" i="170"/>
  <c r="T77" i="170" s="1"/>
  <c r="R79" i="170"/>
  <c r="T79" i="170" s="1"/>
  <c r="R81" i="170"/>
  <c r="T81" i="170" s="1"/>
  <c r="Q50" i="170"/>
  <c r="O50" i="170"/>
  <c r="R40" i="170"/>
  <c r="T40" i="170" s="1"/>
  <c r="R42" i="170"/>
  <c r="T42" i="170" s="1"/>
  <c r="R44" i="170"/>
  <c r="T44" i="170" s="1"/>
  <c r="R46" i="170"/>
  <c r="T46" i="170" s="1"/>
  <c r="R48" i="170"/>
  <c r="T48" i="170" s="1"/>
  <c r="O22" i="170"/>
  <c r="Q22" i="170"/>
  <c r="Q26" i="170" s="1"/>
  <c r="Q29" i="170" s="1"/>
  <c r="R41" i="170"/>
  <c r="T41" i="170" s="1"/>
  <c r="R43" i="170"/>
  <c r="T43" i="170" s="1"/>
  <c r="R45" i="170"/>
  <c r="T45" i="170" s="1"/>
  <c r="R47" i="170"/>
  <c r="T47" i="170" s="1"/>
  <c r="R49" i="170"/>
  <c r="T49" i="170" s="1"/>
  <c r="M50" i="170"/>
  <c r="R15" i="170"/>
  <c r="T15" i="170" s="1"/>
  <c r="R17" i="170"/>
  <c r="T17" i="170" s="1"/>
  <c r="R19" i="170"/>
  <c r="T19" i="170" s="1"/>
  <c r="M33" i="170"/>
  <c r="Q85" i="170"/>
  <c r="R59" i="170"/>
  <c r="M85" i="170"/>
  <c r="R61" i="170"/>
  <c r="T61" i="170" s="1"/>
  <c r="R32" i="170"/>
  <c r="T32" i="170" s="1"/>
  <c r="O85" i="170"/>
  <c r="R63" i="170"/>
  <c r="T63" i="170" s="1"/>
  <c r="R58" i="170"/>
  <c r="R60" i="170"/>
  <c r="T60" i="170" s="1"/>
  <c r="R69" i="170"/>
  <c r="T69" i="170" s="1"/>
  <c r="R71" i="170"/>
  <c r="T71" i="170" s="1"/>
  <c r="R76" i="170"/>
  <c r="T76" i="170" s="1"/>
  <c r="R78" i="170"/>
  <c r="T78" i="170" s="1"/>
  <c r="R80" i="170"/>
  <c r="T80" i="170" s="1"/>
  <c r="R62" i="170"/>
  <c r="K22" i="170"/>
  <c r="R13" i="170"/>
  <c r="M26" i="170"/>
  <c r="M29" i="170" s="1"/>
  <c r="O26" i="170"/>
  <c r="O29" i="170" s="1"/>
  <c r="K33" i="170"/>
  <c r="R31" i="170"/>
  <c r="K37" i="170"/>
  <c r="R35" i="170"/>
  <c r="K50" i="170"/>
  <c r="R39" i="170"/>
  <c r="K85" i="170"/>
  <c r="R56" i="170"/>
  <c r="L708" i="169"/>
  <c r="L704" i="169"/>
  <c r="L586" i="169"/>
  <c r="L582" i="169"/>
  <c r="L558" i="169"/>
  <c r="L554" i="169"/>
  <c r="L530" i="169"/>
  <c r="L526" i="169"/>
  <c r="L503" i="169"/>
  <c r="L498" i="169"/>
  <c r="L473" i="169"/>
  <c r="L469" i="169"/>
  <c r="L447" i="169"/>
  <c r="L443" i="169"/>
  <c r="L419" i="169"/>
  <c r="L415" i="169"/>
  <c r="L387" i="169"/>
  <c r="L374" i="169"/>
  <c r="L364" i="169"/>
  <c r="L360" i="169"/>
  <c r="L338" i="169"/>
  <c r="L334" i="169"/>
  <c r="L307" i="169"/>
  <c r="L283" i="169"/>
  <c r="L278" i="169"/>
  <c r="L223" i="169"/>
  <c r="P16" i="169"/>
  <c r="O23" i="169"/>
  <c r="L23" i="169"/>
  <c r="I23" i="169"/>
  <c r="O24" i="169"/>
  <c r="L24" i="169"/>
  <c r="I24" i="169"/>
  <c r="O25" i="169"/>
  <c r="L25" i="169"/>
  <c r="I25" i="169"/>
  <c r="E33" i="169"/>
  <c r="O28" i="169"/>
  <c r="L28" i="169"/>
  <c r="I28" i="169"/>
  <c r="O29" i="169"/>
  <c r="L29" i="169"/>
  <c r="I29" i="169"/>
  <c r="O30" i="169"/>
  <c r="L30" i="169"/>
  <c r="I30" i="169"/>
  <c r="O31" i="169"/>
  <c r="L31" i="169"/>
  <c r="I31" i="169"/>
  <c r="O32" i="169"/>
  <c r="L32" i="169"/>
  <c r="I32" i="169"/>
  <c r="O36" i="169"/>
  <c r="L36" i="169"/>
  <c r="I36" i="169"/>
  <c r="O37" i="169"/>
  <c r="L37" i="169"/>
  <c r="I37" i="169"/>
  <c r="O38" i="169"/>
  <c r="L38" i="169"/>
  <c r="I38" i="169"/>
  <c r="O41" i="169"/>
  <c r="L41" i="169"/>
  <c r="I41" i="169"/>
  <c r="O42" i="169"/>
  <c r="L42" i="169"/>
  <c r="I42" i="169"/>
  <c r="O43" i="169"/>
  <c r="L43" i="169"/>
  <c r="I43" i="169"/>
  <c r="O44" i="169"/>
  <c r="L44" i="169"/>
  <c r="I44" i="169"/>
  <c r="O45" i="169"/>
  <c r="L45" i="169"/>
  <c r="I45" i="169"/>
  <c r="O53" i="169"/>
  <c r="L53" i="169"/>
  <c r="I53" i="169"/>
  <c r="O54" i="169"/>
  <c r="L54" i="169"/>
  <c r="I54" i="169"/>
  <c r="O55" i="169"/>
  <c r="L55" i="169"/>
  <c r="I55" i="169"/>
  <c r="E63" i="169"/>
  <c r="O58" i="169"/>
  <c r="L58" i="169"/>
  <c r="I58" i="169"/>
  <c r="O59" i="169"/>
  <c r="L59" i="169"/>
  <c r="I59" i="169"/>
  <c r="O60" i="169"/>
  <c r="L60" i="169"/>
  <c r="I60" i="169"/>
  <c r="O61" i="169"/>
  <c r="L61" i="169"/>
  <c r="I61" i="169"/>
  <c r="O62" i="169"/>
  <c r="L62" i="169"/>
  <c r="I62" i="169"/>
  <c r="O66" i="169"/>
  <c r="L66" i="169"/>
  <c r="I66" i="169"/>
  <c r="O67" i="169"/>
  <c r="L67" i="169"/>
  <c r="I67" i="169"/>
  <c r="O68" i="169"/>
  <c r="L68" i="169"/>
  <c r="I68" i="169"/>
  <c r="E76" i="169"/>
  <c r="O71" i="169"/>
  <c r="L71" i="169"/>
  <c r="I71" i="169"/>
  <c r="O72" i="169"/>
  <c r="L72" i="169"/>
  <c r="I72" i="169"/>
  <c r="O73" i="169"/>
  <c r="L73" i="169"/>
  <c r="I73" i="169"/>
  <c r="O74" i="169"/>
  <c r="L74" i="169"/>
  <c r="I74" i="169"/>
  <c r="O75" i="169"/>
  <c r="L75" i="169"/>
  <c r="I75" i="169"/>
  <c r="E92" i="169"/>
  <c r="O82" i="169"/>
  <c r="L82" i="169"/>
  <c r="I82" i="169"/>
  <c r="O83" i="169"/>
  <c r="L83" i="169"/>
  <c r="I83" i="169"/>
  <c r="O84" i="169"/>
  <c r="L84" i="169"/>
  <c r="I84" i="169"/>
  <c r="O87" i="169"/>
  <c r="L87" i="169"/>
  <c r="I87" i="169"/>
  <c r="O88" i="169"/>
  <c r="L88" i="169"/>
  <c r="I88" i="169"/>
  <c r="O89" i="169"/>
  <c r="L89" i="169"/>
  <c r="I89" i="169"/>
  <c r="O90" i="169"/>
  <c r="L90" i="169"/>
  <c r="I90" i="169"/>
  <c r="O91" i="169"/>
  <c r="L91" i="169"/>
  <c r="I91" i="169"/>
  <c r="L95" i="169"/>
  <c r="L96" i="169"/>
  <c r="L99" i="169"/>
  <c r="L100" i="169"/>
  <c r="L101" i="169"/>
  <c r="O106" i="169"/>
  <c r="L106" i="169"/>
  <c r="I106" i="169"/>
  <c r="O107" i="169"/>
  <c r="L107" i="169"/>
  <c r="I107" i="169"/>
  <c r="O108" i="169"/>
  <c r="L108" i="169"/>
  <c r="I108" i="169"/>
  <c r="E116" i="169"/>
  <c r="O111" i="169"/>
  <c r="L111" i="169"/>
  <c r="I111" i="169"/>
  <c r="O112" i="169"/>
  <c r="L112" i="169"/>
  <c r="I112" i="169"/>
  <c r="O113" i="169"/>
  <c r="L113" i="169"/>
  <c r="I113" i="169"/>
  <c r="O114" i="169"/>
  <c r="L114" i="169"/>
  <c r="I114" i="169"/>
  <c r="O115" i="169"/>
  <c r="L115" i="169"/>
  <c r="I115" i="169"/>
  <c r="O121" i="169"/>
  <c r="L121" i="169"/>
  <c r="I121" i="169"/>
  <c r="O122" i="169"/>
  <c r="L122" i="169"/>
  <c r="I122" i="169"/>
  <c r="O123" i="169"/>
  <c r="L123" i="169"/>
  <c r="I123" i="169"/>
  <c r="O126" i="169"/>
  <c r="L126" i="169"/>
  <c r="I126" i="169"/>
  <c r="O127" i="169"/>
  <c r="L127" i="169"/>
  <c r="I127" i="169"/>
  <c r="O128" i="169"/>
  <c r="L128" i="169"/>
  <c r="I128" i="169"/>
  <c r="O129" i="169"/>
  <c r="L129" i="169"/>
  <c r="I129" i="169"/>
  <c r="O130" i="169"/>
  <c r="L130" i="169"/>
  <c r="I130" i="169"/>
  <c r="O135" i="169"/>
  <c r="L135" i="169"/>
  <c r="I135" i="169"/>
  <c r="O136" i="169"/>
  <c r="L136" i="169"/>
  <c r="I136" i="169"/>
  <c r="O137" i="169"/>
  <c r="L137" i="169"/>
  <c r="I137" i="169"/>
  <c r="E145" i="169"/>
  <c r="O140" i="169"/>
  <c r="L140" i="169"/>
  <c r="I140" i="169"/>
  <c r="O141" i="169"/>
  <c r="L141" i="169"/>
  <c r="I141" i="169"/>
  <c r="O142" i="169"/>
  <c r="L142" i="169"/>
  <c r="I142" i="169"/>
  <c r="O143" i="169"/>
  <c r="L143" i="169"/>
  <c r="I143" i="169"/>
  <c r="O144" i="169"/>
  <c r="L144" i="169"/>
  <c r="I144" i="169"/>
  <c r="E162" i="169"/>
  <c r="O151" i="169"/>
  <c r="L151" i="169"/>
  <c r="I151" i="169"/>
  <c r="O152" i="169"/>
  <c r="L152" i="169"/>
  <c r="I152" i="169"/>
  <c r="O153" i="169"/>
  <c r="L153" i="169"/>
  <c r="I153" i="169"/>
  <c r="O156" i="169"/>
  <c r="L156" i="169"/>
  <c r="I156" i="169"/>
  <c r="O157" i="169"/>
  <c r="L157" i="169"/>
  <c r="I157" i="169"/>
  <c r="O158" i="169"/>
  <c r="L158" i="169"/>
  <c r="I158" i="169"/>
  <c r="O159" i="169"/>
  <c r="L159" i="169"/>
  <c r="I159" i="169"/>
  <c r="O160" i="169"/>
  <c r="L160" i="169"/>
  <c r="I160" i="169"/>
  <c r="O161" i="169"/>
  <c r="L161" i="169"/>
  <c r="I161" i="169"/>
  <c r="O166" i="169"/>
  <c r="L166" i="169"/>
  <c r="I166" i="169"/>
  <c r="O167" i="169"/>
  <c r="L167" i="169"/>
  <c r="I167" i="169"/>
  <c r="O168" i="169"/>
  <c r="L168" i="169"/>
  <c r="I168" i="169"/>
  <c r="E176" i="169"/>
  <c r="O171" i="169"/>
  <c r="L171" i="169"/>
  <c r="I171" i="169"/>
  <c r="O172" i="169"/>
  <c r="L172" i="169"/>
  <c r="I172" i="169"/>
  <c r="O173" i="169"/>
  <c r="L173" i="169"/>
  <c r="I173" i="169"/>
  <c r="O174" i="169"/>
  <c r="L174" i="169"/>
  <c r="I174" i="169"/>
  <c r="O175" i="169"/>
  <c r="L175" i="169"/>
  <c r="I175" i="169"/>
  <c r="O181" i="169"/>
  <c r="L181" i="169"/>
  <c r="I181" i="169"/>
  <c r="O182" i="169"/>
  <c r="L182" i="169"/>
  <c r="I182" i="169"/>
  <c r="O183" i="169"/>
  <c r="L183" i="169"/>
  <c r="I183" i="169"/>
  <c r="O186" i="169"/>
  <c r="L186" i="169"/>
  <c r="I186" i="169"/>
  <c r="O187" i="169"/>
  <c r="L187" i="169"/>
  <c r="I187" i="169"/>
  <c r="O188" i="169"/>
  <c r="L188" i="169"/>
  <c r="I188" i="169"/>
  <c r="O189" i="169"/>
  <c r="L189" i="169"/>
  <c r="I189" i="169"/>
  <c r="O190" i="169"/>
  <c r="L190" i="169"/>
  <c r="I190" i="169"/>
  <c r="O191" i="169"/>
  <c r="L191" i="169"/>
  <c r="I191" i="169"/>
  <c r="O196" i="169"/>
  <c r="L196" i="169"/>
  <c r="I196" i="169"/>
  <c r="O197" i="169"/>
  <c r="L197" i="169"/>
  <c r="I197" i="169"/>
  <c r="O198" i="169"/>
  <c r="L198" i="169"/>
  <c r="I198" i="169"/>
  <c r="E206" i="169"/>
  <c r="O201" i="169"/>
  <c r="L201" i="169"/>
  <c r="I201" i="169"/>
  <c r="O202" i="169"/>
  <c r="L202" i="169"/>
  <c r="I202" i="169"/>
  <c r="O203" i="169"/>
  <c r="L203" i="169"/>
  <c r="I203" i="169"/>
  <c r="O204" i="169"/>
  <c r="L204" i="169"/>
  <c r="I204" i="169"/>
  <c r="O205" i="169"/>
  <c r="L205" i="169"/>
  <c r="I205" i="169"/>
  <c r="O211" i="169"/>
  <c r="L211" i="169"/>
  <c r="I211" i="169"/>
  <c r="O212" i="169"/>
  <c r="L212" i="169"/>
  <c r="I212" i="169"/>
  <c r="O214" i="169"/>
  <c r="L214" i="169"/>
  <c r="I214" i="169"/>
  <c r="O215" i="169"/>
  <c r="L215" i="169"/>
  <c r="I215" i="169"/>
  <c r="O216" i="169"/>
  <c r="L216" i="169"/>
  <c r="I216" i="169"/>
  <c r="O217" i="169"/>
  <c r="L217" i="169"/>
  <c r="I217" i="169"/>
  <c r="O218" i="169"/>
  <c r="L218" i="169"/>
  <c r="I218" i="169"/>
  <c r="O219" i="169"/>
  <c r="L219" i="169"/>
  <c r="I219" i="169"/>
  <c r="O224" i="169"/>
  <c r="L224" i="169"/>
  <c r="I224" i="169"/>
  <c r="O225" i="169"/>
  <c r="P222" i="169" s="1"/>
  <c r="L225" i="169"/>
  <c r="M222" i="169" s="1"/>
  <c r="I225" i="169"/>
  <c r="I227" i="169" s="1"/>
  <c r="I229" i="169" s="1"/>
  <c r="I231" i="169" s="1"/>
  <c r="O227" i="169"/>
  <c r="L227" i="169"/>
  <c r="O228" i="169"/>
  <c r="L228" i="169"/>
  <c r="I228" i="169"/>
  <c r="I230" i="169" s="1"/>
  <c r="O229" i="169"/>
  <c r="L229" i="169"/>
  <c r="O230" i="169"/>
  <c r="L230" i="169"/>
  <c r="O231" i="169"/>
  <c r="L231" i="169"/>
  <c r="E246" i="169"/>
  <c r="O236" i="169"/>
  <c r="L236" i="169"/>
  <c r="I236" i="169"/>
  <c r="O237" i="169"/>
  <c r="L237" i="169"/>
  <c r="I237" i="169"/>
  <c r="O238" i="169"/>
  <c r="L238" i="169"/>
  <c r="I238" i="169"/>
  <c r="O239" i="169"/>
  <c r="L239" i="169"/>
  <c r="I239" i="169"/>
  <c r="O241" i="169"/>
  <c r="L241" i="169"/>
  <c r="I241" i="169"/>
  <c r="O242" i="169"/>
  <c r="L242" i="169"/>
  <c r="I242" i="169"/>
  <c r="O243" i="169"/>
  <c r="L243" i="169"/>
  <c r="I243" i="169"/>
  <c r="O244" i="169"/>
  <c r="L244" i="169"/>
  <c r="I244" i="169"/>
  <c r="O245" i="169"/>
  <c r="L245" i="169"/>
  <c r="I245" i="169"/>
  <c r="O250" i="169"/>
  <c r="L250" i="169"/>
  <c r="I250" i="169"/>
  <c r="O251" i="169"/>
  <c r="L251" i="169"/>
  <c r="I251" i="169"/>
  <c r="O252" i="169"/>
  <c r="L252" i="169"/>
  <c r="I252" i="169"/>
  <c r="E260" i="169"/>
  <c r="O255" i="169"/>
  <c r="L255" i="169"/>
  <c r="I255" i="169"/>
  <c r="O256" i="169"/>
  <c r="L256" i="169"/>
  <c r="I256" i="169"/>
  <c r="O257" i="169"/>
  <c r="L257" i="169"/>
  <c r="I257" i="169"/>
  <c r="O258" i="169"/>
  <c r="L258" i="169"/>
  <c r="I258" i="169"/>
  <c r="O259" i="169"/>
  <c r="L259" i="169"/>
  <c r="I259" i="169"/>
  <c r="O265" i="169"/>
  <c r="L265" i="169"/>
  <c r="I265" i="169"/>
  <c r="O266" i="169"/>
  <c r="L266" i="169"/>
  <c r="I266" i="169"/>
  <c r="O267" i="169"/>
  <c r="L267" i="169"/>
  <c r="I267" i="169"/>
  <c r="O268" i="169"/>
  <c r="L268" i="169"/>
  <c r="I268" i="169"/>
  <c r="O270" i="169"/>
  <c r="L270" i="169"/>
  <c r="I270" i="169"/>
  <c r="O271" i="169"/>
  <c r="L271" i="169"/>
  <c r="I271" i="169"/>
  <c r="O272" i="169"/>
  <c r="L272" i="169"/>
  <c r="I272" i="169"/>
  <c r="O273" i="169"/>
  <c r="L273" i="169"/>
  <c r="I273" i="169"/>
  <c r="O274" i="169"/>
  <c r="L274" i="169"/>
  <c r="I274" i="169"/>
  <c r="O279" i="169"/>
  <c r="L279" i="169"/>
  <c r="I279" i="169"/>
  <c r="O280" i="169"/>
  <c r="L280" i="169"/>
  <c r="I280" i="169"/>
  <c r="O281" i="169"/>
  <c r="L281" i="169"/>
  <c r="I281" i="169"/>
  <c r="O282" i="169"/>
  <c r="L282" i="169"/>
  <c r="I282" i="169"/>
  <c r="O285" i="169"/>
  <c r="L285" i="169"/>
  <c r="I285" i="169"/>
  <c r="O286" i="169"/>
  <c r="L286" i="169"/>
  <c r="I286" i="169"/>
  <c r="O287" i="169"/>
  <c r="L287" i="169"/>
  <c r="I287" i="169"/>
  <c r="O288" i="169"/>
  <c r="L288" i="169"/>
  <c r="I288" i="169"/>
  <c r="O289" i="169"/>
  <c r="L289" i="169"/>
  <c r="I289" i="169"/>
  <c r="O295" i="169"/>
  <c r="L295" i="169"/>
  <c r="I295" i="169"/>
  <c r="O296" i="169"/>
  <c r="L296" i="169"/>
  <c r="I296" i="169"/>
  <c r="O297" i="169"/>
  <c r="L297" i="169"/>
  <c r="I297" i="169"/>
  <c r="O299" i="169"/>
  <c r="L299" i="169"/>
  <c r="I299" i="169"/>
  <c r="O300" i="169"/>
  <c r="L300" i="169"/>
  <c r="I300" i="169"/>
  <c r="O301" i="169"/>
  <c r="L301" i="169"/>
  <c r="I301" i="169"/>
  <c r="O302" i="169"/>
  <c r="L302" i="169"/>
  <c r="I302" i="169"/>
  <c r="O303" i="169"/>
  <c r="L303" i="169"/>
  <c r="I303" i="169"/>
  <c r="O308" i="169"/>
  <c r="L308" i="169"/>
  <c r="I308" i="169"/>
  <c r="O309" i="169"/>
  <c r="L309" i="169"/>
  <c r="I309" i="169"/>
  <c r="O310" i="169"/>
  <c r="L310" i="169"/>
  <c r="I310" i="169"/>
  <c r="O311" i="169"/>
  <c r="L311" i="169"/>
  <c r="O312" i="169"/>
  <c r="L312" i="169"/>
  <c r="O313" i="169"/>
  <c r="L313" i="169"/>
  <c r="O314" i="169"/>
  <c r="L314" i="169"/>
  <c r="O315" i="169"/>
  <c r="L315" i="169"/>
  <c r="O316" i="169"/>
  <c r="L316" i="169"/>
  <c r="O322" i="169"/>
  <c r="L322" i="169"/>
  <c r="I322" i="169"/>
  <c r="O323" i="169"/>
  <c r="L323" i="169"/>
  <c r="I323" i="169"/>
  <c r="O324" i="169"/>
  <c r="L324" i="169"/>
  <c r="I324" i="169"/>
  <c r="O326" i="169"/>
  <c r="L326" i="169"/>
  <c r="I326" i="169"/>
  <c r="O327" i="169"/>
  <c r="L327" i="169"/>
  <c r="I327" i="169"/>
  <c r="O328" i="169"/>
  <c r="L328" i="169"/>
  <c r="I328" i="169"/>
  <c r="O329" i="169"/>
  <c r="L329" i="169"/>
  <c r="I329" i="169"/>
  <c r="O330" i="169"/>
  <c r="L330" i="169"/>
  <c r="I330" i="169"/>
  <c r="O335" i="169"/>
  <c r="L335" i="169"/>
  <c r="I335" i="169"/>
  <c r="O336" i="169"/>
  <c r="L336" i="169"/>
  <c r="I336" i="169"/>
  <c r="O337" i="169"/>
  <c r="L337" i="169"/>
  <c r="I337" i="169"/>
  <c r="O339" i="169"/>
  <c r="L339" i="169"/>
  <c r="I339" i="169"/>
  <c r="O340" i="169"/>
  <c r="L340" i="169"/>
  <c r="I340" i="169"/>
  <c r="O341" i="169"/>
  <c r="L341" i="169"/>
  <c r="I341" i="169"/>
  <c r="O342" i="169"/>
  <c r="L342" i="169"/>
  <c r="I342" i="169"/>
  <c r="O343" i="169"/>
  <c r="L343" i="169"/>
  <c r="I343" i="169"/>
  <c r="O348" i="169"/>
  <c r="L348" i="169"/>
  <c r="I348" i="169"/>
  <c r="O349" i="169"/>
  <c r="L349" i="169"/>
  <c r="I349" i="169"/>
  <c r="O350" i="169"/>
  <c r="L350" i="169"/>
  <c r="I350" i="169"/>
  <c r="O352" i="169"/>
  <c r="L352" i="169"/>
  <c r="I352" i="169"/>
  <c r="O353" i="169"/>
  <c r="L353" i="169"/>
  <c r="I353" i="169"/>
  <c r="O354" i="169"/>
  <c r="L354" i="169"/>
  <c r="I354" i="169"/>
  <c r="O355" i="169"/>
  <c r="L355" i="169"/>
  <c r="I355" i="169"/>
  <c r="O356" i="169"/>
  <c r="L356" i="169"/>
  <c r="I356" i="169"/>
  <c r="O361" i="169"/>
  <c r="L361" i="169"/>
  <c r="I361" i="169"/>
  <c r="O362" i="169"/>
  <c r="L362" i="169"/>
  <c r="I362" i="169"/>
  <c r="O363" i="169"/>
  <c r="L363" i="169"/>
  <c r="I363" i="169"/>
  <c r="O365" i="169"/>
  <c r="L365" i="169"/>
  <c r="I365" i="169"/>
  <c r="O366" i="169"/>
  <c r="L366" i="169"/>
  <c r="I366" i="169"/>
  <c r="O367" i="169"/>
  <c r="L367" i="169"/>
  <c r="I367" i="169"/>
  <c r="O368" i="169"/>
  <c r="L368" i="169"/>
  <c r="I368" i="169"/>
  <c r="O369" i="169"/>
  <c r="L369" i="169"/>
  <c r="I369" i="169"/>
  <c r="O375" i="169"/>
  <c r="L375" i="169"/>
  <c r="I375" i="169"/>
  <c r="O376" i="169"/>
  <c r="L376" i="169"/>
  <c r="I376" i="169"/>
  <c r="O377" i="169"/>
  <c r="L377" i="169"/>
  <c r="I377" i="169"/>
  <c r="O379" i="169"/>
  <c r="L379" i="169"/>
  <c r="I379" i="169"/>
  <c r="O380" i="169"/>
  <c r="L380" i="169"/>
  <c r="I380" i="169"/>
  <c r="O381" i="169"/>
  <c r="L381" i="169"/>
  <c r="I381" i="169"/>
  <c r="O382" i="169"/>
  <c r="L382" i="169"/>
  <c r="I382" i="169"/>
  <c r="O383" i="169"/>
  <c r="L383" i="169"/>
  <c r="I383" i="169"/>
  <c r="O388" i="169"/>
  <c r="L388" i="169"/>
  <c r="I388" i="169"/>
  <c r="O389" i="169"/>
  <c r="L389" i="169"/>
  <c r="I389" i="169"/>
  <c r="O390" i="169"/>
  <c r="L390" i="169"/>
  <c r="I390" i="169"/>
  <c r="O392" i="169"/>
  <c r="L392" i="169"/>
  <c r="I392" i="169"/>
  <c r="O393" i="169"/>
  <c r="L393" i="169"/>
  <c r="I393" i="169"/>
  <c r="O394" i="169"/>
  <c r="L394" i="169"/>
  <c r="I394" i="169"/>
  <c r="O395" i="169"/>
  <c r="L395" i="169"/>
  <c r="I395" i="169"/>
  <c r="O396" i="169"/>
  <c r="L396" i="169"/>
  <c r="I396" i="169"/>
  <c r="O402" i="169"/>
  <c r="L402" i="169"/>
  <c r="I402" i="169"/>
  <c r="O403" i="169"/>
  <c r="L403" i="169"/>
  <c r="I403" i="169"/>
  <c r="O404" i="169"/>
  <c r="L404" i="169"/>
  <c r="I404" i="169"/>
  <c r="O406" i="169"/>
  <c r="L406" i="169"/>
  <c r="I406" i="169"/>
  <c r="O407" i="169"/>
  <c r="L407" i="169"/>
  <c r="I407" i="169"/>
  <c r="O408" i="169"/>
  <c r="L408" i="169"/>
  <c r="I408" i="169"/>
  <c r="O409" i="169"/>
  <c r="L409" i="169"/>
  <c r="I409" i="169"/>
  <c r="O410" i="169"/>
  <c r="L410" i="169"/>
  <c r="I410" i="169"/>
  <c r="O416" i="169"/>
  <c r="L416" i="169"/>
  <c r="I416" i="169"/>
  <c r="O417" i="169"/>
  <c r="L417" i="169"/>
  <c r="I417" i="169"/>
  <c r="O418" i="169"/>
  <c r="L418" i="169"/>
  <c r="I418" i="169"/>
  <c r="O420" i="169"/>
  <c r="L420" i="169"/>
  <c r="O421" i="169"/>
  <c r="L421" i="169"/>
  <c r="I421" i="169"/>
  <c r="O422" i="169"/>
  <c r="L422" i="169"/>
  <c r="I422" i="169"/>
  <c r="O423" i="169"/>
  <c r="L423" i="169"/>
  <c r="I423" i="169"/>
  <c r="O424" i="169"/>
  <c r="L424" i="169"/>
  <c r="I424" i="169"/>
  <c r="O425" i="169"/>
  <c r="L425" i="169"/>
  <c r="I425" i="169"/>
  <c r="O431" i="169"/>
  <c r="L431" i="169"/>
  <c r="I431" i="169"/>
  <c r="O432" i="169"/>
  <c r="L432" i="169"/>
  <c r="I432" i="169"/>
  <c r="O433" i="169"/>
  <c r="L433" i="169"/>
  <c r="I433" i="169"/>
  <c r="O435" i="169"/>
  <c r="L435" i="169"/>
  <c r="I435" i="169"/>
  <c r="O436" i="169"/>
  <c r="L436" i="169"/>
  <c r="I436" i="169"/>
  <c r="O437" i="169"/>
  <c r="L437" i="169"/>
  <c r="I437" i="169"/>
  <c r="O438" i="169"/>
  <c r="L438" i="169"/>
  <c r="I438" i="169"/>
  <c r="O439" i="169"/>
  <c r="L439" i="169"/>
  <c r="I439" i="169"/>
  <c r="O444" i="169"/>
  <c r="L444" i="169"/>
  <c r="I444" i="169"/>
  <c r="O445" i="169"/>
  <c r="L445" i="169"/>
  <c r="I445" i="169"/>
  <c r="O446" i="169"/>
  <c r="L446" i="169"/>
  <c r="I446" i="169"/>
  <c r="O448" i="169"/>
  <c r="L448" i="169"/>
  <c r="O449" i="169"/>
  <c r="L449" i="169"/>
  <c r="I449" i="169"/>
  <c r="O450" i="169"/>
  <c r="L450" i="169"/>
  <c r="I450" i="169"/>
  <c r="O451" i="169"/>
  <c r="L451" i="169"/>
  <c r="I451" i="169"/>
  <c r="O452" i="169"/>
  <c r="L452" i="169"/>
  <c r="I452" i="169"/>
  <c r="O453" i="169"/>
  <c r="L453" i="169"/>
  <c r="I453" i="169"/>
  <c r="O460" i="169"/>
  <c r="L460" i="169"/>
  <c r="I460" i="169"/>
  <c r="O461" i="169"/>
  <c r="L461" i="169"/>
  <c r="I461" i="169"/>
  <c r="O462" i="169"/>
  <c r="L462" i="169"/>
  <c r="I462" i="169"/>
  <c r="O463" i="169"/>
  <c r="L463" i="169"/>
  <c r="I463" i="169"/>
  <c r="O464" i="169"/>
  <c r="L464" i="169"/>
  <c r="I464" i="169"/>
  <c r="O465" i="169"/>
  <c r="L465" i="169"/>
  <c r="I465" i="169"/>
  <c r="O470" i="169"/>
  <c r="L470" i="169"/>
  <c r="I470" i="169"/>
  <c r="O471" i="169"/>
  <c r="L471" i="169"/>
  <c r="I471" i="169"/>
  <c r="O472" i="169"/>
  <c r="L472" i="169"/>
  <c r="I472" i="169"/>
  <c r="O474" i="169"/>
  <c r="L474" i="169"/>
  <c r="O475" i="169"/>
  <c r="L475" i="169"/>
  <c r="I475" i="169"/>
  <c r="O476" i="169"/>
  <c r="L476" i="169"/>
  <c r="I476" i="169"/>
  <c r="O477" i="169"/>
  <c r="L477" i="169"/>
  <c r="I477" i="169"/>
  <c r="O478" i="169"/>
  <c r="L478" i="169"/>
  <c r="I478" i="169"/>
  <c r="O479" i="169"/>
  <c r="L479" i="169"/>
  <c r="I479" i="169"/>
  <c r="O485" i="169"/>
  <c r="L485" i="169"/>
  <c r="I485" i="169"/>
  <c r="O486" i="169"/>
  <c r="L486" i="169"/>
  <c r="I486" i="169"/>
  <c r="O487" i="169"/>
  <c r="L487" i="169"/>
  <c r="I487" i="169"/>
  <c r="O489" i="169"/>
  <c r="L489" i="169"/>
  <c r="I489" i="169"/>
  <c r="O490" i="169"/>
  <c r="L490" i="169"/>
  <c r="I490" i="169"/>
  <c r="O491" i="169"/>
  <c r="L491" i="169"/>
  <c r="I491" i="169"/>
  <c r="O492" i="169"/>
  <c r="L492" i="169"/>
  <c r="I492" i="169"/>
  <c r="O493" i="169"/>
  <c r="L493" i="169"/>
  <c r="I493" i="169"/>
  <c r="O494" i="169"/>
  <c r="L494" i="169"/>
  <c r="I494" i="169"/>
  <c r="E502" i="169"/>
  <c r="O499" i="169"/>
  <c r="L499" i="169"/>
  <c r="I499" i="169"/>
  <c r="O500" i="169"/>
  <c r="L500" i="169"/>
  <c r="I500" i="169"/>
  <c r="O501" i="169"/>
  <c r="L501" i="169"/>
  <c r="I501" i="169"/>
  <c r="O504" i="169"/>
  <c r="L504" i="169"/>
  <c r="O505" i="169"/>
  <c r="L505" i="169"/>
  <c r="I505" i="169"/>
  <c r="O506" i="169"/>
  <c r="L506" i="169"/>
  <c r="I506" i="169"/>
  <c r="O507" i="169"/>
  <c r="L507" i="169"/>
  <c r="I507" i="169"/>
  <c r="O508" i="169"/>
  <c r="L508" i="169"/>
  <c r="I508" i="169"/>
  <c r="O509" i="169"/>
  <c r="L509" i="169"/>
  <c r="I509" i="169"/>
  <c r="O515" i="169"/>
  <c r="L515" i="169"/>
  <c r="I515" i="169"/>
  <c r="O516" i="169"/>
  <c r="L516" i="169"/>
  <c r="I516" i="169"/>
  <c r="O518" i="169"/>
  <c r="L518" i="169"/>
  <c r="I518" i="169"/>
  <c r="O519" i="169"/>
  <c r="L519" i="169"/>
  <c r="I519" i="169"/>
  <c r="O520" i="169"/>
  <c r="L520" i="169"/>
  <c r="I520" i="169"/>
  <c r="O521" i="169"/>
  <c r="L521" i="169"/>
  <c r="I521" i="169"/>
  <c r="O522" i="169"/>
  <c r="L522" i="169"/>
  <c r="I522" i="169"/>
  <c r="O528" i="169"/>
  <c r="L528" i="169"/>
  <c r="I528" i="169"/>
  <c r="O529" i="169"/>
  <c r="L529" i="169"/>
  <c r="I529" i="169"/>
  <c r="O531" i="169"/>
  <c r="L531" i="169"/>
  <c r="E537" i="169"/>
  <c r="O532" i="169"/>
  <c r="L532" i="169"/>
  <c r="I532" i="169"/>
  <c r="O533" i="169"/>
  <c r="L533" i="169"/>
  <c r="I533" i="169"/>
  <c r="O534" i="169"/>
  <c r="L534" i="169"/>
  <c r="I534" i="169"/>
  <c r="O535" i="169"/>
  <c r="L535" i="169"/>
  <c r="I535" i="169"/>
  <c r="O536" i="169"/>
  <c r="L536" i="169"/>
  <c r="I536" i="169"/>
  <c r="O542" i="169"/>
  <c r="L542" i="169"/>
  <c r="I542" i="169"/>
  <c r="O543" i="169"/>
  <c r="L543" i="169"/>
  <c r="I543" i="169"/>
  <c r="O544" i="169"/>
  <c r="L544" i="169"/>
  <c r="I544" i="169"/>
  <c r="O546" i="169"/>
  <c r="L546" i="169"/>
  <c r="I546" i="169"/>
  <c r="O547" i="169"/>
  <c r="L547" i="169"/>
  <c r="I547" i="169"/>
  <c r="O548" i="169"/>
  <c r="L548" i="169"/>
  <c r="I548" i="169"/>
  <c r="O549" i="169"/>
  <c r="L549" i="169"/>
  <c r="I549" i="169"/>
  <c r="O550" i="169"/>
  <c r="L550" i="169"/>
  <c r="I550" i="169"/>
  <c r="O555" i="169"/>
  <c r="L555" i="169"/>
  <c r="I555" i="169"/>
  <c r="O556" i="169"/>
  <c r="L556" i="169"/>
  <c r="I556" i="169"/>
  <c r="O557" i="169"/>
  <c r="L557" i="169"/>
  <c r="I557" i="169"/>
  <c r="O559" i="169"/>
  <c r="L559" i="169"/>
  <c r="O560" i="169"/>
  <c r="L560" i="169"/>
  <c r="I560" i="169"/>
  <c r="O561" i="169"/>
  <c r="L561" i="169"/>
  <c r="I561" i="169"/>
  <c r="O562" i="169"/>
  <c r="L562" i="169"/>
  <c r="I562" i="169"/>
  <c r="O563" i="169"/>
  <c r="L563" i="169"/>
  <c r="I563" i="169"/>
  <c r="O564" i="169"/>
  <c r="L564" i="169"/>
  <c r="I564" i="169"/>
  <c r="E579" i="169"/>
  <c r="O570" i="169"/>
  <c r="L570" i="169"/>
  <c r="I570" i="169"/>
  <c r="O571" i="169"/>
  <c r="L571" i="169"/>
  <c r="I571" i="169"/>
  <c r="O572" i="169"/>
  <c r="L572" i="169"/>
  <c r="I572" i="169"/>
  <c r="O574" i="169"/>
  <c r="L574" i="169"/>
  <c r="I574" i="169"/>
  <c r="O575" i="169"/>
  <c r="L575" i="169"/>
  <c r="I575" i="169"/>
  <c r="O576" i="169"/>
  <c r="L576" i="169"/>
  <c r="I576" i="169"/>
  <c r="O577" i="169"/>
  <c r="L577" i="169"/>
  <c r="I577" i="169"/>
  <c r="O578" i="169"/>
  <c r="L578" i="169"/>
  <c r="I578" i="169"/>
  <c r="O583" i="169"/>
  <c r="L583" i="169"/>
  <c r="I583" i="169"/>
  <c r="O584" i="169"/>
  <c r="L584" i="169"/>
  <c r="I584" i="169"/>
  <c r="O585" i="169"/>
  <c r="L585" i="169"/>
  <c r="I585" i="169"/>
  <c r="O587" i="169"/>
  <c r="L587" i="169"/>
  <c r="E593" i="169"/>
  <c r="O588" i="169"/>
  <c r="L588" i="169"/>
  <c r="I588" i="169"/>
  <c r="O589" i="169"/>
  <c r="L589" i="169"/>
  <c r="I589" i="169"/>
  <c r="O590" i="169"/>
  <c r="L590" i="169"/>
  <c r="I590" i="169"/>
  <c r="O591" i="169"/>
  <c r="L591" i="169"/>
  <c r="I591" i="169"/>
  <c r="O592" i="169"/>
  <c r="L592" i="169"/>
  <c r="I592" i="169"/>
  <c r="O597" i="169"/>
  <c r="L597" i="169"/>
  <c r="I597" i="169"/>
  <c r="O598" i="169"/>
  <c r="L598" i="169"/>
  <c r="I598" i="169"/>
  <c r="O599" i="169"/>
  <c r="L599" i="169"/>
  <c r="I599" i="169"/>
  <c r="O600" i="169"/>
  <c r="L600" i="169"/>
  <c r="I600" i="169"/>
  <c r="O601" i="169"/>
  <c r="L601" i="169"/>
  <c r="I601" i="169"/>
  <c r="O602" i="169"/>
  <c r="L602" i="169"/>
  <c r="I602" i="169"/>
  <c r="O603" i="169"/>
  <c r="L603" i="169"/>
  <c r="I603" i="169"/>
  <c r="O605" i="169"/>
  <c r="L605" i="169"/>
  <c r="I605" i="169"/>
  <c r="O606" i="169"/>
  <c r="L606" i="169"/>
  <c r="I606" i="169"/>
  <c r="O607" i="169"/>
  <c r="L607" i="169"/>
  <c r="I607" i="169"/>
  <c r="B609" i="169"/>
  <c r="F608" i="169"/>
  <c r="G608" i="169" s="1"/>
  <c r="O611" i="169"/>
  <c r="L611" i="169"/>
  <c r="I611" i="169"/>
  <c r="O616" i="169"/>
  <c r="L616" i="169"/>
  <c r="I616" i="169"/>
  <c r="O617" i="169"/>
  <c r="L617" i="169"/>
  <c r="I617" i="169"/>
  <c r="O618" i="169"/>
  <c r="L618" i="169"/>
  <c r="I618" i="169"/>
  <c r="O619" i="169"/>
  <c r="L619" i="169"/>
  <c r="I619" i="169"/>
  <c r="O620" i="169"/>
  <c r="L620" i="169"/>
  <c r="I620" i="169"/>
  <c r="O621" i="169"/>
  <c r="L621" i="169"/>
  <c r="I621" i="169"/>
  <c r="O622" i="169"/>
  <c r="L622" i="169"/>
  <c r="I622" i="169"/>
  <c r="O624" i="169"/>
  <c r="L624" i="169"/>
  <c r="I624" i="169"/>
  <c r="O625" i="169"/>
  <c r="L625" i="169"/>
  <c r="I625" i="169"/>
  <c r="O626" i="169"/>
  <c r="L626" i="169"/>
  <c r="I626" i="169"/>
  <c r="B628" i="169"/>
  <c r="F627" i="169"/>
  <c r="G627" i="169" s="1"/>
  <c r="O630" i="169"/>
  <c r="L630" i="169"/>
  <c r="I630" i="169"/>
  <c r="O635" i="169"/>
  <c r="L635" i="169"/>
  <c r="I635" i="169"/>
  <c r="O636" i="169"/>
  <c r="L636" i="169"/>
  <c r="I636" i="169"/>
  <c r="O637" i="169"/>
  <c r="L637" i="169"/>
  <c r="I637" i="169"/>
  <c r="O638" i="169"/>
  <c r="L638" i="169"/>
  <c r="I638" i="169"/>
  <c r="O639" i="169"/>
  <c r="L639" i="169"/>
  <c r="I639" i="169"/>
  <c r="O640" i="169"/>
  <c r="L640" i="169"/>
  <c r="I640" i="169"/>
  <c r="O641" i="169"/>
  <c r="L641" i="169"/>
  <c r="I641" i="169"/>
  <c r="O643" i="169"/>
  <c r="L643" i="169"/>
  <c r="I643" i="169"/>
  <c r="O644" i="169"/>
  <c r="L644" i="169"/>
  <c r="I644" i="169"/>
  <c r="O645" i="169"/>
  <c r="L645" i="169"/>
  <c r="I645" i="169"/>
  <c r="B647" i="169"/>
  <c r="F646" i="169"/>
  <c r="G646" i="169" s="1"/>
  <c r="O649" i="169"/>
  <c r="L649" i="169"/>
  <c r="I649" i="169"/>
  <c r="O654" i="169"/>
  <c r="L654" i="169"/>
  <c r="I654" i="169"/>
  <c r="O655" i="169"/>
  <c r="L655" i="169"/>
  <c r="I655" i="169"/>
  <c r="O656" i="169"/>
  <c r="L656" i="169"/>
  <c r="I656" i="169"/>
  <c r="O657" i="169"/>
  <c r="L657" i="169"/>
  <c r="I657" i="169"/>
  <c r="O658" i="169"/>
  <c r="L658" i="169"/>
  <c r="I658" i="169"/>
  <c r="O659" i="169"/>
  <c r="L659" i="169"/>
  <c r="I659" i="169"/>
  <c r="O660" i="169"/>
  <c r="L660" i="169"/>
  <c r="I660" i="169"/>
  <c r="O662" i="169"/>
  <c r="L662" i="169"/>
  <c r="I662" i="169"/>
  <c r="O663" i="169"/>
  <c r="L663" i="169"/>
  <c r="I663" i="169"/>
  <c r="O664" i="169"/>
  <c r="L664" i="169"/>
  <c r="I664" i="169"/>
  <c r="B666" i="169"/>
  <c r="F665" i="169"/>
  <c r="G665" i="169" s="1"/>
  <c r="O668" i="169"/>
  <c r="L668" i="169"/>
  <c r="I668" i="169"/>
  <c r="O673" i="169"/>
  <c r="L673" i="169"/>
  <c r="I673" i="169"/>
  <c r="O674" i="169"/>
  <c r="L674" i="169"/>
  <c r="I674" i="169"/>
  <c r="O675" i="169"/>
  <c r="L675" i="169"/>
  <c r="I675" i="169"/>
  <c r="O676" i="169"/>
  <c r="L676" i="169"/>
  <c r="I676" i="169"/>
  <c r="O677" i="169"/>
  <c r="L677" i="169"/>
  <c r="I677" i="169"/>
  <c r="O678" i="169"/>
  <c r="L678" i="169"/>
  <c r="I678" i="169"/>
  <c r="O679" i="169"/>
  <c r="L679" i="169"/>
  <c r="I679" i="169"/>
  <c r="O681" i="169"/>
  <c r="L681" i="169"/>
  <c r="I681" i="169"/>
  <c r="O682" i="169"/>
  <c r="L682" i="169"/>
  <c r="I682" i="169"/>
  <c r="O683" i="169"/>
  <c r="L683" i="169"/>
  <c r="I683" i="169"/>
  <c r="B685" i="169"/>
  <c r="F684" i="169"/>
  <c r="G684" i="169" s="1"/>
  <c r="O687" i="169"/>
  <c r="L687" i="169"/>
  <c r="I687" i="169"/>
  <c r="O692" i="169"/>
  <c r="L692" i="169"/>
  <c r="I692" i="169"/>
  <c r="O693" i="169"/>
  <c r="L693" i="169"/>
  <c r="I693" i="169"/>
  <c r="O694" i="169"/>
  <c r="L694" i="169"/>
  <c r="I694" i="169"/>
  <c r="O696" i="169"/>
  <c r="L696" i="169"/>
  <c r="I696" i="169"/>
  <c r="O697" i="169"/>
  <c r="L697" i="169"/>
  <c r="I697" i="169"/>
  <c r="O698" i="169"/>
  <c r="L698" i="169"/>
  <c r="I698" i="169"/>
  <c r="O699" i="169"/>
  <c r="L699" i="169"/>
  <c r="I699" i="169"/>
  <c r="O700" i="169"/>
  <c r="L700" i="169"/>
  <c r="I700" i="169"/>
  <c r="O705" i="169"/>
  <c r="L705" i="169"/>
  <c r="I705" i="169"/>
  <c r="O706" i="169"/>
  <c r="L706" i="169"/>
  <c r="I706" i="169"/>
  <c r="O707" i="169"/>
  <c r="L707" i="169"/>
  <c r="I707" i="169"/>
  <c r="O709" i="169"/>
  <c r="L709" i="169"/>
  <c r="O710" i="169"/>
  <c r="L710" i="169"/>
  <c r="I710" i="169"/>
  <c r="O711" i="169"/>
  <c r="L711" i="169"/>
  <c r="I711" i="169"/>
  <c r="O712" i="169"/>
  <c r="L712" i="169"/>
  <c r="I712" i="169"/>
  <c r="O713" i="169"/>
  <c r="L713" i="169"/>
  <c r="I713" i="169"/>
  <c r="O714" i="169"/>
  <c r="L714" i="169"/>
  <c r="I714" i="169"/>
  <c r="E20" i="166"/>
  <c r="E21" i="166" s="1"/>
  <c r="E22" i="166" s="1"/>
  <c r="F12" i="166"/>
  <c r="F15" i="166"/>
  <c r="D20" i="166"/>
  <c r="D21" i="166" s="1"/>
  <c r="D22" i="166" s="1"/>
  <c r="C20" i="166"/>
  <c r="C21" i="166" s="1"/>
  <c r="C22" i="166" s="1"/>
  <c r="F18" i="166"/>
  <c r="F13" i="166"/>
  <c r="B20" i="166"/>
  <c r="F11" i="166"/>
  <c r="O20" i="165"/>
  <c r="Q242" i="165"/>
  <c r="Q184" i="165"/>
  <c r="Q87" i="170" l="1"/>
  <c r="Q89" i="170" s="1"/>
  <c r="Q91" i="170" s="1"/>
  <c r="O87" i="170"/>
  <c r="M87" i="170"/>
  <c r="M89" i="170" s="1"/>
  <c r="M91" i="170" s="1"/>
  <c r="R85" i="170"/>
  <c r="T56" i="170"/>
  <c r="T85" i="170" s="1"/>
  <c r="R50" i="170"/>
  <c r="T39" i="170"/>
  <c r="T50" i="170" s="1"/>
  <c r="R37" i="170"/>
  <c r="T37" i="170" s="1"/>
  <c r="T35" i="170"/>
  <c r="R33" i="170"/>
  <c r="T33" i="170" s="1"/>
  <c r="T31" i="170"/>
  <c r="O89" i="170"/>
  <c r="O91" i="170" s="1"/>
  <c r="R22" i="170"/>
  <c r="T13" i="170"/>
  <c r="K26" i="170"/>
  <c r="J703" i="169"/>
  <c r="M703" i="169"/>
  <c r="J689" i="169"/>
  <c r="M689" i="169"/>
  <c r="P689" i="169"/>
  <c r="O684" i="169"/>
  <c r="L684" i="169"/>
  <c r="I684" i="169"/>
  <c r="B686" i="169"/>
  <c r="G686" i="169" s="1"/>
  <c r="F685" i="169"/>
  <c r="G685" i="169" s="1"/>
  <c r="O665" i="169"/>
  <c r="L665" i="169"/>
  <c r="I665" i="169"/>
  <c r="B667" i="169"/>
  <c r="G667" i="169" s="1"/>
  <c r="F666" i="169"/>
  <c r="G666" i="169" s="1"/>
  <c r="O646" i="169"/>
  <c r="L646" i="169"/>
  <c r="I646" i="169"/>
  <c r="B648" i="169"/>
  <c r="G648" i="169" s="1"/>
  <c r="F647" i="169"/>
  <c r="G647" i="169" s="1"/>
  <c r="O627" i="169"/>
  <c r="L627" i="169"/>
  <c r="I627" i="169"/>
  <c r="B629" i="169"/>
  <c r="G629" i="169" s="1"/>
  <c r="F628" i="169"/>
  <c r="G628" i="169" s="1"/>
  <c r="O608" i="169"/>
  <c r="L608" i="169"/>
  <c r="I608" i="169"/>
  <c r="B610" i="169"/>
  <c r="G610" i="169" s="1"/>
  <c r="F609" i="169"/>
  <c r="G609" i="169" s="1"/>
  <c r="J581" i="169"/>
  <c r="M581" i="169"/>
  <c r="J567" i="169"/>
  <c r="M567" i="169"/>
  <c r="P567" i="169"/>
  <c r="J553" i="169"/>
  <c r="M553" i="169"/>
  <c r="J539" i="169"/>
  <c r="M539" i="169"/>
  <c r="P539" i="169"/>
  <c r="M525" i="169"/>
  <c r="P525" i="169"/>
  <c r="J512" i="169"/>
  <c r="M512" i="169"/>
  <c r="M523" i="169" s="1"/>
  <c r="P512" i="169"/>
  <c r="P523" i="169" s="1"/>
  <c r="J497" i="169"/>
  <c r="M497" i="169"/>
  <c r="P497" i="169"/>
  <c r="J482" i="169"/>
  <c r="M482" i="169"/>
  <c r="P482" i="169"/>
  <c r="J468" i="169"/>
  <c r="M468" i="169"/>
  <c r="J456" i="169"/>
  <c r="P456" i="169"/>
  <c r="J442" i="169"/>
  <c r="M442" i="169"/>
  <c r="J428" i="169"/>
  <c r="M428" i="169"/>
  <c r="P428" i="169"/>
  <c r="J414" i="169"/>
  <c r="M414" i="169"/>
  <c r="J399" i="169"/>
  <c r="M399" i="169"/>
  <c r="M426" i="169" s="1"/>
  <c r="P399" i="169"/>
  <c r="P426" i="169" s="1"/>
  <c r="J386" i="169"/>
  <c r="M386" i="169"/>
  <c r="J372" i="169"/>
  <c r="M372" i="169"/>
  <c r="M397" i="169" s="1"/>
  <c r="P372" i="169"/>
  <c r="P397" i="169" s="1"/>
  <c r="J359" i="169"/>
  <c r="M359" i="169"/>
  <c r="J345" i="169"/>
  <c r="M345" i="169"/>
  <c r="P345" i="169"/>
  <c r="J333" i="169"/>
  <c r="M333" i="169"/>
  <c r="P333" i="169"/>
  <c r="J319" i="169"/>
  <c r="M319" i="169"/>
  <c r="M344" i="169" s="1"/>
  <c r="P319" i="169"/>
  <c r="P344" i="169" s="1"/>
  <c r="J306" i="169"/>
  <c r="M306" i="169"/>
  <c r="P306" i="169"/>
  <c r="J292" i="169"/>
  <c r="M292" i="169"/>
  <c r="P292" i="169"/>
  <c r="J277" i="169"/>
  <c r="M277" i="169"/>
  <c r="J262" i="169"/>
  <c r="M262" i="169"/>
  <c r="P262" i="169"/>
  <c r="J248" i="169"/>
  <c r="M248" i="169"/>
  <c r="P248" i="169"/>
  <c r="J233" i="169"/>
  <c r="M233" i="169"/>
  <c r="P233" i="169"/>
  <c r="J208" i="169"/>
  <c r="M208" i="169"/>
  <c r="P208" i="169"/>
  <c r="J194" i="169"/>
  <c r="M194" i="169"/>
  <c r="P194" i="169"/>
  <c r="J178" i="169"/>
  <c r="M178" i="169"/>
  <c r="P178" i="169"/>
  <c r="J164" i="169"/>
  <c r="M164" i="169"/>
  <c r="P164" i="169"/>
  <c r="J148" i="169"/>
  <c r="M148" i="169"/>
  <c r="P148" i="169"/>
  <c r="J133" i="169"/>
  <c r="M133" i="169"/>
  <c r="P133" i="169"/>
  <c r="J118" i="169"/>
  <c r="M118" i="169"/>
  <c r="P118" i="169"/>
  <c r="J104" i="169"/>
  <c r="M104" i="169"/>
  <c r="P104" i="169"/>
  <c r="M79" i="169"/>
  <c r="J79" i="169"/>
  <c r="P79" i="169"/>
  <c r="J64" i="169"/>
  <c r="M64" i="169"/>
  <c r="P64" i="169"/>
  <c r="J50" i="169"/>
  <c r="M50" i="169"/>
  <c r="P50" i="169"/>
  <c r="J34" i="169"/>
  <c r="M34" i="169"/>
  <c r="P34" i="169"/>
  <c r="J20" i="169"/>
  <c r="M20" i="169"/>
  <c r="P20" i="169"/>
  <c r="O708" i="169"/>
  <c r="P703" i="169" s="1"/>
  <c r="O704" i="169"/>
  <c r="O586" i="169"/>
  <c r="P581" i="169" s="1"/>
  <c r="O582" i="169"/>
  <c r="O558" i="169"/>
  <c r="P553" i="169" s="1"/>
  <c r="O554" i="169"/>
  <c r="O530" i="169"/>
  <c r="O526" i="169"/>
  <c r="O503" i="169"/>
  <c r="O498" i="169"/>
  <c r="O473" i="169"/>
  <c r="P468" i="169" s="1"/>
  <c r="O469" i="169"/>
  <c r="O447" i="169"/>
  <c r="P442" i="169" s="1"/>
  <c r="O443" i="169"/>
  <c r="O419" i="169"/>
  <c r="O415" i="169"/>
  <c r="P414" i="169" s="1"/>
  <c r="O387" i="169"/>
  <c r="P386" i="169" s="1"/>
  <c r="O364" i="169"/>
  <c r="O360" i="169"/>
  <c r="P359" i="169" s="1"/>
  <c r="O338" i="169"/>
  <c r="O334" i="169"/>
  <c r="O307" i="169"/>
  <c r="O283" i="169"/>
  <c r="P277" i="169" s="1"/>
  <c r="P290" i="169" s="1"/>
  <c r="O278" i="169"/>
  <c r="O223" i="169"/>
  <c r="S16" i="169"/>
  <c r="F20" i="166"/>
  <c r="B21" i="166"/>
  <c r="R179" i="165"/>
  <c r="V184" i="165"/>
  <c r="R237" i="165"/>
  <c r="V242" i="165"/>
  <c r="K88" i="161"/>
  <c r="O276" i="165"/>
  <c r="V20" i="165"/>
  <c r="P715" i="169" l="1"/>
  <c r="P716" i="169" s="1"/>
  <c r="M370" i="169"/>
  <c r="P232" i="169"/>
  <c r="M232" i="169"/>
  <c r="J232" i="169"/>
  <c r="M290" i="169"/>
  <c r="J454" i="169"/>
  <c r="J290" i="169"/>
  <c r="P317" i="169"/>
  <c r="M317" i="169"/>
  <c r="J317" i="169"/>
  <c r="P370" i="169"/>
  <c r="P454" i="169"/>
  <c r="M454" i="169"/>
  <c r="M715" i="169"/>
  <c r="M716" i="169" s="1"/>
  <c r="K29" i="170"/>
  <c r="K87" i="170" s="1"/>
  <c r="R26" i="170"/>
  <c r="T22" i="170"/>
  <c r="R708" i="169"/>
  <c r="R704" i="169"/>
  <c r="R586" i="169"/>
  <c r="R582" i="169"/>
  <c r="R558" i="169"/>
  <c r="R554" i="169"/>
  <c r="R530" i="169"/>
  <c r="S525" i="169" s="1"/>
  <c r="R526" i="169"/>
  <c r="R503" i="169"/>
  <c r="R498" i="169"/>
  <c r="R473" i="169"/>
  <c r="R469" i="169"/>
  <c r="R447" i="169"/>
  <c r="R443" i="169"/>
  <c r="R419" i="169"/>
  <c r="R415" i="169"/>
  <c r="R387" i="169"/>
  <c r="R374" i="169"/>
  <c r="R364" i="169"/>
  <c r="R360" i="169"/>
  <c r="R338" i="169"/>
  <c r="R334" i="169"/>
  <c r="R307" i="169"/>
  <c r="R283" i="169"/>
  <c r="R278" i="169"/>
  <c r="R223" i="169"/>
  <c r="R210" i="169"/>
  <c r="R23" i="169"/>
  <c r="R24" i="169"/>
  <c r="R25" i="169"/>
  <c r="R28" i="169"/>
  <c r="R29" i="169"/>
  <c r="R30" i="169"/>
  <c r="R31" i="169"/>
  <c r="R32" i="169"/>
  <c r="R36" i="169"/>
  <c r="R37" i="169"/>
  <c r="R38" i="169"/>
  <c r="R41" i="169"/>
  <c r="R42" i="169"/>
  <c r="R43" i="169"/>
  <c r="R44" i="169"/>
  <c r="R45" i="169"/>
  <c r="R53" i="169"/>
  <c r="R54" i="169"/>
  <c r="R55" i="169"/>
  <c r="R58" i="169"/>
  <c r="R59" i="169"/>
  <c r="R60" i="169"/>
  <c r="R61" i="169"/>
  <c r="R62" i="169"/>
  <c r="R66" i="169"/>
  <c r="R67" i="169"/>
  <c r="R68" i="169"/>
  <c r="R71" i="169"/>
  <c r="R72" i="169"/>
  <c r="R73" i="169"/>
  <c r="R74" i="169"/>
  <c r="R75" i="169"/>
  <c r="R82" i="169"/>
  <c r="R83" i="169"/>
  <c r="R84" i="169"/>
  <c r="R87" i="169"/>
  <c r="R88" i="169"/>
  <c r="R89" i="169"/>
  <c r="R90" i="169"/>
  <c r="R91" i="169"/>
  <c r="R106" i="169"/>
  <c r="R107" i="169"/>
  <c r="R108" i="169"/>
  <c r="R111" i="169"/>
  <c r="R112" i="169"/>
  <c r="R113" i="169"/>
  <c r="R114" i="169"/>
  <c r="R115" i="169"/>
  <c r="R121" i="169"/>
  <c r="R122" i="169"/>
  <c r="R123" i="169"/>
  <c r="R126" i="169"/>
  <c r="R127" i="169"/>
  <c r="R128" i="169"/>
  <c r="R129" i="169"/>
  <c r="R130" i="169"/>
  <c r="R135" i="169"/>
  <c r="R136" i="169"/>
  <c r="R137" i="169"/>
  <c r="R140" i="169"/>
  <c r="R141" i="169"/>
  <c r="R142" i="169"/>
  <c r="R143" i="169"/>
  <c r="R144" i="169"/>
  <c r="R151" i="169"/>
  <c r="R152" i="169"/>
  <c r="R153" i="169"/>
  <c r="R156" i="169"/>
  <c r="R157" i="169"/>
  <c r="R158" i="169"/>
  <c r="R159" i="169"/>
  <c r="R160" i="169"/>
  <c r="R161" i="169"/>
  <c r="R166" i="169"/>
  <c r="R167" i="169"/>
  <c r="R168" i="169"/>
  <c r="R171" i="169"/>
  <c r="R172" i="169"/>
  <c r="R173" i="169"/>
  <c r="R174" i="169"/>
  <c r="R175" i="169"/>
  <c r="R181" i="169"/>
  <c r="R182" i="169"/>
  <c r="R183" i="169"/>
  <c r="R186" i="169"/>
  <c r="R187" i="169"/>
  <c r="R188" i="169"/>
  <c r="R189" i="169"/>
  <c r="R190" i="169"/>
  <c r="R191" i="169"/>
  <c r="R196" i="169"/>
  <c r="R197" i="169"/>
  <c r="R198" i="169"/>
  <c r="R201" i="169"/>
  <c r="R202" i="169"/>
  <c r="R203" i="169"/>
  <c r="R204" i="169"/>
  <c r="R205" i="169"/>
  <c r="R211" i="169"/>
  <c r="R212" i="169"/>
  <c r="R214" i="169"/>
  <c r="R215" i="169"/>
  <c r="R216" i="169"/>
  <c r="R217" i="169"/>
  <c r="R218" i="169"/>
  <c r="R219" i="169"/>
  <c r="R224" i="169"/>
  <c r="R225" i="169"/>
  <c r="S222" i="169" s="1"/>
  <c r="T222" i="169" s="1"/>
  <c r="R227" i="169"/>
  <c r="R228" i="169"/>
  <c r="R229" i="169"/>
  <c r="R230" i="169"/>
  <c r="R231" i="169"/>
  <c r="R236" i="169"/>
  <c r="R237" i="169"/>
  <c r="R238" i="169"/>
  <c r="R239" i="169"/>
  <c r="R241" i="169"/>
  <c r="R242" i="169"/>
  <c r="R243" i="169"/>
  <c r="R244" i="169"/>
  <c r="R245" i="169"/>
  <c r="R250" i="169"/>
  <c r="R251" i="169"/>
  <c r="R252" i="169"/>
  <c r="R255" i="169"/>
  <c r="R256" i="169"/>
  <c r="R257" i="169"/>
  <c r="R258" i="169"/>
  <c r="R259" i="169"/>
  <c r="R265" i="169"/>
  <c r="R266" i="169"/>
  <c r="R267" i="169"/>
  <c r="R268" i="169"/>
  <c r="R270" i="169"/>
  <c r="R271" i="169"/>
  <c r="R272" i="169"/>
  <c r="R273" i="169"/>
  <c r="R274" i="169"/>
  <c r="R279" i="169"/>
  <c r="R280" i="169"/>
  <c r="R281" i="169"/>
  <c r="R282" i="169"/>
  <c r="R285" i="169"/>
  <c r="R286" i="169"/>
  <c r="R287" i="169"/>
  <c r="R288" i="169"/>
  <c r="R289" i="169"/>
  <c r="R295" i="169"/>
  <c r="R296" i="169"/>
  <c r="R297" i="169"/>
  <c r="R299" i="169"/>
  <c r="R300" i="169"/>
  <c r="R301" i="169"/>
  <c r="R302" i="169"/>
  <c r="R303" i="169"/>
  <c r="R308" i="169"/>
  <c r="R309" i="169"/>
  <c r="R310" i="169"/>
  <c r="R311" i="169"/>
  <c r="R312" i="169"/>
  <c r="R313" i="169"/>
  <c r="R314" i="169"/>
  <c r="R315" i="169"/>
  <c r="R316" i="169"/>
  <c r="R322" i="169"/>
  <c r="R323" i="169"/>
  <c r="R324" i="169"/>
  <c r="R326" i="169"/>
  <c r="R327" i="169"/>
  <c r="R328" i="169"/>
  <c r="R329" i="169"/>
  <c r="R330" i="169"/>
  <c r="R335" i="169"/>
  <c r="R336" i="169"/>
  <c r="R337" i="169"/>
  <c r="R339" i="169"/>
  <c r="R340" i="169"/>
  <c r="R341" i="169"/>
  <c r="R342" i="169"/>
  <c r="R343" i="169"/>
  <c r="R348" i="169"/>
  <c r="R349" i="169"/>
  <c r="R350" i="169"/>
  <c r="R352" i="169"/>
  <c r="R353" i="169"/>
  <c r="R354" i="169"/>
  <c r="R355" i="169"/>
  <c r="R356" i="169"/>
  <c r="R361" i="169"/>
  <c r="R362" i="169"/>
  <c r="R363" i="169"/>
  <c r="R365" i="169"/>
  <c r="R366" i="169"/>
  <c r="R367" i="169"/>
  <c r="R368" i="169"/>
  <c r="R369" i="169"/>
  <c r="R375" i="169"/>
  <c r="R376" i="169"/>
  <c r="R377" i="169"/>
  <c r="R379" i="169"/>
  <c r="R380" i="169"/>
  <c r="R381" i="169"/>
  <c r="R382" i="169"/>
  <c r="R383" i="169"/>
  <c r="R388" i="169"/>
  <c r="R389" i="169"/>
  <c r="R390" i="169"/>
  <c r="R392" i="169"/>
  <c r="R393" i="169"/>
  <c r="R394" i="169"/>
  <c r="R395" i="169"/>
  <c r="R396" i="169"/>
  <c r="R402" i="169"/>
  <c r="R403" i="169"/>
  <c r="R404" i="169"/>
  <c r="R406" i="169"/>
  <c r="R407" i="169"/>
  <c r="R408" i="169"/>
  <c r="R409" i="169"/>
  <c r="R410" i="169"/>
  <c r="R416" i="169"/>
  <c r="R417" i="169"/>
  <c r="R418" i="169"/>
  <c r="R420" i="169"/>
  <c r="R421" i="169"/>
  <c r="R422" i="169"/>
  <c r="R423" i="169"/>
  <c r="R424" i="169"/>
  <c r="R425" i="169"/>
  <c r="R431" i="169"/>
  <c r="R432" i="169"/>
  <c r="R433" i="169"/>
  <c r="R435" i="169"/>
  <c r="R436" i="169"/>
  <c r="R437" i="169"/>
  <c r="R438" i="169"/>
  <c r="R439" i="169"/>
  <c r="R444" i="169"/>
  <c r="R445" i="169"/>
  <c r="R446" i="169"/>
  <c r="R448" i="169"/>
  <c r="R449" i="169"/>
  <c r="R450" i="169"/>
  <c r="R451" i="169"/>
  <c r="R452" i="169"/>
  <c r="R453" i="169"/>
  <c r="R460" i="169"/>
  <c r="R461" i="169"/>
  <c r="R462" i="169"/>
  <c r="R463" i="169"/>
  <c r="R464" i="169"/>
  <c r="R465" i="169"/>
  <c r="R470" i="169"/>
  <c r="R471" i="169"/>
  <c r="R472" i="169"/>
  <c r="R474" i="169"/>
  <c r="R475" i="169"/>
  <c r="R476" i="169"/>
  <c r="R477" i="169"/>
  <c r="R478" i="169"/>
  <c r="R479" i="169"/>
  <c r="R485" i="169"/>
  <c r="R486" i="169"/>
  <c r="R487" i="169"/>
  <c r="R489" i="169"/>
  <c r="R490" i="169"/>
  <c r="R491" i="169"/>
  <c r="R492" i="169"/>
  <c r="R493" i="169"/>
  <c r="R494" i="169"/>
  <c r="R499" i="169"/>
  <c r="R500" i="169"/>
  <c r="R501" i="169"/>
  <c r="R504" i="169"/>
  <c r="R505" i="169"/>
  <c r="R506" i="169"/>
  <c r="R507" i="169"/>
  <c r="R508" i="169"/>
  <c r="R509" i="169"/>
  <c r="R515" i="169"/>
  <c r="R516" i="169"/>
  <c r="R518" i="169"/>
  <c r="R519" i="169"/>
  <c r="R520" i="169"/>
  <c r="R521" i="169"/>
  <c r="R522" i="169"/>
  <c r="R528" i="169"/>
  <c r="R529" i="169"/>
  <c r="R531" i="169"/>
  <c r="R532" i="169"/>
  <c r="R533" i="169"/>
  <c r="R534" i="169"/>
  <c r="R535" i="169"/>
  <c r="R536" i="169"/>
  <c r="R542" i="169"/>
  <c r="R543" i="169"/>
  <c r="R544" i="169"/>
  <c r="R546" i="169"/>
  <c r="R547" i="169"/>
  <c r="R548" i="169"/>
  <c r="R549" i="169"/>
  <c r="R550" i="169"/>
  <c r="R555" i="169"/>
  <c r="R556" i="169"/>
  <c r="R557" i="169"/>
  <c r="R559" i="169"/>
  <c r="R560" i="169"/>
  <c r="R561" i="169"/>
  <c r="R562" i="169"/>
  <c r="R563" i="169"/>
  <c r="R564" i="169"/>
  <c r="R570" i="169"/>
  <c r="R571" i="169"/>
  <c r="R572" i="169"/>
  <c r="R574" i="169"/>
  <c r="R575" i="169"/>
  <c r="R576" i="169"/>
  <c r="R577" i="169"/>
  <c r="R578" i="169"/>
  <c r="R583" i="169"/>
  <c r="R584" i="169"/>
  <c r="R585" i="169"/>
  <c r="R587" i="169"/>
  <c r="R588" i="169"/>
  <c r="R589" i="169"/>
  <c r="R590" i="169"/>
  <c r="R591" i="169"/>
  <c r="R592" i="169"/>
  <c r="R597" i="169"/>
  <c r="R598" i="169"/>
  <c r="R599" i="169"/>
  <c r="R600" i="169"/>
  <c r="R601" i="169"/>
  <c r="R602" i="169"/>
  <c r="R603" i="169"/>
  <c r="R605" i="169"/>
  <c r="R606" i="169"/>
  <c r="R607" i="169"/>
  <c r="R611" i="169"/>
  <c r="R616" i="169"/>
  <c r="R617" i="169"/>
  <c r="R618" i="169"/>
  <c r="R619" i="169"/>
  <c r="R620" i="169"/>
  <c r="R621" i="169"/>
  <c r="R622" i="169"/>
  <c r="R624" i="169"/>
  <c r="R625" i="169"/>
  <c r="R626" i="169"/>
  <c r="R630" i="169"/>
  <c r="R635" i="169"/>
  <c r="R636" i="169"/>
  <c r="R637" i="169"/>
  <c r="R638" i="169"/>
  <c r="R639" i="169"/>
  <c r="R640" i="169"/>
  <c r="R641" i="169"/>
  <c r="R643" i="169"/>
  <c r="R644" i="169"/>
  <c r="R645" i="169"/>
  <c r="R649" i="169"/>
  <c r="R654" i="169"/>
  <c r="R655" i="169"/>
  <c r="R656" i="169"/>
  <c r="R657" i="169"/>
  <c r="R658" i="169"/>
  <c r="R659" i="169"/>
  <c r="R660" i="169"/>
  <c r="R662" i="169"/>
  <c r="R663" i="169"/>
  <c r="R664" i="169"/>
  <c r="R668" i="169"/>
  <c r="R673" i="169"/>
  <c r="R674" i="169"/>
  <c r="R675" i="169"/>
  <c r="R676" i="169"/>
  <c r="R677" i="169"/>
  <c r="R678" i="169"/>
  <c r="R679" i="169"/>
  <c r="R681" i="169"/>
  <c r="R682" i="169"/>
  <c r="R683" i="169"/>
  <c r="R687" i="169"/>
  <c r="R692" i="169"/>
  <c r="R693" i="169"/>
  <c r="R694" i="169"/>
  <c r="R696" i="169"/>
  <c r="R697" i="169"/>
  <c r="R698" i="169"/>
  <c r="R699" i="169"/>
  <c r="R700" i="169"/>
  <c r="R705" i="169"/>
  <c r="R706" i="169"/>
  <c r="R707" i="169"/>
  <c r="R709" i="169"/>
  <c r="R710" i="169"/>
  <c r="R711" i="169"/>
  <c r="R712" i="169"/>
  <c r="R713" i="169"/>
  <c r="R714" i="169"/>
  <c r="R684" i="169"/>
  <c r="R665" i="169"/>
  <c r="R646" i="169"/>
  <c r="R627" i="169"/>
  <c r="R608" i="169"/>
  <c r="I312" i="169"/>
  <c r="I313" i="169"/>
  <c r="I314" i="169"/>
  <c r="I315" i="169"/>
  <c r="I316" i="169"/>
  <c r="T525" i="169"/>
  <c r="R609" i="169"/>
  <c r="O609" i="169"/>
  <c r="L609" i="169"/>
  <c r="I609" i="169"/>
  <c r="E612" i="169"/>
  <c r="R610" i="169"/>
  <c r="O610" i="169"/>
  <c r="L610" i="169"/>
  <c r="I610" i="169"/>
  <c r="R628" i="169"/>
  <c r="O628" i="169"/>
  <c r="L628" i="169"/>
  <c r="I628" i="169"/>
  <c r="E631" i="169"/>
  <c r="R629" i="169"/>
  <c r="O629" i="169"/>
  <c r="L629" i="169"/>
  <c r="I629" i="169"/>
  <c r="R647" i="169"/>
  <c r="O647" i="169"/>
  <c r="L647" i="169"/>
  <c r="I647" i="169"/>
  <c r="E650" i="169"/>
  <c r="R648" i="169"/>
  <c r="O648" i="169"/>
  <c r="L648" i="169"/>
  <c r="I648" i="169"/>
  <c r="R666" i="169"/>
  <c r="O666" i="169"/>
  <c r="L666" i="169"/>
  <c r="I666" i="169"/>
  <c r="E669" i="169"/>
  <c r="R667" i="169"/>
  <c r="O667" i="169"/>
  <c r="L667" i="169"/>
  <c r="I667" i="169"/>
  <c r="R685" i="169"/>
  <c r="O685" i="169"/>
  <c r="L685" i="169"/>
  <c r="I685" i="169"/>
  <c r="E688" i="169"/>
  <c r="R686" i="169"/>
  <c r="O686" i="169"/>
  <c r="L686" i="169"/>
  <c r="I686" i="169"/>
  <c r="F21" i="166"/>
  <c r="F22" i="166" s="1"/>
  <c r="B22" i="166"/>
  <c r="K94" i="161"/>
  <c r="K140" i="161" s="1"/>
  <c r="P88" i="161"/>
  <c r="M109" i="161"/>
  <c r="V237" i="165"/>
  <c r="M102" i="161"/>
  <c r="V179" i="165"/>
  <c r="R276" i="165"/>
  <c r="V276" i="165" s="1"/>
  <c r="R29" i="170" l="1"/>
  <c r="R87" i="170" s="1"/>
  <c r="T26" i="170"/>
  <c r="T29" i="170" s="1"/>
  <c r="T87" i="170" s="1"/>
  <c r="K89" i="170"/>
  <c r="J671" i="169"/>
  <c r="M671" i="169"/>
  <c r="P671" i="169"/>
  <c r="J652" i="169"/>
  <c r="M652" i="169"/>
  <c r="P652" i="169"/>
  <c r="J633" i="169"/>
  <c r="M633" i="169"/>
  <c r="P633" i="169"/>
  <c r="J614" i="169"/>
  <c r="M614" i="169"/>
  <c r="P614" i="169"/>
  <c r="J595" i="169"/>
  <c r="M595" i="169"/>
  <c r="P595" i="169"/>
  <c r="S703" i="169"/>
  <c r="S689" i="169"/>
  <c r="T689" i="169" s="1"/>
  <c r="S671" i="169"/>
  <c r="S652" i="169"/>
  <c r="S633" i="169"/>
  <c r="S614" i="169"/>
  <c r="S595" i="169"/>
  <c r="S581" i="169"/>
  <c r="T581" i="169" s="1"/>
  <c r="S567" i="169"/>
  <c r="T567" i="169" s="1"/>
  <c r="S553" i="169"/>
  <c r="T553" i="169" s="1"/>
  <c r="S539" i="169"/>
  <c r="T539" i="169" s="1"/>
  <c r="S512" i="169"/>
  <c r="T512" i="169" s="1"/>
  <c r="S497" i="169"/>
  <c r="T497" i="169" s="1"/>
  <c r="S482" i="169"/>
  <c r="T482" i="169" s="1"/>
  <c r="S468" i="169"/>
  <c r="T468" i="169" s="1"/>
  <c r="S456" i="169"/>
  <c r="T456" i="169" s="1"/>
  <c r="S442" i="169"/>
  <c r="T442" i="169" s="1"/>
  <c r="S428" i="169"/>
  <c r="T428" i="169" s="1"/>
  <c r="S399" i="169"/>
  <c r="S386" i="169"/>
  <c r="T386" i="169" s="1"/>
  <c r="S372" i="169"/>
  <c r="S345" i="169"/>
  <c r="S333" i="169"/>
  <c r="T333" i="169" s="1"/>
  <c r="S319" i="169"/>
  <c r="S306" i="169"/>
  <c r="S292" i="169"/>
  <c r="T292" i="169" s="1"/>
  <c r="S277" i="169"/>
  <c r="S262" i="169"/>
  <c r="T262" i="169" s="1"/>
  <c r="S248" i="169"/>
  <c r="T248" i="169" s="1"/>
  <c r="S233" i="169"/>
  <c r="T233" i="169" s="1"/>
  <c r="S208" i="169"/>
  <c r="T208" i="169" s="1"/>
  <c r="S194" i="169"/>
  <c r="T194" i="169" s="1"/>
  <c r="S178" i="169"/>
  <c r="S164" i="169"/>
  <c r="T164" i="169" s="1"/>
  <c r="S148" i="169"/>
  <c r="T148" i="169" s="1"/>
  <c r="S133" i="169"/>
  <c r="T133" i="169" s="1"/>
  <c r="S118" i="169"/>
  <c r="T118" i="169" s="1"/>
  <c r="S104" i="169"/>
  <c r="T104" i="169" s="1"/>
  <c r="S79" i="169"/>
  <c r="S64" i="169"/>
  <c r="T64" i="169" s="1"/>
  <c r="S50" i="169"/>
  <c r="T50" i="169" s="1"/>
  <c r="S34" i="169"/>
  <c r="T34" i="169" s="1"/>
  <c r="S20" i="169"/>
  <c r="S359" i="169"/>
  <c r="T359" i="169" s="1"/>
  <c r="S414" i="169"/>
  <c r="T414" i="169" s="1"/>
  <c r="M104" i="161"/>
  <c r="P102" i="161"/>
  <c r="M112" i="161"/>
  <c r="M140" i="161" s="1"/>
  <c r="P109" i="161"/>
  <c r="R88" i="161"/>
  <c r="P94" i="161"/>
  <c r="R94" i="161" s="1"/>
  <c r="C17" i="160"/>
  <c r="K142" i="161"/>
  <c r="T178" i="169" l="1"/>
  <c r="T232" i="169" s="1"/>
  <c r="S232" i="169"/>
  <c r="T277" i="169"/>
  <c r="T290" i="169" s="1"/>
  <c r="S290" i="169"/>
  <c r="T306" i="169"/>
  <c r="T317" i="169" s="1"/>
  <c r="S317" i="169"/>
  <c r="T319" i="169"/>
  <c r="T344" i="169" s="1"/>
  <c r="S344" i="169"/>
  <c r="T345" i="169"/>
  <c r="T370" i="169" s="1"/>
  <c r="S370" i="169"/>
  <c r="T372" i="169"/>
  <c r="T397" i="169" s="1"/>
  <c r="S397" i="169"/>
  <c r="T399" i="169"/>
  <c r="T426" i="169" s="1"/>
  <c r="S426" i="169"/>
  <c r="T703" i="169"/>
  <c r="T715" i="169" s="1"/>
  <c r="T716" i="169" s="1"/>
  <c r="S715" i="169"/>
  <c r="S716" i="169" s="1"/>
  <c r="R89" i="170"/>
  <c r="T89" i="170" s="1"/>
  <c r="K91" i="170"/>
  <c r="T20" i="169"/>
  <c r="T595" i="169"/>
  <c r="T614" i="169"/>
  <c r="T633" i="169"/>
  <c r="T652" i="169"/>
  <c r="T671" i="169"/>
  <c r="K144" i="161"/>
  <c r="K146" i="161"/>
  <c r="C19" i="160"/>
  <c r="P112" i="161"/>
  <c r="R109" i="161"/>
  <c r="R112" i="161" s="1"/>
  <c r="D17" i="160"/>
  <c r="M142" i="161"/>
  <c r="P104" i="161"/>
  <c r="R104" i="161" s="1"/>
  <c r="R102" i="161"/>
  <c r="R91" i="170" l="1"/>
  <c r="T91" i="170" s="1"/>
  <c r="S454" i="169"/>
  <c r="M144" i="161"/>
  <c r="D20" i="160" s="1"/>
  <c r="M146" i="161"/>
  <c r="D19" i="160"/>
  <c r="D21" i="160" s="1"/>
  <c r="F17" i="160"/>
  <c r="F19" i="160" s="1"/>
  <c r="R140" i="161"/>
  <c r="R142" i="161" s="1"/>
  <c r="P140" i="161"/>
  <c r="P142" i="161" s="1"/>
  <c r="P144" i="161"/>
  <c r="R144" i="161" s="1"/>
  <c r="C20" i="160"/>
  <c r="F20" i="160" l="1"/>
  <c r="C21" i="160"/>
  <c r="P146" i="161"/>
  <c r="R146" i="161" s="1"/>
  <c r="F21" i="1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tc={774DD94D-8B18-4D4C-BD72-552D8A4F8BF1}</author>
  </authors>
  <commentList>
    <comment ref="I11"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Not sure if removing this highlighted area would impact the budget?</t>
      </text>
    </comment>
  </commentList>
</comments>
</file>

<file path=xl/sharedStrings.xml><?xml version="1.0" encoding="utf-8"?>
<sst xmlns="http://schemas.openxmlformats.org/spreadsheetml/2006/main" count="4362" uniqueCount="1215">
  <si>
    <t>Project Line-Item Budget</t>
  </si>
  <si>
    <t>Partners of the Americas</t>
  </si>
  <si>
    <t xml:space="preserve"> Project to Improve Adherence to International Labor Standards in the Agricultural Sector in Ecuador
Improve Adherence to International Labor Standards in the Agricultural Sector in Ecuador</t>
  </si>
  <si>
    <t>48 Months</t>
  </si>
  <si>
    <t>Cost Assumptions</t>
  </si>
  <si>
    <t>Inflation - US Based Goods/Services</t>
  </si>
  <si>
    <t>Inflation - Locally Purchased Goods/Services</t>
  </si>
  <si>
    <t>Merit Based Increases for HO &amp; Field Staff</t>
  </si>
  <si>
    <t>Activity Code</t>
  </si>
  <si>
    <t>Account Code</t>
  </si>
  <si>
    <t>BUDGET ITEM</t>
  </si>
  <si>
    <t>CATEGORY</t>
  </si>
  <si>
    <t>LOE</t>
  </si>
  <si>
    <t>UNIT</t>
  </si>
  <si>
    <t># of Units</t>
  </si>
  <si>
    <t>RATE / UNIT</t>
  </si>
  <si>
    <t>Year 1</t>
  </si>
  <si>
    <t>Year 2</t>
  </si>
  <si>
    <t>Year 3</t>
  </si>
  <si>
    <t>Year 4</t>
  </si>
  <si>
    <t>TOTAL DOL</t>
  </si>
  <si>
    <t>TOTAL COST 
SHARING</t>
  </si>
  <si>
    <t>PROJECT GRAND TOTAL</t>
  </si>
  <si>
    <t>Personnel</t>
  </si>
  <si>
    <t>Key Personnel</t>
  </si>
  <si>
    <t>PERSNL-PD</t>
  </si>
  <si>
    <t>Project Director (100%) - Alexis Naranjo</t>
  </si>
  <si>
    <t>Salaries</t>
  </si>
  <si>
    <t>Month</t>
  </si>
  <si>
    <t>PERSNL-M&amp;E</t>
  </si>
  <si>
    <t>Monitoring and Evaluation (M&amp;E) Officer (100%) - Mónica Rentería</t>
  </si>
  <si>
    <t>Other Professional Personnel</t>
  </si>
  <si>
    <t>PERSNL-PSL</t>
  </si>
  <si>
    <t>Public Sector Liaison (100%)- Luis Almagor</t>
  </si>
  <si>
    <t>PERSNL-COM</t>
  </si>
  <si>
    <t>Communications Specialist (100%) - Emilia Bayas</t>
  </si>
  <si>
    <t>PERSNL-SAF</t>
  </si>
  <si>
    <t>Occupational Safety and Health Specialist (100%) - César Ávila</t>
  </si>
  <si>
    <t>PERSNL-F&amp;A</t>
  </si>
  <si>
    <t xml:space="preserve">Finance &amp; Administration Director (100%) </t>
  </si>
  <si>
    <t>PERSNL-OPS</t>
  </si>
  <si>
    <t xml:space="preserve">Operations Coordinator (100%) </t>
  </si>
  <si>
    <t>PERSNL-RCC</t>
  </si>
  <si>
    <t xml:space="preserve">Regional Coordinator 1, Cotopaxi (100%) </t>
  </si>
  <si>
    <t>PERSNL-RCO</t>
  </si>
  <si>
    <t xml:space="preserve">Regional Coordinator 2, El Oro (100%) </t>
  </si>
  <si>
    <t>Home Office Support</t>
  </si>
  <si>
    <t>PERSNL-PM</t>
  </si>
  <si>
    <t>Project Manager (30%)</t>
  </si>
  <si>
    <t>PERSNL-PO</t>
  </si>
  <si>
    <t>2 Program Officers (20%)</t>
  </si>
  <si>
    <t>Total Personnel</t>
  </si>
  <si>
    <t>Fringe Benefits</t>
  </si>
  <si>
    <t>FRINGE-EC</t>
  </si>
  <si>
    <t>Fringe benefits - Ecuador</t>
  </si>
  <si>
    <t>FRINGE</t>
  </si>
  <si>
    <t xml:space="preserve">Fringe benefits - Home Office Support </t>
  </si>
  <si>
    <t>Total Fringe Benefits</t>
  </si>
  <si>
    <t>Travel</t>
  </si>
  <si>
    <t>T1: Post-award Meeting with ILAB</t>
  </si>
  <si>
    <t>EC.T1.A</t>
  </si>
  <si>
    <t>Airfare - Ecuador-DC</t>
  </si>
  <si>
    <t>Trip</t>
  </si>
  <si>
    <t>-</t>
  </si>
  <si>
    <t>EC.T1.B</t>
  </si>
  <si>
    <t>86030 (Lodging)/ 86050 (M&amp;IE)</t>
  </si>
  <si>
    <t>Lodging and M&amp;IE in DC</t>
  </si>
  <si>
    <t>Day</t>
  </si>
  <si>
    <t>EC.T1.C</t>
  </si>
  <si>
    <t>Local transportation in DC</t>
  </si>
  <si>
    <t>EC.T1.D</t>
  </si>
  <si>
    <t xml:space="preserve">U.S. Visa Fees </t>
  </si>
  <si>
    <t>T2: Field Personnel Annual Visits with ILAB</t>
  </si>
  <si>
    <t>EC.T2.A</t>
  </si>
  <si>
    <t xml:space="preserve">Airfare - Ecuador-DC </t>
  </si>
  <si>
    <t>EC.T2.B</t>
  </si>
  <si>
    <t>EC.T2.C</t>
  </si>
  <si>
    <t>T3: Home Support Annual Visits to Field</t>
  </si>
  <si>
    <t>EC.T3.A</t>
  </si>
  <si>
    <t>Airfare - DC - Ecuador</t>
  </si>
  <si>
    <t>EC.T3.B</t>
  </si>
  <si>
    <t>Lodging and M&amp;IE in Quito</t>
  </si>
  <si>
    <t>EC.T3.C</t>
  </si>
  <si>
    <t>Local transportation in Quito</t>
  </si>
  <si>
    <t>EC.T3.D</t>
  </si>
  <si>
    <t xml:space="preserve">Ecuador Visa Fees </t>
  </si>
  <si>
    <t>EC.T4.A</t>
  </si>
  <si>
    <t>86000 (Transport)/ 86030 (Lodging)/ 86050 (M&amp;IE)</t>
  </si>
  <si>
    <t>T4: Domestic Travel to Field (See Travel Detail Tab)</t>
  </si>
  <si>
    <t>Total Travel</t>
  </si>
  <si>
    <t>Equipment</t>
  </si>
  <si>
    <t>None</t>
  </si>
  <si>
    <t>Unit</t>
  </si>
  <si>
    <t>Total Equipment</t>
  </si>
  <si>
    <t>Supplies</t>
  </si>
  <si>
    <t>LAPTOP</t>
  </si>
  <si>
    <t xml:space="preserve">Laptop computers &amp; software  </t>
  </si>
  <si>
    <t>SUPPLIES</t>
  </si>
  <si>
    <t>Office supplies</t>
  </si>
  <si>
    <t>Total Supplies</t>
  </si>
  <si>
    <t xml:space="preserve">Contractual </t>
  </si>
  <si>
    <t>EXPOFLOR</t>
  </si>
  <si>
    <t>Expoflores</t>
  </si>
  <si>
    <t>Contractual</t>
  </si>
  <si>
    <t>Contract</t>
  </si>
  <si>
    <t>CLAC</t>
  </si>
  <si>
    <t>ASTAC</t>
  </si>
  <si>
    <t>ASOPRO</t>
  </si>
  <si>
    <t xml:space="preserve">ASOPROTRABAN </t>
  </si>
  <si>
    <t>BANABIO</t>
  </si>
  <si>
    <t>SUBINDES</t>
  </si>
  <si>
    <t>INDES</t>
  </si>
  <si>
    <t>INDES - Field Verification &amp; Data Collection Expenses (M&amp;E)</t>
  </si>
  <si>
    <t xml:space="preserve">Total Contractual </t>
  </si>
  <si>
    <t>Other Direct Costs</t>
  </si>
  <si>
    <t>Project Office</t>
  </si>
  <si>
    <t>BANK FEES</t>
  </si>
  <si>
    <t>Banking and cash handling fees</t>
  </si>
  <si>
    <t>Office Expenses</t>
  </si>
  <si>
    <t>COURIER</t>
  </si>
  <si>
    <t xml:space="preserve">Courier fees/services </t>
  </si>
  <si>
    <t>Year</t>
  </si>
  <si>
    <t>RECRUIT</t>
  </si>
  <si>
    <t xml:space="preserve">Recruitment/Procurement Advertising </t>
  </si>
  <si>
    <t>Per position</t>
  </si>
  <si>
    <t>COMM</t>
  </si>
  <si>
    <t>Communications Costs (Data)</t>
  </si>
  <si>
    <t>RENT &amp; UT</t>
  </si>
  <si>
    <t>Coworking office space (includes utilities, Wi-Fi, coffee)</t>
  </si>
  <si>
    <t>PROP&amp;LIAB</t>
  </si>
  <si>
    <t>Property and liability insurance</t>
  </si>
  <si>
    <t>LEGAL</t>
  </si>
  <si>
    <t>Legal fees</t>
  </si>
  <si>
    <t>PAYROLL</t>
  </si>
  <si>
    <t>Payroll Processing</t>
  </si>
  <si>
    <t xml:space="preserve"> -      </t>
  </si>
  <si>
    <t>SUBSCRIPT</t>
  </si>
  <si>
    <t>HR platform for timekeeping and expense reporting</t>
  </si>
  <si>
    <t>Zoom license and platform subscriptions</t>
  </si>
  <si>
    <t>SECURITY</t>
  </si>
  <si>
    <t>Security Provider</t>
  </si>
  <si>
    <t>VISUALCOM</t>
  </si>
  <si>
    <t>Visual Asset Communications</t>
  </si>
  <si>
    <t>Subtotal Project Office, Audit, Communications</t>
  </si>
  <si>
    <t>Outcome 1</t>
  </si>
  <si>
    <t>Activity 1.1. Assess labor law enforcement institutions, processes, and services:
challenges and opportunities for action to address child labor and forced labor</t>
  </si>
  <si>
    <t>Outcome1</t>
  </si>
  <si>
    <t>Activity 1.2.  Strengthen intersectoral coordination by re-invigorating referral mechanisms and strengthening Consejos and Juntas:</t>
  </si>
  <si>
    <t>Activity 1.3. Develop government capacity building strategy applying assessment results</t>
  </si>
  <si>
    <t>Activity 1.4. Develop, deliver, and institutionalize tailored capacity building for government officials:</t>
  </si>
  <si>
    <t>Activity 1.5. Strengthen digital child labor tracking and public reporting/accountability:</t>
  </si>
  <si>
    <t xml:space="preserve">Activity 1.6. Partner with GADs to integrate enforcement processes and capacity building into local community development plans and budgets: </t>
  </si>
  <si>
    <t>Activity 1.7 Disseminate successes:</t>
  </si>
  <si>
    <t>Subtotal Outcome 1</t>
  </si>
  <si>
    <t>Outcome 2</t>
  </si>
  <si>
    <t>Activity 2.1. Assess rural workers’ information needs, work experiences, and trusted organizations</t>
  </si>
  <si>
    <t>Outcome2</t>
  </si>
  <si>
    <t>Activity 2.2. Build capacity of worker organizations, producer associations, and other actors to reach workers to understand their rights</t>
  </si>
  <si>
    <t>Activity 2.3. Institutionalize worker and community training and awareness-raising</t>
  </si>
  <si>
    <t>Activity 2.4. Establish and convene neutral spaces for bipartite and tripartite social dialogue</t>
  </si>
  <si>
    <t>Activity 2.5. Train small, medium, and large employers to engage workers, understand workers’ rights, and monitor rights compliance in their supply chains</t>
  </si>
  <si>
    <t>Activity 2.6 Partner with GADs to integrate the above training, awareness-raising, and social dialogue activities into community development plans</t>
  </si>
  <si>
    <t>Activity 2.7. Generate new opportunities for learning among civil society, workers, government, private sector, and others.</t>
  </si>
  <si>
    <t>Activity 2.8. Assess changes in rural workers’, business, Community-Based Organizations, and government officials’ knowledge, skills, and practices.</t>
  </si>
  <si>
    <t xml:space="preserve">Subtotal Outcome 2 </t>
  </si>
  <si>
    <t>Outcome 3</t>
  </si>
  <si>
    <t>Activity 3.1- Undertake Remediation Constraints and Opportunities Analysis</t>
  </si>
  <si>
    <t>Outcome3</t>
  </si>
  <si>
    <t>Activity 3.2 Validate analysis and select pilot remediation mechanism designs</t>
  </si>
  <si>
    <t>Activity 3.3. Engage partners to design, implement, and monitor pilot remediations solutions</t>
  </si>
  <si>
    <t>Activity 3.4. Finalize and institutionalize proven grievance and restitution mechanisms</t>
  </si>
  <si>
    <t>Activity 3.5. Develop and integrate an anonymous reporting platform</t>
  </si>
  <si>
    <t>Activity 3.6. Engage medium and large producers to strengthen grievance and restitution mechanisms in their workplaces and supply chains</t>
  </si>
  <si>
    <t xml:space="preserve">Subtotal Outcome 3 </t>
  </si>
  <si>
    <t>Monitoring, Evaluation, and Collection of Reliable Data</t>
  </si>
  <si>
    <t>4.1 M&amp;E Database Development and Creation of Digital Library for Resources</t>
  </si>
  <si>
    <t>EC.4.1.A</t>
  </si>
  <si>
    <t xml:space="preserve">Consultant fees </t>
  </si>
  <si>
    <t>M&amp;E</t>
  </si>
  <si>
    <t>4.2 Monitoring Guidelines Development</t>
  </si>
  <si>
    <t>EC.4.2.A</t>
  </si>
  <si>
    <t>Monitoring guidelines production and printing</t>
  </si>
  <si>
    <t xml:space="preserve">Document </t>
  </si>
  <si>
    <t>EC.4.2.B</t>
  </si>
  <si>
    <t>Monitoring guidelines translation</t>
  </si>
  <si>
    <t>4.3 On-going M&amp;E Training</t>
  </si>
  <si>
    <t>EC.4.3.A</t>
  </si>
  <si>
    <t>On-going M&amp;E training workshops</t>
  </si>
  <si>
    <t>Workshop</t>
  </si>
  <si>
    <t>EC.4.3.B</t>
  </si>
  <si>
    <t>Lodging and M&amp;IE - on-going M&amp;E training</t>
  </si>
  <si>
    <t>Days</t>
  </si>
  <si>
    <t>EC.4.3.C</t>
  </si>
  <si>
    <t>Local transportation - on-going M&amp;E training</t>
  </si>
  <si>
    <r>
      <rPr>
        <b/>
        <i/>
        <sz val="12"/>
        <color rgb="FF000000"/>
        <rFont val="Times New Roman"/>
        <scheme val="major"/>
      </rPr>
      <t>4</t>
    </r>
    <r>
      <rPr>
        <b/>
        <i/>
        <strike/>
        <sz val="12"/>
        <color rgb="FF000000"/>
        <rFont val="Times New Roman"/>
        <scheme val="major"/>
      </rPr>
      <t xml:space="preserve">.4 CMEP Development &amp; Training </t>
    </r>
    <r>
      <rPr>
        <b/>
        <i/>
        <sz val="12"/>
        <color rgb="FFFF0000"/>
        <rFont val="Times New Roman"/>
        <scheme val="major"/>
      </rPr>
      <t>Stakeholder Engagement and Strategy Validation</t>
    </r>
  </si>
  <si>
    <t>EC.4.4.A</t>
  </si>
  <si>
    <t>81000 (Consultant)/ 81021 (Translation)</t>
  </si>
  <si>
    <t>Development and translation of CMEP</t>
  </si>
  <si>
    <t>Document</t>
  </si>
  <si>
    <t>EC.4.4.B</t>
  </si>
  <si>
    <r>
      <rPr>
        <strike/>
        <sz val="12"/>
        <color rgb="FF000000"/>
        <rFont val="Times New Roman"/>
        <family val="1"/>
        <scheme val="major"/>
      </rPr>
      <t xml:space="preserve">Workshop on CMEP </t>
    </r>
    <r>
      <rPr>
        <sz val="12"/>
        <color rgb="FFFF0000"/>
        <rFont val="Times New Roman"/>
        <family val="1"/>
        <scheme val="major"/>
      </rPr>
      <t xml:space="preserve">Workshop - Stakeholder Engagement and Strategy Validation </t>
    </r>
  </si>
  <si>
    <t>EC.4.4.C</t>
  </si>
  <si>
    <r>
      <rPr>
        <strike/>
        <sz val="12"/>
        <color rgb="FF000000"/>
        <rFont val="Times New Roman"/>
        <family val="1"/>
        <scheme val="major"/>
      </rPr>
      <t>Lodging and M&amp;IE - CMEP Workshop</t>
    </r>
    <r>
      <rPr>
        <sz val="12"/>
        <color rgb="FF000000"/>
        <rFont val="Times New Roman"/>
        <family val="1"/>
        <scheme val="major"/>
      </rPr>
      <t xml:space="preserve"> </t>
    </r>
    <r>
      <rPr>
        <sz val="12"/>
        <color rgb="FFFF0000"/>
        <rFont val="Times New Roman"/>
        <family val="1"/>
        <scheme val="major"/>
      </rPr>
      <t xml:space="preserve">Lodging and M&amp;IE - Stakeholder Engagement and Strategy Validation </t>
    </r>
  </si>
  <si>
    <t>EC.4.4.D</t>
  </si>
  <si>
    <r>
      <rPr>
        <strike/>
        <sz val="12"/>
        <color rgb="FF000000"/>
        <rFont val="Times New Roman"/>
        <family val="1"/>
        <scheme val="major"/>
      </rPr>
      <t xml:space="preserve">Local transportation - CMEP Workshop </t>
    </r>
    <r>
      <rPr>
        <sz val="12"/>
        <color rgb="FFFF0000"/>
        <rFont val="Times New Roman"/>
        <family val="1"/>
        <scheme val="major"/>
      </rPr>
      <t xml:space="preserve">Local Transportation - Stakeholder Engagement and Strategy Validation </t>
    </r>
  </si>
  <si>
    <t>4.5 Collection of Reliable Data and Processing of Monitoring Data</t>
  </si>
  <si>
    <t>EC.4.5.A</t>
  </si>
  <si>
    <t>Lodging and M&amp;IE - Field verification and data collection visits</t>
  </si>
  <si>
    <t>EC.4.5.B</t>
  </si>
  <si>
    <t xml:space="preserve">Local transportation (fuel and taxis) </t>
  </si>
  <si>
    <t>EC.4.5.C</t>
  </si>
  <si>
    <t>Data collection materials and printing</t>
  </si>
  <si>
    <t>4.6 Needs Assessment</t>
  </si>
  <si>
    <t>EC.4.6.A</t>
  </si>
  <si>
    <t>Consultant fees to draft written needs assessment</t>
  </si>
  <si>
    <t>EC.4.6.B</t>
  </si>
  <si>
    <t>Meeting expenses for needs assessment</t>
  </si>
  <si>
    <t>Meeting</t>
  </si>
  <si>
    <t>4.7 External Evaluations</t>
  </si>
  <si>
    <t>EC.4.7.A</t>
  </si>
  <si>
    <t>Interim Performance Evaluation</t>
  </si>
  <si>
    <t>Evaluation</t>
  </si>
  <si>
    <t>EC.4.7.B</t>
  </si>
  <si>
    <t>Final Performance Evaluation</t>
  </si>
  <si>
    <t>Subtotal Monitoring, Evaluation, and Collection of Reliable Data</t>
  </si>
  <si>
    <t>Total Other Direct Costs</t>
  </si>
  <si>
    <t>Total Direct Costs</t>
  </si>
  <si>
    <t xml:space="preserve">Total Indirect Costs (NICRA) </t>
  </si>
  <si>
    <t>Indirect Charges</t>
  </si>
  <si>
    <t>TOTAL PROGRAM COSTS</t>
  </si>
  <si>
    <t>DONOR:</t>
  </si>
  <si>
    <t>Country:</t>
  </si>
  <si>
    <t>Program Name:</t>
  </si>
  <si>
    <t>Grant Number:</t>
  </si>
  <si>
    <t>Period of Performance:</t>
  </si>
  <si>
    <t>ACTIVITY DESCRIPTION</t>
  </si>
  <si>
    <t>Units</t>
  </si>
  <si>
    <t>Cost</t>
  </si>
  <si>
    <t>Base</t>
  </si>
  <si>
    <t># of days</t>
  </si>
  <si>
    <t>Total</t>
  </si>
  <si>
    <t># Activities</t>
  </si>
  <si>
    <t>Amount</t>
  </si>
  <si>
    <t>ODC Escalation Factor</t>
  </si>
  <si>
    <t>MEETINGS</t>
  </si>
  <si>
    <t>Workshop activities costs</t>
  </si>
  <si>
    <t>EC.1.4.A</t>
  </si>
  <si>
    <t>Local transportation (training site)</t>
  </si>
  <si>
    <t>Individual</t>
  </si>
  <si>
    <t>/day</t>
  </si>
  <si>
    <t>EC.1.4.B</t>
  </si>
  <si>
    <t>Lunch/coffee breaks</t>
  </si>
  <si>
    <t>EC.1.7.C</t>
  </si>
  <si>
    <t>Materials &amp; Supplies</t>
  </si>
  <si>
    <t>workshop</t>
  </si>
  <si>
    <t>EC.1.2.A</t>
  </si>
  <si>
    <t>Printing (Guide)</t>
  </si>
  <si>
    <t>canton</t>
  </si>
  <si>
    <t>EC.1.1.A</t>
  </si>
  <si>
    <t>Local Consultant (Guide Development)</t>
  </si>
  <si>
    <t>Staff from outside training site</t>
  </si>
  <si>
    <t>Transportation (El Oro)</t>
  </si>
  <si>
    <t>/trip</t>
  </si>
  <si>
    <t>Ground transportation (El Oro)</t>
  </si>
  <si>
    <t>Lodging</t>
  </si>
  <si>
    <t>M&amp;IE</t>
  </si>
  <si>
    <t>Transportation (Cotopaxi)</t>
  </si>
  <si>
    <t>Ground transportation (Cotopaxi)</t>
  </si>
  <si>
    <t>Staff from outside training site - Asistencia Técnica (coordinar mesas)</t>
  </si>
  <si>
    <t>ACTIVITY TOTAL</t>
  </si>
  <si>
    <t>Project activities costs</t>
  </si>
  <si>
    <t>Application of MIRTI</t>
  </si>
  <si>
    <t>each</t>
  </si>
  <si>
    <t>MIRTI</t>
  </si>
  <si>
    <t>Local transportation (El Oro and Cotopaxi)</t>
  </si>
  <si>
    <t>EC.1.4.C</t>
  </si>
  <si>
    <t>Printing (Photocopies)</t>
  </si>
  <si>
    <t>activity</t>
  </si>
  <si>
    <t xml:space="preserve">Staff from outside training site </t>
  </si>
  <si>
    <t>EC.1.5.A</t>
  </si>
  <si>
    <t>Software Development</t>
  </si>
  <si>
    <t>/software</t>
  </si>
  <si>
    <t>Staff from outside site</t>
  </si>
  <si>
    <t>Training/workshop/project activities costs</t>
  </si>
  <si>
    <t>Meetings/Forums/Seminars</t>
  </si>
  <si>
    <t>Materials &amp; Supplies (Material Dissemination)</t>
  </si>
  <si>
    <t>Forums</t>
  </si>
  <si>
    <t>Local Consultant (Ponentes en Foros)</t>
  </si>
  <si>
    <t>Local Consultant (Documento buenas prácticas)</t>
  </si>
  <si>
    <t>Ground transportation (El Oro))</t>
  </si>
  <si>
    <t>Activity 2.3. Institutionalize worker and community training and awareness-raising. Se realizará el seguimiento de las Subvenciones a 5 Organizaciones</t>
  </si>
  <si>
    <t>Training activities costs</t>
  </si>
  <si>
    <t>Consultant for trainings</t>
  </si>
  <si>
    <t>2.6 Partner with GADs to integrate the above training, awareness-raising, and social dialogue activities into community development plans</t>
  </si>
  <si>
    <t>Local Consultant (Guide Design)</t>
  </si>
  <si>
    <t>Surveying fees (Survey analysis)</t>
  </si>
  <si>
    <t>/survey</t>
  </si>
  <si>
    <t>Transportation (El Oro-Guayas)</t>
  </si>
  <si>
    <t>Ground transportation (El Oro-Guayas)</t>
  </si>
  <si>
    <t>Materials &amp; Supplies (Implementation of Pilots)</t>
  </si>
  <si>
    <t>Consultant (grievance and restitution mechanisms )</t>
  </si>
  <si>
    <t>Materials &amp; Supplies (dissemination)</t>
  </si>
  <si>
    <t>Consultant (Reporting Platform)</t>
  </si>
  <si>
    <t>TOTAL FOR RESULT</t>
  </si>
  <si>
    <t>Activity Travel</t>
  </si>
  <si>
    <t>Travel Expenses - Activities</t>
  </si>
  <si>
    <t xml:space="preserve"> </t>
  </si>
  <si>
    <t>Total per year</t>
  </si>
  <si>
    <t>US COSTS</t>
  </si>
  <si>
    <t>Line Item</t>
  </si>
  <si>
    <t>Materials and Supplies</t>
  </si>
  <si>
    <t>Consultants</t>
  </si>
  <si>
    <t>Subtotal</t>
  </si>
  <si>
    <t>Service Center (excluding subcontractors)</t>
  </si>
  <si>
    <t>Service Center on Subcontractors</t>
  </si>
  <si>
    <t>F&amp;A Costs</t>
  </si>
  <si>
    <t>F&amp;A Costs (Applied to Subcontracts)</t>
  </si>
  <si>
    <t>IN-COUNTRY COSTS</t>
  </si>
  <si>
    <t>Grand Total</t>
  </si>
  <si>
    <t>TOTAL FUNDING FOR EXPATRIATE AND IN-COUNTRY TECHNICAL ASSISTANCE</t>
  </si>
  <si>
    <t>6.a</t>
  </si>
  <si>
    <t>Expatriate Technical Assistance</t>
  </si>
  <si>
    <t>Program and Technical Staff - US Hires</t>
  </si>
  <si>
    <t>STA US Hires</t>
  </si>
  <si>
    <t>Regional Hires</t>
  </si>
  <si>
    <t>International Consultants</t>
  </si>
  <si>
    <t>Fringe Benefits US Hires</t>
  </si>
  <si>
    <t>Fringe Benefits Regional Hires</t>
  </si>
  <si>
    <t>Allowances</t>
  </si>
  <si>
    <t>International Travel</t>
  </si>
  <si>
    <t>International Consultants Travel</t>
  </si>
  <si>
    <t>Total Expatriate TA</t>
  </si>
  <si>
    <t>Country Offices</t>
  </si>
  <si>
    <t>Program and Technical Staff - Local Hires</t>
  </si>
  <si>
    <t>Support Staff - Local Hires</t>
  </si>
  <si>
    <t>Local Consultants Labor</t>
  </si>
  <si>
    <t>Fringe Benefits - Local Hires</t>
  </si>
  <si>
    <t>Domestic Travel</t>
  </si>
  <si>
    <t>Local Consultants Travel</t>
  </si>
  <si>
    <t>Total Cooperating Country Nationals TA</t>
  </si>
  <si>
    <t>Total Technical Assistance Costs</t>
  </si>
  <si>
    <t>TOTAL FUNDING BY PARTNER</t>
  </si>
  <si>
    <t>Partner</t>
  </si>
  <si>
    <t>Federal Funding</t>
  </si>
  <si>
    <t>Non-Federal Funding</t>
  </si>
  <si>
    <t>If RFA requests for Cost Share - Unhide columns "C", "F", "I", "L", "O" and "Q"</t>
  </si>
  <si>
    <t>Double-checks</t>
  </si>
  <si>
    <t>Jhpiego Corporation</t>
  </si>
  <si>
    <t>TOTAL COSTS</t>
  </si>
  <si>
    <t>Escalation Factor:</t>
  </si>
  <si>
    <t>Inflation Rate:</t>
  </si>
  <si>
    <t>LEVEL OF EFFORT TABLE</t>
  </si>
  <si>
    <t>PERSONNEL</t>
  </si>
  <si>
    <t>Calculation</t>
  </si>
  <si>
    <t>Position Description</t>
  </si>
  <si>
    <t>%</t>
  </si>
  <si>
    <t>US$</t>
  </si>
  <si>
    <t>Check:</t>
  </si>
  <si>
    <t>show</t>
  </si>
  <si>
    <t>Total Labor</t>
  </si>
  <si>
    <t>TOTAL BUDGET SUMMARY BY SPONSORED CLASS</t>
  </si>
  <si>
    <t>US COSTS for ION</t>
  </si>
  <si>
    <t>78 - 12345678</t>
  </si>
  <si>
    <t>SF424a</t>
  </si>
  <si>
    <t>Sponsored Class</t>
  </si>
  <si>
    <t>Description</t>
  </si>
  <si>
    <t>G/L</t>
  </si>
  <si>
    <t>610000</t>
  </si>
  <si>
    <t>Salaries &amp; Wages: Faculty and Senior Staff</t>
  </si>
  <si>
    <t>612000</t>
  </si>
  <si>
    <t>Salaries &amp; Wages: Administrative Staff</t>
  </si>
  <si>
    <t>620000</t>
  </si>
  <si>
    <t>652000</t>
  </si>
  <si>
    <t>Travel Domestic</t>
  </si>
  <si>
    <t>652100</t>
  </si>
  <si>
    <t>Travel Foreign</t>
  </si>
  <si>
    <t>630000</t>
  </si>
  <si>
    <t>Supplies &amp; Materials</t>
  </si>
  <si>
    <t>633032</t>
  </si>
  <si>
    <t>Office Supplies</t>
  </si>
  <si>
    <t>633037</t>
  </si>
  <si>
    <t>Publications/Journals/Subscriptions</t>
  </si>
  <si>
    <t>635001</t>
  </si>
  <si>
    <t>Electricity</t>
  </si>
  <si>
    <t>635010</t>
  </si>
  <si>
    <t>Utilities: Water</t>
  </si>
  <si>
    <t>640282</t>
  </si>
  <si>
    <t>Delivery/Courier Service</t>
  </si>
  <si>
    <t>653400</t>
  </si>
  <si>
    <t>640300</t>
  </si>
  <si>
    <t>Contractual Services</t>
  </si>
  <si>
    <t>640500</t>
  </si>
  <si>
    <t>Consultant</t>
  </si>
  <si>
    <t>642400</t>
  </si>
  <si>
    <t>Subaward</t>
  </si>
  <si>
    <t>637000</t>
  </si>
  <si>
    <t>Repairs &amp; Maintenance</t>
  </si>
  <si>
    <t>Other</t>
  </si>
  <si>
    <t>640102</t>
  </si>
  <si>
    <t>Leased Facilities External</t>
  </si>
  <si>
    <t>641400</t>
  </si>
  <si>
    <t>Telecommunications</t>
  </si>
  <si>
    <t>642500</t>
  </si>
  <si>
    <t>Other Expenses</t>
  </si>
  <si>
    <t>643000</t>
  </si>
  <si>
    <t>Other Expenses (Excluded from F&amp;A)</t>
  </si>
  <si>
    <t>690007</t>
  </si>
  <si>
    <t>Service Center</t>
  </si>
  <si>
    <t>699999</t>
  </si>
  <si>
    <t>F&amp;A</t>
  </si>
  <si>
    <t>Calculation check</t>
  </si>
  <si>
    <t>BUDGET SUMMARY BY G/L</t>
  </si>
  <si>
    <t>Workplan Year Budget</t>
  </si>
  <si>
    <t>613001</t>
  </si>
  <si>
    <t>Salary: Non-Administrative Staff</t>
  </si>
  <si>
    <t>612001</t>
  </si>
  <si>
    <t>Salary: Administrative Staff</t>
  </si>
  <si>
    <t>620001</t>
  </si>
  <si>
    <t>Fringe Benefits: Staff</t>
  </si>
  <si>
    <t>620002</t>
  </si>
  <si>
    <t>Fringe Benefits: Allowances</t>
  </si>
  <si>
    <t>631001</t>
  </si>
  <si>
    <t>Furniture</t>
  </si>
  <si>
    <t>631003</t>
  </si>
  <si>
    <t>Non-capital PC purchases</t>
  </si>
  <si>
    <t>BUDGET SUMMARY BY G/L in USD</t>
  </si>
  <si>
    <t>IN-COUNTRY COSTS by Jhpiego FISCAL YEAR</t>
  </si>
  <si>
    <t>IN-COUNTRY ION:</t>
  </si>
  <si>
    <t>21 - 987654321</t>
  </si>
  <si>
    <t>22 - 987654322</t>
  </si>
  <si>
    <t>23 - 987654323</t>
  </si>
  <si>
    <t>24 - 987654324</t>
  </si>
  <si>
    <t>25 - 987654325</t>
  </si>
  <si>
    <t>Salaries &amp; Wages</t>
  </si>
  <si>
    <t>616112</t>
  </si>
  <si>
    <t>In-country Salaries</t>
  </si>
  <si>
    <t>620112</t>
  </si>
  <si>
    <t>In-country Fringe</t>
  </si>
  <si>
    <t>652201</t>
  </si>
  <si>
    <t>Trainee Travel</t>
  </si>
  <si>
    <t>652101</t>
  </si>
  <si>
    <t>652102</t>
  </si>
  <si>
    <t>Travel Overseas Local</t>
  </si>
  <si>
    <t>Supplies &amp; Other PSC</t>
  </si>
  <si>
    <t>Medical Supplies</t>
  </si>
  <si>
    <t>Expendable Supplies</t>
  </si>
  <si>
    <t>631099</t>
  </si>
  <si>
    <t>Equipment Purchases - SRM only</t>
  </si>
  <si>
    <t>637001</t>
  </si>
  <si>
    <t>Equipment Maintenance Agreements</t>
  </si>
  <si>
    <t>640101</t>
  </si>
  <si>
    <t>Rental Short-Term</t>
  </si>
  <si>
    <t>640202</t>
  </si>
  <si>
    <t>Equipment Lease Payment</t>
  </si>
  <si>
    <t>640205</t>
  </si>
  <si>
    <t>Motor Vehicle Leasing</t>
  </si>
  <si>
    <t>640301</t>
  </si>
  <si>
    <t>Contractual Services - General</t>
  </si>
  <si>
    <t>640317</t>
  </si>
  <si>
    <t>Contractual Services - Ground Maintenance</t>
  </si>
  <si>
    <t>640318</t>
  </si>
  <si>
    <t>Contractual Services - Cleaning</t>
  </si>
  <si>
    <t>640321</t>
  </si>
  <si>
    <t>Contractual Services - Off-Site Storage</t>
  </si>
  <si>
    <t>640341</t>
  </si>
  <si>
    <t>Contractual Services - Security Services</t>
  </si>
  <si>
    <t>640351</t>
  </si>
  <si>
    <t>Legal Fees</t>
  </si>
  <si>
    <t>640361</t>
  </si>
  <si>
    <t>Accounting/Auditing Expense</t>
  </si>
  <si>
    <t>640381</t>
  </si>
  <si>
    <t>Professional Services - External</t>
  </si>
  <si>
    <t>640455</t>
  </si>
  <si>
    <t>Software Maintenance Agreeement</t>
  </si>
  <si>
    <t>642501</t>
  </si>
  <si>
    <t>Printing</t>
  </si>
  <si>
    <t>640501</t>
  </si>
  <si>
    <t>Consultant Fees</t>
  </si>
  <si>
    <t>642405</t>
  </si>
  <si>
    <t>Subaward General</t>
  </si>
  <si>
    <t>641402</t>
  </si>
  <si>
    <t>Telephone Long Distance</t>
  </si>
  <si>
    <t>640403</t>
  </si>
  <si>
    <t>Memberships/Dues</t>
  </si>
  <si>
    <t>642002</t>
  </si>
  <si>
    <t>Meals Non-Travel &amp; Entertainment</t>
  </si>
  <si>
    <t>642211</t>
  </si>
  <si>
    <t>Insurance - General</t>
  </si>
  <si>
    <t>643012</t>
  </si>
  <si>
    <t>VAT Tax Paid</t>
  </si>
  <si>
    <t>647001</t>
  </si>
  <si>
    <t>Training</t>
  </si>
  <si>
    <t>651851</t>
  </si>
  <si>
    <t>Bank Service Charges</t>
  </si>
  <si>
    <t>Other Expenses Excluded</t>
  </si>
  <si>
    <t>622502</t>
  </si>
  <si>
    <t>Travel Insurance</t>
  </si>
  <si>
    <t>651901</t>
  </si>
  <si>
    <t>Foreign Currency Exchange Gain/Loss</t>
  </si>
  <si>
    <t>IN-COUNTRY COSTS in LOCAL CURRENCY</t>
  </si>
  <si>
    <t>US$1=</t>
  </si>
  <si>
    <t>local currency</t>
  </si>
  <si>
    <t>QUESTION: should annual cost be included in detailed budget and percent applied there?</t>
  </si>
  <si>
    <t>OR should allocation be shown at 100%?</t>
  </si>
  <si>
    <t>PORTFOLIO? OR DIRECT LABOR?</t>
  </si>
  <si>
    <t>COUNTRY OFFICE BUDGET</t>
  </si>
  <si>
    <t>GL</t>
  </si>
  <si>
    <t>Annual Cost</t>
  </si>
  <si>
    <t>Office Costs Allocated to this Program</t>
  </si>
  <si>
    <t>Monthly Cost</t>
  </si>
  <si>
    <t>Categories</t>
  </si>
  <si>
    <t>Local Currency</t>
  </si>
  <si>
    <t>USD</t>
  </si>
  <si>
    <t>Exchange rate</t>
  </si>
  <si>
    <t>Percent:</t>
  </si>
  <si>
    <t># of months</t>
  </si>
  <si>
    <t>In-Country Salaries</t>
  </si>
  <si>
    <t>/year</t>
  </si>
  <si>
    <t>/month</t>
  </si>
  <si>
    <t>In-Country Fringe</t>
  </si>
  <si>
    <t>Travel Foreign (Overseas Local)</t>
  </si>
  <si>
    <t>Taxi Services</t>
  </si>
  <si>
    <t>Utilities: Electricity</t>
  </si>
  <si>
    <t>Kitchen Supplies</t>
  </si>
  <si>
    <t>Courier Services</t>
  </si>
  <si>
    <t>Contracts: Security</t>
  </si>
  <si>
    <t>Contracts: Office Cleaning</t>
  </si>
  <si>
    <t>Contracts: Annual Audit fees</t>
  </si>
  <si>
    <t>Contracts: Legal Services</t>
  </si>
  <si>
    <t>Contracts: Vehicle Rental</t>
  </si>
  <si>
    <t>Office stationery (printing)</t>
  </si>
  <si>
    <t>Advertising</t>
  </si>
  <si>
    <t>Office waste removal</t>
  </si>
  <si>
    <t>ISTS services</t>
  </si>
  <si>
    <t>Vehicle maintenance</t>
  </si>
  <si>
    <t>Warehousing/Storage Services</t>
  </si>
  <si>
    <t>Advertising for recruitment</t>
  </si>
  <si>
    <t>Vehicle Tracking System (office pool vehicle)</t>
  </si>
  <si>
    <t>Lisences and renewals</t>
  </si>
  <si>
    <t>Office rent</t>
  </si>
  <si>
    <t>Office Leasehold improvements</t>
  </si>
  <si>
    <t>Bank charges</t>
  </si>
  <si>
    <t>Vehicle insurance</t>
  </si>
  <si>
    <t>Refreshments for office business meetings</t>
  </si>
  <si>
    <t>NGO Annual fees</t>
  </si>
  <si>
    <t>staff Development events</t>
  </si>
  <si>
    <t>Office Internet</t>
  </si>
  <si>
    <t>Communications</t>
  </si>
  <si>
    <t>Staff Airtime</t>
  </si>
  <si>
    <t>add other costs as necessary</t>
  </si>
  <si>
    <t>month</t>
  </si>
  <si>
    <t>GENERAL ASSUMPTIONS</t>
  </si>
  <si>
    <t>Header Information:</t>
  </si>
  <si>
    <t>Partners of America</t>
  </si>
  <si>
    <t>USDOL</t>
  </si>
  <si>
    <t>Ecuador</t>
  </si>
  <si>
    <t>Project to Improve Adherence to International Labor Standards in the Agricultural Sector in Ecuador</t>
  </si>
  <si>
    <t>FOA-ILAB-23-28</t>
  </si>
  <si>
    <t>48 months</t>
  </si>
  <si>
    <t>to</t>
  </si>
  <si>
    <t>Rates:</t>
  </si>
  <si>
    <t>NICRA - POA</t>
  </si>
  <si>
    <t>Exchange Rate</t>
  </si>
  <si>
    <t>ODC Escalation</t>
  </si>
  <si>
    <t>Escalation Percentage:</t>
  </si>
  <si>
    <t>Year 5</t>
  </si>
  <si>
    <t>Year 6</t>
  </si>
  <si>
    <t>Year 7</t>
  </si>
  <si>
    <t>Year 8</t>
  </si>
  <si>
    <t>Year 9</t>
  </si>
  <si>
    <t>Year 10</t>
  </si>
  <si>
    <t>Annual Salary Increases for International Staff</t>
  </si>
  <si>
    <t>Standard Increase Percentage:</t>
  </si>
  <si>
    <t>Annual Salary Escalation Date:</t>
  </si>
  <si>
    <t>Percent</t>
  </si>
  <si>
    <t>Increase
Factor</t>
  </si>
  <si>
    <t>/</t>
  </si>
  <si>
    <t>@</t>
  </si>
  <si>
    <t>Annual Salary Increases for Local Staff</t>
  </si>
  <si>
    <t>Cell Name</t>
  </si>
  <si>
    <t>Unit Cost</t>
  </si>
  <si>
    <t>Quito</t>
  </si>
  <si>
    <t>Airfare</t>
  </si>
  <si>
    <t>intairfare</t>
  </si>
  <si>
    <t>round trip coach</t>
  </si>
  <si>
    <t>usaidlodg</t>
  </si>
  <si>
    <t>per night</t>
  </si>
  <si>
    <t>Meals and Incidentals</t>
  </si>
  <si>
    <t>usaidmeals</t>
  </si>
  <si>
    <t>per day</t>
  </si>
  <si>
    <t>Agent fee</t>
  </si>
  <si>
    <t>agentfee</t>
  </si>
  <si>
    <t>per ticket</t>
  </si>
  <si>
    <t>Visa</t>
  </si>
  <si>
    <t>visa</t>
  </si>
  <si>
    <t>Inmunizations</t>
  </si>
  <si>
    <t>inmuniz</t>
  </si>
  <si>
    <t>Medex</t>
  </si>
  <si>
    <t>medex</t>
  </si>
  <si>
    <t>Freedom Services</t>
  </si>
  <si>
    <t>ground</t>
  </si>
  <si>
    <t>round trip to/from airport</t>
  </si>
  <si>
    <t>Other Misc costs</t>
  </si>
  <si>
    <t>intmisc</t>
  </si>
  <si>
    <t xml:space="preserve">Incountry Operating Costs - Local Costs </t>
  </si>
  <si>
    <t>Cotopaxi</t>
  </si>
  <si>
    <t>El Oro</t>
  </si>
  <si>
    <t>Average Rates</t>
  </si>
  <si>
    <t>Lodging - Local Staff</t>
  </si>
  <si>
    <t>locallodg</t>
  </si>
  <si>
    <t>Meals - Local Staff</t>
  </si>
  <si>
    <t>localmeals</t>
  </si>
  <si>
    <t>Miscellaneous - Local Staff</t>
  </si>
  <si>
    <t>localmisc</t>
  </si>
  <si>
    <t>per trip</t>
  </si>
  <si>
    <t>localairfare</t>
  </si>
  <si>
    <t>Consultant costs</t>
  </si>
  <si>
    <t>International Consultant</t>
  </si>
  <si>
    <t>intcons</t>
  </si>
  <si>
    <t>honorarium per day</t>
  </si>
  <si>
    <t>Regional Consultant</t>
  </si>
  <si>
    <t>regcons</t>
  </si>
  <si>
    <t>Local Consultant</t>
  </si>
  <si>
    <t>localcons</t>
  </si>
  <si>
    <t>Travel - airfare</t>
  </si>
  <si>
    <t>consairfare</t>
  </si>
  <si>
    <t>Travel - ground transp</t>
  </si>
  <si>
    <t>consground</t>
  </si>
  <si>
    <t>conslodg</t>
  </si>
  <si>
    <t>consmeals</t>
  </si>
  <si>
    <t>Miscellaneous</t>
  </si>
  <si>
    <t>consmisc</t>
  </si>
  <si>
    <t>Surveyor fees</t>
  </si>
  <si>
    <t>surveyor</t>
  </si>
  <si>
    <t>survey</t>
  </si>
  <si>
    <t>Participant costs</t>
  </si>
  <si>
    <t>Local transport part</t>
  </si>
  <si>
    <t>parttransp</t>
  </si>
  <si>
    <t>per part</t>
  </si>
  <si>
    <t>partairfare</t>
  </si>
  <si>
    <t>Ground Transportation</t>
  </si>
  <si>
    <t>partground</t>
  </si>
  <si>
    <t>partlodg</t>
  </si>
  <si>
    <t>partmeals</t>
  </si>
  <si>
    <t>Travel Day Lunch</t>
  </si>
  <si>
    <t>tdlunch</t>
  </si>
  <si>
    <t>partmisc</t>
  </si>
  <si>
    <t>Meeting Costs</t>
  </si>
  <si>
    <t>Coffee Break</t>
  </si>
  <si>
    <t>coffee</t>
  </si>
  <si>
    <t>per person per day</t>
  </si>
  <si>
    <t>Lunch</t>
  </si>
  <si>
    <t>lunch</t>
  </si>
  <si>
    <t xml:space="preserve">Room Rental </t>
  </si>
  <si>
    <t>roomrent</t>
  </si>
  <si>
    <t>AV Rental</t>
  </si>
  <si>
    <t>avrent</t>
  </si>
  <si>
    <t>mats</t>
  </si>
  <si>
    <t>per workshop</t>
  </si>
  <si>
    <t>partmats</t>
  </si>
  <si>
    <t>Printing costs</t>
  </si>
  <si>
    <t>print</t>
  </si>
  <si>
    <t>partprint</t>
  </si>
  <si>
    <t>Gude Printing</t>
  </si>
  <si>
    <t>guideprint</t>
  </si>
  <si>
    <t>per canton</t>
  </si>
  <si>
    <t xml:space="preserve">    Workshops</t>
  </si>
  <si>
    <t>Project Budget Summary</t>
  </si>
  <si>
    <t>BUDGET SUMMARY CATEGORIES</t>
  </si>
  <si>
    <t>YEAR 1</t>
  </si>
  <si>
    <t>YEAR 2</t>
  </si>
  <si>
    <t>YEAR 3</t>
  </si>
  <si>
    <t>YEAR 4</t>
  </si>
  <si>
    <t>TOTAL FEDERAL FUNDS REQUESTED</t>
  </si>
  <si>
    <t xml:space="preserve">1. PERSONNEL </t>
  </si>
  <si>
    <t>2. FRINGE BENEFITS</t>
  </si>
  <si>
    <t>3. TRAVEL</t>
  </si>
  <si>
    <t>4. EQUIPMENT</t>
  </si>
  <si>
    <t>5. SUPPLIES</t>
  </si>
  <si>
    <t>6. CONTRACTUAL</t>
  </si>
  <si>
    <t>7. CONSTRUCTION</t>
  </si>
  <si>
    <t>8. OTHER DIRECT COSTS</t>
  </si>
  <si>
    <t>9. TOTAL DIRECT COSTS (Lines 1-8)</t>
  </si>
  <si>
    <t xml:space="preserve">10. INDIRECT COSTS </t>
  </si>
  <si>
    <t>11. TOTAL COSTS (Lines 9-10)</t>
  </si>
  <si>
    <t>Sub-Award Budget Summary</t>
  </si>
  <si>
    <t xml:space="preserve">INDES Sub-Recipient </t>
  </si>
  <si>
    <t xml:space="preserve">BUDGET SUMMARY CATEGORIES </t>
  </si>
  <si>
    <t xml:space="preserve">YEAR 1 </t>
  </si>
  <si>
    <t xml:space="preserve">YEAR 2 </t>
  </si>
  <si>
    <t xml:space="preserve">YEAR 4 </t>
  </si>
  <si>
    <t>1. PERSONNEL</t>
  </si>
  <si>
    <t xml:space="preserve">2. FRINGE BENEFITS </t>
  </si>
  <si>
    <t xml:space="preserve">4. EQUIPMENT </t>
  </si>
  <si>
    <r>
      <rPr>
        <b/>
        <sz val="12"/>
        <color rgb="FF000000"/>
        <rFont val="Times New Roman"/>
        <scheme val="major"/>
      </rPr>
      <t>5. SUPPLIES</t>
    </r>
    <r>
      <rPr>
        <b/>
        <sz val="12"/>
        <color rgb="FF7030A0"/>
        <rFont val="Times New Roman"/>
        <scheme val="major"/>
      </rPr>
      <t xml:space="preserve"> </t>
    </r>
  </si>
  <si>
    <t xml:space="preserve">6. CONTRACTUAL </t>
  </si>
  <si>
    <r>
      <rPr>
        <b/>
        <sz val="12"/>
        <color rgb="FF000000"/>
        <rFont val="Times New Roman"/>
        <scheme val="major"/>
      </rPr>
      <t>9. TOTAL DIRECT COSTS</t>
    </r>
    <r>
      <rPr>
        <b/>
        <sz val="12"/>
        <color rgb="FF7030A0"/>
        <rFont val="Times New Roman"/>
        <scheme val="major"/>
      </rPr>
      <t xml:space="preserve"> </t>
    </r>
    <r>
      <rPr>
        <b/>
        <sz val="12"/>
        <color rgb="FF000000"/>
        <rFont val="Times New Roman"/>
        <scheme val="major"/>
      </rPr>
      <t xml:space="preserve"> (Lines 1-8)</t>
    </r>
  </si>
  <si>
    <r>
      <rPr>
        <b/>
        <sz val="12"/>
        <color rgb="FF000000"/>
        <rFont val="Times New Roman"/>
        <scheme val="major"/>
      </rPr>
      <t>10. INDIRECT COSTS</t>
    </r>
    <r>
      <rPr>
        <b/>
        <sz val="12"/>
        <color rgb="FF7030A0"/>
        <rFont val="Times New Roman"/>
        <scheme val="major"/>
      </rPr>
      <t xml:space="preserve"> </t>
    </r>
  </si>
  <si>
    <r>
      <rPr>
        <b/>
        <sz val="12"/>
        <color rgb="FF000000"/>
        <rFont val="Times New Roman"/>
        <scheme val="major"/>
      </rPr>
      <t>11. TOTAL COSTS</t>
    </r>
    <r>
      <rPr>
        <b/>
        <sz val="12"/>
        <color rgb="FF7030A0"/>
        <rFont val="Times New Roman"/>
        <scheme val="major"/>
      </rPr>
      <t xml:space="preserve"> </t>
    </r>
    <r>
      <rPr>
        <b/>
        <sz val="12"/>
        <color rgb="FF000000"/>
        <rFont val="Times New Roman"/>
        <scheme val="major"/>
      </rPr>
      <t xml:space="preserve"> (Lines 9-10) </t>
    </r>
  </si>
  <si>
    <t xml:space="preserve">Project Line-Item Budget </t>
  </si>
  <si>
    <t xml:space="preserve">48 Months </t>
  </si>
  <si>
    <t xml:space="preserve">Cost Assumptions </t>
  </si>
  <si>
    <t xml:space="preserve">Inflation - Locally Purchased Goods/Services </t>
  </si>
  <si>
    <t xml:space="preserve">Merit Based Increases for HO &amp; Field Staff </t>
  </si>
  <si>
    <t xml:space="preserve">BUDGET ITEM </t>
  </si>
  <si>
    <t xml:space="preserve">LOE </t>
  </si>
  <si>
    <r>
      <rPr>
        <b/>
        <sz val="12"/>
        <color rgb="FF000000"/>
        <rFont val="Times New Roman"/>
        <family val="2"/>
        <scheme val="major"/>
      </rPr>
      <t>UNIT</t>
    </r>
    <r>
      <rPr>
        <b/>
        <sz val="12"/>
        <color rgb="FF7030A0"/>
        <rFont val="Times New Roman"/>
        <family val="2"/>
        <scheme val="major"/>
      </rPr>
      <t xml:space="preserve"> </t>
    </r>
  </si>
  <si>
    <t xml:space="preserve"># of Units </t>
  </si>
  <si>
    <t xml:space="preserve">RATE / UNIT
</t>
  </si>
  <si>
    <t xml:space="preserve">Year 1 </t>
  </si>
  <si>
    <t xml:space="preserve">Year 2 </t>
  </si>
  <si>
    <r>
      <rPr>
        <b/>
        <sz val="12"/>
        <color rgb="FF000000"/>
        <rFont val="Times New Roman"/>
        <family val="2"/>
        <scheme val="major"/>
      </rPr>
      <t>Year 3</t>
    </r>
    <r>
      <rPr>
        <b/>
        <sz val="12"/>
        <color rgb="FF7030A0"/>
        <rFont val="Times New Roman"/>
        <family val="2"/>
        <scheme val="major"/>
      </rPr>
      <t xml:space="preserve"> </t>
    </r>
  </si>
  <si>
    <t>TOTAL US$</t>
  </si>
  <si>
    <t xml:space="preserve">TOTAL COST 
SHARING </t>
  </si>
  <si>
    <t xml:space="preserve">Professional Personnel </t>
  </si>
  <si>
    <t>Director</t>
  </si>
  <si>
    <t xml:space="preserve">Project Coordinator </t>
  </si>
  <si>
    <t xml:space="preserve">Finance &amp; Administration Officer </t>
  </si>
  <si>
    <t>Finance &amp; Administration Assistant</t>
  </si>
  <si>
    <t>Local Coordinator</t>
  </si>
  <si>
    <t xml:space="preserve">M&amp;E Officer </t>
  </si>
  <si>
    <t>Technical Officer x 1</t>
  </si>
  <si>
    <r>
      <rPr>
        <b/>
        <sz val="12"/>
        <color rgb="FF000000"/>
        <rFont val="Times New Roman"/>
        <family val="2"/>
        <scheme val="major"/>
      </rPr>
      <t>Total Personnel</t>
    </r>
    <r>
      <rPr>
        <b/>
        <sz val="12"/>
        <color rgb="FF7030A0"/>
        <rFont val="Times New Roman"/>
        <family val="2"/>
        <scheme val="major"/>
      </rPr>
      <t xml:space="preserve"> </t>
    </r>
  </si>
  <si>
    <t xml:space="preserve">Fringe Benefits </t>
  </si>
  <si>
    <t xml:space="preserve">Fringe benefits - Ecuador </t>
  </si>
  <si>
    <t xml:space="preserve">Fringe benefits - Ecuador - Life Insurance </t>
  </si>
  <si>
    <t>Annual</t>
  </si>
  <si>
    <t xml:space="preserve">Total Fringe Benefits </t>
  </si>
  <si>
    <r>
      <rPr>
        <u/>
        <sz val="12"/>
        <color rgb="FF000000"/>
        <rFont val="Times New Roman"/>
        <family val="2"/>
        <scheme val="major"/>
      </rPr>
      <t xml:space="preserve">T3: Domestic Travel to Field (See Travel Detail Tab) </t>
    </r>
    <r>
      <rPr>
        <u/>
        <sz val="12"/>
        <color rgb="FF7030A0"/>
        <rFont val="Times New Roman"/>
        <family val="2"/>
        <scheme val="major"/>
      </rPr>
      <t xml:space="preserve">/ </t>
    </r>
  </si>
  <si>
    <t xml:space="preserve">T3: Domestic Travel to Field (See Travel Detail Tab) </t>
  </si>
  <si>
    <r>
      <rPr>
        <b/>
        <sz val="12"/>
        <color rgb="FF000000"/>
        <rFont val="Times New Roman"/>
        <family val="2"/>
        <scheme val="major"/>
      </rPr>
      <t>Total Travel</t>
    </r>
    <r>
      <rPr>
        <b/>
        <sz val="12"/>
        <color rgb="FF7030A0"/>
        <rFont val="Times New Roman"/>
        <family val="2"/>
        <scheme val="major"/>
      </rPr>
      <t xml:space="preserve"> </t>
    </r>
  </si>
  <si>
    <t xml:space="preserve">Equipment </t>
  </si>
  <si>
    <t xml:space="preserve">Unit </t>
  </si>
  <si>
    <t xml:space="preserve">Total Equipment </t>
  </si>
  <si>
    <t xml:space="preserve">Office supplies </t>
  </si>
  <si>
    <t xml:space="preserve">Supplies </t>
  </si>
  <si>
    <t>Computers</t>
  </si>
  <si>
    <t>Licences</t>
  </si>
  <si>
    <t>Equipment insurance</t>
  </si>
  <si>
    <t>Office furniture</t>
  </si>
  <si>
    <t>Equipment maintenance</t>
  </si>
  <si>
    <t>Accounting system</t>
  </si>
  <si>
    <t>Coomunicationa material</t>
  </si>
  <si>
    <t>Communication fees</t>
  </si>
  <si>
    <t>Bank fees</t>
  </si>
  <si>
    <t xml:space="preserve">Other Direct Costs </t>
  </si>
  <si>
    <t>INDES Project Office</t>
  </si>
  <si>
    <t xml:space="preserve">Office Expenses </t>
  </si>
  <si>
    <t xml:space="preserve">Outcome 1 </t>
  </si>
  <si>
    <t>Activity 1.2. Strengthen intersectoral coordination by re-invigorating referral mechanisms and strengthening Consejos and Juntas</t>
  </si>
  <si>
    <t>Activity 1.5. Strengthen digital child labor tracking and public reporting/accountability</t>
  </si>
  <si>
    <t xml:space="preserve">Outcome 2 </t>
  </si>
  <si>
    <t>Activity 2.7. Generate new opportunities for learning among civil society, workers, government, private sector, and others</t>
  </si>
  <si>
    <t xml:space="preserve">Outcome 3 </t>
  </si>
  <si>
    <t>Activity 3.1 Undertake an analysis of remediation constraints and opportunities[</t>
  </si>
  <si>
    <t>Activity 3.3. Engage partners to design, implement, and monitor pilot remediation solutions</t>
  </si>
  <si>
    <t>.Activity 3.4.  Finalize and institutionalize proven grievance and restitution mechanisms</t>
  </si>
  <si>
    <t>Activity 3.5. Develop and integrate an anonymous reporting mechanism</t>
  </si>
  <si>
    <t>Activity 3.6. Engage medium and large producers to strengthen grievance and restitution mechanisms in their workplaces and supply chains.</t>
  </si>
  <si>
    <t>Transportation - Field Verification &amp; Data Collection Expenses</t>
  </si>
  <si>
    <t>Lodging and M&amp;IE - Field Verification &amp; Data Collection Expenses</t>
  </si>
  <si>
    <t xml:space="preserve">Total Other Direct Costs </t>
  </si>
  <si>
    <t xml:space="preserve">Total Direct Costs </t>
  </si>
  <si>
    <t xml:space="preserve">De minimis rate </t>
  </si>
  <si>
    <r>
      <rPr>
        <sz val="12"/>
        <color rgb="FF000000"/>
        <rFont val="Times New Roman"/>
        <family val="2"/>
        <scheme val="major"/>
      </rPr>
      <t>Indirect Charges</t>
    </r>
    <r>
      <rPr>
        <sz val="12"/>
        <color rgb="FF7030A0"/>
        <rFont val="Times New Roman"/>
        <family val="2"/>
        <scheme val="major"/>
      </rPr>
      <t xml:space="preserve"> </t>
    </r>
  </si>
  <si>
    <t xml:space="preserve">TOTAL PROGRAM COSTS </t>
  </si>
  <si>
    <t xml:space="preserve">DONOR </t>
  </si>
  <si>
    <t xml:space="preserve">Country </t>
  </si>
  <si>
    <t xml:space="preserve">Program Name </t>
  </si>
  <si>
    <t xml:space="preserve">Grant Number </t>
  </si>
  <si>
    <r>
      <rPr>
        <b/>
        <sz val="12"/>
        <color rgb="FF000000"/>
        <rFont val="Times New Roman"/>
        <family val="1"/>
        <scheme val="major"/>
      </rPr>
      <t>Period of Performance</t>
    </r>
    <r>
      <rPr>
        <b/>
        <sz val="12"/>
        <color rgb="FF7030A0"/>
        <rFont val="Times New Roman"/>
        <family val="1"/>
        <scheme val="major"/>
      </rPr>
      <t xml:space="preserve"> </t>
    </r>
  </si>
  <si>
    <t xml:space="preserve">ACTIVITY DESCRIPTION </t>
  </si>
  <si>
    <t xml:space="preserve">Units </t>
  </si>
  <si>
    <r>
      <rPr>
        <b/>
        <sz val="12"/>
        <color rgb="FF000000"/>
        <rFont val="Times New Roman"/>
        <family val="1"/>
        <scheme val="major"/>
      </rPr>
      <t># of days</t>
    </r>
    <r>
      <rPr>
        <b/>
        <sz val="12"/>
        <color rgb="FF7030A0"/>
        <rFont val="Times New Roman"/>
        <family val="1"/>
        <scheme val="major"/>
      </rPr>
      <t xml:space="preserve"> </t>
    </r>
  </si>
  <si>
    <t xml:space="preserve"># Activities </t>
  </si>
  <si>
    <t xml:space="preserve">ODC Escalation Factor </t>
  </si>
  <si>
    <r>
      <t>Activity 1.1. Evaluar las instituciones, procesos y servicios de cumplimiento de la ley laboral.</t>
    </r>
    <r>
      <rPr>
        <b/>
        <sz val="12"/>
        <color rgb="FFFF0000"/>
        <rFont val="Times New Roman"/>
        <family val="1"/>
        <scheme val="major"/>
      </rPr>
      <t xml:space="preserve"> INDES ACOMPAÑA</t>
    </r>
    <r>
      <rPr>
        <b/>
        <sz val="12"/>
        <rFont val="Times New Roman"/>
        <family val="1"/>
        <scheme val="major"/>
      </rPr>
      <t xml:space="preserve">
</t>
    </r>
  </si>
  <si>
    <t>COTOPAXI</t>
  </si>
  <si>
    <t xml:space="preserve">Training/workshop/project activities costs </t>
  </si>
  <si>
    <r>
      <t>Local transportation</t>
    </r>
    <r>
      <rPr>
        <sz val="12"/>
        <color rgb="FF7030A0"/>
        <rFont val="Times New Roman"/>
        <family val="1"/>
        <scheme val="major"/>
      </rPr>
      <t xml:space="preserve"> </t>
    </r>
    <r>
      <rPr>
        <sz val="12"/>
        <rFont val="Times New Roman"/>
        <family val="1"/>
        <scheme val="major"/>
      </rPr>
      <t>(Cotopaxi)</t>
    </r>
  </si>
  <si>
    <t xml:space="preserve">Lunch/coffee breaks </t>
  </si>
  <si>
    <t xml:space="preserve">Printing (Photocopies) </t>
  </si>
  <si>
    <r>
      <t>Staff from outside training site</t>
    </r>
    <r>
      <rPr>
        <b/>
        <sz val="12"/>
        <color rgb="FF7030A0"/>
        <rFont val="Times New Roman"/>
        <family val="1"/>
        <scheme val="major"/>
      </rPr>
      <t xml:space="preserve"> </t>
    </r>
  </si>
  <si>
    <t>M&amp;IE (excluding lunch)</t>
  </si>
  <si>
    <t>EL ORO</t>
  </si>
  <si>
    <r>
      <t>Local transportation</t>
    </r>
    <r>
      <rPr>
        <sz val="12"/>
        <color rgb="FF7030A0"/>
        <rFont val="Times New Roman"/>
        <family val="1"/>
        <scheme val="major"/>
      </rPr>
      <t xml:space="preserve"> </t>
    </r>
    <r>
      <rPr>
        <sz val="12"/>
        <rFont val="Times New Roman"/>
        <family val="1"/>
        <scheme val="major"/>
      </rPr>
      <t>(El Oro)</t>
    </r>
  </si>
  <si>
    <r>
      <t>Ground transportation</t>
    </r>
    <r>
      <rPr>
        <sz val="12"/>
        <color rgb="FF7030A0"/>
        <rFont val="Times New Roman"/>
        <family val="1"/>
        <scheme val="major"/>
      </rPr>
      <t xml:space="preserve"> </t>
    </r>
    <r>
      <rPr>
        <sz val="12"/>
        <rFont val="Times New Roman"/>
        <family val="1"/>
        <scheme val="major"/>
      </rPr>
      <t>(El Oro)</t>
    </r>
  </si>
  <si>
    <t xml:space="preserve">M&amp;IE (excluding lunch) </t>
  </si>
  <si>
    <t xml:space="preserve">ACTIVITY TOTAL </t>
  </si>
  <si>
    <r>
      <t>Ground transportation</t>
    </r>
    <r>
      <rPr>
        <sz val="12"/>
        <color rgb="FF7030A0"/>
        <rFont val="Times New Roman"/>
        <family val="1"/>
        <scheme val="major"/>
      </rPr>
      <t xml:space="preserve"> </t>
    </r>
    <r>
      <rPr>
        <sz val="12"/>
        <rFont val="Times New Roman"/>
        <family val="1"/>
        <scheme val="major"/>
      </rPr>
      <t xml:space="preserve"> (Cotopaxi)</t>
    </r>
  </si>
  <si>
    <t xml:space="preserve">Lodging </t>
  </si>
  <si>
    <r>
      <rPr>
        <sz val="12"/>
        <color rgb="FF000000"/>
        <rFont val="Times New Roman"/>
        <family val="1"/>
        <scheme val="major"/>
      </rPr>
      <t>Local transportation</t>
    </r>
    <r>
      <rPr>
        <sz val="12"/>
        <color rgb="FF7030A0"/>
        <rFont val="Times New Roman"/>
        <family val="1"/>
        <scheme val="major"/>
      </rPr>
      <t xml:space="preserve"> </t>
    </r>
    <r>
      <rPr>
        <sz val="12"/>
        <color rgb="FF000000"/>
        <rFont val="Times New Roman"/>
        <family val="1"/>
        <scheme val="major"/>
      </rPr>
      <t>(El Oro)</t>
    </r>
  </si>
  <si>
    <r>
      <rPr>
        <sz val="12"/>
        <color rgb="FF000000"/>
        <rFont val="Times New Roman"/>
        <family val="1"/>
        <scheme val="major"/>
      </rPr>
      <t xml:space="preserve">Lunch/coffee breaks </t>
    </r>
    <r>
      <rPr>
        <sz val="12"/>
        <color rgb="FF7030A0"/>
        <rFont val="Times New Roman"/>
        <family val="1"/>
        <scheme val="major"/>
      </rPr>
      <t xml:space="preserve"> </t>
    </r>
  </si>
  <si>
    <t>Activity 1.3. Develop a government capacity-building strategy by applying assessment results. POA &amp; INDES</t>
  </si>
  <si>
    <t>Training/workshop</t>
  </si>
  <si>
    <r>
      <rPr>
        <sz val="12"/>
        <color rgb="FF000000"/>
        <rFont val="Times New Roman"/>
        <family val="1"/>
        <scheme val="major"/>
      </rPr>
      <t>Local transportation</t>
    </r>
    <r>
      <rPr>
        <sz val="12"/>
        <color rgb="FF7030A0"/>
        <rFont val="Times New Roman"/>
        <family val="1"/>
        <scheme val="major"/>
      </rPr>
      <t xml:space="preserve"> </t>
    </r>
    <r>
      <rPr>
        <sz val="12"/>
        <color rgb="FF000000"/>
        <rFont val="Times New Roman"/>
        <family val="1"/>
        <scheme val="major"/>
      </rPr>
      <t>(Cotopaxi)</t>
    </r>
  </si>
  <si>
    <r>
      <rPr>
        <b/>
        <sz val="12"/>
        <color rgb="FF000000"/>
        <rFont val="Times New Roman"/>
        <family val="1"/>
        <scheme val="major"/>
      </rPr>
      <t xml:space="preserve">Staff from outside training site </t>
    </r>
    <r>
      <rPr>
        <b/>
        <sz val="12"/>
        <color rgb="FF7030A0"/>
        <rFont val="Times New Roman"/>
        <family val="1"/>
        <scheme val="major"/>
      </rPr>
      <t>/</t>
    </r>
  </si>
  <si>
    <r>
      <rPr>
        <sz val="12"/>
        <color rgb="FF000000"/>
        <rFont val="Times New Roman"/>
        <family val="1"/>
        <scheme val="major"/>
      </rPr>
      <t xml:space="preserve">Lodging </t>
    </r>
    <r>
      <rPr>
        <sz val="12"/>
        <color rgb="FF7030A0"/>
        <rFont val="Times New Roman"/>
        <family val="1"/>
        <scheme val="major"/>
      </rPr>
      <t xml:space="preserve"> </t>
    </r>
  </si>
  <si>
    <t xml:space="preserve">Travel Day Lunch </t>
  </si>
  <si>
    <t> </t>
  </si>
  <si>
    <t xml:space="preserve"> Individual </t>
  </si>
  <si>
    <t xml:space="preserve"> /day </t>
  </si>
  <si>
    <t>Printing (Guide SST flowers)</t>
  </si>
  <si>
    <t xml:space="preserve"> each </t>
  </si>
  <si>
    <t>Local Consultant (Guide SST)</t>
  </si>
  <si>
    <r>
      <rPr>
        <sz val="12"/>
        <color rgb="FF000000"/>
        <rFont val="Times New Roman"/>
        <family val="1"/>
        <scheme val="major"/>
      </rPr>
      <t>Printing (Photocopies)</t>
    </r>
    <r>
      <rPr>
        <sz val="12"/>
        <color rgb="FF7030A0"/>
        <rFont val="Times New Roman"/>
        <family val="1"/>
        <scheme val="major"/>
      </rPr>
      <t xml:space="preserve"> </t>
    </r>
  </si>
  <si>
    <r>
      <rPr>
        <b/>
        <sz val="12"/>
        <color rgb="FF000000"/>
        <rFont val="Times New Roman"/>
        <family val="1"/>
        <scheme val="major"/>
      </rPr>
      <t>Staff from outside training site</t>
    </r>
    <r>
      <rPr>
        <b/>
        <sz val="12"/>
        <color rgb="FF7030A0"/>
        <rFont val="Times New Roman"/>
        <family val="1"/>
        <scheme val="major"/>
      </rPr>
      <t xml:space="preserve"> </t>
    </r>
  </si>
  <si>
    <t xml:space="preserve">Airfare </t>
  </si>
  <si>
    <t>Activity 1.4. Develop, deliver, and institutionalize tailored CB for government officials</t>
  </si>
  <si>
    <r>
      <rPr>
        <b/>
        <sz val="12"/>
        <color rgb="FF000000"/>
        <rFont val="Times New Roman"/>
        <family val="1"/>
        <scheme val="major"/>
      </rPr>
      <t>Training/workshop/project activities costs</t>
    </r>
    <r>
      <rPr>
        <b/>
        <sz val="12"/>
        <color rgb="FF7030A0"/>
        <rFont val="Times New Roman"/>
        <family val="1"/>
        <scheme val="major"/>
      </rPr>
      <t xml:space="preserve"> </t>
    </r>
  </si>
  <si>
    <r>
      <rPr>
        <sz val="12"/>
        <color rgb="FF000000"/>
        <rFont val="Times New Roman"/>
        <family val="1"/>
        <scheme val="major"/>
      </rPr>
      <t xml:space="preserve">Printing (Photocopies) </t>
    </r>
    <r>
      <rPr>
        <sz val="12"/>
        <color rgb="FF7030A0"/>
        <rFont val="Times New Roman"/>
        <family val="1"/>
        <scheme val="major"/>
      </rPr>
      <t xml:space="preserve"> </t>
    </r>
  </si>
  <si>
    <r>
      <rPr>
        <sz val="12"/>
        <color rgb="FF000000"/>
        <rFont val="Times New Roman"/>
        <family val="1"/>
        <scheme val="major"/>
      </rPr>
      <t>Ground transportation</t>
    </r>
    <r>
      <rPr>
        <sz val="12"/>
        <color rgb="FF7030A0"/>
        <rFont val="Times New Roman"/>
        <family val="1"/>
        <scheme val="major"/>
      </rPr>
      <t xml:space="preserve"> </t>
    </r>
    <r>
      <rPr>
        <sz val="12"/>
        <color rgb="FF000000"/>
        <rFont val="Times New Roman"/>
        <family val="1"/>
        <scheme val="major"/>
      </rPr>
      <t>(Cotopaxi)</t>
    </r>
  </si>
  <si>
    <t>Local transportation (El Oro)</t>
  </si>
  <si>
    <r>
      <rPr>
        <sz val="12"/>
        <color rgb="FF000000"/>
        <rFont val="Times New Roman"/>
        <family val="1"/>
        <scheme val="major"/>
      </rPr>
      <t>Ground transportation</t>
    </r>
    <r>
      <rPr>
        <sz val="12"/>
        <color rgb="FF7030A0"/>
        <rFont val="Times New Roman"/>
        <family val="1"/>
        <scheme val="major"/>
      </rPr>
      <t xml:space="preserve"> </t>
    </r>
    <r>
      <rPr>
        <sz val="12"/>
        <color rgb="FF000000"/>
        <rFont val="Times New Roman"/>
        <family val="1"/>
        <scheme val="major"/>
      </rPr>
      <t>(El Oro)</t>
    </r>
  </si>
  <si>
    <r>
      <rPr>
        <b/>
        <sz val="12"/>
        <color rgb="FF000000"/>
        <rFont val="Times New Roman"/>
        <family val="1"/>
        <scheme val="major"/>
      </rPr>
      <t xml:space="preserve">Training/workshop/project activities costs </t>
    </r>
    <r>
      <rPr>
        <b/>
        <sz val="12"/>
        <color rgb="FF7030A0"/>
        <rFont val="Times New Roman"/>
        <family val="1"/>
        <scheme val="major"/>
      </rPr>
      <t xml:space="preserve"> </t>
    </r>
  </si>
  <si>
    <t xml:space="preserve">Local transportation (training site) </t>
  </si>
  <si>
    <t xml:space="preserve">Activity 1.6. Partner with GADs to integrate enforcement processes and capacity building into local community development plans and budgets </t>
  </si>
  <si>
    <r>
      <rPr>
        <b/>
        <sz val="12"/>
        <color rgb="FF000000"/>
        <rFont val="Times New Roman"/>
        <family val="1"/>
        <scheme val="major"/>
      </rPr>
      <t xml:space="preserve">Staff from outside training site </t>
    </r>
    <r>
      <rPr>
        <b/>
        <sz val="12"/>
        <color rgb="FF7030A0"/>
        <rFont val="Times New Roman"/>
        <family val="1"/>
        <scheme val="major"/>
      </rPr>
      <t xml:space="preserve"> </t>
    </r>
  </si>
  <si>
    <r>
      <rPr>
        <sz val="12"/>
        <color rgb="FF000000"/>
        <rFont val="Times New Roman"/>
        <family val="1"/>
        <scheme val="major"/>
      </rPr>
      <t>Transportation</t>
    </r>
    <r>
      <rPr>
        <sz val="12"/>
        <color rgb="FF7030A0"/>
        <rFont val="Times New Roman"/>
        <family val="1"/>
        <scheme val="major"/>
      </rPr>
      <t xml:space="preserve"> </t>
    </r>
    <r>
      <rPr>
        <sz val="12"/>
        <color rgb="FF000000"/>
        <rFont val="Times New Roman"/>
        <family val="1"/>
        <scheme val="major"/>
      </rPr>
      <t>(Cotopaxi)</t>
    </r>
  </si>
  <si>
    <r>
      <rPr>
        <sz val="12"/>
        <color rgb="FF000000"/>
        <rFont val="Times New Roman"/>
        <family val="1"/>
        <scheme val="major"/>
      </rPr>
      <t>Lunch/coffee breaks</t>
    </r>
    <r>
      <rPr>
        <sz val="12"/>
        <color rgb="FF7030A0"/>
        <rFont val="Times New Roman"/>
        <family val="1"/>
        <scheme val="major"/>
      </rPr>
      <t xml:space="preserve"> </t>
    </r>
  </si>
  <si>
    <t xml:space="preserve">Airfare / Pasaje aéreo </t>
  </si>
  <si>
    <t>Activity 1.7 Disseminate successes</t>
  </si>
  <si>
    <t>OUTCOME 1 ACTIVITY TOTAL</t>
  </si>
  <si>
    <t>Activity 2.1. Assess rural workers’ information needs, experiences, and trusted organizations</t>
  </si>
  <si>
    <t xml:space="preserve">Materials &amp; Supplies (community fairs/radio spots) </t>
  </si>
  <si>
    <t>campaign</t>
  </si>
  <si>
    <r>
      <rPr>
        <b/>
        <sz val="12"/>
        <color rgb="FF000000"/>
        <rFont val="Times New Roman"/>
        <family val="1"/>
        <scheme val="major"/>
      </rPr>
      <t>Staff from outside training site</t>
    </r>
    <r>
      <rPr>
        <b/>
        <sz val="12"/>
        <color rgb="FF7030A0"/>
        <rFont val="Times New Roman"/>
        <family val="1"/>
        <scheme val="major"/>
      </rPr>
      <t xml:space="preserve">  </t>
    </r>
  </si>
  <si>
    <t xml:space="preserve">Activity 2.2. Train and facilitate PAs and selected multi-sectoral Partners to develop, implement, and monitor strategic, inclusive awareness-raising campaigns targeting rural workers </t>
  </si>
  <si>
    <r>
      <rPr>
        <sz val="12"/>
        <color rgb="FF000000"/>
        <rFont val="Times New Roman"/>
        <family val="1"/>
        <scheme val="major"/>
      </rPr>
      <t>Local transportation (training site)</t>
    </r>
    <r>
      <rPr>
        <sz val="12"/>
        <color rgb="FF7030A0"/>
        <rFont val="Times New Roman"/>
        <family val="1"/>
        <scheme val="major"/>
      </rPr>
      <t xml:space="preserve"> </t>
    </r>
  </si>
  <si>
    <r>
      <t>Staff from outside training site</t>
    </r>
    <r>
      <rPr>
        <b/>
        <sz val="12"/>
        <color rgb="FF7030A0"/>
        <rFont val="Times New Roman"/>
        <family val="1"/>
        <scheme val="major"/>
      </rPr>
      <t xml:space="preserve"> / Personal externo al centro de formación </t>
    </r>
  </si>
  <si>
    <r>
      <t>Transportation</t>
    </r>
    <r>
      <rPr>
        <sz val="12"/>
        <color rgb="FF7030A0"/>
        <rFont val="Times New Roman"/>
        <family val="1"/>
        <scheme val="major"/>
      </rPr>
      <t xml:space="preserve"> / Transporte </t>
    </r>
    <r>
      <rPr>
        <sz val="12"/>
        <rFont val="Times New Roman"/>
        <family val="1"/>
        <scheme val="major"/>
      </rPr>
      <t>(Cotopaxi)</t>
    </r>
  </si>
  <si>
    <r>
      <t xml:space="preserve">Ground transportation </t>
    </r>
    <r>
      <rPr>
        <sz val="12"/>
        <color rgb="FF7030A0"/>
        <rFont val="Times New Roman"/>
        <family val="1"/>
        <scheme val="major"/>
      </rPr>
      <t xml:space="preserve">/ Transporte terrestre </t>
    </r>
    <r>
      <rPr>
        <sz val="12"/>
        <rFont val="Times New Roman"/>
        <family val="1"/>
        <scheme val="major"/>
      </rPr>
      <t>(Cotopaxi)</t>
    </r>
  </si>
  <si>
    <r>
      <t>Lodging</t>
    </r>
    <r>
      <rPr>
        <sz val="12"/>
        <color rgb="FF7030A0"/>
        <rFont val="Times New Roman"/>
        <family val="1"/>
        <scheme val="major"/>
      </rPr>
      <t xml:space="preserve"> / Alojamiento</t>
    </r>
  </si>
  <si>
    <r>
      <t xml:space="preserve">M&amp;IE (excluding lunch) </t>
    </r>
    <r>
      <rPr>
        <sz val="12"/>
        <color rgb="FF7030A0"/>
        <rFont val="Times New Roman"/>
        <family val="1"/>
        <scheme val="major"/>
      </rPr>
      <t>/ Comidas e imprevistos (excepto almuerzo)</t>
    </r>
  </si>
  <si>
    <r>
      <t xml:space="preserve">Travel Day Lunch </t>
    </r>
    <r>
      <rPr>
        <sz val="12"/>
        <color rgb="FF7030A0"/>
        <rFont val="Times New Roman"/>
        <family val="1"/>
        <scheme val="major"/>
      </rPr>
      <t>/ Almuerzo del día de viaje</t>
    </r>
  </si>
  <si>
    <t xml:space="preserve">Activity 2.3. Institutionalize training </t>
  </si>
  <si>
    <t xml:space="preserve">ToT activities costs </t>
  </si>
  <si>
    <r>
      <rPr>
        <sz val="12"/>
        <color rgb="FF000000"/>
        <rFont val="Times New Roman"/>
        <family val="1"/>
        <scheme val="major"/>
      </rPr>
      <t>Transportation</t>
    </r>
    <r>
      <rPr>
        <sz val="12"/>
        <color rgb="FF7030A0"/>
        <rFont val="Times New Roman"/>
        <family val="1"/>
        <scheme val="major"/>
      </rPr>
      <t xml:space="preserve"> / </t>
    </r>
    <r>
      <rPr>
        <sz val="12"/>
        <color rgb="FF000000"/>
        <rFont val="Times New Roman"/>
        <family val="1"/>
        <scheme val="major"/>
      </rPr>
      <t>(Cotopaxi)</t>
    </r>
  </si>
  <si>
    <r>
      <rPr>
        <sz val="12"/>
        <color rgb="FF000000"/>
        <rFont val="Times New Roman"/>
        <family val="1"/>
        <scheme val="major"/>
      </rPr>
      <t>Local transportation</t>
    </r>
    <r>
      <rPr>
        <sz val="12"/>
        <color rgb="FF7030A0"/>
        <rFont val="Times New Roman"/>
        <family val="1"/>
        <scheme val="major"/>
      </rPr>
      <t xml:space="preserve">  </t>
    </r>
    <r>
      <rPr>
        <sz val="12"/>
        <color rgb="FF000000"/>
        <rFont val="Times New Roman"/>
        <family val="1"/>
        <scheme val="major"/>
      </rPr>
      <t>(El Oro)</t>
    </r>
  </si>
  <si>
    <t>Transportation  (El Oro)</t>
  </si>
  <si>
    <r>
      <rPr>
        <sz val="12"/>
        <color rgb="FF000000"/>
        <rFont val="Times New Roman"/>
        <family val="1"/>
        <scheme val="major"/>
      </rPr>
      <t>Ground transportation</t>
    </r>
    <r>
      <rPr>
        <sz val="12"/>
        <color rgb="FF7030A0"/>
        <rFont val="Times New Roman"/>
        <family val="1"/>
        <scheme val="major"/>
      </rPr>
      <t xml:space="preserve"> </t>
    </r>
    <r>
      <rPr>
        <sz val="12"/>
        <color rgb="FF000000"/>
        <rFont val="Times New Roman"/>
        <family val="1"/>
        <scheme val="major"/>
      </rPr>
      <t xml:space="preserve"> (El Oro)</t>
    </r>
  </si>
  <si>
    <t xml:space="preserve">Activity 2.4. Establish and convene neutral spaces for bipartite and tripartite social dialogue </t>
  </si>
  <si>
    <t>Coffee</t>
  </si>
  <si>
    <r>
      <rPr>
        <sz val="12"/>
        <color rgb="FF000000"/>
        <rFont val="Times New Roman"/>
        <family val="1"/>
        <scheme val="major"/>
      </rPr>
      <t xml:space="preserve">Ground transportation </t>
    </r>
    <r>
      <rPr>
        <sz val="12"/>
        <color rgb="FF7030A0"/>
        <rFont val="Times New Roman"/>
        <family val="1"/>
        <scheme val="major"/>
      </rPr>
      <t xml:space="preserve"> </t>
    </r>
    <r>
      <rPr>
        <sz val="12"/>
        <color rgb="FF000000"/>
        <rFont val="Times New Roman"/>
        <family val="1"/>
        <scheme val="major"/>
      </rPr>
      <t>(Cotopaxi)</t>
    </r>
  </si>
  <si>
    <t>Local transportation(El Oro)</t>
  </si>
  <si>
    <r>
      <rPr>
        <sz val="12"/>
        <color rgb="FF000000"/>
        <rFont val="Times New Roman"/>
        <family val="1"/>
        <scheme val="major"/>
      </rPr>
      <t>Ground transportation</t>
    </r>
    <r>
      <rPr>
        <sz val="12"/>
        <color rgb="FF7030A0"/>
        <rFont val="Times New Roman"/>
        <family val="1"/>
        <scheme val="major"/>
      </rPr>
      <t xml:space="preserve"> / </t>
    </r>
    <r>
      <rPr>
        <sz val="12"/>
        <color rgb="FF000000"/>
        <rFont val="Times New Roman"/>
        <family val="1"/>
        <scheme val="major"/>
      </rPr>
      <t>(El Oro)</t>
    </r>
  </si>
  <si>
    <t xml:space="preserve">Lunch/coffee breaks  </t>
  </si>
  <si>
    <r>
      <rPr>
        <sz val="12"/>
        <color rgb="FF000000"/>
        <rFont val="Times New Roman"/>
        <family val="1"/>
        <scheme val="major"/>
      </rPr>
      <t>Lodging</t>
    </r>
    <r>
      <rPr>
        <sz val="12"/>
        <color rgb="FF7030A0"/>
        <rFont val="Times New Roman"/>
        <family val="1"/>
        <scheme val="major"/>
      </rPr>
      <t xml:space="preserve"> </t>
    </r>
  </si>
  <si>
    <t>Activity 2.6. Partner with GADs to integrate the above training, awareness-raising, and social dialogue activities into community development plans.</t>
  </si>
  <si>
    <r>
      <rPr>
        <sz val="12"/>
        <color rgb="FF000000"/>
        <rFont val="Times New Roman"/>
        <family val="1"/>
        <scheme val="major"/>
      </rPr>
      <t xml:space="preserve">Printing (Photocopies) </t>
    </r>
    <r>
      <rPr>
        <sz val="12"/>
        <color rgb="FF7030A0"/>
        <rFont val="Times New Roman"/>
        <family val="1"/>
        <scheme val="major"/>
      </rPr>
      <t>/</t>
    </r>
  </si>
  <si>
    <r>
      <rPr>
        <sz val="12"/>
        <color rgb="FF000000"/>
        <rFont val="Times New Roman"/>
        <family val="1"/>
        <scheme val="major"/>
      </rPr>
      <t>Transportation</t>
    </r>
    <r>
      <rPr>
        <sz val="12"/>
        <color rgb="FF7030A0"/>
        <rFont val="Times New Roman"/>
        <family val="1"/>
        <scheme val="major"/>
      </rPr>
      <t xml:space="preserve">  </t>
    </r>
    <r>
      <rPr>
        <sz val="12"/>
        <color rgb="FF000000"/>
        <rFont val="Times New Roman"/>
        <family val="1"/>
        <scheme val="major"/>
      </rPr>
      <t>(Cotopaxi)</t>
    </r>
  </si>
  <si>
    <r>
      <rPr>
        <sz val="12"/>
        <color rgb="FF000000"/>
        <rFont val="Times New Roman"/>
        <family val="1"/>
        <scheme val="major"/>
      </rPr>
      <t xml:space="preserve">Travel Day Lunch </t>
    </r>
    <r>
      <rPr>
        <sz val="12"/>
        <color rgb="FF7030A0"/>
        <rFont val="Times New Roman"/>
        <family val="1"/>
        <scheme val="major"/>
      </rPr>
      <t>/</t>
    </r>
  </si>
  <si>
    <t>Transportation(El Oro)</t>
  </si>
  <si>
    <t>Airfare /</t>
  </si>
  <si>
    <r>
      <rPr>
        <sz val="12"/>
        <color rgb="FF000000"/>
        <rFont val="Times New Roman"/>
        <family val="1"/>
        <scheme val="major"/>
      </rPr>
      <t>Ground transportation</t>
    </r>
    <r>
      <rPr>
        <sz val="12"/>
        <color rgb="FF7030A0"/>
        <rFont val="Times New Roman"/>
        <family val="1"/>
        <scheme val="major"/>
      </rPr>
      <t xml:space="preserve"> (</t>
    </r>
    <r>
      <rPr>
        <sz val="12"/>
        <color rgb="FF000000"/>
        <rFont val="Times New Roman"/>
        <family val="1"/>
        <scheme val="major"/>
      </rPr>
      <t>El Oro)</t>
    </r>
  </si>
  <si>
    <t xml:space="preserve">Activity 2.8. Partner with GADs to integrate the above training, awareness-raising, and social dialogue activities into community development plans </t>
  </si>
  <si>
    <t xml:space="preserve">Trainees from outside training site </t>
  </si>
  <si>
    <t xml:space="preserve">Transportation (training city) </t>
  </si>
  <si>
    <r>
      <rPr>
        <sz val="12"/>
        <color rgb="FF000000"/>
        <rFont val="Times New Roman"/>
        <family val="1"/>
        <scheme val="major"/>
      </rPr>
      <t>Ground transportation (training city)</t>
    </r>
    <r>
      <rPr>
        <sz val="12"/>
        <color rgb="FF7030A0"/>
        <rFont val="Times New Roman"/>
        <family val="1"/>
        <scheme val="major"/>
      </rPr>
      <t xml:space="preserve"> /</t>
    </r>
  </si>
  <si>
    <t xml:space="preserve">OUTCOME 2 ACTIVITY TOTAL </t>
  </si>
  <si>
    <t>Activity 3.1 . Undertake an analysis of remediation constraints and opportunities[</t>
  </si>
  <si>
    <r>
      <rPr>
        <sz val="12"/>
        <color rgb="FF000000"/>
        <rFont val="Times New Roman"/>
        <family val="1"/>
        <scheme val="major"/>
      </rPr>
      <t>Ground transportation</t>
    </r>
    <r>
      <rPr>
        <sz val="12"/>
        <color rgb="FF7030A0"/>
        <rFont val="Times New Roman"/>
        <family val="1"/>
        <scheme val="major"/>
      </rPr>
      <t xml:space="preserve"> </t>
    </r>
    <r>
      <rPr>
        <sz val="12"/>
        <color rgb="FF000000"/>
        <rFont val="Times New Roman"/>
        <family val="1"/>
        <scheme val="major"/>
      </rPr>
      <t>Cotopaxi)</t>
    </r>
  </si>
  <si>
    <t>Activity 3.1 Validate analysis and select pilot remediation mechanism designs</t>
  </si>
  <si>
    <t>Transportation  (Cotopaxi)</t>
  </si>
  <si>
    <r>
      <rPr>
        <b/>
        <sz val="12"/>
        <color rgb="FF000000"/>
        <rFont val="Times New Roman"/>
        <scheme val="major"/>
      </rPr>
      <t>Activity 3.2.. Engage partners to design, implement, and monitor pilot remediation solutions</t>
    </r>
    <r>
      <rPr>
        <b/>
        <sz val="12"/>
        <color rgb="FF7030A0"/>
        <rFont val="Times New Roman"/>
        <scheme val="major"/>
      </rPr>
      <t xml:space="preserve"> </t>
    </r>
    <r>
      <rPr>
        <b/>
        <sz val="12"/>
        <color rgb="FF000000"/>
        <rFont val="Times New Roman"/>
        <scheme val="major"/>
      </rPr>
      <t>POA EL ORO / INDES COTOPAXI</t>
    </r>
  </si>
  <si>
    <r>
      <rPr>
        <b/>
        <sz val="12"/>
        <color rgb="FF000000"/>
        <rFont val="Times New Roman"/>
        <family val="1"/>
        <scheme val="major"/>
      </rPr>
      <t>Project activities costs</t>
    </r>
    <r>
      <rPr>
        <b/>
        <sz val="12"/>
        <color rgb="FF7030A0"/>
        <rFont val="Times New Roman"/>
        <family val="1"/>
        <scheme val="major"/>
      </rPr>
      <t xml:space="preserve"> </t>
    </r>
  </si>
  <si>
    <t xml:space="preserve">Materials &amp; Supplies (Implementation of Pilots) </t>
  </si>
  <si>
    <t>pilot</t>
  </si>
  <si>
    <r>
      <rPr>
        <sz val="12"/>
        <color rgb="FF000000"/>
        <rFont val="Times New Roman"/>
        <family val="1"/>
        <scheme val="major"/>
      </rPr>
      <t xml:space="preserve">Transportation </t>
    </r>
    <r>
      <rPr>
        <sz val="12"/>
        <color rgb="FF7030A0"/>
        <rFont val="Times New Roman"/>
        <family val="1"/>
        <scheme val="major"/>
      </rPr>
      <t>/</t>
    </r>
    <r>
      <rPr>
        <sz val="12"/>
        <color rgb="FF000000"/>
        <rFont val="Times New Roman"/>
        <family val="1"/>
        <scheme val="major"/>
      </rPr>
      <t xml:space="preserve"> (Cotopaxi)</t>
    </r>
  </si>
  <si>
    <r>
      <rPr>
        <sz val="12"/>
        <color rgb="FF000000"/>
        <rFont val="Times New Roman"/>
        <family val="1"/>
        <scheme val="major"/>
      </rPr>
      <t xml:space="preserve">Ground transportation </t>
    </r>
    <r>
      <rPr>
        <sz val="12"/>
        <color rgb="FF7030A0"/>
        <rFont val="Times New Roman"/>
        <family val="1"/>
        <scheme val="major"/>
      </rPr>
      <t xml:space="preserve">/ </t>
    </r>
    <r>
      <rPr>
        <sz val="12"/>
        <color rgb="FF000000"/>
        <rFont val="Times New Roman"/>
        <family val="1"/>
        <scheme val="major"/>
      </rPr>
      <t>(Cotopaxi)</t>
    </r>
  </si>
  <si>
    <r>
      <rPr>
        <b/>
        <sz val="12"/>
        <color rgb="FF000000"/>
        <rFont val="Times New Roman"/>
        <family val="1"/>
        <scheme val="major"/>
      </rPr>
      <t>ACTIVITY TOTAL</t>
    </r>
    <r>
      <rPr>
        <b/>
        <sz val="12"/>
        <color rgb="FF7030A0"/>
        <rFont val="Times New Roman"/>
        <family val="1"/>
        <scheme val="major"/>
      </rPr>
      <t xml:space="preserve"> </t>
    </r>
  </si>
  <si>
    <t xml:space="preserve">Activity 3.3. Finalize and institutionalize proven grievance and restitution mechanisms </t>
  </si>
  <si>
    <r>
      <rPr>
        <sz val="12"/>
        <color rgb="FF000000"/>
        <rFont val="Times New Roman"/>
        <family val="1"/>
        <scheme val="major"/>
      </rPr>
      <t xml:space="preserve">Travel Day Lunch </t>
    </r>
    <r>
      <rPr>
        <sz val="12"/>
        <color rgb="FF7030A0"/>
        <rFont val="Times New Roman"/>
        <family val="1"/>
        <scheme val="major"/>
      </rPr>
      <t xml:space="preserve">/ </t>
    </r>
  </si>
  <si>
    <t>Activity 3.4. Develop and integrate an anonymous reporting mechanism.</t>
  </si>
  <si>
    <r>
      <rPr>
        <sz val="12"/>
        <color rgb="FF000000"/>
        <rFont val="Times New Roman"/>
        <family val="1"/>
        <scheme val="major"/>
      </rPr>
      <t xml:space="preserve">Transportation </t>
    </r>
    <r>
      <rPr>
        <sz val="12"/>
        <color rgb="FF7030A0"/>
        <rFont val="Times New Roman"/>
        <family val="1"/>
        <scheme val="major"/>
      </rPr>
      <t xml:space="preserve"> </t>
    </r>
    <r>
      <rPr>
        <sz val="12"/>
        <color rgb="FF000000"/>
        <rFont val="Times New Roman"/>
        <family val="1"/>
        <scheme val="major"/>
      </rPr>
      <t>(Cotopaxi)</t>
    </r>
  </si>
  <si>
    <r>
      <rPr>
        <sz val="12"/>
        <color rgb="FF000000"/>
        <rFont val="Times New Roman"/>
        <family val="1"/>
        <scheme val="major"/>
      </rPr>
      <t>Local transportation</t>
    </r>
    <r>
      <rPr>
        <sz val="12"/>
        <color rgb="FF7030A0"/>
        <rFont val="Times New Roman"/>
        <family val="1"/>
        <scheme val="major"/>
      </rPr>
      <t xml:space="preserve"> / </t>
    </r>
    <r>
      <rPr>
        <sz val="12"/>
        <color rgb="FF000000"/>
        <rFont val="Times New Roman"/>
        <family val="1"/>
        <scheme val="major"/>
      </rPr>
      <t>(El Oro)</t>
    </r>
  </si>
  <si>
    <t xml:space="preserve">ACTIVITY - </t>
  </si>
  <si>
    <t>A/V Costs</t>
  </si>
  <si>
    <t>Venue Costs</t>
  </si>
  <si>
    <t>day</t>
  </si>
  <si>
    <t>Trainees from outside training site</t>
  </si>
  <si>
    <t>Transportation (training city)</t>
  </si>
  <si>
    <t>Ground transportation (training city)</t>
  </si>
  <si>
    <t>Actividad 3.5. Engage medium and large producers to strengthen grievance and restitution mechanisms in their workplaces and supply chains.</t>
  </si>
  <si>
    <t>Ground transportation  (Cotopaxi)</t>
  </si>
  <si>
    <t>OUTCOME 3 ACTIVITY TOTAL</t>
  </si>
  <si>
    <t xml:space="preserve"> Travel Budget</t>
  </si>
  <si>
    <t>Position Traveling</t>
  </si>
  <si>
    <t>From-To</t>
  </si>
  <si>
    <t>Activity/ Purpose</t>
  </si>
  <si>
    <t># of Trips/YR</t>
  </si>
  <si>
    <t>Transport (Int'l/trip)</t>
  </si>
  <si>
    <t>Total Transport</t>
  </si>
  <si>
    <t># of Days/Trip</t>
  </si>
  <si>
    <t>M&amp;IE Rate</t>
  </si>
  <si>
    <t>Total M&amp;IE</t>
  </si>
  <si>
    <t>Lodging Rate (Int'l)</t>
  </si>
  <si>
    <t>Total Lodging</t>
  </si>
  <si>
    <t>Ground Transfers</t>
  </si>
  <si>
    <t>Travel Other</t>
  </si>
  <si>
    <t xml:space="preserve"> Total</t>
  </si>
  <si>
    <t>M&amp;E Officer</t>
  </si>
  <si>
    <t>ex. Washington, DC to San Jose, Costa Rica</t>
  </si>
  <si>
    <t>ex. Monitoring &amp; Evaluation</t>
  </si>
  <si>
    <t>Quito to El Oro</t>
  </si>
  <si>
    <t>Project Director</t>
  </si>
  <si>
    <t>Quito to Cotopaxi</t>
  </si>
  <si>
    <t xml:space="preserve">Total Year 1 </t>
  </si>
  <si>
    <t>To-From</t>
  </si>
  <si>
    <t>Total Transport $</t>
  </si>
  <si>
    <t>Total Year 2</t>
  </si>
  <si>
    <t>Total Year 3</t>
  </si>
  <si>
    <t>Total Year 4</t>
  </si>
  <si>
    <t>TOTAL ALL YEARS</t>
  </si>
  <si>
    <t>HOME OFFICE SUPPORT</t>
  </si>
  <si>
    <t>Position</t>
  </si>
  <si>
    <t>Name</t>
  </si>
  <si>
    <t>Current Annual Salary</t>
  </si>
  <si>
    <t>Projected Annual Salary</t>
  </si>
  <si>
    <t>LOE %</t>
  </si>
  <si>
    <t>Number of Days</t>
  </si>
  <si>
    <t>Escalation Rate</t>
  </si>
  <si>
    <t>Program Management</t>
  </si>
  <si>
    <t>Current Monthly Salary</t>
  </si>
  <si>
    <t>Projected Monthly Salary</t>
  </si>
  <si>
    <t>LOE
%</t>
  </si>
  <si>
    <t>GPO Director</t>
  </si>
  <si>
    <t>Associate GPO Director</t>
  </si>
  <si>
    <t>Regional Team Leader</t>
  </si>
  <si>
    <t>Program Officer</t>
  </si>
  <si>
    <t>Program Coordinator</t>
  </si>
  <si>
    <t>Pubs</t>
  </si>
  <si>
    <t>Senior Graphic Designer</t>
  </si>
  <si>
    <t>Editor</t>
  </si>
  <si>
    <t>Translator</t>
  </si>
  <si>
    <t>Publications Manager</t>
  </si>
  <si>
    <t>Subtotal Program Management</t>
  </si>
  <si>
    <r>
      <t>Weighed average Salary with</t>
    </r>
    <r>
      <rPr>
        <b/>
        <sz val="10"/>
        <rFont val="Arial"/>
        <family val="2"/>
      </rPr>
      <t xml:space="preserve"> actual </t>
    </r>
    <r>
      <rPr>
        <sz val="10"/>
        <rFont val="Arial"/>
        <family val="2"/>
      </rPr>
      <t>LOE%</t>
    </r>
  </si>
  <si>
    <r>
      <t xml:space="preserve">Weighed LOE % based on </t>
    </r>
    <r>
      <rPr>
        <b/>
        <sz val="10"/>
        <rFont val="Arial"/>
        <family val="2"/>
      </rPr>
      <t>lower</t>
    </r>
    <r>
      <rPr>
        <sz val="10"/>
        <rFont val="Arial"/>
        <family val="2"/>
      </rPr>
      <t xml:space="preserve"> Salary</t>
    </r>
  </si>
  <si>
    <r>
      <t xml:space="preserve">Weighed LOE % based on </t>
    </r>
    <r>
      <rPr>
        <b/>
        <sz val="10"/>
        <rFont val="Arial"/>
        <family val="2"/>
      </rPr>
      <t xml:space="preserve">average </t>
    </r>
    <r>
      <rPr>
        <sz val="10"/>
        <rFont val="Arial"/>
        <family val="2"/>
      </rPr>
      <t>Salary</t>
    </r>
  </si>
  <si>
    <r>
      <t xml:space="preserve">Weighed LOE % based on </t>
    </r>
    <r>
      <rPr>
        <b/>
        <sz val="10"/>
        <rFont val="Arial"/>
        <family val="2"/>
      </rPr>
      <t>higher</t>
    </r>
    <r>
      <rPr>
        <sz val="10"/>
        <rFont val="Arial"/>
        <family val="2"/>
      </rPr>
      <t xml:space="preserve"> Salary</t>
    </r>
  </si>
  <si>
    <t>Financial Management</t>
  </si>
  <si>
    <t>Financial Manager</t>
  </si>
  <si>
    <t>Financial Administrator</t>
  </si>
  <si>
    <t>Financial Analyst</t>
  </si>
  <si>
    <t>Subtotal Financial Management</t>
  </si>
  <si>
    <t>OMB Number:  4040-0004</t>
  </si>
  <si>
    <t>Expiration Date:  01/31/2009</t>
  </si>
  <si>
    <t>Application for Federal Assistance SF-424</t>
  </si>
  <si>
    <t>Version 02</t>
  </si>
  <si>
    <t>*1.  Type of Submission:</t>
  </si>
  <si>
    <t>*2.  Type of Application</t>
  </si>
  <si>
    <t>* If Revision, select appropriate letter(s)</t>
  </si>
  <si>
    <t xml:space="preserve">  Preapplication</t>
  </si>
  <si>
    <t xml:space="preserve">  New</t>
  </si>
  <si>
    <t xml:space="preserve">  Application</t>
  </si>
  <si>
    <t xml:space="preserve">  Continuation</t>
  </si>
  <si>
    <t>*Other (Specify)</t>
  </si>
  <si>
    <t xml:space="preserve">  Changed/Corrected Application</t>
  </si>
  <si>
    <t xml:space="preserve"> Revision </t>
  </si>
  <si>
    <t>3.  Date Received :</t>
  </si>
  <si>
    <t xml:space="preserve"> 4.  Applicant Identifier:</t>
  </si>
  <si>
    <t>NA</t>
  </si>
  <si>
    <t>5a.  Federal Entity Identifier:</t>
  </si>
  <si>
    <t>*5b.  Federal Award Identifier:</t>
  </si>
  <si>
    <t>     </t>
  </si>
  <si>
    <t>State Use Only:</t>
  </si>
  <si>
    <t>6.  Date Received by State:</t>
  </si>
  <si>
    <t>7.  State Application Identifier:       </t>
  </si>
  <si>
    <t xml:space="preserve">8.  APPLICANT INFORMATION: </t>
  </si>
  <si>
    <t xml:space="preserve">*a.  Legal Name:        </t>
  </si>
  <si>
    <t>*b.  Employer/Taxpayer Identification Number (EIN/TIN):</t>
  </si>
  <si>
    <t>*c.  Organizational DUNS:</t>
  </si>
  <si>
    <t>23-7424444</t>
  </si>
  <si>
    <t>61-802-2149</t>
  </si>
  <si>
    <t>d.  Address:</t>
  </si>
  <si>
    <t xml:space="preserve">*Street 1: </t>
  </si>
  <si>
    <t>1615 Thames Street</t>
  </si>
  <si>
    <t xml:space="preserve">  Street 2: </t>
  </si>
  <si>
    <t>*City:</t>
  </si>
  <si>
    <t>Baltimore</t>
  </si>
  <si>
    <t xml:space="preserve">  County:</t>
  </si>
  <si>
    <t>*State:</t>
  </si>
  <si>
    <t>Maryland</t>
  </si>
  <si>
    <t xml:space="preserve">   Province:</t>
  </si>
  <si>
    <t xml:space="preserve"> *Country:</t>
  </si>
  <si>
    <t>United States of America</t>
  </si>
  <si>
    <t>*Zip / Postal Code</t>
  </si>
  <si>
    <t>21231-3492</t>
  </si>
  <si>
    <t>e.  Organizational Unit:</t>
  </si>
  <si>
    <t>Department Name:</t>
  </si>
  <si>
    <t>Division Name:</t>
  </si>
  <si>
    <t xml:space="preserve"> f.  Name and contact information of person to be contacted on matters involving this application:</t>
  </si>
  <si>
    <t>Prefix:</t>
  </si>
  <si>
    <t>Mr.</t>
  </si>
  <si>
    <t xml:space="preserve">        *First Name: </t>
  </si>
  <si>
    <t>Samuel</t>
  </si>
  <si>
    <t>Middle Name:</t>
  </si>
  <si>
    <t>A</t>
  </si>
  <si>
    <t>*Last Name:</t>
  </si>
  <si>
    <t>Mariam</t>
  </si>
  <si>
    <t>Suffix:</t>
  </si>
  <si>
    <t xml:space="preserve">Title:       </t>
  </si>
  <si>
    <t>Senior Director of Contracts and Grants</t>
  </si>
  <si>
    <t xml:space="preserve"> Organizational Affiliation:</t>
  </si>
  <si>
    <t xml:space="preserve">      </t>
  </si>
  <si>
    <t xml:space="preserve"> *Telephone Number: </t>
  </si>
  <si>
    <t>410.537.6564</t>
  </si>
  <si>
    <t>Fax Number:</t>
  </si>
  <si>
    <t>410.537.1482</t>
  </si>
  <si>
    <t xml:space="preserve"> *Email:          </t>
  </si>
  <si>
    <t>proposal@jhpiego.org</t>
  </si>
  <si>
    <t>* 9. Type of Applicant 1:</t>
  </si>
  <si>
    <t>Select Applicant Type</t>
  </si>
  <si>
    <t>A. State Government</t>
  </si>
  <si>
    <t>B. County Government</t>
  </si>
  <si>
    <t>C. City or Township Government</t>
  </si>
  <si>
    <t>D. Special District Government</t>
  </si>
  <si>
    <t>E. Regional Organization</t>
  </si>
  <si>
    <t>F. U.S. Territory or Possession</t>
  </si>
  <si>
    <t>G. Independent School District</t>
  </si>
  <si>
    <t>H. Public/State Controlled Inst on of Higher Education</t>
  </si>
  <si>
    <t>I. Indian/Native Am Tribal Govn.(Fed. Recognized)</t>
  </si>
  <si>
    <t>J. Indian/Native Am Tribal Govn.(Other than Fed)</t>
  </si>
  <si>
    <t>K. Indian/Native American Tribally Designated Org.</t>
  </si>
  <si>
    <t>L. Public/Indian Housing Authority</t>
  </si>
  <si>
    <t>M. Nonprofit w/501C3 IRS Status (Oth Than Higher Edu</t>
  </si>
  <si>
    <t>N. Nonprofit w/o 501C3 IRS Status (Oth Than High Edu</t>
  </si>
  <si>
    <t>O. Private Institute of Higher Education</t>
  </si>
  <si>
    <t>P. Individual</t>
  </si>
  <si>
    <t>Q. For-profit Org(Other Than Small Business )</t>
  </si>
  <si>
    <t>R. Small Business</t>
  </si>
  <si>
    <t>S. Hispanic-serving Institution</t>
  </si>
  <si>
    <t>T. Historically Black Colleges and Univ (HBCU's)</t>
  </si>
  <si>
    <t>U. Tribally Controlled Colleged and Univ (TCCU's)</t>
  </si>
  <si>
    <t>V. Alaska Native and Native Hawaiian Serving Inst</t>
  </si>
  <si>
    <t xml:space="preserve">W. Non-domestic (non US) entity </t>
  </si>
  <si>
    <t>Type of Applicant 2:</t>
  </si>
  <si>
    <t>Type of Applicant 3:</t>
  </si>
  <si>
    <t>*10 Name of Federal Agency:</t>
  </si>
  <si>
    <r>
      <t>11. Catalog of Federal Domestic Assistance Number</t>
    </r>
    <r>
      <rPr>
        <sz val="9"/>
        <rFont val="Arial"/>
        <family val="2"/>
      </rPr>
      <t>:</t>
    </r>
  </si>
  <si>
    <t>CFDA Title:</t>
  </si>
  <si>
    <r>
      <t>*12  Funding Opportunity Number</t>
    </r>
    <r>
      <rPr>
        <sz val="9"/>
        <rFont val="Arial"/>
        <family val="2"/>
      </rPr>
      <t>:</t>
    </r>
  </si>
  <si>
    <t>*Title:</t>
  </si>
  <si>
    <r>
      <t>13. Competition Identification Number</t>
    </r>
    <r>
      <rPr>
        <sz val="9"/>
        <rFont val="Arial"/>
        <family val="2"/>
      </rPr>
      <t>:</t>
    </r>
  </si>
  <si>
    <t>Title:</t>
  </si>
  <si>
    <t>14. Areas Affected by Project (Cities, Counties, States, etc.):</t>
  </si>
  <si>
    <r>
      <t>*15.  Descriptive Title of Applicant’s Project</t>
    </r>
    <r>
      <rPr>
        <sz val="9"/>
        <rFont val="Arial"/>
        <family val="2"/>
      </rPr>
      <t>:</t>
    </r>
  </si>
  <si>
    <r>
      <t>Application for Federal Assistance SF-424</t>
    </r>
    <r>
      <rPr>
        <b/>
        <sz val="9"/>
        <rFont val="Arial"/>
        <family val="2"/>
      </rPr>
      <t xml:space="preserve">     </t>
    </r>
    <r>
      <rPr>
        <sz val="9"/>
        <rFont val="Arial"/>
        <family val="2"/>
      </rPr>
      <t>Version 02</t>
    </r>
  </si>
  <si>
    <t>16. Congressional Districts Of:</t>
  </si>
  <si>
    <t>*a. Applicant:</t>
  </si>
  <si>
    <t>MD-003</t>
  </si>
  <si>
    <t>*b. Program/Project:</t>
  </si>
  <si>
    <t>00-000</t>
  </si>
  <si>
    <r>
      <t>17.  Proposed Project</t>
    </r>
    <r>
      <rPr>
        <sz val="9"/>
        <rFont val="Arial"/>
        <family val="2"/>
      </rPr>
      <t>:</t>
    </r>
  </si>
  <si>
    <t>*a. Start Date:</t>
  </si>
  <si>
    <t>*b. End Date:</t>
  </si>
  <si>
    <t>18. Estimated Funding ($):</t>
  </si>
  <si>
    <t>*a.  Federal</t>
  </si>
  <si>
    <t>calculation check:</t>
  </si>
  <si>
    <t>*b.  Applicant</t>
  </si>
  <si>
    <t>*c.  State</t>
  </si>
  <si>
    <t>*d.  Local</t>
  </si>
  <si>
    <t>*e.  Other</t>
  </si>
  <si>
    <t>*f.  Program Income</t>
  </si>
  <si>
    <t>*g.  TOTAL</t>
  </si>
  <si>
    <t>*19.  Is Application Subject to Review By State Under Executive Order 12372 Process?</t>
  </si>
  <si>
    <r>
      <t xml:space="preserve">  a.  This application was made available to the State under the Executive Order 12372 Process for review on </t>
    </r>
    <r>
      <rPr>
        <u/>
        <sz val="9"/>
        <rFont val="Arial"/>
        <family val="2"/>
      </rPr>
      <t>     </t>
    </r>
  </si>
  <si>
    <t xml:space="preserve">  b. Program is subject to E.O. 12372 but has not been selected by the State for review.</t>
  </si>
  <si>
    <t xml:space="preserve">  c.  Program is not covered by E. O. 12372</t>
  </si>
  <si>
    <t>*20.  Is the Applicant Delinquent On Any Federal Debt?  (If “Yes”, provide explanation.)</t>
  </si>
  <si>
    <t xml:space="preserve">Yes </t>
  </si>
  <si>
    <t>No</t>
  </si>
  <si>
    <t>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 S. Code, Title 218, Section 1001)</t>
  </si>
  <si>
    <t xml:space="preserve">  ** I AGREE</t>
  </si>
  <si>
    <t>** The list of certifications and assurances, or an internet site where you may obtain this list, is contained in the announcement or agency specific instructions</t>
  </si>
  <si>
    <t>Authorized Representative:</t>
  </si>
  <si>
    <t>Ms.</t>
  </si>
  <si>
    <t>Keya</t>
  </si>
  <si>
    <t>Mayweather</t>
  </si>
  <si>
    <t>Senior Grants Associate</t>
  </si>
  <si>
    <t>*Signature of Authorized Representative:       </t>
  </si>
  <si>
    <t xml:space="preserve">*Date Signed:        </t>
  </si>
  <si>
    <t>Authorized for Local Reproduction</t>
  </si>
  <si>
    <t>Standard Form 424 (Revised 10/2005)</t>
  </si>
  <si>
    <t>Prescribed by OMB Circular A-102</t>
  </si>
  <si>
    <t>OMB Approval No. 4040-0006</t>
  </si>
  <si>
    <t>BUDGET INFORMATION - Non-Construction Programs</t>
  </si>
  <si>
    <t>Expiration Date 06/30/2014</t>
  </si>
  <si>
    <t>SECTION A - BUDGET SUMMARY</t>
  </si>
  <si>
    <t>Grant Program
Function
or Activity</t>
  </si>
  <si>
    <t>Catalog of  Federal
Domestic Assistance
Number</t>
  </si>
  <si>
    <t>Estimated Unobligated Funds</t>
  </si>
  <si>
    <t>New or Revised Budget</t>
  </si>
  <si>
    <t>Federal</t>
  </si>
  <si>
    <t>Non-Federal</t>
  </si>
  <si>
    <t>(a)</t>
  </si>
  <si>
    <t>(b)</t>
  </si>
  <si>
    <t>(c)</t>
  </si>
  <si>
    <t>(d)</t>
  </si>
  <si>
    <t>(e)</t>
  </si>
  <si>
    <t>(f)</t>
  </si>
  <si>
    <t>(g)</t>
  </si>
  <si>
    <t>1.</t>
  </si>
  <si>
    <t>N/A</t>
  </si>
  <si>
    <t>2.</t>
  </si>
  <si>
    <t>3.</t>
  </si>
  <si>
    <t>4.</t>
  </si>
  <si>
    <t>5.     TOTALS</t>
  </si>
  <si>
    <t>Standard Form 424A (Rev. 7-97)</t>
  </si>
  <si>
    <t>Prescribed by OMB (Circular A-102) Page 1</t>
  </si>
  <si>
    <t>SECTION B - BUDGET CATEGORIES</t>
  </si>
  <si>
    <t>GRANT PROGRAM, FUNCTION OR ACTIVITY</t>
  </si>
  <si>
    <t>6.  OBJECT CLASS CATEGORIES</t>
  </si>
  <si>
    <t>(1)</t>
  </si>
  <si>
    <t>(2)</t>
  </si>
  <si>
    <t>(3)</t>
  </si>
  <si>
    <t>(4)</t>
  </si>
  <si>
    <t>(5)</t>
  </si>
  <si>
    <t xml:space="preserve">   </t>
  </si>
  <si>
    <t>a.  Personnel</t>
  </si>
  <si>
    <t>b. Fringe Benefits</t>
  </si>
  <si>
    <t>c.  Travel</t>
  </si>
  <si>
    <t>d.  Equipment</t>
  </si>
  <si>
    <t xml:space="preserve">e.  Supplies </t>
  </si>
  <si>
    <t>f.  Contractual</t>
  </si>
  <si>
    <t>g. Construction</t>
  </si>
  <si>
    <t>h.  Other</t>
  </si>
  <si>
    <r>
      <t>i.  Total Direct Charges</t>
    </r>
    <r>
      <rPr>
        <sz val="8"/>
        <rFont val="Geneva"/>
      </rPr>
      <t xml:space="preserve">  (sum of 6a-6h)</t>
    </r>
  </si>
  <si>
    <t>j.  Indirect Charges</t>
  </si>
  <si>
    <r>
      <t>k.  TOTALS</t>
    </r>
    <r>
      <rPr>
        <sz val="8"/>
        <rFont val="Geneva"/>
      </rPr>
      <t xml:space="preserve">   (sum of 6i and 6j)</t>
    </r>
  </si>
  <si>
    <t>7.     PROGRAM INCOME</t>
  </si>
  <si>
    <t>Prescribed by OMB (Circular A-102) Page 1A</t>
  </si>
  <si>
    <t>SECTION C - NON FEDERAL RESOURCES</t>
  </si>
  <si>
    <t>(a) Grant Program</t>
  </si>
  <si>
    <t>(b) Applicant</t>
  </si>
  <si>
    <t>(c) State</t>
  </si>
  <si>
    <t>(d) Other sources</t>
  </si>
  <si>
    <t>(e) TOTALS</t>
  </si>
  <si>
    <r>
      <t>8.</t>
    </r>
    <r>
      <rPr>
        <sz val="8"/>
        <rFont val="Geneva"/>
      </rPr>
      <t xml:space="preserve"> </t>
    </r>
  </si>
  <si>
    <t>9.</t>
  </si>
  <si>
    <t>10.</t>
  </si>
  <si>
    <t>11.</t>
  </si>
  <si>
    <r>
      <t>12.  TOTALS</t>
    </r>
    <r>
      <rPr>
        <sz val="8"/>
        <rFont val="Geneva"/>
      </rPr>
      <t xml:space="preserve">   (sum of lines 8 and 11)</t>
    </r>
  </si>
  <si>
    <t>SECTION D - FORECASTED CASH NEEDS</t>
  </si>
  <si>
    <t>Total for 1st Year</t>
  </si>
  <si>
    <t>1st Quarter</t>
  </si>
  <si>
    <t>2nd Quarter</t>
  </si>
  <si>
    <t>3rd Quarter</t>
  </si>
  <si>
    <t>4th Quarter</t>
  </si>
  <si>
    <t>13.    Federal</t>
  </si>
  <si>
    <t>14.    NonFederal</t>
  </si>
  <si>
    <r>
      <t xml:space="preserve">15.    TOTAL  </t>
    </r>
    <r>
      <rPr>
        <sz val="8"/>
        <rFont val="Geneva"/>
      </rPr>
      <t>(sum of lines 13 and 14)</t>
    </r>
  </si>
  <si>
    <t>SECTION E - BUDGET ESTIMATES OF FEDERAL FUNDS NEEDED FOR BALANCE OF THE PROJECT</t>
  </si>
  <si>
    <t>FUTURE FUNDING PERIODS (YEARS)</t>
  </si>
  <si>
    <t>(b) First</t>
  </si>
  <si>
    <t>(c)Second</t>
  </si>
  <si>
    <t>(d) Third</t>
  </si>
  <si>
    <t>(e) Fourth</t>
  </si>
  <si>
    <t>16.</t>
  </si>
  <si>
    <t>17.</t>
  </si>
  <si>
    <t>18.</t>
  </si>
  <si>
    <t>19.</t>
  </si>
  <si>
    <r>
      <t>20.  TOTALS</t>
    </r>
    <r>
      <rPr>
        <sz val="8"/>
        <rFont val="Geneva"/>
      </rPr>
      <t xml:space="preserve">   (sum of lines 16 - 19)</t>
    </r>
  </si>
  <si>
    <t>SECTION  F - OTHER BUDGET INFORMATION</t>
  </si>
  <si>
    <t>21.    Direct Charges:</t>
  </si>
  <si>
    <t>22.    Indirect Charges:</t>
  </si>
  <si>
    <t>23.    Remarks</t>
  </si>
  <si>
    <t xml:space="preserve">Remarks: </t>
  </si>
  <si>
    <t>Prescribed by OMB (Circular A -102) Page 2</t>
  </si>
  <si>
    <t>Country Code</t>
  </si>
  <si>
    <t>Entity:</t>
  </si>
  <si>
    <t>P</t>
  </si>
  <si>
    <t>Program-Dept.:</t>
  </si>
  <si>
    <t>Funder-Grant:</t>
  </si>
  <si>
    <t>DOL427</t>
  </si>
  <si>
    <t>ECU</t>
  </si>
  <si>
    <t>Activity 1.1. Assess labor law enforcement institutions, processes, and services: challenges and opportunities for action to address child labor and forced labor</t>
  </si>
  <si>
    <t>INDPERDIR</t>
  </si>
  <si>
    <t>INDPERM&amp;E</t>
  </si>
  <si>
    <t>INDPERPC</t>
  </si>
  <si>
    <t>INDPERF&amp;AO</t>
  </si>
  <si>
    <t>INDPERF&amp;AA</t>
  </si>
  <si>
    <t>INDPERLC</t>
  </si>
  <si>
    <t>INDPERTECH</t>
  </si>
  <si>
    <t>INDFRINGEC</t>
  </si>
  <si>
    <t>INDLIFEIN</t>
  </si>
  <si>
    <t>INDTRLCOPX</t>
  </si>
  <si>
    <t>INDTRLORO</t>
  </si>
  <si>
    <t>INDCOMPUT</t>
  </si>
  <si>
    <t>INDLICENC</t>
  </si>
  <si>
    <t>INDOFFSUP</t>
  </si>
  <si>
    <t>INDEQUIPIN</t>
  </si>
  <si>
    <t>INDFURNT</t>
  </si>
  <si>
    <t>INDEQUIPMA</t>
  </si>
  <si>
    <t>INDACCTSYM</t>
  </si>
  <si>
    <t>INDCOMMATL</t>
  </si>
  <si>
    <t>INDCOMFEES</t>
  </si>
  <si>
    <t>INDLEGAL</t>
  </si>
  <si>
    <t>INDBANKFEE</t>
  </si>
  <si>
    <t>INDESIDC</t>
  </si>
  <si>
    <t>INDOFFICE</t>
  </si>
  <si>
    <t>INDES1.3</t>
  </si>
  <si>
    <t>INDES1.4</t>
  </si>
  <si>
    <t>INDES1.6</t>
  </si>
  <si>
    <t>INDES2.2</t>
  </si>
  <si>
    <t>INDES2.3</t>
  </si>
  <si>
    <t>INDES2.4</t>
  </si>
  <si>
    <t>INDES2.5</t>
  </si>
  <si>
    <t>INDES2.6</t>
  </si>
  <si>
    <t>INDES2.7</t>
  </si>
  <si>
    <t>INDES3.3</t>
  </si>
  <si>
    <t>INDES3.6</t>
  </si>
  <si>
    <t>INDM&amp;ETRAN</t>
  </si>
  <si>
    <t>INDM&amp;ELODG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</si>
</sst>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 #,##0.00_ ;_ * \-#,##0.00_ ;_ * &quot;-&quot;??_ ;_ @_ "/>
    <numFmt numFmtId="165" formatCode="_-&quot;$&quot;* #,##0.00_-;\-&quot;$&quot;* #,##0.00_-;_-&quot;$&quot;* &quot;-&quot;??_-;_-@_-"/>
    <numFmt numFmtId="166" formatCode="0.0%"/>
    <numFmt numFmtId="167" formatCode="0.000"/>
    <numFmt numFmtId="168" formatCode="0.0000"/>
    <numFmt numFmtId="169" formatCode="_(&quot;$&quot;* #,##0_);_(&quot;$&quot;* \(#,##0\);_(&quot;$&quot;* &quot;-&quot;??_);_(@_)"/>
    <numFmt numFmtId="170" formatCode="_(* #,##0_);_(* \(#,##0\);_(* &quot;-&quot;??_);_(@_)"/>
    <numFmt numFmtId="171" formatCode="mm/dd/yy;@"/>
    <numFmt numFmtId="172" formatCode="&quot;Year &quot;0"/>
    <numFmt numFmtId="173" formatCode="&quot;$&quot;#,##0"/>
    <numFmt numFmtId="174" formatCode=";;;"/>
    <numFmt numFmtId="175" formatCode="[$-409]mmmm\ d\,\ yyyy;@"/>
    <numFmt numFmtId="176" formatCode="0.0"/>
    <numFmt numFmtId="177" formatCode="_-* #,##0.00\ [$€]_-;\-* #,##0.00\ [$€]_-;_-* &quot;-&quot;??\ [$€]_-;_-@_-"/>
    <numFmt numFmtId="178" formatCode="[$-409]d\-mmm\-yy;@"/>
    <numFmt numFmtId="179" formatCode="&quot;$&quot;#,##0.00"/>
    <numFmt numFmtId="180" formatCode="_-* #,##0.00\ &quot;Bs&quot;_-;\-* #,##0.00\ &quot;Bs&quot;_-;_-* &quot;-&quot;??\ &quot;Bs&quot;_-;_-@_-"/>
    <numFmt numFmtId="181" formatCode="_-* #,##0\ _B_s_-;\-* #,##0\ _B_s_-;_-* &quot;-&quot;??\ _B_s_-;_-@_-"/>
    <numFmt numFmtId="182" formatCode="_([$$-409]* #,##0_);_([$$-409]* \(#,##0\);_([$$-409]* &quot;-&quot;??_);_(@_)"/>
    <numFmt numFmtId="183" formatCode="_-* #,##0.00\ _B_s_-;\-* #,##0.00\ _B_s_-;_-* &quot;-&quot;??\ _B_s_-;_-@_-"/>
    <numFmt numFmtId="184" formatCode="_([$$-409]* #,##0.00_);_([$$-409]* \(#,##0.00\);_([$$-409]* &quot;-&quot;??_);_(@_)"/>
    <numFmt numFmtId="185" formatCode="_-* #,##0.00\ _€_-;\-* #,##0.00\ _€_-;_-* &quot;-&quot;??\ _€_-;_-@_-"/>
    <numFmt numFmtId="186" formatCode="#,##0.00;[Red]#,##0.00"/>
  </numFmts>
  <fonts count="126">
    <font>
      <sz val="10"/>
      <name val="Arial"/>
    </font>
    <font>
      <sz val="11"/>
      <color theme="1"/>
      <name val="Arial"/>
      <family val="2"/>
      <scheme val="minor"/>
    </font>
    <font>
      <sz val="11"/>
      <color theme="1"/>
      <name val="Arial"/>
      <family val="2"/>
      <scheme val="minor"/>
    </font>
    <font>
      <sz val="10"/>
      <color theme="1"/>
      <name val="Arial"/>
      <family val="2"/>
    </font>
    <font>
      <b/>
      <sz val="18"/>
      <name val="Arial"/>
      <family val="2"/>
    </font>
    <font>
      <b/>
      <sz val="12"/>
      <name val="Arial"/>
      <family val="2"/>
    </font>
    <font>
      <u/>
      <sz val="10"/>
      <color indexed="12"/>
      <name val="Arial"/>
      <family val="2"/>
    </font>
    <font>
      <b/>
      <sz val="12"/>
      <name val="Arial"/>
      <family val="2"/>
    </font>
    <font>
      <b/>
      <sz val="10"/>
      <name val="Arial"/>
      <family val="2"/>
    </font>
    <font>
      <sz val="10"/>
      <name val="Arial"/>
      <family val="2"/>
    </font>
    <font>
      <sz val="12"/>
      <name val="Arial"/>
      <family val="2"/>
    </font>
    <font>
      <sz val="8"/>
      <name val="Arial"/>
      <family val="2"/>
    </font>
    <font>
      <sz val="9"/>
      <name val="Arial"/>
      <family val="2"/>
    </font>
    <font>
      <sz val="10"/>
      <color indexed="8"/>
      <name val="Arial"/>
      <family val="2"/>
    </font>
    <font>
      <sz val="10"/>
      <color indexed="8"/>
      <name val="Arial"/>
      <family val="2"/>
    </font>
    <font>
      <sz val="12"/>
      <color indexed="8"/>
      <name val="Arial"/>
      <family val="2"/>
    </font>
    <font>
      <b/>
      <sz val="16"/>
      <name val="Arial"/>
      <family val="2"/>
    </font>
    <font>
      <b/>
      <sz val="16"/>
      <color indexed="8"/>
      <name val="Arial"/>
      <family val="2"/>
    </font>
    <font>
      <b/>
      <sz val="8"/>
      <name val="Arial"/>
      <family val="2"/>
    </font>
    <font>
      <b/>
      <sz val="14"/>
      <name val="Arial"/>
      <family val="2"/>
    </font>
    <font>
      <sz val="10"/>
      <name val="Arial"/>
      <family val="2"/>
    </font>
    <font>
      <b/>
      <sz val="11"/>
      <name val="Arial"/>
      <family val="2"/>
    </font>
    <font>
      <b/>
      <sz val="13"/>
      <name val="Arial"/>
      <family val="2"/>
    </font>
    <font>
      <sz val="12"/>
      <color indexed="10"/>
      <name val="Arial"/>
      <family val="2"/>
    </font>
    <font>
      <sz val="11"/>
      <name val="Arial"/>
      <family val="2"/>
    </font>
    <font>
      <sz val="10"/>
      <name val="Helv"/>
    </font>
    <font>
      <sz val="8"/>
      <name val="Geneva"/>
    </font>
    <font>
      <b/>
      <sz val="10"/>
      <name val="Geneva"/>
    </font>
    <font>
      <sz val="8"/>
      <name val="Arial"/>
      <family val="2"/>
    </font>
    <font>
      <sz val="12"/>
      <name val="Times New Roman"/>
      <family val="1"/>
    </font>
    <font>
      <sz val="10"/>
      <name val="Times New Roman"/>
      <family val="1"/>
    </font>
    <font>
      <sz val="8"/>
      <name val="Times New Roman"/>
      <family val="1"/>
    </font>
    <font>
      <b/>
      <sz val="9"/>
      <name val="Arial"/>
      <family val="2"/>
    </font>
    <font>
      <u/>
      <sz val="9"/>
      <name val="Arial"/>
      <family val="2"/>
    </font>
    <font>
      <sz val="1"/>
      <name val="Arial"/>
      <family val="2"/>
    </font>
    <font>
      <sz val="9"/>
      <name val="Times New Roman"/>
      <family val="1"/>
    </font>
    <font>
      <sz val="11"/>
      <name val="Times New Roman"/>
      <family val="1"/>
    </font>
    <font>
      <sz val="10"/>
      <color rgb="FF3F3F76"/>
      <name val="Arial"/>
      <family val="2"/>
    </font>
    <font>
      <sz val="10"/>
      <name val="Arial"/>
      <family val="2"/>
    </font>
    <font>
      <sz val="10"/>
      <color indexed="12"/>
      <name val="Arial"/>
      <family val="2"/>
    </font>
    <font>
      <sz val="6"/>
      <name val="Arial"/>
      <family val="2"/>
    </font>
    <font>
      <b/>
      <sz val="6"/>
      <name val="Arial"/>
      <family val="2"/>
    </font>
    <font>
      <b/>
      <sz val="10"/>
      <color rgb="FFFF0000"/>
      <name val="Arial"/>
      <family val="2"/>
    </font>
    <font>
      <sz val="10"/>
      <color rgb="FFFF0000"/>
      <name val="Arial"/>
      <family val="2"/>
    </font>
    <font>
      <sz val="14"/>
      <name val="Arial"/>
      <family val="2"/>
    </font>
    <font>
      <sz val="10"/>
      <name val="Arial"/>
      <family val="2"/>
    </font>
    <font>
      <sz val="12"/>
      <name val="Times New Roman"/>
      <family val="1"/>
      <scheme val="major"/>
    </font>
    <font>
      <b/>
      <sz val="12"/>
      <name val="Times New Roman"/>
      <family val="1"/>
      <scheme val="major"/>
    </font>
    <font>
      <b/>
      <sz val="12"/>
      <color rgb="FFFF0000"/>
      <name val="Times New Roman"/>
      <family val="1"/>
      <scheme val="major"/>
    </font>
    <font>
      <b/>
      <sz val="12"/>
      <color indexed="8"/>
      <name val="Times New Roman"/>
      <family val="1"/>
      <scheme val="major"/>
    </font>
    <font>
      <sz val="10"/>
      <name val="Times New Roman"/>
      <family val="1"/>
      <scheme val="major"/>
    </font>
    <font>
      <b/>
      <sz val="12"/>
      <color indexed="10"/>
      <name val="Times New Roman"/>
      <family val="1"/>
      <scheme val="major"/>
    </font>
    <font>
      <sz val="12"/>
      <color indexed="8"/>
      <name val="Times New Roman"/>
      <family val="1"/>
      <scheme val="major"/>
    </font>
    <font>
      <sz val="12"/>
      <color indexed="10"/>
      <name val="Times New Roman"/>
      <family val="1"/>
      <scheme val="major"/>
    </font>
    <font>
      <b/>
      <u/>
      <sz val="12"/>
      <name val="Times New Roman"/>
      <family val="1"/>
      <scheme val="major"/>
    </font>
    <font>
      <b/>
      <sz val="8"/>
      <name val="Times New Roman"/>
      <family val="1"/>
      <scheme val="major"/>
    </font>
    <font>
      <sz val="12"/>
      <color rgb="FFFF0000"/>
      <name val="Times New Roman"/>
      <family val="1"/>
      <scheme val="major"/>
    </font>
    <font>
      <sz val="10"/>
      <color rgb="FF000000"/>
      <name val="Arial"/>
      <family val="2"/>
    </font>
    <font>
      <b/>
      <i/>
      <sz val="12"/>
      <color theme="1"/>
      <name val="Times New Roman"/>
      <family val="1"/>
      <scheme val="major"/>
    </font>
    <font>
      <i/>
      <sz val="12"/>
      <color theme="1"/>
      <name val="Times New Roman"/>
      <family val="1"/>
      <scheme val="major"/>
    </font>
    <font>
      <b/>
      <sz val="12"/>
      <color rgb="FF000000"/>
      <name val="Times New Roman"/>
      <family val="1"/>
    </font>
    <font>
      <sz val="12"/>
      <color theme="1"/>
      <name val="Times New Roman"/>
      <family val="1"/>
    </font>
    <font>
      <b/>
      <sz val="12"/>
      <name val="Times New Roman"/>
      <family val="1"/>
    </font>
    <font>
      <b/>
      <sz val="12"/>
      <color theme="1"/>
      <name val="Times New Roman"/>
      <family val="1"/>
    </font>
    <font>
      <sz val="12"/>
      <color theme="4" tint="-0.499984740745262"/>
      <name val="Times New Roman"/>
      <family val="1"/>
    </font>
    <font>
      <sz val="12"/>
      <color rgb="FF0070C0"/>
      <name val="Times New Roman"/>
      <family val="1"/>
    </font>
    <font>
      <b/>
      <sz val="12"/>
      <color rgb="FF0070C0"/>
      <name val="Times New Roman"/>
      <family val="1"/>
    </font>
    <font>
      <sz val="12"/>
      <color rgb="FF000000"/>
      <name val="Times New Roman"/>
      <family val="1"/>
    </font>
    <font>
      <b/>
      <sz val="10"/>
      <name val="Times New Roman"/>
      <family val="1"/>
      <scheme val="major"/>
    </font>
    <font>
      <b/>
      <sz val="12"/>
      <color theme="1"/>
      <name val="Times New Roman"/>
      <family val="1"/>
      <scheme val="major"/>
    </font>
    <font>
      <sz val="12"/>
      <color theme="1"/>
      <name val="Times New Roman"/>
      <family val="1"/>
      <scheme val="major"/>
    </font>
    <font>
      <i/>
      <sz val="12"/>
      <name val="Times New Roman"/>
      <family val="1"/>
      <scheme val="major"/>
    </font>
    <font>
      <u/>
      <sz val="12"/>
      <name val="Times New Roman"/>
      <family val="1"/>
      <scheme val="major"/>
    </font>
    <font>
      <sz val="11"/>
      <color indexed="8"/>
      <name val="Calibri"/>
      <family val="2"/>
    </font>
    <font>
      <sz val="8"/>
      <color indexed="8"/>
      <name val="Tahoma"/>
      <family val="2"/>
    </font>
    <font>
      <sz val="8"/>
      <color indexed="14"/>
      <name val="Tahoma"/>
      <family val="2"/>
    </font>
    <font>
      <b/>
      <sz val="8"/>
      <color indexed="62"/>
      <name val="Tahoma"/>
      <family val="2"/>
    </font>
    <font>
      <sz val="8"/>
      <color theme="1"/>
      <name val="Tahoma"/>
      <family val="2"/>
    </font>
    <font>
      <sz val="8"/>
      <color theme="0"/>
      <name val="Tahoma"/>
      <family val="2"/>
    </font>
    <font>
      <b/>
      <sz val="8"/>
      <color rgb="FFFA7D00"/>
      <name val="Tahoma"/>
      <family val="2"/>
    </font>
    <font>
      <b/>
      <sz val="8"/>
      <color theme="0"/>
      <name val="Tahoma"/>
      <family val="2"/>
    </font>
    <font>
      <i/>
      <sz val="8"/>
      <color rgb="FF7F7F7F"/>
      <name val="Tahoma"/>
      <family val="2"/>
    </font>
    <font>
      <sz val="8"/>
      <color rgb="FF006100"/>
      <name val="Tahoma"/>
      <family val="2"/>
    </font>
    <font>
      <sz val="8"/>
      <color rgb="FF3F3F76"/>
      <name val="Tahoma"/>
      <family val="2"/>
    </font>
    <font>
      <sz val="8"/>
      <color rgb="FFFA7D00"/>
      <name val="Tahoma"/>
      <family val="2"/>
    </font>
    <font>
      <sz val="8"/>
      <color rgb="FF9C6500"/>
      <name val="Tahoma"/>
      <family val="2"/>
    </font>
    <font>
      <b/>
      <sz val="8"/>
      <color rgb="FF3F3F3F"/>
      <name val="Tahoma"/>
      <family val="2"/>
    </font>
    <font>
      <b/>
      <sz val="8"/>
      <color theme="1"/>
      <name val="Tahoma"/>
      <family val="2"/>
    </font>
    <font>
      <sz val="8"/>
      <color rgb="FFFF0000"/>
      <name val="Tahoma"/>
      <family val="2"/>
    </font>
    <font>
      <b/>
      <i/>
      <sz val="12"/>
      <name val="Times New Roman"/>
      <family val="1"/>
      <scheme val="major"/>
    </font>
    <font>
      <sz val="11"/>
      <name val="Times New Roman"/>
      <family val="1"/>
      <scheme val="major"/>
    </font>
    <font>
      <b/>
      <sz val="12"/>
      <color theme="0"/>
      <name val="Times New Roman"/>
      <family val="1"/>
      <scheme val="major"/>
    </font>
    <font>
      <sz val="12"/>
      <color theme="0"/>
      <name val="Times New Roman"/>
      <family val="1"/>
      <scheme val="major"/>
    </font>
    <font>
      <sz val="12"/>
      <color rgb="FF000000"/>
      <name val="Times New Roman"/>
      <family val="1"/>
      <scheme val="major"/>
    </font>
    <font>
      <strike/>
      <sz val="12"/>
      <color rgb="FF000000"/>
      <name val="Times New Roman"/>
      <family val="1"/>
      <scheme val="major"/>
    </font>
    <font>
      <strike/>
      <sz val="12"/>
      <name val="Times New Roman"/>
      <family val="1"/>
      <scheme val="major"/>
    </font>
    <font>
      <b/>
      <i/>
      <sz val="12"/>
      <color rgb="FF000000"/>
      <name val="Times New Roman"/>
      <scheme val="major"/>
    </font>
    <font>
      <b/>
      <i/>
      <strike/>
      <sz val="12"/>
      <color rgb="FF000000"/>
      <name val="Times New Roman"/>
      <scheme val="major"/>
    </font>
    <font>
      <b/>
      <i/>
      <sz val="12"/>
      <color rgb="FFFF0000"/>
      <name val="Times New Roman"/>
      <scheme val="major"/>
    </font>
    <font>
      <b/>
      <i/>
      <sz val="12"/>
      <name val="Times New Roman"/>
      <scheme val="major"/>
    </font>
    <font>
      <b/>
      <sz val="12"/>
      <color rgb="FF000000"/>
      <name val="Times New Roman"/>
      <scheme val="major"/>
    </font>
    <font>
      <b/>
      <sz val="12"/>
      <color rgb="FF7030A0"/>
      <name val="Times New Roman"/>
      <scheme val="major"/>
    </font>
    <font>
      <b/>
      <sz val="12"/>
      <color theme="1"/>
      <name val="Times New Roman"/>
      <scheme val="major"/>
    </font>
    <font>
      <b/>
      <u/>
      <sz val="12"/>
      <name val="Times New Roman"/>
      <family val="1"/>
    </font>
    <font>
      <sz val="12"/>
      <name val="Times New Roman"/>
      <family val="1"/>
      <scheme val="major"/>
    </font>
    <font>
      <b/>
      <sz val="12"/>
      <name val="Times New Roman"/>
      <family val="1"/>
      <scheme val="major"/>
    </font>
    <font>
      <sz val="12"/>
      <color indexed="12"/>
      <name val="Times New Roman"/>
      <family val="1"/>
      <scheme val="major"/>
    </font>
    <font>
      <b/>
      <sz val="12"/>
      <name val="Times New Roman"/>
      <family val="2"/>
      <scheme val="major"/>
    </font>
    <font>
      <b/>
      <sz val="12"/>
      <color rgb="FF000000"/>
      <name val="Times New Roman"/>
      <family val="1"/>
      <scheme val="major"/>
    </font>
    <font>
      <b/>
      <sz val="12"/>
      <color rgb="FF7030A0"/>
      <name val="Times New Roman"/>
      <family val="1"/>
      <scheme val="major"/>
    </font>
    <font>
      <i/>
      <sz val="12"/>
      <color rgb="FFFF0000"/>
      <name val="Times New Roman"/>
      <family val="1"/>
      <scheme val="major"/>
    </font>
    <font>
      <sz val="12"/>
      <color rgb="FF7030A0"/>
      <name val="Times New Roman"/>
      <family val="1"/>
      <scheme val="major"/>
    </font>
    <font>
      <sz val="12"/>
      <name val="Times New Roman"/>
      <family val="2"/>
      <scheme val="major"/>
    </font>
    <font>
      <sz val="12"/>
      <color rgb="FFFF0000"/>
      <name val="Times New Roman"/>
      <family val="1"/>
      <scheme val="major"/>
    </font>
    <font>
      <b/>
      <sz val="12"/>
      <color rgb="FF000000"/>
      <name val="Times New Roman"/>
      <family val="2"/>
      <scheme val="major"/>
    </font>
    <font>
      <b/>
      <i/>
      <sz val="12"/>
      <color rgb="FFFF0000"/>
      <name val="Times New Roman"/>
      <family val="1"/>
      <scheme val="major"/>
    </font>
    <font>
      <b/>
      <sz val="12"/>
      <color rgb="FF7030A0"/>
      <name val="Times New Roman"/>
      <family val="2"/>
      <scheme val="major"/>
    </font>
    <font>
      <sz val="12"/>
      <color rgb="FF000000"/>
      <name val="Times New Roman"/>
      <family val="2"/>
      <scheme val="major"/>
    </font>
    <font>
      <u/>
      <sz val="12"/>
      <name val="Times New Roman"/>
      <family val="2"/>
      <scheme val="major"/>
    </font>
    <font>
      <u/>
      <sz val="12"/>
      <color rgb="FF000000"/>
      <name val="Times New Roman"/>
      <family val="2"/>
      <scheme val="major"/>
    </font>
    <font>
      <u/>
      <sz val="12"/>
      <color rgb="FF7030A0"/>
      <name val="Times New Roman"/>
      <family val="2"/>
      <scheme val="major"/>
    </font>
    <font>
      <b/>
      <u/>
      <sz val="12"/>
      <color rgb="FF000000"/>
      <name val="Times New Roman"/>
      <family val="2"/>
      <scheme val="major"/>
    </font>
    <font>
      <sz val="12"/>
      <color rgb="FF7030A0"/>
      <name val="Times New Roman"/>
      <family val="2"/>
      <scheme val="major"/>
    </font>
    <font>
      <b/>
      <sz val="12"/>
      <name val="Times New Roman"/>
      <scheme val="major"/>
    </font>
    <font>
      <b/>
      <strike/>
      <sz val="12"/>
      <name val="Times New Roman"/>
      <family val="1"/>
      <scheme val="major"/>
    </font>
    <font>
      <sz val="8"/>
      <name val="Arial"/>
    </font>
  </fonts>
  <fills count="51">
    <fill>
      <patternFill patternType="none"/>
    </fill>
    <fill>
      <patternFill patternType="gray125"/>
    </fill>
    <fill>
      <patternFill patternType="solid">
        <fgColor indexed="42"/>
        <bgColor indexed="24"/>
      </patternFill>
    </fill>
    <fill>
      <patternFill patternType="solid">
        <fgColor indexed="22"/>
        <bgColor indexed="22"/>
      </patternFill>
    </fill>
    <fill>
      <patternFill patternType="solid">
        <fgColor indexed="22"/>
        <bgColor indexed="64"/>
      </patternFill>
    </fill>
    <fill>
      <patternFill patternType="solid">
        <fgColor indexed="9"/>
        <bgColor indexed="64"/>
      </patternFill>
    </fill>
    <fill>
      <patternFill patternType="solid">
        <fgColor theme="8" tint="0.59999389629810485"/>
        <bgColor indexed="65"/>
      </patternFill>
    </fill>
    <fill>
      <patternFill patternType="solid">
        <fgColor rgb="FFFFCC99"/>
      </patternFill>
    </fill>
    <fill>
      <patternFill patternType="solid">
        <fgColor theme="8" tint="0.59999389629810485"/>
        <bgColor indexed="64"/>
      </patternFill>
    </fill>
    <fill>
      <patternFill patternType="solid">
        <fgColor theme="8" tint="0.59999389629810485"/>
        <bgColor indexed="24"/>
      </patternFill>
    </fill>
    <fill>
      <patternFill patternType="solid">
        <fgColor theme="8" tint="0.59999389629810485"/>
        <bgColor indexed="9"/>
      </patternFill>
    </fill>
    <fill>
      <patternFill patternType="solid">
        <fgColor rgb="FFFFFF00"/>
        <bgColor indexed="64"/>
      </patternFill>
    </fill>
    <fill>
      <patternFill patternType="solid">
        <fgColor theme="8" tint="0.79998168889431442"/>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BFBFBF"/>
        <bgColor rgb="FFBFBFBF"/>
      </patternFill>
    </fill>
    <fill>
      <patternFill patternType="solid">
        <fgColor theme="4" tint="0.59999389629810485"/>
        <bgColor rgb="FFBFBFBF"/>
      </patternFill>
    </fill>
    <fill>
      <patternFill patternType="solid">
        <fgColor theme="4" tint="0.59999389629810485"/>
        <bgColor indexed="64"/>
      </patternFill>
    </fill>
    <fill>
      <patternFill patternType="solid">
        <fgColor theme="9" tint="0.59999389629810485"/>
        <bgColor rgb="FFBFBFBF"/>
      </patternFill>
    </fill>
    <fill>
      <patternFill patternType="solid">
        <fgColor theme="9" tint="0.59999389629810485"/>
        <bgColor indexed="64"/>
      </patternFill>
    </fill>
    <fill>
      <patternFill patternType="solid">
        <fgColor rgb="FFD0CECE"/>
        <bgColor rgb="FFD0CECE"/>
      </patternFill>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indexed="9"/>
      </patternFill>
    </fill>
    <fill>
      <patternFill patternType="solid">
        <fgColor indexed="47"/>
      </patternFill>
    </fill>
    <fill>
      <patternFill patternType="solid">
        <fgColor indexed="26"/>
      </patternFill>
    </fill>
    <fill>
      <patternFill patternType="solid">
        <fgColor indexed="22"/>
      </patternFill>
    </fill>
    <fill>
      <patternFill patternType="solid">
        <fgColor indexed="43"/>
      </patternFill>
    </fill>
    <fill>
      <patternFill patternType="solid">
        <fgColor indexed="49"/>
      </patternFill>
    </fill>
    <fill>
      <patternFill patternType="solid">
        <fgColor indexed="19"/>
      </patternFill>
    </fill>
    <fill>
      <patternFill patternType="solid">
        <fgColor indexed="5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D9D9D9"/>
        <bgColor rgb="FF000000"/>
      </patternFill>
    </fill>
    <fill>
      <patternFill patternType="solid">
        <fgColor theme="6"/>
        <bgColor indexed="64"/>
      </patternFill>
    </fill>
  </fills>
  <borders count="136">
    <border>
      <left/>
      <right/>
      <top/>
      <bottom/>
      <diagonal/>
    </border>
    <border>
      <left style="thin">
        <color indexed="64"/>
      </left>
      <right style="thin">
        <color indexed="64"/>
      </right>
      <top style="double">
        <color indexed="64"/>
      </top>
      <bottom/>
      <diagonal/>
    </border>
    <border>
      <left/>
      <right/>
      <top style="double">
        <color indexed="0"/>
      </top>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double">
        <color indexed="64"/>
      </top>
      <bottom/>
      <diagonal/>
    </border>
    <border>
      <left style="medium">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top style="medium">
        <color indexed="64"/>
      </top>
      <bottom/>
      <diagonal/>
    </border>
    <border>
      <left/>
      <right/>
      <top style="medium">
        <color indexed="64"/>
      </top>
      <bottom/>
      <diagonal/>
    </border>
    <border>
      <left/>
      <right style="thin">
        <color indexed="64"/>
      </right>
      <top/>
      <bottom/>
      <diagonal/>
    </border>
    <border>
      <left style="thin">
        <color indexed="64"/>
      </left>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style="dashed">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double">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double">
        <color indexed="64"/>
      </top>
      <bottom style="thin">
        <color indexed="64"/>
      </bottom>
      <diagonal/>
    </border>
    <border>
      <left style="medium">
        <color indexed="64"/>
      </left>
      <right style="thin">
        <color indexed="64"/>
      </right>
      <top style="double">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double">
        <color indexed="64"/>
      </top>
      <bottom style="thin">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top/>
      <bottom style="dashed">
        <color indexed="64"/>
      </bottom>
      <diagonal/>
    </border>
    <border>
      <left/>
      <right style="thin">
        <color indexed="64"/>
      </right>
      <top/>
      <bottom style="dashed">
        <color indexed="64"/>
      </bottom>
      <diagonal/>
    </border>
    <border>
      <left style="medium">
        <color indexed="64"/>
      </left>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medium">
        <color indexed="64"/>
      </top>
      <bottom/>
      <diagonal/>
    </border>
    <border>
      <left/>
      <right style="thin">
        <color indexed="64"/>
      </right>
      <top style="double">
        <color indexed="64"/>
      </top>
      <bottom style="thin">
        <color indexed="64"/>
      </bottom>
      <diagonal/>
    </border>
    <border>
      <left style="thin">
        <color indexed="32"/>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right/>
      <top style="double">
        <color indexed="64"/>
      </top>
      <bottom style="medium">
        <color indexed="64"/>
      </bottom>
      <diagonal/>
    </border>
    <border>
      <left style="thin">
        <color indexed="64"/>
      </left>
      <right style="thin">
        <color indexed="64"/>
      </right>
      <top style="medium">
        <color indexed="64"/>
      </top>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top style="double">
        <color auto="1"/>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auto="1"/>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indexed="64"/>
      </left>
      <right style="thin">
        <color rgb="FF000000"/>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bottom style="thick">
        <color theme="4" tint="0.499984740745262"/>
      </bottom>
      <diagonal/>
    </border>
    <border>
      <left/>
      <right style="medium">
        <color indexed="64"/>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341">
    <xf numFmtId="0" fontId="0" fillId="0" borderId="0">
      <alignment vertical="top"/>
    </xf>
    <xf numFmtId="0" fontId="3" fillId="6" borderId="0" applyNumberFormat="0" applyBorder="0" applyAlignment="0" applyProtection="0"/>
    <xf numFmtId="3" fontId="13" fillId="0" borderId="1" applyFont="0" applyFill="0" applyBorder="0" applyAlignment="0">
      <alignment vertical="top"/>
      <protection hidden="1"/>
    </xf>
    <xf numFmtId="174" fontId="9" fillId="0" borderId="1" applyFill="0" applyBorder="0" applyAlignment="0">
      <alignment vertical="top"/>
      <protection hidden="1"/>
    </xf>
    <xf numFmtId="4" fontId="20" fillId="0" borderId="0" applyFont="0" applyFill="0" applyBorder="0" applyAlignment="0" applyProtection="0"/>
    <xf numFmtId="43" fontId="29" fillId="0" borderId="0" applyFont="0" applyFill="0" applyBorder="0" applyAlignment="0" applyProtection="0"/>
    <xf numFmtId="43" fontId="20" fillId="0" borderId="0" applyFont="0" applyFill="0" applyBorder="0" applyAlignment="0" applyProtection="0"/>
    <xf numFmtId="4" fontId="20" fillId="0" borderId="0" applyFont="0" applyFill="0" applyBorder="0" applyAlignment="0" applyProtection="0"/>
    <xf numFmtId="3" fontId="20" fillId="0" borderId="0" applyFont="0" applyFill="0" applyBorder="0" applyAlignment="0" applyProtection="0"/>
    <xf numFmtId="0" fontId="25" fillId="0" borderId="0"/>
    <xf numFmtId="0" fontId="25" fillId="0" borderId="0"/>
    <xf numFmtId="0" fontId="25" fillId="0" borderId="0"/>
    <xf numFmtId="7" fontId="20" fillId="0" borderId="0" applyFont="0" applyFill="0" applyBorder="0" applyAlignment="0" applyProtection="0"/>
    <xf numFmtId="44" fontId="20" fillId="0" borderId="0" applyFont="0" applyFill="0" applyBorder="0" applyAlignment="0" applyProtection="0"/>
    <xf numFmtId="5" fontId="20" fillId="0" borderId="0" applyFont="0" applyFill="0" applyBorder="0" applyAlignment="0" applyProtection="0"/>
    <xf numFmtId="0" fontId="20" fillId="0" borderId="0" applyFont="0" applyFill="0" applyBorder="0" applyAlignment="0" applyProtection="0"/>
    <xf numFmtId="2" fontId="20" fillId="0" borderId="0" applyFont="0" applyFill="0" applyBorder="0" applyAlignment="0" applyProtection="0"/>
    <xf numFmtId="0" fontId="4" fillId="0" borderId="0" applyNumberFormat="0" applyFont="0" applyFill="0" applyAlignment="0" applyProtection="0"/>
    <xf numFmtId="0" fontId="5" fillId="0" borderId="0" applyNumberFormat="0" applyFont="0" applyFill="0" applyAlignment="0" applyProtection="0"/>
    <xf numFmtId="0" fontId="6" fillId="0" borderId="0" applyNumberFormat="0" applyFill="0" applyBorder="0" applyAlignment="0" applyProtection="0">
      <alignment vertical="top"/>
      <protection locked="0"/>
    </xf>
    <xf numFmtId="0" fontId="29" fillId="0" borderId="0"/>
    <xf numFmtId="0" fontId="20" fillId="0" borderId="0"/>
    <xf numFmtId="0" fontId="29" fillId="0" borderId="0"/>
    <xf numFmtId="10" fontId="20" fillId="0" borderId="0" applyFont="0" applyFill="0" applyBorder="0" applyAlignment="0"/>
    <xf numFmtId="9" fontId="29" fillId="0" borderId="0" applyFont="0" applyFill="0" applyBorder="0" applyAlignment="0" applyProtection="0"/>
    <xf numFmtId="0" fontId="25" fillId="0" borderId="0"/>
    <xf numFmtId="0" fontId="20" fillId="0" borderId="2" applyNumberFormat="0" applyFont="0" applyBorder="0" applyAlignment="0" applyProtection="0"/>
    <xf numFmtId="0" fontId="37" fillId="7" borderId="97" applyNumberFormat="0" applyAlignment="0" applyProtection="0"/>
    <xf numFmtId="0" fontId="38" fillId="0" borderId="0"/>
    <xf numFmtId="7" fontId="38" fillId="0" borderId="0" applyFont="0" applyFill="0" applyBorder="0" applyAlignment="0" applyProtection="0"/>
    <xf numFmtId="10" fontId="38" fillId="0" borderId="0" applyFont="0" applyFill="0" applyBorder="0" applyAlignment="0"/>
    <xf numFmtId="0" fontId="38" fillId="0" borderId="0">
      <alignment vertical="top"/>
    </xf>
    <xf numFmtId="7" fontId="38" fillId="0" borderId="0" applyFont="0" applyFill="0" applyBorder="0" applyAlignment="0" applyProtection="0"/>
    <xf numFmtId="9" fontId="38" fillId="0" borderId="0" applyFont="0" applyFill="0" applyBorder="0" applyAlignment="0" applyProtection="0"/>
    <xf numFmtId="177" fontId="38" fillId="0" borderId="0" applyFont="0" applyFill="0" applyBorder="0" applyAlignment="0" applyProtection="0"/>
    <xf numFmtId="0" fontId="45" fillId="0" borderId="0"/>
    <xf numFmtId="0" fontId="9" fillId="0" borderId="0"/>
    <xf numFmtId="9" fontId="9" fillId="0" borderId="0" applyFont="0" applyFill="0" applyBorder="0" applyAlignment="0" applyProtection="0"/>
    <xf numFmtId="180" fontId="9" fillId="0" borderId="0" applyFont="0" applyFill="0" applyBorder="0" applyAlignment="0" applyProtection="0"/>
    <xf numFmtId="0" fontId="9" fillId="0" borderId="0"/>
    <xf numFmtId="183" fontId="9" fillId="0" borderId="0" applyFont="0" applyFill="0" applyBorder="0" applyAlignment="0" applyProtection="0"/>
    <xf numFmtId="0" fontId="57" fillId="0" borderId="0"/>
    <xf numFmtId="0" fontId="2" fillId="0" borderId="0"/>
    <xf numFmtId="44" fontId="2" fillId="0" borderId="0" applyFont="0" applyFill="0" applyBorder="0" applyAlignment="0" applyProtection="0"/>
    <xf numFmtId="0" fontId="77" fillId="36" borderId="0" applyNumberFormat="0" applyBorder="0" applyAlignment="0" applyProtection="0"/>
    <xf numFmtId="0" fontId="77" fillId="37" borderId="0" applyNumberFormat="0" applyBorder="0" applyAlignment="0" applyProtection="0"/>
    <xf numFmtId="0" fontId="77" fillId="38" borderId="0" applyNumberFormat="0" applyBorder="0" applyAlignment="0" applyProtection="0"/>
    <xf numFmtId="0" fontId="77" fillId="36" borderId="0" applyNumberFormat="0" applyBorder="0" applyAlignment="0" applyProtection="0"/>
    <xf numFmtId="0" fontId="77" fillId="32" borderId="0" applyNumberFormat="0" applyBorder="0" applyAlignment="0" applyProtection="0"/>
    <xf numFmtId="0" fontId="77" fillId="35" borderId="0" applyNumberFormat="0" applyBorder="0" applyAlignment="0" applyProtection="0"/>
    <xf numFmtId="0" fontId="77" fillId="39" borderId="0" applyNumberFormat="0" applyBorder="0" applyAlignment="0" applyProtection="0"/>
    <xf numFmtId="0" fontId="77" fillId="29" borderId="0" applyNumberFormat="0" applyBorder="0" applyAlignment="0" applyProtection="0"/>
    <xf numFmtId="0" fontId="77" fillId="40" borderId="0" applyNumberFormat="0" applyBorder="0" applyAlignment="0" applyProtection="0"/>
    <xf numFmtId="0" fontId="77" fillId="39" borderId="0" applyNumberFormat="0" applyBorder="0" applyAlignment="0" applyProtection="0"/>
    <xf numFmtId="0" fontId="77" fillId="6" borderId="0" applyNumberFormat="0" applyBorder="0" applyAlignment="0" applyProtection="0"/>
    <xf numFmtId="0" fontId="77" fillId="37" borderId="0" applyNumberFormat="0" applyBorder="0" applyAlignment="0" applyProtection="0"/>
    <xf numFmtId="0" fontId="78" fillId="41" borderId="0" applyNumberFormat="0" applyBorder="0" applyAlignment="0" applyProtection="0"/>
    <xf numFmtId="0" fontId="78" fillId="30" borderId="0" applyNumberFormat="0" applyBorder="0" applyAlignment="0" applyProtection="0"/>
    <xf numFmtId="0" fontId="78" fillId="40" borderId="0" applyNumberFormat="0" applyBorder="0" applyAlignment="0" applyProtection="0"/>
    <xf numFmtId="0" fontId="78" fillId="39" borderId="0" applyNumberFormat="0" applyBorder="0" applyAlignment="0" applyProtection="0"/>
    <xf numFmtId="0" fontId="78" fillId="33" borderId="0" applyNumberFormat="0" applyBorder="0" applyAlignment="0" applyProtection="0"/>
    <xf numFmtId="0" fontId="78" fillId="37" borderId="0" applyNumberFormat="0" applyBorder="0" applyAlignment="0" applyProtection="0"/>
    <xf numFmtId="0" fontId="78" fillId="41" borderId="0" applyNumberFormat="0" applyBorder="0" applyAlignment="0" applyProtection="0"/>
    <xf numFmtId="0" fontId="78" fillId="42" borderId="0" applyNumberFormat="0" applyBorder="0" applyAlignment="0" applyProtection="0"/>
    <xf numFmtId="0" fontId="78" fillId="42" borderId="0" applyNumberFormat="0" applyBorder="0" applyAlignment="0" applyProtection="0"/>
    <xf numFmtId="0" fontId="78" fillId="43" borderId="0" applyNumberFormat="0" applyBorder="0" applyAlignment="0" applyProtection="0"/>
    <xf numFmtId="0" fontId="78" fillId="31" borderId="0" applyNumberFormat="0" applyBorder="0" applyAlignment="0" applyProtection="0"/>
    <xf numFmtId="0" fontId="78" fillId="34" borderId="0" applyNumberFormat="0" applyBorder="0" applyAlignment="0" applyProtection="0"/>
    <xf numFmtId="0" fontId="75" fillId="25" borderId="0" applyNumberFormat="0" applyBorder="0" applyAlignment="0" applyProtection="0"/>
    <xf numFmtId="0" fontId="79" fillId="36" borderId="97" applyNumberFormat="0" applyAlignment="0" applyProtection="0"/>
    <xf numFmtId="0" fontId="80" fillId="27" borderId="128" applyNumberFormat="0" applyAlignment="0" applyProtection="0"/>
    <xf numFmtId="41" fontId="74" fillId="0" borderId="0" applyFont="0" applyFill="0" applyBorder="0" applyAlignment="0" applyProtection="0"/>
    <xf numFmtId="43" fontId="74"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1" fillId="0" borderId="0" applyFont="0" applyFill="0" applyBorder="0" applyAlignment="0" applyProtection="0"/>
    <xf numFmtId="43" fontId="74" fillId="0" borderId="0" applyFont="0" applyFill="0" applyBorder="0" applyAlignment="0" applyProtection="0"/>
    <xf numFmtId="43" fontId="73"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183" fontId="9"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183" fontId="9"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185" fontId="73"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5" fontId="1" fillId="0" borderId="0" applyFont="0" applyFill="0" applyBorder="0" applyAlignment="0" applyProtection="0"/>
    <xf numFmtId="183" fontId="9" fillId="0" borderId="0" applyFont="0" applyFill="0" applyBorder="0" applyAlignment="0" applyProtection="0"/>
    <xf numFmtId="185" fontId="1"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42" fontId="74" fillId="0" borderId="0" applyFont="0" applyFill="0" applyBorder="0" applyAlignment="0" applyProtection="0"/>
    <xf numFmtId="44" fontId="74"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180" fontId="9" fillId="0" borderId="0" applyFont="0" applyFill="0" applyBorder="0" applyAlignment="0" applyProtection="0"/>
    <xf numFmtId="44" fontId="74"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180" fontId="9"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7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4" fillId="0" borderId="0" applyFont="0" applyFill="0" applyBorder="0" applyAlignment="0" applyProtection="0"/>
    <xf numFmtId="180"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4"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4" fillId="0" borderId="0" applyFont="0" applyFill="0" applyBorder="0" applyAlignment="0" applyProtection="0"/>
    <xf numFmtId="44"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65" fontId="57"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0" fontId="81" fillId="0" borderId="0" applyNumberFormat="0" applyFill="0" applyBorder="0" applyAlignment="0" applyProtection="0"/>
    <xf numFmtId="0" fontId="82" fillId="24" borderId="0" applyNumberFormat="0" applyBorder="0" applyAlignment="0" applyProtection="0"/>
    <xf numFmtId="0" fontId="76" fillId="0" borderId="130" applyNumberFormat="0" applyFill="0" applyAlignment="0" applyProtection="0"/>
    <xf numFmtId="0" fontId="76" fillId="0" borderId="133" applyNumberFormat="0" applyFill="0" applyAlignment="0" applyProtection="0"/>
    <xf numFmtId="0" fontId="76" fillId="0" borderId="131" applyNumberFormat="0" applyFill="0" applyAlignment="0" applyProtection="0"/>
    <xf numFmtId="0" fontId="76" fillId="0" borderId="0" applyNumberFormat="0" applyFill="0" applyBorder="0" applyAlignment="0" applyProtection="0"/>
    <xf numFmtId="0" fontId="83" fillId="7" borderId="97" applyNumberFormat="0" applyAlignment="0" applyProtection="0"/>
    <xf numFmtId="0" fontId="84" fillId="0" borderId="127" applyNumberFormat="0" applyFill="0" applyAlignment="0" applyProtection="0"/>
    <xf numFmtId="186" fontId="73" fillId="0" borderId="0" applyFont="0" applyFill="0" applyBorder="0" applyAlignment="0" applyProtection="0"/>
    <xf numFmtId="43" fontId="73" fillId="0" borderId="0" applyFont="0" applyFill="0" applyBorder="0" applyAlignment="0" applyProtection="0"/>
    <xf numFmtId="0" fontId="85" fillId="26" borderId="0" applyNumberFormat="0" applyBorder="0" applyAlignment="0" applyProtection="0"/>
    <xf numFmtId="0" fontId="9" fillId="0" borderId="0"/>
    <xf numFmtId="0" fontId="9" fillId="0" borderId="0"/>
    <xf numFmtId="0" fontId="77" fillId="0" borderId="0"/>
    <xf numFmtId="3" fontId="57" fillId="0" borderId="0"/>
    <xf numFmtId="0" fontId="9" fillId="0" borderId="0"/>
    <xf numFmtId="0" fontId="9" fillId="0" borderId="0"/>
    <xf numFmtId="0" fontId="1" fillId="0" borderId="0"/>
    <xf numFmtId="0" fontId="9" fillId="0" borderId="0"/>
    <xf numFmtId="0" fontId="1" fillId="0" borderId="0"/>
    <xf numFmtId="0" fontId="57" fillId="0" borderId="0"/>
    <xf numFmtId="0" fontId="74" fillId="28" borderId="129" applyNumberFormat="0" applyFont="0" applyAlignment="0" applyProtection="0"/>
    <xf numFmtId="0" fontId="86" fillId="36" borderId="126"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74" fillId="0" borderId="0" applyFont="0" applyFill="0" applyBorder="0" applyAlignment="0" applyProtection="0"/>
    <xf numFmtId="9" fontId="9" fillId="0" borderId="0" applyFont="0" applyFill="0" applyBorder="0" applyAlignment="0" applyProtection="0"/>
    <xf numFmtId="9" fontId="7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0" fontId="76" fillId="0" borderId="0" applyNumberFormat="0" applyFill="0" applyBorder="0" applyAlignment="0" applyProtection="0"/>
    <xf numFmtId="0" fontId="87" fillId="0" borderId="132" applyNumberFormat="0" applyFill="0" applyAlignment="0" applyProtection="0"/>
    <xf numFmtId="0" fontId="88" fillId="0" borderId="0" applyNumberFormat="0" applyFill="0" applyBorder="0" applyAlignment="0" applyProtection="0"/>
    <xf numFmtId="183" fontId="9" fillId="0" borderId="0" applyFont="0" applyFill="0" applyBorder="0" applyAlignment="0" applyProtection="0"/>
    <xf numFmtId="9" fontId="9" fillId="0" borderId="0" applyFont="0" applyFill="0" applyBorder="0" applyAlignment="0" applyProtection="0"/>
    <xf numFmtId="180" fontId="9" fillId="0" borderId="0" applyFont="0" applyFill="0" applyBorder="0" applyAlignment="0" applyProtection="0"/>
    <xf numFmtId="0" fontId="9" fillId="0" borderId="0"/>
    <xf numFmtId="183"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3" fontId="9" fillId="0" borderId="0" applyFont="0" applyFill="0" applyBorder="0" applyAlignment="0" applyProtection="0"/>
  </cellStyleXfs>
  <cellXfs count="1633">
    <xf numFmtId="0" fontId="0" fillId="0" borderId="0" xfId="0">
      <alignment vertical="top"/>
    </xf>
    <xf numFmtId="0" fontId="9" fillId="0" borderId="0" xfId="0" applyFont="1">
      <alignment vertical="top"/>
    </xf>
    <xf numFmtId="0" fontId="16" fillId="0" borderId="0" xfId="0" applyFont="1">
      <alignment vertical="top"/>
    </xf>
    <xf numFmtId="5" fontId="10" fillId="0" borderId="0" xfId="12" applyNumberFormat="1" applyFont="1" applyProtection="1"/>
    <xf numFmtId="0" fontId="16" fillId="0" borderId="0" xfId="0" applyFont="1" applyProtection="1">
      <alignment vertical="top"/>
      <protection locked="0"/>
    </xf>
    <xf numFmtId="0" fontId="9" fillId="0" borderId="0" xfId="0" applyFont="1" applyAlignment="1" applyProtection="1">
      <alignment horizontal="center" vertical="top"/>
      <protection locked="0"/>
    </xf>
    <xf numFmtId="0" fontId="7" fillId="0" borderId="0" xfId="0" applyFont="1">
      <alignment vertical="top"/>
    </xf>
    <xf numFmtId="0" fontId="15" fillId="0" borderId="0" xfId="0" applyFont="1" applyProtection="1">
      <alignment vertical="top"/>
      <protection locked="0"/>
    </xf>
    <xf numFmtId="0" fontId="10" fillId="0" borderId="0" xfId="0" applyFont="1" applyProtection="1">
      <alignment vertical="top"/>
      <protection locked="0"/>
    </xf>
    <xf numFmtId="0" fontId="9" fillId="0" borderId="0" xfId="0" applyFont="1" applyProtection="1">
      <alignment vertical="top"/>
      <protection locked="0"/>
    </xf>
    <xf numFmtId="0" fontId="8" fillId="0" borderId="0" xfId="0" applyFont="1" applyAlignment="1" applyProtection="1">
      <alignment horizontal="center"/>
      <protection locked="0"/>
    </xf>
    <xf numFmtId="3" fontId="10" fillId="0" borderId="0" xfId="0" applyNumberFormat="1" applyFont="1" applyProtection="1">
      <alignment vertical="top"/>
      <protection locked="0"/>
    </xf>
    <xf numFmtId="0" fontId="10" fillId="0" borderId="0" xfId="0" applyFont="1" applyAlignment="1" applyProtection="1">
      <alignment horizontal="center" vertical="top"/>
      <protection locked="0"/>
    </xf>
    <xf numFmtId="0" fontId="14" fillId="0" borderId="0" xfId="0" applyFont="1" applyProtection="1">
      <alignment vertical="top"/>
      <protection locked="0"/>
    </xf>
    <xf numFmtId="3" fontId="9" fillId="0" borderId="0" xfId="0" applyNumberFormat="1" applyFont="1" applyProtection="1">
      <alignment vertical="top"/>
      <protection locked="0"/>
    </xf>
    <xf numFmtId="0" fontId="17" fillId="0" borderId="0" xfId="0" applyFont="1" applyProtection="1">
      <alignment vertical="top"/>
      <protection locked="0"/>
    </xf>
    <xf numFmtId="0" fontId="13" fillId="0" borderId="0" xfId="0" applyFont="1" applyProtection="1">
      <alignment vertical="top"/>
      <protection locked="0"/>
    </xf>
    <xf numFmtId="3" fontId="9" fillId="0" borderId="0" xfId="0" applyNumberFormat="1" applyFont="1" applyAlignment="1" applyProtection="1">
      <alignment horizontal="center" vertical="top"/>
      <protection locked="0"/>
    </xf>
    <xf numFmtId="3" fontId="9" fillId="0" borderId="4" xfId="0" applyNumberFormat="1" applyFont="1" applyBorder="1" applyProtection="1">
      <alignment vertical="top"/>
      <protection locked="0"/>
    </xf>
    <xf numFmtId="0" fontId="8" fillId="0" borderId="0" xfId="0" applyFont="1" applyProtection="1">
      <alignment vertical="top"/>
      <protection locked="0"/>
    </xf>
    <xf numFmtId="0" fontId="8" fillId="0" borderId="11" xfId="0" applyFont="1" applyBorder="1" applyProtection="1">
      <alignment vertical="top"/>
      <protection locked="0"/>
    </xf>
    <xf numFmtId="9" fontId="9" fillId="0" borderId="4" xfId="23" applyNumberFormat="1" applyFont="1" applyFill="1" applyBorder="1" applyAlignment="1" applyProtection="1">
      <alignment horizontal="center" vertical="top"/>
      <protection locked="0"/>
    </xf>
    <xf numFmtId="9" fontId="9" fillId="0" borderId="14" xfId="23" applyNumberFormat="1" applyFont="1" applyFill="1" applyBorder="1" applyAlignment="1" applyProtection="1">
      <alignment horizontal="center" vertical="top"/>
      <protection locked="0"/>
    </xf>
    <xf numFmtId="3" fontId="9" fillId="0" borderId="4" xfId="0" applyNumberFormat="1" applyFont="1" applyBorder="1" applyAlignment="1" applyProtection="1">
      <alignment horizontal="center" vertical="top"/>
      <protection locked="0"/>
    </xf>
    <xf numFmtId="9" fontId="23" fillId="0" borderId="0" xfId="23" applyNumberFormat="1" applyFont="1" applyFill="1" applyAlignment="1" applyProtection="1">
      <alignment horizontal="center" vertical="top"/>
      <protection locked="0"/>
    </xf>
    <xf numFmtId="0" fontId="23" fillId="0" borderId="0" xfId="0" applyFont="1" applyAlignment="1" applyProtection="1">
      <alignment horizontal="center" vertical="top"/>
      <protection locked="0"/>
    </xf>
    <xf numFmtId="9" fontId="23" fillId="0" borderId="0" xfId="23" applyNumberFormat="1" applyFont="1" applyFill="1" applyAlignment="1" applyProtection="1">
      <alignment horizontal="right" vertical="top"/>
      <protection locked="0"/>
    </xf>
    <xf numFmtId="9" fontId="10" fillId="0" borderId="0" xfId="23" applyNumberFormat="1" applyFont="1" applyFill="1" applyAlignment="1" applyProtection="1">
      <alignment horizontal="center" vertical="top"/>
      <protection locked="0"/>
    </xf>
    <xf numFmtId="10" fontId="8" fillId="0" borderId="0" xfId="23" applyFont="1" applyFill="1" applyBorder="1" applyAlignment="1" applyProtection="1">
      <alignment vertical="top"/>
      <protection locked="0"/>
    </xf>
    <xf numFmtId="3" fontId="8" fillId="0" borderId="0" xfId="0" applyNumberFormat="1" applyFont="1" applyProtection="1">
      <alignment vertical="top"/>
      <protection locked="0"/>
    </xf>
    <xf numFmtId="0" fontId="20" fillId="0" borderId="0" xfId="21" applyProtection="1">
      <protection locked="0"/>
    </xf>
    <xf numFmtId="0" fontId="8" fillId="0" borderId="0" xfId="21" applyFont="1" applyProtection="1">
      <protection locked="0"/>
    </xf>
    <xf numFmtId="3" fontId="9" fillId="0" borderId="0" xfId="0" applyNumberFormat="1" applyFont="1">
      <alignment vertical="top"/>
    </xf>
    <xf numFmtId="0" fontId="10" fillId="0" borderId="0" xfId="0" applyFont="1">
      <alignment vertical="top"/>
    </xf>
    <xf numFmtId="0" fontId="10" fillId="0" borderId="14" xfId="0" applyFont="1" applyBorder="1">
      <alignment vertical="top"/>
    </xf>
    <xf numFmtId="10" fontId="10" fillId="0" borderId="0" xfId="12" applyNumberFormat="1" applyFont="1" applyProtection="1"/>
    <xf numFmtId="0" fontId="10" fillId="0" borderId="11" xfId="0" applyFont="1" applyBorder="1">
      <alignment vertical="top"/>
    </xf>
    <xf numFmtId="5" fontId="26" fillId="0" borderId="62" xfId="0" applyNumberFormat="1" applyFont="1" applyBorder="1">
      <alignment vertical="top"/>
    </xf>
    <xf numFmtId="5" fontId="0" fillId="0" borderId="0" xfId="0" applyNumberFormat="1">
      <alignment vertical="top"/>
    </xf>
    <xf numFmtId="0" fontId="8" fillId="0" borderId="14" xfId="0" applyFont="1" applyBorder="1" applyProtection="1">
      <alignment vertical="top"/>
      <protection locked="0"/>
    </xf>
    <xf numFmtId="0" fontId="8" fillId="0" borderId="21" xfId="0" applyFont="1" applyBorder="1" applyProtection="1">
      <alignment vertical="top"/>
      <protection locked="0"/>
    </xf>
    <xf numFmtId="9" fontId="9" fillId="0" borderId="4" xfId="0" applyNumberFormat="1" applyFont="1" applyBorder="1" applyAlignment="1" applyProtection="1">
      <alignment horizontal="center" vertical="top"/>
      <protection locked="0"/>
    </xf>
    <xf numFmtId="3" fontId="9" fillId="0" borderId="11" xfId="4" applyNumberFormat="1" applyFont="1" applyFill="1" applyBorder="1" applyAlignment="1" applyProtection="1">
      <alignment horizontal="right" vertical="top"/>
      <protection locked="0"/>
    </xf>
    <xf numFmtId="4" fontId="9" fillId="0" borderId="14" xfId="0" applyNumberFormat="1" applyFont="1" applyBorder="1" applyAlignment="1" applyProtection="1">
      <alignment horizontal="center" vertical="top"/>
      <protection locked="0"/>
    </xf>
    <xf numFmtId="0" fontId="9" fillId="0" borderId="4" xfId="0" applyFont="1" applyBorder="1" applyAlignment="1" applyProtection="1">
      <alignment horizontal="center" vertical="top"/>
      <protection locked="0"/>
    </xf>
    <xf numFmtId="2" fontId="8" fillId="0" borderId="23" xfId="23" applyNumberFormat="1" applyFont="1" applyFill="1" applyBorder="1" applyAlignment="1" applyProtection="1">
      <alignment horizontal="center" vertical="top"/>
      <protection locked="0"/>
    </xf>
    <xf numFmtId="0" fontId="8" fillId="0" borderId="27" xfId="0" applyFont="1" applyBorder="1" applyAlignment="1" applyProtection="1">
      <alignment horizontal="center" vertical="top"/>
      <protection locked="0"/>
    </xf>
    <xf numFmtId="3" fontId="8" fillId="0" borderId="24" xfId="4" applyNumberFormat="1" applyFont="1" applyFill="1" applyBorder="1" applyAlignment="1" applyProtection="1">
      <alignment horizontal="right" vertical="top"/>
      <protection locked="0"/>
    </xf>
    <xf numFmtId="3" fontId="8" fillId="0" borderId="11" xfId="4" applyNumberFormat="1" applyFont="1" applyFill="1" applyBorder="1" applyAlignment="1" applyProtection="1">
      <alignment horizontal="right" vertical="top"/>
      <protection locked="0"/>
    </xf>
    <xf numFmtId="0" fontId="12" fillId="0" borderId="15" xfId="0" applyFont="1" applyBorder="1" applyAlignment="1">
      <alignment horizontal="left" vertical="center" wrapText="1"/>
    </xf>
    <xf numFmtId="0" fontId="31" fillId="0" borderId="0" xfId="0" applyFont="1" applyAlignment="1">
      <alignment horizontal="right" vertical="top"/>
    </xf>
    <xf numFmtId="0" fontId="0" fillId="0" borderId="12" xfId="0" applyBorder="1">
      <alignment vertical="top"/>
    </xf>
    <xf numFmtId="0" fontId="12" fillId="0" borderId="0" xfId="0" applyFont="1">
      <alignment vertical="top"/>
    </xf>
    <xf numFmtId="0" fontId="35" fillId="0" borderId="0" xfId="0" applyFont="1">
      <alignment vertical="top"/>
    </xf>
    <xf numFmtId="0" fontId="12" fillId="0" borderId="12" xfId="0" applyFont="1" applyBorder="1" applyAlignment="1">
      <alignment vertical="top" wrapText="1"/>
    </xf>
    <xf numFmtId="0" fontId="12" fillId="0" borderId="47" xfId="0" applyFont="1" applyBorder="1" applyAlignment="1">
      <alignment vertical="center" wrapText="1"/>
    </xf>
    <xf numFmtId="0" fontId="12" fillId="0" borderId="33" xfId="0" applyFont="1" applyBorder="1" applyAlignment="1">
      <alignment vertical="center" wrapText="1"/>
    </xf>
    <xf numFmtId="0" fontId="12" fillId="0" borderId="48" xfId="0" applyFont="1" applyBorder="1" applyAlignment="1">
      <alignment vertical="center" wrapText="1"/>
    </xf>
    <xf numFmtId="0" fontId="12" fillId="0" borderId="70" xfId="0" applyFont="1" applyBorder="1" applyAlignment="1">
      <alignment vertical="center" wrapText="1"/>
    </xf>
    <xf numFmtId="0" fontId="12" fillId="0" borderId="39" xfId="0" applyFont="1" applyBorder="1" applyAlignment="1">
      <alignment vertical="center" wrapText="1"/>
    </xf>
    <xf numFmtId="0" fontId="12" fillId="0" borderId="12" xfId="0" applyFont="1" applyBorder="1" applyAlignment="1">
      <alignment vertical="center" wrapText="1"/>
    </xf>
    <xf numFmtId="0" fontId="12" fillId="0" borderId="26" xfId="0" applyFont="1" applyBorder="1" applyAlignment="1">
      <alignment horizontal="left" vertical="center" wrapText="1"/>
    </xf>
    <xf numFmtId="0" fontId="12" fillId="0" borderId="26" xfId="0" applyFont="1" applyBorder="1" applyAlignment="1">
      <alignment vertical="center" wrapText="1"/>
    </xf>
    <xf numFmtId="0" fontId="12" fillId="0" borderId="28" xfId="0" applyFont="1" applyBorder="1" applyAlignment="1">
      <alignment vertical="center" wrapText="1"/>
    </xf>
    <xf numFmtId="0" fontId="0" fillId="0" borderId="0" xfId="0" applyAlignment="1">
      <alignment vertical="center"/>
    </xf>
    <xf numFmtId="0" fontId="9" fillId="0" borderId="71" xfId="0" applyFont="1" applyBorder="1" applyAlignment="1">
      <alignment horizontal="right" vertical="center" wrapText="1"/>
    </xf>
    <xf numFmtId="0" fontId="12" fillId="0" borderId="11" xfId="0" applyFont="1" applyBorder="1" applyAlignment="1">
      <alignment vertical="center" wrapText="1"/>
    </xf>
    <xf numFmtId="0" fontId="12" fillId="0" borderId="0" xfId="0" applyFont="1" applyAlignment="1">
      <alignment vertical="center" wrapText="1"/>
    </xf>
    <xf numFmtId="0" fontId="33" fillId="0" borderId="0" xfId="0" applyFont="1" applyAlignment="1">
      <alignment vertical="center" wrapText="1"/>
    </xf>
    <xf numFmtId="0" fontId="33" fillId="0" borderId="12" xfId="0" applyFont="1" applyBorder="1" applyAlignment="1">
      <alignment vertical="center" wrapText="1"/>
    </xf>
    <xf numFmtId="0" fontId="30" fillId="0" borderId="0" xfId="0" applyFont="1" applyAlignment="1">
      <alignment vertical="center" wrapText="1"/>
    </xf>
    <xf numFmtId="0" fontId="35" fillId="0" borderId="0" xfId="0" applyFont="1" applyAlignment="1">
      <alignment vertical="center"/>
    </xf>
    <xf numFmtId="0" fontId="12" fillId="0" borderId="15" xfId="0" applyFont="1" applyBorder="1" applyAlignment="1">
      <alignment vertical="center" wrapText="1"/>
    </xf>
    <xf numFmtId="0" fontId="9" fillId="0" borderId="48" xfId="0" applyFont="1" applyBorder="1" applyAlignment="1">
      <alignment horizontal="right" vertical="center" wrapText="1"/>
    </xf>
    <xf numFmtId="0" fontId="0" fillId="0" borderId="48" xfId="0" applyBorder="1">
      <alignment vertical="top"/>
    </xf>
    <xf numFmtId="0" fontId="0" fillId="0" borderId="11" xfId="0" applyBorder="1">
      <alignment vertical="top"/>
    </xf>
    <xf numFmtId="0" fontId="8" fillId="0" borderId="0" xfId="0" applyFont="1">
      <alignment vertical="top"/>
    </xf>
    <xf numFmtId="0" fontId="8" fillId="0" borderId="11" xfId="0" applyFont="1" applyBorder="1">
      <alignment vertical="top"/>
    </xf>
    <xf numFmtId="0" fontId="33" fillId="0" borderId="11" xfId="0" applyFont="1" applyBorder="1" applyAlignment="1">
      <alignment vertical="center" wrapText="1"/>
    </xf>
    <xf numFmtId="0" fontId="35" fillId="0" borderId="0" xfId="0" applyFont="1" applyAlignment="1">
      <alignment horizontal="left" vertical="center"/>
    </xf>
    <xf numFmtId="0" fontId="35" fillId="0" borderId="0" xfId="0" applyFont="1" applyAlignment="1">
      <alignment horizontal="right" vertical="top"/>
    </xf>
    <xf numFmtId="0" fontId="34" fillId="0" borderId="11" xfId="0" applyFont="1" applyBorder="1" applyAlignment="1">
      <alignment vertical="center" wrapText="1"/>
    </xf>
    <xf numFmtId="0" fontId="34" fillId="0" borderId="0" xfId="0" applyFont="1" applyAlignment="1">
      <alignment vertical="center" wrapText="1"/>
    </xf>
    <xf numFmtId="0" fontId="34" fillId="0" borderId="44" xfId="0" applyFont="1" applyBorder="1" applyAlignment="1">
      <alignment vertical="center" wrapText="1"/>
    </xf>
    <xf numFmtId="0" fontId="12" fillId="0" borderId="15" xfId="0" applyFont="1" applyBorder="1" applyAlignment="1">
      <alignment horizontal="left" vertical="center" wrapText="1" indent="3"/>
    </xf>
    <xf numFmtId="0" fontId="12" fillId="0" borderId="71" xfId="0" applyFont="1" applyBorder="1" applyAlignment="1">
      <alignment vertical="center" wrapText="1"/>
    </xf>
    <xf numFmtId="0" fontId="0" fillId="2" borderId="0" xfId="0" applyFill="1">
      <alignment vertical="top"/>
    </xf>
    <xf numFmtId="0" fontId="36" fillId="0" borderId="0" xfId="0" applyFont="1">
      <alignment vertical="top"/>
    </xf>
    <xf numFmtId="0" fontId="0" fillId="0" borderId="0" xfId="0" applyProtection="1">
      <alignment vertical="top"/>
      <protection locked="0"/>
    </xf>
    <xf numFmtId="5" fontId="10" fillId="0" borderId="4" xfId="12" applyNumberFormat="1" applyFont="1" applyFill="1" applyBorder="1" applyProtection="1"/>
    <xf numFmtId="5" fontId="26" fillId="0" borderId="62" xfId="0" applyNumberFormat="1" applyFont="1" applyBorder="1" applyAlignment="1">
      <alignment horizontal="right"/>
    </xf>
    <xf numFmtId="5" fontId="27" fillId="0" borderId="62" xfId="0" applyNumberFormat="1" applyFont="1" applyBorder="1" applyAlignment="1">
      <alignment horizontal="center"/>
    </xf>
    <xf numFmtId="5" fontId="10" fillId="0" borderId="13" xfId="12" applyNumberFormat="1" applyFont="1" applyFill="1" applyBorder="1" applyProtection="1"/>
    <xf numFmtId="0" fontId="10" fillId="0" borderId="30" xfId="0" applyFont="1" applyBorder="1">
      <alignment vertical="top"/>
    </xf>
    <xf numFmtId="5" fontId="10" fillId="0" borderId="6" xfId="12" applyNumberFormat="1" applyFont="1" applyFill="1" applyBorder="1" applyProtection="1"/>
    <xf numFmtId="5" fontId="10" fillId="0" borderId="31" xfId="12" applyNumberFormat="1" applyFont="1" applyFill="1" applyBorder="1" applyProtection="1"/>
    <xf numFmtId="3" fontId="9" fillId="0" borderId="13" xfId="4" applyNumberFormat="1" applyFont="1" applyFill="1" applyBorder="1" applyAlignment="1" applyProtection="1">
      <alignment horizontal="right" vertical="top"/>
      <protection locked="0"/>
    </xf>
    <xf numFmtId="4" fontId="9" fillId="0" borderId="4" xfId="0" applyNumberFormat="1" applyFont="1" applyBorder="1" applyAlignment="1" applyProtection="1">
      <alignment horizontal="center" vertical="top"/>
      <protection locked="0"/>
    </xf>
    <xf numFmtId="3" fontId="8" fillId="0" borderId="27" xfId="4" applyNumberFormat="1" applyFont="1" applyFill="1" applyBorder="1" applyAlignment="1" applyProtection="1">
      <alignment horizontal="right" vertical="top"/>
      <protection locked="0"/>
    </xf>
    <xf numFmtId="2" fontId="8" fillId="0" borderId="27" xfId="23" applyNumberFormat="1" applyFont="1" applyFill="1" applyBorder="1" applyAlignment="1" applyProtection="1">
      <alignment horizontal="center" vertical="top"/>
      <protection locked="0"/>
    </xf>
    <xf numFmtId="0" fontId="12" fillId="9" borderId="77" xfId="0" applyFont="1" applyFill="1" applyBorder="1" applyAlignment="1">
      <alignment horizontal="left" vertical="center" wrapText="1" indent="1"/>
    </xf>
    <xf numFmtId="0" fontId="0" fillId="9" borderId="0" xfId="0" applyFill="1">
      <alignment vertical="top"/>
    </xf>
    <xf numFmtId="0" fontId="12" fillId="9" borderId="77" xfId="0" applyFont="1" applyFill="1" applyBorder="1" applyAlignment="1">
      <alignment vertical="center" wrapText="1"/>
    </xf>
    <xf numFmtId="0" fontId="12" fillId="9" borderId="28" xfId="0" applyFont="1" applyFill="1" applyBorder="1" applyAlignment="1">
      <alignment vertical="center" wrapText="1"/>
    </xf>
    <xf numFmtId="0" fontId="8" fillId="0" borderId="0" xfId="0" applyFont="1" applyAlignment="1" applyProtection="1">
      <alignment horizontal="center" vertical="top"/>
      <protection locked="0"/>
    </xf>
    <xf numFmtId="0" fontId="38" fillId="0" borderId="0" xfId="28" applyProtection="1">
      <protection locked="0"/>
    </xf>
    <xf numFmtId="0" fontId="8" fillId="0" borderId="0" xfId="28" applyFont="1" applyProtection="1">
      <protection locked="0"/>
    </xf>
    <xf numFmtId="0" fontId="39" fillId="0" borderId="0" xfId="28" applyFont="1" applyAlignment="1" applyProtection="1">
      <alignment horizontal="left" vertical="top" wrapText="1"/>
      <protection locked="0"/>
    </xf>
    <xf numFmtId="0" fontId="9" fillId="0" borderId="19" xfId="0" applyFont="1" applyBorder="1" applyAlignment="1">
      <alignment horizontal="center" vertical="top" wrapText="1"/>
    </xf>
    <xf numFmtId="0" fontId="9" fillId="0" borderId="3" xfId="0" applyFont="1" applyBorder="1" applyAlignment="1">
      <alignment horizontal="center" vertical="top"/>
    </xf>
    <xf numFmtId="0" fontId="9" fillId="0" borderId="20" xfId="0" applyFont="1" applyBorder="1" applyAlignment="1">
      <alignment horizontal="center" vertical="top" wrapText="1"/>
    </xf>
    <xf numFmtId="0" fontId="9" fillId="0" borderId="98" xfId="0" applyFont="1" applyBorder="1" applyAlignment="1">
      <alignment horizontal="right" vertical="top"/>
    </xf>
    <xf numFmtId="0" fontId="0" fillId="0" borderId="101" xfId="0" applyBorder="1">
      <alignment vertical="top"/>
    </xf>
    <xf numFmtId="168" fontId="0" fillId="0" borderId="98" xfId="0" applyNumberFormat="1" applyBorder="1">
      <alignment vertical="top"/>
    </xf>
    <xf numFmtId="0" fontId="0" fillId="0" borderId="98" xfId="0" applyBorder="1">
      <alignment vertical="top"/>
    </xf>
    <xf numFmtId="0" fontId="19" fillId="0" borderId="33" xfId="0" applyFont="1" applyBorder="1">
      <alignment vertical="top"/>
    </xf>
    <xf numFmtId="0" fontId="19" fillId="0" borderId="85" xfId="0" applyFont="1" applyBorder="1">
      <alignment vertical="top"/>
    </xf>
    <xf numFmtId="0" fontId="19" fillId="0" borderId="99" xfId="0" applyFont="1" applyBorder="1">
      <alignment vertical="top"/>
    </xf>
    <xf numFmtId="0" fontId="19" fillId="0" borderId="88" xfId="0" applyFont="1" applyBorder="1">
      <alignment vertical="top"/>
    </xf>
    <xf numFmtId="0" fontId="19" fillId="0" borderId="10" xfId="0" applyFont="1" applyBorder="1">
      <alignment vertical="top"/>
    </xf>
    <xf numFmtId="0" fontId="19" fillId="0" borderId="30" xfId="0" applyFont="1" applyBorder="1">
      <alignment vertical="top"/>
    </xf>
    <xf numFmtId="0" fontId="19" fillId="0" borderId="6" xfId="0" applyFont="1" applyBorder="1">
      <alignment vertical="top"/>
    </xf>
    <xf numFmtId="0" fontId="19" fillId="0" borderId="31" xfId="0" applyFont="1" applyBorder="1">
      <alignment vertical="top"/>
    </xf>
    <xf numFmtId="0" fontId="8" fillId="0" borderId="15" xfId="0" applyFont="1" applyBorder="1">
      <alignment vertical="top"/>
    </xf>
    <xf numFmtId="0" fontId="8" fillId="0" borderId="26" xfId="0" applyFont="1" applyBorder="1" applyAlignment="1">
      <alignment horizontal="center" vertical="top"/>
    </xf>
    <xf numFmtId="0" fontId="8" fillId="0" borderId="26" xfId="0" applyFont="1" applyBorder="1" applyAlignment="1">
      <alignment horizontal="center" vertical="top" wrapText="1"/>
    </xf>
    <xf numFmtId="0" fontId="8" fillId="0" borderId="23" xfId="0" applyFont="1" applyBorder="1" applyAlignment="1">
      <alignment horizontal="center" vertical="top" wrapText="1"/>
    </xf>
    <xf numFmtId="0" fontId="8" fillId="0" borderId="27" xfId="0" applyFont="1" applyBorder="1" applyAlignment="1">
      <alignment horizontal="center" vertical="top"/>
    </xf>
    <xf numFmtId="0" fontId="8" fillId="0" borderId="24" xfId="0" applyFont="1" applyBorder="1" applyAlignment="1">
      <alignment horizontal="center" vertical="top" wrapText="1"/>
    </xf>
    <xf numFmtId="0" fontId="8" fillId="0" borderId="0" xfId="0" applyFont="1" applyAlignment="1">
      <alignment horizontal="center" vertical="top"/>
    </xf>
    <xf numFmtId="0" fontId="8" fillId="0" borderId="0" xfId="0" applyFont="1" applyAlignment="1">
      <alignment horizontal="center" vertical="top" wrapText="1"/>
    </xf>
    <xf numFmtId="0" fontId="8" fillId="0" borderId="14" xfId="0" applyFont="1" applyBorder="1" applyAlignment="1">
      <alignment horizontal="center" vertical="top" wrapText="1"/>
    </xf>
    <xf numFmtId="0" fontId="8" fillId="0" borderId="4" xfId="0" applyFont="1" applyBorder="1" applyAlignment="1">
      <alignment horizontal="center" vertical="top"/>
    </xf>
    <xf numFmtId="0" fontId="8" fillId="0" borderId="13" xfId="0" applyFont="1" applyBorder="1" applyAlignment="1">
      <alignment horizontal="center" vertical="top" wrapText="1"/>
    </xf>
    <xf numFmtId="0" fontId="0" fillId="0" borderId="11" xfId="0" applyBorder="1" applyProtection="1">
      <alignment vertical="top"/>
      <protection locked="0"/>
    </xf>
    <xf numFmtId="5" fontId="38" fillId="0" borderId="4" xfId="29" applyNumberFormat="1" applyBorder="1" applyAlignment="1">
      <alignment vertical="top"/>
    </xf>
    <xf numFmtId="0" fontId="0" fillId="0" borderId="13" xfId="0" applyBorder="1">
      <alignment vertical="top"/>
    </xf>
    <xf numFmtId="0" fontId="0" fillId="0" borderId="0" xfId="0" applyAlignment="1" applyProtection="1">
      <alignment horizontal="right" vertical="top"/>
      <protection locked="0"/>
    </xf>
    <xf numFmtId="9" fontId="38" fillId="0" borderId="14" xfId="30" applyNumberFormat="1" applyBorder="1" applyAlignment="1" applyProtection="1">
      <alignment vertical="top"/>
      <protection locked="0"/>
    </xf>
    <xf numFmtId="5" fontId="38" fillId="0" borderId="5" xfId="29" applyNumberFormat="1" applyBorder="1" applyAlignment="1">
      <alignment vertical="top"/>
    </xf>
    <xf numFmtId="0" fontId="0" fillId="0" borderId="83" xfId="0" applyBorder="1" applyProtection="1">
      <alignment vertical="top"/>
      <protection locked="0"/>
    </xf>
    <xf numFmtId="9" fontId="38" fillId="0" borderId="89" xfId="30" applyNumberFormat="1" applyBorder="1" applyAlignment="1" applyProtection="1">
      <alignment vertical="top"/>
      <protection locked="0"/>
    </xf>
    <xf numFmtId="5" fontId="38" fillId="0" borderId="42" xfId="29" applyNumberFormat="1" applyBorder="1" applyAlignment="1">
      <alignment vertical="top"/>
    </xf>
    <xf numFmtId="0" fontId="0" fillId="0" borderId="0" xfId="0" applyAlignment="1">
      <alignment horizontal="right" vertical="top"/>
    </xf>
    <xf numFmtId="5" fontId="8" fillId="0" borderId="102" xfId="29" applyNumberFormat="1" applyFont="1" applyBorder="1" applyAlignment="1">
      <alignment vertical="top"/>
    </xf>
    <xf numFmtId="166" fontId="8" fillId="0" borderId="51" xfId="30" applyNumberFormat="1" applyFont="1" applyFill="1" applyBorder="1" applyAlignment="1">
      <alignment vertical="top"/>
    </xf>
    <xf numFmtId="5" fontId="8" fillId="0" borderId="42" xfId="0" applyNumberFormat="1" applyFont="1" applyBorder="1">
      <alignment vertical="top"/>
    </xf>
    <xf numFmtId="5" fontId="0" fillId="0" borderId="4" xfId="0" applyNumberFormat="1" applyBorder="1">
      <alignment vertical="top"/>
    </xf>
    <xf numFmtId="5" fontId="0" fillId="0" borderId="13" xfId="0" applyNumberFormat="1" applyBorder="1">
      <alignment vertical="top"/>
    </xf>
    <xf numFmtId="5" fontId="8" fillId="0" borderId="102" xfId="0" applyNumberFormat="1" applyFont="1" applyBorder="1">
      <alignment vertical="top"/>
    </xf>
    <xf numFmtId="166" fontId="8" fillId="0" borderId="40" xfId="30" applyNumberFormat="1" applyFont="1" applyBorder="1" applyAlignment="1">
      <alignment vertical="top"/>
    </xf>
    <xf numFmtId="5" fontId="8" fillId="0" borderId="5" xfId="0" applyNumberFormat="1" applyFont="1" applyBorder="1">
      <alignment vertical="top"/>
    </xf>
    <xf numFmtId="5" fontId="8" fillId="0" borderId="103" xfId="0" applyNumberFormat="1" applyFont="1" applyBorder="1">
      <alignment vertical="top"/>
    </xf>
    <xf numFmtId="166" fontId="8" fillId="0" borderId="18" xfId="30" applyNumberFormat="1" applyFont="1" applyBorder="1" applyAlignment="1">
      <alignment vertical="top"/>
    </xf>
    <xf numFmtId="5" fontId="8" fillId="0" borderId="9" xfId="0" applyNumberFormat="1" applyFont="1" applyBorder="1">
      <alignment vertical="top"/>
    </xf>
    <xf numFmtId="0" fontId="0" fillId="0" borderId="15" xfId="0" applyBorder="1">
      <alignment vertical="top"/>
    </xf>
    <xf numFmtId="0" fontId="0" fillId="0" borderId="26" xfId="0" applyBorder="1" applyAlignment="1">
      <alignment horizontal="right" vertical="top"/>
    </xf>
    <xf numFmtId="5" fontId="8" fillId="0" borderId="71" xfId="0" applyNumberFormat="1" applyFont="1" applyBorder="1">
      <alignment vertical="top"/>
    </xf>
    <xf numFmtId="166" fontId="8" fillId="0" borderId="23" xfId="30" applyNumberFormat="1" applyFont="1" applyBorder="1" applyAlignment="1">
      <alignment vertical="top"/>
    </xf>
    <xf numFmtId="5" fontId="0" fillId="0" borderId="27" xfId="0" applyNumberFormat="1" applyBorder="1">
      <alignment vertical="top"/>
    </xf>
    <xf numFmtId="176" fontId="0" fillId="0" borderId="24" xfId="0" applyNumberFormat="1" applyBorder="1">
      <alignment vertical="top"/>
    </xf>
    <xf numFmtId="5" fontId="8" fillId="0" borderId="39" xfId="0" applyNumberFormat="1" applyFont="1" applyBorder="1">
      <alignment vertical="top"/>
    </xf>
    <xf numFmtId="166" fontId="8" fillId="0" borderId="0" xfId="30" applyNumberFormat="1" applyFont="1" applyBorder="1" applyAlignment="1">
      <alignment vertical="top"/>
    </xf>
    <xf numFmtId="176" fontId="0" fillId="0" borderId="0" xfId="0" applyNumberFormat="1">
      <alignment vertical="top"/>
    </xf>
    <xf numFmtId="166" fontId="8" fillId="0" borderId="40" xfId="30" applyNumberFormat="1" applyFont="1" applyFill="1" applyBorder="1" applyAlignment="1">
      <alignment vertical="top"/>
    </xf>
    <xf numFmtId="0" fontId="0" fillId="0" borderId="26" xfId="0" applyBorder="1" applyProtection="1">
      <alignment vertical="top"/>
      <protection locked="0"/>
    </xf>
    <xf numFmtId="5" fontId="8" fillId="0" borderId="26" xfId="0" applyNumberFormat="1" applyFont="1" applyBorder="1">
      <alignment vertical="top"/>
    </xf>
    <xf numFmtId="0" fontId="0" fillId="0" borderId="33" xfId="0" applyBorder="1">
      <alignment vertical="top"/>
    </xf>
    <xf numFmtId="7" fontId="0" fillId="0" borderId="0" xfId="0" applyNumberFormat="1">
      <alignment vertical="top"/>
    </xf>
    <xf numFmtId="0" fontId="21" fillId="9" borderId="98" xfId="0" applyFont="1" applyFill="1" applyBorder="1" applyAlignment="1">
      <alignment horizontal="center" vertical="top" wrapText="1"/>
    </xf>
    <xf numFmtId="9" fontId="38" fillId="9" borderId="14" xfId="30" applyNumberFormat="1" applyFill="1" applyBorder="1" applyAlignment="1" applyProtection="1">
      <alignment vertical="top"/>
      <protection locked="0"/>
    </xf>
    <xf numFmtId="0" fontId="0" fillId="9" borderId="14" xfId="0" applyFill="1" applyBorder="1" applyProtection="1">
      <alignment vertical="top"/>
      <protection locked="0"/>
    </xf>
    <xf numFmtId="5" fontId="9" fillId="9" borderId="0" xfId="29" applyNumberFormat="1" applyFont="1" applyFill="1" applyBorder="1" applyAlignment="1" applyProtection="1">
      <alignment vertical="top"/>
      <protection locked="0"/>
    </xf>
    <xf numFmtId="0" fontId="10" fillId="0" borderId="0" xfId="21" applyFont="1" applyProtection="1">
      <protection locked="0"/>
    </xf>
    <xf numFmtId="5" fontId="9" fillId="0" borderId="0" xfId="0" applyNumberFormat="1" applyFont="1" applyProtection="1">
      <alignment vertical="top"/>
      <protection locked="0"/>
    </xf>
    <xf numFmtId="0" fontId="11" fillId="0" borderId="0" xfId="31" applyFont="1">
      <alignment vertical="top"/>
    </xf>
    <xf numFmtId="0" fontId="16" fillId="0" borderId="0" xfId="31" applyFont="1">
      <alignment vertical="top"/>
    </xf>
    <xf numFmtId="5" fontId="10" fillId="0" borderId="0" xfId="32" applyNumberFormat="1" applyFont="1" applyProtection="1"/>
    <xf numFmtId="0" fontId="10" fillId="0" borderId="0" xfId="31" applyFont="1">
      <alignment vertical="top"/>
    </xf>
    <xf numFmtId="0" fontId="7" fillId="0" borderId="0" xfId="31" applyFont="1">
      <alignment vertical="top"/>
    </xf>
    <xf numFmtId="5" fontId="10" fillId="0" borderId="4" xfId="32" applyNumberFormat="1" applyFont="1" applyBorder="1" applyProtection="1"/>
    <xf numFmtId="5" fontId="10" fillId="0" borderId="13" xfId="32" applyNumberFormat="1" applyFont="1" applyBorder="1" applyProtection="1"/>
    <xf numFmtId="0" fontId="19" fillId="0" borderId="14" xfId="31" applyFont="1" applyBorder="1">
      <alignment vertical="top"/>
    </xf>
    <xf numFmtId="0" fontId="10" fillId="0" borderId="14" xfId="31" applyFont="1" applyBorder="1" applyAlignment="1">
      <alignment horizontal="left" vertical="top" indent="2"/>
    </xf>
    <xf numFmtId="9" fontId="10" fillId="0" borderId="4" xfId="33" applyFont="1" applyBorder="1" applyProtection="1"/>
    <xf numFmtId="0" fontId="10" fillId="0" borderId="11" xfId="31" applyFont="1" applyBorder="1" applyAlignment="1">
      <alignment horizontal="left" vertical="top" indent="2"/>
    </xf>
    <xf numFmtId="0" fontId="18" fillId="0" borderId="0" xfId="31" applyFont="1">
      <alignment vertical="top"/>
    </xf>
    <xf numFmtId="5" fontId="10" fillId="0" borderId="59" xfId="32" applyNumberFormat="1" applyFont="1" applyBorder="1" applyProtection="1"/>
    <xf numFmtId="10" fontId="10" fillId="0" borderId="0" xfId="32" applyNumberFormat="1" applyFont="1" applyProtection="1"/>
    <xf numFmtId="0" fontId="22" fillId="9" borderId="40" xfId="31" applyFont="1" applyFill="1" applyBorder="1" applyAlignment="1">
      <alignment horizontal="left"/>
    </xf>
    <xf numFmtId="5" fontId="22" fillId="10" borderId="5" xfId="32" applyNumberFormat="1" applyFont="1" applyFill="1" applyBorder="1" applyProtection="1"/>
    <xf numFmtId="5" fontId="22" fillId="10" borderId="41" xfId="32" applyNumberFormat="1" applyFont="1" applyFill="1" applyBorder="1" applyProtection="1"/>
    <xf numFmtId="0" fontId="5" fillId="5" borderId="73" xfId="21" applyFont="1" applyFill="1" applyBorder="1" applyProtection="1">
      <protection locked="0"/>
    </xf>
    <xf numFmtId="0" fontId="5" fillId="0" borderId="19" xfId="21" applyFont="1" applyBorder="1" applyProtection="1">
      <protection locked="0"/>
    </xf>
    <xf numFmtId="3" fontId="5" fillId="0" borderId="3" xfId="21" applyNumberFormat="1" applyFont="1" applyBorder="1" applyProtection="1">
      <protection locked="0"/>
    </xf>
    <xf numFmtId="3" fontId="5" fillId="0" borderId="20" xfId="4" applyNumberFormat="1" applyFont="1" applyFill="1" applyBorder="1" applyAlignment="1" applyProtection="1">
      <alignment horizontal="right" vertical="top"/>
      <protection locked="0"/>
    </xf>
    <xf numFmtId="3" fontId="5" fillId="0" borderId="72" xfId="4" applyNumberFormat="1" applyFont="1" applyFill="1" applyBorder="1" applyAlignment="1" applyProtection="1">
      <alignment horizontal="right" vertical="top"/>
      <protection locked="0"/>
    </xf>
    <xf numFmtId="3" fontId="5" fillId="0" borderId="74" xfId="4" applyNumberFormat="1" applyFont="1" applyFill="1" applyBorder="1" applyAlignment="1" applyProtection="1">
      <alignment horizontal="right" vertical="top"/>
      <protection locked="0"/>
    </xf>
    <xf numFmtId="9" fontId="38" fillId="0" borderId="14" xfId="30" applyNumberFormat="1" applyFill="1" applyBorder="1" applyAlignment="1" applyProtection="1">
      <alignment vertical="top"/>
      <protection locked="0"/>
    </xf>
    <xf numFmtId="5" fontId="38" fillId="0" borderId="4" xfId="29" applyNumberFormat="1" applyFill="1" applyBorder="1" applyAlignment="1">
      <alignment vertical="top"/>
    </xf>
    <xf numFmtId="0" fontId="0" fillId="0" borderId="14" xfId="0" applyBorder="1" applyProtection="1">
      <alignment vertical="top"/>
      <protection locked="0"/>
    </xf>
    <xf numFmtId="166" fontId="8" fillId="0" borderId="14" xfId="30" applyNumberFormat="1" applyFont="1" applyFill="1" applyBorder="1" applyAlignment="1">
      <alignment vertical="top"/>
    </xf>
    <xf numFmtId="5" fontId="8" fillId="0" borderId="4" xfId="0" applyNumberFormat="1" applyFont="1" applyBorder="1">
      <alignment vertical="top"/>
    </xf>
    <xf numFmtId="166" fontId="8" fillId="0" borderId="14" xfId="30" applyNumberFormat="1" applyFont="1" applyBorder="1" applyAlignment="1">
      <alignment vertical="top"/>
    </xf>
    <xf numFmtId="0" fontId="5" fillId="8" borderId="14" xfId="0" applyFont="1" applyFill="1" applyBorder="1">
      <alignment vertical="top"/>
    </xf>
    <xf numFmtId="5" fontId="11" fillId="0" borderId="60" xfId="0" applyNumberFormat="1" applyFont="1" applyBorder="1">
      <alignment vertical="top"/>
    </xf>
    <xf numFmtId="5" fontId="11" fillId="0" borderId="44" xfId="0" applyNumberFormat="1" applyFont="1" applyBorder="1">
      <alignment vertical="top"/>
    </xf>
    <xf numFmtId="5" fontId="11" fillId="0" borderId="44" xfId="0" applyNumberFormat="1" applyFont="1" applyBorder="1" applyAlignment="1">
      <alignment horizontal="right"/>
    </xf>
    <xf numFmtId="0" fontId="9" fillId="0" borderId="61" xfId="0" applyFont="1" applyBorder="1">
      <alignment vertical="top"/>
    </xf>
    <xf numFmtId="0" fontId="9" fillId="0" borderId="62" xfId="0" applyFont="1" applyBorder="1">
      <alignment vertical="top"/>
    </xf>
    <xf numFmtId="5" fontId="9" fillId="0" borderId="62" xfId="0" applyNumberFormat="1" applyFont="1" applyBorder="1" applyAlignment="1">
      <alignment horizontal="centerContinuous"/>
    </xf>
    <xf numFmtId="5" fontId="9" fillId="0" borderId="63" xfId="0" applyNumberFormat="1" applyFont="1" applyBorder="1" applyAlignment="1">
      <alignment horizontal="centerContinuous"/>
    </xf>
    <xf numFmtId="0" fontId="32" fillId="3" borderId="61" xfId="0" applyFont="1" applyFill="1" applyBorder="1" applyAlignment="1">
      <alignment horizontal="centerContinuous"/>
    </xf>
    <xf numFmtId="0" fontId="32" fillId="3" borderId="62" xfId="0" applyFont="1" applyFill="1" applyBorder="1" applyAlignment="1">
      <alignment horizontal="centerContinuous"/>
    </xf>
    <xf numFmtId="0" fontId="32" fillId="3" borderId="63" xfId="0" applyFont="1" applyFill="1" applyBorder="1" applyAlignment="1">
      <alignment horizontal="centerContinuous"/>
    </xf>
    <xf numFmtId="5" fontId="32" fillId="0" borderId="60" xfId="0" applyNumberFormat="1" applyFont="1" applyBorder="1" applyAlignment="1">
      <alignment horizontal="centerContinuous"/>
    </xf>
    <xf numFmtId="5" fontId="32" fillId="0" borderId="44" xfId="0" applyNumberFormat="1" applyFont="1" applyBorder="1" applyAlignment="1">
      <alignment horizontal="centerContinuous"/>
    </xf>
    <xf numFmtId="5" fontId="32" fillId="0" borderId="66" xfId="0" applyNumberFormat="1" applyFont="1" applyBorder="1" applyAlignment="1">
      <alignment horizontal="centerContinuous"/>
    </xf>
    <xf numFmtId="5" fontId="12" fillId="0" borderId="61" xfId="0" applyNumberFormat="1" applyFont="1" applyBorder="1" applyAlignment="1">
      <alignment horizontal="centerContinuous"/>
    </xf>
    <xf numFmtId="5" fontId="12" fillId="0" borderId="62" xfId="0" applyNumberFormat="1" applyFont="1" applyBorder="1" applyAlignment="1">
      <alignment horizontal="centerContinuous"/>
    </xf>
    <xf numFmtId="5" fontId="12" fillId="0" borderId="61" xfId="0" applyNumberFormat="1" applyFont="1" applyBorder="1" applyAlignment="1">
      <alignment horizontal="center"/>
    </xf>
    <xf numFmtId="5" fontId="12" fillId="0" borderId="63" xfId="0" applyNumberFormat="1" applyFont="1" applyBorder="1" applyAlignment="1">
      <alignment horizontal="centerContinuous"/>
    </xf>
    <xf numFmtId="5" fontId="18" fillId="0" borderId="61" xfId="0" quotePrefix="1" applyNumberFormat="1" applyFont="1" applyBorder="1" applyAlignment="1">
      <alignment vertical="center"/>
    </xf>
    <xf numFmtId="0" fontId="9" fillId="8" borderId="62" xfId="0" applyFont="1" applyFill="1" applyBorder="1" applyAlignment="1">
      <alignment vertical="center" wrapText="1"/>
    </xf>
    <xf numFmtId="5" fontId="9" fillId="0" borderId="61" xfId="0" applyNumberFormat="1" applyFont="1" applyBorder="1" applyAlignment="1">
      <alignment horizontal="center" vertical="center"/>
    </xf>
    <xf numFmtId="5" fontId="12" fillId="0" borderId="61" xfId="0" applyNumberFormat="1" applyFont="1" applyBorder="1">
      <alignment vertical="top"/>
    </xf>
    <xf numFmtId="173" fontId="9" fillId="0" borderId="62" xfId="0" applyNumberFormat="1" applyFont="1" applyBorder="1" applyAlignment="1">
      <alignment vertical="center"/>
    </xf>
    <xf numFmtId="173" fontId="12" fillId="0" borderId="61" xfId="0" applyNumberFormat="1" applyFont="1" applyBorder="1">
      <alignment vertical="top"/>
    </xf>
    <xf numFmtId="173" fontId="9" fillId="0" borderId="62" xfId="4" applyNumberFormat="1" applyFont="1" applyBorder="1" applyAlignment="1">
      <alignment vertical="center" wrapText="1"/>
    </xf>
    <xf numFmtId="173" fontId="9" fillId="8" borderId="62" xfId="4" applyNumberFormat="1" applyFont="1" applyFill="1" applyBorder="1" applyAlignment="1">
      <alignment vertical="center"/>
    </xf>
    <xf numFmtId="5" fontId="9" fillId="0" borderId="61" xfId="0" applyNumberFormat="1" applyFont="1" applyBorder="1" applyAlignment="1">
      <alignment vertical="center"/>
    </xf>
    <xf numFmtId="5" fontId="9" fillId="0" borderId="63" xfId="0" applyNumberFormat="1" applyFont="1" applyBorder="1" applyAlignment="1">
      <alignment vertical="center"/>
    </xf>
    <xf numFmtId="49" fontId="11" fillId="8" borderId="62" xfId="0" applyNumberFormat="1" applyFont="1" applyFill="1" applyBorder="1" applyAlignment="1">
      <alignment vertical="center"/>
    </xf>
    <xf numFmtId="5" fontId="9" fillId="0" borderId="62" xfId="0" applyNumberFormat="1" applyFont="1" applyBorder="1" applyAlignment="1">
      <alignment vertical="center"/>
    </xf>
    <xf numFmtId="5" fontId="9" fillId="8" borderId="62" xfId="0" applyNumberFormat="1" applyFont="1" applyFill="1" applyBorder="1" applyAlignment="1">
      <alignment vertical="center"/>
    </xf>
    <xf numFmtId="5" fontId="8" fillId="0" borderId="44" xfId="0" applyNumberFormat="1" applyFont="1" applyBorder="1" applyAlignment="1">
      <alignment horizontal="right"/>
    </xf>
    <xf numFmtId="5" fontId="11" fillId="0" borderId="0" xfId="0" applyNumberFormat="1" applyFont="1">
      <alignment vertical="top"/>
    </xf>
    <xf numFmtId="5" fontId="8" fillId="0" borderId="0" xfId="0" applyNumberFormat="1" applyFont="1" applyAlignment="1">
      <alignment horizontal="center"/>
    </xf>
    <xf numFmtId="5" fontId="32" fillId="4" borderId="61" xfId="0" applyNumberFormat="1" applyFont="1" applyFill="1" applyBorder="1" applyAlignment="1">
      <alignment horizontal="centerContinuous"/>
    </xf>
    <xf numFmtId="5" fontId="32" fillId="4" borderId="62" xfId="0" applyNumberFormat="1" applyFont="1" applyFill="1" applyBorder="1" applyAlignment="1">
      <alignment horizontal="centerContinuous"/>
    </xf>
    <xf numFmtId="5" fontId="32" fillId="4" borderId="63" xfId="0" applyNumberFormat="1" applyFont="1" applyFill="1" applyBorder="1" applyAlignment="1">
      <alignment horizontal="centerContinuous"/>
    </xf>
    <xf numFmtId="5" fontId="11" fillId="0" borderId="16" xfId="0" applyNumberFormat="1" applyFont="1" applyBorder="1">
      <alignment vertical="top"/>
    </xf>
    <xf numFmtId="5" fontId="11" fillId="0" borderId="61" xfId="0" applyNumberFormat="1" applyFont="1" applyBorder="1" applyAlignment="1">
      <alignment horizontal="centerContinuous"/>
    </xf>
    <xf numFmtId="5" fontId="40" fillId="0" borderId="62" xfId="0" applyNumberFormat="1" applyFont="1" applyBorder="1" applyAlignment="1">
      <alignment horizontal="centerContinuous"/>
    </xf>
    <xf numFmtId="5" fontId="11" fillId="0" borderId="62" xfId="0" applyNumberFormat="1" applyFont="1" applyBorder="1" applyAlignment="1">
      <alignment horizontal="centerContinuous"/>
    </xf>
    <xf numFmtId="5" fontId="11" fillId="0" borderId="0" xfId="0" applyNumberFormat="1" applyFont="1" applyAlignment="1">
      <alignment horizontal="centerContinuous"/>
    </xf>
    <xf numFmtId="5" fontId="18" fillId="0" borderId="16" xfId="0" applyNumberFormat="1" applyFont="1" applyBorder="1" applyAlignment="1">
      <alignment horizontal="centerContinuous"/>
    </xf>
    <xf numFmtId="5" fontId="18" fillId="0" borderId="34" xfId="0" applyNumberFormat="1" applyFont="1" applyBorder="1" applyAlignment="1">
      <alignment horizontal="centerContinuous"/>
    </xf>
    <xf numFmtId="5" fontId="18" fillId="0" borderId="61" xfId="0" quotePrefix="1" applyNumberFormat="1" applyFont="1" applyBorder="1">
      <alignment vertical="top"/>
    </xf>
    <xf numFmtId="5" fontId="18" fillId="0" borderId="62" xfId="0" quotePrefix="1" applyNumberFormat="1" applyFont="1" applyBorder="1">
      <alignment vertical="top"/>
    </xf>
    <xf numFmtId="5" fontId="11" fillId="0" borderId="62" xfId="0" applyNumberFormat="1" applyFont="1" applyBorder="1">
      <alignment vertical="top"/>
    </xf>
    <xf numFmtId="1" fontId="11" fillId="0" borderId="61" xfId="0" quotePrefix="1" applyNumberFormat="1" applyFont="1" applyBorder="1" applyAlignment="1">
      <alignment horizontal="center"/>
    </xf>
    <xf numFmtId="49" fontId="9" fillId="0" borderId="62" xfId="0" applyNumberFormat="1" applyFont="1" applyBorder="1" applyAlignment="1">
      <alignment horizontal="center" vertical="center" wrapText="1" shrinkToFit="1"/>
    </xf>
    <xf numFmtId="1" fontId="11" fillId="0" borderId="62" xfId="0" applyNumberFormat="1" applyFont="1" applyBorder="1" applyAlignment="1">
      <alignment horizontal="center" vertical="center"/>
    </xf>
    <xf numFmtId="1" fontId="11" fillId="0" borderId="64" xfId="0" applyNumberFormat="1" applyFont="1" applyBorder="1" applyAlignment="1">
      <alignment horizontal="center" vertical="center"/>
    </xf>
    <xf numFmtId="5" fontId="11" fillId="0" borderId="61" xfId="0" quotePrefix="1" applyNumberFormat="1" applyFont="1" applyBorder="1" applyAlignment="1">
      <alignment horizontal="centerContinuous"/>
    </xf>
    <xf numFmtId="5" fontId="11" fillId="0" borderId="63" xfId="0" quotePrefix="1" applyNumberFormat="1" applyFont="1" applyBorder="1" applyAlignment="1">
      <alignment horizontal="centerContinuous"/>
    </xf>
    <xf numFmtId="5" fontId="18" fillId="0" borderId="61" xfId="0" applyNumberFormat="1" applyFont="1" applyBorder="1" applyAlignment="1">
      <alignment vertical="center"/>
    </xf>
    <xf numFmtId="5" fontId="8" fillId="0" borderId="62" xfId="0" applyNumberFormat="1" applyFont="1" applyBorder="1" applyAlignment="1">
      <alignment vertical="center"/>
    </xf>
    <xf numFmtId="5" fontId="11" fillId="0" borderId="62" xfId="0" applyNumberFormat="1" applyFont="1" applyBorder="1" applyAlignment="1">
      <alignment vertical="center"/>
    </xf>
    <xf numFmtId="5" fontId="9" fillId="0" borderId="46" xfId="0" applyNumberFormat="1" applyFont="1" applyBorder="1" applyAlignment="1">
      <alignment vertical="center"/>
    </xf>
    <xf numFmtId="0" fontId="11" fillId="0" borderId="62" xfId="0" applyFont="1" applyBorder="1" applyAlignment="1">
      <alignment vertical="center"/>
    </xf>
    <xf numFmtId="5" fontId="18" fillId="4" borderId="61" xfId="0" applyNumberFormat="1" applyFont="1" applyFill="1" applyBorder="1">
      <alignment vertical="top"/>
    </xf>
    <xf numFmtId="5" fontId="18" fillId="4" borderId="62" xfId="0" applyNumberFormat="1" applyFont="1" applyFill="1" applyBorder="1">
      <alignment vertical="top"/>
    </xf>
    <xf numFmtId="5" fontId="18" fillId="4" borderId="63" xfId="0" applyNumberFormat="1" applyFont="1" applyFill="1" applyBorder="1">
      <alignment vertical="top"/>
    </xf>
    <xf numFmtId="5" fontId="11" fillId="0" borderId="61" xfId="0" applyNumberFormat="1" applyFont="1" applyBorder="1" applyAlignment="1">
      <alignment vertical="center"/>
    </xf>
    <xf numFmtId="0" fontId="26" fillId="0" borderId="0" xfId="0" applyFont="1" applyAlignment="1">
      <alignment vertical="center"/>
    </xf>
    <xf numFmtId="5" fontId="32" fillId="4" borderId="65" xfId="0" applyNumberFormat="1" applyFont="1" applyFill="1" applyBorder="1" applyAlignment="1">
      <alignment horizontal="centerContinuous" vertical="center"/>
    </xf>
    <xf numFmtId="5" fontId="32" fillId="4" borderId="64" xfId="0" applyNumberFormat="1" applyFont="1" applyFill="1" applyBorder="1" applyAlignment="1">
      <alignment horizontal="centerContinuous" vertical="center"/>
    </xf>
    <xf numFmtId="5" fontId="32" fillId="4" borderId="46" xfId="0" applyNumberFormat="1" applyFont="1" applyFill="1" applyBorder="1" applyAlignment="1">
      <alignment horizontal="centerContinuous" vertical="center"/>
    </xf>
    <xf numFmtId="5" fontId="18" fillId="0" borderId="61" xfId="0" applyNumberFormat="1" applyFont="1" applyBorder="1" applyAlignment="1">
      <alignment horizontal="centerContinuous"/>
    </xf>
    <xf numFmtId="5" fontId="18" fillId="0" borderId="62" xfId="0" applyNumberFormat="1" applyFont="1" applyBorder="1" applyAlignment="1">
      <alignment horizontal="centerContinuous"/>
    </xf>
    <xf numFmtId="5" fontId="18" fillId="0" borderId="43" xfId="0" applyNumberFormat="1" applyFont="1" applyBorder="1" applyAlignment="1">
      <alignment horizontal="centerContinuous"/>
    </xf>
    <xf numFmtId="5" fontId="32" fillId="0" borderId="61" xfId="0" quotePrefix="1" applyNumberFormat="1" applyFont="1" applyBorder="1" applyAlignment="1">
      <alignment vertical="center"/>
    </xf>
    <xf numFmtId="5" fontId="12" fillId="0" borderId="62" xfId="0" applyNumberFormat="1" applyFont="1" applyBorder="1" applyAlignment="1">
      <alignment vertical="center"/>
    </xf>
    <xf numFmtId="5" fontId="32" fillId="4" borderId="61" xfId="0" applyNumberFormat="1" applyFont="1" applyFill="1" applyBorder="1" applyAlignment="1">
      <alignment horizontal="centerContinuous" vertical="center"/>
    </xf>
    <xf numFmtId="5" fontId="32" fillId="4" borderId="62" xfId="0" applyNumberFormat="1" applyFont="1" applyFill="1" applyBorder="1" applyAlignment="1">
      <alignment horizontal="centerContinuous" vertical="center"/>
    </xf>
    <xf numFmtId="5" fontId="32" fillId="4" borderId="63" xfId="0" applyNumberFormat="1" applyFont="1" applyFill="1" applyBorder="1" applyAlignment="1">
      <alignment horizontal="centerContinuous" vertical="center"/>
    </xf>
    <xf numFmtId="5" fontId="11" fillId="0" borderId="62" xfId="0" quotePrefix="1" applyNumberFormat="1" applyFont="1" applyBorder="1" applyAlignment="1">
      <alignment horizontal="centerContinuous"/>
    </xf>
    <xf numFmtId="5" fontId="11" fillId="0" borderId="43" xfId="0" applyNumberFormat="1" applyFont="1" applyBorder="1" applyAlignment="1">
      <alignment horizontal="centerContinuous"/>
    </xf>
    <xf numFmtId="8" fontId="9" fillId="0" borderId="61" xfId="0" applyNumberFormat="1" applyFont="1" applyBorder="1" applyAlignment="1">
      <alignment vertical="center"/>
    </xf>
    <xf numFmtId="5" fontId="9" fillId="0" borderId="65" xfId="0" applyNumberFormat="1" applyFont="1" applyBorder="1" applyAlignment="1">
      <alignment vertical="center"/>
    </xf>
    <xf numFmtId="5" fontId="9" fillId="0" borderId="5" xfId="0" applyNumberFormat="1" applyFont="1" applyBorder="1" applyAlignment="1">
      <alignment vertical="center"/>
    </xf>
    <xf numFmtId="5" fontId="41" fillId="0" borderId="61" xfId="0" applyNumberFormat="1" applyFont="1" applyBorder="1" applyAlignment="1">
      <alignment horizontal="centerContinuous" vertical="center"/>
    </xf>
    <xf numFmtId="5" fontId="41" fillId="0" borderId="62" xfId="0" applyNumberFormat="1" applyFont="1" applyBorder="1" applyAlignment="1">
      <alignment horizontal="centerContinuous" vertical="center"/>
    </xf>
    <xf numFmtId="5" fontId="40" fillId="0" borderId="62" xfId="0" applyNumberFormat="1" applyFont="1" applyBorder="1" applyAlignment="1">
      <alignment horizontal="centerContinuous" vertical="center"/>
    </xf>
    <xf numFmtId="5" fontId="40" fillId="0" borderId="63" xfId="0" applyNumberFormat="1" applyFont="1" applyBorder="1" applyAlignment="1">
      <alignment horizontal="centerContinuous" vertical="center"/>
    </xf>
    <xf numFmtId="5" fontId="18" fillId="0" borderId="63" xfId="0" applyNumberFormat="1" applyFont="1" applyBorder="1" applyAlignment="1">
      <alignment horizontal="centerContinuous"/>
    </xf>
    <xf numFmtId="1" fontId="12" fillId="0" borderId="62" xfId="0" applyNumberFormat="1" applyFont="1" applyBorder="1" applyAlignment="1">
      <alignment vertical="center"/>
    </xf>
    <xf numFmtId="1" fontId="12" fillId="0" borderId="62" xfId="0" quotePrefix="1" applyNumberFormat="1" applyFont="1" applyBorder="1" applyAlignment="1">
      <alignment vertical="center"/>
    </xf>
    <xf numFmtId="5" fontId="32" fillId="0" borderId="62" xfId="0" quotePrefix="1" applyNumberFormat="1" applyFont="1" applyBorder="1" applyAlignment="1">
      <alignment vertical="center"/>
    </xf>
    <xf numFmtId="0" fontId="12" fillId="0" borderId="62" xfId="0" applyFont="1" applyBorder="1" applyAlignment="1">
      <alignment vertical="center"/>
    </xf>
    <xf numFmtId="5" fontId="8" fillId="4" borderId="16" xfId="0" applyNumberFormat="1" applyFont="1" applyFill="1" applyBorder="1" applyAlignment="1">
      <alignment horizontal="centerContinuous" vertical="center"/>
    </xf>
    <xf numFmtId="5" fontId="8" fillId="4" borderId="0" xfId="0" applyNumberFormat="1" applyFont="1" applyFill="1" applyAlignment="1">
      <alignment horizontal="centerContinuous" vertical="center"/>
    </xf>
    <xf numFmtId="0" fontId="8" fillId="4" borderId="0" xfId="0" applyFont="1" applyFill="1" applyAlignment="1">
      <alignment horizontal="centerContinuous" vertical="center"/>
    </xf>
    <xf numFmtId="5" fontId="8" fillId="4" borderId="34" xfId="0" applyNumberFormat="1" applyFont="1" applyFill="1" applyBorder="1" applyAlignment="1">
      <alignment horizontal="centerContinuous" vertical="center"/>
    </xf>
    <xf numFmtId="5" fontId="32" fillId="0" borderId="60" xfId="0" quotePrefix="1" applyNumberFormat="1" applyFont="1" applyBorder="1">
      <alignment vertical="top"/>
    </xf>
    <xf numFmtId="5" fontId="32" fillId="0" borderId="44" xfId="0" quotePrefix="1" applyNumberFormat="1" applyFont="1" applyBorder="1">
      <alignment vertical="top"/>
    </xf>
    <xf numFmtId="5" fontId="12" fillId="0" borderId="44" xfId="0" applyNumberFormat="1" applyFont="1" applyBorder="1" applyAlignment="1">
      <alignment vertical="center"/>
    </xf>
    <xf numFmtId="173" fontId="12" fillId="0" borderId="44" xfId="12" applyNumberFormat="1" applyFont="1" applyBorder="1" applyAlignment="1">
      <alignment vertical="top" wrapText="1"/>
    </xf>
    <xf numFmtId="5" fontId="11" fillId="0" borderId="44" xfId="0" quotePrefix="1" applyNumberFormat="1" applyFont="1" applyBorder="1">
      <alignment vertical="top"/>
    </xf>
    <xf numFmtId="5" fontId="11" fillId="0" borderId="44" xfId="0" quotePrefix="1" applyNumberFormat="1" applyFont="1" applyBorder="1" applyAlignment="1">
      <alignment vertical="center"/>
    </xf>
    <xf numFmtId="5" fontId="11" fillId="0" borderId="66" xfId="0" applyNumberFormat="1" applyFont="1" applyBorder="1">
      <alignment vertical="top"/>
    </xf>
    <xf numFmtId="5" fontId="9" fillId="0" borderId="62" xfId="0" applyNumberFormat="1" applyFont="1" applyBorder="1" applyAlignment="1">
      <alignment vertical="top" wrapText="1"/>
    </xf>
    <xf numFmtId="5" fontId="11" fillId="0" borderId="62" xfId="0" quotePrefix="1" applyNumberFormat="1" applyFont="1" applyBorder="1">
      <alignment vertical="top"/>
    </xf>
    <xf numFmtId="5" fontId="11" fillId="0" borderId="62" xfId="0" quotePrefix="1" applyNumberFormat="1" applyFont="1" applyBorder="1" applyAlignment="1">
      <alignment vertical="center"/>
    </xf>
    <xf numFmtId="5" fontId="11" fillId="0" borderId="63" xfId="0" applyNumberFormat="1" applyFont="1" applyBorder="1">
      <alignment vertical="top"/>
    </xf>
    <xf numFmtId="5" fontId="32" fillId="0" borderId="61" xfId="0" quotePrefix="1" applyNumberFormat="1" applyFont="1" applyBorder="1">
      <alignment vertical="top"/>
    </xf>
    <xf numFmtId="5" fontId="32" fillId="0" borderId="62" xfId="0" applyNumberFormat="1" applyFont="1" applyBorder="1">
      <alignment vertical="top"/>
    </xf>
    <xf numFmtId="5" fontId="12" fillId="0" borderId="62" xfId="0" applyNumberFormat="1" applyFont="1" applyBorder="1">
      <alignment vertical="top"/>
    </xf>
    <xf numFmtId="5" fontId="12" fillId="0" borderId="63" xfId="0" applyNumberFormat="1" applyFont="1" applyBorder="1">
      <alignment vertical="top"/>
    </xf>
    <xf numFmtId="5" fontId="11" fillId="0" borderId="0" xfId="0" quotePrefix="1" applyNumberFormat="1" applyFont="1">
      <alignment vertical="top"/>
    </xf>
    <xf numFmtId="5" fontId="9" fillId="0" borderId="0" xfId="0" applyNumberFormat="1" applyFont="1">
      <alignment vertical="top"/>
    </xf>
    <xf numFmtId="5" fontId="11" fillId="0" borderId="0" xfId="0" applyNumberFormat="1" applyFont="1" applyAlignment="1">
      <alignment horizontal="right" vertical="top"/>
    </xf>
    <xf numFmtId="5" fontId="9" fillId="1" borderId="0" xfId="0" applyNumberFormat="1" applyFont="1" applyFill="1">
      <alignment vertical="top"/>
    </xf>
    <xf numFmtId="0" fontId="5" fillId="0" borderId="0" xfId="0" applyFont="1" applyProtection="1">
      <alignment vertical="top"/>
      <protection locked="0"/>
    </xf>
    <xf numFmtId="0" fontId="9" fillId="0" borderId="13" xfId="0" applyFont="1" applyBorder="1" applyProtection="1">
      <alignment vertical="top"/>
      <protection locked="0"/>
    </xf>
    <xf numFmtId="0" fontId="10" fillId="0" borderId="89" xfId="31" applyFont="1" applyBorder="1" applyAlignment="1">
      <alignment horizontal="left" vertical="top" indent="2"/>
    </xf>
    <xf numFmtId="5" fontId="10" fillId="0" borderId="43" xfId="32" applyNumberFormat="1" applyFont="1" applyBorder="1" applyProtection="1"/>
    <xf numFmtId="5" fontId="10" fillId="0" borderId="90" xfId="32" applyNumberFormat="1" applyFont="1" applyBorder="1" applyProtection="1"/>
    <xf numFmtId="0" fontId="10" fillId="0" borderId="51" xfId="31" applyFont="1" applyBorder="1" applyAlignment="1">
      <alignment horizontal="left" vertical="top" indent="2"/>
    </xf>
    <xf numFmtId="5" fontId="10" fillId="0" borderId="42" xfId="32" applyNumberFormat="1" applyFont="1" applyBorder="1" applyProtection="1"/>
    <xf numFmtId="0" fontId="10" fillId="0" borderId="40" xfId="31" applyFont="1" applyBorder="1" applyAlignment="1">
      <alignment horizontal="left" vertical="top" indent="1"/>
    </xf>
    <xf numFmtId="5" fontId="10" fillId="0" borderId="5" xfId="32" applyNumberFormat="1" applyFont="1" applyBorder="1" applyProtection="1"/>
    <xf numFmtId="5" fontId="10" fillId="0" borderId="41" xfId="32" applyNumberFormat="1" applyFont="1" applyBorder="1" applyProtection="1"/>
    <xf numFmtId="0" fontId="10" fillId="0" borderId="104" xfId="31" applyFont="1" applyBorder="1">
      <alignment vertical="top"/>
    </xf>
    <xf numFmtId="5" fontId="10" fillId="0" borderId="44" xfId="32" applyNumberFormat="1" applyFont="1" applyBorder="1" applyProtection="1"/>
    <xf numFmtId="0" fontId="10" fillId="0" borderId="72" xfId="21" applyFont="1" applyBorder="1" applyProtection="1">
      <protection locked="0"/>
    </xf>
    <xf numFmtId="0" fontId="5" fillId="0" borderId="72" xfId="21" applyFont="1" applyBorder="1" applyProtection="1">
      <protection locked="0"/>
    </xf>
    <xf numFmtId="0" fontId="10" fillId="0" borderId="4" xfId="21" applyFont="1" applyBorder="1" applyProtection="1">
      <protection locked="0"/>
    </xf>
    <xf numFmtId="3" fontId="10" fillId="0" borderId="4" xfId="4" applyNumberFormat="1" applyFont="1" applyFill="1" applyBorder="1" applyAlignment="1" applyProtection="1">
      <alignment horizontal="center" vertical="top"/>
      <protection locked="0"/>
    </xf>
    <xf numFmtId="0" fontId="10" fillId="0" borderId="27" xfId="21" applyFont="1" applyBorder="1" applyProtection="1">
      <protection locked="0"/>
    </xf>
    <xf numFmtId="0" fontId="5" fillId="0" borderId="27" xfId="21" applyFont="1" applyBorder="1" applyProtection="1">
      <protection locked="0"/>
    </xf>
    <xf numFmtId="0" fontId="10" fillId="0" borderId="3" xfId="21" applyFont="1" applyBorder="1" applyProtection="1">
      <protection locked="0"/>
    </xf>
    <xf numFmtId="0" fontId="5" fillId="0" borderId="3" xfId="21" applyFont="1" applyBorder="1" applyProtection="1">
      <protection locked="0"/>
    </xf>
    <xf numFmtId="3" fontId="5" fillId="0" borderId="72" xfId="4" applyNumberFormat="1" applyFont="1" applyFill="1" applyBorder="1" applyAlignment="1" applyProtection="1">
      <alignment horizontal="center" vertical="top"/>
      <protection locked="0"/>
    </xf>
    <xf numFmtId="0" fontId="5" fillId="5" borderId="100" xfId="21" applyFont="1" applyFill="1" applyBorder="1" applyProtection="1">
      <protection locked="0"/>
    </xf>
    <xf numFmtId="0" fontId="10" fillId="0" borderId="98" xfId="21" applyFont="1" applyBorder="1" applyProtection="1">
      <protection locked="0"/>
    </xf>
    <xf numFmtId="172" fontId="5" fillId="0" borderId="98" xfId="21" applyNumberFormat="1" applyFont="1" applyBorder="1" applyAlignment="1" applyProtection="1">
      <alignment horizontal="center"/>
      <protection locked="0"/>
    </xf>
    <xf numFmtId="0" fontId="5" fillId="0" borderId="98" xfId="21" applyFont="1" applyBorder="1" applyProtection="1">
      <protection locked="0"/>
    </xf>
    <xf numFmtId="172" fontId="5" fillId="0" borderId="101" xfId="21" applyNumberFormat="1" applyFont="1" applyBorder="1" applyAlignment="1" applyProtection="1">
      <alignment horizontal="center"/>
      <protection locked="0"/>
    </xf>
    <xf numFmtId="0" fontId="10" fillId="0" borderId="26" xfId="31" applyFont="1" applyBorder="1">
      <alignment vertical="top"/>
    </xf>
    <xf numFmtId="5" fontId="10" fillId="0" borderId="26" xfId="32" applyNumberFormat="1" applyFont="1" applyBorder="1" applyProtection="1"/>
    <xf numFmtId="0" fontId="10" fillId="0" borderId="21" xfId="31" applyFont="1" applyBorder="1">
      <alignment vertical="top"/>
    </xf>
    <xf numFmtId="5" fontId="10" fillId="0" borderId="1" xfId="32" applyNumberFormat="1" applyFont="1" applyBorder="1" applyProtection="1"/>
    <xf numFmtId="5" fontId="10" fillId="0" borderId="22" xfId="32" applyNumberFormat="1" applyFont="1" applyBorder="1" applyProtection="1"/>
    <xf numFmtId="0" fontId="10" fillId="0" borderId="11" xfId="31" applyFont="1" applyBorder="1">
      <alignment vertical="top"/>
    </xf>
    <xf numFmtId="0" fontId="10" fillId="0" borderId="26" xfId="0" applyFont="1" applyBorder="1">
      <alignment vertical="top"/>
    </xf>
    <xf numFmtId="5" fontId="10" fillId="0" borderId="26" xfId="12" applyNumberFormat="1" applyFont="1" applyBorder="1" applyProtection="1"/>
    <xf numFmtId="0" fontId="10" fillId="0" borderId="21" xfId="0" applyFont="1" applyBorder="1">
      <alignment vertical="top"/>
    </xf>
    <xf numFmtId="5" fontId="10" fillId="0" borderId="1" xfId="12" applyNumberFormat="1" applyFont="1" applyBorder="1" applyProtection="1"/>
    <xf numFmtId="5" fontId="10" fillId="0" borderId="22" xfId="12" applyNumberFormat="1" applyFont="1" applyBorder="1" applyProtection="1"/>
    <xf numFmtId="0" fontId="10" fillId="0" borderId="107" xfId="0" applyFont="1" applyBorder="1">
      <alignment vertical="top"/>
    </xf>
    <xf numFmtId="5" fontId="10" fillId="0" borderId="107" xfId="12" applyNumberFormat="1" applyFont="1" applyBorder="1" applyProtection="1"/>
    <xf numFmtId="172" fontId="21" fillId="0" borderId="37" xfId="12" applyNumberFormat="1" applyFont="1" applyBorder="1" applyAlignment="1" applyProtection="1">
      <alignment horizontal="center" wrapText="1"/>
    </xf>
    <xf numFmtId="172" fontId="21" fillId="0" borderId="38" xfId="12" applyNumberFormat="1" applyFont="1" applyBorder="1" applyAlignment="1" applyProtection="1">
      <alignment horizontal="center" wrapText="1"/>
    </xf>
    <xf numFmtId="172" fontId="21" fillId="0" borderId="11" xfId="12" applyNumberFormat="1" applyFont="1" applyBorder="1" applyAlignment="1" applyProtection="1">
      <alignment horizontal="center" wrapText="1"/>
    </xf>
    <xf numFmtId="172" fontId="21" fillId="0" borderId="58" xfId="12" applyNumberFormat="1" applyFont="1" applyBorder="1" applyAlignment="1" applyProtection="1">
      <alignment horizontal="center" wrapText="1"/>
    </xf>
    <xf numFmtId="0" fontId="10" fillId="0" borderId="54" xfId="0" applyFont="1" applyBorder="1">
      <alignment vertical="top"/>
    </xf>
    <xf numFmtId="0" fontId="10" fillId="0" borderId="56" xfId="0" applyFont="1" applyBorder="1">
      <alignment vertical="top"/>
    </xf>
    <xf numFmtId="3" fontId="42" fillId="0" borderId="0" xfId="0" applyNumberFormat="1" applyFont="1">
      <alignment vertical="top"/>
    </xf>
    <xf numFmtId="0" fontId="10" fillId="0" borderId="99" xfId="21" applyFont="1" applyBorder="1" applyProtection="1">
      <protection locked="0"/>
    </xf>
    <xf numFmtId="3" fontId="10" fillId="0" borderId="4" xfId="4" applyNumberFormat="1" applyFont="1" applyFill="1" applyBorder="1" applyAlignment="1" applyProtection="1">
      <alignment horizontal="right" vertical="top"/>
      <protection locked="0"/>
    </xf>
    <xf numFmtId="3" fontId="5" fillId="0" borderId="13" xfId="4" applyNumberFormat="1" applyFont="1" applyFill="1" applyBorder="1" applyAlignment="1" applyProtection="1">
      <alignment horizontal="right" vertical="top"/>
      <protection locked="0"/>
    </xf>
    <xf numFmtId="0" fontId="10" fillId="0" borderId="4" xfId="21" applyFont="1" applyBorder="1" applyAlignment="1" applyProtection="1">
      <alignment horizontal="right"/>
      <protection locked="0"/>
    </xf>
    <xf numFmtId="0" fontId="10" fillId="0" borderId="27" xfId="21" applyFont="1" applyBorder="1" applyAlignment="1" applyProtection="1">
      <alignment horizontal="right"/>
      <protection locked="0"/>
    </xf>
    <xf numFmtId="3" fontId="5" fillId="0" borderId="24" xfId="4" applyNumberFormat="1" applyFont="1" applyFill="1" applyBorder="1" applyAlignment="1" applyProtection="1">
      <alignment horizontal="right" vertical="top"/>
      <protection locked="0"/>
    </xf>
    <xf numFmtId="0" fontId="10" fillId="0" borderId="14" xfId="21" applyFont="1" applyBorder="1" applyProtection="1">
      <protection locked="0"/>
    </xf>
    <xf numFmtId="0" fontId="5" fillId="0" borderId="14" xfId="21" applyFont="1" applyBorder="1" applyProtection="1">
      <protection locked="0"/>
    </xf>
    <xf numFmtId="0" fontId="10" fillId="0" borderId="23" xfId="21" applyFont="1" applyBorder="1" applyProtection="1">
      <protection locked="0"/>
    </xf>
    <xf numFmtId="172" fontId="5" fillId="0" borderId="99" xfId="21" applyNumberFormat="1" applyFont="1" applyBorder="1" applyAlignment="1" applyProtection="1">
      <alignment horizontal="center"/>
      <protection locked="0"/>
    </xf>
    <xf numFmtId="0" fontId="5" fillId="0" borderId="99" xfId="21" applyFont="1" applyBorder="1" applyProtection="1">
      <protection locked="0"/>
    </xf>
    <xf numFmtId="172" fontId="5" fillId="0" borderId="88" xfId="21" applyNumberFormat="1" applyFont="1" applyBorder="1" applyAlignment="1" applyProtection="1">
      <alignment horizontal="center"/>
      <protection locked="0"/>
    </xf>
    <xf numFmtId="0" fontId="5" fillId="0" borderId="85" xfId="21" applyFont="1" applyBorder="1" applyProtection="1">
      <protection locked="0"/>
    </xf>
    <xf numFmtId="0" fontId="22" fillId="0" borderId="14" xfId="0" applyFont="1" applyBorder="1" applyProtection="1">
      <alignment vertical="top"/>
      <protection locked="0"/>
    </xf>
    <xf numFmtId="0" fontId="9" fillId="0" borderId="14" xfId="0" applyFont="1" applyBorder="1" applyAlignment="1" applyProtection="1">
      <alignment horizontal="left" vertical="top" indent="1"/>
      <protection locked="0"/>
    </xf>
    <xf numFmtId="0" fontId="21" fillId="0" borderId="14" xfId="23" applyNumberFormat="1" applyFont="1" applyFill="1" applyBorder="1" applyAlignment="1" applyProtection="1">
      <alignment horizontal="left" vertical="top"/>
      <protection locked="0"/>
    </xf>
    <xf numFmtId="0" fontId="21" fillId="0" borderId="23" xfId="0" applyFont="1" applyBorder="1" applyProtection="1">
      <alignment vertical="top"/>
      <protection locked="0"/>
    </xf>
    <xf numFmtId="0" fontId="8" fillId="0" borderId="24" xfId="0" applyFont="1" applyBorder="1" applyProtection="1">
      <alignment vertical="top"/>
      <protection locked="0"/>
    </xf>
    <xf numFmtId="0" fontId="9" fillId="0" borderId="33" xfId="0" applyFont="1" applyBorder="1" applyProtection="1">
      <alignment vertical="top"/>
      <protection locked="0"/>
    </xf>
    <xf numFmtId="0" fontId="10" fillId="0" borderId="14" xfId="21" quotePrefix="1" applyFont="1" applyBorder="1" applyProtection="1">
      <protection locked="0"/>
    </xf>
    <xf numFmtId="0" fontId="5" fillId="0" borderId="115" xfId="21" applyFont="1" applyBorder="1" applyProtection="1">
      <protection locked="0"/>
    </xf>
    <xf numFmtId="0" fontId="10" fillId="0" borderId="34" xfId="21" applyFont="1" applyBorder="1" applyProtection="1">
      <protection locked="0"/>
    </xf>
    <xf numFmtId="0" fontId="10" fillId="0" borderId="76" xfId="21" applyFont="1" applyBorder="1" applyProtection="1">
      <protection locked="0"/>
    </xf>
    <xf numFmtId="0" fontId="10" fillId="0" borderId="4" xfId="21" quotePrefix="1" applyFont="1" applyBorder="1" applyProtection="1">
      <protection locked="0"/>
    </xf>
    <xf numFmtId="0" fontId="18" fillId="0" borderId="0" xfId="0" applyFont="1">
      <alignment vertical="top"/>
    </xf>
    <xf numFmtId="0" fontId="11" fillId="0" borderId="0" xfId="0" applyFont="1">
      <alignment vertical="top"/>
    </xf>
    <xf numFmtId="0" fontId="8" fillId="0" borderId="62" xfId="0" applyFont="1" applyBorder="1" applyAlignment="1">
      <alignment horizontal="center" vertical="top" wrapText="1"/>
    </xf>
    <xf numFmtId="0" fontId="18" fillId="0" borderId="0" xfId="0" applyFont="1" applyAlignment="1">
      <alignment vertical="center" wrapText="1"/>
    </xf>
    <xf numFmtId="0" fontId="11" fillId="0" borderId="0" xfId="0" applyFont="1" applyAlignment="1">
      <alignment horizontal="right" vertical="center" wrapText="1"/>
    </xf>
    <xf numFmtId="0" fontId="11" fillId="0" borderId="0" xfId="0" applyFont="1" applyAlignment="1">
      <alignment vertical="center" wrapText="1"/>
    </xf>
    <xf numFmtId="3" fontId="13" fillId="8" borderId="0" xfId="0" applyNumberFormat="1" applyFont="1" applyFill="1" applyProtection="1">
      <alignment vertical="top"/>
      <protection locked="0"/>
    </xf>
    <xf numFmtId="0" fontId="9" fillId="0" borderId="0" xfId="0" quotePrefix="1" applyFont="1">
      <alignment vertical="top"/>
    </xf>
    <xf numFmtId="0" fontId="9" fillId="0" borderId="0" xfId="0" applyFont="1" applyAlignment="1" applyProtection="1">
      <alignment horizontal="left" vertical="top" wrapText="1"/>
      <protection locked="0"/>
    </xf>
    <xf numFmtId="0" fontId="0" fillId="0" borderId="62" xfId="0" applyBorder="1" applyAlignment="1">
      <alignment horizontal="center" vertical="top" wrapText="1"/>
    </xf>
    <xf numFmtId="0" fontId="0" fillId="0" borderId="0" xfId="0" applyAlignment="1">
      <alignment horizontal="center" vertical="top" wrapText="1"/>
    </xf>
    <xf numFmtId="0" fontId="8" fillId="0" borderId="0" xfId="28" applyFont="1" applyAlignment="1" applyProtection="1">
      <alignment horizontal="right"/>
      <protection locked="0"/>
    </xf>
    <xf numFmtId="0" fontId="8" fillId="0" borderId="62" xfId="0" applyFont="1" applyBorder="1" applyAlignment="1">
      <alignment horizontal="centerContinuous" vertical="top" wrapText="1"/>
    </xf>
    <xf numFmtId="0" fontId="0" fillId="0" borderId="62" xfId="0" applyBorder="1" applyAlignment="1">
      <alignment horizontal="centerContinuous" vertical="top" wrapText="1"/>
    </xf>
    <xf numFmtId="0" fontId="8" fillId="0" borderId="0" xfId="0" applyFont="1" applyAlignment="1">
      <alignment horizontal="centerContinuous" vertical="top" wrapText="1"/>
    </xf>
    <xf numFmtId="0" fontId="0" fillId="0" borderId="0" xfId="0" applyAlignment="1">
      <alignment horizontal="centerContinuous" vertical="top" wrapText="1"/>
    </xf>
    <xf numFmtId="0" fontId="9" fillId="0" borderId="62" xfId="0" applyFont="1" applyBorder="1" applyAlignment="1">
      <alignment horizontal="centerContinuous" vertical="top" wrapText="1"/>
    </xf>
    <xf numFmtId="10" fontId="11" fillId="8" borderId="0" xfId="23" applyFont="1" applyFill="1" applyAlignment="1">
      <alignment vertical="center" wrapText="1"/>
    </xf>
    <xf numFmtId="0" fontId="11" fillId="8" borderId="0" xfId="0" applyFont="1" applyFill="1" applyAlignment="1">
      <alignment horizontal="right" vertical="center" wrapText="1"/>
    </xf>
    <xf numFmtId="2" fontId="11" fillId="8" borderId="0" xfId="0" applyNumberFormat="1" applyFont="1" applyFill="1" applyAlignment="1">
      <alignment horizontal="right" vertical="center" wrapText="1"/>
    </xf>
    <xf numFmtId="0" fontId="43" fillId="11" borderId="0" xfId="0" applyFont="1" applyFill="1">
      <alignment vertical="top"/>
    </xf>
    <xf numFmtId="0" fontId="38" fillId="11" borderId="0" xfId="28" applyFill="1" applyProtection="1">
      <protection locked="0"/>
    </xf>
    <xf numFmtId="0" fontId="39" fillId="11" borderId="0" xfId="28" applyFont="1" applyFill="1" applyAlignment="1" applyProtection="1">
      <alignment horizontal="left" vertical="top" wrapText="1"/>
      <protection locked="0"/>
    </xf>
    <xf numFmtId="0" fontId="0" fillId="11" borderId="0" xfId="0" applyFill="1">
      <alignment vertical="top"/>
    </xf>
    <xf numFmtId="0" fontId="19" fillId="0" borderId="0" xfId="0" applyFont="1" applyProtection="1">
      <alignment vertical="top"/>
      <protection locked="0"/>
    </xf>
    <xf numFmtId="0" fontId="8" fillId="0" borderId="4" xfId="21" applyFont="1" applyBorder="1" applyProtection="1">
      <protection locked="0"/>
    </xf>
    <xf numFmtId="0" fontId="5" fillId="5" borderId="73" xfId="21" applyFont="1" applyFill="1" applyBorder="1" applyAlignment="1" applyProtection="1">
      <alignment wrapText="1"/>
      <protection locked="0"/>
    </xf>
    <xf numFmtId="3" fontId="5" fillId="0" borderId="72" xfId="21" applyNumberFormat="1" applyFont="1" applyBorder="1" applyProtection="1">
      <protection locked="0"/>
    </xf>
    <xf numFmtId="0" fontId="5" fillId="0" borderId="73" xfId="21" applyFont="1" applyBorder="1" applyProtection="1">
      <protection locked="0"/>
    </xf>
    <xf numFmtId="0" fontId="5" fillId="0" borderId="114" xfId="21" applyFont="1" applyBorder="1" applyProtection="1">
      <protection locked="0"/>
    </xf>
    <xf numFmtId="6" fontId="44" fillId="0" borderId="0" xfId="21" applyNumberFormat="1" applyFont="1" applyAlignment="1" applyProtection="1">
      <alignment horizontal="right"/>
      <protection locked="0"/>
    </xf>
    <xf numFmtId="0" fontId="44" fillId="0" borderId="0" xfId="21" applyFont="1" applyProtection="1">
      <protection locked="0"/>
    </xf>
    <xf numFmtId="0" fontId="44" fillId="8" borderId="5" xfId="21" applyFont="1" applyFill="1" applyBorder="1" applyProtection="1">
      <protection locked="0"/>
    </xf>
    <xf numFmtId="172" fontId="5" fillId="0" borderId="72" xfId="21" applyNumberFormat="1" applyFont="1" applyBorder="1" applyAlignment="1" applyProtection="1">
      <alignment horizontal="center" wrapText="1"/>
      <protection locked="0"/>
    </xf>
    <xf numFmtId="0" fontId="8" fillId="0" borderId="65" xfId="0" applyFont="1" applyBorder="1" applyAlignment="1" applyProtection="1">
      <alignment horizontal="right" vertical="top" wrapText="1"/>
      <protection locked="0"/>
    </xf>
    <xf numFmtId="0" fontId="0" fillId="0" borderId="64" xfId="0" applyBorder="1">
      <alignment vertical="top"/>
    </xf>
    <xf numFmtId="0" fontId="9" fillId="0" borderId="64" xfId="0" quotePrefix="1" applyFont="1" applyBorder="1">
      <alignment vertical="top"/>
    </xf>
    <xf numFmtId="0" fontId="9" fillId="0" borderId="46" xfId="0" quotePrefix="1" applyFont="1" applyBorder="1">
      <alignment vertical="top"/>
    </xf>
    <xf numFmtId="3" fontId="0" fillId="0" borderId="0" xfId="0" applyNumberFormat="1">
      <alignment vertical="top"/>
    </xf>
    <xf numFmtId="3" fontId="0" fillId="0" borderId="64" xfId="0" applyNumberFormat="1" applyBorder="1">
      <alignment vertical="top"/>
    </xf>
    <xf numFmtId="2" fontId="9" fillId="0" borderId="0" xfId="21" applyNumberFormat="1" applyFont="1" applyAlignment="1" applyProtection="1">
      <alignment horizontal="right" vertical="center"/>
      <protection locked="0"/>
    </xf>
    <xf numFmtId="0" fontId="42" fillId="11" borderId="0" xfId="28" applyFont="1" applyFill="1" applyProtection="1">
      <protection locked="0"/>
    </xf>
    <xf numFmtId="0" fontId="9" fillId="0" borderId="0" xfId="0" applyFont="1" applyAlignment="1">
      <alignment horizontal="center" vertical="top" wrapText="1"/>
    </xf>
    <xf numFmtId="0" fontId="42" fillId="11" borderId="0" xfId="0" applyFont="1" applyFill="1">
      <alignment vertical="top"/>
    </xf>
    <xf numFmtId="0" fontId="19" fillId="0" borderId="0" xfId="0" applyFont="1" applyAlignment="1" applyProtection="1">
      <alignment horizontal="right" vertical="top"/>
      <protection locked="0"/>
    </xf>
    <xf numFmtId="1" fontId="44" fillId="8" borderId="5" xfId="21" applyNumberFormat="1" applyFont="1" applyFill="1" applyBorder="1" applyAlignment="1" applyProtection="1">
      <alignment horizontal="left" vertical="center"/>
      <protection locked="0"/>
    </xf>
    <xf numFmtId="0" fontId="19" fillId="0" borderId="85" xfId="0" applyFont="1" applyBorder="1" applyAlignment="1" applyProtection="1">
      <alignment vertical="top" wrapText="1"/>
      <protection locked="0"/>
    </xf>
    <xf numFmtId="0" fontId="8" fillId="0" borderId="111" xfId="0" applyFont="1" applyBorder="1" applyAlignment="1" applyProtection="1">
      <alignment vertical="top" wrapText="1"/>
      <protection locked="0"/>
    </xf>
    <xf numFmtId="172" fontId="10" fillId="0" borderId="11" xfId="0" applyNumberFormat="1" applyFont="1" applyBorder="1" applyAlignment="1" applyProtection="1">
      <alignment horizontal="center" vertical="top" wrapText="1"/>
      <protection locked="0"/>
    </xf>
    <xf numFmtId="3" fontId="9" fillId="0" borderId="0" xfId="0" applyNumberFormat="1" applyFont="1" applyAlignment="1" applyProtection="1">
      <alignment vertical="top" wrapText="1"/>
      <protection locked="0"/>
    </xf>
    <xf numFmtId="0" fontId="8" fillId="0" borderId="0" xfId="0" applyFont="1" applyAlignment="1" applyProtection="1">
      <alignment vertical="top" wrapText="1"/>
      <protection locked="0"/>
    </xf>
    <xf numFmtId="0" fontId="5" fillId="0" borderId="73" xfId="21" applyFont="1" applyBorder="1" applyAlignment="1" applyProtection="1">
      <alignment wrapText="1"/>
      <protection locked="0"/>
    </xf>
    <xf numFmtId="0" fontId="10" fillId="0" borderId="72" xfId="21" applyFont="1" applyBorder="1" applyAlignment="1" applyProtection="1">
      <alignment wrapText="1"/>
      <protection locked="0"/>
    </xf>
    <xf numFmtId="0" fontId="5" fillId="0" borderId="72" xfId="21" applyFont="1" applyBorder="1" applyAlignment="1" applyProtection="1">
      <alignment wrapText="1"/>
      <protection locked="0"/>
    </xf>
    <xf numFmtId="172" fontId="5" fillId="0" borderId="74" xfId="21" applyNumberFormat="1" applyFont="1" applyBorder="1" applyAlignment="1" applyProtection="1">
      <alignment horizontal="center" wrapText="1"/>
      <protection locked="0"/>
    </xf>
    <xf numFmtId="0" fontId="20" fillId="0" borderId="0" xfId="21" applyAlignment="1" applyProtection="1">
      <alignment wrapText="1"/>
      <protection locked="0"/>
    </xf>
    <xf numFmtId="0" fontId="16" fillId="0" borderId="0" xfId="0" applyFont="1" applyAlignment="1" applyProtection="1">
      <alignment horizontal="left" vertical="top"/>
      <protection locked="0"/>
    </xf>
    <xf numFmtId="0" fontId="5" fillId="0" borderId="0" xfId="0" applyFont="1" applyAlignment="1" applyProtection="1">
      <alignment horizontal="right" vertical="top"/>
      <protection locked="0"/>
    </xf>
    <xf numFmtId="0" fontId="10" fillId="0" borderId="0" xfId="28" applyFont="1" applyProtection="1">
      <protection locked="0"/>
    </xf>
    <xf numFmtId="0" fontId="44" fillId="0" borderId="0" xfId="28" applyFont="1" applyProtection="1">
      <protection locked="0"/>
    </xf>
    <xf numFmtId="0" fontId="8" fillId="5" borderId="73" xfId="21" applyFont="1" applyFill="1" applyBorder="1" applyAlignment="1" applyProtection="1">
      <alignment wrapText="1"/>
      <protection locked="0"/>
    </xf>
    <xf numFmtId="0" fontId="5" fillId="5" borderId="72" xfId="21" applyFont="1" applyFill="1" applyBorder="1" applyAlignment="1" applyProtection="1">
      <alignment wrapText="1"/>
      <protection locked="0"/>
    </xf>
    <xf numFmtId="1" fontId="44" fillId="0" borderId="5" xfId="28" applyNumberFormat="1" applyFont="1" applyBorder="1" applyAlignment="1" applyProtection="1">
      <alignment horizontal="left" vertical="center"/>
      <protection locked="0"/>
    </xf>
    <xf numFmtId="3" fontId="10" fillId="0" borderId="4" xfId="21" applyNumberFormat="1" applyFont="1" applyBorder="1" applyProtection="1">
      <protection locked="0"/>
    </xf>
    <xf numFmtId="0" fontId="5" fillId="0" borderId="72" xfId="21" applyFont="1" applyBorder="1" applyAlignment="1" applyProtection="1">
      <alignment horizontal="center" wrapText="1"/>
      <protection locked="0"/>
    </xf>
    <xf numFmtId="1" fontId="44" fillId="8" borderId="5" xfId="28" applyNumberFormat="1" applyFont="1" applyFill="1" applyBorder="1" applyAlignment="1" applyProtection="1">
      <alignment horizontal="left" vertical="center"/>
      <protection locked="0"/>
    </xf>
    <xf numFmtId="3" fontId="10" fillId="12" borderId="4" xfId="4" applyNumberFormat="1" applyFont="1" applyFill="1" applyBorder="1" applyAlignment="1" applyProtection="1">
      <alignment horizontal="right" vertical="top"/>
      <protection locked="0"/>
    </xf>
    <xf numFmtId="0" fontId="10" fillId="12" borderId="4" xfId="21" applyFont="1" applyFill="1" applyBorder="1" applyProtection="1">
      <protection locked="0"/>
    </xf>
    <xf numFmtId="3" fontId="10" fillId="12" borderId="4" xfId="4" applyNumberFormat="1" applyFont="1" applyFill="1" applyBorder="1" applyAlignment="1" applyProtection="1">
      <alignment horizontal="center" vertical="top"/>
      <protection locked="0"/>
    </xf>
    <xf numFmtId="172" fontId="5" fillId="0" borderId="114" xfId="21" applyNumberFormat="1" applyFont="1" applyBorder="1" applyAlignment="1" applyProtection="1">
      <alignment horizontal="center" wrapText="1"/>
      <protection locked="0"/>
    </xf>
    <xf numFmtId="172" fontId="5" fillId="0" borderId="115" xfId="21" applyNumberFormat="1" applyFont="1" applyBorder="1" applyAlignment="1" applyProtection="1">
      <alignment horizontal="center"/>
      <protection locked="0"/>
    </xf>
    <xf numFmtId="0" fontId="10" fillId="0" borderId="76" xfId="21" applyFont="1" applyBorder="1" applyAlignment="1" applyProtection="1">
      <alignment horizontal="right"/>
      <protection locked="0"/>
    </xf>
    <xf numFmtId="3" fontId="5" fillId="0" borderId="114" xfId="21" applyNumberFormat="1" applyFont="1" applyBorder="1" applyProtection="1">
      <protection locked="0"/>
    </xf>
    <xf numFmtId="3" fontId="5" fillId="0" borderId="4" xfId="4" applyNumberFormat="1" applyFont="1" applyFill="1" applyBorder="1" applyAlignment="1" applyProtection="1">
      <alignment horizontal="right" vertical="top"/>
      <protection locked="0"/>
    </xf>
    <xf numFmtId="3" fontId="5" fillId="0" borderId="27" xfId="4" applyNumberFormat="1" applyFont="1" applyFill="1" applyBorder="1" applyAlignment="1" applyProtection="1">
      <alignment horizontal="right" vertical="top"/>
      <protection locked="0"/>
    </xf>
    <xf numFmtId="3" fontId="10" fillId="12" borderId="34" xfId="4" applyNumberFormat="1" applyFont="1" applyFill="1" applyBorder="1" applyAlignment="1" applyProtection="1">
      <alignment horizontal="right" vertical="top"/>
      <protection locked="0"/>
    </xf>
    <xf numFmtId="5" fontId="11" fillId="0" borderId="0" xfId="0" applyNumberFormat="1" applyFont="1" applyAlignment="1">
      <alignment vertical="center"/>
    </xf>
    <xf numFmtId="178" fontId="5" fillId="0" borderId="0" xfId="0" applyNumberFormat="1" applyFont="1" applyProtection="1">
      <alignment vertical="top"/>
      <protection locked="0"/>
    </xf>
    <xf numFmtId="178" fontId="5" fillId="0" borderId="0" xfId="0" applyNumberFormat="1" applyFont="1" applyAlignment="1" applyProtection="1">
      <alignment horizontal="left" vertical="top"/>
      <protection locked="0"/>
    </xf>
    <xf numFmtId="0" fontId="5" fillId="0" borderId="0" xfId="0" applyFont="1" applyAlignment="1" applyProtection="1">
      <alignment horizontal="left" vertical="top"/>
      <protection locked="0"/>
    </xf>
    <xf numFmtId="1" fontId="24" fillId="8" borderId="5" xfId="21" applyNumberFormat="1" applyFont="1" applyFill="1" applyBorder="1" applyAlignment="1" applyProtection="1">
      <alignment horizontal="left" vertical="center"/>
      <protection locked="0"/>
    </xf>
    <xf numFmtId="178" fontId="5" fillId="0" borderId="0" xfId="0" applyNumberFormat="1" applyFont="1" applyAlignment="1" applyProtection="1">
      <alignment horizontal="right" vertical="top"/>
      <protection locked="0"/>
    </xf>
    <xf numFmtId="178" fontId="5" fillId="0" borderId="0" xfId="0" applyNumberFormat="1" applyFont="1" applyAlignment="1" applyProtection="1">
      <alignment horizontal="center" vertical="top"/>
      <protection locked="0"/>
    </xf>
    <xf numFmtId="1" fontId="44" fillId="11" borderId="5" xfId="28" applyNumberFormat="1" applyFont="1" applyFill="1" applyBorder="1" applyAlignment="1" applyProtection="1">
      <alignment horizontal="left" vertical="center"/>
      <protection locked="0"/>
    </xf>
    <xf numFmtId="0" fontId="46" fillId="0" borderId="0" xfId="0" applyFont="1" applyProtection="1">
      <alignment vertical="top"/>
      <protection locked="0"/>
    </xf>
    <xf numFmtId="10" fontId="46" fillId="0" borderId="0" xfId="0" applyNumberFormat="1" applyFont="1" applyProtection="1">
      <alignment vertical="top"/>
      <protection locked="0"/>
    </xf>
    <xf numFmtId="0" fontId="49" fillId="0" borderId="0" xfId="0" applyFont="1" applyProtection="1">
      <alignment vertical="top"/>
      <protection locked="0"/>
    </xf>
    <xf numFmtId="0" fontId="51" fillId="0" borderId="0" xfId="0" applyFont="1" applyProtection="1">
      <alignment vertical="top"/>
      <protection locked="0"/>
    </xf>
    <xf numFmtId="14" fontId="46" fillId="0" borderId="0" xfId="0" applyNumberFormat="1" applyFont="1" applyProtection="1">
      <alignment vertical="top"/>
      <protection locked="0"/>
    </xf>
    <xf numFmtId="0" fontId="47" fillId="0" borderId="0" xfId="0" applyFont="1" applyProtection="1">
      <alignment vertical="top"/>
      <protection locked="0"/>
    </xf>
    <xf numFmtId="172" fontId="49" fillId="0" borderId="0" xfId="0" applyNumberFormat="1" applyFont="1" applyAlignment="1" applyProtection="1">
      <alignment horizontal="center" vertical="top"/>
      <protection locked="0"/>
    </xf>
    <xf numFmtId="0" fontId="49" fillId="0" borderId="0" xfId="0" applyFont="1" applyAlignment="1" applyProtection="1">
      <alignment horizontal="center" vertical="top"/>
      <protection locked="0"/>
    </xf>
    <xf numFmtId="172" fontId="49" fillId="8" borderId="5" xfId="0" applyNumberFormat="1" applyFont="1" applyFill="1" applyBorder="1" applyAlignment="1" applyProtection="1">
      <alignment horizontal="center" vertical="top" wrapText="1"/>
      <protection locked="0"/>
    </xf>
    <xf numFmtId="0" fontId="49" fillId="8" borderId="5" xfId="0" applyFont="1" applyFill="1" applyBorder="1" applyAlignment="1" applyProtection="1">
      <alignment horizontal="center" vertical="top"/>
      <protection locked="0"/>
    </xf>
    <xf numFmtId="171" fontId="52" fillId="0" borderId="0" xfId="0" applyNumberFormat="1" applyFont="1" applyAlignment="1" applyProtection="1">
      <alignment horizontal="center" vertical="top"/>
      <protection locked="0"/>
    </xf>
    <xf numFmtId="0" fontId="49" fillId="0" borderId="42" xfId="0" applyFont="1" applyBorder="1" applyAlignment="1" applyProtection="1">
      <alignment horizontal="center" vertical="top"/>
      <protection locked="0"/>
    </xf>
    <xf numFmtId="171" fontId="52" fillId="0" borderId="42" xfId="0" applyNumberFormat="1" applyFont="1" applyBorder="1" applyAlignment="1">
      <alignment horizontal="center" vertical="top"/>
    </xf>
    <xf numFmtId="171" fontId="46" fillId="0" borderId="0" xfId="0" applyNumberFormat="1" applyFont="1" applyAlignment="1" applyProtection="1">
      <alignment horizontal="centerContinuous" vertical="top" wrapText="1"/>
      <protection locked="0"/>
    </xf>
    <xf numFmtId="0" fontId="46" fillId="0" borderId="0" xfId="0" applyFont="1" applyAlignment="1" applyProtection="1">
      <alignment horizontal="center"/>
      <protection locked="0"/>
    </xf>
    <xf numFmtId="0" fontId="49" fillId="0" borderId="43" xfId="0" applyFont="1" applyBorder="1" applyAlignment="1" applyProtection="1">
      <alignment horizontal="center" vertical="top" wrapText="1"/>
      <protection locked="0"/>
    </xf>
    <xf numFmtId="171" fontId="46" fillId="0" borderId="43" xfId="0" applyNumberFormat="1" applyFont="1" applyBorder="1" applyAlignment="1">
      <alignment horizontal="center" vertical="top" wrapText="1"/>
    </xf>
    <xf numFmtId="171" fontId="46" fillId="0" borderId="43" xfId="0" applyNumberFormat="1" applyFont="1" applyBorder="1" applyAlignment="1">
      <alignment horizontal="centerContinuous" vertical="top" wrapText="1"/>
    </xf>
    <xf numFmtId="0" fontId="52" fillId="0" borderId="0" xfId="0" applyFont="1" applyProtection="1">
      <alignment vertical="top"/>
      <protection locked="0"/>
    </xf>
    <xf numFmtId="0" fontId="52" fillId="0" borderId="5" xfId="0" applyFont="1" applyBorder="1" applyAlignment="1" applyProtection="1">
      <alignment horizontal="center" vertical="top"/>
      <protection locked="0"/>
    </xf>
    <xf numFmtId="167" fontId="52" fillId="0" borderId="5" xfId="0" applyNumberFormat="1" applyFont="1" applyBorder="1" applyAlignment="1">
      <alignment horizontal="center" vertical="top"/>
    </xf>
    <xf numFmtId="0" fontId="52" fillId="0" borderId="5" xfId="0" applyFont="1" applyBorder="1" applyAlignment="1">
      <alignment horizontal="center" vertical="top"/>
    </xf>
    <xf numFmtId="168" fontId="46" fillId="0" borderId="0" xfId="0" applyNumberFormat="1" applyFont="1" applyProtection="1">
      <alignment vertical="top"/>
      <protection locked="0"/>
    </xf>
    <xf numFmtId="0" fontId="47" fillId="0" borderId="0" xfId="0" applyFont="1" applyAlignment="1" applyProtection="1">
      <alignment horizontal="center"/>
      <protection locked="0"/>
    </xf>
    <xf numFmtId="0" fontId="46" fillId="0" borderId="34" xfId="0" applyFont="1" applyBorder="1" applyProtection="1">
      <alignment vertical="top"/>
      <protection locked="0"/>
    </xf>
    <xf numFmtId="0" fontId="46" fillId="0" borderId="42" xfId="0" applyFont="1" applyBorder="1" applyProtection="1">
      <alignment vertical="top"/>
      <protection locked="0"/>
    </xf>
    <xf numFmtId="0" fontId="47" fillId="0" borderId="42" xfId="0" applyFont="1" applyBorder="1" applyAlignment="1" applyProtection="1">
      <alignment horizontal="center" vertical="top"/>
      <protection locked="0"/>
    </xf>
    <xf numFmtId="0" fontId="47" fillId="0" borderId="42" xfId="0" applyFont="1" applyBorder="1" applyAlignment="1" applyProtection="1">
      <alignment horizontal="center" wrapText="1"/>
      <protection locked="0"/>
    </xf>
    <xf numFmtId="0" fontId="46" fillId="0" borderId="42" xfId="0" applyFont="1" applyBorder="1">
      <alignment vertical="top"/>
    </xf>
    <xf numFmtId="0" fontId="46" fillId="0" borderId="44" xfId="0" applyFont="1" applyBorder="1">
      <alignment vertical="top"/>
    </xf>
    <xf numFmtId="0" fontId="47" fillId="0" borderId="42" xfId="0" applyFont="1" applyBorder="1" applyAlignment="1">
      <alignment horizontal="center" vertical="top"/>
    </xf>
    <xf numFmtId="0" fontId="47" fillId="0" borderId="42" xfId="0" applyFont="1" applyBorder="1" applyAlignment="1">
      <alignment horizontal="center" wrapText="1"/>
    </xf>
    <xf numFmtId="0" fontId="46" fillId="0" borderId="4" xfId="0" applyFont="1" applyBorder="1" applyProtection="1">
      <alignment vertical="top"/>
      <protection locked="0"/>
    </xf>
    <xf numFmtId="171" fontId="46" fillId="0" borderId="4" xfId="0" applyNumberFormat="1" applyFont="1" applyBorder="1" applyAlignment="1">
      <alignment horizontal="center" vertical="top"/>
    </xf>
    <xf numFmtId="0" fontId="46" fillId="0" borderId="0" xfId="0" applyFont="1" applyAlignment="1">
      <alignment horizontal="center" vertical="top"/>
    </xf>
    <xf numFmtId="0" fontId="46" fillId="0" borderId="34" xfId="0" applyFont="1" applyBorder="1" applyAlignment="1">
      <alignment horizontal="center" vertical="top"/>
    </xf>
    <xf numFmtId="0" fontId="46" fillId="0" borderId="4" xfId="0" applyFont="1" applyBorder="1">
      <alignment vertical="top"/>
    </xf>
    <xf numFmtId="0" fontId="46" fillId="0" borderId="4" xfId="0" applyFont="1" applyBorder="1" applyAlignment="1">
      <alignment horizontal="center"/>
    </xf>
    <xf numFmtId="10" fontId="52" fillId="0" borderId="4" xfId="0" applyNumberFormat="1" applyFont="1" applyBorder="1">
      <alignment vertical="top"/>
    </xf>
    <xf numFmtId="10" fontId="46" fillId="0" borderId="4" xfId="0" applyNumberFormat="1" applyFont="1" applyBorder="1">
      <alignment vertical="top"/>
    </xf>
    <xf numFmtId="2" fontId="46" fillId="0" borderId="4" xfId="0" applyNumberFormat="1" applyFont="1" applyBorder="1">
      <alignment vertical="top"/>
    </xf>
    <xf numFmtId="2" fontId="46" fillId="0" borderId="0" xfId="0" applyNumberFormat="1" applyFont="1" applyProtection="1">
      <alignment vertical="top"/>
      <protection locked="0"/>
    </xf>
    <xf numFmtId="0" fontId="46" fillId="0" borderId="45" xfId="0" applyFont="1" applyBorder="1" applyProtection="1">
      <alignment vertical="top"/>
      <protection locked="0"/>
    </xf>
    <xf numFmtId="171" fontId="46" fillId="0" borderId="45" xfId="0" applyNumberFormat="1" applyFont="1" applyBorder="1" applyAlignment="1">
      <alignment horizontal="center" vertical="top"/>
    </xf>
    <xf numFmtId="0" fontId="46" fillId="0" borderId="78" xfId="0" applyFont="1" applyBorder="1" applyAlignment="1">
      <alignment horizontal="center" vertical="top"/>
    </xf>
    <xf numFmtId="0" fontId="46" fillId="0" borderId="79" xfId="0" applyFont="1" applyBorder="1" applyAlignment="1">
      <alignment horizontal="center" vertical="top"/>
    </xf>
    <xf numFmtId="0" fontId="46" fillId="0" borderId="45" xfId="0" applyFont="1" applyBorder="1">
      <alignment vertical="top"/>
    </xf>
    <xf numFmtId="0" fontId="46" fillId="0" borderId="45" xfId="0" applyFont="1" applyBorder="1" applyAlignment="1">
      <alignment horizontal="center"/>
    </xf>
    <xf numFmtId="10" fontId="46" fillId="0" borderId="45" xfId="0" applyNumberFormat="1" applyFont="1" applyBorder="1">
      <alignment vertical="top"/>
    </xf>
    <xf numFmtId="168" fontId="46" fillId="0" borderId="45" xfId="0" applyNumberFormat="1" applyFont="1" applyBorder="1">
      <alignment vertical="top"/>
    </xf>
    <xf numFmtId="0" fontId="46" fillId="0" borderId="44" xfId="0" applyFont="1" applyBorder="1" applyProtection="1">
      <alignment vertical="top"/>
      <protection locked="0"/>
    </xf>
    <xf numFmtId="171" fontId="46" fillId="0" borderId="4" xfId="0" applyNumberFormat="1" applyFont="1" applyBorder="1" applyAlignment="1" applyProtection="1">
      <alignment horizontal="center" vertical="top"/>
      <protection locked="0"/>
    </xf>
    <xf numFmtId="171" fontId="46" fillId="0" borderId="45" xfId="0" applyNumberFormat="1" applyFont="1" applyBorder="1" applyAlignment="1" applyProtection="1">
      <alignment horizontal="center" vertical="top"/>
      <protection locked="0"/>
    </xf>
    <xf numFmtId="171" fontId="46" fillId="0" borderId="0" xfId="0" applyNumberFormat="1" applyFont="1" applyProtection="1">
      <alignment vertical="top"/>
      <protection locked="0"/>
    </xf>
    <xf numFmtId="0" fontId="47" fillId="0" borderId="65" xfId="22" applyFont="1" applyBorder="1" applyProtection="1">
      <protection locked="0"/>
    </xf>
    <xf numFmtId="0" fontId="47" fillId="0" borderId="5" xfId="22" applyFont="1" applyBorder="1" applyAlignment="1" applyProtection="1">
      <alignment horizontal="center"/>
      <protection locked="0"/>
    </xf>
    <xf numFmtId="0" fontId="46" fillId="0" borderId="46" xfId="22" applyFont="1" applyBorder="1" applyProtection="1">
      <protection locked="0"/>
    </xf>
    <xf numFmtId="0" fontId="46" fillId="0" borderId="0" xfId="22" applyFont="1" applyProtection="1">
      <protection locked="0"/>
    </xf>
    <xf numFmtId="0" fontId="46" fillId="0" borderId="44" xfId="22" applyFont="1" applyBorder="1" applyProtection="1">
      <protection locked="0"/>
    </xf>
    <xf numFmtId="0" fontId="46" fillId="0" borderId="16" xfId="22" applyFont="1" applyBorder="1" applyAlignment="1" applyProtection="1">
      <alignment horizontal="left" indent="1"/>
      <protection locked="0"/>
    </xf>
    <xf numFmtId="0" fontId="46" fillId="0" borderId="0" xfId="22" applyFont="1" applyAlignment="1" applyProtection="1">
      <alignment horizontal="left"/>
      <protection locked="0"/>
    </xf>
    <xf numFmtId="0" fontId="46" fillId="0" borderId="61" xfId="22" applyFont="1" applyBorder="1" applyAlignment="1" applyProtection="1">
      <alignment horizontal="left" indent="1"/>
      <protection locked="0"/>
    </xf>
    <xf numFmtId="0" fontId="46" fillId="0" borderId="62" xfId="22" applyFont="1" applyBorder="1" applyAlignment="1" applyProtection="1">
      <alignment horizontal="left"/>
      <protection locked="0"/>
    </xf>
    <xf numFmtId="0" fontId="46" fillId="0" borderId="62" xfId="22" applyFont="1" applyBorder="1" applyProtection="1">
      <protection locked="0"/>
    </xf>
    <xf numFmtId="1" fontId="46" fillId="0" borderId="0" xfId="0" applyNumberFormat="1" applyFont="1" applyProtection="1">
      <alignment vertical="top"/>
      <protection locked="0"/>
    </xf>
    <xf numFmtId="0" fontId="47" fillId="0" borderId="46" xfId="22" applyFont="1" applyBorder="1" applyProtection="1">
      <protection locked="0"/>
    </xf>
    <xf numFmtId="0" fontId="46" fillId="0" borderId="44" xfId="22" applyFont="1" applyBorder="1" applyAlignment="1" applyProtection="1">
      <alignment horizontal="center"/>
      <protection locked="0"/>
    </xf>
    <xf numFmtId="0" fontId="46" fillId="0" borderId="0" xfId="0" applyFont="1" applyAlignment="1" applyProtection="1">
      <alignment horizontal="left" vertical="top"/>
      <protection locked="0"/>
    </xf>
    <xf numFmtId="0" fontId="46" fillId="0" borderId="34" xfId="22" applyFont="1" applyBorder="1" applyProtection="1">
      <protection locked="0"/>
    </xf>
    <xf numFmtId="0" fontId="46" fillId="0" borderId="62" xfId="0" applyFont="1" applyBorder="1" applyAlignment="1" applyProtection="1">
      <alignment horizontal="left" vertical="top"/>
      <protection locked="0"/>
    </xf>
    <xf numFmtId="0" fontId="46" fillId="0" borderId="62" xfId="0" applyFont="1" applyBorder="1" applyProtection="1">
      <alignment vertical="top"/>
      <protection locked="0"/>
    </xf>
    <xf numFmtId="0" fontId="46" fillId="0" borderId="63" xfId="22" applyFont="1" applyBorder="1" applyProtection="1">
      <protection locked="0"/>
    </xf>
    <xf numFmtId="0" fontId="47" fillId="0" borderId="64" xfId="22" applyFont="1" applyBorder="1" applyProtection="1">
      <protection locked="0"/>
    </xf>
    <xf numFmtId="0" fontId="46" fillId="0" borderId="64" xfId="0" applyFont="1" applyBorder="1" applyAlignment="1" applyProtection="1">
      <alignment horizontal="left" vertical="top"/>
      <protection locked="0"/>
    </xf>
    <xf numFmtId="0" fontId="46" fillId="0" borderId="64" xfId="22" applyFont="1" applyBorder="1" applyProtection="1">
      <protection locked="0"/>
    </xf>
    <xf numFmtId="0" fontId="47" fillId="0" borderId="65" xfId="22" applyFont="1" applyBorder="1" applyAlignment="1" applyProtection="1">
      <alignment horizontal="left" indent="1"/>
      <protection locked="0"/>
    </xf>
    <xf numFmtId="0" fontId="46" fillId="0" borderId="65" xfId="22" applyFont="1" applyBorder="1" applyAlignment="1" applyProtection="1">
      <alignment horizontal="left" indent="2"/>
      <protection locked="0"/>
    </xf>
    <xf numFmtId="0" fontId="46" fillId="0" borderId="61" xfId="22" applyFont="1" applyBorder="1" applyAlignment="1" applyProtection="1">
      <alignment horizontal="center"/>
      <protection locked="0"/>
    </xf>
    <xf numFmtId="0" fontId="46" fillId="0" borderId="46" xfId="22" applyFont="1" applyBorder="1" applyAlignment="1" applyProtection="1">
      <alignment horizontal="center" wrapText="1"/>
      <protection locked="0"/>
    </xf>
    <xf numFmtId="0" fontId="46" fillId="0" borderId="61" xfId="22" applyFont="1" applyBorder="1" applyAlignment="1" applyProtection="1">
      <alignment horizontal="left" indent="2"/>
      <protection locked="0"/>
    </xf>
    <xf numFmtId="0" fontId="46" fillId="0" borderId="65" xfId="22" applyFont="1" applyBorder="1" applyAlignment="1" applyProtection="1">
      <alignment horizontal="center"/>
      <protection locked="0"/>
    </xf>
    <xf numFmtId="0" fontId="46" fillId="0" borderId="0" xfId="0" applyFont="1" applyAlignment="1" applyProtection="1">
      <alignment horizontal="center" vertical="top" wrapText="1"/>
      <protection locked="0"/>
    </xf>
    <xf numFmtId="0" fontId="46" fillId="0" borderId="0" xfId="0" applyFont="1" applyAlignment="1" applyProtection="1">
      <alignment vertical="top" wrapText="1"/>
      <protection locked="0"/>
    </xf>
    <xf numFmtId="14" fontId="46" fillId="0" borderId="0" xfId="0" applyNumberFormat="1" applyFont="1" applyAlignment="1" applyProtection="1">
      <alignment horizontal="center" vertical="top" wrapText="1"/>
      <protection locked="0"/>
    </xf>
    <xf numFmtId="0" fontId="46" fillId="0" borderId="64" xfId="22" applyFont="1" applyBorder="1" applyAlignment="1" applyProtection="1">
      <alignment horizontal="center" wrapText="1"/>
      <protection locked="0"/>
    </xf>
    <xf numFmtId="0" fontId="46" fillId="0" borderId="65" xfId="22" applyFont="1" applyBorder="1" applyAlignment="1" applyProtection="1">
      <alignment horizontal="left" indent="1"/>
      <protection locked="0"/>
    </xf>
    <xf numFmtId="0" fontId="46" fillId="0" borderId="65" xfId="22" applyFont="1" applyBorder="1" applyAlignment="1" applyProtection="1">
      <alignment horizontal="left"/>
      <protection locked="0"/>
    </xf>
    <xf numFmtId="0" fontId="46" fillId="0" borderId="64" xfId="22" applyFont="1" applyBorder="1" applyAlignment="1" applyProtection="1">
      <alignment horizontal="left" wrapText="1"/>
      <protection locked="0"/>
    </xf>
    <xf numFmtId="14" fontId="46" fillId="0" borderId="0" xfId="22" applyNumberFormat="1" applyFont="1" applyAlignment="1" applyProtection="1">
      <alignment horizontal="center" wrapText="1"/>
      <protection locked="0"/>
    </xf>
    <xf numFmtId="0" fontId="54" fillId="0" borderId="0" xfId="22" applyFont="1" applyProtection="1">
      <protection locked="0"/>
    </xf>
    <xf numFmtId="0" fontId="47" fillId="0" borderId="60" xfId="22" applyFont="1" applyBorder="1" applyAlignment="1" applyProtection="1">
      <alignment horizontal="left" indent="1"/>
      <protection locked="0"/>
    </xf>
    <xf numFmtId="0" fontId="47" fillId="0" borderId="44" xfId="22" applyFont="1" applyBorder="1" applyAlignment="1" applyProtection="1">
      <alignment horizontal="center"/>
      <protection locked="0"/>
    </xf>
    <xf numFmtId="0" fontId="47" fillId="0" borderId="66" xfId="22" applyFont="1" applyBorder="1" applyAlignment="1" applyProtection="1">
      <alignment horizontal="center"/>
      <protection locked="0"/>
    </xf>
    <xf numFmtId="0" fontId="46" fillId="0" borderId="16" xfId="22" applyFont="1" applyBorder="1" applyAlignment="1" applyProtection="1">
      <alignment horizontal="left" indent="2"/>
      <protection locked="0"/>
    </xf>
    <xf numFmtId="0" fontId="46" fillId="0" borderId="66" xfId="22" applyFont="1" applyBorder="1" applyProtection="1">
      <protection locked="0"/>
    </xf>
    <xf numFmtId="0" fontId="46" fillId="0" borderId="61" xfId="22" applyFont="1" applyBorder="1" applyProtection="1">
      <protection locked="0"/>
    </xf>
    <xf numFmtId="178" fontId="47" fillId="0" borderId="0" xfId="0" applyNumberFormat="1" applyFont="1" applyProtection="1">
      <alignment vertical="top"/>
      <protection locked="0"/>
    </xf>
    <xf numFmtId="178" fontId="47" fillId="0" borderId="0" xfId="0" applyNumberFormat="1" applyFont="1" applyAlignment="1" applyProtection="1">
      <alignment horizontal="center" vertical="top"/>
      <protection locked="0"/>
    </xf>
    <xf numFmtId="0" fontId="46" fillId="0" borderId="16" xfId="21" applyFont="1" applyBorder="1" applyProtection="1">
      <protection locked="0"/>
    </xf>
    <xf numFmtId="0" fontId="47" fillId="0" borderId="53" xfId="21" applyFont="1" applyBorder="1" applyProtection="1">
      <protection locked="0"/>
    </xf>
    <xf numFmtId="0" fontId="46" fillId="0" borderId="105" xfId="21" applyFont="1" applyBorder="1" applyProtection="1">
      <protection locked="0"/>
    </xf>
    <xf numFmtId="0" fontId="46" fillId="0" borderId="7" xfId="21" applyFont="1" applyBorder="1" applyProtection="1">
      <protection locked="0"/>
    </xf>
    <xf numFmtId="0" fontId="46" fillId="0" borderId="0" xfId="21" applyFont="1" applyProtection="1">
      <protection locked="0"/>
    </xf>
    <xf numFmtId="0" fontId="47" fillId="0" borderId="0" xfId="21" applyFont="1" applyProtection="1">
      <protection locked="0"/>
    </xf>
    <xf numFmtId="0" fontId="46" fillId="0" borderId="0" xfId="0" applyFont="1">
      <alignment vertical="top"/>
    </xf>
    <xf numFmtId="7" fontId="47" fillId="0" borderId="32" xfId="12" applyFont="1" applyBorder="1" applyAlignment="1" applyProtection="1">
      <alignment horizontal="center"/>
      <protection locked="0"/>
    </xf>
    <xf numFmtId="7" fontId="47" fillId="0" borderId="33" xfId="12" applyFont="1" applyBorder="1" applyAlignment="1" applyProtection="1">
      <alignment horizontal="center"/>
      <protection locked="0"/>
    </xf>
    <xf numFmtId="7" fontId="47" fillId="0" borderId="48" xfId="12" applyFont="1" applyFill="1" applyBorder="1" applyAlignment="1" applyProtection="1">
      <alignment horizontal="center"/>
      <protection locked="0"/>
    </xf>
    <xf numFmtId="7" fontId="47" fillId="0" borderId="87" xfId="12" applyFont="1" applyBorder="1" applyAlignment="1" applyProtection="1">
      <alignment horizontal="center"/>
      <protection locked="0"/>
    </xf>
    <xf numFmtId="7" fontId="47" fillId="0" borderId="53" xfId="12" applyFont="1" applyBorder="1" applyAlignment="1" applyProtection="1">
      <alignment horizontal="center"/>
      <protection locked="0"/>
    </xf>
    <xf numFmtId="7" fontId="47" fillId="0" borderId="10" xfId="12" applyFont="1" applyBorder="1" applyAlignment="1" applyProtection="1">
      <alignment horizontal="center"/>
      <protection locked="0"/>
    </xf>
    <xf numFmtId="7" fontId="47" fillId="0" borderId="10" xfId="12" applyFont="1" applyFill="1" applyBorder="1" applyAlignment="1" applyProtection="1">
      <alignment horizontal="center"/>
      <protection locked="0"/>
    </xf>
    <xf numFmtId="172" fontId="46" fillId="0" borderId="38" xfId="12" applyNumberFormat="1" applyFont="1" applyBorder="1" applyAlignment="1" applyProtection="1">
      <alignment horizontal="center"/>
      <protection locked="0"/>
    </xf>
    <xf numFmtId="7" fontId="47" fillId="0" borderId="50" xfId="12" applyFont="1" applyBorder="1" applyAlignment="1" applyProtection="1">
      <alignment horizontal="center"/>
      <protection locked="0"/>
    </xf>
    <xf numFmtId="7" fontId="47" fillId="0" borderId="16" xfId="12" applyFont="1" applyBorder="1" applyAlignment="1" applyProtection="1">
      <alignment horizontal="left"/>
      <protection locked="0"/>
    </xf>
    <xf numFmtId="10" fontId="47" fillId="0" borderId="0" xfId="23" applyFont="1" applyBorder="1" applyAlignment="1" applyProtection="1">
      <alignment horizontal="center"/>
      <protection locked="0"/>
    </xf>
    <xf numFmtId="7" fontId="47" fillId="0" borderId="0" xfId="12" applyFont="1" applyBorder="1" applyAlignment="1" applyProtection="1">
      <alignment horizontal="center"/>
      <protection locked="0"/>
    </xf>
    <xf numFmtId="7" fontId="47" fillId="0" borderId="0" xfId="12" applyFont="1" applyFill="1" applyBorder="1" applyAlignment="1" applyProtection="1">
      <alignment horizontal="center"/>
      <protection locked="0"/>
    </xf>
    <xf numFmtId="7" fontId="47" fillId="0" borderId="0" xfId="12" applyFont="1" applyFill="1" applyBorder="1" applyAlignment="1" applyProtection="1">
      <alignment horizontal="center" wrapText="1"/>
      <protection locked="0"/>
    </xf>
    <xf numFmtId="4" fontId="47" fillId="0" borderId="0" xfId="4" applyFont="1" applyBorder="1" applyAlignment="1" applyProtection="1">
      <alignment horizontal="center"/>
      <protection locked="0"/>
    </xf>
    <xf numFmtId="7" fontId="47" fillId="0" borderId="29" xfId="12" applyFont="1" applyBorder="1" applyAlignment="1" applyProtection="1">
      <alignment horizontal="center"/>
      <protection locked="0"/>
    </xf>
    <xf numFmtId="0" fontId="46" fillId="0" borderId="0" xfId="21" applyFont="1" applyAlignment="1" applyProtection="1">
      <alignment horizontal="center"/>
      <protection locked="0"/>
    </xf>
    <xf numFmtId="0" fontId="47" fillId="0" borderId="12" xfId="21" applyFont="1" applyBorder="1" applyAlignment="1" applyProtection="1">
      <alignment horizontal="center"/>
      <protection locked="0"/>
    </xf>
    <xf numFmtId="0" fontId="46" fillId="0" borderId="10" xfId="21" applyFont="1" applyBorder="1" applyAlignment="1" applyProtection="1">
      <alignment horizontal="center"/>
      <protection locked="0"/>
    </xf>
    <xf numFmtId="0" fontId="47" fillId="0" borderId="50" xfId="21" applyFont="1" applyBorder="1" applyAlignment="1" applyProtection="1">
      <alignment horizontal="center"/>
      <protection locked="0"/>
    </xf>
    <xf numFmtId="0" fontId="47" fillId="8" borderId="67" xfId="21" applyFont="1" applyFill="1" applyBorder="1" applyAlignment="1" applyProtection="1">
      <alignment horizontal="center"/>
      <protection locked="0"/>
    </xf>
    <xf numFmtId="0" fontId="47" fillId="0" borderId="67" xfId="21" applyFont="1" applyBorder="1" applyAlignment="1" applyProtection="1">
      <alignment horizontal="center"/>
      <protection locked="0"/>
    </xf>
    <xf numFmtId="170" fontId="47" fillId="0" borderId="35" xfId="6" applyNumberFormat="1" applyFont="1" applyBorder="1" applyAlignment="1" applyProtection="1">
      <alignment horizontal="center"/>
      <protection locked="0"/>
    </xf>
    <xf numFmtId="170" fontId="47" fillId="0" borderId="82" xfId="6" applyNumberFormat="1" applyFont="1" applyBorder="1" applyAlignment="1" applyProtection="1">
      <alignment horizontal="center"/>
      <protection locked="0"/>
    </xf>
    <xf numFmtId="170" fontId="47" fillId="0" borderId="82" xfId="6" applyNumberFormat="1" applyFont="1" applyBorder="1" applyProtection="1">
      <protection locked="0"/>
    </xf>
    <xf numFmtId="0" fontId="47" fillId="0" borderId="60" xfId="21" applyFont="1" applyBorder="1" applyAlignment="1" applyProtection="1">
      <alignment horizontal="left"/>
      <protection locked="0"/>
    </xf>
    <xf numFmtId="170" fontId="46" fillId="0" borderId="44" xfId="6" applyNumberFormat="1" applyFont="1" applyFill="1" applyBorder="1" applyProtection="1">
      <protection locked="0"/>
    </xf>
    <xf numFmtId="170" fontId="46" fillId="0" borderId="44" xfId="6" applyNumberFormat="1" applyFont="1" applyBorder="1" applyProtection="1">
      <protection locked="0"/>
    </xf>
    <xf numFmtId="170" fontId="46" fillId="0" borderId="104" xfId="6" applyNumberFormat="1" applyFont="1" applyFill="1" applyBorder="1" applyProtection="1">
      <protection locked="0"/>
    </xf>
    <xf numFmtId="170" fontId="46" fillId="0" borderId="106" xfId="6" applyNumberFormat="1" applyFont="1" applyBorder="1" applyProtection="1">
      <protection locked="0"/>
    </xf>
    <xf numFmtId="170" fontId="47" fillId="0" borderId="59" xfId="6" applyNumberFormat="1" applyFont="1" applyBorder="1" applyProtection="1">
      <protection locked="0"/>
    </xf>
    <xf numFmtId="0" fontId="46" fillId="0" borderId="16" xfId="21" applyFont="1" applyBorder="1" applyAlignment="1" applyProtection="1">
      <alignment horizontal="left" indent="1"/>
      <protection locked="0"/>
    </xf>
    <xf numFmtId="170" fontId="46" fillId="8" borderId="0" xfId="6" applyNumberFormat="1" applyFont="1" applyFill="1" applyBorder="1" applyProtection="1">
      <protection locked="0"/>
    </xf>
    <xf numFmtId="170" fontId="46" fillId="0" borderId="0" xfId="6" applyNumberFormat="1" applyFont="1" applyBorder="1" applyProtection="1">
      <protection locked="0"/>
    </xf>
    <xf numFmtId="170" fontId="46" fillId="0" borderId="0" xfId="6" applyNumberFormat="1" applyFont="1" applyFill="1" applyBorder="1" applyProtection="1">
      <protection locked="0"/>
    </xf>
    <xf numFmtId="170" fontId="46" fillId="0" borderId="11" xfId="6" applyNumberFormat="1" applyFont="1" applyFill="1" applyBorder="1" applyProtection="1">
      <protection locked="0"/>
    </xf>
    <xf numFmtId="170" fontId="46" fillId="0" borderId="12" xfId="6" applyNumberFormat="1" applyFont="1" applyBorder="1" applyProtection="1">
      <protection locked="0"/>
    </xf>
    <xf numFmtId="170" fontId="47" fillId="0" borderId="13" xfId="6" applyNumberFormat="1" applyFont="1" applyBorder="1" applyProtection="1">
      <protection locked="0"/>
    </xf>
    <xf numFmtId="170" fontId="46" fillId="0" borderId="0" xfId="6" quotePrefix="1" applyNumberFormat="1" applyFont="1" applyBorder="1" applyProtection="1">
      <protection locked="0"/>
    </xf>
    <xf numFmtId="0" fontId="47" fillId="0" borderId="16" xfId="21" applyFont="1" applyBorder="1" applyAlignment="1" applyProtection="1">
      <alignment horizontal="left"/>
      <protection locked="0"/>
    </xf>
    <xf numFmtId="170" fontId="46" fillId="0" borderId="0" xfId="6" quotePrefix="1" applyNumberFormat="1" applyFont="1" applyFill="1" applyBorder="1" applyProtection="1">
      <protection locked="0"/>
    </xf>
    <xf numFmtId="0" fontId="46" fillId="0" borderId="61" xfId="21" applyFont="1" applyBorder="1" applyAlignment="1" applyProtection="1">
      <alignment horizontal="left" indent="1"/>
      <protection locked="0"/>
    </xf>
    <xf numFmtId="170" fontId="46" fillId="0" borderId="62" xfId="6" applyNumberFormat="1" applyFont="1" applyFill="1" applyBorder="1" applyProtection="1">
      <protection locked="0"/>
    </xf>
    <xf numFmtId="170" fontId="46" fillId="0" borderId="62" xfId="6" applyNumberFormat="1" applyFont="1" applyBorder="1" applyProtection="1">
      <protection locked="0"/>
    </xf>
    <xf numFmtId="170" fontId="46" fillId="0" borderId="80" xfId="6" applyNumberFormat="1" applyFont="1" applyFill="1" applyBorder="1" applyProtection="1">
      <protection locked="0"/>
    </xf>
    <xf numFmtId="0" fontId="46" fillId="0" borderId="62" xfId="21" applyFont="1" applyBorder="1" applyProtection="1">
      <protection locked="0"/>
    </xf>
    <xf numFmtId="170" fontId="46" fillId="0" borderId="83" xfId="6" applyNumberFormat="1" applyFont="1" applyBorder="1" applyProtection="1">
      <protection locked="0"/>
    </xf>
    <xf numFmtId="0" fontId="47" fillId="0" borderId="65" xfId="21" applyFont="1" applyBorder="1" applyAlignment="1" applyProtection="1">
      <alignment horizontal="left"/>
      <protection locked="0"/>
    </xf>
    <xf numFmtId="0" fontId="46" fillId="0" borderId="64" xfId="21" applyFont="1" applyBorder="1" applyProtection="1">
      <protection locked="0"/>
    </xf>
    <xf numFmtId="170" fontId="46" fillId="0" borderId="64" xfId="6" applyNumberFormat="1" applyFont="1" applyBorder="1" applyProtection="1">
      <protection locked="0"/>
    </xf>
    <xf numFmtId="44" fontId="47" fillId="0" borderId="60" xfId="13" applyFont="1" applyFill="1" applyBorder="1" applyAlignment="1" applyProtection="1">
      <alignment horizontal="center"/>
      <protection locked="0"/>
    </xf>
    <xf numFmtId="44" fontId="47" fillId="0" borderId="44" xfId="13" applyFont="1" applyFill="1" applyBorder="1" applyAlignment="1" applyProtection="1">
      <alignment horizontal="center"/>
      <protection locked="0"/>
    </xf>
    <xf numFmtId="170" fontId="47" fillId="0" borderId="106" xfId="6" applyNumberFormat="1" applyFont="1" applyBorder="1" applyProtection="1">
      <protection locked="0"/>
    </xf>
    <xf numFmtId="0" fontId="46" fillId="0" borderId="92" xfId="21" applyFont="1" applyBorder="1" applyAlignment="1" applyProtection="1">
      <alignment horizontal="center"/>
      <protection locked="0"/>
    </xf>
    <xf numFmtId="0" fontId="46" fillId="0" borderId="8" xfId="21" applyFont="1" applyBorder="1" applyAlignment="1" applyProtection="1">
      <alignment horizontal="center"/>
      <protection locked="0"/>
    </xf>
    <xf numFmtId="0" fontId="46" fillId="0" borderId="26" xfId="21" applyFont="1" applyBorder="1" applyAlignment="1" applyProtection="1">
      <alignment horizontal="center"/>
      <protection locked="0"/>
    </xf>
    <xf numFmtId="0" fontId="47" fillId="0" borderId="28" xfId="21" applyFont="1" applyBorder="1" applyAlignment="1" applyProtection="1">
      <alignment horizontal="center"/>
      <protection locked="0"/>
    </xf>
    <xf numFmtId="0" fontId="47" fillId="0" borderId="7" xfId="21" applyFont="1" applyBorder="1" applyProtection="1">
      <protection locked="0"/>
    </xf>
    <xf numFmtId="170" fontId="46" fillId="0" borderId="8" xfId="6" applyNumberFormat="1" applyFont="1" applyBorder="1" applyProtection="1">
      <protection locked="0"/>
    </xf>
    <xf numFmtId="170" fontId="46" fillId="0" borderId="26" xfId="6" applyNumberFormat="1" applyFont="1" applyFill="1" applyBorder="1" applyProtection="1">
      <protection locked="0"/>
    </xf>
    <xf numFmtId="170" fontId="46" fillId="0" borderId="26" xfId="6" applyNumberFormat="1" applyFont="1" applyBorder="1" applyProtection="1">
      <protection locked="0"/>
    </xf>
    <xf numFmtId="170" fontId="47" fillId="0" borderId="28" xfId="6" applyNumberFormat="1" applyFont="1" applyBorder="1" applyProtection="1">
      <protection locked="0"/>
    </xf>
    <xf numFmtId="0" fontId="47" fillId="0" borderId="17" xfId="21" applyFont="1" applyBorder="1" applyProtection="1">
      <protection locked="0"/>
    </xf>
    <xf numFmtId="0" fontId="47" fillId="0" borderId="39" xfId="21" applyFont="1" applyBorder="1" applyProtection="1">
      <protection locked="0"/>
    </xf>
    <xf numFmtId="3" fontId="47" fillId="0" borderId="70" xfId="7" applyNumberFormat="1" applyFont="1" applyBorder="1" applyAlignment="1" applyProtection="1">
      <alignment horizontal="center"/>
      <protection locked="0"/>
    </xf>
    <xf numFmtId="3" fontId="47" fillId="0" borderId="39" xfId="7" applyNumberFormat="1" applyFont="1" applyFill="1" applyBorder="1" applyAlignment="1" applyProtection="1">
      <alignment horizontal="center"/>
      <protection locked="0"/>
    </xf>
    <xf numFmtId="169" fontId="47" fillId="0" borderId="39" xfId="21" applyNumberFormat="1" applyFont="1" applyBorder="1" applyProtection="1">
      <protection locked="0"/>
    </xf>
    <xf numFmtId="169" fontId="47" fillId="0" borderId="71" xfId="21" applyNumberFormat="1" applyFont="1" applyBorder="1" applyProtection="1">
      <protection locked="0"/>
    </xf>
    <xf numFmtId="169" fontId="47" fillId="0" borderId="74" xfId="21" applyNumberFormat="1" applyFont="1" applyBorder="1" applyProtection="1">
      <protection locked="0"/>
    </xf>
    <xf numFmtId="0" fontId="46" fillId="0" borderId="33" xfId="21" applyFont="1" applyBorder="1" applyProtection="1">
      <protection locked="0"/>
    </xf>
    <xf numFmtId="0" fontId="47" fillId="0" borderId="33" xfId="21" applyFont="1" applyBorder="1" applyProtection="1">
      <protection locked="0"/>
    </xf>
    <xf numFmtId="0" fontId="46" fillId="0" borderId="0" xfId="21" applyFont="1" applyAlignment="1" applyProtection="1">
      <alignment wrapText="1"/>
      <protection locked="0"/>
    </xf>
    <xf numFmtId="0" fontId="50" fillId="0" borderId="0" xfId="36" applyFont="1"/>
    <xf numFmtId="0" fontId="60" fillId="0" borderId="0" xfId="42" applyFont="1"/>
    <xf numFmtId="0" fontId="61" fillId="0" borderId="0" xfId="42" applyFont="1"/>
    <xf numFmtId="0" fontId="60" fillId="13" borderId="43" xfId="42" applyFont="1" applyFill="1" applyBorder="1" applyAlignment="1">
      <alignment horizontal="center" wrapText="1"/>
    </xf>
    <xf numFmtId="0" fontId="63" fillId="13" borderId="43" xfId="42" applyFont="1" applyFill="1" applyBorder="1" applyAlignment="1">
      <alignment horizontal="center" wrapText="1"/>
    </xf>
    <xf numFmtId="44" fontId="60" fillId="13" borderId="43" xfId="43" applyFont="1" applyFill="1" applyBorder="1" applyAlignment="1">
      <alignment horizontal="center" wrapText="1"/>
    </xf>
    <xf numFmtId="0" fontId="64" fillId="0" borderId="43" xfId="42" applyFont="1" applyBorder="1"/>
    <xf numFmtId="0" fontId="65" fillId="0" borderId="43" xfId="42" applyFont="1" applyBorder="1" applyAlignment="1">
      <alignment horizontal="center" vertical="center"/>
    </xf>
    <xf numFmtId="179" fontId="65" fillId="0" borderId="43" xfId="42" applyNumberFormat="1" applyFont="1" applyBorder="1" applyAlignment="1">
      <alignment horizontal="center" vertical="center"/>
    </xf>
    <xf numFmtId="179" fontId="66" fillId="0" borderId="43" xfId="42" applyNumberFormat="1" applyFont="1" applyBorder="1" applyAlignment="1">
      <alignment horizontal="center" vertical="center"/>
    </xf>
    <xf numFmtId="44" fontId="65" fillId="0" borderId="43" xfId="43" applyFont="1" applyBorder="1" applyAlignment="1">
      <alignment horizontal="center" vertical="center"/>
    </xf>
    <xf numFmtId="184" fontId="66" fillId="0" borderId="43" xfId="42" applyNumberFormat="1" applyFont="1" applyBorder="1" applyAlignment="1">
      <alignment horizontal="center" vertical="center"/>
    </xf>
    <xf numFmtId="179" fontId="65" fillId="0" borderId="43" xfId="43" applyNumberFormat="1" applyFont="1" applyBorder="1" applyAlignment="1">
      <alignment horizontal="center" vertical="center"/>
    </xf>
    <xf numFmtId="0" fontId="61" fillId="0" borderId="42" xfId="42" applyFont="1" applyBorder="1"/>
    <xf numFmtId="0" fontId="67" fillId="0" borderId="42" xfId="42" applyFont="1" applyBorder="1"/>
    <xf numFmtId="0" fontId="67" fillId="0" borderId="42" xfId="42" applyFont="1" applyBorder="1" applyAlignment="1">
      <alignment horizontal="center" vertical="center"/>
    </xf>
    <xf numFmtId="179" fontId="67" fillId="0" borderId="42" xfId="42" applyNumberFormat="1" applyFont="1" applyBorder="1" applyAlignment="1">
      <alignment horizontal="center" vertical="center"/>
    </xf>
    <xf numFmtId="179" fontId="61" fillId="0" borderId="4" xfId="42" applyNumberFormat="1" applyFont="1" applyBorder="1" applyAlignment="1">
      <alignment horizontal="center" vertical="center"/>
    </xf>
    <xf numFmtId="44" fontId="67" fillId="0" borderId="42" xfId="43" applyFont="1" applyBorder="1" applyAlignment="1">
      <alignment horizontal="center" vertical="center"/>
    </xf>
    <xf numFmtId="179" fontId="67" fillId="0" borderId="4" xfId="42" applyNumberFormat="1" applyFont="1" applyBorder="1" applyAlignment="1">
      <alignment horizontal="center" vertical="center"/>
    </xf>
    <xf numFmtId="184" fontId="67" fillId="0" borderId="42" xfId="42" applyNumberFormat="1" applyFont="1" applyBorder="1" applyAlignment="1">
      <alignment horizontal="center" vertical="center"/>
    </xf>
    <xf numFmtId="184" fontId="60" fillId="0" borderId="42" xfId="42" applyNumberFormat="1" applyFont="1" applyBorder="1" applyAlignment="1">
      <alignment horizontal="center" vertical="center"/>
    </xf>
    <xf numFmtId="179" fontId="61" fillId="0" borderId="4" xfId="43" applyNumberFormat="1" applyFont="1" applyBorder="1" applyAlignment="1">
      <alignment horizontal="center" vertical="center"/>
    </xf>
    <xf numFmtId="0" fontId="60" fillId="0" borderId="73" xfId="42" applyFont="1" applyBorder="1"/>
    <xf numFmtId="0" fontId="67" fillId="0" borderId="72" xfId="42" applyFont="1" applyBorder="1"/>
    <xf numFmtId="0" fontId="67" fillId="0" borderId="72" xfId="42" applyFont="1" applyBorder="1" applyAlignment="1">
      <alignment horizontal="center" vertical="center"/>
    </xf>
    <xf numFmtId="179" fontId="63" fillId="0" borderId="74" xfId="43" applyNumberFormat="1" applyFont="1" applyBorder="1" applyAlignment="1">
      <alignment horizontal="center" vertical="center"/>
    </xf>
    <xf numFmtId="170" fontId="60" fillId="0" borderId="72" xfId="42" applyNumberFormat="1" applyFont="1" applyBorder="1" applyAlignment="1">
      <alignment horizontal="center" vertical="center"/>
    </xf>
    <xf numFmtId="0" fontId="61" fillId="0" borderId="0" xfId="42" applyFont="1" applyAlignment="1">
      <alignment wrapText="1"/>
    </xf>
    <xf numFmtId="0" fontId="61" fillId="0" borderId="5" xfId="42" applyFont="1" applyBorder="1"/>
    <xf numFmtId="0" fontId="67" fillId="0" borderId="5" xfId="42" applyFont="1" applyBorder="1"/>
    <xf numFmtId="0" fontId="67" fillId="0" borderId="5" xfId="42" applyFont="1" applyBorder="1" applyAlignment="1">
      <alignment horizontal="center" vertical="center"/>
    </xf>
    <xf numFmtId="179" fontId="61" fillId="0" borderId="43" xfId="42" applyNumberFormat="1" applyFont="1" applyBorder="1" applyAlignment="1">
      <alignment horizontal="center" vertical="center"/>
    </xf>
    <xf numFmtId="179" fontId="61" fillId="0" borderId="43" xfId="43" applyNumberFormat="1" applyFont="1" applyBorder="1" applyAlignment="1">
      <alignment horizontal="center" vertical="center"/>
    </xf>
    <xf numFmtId="179" fontId="67" fillId="0" borderId="43" xfId="42" applyNumberFormat="1" applyFont="1" applyBorder="1" applyAlignment="1">
      <alignment horizontal="center" vertical="center"/>
    </xf>
    <xf numFmtId="170" fontId="60" fillId="0" borderId="5" xfId="42" applyNumberFormat="1" applyFont="1" applyBorder="1" applyAlignment="1">
      <alignment horizontal="center" vertical="center"/>
    </xf>
    <xf numFmtId="170" fontId="60" fillId="0" borderId="42" xfId="42" applyNumberFormat="1" applyFont="1" applyBorder="1" applyAlignment="1">
      <alignment horizontal="center" vertical="center"/>
    </xf>
    <xf numFmtId="0" fontId="60" fillId="0" borderId="72" xfId="42" applyFont="1" applyBorder="1" applyAlignment="1">
      <alignment horizontal="center" vertical="center"/>
    </xf>
    <xf numFmtId="170" fontId="67" fillId="0" borderId="5" xfId="42" applyNumberFormat="1" applyFont="1" applyBorder="1" applyAlignment="1">
      <alignment horizontal="center" vertical="center"/>
    </xf>
    <xf numFmtId="0" fontId="67" fillId="0" borderId="5" xfId="42" applyFont="1" applyBorder="1" applyAlignment="1">
      <alignment horizontal="center"/>
    </xf>
    <xf numFmtId="179" fontId="61" fillId="0" borderId="43" xfId="42" applyNumberFormat="1" applyFont="1" applyBorder="1" applyAlignment="1">
      <alignment horizontal="center"/>
    </xf>
    <xf numFmtId="179" fontId="67" fillId="0" borderId="43" xfId="42" applyNumberFormat="1" applyFont="1" applyBorder="1" applyAlignment="1">
      <alignment horizontal="center"/>
    </xf>
    <xf numFmtId="170" fontId="67" fillId="0" borderId="5" xfId="42" applyNumberFormat="1" applyFont="1" applyBorder="1" applyAlignment="1">
      <alignment horizontal="center"/>
    </xf>
    <xf numFmtId="0" fontId="61" fillId="0" borderId="5" xfId="42" applyFont="1" applyBorder="1" applyAlignment="1">
      <alignment horizontal="center"/>
    </xf>
    <xf numFmtId="0" fontId="61" fillId="0" borderId="42" xfId="42" applyFont="1" applyBorder="1" applyAlignment="1">
      <alignment horizontal="center"/>
    </xf>
    <xf numFmtId="0" fontId="60" fillId="0" borderId="85" xfId="42" applyFont="1" applyBorder="1"/>
    <xf numFmtId="0" fontId="67" fillId="0" borderId="99" xfId="42" applyFont="1" applyBorder="1"/>
    <xf numFmtId="0" fontId="67" fillId="0" borderId="99" xfId="42" applyFont="1" applyBorder="1" applyAlignment="1">
      <alignment horizontal="center"/>
    </xf>
    <xf numFmtId="170" fontId="60" fillId="0" borderId="99" xfId="42" applyNumberFormat="1" applyFont="1" applyBorder="1" applyAlignment="1">
      <alignment horizontal="center"/>
    </xf>
    <xf numFmtId="179" fontId="67" fillId="0" borderId="72" xfId="42" applyNumberFormat="1" applyFont="1" applyBorder="1" applyAlignment="1">
      <alignment horizontal="center" vertical="center"/>
    </xf>
    <xf numFmtId="179" fontId="60" fillId="0" borderId="72" xfId="43" applyNumberFormat="1" applyFont="1" applyBorder="1" applyAlignment="1">
      <alignment horizontal="center" vertical="center"/>
    </xf>
    <xf numFmtId="179" fontId="67" fillId="0" borderId="72" xfId="43" applyNumberFormat="1" applyFont="1" applyBorder="1" applyAlignment="1">
      <alignment horizontal="center" vertical="center"/>
    </xf>
    <xf numFmtId="0" fontId="67" fillId="0" borderId="0" xfId="42" applyFont="1"/>
    <xf numFmtId="170" fontId="60" fillId="0" borderId="0" xfId="42" applyNumberFormat="1" applyFont="1"/>
    <xf numFmtId="3" fontId="68" fillId="0" borderId="0" xfId="36" applyNumberFormat="1" applyFont="1" applyAlignment="1">
      <alignment horizontal="center" vertical="center" wrapText="1"/>
    </xf>
    <xf numFmtId="3" fontId="55" fillId="0" borderId="0" xfId="36" applyNumberFormat="1" applyFont="1" applyAlignment="1">
      <alignment vertical="center" wrapText="1"/>
    </xf>
    <xf numFmtId="0" fontId="69" fillId="23" borderId="70" xfId="36" applyFont="1" applyFill="1" applyBorder="1" applyAlignment="1">
      <alignment horizontal="center"/>
    </xf>
    <xf numFmtId="0" fontId="69" fillId="23" borderId="119" xfId="36" applyFont="1" applyFill="1" applyBorder="1" applyAlignment="1">
      <alignment horizontal="center"/>
    </xf>
    <xf numFmtId="0" fontId="58" fillId="0" borderId="121" xfId="36" applyFont="1" applyBorder="1"/>
    <xf numFmtId="0" fontId="69" fillId="0" borderId="122" xfId="36" applyFont="1" applyBorder="1" applyAlignment="1">
      <alignment horizontal="center"/>
    </xf>
    <xf numFmtId="0" fontId="69" fillId="0" borderId="123" xfId="36" applyFont="1" applyBorder="1" applyAlignment="1">
      <alignment horizontal="center"/>
    </xf>
    <xf numFmtId="0" fontId="69" fillId="0" borderId="124" xfId="36" applyFont="1" applyBorder="1" applyAlignment="1">
      <alignment horizontal="center"/>
    </xf>
    <xf numFmtId="0" fontId="69" fillId="0" borderId="121" xfId="36" applyFont="1" applyBorder="1"/>
    <xf numFmtId="0" fontId="69" fillId="13" borderId="73" xfId="36" applyFont="1" applyFill="1" applyBorder="1"/>
    <xf numFmtId="0" fontId="69" fillId="23" borderId="125" xfId="36" applyFont="1" applyFill="1" applyBorder="1" applyAlignment="1">
      <alignment horizontal="left"/>
    </xf>
    <xf numFmtId="182" fontId="50" fillId="0" borderId="0" xfId="36" applyNumberFormat="1" applyFont="1"/>
    <xf numFmtId="0" fontId="46" fillId="0" borderId="0" xfId="36" applyFont="1"/>
    <xf numFmtId="0" fontId="46" fillId="0" borderId="0" xfId="36" applyFont="1" applyAlignment="1">
      <alignment wrapText="1"/>
    </xf>
    <xf numFmtId="9" fontId="46" fillId="0" borderId="0" xfId="37" applyFont="1" applyBorder="1" applyAlignment="1">
      <alignment horizontal="center" wrapText="1"/>
    </xf>
    <xf numFmtId="3" fontId="46" fillId="0" borderId="0" xfId="36" applyNumberFormat="1" applyFont="1" applyAlignment="1">
      <alignment wrapText="1"/>
    </xf>
    <xf numFmtId="3" fontId="46" fillId="0" borderId="0" xfId="36" applyNumberFormat="1" applyFont="1"/>
    <xf numFmtId="3" fontId="46" fillId="0" borderId="0" xfId="36" applyNumberFormat="1" applyFont="1" applyAlignment="1">
      <alignment horizontal="center"/>
    </xf>
    <xf numFmtId="0" fontId="47" fillId="14" borderId="0" xfId="36" applyFont="1" applyFill="1" applyAlignment="1">
      <alignment vertical="center" wrapText="1"/>
    </xf>
    <xf numFmtId="0" fontId="47" fillId="14" borderId="0" xfId="36" applyFont="1" applyFill="1" applyAlignment="1">
      <alignment wrapText="1"/>
    </xf>
    <xf numFmtId="0" fontId="47" fillId="14" borderId="16" xfId="36" applyFont="1" applyFill="1" applyBorder="1" applyAlignment="1">
      <alignment wrapText="1"/>
    </xf>
    <xf numFmtId="3" fontId="47" fillId="14" borderId="0" xfId="36" applyNumberFormat="1" applyFont="1" applyFill="1" applyAlignment="1">
      <alignment wrapText="1"/>
    </xf>
    <xf numFmtId="3" fontId="46" fillId="14" borderId="34" xfId="36" applyNumberFormat="1" applyFont="1" applyFill="1" applyBorder="1"/>
    <xf numFmtId="3" fontId="46" fillId="14" borderId="0" xfId="36" applyNumberFormat="1" applyFont="1" applyFill="1"/>
    <xf numFmtId="3" fontId="46" fillId="14" borderId="16" xfId="36" applyNumberFormat="1" applyFont="1" applyFill="1" applyBorder="1"/>
    <xf numFmtId="3" fontId="46" fillId="14" borderId="4" xfId="36" applyNumberFormat="1" applyFont="1" applyFill="1" applyBorder="1" applyAlignment="1">
      <alignment horizontal="right" wrapText="1"/>
    </xf>
    <xf numFmtId="3" fontId="46" fillId="14" borderId="12" xfId="36" applyNumberFormat="1" applyFont="1" applyFill="1" applyBorder="1" applyAlignment="1">
      <alignment horizontal="right" wrapText="1"/>
    </xf>
    <xf numFmtId="0" fontId="47" fillId="15" borderId="0" xfId="36" applyFont="1" applyFill="1" applyAlignment="1">
      <alignment horizontal="left" wrapText="1"/>
    </xf>
    <xf numFmtId="0" fontId="47" fillId="15" borderId="0" xfId="36" applyFont="1" applyFill="1" applyAlignment="1">
      <alignment horizontal="left"/>
    </xf>
    <xf numFmtId="0" fontId="47" fillId="15" borderId="16" xfId="36" applyFont="1" applyFill="1" applyBorder="1" applyAlignment="1">
      <alignment horizontal="right" wrapText="1"/>
    </xf>
    <xf numFmtId="3" fontId="46" fillId="15" borderId="34" xfId="36" applyNumberFormat="1" applyFont="1" applyFill="1" applyBorder="1" applyAlignment="1">
      <alignment horizontal="right" wrapText="1"/>
    </xf>
    <xf numFmtId="3" fontId="46" fillId="15" borderId="16" xfId="36" applyNumberFormat="1" applyFont="1" applyFill="1" applyBorder="1" applyAlignment="1">
      <alignment horizontal="right" wrapText="1"/>
    </xf>
    <xf numFmtId="3" fontId="46" fillId="15" borderId="4" xfId="36" applyNumberFormat="1" applyFont="1" applyFill="1" applyBorder="1" applyAlignment="1">
      <alignment horizontal="right" wrapText="1"/>
    </xf>
    <xf numFmtId="3" fontId="46" fillId="15" borderId="12" xfId="36" applyNumberFormat="1" applyFont="1" applyFill="1" applyBorder="1" applyAlignment="1">
      <alignment horizontal="right" wrapText="1"/>
    </xf>
    <xf numFmtId="0" fontId="46" fillId="0" borderId="0" xfId="36" applyFont="1" applyAlignment="1">
      <alignment horizontal="left" wrapText="1"/>
    </xf>
    <xf numFmtId="181" fontId="46" fillId="0" borderId="16" xfId="36" applyNumberFormat="1" applyFont="1" applyBorder="1" applyAlignment="1">
      <alignment horizontal="right" wrapText="1"/>
    </xf>
    <xf numFmtId="181" fontId="46" fillId="0" borderId="34" xfId="36" applyNumberFormat="1" applyFont="1" applyBorder="1" applyAlignment="1">
      <alignment horizontal="right" wrapText="1"/>
    </xf>
    <xf numFmtId="181" fontId="46" fillId="0" borderId="0" xfId="36" applyNumberFormat="1" applyFont="1" applyAlignment="1">
      <alignment horizontal="right" wrapText="1"/>
    </xf>
    <xf numFmtId="181" fontId="46" fillId="0" borderId="4" xfId="36" applyNumberFormat="1" applyFont="1" applyBorder="1" applyAlignment="1">
      <alignment horizontal="right" wrapText="1"/>
    </xf>
    <xf numFmtId="181" fontId="46" fillId="0" borderId="12" xfId="36" applyNumberFormat="1" applyFont="1" applyBorder="1" applyAlignment="1">
      <alignment horizontal="right" wrapText="1"/>
    </xf>
    <xf numFmtId="0" fontId="46" fillId="15" borderId="0" xfId="36" applyFont="1" applyFill="1" applyAlignment="1">
      <alignment horizontal="left"/>
    </xf>
    <xf numFmtId="181" fontId="46" fillId="15" borderId="16" xfId="36" applyNumberFormat="1" applyFont="1" applyFill="1" applyBorder="1" applyAlignment="1">
      <alignment horizontal="right" wrapText="1"/>
    </xf>
    <xf numFmtId="181" fontId="46" fillId="15" borderId="34" xfId="36" applyNumberFormat="1" applyFont="1" applyFill="1" applyBorder="1" applyAlignment="1">
      <alignment horizontal="right" wrapText="1"/>
    </xf>
    <xf numFmtId="181" fontId="46" fillId="15" borderId="0" xfId="36" applyNumberFormat="1" applyFont="1" applyFill="1" applyAlignment="1">
      <alignment horizontal="right" wrapText="1"/>
    </xf>
    <xf numFmtId="181" fontId="46" fillId="15" borderId="4" xfId="36" applyNumberFormat="1" applyFont="1" applyFill="1" applyBorder="1" applyAlignment="1">
      <alignment horizontal="right" wrapText="1"/>
    </xf>
    <xf numFmtId="181" fontId="46" fillId="15" borderId="12" xfId="36" applyNumberFormat="1" applyFont="1" applyFill="1" applyBorder="1" applyAlignment="1">
      <alignment horizontal="right" wrapText="1"/>
    </xf>
    <xf numFmtId="181" fontId="47" fillId="15" borderId="16" xfId="36" applyNumberFormat="1" applyFont="1" applyFill="1" applyBorder="1" applyAlignment="1">
      <alignment horizontal="right" wrapText="1"/>
    </xf>
    <xf numFmtId="181" fontId="47" fillId="15" borderId="0" xfId="36" applyNumberFormat="1" applyFont="1" applyFill="1" applyAlignment="1">
      <alignment horizontal="right" wrapText="1"/>
    </xf>
    <xf numFmtId="0" fontId="47" fillId="0" borderId="0" xfId="36" applyFont="1" applyAlignment="1">
      <alignment horizontal="left" wrapText="1"/>
    </xf>
    <xf numFmtId="0" fontId="47" fillId="0" borderId="0" xfId="36" applyFont="1" applyAlignment="1">
      <alignment horizontal="left"/>
    </xf>
    <xf numFmtId="181" fontId="47" fillId="0" borderId="16" xfId="36" applyNumberFormat="1" applyFont="1" applyBorder="1" applyAlignment="1">
      <alignment horizontal="right" wrapText="1"/>
    </xf>
    <xf numFmtId="181" fontId="47" fillId="0" borderId="0" xfId="36" applyNumberFormat="1" applyFont="1" applyAlignment="1">
      <alignment horizontal="right" wrapText="1"/>
    </xf>
    <xf numFmtId="181" fontId="47" fillId="0" borderId="34" xfId="36" applyNumberFormat="1" applyFont="1" applyBorder="1" applyAlignment="1">
      <alignment horizontal="right" wrapText="1"/>
    </xf>
    <xf numFmtId="181" fontId="47" fillId="0" borderId="4" xfId="36" applyNumberFormat="1" applyFont="1" applyBorder="1" applyAlignment="1">
      <alignment horizontal="right" wrapText="1"/>
    </xf>
    <xf numFmtId="181" fontId="47" fillId="0" borderId="12" xfId="36" applyNumberFormat="1" applyFont="1" applyBorder="1" applyAlignment="1">
      <alignment horizontal="right" wrapText="1"/>
    </xf>
    <xf numFmtId="0" fontId="46" fillId="0" borderId="11" xfId="36" applyFont="1" applyBorder="1" applyAlignment="1">
      <alignment wrapText="1"/>
    </xf>
    <xf numFmtId="0" fontId="46" fillId="0" borderId="0" xfId="36" applyFont="1" applyAlignment="1">
      <alignment horizontal="left" vertical="top"/>
    </xf>
    <xf numFmtId="0" fontId="46" fillId="0" borderId="16" xfId="36" applyFont="1" applyBorder="1" applyAlignment="1">
      <alignment horizontal="right" wrapText="1"/>
    </xf>
    <xf numFmtId="3" fontId="46" fillId="0" borderId="0" xfId="36" applyNumberFormat="1" applyFont="1" applyAlignment="1">
      <alignment horizontal="right" wrapText="1"/>
    </xf>
    <xf numFmtId="3" fontId="46" fillId="0" borderId="34" xfId="36" applyNumberFormat="1" applyFont="1" applyBorder="1" applyAlignment="1">
      <alignment horizontal="right" wrapText="1"/>
    </xf>
    <xf numFmtId="3" fontId="46" fillId="0" borderId="16" xfId="36" applyNumberFormat="1" applyFont="1" applyBorder="1" applyAlignment="1">
      <alignment horizontal="right" wrapText="1"/>
    </xf>
    <xf numFmtId="3" fontId="46" fillId="0" borderId="4" xfId="36" applyNumberFormat="1" applyFont="1" applyBorder="1" applyAlignment="1">
      <alignment horizontal="right" wrapText="1"/>
    </xf>
    <xf numFmtId="3" fontId="46" fillId="0" borderId="12" xfId="36" applyNumberFormat="1" applyFont="1" applyBorder="1" applyAlignment="1">
      <alignment horizontal="right" wrapText="1"/>
    </xf>
    <xf numFmtId="0" fontId="47" fillId="15" borderId="15" xfId="36" applyFont="1" applyFill="1" applyBorder="1" applyAlignment="1">
      <alignment wrapText="1"/>
    </xf>
    <xf numFmtId="0" fontId="47" fillId="15" borderId="26" xfId="36" applyFont="1" applyFill="1" applyBorder="1" applyAlignment="1">
      <alignment wrapText="1"/>
    </xf>
    <xf numFmtId="0" fontId="47" fillId="15" borderId="26" xfId="36" applyFont="1" applyFill="1" applyBorder="1" applyAlignment="1">
      <alignment horizontal="right" wrapText="1"/>
    </xf>
    <xf numFmtId="0" fontId="47" fillId="15" borderId="25" xfId="36" applyFont="1" applyFill="1" applyBorder="1" applyAlignment="1">
      <alignment horizontal="right" wrapText="1"/>
    </xf>
    <xf numFmtId="3" fontId="47" fillId="15" borderId="26" xfId="36" applyNumberFormat="1" applyFont="1" applyFill="1" applyBorder="1" applyAlignment="1">
      <alignment horizontal="right" wrapText="1"/>
    </xf>
    <xf numFmtId="182" fontId="47" fillId="15" borderId="76" xfId="36" applyNumberFormat="1" applyFont="1" applyFill="1" applyBorder="1" applyAlignment="1">
      <alignment horizontal="right" wrapText="1"/>
    </xf>
    <xf numFmtId="182" fontId="47" fillId="15" borderId="26" xfId="36" applyNumberFormat="1" applyFont="1" applyFill="1" applyBorder="1" applyAlignment="1">
      <alignment horizontal="right" wrapText="1"/>
    </xf>
    <xf numFmtId="182" fontId="47" fillId="15" borderId="25" xfId="36" applyNumberFormat="1" applyFont="1" applyFill="1" applyBorder="1" applyAlignment="1">
      <alignment horizontal="right" wrapText="1"/>
    </xf>
    <xf numFmtId="182" fontId="47" fillId="15" borderId="27" xfId="36" applyNumberFormat="1" applyFont="1" applyFill="1" applyBorder="1" applyAlignment="1">
      <alignment horizontal="right" wrapText="1"/>
    </xf>
    <xf numFmtId="182" fontId="47" fillId="15" borderId="28" xfId="36" applyNumberFormat="1" applyFont="1" applyFill="1" applyBorder="1" applyAlignment="1">
      <alignment horizontal="right" wrapText="1"/>
    </xf>
    <xf numFmtId="0" fontId="47" fillId="16" borderId="0" xfId="36" applyFont="1" applyFill="1" applyAlignment="1">
      <alignment wrapText="1"/>
    </xf>
    <xf numFmtId="0" fontId="47" fillId="16" borderId="0" xfId="36" applyFont="1" applyFill="1" applyAlignment="1">
      <alignment horizontal="right" wrapText="1"/>
    </xf>
    <xf numFmtId="0" fontId="47" fillId="16" borderId="16" xfId="36" applyFont="1" applyFill="1" applyBorder="1" applyAlignment="1">
      <alignment horizontal="right" wrapText="1"/>
    </xf>
    <xf numFmtId="3" fontId="47" fillId="16" borderId="0" xfId="36" applyNumberFormat="1" applyFont="1" applyFill="1" applyAlignment="1">
      <alignment horizontal="right" wrapText="1"/>
    </xf>
    <xf numFmtId="182" fontId="47" fillId="16" borderId="34" xfId="36" applyNumberFormat="1" applyFont="1" applyFill="1" applyBorder="1" applyAlignment="1">
      <alignment horizontal="right" wrapText="1"/>
    </xf>
    <xf numFmtId="182" fontId="47" fillId="16" borderId="0" xfId="36" applyNumberFormat="1" applyFont="1" applyFill="1" applyAlignment="1">
      <alignment horizontal="right" wrapText="1"/>
    </xf>
    <xf numFmtId="182" fontId="47" fillId="16" borderId="16" xfId="36" applyNumberFormat="1" applyFont="1" applyFill="1" applyBorder="1" applyAlignment="1">
      <alignment horizontal="right" wrapText="1"/>
    </xf>
    <xf numFmtId="182" fontId="47" fillId="16" borderId="4" xfId="36" applyNumberFormat="1" applyFont="1" applyFill="1" applyBorder="1" applyAlignment="1">
      <alignment horizontal="right" wrapText="1"/>
    </xf>
    <xf numFmtId="169" fontId="47" fillId="16" borderId="12" xfId="36" applyNumberFormat="1" applyFont="1" applyFill="1" applyBorder="1" applyAlignment="1">
      <alignment horizontal="right" wrapText="1"/>
    </xf>
    <xf numFmtId="0" fontId="46" fillId="0" borderId="0" xfId="36" applyFont="1" applyAlignment="1">
      <alignment horizontal="left" vertical="top" wrapText="1"/>
    </xf>
    <xf numFmtId="169" fontId="47" fillId="15" borderId="28" xfId="36" applyNumberFormat="1" applyFont="1" applyFill="1" applyBorder="1" applyAlignment="1">
      <alignment horizontal="right" wrapText="1"/>
    </xf>
    <xf numFmtId="0" fontId="46" fillId="0" borderId="16" xfId="36" applyFont="1" applyBorder="1" applyAlignment="1">
      <alignment wrapText="1"/>
    </xf>
    <xf numFmtId="0" fontId="47" fillId="15" borderId="26" xfId="36" applyFont="1" applyFill="1" applyBorder="1" applyAlignment="1">
      <alignment horizontal="left" wrapText="1"/>
    </xf>
    <xf numFmtId="0" fontId="47" fillId="15" borderId="25" xfId="36" applyFont="1" applyFill="1" applyBorder="1" applyAlignment="1">
      <alignment wrapText="1"/>
    </xf>
    <xf numFmtId="3" fontId="47" fillId="15" borderId="26" xfId="36" applyNumberFormat="1" applyFont="1" applyFill="1" applyBorder="1" applyAlignment="1">
      <alignment wrapText="1"/>
    </xf>
    <xf numFmtId="182" fontId="47" fillId="15" borderId="76" xfId="38" applyNumberFormat="1" applyFont="1" applyFill="1" applyBorder="1" applyAlignment="1">
      <alignment horizontal="right" wrapText="1"/>
    </xf>
    <xf numFmtId="182" fontId="47" fillId="15" borderId="26" xfId="38" applyNumberFormat="1" applyFont="1" applyFill="1" applyBorder="1" applyAlignment="1">
      <alignment horizontal="right" wrapText="1"/>
    </xf>
    <xf numFmtId="182" fontId="47" fillId="15" borderId="25" xfId="38" applyNumberFormat="1" applyFont="1" applyFill="1" applyBorder="1" applyAlignment="1">
      <alignment horizontal="right" wrapText="1"/>
    </xf>
    <xf numFmtId="182" fontId="47" fillId="15" borderId="27" xfId="38" applyNumberFormat="1" applyFont="1" applyFill="1" applyBorder="1" applyAlignment="1">
      <alignment horizontal="right" wrapText="1"/>
    </xf>
    <xf numFmtId="0" fontId="47" fillId="14" borderId="33" xfId="36" applyFont="1" applyFill="1" applyBorder="1" applyAlignment="1">
      <alignment vertical="top"/>
    </xf>
    <xf numFmtId="0" fontId="47" fillId="14" borderId="32" xfId="36" applyFont="1" applyFill="1" applyBorder="1" applyAlignment="1">
      <alignment vertical="top"/>
    </xf>
    <xf numFmtId="0" fontId="47" fillId="14" borderId="115" xfId="36" applyFont="1" applyFill="1" applyBorder="1" applyAlignment="1">
      <alignment vertical="top"/>
    </xf>
    <xf numFmtId="0" fontId="47" fillId="14" borderId="99" xfId="36" applyFont="1" applyFill="1" applyBorder="1" applyAlignment="1">
      <alignment horizontal="right" vertical="top" wrapText="1"/>
    </xf>
    <xf numFmtId="0" fontId="47" fillId="14" borderId="48" xfId="36" applyFont="1" applyFill="1" applyBorder="1" applyAlignment="1">
      <alignment horizontal="right" vertical="top" wrapText="1"/>
    </xf>
    <xf numFmtId="182" fontId="47" fillId="15" borderId="28" xfId="38" applyNumberFormat="1" applyFont="1" applyFill="1" applyBorder="1" applyAlignment="1">
      <alignment horizontal="right" wrapText="1"/>
    </xf>
    <xf numFmtId="0" fontId="47" fillId="15" borderId="0" xfId="36" applyFont="1" applyFill="1" applyAlignment="1">
      <alignment wrapText="1"/>
    </xf>
    <xf numFmtId="0" fontId="47" fillId="15" borderId="16" xfId="36" applyFont="1" applyFill="1" applyBorder="1" applyAlignment="1">
      <alignment wrapText="1"/>
    </xf>
    <xf numFmtId="3" fontId="47" fillId="15" borderId="0" xfId="36" applyNumberFormat="1" applyFont="1" applyFill="1" applyAlignment="1">
      <alignment wrapText="1"/>
    </xf>
    <xf numFmtId="3" fontId="46" fillId="15" borderId="34" xfId="36" applyNumberFormat="1" applyFont="1" applyFill="1" applyBorder="1"/>
    <xf numFmtId="3" fontId="46" fillId="15" borderId="0" xfId="36" applyNumberFormat="1" applyFont="1" applyFill="1"/>
    <xf numFmtId="3" fontId="46" fillId="15" borderId="16" xfId="36" applyNumberFormat="1" applyFont="1" applyFill="1" applyBorder="1"/>
    <xf numFmtId="0" fontId="56" fillId="0" borderId="0" xfId="36" applyFont="1"/>
    <xf numFmtId="0" fontId="47" fillId="0" borderId="0" xfId="36" applyFont="1"/>
    <xf numFmtId="181" fontId="47" fillId="15" borderId="25" xfId="36" applyNumberFormat="1" applyFont="1" applyFill="1" applyBorder="1" applyAlignment="1">
      <alignment horizontal="right" wrapText="1"/>
    </xf>
    <xf numFmtId="181" fontId="47" fillId="15" borderId="26" xfId="36" applyNumberFormat="1" applyFont="1" applyFill="1" applyBorder="1" applyAlignment="1">
      <alignment horizontal="right" wrapText="1"/>
    </xf>
    <xf numFmtId="169" fontId="47" fillId="15" borderId="76" xfId="36" applyNumberFormat="1" applyFont="1" applyFill="1" applyBorder="1" applyAlignment="1">
      <alignment horizontal="right" wrapText="1"/>
    </xf>
    <xf numFmtId="169" fontId="47" fillId="15" borderId="26" xfId="36" applyNumberFormat="1" applyFont="1" applyFill="1" applyBorder="1" applyAlignment="1">
      <alignment horizontal="right" wrapText="1"/>
    </xf>
    <xf numFmtId="0" fontId="47" fillId="17" borderId="15" xfId="36" applyFont="1" applyFill="1" applyBorder="1" applyAlignment="1">
      <alignment wrapText="1"/>
    </xf>
    <xf numFmtId="0" fontId="47" fillId="17" borderId="26" xfId="36" applyFont="1" applyFill="1" applyBorder="1" applyAlignment="1">
      <alignment wrapText="1"/>
    </xf>
    <xf numFmtId="0" fontId="47" fillId="17" borderId="25" xfId="36" applyFont="1" applyFill="1" applyBorder="1" applyAlignment="1">
      <alignment wrapText="1"/>
    </xf>
    <xf numFmtId="3" fontId="47" fillId="17" borderId="26" xfId="36" applyNumberFormat="1" applyFont="1" applyFill="1" applyBorder="1" applyAlignment="1">
      <alignment horizontal="right" wrapText="1"/>
    </xf>
    <xf numFmtId="182" fontId="47" fillId="17" borderId="26" xfId="36" applyNumberFormat="1" applyFont="1" applyFill="1" applyBorder="1" applyAlignment="1">
      <alignment horizontal="right" wrapText="1"/>
    </xf>
    <xf numFmtId="182" fontId="47" fillId="17" borderId="25" xfId="36" applyNumberFormat="1" applyFont="1" applyFill="1" applyBorder="1" applyAlignment="1">
      <alignment horizontal="right" wrapText="1"/>
    </xf>
    <xf numFmtId="182" fontId="47" fillId="17" borderId="27" xfId="36" applyNumberFormat="1" applyFont="1" applyFill="1" applyBorder="1" applyAlignment="1">
      <alignment horizontal="right" wrapText="1"/>
    </xf>
    <xf numFmtId="182" fontId="47" fillId="17" borderId="28" xfId="36" applyNumberFormat="1" applyFont="1" applyFill="1" applyBorder="1" applyAlignment="1">
      <alignment horizontal="right" wrapText="1"/>
    </xf>
    <xf numFmtId="0" fontId="72" fillId="0" borderId="11" xfId="36" applyFont="1" applyBorder="1" applyAlignment="1">
      <alignment wrapText="1"/>
    </xf>
    <xf numFmtId="0" fontId="72" fillId="0" borderId="0" xfId="36" applyFont="1" applyAlignment="1">
      <alignment wrapText="1"/>
    </xf>
    <xf numFmtId="169" fontId="46" fillId="0" borderId="34" xfId="36" applyNumberFormat="1" applyFont="1" applyBorder="1" applyAlignment="1">
      <alignment horizontal="right" wrapText="1"/>
    </xf>
    <xf numFmtId="169" fontId="46" fillId="0" borderId="0" xfId="36" applyNumberFormat="1" applyFont="1" applyAlignment="1">
      <alignment horizontal="right" wrapText="1"/>
    </xf>
    <xf numFmtId="169" fontId="46" fillId="0" borderId="16" xfId="36" applyNumberFormat="1" applyFont="1" applyBorder="1" applyAlignment="1">
      <alignment horizontal="right" wrapText="1"/>
    </xf>
    <xf numFmtId="169" fontId="46" fillId="0" borderId="4" xfId="36" applyNumberFormat="1" applyFont="1" applyBorder="1" applyAlignment="1">
      <alignment horizontal="right" wrapText="1"/>
    </xf>
    <xf numFmtId="169" fontId="46" fillId="0" borderId="12" xfId="36" applyNumberFormat="1" applyFont="1" applyBorder="1" applyAlignment="1">
      <alignment horizontal="right" wrapText="1"/>
    </xf>
    <xf numFmtId="0" fontId="56" fillId="0" borderId="11" xfId="36" applyFont="1" applyBorder="1"/>
    <xf numFmtId="10" fontId="47" fillId="0" borderId="0" xfId="36" applyNumberFormat="1" applyFont="1"/>
    <xf numFmtId="0" fontId="47" fillId="0" borderId="16" xfId="36" applyFont="1" applyBorder="1"/>
    <xf numFmtId="3" fontId="47" fillId="0" borderId="0" xfId="36" applyNumberFormat="1" applyFont="1" applyAlignment="1">
      <alignment horizontal="right" wrapText="1"/>
    </xf>
    <xf numFmtId="182" fontId="46" fillId="0" borderId="34" xfId="36" applyNumberFormat="1" applyFont="1" applyBorder="1" applyAlignment="1">
      <alignment horizontal="right" wrapText="1"/>
    </xf>
    <xf numFmtId="182" fontId="46" fillId="0" borderId="0" xfId="36" applyNumberFormat="1" applyFont="1" applyAlignment="1">
      <alignment horizontal="right" wrapText="1"/>
    </xf>
    <xf numFmtId="182" fontId="46" fillId="0" borderId="16" xfId="36" applyNumberFormat="1" applyFont="1" applyBorder="1" applyAlignment="1">
      <alignment horizontal="right" wrapText="1"/>
    </xf>
    <xf numFmtId="182" fontId="46" fillId="0" borderId="4" xfId="36" applyNumberFormat="1" applyFont="1" applyBorder="1" applyAlignment="1">
      <alignment horizontal="right" wrapText="1"/>
    </xf>
    <xf numFmtId="182" fontId="46" fillId="0" borderId="12" xfId="36" applyNumberFormat="1" applyFont="1" applyBorder="1" applyAlignment="1">
      <alignment horizontal="right" wrapText="1"/>
    </xf>
    <xf numFmtId="182" fontId="47" fillId="17" borderId="76" xfId="38" applyNumberFormat="1" applyFont="1" applyFill="1" applyBorder="1" applyAlignment="1">
      <alignment horizontal="right" wrapText="1"/>
    </xf>
    <xf numFmtId="182" fontId="47" fillId="17" borderId="26" xfId="38" applyNumberFormat="1" applyFont="1" applyFill="1" applyBorder="1" applyAlignment="1">
      <alignment horizontal="right" wrapText="1"/>
    </xf>
    <xf numFmtId="182" fontId="47" fillId="17" borderId="25" xfId="38" applyNumberFormat="1" applyFont="1" applyFill="1" applyBorder="1" applyAlignment="1">
      <alignment horizontal="right" wrapText="1"/>
    </xf>
    <xf numFmtId="182" fontId="47" fillId="17" borderId="27" xfId="38" applyNumberFormat="1" applyFont="1" applyFill="1" applyBorder="1" applyAlignment="1">
      <alignment horizontal="right" wrapText="1"/>
    </xf>
    <xf numFmtId="182" fontId="47" fillId="17" borderId="28" xfId="38" applyNumberFormat="1" applyFont="1" applyFill="1" applyBorder="1" applyAlignment="1">
      <alignment horizontal="right" wrapText="1"/>
    </xf>
    <xf numFmtId="182" fontId="46" fillId="0" borderId="0" xfId="36" applyNumberFormat="1" applyFont="1"/>
    <xf numFmtId="0" fontId="53" fillId="0" borderId="0" xfId="36" applyFont="1" applyAlignment="1">
      <alignment wrapText="1"/>
    </xf>
    <xf numFmtId="181" fontId="46" fillId="0" borderId="0" xfId="36" applyNumberFormat="1" applyFont="1" applyAlignment="1">
      <alignment wrapText="1"/>
    </xf>
    <xf numFmtId="181" fontId="46" fillId="0" borderId="0" xfId="40" applyNumberFormat="1" applyFont="1" applyAlignment="1">
      <alignment wrapText="1"/>
    </xf>
    <xf numFmtId="0" fontId="8" fillId="5" borderId="65" xfId="21" applyFont="1" applyFill="1" applyBorder="1" applyAlignment="1" applyProtection="1">
      <alignment wrapText="1"/>
      <protection locked="0"/>
    </xf>
    <xf numFmtId="172" fontId="8" fillId="0" borderId="5" xfId="21" applyNumberFormat="1" applyFont="1" applyBorder="1" applyAlignment="1" applyProtection="1">
      <alignment horizontal="center" wrapText="1"/>
      <protection locked="0"/>
    </xf>
    <xf numFmtId="0" fontId="9" fillId="0" borderId="65" xfId="21" applyFont="1" applyBorder="1" applyProtection="1">
      <protection locked="0"/>
    </xf>
    <xf numFmtId="0" fontId="9" fillId="0" borderId="64" xfId="21" applyFont="1" applyBorder="1" applyProtection="1">
      <protection locked="0"/>
    </xf>
    <xf numFmtId="0" fontId="9" fillId="0" borderId="64" xfId="21" applyFont="1" applyBorder="1" applyAlignment="1" applyProtection="1">
      <alignment horizontal="center"/>
      <protection locked="0"/>
    </xf>
    <xf numFmtId="3" fontId="9" fillId="0" borderId="5" xfId="4" applyNumberFormat="1" applyFont="1" applyFill="1" applyBorder="1" applyAlignment="1" applyProtection="1">
      <alignment horizontal="right" vertical="top"/>
      <protection locked="0"/>
    </xf>
    <xf numFmtId="0" fontId="9" fillId="5" borderId="46" xfId="21" applyFont="1" applyFill="1" applyBorder="1" applyProtection="1">
      <protection locked="0"/>
    </xf>
    <xf numFmtId="3" fontId="8" fillId="0" borderId="5" xfId="21" applyNumberFormat="1" applyFont="1" applyBorder="1" applyProtection="1">
      <protection locked="0"/>
    </xf>
    <xf numFmtId="0" fontId="47" fillId="0" borderId="5" xfId="21" applyFont="1" applyBorder="1" applyAlignment="1" applyProtection="1">
      <alignment horizontal="right"/>
      <protection locked="0"/>
    </xf>
    <xf numFmtId="3" fontId="47" fillId="0" borderId="5" xfId="21" applyNumberFormat="1" applyFont="1" applyBorder="1" applyAlignment="1" applyProtection="1">
      <alignment horizontal="right"/>
      <protection locked="0"/>
    </xf>
    <xf numFmtId="0" fontId="46" fillId="14" borderId="5" xfId="36" applyFont="1" applyFill="1" applyBorder="1" applyAlignment="1">
      <alignment vertical="center" wrapText="1"/>
    </xf>
    <xf numFmtId="10" fontId="46" fillId="14" borderId="5" xfId="23" applyFont="1" applyFill="1" applyBorder="1" applyAlignment="1">
      <alignment vertical="center" wrapText="1"/>
    </xf>
    <xf numFmtId="0" fontId="69" fillId="23" borderId="120" xfId="36" applyFont="1" applyFill="1" applyBorder="1" applyAlignment="1">
      <alignment horizontal="center" wrapText="1"/>
    </xf>
    <xf numFmtId="0" fontId="71" fillId="0" borderId="0" xfId="36" applyFont="1"/>
    <xf numFmtId="181" fontId="89" fillId="15" borderId="34" xfId="36" applyNumberFormat="1" applyFont="1" applyFill="1" applyBorder="1" applyAlignment="1">
      <alignment horizontal="right" wrapText="1"/>
    </xf>
    <xf numFmtId="181" fontId="89" fillId="15" borderId="16" xfId="36" applyNumberFormat="1" applyFont="1" applyFill="1" applyBorder="1" applyAlignment="1">
      <alignment horizontal="right" wrapText="1"/>
    </xf>
    <xf numFmtId="181" fontId="47" fillId="44" borderId="12" xfId="36" applyNumberFormat="1" applyFont="1" applyFill="1" applyBorder="1" applyAlignment="1">
      <alignment horizontal="right" wrapText="1"/>
    </xf>
    <xf numFmtId="181" fontId="47" fillId="44" borderId="4" xfId="36" applyNumberFormat="1" applyFont="1" applyFill="1" applyBorder="1" applyAlignment="1">
      <alignment horizontal="right" wrapText="1"/>
    </xf>
    <xf numFmtId="181" fontId="47" fillId="44" borderId="34" xfId="36" applyNumberFormat="1" applyFont="1" applyFill="1" applyBorder="1" applyAlignment="1">
      <alignment horizontal="right" wrapText="1"/>
    </xf>
    <xf numFmtId="181" fontId="47" fillId="44" borderId="0" xfId="36" applyNumberFormat="1" applyFont="1" applyFill="1" applyAlignment="1">
      <alignment horizontal="right" wrapText="1"/>
    </xf>
    <xf numFmtId="181" fontId="89" fillId="15" borderId="12" xfId="36" applyNumberFormat="1" applyFont="1" applyFill="1" applyBorder="1" applyAlignment="1">
      <alignment horizontal="right" wrapText="1"/>
    </xf>
    <xf numFmtId="181" fontId="47" fillId="44" borderId="16" xfId="36" applyNumberFormat="1" applyFont="1" applyFill="1" applyBorder="1" applyAlignment="1">
      <alignment horizontal="right" wrapText="1"/>
    </xf>
    <xf numFmtId="181" fontId="89" fillId="15" borderId="4" xfId="36" applyNumberFormat="1" applyFont="1" applyFill="1" applyBorder="1" applyAlignment="1">
      <alignment horizontal="right" wrapText="1"/>
    </xf>
    <xf numFmtId="0" fontId="59" fillId="0" borderId="0" xfId="36" applyFont="1" applyAlignment="1">
      <alignment horizontal="center" vertical="center"/>
    </xf>
    <xf numFmtId="182" fontId="59" fillId="0" borderId="0" xfId="36" applyNumberFormat="1" applyFont="1" applyAlignment="1">
      <alignment horizontal="center" vertical="center"/>
    </xf>
    <xf numFmtId="182" fontId="46" fillId="0" borderId="0" xfId="36" applyNumberFormat="1" applyFont="1" applyAlignment="1">
      <alignment wrapText="1"/>
    </xf>
    <xf numFmtId="0" fontId="46" fillId="44" borderId="0" xfId="36" applyFont="1" applyFill="1"/>
    <xf numFmtId="181" fontId="46" fillId="44" borderId="16" xfId="36" applyNumberFormat="1" applyFont="1" applyFill="1" applyBorder="1" applyAlignment="1">
      <alignment horizontal="right" wrapText="1"/>
    </xf>
    <xf numFmtId="181" fontId="46" fillId="44" borderId="0" xfId="36" applyNumberFormat="1" applyFont="1" applyFill="1" applyAlignment="1">
      <alignment horizontal="right" wrapText="1"/>
    </xf>
    <xf numFmtId="181" fontId="46" fillId="44" borderId="34" xfId="36" applyNumberFormat="1" applyFont="1" applyFill="1" applyBorder="1" applyAlignment="1">
      <alignment horizontal="right" wrapText="1"/>
    </xf>
    <xf numFmtId="181" fontId="46" fillId="44" borderId="4" xfId="36" applyNumberFormat="1" applyFont="1" applyFill="1" applyBorder="1" applyAlignment="1">
      <alignment horizontal="right" wrapText="1"/>
    </xf>
    <xf numFmtId="181" fontId="46" fillId="44" borderId="12" xfId="36" applyNumberFormat="1" applyFont="1" applyFill="1" applyBorder="1" applyAlignment="1">
      <alignment horizontal="right" wrapText="1"/>
    </xf>
    <xf numFmtId="0" fontId="47" fillId="44" borderId="0" xfId="36" applyFont="1" applyFill="1"/>
    <xf numFmtId="0" fontId="46" fillId="44" borderId="0" xfId="36" applyFont="1" applyFill="1" applyAlignment="1">
      <alignment horizontal="left" wrapText="1"/>
    </xf>
    <xf numFmtId="0" fontId="46" fillId="44" borderId="0" xfId="36" applyFont="1" applyFill="1" applyAlignment="1">
      <alignment horizontal="left" vertical="top" wrapText="1"/>
    </xf>
    <xf numFmtId="170" fontId="46" fillId="0" borderId="12" xfId="6" applyNumberFormat="1" applyFont="1" applyFill="1" applyBorder="1" applyProtection="1">
      <protection locked="0"/>
    </xf>
    <xf numFmtId="0" fontId="8" fillId="0" borderId="64" xfId="21" applyFont="1" applyBorder="1" applyAlignment="1" applyProtection="1">
      <alignment horizontal="center" wrapText="1"/>
      <protection locked="0"/>
    </xf>
    <xf numFmtId="37" fontId="59" fillId="0" borderId="0" xfId="36" applyNumberFormat="1" applyFont="1" applyAlignment="1">
      <alignment horizontal="center" vertical="center"/>
    </xf>
    <xf numFmtId="43" fontId="59" fillId="0" borderId="0" xfId="36" applyNumberFormat="1" applyFont="1" applyAlignment="1">
      <alignment horizontal="center" vertical="center"/>
    </xf>
    <xf numFmtId="173" fontId="70" fillId="0" borderId="122" xfId="36" applyNumberFormat="1" applyFont="1" applyBorder="1"/>
    <xf numFmtId="173" fontId="69" fillId="0" borderId="124" xfId="36" applyNumberFormat="1" applyFont="1" applyBorder="1"/>
    <xf numFmtId="173" fontId="70" fillId="0" borderId="124" xfId="36" applyNumberFormat="1" applyFont="1" applyBorder="1"/>
    <xf numFmtId="173" fontId="69" fillId="13" borderId="72" xfId="36" applyNumberFormat="1" applyFont="1" applyFill="1" applyBorder="1"/>
    <xf numFmtId="173" fontId="69" fillId="13" borderId="74" xfId="36" applyNumberFormat="1" applyFont="1" applyFill="1" applyBorder="1"/>
    <xf numFmtId="173" fontId="69" fillId="23" borderId="119" xfId="36" applyNumberFormat="1" applyFont="1" applyFill="1" applyBorder="1"/>
    <xf numFmtId="173" fontId="69" fillId="23" borderId="120" xfId="36" applyNumberFormat="1" applyFont="1" applyFill="1" applyBorder="1"/>
    <xf numFmtId="0" fontId="46" fillId="0" borderId="0" xfId="21" applyFont="1" applyAlignment="1" applyProtection="1">
      <alignment horizontal="left" vertical="top" wrapText="1"/>
      <protection locked="0"/>
    </xf>
    <xf numFmtId="0" fontId="9" fillId="0" borderId="0" xfId="21" applyFont="1" applyAlignment="1" applyProtection="1">
      <alignment wrapText="1"/>
      <protection locked="0"/>
    </xf>
    <xf numFmtId="0" fontId="9" fillId="0" borderId="0" xfId="21" applyFont="1" applyProtection="1">
      <protection locked="0"/>
    </xf>
    <xf numFmtId="0" fontId="9" fillId="5" borderId="64" xfId="21" applyFont="1" applyFill="1" applyBorder="1" applyAlignment="1" applyProtection="1">
      <alignment wrapText="1"/>
      <protection locked="0"/>
    </xf>
    <xf numFmtId="0" fontId="9" fillId="0" borderId="46" xfId="21" applyFont="1" applyBorder="1" applyAlignment="1" applyProtection="1">
      <alignment wrapText="1"/>
      <protection locked="0"/>
    </xf>
    <xf numFmtId="0" fontId="89" fillId="15" borderId="26" xfId="0" applyFont="1" applyFill="1" applyBorder="1" applyAlignment="1">
      <alignment wrapText="1"/>
    </xf>
    <xf numFmtId="181" fontId="89" fillId="15" borderId="26" xfId="0" applyNumberFormat="1" applyFont="1" applyFill="1" applyBorder="1" applyAlignment="1">
      <alignment horizontal="right" wrapText="1"/>
    </xf>
    <xf numFmtId="169" fontId="89" fillId="15" borderId="26" xfId="0" applyNumberFormat="1" applyFont="1" applyFill="1" applyBorder="1" applyAlignment="1">
      <alignment horizontal="right" wrapText="1"/>
    </xf>
    <xf numFmtId="10" fontId="92" fillId="0" borderId="0" xfId="23" applyFont="1" applyBorder="1" applyAlignment="1" applyProtection="1">
      <alignment vertical="top"/>
      <protection locked="0"/>
    </xf>
    <xf numFmtId="0" fontId="91" fillId="0" borderId="0" xfId="0" applyFont="1" applyAlignment="1" applyProtection="1">
      <alignment horizontal="left" vertical="top"/>
      <protection locked="0"/>
    </xf>
    <xf numFmtId="0" fontId="91" fillId="0" borderId="0" xfId="0" applyFont="1" applyProtection="1">
      <alignment vertical="top"/>
      <protection locked="0"/>
    </xf>
    <xf numFmtId="0" fontId="92" fillId="0" borderId="0" xfId="0" applyFont="1" applyProtection="1">
      <alignment vertical="top"/>
      <protection locked="0"/>
    </xf>
    <xf numFmtId="10" fontId="92" fillId="0" borderId="0" xfId="0" applyNumberFormat="1" applyFont="1" applyProtection="1">
      <alignment vertical="top"/>
      <protection locked="0"/>
    </xf>
    <xf numFmtId="0" fontId="47" fillId="0" borderId="70" xfId="36" applyFont="1" applyBorder="1" applyAlignment="1">
      <alignment horizontal="center" vertical="center" wrapText="1"/>
    </xf>
    <xf numFmtId="0" fontId="47" fillId="0" borderId="39" xfId="36" applyFont="1" applyBorder="1" applyAlignment="1">
      <alignment horizontal="center" vertical="center" wrapText="1"/>
    </xf>
    <xf numFmtId="0" fontId="47" fillId="0" borderId="17" xfId="36" applyFont="1" applyBorder="1" applyAlignment="1">
      <alignment horizontal="center" vertical="center" wrapText="1"/>
    </xf>
    <xf numFmtId="3" fontId="47" fillId="0" borderId="39" xfId="36" applyNumberFormat="1" applyFont="1" applyBorder="1" applyAlignment="1">
      <alignment horizontal="center" vertical="center"/>
    </xf>
    <xf numFmtId="3" fontId="47" fillId="0" borderId="114" xfId="39" applyNumberFormat="1" applyFont="1" applyBorder="1" applyAlignment="1">
      <alignment horizontal="center" vertical="center" wrapText="1"/>
    </xf>
    <xf numFmtId="0" fontId="47" fillId="0" borderId="39" xfId="39" applyFont="1" applyBorder="1" applyAlignment="1">
      <alignment horizontal="center" vertical="center" wrapText="1"/>
    </xf>
    <xf numFmtId="3" fontId="47" fillId="0" borderId="39" xfId="39" applyNumberFormat="1" applyFont="1" applyBorder="1" applyAlignment="1">
      <alignment horizontal="center" vertical="center" wrapText="1"/>
    </xf>
    <xf numFmtId="0" fontId="47" fillId="0" borderId="17" xfId="39" applyFont="1" applyBorder="1" applyAlignment="1">
      <alignment horizontal="center" vertical="center" wrapText="1"/>
    </xf>
    <xf numFmtId="3" fontId="47" fillId="0" borderId="72" xfId="36" applyNumberFormat="1" applyFont="1" applyBorder="1" applyAlignment="1">
      <alignment horizontal="center" vertical="center" wrapText="1"/>
    </xf>
    <xf numFmtId="3" fontId="47" fillId="0" borderId="39" xfId="36" applyNumberFormat="1" applyFont="1" applyBorder="1" applyAlignment="1">
      <alignment horizontal="center" vertical="center" wrapText="1"/>
    </xf>
    <xf numFmtId="0" fontId="9" fillId="0" borderId="0" xfId="0" applyFont="1" applyAlignment="1" applyProtection="1">
      <alignment horizontal="right" vertical="top"/>
      <protection locked="0"/>
    </xf>
    <xf numFmtId="0" fontId="5" fillId="0" borderId="0" xfId="0" applyFont="1" applyAlignment="1" applyProtection="1">
      <alignment horizontal="center"/>
      <protection locked="0"/>
    </xf>
    <xf numFmtId="0" fontId="5" fillId="0" borderId="62" xfId="23" applyNumberFormat="1" applyFont="1" applyFill="1" applyBorder="1" applyAlignment="1" applyProtection="1">
      <alignment horizontal="left" vertical="top"/>
      <protection locked="0"/>
    </xf>
    <xf numFmtId="0" fontId="5" fillId="0" borderId="0" xfId="31" applyFont="1">
      <alignment vertical="top"/>
    </xf>
    <xf numFmtId="0" fontId="5" fillId="0" borderId="19" xfId="31" applyFont="1" applyBorder="1" applyAlignment="1">
      <alignment horizontal="left"/>
    </xf>
    <xf numFmtId="172" fontId="5" fillId="0" borderId="3" xfId="32" applyNumberFormat="1" applyFont="1" applyFill="1" applyBorder="1" applyAlignment="1" applyProtection="1">
      <alignment horizontal="center" wrapText="1"/>
    </xf>
    <xf numFmtId="172" fontId="5" fillId="0" borderId="3" xfId="32" applyNumberFormat="1" applyFont="1" applyFill="1" applyBorder="1" applyAlignment="1" applyProtection="1">
      <alignment horizontal="center"/>
    </xf>
    <xf numFmtId="5" fontId="5" fillId="0" borderId="20" xfId="32" applyNumberFormat="1" applyFont="1" applyFill="1" applyBorder="1" applyAlignment="1" applyProtection="1">
      <alignment horizontal="center"/>
    </xf>
    <xf numFmtId="0" fontId="5" fillId="0" borderId="0" xfId="0" applyFont="1">
      <alignment vertical="top"/>
    </xf>
    <xf numFmtId="172" fontId="5" fillId="0" borderId="110" xfId="12" applyNumberFormat="1" applyFont="1" applyBorder="1" applyAlignment="1" applyProtection="1">
      <alignment horizontal="center"/>
    </xf>
    <xf numFmtId="172" fontId="5" fillId="0" borderId="37" xfId="12" applyNumberFormat="1" applyFont="1" applyBorder="1" applyAlignment="1" applyProtection="1">
      <alignment horizontal="center"/>
    </xf>
    <xf numFmtId="5" fontId="5" fillId="8" borderId="4" xfId="12" applyNumberFormat="1" applyFont="1" applyFill="1" applyBorder="1" applyProtection="1"/>
    <xf numFmtId="5" fontId="5" fillId="0" borderId="13" xfId="12" applyNumberFormat="1" applyFont="1" applyFill="1" applyBorder="1" applyProtection="1"/>
    <xf numFmtId="173" fontId="5" fillId="0" borderId="57" xfId="0" applyNumberFormat="1" applyFont="1" applyBorder="1">
      <alignment vertical="top"/>
    </xf>
    <xf numFmtId="0" fontId="5" fillId="0" borderId="11" xfId="0" applyFont="1" applyBorder="1">
      <alignment vertical="top"/>
    </xf>
    <xf numFmtId="0" fontId="5" fillId="0" borderId="14" xfId="0" applyFont="1" applyBorder="1">
      <alignment vertical="top"/>
    </xf>
    <xf numFmtId="0" fontId="5" fillId="0" borderId="14" xfId="0" applyFont="1" applyBorder="1" applyAlignment="1">
      <alignment horizontal="left"/>
    </xf>
    <xf numFmtId="5" fontId="5" fillId="0" borderId="4" xfId="12" applyNumberFormat="1" applyFont="1" applyFill="1" applyBorder="1" applyProtection="1"/>
    <xf numFmtId="9" fontId="9" fillId="0" borderId="0" xfId="23" applyNumberFormat="1" applyFont="1" applyFill="1" applyBorder="1" applyAlignment="1" applyProtection="1">
      <alignment horizontal="center" vertical="top"/>
      <protection locked="0"/>
    </xf>
    <xf numFmtId="0" fontId="9" fillId="0" borderId="26" xfId="0" applyFont="1" applyBorder="1" applyProtection="1">
      <alignment vertical="top"/>
      <protection locked="0"/>
    </xf>
    <xf numFmtId="0" fontId="10" fillId="0" borderId="26" xfId="0" applyFont="1" applyBorder="1" applyProtection="1">
      <alignment vertical="top"/>
      <protection locked="0"/>
    </xf>
    <xf numFmtId="0" fontId="9" fillId="0" borderId="30" xfId="0" applyFont="1" applyBorder="1" applyProtection="1">
      <alignment vertical="top"/>
      <protection locked="0"/>
    </xf>
    <xf numFmtId="0" fontId="9" fillId="0" borderId="38" xfId="0" applyFont="1" applyBorder="1" applyAlignment="1" applyProtection="1">
      <alignment horizontal="center" vertical="top"/>
      <protection locked="0"/>
    </xf>
    <xf numFmtId="0" fontId="9" fillId="0" borderId="36" xfId="0" applyFont="1" applyBorder="1" applyAlignment="1" applyProtection="1">
      <alignment horizontal="center" vertical="top"/>
      <protection locked="0"/>
    </xf>
    <xf numFmtId="0" fontId="9" fillId="0" borderId="37" xfId="0" applyFont="1" applyBorder="1" applyAlignment="1" applyProtection="1">
      <alignment horizontal="center" vertical="top"/>
      <protection locked="0"/>
    </xf>
    <xf numFmtId="0" fontId="9" fillId="0" borderId="11" xfId="0" applyFont="1" applyBorder="1" applyAlignment="1" applyProtection="1">
      <alignment horizontal="center" vertical="top"/>
      <protection locked="0"/>
    </xf>
    <xf numFmtId="0" fontId="9" fillId="0" borderId="22" xfId="0" applyFont="1" applyBorder="1" applyProtection="1">
      <alignment vertical="top"/>
      <protection locked="0"/>
    </xf>
    <xf numFmtId="0" fontId="9" fillId="0" borderId="21" xfId="0" applyFont="1" applyBorder="1" applyProtection="1">
      <alignment vertical="top"/>
      <protection locked="0"/>
    </xf>
    <xf numFmtId="0" fontId="9" fillId="0" borderId="1" xfId="0" applyFont="1" applyBorder="1" applyProtection="1">
      <alignment vertical="top"/>
      <protection locked="0"/>
    </xf>
    <xf numFmtId="0" fontId="9" fillId="0" borderId="11" xfId="0" applyFont="1" applyBorder="1" applyProtection="1">
      <alignment vertical="top"/>
      <protection locked="0"/>
    </xf>
    <xf numFmtId="0" fontId="5" fillId="0" borderId="14" xfId="0" applyFont="1" applyBorder="1" applyProtection="1">
      <alignment vertical="top"/>
      <protection locked="0"/>
    </xf>
    <xf numFmtId="0" fontId="9" fillId="0" borderId="13" xfId="0" applyFont="1" applyBorder="1" applyAlignment="1" applyProtection="1">
      <alignment horizontal="center" vertical="top"/>
      <protection locked="0"/>
    </xf>
    <xf numFmtId="0" fontId="9" fillId="0" borderId="14" xfId="0" applyFont="1" applyBorder="1" applyAlignment="1" applyProtection="1">
      <alignment horizontal="left" vertical="top" indent="2"/>
      <protection locked="0"/>
    </xf>
    <xf numFmtId="0" fontId="9" fillId="0" borderId="14" xfId="0" applyFont="1" applyBorder="1" applyAlignment="1" applyProtection="1">
      <alignment horizontal="right" vertical="top" indent="1"/>
      <protection locked="0"/>
    </xf>
    <xf numFmtId="0" fontId="9" fillId="0" borderId="14" xfId="0" applyFont="1" applyBorder="1" applyProtection="1">
      <alignment vertical="top"/>
      <protection locked="0"/>
    </xf>
    <xf numFmtId="0" fontId="5" fillId="0" borderId="0" xfId="23" applyNumberFormat="1" applyFont="1" applyFill="1" applyBorder="1" applyAlignment="1" applyProtection="1">
      <alignment horizontal="left" vertical="top"/>
      <protection locked="0"/>
    </xf>
    <xf numFmtId="0" fontId="5" fillId="0" borderId="98" xfId="0" applyFont="1" applyBorder="1">
      <alignment vertical="top"/>
    </xf>
    <xf numFmtId="0" fontId="5" fillId="0" borderId="98" xfId="0" applyFont="1" applyBorder="1" applyAlignment="1">
      <alignment horizontal="center" vertical="top" wrapText="1"/>
    </xf>
    <xf numFmtId="0" fontId="5" fillId="0" borderId="100" xfId="0" applyFont="1" applyBorder="1" applyAlignment="1">
      <alignment horizontal="center" vertical="top" wrapText="1"/>
    </xf>
    <xf numFmtId="5" fontId="9" fillId="0" borderId="0" xfId="29" applyNumberFormat="1" applyFont="1" applyFill="1" applyBorder="1" applyAlignment="1" applyProtection="1">
      <alignment vertical="top"/>
      <protection locked="0"/>
    </xf>
    <xf numFmtId="1" fontId="59" fillId="0" borderId="0" xfId="36" applyNumberFormat="1" applyFont="1" applyAlignment="1">
      <alignment horizontal="center" vertical="center"/>
    </xf>
    <xf numFmtId="4" fontId="56" fillId="0" borderId="0" xfId="4" applyFont="1"/>
    <xf numFmtId="181" fontId="46" fillId="0" borderId="16" xfId="36" applyNumberFormat="1" applyFont="1" applyBorder="1" applyAlignment="1">
      <alignment horizontal="right" vertical="center" wrapText="1"/>
    </xf>
    <xf numFmtId="181" fontId="46" fillId="0" borderId="34" xfId="36" applyNumberFormat="1" applyFont="1" applyBorder="1" applyAlignment="1">
      <alignment horizontal="right" vertical="center" wrapText="1"/>
    </xf>
    <xf numFmtId="181" fontId="46" fillId="0" borderId="4" xfId="36" applyNumberFormat="1" applyFont="1" applyBorder="1" applyAlignment="1">
      <alignment horizontal="right" vertical="center" wrapText="1"/>
    </xf>
    <xf numFmtId="181" fontId="46" fillId="0" borderId="12" xfId="36" applyNumberFormat="1" applyFont="1" applyBorder="1" applyAlignment="1">
      <alignment horizontal="right" vertical="center" wrapText="1"/>
    </xf>
    <xf numFmtId="181" fontId="89" fillId="15" borderId="34" xfId="36" applyNumberFormat="1" applyFont="1" applyFill="1" applyBorder="1" applyAlignment="1">
      <alignment horizontal="right" vertical="center" wrapText="1"/>
    </xf>
    <xf numFmtId="169" fontId="46" fillId="0" borderId="34" xfId="36" applyNumberFormat="1" applyFont="1" applyBorder="1" applyAlignment="1">
      <alignment horizontal="right" vertical="center" wrapText="1"/>
    </xf>
    <xf numFmtId="0" fontId="47" fillId="45" borderId="11" xfId="36" applyFont="1" applyFill="1" applyBorder="1" applyAlignment="1">
      <alignment wrapText="1"/>
    </xf>
    <xf numFmtId="0" fontId="46" fillId="45" borderId="16" xfId="36" applyFont="1" applyFill="1" applyBorder="1" applyAlignment="1">
      <alignment wrapText="1"/>
    </xf>
    <xf numFmtId="3" fontId="46" fillId="45" borderId="34" xfId="36" applyNumberFormat="1" applyFont="1" applyFill="1" applyBorder="1" applyAlignment="1">
      <alignment horizontal="right" wrapText="1"/>
    </xf>
    <xf numFmtId="3" fontId="46" fillId="45" borderId="16" xfId="36" applyNumberFormat="1" applyFont="1" applyFill="1" applyBorder="1" applyAlignment="1">
      <alignment horizontal="right" wrapText="1"/>
    </xf>
    <xf numFmtId="3" fontId="46" fillId="45" borderId="4" xfId="36" applyNumberFormat="1" applyFont="1" applyFill="1" applyBorder="1" applyAlignment="1">
      <alignment horizontal="right" wrapText="1"/>
    </xf>
    <xf numFmtId="182" fontId="47" fillId="45" borderId="76" xfId="36" applyNumberFormat="1" applyFont="1" applyFill="1" applyBorder="1" applyAlignment="1">
      <alignment horizontal="right" wrapText="1"/>
    </xf>
    <xf numFmtId="0" fontId="47" fillId="45" borderId="15" xfId="36" applyFont="1" applyFill="1" applyBorder="1" applyAlignment="1">
      <alignment wrapText="1"/>
    </xf>
    <xf numFmtId="0" fontId="47" fillId="45" borderId="26" xfId="36" applyFont="1" applyFill="1" applyBorder="1" applyAlignment="1">
      <alignment wrapText="1"/>
    </xf>
    <xf numFmtId="0" fontId="47" fillId="45" borderId="25" xfId="36" applyFont="1" applyFill="1" applyBorder="1" applyAlignment="1">
      <alignment wrapText="1"/>
    </xf>
    <xf numFmtId="3" fontId="47" fillId="45" borderId="26" xfId="36" applyNumberFormat="1" applyFont="1" applyFill="1" applyBorder="1" applyAlignment="1">
      <alignment horizontal="right" wrapText="1"/>
    </xf>
    <xf numFmtId="0" fontId="72" fillId="0" borderId="11" xfId="36" applyFont="1" applyBorder="1" applyAlignment="1">
      <alignment vertical="center" wrapText="1"/>
    </xf>
    <xf numFmtId="0" fontId="47" fillId="0" borderId="16" xfId="36" applyFont="1" applyBorder="1" applyAlignment="1">
      <alignment vertical="center" wrapText="1"/>
    </xf>
    <xf numFmtId="181" fontId="89" fillId="15" borderId="76" xfId="0" applyNumberFormat="1" applyFont="1" applyFill="1" applyBorder="1" applyAlignment="1">
      <alignment horizontal="right" wrapText="1"/>
    </xf>
    <xf numFmtId="181" fontId="46" fillId="46" borderId="34" xfId="36" applyNumberFormat="1" applyFont="1" applyFill="1" applyBorder="1" applyAlignment="1">
      <alignment horizontal="right" vertical="center" wrapText="1"/>
    </xf>
    <xf numFmtId="170" fontId="46" fillId="46" borderId="0" xfId="6" applyNumberFormat="1" applyFont="1" applyFill="1" applyBorder="1" applyProtection="1">
      <protection locked="0"/>
    </xf>
    <xf numFmtId="170" fontId="56" fillId="0" borderId="0" xfId="6" applyNumberFormat="1" applyFont="1" applyFill="1" applyBorder="1" applyProtection="1">
      <protection locked="0"/>
    </xf>
    <xf numFmtId="170" fontId="46" fillId="47" borderId="0" xfId="6" applyNumberFormat="1" applyFont="1" applyFill="1" applyBorder="1" applyProtection="1">
      <protection locked="0"/>
    </xf>
    <xf numFmtId="170" fontId="46" fillId="46" borderId="62" xfId="6" applyNumberFormat="1" applyFont="1" applyFill="1" applyBorder="1" applyProtection="1">
      <protection locked="0"/>
    </xf>
    <xf numFmtId="44" fontId="47" fillId="0" borderId="16" xfId="13" applyFont="1" applyFill="1" applyBorder="1" applyAlignment="1" applyProtection="1">
      <alignment horizontal="center"/>
      <protection locked="0"/>
    </xf>
    <xf numFmtId="44" fontId="47" fillId="0" borderId="0" xfId="13" applyFont="1" applyFill="1" applyBorder="1" applyAlignment="1" applyProtection="1">
      <alignment horizontal="center"/>
      <protection locked="0"/>
    </xf>
    <xf numFmtId="3" fontId="47" fillId="0" borderId="0" xfId="21" applyNumberFormat="1" applyFont="1" applyProtection="1">
      <protection locked="0"/>
    </xf>
    <xf numFmtId="4" fontId="47" fillId="0" borderId="0" xfId="4" applyFont="1" applyProtection="1">
      <protection locked="0"/>
    </xf>
    <xf numFmtId="170" fontId="46" fillId="0" borderId="0" xfId="21" applyNumberFormat="1" applyFont="1" applyProtection="1">
      <protection locked="0"/>
    </xf>
    <xf numFmtId="4" fontId="48" fillId="0" borderId="0" xfId="21" applyNumberFormat="1" applyFont="1" applyProtection="1">
      <protection locked="0"/>
    </xf>
    <xf numFmtId="3" fontId="46" fillId="0" borderId="0" xfId="21" applyNumberFormat="1" applyFont="1" applyProtection="1">
      <protection locked="0"/>
    </xf>
    <xf numFmtId="164" fontId="46" fillId="0" borderId="0" xfId="21" applyNumberFormat="1" applyFont="1" applyProtection="1">
      <protection locked="0"/>
    </xf>
    <xf numFmtId="181" fontId="89" fillId="15" borderId="16" xfId="36" applyNumberFormat="1" applyFont="1" applyFill="1" applyBorder="1" applyAlignment="1">
      <alignment horizontal="right" vertical="center" wrapText="1"/>
    </xf>
    <xf numFmtId="181" fontId="89" fillId="15" borderId="4" xfId="36" applyNumberFormat="1" applyFont="1" applyFill="1" applyBorder="1" applyAlignment="1">
      <alignment horizontal="right" vertical="center" wrapText="1"/>
    </xf>
    <xf numFmtId="181" fontId="46" fillId="0" borderId="0" xfId="36" applyNumberFormat="1" applyFont="1" applyAlignment="1">
      <alignment horizontal="right" vertical="center" wrapText="1"/>
    </xf>
    <xf numFmtId="0" fontId="46" fillId="0" borderId="0" xfId="36" applyFont="1" applyAlignment="1">
      <alignment horizontal="left" vertical="center" wrapText="1"/>
    </xf>
    <xf numFmtId="0" fontId="54" fillId="14" borderId="33" xfId="36" applyFont="1" applyFill="1" applyBorder="1" applyAlignment="1">
      <alignment vertical="top"/>
    </xf>
    <xf numFmtId="0" fontId="54" fillId="15" borderId="0" xfId="36" applyFont="1" applyFill="1" applyAlignment="1">
      <alignment wrapText="1"/>
    </xf>
    <xf numFmtId="0" fontId="89" fillId="15" borderId="0" xfId="36" applyFont="1" applyFill="1" applyAlignment="1">
      <alignment horizontal="left" wrapText="1"/>
    </xf>
    <xf numFmtId="0" fontId="54" fillId="44" borderId="0" xfId="36" applyFont="1" applyFill="1" applyAlignment="1">
      <alignment horizontal="left" wrapText="1"/>
    </xf>
    <xf numFmtId="0" fontId="93" fillId="0" borderId="0" xfId="36" applyFont="1" applyAlignment="1">
      <alignment horizontal="left" wrapText="1"/>
    </xf>
    <xf numFmtId="0" fontId="89" fillId="15" borderId="0" xfId="36" applyFont="1" applyFill="1" applyAlignment="1">
      <alignment horizontal="left" vertical="center" wrapText="1"/>
    </xf>
    <xf numFmtId="0" fontId="54" fillId="44" borderId="0" xfId="36" applyFont="1" applyFill="1" applyAlignment="1">
      <alignment wrapText="1"/>
    </xf>
    <xf numFmtId="0" fontId="46" fillId="0" borderId="0" xfId="36" applyFont="1" applyAlignment="1">
      <alignment vertical="center" wrapText="1"/>
    </xf>
    <xf numFmtId="0" fontId="47" fillId="45" borderId="0" xfId="36" applyFont="1" applyFill="1" applyAlignment="1">
      <alignment wrapText="1"/>
    </xf>
    <xf numFmtId="0" fontId="47" fillId="0" borderId="135" xfId="36" applyFont="1" applyBorder="1" applyAlignment="1">
      <alignment horizontal="center" vertical="center" wrapText="1"/>
    </xf>
    <xf numFmtId="0" fontId="46" fillId="0" borderId="5" xfId="36" applyFont="1" applyBorder="1"/>
    <xf numFmtId="0" fontId="46" fillId="0" borderId="5" xfId="36" applyFont="1" applyBorder="1" applyAlignment="1">
      <alignment horizontal="left" wrapText="1"/>
    </xf>
    <xf numFmtId="0" fontId="47" fillId="15" borderId="5" xfId="36" applyFont="1" applyFill="1" applyBorder="1" applyAlignment="1">
      <alignment horizontal="left" wrapText="1"/>
    </xf>
    <xf numFmtId="0" fontId="46" fillId="0" borderId="5" xfId="36" applyFont="1" applyBorder="1" applyAlignment="1">
      <alignment horizontal="left" vertical="center" wrapText="1"/>
    </xf>
    <xf numFmtId="0" fontId="47" fillId="45" borderId="0" xfId="36" applyFont="1" applyFill="1" applyAlignment="1">
      <alignment horizontal="left" wrapText="1"/>
    </xf>
    <xf numFmtId="3" fontId="47" fillId="45" borderId="34" xfId="4" applyNumberFormat="1" applyFont="1" applyFill="1" applyBorder="1" applyAlignment="1">
      <alignment horizontal="right" wrapText="1"/>
    </xf>
    <xf numFmtId="181" fontId="47" fillId="45" borderId="16" xfId="36" applyNumberFormat="1" applyFont="1" applyFill="1" applyBorder="1" applyAlignment="1">
      <alignment horizontal="right" wrapText="1"/>
    </xf>
    <xf numFmtId="181" fontId="47" fillId="45" borderId="4" xfId="36" applyNumberFormat="1" applyFont="1" applyFill="1" applyBorder="1" applyAlignment="1">
      <alignment horizontal="right" wrapText="1"/>
    </xf>
    <xf numFmtId="181" fontId="46" fillId="15" borderId="16" xfId="36" applyNumberFormat="1" applyFont="1" applyFill="1" applyBorder="1" applyAlignment="1">
      <alignment horizontal="right" vertical="center" wrapText="1"/>
    </xf>
    <xf numFmtId="0" fontId="46" fillId="0" borderId="60" xfId="21" applyFont="1" applyBorder="1" applyAlignment="1" applyProtection="1">
      <alignment horizontal="left"/>
      <protection locked="0"/>
    </xf>
    <xf numFmtId="0" fontId="46" fillId="0" borderId="5" xfId="21" applyFont="1" applyBorder="1" applyAlignment="1" applyProtection="1">
      <alignment horizontal="left"/>
      <protection locked="0"/>
    </xf>
    <xf numFmtId="169" fontId="46" fillId="0" borderId="16" xfId="36" applyNumberFormat="1" applyFont="1" applyBorder="1" applyAlignment="1">
      <alignment horizontal="right" vertical="center" wrapText="1"/>
    </xf>
    <xf numFmtId="169" fontId="46" fillId="0" borderId="4" xfId="36" applyNumberFormat="1" applyFont="1" applyBorder="1" applyAlignment="1">
      <alignment horizontal="right" vertical="center" wrapText="1"/>
    </xf>
    <xf numFmtId="0" fontId="46" fillId="0" borderId="43" xfId="36" applyFont="1" applyBorder="1"/>
    <xf numFmtId="0" fontId="56" fillId="0" borderId="5" xfId="36" applyFont="1" applyBorder="1"/>
    <xf numFmtId="0" fontId="47" fillId="0" borderId="5" xfId="36" applyFont="1" applyBorder="1"/>
    <xf numFmtId="3" fontId="56" fillId="0" borderId="0" xfId="36" applyNumberFormat="1" applyFont="1" applyAlignment="1">
      <alignment horizontal="right" wrapText="1"/>
    </xf>
    <xf numFmtId="3" fontId="47" fillId="0" borderId="135" xfId="36" applyNumberFormat="1" applyFont="1" applyBorder="1" applyAlignment="1">
      <alignment horizontal="center" vertical="center" wrapText="1"/>
    </xf>
    <xf numFmtId="0" fontId="46" fillId="0" borderId="89" xfId="36" applyFont="1" applyBorder="1"/>
    <xf numFmtId="0" fontId="46" fillId="0" borderId="40" xfId="36" applyFont="1" applyBorder="1"/>
    <xf numFmtId="3" fontId="46" fillId="15" borderId="0" xfId="36" applyNumberFormat="1" applyFont="1" applyFill="1" applyAlignment="1">
      <alignment horizontal="right" wrapText="1"/>
    </xf>
    <xf numFmtId="0" fontId="46" fillId="0" borderId="40" xfId="36" applyFont="1" applyBorder="1" applyAlignment="1">
      <alignment horizontal="left" wrapText="1"/>
    </xf>
    <xf numFmtId="0" fontId="46" fillId="0" borderId="40" xfId="36" applyFont="1" applyBorder="1" applyAlignment="1">
      <alignment horizontal="left" vertical="center" wrapText="1"/>
    </xf>
    <xf numFmtId="0" fontId="47" fillId="15" borderId="40" xfId="36" applyFont="1" applyFill="1" applyBorder="1" applyAlignment="1">
      <alignment horizontal="left" wrapText="1"/>
    </xf>
    <xf numFmtId="0" fontId="46" fillId="15" borderId="0" xfId="36" applyFont="1" applyFill="1" applyAlignment="1">
      <alignment horizontal="left" wrapText="1"/>
    </xf>
    <xf numFmtId="181" fontId="47" fillId="45" borderId="0" xfId="36" applyNumberFormat="1" applyFont="1" applyFill="1" applyAlignment="1">
      <alignment horizontal="right" wrapText="1"/>
    </xf>
    <xf numFmtId="181" fontId="47" fillId="45" borderId="12" xfId="36" applyNumberFormat="1" applyFont="1" applyFill="1" applyBorder="1" applyAlignment="1">
      <alignment horizontal="right" wrapText="1"/>
    </xf>
    <xf numFmtId="0" fontId="46" fillId="0" borderId="40" xfId="36" applyFont="1" applyBorder="1" applyAlignment="1">
      <alignment wrapText="1"/>
    </xf>
    <xf numFmtId="0" fontId="90" fillId="0" borderId="40" xfId="36" applyFont="1" applyBorder="1" applyAlignment="1">
      <alignment horizontal="left" wrapText="1"/>
    </xf>
    <xf numFmtId="0" fontId="89" fillId="15" borderId="0" xfId="36" applyFont="1" applyFill="1" applyAlignment="1">
      <alignment horizontal="left" vertical="top" wrapText="1"/>
    </xf>
    <xf numFmtId="181" fontId="89" fillId="15" borderId="0" xfId="36" applyNumberFormat="1" applyFont="1" applyFill="1" applyAlignment="1">
      <alignment horizontal="right" wrapText="1"/>
    </xf>
    <xf numFmtId="181" fontId="89" fillId="15" borderId="0" xfId="36" applyNumberFormat="1" applyFont="1" applyFill="1" applyAlignment="1">
      <alignment horizontal="right" vertical="center" wrapText="1"/>
    </xf>
    <xf numFmtId="181" fontId="89" fillId="15" borderId="12" xfId="36" applyNumberFormat="1" applyFont="1" applyFill="1" applyBorder="1" applyAlignment="1">
      <alignment horizontal="right" vertical="center" wrapText="1"/>
    </xf>
    <xf numFmtId="0" fontId="56" fillId="0" borderId="40" xfId="36" applyFont="1" applyBorder="1"/>
    <xf numFmtId="0" fontId="47" fillId="0" borderId="40" xfId="36" applyFont="1" applyBorder="1"/>
    <xf numFmtId="0" fontId="46" fillId="0" borderId="0" xfId="36" applyFont="1" applyAlignment="1">
      <alignment vertical="center"/>
    </xf>
    <xf numFmtId="0" fontId="89" fillId="15" borderId="0" xfId="36" applyFont="1" applyFill="1"/>
    <xf numFmtId="0" fontId="47" fillId="44" borderId="0" xfId="36" applyFont="1" applyFill="1" applyAlignment="1">
      <alignment wrapText="1"/>
    </xf>
    <xf numFmtId="0" fontId="71" fillId="0" borderId="11" xfId="36" applyFont="1" applyBorder="1"/>
    <xf numFmtId="169" fontId="89" fillId="15" borderId="28" xfId="0" applyNumberFormat="1" applyFont="1" applyFill="1" applyBorder="1" applyAlignment="1">
      <alignment horizontal="right" wrapText="1"/>
    </xf>
    <xf numFmtId="0" fontId="46" fillId="0" borderId="11" xfId="36" applyFont="1" applyBorder="1"/>
    <xf numFmtId="0" fontId="46" fillId="45" borderId="0" xfId="36" applyFont="1" applyFill="1" applyAlignment="1">
      <alignment wrapText="1"/>
    </xf>
    <xf numFmtId="3" fontId="46" fillId="45" borderId="0" xfId="36" applyNumberFormat="1" applyFont="1" applyFill="1" applyAlignment="1">
      <alignment horizontal="right" wrapText="1"/>
    </xf>
    <xf numFmtId="181" fontId="46" fillId="45" borderId="0" xfId="36" applyNumberFormat="1" applyFont="1" applyFill="1" applyAlignment="1">
      <alignment horizontal="right" wrapText="1"/>
    </xf>
    <xf numFmtId="3" fontId="46" fillId="45" borderId="12" xfId="36" applyNumberFormat="1" applyFont="1" applyFill="1" applyBorder="1" applyAlignment="1">
      <alignment horizontal="right" wrapText="1"/>
    </xf>
    <xf numFmtId="0" fontId="46" fillId="0" borderId="11" xfId="36" applyFont="1" applyBorder="1" applyAlignment="1">
      <alignment vertical="center"/>
    </xf>
    <xf numFmtId="0" fontId="47" fillId="0" borderId="0" xfId="36" applyFont="1" applyAlignment="1">
      <alignment vertical="center" wrapText="1"/>
    </xf>
    <xf numFmtId="10" fontId="46" fillId="0" borderId="0" xfId="36" applyNumberFormat="1" applyFont="1" applyAlignment="1">
      <alignment horizontal="right" vertical="center" wrapText="1"/>
    </xf>
    <xf numFmtId="169" fontId="46" fillId="0" borderId="0" xfId="36" applyNumberFormat="1" applyFont="1" applyAlignment="1">
      <alignment horizontal="right" vertical="center" wrapText="1"/>
    </xf>
    <xf numFmtId="169" fontId="46" fillId="0" borderId="12" xfId="36" applyNumberFormat="1" applyFont="1" applyBorder="1" applyAlignment="1">
      <alignment horizontal="right" vertical="center" wrapText="1"/>
    </xf>
    <xf numFmtId="0" fontId="46" fillId="0" borderId="15" xfId="36" applyFont="1" applyBorder="1"/>
    <xf numFmtId="0" fontId="46" fillId="0" borderId="26" xfId="36" applyFont="1" applyBorder="1"/>
    <xf numFmtId="0" fontId="47" fillId="12" borderId="0" xfId="36" applyFont="1" applyFill="1" applyAlignment="1">
      <alignment wrapText="1"/>
    </xf>
    <xf numFmtId="0" fontId="47" fillId="12" borderId="16" xfId="36" applyFont="1" applyFill="1" applyBorder="1" applyAlignment="1">
      <alignment wrapText="1"/>
    </xf>
    <xf numFmtId="3" fontId="47" fillId="12" borderId="0" xfId="36" applyNumberFormat="1" applyFont="1" applyFill="1" applyAlignment="1">
      <alignment wrapText="1"/>
    </xf>
    <xf numFmtId="3" fontId="46" fillId="12" borderId="34" xfId="36" applyNumberFormat="1" applyFont="1" applyFill="1" applyBorder="1"/>
    <xf numFmtId="3" fontId="46" fillId="12" borderId="0" xfId="36" applyNumberFormat="1" applyFont="1" applyFill="1"/>
    <xf numFmtId="3" fontId="46" fillId="12" borderId="16" xfId="36" applyNumberFormat="1" applyFont="1" applyFill="1" applyBorder="1"/>
    <xf numFmtId="3" fontId="46" fillId="12" borderId="4" xfId="36" applyNumberFormat="1" applyFont="1" applyFill="1" applyBorder="1" applyAlignment="1">
      <alignment horizontal="right" wrapText="1"/>
    </xf>
    <xf numFmtId="3" fontId="46" fillId="12" borderId="12" xfId="36" applyNumberFormat="1" applyFont="1" applyFill="1" applyBorder="1" applyAlignment="1">
      <alignment horizontal="right" wrapText="1"/>
    </xf>
    <xf numFmtId="169" fontId="71" fillId="0" borderId="0" xfId="36" applyNumberFormat="1" applyFont="1"/>
    <xf numFmtId="3" fontId="47" fillId="0" borderId="0" xfId="36" applyNumberFormat="1" applyFont="1"/>
    <xf numFmtId="3" fontId="56" fillId="0" borderId="0" xfId="36" applyNumberFormat="1" applyFont="1"/>
    <xf numFmtId="181" fontId="46" fillId="0" borderId="0" xfId="36" applyNumberFormat="1" applyFont="1"/>
    <xf numFmtId="0" fontId="46" fillId="48" borderId="0" xfId="36" applyFont="1" applyFill="1"/>
    <xf numFmtId="0" fontId="47" fillId="46" borderId="0" xfId="36" applyFont="1" applyFill="1"/>
    <xf numFmtId="170" fontId="47" fillId="0" borderId="82" xfId="6" applyNumberFormat="1" applyFont="1" applyBorder="1" applyAlignment="1" applyProtection="1">
      <protection locked="0"/>
    </xf>
    <xf numFmtId="170" fontId="46" fillId="0" borderId="12" xfId="6" applyNumberFormat="1" applyFont="1" applyBorder="1" applyAlignment="1" applyProtection="1">
      <protection locked="0"/>
    </xf>
    <xf numFmtId="170" fontId="46" fillId="0" borderId="11" xfId="6" applyNumberFormat="1" applyFont="1" applyBorder="1" applyAlignment="1" applyProtection="1">
      <protection locked="0"/>
    </xf>
    <xf numFmtId="170" fontId="46" fillId="0" borderId="0" xfId="6" applyNumberFormat="1" applyFont="1" applyAlignment="1" applyProtection="1">
      <protection locked="0"/>
    </xf>
    <xf numFmtId="170" fontId="46" fillId="8" borderId="0" xfId="6" applyNumberFormat="1" applyFont="1" applyFill="1" applyAlignment="1" applyProtection="1">
      <protection locked="0"/>
    </xf>
    <xf numFmtId="7" fontId="46" fillId="0" borderId="0" xfId="12" applyFont="1"/>
    <xf numFmtId="0" fontId="69" fillId="0" borderId="16" xfId="21" applyFont="1" applyBorder="1" applyAlignment="1" applyProtection="1">
      <alignment horizontal="left"/>
      <protection locked="0"/>
    </xf>
    <xf numFmtId="0" fontId="70" fillId="0" borderId="16" xfId="21" applyFont="1" applyBorder="1" applyAlignment="1" applyProtection="1">
      <alignment horizontal="left" indent="1"/>
      <protection locked="0"/>
    </xf>
    <xf numFmtId="170" fontId="70" fillId="8" borderId="0" xfId="6" applyNumberFormat="1" applyFont="1" applyFill="1" applyBorder="1" applyProtection="1">
      <protection locked="0"/>
    </xf>
    <xf numFmtId="170" fontId="70" fillId="0" borderId="0" xfId="6" applyNumberFormat="1" applyFont="1" applyFill="1" applyBorder="1" applyProtection="1">
      <protection locked="0"/>
    </xf>
    <xf numFmtId="170" fontId="70" fillId="0" borderId="0" xfId="6" applyNumberFormat="1" applyFont="1" applyAlignment="1" applyProtection="1">
      <protection locked="0"/>
    </xf>
    <xf numFmtId="170" fontId="70" fillId="8" borderId="0" xfId="6" applyNumberFormat="1" applyFont="1" applyFill="1" applyAlignment="1" applyProtection="1">
      <protection locked="0"/>
    </xf>
    <xf numFmtId="0" fontId="69" fillId="0" borderId="16" xfId="21" applyFont="1" applyBorder="1" applyAlignment="1" applyProtection="1">
      <alignment horizontal="left" indent="1"/>
      <protection locked="0"/>
    </xf>
    <xf numFmtId="170" fontId="46" fillId="12" borderId="0" xfId="6" applyNumberFormat="1" applyFont="1" applyFill="1" applyBorder="1" applyProtection="1">
      <protection locked="0"/>
    </xf>
    <xf numFmtId="170" fontId="48" fillId="0" borderId="0" xfId="21" applyNumberFormat="1" applyFont="1" applyProtection="1">
      <protection locked="0"/>
    </xf>
    <xf numFmtId="169" fontId="46" fillId="0" borderId="16" xfId="36" applyNumberFormat="1" applyFont="1" applyBorder="1" applyAlignment="1">
      <alignment vertical="center"/>
    </xf>
    <xf numFmtId="182" fontId="47" fillId="0" borderId="0" xfId="36" applyNumberFormat="1" applyFont="1"/>
    <xf numFmtId="44" fontId="46" fillId="0" borderId="0" xfId="36" applyNumberFormat="1" applyFont="1"/>
    <xf numFmtId="0" fontId="46" fillId="46" borderId="0" xfId="36" applyFont="1" applyFill="1" applyAlignment="1">
      <alignment horizontal="left" wrapText="1"/>
    </xf>
    <xf numFmtId="0" fontId="46" fillId="46" borderId="0" xfId="36" applyFont="1" applyFill="1"/>
    <xf numFmtId="0" fontId="56" fillId="46" borderId="0" xfId="36" applyFont="1" applyFill="1"/>
    <xf numFmtId="3" fontId="47" fillId="46" borderId="0" xfId="36" applyNumberFormat="1" applyFont="1" applyFill="1"/>
    <xf numFmtId="0" fontId="46" fillId="46" borderId="40" xfId="36" applyFont="1" applyFill="1" applyBorder="1"/>
    <xf numFmtId="0" fontId="46" fillId="46" borderId="5" xfId="36" applyFont="1" applyFill="1" applyBorder="1"/>
    <xf numFmtId="0" fontId="89" fillId="46" borderId="0" xfId="36" applyFont="1" applyFill="1" applyAlignment="1">
      <alignment wrapText="1"/>
    </xf>
    <xf numFmtId="0" fontId="89" fillId="46" borderId="0" xfId="36" applyFont="1" applyFill="1" applyAlignment="1">
      <alignment horizontal="left" vertical="top" wrapText="1"/>
    </xf>
    <xf numFmtId="181" fontId="89" fillId="46" borderId="16" xfId="36" applyNumberFormat="1" applyFont="1" applyFill="1" applyBorder="1" applyAlignment="1">
      <alignment horizontal="right" wrapText="1"/>
    </xf>
    <xf numFmtId="181" fontId="89" fillId="46" borderId="0" xfId="36" applyNumberFormat="1" applyFont="1" applyFill="1" applyAlignment="1">
      <alignment horizontal="right" wrapText="1"/>
    </xf>
    <xf numFmtId="181" fontId="89" fillId="46" borderId="34" xfId="36" applyNumberFormat="1" applyFont="1" applyFill="1" applyBorder="1" applyAlignment="1">
      <alignment horizontal="right" wrapText="1"/>
    </xf>
    <xf numFmtId="181" fontId="89" fillId="46" borderId="4" xfId="36" applyNumberFormat="1" applyFont="1" applyFill="1" applyBorder="1" applyAlignment="1">
      <alignment horizontal="right" wrapText="1"/>
    </xf>
    <xf numFmtId="181" fontId="89" fillId="46" borderId="12" xfId="36" applyNumberFormat="1" applyFont="1" applyFill="1" applyBorder="1" applyAlignment="1">
      <alignment horizontal="right" wrapText="1"/>
    </xf>
    <xf numFmtId="0" fontId="46" fillId="46" borderId="40" xfId="36" applyFont="1" applyFill="1" applyBorder="1" applyAlignment="1">
      <alignment wrapText="1"/>
    </xf>
    <xf numFmtId="0" fontId="46" fillId="46" borderId="5" xfId="36" applyFont="1" applyFill="1" applyBorder="1" applyAlignment="1">
      <alignment horizontal="left" wrapText="1"/>
    </xf>
    <xf numFmtId="0" fontId="46" fillId="46" borderId="0" xfId="36" applyFont="1" applyFill="1" applyAlignment="1">
      <alignment wrapText="1"/>
    </xf>
    <xf numFmtId="0" fontId="46" fillId="46" borderId="0" xfId="36" applyFont="1" applyFill="1" applyAlignment="1">
      <alignment horizontal="left" vertical="top" wrapText="1"/>
    </xf>
    <xf numFmtId="181" fontId="46" fillId="46" borderId="16" xfId="36" applyNumberFormat="1" applyFont="1" applyFill="1" applyBorder="1" applyAlignment="1">
      <alignment horizontal="right" wrapText="1"/>
    </xf>
    <xf numFmtId="181" fontId="46" fillId="46" borderId="0" xfId="36" applyNumberFormat="1" applyFont="1" applyFill="1" applyAlignment="1">
      <alignment horizontal="right" wrapText="1"/>
    </xf>
    <xf numFmtId="181" fontId="46" fillId="46" borderId="34" xfId="36" applyNumberFormat="1" applyFont="1" applyFill="1" applyBorder="1" applyAlignment="1">
      <alignment horizontal="right" wrapText="1"/>
    </xf>
    <xf numFmtId="181" fontId="46" fillId="46" borderId="4" xfId="36" applyNumberFormat="1" applyFont="1" applyFill="1" applyBorder="1" applyAlignment="1">
      <alignment horizontal="right" wrapText="1"/>
    </xf>
    <xf numFmtId="181" fontId="46" fillId="46" borderId="12" xfId="36" applyNumberFormat="1" applyFont="1" applyFill="1" applyBorder="1" applyAlignment="1">
      <alignment horizontal="right" wrapText="1"/>
    </xf>
    <xf numFmtId="0" fontId="89" fillId="46" borderId="40" xfId="36" applyFont="1" applyFill="1" applyBorder="1" applyAlignment="1">
      <alignment wrapText="1"/>
    </xf>
    <xf numFmtId="0" fontId="89" fillId="46" borderId="5" xfId="36" applyFont="1" applyFill="1" applyBorder="1" applyAlignment="1">
      <alignment horizontal="left" wrapText="1"/>
    </xf>
    <xf numFmtId="0" fontId="46" fillId="46" borderId="5" xfId="36" applyFont="1" applyFill="1" applyBorder="1" applyAlignment="1">
      <alignment horizontal="left"/>
    </xf>
    <xf numFmtId="0" fontId="46" fillId="46" borderId="40" xfId="36" applyFont="1" applyFill="1" applyBorder="1" applyAlignment="1">
      <alignment vertical="center" wrapText="1"/>
    </xf>
    <xf numFmtId="0" fontId="46" fillId="46" borderId="5" xfId="36" applyFont="1" applyFill="1" applyBorder="1" applyAlignment="1">
      <alignment horizontal="left" vertical="center" wrapText="1"/>
    </xf>
    <xf numFmtId="0" fontId="46" fillId="46" borderId="0" xfId="36" applyFont="1" applyFill="1" applyAlignment="1">
      <alignment vertical="center" wrapText="1"/>
    </xf>
    <xf numFmtId="0" fontId="46" fillId="46" borderId="0" xfId="36" applyFont="1" applyFill="1" applyAlignment="1">
      <alignment horizontal="left" vertical="center" wrapText="1"/>
    </xf>
    <xf numFmtId="181" fontId="46" fillId="46" borderId="16" xfId="36" applyNumberFormat="1" applyFont="1" applyFill="1" applyBorder="1" applyAlignment="1">
      <alignment horizontal="right" vertical="center" wrapText="1"/>
    </xf>
    <xf numFmtId="181" fontId="46" fillId="46" borderId="0" xfId="36" applyNumberFormat="1" applyFont="1" applyFill="1" applyAlignment="1">
      <alignment horizontal="right" vertical="center" wrapText="1"/>
    </xf>
    <xf numFmtId="181" fontId="46" fillId="46" borderId="4" xfId="36" applyNumberFormat="1" applyFont="1" applyFill="1" applyBorder="1" applyAlignment="1">
      <alignment horizontal="right" vertical="center" wrapText="1"/>
    </xf>
    <xf numFmtId="181" fontId="46" fillId="46" borderId="12" xfId="36" applyNumberFormat="1" applyFont="1" applyFill="1" applyBorder="1" applyAlignment="1">
      <alignment horizontal="right" vertical="center" wrapText="1"/>
    </xf>
    <xf numFmtId="0" fontId="99" fillId="46" borderId="0" xfId="36" applyFont="1" applyFill="1" applyAlignment="1">
      <alignment wrapText="1"/>
    </xf>
    <xf numFmtId="0" fontId="95" fillId="46" borderId="5" xfId="36" applyFont="1" applyFill="1" applyBorder="1" applyAlignment="1">
      <alignment horizontal="left" vertical="center" wrapText="1"/>
    </xf>
    <xf numFmtId="0" fontId="94" fillId="46" borderId="0" xfId="36" applyFont="1" applyFill="1" applyAlignment="1">
      <alignment vertical="center" wrapText="1"/>
    </xf>
    <xf numFmtId="0" fontId="95" fillId="46" borderId="0" xfId="36" applyFont="1" applyFill="1" applyAlignment="1">
      <alignment vertical="center" wrapText="1"/>
    </xf>
    <xf numFmtId="0" fontId="95" fillId="46" borderId="0" xfId="36" applyFont="1" applyFill="1" applyAlignment="1">
      <alignment horizontal="left" vertical="center" wrapText="1"/>
    </xf>
    <xf numFmtId="181" fontId="93" fillId="46" borderId="12" xfId="36" applyNumberFormat="1" applyFont="1" applyFill="1" applyBorder="1" applyAlignment="1">
      <alignment horizontal="right" wrapText="1"/>
    </xf>
    <xf numFmtId="0" fontId="46" fillId="46" borderId="40" xfId="36" applyFont="1" applyFill="1" applyBorder="1" applyAlignment="1">
      <alignment horizontal="left" vertical="center" wrapText="1"/>
    </xf>
    <xf numFmtId="0" fontId="46" fillId="46" borderId="0" xfId="36" applyFont="1" applyFill="1" applyAlignment="1">
      <alignment horizontal="left" vertical="center"/>
    </xf>
    <xf numFmtId="181" fontId="93" fillId="46" borderId="12" xfId="36" applyNumberFormat="1" applyFont="1" applyFill="1" applyBorder="1" applyAlignment="1">
      <alignment horizontal="right" vertical="center" wrapText="1"/>
    </xf>
    <xf numFmtId="9" fontId="46" fillId="46" borderId="0" xfId="37" applyFont="1" applyFill="1" applyBorder="1" applyAlignment="1">
      <alignment horizontal="left" wrapText="1"/>
    </xf>
    <xf numFmtId="0" fontId="46" fillId="46" borderId="0" xfId="36" applyFont="1" applyFill="1" applyAlignment="1">
      <alignment horizontal="left"/>
    </xf>
    <xf numFmtId="9" fontId="46" fillId="46" borderId="0" xfId="37" applyFont="1" applyFill="1" applyBorder="1" applyAlignment="1">
      <alignment horizontal="left" vertical="center" wrapText="1"/>
    </xf>
    <xf numFmtId="37" fontId="46" fillId="46" borderId="0" xfId="36" applyNumberFormat="1" applyFont="1" applyFill="1" applyAlignment="1">
      <alignment horizontal="right" wrapText="1"/>
    </xf>
    <xf numFmtId="37" fontId="46" fillId="46" borderId="0" xfId="36" applyNumberFormat="1" applyFont="1" applyFill="1" applyAlignment="1">
      <alignment horizontal="right" vertical="center" wrapText="1"/>
    </xf>
    <xf numFmtId="0" fontId="93" fillId="46" borderId="0" xfId="36" applyFont="1" applyFill="1" applyAlignment="1">
      <alignment horizontal="left" wrapText="1"/>
    </xf>
    <xf numFmtId="181" fontId="46" fillId="46" borderId="0" xfId="36" applyNumberFormat="1" applyFont="1" applyFill="1" applyAlignment="1">
      <alignment wrapText="1"/>
    </xf>
    <xf numFmtId="181" fontId="93" fillId="46" borderId="34" xfId="36" applyNumberFormat="1" applyFont="1" applyFill="1" applyBorder="1" applyAlignment="1">
      <alignment horizontal="right" wrapText="1"/>
    </xf>
    <xf numFmtId="0" fontId="46" fillId="46" borderId="40" xfId="36" applyFont="1" applyFill="1" applyBorder="1" applyAlignment="1">
      <alignment horizontal="left" wrapText="1"/>
    </xf>
    <xf numFmtId="10" fontId="46" fillId="46" borderId="0" xfId="37" applyNumberFormat="1" applyFont="1" applyFill="1" applyBorder="1" applyAlignment="1">
      <alignment horizontal="right" wrapText="1"/>
    </xf>
    <xf numFmtId="170" fontId="46" fillId="46" borderId="34" xfId="36" applyNumberFormat="1" applyFont="1" applyFill="1" applyBorder="1" applyAlignment="1">
      <alignment horizontal="right" wrapText="1"/>
    </xf>
    <xf numFmtId="170" fontId="46" fillId="46" borderId="0" xfId="36" applyNumberFormat="1" applyFont="1" applyFill="1" applyAlignment="1">
      <alignment horizontal="right" wrapText="1"/>
    </xf>
    <xf numFmtId="10" fontId="46" fillId="46" borderId="0" xfId="36" applyNumberFormat="1" applyFont="1" applyFill="1" applyAlignment="1">
      <alignment horizontal="right" wrapText="1"/>
    </xf>
    <xf numFmtId="0" fontId="72" fillId="46" borderId="0" xfId="36" applyFont="1" applyFill="1" applyAlignment="1">
      <alignment wrapText="1"/>
    </xf>
    <xf numFmtId="0" fontId="47" fillId="46" borderId="0" xfId="36" applyFont="1" applyFill="1" applyAlignment="1">
      <alignment horizontal="right" wrapText="1"/>
    </xf>
    <xf numFmtId="0" fontId="47" fillId="46" borderId="16" xfId="36" applyFont="1" applyFill="1" applyBorder="1" applyAlignment="1">
      <alignment horizontal="right" wrapText="1"/>
    </xf>
    <xf numFmtId="3" fontId="47" fillId="46" borderId="0" xfId="36" applyNumberFormat="1" applyFont="1" applyFill="1" applyAlignment="1">
      <alignment horizontal="right" wrapText="1"/>
    </xf>
    <xf numFmtId="182" fontId="47" fillId="46" borderId="34" xfId="36" applyNumberFormat="1" applyFont="1" applyFill="1" applyBorder="1" applyAlignment="1">
      <alignment horizontal="right" wrapText="1"/>
    </xf>
    <xf numFmtId="182" fontId="47" fillId="46" borderId="0" xfId="36" applyNumberFormat="1" applyFont="1" applyFill="1" applyAlignment="1">
      <alignment horizontal="right" wrapText="1"/>
    </xf>
    <xf numFmtId="182" fontId="47" fillId="46" borderId="16" xfId="36" applyNumberFormat="1" applyFont="1" applyFill="1" applyBorder="1" applyAlignment="1">
      <alignment horizontal="right" wrapText="1"/>
    </xf>
    <xf numFmtId="182" fontId="47" fillId="46" borderId="4" xfId="36" applyNumberFormat="1" applyFont="1" applyFill="1" applyBorder="1" applyAlignment="1">
      <alignment horizontal="right" wrapText="1"/>
    </xf>
    <xf numFmtId="169" fontId="47" fillId="46" borderId="12" xfId="36" applyNumberFormat="1" applyFont="1" applyFill="1" applyBorder="1" applyAlignment="1">
      <alignment horizontal="right" wrapText="1"/>
    </xf>
    <xf numFmtId="0" fontId="72" fillId="46" borderId="40" xfId="36" applyFont="1" applyFill="1" applyBorder="1" applyAlignment="1">
      <alignment wrapText="1"/>
    </xf>
    <xf numFmtId="0" fontId="72" fillId="46" borderId="5" xfId="36" applyFont="1" applyFill="1" applyBorder="1" applyAlignment="1">
      <alignment horizontal="left" wrapText="1"/>
    </xf>
    <xf numFmtId="0" fontId="72" fillId="46" borderId="0" xfId="36" applyFont="1" applyFill="1" applyAlignment="1">
      <alignment vertical="center" wrapText="1"/>
    </xf>
    <xf numFmtId="173" fontId="46" fillId="46" borderId="34" xfId="36" applyNumberFormat="1" applyFont="1" applyFill="1" applyBorder="1" applyAlignment="1">
      <alignment horizontal="right" vertical="center" wrapText="1"/>
    </xf>
    <xf numFmtId="173" fontId="46" fillId="46" borderId="0" xfId="36" applyNumberFormat="1" applyFont="1" applyFill="1" applyAlignment="1">
      <alignment horizontal="right" vertical="center" wrapText="1"/>
    </xf>
    <xf numFmtId="173" fontId="46" fillId="46" borderId="16" xfId="36" applyNumberFormat="1" applyFont="1" applyFill="1" applyBorder="1" applyAlignment="1">
      <alignment horizontal="right" vertical="center" wrapText="1"/>
    </xf>
    <xf numFmtId="0" fontId="47" fillId="46" borderId="26" xfId="36" applyFont="1" applyFill="1" applyBorder="1" applyAlignment="1">
      <alignment wrapText="1"/>
    </xf>
    <xf numFmtId="0" fontId="47" fillId="46" borderId="26" xfId="36" applyFont="1" applyFill="1" applyBorder="1" applyAlignment="1">
      <alignment horizontal="right" wrapText="1"/>
    </xf>
    <xf numFmtId="0" fontId="47" fillId="46" borderId="25" xfId="36" applyFont="1" applyFill="1" applyBorder="1" applyAlignment="1">
      <alignment horizontal="right" wrapText="1"/>
    </xf>
    <xf numFmtId="3" fontId="47" fillId="46" borderId="26" xfId="36" applyNumberFormat="1" applyFont="1" applyFill="1" applyBorder="1" applyAlignment="1">
      <alignment horizontal="right" wrapText="1"/>
    </xf>
    <xf numFmtId="182" fontId="47" fillId="46" borderId="76" xfId="36" applyNumberFormat="1" applyFont="1" applyFill="1" applyBorder="1" applyAlignment="1">
      <alignment horizontal="right" wrapText="1"/>
    </xf>
    <xf numFmtId="182" fontId="47" fillId="46" borderId="26" xfId="36" applyNumberFormat="1" applyFont="1" applyFill="1" applyBorder="1" applyAlignment="1">
      <alignment horizontal="right" wrapText="1"/>
    </xf>
    <xf numFmtId="182" fontId="47" fillId="46" borderId="25" xfId="36" applyNumberFormat="1" applyFont="1" applyFill="1" applyBorder="1" applyAlignment="1">
      <alignment horizontal="right" wrapText="1"/>
    </xf>
    <xf numFmtId="182" fontId="47" fillId="46" borderId="27" xfId="36" applyNumberFormat="1" applyFont="1" applyFill="1" applyBorder="1" applyAlignment="1">
      <alignment horizontal="right" wrapText="1"/>
    </xf>
    <xf numFmtId="169" fontId="47" fillId="46" borderId="28" xfId="36" applyNumberFormat="1" applyFont="1" applyFill="1" applyBorder="1" applyAlignment="1">
      <alignment horizontal="right" wrapText="1"/>
    </xf>
    <xf numFmtId="1" fontId="46" fillId="46" borderId="0" xfId="40" applyNumberFormat="1" applyFont="1" applyFill="1" applyBorder="1"/>
    <xf numFmtId="0" fontId="46" fillId="46" borderId="16" xfId="36" applyFont="1" applyFill="1" applyBorder="1" applyAlignment="1">
      <alignment wrapText="1"/>
    </xf>
    <xf numFmtId="3" fontId="46" fillId="46" borderId="0" xfId="36" applyNumberFormat="1" applyFont="1" applyFill="1" applyAlignment="1">
      <alignment wrapText="1"/>
    </xf>
    <xf numFmtId="3" fontId="46" fillId="46" borderId="34" xfId="36" applyNumberFormat="1" applyFont="1" applyFill="1" applyBorder="1"/>
    <xf numFmtId="3" fontId="46" fillId="46" borderId="0" xfId="36" applyNumberFormat="1" applyFont="1" applyFill="1"/>
    <xf numFmtId="3" fontId="46" fillId="46" borderId="16" xfId="36" applyNumberFormat="1" applyFont="1" applyFill="1" applyBorder="1"/>
    <xf numFmtId="3" fontId="46" fillId="46" borderId="4" xfId="36" applyNumberFormat="1" applyFont="1" applyFill="1" applyBorder="1" applyAlignment="1">
      <alignment horizontal="right" wrapText="1"/>
    </xf>
    <xf numFmtId="3" fontId="46" fillId="46" borderId="12" xfId="36" applyNumberFormat="1" applyFont="1" applyFill="1" applyBorder="1" applyAlignment="1">
      <alignment horizontal="right" wrapText="1"/>
    </xf>
    <xf numFmtId="0" fontId="90" fillId="46" borderId="0" xfId="36" applyFont="1" applyFill="1" applyAlignment="1">
      <alignment horizontal="left" wrapText="1"/>
    </xf>
    <xf numFmtId="0" fontId="50" fillId="46" borderId="0" xfId="36" applyFont="1" applyFill="1"/>
    <xf numFmtId="9" fontId="59" fillId="46" borderId="0" xfId="36" applyNumberFormat="1" applyFont="1" applyFill="1" applyAlignment="1">
      <alignment horizontal="center" vertical="center" wrapText="1"/>
    </xf>
    <xf numFmtId="4" fontId="50" fillId="46" borderId="0" xfId="4" applyFont="1" applyFill="1" applyBorder="1"/>
    <xf numFmtId="9" fontId="50" fillId="46" borderId="0" xfId="36" applyNumberFormat="1" applyFont="1" applyFill="1"/>
    <xf numFmtId="3" fontId="50" fillId="46" borderId="0" xfId="4" applyNumberFormat="1" applyFont="1" applyFill="1" applyBorder="1"/>
    <xf numFmtId="3" fontId="50" fillId="46" borderId="0" xfId="36" applyNumberFormat="1" applyFont="1" applyFill="1"/>
    <xf numFmtId="173" fontId="50" fillId="46" borderId="0" xfId="36" applyNumberFormat="1" applyFont="1" applyFill="1"/>
    <xf numFmtId="0" fontId="69" fillId="23" borderId="70" xfId="36" applyFont="1" applyFill="1" applyBorder="1" applyAlignment="1">
      <alignment horizontal="center" vertical="center" wrapText="1"/>
    </xf>
    <xf numFmtId="0" fontId="69" fillId="23" borderId="119" xfId="36" applyFont="1" applyFill="1" applyBorder="1" applyAlignment="1">
      <alignment horizontal="center" vertical="center" wrapText="1"/>
    </xf>
    <xf numFmtId="173" fontId="50" fillId="0" borderId="0" xfId="36" applyNumberFormat="1" applyFont="1"/>
    <xf numFmtId="0" fontId="69" fillId="0" borderId="121" xfId="36" applyFont="1" applyBorder="1" applyAlignment="1">
      <alignment wrapText="1"/>
    </xf>
    <xf numFmtId="173" fontId="69" fillId="13" borderId="72" xfId="36" applyNumberFormat="1" applyFont="1" applyFill="1" applyBorder="1" applyAlignment="1">
      <alignment vertical="center"/>
    </xf>
    <xf numFmtId="173" fontId="69" fillId="13" borderId="74" xfId="36" applyNumberFormat="1" applyFont="1" applyFill="1" applyBorder="1" applyAlignment="1">
      <alignment vertical="center"/>
    </xf>
    <xf numFmtId="10" fontId="50" fillId="0" borderId="0" xfId="23" applyFont="1"/>
    <xf numFmtId="4" fontId="50" fillId="0" borderId="0" xfId="4" applyFont="1"/>
    <xf numFmtId="173" fontId="69" fillId="23" borderId="119" xfId="36" applyNumberFormat="1" applyFont="1" applyFill="1" applyBorder="1" applyAlignment="1">
      <alignment vertical="center"/>
    </xf>
    <xf numFmtId="173" fontId="69" fillId="23" borderId="120" xfId="36" applyNumberFormat="1" applyFont="1" applyFill="1" applyBorder="1" applyAlignment="1">
      <alignment vertical="center"/>
    </xf>
    <xf numFmtId="4" fontId="50" fillId="0" borderId="0" xfId="4" applyFont="1" applyAlignment="1">
      <alignment vertical="center"/>
    </xf>
    <xf numFmtId="0" fontId="50" fillId="0" borderId="0" xfId="36" applyFont="1" applyAlignment="1">
      <alignment vertical="center"/>
    </xf>
    <xf numFmtId="0" fontId="50" fillId="46" borderId="0" xfId="36" applyFont="1" applyFill="1" applyAlignment="1">
      <alignment vertical="center"/>
    </xf>
    <xf numFmtId="0" fontId="102" fillId="0" borderId="121" xfId="36" applyFont="1" applyBorder="1"/>
    <xf numFmtId="0" fontId="102" fillId="13" borderId="73" xfId="36" applyFont="1" applyFill="1" applyBorder="1" applyAlignment="1">
      <alignment wrapText="1"/>
    </xf>
    <xf numFmtId="0" fontId="102" fillId="23" borderId="125" xfId="36" applyFont="1" applyFill="1" applyBorder="1" applyAlignment="1">
      <alignment horizontal="left" vertical="center"/>
    </xf>
    <xf numFmtId="0" fontId="103" fillId="49" borderId="0" xfId="0" applyFont="1" applyFill="1" applyAlignment="1">
      <alignment vertical="top" wrapText="1"/>
    </xf>
    <xf numFmtId="0" fontId="104" fillId="0" borderId="0" xfId="21" applyFont="1" applyProtection="1">
      <protection locked="0"/>
    </xf>
    <xf numFmtId="0" fontId="105" fillId="0" borderId="0" xfId="21" applyFont="1" applyProtection="1">
      <protection locked="0"/>
    </xf>
    <xf numFmtId="0" fontId="106" fillId="0" borderId="0" xfId="21" applyFont="1" applyAlignment="1" applyProtection="1">
      <alignment horizontal="left" vertical="top" wrapText="1"/>
      <protection locked="0"/>
    </xf>
    <xf numFmtId="0" fontId="110" fillId="0" borderId="0" xfId="21" applyFont="1" applyAlignment="1" applyProtection="1">
      <alignment vertical="center"/>
      <protection locked="0"/>
    </xf>
    <xf numFmtId="0" fontId="110" fillId="0" borderId="0" xfId="21" applyFont="1" applyProtection="1">
      <protection locked="0"/>
    </xf>
    <xf numFmtId="0" fontId="104" fillId="0" borderId="0" xfId="21" applyFont="1" applyAlignment="1" applyProtection="1">
      <alignment vertical="center"/>
      <protection locked="0"/>
    </xf>
    <xf numFmtId="0" fontId="115" fillId="0" borderId="0" xfId="21" applyFont="1" applyProtection="1">
      <protection locked="0"/>
    </xf>
    <xf numFmtId="0" fontId="104" fillId="0" borderId="0" xfId="36" applyFont="1"/>
    <xf numFmtId="0" fontId="104" fillId="0" borderId="0" xfId="36" applyFont="1" applyAlignment="1">
      <alignment wrapText="1"/>
    </xf>
    <xf numFmtId="3" fontId="104" fillId="0" borderId="0" xfId="36" applyNumberFormat="1" applyFont="1" applyAlignment="1">
      <alignment wrapText="1"/>
    </xf>
    <xf numFmtId="3" fontId="104" fillId="0" borderId="0" xfId="36" applyNumberFormat="1" applyFont="1"/>
    <xf numFmtId="0" fontId="114" fillId="0" borderId="70" xfId="36" applyFont="1" applyBorder="1" applyAlignment="1">
      <alignment horizontal="center" wrapText="1"/>
    </xf>
    <xf numFmtId="0" fontId="114" fillId="0" borderId="39" xfId="36" applyFont="1" applyBorder="1" applyAlignment="1">
      <alignment wrapText="1"/>
    </xf>
    <xf numFmtId="0" fontId="107" fillId="0" borderId="39" xfId="36" applyFont="1" applyBorder="1" applyAlignment="1">
      <alignment horizontal="center" wrapText="1"/>
    </xf>
    <xf numFmtId="3" fontId="107" fillId="0" borderId="39" xfId="39" applyNumberFormat="1" applyFont="1" applyBorder="1" applyAlignment="1">
      <alignment horizontal="center" wrapText="1"/>
    </xf>
    <xf numFmtId="0" fontId="114" fillId="15" borderId="11" xfId="36" applyFont="1" applyFill="1" applyBorder="1" applyAlignment="1">
      <alignment horizontal="left" wrapText="1"/>
    </xf>
    <xf numFmtId="0" fontId="117" fillId="0" borderId="11" xfId="36" applyFont="1" applyBorder="1" applyAlignment="1">
      <alignment horizontal="left" wrapText="1"/>
    </xf>
    <xf numFmtId="0" fontId="107" fillId="15" borderId="11" xfId="36" applyFont="1" applyFill="1" applyBorder="1" applyAlignment="1">
      <alignment horizontal="left" wrapText="1"/>
    </xf>
    <xf numFmtId="0" fontId="114" fillId="14" borderId="11" xfId="36" applyFont="1" applyFill="1" applyBorder="1" applyAlignment="1">
      <alignment vertical="center" wrapText="1"/>
    </xf>
    <xf numFmtId="0" fontId="114" fillId="0" borderId="11" xfId="36" applyFont="1" applyBorder="1" applyAlignment="1">
      <alignment horizontal="left" wrapText="1"/>
    </xf>
    <xf numFmtId="0" fontId="118" fillId="0" borderId="11" xfId="36" applyFont="1" applyBorder="1" applyAlignment="1">
      <alignment wrapText="1"/>
    </xf>
    <xf numFmtId="0" fontId="107" fillId="15" borderId="15" xfId="36" applyFont="1" applyFill="1" applyBorder="1" applyAlignment="1">
      <alignment wrapText="1"/>
    </xf>
    <xf numFmtId="0" fontId="113" fillId="0" borderId="0" xfId="36" applyFont="1"/>
    <xf numFmtId="0" fontId="105" fillId="0" borderId="0" xfId="36" applyFont="1"/>
    <xf numFmtId="0" fontId="111" fillId="0" borderId="11" xfId="36" applyFont="1" applyBorder="1" applyAlignment="1">
      <alignment horizontal="left" wrapText="1"/>
    </xf>
    <xf numFmtId="0" fontId="111" fillId="0" borderId="0" xfId="36" applyFont="1"/>
    <xf numFmtId="0" fontId="121" fillId="44" borderId="11" xfId="36" applyFont="1" applyFill="1" applyBorder="1" applyAlignment="1">
      <alignment horizontal="left" wrapText="1"/>
    </xf>
    <xf numFmtId="0" fontId="114" fillId="15" borderId="15" xfId="36" applyFont="1" applyFill="1" applyBorder="1" applyAlignment="1">
      <alignment vertical="center" wrapText="1"/>
    </xf>
    <xf numFmtId="0" fontId="114" fillId="17" borderId="15" xfId="36" applyFont="1" applyFill="1" applyBorder="1" applyAlignment="1">
      <alignment wrapText="1"/>
    </xf>
    <xf numFmtId="0" fontId="119" fillId="0" borderId="11" xfId="36" applyFont="1" applyBorder="1" applyAlignment="1">
      <alignment vertical="center" wrapText="1"/>
    </xf>
    <xf numFmtId="0" fontId="112" fillId="0" borderId="0" xfId="36" applyFont="1" applyAlignment="1">
      <alignment wrapText="1"/>
    </xf>
    <xf numFmtId="3" fontId="104" fillId="0" borderId="0" xfId="36" applyNumberFormat="1" applyFont="1" applyAlignment="1">
      <alignment horizontal="right" wrapText="1"/>
    </xf>
    <xf numFmtId="0" fontId="47" fillId="0" borderId="0" xfId="0" applyFont="1" applyAlignment="1" applyProtection="1">
      <alignment vertical="top" wrapText="1"/>
      <protection locked="0"/>
    </xf>
    <xf numFmtId="7" fontId="47" fillId="0" borderId="32" xfId="12" applyFont="1" applyBorder="1" applyAlignment="1" applyProtection="1">
      <alignment horizontal="center" wrapText="1"/>
      <protection locked="0"/>
    </xf>
    <xf numFmtId="7" fontId="47" fillId="0" borderId="33" xfId="12" applyFont="1" applyBorder="1" applyAlignment="1" applyProtection="1">
      <alignment horizontal="center" wrapText="1"/>
      <protection locked="0"/>
    </xf>
    <xf numFmtId="7" fontId="47" fillId="0" borderId="48" xfId="12" applyFont="1" applyBorder="1" applyAlignment="1" applyProtection="1">
      <alignment horizontal="center"/>
      <protection locked="0"/>
    </xf>
    <xf numFmtId="172" fontId="46" fillId="0" borderId="38" xfId="12" applyNumberFormat="1" applyFont="1" applyBorder="1" applyAlignment="1" applyProtection="1">
      <alignment horizontal="center" wrapText="1"/>
      <protection locked="0"/>
    </xf>
    <xf numFmtId="7" fontId="47" fillId="0" borderId="16" xfId="12" applyFont="1" applyBorder="1" applyAlignment="1" applyProtection="1">
      <alignment horizontal="left" wrapText="1"/>
      <protection locked="0"/>
    </xf>
    <xf numFmtId="10" fontId="47" fillId="0" borderId="0" xfId="23" applyFont="1" applyAlignment="1" applyProtection="1">
      <alignment horizontal="center"/>
      <protection locked="0"/>
    </xf>
    <xf numFmtId="7" fontId="47" fillId="0" borderId="0" xfId="12" applyFont="1" applyAlignment="1" applyProtection="1">
      <alignment horizontal="center"/>
      <protection locked="0"/>
    </xf>
    <xf numFmtId="7" fontId="47" fillId="0" borderId="0" xfId="12" applyFont="1" applyAlignment="1" applyProtection="1">
      <alignment horizontal="center" wrapText="1"/>
      <protection locked="0"/>
    </xf>
    <xf numFmtId="4" fontId="47" fillId="0" borderId="0" xfId="4" applyFont="1" applyAlignment="1" applyProtection="1">
      <alignment horizontal="center"/>
      <protection locked="0"/>
    </xf>
    <xf numFmtId="0" fontId="47" fillId="50" borderId="60" xfId="21" applyFont="1" applyFill="1" applyBorder="1" applyAlignment="1" applyProtection="1">
      <alignment horizontal="center"/>
      <protection locked="0"/>
    </xf>
    <xf numFmtId="170" fontId="46" fillId="0" borderId="44" xfId="6" applyNumberFormat="1" applyFont="1" applyBorder="1" applyAlignment="1" applyProtection="1">
      <protection locked="0"/>
    </xf>
    <xf numFmtId="170" fontId="46" fillId="0" borderId="104" xfId="6" applyNumberFormat="1" applyFont="1" applyBorder="1" applyAlignment="1" applyProtection="1">
      <protection locked="0"/>
    </xf>
    <xf numFmtId="170" fontId="46" fillId="0" borderId="106" xfId="6" applyNumberFormat="1" applyFont="1" applyBorder="1" applyAlignment="1" applyProtection="1">
      <protection locked="0"/>
    </xf>
    <xf numFmtId="170" fontId="47" fillId="0" borderId="59" xfId="6" applyNumberFormat="1" applyFont="1" applyBorder="1" applyAlignment="1" applyProtection="1">
      <protection locked="0"/>
    </xf>
    <xf numFmtId="0" fontId="46" fillId="0" borderId="16" xfId="21" applyFont="1" applyBorder="1" applyAlignment="1" applyProtection="1">
      <alignment horizontal="left" wrapText="1" indent="1"/>
      <protection locked="0"/>
    </xf>
    <xf numFmtId="170" fontId="47" fillId="0" borderId="13" xfId="6" applyNumberFormat="1" applyFont="1" applyBorder="1" applyAlignment="1" applyProtection="1">
      <protection locked="0"/>
    </xf>
    <xf numFmtId="0" fontId="47" fillId="0" borderId="65" xfId="21" applyFont="1" applyBorder="1" applyAlignment="1" applyProtection="1">
      <alignment horizontal="left" wrapText="1"/>
      <protection locked="0"/>
    </xf>
    <xf numFmtId="170" fontId="46" fillId="0" borderId="64" xfId="6" applyNumberFormat="1" applyFont="1" applyBorder="1" applyAlignment="1" applyProtection="1">
      <protection locked="0"/>
    </xf>
    <xf numFmtId="44" fontId="47" fillId="0" borderId="60" xfId="13" applyFont="1" applyBorder="1" applyAlignment="1" applyProtection="1">
      <alignment horizontal="center"/>
      <protection locked="0"/>
    </xf>
    <xf numFmtId="44" fontId="47" fillId="0" borderId="44" xfId="13" applyFont="1" applyBorder="1" applyAlignment="1" applyProtection="1">
      <alignment horizontal="center"/>
      <protection locked="0"/>
    </xf>
    <xf numFmtId="170" fontId="47" fillId="0" borderId="106" xfId="6" applyNumberFormat="1" applyFont="1" applyBorder="1" applyAlignment="1" applyProtection="1">
      <protection locked="0"/>
    </xf>
    <xf numFmtId="0" fontId="47" fillId="50" borderId="60" xfId="21" applyFont="1" applyFill="1" applyBorder="1" applyAlignment="1" applyProtection="1">
      <alignment horizontal="center" vertical="center"/>
      <protection locked="0"/>
    </xf>
    <xf numFmtId="0" fontId="47" fillId="0" borderId="60" xfId="0" applyFont="1" applyBorder="1">
      <alignment vertical="top"/>
    </xf>
    <xf numFmtId="0" fontId="46" fillId="0" borderId="16" xfId="0" applyFont="1" applyBorder="1">
      <alignment vertical="top"/>
    </xf>
    <xf numFmtId="44" fontId="47" fillId="0" borderId="0" xfId="13" applyFont="1" applyAlignment="1" applyProtection="1">
      <alignment horizontal="center"/>
      <protection locked="0"/>
    </xf>
    <xf numFmtId="170" fontId="47" fillId="0" borderId="12" xfId="6" applyNumberFormat="1" applyFont="1" applyBorder="1" applyAlignment="1" applyProtection="1">
      <protection locked="0"/>
    </xf>
    <xf numFmtId="0" fontId="93" fillId="0" borderId="16" xfId="0" applyFont="1" applyBorder="1">
      <alignment vertical="top"/>
    </xf>
    <xf numFmtId="0" fontId="108" fillId="0" borderId="16" xfId="0" applyFont="1" applyBorder="1">
      <alignment vertical="top"/>
    </xf>
    <xf numFmtId="170" fontId="46" fillId="46" borderId="0" xfId="6" applyNumberFormat="1" applyFont="1" applyFill="1" applyAlignment="1" applyProtection="1">
      <protection locked="0"/>
    </xf>
    <xf numFmtId="170" fontId="56" fillId="0" borderId="0" xfId="21" applyNumberFormat="1" applyFont="1" applyProtection="1">
      <protection locked="0"/>
    </xf>
    <xf numFmtId="0" fontId="56" fillId="0" borderId="0" xfId="0" applyFont="1">
      <alignment vertical="top"/>
    </xf>
    <xf numFmtId="170" fontId="46" fillId="0" borderId="92" xfId="21" applyNumberFormat="1" applyFont="1" applyBorder="1" applyAlignment="1" applyProtection="1">
      <alignment horizontal="center"/>
      <protection locked="0"/>
    </xf>
    <xf numFmtId="170" fontId="56" fillId="0" borderId="10" xfId="21" applyNumberFormat="1" applyFont="1" applyBorder="1" applyAlignment="1" applyProtection="1">
      <alignment horizontal="center"/>
      <protection locked="0"/>
    </xf>
    <xf numFmtId="0" fontId="56" fillId="0" borderId="10" xfId="21" applyFont="1" applyBorder="1" applyAlignment="1" applyProtection="1">
      <alignment horizontal="center"/>
      <protection locked="0"/>
    </xf>
    <xf numFmtId="0" fontId="48" fillId="0" borderId="50" xfId="21" applyFont="1" applyBorder="1" applyAlignment="1" applyProtection="1">
      <alignment horizontal="center"/>
      <protection locked="0"/>
    </xf>
    <xf numFmtId="170" fontId="46" fillId="0" borderId="62" xfId="6" applyNumberFormat="1" applyFont="1" applyBorder="1" applyAlignment="1" applyProtection="1">
      <protection locked="0"/>
    </xf>
    <xf numFmtId="170" fontId="46" fillId="8" borderId="62" xfId="6" applyNumberFormat="1" applyFont="1" applyFill="1" applyBorder="1" applyAlignment="1" applyProtection="1">
      <protection locked="0"/>
    </xf>
    <xf numFmtId="170" fontId="46" fillId="0" borderId="83" xfId="6" applyNumberFormat="1" applyFont="1" applyBorder="1" applyAlignment="1" applyProtection="1">
      <protection locked="0"/>
    </xf>
    <xf numFmtId="170" fontId="46" fillId="0" borderId="80" xfId="6" applyNumberFormat="1" applyFont="1" applyBorder="1" applyAlignment="1" applyProtection="1">
      <protection locked="0"/>
    </xf>
    <xf numFmtId="170" fontId="47" fillId="0" borderId="90" xfId="6" applyNumberFormat="1" applyFont="1" applyBorder="1" applyAlignment="1" applyProtection="1">
      <protection locked="0"/>
    </xf>
    <xf numFmtId="0" fontId="47" fillId="0" borderId="60" xfId="21" applyFont="1" applyBorder="1" applyAlignment="1" applyProtection="1">
      <alignment horizontal="left" wrapText="1"/>
      <protection locked="0"/>
    </xf>
    <xf numFmtId="0" fontId="46" fillId="0" borderId="44" xfId="21" applyFont="1" applyBorder="1" applyProtection="1">
      <protection locked="0"/>
    </xf>
    <xf numFmtId="170" fontId="47" fillId="0" borderId="82" xfId="6" applyNumberFormat="1" applyFont="1" applyBorder="1" applyAlignment="1" applyProtection="1">
      <alignment horizontal="center" vertical="center"/>
      <protection locked="0"/>
    </xf>
    <xf numFmtId="170" fontId="47" fillId="0" borderId="82" xfId="6" applyNumberFormat="1" applyFont="1" applyBorder="1" applyAlignment="1" applyProtection="1">
      <alignment vertical="center"/>
      <protection locked="0"/>
    </xf>
    <xf numFmtId="0" fontId="46" fillId="0" borderId="0" xfId="21" applyFont="1" applyAlignment="1" applyProtection="1">
      <alignment vertical="center"/>
      <protection locked="0"/>
    </xf>
    <xf numFmtId="0" fontId="46" fillId="0" borderId="0" xfId="0" applyFont="1" applyAlignment="1">
      <alignment vertical="center"/>
    </xf>
    <xf numFmtId="170" fontId="46" fillId="0" borderId="8" xfId="6" applyNumberFormat="1" applyFont="1" applyBorder="1" applyAlignment="1" applyProtection="1">
      <protection locked="0"/>
    </xf>
    <xf numFmtId="170" fontId="46" fillId="0" borderId="26" xfId="6" applyNumberFormat="1" applyFont="1" applyBorder="1" applyAlignment="1" applyProtection="1">
      <protection locked="0"/>
    </xf>
    <xf numFmtId="170" fontId="47" fillId="0" borderId="28" xfId="6" applyNumberFormat="1" applyFont="1" applyBorder="1" applyAlignment="1" applyProtection="1">
      <protection locked="0"/>
    </xf>
    <xf numFmtId="170" fontId="47" fillId="0" borderId="35" xfId="6" applyNumberFormat="1" applyFont="1" applyFill="1" applyBorder="1" applyAlignment="1" applyProtection="1">
      <alignment horizontal="center"/>
      <protection locked="0"/>
    </xf>
    <xf numFmtId="170" fontId="47" fillId="0" borderId="82" xfId="6" applyNumberFormat="1" applyFont="1" applyFill="1" applyBorder="1" applyAlignment="1" applyProtection="1">
      <alignment horizontal="center"/>
      <protection locked="0"/>
    </xf>
    <xf numFmtId="170" fontId="46" fillId="0" borderId="0" xfId="6" applyNumberFormat="1" applyFont="1" applyFill="1" applyAlignment="1" applyProtection="1">
      <protection locked="0"/>
    </xf>
    <xf numFmtId="170" fontId="46" fillId="0" borderId="11" xfId="6" applyNumberFormat="1" applyFont="1" applyFill="1" applyBorder="1" applyAlignment="1" applyProtection="1">
      <protection locked="0"/>
    </xf>
    <xf numFmtId="170" fontId="46" fillId="0" borderId="12" xfId="6" applyNumberFormat="1" applyFont="1" applyFill="1" applyBorder="1" applyAlignment="1" applyProtection="1">
      <protection locked="0"/>
    </xf>
    <xf numFmtId="170" fontId="46" fillId="0" borderId="64" xfId="6" applyNumberFormat="1" applyFont="1" applyFill="1" applyBorder="1" applyAlignment="1" applyProtection="1">
      <protection locked="0"/>
    </xf>
    <xf numFmtId="170" fontId="46" fillId="0" borderId="44" xfId="6" applyNumberFormat="1" applyFont="1" applyFill="1" applyBorder="1" applyAlignment="1" applyProtection="1">
      <protection locked="0"/>
    </xf>
    <xf numFmtId="170" fontId="46" fillId="0" borderId="104" xfId="6" applyNumberFormat="1" applyFont="1" applyFill="1" applyBorder="1" applyAlignment="1" applyProtection="1">
      <protection locked="0"/>
    </xf>
    <xf numFmtId="170" fontId="46" fillId="0" borderId="106" xfId="6" applyNumberFormat="1" applyFont="1" applyFill="1" applyBorder="1" applyAlignment="1" applyProtection="1">
      <protection locked="0"/>
    </xf>
    <xf numFmtId="44" fontId="47" fillId="0" borderId="0" xfId="13" applyFont="1" applyFill="1" applyAlignment="1" applyProtection="1">
      <alignment horizontal="center"/>
      <protection locked="0"/>
    </xf>
    <xf numFmtId="1" fontId="46" fillId="0" borderId="0" xfId="0" applyNumberFormat="1" applyFont="1">
      <alignment vertical="top"/>
    </xf>
    <xf numFmtId="170" fontId="46" fillId="0" borderId="62" xfId="6" applyNumberFormat="1" applyFont="1" applyFill="1" applyBorder="1" applyAlignment="1" applyProtection="1">
      <protection locked="0"/>
    </xf>
    <xf numFmtId="170" fontId="46" fillId="0" borderId="83" xfId="6" applyNumberFormat="1" applyFont="1" applyFill="1" applyBorder="1" applyAlignment="1" applyProtection="1">
      <protection locked="0"/>
    </xf>
    <xf numFmtId="170" fontId="46" fillId="0" borderId="80" xfId="6" applyNumberFormat="1" applyFont="1" applyFill="1" applyBorder="1" applyAlignment="1" applyProtection="1">
      <protection locked="0"/>
    </xf>
    <xf numFmtId="0" fontId="47" fillId="0" borderId="67" xfId="21" applyFont="1" applyBorder="1" applyAlignment="1" applyProtection="1">
      <alignment horizontal="center" vertical="center"/>
      <protection locked="0"/>
    </xf>
    <xf numFmtId="170" fontId="47" fillId="0" borderId="35" xfId="6" applyNumberFormat="1" applyFont="1" applyFill="1" applyBorder="1" applyAlignment="1" applyProtection="1">
      <alignment horizontal="center" vertical="center"/>
      <protection locked="0"/>
    </xf>
    <xf numFmtId="170" fontId="47" fillId="0" borderId="82" xfId="6" applyNumberFormat="1" applyFont="1" applyFill="1" applyBorder="1" applyAlignment="1" applyProtection="1">
      <alignment horizontal="center" vertical="center"/>
      <protection locked="0"/>
    </xf>
    <xf numFmtId="0" fontId="47" fillId="0" borderId="105" xfId="21" applyFont="1" applyBorder="1" applyProtection="1">
      <protection locked="0"/>
    </xf>
    <xf numFmtId="170" fontId="47" fillId="0" borderId="50" xfId="21" applyNumberFormat="1" applyFont="1" applyBorder="1" applyAlignment="1" applyProtection="1">
      <alignment horizontal="center"/>
      <protection locked="0"/>
    </xf>
    <xf numFmtId="170" fontId="46" fillId="0" borderId="10" xfId="21" applyNumberFormat="1" applyFont="1" applyBorder="1" applyAlignment="1" applyProtection="1">
      <alignment horizontal="center"/>
      <protection locked="0"/>
    </xf>
    <xf numFmtId="6" fontId="59" fillId="0" borderId="0" xfId="36" applyNumberFormat="1" applyFont="1" applyAlignment="1">
      <alignment horizontal="center" vertical="center"/>
    </xf>
    <xf numFmtId="9" fontId="46" fillId="0" borderId="0" xfId="37" applyFont="1" applyBorder="1" applyAlignment="1">
      <alignment wrapText="1"/>
    </xf>
    <xf numFmtId="173" fontId="46" fillId="0" borderId="0" xfId="36" applyNumberFormat="1" applyFont="1"/>
    <xf numFmtId="0" fontId="47" fillId="0" borderId="39" xfId="36" applyFont="1" applyBorder="1" applyAlignment="1">
      <alignment horizontal="center" wrapText="1"/>
    </xf>
    <xf numFmtId="0" fontId="47" fillId="0" borderId="17" xfId="36" applyFont="1" applyBorder="1" applyAlignment="1">
      <alignment horizontal="center" wrapText="1"/>
    </xf>
    <xf numFmtId="3" fontId="47" fillId="0" borderId="39" xfId="36" applyNumberFormat="1" applyFont="1" applyBorder="1" applyAlignment="1">
      <alignment horizontal="center" wrapText="1"/>
    </xf>
    <xf numFmtId="3" fontId="47" fillId="0" borderId="114" xfId="39" applyNumberFormat="1" applyFont="1" applyBorder="1" applyAlignment="1">
      <alignment horizontal="center" wrapText="1"/>
    </xf>
    <xf numFmtId="0" fontId="47" fillId="0" borderId="39" xfId="39" applyFont="1" applyBorder="1" applyAlignment="1">
      <alignment horizontal="center" wrapText="1"/>
    </xf>
    <xf numFmtId="3" fontId="47" fillId="0" borderId="39" xfId="39" applyNumberFormat="1" applyFont="1" applyBorder="1" applyAlignment="1">
      <alignment horizontal="center" wrapText="1"/>
    </xf>
    <xf numFmtId="0" fontId="47" fillId="0" borderId="17" xfId="39" applyFont="1" applyBorder="1" applyAlignment="1">
      <alignment horizontal="center" wrapText="1"/>
    </xf>
    <xf numFmtId="3" fontId="47" fillId="0" borderId="72" xfId="36" applyNumberFormat="1" applyFont="1" applyBorder="1" applyAlignment="1">
      <alignment horizontal="center" wrapText="1"/>
    </xf>
    <xf numFmtId="3" fontId="47" fillId="0" borderId="71" xfId="36" applyNumberFormat="1" applyFont="1" applyBorder="1" applyAlignment="1">
      <alignment horizontal="right" wrapText="1"/>
    </xf>
    <xf numFmtId="0" fontId="47" fillId="14" borderId="11" xfId="36" applyFont="1" applyFill="1" applyBorder="1" applyAlignment="1">
      <alignment vertical="center" wrapText="1"/>
    </xf>
    <xf numFmtId="0" fontId="46" fillId="0" borderId="11" xfId="36" applyFont="1" applyBorder="1" applyAlignment="1">
      <alignment horizontal="left" wrapText="1"/>
    </xf>
    <xf numFmtId="0" fontId="46" fillId="0" borderId="0" xfId="36" applyFont="1" applyAlignment="1">
      <alignment horizontal="left"/>
    </xf>
    <xf numFmtId="181" fontId="47" fillId="46" borderId="16" xfId="36" applyNumberFormat="1" applyFont="1" applyFill="1" applyBorder="1" applyAlignment="1">
      <alignment horizontal="right" wrapText="1"/>
    </xf>
    <xf numFmtId="181" fontId="47" fillId="46" borderId="0" xfId="36" applyNumberFormat="1" applyFont="1" applyFill="1" applyAlignment="1">
      <alignment horizontal="right" wrapText="1"/>
    </xf>
    <xf numFmtId="181" fontId="47" fillId="46" borderId="34" xfId="36" applyNumberFormat="1" applyFont="1" applyFill="1" applyBorder="1" applyAlignment="1">
      <alignment horizontal="right" wrapText="1"/>
    </xf>
    <xf numFmtId="181" fontId="47" fillId="46" borderId="4" xfId="36" applyNumberFormat="1" applyFont="1" applyFill="1" applyBorder="1" applyAlignment="1">
      <alignment horizontal="right" wrapText="1"/>
    </xf>
    <xf numFmtId="181" fontId="47" fillId="46" borderId="12" xfId="36" applyNumberFormat="1" applyFont="1" applyFill="1" applyBorder="1" applyAlignment="1">
      <alignment horizontal="right" wrapText="1"/>
    </xf>
    <xf numFmtId="0" fontId="47" fillId="46" borderId="0" xfId="36" applyFont="1" applyFill="1" applyAlignment="1">
      <alignment horizontal="left" wrapText="1"/>
    </xf>
    <xf numFmtId="9" fontId="46" fillId="0" borderId="0" xfId="37" applyFont="1" applyBorder="1" applyAlignment="1">
      <alignment horizontal="left" wrapText="1"/>
    </xf>
    <xf numFmtId="37" fontId="47" fillId="46" borderId="0" xfId="36" applyNumberFormat="1" applyFont="1" applyFill="1" applyAlignment="1">
      <alignment horizontal="right" wrapText="1"/>
    </xf>
    <xf numFmtId="9" fontId="46" fillId="0" borderId="0" xfId="37" applyFont="1" applyFill="1" applyBorder="1" applyAlignment="1">
      <alignment horizontal="left" wrapText="1"/>
    </xf>
    <xf numFmtId="0" fontId="47" fillId="46" borderId="16" xfId="36" applyFont="1" applyFill="1" applyBorder="1" applyAlignment="1">
      <alignment wrapText="1"/>
    </xf>
    <xf numFmtId="3" fontId="47" fillId="46" borderId="0" xfId="36" applyNumberFormat="1" applyFont="1" applyFill="1" applyAlignment="1">
      <alignment wrapText="1"/>
    </xf>
    <xf numFmtId="3" fontId="47" fillId="46" borderId="34" xfId="36" applyNumberFormat="1" applyFont="1" applyFill="1" applyBorder="1"/>
    <xf numFmtId="3" fontId="47" fillId="46" borderId="16" xfId="36" applyNumberFormat="1" applyFont="1" applyFill="1" applyBorder="1"/>
    <xf numFmtId="3" fontId="47" fillId="46" borderId="4" xfId="36" applyNumberFormat="1" applyFont="1" applyFill="1" applyBorder="1" applyAlignment="1">
      <alignment horizontal="right" wrapText="1"/>
    </xf>
    <xf numFmtId="3" fontId="47" fillId="46" borderId="12" xfId="36" applyNumberFormat="1" applyFont="1" applyFill="1" applyBorder="1" applyAlignment="1">
      <alignment horizontal="right" wrapText="1"/>
    </xf>
    <xf numFmtId="0" fontId="47" fillId="0" borderId="11" xfId="36" applyFont="1" applyBorder="1" applyAlignment="1">
      <alignment horizontal="left" wrapText="1"/>
    </xf>
    <xf numFmtId="0" fontId="47" fillId="0" borderId="0" xfId="36" applyFont="1" applyAlignment="1">
      <alignment wrapText="1"/>
    </xf>
    <xf numFmtId="10" fontId="47" fillId="46" borderId="0" xfId="37" applyNumberFormat="1" applyFont="1" applyFill="1" applyBorder="1" applyAlignment="1">
      <alignment horizontal="right" wrapText="1"/>
    </xf>
    <xf numFmtId="170" fontId="47" fillId="46" borderId="34" xfId="36" applyNumberFormat="1" applyFont="1" applyFill="1" applyBorder="1" applyAlignment="1">
      <alignment horizontal="right" wrapText="1"/>
    </xf>
    <xf numFmtId="170" fontId="47" fillId="46" borderId="0" xfId="36" applyNumberFormat="1" applyFont="1" applyFill="1" applyAlignment="1">
      <alignment horizontal="right" wrapText="1"/>
    </xf>
    <xf numFmtId="3" fontId="47" fillId="46" borderId="34" xfId="36" applyNumberFormat="1" applyFont="1" applyFill="1" applyBorder="1" applyAlignment="1">
      <alignment horizontal="right" wrapText="1"/>
    </xf>
    <xf numFmtId="3" fontId="47" fillId="46" borderId="16" xfId="36" applyNumberFormat="1" applyFont="1" applyFill="1" applyBorder="1" applyAlignment="1">
      <alignment horizontal="right" wrapText="1"/>
    </xf>
    <xf numFmtId="182" fontId="47" fillId="46" borderId="28" xfId="36" applyNumberFormat="1" applyFont="1" applyFill="1" applyBorder="1" applyAlignment="1">
      <alignment horizontal="right" wrapText="1"/>
    </xf>
    <xf numFmtId="0" fontId="47" fillId="16" borderId="11" xfId="36" applyFont="1" applyFill="1" applyBorder="1" applyAlignment="1">
      <alignment wrapText="1"/>
    </xf>
    <xf numFmtId="179" fontId="47" fillId="0" borderId="34" xfId="36" applyNumberFormat="1" applyFont="1" applyBorder="1" applyAlignment="1">
      <alignment horizontal="right" wrapText="1"/>
    </xf>
    <xf numFmtId="179" fontId="47" fillId="46" borderId="0" xfId="36" applyNumberFormat="1" applyFont="1" applyFill="1" applyAlignment="1">
      <alignment horizontal="right" wrapText="1"/>
    </xf>
    <xf numFmtId="0" fontId="47" fillId="14" borderId="11" xfId="36" applyFont="1" applyFill="1" applyBorder="1" applyAlignment="1">
      <alignment wrapText="1"/>
    </xf>
    <xf numFmtId="0" fontId="47" fillId="15" borderId="15" xfId="36" applyFont="1" applyFill="1" applyBorder="1" applyAlignment="1">
      <alignment horizontal="left" wrapText="1"/>
    </xf>
    <xf numFmtId="0" fontId="47" fillId="46" borderId="25" xfId="36" applyFont="1" applyFill="1" applyBorder="1" applyAlignment="1">
      <alignment wrapText="1"/>
    </xf>
    <xf numFmtId="3" fontId="47" fillId="46" borderId="26" xfId="36" applyNumberFormat="1" applyFont="1" applyFill="1" applyBorder="1" applyAlignment="1">
      <alignment wrapText="1"/>
    </xf>
    <xf numFmtId="182" fontId="47" fillId="46" borderId="76" xfId="38" applyNumberFormat="1" applyFont="1" applyFill="1" applyBorder="1" applyAlignment="1">
      <alignment horizontal="right" wrapText="1"/>
    </xf>
    <xf numFmtId="182" fontId="47" fillId="46" borderId="26" xfId="38" applyNumberFormat="1" applyFont="1" applyFill="1" applyBorder="1" applyAlignment="1">
      <alignment horizontal="right" wrapText="1"/>
    </xf>
    <xf numFmtId="182" fontId="47" fillId="46" borderId="25" xfId="38" applyNumberFormat="1" applyFont="1" applyFill="1" applyBorder="1" applyAlignment="1">
      <alignment horizontal="right" wrapText="1"/>
    </xf>
    <xf numFmtId="0" fontId="54" fillId="14" borderId="47" xfId="36" applyFont="1" applyFill="1" applyBorder="1" applyAlignment="1">
      <alignment vertical="top"/>
    </xf>
    <xf numFmtId="0" fontId="47" fillId="46" borderId="32" xfId="36" applyFont="1" applyFill="1" applyBorder="1" applyAlignment="1">
      <alignment vertical="top"/>
    </xf>
    <xf numFmtId="0" fontId="47" fillId="46" borderId="33" xfId="36" applyFont="1" applyFill="1" applyBorder="1" applyAlignment="1">
      <alignment vertical="top"/>
    </xf>
    <xf numFmtId="0" fontId="47" fillId="46" borderId="115" xfId="36" applyFont="1" applyFill="1" applyBorder="1" applyAlignment="1">
      <alignment vertical="top"/>
    </xf>
    <xf numFmtId="0" fontId="47" fillId="46" borderId="99" xfId="36" applyFont="1" applyFill="1" applyBorder="1" applyAlignment="1">
      <alignment horizontal="right" vertical="top" wrapText="1"/>
    </xf>
    <xf numFmtId="0" fontId="47" fillId="46" borderId="48" xfId="36" applyFont="1" applyFill="1" applyBorder="1" applyAlignment="1">
      <alignment horizontal="right" vertical="top" wrapText="1"/>
    </xf>
    <xf numFmtId="182" fontId="47" fillId="46" borderId="27" xfId="38" applyNumberFormat="1" applyFont="1" applyFill="1" applyBorder="1" applyAlignment="1">
      <alignment horizontal="right" wrapText="1"/>
    </xf>
    <xf numFmtId="182" fontId="47" fillId="46" borderId="28" xfId="38" applyNumberFormat="1" applyFont="1" applyFill="1" applyBorder="1" applyAlignment="1">
      <alignment horizontal="right" wrapText="1"/>
    </xf>
    <xf numFmtId="0" fontId="54" fillId="15" borderId="11" xfId="36" applyFont="1" applyFill="1" applyBorder="1" applyAlignment="1">
      <alignment wrapText="1"/>
    </xf>
    <xf numFmtId="0" fontId="46" fillId="0" borderId="11" xfId="36" applyFont="1" applyBorder="1" applyAlignment="1">
      <alignment horizontal="left" vertical="center" wrapText="1"/>
    </xf>
    <xf numFmtId="0" fontId="54" fillId="44" borderId="11" xfId="36" applyFont="1" applyFill="1" applyBorder="1" applyAlignment="1">
      <alignment horizontal="left" wrapText="1"/>
    </xf>
    <xf numFmtId="0" fontId="46" fillId="44" borderId="0" xfId="36" applyFont="1" applyFill="1" applyAlignment="1">
      <alignment wrapText="1"/>
    </xf>
    <xf numFmtId="0" fontId="46" fillId="0" borderId="11" xfId="36" applyFont="1" applyBorder="1" applyAlignment="1">
      <alignment vertical="center" wrapText="1"/>
    </xf>
    <xf numFmtId="181" fontId="47" fillId="46" borderId="25" xfId="36" applyNumberFormat="1" applyFont="1" applyFill="1" applyBorder="1" applyAlignment="1">
      <alignment horizontal="right" wrapText="1"/>
    </xf>
    <xf numFmtId="181" fontId="47" fillId="46" borderId="26" xfId="36" applyNumberFormat="1" applyFont="1" applyFill="1" applyBorder="1" applyAlignment="1">
      <alignment horizontal="right" wrapText="1"/>
    </xf>
    <xf numFmtId="169" fontId="47" fillId="46" borderId="76" xfId="36" applyNumberFormat="1" applyFont="1" applyFill="1" applyBorder="1" applyAlignment="1">
      <alignment horizontal="right" wrapText="1"/>
    </xf>
    <xf numFmtId="169" fontId="47" fillId="46" borderId="26" xfId="36" applyNumberFormat="1" applyFont="1" applyFill="1" applyBorder="1" applyAlignment="1">
      <alignment horizontal="right" wrapText="1"/>
    </xf>
    <xf numFmtId="10" fontId="46" fillId="0" borderId="0" xfId="23" applyFont="1"/>
    <xf numFmtId="0" fontId="47" fillId="0" borderId="11" xfId="36" applyFont="1" applyBorder="1" applyAlignment="1">
      <alignment wrapText="1"/>
    </xf>
    <xf numFmtId="169" fontId="47" fillId="46" borderId="34" xfId="36" applyNumberFormat="1" applyFont="1" applyFill="1" applyBorder="1" applyAlignment="1">
      <alignment horizontal="right" wrapText="1"/>
    </xf>
    <xf numFmtId="169" fontId="47" fillId="46" borderId="0" xfId="36" applyNumberFormat="1" applyFont="1" applyFill="1" applyAlignment="1">
      <alignment horizontal="right" wrapText="1"/>
    </xf>
    <xf numFmtId="169" fontId="47" fillId="46" borderId="16" xfId="36" applyNumberFormat="1" applyFont="1" applyFill="1" applyBorder="1" applyAlignment="1">
      <alignment horizontal="right" wrapText="1"/>
    </xf>
    <xf numFmtId="169" fontId="47" fillId="46" borderId="4" xfId="36" applyNumberFormat="1" applyFont="1" applyFill="1" applyBorder="1" applyAlignment="1">
      <alignment horizontal="right" wrapText="1"/>
    </xf>
    <xf numFmtId="10" fontId="47" fillId="46" borderId="0" xfId="36" applyNumberFormat="1" applyFont="1" applyFill="1" applyAlignment="1">
      <alignment horizontal="right" wrapText="1"/>
    </xf>
    <xf numFmtId="0" fontId="47" fillId="46" borderId="16" xfId="36" applyFont="1" applyFill="1" applyBorder="1"/>
    <xf numFmtId="182" fontId="47" fillId="46" borderId="12" xfId="36" applyNumberFormat="1" applyFont="1" applyFill="1" applyBorder="1" applyAlignment="1">
      <alignment horizontal="right" wrapText="1"/>
    </xf>
    <xf numFmtId="9" fontId="46" fillId="0" borderId="0" xfId="21" applyNumberFormat="1" applyFont="1" applyProtection="1">
      <protection locked="0"/>
    </xf>
    <xf numFmtId="0" fontId="47" fillId="0" borderId="0" xfId="0" applyFont="1" applyAlignment="1" applyProtection="1">
      <alignment horizontal="left" vertical="top"/>
      <protection locked="0"/>
    </xf>
    <xf numFmtId="0" fontId="46" fillId="0" borderId="0" xfId="0" applyFont="1" applyAlignment="1" applyProtection="1">
      <alignment horizontal="center" vertical="top"/>
      <protection locked="0"/>
    </xf>
    <xf numFmtId="0" fontId="46" fillId="0" borderId="62" xfId="22" applyFont="1" applyBorder="1" applyAlignment="1" applyProtection="1">
      <alignment horizontal="center" wrapText="1"/>
      <protection locked="0"/>
    </xf>
    <xf numFmtId="0" fontId="46" fillId="0" borderId="64" xfId="22" applyFont="1" applyBorder="1" applyAlignment="1" applyProtection="1">
      <alignment horizontal="center"/>
      <protection locked="0"/>
    </xf>
    <xf numFmtId="0" fontId="47" fillId="0" borderId="64" xfId="22" applyFont="1" applyBorder="1" applyAlignment="1" applyProtection="1">
      <alignment horizontal="center"/>
      <protection locked="0"/>
    </xf>
    <xf numFmtId="178" fontId="47" fillId="0" borderId="0" xfId="0" applyNumberFormat="1" applyFont="1" applyAlignment="1" applyProtection="1">
      <alignment horizontal="left" vertical="top"/>
      <protection locked="0"/>
    </xf>
    <xf numFmtId="10" fontId="47" fillId="0" borderId="0" xfId="0" applyNumberFormat="1" applyFont="1" applyProtection="1">
      <alignment vertical="top"/>
      <protection locked="0"/>
    </xf>
    <xf numFmtId="3" fontId="47" fillId="0" borderId="0" xfId="4" applyNumberFormat="1" applyFont="1" applyFill="1" applyBorder="1" applyAlignment="1" applyProtection="1">
      <alignment vertical="top"/>
      <protection locked="0"/>
    </xf>
    <xf numFmtId="3" fontId="47" fillId="0" borderId="0" xfId="4" applyNumberFormat="1" applyFont="1" applyFill="1" applyBorder="1" applyAlignment="1" applyProtection="1">
      <alignment vertical="top" wrapText="1"/>
      <protection locked="0"/>
    </xf>
    <xf numFmtId="10" fontId="47" fillId="10" borderId="0" xfId="23" applyFont="1" applyFill="1" applyBorder="1" applyProtection="1">
      <protection locked="0"/>
    </xf>
    <xf numFmtId="172" fontId="47" fillId="8" borderId="5" xfId="0" applyNumberFormat="1" applyFont="1" applyFill="1" applyBorder="1" applyAlignment="1" applyProtection="1">
      <alignment horizontal="center" vertical="top" wrapText="1"/>
      <protection locked="0"/>
    </xf>
    <xf numFmtId="10" fontId="46" fillId="0" borderId="0" xfId="23" applyFont="1" applyFill="1" applyBorder="1" applyProtection="1">
      <protection locked="0"/>
    </xf>
    <xf numFmtId="171" fontId="47" fillId="9" borderId="42" xfId="0" applyNumberFormat="1" applyFont="1" applyFill="1" applyBorder="1" applyAlignment="1" applyProtection="1">
      <alignment horizontal="center" vertical="top"/>
      <protection locked="0"/>
    </xf>
    <xf numFmtId="171" fontId="47" fillId="9" borderId="43" xfId="0" applyNumberFormat="1" applyFont="1" applyFill="1" applyBorder="1" applyAlignment="1" applyProtection="1">
      <alignment horizontal="center" vertical="top"/>
      <protection locked="0"/>
    </xf>
    <xf numFmtId="0" fontId="46" fillId="0" borderId="5" xfId="0" applyFont="1" applyBorder="1" applyAlignment="1" applyProtection="1">
      <alignment horizontal="center" vertical="top"/>
      <protection locked="0"/>
    </xf>
    <xf numFmtId="15" fontId="46" fillId="0" borderId="0" xfId="0" applyNumberFormat="1" applyFont="1" applyProtection="1">
      <alignment vertical="top"/>
      <protection locked="0"/>
    </xf>
    <xf numFmtId="10" fontId="47" fillId="8" borderId="0" xfId="23" applyFont="1" applyFill="1" applyBorder="1" applyAlignment="1">
      <alignment horizontal="center" vertical="top"/>
    </xf>
    <xf numFmtId="171" fontId="47" fillId="8" borderId="0" xfId="0" applyNumberFormat="1" applyFont="1" applyFill="1" applyAlignment="1" applyProtection="1">
      <alignment horizontal="center" vertical="top"/>
      <protection locked="0"/>
    </xf>
    <xf numFmtId="172" fontId="47" fillId="0" borderId="0" xfId="0" applyNumberFormat="1" applyFont="1" applyAlignment="1" applyProtection="1">
      <alignment horizontal="center" vertical="top"/>
      <protection locked="0"/>
    </xf>
    <xf numFmtId="0" fontId="72" fillId="0" borderId="16" xfId="22" applyFont="1" applyBorder="1" applyProtection="1">
      <protection locked="0"/>
    </xf>
    <xf numFmtId="3" fontId="46" fillId="0" borderId="62" xfId="22" applyNumberFormat="1" applyFont="1" applyBorder="1" applyProtection="1">
      <protection locked="0"/>
    </xf>
    <xf numFmtId="3" fontId="46" fillId="0" borderId="64" xfId="22" applyNumberFormat="1" applyFont="1" applyBorder="1" applyProtection="1">
      <protection locked="0"/>
    </xf>
    <xf numFmtId="4" fontId="46" fillId="0" borderId="64" xfId="4" applyFont="1" applyFill="1" applyBorder="1" applyProtection="1">
      <protection locked="0"/>
    </xf>
    <xf numFmtId="4" fontId="46" fillId="0" borderId="62" xfId="4" applyFont="1" applyFill="1" applyBorder="1" applyProtection="1">
      <protection locked="0"/>
    </xf>
    <xf numFmtId="0" fontId="58" fillId="0" borderId="0" xfId="36" applyFont="1" applyAlignment="1">
      <alignment horizontal="center" vertical="center"/>
    </xf>
    <xf numFmtId="0" fontId="59" fillId="0" borderId="0" xfId="36" applyFont="1" applyAlignment="1">
      <alignment horizontal="center" vertical="center"/>
    </xf>
    <xf numFmtId="0" fontId="59" fillId="0" borderId="0" xfId="36" applyFont="1" applyAlignment="1">
      <alignment horizontal="center" vertical="center" wrapText="1"/>
    </xf>
    <xf numFmtId="0" fontId="47" fillId="14" borderId="65" xfId="36" applyFont="1" applyFill="1" applyBorder="1" applyAlignment="1">
      <alignment horizontal="center" vertical="center" wrapText="1"/>
    </xf>
    <xf numFmtId="0" fontId="47" fillId="14" borderId="46" xfId="36" applyFont="1" applyFill="1" applyBorder="1" applyAlignment="1">
      <alignment horizontal="center" vertical="center" wrapText="1"/>
    </xf>
    <xf numFmtId="0" fontId="47" fillId="0" borderId="35" xfId="21" applyFont="1" applyBorder="1" applyAlignment="1" applyProtection="1">
      <alignment horizontal="left"/>
      <protection locked="0"/>
    </xf>
    <xf numFmtId="0" fontId="47" fillId="0" borderId="67" xfId="21" applyFont="1" applyBorder="1" applyAlignment="1" applyProtection="1">
      <alignment horizontal="left"/>
      <protection locked="0"/>
    </xf>
    <xf numFmtId="0" fontId="47" fillId="0" borderId="86" xfId="21" applyFont="1" applyBorder="1" applyAlignment="1" applyProtection="1">
      <alignment horizontal="left"/>
      <protection locked="0"/>
    </xf>
    <xf numFmtId="0" fontId="46" fillId="8" borderId="75" xfId="21" applyFont="1" applyFill="1" applyBorder="1" applyAlignment="1" applyProtection="1">
      <alignment horizontal="center"/>
      <protection locked="0"/>
    </xf>
    <xf numFmtId="0" fontId="46" fillId="8" borderId="86" xfId="21" applyFont="1" applyFill="1" applyBorder="1" applyAlignment="1" applyProtection="1">
      <alignment horizontal="center"/>
      <protection locked="0"/>
    </xf>
    <xf numFmtId="0" fontId="46" fillId="8" borderId="84" xfId="21" applyFont="1" applyFill="1" applyBorder="1" applyAlignment="1" applyProtection="1">
      <alignment horizontal="center"/>
      <protection locked="0"/>
    </xf>
    <xf numFmtId="0" fontId="46" fillId="8" borderId="81" xfId="21" applyFont="1" applyFill="1" applyBorder="1" applyAlignment="1" applyProtection="1">
      <alignment horizontal="center"/>
      <protection locked="0"/>
    </xf>
    <xf numFmtId="0" fontId="46" fillId="8" borderId="69" xfId="21" applyFont="1" applyFill="1" applyBorder="1" applyAlignment="1" applyProtection="1">
      <alignment horizontal="center"/>
      <protection locked="0"/>
    </xf>
    <xf numFmtId="44" fontId="47" fillId="0" borderId="46" xfId="13" applyFont="1" applyBorder="1" applyAlignment="1" applyProtection="1">
      <alignment horizontal="center"/>
      <protection locked="0"/>
    </xf>
    <xf numFmtId="44" fontId="47" fillId="0" borderId="5" xfId="13" applyFont="1" applyBorder="1" applyAlignment="1" applyProtection="1">
      <alignment horizontal="center"/>
      <protection locked="0"/>
    </xf>
    <xf numFmtId="0" fontId="8" fillId="0" borderId="65" xfId="21" applyFont="1" applyBorder="1" applyAlignment="1" applyProtection="1">
      <alignment horizontal="right"/>
      <protection locked="0"/>
    </xf>
    <xf numFmtId="0" fontId="8" fillId="0" borderId="64" xfId="21" applyFont="1" applyBorder="1" applyAlignment="1" applyProtection="1">
      <alignment horizontal="right"/>
      <protection locked="0"/>
    </xf>
    <xf numFmtId="0" fontId="8" fillId="0" borderId="46" xfId="21" applyFont="1" applyBorder="1" applyAlignment="1" applyProtection="1">
      <alignment horizontal="right"/>
      <protection locked="0"/>
    </xf>
    <xf numFmtId="0" fontId="47" fillId="0" borderId="35" xfId="21" applyFont="1" applyBorder="1" applyAlignment="1" applyProtection="1">
      <alignment horizontal="left" vertical="center" wrapText="1"/>
      <protection locked="0"/>
    </xf>
    <xf numFmtId="0" fontId="47" fillId="0" borderId="67" xfId="21" applyFont="1" applyBorder="1" applyAlignment="1" applyProtection="1">
      <alignment horizontal="left" vertical="center" wrapText="1"/>
      <protection locked="0"/>
    </xf>
    <xf numFmtId="0" fontId="47" fillId="0" borderId="86" xfId="21" applyFont="1" applyBorder="1" applyAlignment="1" applyProtection="1">
      <alignment horizontal="left" vertical="center" wrapText="1"/>
      <protection locked="0"/>
    </xf>
    <xf numFmtId="0" fontId="47" fillId="46" borderId="35" xfId="21" applyFont="1" applyFill="1" applyBorder="1" applyAlignment="1" applyProtection="1">
      <alignment horizontal="left" vertical="center" wrapText="1"/>
      <protection locked="0"/>
    </xf>
    <xf numFmtId="0" fontId="47" fillId="46" borderId="67" xfId="21" applyFont="1" applyFill="1" applyBorder="1" applyAlignment="1" applyProtection="1">
      <alignment horizontal="left" vertical="center" wrapText="1"/>
      <protection locked="0"/>
    </xf>
    <xf numFmtId="0" fontId="47" fillId="46" borderId="86" xfId="21" applyFont="1" applyFill="1" applyBorder="1" applyAlignment="1" applyProtection="1">
      <alignment horizontal="left" vertical="center" wrapText="1"/>
      <protection locked="0"/>
    </xf>
    <xf numFmtId="0" fontId="47" fillId="0" borderId="35" xfId="21" applyFont="1" applyBorder="1" applyAlignment="1" applyProtection="1">
      <alignment horizontal="left" wrapText="1"/>
      <protection locked="0"/>
    </xf>
    <xf numFmtId="0" fontId="47" fillId="0" borderId="67" xfId="21" applyFont="1" applyBorder="1" applyAlignment="1" applyProtection="1">
      <alignment horizontal="left" wrapText="1"/>
      <protection locked="0"/>
    </xf>
    <xf numFmtId="0" fontId="47" fillId="0" borderId="86" xfId="21" applyFont="1" applyBorder="1" applyAlignment="1" applyProtection="1">
      <alignment horizontal="left" wrapText="1"/>
      <protection locked="0"/>
    </xf>
    <xf numFmtId="172" fontId="47" fillId="0" borderId="93" xfId="12" applyNumberFormat="1" applyFont="1" applyBorder="1" applyAlignment="1" applyProtection="1">
      <alignment horizontal="center"/>
      <protection locked="0"/>
    </xf>
    <xf numFmtId="7" fontId="46" fillId="0" borderId="91" xfId="12" applyFont="1" applyFill="1" applyBorder="1" applyAlignment="1" applyProtection="1">
      <alignment horizontal="center" wrapText="1"/>
      <protection locked="0"/>
    </xf>
    <xf numFmtId="5" fontId="5" fillId="0" borderId="111" xfId="12" applyNumberFormat="1" applyFont="1" applyBorder="1" applyAlignment="1" applyProtection="1">
      <alignment horizontal="center"/>
    </xf>
    <xf numFmtId="5" fontId="5" fillId="0" borderId="112" xfId="12" applyNumberFormat="1" applyFont="1" applyBorder="1" applyAlignment="1" applyProtection="1">
      <alignment horizontal="center"/>
    </xf>
    <xf numFmtId="0" fontId="5" fillId="0" borderId="19" xfId="0" applyFont="1" applyBorder="1" applyAlignment="1">
      <alignment horizontal="center" vertical="center"/>
    </xf>
    <xf numFmtId="0" fontId="5" fillId="0" borderId="68" xfId="0" applyFont="1" applyBorder="1" applyAlignment="1">
      <alignment horizontal="center" vertical="center"/>
    </xf>
    <xf numFmtId="172" fontId="5" fillId="0" borderId="108" xfId="12" applyNumberFormat="1" applyFont="1" applyBorder="1" applyAlignment="1" applyProtection="1">
      <alignment horizontal="center"/>
    </xf>
    <xf numFmtId="172" fontId="5" fillId="0" borderId="109" xfId="12" applyNumberFormat="1" applyFont="1" applyBorder="1" applyAlignment="1" applyProtection="1">
      <alignment horizontal="center"/>
    </xf>
    <xf numFmtId="172" fontId="5" fillId="0" borderId="113" xfId="0" applyNumberFormat="1" applyFont="1" applyBorder="1" applyAlignment="1" applyProtection="1">
      <alignment horizontal="center" vertical="top" wrapText="1"/>
      <protection locked="0"/>
    </xf>
    <xf numFmtId="172" fontId="10" fillId="0" borderId="110" xfId="0" applyNumberFormat="1" applyFont="1" applyBorder="1" applyAlignment="1" applyProtection="1">
      <alignment horizontal="center" vertical="top" wrapText="1"/>
      <protection locked="0"/>
    </xf>
    <xf numFmtId="172" fontId="5" fillId="0" borderId="108" xfId="0" applyNumberFormat="1" applyFont="1" applyBorder="1" applyAlignment="1" applyProtection="1">
      <alignment horizontal="center" vertical="top" wrapText="1"/>
      <protection locked="0"/>
    </xf>
    <xf numFmtId="172" fontId="5" fillId="0" borderId="94" xfId="0" applyNumberFormat="1" applyFont="1" applyBorder="1" applyAlignment="1" applyProtection="1">
      <alignment horizontal="center" vertical="top" wrapText="1"/>
      <protection locked="0"/>
    </xf>
    <xf numFmtId="172" fontId="5" fillId="0" borderId="77" xfId="0" applyNumberFormat="1" applyFont="1" applyBorder="1" applyAlignment="1" applyProtection="1">
      <alignment horizontal="center" vertical="top" wrapText="1"/>
      <protection locked="0"/>
    </xf>
    <xf numFmtId="0" fontId="47" fillId="14" borderId="5" xfId="36" applyFont="1" applyFill="1" applyBorder="1" applyAlignment="1">
      <alignment horizontal="left" vertical="center" wrapText="1"/>
    </xf>
    <xf numFmtId="0" fontId="46" fillId="0" borderId="75" xfId="21" applyFont="1" applyBorder="1" applyAlignment="1" applyProtection="1">
      <alignment horizontal="center"/>
      <protection locked="0"/>
    </xf>
    <xf numFmtId="0" fontId="46" fillId="0" borderId="86" xfId="21" applyFont="1" applyBorder="1" applyAlignment="1" applyProtection="1">
      <alignment horizontal="center"/>
      <protection locked="0"/>
    </xf>
    <xf numFmtId="0" fontId="46" fillId="0" borderId="134" xfId="21" applyFont="1" applyBorder="1" applyAlignment="1" applyProtection="1">
      <alignment horizontal="center"/>
      <protection locked="0"/>
    </xf>
    <xf numFmtId="44" fontId="47" fillId="0" borderId="44" xfId="13" applyFont="1" applyFill="1" applyBorder="1" applyAlignment="1" applyProtection="1">
      <alignment horizontal="center"/>
      <protection locked="0"/>
    </xf>
    <xf numFmtId="44" fontId="47" fillId="0" borderId="66" xfId="13" applyFont="1" applyFill="1" applyBorder="1" applyAlignment="1" applyProtection="1">
      <alignment horizontal="center"/>
      <protection locked="0"/>
    </xf>
    <xf numFmtId="7" fontId="46" fillId="0" borderId="91" xfId="12" applyFont="1" applyBorder="1" applyAlignment="1" applyProtection="1">
      <alignment horizontal="center" wrapText="1"/>
      <protection locked="0"/>
    </xf>
    <xf numFmtId="0" fontId="46" fillId="0" borderId="84" xfId="21" applyFont="1" applyBorder="1" applyAlignment="1" applyProtection="1">
      <alignment horizontal="center"/>
      <protection locked="0"/>
    </xf>
    <xf numFmtId="0" fontId="46" fillId="0" borderId="69" xfId="21" applyFont="1" applyBorder="1" applyAlignment="1" applyProtection="1">
      <alignment horizontal="center"/>
      <protection locked="0"/>
    </xf>
    <xf numFmtId="44" fontId="47" fillId="0" borderId="46" xfId="13" applyFont="1" applyFill="1" applyBorder="1" applyAlignment="1" applyProtection="1">
      <alignment horizontal="center"/>
      <protection locked="0"/>
    </xf>
    <xf numFmtId="0" fontId="108" fillId="0" borderId="35" xfId="21" applyFont="1" applyBorder="1" applyAlignment="1" applyProtection="1">
      <alignment horizontal="left" vertical="center" wrapText="1"/>
      <protection locked="0"/>
    </xf>
    <xf numFmtId="0" fontId="46" fillId="0" borderId="75" xfId="21" applyFont="1" applyBorder="1" applyAlignment="1" applyProtection="1">
      <alignment horizontal="center" vertical="center"/>
      <protection locked="0"/>
    </xf>
    <xf numFmtId="0" fontId="47" fillId="0" borderId="35" xfId="21" applyFont="1" applyBorder="1" applyAlignment="1" applyProtection="1">
      <alignment horizontal="left" vertical="center"/>
      <protection locked="0"/>
    </xf>
    <xf numFmtId="0" fontId="56" fillId="0" borderId="75" xfId="21" applyFont="1" applyBorder="1" applyAlignment="1" applyProtection="1">
      <alignment horizontal="center" vertical="center"/>
      <protection locked="0"/>
    </xf>
    <xf numFmtId="0" fontId="46" fillId="0" borderId="84" xfId="21" applyFont="1" applyBorder="1" applyAlignment="1" applyProtection="1">
      <alignment horizontal="center" vertical="center"/>
      <protection locked="0"/>
    </xf>
    <xf numFmtId="0" fontId="46" fillId="0" borderId="69" xfId="21" applyFont="1" applyBorder="1" applyAlignment="1" applyProtection="1">
      <alignment horizontal="center" vertical="center"/>
      <protection locked="0"/>
    </xf>
    <xf numFmtId="0" fontId="56" fillId="0" borderId="75" xfId="21" applyFont="1" applyBorder="1" applyAlignment="1" applyProtection="1">
      <alignment horizontal="center"/>
      <protection locked="0"/>
    </xf>
    <xf numFmtId="0" fontId="56" fillId="0" borderId="86" xfId="21" applyFont="1" applyBorder="1" applyAlignment="1" applyProtection="1">
      <alignment horizontal="center"/>
      <protection locked="0"/>
    </xf>
    <xf numFmtId="0" fontId="46" fillId="0" borderId="81" xfId="21" applyFont="1" applyBorder="1" applyAlignment="1" applyProtection="1">
      <alignment horizontal="center"/>
      <protection locked="0"/>
    </xf>
    <xf numFmtId="0" fontId="124" fillId="0" borderId="35" xfId="21" applyFont="1" applyBorder="1" applyAlignment="1" applyProtection="1">
      <alignment horizontal="left" wrapText="1"/>
      <protection locked="0"/>
    </xf>
    <xf numFmtId="0" fontId="124" fillId="0" borderId="67" xfId="21" applyFont="1" applyBorder="1" applyAlignment="1" applyProtection="1">
      <alignment horizontal="left" wrapText="1"/>
      <protection locked="0"/>
    </xf>
    <xf numFmtId="0" fontId="124" fillId="0" borderId="86" xfId="21" applyFont="1" applyBorder="1" applyAlignment="1" applyProtection="1">
      <alignment horizontal="left" wrapText="1"/>
      <protection locked="0"/>
    </xf>
    <xf numFmtId="44" fontId="47" fillId="0" borderId="5" xfId="13" applyFont="1" applyFill="1" applyBorder="1" applyAlignment="1" applyProtection="1">
      <alignment horizontal="center"/>
      <protection locked="0"/>
    </xf>
    <xf numFmtId="0" fontId="93" fillId="0" borderId="75" xfId="21" applyFont="1" applyBorder="1" applyAlignment="1" applyProtection="1">
      <alignment horizontal="center"/>
      <protection locked="0"/>
    </xf>
    <xf numFmtId="0" fontId="93" fillId="0" borderId="86" xfId="21" applyFont="1" applyBorder="1" applyAlignment="1" applyProtection="1">
      <alignment horizontal="center"/>
      <protection locked="0"/>
    </xf>
    <xf numFmtId="0" fontId="123" fillId="0" borderId="35" xfId="21" applyFont="1" applyBorder="1" applyAlignment="1" applyProtection="1">
      <alignment horizontal="left" vertical="center" wrapText="1"/>
      <protection locked="0"/>
    </xf>
    <xf numFmtId="0" fontId="60" fillId="21" borderId="70" xfId="42" applyFont="1" applyFill="1" applyBorder="1" applyAlignment="1">
      <alignment horizontal="center"/>
    </xf>
    <xf numFmtId="0" fontId="62" fillId="22" borderId="39" xfId="42" applyFont="1" applyFill="1" applyBorder="1"/>
    <xf numFmtId="0" fontId="62" fillId="22" borderId="71" xfId="42" applyFont="1" applyFill="1" applyBorder="1"/>
    <xf numFmtId="0" fontId="60" fillId="18" borderId="70" xfId="42" applyFont="1" applyFill="1" applyBorder="1" applyAlignment="1">
      <alignment horizontal="center"/>
    </xf>
    <xf numFmtId="0" fontId="62" fillId="0" borderId="39" xfId="42" applyFont="1" applyBorder="1"/>
    <xf numFmtId="0" fontId="62" fillId="0" borderId="71" xfId="42" applyFont="1" applyBorder="1"/>
    <xf numFmtId="0" fontId="60" fillId="19" borderId="70" xfId="42" applyFont="1" applyFill="1" applyBorder="1" applyAlignment="1">
      <alignment horizontal="center"/>
    </xf>
    <xf numFmtId="0" fontId="62" fillId="20" borderId="39" xfId="42" applyFont="1" applyFill="1" applyBorder="1"/>
    <xf numFmtId="0" fontId="62" fillId="20" borderId="71" xfId="42" applyFont="1" applyFill="1" applyBorder="1"/>
    <xf numFmtId="0" fontId="60" fillId="0" borderId="116" xfId="42" applyFont="1" applyBorder="1" applyAlignment="1">
      <alignment horizontal="center"/>
    </xf>
    <xf numFmtId="0" fontId="29" fillId="0" borderId="117" xfId="42" applyFont="1" applyBorder="1"/>
    <xf numFmtId="0" fontId="29" fillId="0" borderId="118" xfId="42" applyFont="1" applyBorder="1"/>
    <xf numFmtId="172" fontId="8" fillId="0" borderId="70" xfId="0" applyNumberFormat="1" applyFont="1" applyBorder="1" applyAlignment="1">
      <alignment horizontal="center" vertical="top"/>
    </xf>
    <xf numFmtId="172" fontId="8" fillId="0" borderId="39" xfId="0" applyNumberFormat="1" applyFont="1" applyBorder="1" applyAlignment="1">
      <alignment horizontal="center" vertical="top"/>
    </xf>
    <xf numFmtId="172" fontId="8" fillId="0" borderId="71" xfId="0" applyNumberFormat="1" applyFont="1" applyBorder="1" applyAlignment="1">
      <alignment horizontal="center" vertical="top"/>
    </xf>
    <xf numFmtId="0" fontId="19" fillId="0" borderId="47" xfId="0" applyFont="1" applyBorder="1" applyAlignment="1">
      <alignment horizontal="left" vertical="top"/>
    </xf>
    <xf numFmtId="0" fontId="19" fillId="0" borderId="33" xfId="0" applyFont="1" applyBorder="1" applyAlignment="1">
      <alignment horizontal="left" vertical="top"/>
    </xf>
    <xf numFmtId="0" fontId="19" fillId="0" borderId="49" xfId="0" applyFont="1" applyBorder="1" applyAlignment="1">
      <alignment horizontal="left" vertical="top"/>
    </xf>
    <xf numFmtId="0" fontId="19" fillId="0" borderId="10" xfId="0" applyFont="1" applyBorder="1" applyAlignment="1">
      <alignment horizontal="left" vertical="top"/>
    </xf>
    <xf numFmtId="0" fontId="8" fillId="0" borderId="85" xfId="0" applyFont="1" applyBorder="1" applyAlignment="1">
      <alignment horizontal="center" vertical="top"/>
    </xf>
    <xf numFmtId="0" fontId="8" fillId="0" borderId="30" xfId="0" applyFont="1" applyBorder="1" applyAlignment="1">
      <alignment horizontal="center" vertical="top"/>
    </xf>
    <xf numFmtId="0" fontId="8" fillId="0" borderId="99" xfId="0" applyFont="1" applyBorder="1" applyAlignment="1">
      <alignment horizontal="center" vertical="top"/>
    </xf>
    <xf numFmtId="0" fontId="8" fillId="0" borderId="6" xfId="0" applyFont="1" applyBorder="1" applyAlignment="1">
      <alignment horizontal="center" vertical="top"/>
    </xf>
    <xf numFmtId="0" fontId="8" fillId="0" borderId="88" xfId="0" applyFont="1" applyBorder="1" applyAlignment="1">
      <alignment horizontal="center" vertical="top" wrapText="1"/>
    </xf>
    <xf numFmtId="0" fontId="8" fillId="0" borderId="31" xfId="0" applyFont="1" applyBorder="1" applyAlignment="1">
      <alignment horizontal="center" vertical="top" wrapText="1"/>
    </xf>
    <xf numFmtId="0" fontId="8" fillId="0" borderId="70" xfId="0" applyFont="1" applyBorder="1" applyAlignment="1">
      <alignment horizontal="left" vertical="center" wrapText="1"/>
    </xf>
    <xf numFmtId="0" fontId="8" fillId="0" borderId="39" xfId="0" applyFont="1" applyBorder="1" applyAlignment="1">
      <alignment horizontal="left" vertical="center" wrapText="1"/>
    </xf>
    <xf numFmtId="0" fontId="12" fillId="0" borderId="33" xfId="0" applyFont="1" applyBorder="1" applyAlignment="1">
      <alignment horizontal="left" vertical="center" wrapText="1"/>
    </xf>
    <xf numFmtId="0" fontId="12" fillId="0" borderId="47" xfId="0" applyFont="1" applyBorder="1" applyAlignment="1">
      <alignment horizontal="left" vertical="center" wrapText="1"/>
    </xf>
    <xf numFmtId="0" fontId="33" fillId="0" borderId="0" xfId="0" applyFont="1" applyAlignment="1">
      <alignment vertical="center" wrapText="1"/>
    </xf>
    <xf numFmtId="0" fontId="33" fillId="0" borderId="12" xfId="0" applyFont="1" applyBorder="1" applyAlignment="1">
      <alignment vertical="center" wrapText="1"/>
    </xf>
    <xf numFmtId="0" fontId="12" fillId="0" borderId="11" xfId="0" applyFont="1" applyBorder="1" applyAlignment="1">
      <alignment vertical="center" wrapText="1"/>
    </xf>
    <xf numFmtId="0" fontId="12" fillId="0" borderId="0" xfId="0" applyFont="1" applyAlignment="1">
      <alignment vertical="center" wrapText="1"/>
    </xf>
    <xf numFmtId="0" fontId="12" fillId="0" borderId="11" xfId="0" applyFont="1" applyBorder="1" applyAlignment="1">
      <alignment horizontal="left" vertical="center" wrapText="1" indent="2"/>
    </xf>
    <xf numFmtId="0" fontId="12" fillId="0" borderId="0" xfId="0" applyFont="1" applyAlignment="1">
      <alignment horizontal="left" vertical="center" wrapText="1" indent="2"/>
    </xf>
    <xf numFmtId="0" fontId="12" fillId="0" borderId="12" xfId="0" applyFont="1" applyBorder="1" applyAlignment="1">
      <alignment vertical="center" wrapText="1"/>
    </xf>
    <xf numFmtId="0" fontId="6" fillId="9" borderId="39" xfId="19" applyFill="1" applyBorder="1" applyAlignment="1" applyProtection="1">
      <alignment horizontal="left" vertical="center" wrapText="1" indent="1"/>
    </xf>
    <xf numFmtId="0" fontId="12" fillId="9" borderId="39" xfId="0" applyFont="1" applyFill="1" applyBorder="1" applyAlignment="1">
      <alignment horizontal="left" vertical="center" wrapText="1" indent="1"/>
    </xf>
    <xf numFmtId="0" fontId="12" fillId="0" borderId="15" xfId="0" applyFont="1" applyBorder="1" applyAlignment="1">
      <alignment horizontal="left" vertical="center" wrapText="1"/>
    </xf>
    <xf numFmtId="0" fontId="12" fillId="0" borderId="26" xfId="0" applyFont="1" applyBorder="1" applyAlignment="1">
      <alignment horizontal="left" vertical="center" wrapText="1"/>
    </xf>
    <xf numFmtId="0" fontId="12" fillId="0" borderId="26" xfId="0" applyFont="1" applyBorder="1" applyAlignment="1">
      <alignment horizontal="left" vertical="center" wrapText="1" indent="1"/>
    </xf>
    <xf numFmtId="0" fontId="12" fillId="0" borderId="28" xfId="0" applyFont="1" applyBorder="1" applyAlignment="1">
      <alignment horizontal="left" vertical="center" wrapText="1" indent="1"/>
    </xf>
    <xf numFmtId="0" fontId="12" fillId="0" borderId="70" xfId="0" applyFont="1" applyBorder="1" applyAlignment="1">
      <alignment horizontal="center" vertical="center" wrapText="1"/>
    </xf>
    <xf numFmtId="0" fontId="12" fillId="0" borderId="39" xfId="0" applyFont="1" applyBorder="1" applyAlignment="1">
      <alignment horizontal="center" vertical="center" wrapText="1"/>
    </xf>
    <xf numFmtId="0" fontId="8" fillId="0" borderId="33" xfId="0" applyFont="1" applyBorder="1" applyAlignment="1">
      <alignment horizontal="left" vertical="center" wrapText="1"/>
    </xf>
    <xf numFmtId="0" fontId="31" fillId="0" borderId="0" xfId="0" applyFont="1" applyAlignment="1">
      <alignment horizontal="right" vertical="center" wrapText="1"/>
    </xf>
    <xf numFmtId="0" fontId="12" fillId="0" borderId="70" xfId="0" applyFont="1" applyBorder="1" applyAlignment="1">
      <alignment horizontal="left" vertical="center" wrapText="1"/>
    </xf>
    <xf numFmtId="0" fontId="12" fillId="0" borderId="39" xfId="0" applyFont="1" applyBorder="1" applyAlignment="1">
      <alignment horizontal="left" vertical="center" wrapText="1"/>
    </xf>
    <xf numFmtId="0" fontId="0" fillId="0" borderId="0" xfId="0" applyAlignment="1">
      <alignment horizontal="left" vertical="center" indent="2"/>
    </xf>
    <xf numFmtId="0" fontId="0" fillId="0" borderId="12" xfId="0" applyBorder="1" applyAlignment="1">
      <alignment horizontal="left" vertical="center" indent="2"/>
    </xf>
    <xf numFmtId="0" fontId="12" fillId="0" borderId="62" xfId="0" applyFont="1" applyBorder="1" applyAlignment="1">
      <alignment horizontal="left" vertical="center" wrapText="1"/>
    </xf>
    <xf numFmtId="0" fontId="12" fillId="0" borderId="47" xfId="0" applyFont="1" applyBorder="1" applyAlignment="1">
      <alignment vertical="center" wrapText="1"/>
    </xf>
    <xf numFmtId="0" fontId="12" fillId="0" borderId="33" xfId="0" applyFont="1" applyBorder="1" applyAlignment="1">
      <alignment vertical="center" wrapText="1"/>
    </xf>
    <xf numFmtId="0" fontId="12" fillId="0" borderId="48" xfId="0" applyFont="1" applyBorder="1" applyAlignment="1">
      <alignment vertical="center" wrapText="1"/>
    </xf>
    <xf numFmtId="0" fontId="34" fillId="0" borderId="0" xfId="0" applyFont="1" applyAlignment="1">
      <alignment vertical="center" wrapText="1"/>
    </xf>
    <xf numFmtId="0" fontId="34" fillId="0" borderId="12" xfId="0" applyFont="1" applyBorder="1" applyAlignment="1">
      <alignment vertical="center" wrapText="1"/>
    </xf>
    <xf numFmtId="0" fontId="32" fillId="0" borderId="47" xfId="0" applyFont="1" applyBorder="1" applyAlignment="1">
      <alignment vertical="center" wrapText="1"/>
    </xf>
    <xf numFmtId="0" fontId="32" fillId="0" borderId="33" xfId="0" applyFont="1" applyBorder="1" applyAlignment="1">
      <alignment vertical="center" wrapText="1"/>
    </xf>
    <xf numFmtId="0" fontId="32" fillId="0" borderId="48" xfId="0" applyFont="1" applyBorder="1" applyAlignment="1">
      <alignment vertical="center" wrapText="1"/>
    </xf>
    <xf numFmtId="0" fontId="12" fillId="0" borderId="12" xfId="0" applyFont="1" applyBorder="1" applyAlignment="1">
      <alignment horizontal="left" vertical="center" wrapText="1" indent="2"/>
    </xf>
    <xf numFmtId="0" fontId="32" fillId="0" borderId="70" xfId="0" applyFont="1" applyBorder="1" applyAlignment="1">
      <alignment vertical="center" wrapText="1"/>
    </xf>
    <xf numFmtId="0" fontId="32" fillId="0" borderId="39" xfId="0" applyFont="1" applyBorder="1" applyAlignment="1">
      <alignment vertical="center" wrapText="1"/>
    </xf>
    <xf numFmtId="0" fontId="32" fillId="0" borderId="71" xfId="0" applyFont="1" applyBorder="1" applyAlignment="1">
      <alignment vertical="center" wrapText="1"/>
    </xf>
    <xf numFmtId="0" fontId="12" fillId="0" borderId="11" xfId="0" applyFont="1" applyBorder="1" applyAlignment="1">
      <alignment horizontal="left" vertical="center" wrapText="1"/>
    </xf>
    <xf numFmtId="0" fontId="12" fillId="0" borderId="0" xfId="0" applyFont="1" applyAlignment="1">
      <alignment horizontal="left" vertical="center" wrapText="1"/>
    </xf>
    <xf numFmtId="0" fontId="12" fillId="0" borderId="64" xfId="0" applyFont="1" applyBorder="1" applyAlignment="1">
      <alignment horizontal="right" vertical="center" wrapText="1"/>
    </xf>
    <xf numFmtId="5" fontId="12" fillId="9" borderId="77" xfId="0" applyNumberFormat="1" applyFont="1" applyFill="1" applyBorder="1" applyAlignment="1">
      <alignment horizontal="right" vertical="center" wrapText="1"/>
    </xf>
    <xf numFmtId="0" fontId="12" fillId="9" borderId="77" xfId="0" applyFont="1" applyFill="1" applyBorder="1" applyAlignment="1">
      <alignment horizontal="right" vertical="center" wrapText="1"/>
    </xf>
    <xf numFmtId="0" fontId="12" fillId="0" borderId="15" xfId="0" applyFont="1" applyBorder="1" applyAlignment="1">
      <alignment horizontal="left" vertical="center" wrapText="1" indent="2"/>
    </xf>
    <xf numFmtId="0" fontId="12" fillId="0" borderId="26" xfId="0" applyFont="1" applyBorder="1" applyAlignment="1">
      <alignment horizontal="left" vertical="center" wrapText="1" indent="2"/>
    </xf>
    <xf numFmtId="0" fontId="12" fillId="0" borderId="28" xfId="0" applyFont="1" applyBorder="1" applyAlignment="1">
      <alignment horizontal="left" vertical="center" wrapText="1" indent="2"/>
    </xf>
    <xf numFmtId="0" fontId="32" fillId="0" borderId="11" xfId="0" applyFont="1" applyBorder="1" applyAlignment="1">
      <alignment vertical="center" wrapText="1"/>
    </xf>
    <xf numFmtId="0" fontId="32" fillId="0" borderId="0" xfId="0" applyFont="1" applyAlignment="1">
      <alignment vertical="center" wrapText="1"/>
    </xf>
    <xf numFmtId="0" fontId="32" fillId="0" borderId="12" xfId="0" applyFont="1" applyBorder="1" applyAlignment="1">
      <alignment vertical="center" wrapText="1"/>
    </xf>
    <xf numFmtId="0" fontId="8" fillId="0" borderId="47" xfId="0" applyFont="1" applyBorder="1" applyAlignment="1">
      <alignment vertical="center" wrapText="1"/>
    </xf>
    <xf numFmtId="0" fontId="8" fillId="0" borderId="33" xfId="0" applyFont="1" applyBorder="1" applyAlignment="1">
      <alignment vertical="center" wrapText="1"/>
    </xf>
    <xf numFmtId="0" fontId="8" fillId="0" borderId="48" xfId="0" applyFont="1" applyBorder="1" applyAlignment="1">
      <alignment vertical="center" wrapText="1"/>
    </xf>
    <xf numFmtId="0" fontId="12" fillId="0" borderId="26" xfId="0" applyFont="1" applyBorder="1" applyAlignment="1">
      <alignment horizontal="center" vertical="center" wrapText="1"/>
    </xf>
    <xf numFmtId="0" fontId="12" fillId="0" borderId="28" xfId="0" applyFont="1" applyBorder="1" applyAlignment="1">
      <alignment horizontal="center" vertical="center" wrapText="1"/>
    </xf>
    <xf numFmtId="175" fontId="12" fillId="9" borderId="26" xfId="0" applyNumberFormat="1" applyFont="1" applyFill="1" applyBorder="1" applyAlignment="1">
      <alignment horizontal="left" vertical="center" wrapText="1" indent="1"/>
    </xf>
    <xf numFmtId="175" fontId="12" fillId="9" borderId="28" xfId="0" applyNumberFormat="1" applyFont="1" applyFill="1" applyBorder="1" applyAlignment="1">
      <alignment horizontal="left" vertical="center" wrapText="1" indent="1"/>
    </xf>
    <xf numFmtId="5" fontId="12" fillId="9" borderId="64" xfId="0" applyNumberFormat="1" applyFont="1" applyFill="1" applyBorder="1" applyAlignment="1">
      <alignment horizontal="right" vertical="center" wrapText="1"/>
    </xf>
    <xf numFmtId="0" fontId="12" fillId="9" borderId="64" xfId="0" applyFont="1" applyFill="1" applyBorder="1" applyAlignment="1">
      <alignment horizontal="right" vertical="center" wrapText="1"/>
    </xf>
    <xf numFmtId="0" fontId="12" fillId="8" borderId="39" xfId="0" applyFont="1" applyFill="1" applyBorder="1" applyAlignment="1">
      <alignment horizontal="left" vertical="center" wrapText="1" indent="1"/>
    </xf>
    <xf numFmtId="0" fontId="0" fillId="0" borderId="0" xfId="0" applyAlignment="1">
      <alignment horizontal="left" vertical="top"/>
    </xf>
    <xf numFmtId="0" fontId="12" fillId="0" borderId="15" xfId="0" applyFont="1" applyBorder="1" applyAlignment="1">
      <alignment vertical="center" wrapText="1"/>
    </xf>
    <xf numFmtId="0" fontId="12" fillId="0" borderId="26" xfId="0" applyFont="1" applyBorder="1" applyAlignment="1">
      <alignment vertical="center" wrapText="1"/>
    </xf>
    <xf numFmtId="0" fontId="12" fillId="0" borderId="28" xfId="0" applyFont="1" applyBorder="1" applyAlignment="1">
      <alignment vertical="center" wrapText="1"/>
    </xf>
    <xf numFmtId="0" fontId="33" fillId="0" borderId="62" xfId="0" applyFont="1" applyBorder="1" applyAlignment="1">
      <alignment horizontal="center" vertical="center" wrapText="1"/>
    </xf>
    <xf numFmtId="0" fontId="32" fillId="9" borderId="11" xfId="0" applyFont="1" applyFill="1" applyBorder="1" applyAlignment="1">
      <alignment horizontal="left" vertical="center" wrapText="1" indent="1"/>
    </xf>
    <xf numFmtId="0" fontId="32" fillId="9" borderId="0" xfId="0" applyFont="1" applyFill="1" applyAlignment="1">
      <alignment horizontal="left" vertical="center" wrapText="1" indent="1"/>
    </xf>
    <xf numFmtId="0" fontId="32" fillId="9" borderId="12" xfId="0" applyFont="1" applyFill="1" applyBorder="1" applyAlignment="1">
      <alignment horizontal="left" vertical="center" wrapText="1" indent="1"/>
    </xf>
    <xf numFmtId="0" fontId="12" fillId="0" borderId="15" xfId="0" applyFont="1" applyBorder="1" applyAlignment="1">
      <alignment horizontal="left" vertical="center" wrapText="1" indent="1"/>
    </xf>
    <xf numFmtId="0" fontId="6" fillId="8" borderId="39" xfId="19" applyFill="1" applyBorder="1" applyAlignment="1" applyProtection="1">
      <alignment horizontal="left" vertical="center" wrapText="1" indent="1"/>
    </xf>
    <xf numFmtId="0" fontId="12" fillId="9" borderId="71" xfId="0" applyFont="1" applyFill="1" applyBorder="1" applyAlignment="1">
      <alignment horizontal="left" vertical="center" wrapText="1" indent="1"/>
    </xf>
    <xf numFmtId="0" fontId="33" fillId="0" borderId="62" xfId="0" applyFont="1" applyBorder="1" applyAlignment="1">
      <alignment horizontal="left" vertical="center" wrapText="1" indent="1"/>
    </xf>
    <xf numFmtId="0" fontId="12" fillId="9" borderId="62" xfId="0" applyFont="1" applyFill="1" applyBorder="1" applyAlignment="1">
      <alignment horizontal="left" vertical="center" wrapText="1" indent="1"/>
    </xf>
    <xf numFmtId="0" fontId="12" fillId="9" borderId="64" xfId="0" applyFont="1" applyFill="1" applyBorder="1" applyAlignment="1">
      <alignment horizontal="left" vertical="center" wrapText="1" indent="1"/>
    </xf>
    <xf numFmtId="0" fontId="12" fillId="9" borderId="77" xfId="0" applyFont="1" applyFill="1" applyBorder="1" applyAlignment="1">
      <alignment horizontal="left" vertical="center" wrapText="1" indent="1"/>
    </xf>
    <xf numFmtId="0" fontId="12" fillId="0" borderId="55" xfId="0" applyFont="1" applyBorder="1" applyAlignment="1">
      <alignment vertical="center" wrapText="1"/>
    </xf>
    <xf numFmtId="0" fontId="12" fillId="0" borderId="52" xfId="0" applyFont="1" applyBorder="1" applyAlignment="1">
      <alignment vertical="center" wrapText="1"/>
    </xf>
    <xf numFmtId="0" fontId="12" fillId="0" borderId="33" xfId="0" applyFont="1" applyBorder="1" applyAlignment="1">
      <alignment horizontal="left" vertical="top" wrapText="1"/>
    </xf>
    <xf numFmtId="0" fontId="12" fillId="0" borderId="48" xfId="0" applyFont="1" applyBorder="1" applyAlignment="1">
      <alignment horizontal="left" vertical="top" wrapText="1"/>
    </xf>
    <xf numFmtId="0" fontId="12" fillId="0" borderId="0" xfId="0" applyFont="1" applyAlignment="1">
      <alignment horizontal="left" vertical="top" wrapText="1"/>
    </xf>
    <xf numFmtId="0" fontId="12" fillId="0" borderId="12" xfId="0" applyFont="1" applyBorder="1" applyAlignment="1">
      <alignment horizontal="left" vertical="top" wrapText="1"/>
    </xf>
    <xf numFmtId="0" fontId="12" fillId="0" borderId="95" xfId="0" applyFont="1" applyBorder="1" applyAlignment="1">
      <alignment vertical="center" wrapText="1"/>
    </xf>
    <xf numFmtId="0" fontId="12" fillId="0" borderId="95" xfId="0" applyFont="1" applyBorder="1" applyAlignment="1">
      <alignment horizontal="left" vertical="center" wrapText="1" indent="1"/>
    </xf>
    <xf numFmtId="0" fontId="12" fillId="0" borderId="0" xfId="0" applyFont="1" applyAlignment="1">
      <alignment horizontal="left" vertical="center" wrapText="1" indent="1"/>
    </xf>
    <xf numFmtId="0" fontId="12" fillId="0" borderId="12" xfId="0" applyFont="1" applyBorder="1" applyAlignment="1">
      <alignment horizontal="left" vertical="center" wrapText="1" indent="1"/>
    </xf>
    <xf numFmtId="0" fontId="12" fillId="0" borderId="96" xfId="0" applyFont="1" applyBorder="1" applyAlignment="1">
      <alignment vertical="center" wrapText="1"/>
    </xf>
    <xf numFmtId="0" fontId="0" fillId="0" borderId="11" xfId="0" applyBorder="1" applyAlignment="1">
      <alignment vertical="center" wrapText="1"/>
    </xf>
    <xf numFmtId="0" fontId="0" fillId="0" borderId="0" xfId="0" applyAlignment="1">
      <alignment vertical="center" wrapText="1"/>
    </xf>
    <xf numFmtId="0" fontId="0" fillId="0" borderId="12" xfId="0" applyBorder="1" applyAlignment="1">
      <alignment vertical="center" wrapText="1"/>
    </xf>
    <xf numFmtId="0" fontId="12" fillId="9" borderId="52" xfId="0" applyFont="1" applyFill="1" applyBorder="1" applyAlignment="1">
      <alignment horizontal="left" vertical="center" wrapText="1" indent="2"/>
    </xf>
    <xf numFmtId="0" fontId="12" fillId="0" borderId="39" xfId="0" applyFont="1" applyBorder="1" applyAlignment="1">
      <alignment horizontal="left" vertical="center" wrapText="1" indent="1"/>
    </xf>
    <xf numFmtId="0" fontId="12" fillId="0" borderId="71" xfId="0" applyFont="1" applyBorder="1" applyAlignment="1">
      <alignment horizontal="left" vertical="center" wrapText="1" indent="1"/>
    </xf>
    <xf numFmtId="0" fontId="0" fillId="0" borderId="11" xfId="0" applyBorder="1" applyAlignment="1">
      <alignment horizontal="left" vertical="top"/>
    </xf>
    <xf numFmtId="16" fontId="12" fillId="0" borderId="39" xfId="0" applyNumberFormat="1" applyFont="1" applyBorder="1" applyAlignment="1">
      <alignment horizontal="left" vertical="center" wrapText="1" indent="1"/>
    </xf>
    <xf numFmtId="0" fontId="32" fillId="9" borderId="15" xfId="0" applyFont="1" applyFill="1" applyBorder="1" applyAlignment="1">
      <alignment horizontal="left" vertical="center" wrapText="1" indent="1"/>
    </xf>
    <xf numFmtId="0" fontId="32" fillId="9" borderId="26" xfId="0" applyFont="1" applyFill="1" applyBorder="1" applyAlignment="1">
      <alignment horizontal="left" vertical="center" wrapText="1" indent="1"/>
    </xf>
    <xf numFmtId="0" fontId="32" fillId="9" borderId="28" xfId="0" applyFont="1" applyFill="1" applyBorder="1" applyAlignment="1">
      <alignment horizontal="left" vertical="center" wrapText="1" indent="1"/>
    </xf>
    <xf numFmtId="0" fontId="12" fillId="0" borderId="11" xfId="0" applyFont="1" applyBorder="1" applyAlignment="1">
      <alignment horizontal="left" vertical="center" wrapText="1" indent="3"/>
    </xf>
    <xf numFmtId="0" fontId="12" fillId="0" borderId="0" xfId="0" applyFont="1" applyAlignment="1">
      <alignment horizontal="left" vertical="center" wrapText="1" indent="3"/>
    </xf>
    <xf numFmtId="0" fontId="12" fillId="0" borderId="12" xfId="0" applyFont="1" applyBorder="1" applyAlignment="1">
      <alignment horizontal="left" vertical="center" wrapText="1" indent="3"/>
    </xf>
    <xf numFmtId="0" fontId="32" fillId="0" borderId="15" xfId="0" applyFont="1" applyBorder="1" applyAlignment="1">
      <alignment vertical="center" wrapText="1"/>
    </xf>
    <xf numFmtId="0" fontId="32" fillId="0" borderId="26" xfId="0" applyFont="1" applyBorder="1" applyAlignment="1">
      <alignment vertical="center" wrapText="1"/>
    </xf>
    <xf numFmtId="0" fontId="32" fillId="0" borderId="28" xfId="0" applyFont="1" applyBorder="1" applyAlignment="1">
      <alignment vertical="center" wrapText="1"/>
    </xf>
    <xf numFmtId="0" fontId="12" fillId="9" borderId="11" xfId="0" applyFont="1" applyFill="1" applyBorder="1" applyAlignment="1">
      <alignment horizontal="left" vertical="center" wrapText="1" indent="1"/>
    </xf>
    <xf numFmtId="0" fontId="12" fillId="9" borderId="0" xfId="0" applyFont="1" applyFill="1" applyAlignment="1">
      <alignment horizontal="left" vertical="center" wrapText="1" indent="1"/>
    </xf>
    <xf numFmtId="0" fontId="12" fillId="9" borderId="12" xfId="0" applyFont="1" applyFill="1" applyBorder="1" applyAlignment="1">
      <alignment horizontal="left" vertical="center" wrapText="1" indent="1"/>
    </xf>
    <xf numFmtId="0" fontId="12" fillId="0" borderId="11" xfId="0" applyFont="1" applyBorder="1" applyAlignment="1">
      <alignment horizontal="left" vertical="center" wrapText="1" indent="1"/>
    </xf>
    <xf numFmtId="1" fontId="12" fillId="0" borderId="64" xfId="0" applyNumberFormat="1" applyFont="1" applyBorder="1" applyAlignment="1">
      <alignment horizontal="left" vertical="center"/>
    </xf>
    <xf numFmtId="1" fontId="12" fillId="0" borderId="46" xfId="0" applyNumberFormat="1" applyFont="1" applyBorder="1" applyAlignment="1">
      <alignment horizontal="left" vertical="center"/>
    </xf>
    <xf numFmtId="5" fontId="11" fillId="0" borderId="0" xfId="0" applyNumberFormat="1" applyFont="1" applyAlignment="1">
      <alignment horizontal="right" vertical="top"/>
    </xf>
    <xf numFmtId="5" fontId="11" fillId="0" borderId="34" xfId="0" applyNumberFormat="1" applyFont="1" applyBorder="1" applyAlignment="1">
      <alignment horizontal="right" vertical="top"/>
    </xf>
    <xf numFmtId="5" fontId="8" fillId="0" borderId="44" xfId="0" applyNumberFormat="1" applyFont="1" applyBorder="1" applyAlignment="1">
      <alignment horizontal="center"/>
    </xf>
    <xf numFmtId="5" fontId="11" fillId="0" borderId="44" xfId="0" applyNumberFormat="1" applyFont="1" applyBorder="1" applyAlignment="1">
      <alignment horizontal="right"/>
    </xf>
    <xf numFmtId="5" fontId="11" fillId="0" borderId="0" xfId="0" applyNumberFormat="1" applyFont="1" applyAlignment="1">
      <alignment horizontal="right"/>
    </xf>
    <xf numFmtId="5" fontId="11" fillId="0" borderId="66" xfId="0" applyNumberFormat="1" applyFont="1" applyBorder="1" applyAlignment="1">
      <alignment horizontal="right"/>
    </xf>
    <xf numFmtId="0" fontId="19" fillId="0" borderId="16" xfId="0" applyFont="1" applyBorder="1" applyAlignment="1">
      <alignment horizontal="left" indent="10"/>
    </xf>
    <xf numFmtId="0" fontId="19" fillId="0" borderId="0" xfId="0" applyFont="1" applyAlignment="1">
      <alignment horizontal="left" indent="10"/>
    </xf>
    <xf numFmtId="5" fontId="18" fillId="0" borderId="60" xfId="0" applyNumberFormat="1" applyFont="1" applyBorder="1" applyAlignment="1">
      <alignment horizontal="center"/>
    </xf>
    <xf numFmtId="5" fontId="18" fillId="0" borderId="44" xfId="0" applyNumberFormat="1" applyFont="1" applyBorder="1" applyAlignment="1">
      <alignment horizontal="center"/>
    </xf>
    <xf numFmtId="5" fontId="18" fillId="0" borderId="66" xfId="0" applyNumberFormat="1" applyFont="1" applyBorder="1" applyAlignment="1">
      <alignment horizontal="center"/>
    </xf>
    <xf numFmtId="5" fontId="18" fillId="0" borderId="61" xfId="0" applyNumberFormat="1" applyFont="1" applyBorder="1" applyAlignment="1">
      <alignment horizontal="center"/>
    </xf>
    <xf numFmtId="5" fontId="18" fillId="0" borderId="62" xfId="0" applyNumberFormat="1" applyFont="1" applyBorder="1" applyAlignment="1">
      <alignment horizontal="center"/>
    </xf>
    <xf numFmtId="5" fontId="18" fillId="0" borderId="63" xfId="0" applyNumberFormat="1" applyFont="1" applyBorder="1" applyAlignment="1">
      <alignment horizontal="center"/>
    </xf>
    <xf numFmtId="5" fontId="32" fillId="0" borderId="60" xfId="0" applyNumberFormat="1" applyFont="1" applyBorder="1" applyAlignment="1">
      <alignment horizontal="center" vertical="center" wrapText="1"/>
    </xf>
    <xf numFmtId="5" fontId="32" fillId="0" borderId="66" xfId="0" applyNumberFormat="1" applyFont="1" applyBorder="1" applyAlignment="1">
      <alignment horizontal="center" vertical="center" wrapText="1"/>
    </xf>
    <xf numFmtId="5" fontId="32" fillId="0" borderId="16" xfId="0" applyNumberFormat="1" applyFont="1" applyBorder="1" applyAlignment="1">
      <alignment horizontal="center" vertical="center" wrapText="1"/>
    </xf>
    <xf numFmtId="5" fontId="32" fillId="0" borderId="34" xfId="0" applyNumberFormat="1" applyFont="1" applyBorder="1" applyAlignment="1">
      <alignment horizontal="center" vertical="center" wrapText="1"/>
    </xf>
    <xf numFmtId="5" fontId="32" fillId="0" borderId="42" xfId="0" applyNumberFormat="1" applyFont="1" applyBorder="1" applyAlignment="1">
      <alignment horizontal="center" wrapText="1"/>
    </xf>
    <xf numFmtId="5" fontId="32" fillId="0" borderId="4" xfId="0" applyNumberFormat="1" applyFont="1" applyBorder="1" applyAlignment="1">
      <alignment horizontal="center" wrapText="1"/>
    </xf>
    <xf numFmtId="5" fontId="32" fillId="0" borderId="65" xfId="0" applyNumberFormat="1" applyFont="1" applyBorder="1" applyAlignment="1">
      <alignment horizontal="center"/>
    </xf>
    <xf numFmtId="5" fontId="32" fillId="0" borderId="64" xfId="0" applyNumberFormat="1" applyFont="1" applyBorder="1" applyAlignment="1">
      <alignment horizontal="center"/>
    </xf>
    <xf numFmtId="5" fontId="32" fillId="0" borderId="46" xfId="0" applyNumberFormat="1" applyFont="1" applyBorder="1" applyAlignment="1">
      <alignment horizontal="center"/>
    </xf>
    <xf numFmtId="5" fontId="32" fillId="0" borderId="65" xfId="0" quotePrefix="1" applyNumberFormat="1" applyFont="1" applyBorder="1" applyAlignment="1">
      <alignment horizontal="left" vertical="center"/>
    </xf>
    <xf numFmtId="5" fontId="32" fillId="0" borderId="64" xfId="0" quotePrefix="1" applyNumberFormat="1" applyFont="1" applyBorder="1" applyAlignment="1">
      <alignment horizontal="left" vertical="center"/>
    </xf>
    <xf numFmtId="5" fontId="32" fillId="0" borderId="61" xfId="0" quotePrefix="1" applyNumberFormat="1" applyFont="1" applyBorder="1" applyAlignment="1">
      <alignment horizontal="left" vertical="center"/>
    </xf>
    <xf numFmtId="5" fontId="32" fillId="0" borderId="62" xfId="0" quotePrefix="1" applyNumberFormat="1" applyFont="1" applyBorder="1" applyAlignment="1">
      <alignment horizontal="left" vertical="center"/>
    </xf>
    <xf numFmtId="5" fontId="32" fillId="0" borderId="63" xfId="0" quotePrefix="1" applyNumberFormat="1" applyFont="1" applyBorder="1" applyAlignment="1">
      <alignment horizontal="left" vertical="center"/>
    </xf>
    <xf numFmtId="5" fontId="32" fillId="0" borderId="46" xfId="0" quotePrefix="1" applyNumberFormat="1" applyFont="1" applyBorder="1" applyAlignment="1">
      <alignment horizontal="left" vertical="center"/>
    </xf>
    <xf numFmtId="0" fontId="19" fillId="0" borderId="47" xfId="0" applyFont="1" applyBorder="1" applyAlignment="1">
      <alignment horizontal="left" vertical="center"/>
    </xf>
    <xf numFmtId="0" fontId="19" fillId="0" borderId="48" xfId="0" applyFont="1" applyBorder="1" applyAlignment="1">
      <alignment horizontal="left" vertical="center"/>
    </xf>
    <xf numFmtId="0" fontId="19" fillId="0" borderId="11" xfId="0" applyFont="1" applyBorder="1" applyAlignment="1">
      <alignment horizontal="left" vertical="center"/>
    </xf>
    <xf numFmtId="0" fontId="19" fillId="0" borderId="12" xfId="0" applyFont="1" applyBorder="1" applyAlignment="1">
      <alignment horizontal="left" vertical="center"/>
    </xf>
    <xf numFmtId="0" fontId="19" fillId="0" borderId="15" xfId="0" applyFont="1" applyBorder="1" applyAlignment="1">
      <alignment horizontal="left" vertical="center"/>
    </xf>
    <xf numFmtId="0" fontId="19" fillId="0" borderId="28" xfId="0" applyFont="1" applyBorder="1" applyAlignment="1">
      <alignment horizontal="left" vertical="center"/>
    </xf>
    <xf numFmtId="0" fontId="72" fillId="0" borderId="0" xfId="36" applyFont="1" applyFill="1" applyAlignment="1">
      <alignment wrapText="1"/>
    </xf>
    <xf numFmtId="0" fontId="46" fillId="0" borderId="0" xfId="36" applyFont="1" applyFill="1" applyAlignment="1">
      <alignment horizontal="left" vertical="top" wrapText="1"/>
    </xf>
  </cellXfs>
  <cellStyles count="341">
    <cellStyle name="20% - Accent1 2" xfId="44" xr:uid="{00000000-0005-0000-0000-000000000000}"/>
    <cellStyle name="20% - Accent2 2" xfId="45" xr:uid="{00000000-0005-0000-0000-000001000000}"/>
    <cellStyle name="20% - Accent3 2" xfId="46" xr:uid="{00000000-0005-0000-0000-000002000000}"/>
    <cellStyle name="20% - Accent4 2" xfId="47" xr:uid="{00000000-0005-0000-0000-000003000000}"/>
    <cellStyle name="20% - Accent5 2" xfId="48" xr:uid="{00000000-0005-0000-0000-000004000000}"/>
    <cellStyle name="20% - Accent6 2" xfId="49" xr:uid="{00000000-0005-0000-0000-000005000000}"/>
    <cellStyle name="40% - Accent1 2" xfId="50" xr:uid="{00000000-0005-0000-0000-000006000000}"/>
    <cellStyle name="40% - Accent2 2" xfId="51" xr:uid="{00000000-0005-0000-0000-000007000000}"/>
    <cellStyle name="40% - Accent3 2" xfId="52" xr:uid="{00000000-0005-0000-0000-000008000000}"/>
    <cellStyle name="40% - Accent4 2" xfId="53" xr:uid="{00000000-0005-0000-0000-000009000000}"/>
    <cellStyle name="40% - Accent5" xfId="1" builtinId="47" customBuiltin="1"/>
    <cellStyle name="40% - Accent5 2" xfId="54" xr:uid="{00000000-0005-0000-0000-00000A000000}"/>
    <cellStyle name="40% - Accent6 2" xfId="55" xr:uid="{00000000-0005-0000-0000-00000B000000}"/>
    <cellStyle name="60% - Accent1 2" xfId="56" xr:uid="{00000000-0005-0000-0000-00000D000000}"/>
    <cellStyle name="60% - Accent2 2" xfId="57" xr:uid="{00000000-0005-0000-0000-00000E000000}"/>
    <cellStyle name="60% - Accent3 2" xfId="58" xr:uid="{00000000-0005-0000-0000-00000F000000}"/>
    <cellStyle name="60% - Accent4 2" xfId="59" xr:uid="{00000000-0005-0000-0000-000010000000}"/>
    <cellStyle name="60% - Accent5 2" xfId="60" xr:uid="{00000000-0005-0000-0000-000011000000}"/>
    <cellStyle name="60% - Accent6 2" xfId="61" xr:uid="{00000000-0005-0000-0000-000012000000}"/>
    <cellStyle name="AA-Unhidden" xfId="2" xr:uid="{00000000-0005-0000-0000-000013000000}"/>
    <cellStyle name="Accent1 2" xfId="62" xr:uid="{00000000-0005-0000-0000-000014000000}"/>
    <cellStyle name="Accent2 2" xfId="63" xr:uid="{00000000-0005-0000-0000-000015000000}"/>
    <cellStyle name="Accent3 2" xfId="64" xr:uid="{00000000-0005-0000-0000-000016000000}"/>
    <cellStyle name="Accent4 2" xfId="65" xr:uid="{00000000-0005-0000-0000-000017000000}"/>
    <cellStyle name="Accent5 2" xfId="66" xr:uid="{00000000-0005-0000-0000-000018000000}"/>
    <cellStyle name="Accent6 2" xfId="67" xr:uid="{00000000-0005-0000-0000-000019000000}"/>
    <cellStyle name="Bad 2" xfId="68" xr:uid="{00000000-0005-0000-0000-00001A000000}"/>
    <cellStyle name="BB-Hidden" xfId="3" xr:uid="{00000000-0005-0000-0000-00001B000000}"/>
    <cellStyle name="Calculation 2" xfId="69" xr:uid="{00000000-0005-0000-0000-00001C000000}"/>
    <cellStyle name="Check Cell 2" xfId="70" xr:uid="{00000000-0005-0000-0000-00001D000000}"/>
    <cellStyle name="Comma" xfId="4" builtinId="3"/>
    <cellStyle name="Comma [0] 2" xfId="71" xr:uid="{00000000-0005-0000-0000-00001E000000}"/>
    <cellStyle name="Comma 10" xfId="72" xr:uid="{00000000-0005-0000-0000-00001F000000}"/>
    <cellStyle name="Comma 100" xfId="73" xr:uid="{00000000-0005-0000-0000-000020000000}"/>
    <cellStyle name="Comma 101" xfId="74" xr:uid="{00000000-0005-0000-0000-000021000000}"/>
    <cellStyle name="Comma 102" xfId="75" xr:uid="{00000000-0005-0000-0000-000022000000}"/>
    <cellStyle name="Comma 103" xfId="76" xr:uid="{00000000-0005-0000-0000-000023000000}"/>
    <cellStyle name="Comma 104" xfId="333" xr:uid="{00000000-0005-0000-0000-000024000000}"/>
    <cellStyle name="Comma 105" xfId="337" xr:uid="{00000000-0005-0000-0000-000025000000}"/>
    <cellStyle name="Comma 106" xfId="340" xr:uid="{00000000-0005-0000-0000-000026000000}"/>
    <cellStyle name="Comma 11" xfId="77" xr:uid="{00000000-0005-0000-0000-000027000000}"/>
    <cellStyle name="Comma 12" xfId="78" xr:uid="{00000000-0005-0000-0000-000028000000}"/>
    <cellStyle name="Comma 13" xfId="79" xr:uid="{00000000-0005-0000-0000-000029000000}"/>
    <cellStyle name="Comma 14" xfId="80" xr:uid="{00000000-0005-0000-0000-00002A000000}"/>
    <cellStyle name="Comma 15" xfId="81" xr:uid="{00000000-0005-0000-0000-00002B000000}"/>
    <cellStyle name="Comma 16" xfId="82" xr:uid="{00000000-0005-0000-0000-00002C000000}"/>
    <cellStyle name="Comma 17" xfId="83" xr:uid="{00000000-0005-0000-0000-00002D000000}"/>
    <cellStyle name="Comma 18" xfId="84" xr:uid="{00000000-0005-0000-0000-00002E000000}"/>
    <cellStyle name="Comma 19" xfId="85" xr:uid="{00000000-0005-0000-0000-00002F000000}"/>
    <cellStyle name="Comma 2" xfId="5" xr:uid="{00000000-0005-0000-0000-000030000000}"/>
    <cellStyle name="Comma 2 2" xfId="87" xr:uid="{00000000-0005-0000-0000-000031000000}"/>
    <cellStyle name="Comma 2 3" xfId="88" xr:uid="{00000000-0005-0000-0000-000032000000}"/>
    <cellStyle name="Comma 2 4" xfId="86" xr:uid="{00000000-0005-0000-0000-000033000000}"/>
    <cellStyle name="Comma 20" xfId="89" xr:uid="{00000000-0005-0000-0000-000034000000}"/>
    <cellStyle name="Comma 21" xfId="90" xr:uid="{00000000-0005-0000-0000-000035000000}"/>
    <cellStyle name="Comma 22" xfId="91" xr:uid="{00000000-0005-0000-0000-000036000000}"/>
    <cellStyle name="Comma 23" xfId="92" xr:uid="{00000000-0005-0000-0000-000037000000}"/>
    <cellStyle name="Comma 24" xfId="93" xr:uid="{00000000-0005-0000-0000-000038000000}"/>
    <cellStyle name="Comma 25" xfId="94" xr:uid="{00000000-0005-0000-0000-000039000000}"/>
    <cellStyle name="Comma 26" xfId="95" xr:uid="{00000000-0005-0000-0000-00003A000000}"/>
    <cellStyle name="Comma 27" xfId="96" xr:uid="{00000000-0005-0000-0000-00003B000000}"/>
    <cellStyle name="Comma 28" xfId="97" xr:uid="{00000000-0005-0000-0000-00003C000000}"/>
    <cellStyle name="Comma 29" xfId="98" xr:uid="{00000000-0005-0000-0000-00003D000000}"/>
    <cellStyle name="Comma 3" xfId="40" xr:uid="{00000000-0005-0000-0000-00003E000000}"/>
    <cellStyle name="Comma 3 2" xfId="100" xr:uid="{00000000-0005-0000-0000-00003F000000}"/>
    <cellStyle name="Comma 3 3" xfId="101" xr:uid="{00000000-0005-0000-0000-000040000000}"/>
    <cellStyle name="Comma 3 4" xfId="99" xr:uid="{00000000-0005-0000-0000-000041000000}"/>
    <cellStyle name="Comma 30" xfId="102" xr:uid="{00000000-0005-0000-0000-000042000000}"/>
    <cellStyle name="Comma 31" xfId="103" xr:uid="{00000000-0005-0000-0000-000043000000}"/>
    <cellStyle name="Comma 32" xfId="104" xr:uid="{00000000-0005-0000-0000-000044000000}"/>
    <cellStyle name="Comma 33" xfId="105" xr:uid="{00000000-0005-0000-0000-000045000000}"/>
    <cellStyle name="Comma 34" xfId="106" xr:uid="{00000000-0005-0000-0000-000046000000}"/>
    <cellStyle name="Comma 35" xfId="107" xr:uid="{00000000-0005-0000-0000-000047000000}"/>
    <cellStyle name="Comma 36" xfId="108" xr:uid="{00000000-0005-0000-0000-000048000000}"/>
    <cellStyle name="Comma 37" xfId="109" xr:uid="{00000000-0005-0000-0000-000049000000}"/>
    <cellStyle name="Comma 38" xfId="110" xr:uid="{00000000-0005-0000-0000-00004A000000}"/>
    <cellStyle name="Comma 39" xfId="111" xr:uid="{00000000-0005-0000-0000-00004B000000}"/>
    <cellStyle name="Comma 4" xfId="112" xr:uid="{00000000-0005-0000-0000-00004C000000}"/>
    <cellStyle name="Comma 4 2" xfId="113" xr:uid="{00000000-0005-0000-0000-00004D000000}"/>
    <cellStyle name="Comma 40" xfId="114" xr:uid="{00000000-0005-0000-0000-00004E000000}"/>
    <cellStyle name="Comma 41" xfId="115" xr:uid="{00000000-0005-0000-0000-00004F000000}"/>
    <cellStyle name="Comma 42" xfId="116" xr:uid="{00000000-0005-0000-0000-000050000000}"/>
    <cellStyle name="Comma 43" xfId="117" xr:uid="{00000000-0005-0000-0000-000051000000}"/>
    <cellStyle name="Comma 44" xfId="118" xr:uid="{00000000-0005-0000-0000-000052000000}"/>
    <cellStyle name="Comma 45" xfId="119" xr:uid="{00000000-0005-0000-0000-000053000000}"/>
    <cellStyle name="Comma 46" xfId="120" xr:uid="{00000000-0005-0000-0000-000054000000}"/>
    <cellStyle name="Comma 47" xfId="121" xr:uid="{00000000-0005-0000-0000-000055000000}"/>
    <cellStyle name="Comma 48" xfId="122" xr:uid="{00000000-0005-0000-0000-000056000000}"/>
    <cellStyle name="Comma 49" xfId="123" xr:uid="{00000000-0005-0000-0000-000057000000}"/>
    <cellStyle name="Comma 5" xfId="124" xr:uid="{00000000-0005-0000-0000-000058000000}"/>
    <cellStyle name="Comma 5 2" xfId="125" xr:uid="{00000000-0005-0000-0000-000059000000}"/>
    <cellStyle name="Comma 50" xfId="126" xr:uid="{00000000-0005-0000-0000-00005A000000}"/>
    <cellStyle name="Comma 51" xfId="127" xr:uid="{00000000-0005-0000-0000-00005B000000}"/>
    <cellStyle name="Comma 52" xfId="128" xr:uid="{00000000-0005-0000-0000-00005C000000}"/>
    <cellStyle name="Comma 53" xfId="129" xr:uid="{00000000-0005-0000-0000-00005D000000}"/>
    <cellStyle name="Comma 54" xfId="130" xr:uid="{00000000-0005-0000-0000-00005E000000}"/>
    <cellStyle name="Comma 54 2" xfId="131" xr:uid="{00000000-0005-0000-0000-00005F000000}"/>
    <cellStyle name="Comma 55" xfId="132" xr:uid="{00000000-0005-0000-0000-000060000000}"/>
    <cellStyle name="Comma 56" xfId="133" xr:uid="{00000000-0005-0000-0000-000061000000}"/>
    <cellStyle name="Comma 56 2" xfId="134" xr:uid="{00000000-0005-0000-0000-000062000000}"/>
    <cellStyle name="Comma 56 3" xfId="135" xr:uid="{00000000-0005-0000-0000-000063000000}"/>
    <cellStyle name="Comma 57" xfId="136" xr:uid="{00000000-0005-0000-0000-000064000000}"/>
    <cellStyle name="Comma 58" xfId="137" xr:uid="{00000000-0005-0000-0000-000065000000}"/>
    <cellStyle name="Comma 59" xfId="138" xr:uid="{00000000-0005-0000-0000-000066000000}"/>
    <cellStyle name="Comma 6" xfId="139" xr:uid="{00000000-0005-0000-0000-000067000000}"/>
    <cellStyle name="Comma 60" xfId="140" xr:uid="{00000000-0005-0000-0000-000068000000}"/>
    <cellStyle name="Comma 61" xfId="141" xr:uid="{00000000-0005-0000-0000-000069000000}"/>
    <cellStyle name="Comma 62" xfId="142" xr:uid="{00000000-0005-0000-0000-00006A000000}"/>
    <cellStyle name="Comma 63" xfId="143" xr:uid="{00000000-0005-0000-0000-00006B000000}"/>
    <cellStyle name="Comma 64" xfId="144" xr:uid="{00000000-0005-0000-0000-00006C000000}"/>
    <cellStyle name="Comma 65" xfId="145" xr:uid="{00000000-0005-0000-0000-00006D000000}"/>
    <cellStyle name="Comma 66" xfId="146" xr:uid="{00000000-0005-0000-0000-00006E000000}"/>
    <cellStyle name="Comma 67" xfId="147" xr:uid="{00000000-0005-0000-0000-00006F000000}"/>
    <cellStyle name="Comma 68" xfId="148" xr:uid="{00000000-0005-0000-0000-000070000000}"/>
    <cellStyle name="Comma 69" xfId="149" xr:uid="{00000000-0005-0000-0000-000071000000}"/>
    <cellStyle name="Comma 7" xfId="150" xr:uid="{00000000-0005-0000-0000-000072000000}"/>
    <cellStyle name="Comma 70" xfId="151" xr:uid="{00000000-0005-0000-0000-000073000000}"/>
    <cellStyle name="Comma 71" xfId="152" xr:uid="{00000000-0005-0000-0000-000074000000}"/>
    <cellStyle name="Comma 72" xfId="153" xr:uid="{00000000-0005-0000-0000-000075000000}"/>
    <cellStyle name="Comma 73" xfId="154" xr:uid="{00000000-0005-0000-0000-000076000000}"/>
    <cellStyle name="Comma 74" xfId="155" xr:uid="{00000000-0005-0000-0000-000077000000}"/>
    <cellStyle name="Comma 75" xfId="156" xr:uid="{00000000-0005-0000-0000-000078000000}"/>
    <cellStyle name="Comma 76" xfId="157" xr:uid="{00000000-0005-0000-0000-000079000000}"/>
    <cellStyle name="Comma 77" xfId="158" xr:uid="{00000000-0005-0000-0000-00007A000000}"/>
    <cellStyle name="Comma 78" xfId="159" xr:uid="{00000000-0005-0000-0000-00007B000000}"/>
    <cellStyle name="Comma 79" xfId="160" xr:uid="{00000000-0005-0000-0000-00007C000000}"/>
    <cellStyle name="Comma 8" xfId="161" xr:uid="{00000000-0005-0000-0000-00007D000000}"/>
    <cellStyle name="Comma 80" xfId="162" xr:uid="{00000000-0005-0000-0000-00007E000000}"/>
    <cellStyle name="Comma 81" xfId="163" xr:uid="{00000000-0005-0000-0000-00007F000000}"/>
    <cellStyle name="Comma 82" xfId="164" xr:uid="{00000000-0005-0000-0000-000080000000}"/>
    <cellStyle name="Comma 83" xfId="165" xr:uid="{00000000-0005-0000-0000-000081000000}"/>
    <cellStyle name="Comma 84" xfId="166" xr:uid="{00000000-0005-0000-0000-000082000000}"/>
    <cellStyle name="Comma 85" xfId="167" xr:uid="{00000000-0005-0000-0000-000083000000}"/>
    <cellStyle name="Comma 86" xfId="168" xr:uid="{00000000-0005-0000-0000-000084000000}"/>
    <cellStyle name="Comma 87" xfId="169" xr:uid="{00000000-0005-0000-0000-000085000000}"/>
    <cellStyle name="Comma 88" xfId="170" xr:uid="{00000000-0005-0000-0000-000086000000}"/>
    <cellStyle name="Comma 89" xfId="171" xr:uid="{00000000-0005-0000-0000-000087000000}"/>
    <cellStyle name="Comma 9" xfId="172" xr:uid="{00000000-0005-0000-0000-000088000000}"/>
    <cellStyle name="Comma 90" xfId="173" xr:uid="{00000000-0005-0000-0000-000089000000}"/>
    <cellStyle name="Comma 91" xfId="174" xr:uid="{00000000-0005-0000-0000-00008A000000}"/>
    <cellStyle name="Comma 92" xfId="175" xr:uid="{00000000-0005-0000-0000-00008B000000}"/>
    <cellStyle name="Comma 93" xfId="176" xr:uid="{00000000-0005-0000-0000-00008C000000}"/>
    <cellStyle name="Comma 94" xfId="177" xr:uid="{00000000-0005-0000-0000-00008D000000}"/>
    <cellStyle name="Comma 95" xfId="178" xr:uid="{00000000-0005-0000-0000-00008E000000}"/>
    <cellStyle name="Comma 96" xfId="179" xr:uid="{00000000-0005-0000-0000-00008F000000}"/>
    <cellStyle name="Comma 96 2" xfId="180" xr:uid="{00000000-0005-0000-0000-000090000000}"/>
    <cellStyle name="Comma 96 3" xfId="181" xr:uid="{00000000-0005-0000-0000-000091000000}"/>
    <cellStyle name="Comma 97" xfId="182" xr:uid="{00000000-0005-0000-0000-000092000000}"/>
    <cellStyle name="Comma 98" xfId="183" xr:uid="{00000000-0005-0000-0000-000093000000}"/>
    <cellStyle name="Comma 99" xfId="184" xr:uid="{00000000-0005-0000-0000-000094000000}"/>
    <cellStyle name="Comma_4.11 Final JHP Senegal_MCH" xfId="6" xr:uid="{00000000-0005-0000-0000-000095000000}"/>
    <cellStyle name="Comma_JHP Bdgt Pfizer Mal 15May07_sda" xfId="7" xr:uid="{00000000-0005-0000-0000-000096000000}"/>
    <cellStyle name="Comma0" xfId="8" xr:uid="{00000000-0005-0000-0000-000097000000}"/>
    <cellStyle name="Comma0 - Style2" xfId="9" xr:uid="{00000000-0005-0000-0000-000098000000}"/>
    <cellStyle name="Curren - Style1" xfId="10" xr:uid="{00000000-0005-0000-0000-000099000000}"/>
    <cellStyle name="Curren - Style3" xfId="11" xr:uid="{00000000-0005-0000-0000-00009A000000}"/>
    <cellStyle name="Currency" xfId="12" builtinId="4"/>
    <cellStyle name="Currency [0] 2" xfId="185" xr:uid="{00000000-0005-0000-0000-00009B000000}"/>
    <cellStyle name="Currency 10" xfId="186" xr:uid="{00000000-0005-0000-0000-00009C000000}"/>
    <cellStyle name="Currency 100" xfId="187" xr:uid="{00000000-0005-0000-0000-00009D000000}"/>
    <cellStyle name="Currency 101" xfId="188" xr:uid="{00000000-0005-0000-0000-00009E000000}"/>
    <cellStyle name="Currency 102" xfId="189" xr:uid="{00000000-0005-0000-0000-00009F000000}"/>
    <cellStyle name="Currency 103" xfId="335" xr:uid="{00000000-0005-0000-0000-0000A0000000}"/>
    <cellStyle name="Currency 104" xfId="43" xr:uid="{00000000-0005-0000-0000-0000A1000000}"/>
    <cellStyle name="Currency 105" xfId="339" xr:uid="{00000000-0005-0000-0000-0000A2000000}"/>
    <cellStyle name="Currency 106" xfId="338" xr:uid="{00000000-0005-0000-0000-0000A3000000}"/>
    <cellStyle name="Currency 11" xfId="190" xr:uid="{00000000-0005-0000-0000-0000A4000000}"/>
    <cellStyle name="Currency 12" xfId="191" xr:uid="{00000000-0005-0000-0000-0000A5000000}"/>
    <cellStyle name="Currency 13" xfId="192" xr:uid="{00000000-0005-0000-0000-0000A6000000}"/>
    <cellStyle name="Currency 14" xfId="193" xr:uid="{00000000-0005-0000-0000-0000A7000000}"/>
    <cellStyle name="Currency 15" xfId="194" xr:uid="{00000000-0005-0000-0000-0000A8000000}"/>
    <cellStyle name="Currency 16" xfId="195" xr:uid="{00000000-0005-0000-0000-0000A9000000}"/>
    <cellStyle name="Currency 17" xfId="196" xr:uid="{00000000-0005-0000-0000-0000AA000000}"/>
    <cellStyle name="Currency 18" xfId="197" xr:uid="{00000000-0005-0000-0000-0000AB000000}"/>
    <cellStyle name="Currency 19" xfId="198" xr:uid="{00000000-0005-0000-0000-0000AC000000}"/>
    <cellStyle name="Currency 2" xfId="29" xr:uid="{00000000-0005-0000-0000-0000AD000000}"/>
    <cellStyle name="Currency 2 2" xfId="200" xr:uid="{00000000-0005-0000-0000-0000AE000000}"/>
    <cellStyle name="Currency 2 3" xfId="201" xr:uid="{00000000-0005-0000-0000-0000AF000000}"/>
    <cellStyle name="Currency 2 4" xfId="199" xr:uid="{00000000-0005-0000-0000-0000B0000000}"/>
    <cellStyle name="Currency 20" xfId="202" xr:uid="{00000000-0005-0000-0000-0000B1000000}"/>
    <cellStyle name="Currency 21" xfId="203" xr:uid="{00000000-0005-0000-0000-0000B2000000}"/>
    <cellStyle name="Currency 22" xfId="204" xr:uid="{00000000-0005-0000-0000-0000B3000000}"/>
    <cellStyle name="Currency 23" xfId="205" xr:uid="{00000000-0005-0000-0000-0000B4000000}"/>
    <cellStyle name="Currency 24" xfId="206" xr:uid="{00000000-0005-0000-0000-0000B5000000}"/>
    <cellStyle name="Currency 25" xfId="207" xr:uid="{00000000-0005-0000-0000-0000B6000000}"/>
    <cellStyle name="Currency 26" xfId="208" xr:uid="{00000000-0005-0000-0000-0000B7000000}"/>
    <cellStyle name="Currency 27" xfId="209" xr:uid="{00000000-0005-0000-0000-0000B8000000}"/>
    <cellStyle name="Currency 28" xfId="210" xr:uid="{00000000-0005-0000-0000-0000B9000000}"/>
    <cellStyle name="Currency 29" xfId="211" xr:uid="{00000000-0005-0000-0000-0000BA000000}"/>
    <cellStyle name="Currency 3" xfId="38" xr:uid="{00000000-0005-0000-0000-0000BB000000}"/>
    <cellStyle name="Currency 3 2" xfId="212" xr:uid="{00000000-0005-0000-0000-0000BC000000}"/>
    <cellStyle name="Currency 30" xfId="213" xr:uid="{00000000-0005-0000-0000-0000BD000000}"/>
    <cellStyle name="Currency 31" xfId="214" xr:uid="{00000000-0005-0000-0000-0000BE000000}"/>
    <cellStyle name="Currency 32" xfId="215" xr:uid="{00000000-0005-0000-0000-0000BF000000}"/>
    <cellStyle name="Currency 33" xfId="216" xr:uid="{00000000-0005-0000-0000-0000C0000000}"/>
    <cellStyle name="Currency 34" xfId="217" xr:uid="{00000000-0005-0000-0000-0000C1000000}"/>
    <cellStyle name="Currency 35" xfId="218" xr:uid="{00000000-0005-0000-0000-0000C2000000}"/>
    <cellStyle name="Currency 36" xfId="219" xr:uid="{00000000-0005-0000-0000-0000C3000000}"/>
    <cellStyle name="Currency 37" xfId="220" xr:uid="{00000000-0005-0000-0000-0000C4000000}"/>
    <cellStyle name="Currency 38" xfId="221" xr:uid="{00000000-0005-0000-0000-0000C5000000}"/>
    <cellStyle name="Currency 39" xfId="222" xr:uid="{00000000-0005-0000-0000-0000C6000000}"/>
    <cellStyle name="Currency 4" xfId="223" xr:uid="{00000000-0005-0000-0000-0000C7000000}"/>
    <cellStyle name="Currency 4 2" xfId="224" xr:uid="{00000000-0005-0000-0000-0000C8000000}"/>
    <cellStyle name="Currency 4 3" xfId="225" xr:uid="{00000000-0005-0000-0000-0000C9000000}"/>
    <cellStyle name="Currency 4 4" xfId="226" xr:uid="{00000000-0005-0000-0000-0000CA000000}"/>
    <cellStyle name="Currency 40" xfId="227" xr:uid="{00000000-0005-0000-0000-0000CB000000}"/>
    <cellStyle name="Currency 41" xfId="228" xr:uid="{00000000-0005-0000-0000-0000CC000000}"/>
    <cellStyle name="Currency 42" xfId="229" xr:uid="{00000000-0005-0000-0000-0000CD000000}"/>
    <cellStyle name="Currency 43" xfId="230" xr:uid="{00000000-0005-0000-0000-0000CE000000}"/>
    <cellStyle name="Currency 44" xfId="231" xr:uid="{00000000-0005-0000-0000-0000CF000000}"/>
    <cellStyle name="Currency 45" xfId="232" xr:uid="{00000000-0005-0000-0000-0000D0000000}"/>
    <cellStyle name="Currency 46" xfId="233" xr:uid="{00000000-0005-0000-0000-0000D1000000}"/>
    <cellStyle name="Currency 47" xfId="234" xr:uid="{00000000-0005-0000-0000-0000D2000000}"/>
    <cellStyle name="Currency 48" xfId="235" xr:uid="{00000000-0005-0000-0000-0000D3000000}"/>
    <cellStyle name="Currency 49" xfId="236" xr:uid="{00000000-0005-0000-0000-0000D4000000}"/>
    <cellStyle name="Currency 5" xfId="237" xr:uid="{00000000-0005-0000-0000-0000D5000000}"/>
    <cellStyle name="Currency 5 2" xfId="238" xr:uid="{00000000-0005-0000-0000-0000D6000000}"/>
    <cellStyle name="Currency 50" xfId="239" xr:uid="{00000000-0005-0000-0000-0000D7000000}"/>
    <cellStyle name="Currency 51" xfId="240" xr:uid="{00000000-0005-0000-0000-0000D8000000}"/>
    <cellStyle name="Currency 52" xfId="241" xr:uid="{00000000-0005-0000-0000-0000D9000000}"/>
    <cellStyle name="Currency 53" xfId="242" xr:uid="{00000000-0005-0000-0000-0000DA000000}"/>
    <cellStyle name="Currency 54" xfId="243" xr:uid="{00000000-0005-0000-0000-0000DB000000}"/>
    <cellStyle name="Currency 54 2" xfId="244" xr:uid="{00000000-0005-0000-0000-0000DC000000}"/>
    <cellStyle name="Currency 55" xfId="245" xr:uid="{00000000-0005-0000-0000-0000DD000000}"/>
    <cellStyle name="Currency 55 2" xfId="246" xr:uid="{00000000-0005-0000-0000-0000DE000000}"/>
    <cellStyle name="Currency 56" xfId="247" xr:uid="{00000000-0005-0000-0000-0000DF000000}"/>
    <cellStyle name="Currency 57" xfId="248" xr:uid="{00000000-0005-0000-0000-0000E0000000}"/>
    <cellStyle name="Currency 58" xfId="249" xr:uid="{00000000-0005-0000-0000-0000E1000000}"/>
    <cellStyle name="Currency 59" xfId="250" xr:uid="{00000000-0005-0000-0000-0000E2000000}"/>
    <cellStyle name="Currency 6" xfId="251" xr:uid="{00000000-0005-0000-0000-0000E3000000}"/>
    <cellStyle name="Currency 6 2" xfId="252" xr:uid="{00000000-0005-0000-0000-0000E4000000}"/>
    <cellStyle name="Currency 60" xfId="253" xr:uid="{00000000-0005-0000-0000-0000E5000000}"/>
    <cellStyle name="Currency 61" xfId="254" xr:uid="{00000000-0005-0000-0000-0000E6000000}"/>
    <cellStyle name="Currency 62" xfId="255" xr:uid="{00000000-0005-0000-0000-0000E7000000}"/>
    <cellStyle name="Currency 63" xfId="256" xr:uid="{00000000-0005-0000-0000-0000E8000000}"/>
    <cellStyle name="Currency 64" xfId="257" xr:uid="{00000000-0005-0000-0000-0000E9000000}"/>
    <cellStyle name="Currency 65" xfId="258" xr:uid="{00000000-0005-0000-0000-0000EA000000}"/>
    <cellStyle name="Currency 66" xfId="259" xr:uid="{00000000-0005-0000-0000-0000EB000000}"/>
    <cellStyle name="Currency 67" xfId="260" xr:uid="{00000000-0005-0000-0000-0000EC000000}"/>
    <cellStyle name="Currency 68" xfId="261" xr:uid="{00000000-0005-0000-0000-0000ED000000}"/>
    <cellStyle name="Currency 69" xfId="262" xr:uid="{00000000-0005-0000-0000-0000EE000000}"/>
    <cellStyle name="Currency 7" xfId="263" xr:uid="{00000000-0005-0000-0000-0000EF000000}"/>
    <cellStyle name="Currency 70" xfId="264" xr:uid="{00000000-0005-0000-0000-0000F0000000}"/>
    <cellStyle name="Currency 71" xfId="265" xr:uid="{00000000-0005-0000-0000-0000F1000000}"/>
    <cellStyle name="Currency 72" xfId="266" xr:uid="{00000000-0005-0000-0000-0000F2000000}"/>
    <cellStyle name="Currency 73" xfId="267" xr:uid="{00000000-0005-0000-0000-0000F3000000}"/>
    <cellStyle name="Currency 74" xfId="268" xr:uid="{00000000-0005-0000-0000-0000F4000000}"/>
    <cellStyle name="Currency 75" xfId="269" xr:uid="{00000000-0005-0000-0000-0000F5000000}"/>
    <cellStyle name="Currency 76" xfId="270" xr:uid="{00000000-0005-0000-0000-0000F6000000}"/>
    <cellStyle name="Currency 77" xfId="271" xr:uid="{00000000-0005-0000-0000-0000F7000000}"/>
    <cellStyle name="Currency 78" xfId="272" xr:uid="{00000000-0005-0000-0000-0000F8000000}"/>
    <cellStyle name="Currency 79" xfId="273" xr:uid="{00000000-0005-0000-0000-0000F9000000}"/>
    <cellStyle name="Currency 8" xfId="274" xr:uid="{00000000-0005-0000-0000-0000FA000000}"/>
    <cellStyle name="Currency 80" xfId="275" xr:uid="{00000000-0005-0000-0000-0000FB000000}"/>
    <cellStyle name="Currency 81" xfId="276" xr:uid="{00000000-0005-0000-0000-0000FC000000}"/>
    <cellStyle name="Currency 82" xfId="277" xr:uid="{00000000-0005-0000-0000-0000FD000000}"/>
    <cellStyle name="Currency 83" xfId="278" xr:uid="{00000000-0005-0000-0000-0000FE000000}"/>
    <cellStyle name="Currency 84" xfId="279" xr:uid="{00000000-0005-0000-0000-0000FF000000}"/>
    <cellStyle name="Currency 85" xfId="280" xr:uid="{00000000-0005-0000-0000-000000010000}"/>
    <cellStyle name="Currency 86" xfId="281" xr:uid="{00000000-0005-0000-0000-000001010000}"/>
    <cellStyle name="Currency 87" xfId="282" xr:uid="{00000000-0005-0000-0000-000002010000}"/>
    <cellStyle name="Currency 88" xfId="283" xr:uid="{00000000-0005-0000-0000-000003010000}"/>
    <cellStyle name="Currency 89" xfId="284" xr:uid="{00000000-0005-0000-0000-000004010000}"/>
    <cellStyle name="Currency 9" xfId="285" xr:uid="{00000000-0005-0000-0000-000005010000}"/>
    <cellStyle name="Currency 90" xfId="286" xr:uid="{00000000-0005-0000-0000-000006010000}"/>
    <cellStyle name="Currency 91" xfId="287" xr:uid="{00000000-0005-0000-0000-000007010000}"/>
    <cellStyle name="Currency 92" xfId="288" xr:uid="{00000000-0005-0000-0000-000008010000}"/>
    <cellStyle name="Currency 93" xfId="289" xr:uid="{00000000-0005-0000-0000-000009010000}"/>
    <cellStyle name="Currency 94" xfId="290" xr:uid="{00000000-0005-0000-0000-00000A010000}"/>
    <cellStyle name="Currency 95" xfId="291" xr:uid="{00000000-0005-0000-0000-00000B010000}"/>
    <cellStyle name="Currency 95 2" xfId="292" xr:uid="{00000000-0005-0000-0000-00000C010000}"/>
    <cellStyle name="Currency 96" xfId="293" xr:uid="{00000000-0005-0000-0000-00000D010000}"/>
    <cellStyle name="Currency 97" xfId="294" xr:uid="{00000000-0005-0000-0000-00000E010000}"/>
    <cellStyle name="Currency 98" xfId="295" xr:uid="{00000000-0005-0000-0000-00000F010000}"/>
    <cellStyle name="Currency 99" xfId="296" xr:uid="{00000000-0005-0000-0000-000010010000}"/>
    <cellStyle name="Currency_2008_05_03_MCHIP_Jhpiego_Field_Budget_v16" xfId="32" xr:uid="{00000000-0005-0000-0000-000011010000}"/>
    <cellStyle name="Currency_4.11 Final JHP Senegal_MCH" xfId="13" xr:uid="{00000000-0005-0000-0000-000012010000}"/>
    <cellStyle name="Currency0" xfId="14" xr:uid="{00000000-0005-0000-0000-000013010000}"/>
    <cellStyle name="Date" xfId="15" xr:uid="{00000000-0005-0000-0000-000014010000}"/>
    <cellStyle name="Euro" xfId="34" xr:uid="{00000000-0005-0000-0000-000017010000}"/>
    <cellStyle name="Explanatory Text 2" xfId="297" xr:uid="{00000000-0005-0000-0000-000018010000}"/>
    <cellStyle name="Fixed" xfId="16" xr:uid="{00000000-0005-0000-0000-000019010000}"/>
    <cellStyle name="Good 2" xfId="298" xr:uid="{00000000-0005-0000-0000-00001A010000}"/>
    <cellStyle name="Heading 1" xfId="17" builtinId="16" customBuiltin="1"/>
    <cellStyle name="Heading 1 2" xfId="299" xr:uid="{00000000-0005-0000-0000-00001B010000}"/>
    <cellStyle name="Heading 2" xfId="18" builtinId="17" customBuiltin="1"/>
    <cellStyle name="Heading 2 2" xfId="300" xr:uid="{00000000-0005-0000-0000-00001C010000}"/>
    <cellStyle name="Heading 3 2" xfId="301" xr:uid="{00000000-0005-0000-0000-00001D010000}"/>
    <cellStyle name="Heading 4 2" xfId="302" xr:uid="{00000000-0005-0000-0000-00001E010000}"/>
    <cellStyle name="Hyperlink" xfId="19" builtinId="8"/>
    <cellStyle name="Input" xfId="27" builtinId="20" customBuiltin="1"/>
    <cellStyle name="Input 2" xfId="303" xr:uid="{00000000-0005-0000-0000-000020010000}"/>
    <cellStyle name="Linked Cell 2" xfId="304" xr:uid="{00000000-0005-0000-0000-000021010000}"/>
    <cellStyle name="Millares 2" xfId="305" xr:uid="{00000000-0005-0000-0000-000023010000}"/>
    <cellStyle name="Millares 3" xfId="306" xr:uid="{00000000-0005-0000-0000-000024010000}"/>
    <cellStyle name="Neutral 2" xfId="307" xr:uid="{00000000-0005-0000-0000-000026010000}"/>
    <cellStyle name="Normal" xfId="0" builtinId="0"/>
    <cellStyle name="Normal 2" xfId="20" xr:uid="{00000000-0005-0000-0000-000028010000}"/>
    <cellStyle name="Normal 2 2" xfId="309" xr:uid="{00000000-0005-0000-0000-000029010000}"/>
    <cellStyle name="Normal 2 2 2" xfId="336" xr:uid="{00000000-0005-0000-0000-00002A010000}"/>
    <cellStyle name="Normal 2 3" xfId="310" xr:uid="{00000000-0005-0000-0000-00002B010000}"/>
    <cellStyle name="Normal 2 4" xfId="311" xr:uid="{00000000-0005-0000-0000-00002C010000}"/>
    <cellStyle name="Normal 2 5" xfId="308" xr:uid="{00000000-0005-0000-0000-00002D010000}"/>
    <cellStyle name="Normal 3" xfId="35" xr:uid="{00000000-0005-0000-0000-00002E010000}"/>
    <cellStyle name="Normal 3 2" xfId="313" xr:uid="{00000000-0005-0000-0000-00002F010000}"/>
    <cellStyle name="Normal 3 3" xfId="312" xr:uid="{00000000-0005-0000-0000-000030010000}"/>
    <cellStyle name="Normal 4" xfId="36" xr:uid="{00000000-0005-0000-0000-000031010000}"/>
    <cellStyle name="Normal 4 2" xfId="315" xr:uid="{00000000-0005-0000-0000-000032010000}"/>
    <cellStyle name="Normal 4 3" xfId="314" xr:uid="{00000000-0005-0000-0000-000033010000}"/>
    <cellStyle name="Normal 5" xfId="316" xr:uid="{00000000-0005-0000-0000-000034010000}"/>
    <cellStyle name="Normal 6" xfId="317" xr:uid="{00000000-0005-0000-0000-000035010000}"/>
    <cellStyle name="Normal 7" xfId="41" xr:uid="{00000000-0005-0000-0000-000036010000}"/>
    <cellStyle name="Normal 8" xfId="39" xr:uid="{00000000-0005-0000-0000-000037010000}"/>
    <cellStyle name="Normal 9" xfId="42" xr:uid="{00000000-0005-0000-0000-000038010000}"/>
    <cellStyle name="Normal_2008_05_03_MCHIP_Jhpiego_Field_Budget_v16" xfId="31" xr:uid="{00000000-0005-0000-0000-000039010000}"/>
    <cellStyle name="Normal_4.11 Final JHP Senegal_MCH" xfId="21" xr:uid="{00000000-0005-0000-0000-00003A010000}"/>
    <cellStyle name="Normal_4.11 Final JHP Senegal_MCH 2" xfId="28" xr:uid="{00000000-0005-0000-0000-00003B010000}"/>
    <cellStyle name="Normal_NWP RSA cervical cancer draft budget_092806" xfId="22" xr:uid="{00000000-0005-0000-0000-00003C010000}"/>
    <cellStyle name="Note 2" xfId="318" xr:uid="{00000000-0005-0000-0000-00003D010000}"/>
    <cellStyle name="Output 2" xfId="319" xr:uid="{00000000-0005-0000-0000-00003E010000}"/>
    <cellStyle name="Percent" xfId="23" builtinId="5"/>
    <cellStyle name="Percent 2" xfId="24" xr:uid="{00000000-0005-0000-0000-00003F010000}"/>
    <cellStyle name="Percent 2 2" xfId="321" xr:uid="{00000000-0005-0000-0000-000040010000}"/>
    <cellStyle name="Percent 2 3" xfId="322" xr:uid="{00000000-0005-0000-0000-000041010000}"/>
    <cellStyle name="Percent 2 4" xfId="320" xr:uid="{00000000-0005-0000-0000-000042010000}"/>
    <cellStyle name="Percent 3" xfId="30" xr:uid="{00000000-0005-0000-0000-000043010000}"/>
    <cellStyle name="Percent 3 2" xfId="324" xr:uid="{00000000-0005-0000-0000-000044010000}"/>
    <cellStyle name="Percent 3 3" xfId="323" xr:uid="{00000000-0005-0000-0000-000045010000}"/>
    <cellStyle name="Percent 4" xfId="33" xr:uid="{00000000-0005-0000-0000-000046010000}"/>
    <cellStyle name="Percent 4 2" xfId="326" xr:uid="{00000000-0005-0000-0000-000047010000}"/>
    <cellStyle name="Percent 4 3" xfId="325" xr:uid="{00000000-0005-0000-0000-000048010000}"/>
    <cellStyle name="Percent 5" xfId="37" xr:uid="{00000000-0005-0000-0000-000049010000}"/>
    <cellStyle name="Percent 6" xfId="327" xr:uid="{00000000-0005-0000-0000-00004A010000}"/>
    <cellStyle name="Percent 6 2" xfId="328" xr:uid="{00000000-0005-0000-0000-00004B010000}"/>
    <cellStyle name="Percent 6 3" xfId="329" xr:uid="{00000000-0005-0000-0000-00004C010000}"/>
    <cellStyle name="Percent 7" xfId="334" xr:uid="{00000000-0005-0000-0000-00004D010000}"/>
    <cellStyle name="Style 1" xfId="25" xr:uid="{00000000-0005-0000-0000-00004F010000}"/>
    <cellStyle name="Title 2" xfId="330" xr:uid="{00000000-0005-0000-0000-000050010000}"/>
    <cellStyle name="Total" xfId="26" builtinId="25" customBuiltin="1"/>
    <cellStyle name="Total 2" xfId="331" xr:uid="{00000000-0005-0000-0000-000053010000}"/>
    <cellStyle name="Warning Text 2" xfId="332" xr:uid="{00000000-0005-0000-0000-000054010000}"/>
  </cellStyles>
  <dxfs count="12">
    <dxf>
      <font>
        <color theme="8" tint="0.59996337778862885"/>
      </font>
    </dxf>
    <dxf>
      <font>
        <color theme="8" tint="0.59996337778862885"/>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b/>
        <i val="0"/>
        <strike val="0"/>
        <condense val="0"/>
        <extend val="0"/>
        <outline val="0"/>
        <shadow val="0"/>
        <u val="none"/>
        <vertAlign val="baseline"/>
        <sz val="10"/>
        <color auto="1"/>
        <name val="Arial"/>
        <scheme val="none"/>
      </font>
    </dxf>
    <dxf>
      <fill>
        <patternFill patternType="none">
          <fgColor indexed="64"/>
          <bgColor indexed="65"/>
        </patternFill>
      </fill>
    </dxf>
    <dxf>
      <border outline="0">
        <top style="medium">
          <color indexed="64"/>
        </top>
      </border>
    </dxf>
    <dxf>
      <fill>
        <patternFill patternType="none">
          <fgColor indexed="64"/>
          <bgColor indexed="65"/>
        </patternFill>
      </fill>
    </dxf>
    <dxf>
      <font>
        <b/>
        <i val="0"/>
        <strike val="0"/>
        <condense val="0"/>
        <extend val="0"/>
        <outline val="0"/>
        <shadow val="0"/>
        <u val="none"/>
        <vertAlign val="baseline"/>
        <sz val="10"/>
        <color auto="1"/>
        <name val="Arial"/>
        <scheme val="none"/>
      </font>
      <fill>
        <patternFill patternType="none">
          <fgColor indexed="64"/>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9525</xdr:rowOff>
    </xdr:from>
    <xdr:to>
      <xdr:col>2</xdr:col>
      <xdr:colOff>95250</xdr:colOff>
      <xdr:row>2</xdr:row>
      <xdr:rowOff>133350</xdr:rowOff>
    </xdr:to>
    <xdr:pic>
      <xdr:nvPicPr>
        <xdr:cNvPr id="4" name="Picture 3">
          <a:extLst>
            <a:ext uri="{FF2B5EF4-FFF2-40B4-BE49-F238E27FC236}">
              <a16:creationId xmlns:a16="http://schemas.microsoft.com/office/drawing/2014/main" id="{0C763794-7D98-4D26-AA5A-978BF7BEFE95}"/>
            </a:ext>
            <a:ext uri="{147F2762-F138-4A5C-976F-8EAC2B608ADB}">
              <a16:predDERef xmlns:a16="http://schemas.microsoft.com/office/drawing/2014/main" pred="{B90B4D6E-4CBE-4F9D-AAC4-DC12346E252E}"/>
            </a:ext>
          </a:extLst>
        </xdr:cNvPr>
        <xdr:cNvPicPr>
          <a:picLocks noChangeAspect="1"/>
        </xdr:cNvPicPr>
      </xdr:nvPicPr>
      <xdr:blipFill>
        <a:blip xmlns:r="http://schemas.openxmlformats.org/officeDocument/2006/relationships" r:embed="rId1"/>
        <a:stretch>
          <a:fillRect/>
        </a:stretch>
      </xdr:blipFill>
      <xdr:spPr>
        <a:xfrm>
          <a:off x="85725" y="9525"/>
          <a:ext cx="2400300"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200025</xdr:colOff>
      <xdr:row>0</xdr:row>
      <xdr:rowOff>0</xdr:rowOff>
    </xdr:from>
    <xdr:to>
      <xdr:col>2</xdr:col>
      <xdr:colOff>1362075</xdr:colOff>
      <xdr:row>3</xdr:row>
      <xdr:rowOff>47625</xdr:rowOff>
    </xdr:to>
    <xdr:pic>
      <xdr:nvPicPr>
        <xdr:cNvPr id="2" name="Picture 1">
          <a:extLst>
            <a:ext uri="{FF2B5EF4-FFF2-40B4-BE49-F238E27FC236}">
              <a16:creationId xmlns:a16="http://schemas.microsoft.com/office/drawing/2014/main" id="{21EAE048-00C9-454A-8732-A41A2A2CFC57}"/>
            </a:ext>
            <a:ext uri="{147F2762-F138-4A5C-976F-8EAC2B608ADB}">
              <a16:predDERef xmlns:a16="http://schemas.microsoft.com/office/drawing/2014/main" pred="{4F63015C-4D61-4CDE-BF4A-3070F7D166C6}"/>
            </a:ext>
          </a:extLst>
        </xdr:cNvPr>
        <xdr:cNvPicPr>
          <a:picLocks noChangeAspect="1"/>
        </xdr:cNvPicPr>
      </xdr:nvPicPr>
      <xdr:blipFill>
        <a:blip xmlns:r="http://schemas.openxmlformats.org/officeDocument/2006/relationships" r:embed="rId1"/>
        <a:stretch>
          <a:fillRect/>
        </a:stretch>
      </xdr:blipFill>
      <xdr:spPr>
        <a:xfrm>
          <a:off x="200025" y="0"/>
          <a:ext cx="2400300"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2</xdr:col>
      <xdr:colOff>180975</xdr:colOff>
      <xdr:row>3</xdr:row>
      <xdr:rowOff>47625</xdr:rowOff>
    </xdr:to>
    <xdr:pic>
      <xdr:nvPicPr>
        <xdr:cNvPr id="4" name="Picture 3">
          <a:extLst>
            <a:ext uri="{FF2B5EF4-FFF2-40B4-BE49-F238E27FC236}">
              <a16:creationId xmlns:a16="http://schemas.microsoft.com/office/drawing/2014/main" id="{0870090D-7350-4F6D-AFBD-1B15F383399B}"/>
            </a:ext>
            <a:ext uri="{147F2762-F138-4A5C-976F-8EAC2B608ADB}">
              <a16:predDERef xmlns:a16="http://schemas.microsoft.com/office/drawing/2014/main" pred="{B90030AB-BADF-4B7E-881D-65AC92E9A3D9}"/>
            </a:ext>
          </a:extLst>
        </xdr:cNvPr>
        <xdr:cNvPicPr>
          <a:picLocks noChangeAspect="1"/>
        </xdr:cNvPicPr>
      </xdr:nvPicPr>
      <xdr:blipFill>
        <a:blip xmlns:r="http://schemas.openxmlformats.org/officeDocument/2006/relationships" r:embed="rId1"/>
        <a:stretch>
          <a:fillRect/>
        </a:stretch>
      </xdr:blipFill>
      <xdr:spPr>
        <a:xfrm>
          <a:off x="95250" y="0"/>
          <a:ext cx="2400300" cy="647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0</xdr:col>
      <xdr:colOff>2543175</xdr:colOff>
      <xdr:row>3</xdr:row>
      <xdr:rowOff>142875</xdr:rowOff>
    </xdr:to>
    <xdr:pic>
      <xdr:nvPicPr>
        <xdr:cNvPr id="4" name="Picture 3">
          <a:extLst>
            <a:ext uri="{FF2B5EF4-FFF2-40B4-BE49-F238E27FC236}">
              <a16:creationId xmlns:a16="http://schemas.microsoft.com/office/drawing/2014/main" id="{53351486-5789-49EB-8F18-DDDF62E189B0}"/>
            </a:ext>
            <a:ext uri="{147F2762-F138-4A5C-976F-8EAC2B608ADB}">
              <a16:predDERef xmlns:a16="http://schemas.microsoft.com/office/drawing/2014/main" pred="{AC8F2DE2-D3D9-4F9D-9F86-CC6C2F5EA869}"/>
            </a:ext>
          </a:extLst>
        </xdr:cNvPr>
        <xdr:cNvPicPr>
          <a:picLocks noChangeAspect="1"/>
        </xdr:cNvPicPr>
      </xdr:nvPicPr>
      <xdr:blipFill>
        <a:blip xmlns:r="http://schemas.openxmlformats.org/officeDocument/2006/relationships" r:embed="rId1"/>
        <a:stretch>
          <a:fillRect/>
        </a:stretch>
      </xdr:blipFill>
      <xdr:spPr>
        <a:xfrm>
          <a:off x="142875" y="0"/>
          <a:ext cx="2400300"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390525</xdr:colOff>
      <xdr:row>0</xdr:row>
      <xdr:rowOff>19050</xdr:rowOff>
    </xdr:from>
    <xdr:to>
      <xdr:col>0</xdr:col>
      <xdr:colOff>2790825</xdr:colOff>
      <xdr:row>4</xdr:row>
      <xdr:rowOff>19050</xdr:rowOff>
    </xdr:to>
    <xdr:pic>
      <xdr:nvPicPr>
        <xdr:cNvPr id="2" name="Picture 1">
          <a:extLst>
            <a:ext uri="{FF2B5EF4-FFF2-40B4-BE49-F238E27FC236}">
              <a16:creationId xmlns:a16="http://schemas.microsoft.com/office/drawing/2014/main" id="{9E5EBC14-E735-4617-A2D4-52DF87402D25}"/>
            </a:ext>
            <a:ext uri="{147F2762-F138-4A5C-976F-8EAC2B608ADB}">
              <a16:predDERef xmlns:a16="http://schemas.microsoft.com/office/drawing/2014/main" pred="{09117A68-94B1-4F15-88ED-A6CF3353C133}"/>
            </a:ext>
          </a:extLst>
        </xdr:cNvPr>
        <xdr:cNvPicPr>
          <a:picLocks noChangeAspect="1"/>
        </xdr:cNvPicPr>
      </xdr:nvPicPr>
      <xdr:blipFill>
        <a:blip xmlns:r="http://schemas.openxmlformats.org/officeDocument/2006/relationships" r:embed="rId1"/>
        <a:stretch>
          <a:fillRect/>
        </a:stretch>
      </xdr:blipFill>
      <xdr:spPr>
        <a:xfrm>
          <a:off x="390525" y="19050"/>
          <a:ext cx="2400300"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4</xdr:col>
      <xdr:colOff>2400300</xdr:colOff>
      <xdr:row>3</xdr:row>
      <xdr:rowOff>57150</xdr:rowOff>
    </xdr:to>
    <xdr:pic>
      <xdr:nvPicPr>
        <xdr:cNvPr id="2" name="Picture 1">
          <a:extLst>
            <a:ext uri="{FF2B5EF4-FFF2-40B4-BE49-F238E27FC236}">
              <a16:creationId xmlns:a16="http://schemas.microsoft.com/office/drawing/2014/main" id="{1E623D1C-8F80-4235-A4DC-300E60A52CA8}"/>
            </a:ext>
            <a:ext uri="{147F2762-F138-4A5C-976F-8EAC2B608ADB}">
              <a16:predDERef xmlns:a16="http://schemas.microsoft.com/office/drawing/2014/main" pred="{E1BF8655-7321-491A-A129-352D3CDEC0D6}"/>
            </a:ext>
          </a:extLst>
        </xdr:cNvPr>
        <xdr:cNvPicPr>
          <a:picLocks noChangeAspect="1"/>
        </xdr:cNvPicPr>
      </xdr:nvPicPr>
      <xdr:blipFill>
        <a:blip xmlns:r="http://schemas.openxmlformats.org/officeDocument/2006/relationships" r:embed="rId1"/>
        <a:stretch>
          <a:fillRect/>
        </a:stretch>
      </xdr:blipFill>
      <xdr:spPr>
        <a:xfrm>
          <a:off x="0" y="0"/>
          <a:ext cx="2400300" cy="6572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276225</xdr:colOff>
      <xdr:row>0</xdr:row>
      <xdr:rowOff>47625</xdr:rowOff>
    </xdr:from>
    <xdr:to>
      <xdr:col>0</xdr:col>
      <xdr:colOff>2676525</xdr:colOff>
      <xdr:row>3</xdr:row>
      <xdr:rowOff>85725</xdr:rowOff>
    </xdr:to>
    <xdr:pic>
      <xdr:nvPicPr>
        <xdr:cNvPr id="2" name="Picture 1">
          <a:extLst>
            <a:ext uri="{FF2B5EF4-FFF2-40B4-BE49-F238E27FC236}">
              <a16:creationId xmlns:a16="http://schemas.microsoft.com/office/drawing/2014/main" id="{BAC6E523-7C24-4D64-AEF9-76DDA917C97D}"/>
            </a:ext>
            <a:ext uri="{147F2762-F138-4A5C-976F-8EAC2B608ADB}">
              <a16:predDERef xmlns:a16="http://schemas.microsoft.com/office/drawing/2014/main" pred="{57F874ED-9C95-4BAC-843D-89AA6C73A2CE}"/>
            </a:ext>
          </a:extLst>
        </xdr:cNvPr>
        <xdr:cNvPicPr>
          <a:picLocks noChangeAspect="1"/>
        </xdr:cNvPicPr>
      </xdr:nvPicPr>
      <xdr:blipFill>
        <a:blip xmlns:r="http://schemas.openxmlformats.org/officeDocument/2006/relationships" r:embed="rId1"/>
        <a:stretch>
          <a:fillRect/>
        </a:stretch>
      </xdr:blipFill>
      <xdr:spPr>
        <a:xfrm>
          <a:off x="276225" y="47625"/>
          <a:ext cx="2400300" cy="6381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76200</xdr:colOff>
      <xdr:row>4</xdr:row>
      <xdr:rowOff>66675</xdr:rowOff>
    </xdr:from>
    <xdr:to>
      <xdr:col>0</xdr:col>
      <xdr:colOff>247650</xdr:colOff>
      <xdr:row>4</xdr:row>
      <xdr:rowOff>219075</xdr:rowOff>
    </xdr:to>
    <xdr:sp macro="" textlink="">
      <xdr:nvSpPr>
        <xdr:cNvPr id="15704" name="Text Box 9">
          <a:extLst>
            <a:ext uri="{FF2B5EF4-FFF2-40B4-BE49-F238E27FC236}">
              <a16:creationId xmlns:a16="http://schemas.microsoft.com/office/drawing/2014/main" id="{00000000-0008-0000-1100-0000583D0000}"/>
            </a:ext>
          </a:extLst>
        </xdr:cNvPr>
        <xdr:cNvSpPr txBox="1">
          <a:spLocks noChangeArrowheads="1"/>
        </xdr:cNvSpPr>
      </xdr:nvSpPr>
      <xdr:spPr bwMode="auto">
        <a:xfrm>
          <a:off x="76200" y="8667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4</xdr:row>
      <xdr:rowOff>66675</xdr:rowOff>
    </xdr:from>
    <xdr:to>
      <xdr:col>3</xdr:col>
      <xdr:colOff>247650</xdr:colOff>
      <xdr:row>4</xdr:row>
      <xdr:rowOff>219075</xdr:rowOff>
    </xdr:to>
    <xdr:sp macro="" textlink="">
      <xdr:nvSpPr>
        <xdr:cNvPr id="15705" name="Text Box 10">
          <a:extLst>
            <a:ext uri="{FF2B5EF4-FFF2-40B4-BE49-F238E27FC236}">
              <a16:creationId xmlns:a16="http://schemas.microsoft.com/office/drawing/2014/main" id="{00000000-0008-0000-1100-0000593D0000}"/>
            </a:ext>
          </a:extLst>
        </xdr:cNvPr>
        <xdr:cNvSpPr txBox="1">
          <a:spLocks noChangeArrowheads="1"/>
        </xdr:cNvSpPr>
      </xdr:nvSpPr>
      <xdr:spPr bwMode="auto">
        <a:xfrm>
          <a:off x="2619375" y="86677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5</xdr:row>
      <xdr:rowOff>66675</xdr:rowOff>
    </xdr:from>
    <xdr:to>
      <xdr:col>0</xdr:col>
      <xdr:colOff>247650</xdr:colOff>
      <xdr:row>5</xdr:row>
      <xdr:rowOff>219075</xdr:rowOff>
    </xdr:to>
    <xdr:sp macro="" textlink="">
      <xdr:nvSpPr>
        <xdr:cNvPr id="15706" name="Text Box 11">
          <a:extLst>
            <a:ext uri="{FF2B5EF4-FFF2-40B4-BE49-F238E27FC236}">
              <a16:creationId xmlns:a16="http://schemas.microsoft.com/office/drawing/2014/main" id="{00000000-0008-0000-1100-00005A3D0000}"/>
            </a:ext>
          </a:extLst>
        </xdr:cNvPr>
        <xdr:cNvSpPr txBox="1">
          <a:spLocks noChangeArrowheads="1"/>
        </xdr:cNvSpPr>
      </xdr:nvSpPr>
      <xdr:spPr bwMode="auto">
        <a:xfrm>
          <a:off x="76200" y="115252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6</xdr:row>
      <xdr:rowOff>66675</xdr:rowOff>
    </xdr:from>
    <xdr:to>
      <xdr:col>0</xdr:col>
      <xdr:colOff>247650</xdr:colOff>
      <xdr:row>6</xdr:row>
      <xdr:rowOff>219075</xdr:rowOff>
    </xdr:to>
    <xdr:sp macro="" textlink="">
      <xdr:nvSpPr>
        <xdr:cNvPr id="15707" name="Text Box 12">
          <a:extLst>
            <a:ext uri="{FF2B5EF4-FFF2-40B4-BE49-F238E27FC236}">
              <a16:creationId xmlns:a16="http://schemas.microsoft.com/office/drawing/2014/main" id="{00000000-0008-0000-1100-00005B3D0000}"/>
            </a:ext>
          </a:extLst>
        </xdr:cNvPr>
        <xdr:cNvSpPr txBox="1">
          <a:spLocks noChangeArrowheads="1"/>
        </xdr:cNvSpPr>
      </xdr:nvSpPr>
      <xdr:spPr bwMode="auto">
        <a:xfrm>
          <a:off x="76200"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5</xdr:row>
      <xdr:rowOff>66675</xdr:rowOff>
    </xdr:from>
    <xdr:to>
      <xdr:col>3</xdr:col>
      <xdr:colOff>247650</xdr:colOff>
      <xdr:row>5</xdr:row>
      <xdr:rowOff>219075</xdr:rowOff>
    </xdr:to>
    <xdr:sp macro="" textlink="">
      <xdr:nvSpPr>
        <xdr:cNvPr id="15708" name="Text Box 13">
          <a:extLst>
            <a:ext uri="{FF2B5EF4-FFF2-40B4-BE49-F238E27FC236}">
              <a16:creationId xmlns:a16="http://schemas.microsoft.com/office/drawing/2014/main" id="{00000000-0008-0000-1100-00005C3D0000}"/>
            </a:ext>
          </a:extLst>
        </xdr:cNvPr>
        <xdr:cNvSpPr txBox="1">
          <a:spLocks noChangeArrowheads="1"/>
        </xdr:cNvSpPr>
      </xdr:nvSpPr>
      <xdr:spPr bwMode="auto">
        <a:xfrm>
          <a:off x="2619375" y="115252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6</xdr:row>
      <xdr:rowOff>66675</xdr:rowOff>
    </xdr:from>
    <xdr:to>
      <xdr:col>3</xdr:col>
      <xdr:colOff>247650</xdr:colOff>
      <xdr:row>6</xdr:row>
      <xdr:rowOff>219075</xdr:rowOff>
    </xdr:to>
    <xdr:sp macro="" textlink="">
      <xdr:nvSpPr>
        <xdr:cNvPr id="15709" name="Text Box 14">
          <a:extLst>
            <a:ext uri="{FF2B5EF4-FFF2-40B4-BE49-F238E27FC236}">
              <a16:creationId xmlns:a16="http://schemas.microsoft.com/office/drawing/2014/main" id="{00000000-0008-0000-1100-00005D3D0000}"/>
            </a:ext>
          </a:extLst>
        </xdr:cNvPr>
        <xdr:cNvSpPr txBox="1">
          <a:spLocks noChangeArrowheads="1"/>
        </xdr:cNvSpPr>
      </xdr:nvSpPr>
      <xdr:spPr bwMode="auto">
        <a:xfrm>
          <a:off x="2619375"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4</xdr:row>
      <xdr:rowOff>66675</xdr:rowOff>
    </xdr:from>
    <xdr:to>
      <xdr:col>0</xdr:col>
      <xdr:colOff>247650</xdr:colOff>
      <xdr:row>4</xdr:row>
      <xdr:rowOff>219075</xdr:rowOff>
    </xdr:to>
    <xdr:sp macro="" textlink="">
      <xdr:nvSpPr>
        <xdr:cNvPr id="15710" name="Text Box 15">
          <a:extLst>
            <a:ext uri="{FF2B5EF4-FFF2-40B4-BE49-F238E27FC236}">
              <a16:creationId xmlns:a16="http://schemas.microsoft.com/office/drawing/2014/main" id="{00000000-0008-0000-1100-00005E3D0000}"/>
            </a:ext>
          </a:extLst>
        </xdr:cNvPr>
        <xdr:cNvSpPr txBox="1">
          <a:spLocks noChangeArrowheads="1"/>
        </xdr:cNvSpPr>
      </xdr:nvSpPr>
      <xdr:spPr bwMode="auto">
        <a:xfrm>
          <a:off x="76200" y="8667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4</xdr:row>
      <xdr:rowOff>66675</xdr:rowOff>
    </xdr:from>
    <xdr:to>
      <xdr:col>3</xdr:col>
      <xdr:colOff>247650</xdr:colOff>
      <xdr:row>4</xdr:row>
      <xdr:rowOff>219075</xdr:rowOff>
    </xdr:to>
    <xdr:sp macro="" textlink="">
      <xdr:nvSpPr>
        <xdr:cNvPr id="15376" name="Text Box 16">
          <a:extLst>
            <a:ext uri="{FF2B5EF4-FFF2-40B4-BE49-F238E27FC236}">
              <a16:creationId xmlns:a16="http://schemas.microsoft.com/office/drawing/2014/main" id="{00000000-0008-0000-1100-0000103C0000}"/>
            </a:ext>
          </a:extLst>
        </xdr:cNvPr>
        <xdr:cNvSpPr txBox="1">
          <a:spLocks noChangeArrowheads="1"/>
        </xdr:cNvSpPr>
      </xdr:nvSpPr>
      <xdr:spPr bwMode="auto">
        <a:xfrm>
          <a:off x="2619375" y="8667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5</xdr:row>
      <xdr:rowOff>66675</xdr:rowOff>
    </xdr:from>
    <xdr:to>
      <xdr:col>0</xdr:col>
      <xdr:colOff>247650</xdr:colOff>
      <xdr:row>5</xdr:row>
      <xdr:rowOff>219075</xdr:rowOff>
    </xdr:to>
    <xdr:sp macro="" textlink="">
      <xdr:nvSpPr>
        <xdr:cNvPr id="15377" name="Text Box 17">
          <a:extLst>
            <a:ext uri="{FF2B5EF4-FFF2-40B4-BE49-F238E27FC236}">
              <a16:creationId xmlns:a16="http://schemas.microsoft.com/office/drawing/2014/main" id="{00000000-0008-0000-1100-0000113C0000}"/>
            </a:ext>
          </a:extLst>
        </xdr:cNvPr>
        <xdr:cNvSpPr txBox="1">
          <a:spLocks noChangeArrowheads="1"/>
        </xdr:cNvSpPr>
      </xdr:nvSpPr>
      <xdr:spPr bwMode="auto">
        <a:xfrm>
          <a:off x="76200" y="115252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6</xdr:row>
      <xdr:rowOff>66675</xdr:rowOff>
    </xdr:from>
    <xdr:to>
      <xdr:col>0</xdr:col>
      <xdr:colOff>247650</xdr:colOff>
      <xdr:row>6</xdr:row>
      <xdr:rowOff>219075</xdr:rowOff>
    </xdr:to>
    <xdr:sp macro="" textlink="">
      <xdr:nvSpPr>
        <xdr:cNvPr id="15713" name="Text Box 18">
          <a:extLst>
            <a:ext uri="{FF2B5EF4-FFF2-40B4-BE49-F238E27FC236}">
              <a16:creationId xmlns:a16="http://schemas.microsoft.com/office/drawing/2014/main" id="{00000000-0008-0000-1100-0000613D0000}"/>
            </a:ext>
          </a:extLst>
        </xdr:cNvPr>
        <xdr:cNvSpPr txBox="1">
          <a:spLocks noChangeArrowheads="1"/>
        </xdr:cNvSpPr>
      </xdr:nvSpPr>
      <xdr:spPr bwMode="auto">
        <a:xfrm>
          <a:off x="76200"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5</xdr:row>
      <xdr:rowOff>66675</xdr:rowOff>
    </xdr:from>
    <xdr:to>
      <xdr:col>3</xdr:col>
      <xdr:colOff>247650</xdr:colOff>
      <xdr:row>5</xdr:row>
      <xdr:rowOff>219075</xdr:rowOff>
    </xdr:to>
    <xdr:sp macro="" textlink="">
      <xdr:nvSpPr>
        <xdr:cNvPr id="15714" name="Text Box 19">
          <a:extLst>
            <a:ext uri="{FF2B5EF4-FFF2-40B4-BE49-F238E27FC236}">
              <a16:creationId xmlns:a16="http://schemas.microsoft.com/office/drawing/2014/main" id="{00000000-0008-0000-1100-0000623D0000}"/>
            </a:ext>
          </a:extLst>
        </xdr:cNvPr>
        <xdr:cNvSpPr txBox="1">
          <a:spLocks noChangeArrowheads="1"/>
        </xdr:cNvSpPr>
      </xdr:nvSpPr>
      <xdr:spPr bwMode="auto">
        <a:xfrm>
          <a:off x="2619375" y="115252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6</xdr:row>
      <xdr:rowOff>66675</xdr:rowOff>
    </xdr:from>
    <xdr:to>
      <xdr:col>3</xdr:col>
      <xdr:colOff>247650</xdr:colOff>
      <xdr:row>6</xdr:row>
      <xdr:rowOff>219075</xdr:rowOff>
    </xdr:to>
    <xdr:sp macro="" textlink="">
      <xdr:nvSpPr>
        <xdr:cNvPr id="15715" name="Text Box 20">
          <a:extLst>
            <a:ext uri="{FF2B5EF4-FFF2-40B4-BE49-F238E27FC236}">
              <a16:creationId xmlns:a16="http://schemas.microsoft.com/office/drawing/2014/main" id="{00000000-0008-0000-1100-0000633D0000}"/>
            </a:ext>
          </a:extLst>
        </xdr:cNvPr>
        <xdr:cNvSpPr txBox="1">
          <a:spLocks noChangeArrowheads="1"/>
        </xdr:cNvSpPr>
      </xdr:nvSpPr>
      <xdr:spPr bwMode="auto">
        <a:xfrm>
          <a:off x="2619375"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124</xdr:row>
      <xdr:rowOff>57150</xdr:rowOff>
    </xdr:from>
    <xdr:to>
      <xdr:col>0</xdr:col>
      <xdr:colOff>247650</xdr:colOff>
      <xdr:row>124</xdr:row>
      <xdr:rowOff>209550</xdr:rowOff>
    </xdr:to>
    <xdr:sp macro="" textlink="">
      <xdr:nvSpPr>
        <xdr:cNvPr id="15716" name="Text Box 32">
          <a:extLst>
            <a:ext uri="{FF2B5EF4-FFF2-40B4-BE49-F238E27FC236}">
              <a16:creationId xmlns:a16="http://schemas.microsoft.com/office/drawing/2014/main" id="{00000000-0008-0000-1100-0000643D0000}"/>
            </a:ext>
          </a:extLst>
        </xdr:cNvPr>
        <xdr:cNvSpPr txBox="1">
          <a:spLocks noChangeArrowheads="1"/>
        </xdr:cNvSpPr>
      </xdr:nvSpPr>
      <xdr:spPr bwMode="auto">
        <a:xfrm>
          <a:off x="76200" y="2424112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125</xdr:row>
      <xdr:rowOff>57150</xdr:rowOff>
    </xdr:from>
    <xdr:to>
      <xdr:col>0</xdr:col>
      <xdr:colOff>247650</xdr:colOff>
      <xdr:row>125</xdr:row>
      <xdr:rowOff>209550</xdr:rowOff>
    </xdr:to>
    <xdr:sp macro="" textlink="">
      <xdr:nvSpPr>
        <xdr:cNvPr id="15717" name="Text Box 33">
          <a:extLst>
            <a:ext uri="{FF2B5EF4-FFF2-40B4-BE49-F238E27FC236}">
              <a16:creationId xmlns:a16="http://schemas.microsoft.com/office/drawing/2014/main" id="{00000000-0008-0000-1100-0000653D0000}"/>
            </a:ext>
          </a:extLst>
        </xdr:cNvPr>
        <xdr:cNvSpPr txBox="1">
          <a:spLocks noChangeArrowheads="1"/>
        </xdr:cNvSpPr>
      </xdr:nvSpPr>
      <xdr:spPr bwMode="auto">
        <a:xfrm>
          <a:off x="76200" y="24498300"/>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126</xdr:row>
      <xdr:rowOff>57150</xdr:rowOff>
    </xdr:from>
    <xdr:to>
      <xdr:col>0</xdr:col>
      <xdr:colOff>247650</xdr:colOff>
      <xdr:row>126</xdr:row>
      <xdr:rowOff>209550</xdr:rowOff>
    </xdr:to>
    <xdr:sp macro="" textlink="">
      <xdr:nvSpPr>
        <xdr:cNvPr id="15394" name="Text Box 34">
          <a:extLst>
            <a:ext uri="{FF2B5EF4-FFF2-40B4-BE49-F238E27FC236}">
              <a16:creationId xmlns:a16="http://schemas.microsoft.com/office/drawing/2014/main" id="{00000000-0008-0000-1100-0000223C0000}"/>
            </a:ext>
          </a:extLst>
        </xdr:cNvPr>
        <xdr:cNvSpPr txBox="1">
          <a:spLocks noChangeArrowheads="1"/>
        </xdr:cNvSpPr>
      </xdr:nvSpPr>
      <xdr:spPr bwMode="auto">
        <a:xfrm>
          <a:off x="76200" y="247554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128</xdr:row>
      <xdr:rowOff>47625</xdr:rowOff>
    </xdr:from>
    <xdr:to>
      <xdr:col>0</xdr:col>
      <xdr:colOff>247650</xdr:colOff>
      <xdr:row>128</xdr:row>
      <xdr:rowOff>200025</xdr:rowOff>
    </xdr:to>
    <xdr:sp macro="" textlink="">
      <xdr:nvSpPr>
        <xdr:cNvPr id="15719" name="Text Box 35">
          <a:extLst>
            <a:ext uri="{FF2B5EF4-FFF2-40B4-BE49-F238E27FC236}">
              <a16:creationId xmlns:a16="http://schemas.microsoft.com/office/drawing/2014/main" id="{00000000-0008-0000-1100-0000673D0000}"/>
            </a:ext>
          </a:extLst>
        </xdr:cNvPr>
        <xdr:cNvSpPr txBox="1">
          <a:spLocks noChangeArrowheads="1"/>
        </xdr:cNvSpPr>
      </xdr:nvSpPr>
      <xdr:spPr bwMode="auto">
        <a:xfrm>
          <a:off x="76200" y="25260300"/>
          <a:ext cx="171450" cy="152400"/>
        </a:xfrm>
        <a:prstGeom prst="rect">
          <a:avLst/>
        </a:prstGeom>
        <a:solidFill>
          <a:srgbClr val="FFFFFF"/>
        </a:solidFill>
        <a:ln w="9525">
          <a:solidFill>
            <a:srgbClr val="000000"/>
          </a:solidFill>
          <a:miter lim="800000"/>
          <a:headEnd/>
          <a:tailEnd/>
        </a:ln>
      </xdr:spPr>
    </xdr:sp>
    <xdr:clientData/>
  </xdr:twoCellAnchor>
  <xdr:twoCellAnchor>
    <xdr:from>
      <xdr:col>2</xdr:col>
      <xdr:colOff>762000</xdr:colOff>
      <xdr:row>128</xdr:row>
      <xdr:rowOff>38100</xdr:rowOff>
    </xdr:from>
    <xdr:to>
      <xdr:col>2</xdr:col>
      <xdr:colOff>933450</xdr:colOff>
      <xdr:row>128</xdr:row>
      <xdr:rowOff>190500</xdr:rowOff>
    </xdr:to>
    <xdr:sp macro="" textlink="">
      <xdr:nvSpPr>
        <xdr:cNvPr id="15396" name="Text Box 36">
          <a:extLst>
            <a:ext uri="{FF2B5EF4-FFF2-40B4-BE49-F238E27FC236}">
              <a16:creationId xmlns:a16="http://schemas.microsoft.com/office/drawing/2014/main" id="{00000000-0008-0000-1100-0000243C0000}"/>
            </a:ext>
          </a:extLst>
        </xdr:cNvPr>
        <xdr:cNvSpPr txBox="1">
          <a:spLocks noChangeArrowheads="1"/>
        </xdr:cNvSpPr>
      </xdr:nvSpPr>
      <xdr:spPr bwMode="auto">
        <a:xfrm>
          <a:off x="2295525" y="252507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130</xdr:row>
      <xdr:rowOff>38100</xdr:rowOff>
    </xdr:from>
    <xdr:to>
      <xdr:col>0</xdr:col>
      <xdr:colOff>247650</xdr:colOff>
      <xdr:row>130</xdr:row>
      <xdr:rowOff>190500</xdr:rowOff>
    </xdr:to>
    <xdr:sp macro="" textlink="">
      <xdr:nvSpPr>
        <xdr:cNvPr id="15397" name="Text Box 37">
          <a:extLst>
            <a:ext uri="{FF2B5EF4-FFF2-40B4-BE49-F238E27FC236}">
              <a16:creationId xmlns:a16="http://schemas.microsoft.com/office/drawing/2014/main" id="{00000000-0008-0000-1100-0000253C0000}"/>
            </a:ext>
          </a:extLst>
        </xdr:cNvPr>
        <xdr:cNvSpPr txBox="1">
          <a:spLocks noChangeArrowheads="1"/>
        </xdr:cNvSpPr>
      </xdr:nvSpPr>
      <xdr:spPr bwMode="auto">
        <a:xfrm>
          <a:off x="76200" y="263175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artnersnet107.sharepoint.com/sites/Programs/CPU/DOL427/Donor/ProDoc/Partners%20of%20the%20Americas_AgroJusto_INDES%20Budget%20She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jhpiego-my.sharepoint.com/personal/kwest_jhpiego_org/Documents/Desktop/Templates/E/Ecuad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US &amp; Local Summaries"/>
      <sheetName val="TA Summary"/>
      <sheetName val="Funding By Partner"/>
      <sheetName val="LOE Table"/>
      <sheetName val="Total Budget by Sponsored Class"/>
      <sheetName val="US Costs by Sponsored Class"/>
      <sheetName val="Incountry Costs by GL USD"/>
      <sheetName val="IC by GL in LC"/>
      <sheetName val="Office Budget"/>
      <sheetName val="INDES Sub Budget Summary"/>
      <sheetName val="PROPUESTA INDES"/>
      <sheetName val="INDES Sub Line-Item Budget"/>
      <sheetName val="INDES Sub Activities Detail"/>
      <sheetName val="PERSONAL"/>
      <sheetName val="PROPUESTA INDES OK"/>
      <sheetName val="Hoja1"/>
      <sheetName val="Travel"/>
      <sheetName val="HO LOE"/>
      <sheetName val="SF424"/>
      <sheetName val="SF424a"/>
    </sheetNames>
    <sheetDataSet>
      <sheetData sheetId="0">
        <row r="9">
          <cell r="C9" t="str">
            <v>USDOL</v>
          </cell>
        </row>
        <row r="10">
          <cell r="C10" t="str">
            <v>Ecuador</v>
          </cell>
        </row>
        <row r="11">
          <cell r="C11" t="str">
            <v>Project to Improve Adherence to International Labor Standards in the Agricultural Sector in Ecuador</v>
          </cell>
        </row>
        <row r="12">
          <cell r="C12" t="str">
            <v>FOA-ILAB-23-28</v>
          </cell>
        </row>
        <row r="13">
          <cell r="C13" t="str">
            <v xml:space="preserve">48 months </v>
          </cell>
        </row>
        <row r="19">
          <cell r="C19">
            <v>1.04</v>
          </cell>
        </row>
        <row r="98">
          <cell r="D98">
            <v>4</v>
          </cell>
        </row>
        <row r="99">
          <cell r="D99">
            <v>200</v>
          </cell>
        </row>
        <row r="100">
          <cell r="D100">
            <v>9</v>
          </cell>
        </row>
        <row r="101">
          <cell r="D101">
            <v>25</v>
          </cell>
        </row>
        <row r="102">
          <cell r="D102">
            <v>35</v>
          </cell>
        </row>
        <row r="103">
          <cell r="D103">
            <v>90</v>
          </cell>
        </row>
        <row r="104">
          <cell r="D104">
            <v>47</v>
          </cell>
        </row>
        <row r="106">
          <cell r="D106">
            <v>0</v>
          </cell>
        </row>
        <row r="108">
          <cell r="D108">
            <v>4</v>
          </cell>
        </row>
        <row r="109">
          <cell r="D109">
            <v>12</v>
          </cell>
        </row>
        <row r="110">
          <cell r="D110">
            <v>0</v>
          </cell>
        </row>
        <row r="111">
          <cell r="D111">
            <v>0</v>
          </cell>
        </row>
        <row r="112">
          <cell r="D112">
            <v>0</v>
          </cell>
        </row>
        <row r="114">
          <cell r="D114">
            <v>50</v>
          </cell>
        </row>
      </sheetData>
      <sheetData sheetId="1"/>
      <sheetData sheetId="2"/>
      <sheetData sheetId="3"/>
      <sheetData sheetId="4"/>
      <sheetData sheetId="5"/>
      <sheetData sheetId="6"/>
      <sheetData sheetId="7"/>
      <sheetData sheetId="8"/>
      <sheetData sheetId="9"/>
      <sheetData sheetId="10">
        <row r="7">
          <cell r="A7" t="str">
            <v>INDES Sub-Recipient / Sub-receptor INDES</v>
          </cell>
        </row>
      </sheetData>
      <sheetData sheetId="11"/>
      <sheetData sheetId="12">
        <row r="2">
          <cell r="A2" t="str">
            <v>INDES Sub-Recipient / Sub-receptor INDES</v>
          </cell>
          <cell r="B2"/>
          <cell r="C2"/>
          <cell r="D2"/>
          <cell r="E2"/>
          <cell r="F2"/>
          <cell r="G2"/>
          <cell r="H2"/>
          <cell r="I2"/>
          <cell r="J2"/>
          <cell r="K2"/>
          <cell r="L2"/>
          <cell r="M2"/>
          <cell r="N2"/>
          <cell r="O2"/>
          <cell r="P2"/>
        </row>
        <row r="10">
          <cell r="G10" t="str">
            <v>Year 1 / Año 1</v>
          </cell>
          <cell r="I10" t="str">
            <v>Year 2 / Año 2</v>
          </cell>
          <cell r="K10" t="str">
            <v>Year 3 / Año 3</v>
          </cell>
          <cell r="M10" t="str">
            <v>Year 4 / Año 4</v>
          </cell>
        </row>
        <row r="23">
          <cell r="G23">
            <v>47950</v>
          </cell>
          <cell r="I23">
            <v>85200</v>
          </cell>
          <cell r="K23">
            <v>85200</v>
          </cell>
          <cell r="M23">
            <v>43000</v>
          </cell>
        </row>
        <row r="30">
          <cell r="G30">
            <v>23700.319800000001</v>
          </cell>
          <cell r="I30">
            <v>41723.508800000003</v>
          </cell>
          <cell r="K30">
            <v>41723.508800000003</v>
          </cell>
          <cell r="M30">
            <v>20805.292000000001</v>
          </cell>
        </row>
        <row r="34">
          <cell r="G34">
            <v>1948</v>
          </cell>
          <cell r="I34">
            <v>34625.4</v>
          </cell>
          <cell r="K34">
            <v>37775.961600000002</v>
          </cell>
          <cell r="M34">
            <v>23734.630399999998</v>
          </cell>
        </row>
        <row r="36">
          <cell r="G36">
            <v>0</v>
          </cell>
        </row>
        <row r="51">
          <cell r="G51">
            <v>10389.882352941177</v>
          </cell>
          <cell r="I51">
            <v>5669.6470588235297</v>
          </cell>
          <cell r="K51">
            <v>5669.6470588235297</v>
          </cell>
          <cell r="M51">
            <v>2789.8235294117649</v>
          </cell>
        </row>
        <row r="86">
          <cell r="G86">
            <v>5608</v>
          </cell>
          <cell r="I86">
            <v>72147.975999999995</v>
          </cell>
          <cell r="K86">
            <v>70385.456000000006</v>
          </cell>
          <cell r="M86">
            <v>52453.143872000008</v>
          </cell>
        </row>
      </sheetData>
      <sheetData sheetId="13">
        <row r="20">
          <cell r="J20">
            <v>0</v>
          </cell>
          <cell r="M20">
            <v>0</v>
          </cell>
          <cell r="P20">
            <v>0</v>
          </cell>
          <cell r="S20">
            <v>0</v>
          </cell>
        </row>
        <row r="34">
          <cell r="J34">
            <v>0</v>
          </cell>
          <cell r="M34">
            <v>0</v>
          </cell>
          <cell r="P34">
            <v>0</v>
          </cell>
          <cell r="S34">
            <v>0</v>
          </cell>
        </row>
        <row r="50">
          <cell r="J50">
            <v>0</v>
          </cell>
          <cell r="M50">
            <v>0</v>
          </cell>
          <cell r="P50">
            <v>0</v>
          </cell>
          <cell r="S50">
            <v>0</v>
          </cell>
        </row>
        <row r="64">
          <cell r="J64">
            <v>0</v>
          </cell>
          <cell r="M64">
            <v>0</v>
          </cell>
          <cell r="P64">
            <v>0</v>
          </cell>
          <cell r="S64">
            <v>0</v>
          </cell>
        </row>
        <row r="79">
          <cell r="J79">
            <v>0</v>
          </cell>
          <cell r="M79">
            <v>4944.5760000000009</v>
          </cell>
          <cell r="P79">
            <v>0</v>
          </cell>
          <cell r="S79">
            <v>0</v>
          </cell>
        </row>
        <row r="104">
          <cell r="J104">
            <v>0</v>
          </cell>
          <cell r="M104">
            <v>0</v>
          </cell>
          <cell r="P104">
            <v>0</v>
          </cell>
          <cell r="S104">
            <v>0</v>
          </cell>
        </row>
        <row r="118">
          <cell r="J118">
            <v>450</v>
          </cell>
          <cell r="M118">
            <v>2808</v>
          </cell>
          <cell r="P118">
            <v>2920.32</v>
          </cell>
          <cell r="S118">
            <v>1518.5664000000002</v>
          </cell>
        </row>
        <row r="133">
          <cell r="J133">
            <v>0</v>
          </cell>
          <cell r="M133">
            <v>0</v>
          </cell>
          <cell r="P133">
            <v>0</v>
          </cell>
          <cell r="S133">
            <v>0</v>
          </cell>
        </row>
        <row r="148">
          <cell r="J148">
            <v>0</v>
          </cell>
          <cell r="M148">
            <v>0</v>
          </cell>
          <cell r="P148">
            <v>0</v>
          </cell>
          <cell r="S148">
            <v>0</v>
          </cell>
        </row>
        <row r="164">
          <cell r="J164">
            <v>0</v>
          </cell>
          <cell r="M164">
            <v>0</v>
          </cell>
          <cell r="P164">
            <v>0</v>
          </cell>
          <cell r="S164">
            <v>0</v>
          </cell>
        </row>
        <row r="178">
          <cell r="J178">
            <v>315</v>
          </cell>
          <cell r="M178">
            <v>2948.4</v>
          </cell>
          <cell r="P178">
            <v>3066.3360000000007</v>
          </cell>
          <cell r="S178">
            <v>1771.6608000000001</v>
          </cell>
        </row>
        <row r="194">
          <cell r="J194">
            <v>0</v>
          </cell>
          <cell r="M194">
            <v>0</v>
          </cell>
          <cell r="P194">
            <v>0</v>
          </cell>
          <cell r="S194">
            <v>0</v>
          </cell>
        </row>
        <row r="208">
          <cell r="J208">
            <v>0</v>
          </cell>
          <cell r="M208">
            <v>0</v>
          </cell>
          <cell r="P208">
            <v>0</v>
          </cell>
          <cell r="S208">
            <v>0</v>
          </cell>
        </row>
        <row r="222">
          <cell r="J222"/>
          <cell r="M222">
            <v>0</v>
          </cell>
          <cell r="P222">
            <v>0</v>
          </cell>
          <cell r="S222">
            <v>0</v>
          </cell>
        </row>
        <row r="233">
          <cell r="J233">
            <v>0</v>
          </cell>
          <cell r="M233">
            <v>0</v>
          </cell>
          <cell r="P233">
            <v>0</v>
          </cell>
          <cell r="S233">
            <v>0</v>
          </cell>
        </row>
        <row r="248">
          <cell r="J248">
            <v>0</v>
          </cell>
          <cell r="M248">
            <v>0</v>
          </cell>
          <cell r="P248">
            <v>0</v>
          </cell>
          <cell r="S248">
            <v>0</v>
          </cell>
        </row>
        <row r="262">
          <cell r="J262">
            <v>750</v>
          </cell>
          <cell r="M262">
            <v>4680</v>
          </cell>
          <cell r="P262">
            <v>4867.2000000000007</v>
          </cell>
          <cell r="S262">
            <v>3921.275904000001</v>
          </cell>
        </row>
        <row r="277">
          <cell r="J277">
            <v>870</v>
          </cell>
          <cell r="M277">
            <v>4940</v>
          </cell>
          <cell r="P277">
            <v>6165.1200000000008</v>
          </cell>
          <cell r="S277">
            <v>3914.5267200000003</v>
          </cell>
        </row>
        <row r="292">
          <cell r="J292">
            <v>0</v>
          </cell>
          <cell r="M292">
            <v>3120</v>
          </cell>
          <cell r="P292">
            <v>3244.8</v>
          </cell>
          <cell r="S292">
            <v>2530.9440000000004</v>
          </cell>
        </row>
        <row r="306">
          <cell r="J306">
            <v>0</v>
          </cell>
          <cell r="M306">
            <v>2340</v>
          </cell>
          <cell r="P306">
            <v>2433.6000000000004</v>
          </cell>
          <cell r="S306">
            <v>2530.9440000000004</v>
          </cell>
        </row>
        <row r="319">
          <cell r="J319">
            <v>0</v>
          </cell>
          <cell r="M319">
            <v>4680</v>
          </cell>
          <cell r="P319">
            <v>4867.2000000000007</v>
          </cell>
          <cell r="S319">
            <v>3374.5920000000001</v>
          </cell>
        </row>
        <row r="333">
          <cell r="J333">
            <v>0</v>
          </cell>
          <cell r="M333">
            <v>0</v>
          </cell>
          <cell r="P333">
            <v>0</v>
          </cell>
          <cell r="S333">
            <v>0</v>
          </cell>
        </row>
        <row r="345">
          <cell r="J345">
            <v>0</v>
          </cell>
          <cell r="M345">
            <v>2808</v>
          </cell>
          <cell r="P345">
            <v>2920.32</v>
          </cell>
          <cell r="S345">
            <v>2024.7552000000003</v>
          </cell>
        </row>
        <row r="359">
          <cell r="J359">
            <v>0</v>
          </cell>
          <cell r="M359">
            <v>2808</v>
          </cell>
          <cell r="P359">
            <v>2920.32</v>
          </cell>
          <cell r="S359">
            <v>2024.7552000000003</v>
          </cell>
        </row>
        <row r="372">
          <cell r="M372">
            <v>1872</v>
          </cell>
          <cell r="P372">
            <v>1946.88</v>
          </cell>
          <cell r="S372">
            <v>2335.2176640000007</v>
          </cell>
        </row>
        <row r="386">
          <cell r="M386">
            <v>0</v>
          </cell>
          <cell r="P386">
            <v>0</v>
          </cell>
        </row>
        <row r="399">
          <cell r="J399">
            <v>0</v>
          </cell>
          <cell r="M399">
            <v>936</v>
          </cell>
          <cell r="P399">
            <v>973.44</v>
          </cell>
          <cell r="S399">
            <v>506.18880000000007</v>
          </cell>
        </row>
        <row r="414">
          <cell r="J414">
            <v>0</v>
          </cell>
          <cell r="M414">
            <v>0</v>
          </cell>
          <cell r="P414">
            <v>0</v>
          </cell>
          <cell r="S414">
            <v>0</v>
          </cell>
        </row>
        <row r="428">
          <cell r="J428">
            <v>0</v>
          </cell>
          <cell r="M428">
            <v>0</v>
          </cell>
          <cell r="P428">
            <v>0</v>
          </cell>
          <cell r="S428">
            <v>0</v>
          </cell>
        </row>
        <row r="442">
          <cell r="J442">
            <v>0</v>
          </cell>
          <cell r="M442">
            <v>0</v>
          </cell>
          <cell r="P442">
            <v>0</v>
          </cell>
          <cell r="S442">
            <v>0</v>
          </cell>
        </row>
        <row r="456">
          <cell r="J456">
            <v>0</v>
          </cell>
          <cell r="M456">
            <v>0</v>
          </cell>
          <cell r="P456">
            <v>0</v>
          </cell>
          <cell r="S456">
            <v>0</v>
          </cell>
        </row>
        <row r="468">
          <cell r="J468">
            <v>0</v>
          </cell>
          <cell r="M468">
            <v>0</v>
          </cell>
          <cell r="P468">
            <v>0</v>
          </cell>
          <cell r="S468">
            <v>0</v>
          </cell>
        </row>
        <row r="482">
          <cell r="J482">
            <v>0</v>
          </cell>
          <cell r="M482">
            <v>0</v>
          </cell>
          <cell r="P482">
            <v>0</v>
          </cell>
          <cell r="S482">
            <v>0</v>
          </cell>
        </row>
        <row r="497">
          <cell r="J497">
            <v>0</v>
          </cell>
          <cell r="M497">
            <v>0</v>
          </cell>
          <cell r="P497">
            <v>0</v>
          </cell>
          <cell r="S497">
            <v>0</v>
          </cell>
        </row>
        <row r="512">
          <cell r="J512">
            <v>0</v>
          </cell>
          <cell r="M512">
            <v>1248</v>
          </cell>
          <cell r="P512">
            <v>1297.92</v>
          </cell>
          <cell r="S512">
            <v>0</v>
          </cell>
        </row>
        <row r="525">
          <cell r="J525">
            <v>0</v>
          </cell>
          <cell r="M525">
            <v>0</v>
          </cell>
          <cell r="P525">
            <v>0</v>
          </cell>
          <cell r="S525">
            <v>0</v>
          </cell>
        </row>
        <row r="539">
          <cell r="J539">
            <v>0</v>
          </cell>
          <cell r="M539">
            <v>0</v>
          </cell>
          <cell r="P539">
            <v>0</v>
          </cell>
          <cell r="S539">
            <v>0</v>
          </cell>
        </row>
        <row r="553">
          <cell r="J553">
            <v>0</v>
          </cell>
          <cell r="M553">
            <v>0</v>
          </cell>
          <cell r="P553">
            <v>0</v>
          </cell>
          <cell r="S553">
            <v>0</v>
          </cell>
        </row>
        <row r="567">
          <cell r="J567">
            <v>0</v>
          </cell>
          <cell r="M567">
            <v>0</v>
          </cell>
          <cell r="P567">
            <v>0</v>
          </cell>
          <cell r="S567">
            <v>0</v>
          </cell>
        </row>
        <row r="581">
          <cell r="J581">
            <v>0</v>
          </cell>
          <cell r="M581">
            <v>0</v>
          </cell>
          <cell r="P581">
            <v>0</v>
          </cell>
          <cell r="S581">
            <v>0</v>
          </cell>
        </row>
        <row r="689">
          <cell r="J689">
            <v>0</v>
          </cell>
          <cell r="M689">
            <v>3900.0000000000005</v>
          </cell>
          <cell r="P689">
            <v>4056</v>
          </cell>
          <cell r="S689">
            <v>4202.4919040000013</v>
          </cell>
        </row>
        <row r="703">
          <cell r="J703">
            <v>0</v>
          </cell>
          <cell r="M703">
            <v>3900.0000000000005</v>
          </cell>
          <cell r="P703">
            <v>2704</v>
          </cell>
          <cell r="S703">
            <v>2272.2252800000006</v>
          </cell>
        </row>
        <row r="728">
          <cell r="J728">
            <v>1308</v>
          </cell>
          <cell r="M728">
            <v>16055.519999999997</v>
          </cell>
          <cell r="P728">
            <v>18276.876800000002</v>
          </cell>
          <cell r="S728">
            <v>9734.5730559999956</v>
          </cell>
        </row>
        <row r="729">
          <cell r="J729">
            <v>640</v>
          </cell>
          <cell r="M729">
            <v>18569.880000000005</v>
          </cell>
          <cell r="P729">
            <v>19499.084800000001</v>
          </cell>
          <cell r="S729">
            <v>14000.057344000003</v>
          </cell>
        </row>
      </sheetData>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2)"/>
      <sheetName val="Activities"/>
      <sheetName val="Assumptions"/>
      <sheetName val="Budget Summary"/>
      <sheetName val="Line-Item Budget"/>
      <sheetName val="Travel"/>
    </sheetNames>
    <sheetDataSet>
      <sheetData sheetId="0" refreshError="1"/>
      <sheetData sheetId="1" refreshError="1"/>
      <sheetData sheetId="2"/>
      <sheetData sheetId="3" refreshError="1"/>
      <sheetData sheetId="4"/>
      <sheetData sheetId="5" refreshError="1"/>
    </sheetDataSet>
  </externalBook>
</externalLink>
</file>

<file path=xl/persons/person.xml><?xml version="1.0" encoding="utf-8"?>
<personList xmlns="http://schemas.microsoft.com/office/spreadsheetml/2018/threadedcomments" xmlns:x="http://schemas.openxmlformats.org/spreadsheetml/2006/main">
  <person displayName="Paula Leonardo" id="{688F8439-0F77-470F-9708-30287C885139}" userId="Paula Leonardo"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ist2" displayName="List2" ref="C47:C70" totalsRowShown="0" headerRowDxfId="11" dataDxfId="10" tableBorderDxfId="9">
  <autoFilter ref="C47:C70" xr:uid="{00000000-0009-0000-0100-000002000000}">
    <filterColumn colId="0">
      <filters>
        <filter val="M. Nonprofit w/501C3 IRS Status (Oth Than Higher Edu"/>
      </filters>
    </filterColumn>
  </autoFilter>
  <tableColumns count="1">
    <tableColumn id="3" xr3:uid="{00000000-0010-0000-0000-000003000000}" name="Select Applicant Type"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List1" displayName="List1" ref="A148:A172" totalsRowShown="0" headerRowDxfId="7">
  <autoFilter ref="A148:A172" xr:uid="{00000000-0009-0000-0100-000001000000}"/>
  <tableColumns count="1">
    <tableColumn id="1" xr3:uid="{00000000-0010-0000-0100-000001000000}" name="Select Applicant Type"/>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hreadedComments/threadedComment1.xml><?xml version="1.0" encoding="utf-8"?>
<ThreadedComments xmlns="http://schemas.microsoft.com/office/spreadsheetml/2018/threadedcomments" xmlns:x="http://schemas.openxmlformats.org/spreadsheetml/2006/main">
  <threadedComment ref="I11" personId="{688F8439-0F77-470F-9708-30287C885139}" id="{774DD94D-8B18-4D4C-BD72-552D8A4F8BF1}">
    <text>Not sure if removing this highlighted area would impact the budget?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hyperlink" Target="mailto:proposal@jhpiego.org" TargetMode="External"/><Relationship Id="rId7" Type="http://schemas.openxmlformats.org/officeDocument/2006/relationships/table" Target="../tables/table2.xml"/><Relationship Id="rId2" Type="http://schemas.openxmlformats.org/officeDocument/2006/relationships/hyperlink" Target="mailto:proposal@jhpiego.net" TargetMode="External"/><Relationship Id="rId1" Type="http://schemas.openxmlformats.org/officeDocument/2006/relationships/hyperlink" Target="mailto:proposal@jhpiego.net" TargetMode="External"/><Relationship Id="rId6" Type="http://schemas.openxmlformats.org/officeDocument/2006/relationships/table" Target="../tables/table1.xml"/><Relationship Id="rId5" Type="http://schemas.openxmlformats.org/officeDocument/2006/relationships/drawing" Target="../drawings/drawing8.xml"/><Relationship Id="rId4"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pageSetUpPr fitToPage="1"/>
  </sheetPr>
  <dimension ref="A1:AR151"/>
  <sheetViews>
    <sheetView topLeftCell="A9" zoomScale="70" zoomScaleNormal="70" zoomScaleSheetLayoutView="90" workbookViewId="0">
      <selection activeCell="A7" sqref="A7:F7"/>
    </sheetView>
  </sheetViews>
  <sheetFormatPr defaultColWidth="11.44140625" defaultRowHeight="12" customHeight="1"/>
  <cols>
    <col min="1" max="1" width="16.27734375" style="712" customWidth="1"/>
    <col min="2" max="2" width="19.5546875" style="712" customWidth="1"/>
    <col min="3" max="3" width="50.83203125" style="713" customWidth="1"/>
    <col min="4" max="4" width="15.27734375" style="713" bestFit="1" customWidth="1"/>
    <col min="5" max="5" width="8.71875" style="713" customWidth="1"/>
    <col min="6" max="6" width="15" style="713" bestFit="1" customWidth="1"/>
    <col min="7" max="7" width="8.44140625" style="713" customWidth="1"/>
    <col min="8" max="8" width="16.71875" style="715" bestFit="1" customWidth="1"/>
    <col min="9" max="9" width="13.44140625" style="716" customWidth="1"/>
    <col min="10" max="10" width="7.71875" style="716" customWidth="1"/>
    <col min="11" max="11" width="16.5546875" style="716" customWidth="1"/>
    <col min="12" max="12" width="10.27734375" style="716" customWidth="1"/>
    <col min="13" max="13" width="14.5546875" style="716" customWidth="1"/>
    <col min="14" max="14" width="10.71875" style="716" customWidth="1"/>
    <col min="15" max="15" width="14.1640625" style="716" customWidth="1"/>
    <col min="16" max="16" width="17.83203125" style="758" customWidth="1"/>
    <col min="17" max="17" width="0.1640625" style="716" customWidth="1"/>
    <col min="18" max="18" width="21" style="758" customWidth="1"/>
    <col min="19" max="19" width="21.5546875" style="712" customWidth="1"/>
    <col min="20" max="16384" width="11.44140625" style="712"/>
  </cols>
  <sheetData>
    <row r="1" spans="1:19" ht="19.5" customHeight="1">
      <c r="C1" s="1397" t="s">
        <v>0</v>
      </c>
      <c r="D1" s="1397"/>
      <c r="E1" s="1397"/>
      <c r="F1" s="1397"/>
      <c r="G1" s="1397"/>
      <c r="H1" s="1397"/>
      <c r="I1" s="1397"/>
      <c r="J1" s="1397"/>
      <c r="K1" s="1397"/>
      <c r="L1" s="1397"/>
      <c r="M1" s="1397"/>
      <c r="N1" s="1397"/>
      <c r="O1" s="1397"/>
      <c r="P1" s="1397"/>
      <c r="Q1" s="1397"/>
      <c r="R1" s="1397"/>
    </row>
    <row r="2" spans="1:19" ht="21.75" customHeight="1">
      <c r="C2" s="1398" t="s">
        <v>1</v>
      </c>
      <c r="D2" s="1398"/>
      <c r="E2" s="1398"/>
      <c r="F2" s="1398"/>
      <c r="G2" s="1398"/>
      <c r="H2" s="1398"/>
      <c r="I2" s="1398"/>
      <c r="J2" s="1398"/>
      <c r="K2" s="1398"/>
      <c r="L2" s="1398"/>
      <c r="M2" s="1398"/>
      <c r="N2" s="1398"/>
      <c r="O2" s="1398"/>
      <c r="P2" s="1398"/>
      <c r="Q2" s="1398"/>
      <c r="R2" s="1398"/>
    </row>
    <row r="3" spans="1:19" ht="30.75" customHeight="1">
      <c r="C3" s="1399" t="s">
        <v>2</v>
      </c>
      <c r="D3" s="1398"/>
      <c r="E3" s="1398"/>
      <c r="F3" s="1398"/>
      <c r="G3" s="1398"/>
      <c r="H3" s="1398"/>
      <c r="I3" s="1398"/>
      <c r="J3" s="1398"/>
      <c r="K3" s="1398"/>
      <c r="L3" s="1398"/>
      <c r="M3" s="1398"/>
      <c r="N3" s="1398"/>
      <c r="O3" s="1398"/>
      <c r="P3" s="1398"/>
      <c r="Q3" s="1398"/>
      <c r="R3" s="1398"/>
    </row>
    <row r="4" spans="1:19" ht="15.3">
      <c r="C4" s="1398" t="s">
        <v>3</v>
      </c>
      <c r="D4" s="1398"/>
      <c r="E4" s="1398"/>
      <c r="F4" s="1398"/>
      <c r="G4" s="1398"/>
      <c r="H4" s="1398"/>
      <c r="I4" s="1398"/>
      <c r="J4" s="1398"/>
      <c r="K4" s="1398"/>
      <c r="L4" s="1398"/>
      <c r="M4" s="1398"/>
      <c r="N4" s="1398"/>
      <c r="O4" s="1398"/>
      <c r="P4" s="1398"/>
      <c r="Q4" s="1398"/>
      <c r="R4" s="1398"/>
    </row>
    <row r="5" spans="1:19" ht="14.25" customHeight="1">
      <c r="C5" s="1400" t="s">
        <v>4</v>
      </c>
      <c r="D5" s="1401"/>
      <c r="E5" s="866"/>
      <c r="F5" s="866"/>
      <c r="G5" s="866"/>
      <c r="H5" s="866"/>
      <c r="I5" s="866"/>
      <c r="J5" s="866"/>
      <c r="K5" s="866"/>
      <c r="L5" s="866"/>
      <c r="M5" s="866"/>
      <c r="N5" s="866"/>
      <c r="O5" s="866"/>
      <c r="P5" s="866"/>
      <c r="Q5" s="866"/>
      <c r="R5" s="866"/>
    </row>
    <row r="6" spans="1:19" ht="15.3">
      <c r="C6" s="853" t="s">
        <v>5</v>
      </c>
      <c r="D6" s="854">
        <v>1.03</v>
      </c>
      <c r="E6" s="866"/>
      <c r="F6" s="867"/>
      <c r="G6" s="866"/>
      <c r="H6" s="866"/>
      <c r="I6" s="866"/>
      <c r="J6" s="866"/>
      <c r="K6" s="866"/>
      <c r="L6" s="866"/>
      <c r="M6" s="866"/>
      <c r="N6" s="866"/>
      <c r="O6" s="866"/>
      <c r="P6" s="866"/>
      <c r="Q6" s="866"/>
      <c r="R6" s="866"/>
    </row>
    <row r="7" spans="1:19" ht="15.3">
      <c r="C7" s="853" t="s">
        <v>6</v>
      </c>
      <c r="D7" s="854">
        <v>1.04</v>
      </c>
      <c r="E7" s="866"/>
      <c r="F7" s="867"/>
      <c r="G7" s="866"/>
      <c r="H7" s="880"/>
      <c r="I7" s="952"/>
      <c r="J7" s="866"/>
      <c r="K7" s="866"/>
      <c r="L7" s="866"/>
      <c r="M7" s="866"/>
      <c r="N7" s="866"/>
      <c r="O7" s="866"/>
      <c r="P7" s="866"/>
      <c r="Q7" s="866"/>
      <c r="R7" s="866"/>
    </row>
    <row r="8" spans="1:19" ht="15.3">
      <c r="C8" s="853" t="s">
        <v>7</v>
      </c>
      <c r="D8" s="854">
        <v>1.05</v>
      </c>
      <c r="E8" s="866"/>
      <c r="F8" s="868"/>
      <c r="G8" s="866"/>
      <c r="H8" s="881"/>
      <c r="I8" s="881"/>
      <c r="J8" s="866"/>
      <c r="K8" s="881"/>
      <c r="L8" s="866"/>
      <c r="M8" s="866"/>
      <c r="N8" s="866"/>
      <c r="O8" s="866"/>
      <c r="P8" s="866"/>
      <c r="Q8" s="866"/>
      <c r="R8" s="866"/>
    </row>
    <row r="9" spans="1:19" ht="15.6" thickBot="1">
      <c r="D9" s="714"/>
      <c r="E9" s="714"/>
      <c r="F9" s="868"/>
      <c r="J9" s="717"/>
      <c r="P9" s="716"/>
      <c r="Q9" s="717"/>
      <c r="R9" s="716"/>
    </row>
    <row r="10" spans="1:19" ht="60" customHeight="1" thickBot="1">
      <c r="A10" s="999" t="s">
        <v>8</v>
      </c>
      <c r="B10" s="999" t="s">
        <v>9</v>
      </c>
      <c r="C10" s="902" t="s">
        <v>10</v>
      </c>
      <c r="D10" s="903" t="s">
        <v>11</v>
      </c>
      <c r="E10" s="903" t="s">
        <v>12</v>
      </c>
      <c r="F10" s="903" t="s">
        <v>13</v>
      </c>
      <c r="G10" s="904" t="s">
        <v>14</v>
      </c>
      <c r="H10" s="905" t="s">
        <v>15</v>
      </c>
      <c r="I10" s="906" t="s">
        <v>16</v>
      </c>
      <c r="J10" s="907" t="s">
        <v>14</v>
      </c>
      <c r="K10" s="908" t="s">
        <v>17</v>
      </c>
      <c r="L10" s="909" t="s">
        <v>14</v>
      </c>
      <c r="M10" s="908" t="s">
        <v>18</v>
      </c>
      <c r="N10" s="909" t="s">
        <v>14</v>
      </c>
      <c r="O10" s="908" t="s">
        <v>19</v>
      </c>
      <c r="P10" s="910" t="s">
        <v>20</v>
      </c>
      <c r="Q10" s="911" t="s">
        <v>21</v>
      </c>
      <c r="R10" s="1017" t="s">
        <v>22</v>
      </c>
    </row>
    <row r="11" spans="1:19" ht="15.3">
      <c r="A11" s="1018"/>
      <c r="B11" s="1013"/>
      <c r="C11" s="718" t="s">
        <v>23</v>
      </c>
      <c r="D11" s="718"/>
      <c r="E11" s="718"/>
      <c r="F11" s="719"/>
      <c r="G11" s="720"/>
      <c r="H11" s="721"/>
      <c r="I11" s="722"/>
      <c r="J11" s="723"/>
      <c r="K11" s="723"/>
      <c r="L11" s="724"/>
      <c r="M11" s="723"/>
      <c r="N11" s="724"/>
      <c r="O11" s="723"/>
      <c r="P11" s="725"/>
      <c r="Q11" s="723"/>
      <c r="R11" s="726"/>
    </row>
    <row r="12" spans="1:19" ht="15.3">
      <c r="A12" s="1019"/>
      <c r="B12" s="1000"/>
      <c r="C12" s="1004" t="s">
        <v>24</v>
      </c>
      <c r="D12" s="727"/>
      <c r="E12" s="727"/>
      <c r="F12" s="728"/>
      <c r="G12" s="729"/>
      <c r="H12" s="727"/>
      <c r="I12" s="730"/>
      <c r="J12" s="1020"/>
      <c r="K12" s="1020"/>
      <c r="L12" s="731"/>
      <c r="M12" s="1020"/>
      <c r="N12" s="731"/>
      <c r="O12" s="1020"/>
      <c r="P12" s="732"/>
      <c r="Q12" s="1020"/>
      <c r="R12" s="733"/>
    </row>
    <row r="13" spans="1:19" ht="15.3">
      <c r="A13" s="1021" t="s">
        <v>25</v>
      </c>
      <c r="B13" s="1001">
        <v>70000</v>
      </c>
      <c r="C13" s="1084" t="s">
        <v>26</v>
      </c>
      <c r="D13" s="1084" t="s">
        <v>27</v>
      </c>
      <c r="E13" s="1126">
        <v>1</v>
      </c>
      <c r="F13" s="1127" t="s">
        <v>28</v>
      </c>
      <c r="G13" s="1113">
        <v>11</v>
      </c>
      <c r="H13" s="1102">
        <v>6000</v>
      </c>
      <c r="I13" s="1103">
        <f>G13*H13*E13</f>
        <v>66000</v>
      </c>
      <c r="J13" s="1102">
        <v>12</v>
      </c>
      <c r="K13" s="1102">
        <f>J13*H13*$D$8</f>
        <v>75600</v>
      </c>
      <c r="L13" s="1101">
        <v>12</v>
      </c>
      <c r="M13" s="1102">
        <f>(L13*H13*$D$8*$D$8)</f>
        <v>79380</v>
      </c>
      <c r="N13" s="1101">
        <v>12</v>
      </c>
      <c r="O13" s="1102">
        <f>N13*H13*$D$8*$D$8*$D$8</f>
        <v>83349</v>
      </c>
      <c r="P13" s="1104">
        <f>SUM(I13+K13+M13+O13)</f>
        <v>304329</v>
      </c>
      <c r="Q13" s="1102">
        <v>0</v>
      </c>
      <c r="R13" s="1105">
        <f>SUM(P13:Q13)</f>
        <v>304329</v>
      </c>
      <c r="S13" s="1063"/>
    </row>
    <row r="14" spans="1:19" ht="30.6">
      <c r="A14" s="1022" t="s">
        <v>29</v>
      </c>
      <c r="B14" s="1003">
        <v>70000</v>
      </c>
      <c r="C14" s="1112" t="s">
        <v>30</v>
      </c>
      <c r="D14" s="1112" t="s">
        <v>27</v>
      </c>
      <c r="E14" s="1128">
        <v>1</v>
      </c>
      <c r="F14" s="1124" t="s">
        <v>28</v>
      </c>
      <c r="G14" s="1113">
        <v>11</v>
      </c>
      <c r="H14" s="1114">
        <f>40000/12</f>
        <v>3333.3333333333335</v>
      </c>
      <c r="I14" s="973">
        <f>G14*H14*E14</f>
        <v>36666.666666666672</v>
      </c>
      <c r="J14" s="1114">
        <v>12</v>
      </c>
      <c r="K14" s="1114">
        <f>J14*H14*$D$8</f>
        <v>42000</v>
      </c>
      <c r="L14" s="1113">
        <v>12</v>
      </c>
      <c r="M14" s="1114">
        <f>(L14*H14*$D$8*$D$8)</f>
        <v>44100</v>
      </c>
      <c r="N14" s="1113">
        <v>12</v>
      </c>
      <c r="O14" s="1114">
        <f>N14*H14*$D$8*$D$8*$D$8</f>
        <v>46305</v>
      </c>
      <c r="P14" s="1115">
        <f>SUM(I14+K14+M14+O14)</f>
        <v>169071.66666666669</v>
      </c>
      <c r="Q14" s="1114">
        <v>0</v>
      </c>
      <c r="R14" s="1116">
        <f>SUM(P14:Q14)</f>
        <v>169071.66666666669</v>
      </c>
      <c r="S14" s="1063"/>
    </row>
    <row r="15" spans="1:19" ht="15.3">
      <c r="A15" s="1023"/>
      <c r="B15" s="1002"/>
      <c r="C15" s="1004" t="s">
        <v>31</v>
      </c>
      <c r="D15" s="727"/>
      <c r="E15" s="727"/>
      <c r="F15" s="740"/>
      <c r="G15" s="1008"/>
      <c r="H15" s="727"/>
      <c r="I15" s="742"/>
      <c r="J15" s="743"/>
      <c r="K15" s="743"/>
      <c r="L15" s="741"/>
      <c r="M15" s="737"/>
      <c r="N15" s="741"/>
      <c r="O15" s="737"/>
      <c r="P15" s="744"/>
      <c r="Q15" s="743"/>
      <c r="R15" s="745"/>
    </row>
    <row r="16" spans="1:19" ht="15.3">
      <c r="A16" s="1021" t="s">
        <v>32</v>
      </c>
      <c r="B16" s="1001">
        <v>70000</v>
      </c>
      <c r="C16" s="1084" t="s">
        <v>33</v>
      </c>
      <c r="D16" s="1084" t="s">
        <v>27</v>
      </c>
      <c r="E16" s="1126">
        <v>1</v>
      </c>
      <c r="F16" s="1127" t="s">
        <v>28</v>
      </c>
      <c r="G16" s="1113">
        <v>11</v>
      </c>
      <c r="H16" s="1129">
        <v>2400</v>
      </c>
      <c r="I16" s="1103">
        <f t="shared" ref="I16:I20" si="0">G16*H16*E16</f>
        <v>26400</v>
      </c>
      <c r="J16" s="1102">
        <v>12</v>
      </c>
      <c r="K16" s="1114">
        <f t="shared" ref="K16:K22" si="1">J16*H16*$D$8</f>
        <v>30240</v>
      </c>
      <c r="L16" s="1101">
        <v>12</v>
      </c>
      <c r="M16" s="1114">
        <f t="shared" ref="M16:M22" si="2">(L16*H16*$D$8*$D$8)</f>
        <v>31752</v>
      </c>
      <c r="N16" s="1101">
        <v>8</v>
      </c>
      <c r="O16" s="1114">
        <f t="shared" ref="O16:O22" si="3">N16*H16*$D$8*$D$8*$D$8</f>
        <v>22226.400000000001</v>
      </c>
      <c r="P16" s="1104">
        <f t="shared" ref="P16:P22" si="4">SUM(I16+K16+M16+O16)</f>
        <v>110618.4</v>
      </c>
      <c r="Q16" s="1102">
        <v>0</v>
      </c>
      <c r="R16" s="1105">
        <f t="shared" ref="R16:R20" si="5">SUM(P16:Q16)</f>
        <v>110618.4</v>
      </c>
    </row>
    <row r="17" spans="1:44" ht="15.3">
      <c r="A17" s="1021" t="s">
        <v>34</v>
      </c>
      <c r="B17" s="1001">
        <v>70000</v>
      </c>
      <c r="C17" s="1084" t="s">
        <v>35</v>
      </c>
      <c r="D17" s="1084" t="s">
        <v>27</v>
      </c>
      <c r="E17" s="1126">
        <v>1</v>
      </c>
      <c r="F17" s="1127" t="s">
        <v>28</v>
      </c>
      <c r="G17" s="1113">
        <v>11</v>
      </c>
      <c r="H17" s="1129">
        <v>1800</v>
      </c>
      <c r="I17" s="1103">
        <f t="shared" si="0"/>
        <v>19800</v>
      </c>
      <c r="J17" s="1102">
        <v>12</v>
      </c>
      <c r="K17" s="1114">
        <f t="shared" si="1"/>
        <v>22680</v>
      </c>
      <c r="L17" s="1101">
        <v>12</v>
      </c>
      <c r="M17" s="1114">
        <f t="shared" si="2"/>
        <v>23814</v>
      </c>
      <c r="N17" s="1101">
        <v>8</v>
      </c>
      <c r="O17" s="1114">
        <f t="shared" si="3"/>
        <v>16669.8</v>
      </c>
      <c r="P17" s="1104">
        <f t="shared" si="4"/>
        <v>82963.8</v>
      </c>
      <c r="Q17" s="1102">
        <v>0</v>
      </c>
      <c r="R17" s="1105">
        <f t="shared" si="5"/>
        <v>82963.8</v>
      </c>
    </row>
    <row r="18" spans="1:44" ht="30.6">
      <c r="A18" s="1022" t="s">
        <v>36</v>
      </c>
      <c r="B18" s="1003">
        <v>70000</v>
      </c>
      <c r="C18" s="1112" t="s">
        <v>37</v>
      </c>
      <c r="D18" s="1112" t="s">
        <v>27</v>
      </c>
      <c r="E18" s="1128">
        <v>1</v>
      </c>
      <c r="F18" s="1124" t="s">
        <v>28</v>
      </c>
      <c r="G18" s="1113">
        <v>11</v>
      </c>
      <c r="H18" s="1130">
        <v>2400</v>
      </c>
      <c r="I18" s="973">
        <f t="shared" si="0"/>
        <v>26400</v>
      </c>
      <c r="J18" s="1114">
        <v>12</v>
      </c>
      <c r="K18" s="1114">
        <f t="shared" si="1"/>
        <v>30240</v>
      </c>
      <c r="L18" s="1113">
        <v>12</v>
      </c>
      <c r="M18" s="1114">
        <f t="shared" si="2"/>
        <v>31752</v>
      </c>
      <c r="N18" s="1113">
        <v>8</v>
      </c>
      <c r="O18" s="1114">
        <f t="shared" si="3"/>
        <v>22226.400000000001</v>
      </c>
      <c r="P18" s="1115">
        <f t="shared" si="4"/>
        <v>110618.4</v>
      </c>
      <c r="Q18" s="1114">
        <v>0</v>
      </c>
      <c r="R18" s="1116">
        <f>SUM(P18:Q18)</f>
        <v>110618.4</v>
      </c>
    </row>
    <row r="19" spans="1:44" ht="15.3">
      <c r="A19" s="1021" t="s">
        <v>38</v>
      </c>
      <c r="B19" s="1001">
        <v>70000</v>
      </c>
      <c r="C19" s="1131" t="s">
        <v>39</v>
      </c>
      <c r="D19" s="1084" t="s">
        <v>27</v>
      </c>
      <c r="E19" s="1126">
        <v>1</v>
      </c>
      <c r="F19" s="1127" t="s">
        <v>28</v>
      </c>
      <c r="G19" s="1113">
        <v>5</v>
      </c>
      <c r="H19" s="1132">
        <v>3400</v>
      </c>
      <c r="I19" s="1103">
        <f>G19*H19*E19</f>
        <v>17000</v>
      </c>
      <c r="J19" s="1102">
        <v>12</v>
      </c>
      <c r="K19" s="1114">
        <f t="shared" si="1"/>
        <v>42840</v>
      </c>
      <c r="L19" s="1101">
        <v>12</v>
      </c>
      <c r="M19" s="1114">
        <f t="shared" si="2"/>
        <v>44982</v>
      </c>
      <c r="N19" s="1101">
        <v>12</v>
      </c>
      <c r="O19" s="1114">
        <f t="shared" si="3"/>
        <v>47231.1</v>
      </c>
      <c r="P19" s="1104">
        <f t="shared" si="4"/>
        <v>152053.1</v>
      </c>
      <c r="Q19" s="1102">
        <v>0</v>
      </c>
      <c r="R19" s="1105">
        <f t="shared" si="5"/>
        <v>152053.1</v>
      </c>
    </row>
    <row r="20" spans="1:44" ht="15.3">
      <c r="A20" s="1021" t="s">
        <v>40</v>
      </c>
      <c r="B20" s="1001">
        <v>70000</v>
      </c>
      <c r="C20" s="1084" t="s">
        <v>41</v>
      </c>
      <c r="D20" s="1084" t="s">
        <v>27</v>
      </c>
      <c r="E20" s="1126">
        <v>1</v>
      </c>
      <c r="F20" s="1127" t="s">
        <v>28</v>
      </c>
      <c r="G20" s="1113">
        <v>3</v>
      </c>
      <c r="H20" s="1129">
        <v>2000</v>
      </c>
      <c r="I20" s="1103">
        <f t="shared" si="0"/>
        <v>6000</v>
      </c>
      <c r="J20" s="1102">
        <v>12</v>
      </c>
      <c r="K20" s="1114">
        <f t="shared" si="1"/>
        <v>25200</v>
      </c>
      <c r="L20" s="1101">
        <v>12</v>
      </c>
      <c r="M20" s="1114">
        <f t="shared" si="2"/>
        <v>26460</v>
      </c>
      <c r="N20" s="1101">
        <v>8</v>
      </c>
      <c r="O20" s="1114">
        <f t="shared" si="3"/>
        <v>18522</v>
      </c>
      <c r="P20" s="1104">
        <f t="shared" si="4"/>
        <v>76182</v>
      </c>
      <c r="Q20" s="1102">
        <v>0</v>
      </c>
      <c r="R20" s="1105">
        <f t="shared" si="5"/>
        <v>76182</v>
      </c>
    </row>
    <row r="21" spans="1:44" ht="15.3">
      <c r="A21" s="1021" t="s">
        <v>42</v>
      </c>
      <c r="B21" s="1001">
        <v>70000</v>
      </c>
      <c r="C21" s="1084" t="s">
        <v>43</v>
      </c>
      <c r="D21" s="1084" t="s">
        <v>27</v>
      </c>
      <c r="E21" s="1126">
        <v>1</v>
      </c>
      <c r="F21" s="1127" t="s">
        <v>28</v>
      </c>
      <c r="G21" s="1113">
        <v>3</v>
      </c>
      <c r="H21" s="1129">
        <f>15000/12-62</f>
        <v>1188</v>
      </c>
      <c r="I21" s="1103">
        <f t="shared" ref="I21" si="6">G21*H21*E21</f>
        <v>3564</v>
      </c>
      <c r="J21" s="1102">
        <v>12</v>
      </c>
      <c r="K21" s="1114">
        <f t="shared" si="1"/>
        <v>14968.800000000001</v>
      </c>
      <c r="L21" s="1101">
        <v>12</v>
      </c>
      <c r="M21" s="1114">
        <f t="shared" si="2"/>
        <v>15717.240000000002</v>
      </c>
      <c r="N21" s="1101">
        <v>8</v>
      </c>
      <c r="O21" s="1114">
        <f t="shared" si="3"/>
        <v>11002.068000000003</v>
      </c>
      <c r="P21" s="1104">
        <f t="shared" si="4"/>
        <v>45252.108000000007</v>
      </c>
      <c r="Q21" s="1102">
        <v>0</v>
      </c>
      <c r="R21" s="1105">
        <f t="shared" ref="R21" si="7">SUM(P21:Q21)</f>
        <v>45252.108000000007</v>
      </c>
    </row>
    <row r="22" spans="1:44" ht="15.3">
      <c r="A22" s="1021" t="s">
        <v>44</v>
      </c>
      <c r="B22" s="1001">
        <v>70000</v>
      </c>
      <c r="C22" s="1084" t="s">
        <v>45</v>
      </c>
      <c r="D22" s="1084" t="s">
        <v>27</v>
      </c>
      <c r="E22" s="1126">
        <v>1</v>
      </c>
      <c r="F22" s="1127" t="s">
        <v>28</v>
      </c>
      <c r="G22" s="1113">
        <v>3</v>
      </c>
      <c r="H22" s="1129">
        <f>15000/12-62</f>
        <v>1188</v>
      </c>
      <c r="I22" s="1103">
        <f>G22*H22*E22</f>
        <v>3564</v>
      </c>
      <c r="J22" s="1102">
        <v>12</v>
      </c>
      <c r="K22" s="1114">
        <f t="shared" si="1"/>
        <v>14968.800000000001</v>
      </c>
      <c r="L22" s="1101">
        <v>12</v>
      </c>
      <c r="M22" s="1114">
        <f t="shared" si="2"/>
        <v>15717.240000000002</v>
      </c>
      <c r="N22" s="1101">
        <v>8</v>
      </c>
      <c r="O22" s="1114">
        <f t="shared" si="3"/>
        <v>11002.068000000003</v>
      </c>
      <c r="P22" s="1104">
        <f t="shared" si="4"/>
        <v>45252.108000000007</v>
      </c>
      <c r="Q22" s="1102">
        <v>0</v>
      </c>
      <c r="R22" s="1105">
        <f t="shared" ref="R22" si="8">SUM(P22:Q22)</f>
        <v>45252.108000000007</v>
      </c>
      <c r="T22" s="1063"/>
    </row>
    <row r="23" spans="1:44" ht="15.3">
      <c r="A23" s="1023"/>
      <c r="B23" s="1002"/>
      <c r="C23" s="1004" t="s">
        <v>46</v>
      </c>
      <c r="D23" s="1024"/>
      <c r="E23" s="1024"/>
      <c r="F23" s="740"/>
      <c r="G23" s="1008"/>
      <c r="H23" s="1024"/>
      <c r="I23" s="742"/>
      <c r="J23" s="743"/>
      <c r="K23" s="743"/>
      <c r="L23" s="741"/>
      <c r="M23" s="737">
        <f t="shared" ref="M23" si="9">(L23*H23*$D$6*$D$7)</f>
        <v>0</v>
      </c>
      <c r="N23" s="741"/>
      <c r="O23" s="737">
        <f t="shared" ref="O23" si="10">N23*H23*$D$6*$D$7*$D$8</f>
        <v>0</v>
      </c>
      <c r="P23" s="744"/>
      <c r="Q23" s="743"/>
      <c r="R23" s="745"/>
    </row>
    <row r="24" spans="1:44" ht="15.3">
      <c r="A24" s="1134" t="s">
        <v>47</v>
      </c>
      <c r="B24" s="1098">
        <v>50000</v>
      </c>
      <c r="C24" s="1084" t="s">
        <v>48</v>
      </c>
      <c r="D24" s="1084" t="s">
        <v>27</v>
      </c>
      <c r="E24" s="1126">
        <v>0.3</v>
      </c>
      <c r="F24" s="1127" t="s">
        <v>28</v>
      </c>
      <c r="G24" s="1113">
        <v>11</v>
      </c>
      <c r="H24" s="1102">
        <v>10729</v>
      </c>
      <c r="I24" s="1133">
        <f>G24*H24*E24</f>
        <v>35405.699999999997</v>
      </c>
      <c r="J24" s="1102">
        <v>12</v>
      </c>
      <c r="K24" s="1102">
        <f>J24*H24*$D$8*E24</f>
        <v>40555.619999999995</v>
      </c>
      <c r="L24" s="1101">
        <v>12</v>
      </c>
      <c r="M24" s="1102">
        <f>(L24*H24*$D$8*$D$8)*E24</f>
        <v>42583.401000000005</v>
      </c>
      <c r="N24" s="1101">
        <v>12</v>
      </c>
      <c r="O24" s="1102">
        <f>(N24*H24*$D$8*$D$8*$D$8)*E24</f>
        <v>44712.571050000006</v>
      </c>
      <c r="P24" s="1104">
        <f>SUM(I24+K24+M24+O24)</f>
        <v>163257.29204999999</v>
      </c>
      <c r="Q24" s="1102">
        <v>0</v>
      </c>
      <c r="R24" s="1105">
        <f>SUM(P24:Q24)</f>
        <v>163257.29204999999</v>
      </c>
    </row>
    <row r="25" spans="1:44" ht="15.3">
      <c r="A25" s="1021" t="s">
        <v>49</v>
      </c>
      <c r="B25" s="1001">
        <v>50000</v>
      </c>
      <c r="C25" s="1084" t="s">
        <v>50</v>
      </c>
      <c r="D25" s="1084" t="s">
        <v>27</v>
      </c>
      <c r="E25" s="1126">
        <v>0.2</v>
      </c>
      <c r="F25" s="1127" t="s">
        <v>28</v>
      </c>
      <c r="G25" s="1113">
        <v>11</v>
      </c>
      <c r="H25" s="1102">
        <v>10105</v>
      </c>
      <c r="I25" s="1133">
        <f>G25*H25*E25</f>
        <v>22231</v>
      </c>
      <c r="J25" s="1102">
        <v>12</v>
      </c>
      <c r="K25" s="1102">
        <f>J25*H25*$D$8*E25</f>
        <v>25464.600000000002</v>
      </c>
      <c r="L25" s="1101">
        <v>12</v>
      </c>
      <c r="M25" s="1102">
        <f>(L25*H25*$D$8*$D$8)*E25</f>
        <v>26737.83</v>
      </c>
      <c r="N25" s="1101">
        <v>12</v>
      </c>
      <c r="O25" s="1102">
        <f>(N25*H25*$D$8*$D$8*$D$8)*E25</f>
        <v>28074.721500000003</v>
      </c>
      <c r="P25" s="1104">
        <f>SUM(I25+K25+M25+O25)</f>
        <v>102508.15150000001</v>
      </c>
      <c r="Q25" s="1102">
        <v>0</v>
      </c>
      <c r="R25" s="1105">
        <f>SUM(P25:Q25)</f>
        <v>102508.15150000001</v>
      </c>
    </row>
    <row r="26" spans="1:44" ht="15.3">
      <c r="A26" s="1019"/>
      <c r="B26" s="1000"/>
      <c r="C26" s="1004" t="s">
        <v>51</v>
      </c>
      <c r="D26" s="727"/>
      <c r="E26" s="727"/>
      <c r="F26" s="728"/>
      <c r="G26" s="746"/>
      <c r="H26" s="747"/>
      <c r="I26" s="1005">
        <f>SUM(I13:I25)</f>
        <v>263031.3666666667</v>
      </c>
      <c r="J26" s="1025"/>
      <c r="K26" s="1025">
        <f>SUM(K13:K25)</f>
        <v>364757.81999999995</v>
      </c>
      <c r="L26" s="1006"/>
      <c r="M26" s="1025">
        <f>SUM(M13:M25)</f>
        <v>382995.71100000001</v>
      </c>
      <c r="N26" s="1006"/>
      <c r="O26" s="1025">
        <f>SUM(O13:O25)</f>
        <v>351321.12855000002</v>
      </c>
      <c r="P26" s="1007">
        <f>SUM(P13:P25)</f>
        <v>1362106.0262166667</v>
      </c>
      <c r="Q26" s="1025">
        <f>SUM(Q13:Q25)</f>
        <v>0</v>
      </c>
      <c r="R26" s="1026">
        <f>SUM(P26:Q26)</f>
        <v>1362106.0262166667</v>
      </c>
    </row>
    <row r="27" spans="1:44" ht="15.3">
      <c r="A27" s="1019"/>
      <c r="B27" s="1000"/>
      <c r="C27" s="718" t="s">
        <v>52</v>
      </c>
      <c r="D27" s="718"/>
      <c r="E27" s="718"/>
      <c r="F27" s="719"/>
      <c r="G27" s="720"/>
      <c r="H27" s="721"/>
      <c r="I27" s="722"/>
      <c r="J27" s="723"/>
      <c r="K27" s="723"/>
      <c r="L27" s="724"/>
      <c r="M27" s="723"/>
      <c r="N27" s="724"/>
      <c r="O27" s="723"/>
      <c r="P27" s="725"/>
      <c r="Q27" s="723"/>
      <c r="R27" s="726"/>
    </row>
    <row r="28" spans="1:44" ht="15.3">
      <c r="A28" s="1019"/>
      <c r="B28" s="1000"/>
      <c r="C28" s="748"/>
      <c r="D28" s="748"/>
      <c r="E28" s="748"/>
      <c r="F28" s="749"/>
      <c r="G28" s="750"/>
      <c r="H28" s="751"/>
      <c r="I28" s="752"/>
      <c r="J28" s="751"/>
      <c r="K28" s="751"/>
      <c r="L28" s="750"/>
      <c r="M28" s="751"/>
      <c r="N28" s="750"/>
      <c r="O28" s="751"/>
      <c r="P28" s="753"/>
      <c r="Q28" s="751"/>
      <c r="R28" s="754"/>
    </row>
    <row r="29" spans="1:44" ht="15.3">
      <c r="A29" s="1019"/>
      <c r="B29" s="1000"/>
      <c r="C29" s="748" t="s">
        <v>52</v>
      </c>
      <c r="D29" s="748"/>
      <c r="E29" s="748"/>
      <c r="F29" s="749"/>
      <c r="G29" s="750"/>
      <c r="H29" s="751"/>
      <c r="I29" s="752"/>
      <c r="J29" s="751"/>
      <c r="K29" s="751"/>
      <c r="L29" s="750"/>
      <c r="M29" s="751"/>
      <c r="N29" s="750"/>
      <c r="O29" s="751"/>
      <c r="P29" s="753"/>
      <c r="Q29" s="751"/>
      <c r="R29" s="754"/>
    </row>
    <row r="30" spans="1:44" ht="15.3">
      <c r="A30" s="1134" t="s">
        <v>53</v>
      </c>
      <c r="B30" s="1098">
        <v>70015</v>
      </c>
      <c r="C30" s="1084" t="s">
        <v>54</v>
      </c>
      <c r="D30" s="1084" t="s">
        <v>52</v>
      </c>
      <c r="E30" s="1084"/>
      <c r="F30" s="1127" t="s">
        <v>28</v>
      </c>
      <c r="G30" s="1101"/>
      <c r="H30" s="1135">
        <v>0.43330000000000002</v>
      </c>
      <c r="I30" s="1136">
        <f>SUM(I13:I22)*$H30</f>
        <v>88997.50906666668</v>
      </c>
      <c r="J30" s="1102"/>
      <c r="K30" s="1137">
        <f>SUM(K13:K22)*$H30</f>
        <v>129443.00207999999</v>
      </c>
      <c r="L30" s="1101"/>
      <c r="M30" s="1137">
        <f>SUM(M13:M22)*$H30</f>
        <v>135915.15218400001</v>
      </c>
      <c r="N30" s="1101"/>
      <c r="O30" s="1137">
        <f>SUM(O13:O22)*$H30</f>
        <v>120688.7111388</v>
      </c>
      <c r="P30" s="1104">
        <f>SUM(I30+K30+M30+O30)</f>
        <v>475044.37446946668</v>
      </c>
      <c r="Q30" s="1102">
        <v>0</v>
      </c>
      <c r="R30" s="1105">
        <f>SUM(P30:Q30)</f>
        <v>475044.37446946668</v>
      </c>
    </row>
    <row r="31" spans="1:44" s="1064" customFormat="1" ht="15.3">
      <c r="A31" s="1134" t="s">
        <v>55</v>
      </c>
      <c r="B31" s="1098">
        <v>50900</v>
      </c>
      <c r="C31" s="1084" t="s">
        <v>56</v>
      </c>
      <c r="D31" s="1084" t="s">
        <v>52</v>
      </c>
      <c r="E31" s="1084"/>
      <c r="F31" s="1127" t="s">
        <v>28</v>
      </c>
      <c r="G31" s="1101"/>
      <c r="H31" s="1138">
        <v>0.23469999999999999</v>
      </c>
      <c r="I31" s="1103">
        <f>SUM(I24:I25)*$H$31</f>
        <v>13527.333489999999</v>
      </c>
      <c r="J31" s="1102"/>
      <c r="K31" s="1102">
        <f>SUM(K24:K25)*$H$31</f>
        <v>15494.945634</v>
      </c>
      <c r="L31" s="1101"/>
      <c r="M31" s="1102">
        <f>SUM(M24:M25)*$H$31</f>
        <v>16269.6929157</v>
      </c>
      <c r="N31" s="1101"/>
      <c r="O31" s="1102">
        <f>SUM(O24:O25)*$H$31</f>
        <v>17083.177561485001</v>
      </c>
      <c r="P31" s="1104">
        <f>SUM(I31+K31+M31+O31)</f>
        <v>62375.149601184996</v>
      </c>
      <c r="Q31" s="1102">
        <v>0</v>
      </c>
      <c r="R31" s="1105">
        <f>SUM(P31:Q31)</f>
        <v>62375.149601184996</v>
      </c>
      <c r="S31" s="1085"/>
      <c r="T31" s="1085"/>
      <c r="U31" s="1085"/>
      <c r="V31" s="1085"/>
      <c r="W31" s="1085"/>
      <c r="X31" s="1085"/>
      <c r="Y31" s="1085"/>
      <c r="Z31" s="1085"/>
      <c r="AA31" s="1085"/>
      <c r="AB31" s="1085"/>
      <c r="AC31" s="1085"/>
      <c r="AD31" s="1085"/>
      <c r="AE31" s="1085"/>
      <c r="AF31" s="1085"/>
      <c r="AG31" s="1085"/>
      <c r="AH31" s="1085"/>
      <c r="AI31" s="1085"/>
      <c r="AJ31" s="1085"/>
      <c r="AK31" s="1085"/>
      <c r="AL31" s="1085"/>
      <c r="AM31" s="1085"/>
      <c r="AN31" s="1085"/>
      <c r="AO31" s="1085"/>
      <c r="AP31" s="1085"/>
      <c r="AQ31" s="1085"/>
      <c r="AR31" s="1085"/>
    </row>
    <row r="32" spans="1:44" ht="15.3">
      <c r="A32" s="1019"/>
      <c r="B32" s="1000"/>
      <c r="F32" s="756"/>
      <c r="G32" s="757"/>
      <c r="H32" s="758"/>
      <c r="I32" s="759"/>
      <c r="J32" s="758"/>
      <c r="K32" s="758"/>
      <c r="L32" s="760"/>
      <c r="M32" s="758"/>
      <c r="N32" s="760"/>
      <c r="O32" s="758"/>
      <c r="P32" s="761"/>
      <c r="Q32" s="737"/>
      <c r="R32" s="762"/>
    </row>
    <row r="33" spans="1:18" ht="15.3">
      <c r="A33" s="1019"/>
      <c r="B33" s="1000"/>
      <c r="C33" s="764" t="s">
        <v>57</v>
      </c>
      <c r="D33" s="764"/>
      <c r="E33" s="764"/>
      <c r="F33" s="765"/>
      <c r="G33" s="766"/>
      <c r="H33" s="767"/>
      <c r="I33" s="768">
        <f>SUM(I30:I32)</f>
        <v>102524.84255666668</v>
      </c>
      <c r="J33" s="769"/>
      <c r="K33" s="769">
        <f>SUM(K30:K32)</f>
        <v>144937.94771399998</v>
      </c>
      <c r="L33" s="770"/>
      <c r="M33" s="769">
        <f>SUM(M30:M32)</f>
        <v>152184.8450997</v>
      </c>
      <c r="N33" s="770"/>
      <c r="O33" s="769">
        <f>SUM(O30:O32)</f>
        <v>137771.888700285</v>
      </c>
      <c r="P33" s="771">
        <f>SUM(P30:P32)</f>
        <v>537419.52407065174</v>
      </c>
      <c r="Q33" s="769">
        <f>SUM(Q31:Q31)</f>
        <v>0</v>
      </c>
      <c r="R33" s="772">
        <f>SUM(R30:R32)</f>
        <v>537419.52407065174</v>
      </c>
    </row>
    <row r="34" spans="1:18" ht="15.3">
      <c r="A34" s="1019"/>
      <c r="B34" s="1000"/>
      <c r="C34" s="773" t="s">
        <v>58</v>
      </c>
      <c r="D34" s="773"/>
      <c r="E34" s="773"/>
      <c r="F34" s="774"/>
      <c r="G34" s="775"/>
      <c r="H34" s="776"/>
      <c r="I34" s="777"/>
      <c r="J34" s="778"/>
      <c r="K34" s="778"/>
      <c r="L34" s="779"/>
      <c r="M34" s="778"/>
      <c r="N34" s="779"/>
      <c r="O34" s="778"/>
      <c r="P34" s="780"/>
      <c r="Q34" s="778"/>
      <c r="R34" s="781"/>
    </row>
    <row r="35" spans="1:18" ht="15.3">
      <c r="A35" s="1088"/>
      <c r="B35" s="1089"/>
      <c r="C35" s="1139" t="s">
        <v>59</v>
      </c>
      <c r="D35" s="1139"/>
      <c r="E35" s="1139"/>
      <c r="F35" s="1140"/>
      <c r="G35" s="1141"/>
      <c r="H35" s="1142"/>
      <c r="I35" s="1143"/>
      <c r="J35" s="1144"/>
      <c r="K35" s="1144"/>
      <c r="L35" s="1145"/>
      <c r="M35" s="1144"/>
      <c r="N35" s="1145"/>
      <c r="O35" s="1144"/>
      <c r="P35" s="1146"/>
      <c r="Q35" s="1144"/>
      <c r="R35" s="1147"/>
    </row>
    <row r="36" spans="1:18" ht="15.3">
      <c r="A36" s="1097" t="s">
        <v>60</v>
      </c>
      <c r="B36" s="1098">
        <v>86040</v>
      </c>
      <c r="C36" s="1099" t="s">
        <v>61</v>
      </c>
      <c r="D36" s="1099" t="s">
        <v>58</v>
      </c>
      <c r="E36" s="1099"/>
      <c r="F36" s="1100" t="s">
        <v>62</v>
      </c>
      <c r="G36" s="1101"/>
      <c r="H36" s="1102">
        <v>650</v>
      </c>
      <c r="I36" s="1103">
        <f>G36*H36</f>
        <v>0</v>
      </c>
      <c r="J36" s="1102">
        <v>2</v>
      </c>
      <c r="K36" s="1102">
        <f>J36*H36*$D$7</f>
        <v>1352</v>
      </c>
      <c r="L36" s="1101">
        <v>0</v>
      </c>
      <c r="M36" s="1102">
        <f>L36*H36*$D$7*$D$7</f>
        <v>0</v>
      </c>
      <c r="N36" s="1101">
        <v>0</v>
      </c>
      <c r="O36" s="1102">
        <f>N36*H36*$D$7*$D$7*$D$7</f>
        <v>0</v>
      </c>
      <c r="P36" s="1104">
        <f>SUM(I36+K36+M36+O36)</f>
        <v>1352</v>
      </c>
      <c r="Q36" s="1102" t="s">
        <v>63</v>
      </c>
      <c r="R36" s="1105">
        <f>SUM(P36:Q36)</f>
        <v>1352</v>
      </c>
    </row>
    <row r="37" spans="1:18" ht="31.5" customHeight="1">
      <c r="A37" s="1109" t="s">
        <v>64</v>
      </c>
      <c r="B37" s="1110" t="s">
        <v>65</v>
      </c>
      <c r="C37" s="1099" t="s">
        <v>66</v>
      </c>
      <c r="D37" s="1099" t="s">
        <v>58</v>
      </c>
      <c r="E37" s="1099"/>
      <c r="F37" s="1100" t="s">
        <v>67</v>
      </c>
      <c r="G37" s="1101"/>
      <c r="H37" s="1102">
        <f>(258+79)*90%</f>
        <v>303.3</v>
      </c>
      <c r="I37" s="1103">
        <f>G37*H37</f>
        <v>0</v>
      </c>
      <c r="J37" s="1102">
        <v>10</v>
      </c>
      <c r="K37" s="1102">
        <f t="shared" ref="K37:K39" si="11">J37*H37*$D$7</f>
        <v>3154.32</v>
      </c>
      <c r="L37" s="1101">
        <v>0</v>
      </c>
      <c r="M37" s="1102">
        <f>L37*H37*$D$7*$D$7</f>
        <v>0</v>
      </c>
      <c r="N37" s="1101">
        <v>0</v>
      </c>
      <c r="O37" s="1102">
        <f t="shared" ref="O37:O43" si="12">N37*H37*$D$7*$D$7*$D$7</f>
        <v>0</v>
      </c>
      <c r="P37" s="1104">
        <f>SUM(I37+K37+M37+O37)</f>
        <v>3154.32</v>
      </c>
      <c r="Q37" s="1102" t="s">
        <v>63</v>
      </c>
      <c r="R37" s="1105">
        <f>SUM(P37:Q37)</f>
        <v>3154.32</v>
      </c>
    </row>
    <row r="38" spans="1:18" ht="15.3">
      <c r="A38" s="1097" t="s">
        <v>68</v>
      </c>
      <c r="B38" s="1098">
        <v>86000</v>
      </c>
      <c r="C38" s="1099" t="s">
        <v>69</v>
      </c>
      <c r="D38" s="1099" t="s">
        <v>58</v>
      </c>
      <c r="E38" s="1099"/>
      <c r="F38" s="1100" t="s">
        <v>67</v>
      </c>
      <c r="G38" s="1101"/>
      <c r="H38" s="1102">
        <v>60</v>
      </c>
      <c r="I38" s="1103">
        <f>G38*H38</f>
        <v>0</v>
      </c>
      <c r="J38" s="1102">
        <v>10</v>
      </c>
      <c r="K38" s="1102">
        <f t="shared" si="11"/>
        <v>624</v>
      </c>
      <c r="L38" s="1101">
        <v>0</v>
      </c>
      <c r="M38" s="1102">
        <f>L38*H38*$D$7*$D$7</f>
        <v>0</v>
      </c>
      <c r="N38" s="1101">
        <v>0</v>
      </c>
      <c r="O38" s="1102">
        <f t="shared" si="12"/>
        <v>0</v>
      </c>
      <c r="P38" s="1104">
        <f>SUM(I38+K38+M38+O38)</f>
        <v>624</v>
      </c>
      <c r="Q38" s="1102" t="s">
        <v>63</v>
      </c>
      <c r="R38" s="1105">
        <f>SUM(P38:Q38)</f>
        <v>624</v>
      </c>
    </row>
    <row r="39" spans="1:18" ht="15.3">
      <c r="A39" s="1097" t="s">
        <v>70</v>
      </c>
      <c r="B39" s="1098">
        <v>86050</v>
      </c>
      <c r="C39" s="1099" t="s">
        <v>71</v>
      </c>
      <c r="D39" s="1099" t="s">
        <v>58</v>
      </c>
      <c r="E39" s="1099"/>
      <c r="F39" s="1100" t="s">
        <v>62</v>
      </c>
      <c r="G39" s="1101"/>
      <c r="H39" s="1102">
        <v>160</v>
      </c>
      <c r="I39" s="1103">
        <f>G39*H39</f>
        <v>0</v>
      </c>
      <c r="J39" s="1102">
        <v>2</v>
      </c>
      <c r="K39" s="1102">
        <f t="shared" si="11"/>
        <v>332.8</v>
      </c>
      <c r="L39" s="1101">
        <v>0</v>
      </c>
      <c r="M39" s="1102">
        <f>L39*H39*$D$7*$D$7</f>
        <v>0</v>
      </c>
      <c r="N39" s="1101">
        <v>0</v>
      </c>
      <c r="O39" s="1102">
        <f t="shared" si="12"/>
        <v>0</v>
      </c>
      <c r="P39" s="1104">
        <f>SUM(I39+K39+M39+O39)</f>
        <v>332.8</v>
      </c>
      <c r="Q39" s="1102" t="s">
        <v>63</v>
      </c>
      <c r="R39" s="1105">
        <f>SUM(P39:Q39)</f>
        <v>332.8</v>
      </c>
    </row>
    <row r="40" spans="1:18" ht="15.3">
      <c r="A40" s="1148"/>
      <c r="B40" s="1149"/>
      <c r="C40" s="1139" t="s">
        <v>72</v>
      </c>
      <c r="D40" s="1139"/>
      <c r="E40" s="1139"/>
      <c r="F40" s="1100"/>
      <c r="G40" s="1101"/>
      <c r="H40" s="1102"/>
      <c r="I40" s="1103"/>
      <c r="J40" s="1102"/>
      <c r="K40" s="1102"/>
      <c r="L40" s="1101"/>
      <c r="M40" s="1102"/>
      <c r="N40" s="1101"/>
      <c r="O40" s="1102"/>
      <c r="P40" s="1104"/>
      <c r="Q40" s="1102"/>
      <c r="R40" s="1105"/>
    </row>
    <row r="41" spans="1:18" ht="15.3">
      <c r="A41" s="1097" t="s">
        <v>73</v>
      </c>
      <c r="B41" s="1098">
        <v>86040</v>
      </c>
      <c r="C41" s="1099" t="s">
        <v>74</v>
      </c>
      <c r="D41" s="1099" t="s">
        <v>58</v>
      </c>
      <c r="E41" s="1099"/>
      <c r="F41" s="1100" t="s">
        <v>62</v>
      </c>
      <c r="G41" s="1101">
        <v>2</v>
      </c>
      <c r="H41" s="1102">
        <v>650</v>
      </c>
      <c r="I41" s="1103">
        <f>G41*H41</f>
        <v>1300</v>
      </c>
      <c r="J41" s="1102">
        <v>2</v>
      </c>
      <c r="K41" s="1102">
        <f>J41*H41*$D$7</f>
        <v>1352</v>
      </c>
      <c r="L41" s="1101">
        <v>2</v>
      </c>
      <c r="M41" s="1102">
        <f>L41*H41*$D$7*$D$7</f>
        <v>1406.0800000000002</v>
      </c>
      <c r="N41" s="1101">
        <v>2</v>
      </c>
      <c r="O41" s="1102">
        <f t="shared" si="12"/>
        <v>1462.3232000000003</v>
      </c>
      <c r="P41" s="1104">
        <f>SUM(I41+K41+M41+O41)</f>
        <v>5520.4032000000007</v>
      </c>
      <c r="Q41" s="1102" t="s">
        <v>63</v>
      </c>
      <c r="R41" s="1105">
        <f>SUM(P41:Q41)</f>
        <v>5520.4032000000007</v>
      </c>
    </row>
    <row r="42" spans="1:18" ht="30.6">
      <c r="A42" s="1109" t="s">
        <v>75</v>
      </c>
      <c r="B42" s="1110" t="s">
        <v>65</v>
      </c>
      <c r="C42" s="1111" t="s">
        <v>66</v>
      </c>
      <c r="D42" s="1111" t="s">
        <v>58</v>
      </c>
      <c r="E42" s="1111"/>
      <c r="F42" s="1112" t="s">
        <v>67</v>
      </c>
      <c r="G42" s="1113">
        <v>5</v>
      </c>
      <c r="H42" s="1114">
        <f>(258+79)*90%</f>
        <v>303.3</v>
      </c>
      <c r="I42" s="973">
        <f>G42*H42</f>
        <v>1516.5</v>
      </c>
      <c r="J42" s="1114">
        <v>10</v>
      </c>
      <c r="K42" s="1114">
        <f t="shared" ref="K42:K43" si="13">J42*H42*$D$7</f>
        <v>3154.32</v>
      </c>
      <c r="L42" s="1113">
        <v>10</v>
      </c>
      <c r="M42" s="1114">
        <f>L42*H42*$D$7*$D$7</f>
        <v>3280.4928000000004</v>
      </c>
      <c r="N42" s="1113">
        <v>10</v>
      </c>
      <c r="O42" s="1114">
        <f t="shared" si="12"/>
        <v>3411.7125120000005</v>
      </c>
      <c r="P42" s="1115">
        <f>SUM(I42+K42+M42+O42)</f>
        <v>11363.025312</v>
      </c>
      <c r="Q42" s="1114" t="s">
        <v>63</v>
      </c>
      <c r="R42" s="1116">
        <f>SUM(P42:Q42)</f>
        <v>11363.025312</v>
      </c>
    </row>
    <row r="43" spans="1:18" ht="15.3">
      <c r="A43" s="1097" t="s">
        <v>76</v>
      </c>
      <c r="B43" s="1098">
        <v>86000</v>
      </c>
      <c r="C43" s="1099" t="s">
        <v>69</v>
      </c>
      <c r="D43" s="1099" t="s">
        <v>58</v>
      </c>
      <c r="E43" s="1099"/>
      <c r="F43" s="1100" t="s">
        <v>67</v>
      </c>
      <c r="G43" s="1101">
        <v>5</v>
      </c>
      <c r="H43" s="1102">
        <v>60</v>
      </c>
      <c r="I43" s="1103">
        <f>G43*H43</f>
        <v>300</v>
      </c>
      <c r="J43" s="1102">
        <v>10</v>
      </c>
      <c r="K43" s="1102">
        <f t="shared" si="13"/>
        <v>624</v>
      </c>
      <c r="L43" s="1101">
        <v>10</v>
      </c>
      <c r="M43" s="1102">
        <f>L43*H43*$D$7*$D$7</f>
        <v>648.96</v>
      </c>
      <c r="N43" s="1101">
        <v>10</v>
      </c>
      <c r="O43" s="1102">
        <f t="shared" si="12"/>
        <v>674.91840000000002</v>
      </c>
      <c r="P43" s="1104">
        <f>SUM(I43+K43+M43+O43)</f>
        <v>2247.8784000000001</v>
      </c>
      <c r="Q43" s="1102" t="s">
        <v>63</v>
      </c>
      <c r="R43" s="1105">
        <f>SUM(P43:Q43)</f>
        <v>2247.8784000000001</v>
      </c>
    </row>
    <row r="44" spans="1:18" ht="15.3">
      <c r="A44" s="1148"/>
      <c r="B44" s="1149"/>
      <c r="C44" s="1139" t="s">
        <v>77</v>
      </c>
      <c r="D44" s="1139"/>
      <c r="E44" s="1139"/>
      <c r="F44" s="1100"/>
      <c r="G44" s="1101"/>
      <c r="H44" s="1102"/>
      <c r="I44" s="1103"/>
      <c r="J44" s="1102"/>
      <c r="K44" s="1102"/>
      <c r="L44" s="1101"/>
      <c r="M44" s="1102"/>
      <c r="N44" s="1101"/>
      <c r="O44" s="1102"/>
      <c r="P44" s="1104"/>
      <c r="Q44" s="1102"/>
      <c r="R44" s="1105"/>
    </row>
    <row r="45" spans="1:18" ht="15.3">
      <c r="A45" s="1097" t="s">
        <v>78</v>
      </c>
      <c r="B45" s="1098">
        <v>86040</v>
      </c>
      <c r="C45" s="1099" t="s">
        <v>79</v>
      </c>
      <c r="D45" s="1099" t="s">
        <v>58</v>
      </c>
      <c r="E45" s="1099"/>
      <c r="F45" s="1100" t="s">
        <v>62</v>
      </c>
      <c r="G45" s="1101">
        <v>4</v>
      </c>
      <c r="H45" s="1102">
        <v>650</v>
      </c>
      <c r="I45" s="1103">
        <f>G45*H45</f>
        <v>2600</v>
      </c>
      <c r="J45" s="1102">
        <v>1</v>
      </c>
      <c r="K45" s="1102">
        <f>J45*H45*$D$7</f>
        <v>676</v>
      </c>
      <c r="L45" s="1101">
        <v>1</v>
      </c>
      <c r="M45" s="1102">
        <f>L45*H45*$D$7*$D$7</f>
        <v>703.04000000000008</v>
      </c>
      <c r="N45" s="1101">
        <v>1</v>
      </c>
      <c r="O45" s="1102">
        <f t="shared" ref="O45:O48" si="14">N45*H45*$D$7*$D$7*$D$7</f>
        <v>731.16160000000013</v>
      </c>
      <c r="P45" s="1104">
        <f>SUM(I45+K45+M45+O45)</f>
        <v>4710.2016000000003</v>
      </c>
      <c r="Q45" s="1102" t="s">
        <v>63</v>
      </c>
      <c r="R45" s="1105">
        <f>SUM(P45:Q45)</f>
        <v>4710.2016000000003</v>
      </c>
    </row>
    <row r="46" spans="1:18" ht="30.6">
      <c r="A46" s="1109" t="s">
        <v>80</v>
      </c>
      <c r="B46" s="1110" t="s">
        <v>65</v>
      </c>
      <c r="C46" s="1111" t="s">
        <v>81</v>
      </c>
      <c r="D46" s="1111" t="s">
        <v>58</v>
      </c>
      <c r="E46" s="1111"/>
      <c r="F46" s="1112" t="s">
        <v>67</v>
      </c>
      <c r="G46" s="1113">
        <v>20</v>
      </c>
      <c r="H46" s="1114">
        <f>(295)*90%</f>
        <v>265.5</v>
      </c>
      <c r="I46" s="973">
        <f>G46*H46</f>
        <v>5310</v>
      </c>
      <c r="J46" s="1114">
        <v>7</v>
      </c>
      <c r="K46" s="1114">
        <f t="shared" ref="K46:K48" si="15">J46*H46*$D$7</f>
        <v>1932.8400000000001</v>
      </c>
      <c r="L46" s="1113">
        <v>7</v>
      </c>
      <c r="M46" s="1114">
        <f>L46*H46*$D$7*$D$7</f>
        <v>2010.1536000000003</v>
      </c>
      <c r="N46" s="1113">
        <v>7</v>
      </c>
      <c r="O46" s="1114">
        <f t="shared" si="14"/>
        <v>2090.5597440000006</v>
      </c>
      <c r="P46" s="1115">
        <f>SUM(I46+K46+M46+O46)</f>
        <v>11343.553344</v>
      </c>
      <c r="Q46" s="1114" t="s">
        <v>63</v>
      </c>
      <c r="R46" s="1116">
        <f>SUM(P46:Q46)</f>
        <v>11343.553344</v>
      </c>
    </row>
    <row r="47" spans="1:18" ht="15.3">
      <c r="A47" s="1097" t="s">
        <v>82</v>
      </c>
      <c r="B47" s="1098">
        <v>86000</v>
      </c>
      <c r="C47" s="1099" t="s">
        <v>83</v>
      </c>
      <c r="D47" s="1099" t="s">
        <v>58</v>
      </c>
      <c r="E47" s="1099"/>
      <c r="F47" s="1100" t="s">
        <v>67</v>
      </c>
      <c r="G47" s="1101">
        <v>20</v>
      </c>
      <c r="H47" s="1102">
        <v>60</v>
      </c>
      <c r="I47" s="1103">
        <f>G47*H47</f>
        <v>1200</v>
      </c>
      <c r="J47" s="1102">
        <v>7</v>
      </c>
      <c r="K47" s="1102">
        <f t="shared" si="15"/>
        <v>436.8</v>
      </c>
      <c r="L47" s="1101">
        <v>7</v>
      </c>
      <c r="M47" s="1102">
        <f>L47*H47*$D$7*$D$7</f>
        <v>454.27200000000005</v>
      </c>
      <c r="N47" s="1101">
        <v>7</v>
      </c>
      <c r="O47" s="1102">
        <f t="shared" si="14"/>
        <v>472.44288000000006</v>
      </c>
      <c r="P47" s="1104">
        <f>SUM(I47+K47+M47+O47)</f>
        <v>2563.5148800000002</v>
      </c>
      <c r="Q47" s="1102" t="s">
        <v>63</v>
      </c>
      <c r="R47" s="1105">
        <f>SUM(P47:Q47)</f>
        <v>2563.5148800000002</v>
      </c>
    </row>
    <row r="48" spans="1:18" ht="15.3">
      <c r="A48" s="1097" t="s">
        <v>84</v>
      </c>
      <c r="B48" s="1098">
        <v>86050</v>
      </c>
      <c r="C48" s="1099" t="s">
        <v>85</v>
      </c>
      <c r="D48" s="1099" t="s">
        <v>58</v>
      </c>
      <c r="E48" s="1099"/>
      <c r="F48" s="1100" t="s">
        <v>62</v>
      </c>
      <c r="G48" s="1101">
        <v>1</v>
      </c>
      <c r="H48" s="1102">
        <v>160</v>
      </c>
      <c r="I48" s="1103">
        <f>G48*H48</f>
        <v>160</v>
      </c>
      <c r="J48" s="1102">
        <v>1</v>
      </c>
      <c r="K48" s="1102">
        <f t="shared" si="15"/>
        <v>166.4</v>
      </c>
      <c r="L48" s="1101">
        <v>1</v>
      </c>
      <c r="M48" s="1102">
        <f>L48*H48*$D$7*$D$7</f>
        <v>173.05600000000001</v>
      </c>
      <c r="N48" s="1101">
        <v>1</v>
      </c>
      <c r="O48" s="1102">
        <f t="shared" si="14"/>
        <v>179.97824000000003</v>
      </c>
      <c r="P48" s="1104">
        <f>SUM(I48+K48+M48+O48)</f>
        <v>679.43424000000005</v>
      </c>
      <c r="Q48" s="1102" t="s">
        <v>63</v>
      </c>
      <c r="R48" s="1105">
        <f>SUM(P48:Q48)</f>
        <v>679.43424000000005</v>
      </c>
    </row>
    <row r="49" spans="1:18" ht="45.9">
      <c r="A49" s="1109" t="s">
        <v>86</v>
      </c>
      <c r="B49" s="1110" t="s">
        <v>87</v>
      </c>
      <c r="C49" s="1150" t="s">
        <v>88</v>
      </c>
      <c r="D49" s="1150"/>
      <c r="E49" s="1150"/>
      <c r="F49" s="1112"/>
      <c r="G49" s="1113"/>
      <c r="H49" s="1114"/>
      <c r="I49" s="1151">
        <f>+' Activities Detail'!L280</f>
        <v>0</v>
      </c>
      <c r="J49" s="1152"/>
      <c r="K49" s="1152">
        <f>+' Activities Detail'!O280</f>
        <v>51812.799999999981</v>
      </c>
      <c r="L49" s="1153"/>
      <c r="M49" s="1152">
        <f>+' Activities Detail'!R280</f>
        <v>35524.070400000011</v>
      </c>
      <c r="N49" s="1153"/>
      <c r="O49" s="1152">
        <f>+' Activities Detail'!U280</f>
        <v>55310.687744000024</v>
      </c>
      <c r="P49" s="1115">
        <f>SUM(I49+K49+M49+O49)</f>
        <v>142647.55814400001</v>
      </c>
      <c r="Q49" s="1114"/>
      <c r="R49" s="1116">
        <f>SUM(P49:Q49)</f>
        <v>142647.55814400001</v>
      </c>
    </row>
    <row r="50" spans="1:18" ht="15.3">
      <c r="A50" s="1088"/>
      <c r="B50" s="1089"/>
      <c r="C50" s="1084"/>
      <c r="D50" s="1099"/>
      <c r="E50" s="1099"/>
      <c r="F50" s="1100"/>
      <c r="G50" s="1101"/>
      <c r="H50" s="1102"/>
      <c r="I50" s="1103"/>
      <c r="J50" s="1102"/>
      <c r="K50" s="1102"/>
      <c r="L50" s="1101"/>
      <c r="M50" s="1102"/>
      <c r="N50" s="1101"/>
      <c r="O50" s="1102"/>
      <c r="P50" s="1104"/>
      <c r="Q50" s="1102"/>
      <c r="R50" s="1105"/>
    </row>
    <row r="51" spans="1:18" ht="15.3">
      <c r="A51" s="1088"/>
      <c r="B51" s="1089"/>
      <c r="C51" s="1154" t="s">
        <v>89</v>
      </c>
      <c r="D51" s="1154"/>
      <c r="E51" s="1154"/>
      <c r="F51" s="1155"/>
      <c r="G51" s="1156"/>
      <c r="H51" s="1157"/>
      <c r="I51" s="1158">
        <f>SUM(I36:I49)</f>
        <v>12386.5</v>
      </c>
      <c r="J51" s="1159"/>
      <c r="K51" s="1159">
        <f>SUM(K36:K49)</f>
        <v>65618.279999999984</v>
      </c>
      <c r="L51" s="1160"/>
      <c r="M51" s="1159">
        <f>SUM(M36:M49)</f>
        <v>44200.124800000012</v>
      </c>
      <c r="N51" s="1160"/>
      <c r="O51" s="1159">
        <f>SUM(O36:O49)</f>
        <v>64333.784320000028</v>
      </c>
      <c r="P51" s="1161">
        <f>SUM(P36:P49)</f>
        <v>186538.68912000002</v>
      </c>
      <c r="Q51" s="1159">
        <f>SUM(Q36:Q49)</f>
        <v>0</v>
      </c>
      <c r="R51" s="1162">
        <f>SUM(P51:Q51)</f>
        <v>186538.68912000002</v>
      </c>
    </row>
    <row r="52" spans="1:18" ht="15.3">
      <c r="A52" s="1019"/>
      <c r="B52" s="1000"/>
      <c r="C52" s="719" t="s">
        <v>90</v>
      </c>
      <c r="D52" s="719"/>
      <c r="E52" s="719"/>
      <c r="F52" s="719"/>
      <c r="G52" s="720"/>
      <c r="H52" s="721"/>
      <c r="I52" s="722"/>
      <c r="J52" s="723"/>
      <c r="K52" s="723"/>
      <c r="L52" s="724"/>
      <c r="M52" s="723"/>
      <c r="N52" s="724"/>
      <c r="O52" s="723"/>
      <c r="P52" s="725"/>
      <c r="Q52" s="723"/>
      <c r="R52" s="726"/>
    </row>
    <row r="53" spans="1:18" ht="15.3">
      <c r="A53" s="1019"/>
      <c r="B53" s="1000"/>
      <c r="C53" s="713" t="s">
        <v>91</v>
      </c>
      <c r="D53" s="734" t="s">
        <v>90</v>
      </c>
      <c r="E53" s="734"/>
      <c r="F53" s="713" t="s">
        <v>92</v>
      </c>
      <c r="G53" s="735"/>
      <c r="H53" s="737"/>
      <c r="I53" s="736"/>
      <c r="J53" s="737">
        <v>0</v>
      </c>
      <c r="K53" s="737">
        <f>J53*H53*Assumptions!$C$19</f>
        <v>0</v>
      </c>
      <c r="L53" s="735">
        <v>0</v>
      </c>
      <c r="M53" s="737">
        <f>L53*H53*Assumptions!$C$19*Assumptions!$C$19</f>
        <v>0</v>
      </c>
      <c r="N53" s="735">
        <v>0</v>
      </c>
      <c r="O53" s="737">
        <f>N53*H53*Assumptions!$C$19*Assumptions!$C$19*Assumptions!$C$19</f>
        <v>0</v>
      </c>
      <c r="P53" s="738">
        <f t="shared" ref="P53" si="16">SUM(I53+K53+M53+O53)</f>
        <v>0</v>
      </c>
      <c r="Q53" s="737">
        <v>0</v>
      </c>
      <c r="R53" s="739">
        <f>SUM(P53:Q53)</f>
        <v>0</v>
      </c>
    </row>
    <row r="54" spans="1:18" ht="15.3">
      <c r="A54" s="1019"/>
      <c r="B54" s="1000"/>
      <c r="D54" s="734"/>
      <c r="E54" s="734"/>
      <c r="G54" s="735"/>
      <c r="H54" s="737"/>
      <c r="I54" s="736"/>
      <c r="J54" s="737"/>
      <c r="K54" s="737"/>
      <c r="L54" s="735"/>
      <c r="M54" s="737"/>
      <c r="N54" s="735"/>
      <c r="O54" s="737"/>
      <c r="P54" s="738"/>
      <c r="Q54" s="737"/>
      <c r="R54" s="739"/>
    </row>
    <row r="55" spans="1:18" ht="15.6" thickBot="1">
      <c r="A55" s="1019"/>
      <c r="B55" s="1000"/>
      <c r="C55" s="764" t="s">
        <v>93</v>
      </c>
      <c r="D55" s="764"/>
      <c r="E55" s="764"/>
      <c r="F55" s="765"/>
      <c r="G55" s="766"/>
      <c r="H55" s="767"/>
      <c r="I55" s="768">
        <f>SUM(I53)</f>
        <v>0</v>
      </c>
      <c r="J55" s="769"/>
      <c r="K55" s="769">
        <f>SUM(K53)</f>
        <v>0</v>
      </c>
      <c r="L55" s="770"/>
      <c r="M55" s="769">
        <f>SUM(M53)</f>
        <v>0</v>
      </c>
      <c r="N55" s="770"/>
      <c r="O55" s="769">
        <f>SUM(O53)</f>
        <v>0</v>
      </c>
      <c r="P55" s="771">
        <f>SUM(P53)</f>
        <v>0</v>
      </c>
      <c r="Q55" s="769">
        <f>SUM(Q53)</f>
        <v>0</v>
      </c>
      <c r="R55" s="783">
        <f>SUM(P55:Q55)</f>
        <v>0</v>
      </c>
    </row>
    <row r="56" spans="1:18" ht="15.3">
      <c r="A56" s="1019"/>
      <c r="B56" s="1000"/>
      <c r="C56" s="1052" t="s">
        <v>94</v>
      </c>
      <c r="D56" s="1052"/>
      <c r="E56" s="1052"/>
      <c r="F56" s="1052"/>
      <c r="G56" s="1053"/>
      <c r="H56" s="1054"/>
      <c r="I56" s="1055"/>
      <c r="J56" s="1056"/>
      <c r="K56" s="1056"/>
      <c r="L56" s="1057"/>
      <c r="M56" s="1056"/>
      <c r="N56" s="1057"/>
      <c r="O56" s="1056"/>
      <c r="P56" s="1058"/>
      <c r="Q56" s="1056"/>
      <c r="R56" s="1059"/>
    </row>
    <row r="57" spans="1:18" ht="15.3">
      <c r="A57" s="1027" t="s">
        <v>95</v>
      </c>
      <c r="B57" s="1001">
        <v>82401</v>
      </c>
      <c r="C57" s="1099" t="s">
        <v>96</v>
      </c>
      <c r="D57" s="1084" t="s">
        <v>94</v>
      </c>
      <c r="E57" s="1084"/>
      <c r="F57" s="1099" t="s">
        <v>92</v>
      </c>
      <c r="G57" s="1101">
        <v>7</v>
      </c>
      <c r="H57" s="1163">
        <f>1254.6</f>
        <v>1254.5999999999999</v>
      </c>
      <c r="I57" s="1103">
        <f>G57*H57</f>
        <v>8782.1999999999989</v>
      </c>
      <c r="J57" s="1102"/>
      <c r="K57" s="1102">
        <f>J57*H57*$D$7</f>
        <v>0</v>
      </c>
      <c r="L57" s="1101">
        <v>0</v>
      </c>
      <c r="M57" s="1102">
        <f>L57*H57*$D$7*$D$7</f>
        <v>0</v>
      </c>
      <c r="N57" s="1101">
        <v>0</v>
      </c>
      <c r="O57" s="1102">
        <f>N57*H57*$D$7*$D$7*$D$7</f>
        <v>0</v>
      </c>
      <c r="P57" s="1104">
        <f>SUM(I57+K57+M57+O57)</f>
        <v>8782.1999999999989</v>
      </c>
      <c r="Q57" s="1102">
        <v>0</v>
      </c>
      <c r="R57" s="1105">
        <f>SUM(P57:Q57)</f>
        <v>8782.1999999999989</v>
      </c>
    </row>
    <row r="58" spans="1:18" ht="15.3">
      <c r="A58" s="1021" t="s">
        <v>97</v>
      </c>
      <c r="B58" s="1001">
        <v>82401</v>
      </c>
      <c r="C58" s="1084" t="s">
        <v>98</v>
      </c>
      <c r="D58" s="1084" t="s">
        <v>94</v>
      </c>
      <c r="E58" s="1084"/>
      <c r="F58" s="1100" t="s">
        <v>28</v>
      </c>
      <c r="G58" s="1101">
        <v>9</v>
      </c>
      <c r="H58" s="1102">
        <v>125</v>
      </c>
      <c r="I58" s="1103">
        <f>H58*G58</f>
        <v>1125</v>
      </c>
      <c r="J58" s="1102">
        <v>12</v>
      </c>
      <c r="K58" s="1102">
        <f>J58*H58*$D$7</f>
        <v>1560</v>
      </c>
      <c r="L58" s="1101">
        <v>12</v>
      </c>
      <c r="M58" s="1102">
        <f t="shared" ref="M58" si="17">L58*H58*$D$7*$D$7</f>
        <v>1622.4</v>
      </c>
      <c r="N58" s="1101">
        <v>12</v>
      </c>
      <c r="O58" s="1102">
        <f t="shared" ref="O58" si="18">N58*H58*$D$7*$D$7*$D$7</f>
        <v>1687.296</v>
      </c>
      <c r="P58" s="1104">
        <f>SUM(I58+K58+M58+O58)</f>
        <v>5994.6959999999999</v>
      </c>
      <c r="Q58" s="1102">
        <v>0</v>
      </c>
      <c r="R58" s="1105">
        <f t="shared" ref="R58" si="19">SUM(P58:Q58)</f>
        <v>5994.6959999999999</v>
      </c>
    </row>
    <row r="59" spans="1:18" ht="15.3">
      <c r="A59" s="1019"/>
      <c r="B59" s="1000"/>
      <c r="C59" s="1084"/>
      <c r="D59" s="1084"/>
      <c r="E59" s="1084"/>
      <c r="F59" s="1100"/>
      <c r="G59" s="1164"/>
      <c r="H59" s="1165"/>
      <c r="I59" s="1166"/>
      <c r="J59" s="1167"/>
      <c r="K59" s="1167"/>
      <c r="L59" s="1168"/>
      <c r="M59" s="1167"/>
      <c r="N59" s="1168"/>
      <c r="O59" s="1167"/>
      <c r="P59" s="1169"/>
      <c r="Q59" s="1167"/>
      <c r="R59" s="1170"/>
    </row>
    <row r="60" spans="1:18" ht="15.3">
      <c r="A60" s="1019"/>
      <c r="B60" s="1000"/>
      <c r="C60" s="785" t="s">
        <v>99</v>
      </c>
      <c r="D60" s="785"/>
      <c r="E60" s="785"/>
      <c r="F60" s="764"/>
      <c r="G60" s="786"/>
      <c r="H60" s="787"/>
      <c r="I60" s="788">
        <f>SUM(I57:I58)</f>
        <v>9907.1999999999989</v>
      </c>
      <c r="J60" s="789"/>
      <c r="K60" s="789">
        <f>SUM(K57:K58)</f>
        <v>1560</v>
      </c>
      <c r="L60" s="790"/>
      <c r="M60" s="789">
        <f>SUM(M57:M58)</f>
        <v>1622.4</v>
      </c>
      <c r="N60" s="790"/>
      <c r="O60" s="789">
        <f>SUM(O57:O58)</f>
        <v>1687.296</v>
      </c>
      <c r="P60" s="791">
        <f>SUM(P57:P58)</f>
        <v>14776.895999999999</v>
      </c>
      <c r="Q60" s="789">
        <f>SUM(Q57:Q58)</f>
        <v>0</v>
      </c>
      <c r="R60" s="783">
        <f>SUM(P60:Q60)</f>
        <v>14776.895999999999</v>
      </c>
    </row>
    <row r="61" spans="1:18" ht="15.3">
      <c r="A61" s="1019"/>
      <c r="B61" s="1000"/>
      <c r="C61" s="990" t="s">
        <v>100</v>
      </c>
      <c r="D61" s="792"/>
      <c r="E61" s="792"/>
      <c r="F61" s="792"/>
      <c r="G61" s="793"/>
      <c r="H61" s="792"/>
      <c r="I61" s="794"/>
      <c r="J61" s="792"/>
      <c r="K61" s="792"/>
      <c r="L61" s="793"/>
      <c r="M61" s="792"/>
      <c r="N61" s="793"/>
      <c r="O61" s="792"/>
      <c r="P61" s="795"/>
      <c r="Q61" s="792"/>
      <c r="R61" s="796"/>
    </row>
    <row r="62" spans="1:18" ht="15.3">
      <c r="A62" s="1019"/>
      <c r="B62" s="1000"/>
      <c r="C62" s="734"/>
      <c r="D62" s="734"/>
      <c r="E62" s="734"/>
      <c r="F62" s="782"/>
      <c r="G62" s="735"/>
      <c r="H62" s="737"/>
      <c r="I62" s="736"/>
      <c r="J62" s="737"/>
      <c r="K62" s="737"/>
      <c r="L62" s="735"/>
      <c r="M62" s="737"/>
      <c r="N62" s="735"/>
      <c r="O62" s="737"/>
      <c r="P62" s="738"/>
      <c r="Q62" s="737"/>
      <c r="R62" s="739"/>
    </row>
    <row r="63" spans="1:18" ht="15.3">
      <c r="A63" s="1021" t="s">
        <v>101</v>
      </c>
      <c r="B63" s="1001">
        <v>89050</v>
      </c>
      <c r="C63" s="1084" t="s">
        <v>102</v>
      </c>
      <c r="D63" s="1084" t="s">
        <v>103</v>
      </c>
      <c r="E63" s="1084"/>
      <c r="F63" s="1100" t="s">
        <v>104</v>
      </c>
      <c r="G63" s="1101">
        <v>1</v>
      </c>
      <c r="H63" s="1102"/>
      <c r="I63" s="1103">
        <v>10000</v>
      </c>
      <c r="J63" s="1102">
        <v>1</v>
      </c>
      <c r="K63" s="1102">
        <v>20000</v>
      </c>
      <c r="L63" s="1101">
        <v>1</v>
      </c>
      <c r="M63" s="1102">
        <v>20000</v>
      </c>
      <c r="N63" s="1101">
        <v>1</v>
      </c>
      <c r="O63" s="1102">
        <v>10000</v>
      </c>
      <c r="P63" s="1104">
        <f>SUM(I63+K63+M63+O63)</f>
        <v>60000</v>
      </c>
      <c r="Q63" s="1102"/>
      <c r="R63" s="1105">
        <f>SUM(P63:Q63)</f>
        <v>60000</v>
      </c>
    </row>
    <row r="64" spans="1:18" ht="15.3">
      <c r="A64" s="1021" t="s">
        <v>105</v>
      </c>
      <c r="B64" s="1001">
        <v>89050</v>
      </c>
      <c r="C64" s="1084" t="s">
        <v>105</v>
      </c>
      <c r="D64" s="1084" t="s">
        <v>103</v>
      </c>
      <c r="E64" s="1084"/>
      <c r="F64" s="1100" t="s">
        <v>104</v>
      </c>
      <c r="G64" s="1101">
        <v>1</v>
      </c>
      <c r="H64" s="1102"/>
      <c r="I64" s="1103"/>
      <c r="J64" s="1102">
        <v>1</v>
      </c>
      <c r="K64" s="1102">
        <v>7500</v>
      </c>
      <c r="L64" s="1101">
        <v>1</v>
      </c>
      <c r="M64" s="1102">
        <v>7500</v>
      </c>
      <c r="N64" s="1101">
        <v>1</v>
      </c>
      <c r="O64" s="1102">
        <v>5000</v>
      </c>
      <c r="P64" s="1104">
        <f>SUM(I64+K64+M64+O64)</f>
        <v>20000</v>
      </c>
      <c r="Q64" s="1102"/>
      <c r="R64" s="1105">
        <f>SUM(P64:Q64)</f>
        <v>20000</v>
      </c>
    </row>
    <row r="65" spans="1:36" ht="15.3">
      <c r="A65" s="1021" t="s">
        <v>106</v>
      </c>
      <c r="B65" s="1001">
        <v>89050</v>
      </c>
      <c r="C65" s="1084" t="s">
        <v>106</v>
      </c>
      <c r="D65" s="1084" t="s">
        <v>103</v>
      </c>
      <c r="E65" s="1084"/>
      <c r="F65" s="1100" t="s">
        <v>104</v>
      </c>
      <c r="G65" s="1101">
        <v>1</v>
      </c>
      <c r="H65" s="1102"/>
      <c r="I65" s="1103"/>
      <c r="J65" s="1102">
        <v>1</v>
      </c>
      <c r="K65" s="1102">
        <v>10000</v>
      </c>
      <c r="L65" s="1101">
        <v>1</v>
      </c>
      <c r="M65" s="1102">
        <v>20000</v>
      </c>
      <c r="N65" s="1101">
        <v>1</v>
      </c>
      <c r="O65" s="1102">
        <v>25000</v>
      </c>
      <c r="P65" s="1104">
        <f>SUM(I65+K65+M65+O65)</f>
        <v>55000</v>
      </c>
      <c r="Q65" s="1102"/>
      <c r="R65" s="1105">
        <v>55000</v>
      </c>
    </row>
    <row r="66" spans="1:36" ht="15.3">
      <c r="A66" s="1021" t="s">
        <v>107</v>
      </c>
      <c r="B66" s="1001">
        <v>89050</v>
      </c>
      <c r="C66" s="1084" t="s">
        <v>108</v>
      </c>
      <c r="D66" s="1084" t="s">
        <v>103</v>
      </c>
      <c r="E66" s="1084"/>
      <c r="F66" s="1100" t="s">
        <v>104</v>
      </c>
      <c r="G66" s="1101">
        <v>1</v>
      </c>
      <c r="H66" s="1102"/>
      <c r="I66" s="1103"/>
      <c r="J66" s="1102">
        <v>1</v>
      </c>
      <c r="K66" s="1102">
        <v>7500</v>
      </c>
      <c r="L66" s="1101">
        <v>1</v>
      </c>
      <c r="M66" s="1102">
        <v>10000</v>
      </c>
      <c r="N66" s="1101">
        <v>1</v>
      </c>
      <c r="O66" s="1102">
        <v>17500</v>
      </c>
      <c r="P66" s="1104">
        <f>SUM(I66+K66+M66+O66)</f>
        <v>35000</v>
      </c>
      <c r="Q66" s="1102"/>
      <c r="R66" s="1105">
        <f t="shared" ref="R66" si="20">SUM(P66:Q66)</f>
        <v>35000</v>
      </c>
    </row>
    <row r="67" spans="1:36" ht="15.3">
      <c r="A67" s="1028" t="s">
        <v>109</v>
      </c>
      <c r="B67" s="1001">
        <v>89050</v>
      </c>
      <c r="C67" s="1171" t="s">
        <v>109</v>
      </c>
      <c r="D67" s="1084" t="s">
        <v>103</v>
      </c>
      <c r="E67" s="1084"/>
      <c r="F67" s="1100" t="s">
        <v>104</v>
      </c>
      <c r="G67" s="1101">
        <v>1</v>
      </c>
      <c r="H67" s="1102"/>
      <c r="I67" s="1103"/>
      <c r="J67" s="1102"/>
      <c r="K67" s="1102">
        <v>15000</v>
      </c>
      <c r="L67" s="1101"/>
      <c r="M67" s="1102">
        <v>15000</v>
      </c>
      <c r="N67" s="1101">
        <v>1</v>
      </c>
      <c r="O67" s="1102">
        <v>10000</v>
      </c>
      <c r="P67" s="1104">
        <f>SUM(I67+K67+M67+O67)</f>
        <v>40000</v>
      </c>
      <c r="Q67" s="1102"/>
      <c r="R67" s="1105">
        <f>SUM(P67:Q67)</f>
        <v>40000</v>
      </c>
    </row>
    <row r="68" spans="1:36" ht="15.3">
      <c r="A68" s="1021" t="s">
        <v>110</v>
      </c>
      <c r="B68" s="1001">
        <v>89050</v>
      </c>
      <c r="C68" s="1084" t="s">
        <v>111</v>
      </c>
      <c r="D68" s="1084" t="s">
        <v>103</v>
      </c>
      <c r="E68" s="1084"/>
      <c r="F68" s="1100" t="s">
        <v>104</v>
      </c>
      <c r="G68" s="1101">
        <v>1</v>
      </c>
      <c r="H68" s="1102"/>
      <c r="I68" s="1103">
        <v>97651</v>
      </c>
      <c r="J68" s="1102">
        <v>1</v>
      </c>
      <c r="K68" s="1103">
        <v>245097</v>
      </c>
      <c r="L68" s="1101">
        <v>1</v>
      </c>
      <c r="M68" s="1103">
        <v>244066</v>
      </c>
      <c r="N68" s="1101">
        <v>1</v>
      </c>
      <c r="O68" s="1103">
        <v>140436</v>
      </c>
      <c r="P68" s="1103">
        <f>+I68+K68+M68+O68</f>
        <v>727250</v>
      </c>
      <c r="Q68" s="1102"/>
      <c r="R68" s="1122">
        <f>P68</f>
        <v>727250</v>
      </c>
      <c r="S68" s="1085"/>
    </row>
    <row r="69" spans="1:36" ht="30.6">
      <c r="A69" s="1021"/>
      <c r="B69" s="1001"/>
      <c r="C69" s="1084" t="s">
        <v>112</v>
      </c>
      <c r="D69" s="1084" t="s">
        <v>103</v>
      </c>
      <c r="E69" s="1084"/>
      <c r="F69" s="1100" t="s">
        <v>104</v>
      </c>
      <c r="G69" s="1101">
        <v>1</v>
      </c>
      <c r="H69" s="1102"/>
      <c r="I69" s="1102">
        <v>905</v>
      </c>
      <c r="J69" s="1102">
        <v>1</v>
      </c>
      <c r="K69" s="1102">
        <v>18715</v>
      </c>
      <c r="L69" s="1101">
        <v>1</v>
      </c>
      <c r="M69" s="1102">
        <v>20681</v>
      </c>
      <c r="N69" s="1101">
        <v>1</v>
      </c>
      <c r="O69" s="1102">
        <v>16199</v>
      </c>
      <c r="P69" s="1103">
        <f>I69+K69+M69+O69</f>
        <v>56500</v>
      </c>
      <c r="Q69" s="1102"/>
      <c r="R69" s="1122">
        <f>P69</f>
        <v>56500</v>
      </c>
      <c r="S69" s="1085"/>
    </row>
    <row r="70" spans="1:36" ht="15.3">
      <c r="A70" s="1019"/>
      <c r="B70" s="1000"/>
      <c r="C70" s="785" t="s">
        <v>113</v>
      </c>
      <c r="D70" s="785"/>
      <c r="E70" s="785"/>
      <c r="F70" s="764"/>
      <c r="G70" s="786"/>
      <c r="H70" s="787"/>
      <c r="I70" s="788">
        <f>SUM(I62:I69)</f>
        <v>108556</v>
      </c>
      <c r="J70" s="789"/>
      <c r="K70" s="789">
        <f>SUM(K62:K69)</f>
        <v>323812</v>
      </c>
      <c r="L70" s="790"/>
      <c r="M70" s="789">
        <f>SUM(M62:M69)</f>
        <v>337247</v>
      </c>
      <c r="N70" s="790"/>
      <c r="O70" s="789">
        <f>SUM(O62:O69)</f>
        <v>224135</v>
      </c>
      <c r="P70" s="791">
        <f>SUM(P62:P69)</f>
        <v>993750</v>
      </c>
      <c r="Q70" s="791">
        <f>SUM(Q62:Q68)</f>
        <v>0</v>
      </c>
      <c r="R70" s="797">
        <f>SUM(R62:R69)</f>
        <v>993750</v>
      </c>
    </row>
    <row r="71" spans="1:36" ht="15.3">
      <c r="A71" s="1019"/>
      <c r="B71" s="1000"/>
      <c r="C71" s="990" t="s">
        <v>114</v>
      </c>
      <c r="D71" s="792"/>
      <c r="E71" s="792"/>
      <c r="F71" s="792"/>
      <c r="G71" s="793"/>
      <c r="H71" s="792"/>
      <c r="I71" s="794"/>
      <c r="J71" s="792"/>
      <c r="K71" s="792"/>
      <c r="L71" s="793"/>
      <c r="M71" s="792"/>
      <c r="N71" s="793"/>
      <c r="O71" s="792"/>
      <c r="P71" s="795"/>
      <c r="Q71" s="792"/>
      <c r="R71" s="796"/>
    </row>
    <row r="72" spans="1:36" ht="15.3">
      <c r="A72" s="1019"/>
      <c r="B72" s="1000"/>
      <c r="C72" s="991" t="s">
        <v>115</v>
      </c>
      <c r="D72" s="798"/>
      <c r="E72" s="798"/>
      <c r="F72" s="798"/>
      <c r="G72" s="799"/>
      <c r="H72" s="800"/>
      <c r="I72" s="801"/>
      <c r="J72" s="802"/>
      <c r="K72" s="802"/>
      <c r="L72" s="803"/>
      <c r="M72" s="802"/>
      <c r="N72" s="803"/>
      <c r="O72" s="802"/>
      <c r="P72" s="732"/>
      <c r="Q72" s="802"/>
      <c r="R72" s="733"/>
    </row>
    <row r="73" spans="1:36" ht="15.3">
      <c r="A73" s="1123" t="s">
        <v>116</v>
      </c>
      <c r="B73" s="1110">
        <v>90900</v>
      </c>
      <c r="C73" s="1112" t="s">
        <v>117</v>
      </c>
      <c r="D73" s="1112" t="s">
        <v>118</v>
      </c>
      <c r="E73" s="1112"/>
      <c r="F73" s="1112" t="s">
        <v>28</v>
      </c>
      <c r="G73" s="1113">
        <v>5</v>
      </c>
      <c r="H73" s="1114">
        <v>50</v>
      </c>
      <c r="I73" s="973">
        <f t="shared" ref="I73:I74" si="21">G73*H73</f>
        <v>250</v>
      </c>
      <c r="J73" s="1114">
        <v>12</v>
      </c>
      <c r="K73" s="1114">
        <f>J73*H73*$D$7</f>
        <v>624</v>
      </c>
      <c r="L73" s="1113">
        <v>12</v>
      </c>
      <c r="M73" s="1114">
        <f>L73*H73*$D$7*$D$7</f>
        <v>648.96</v>
      </c>
      <c r="N73" s="1113">
        <v>12</v>
      </c>
      <c r="O73" s="1114">
        <f>N73*H73*$D$7*$D$7*$D$7</f>
        <v>674.91840000000002</v>
      </c>
      <c r="P73" s="1115">
        <f>SUM(I73+K73+M73+O73)</f>
        <v>2197.8784000000001</v>
      </c>
      <c r="Q73" s="1114">
        <v>0</v>
      </c>
      <c r="R73" s="1116">
        <f t="shared" ref="R73:R80" si="22">SUM(P73:Q73)</f>
        <v>2197.8784000000001</v>
      </c>
    </row>
    <row r="74" spans="1:36" ht="38.65" customHeight="1">
      <c r="A74" s="1123" t="s">
        <v>119</v>
      </c>
      <c r="B74" s="1110">
        <v>82350</v>
      </c>
      <c r="C74" s="1112" t="s">
        <v>120</v>
      </c>
      <c r="D74" s="1112" t="s">
        <v>118</v>
      </c>
      <c r="E74" s="1112"/>
      <c r="F74" s="1112" t="s">
        <v>121</v>
      </c>
      <c r="G74" s="1113">
        <v>1</v>
      </c>
      <c r="H74" s="1114">
        <v>70</v>
      </c>
      <c r="I74" s="973">
        <f t="shared" si="21"/>
        <v>70</v>
      </c>
      <c r="J74" s="1114">
        <v>1</v>
      </c>
      <c r="K74" s="1114">
        <f t="shared" ref="K74:K83" si="23">J74*H74*$D$7</f>
        <v>72.8</v>
      </c>
      <c r="L74" s="1113">
        <v>1</v>
      </c>
      <c r="M74" s="1114">
        <f t="shared" ref="M74:M83" si="24">L74*H74*$D$7*$D$7</f>
        <v>75.712000000000003</v>
      </c>
      <c r="N74" s="1113">
        <v>1</v>
      </c>
      <c r="O74" s="1114">
        <f t="shared" ref="O74:O83" si="25">N74*H74*$D$7*$D$7*$D$7</f>
        <v>78.740480000000005</v>
      </c>
      <c r="P74" s="1115">
        <f>SUM(I74+K74+M74+O74)</f>
        <v>297.25247999999999</v>
      </c>
      <c r="Q74" s="1114">
        <v>0</v>
      </c>
      <c r="R74" s="1116">
        <f t="shared" si="22"/>
        <v>297.25247999999999</v>
      </c>
    </row>
    <row r="75" spans="1:36" ht="33.75" customHeight="1">
      <c r="A75" s="1123" t="s">
        <v>122</v>
      </c>
      <c r="B75" s="1110">
        <v>90450</v>
      </c>
      <c r="C75" s="1112" t="s">
        <v>123</v>
      </c>
      <c r="D75" s="1112" t="s">
        <v>118</v>
      </c>
      <c r="E75" s="1112"/>
      <c r="F75" s="1112" t="s">
        <v>124</v>
      </c>
      <c r="G75" s="1113">
        <v>4</v>
      </c>
      <c r="H75" s="1114"/>
      <c r="I75" s="973">
        <f>G75*H75</f>
        <v>0</v>
      </c>
      <c r="J75" s="1114"/>
      <c r="K75" s="1114">
        <f t="shared" si="23"/>
        <v>0</v>
      </c>
      <c r="L75" s="1113"/>
      <c r="M75" s="1114">
        <f t="shared" si="24"/>
        <v>0</v>
      </c>
      <c r="N75" s="1113"/>
      <c r="O75" s="1114">
        <f t="shared" si="25"/>
        <v>0</v>
      </c>
      <c r="P75" s="1115">
        <f t="shared" ref="P75" si="26">SUM(I75+K75+M75+O75)</f>
        <v>0</v>
      </c>
      <c r="Q75" s="1114">
        <v>0</v>
      </c>
      <c r="R75" s="1116">
        <f t="shared" si="22"/>
        <v>0</v>
      </c>
    </row>
    <row r="76" spans="1:36" ht="15.3">
      <c r="A76" s="1123" t="s">
        <v>125</v>
      </c>
      <c r="B76" s="1110">
        <v>82030</v>
      </c>
      <c r="C76" s="1112" t="s">
        <v>126</v>
      </c>
      <c r="D76" s="1112" t="s">
        <v>118</v>
      </c>
      <c r="E76" s="1112"/>
      <c r="F76" s="1112" t="s">
        <v>28</v>
      </c>
      <c r="G76" s="1113">
        <v>9</v>
      </c>
      <c r="H76" s="1114">
        <v>150</v>
      </c>
      <c r="I76" s="973">
        <f t="shared" ref="I76" si="27">G76*H76</f>
        <v>1350</v>
      </c>
      <c r="J76" s="1114">
        <v>12</v>
      </c>
      <c r="K76" s="1114">
        <f t="shared" si="23"/>
        <v>1872</v>
      </c>
      <c r="L76" s="1113">
        <v>12</v>
      </c>
      <c r="M76" s="1114">
        <f t="shared" si="24"/>
        <v>1946.88</v>
      </c>
      <c r="N76" s="1113">
        <v>12</v>
      </c>
      <c r="O76" s="1114">
        <f t="shared" si="25"/>
        <v>2024.7552000000003</v>
      </c>
      <c r="P76" s="1115">
        <f t="shared" ref="P76:P84" si="28">SUM(I76+K76+M76+O76)</f>
        <v>7193.6352000000006</v>
      </c>
      <c r="Q76" s="1114">
        <v>0</v>
      </c>
      <c r="R76" s="1116">
        <f t="shared" si="22"/>
        <v>7193.6352000000006</v>
      </c>
    </row>
    <row r="77" spans="1:36" s="1064" customFormat="1" ht="36.75" customHeight="1">
      <c r="A77" s="1123" t="s">
        <v>127</v>
      </c>
      <c r="B77" s="1110">
        <v>85180</v>
      </c>
      <c r="C77" s="1112" t="s">
        <v>128</v>
      </c>
      <c r="D77" s="1112" t="s">
        <v>118</v>
      </c>
      <c r="E77" s="1112"/>
      <c r="F77" s="1112" t="s">
        <v>28</v>
      </c>
      <c r="G77" s="1113">
        <v>6</v>
      </c>
      <c r="H77" s="1114">
        <v>1140</v>
      </c>
      <c r="I77" s="973">
        <f>G77*H77</f>
        <v>6840</v>
      </c>
      <c r="J77" s="1114">
        <v>12</v>
      </c>
      <c r="K77" s="1114">
        <f t="shared" si="23"/>
        <v>14227.2</v>
      </c>
      <c r="L77" s="1113">
        <v>12</v>
      </c>
      <c r="M77" s="1114">
        <f t="shared" si="24"/>
        <v>14796.288</v>
      </c>
      <c r="N77" s="1113">
        <v>12</v>
      </c>
      <c r="O77" s="1114">
        <f t="shared" si="25"/>
        <v>15388.139520000001</v>
      </c>
      <c r="P77" s="1115">
        <f t="shared" si="28"/>
        <v>51251.627519999995</v>
      </c>
      <c r="Q77" s="1114">
        <v>0</v>
      </c>
      <c r="R77" s="1116">
        <f t="shared" si="22"/>
        <v>51251.627519999995</v>
      </c>
      <c r="S77" s="1085"/>
      <c r="T77" s="1085"/>
      <c r="U77" s="1085"/>
      <c r="V77" s="1085"/>
      <c r="W77" s="1085"/>
      <c r="X77" s="1085"/>
      <c r="Y77" s="1085"/>
      <c r="Z77" s="1085"/>
      <c r="AA77" s="1085"/>
      <c r="AB77" s="1085"/>
      <c r="AC77" s="1085"/>
      <c r="AD77" s="1085"/>
      <c r="AE77" s="1085"/>
      <c r="AF77" s="1085"/>
      <c r="AG77" s="1085"/>
      <c r="AH77" s="1085"/>
      <c r="AI77" s="1085"/>
      <c r="AJ77" s="1085"/>
    </row>
    <row r="78" spans="1:36" s="1064" customFormat="1" ht="29.25" customHeight="1">
      <c r="A78" s="1123" t="s">
        <v>129</v>
      </c>
      <c r="B78" s="1110">
        <v>89500</v>
      </c>
      <c r="C78" s="1112" t="s">
        <v>130</v>
      </c>
      <c r="D78" s="1112" t="s">
        <v>118</v>
      </c>
      <c r="E78" s="1112"/>
      <c r="F78" s="1112" t="s">
        <v>121</v>
      </c>
      <c r="G78" s="1113">
        <v>1</v>
      </c>
      <c r="H78" s="1114">
        <v>250</v>
      </c>
      <c r="I78" s="973">
        <f>G78*H78</f>
        <v>250</v>
      </c>
      <c r="J78" s="1114">
        <v>1</v>
      </c>
      <c r="K78" s="1114">
        <f t="shared" si="23"/>
        <v>260</v>
      </c>
      <c r="L78" s="1113">
        <v>1</v>
      </c>
      <c r="M78" s="1114">
        <f t="shared" si="24"/>
        <v>270.40000000000003</v>
      </c>
      <c r="N78" s="1113">
        <v>1</v>
      </c>
      <c r="O78" s="1114">
        <f t="shared" si="25"/>
        <v>281.21600000000007</v>
      </c>
      <c r="P78" s="1115">
        <f t="shared" si="28"/>
        <v>1061.6160000000002</v>
      </c>
      <c r="Q78" s="1114">
        <v>0</v>
      </c>
      <c r="R78" s="1116">
        <f t="shared" si="22"/>
        <v>1061.6160000000002</v>
      </c>
      <c r="S78" s="1085"/>
      <c r="T78" s="1085"/>
      <c r="U78" s="1085"/>
      <c r="V78" s="1085"/>
      <c r="W78" s="1085"/>
      <c r="X78" s="1085"/>
      <c r="Y78" s="1085"/>
      <c r="Z78" s="1085"/>
      <c r="AA78" s="1085"/>
      <c r="AB78" s="1085"/>
      <c r="AC78" s="1085"/>
      <c r="AD78" s="1085"/>
      <c r="AE78" s="1085"/>
      <c r="AF78" s="1085"/>
      <c r="AG78" s="1085"/>
      <c r="AH78" s="1085"/>
      <c r="AI78" s="1085"/>
      <c r="AJ78" s="1085"/>
    </row>
    <row r="79" spans="1:36" s="1064" customFormat="1" ht="15.3">
      <c r="A79" s="1123" t="s">
        <v>131</v>
      </c>
      <c r="B79" s="1110">
        <v>90100</v>
      </c>
      <c r="C79" s="1112" t="s">
        <v>132</v>
      </c>
      <c r="D79" s="1112" t="s">
        <v>118</v>
      </c>
      <c r="E79" s="1112"/>
      <c r="F79" s="1112" t="s">
        <v>121</v>
      </c>
      <c r="G79" s="1113">
        <v>0</v>
      </c>
      <c r="H79" s="1114">
        <v>1200</v>
      </c>
      <c r="I79" s="973">
        <v>5936</v>
      </c>
      <c r="J79" s="1114">
        <v>1</v>
      </c>
      <c r="K79" s="1114">
        <f>J79*H79*$D$7</f>
        <v>1248</v>
      </c>
      <c r="L79" s="1113">
        <v>1</v>
      </c>
      <c r="M79" s="1114">
        <f>L79*H79*$D$7*$D$7</f>
        <v>1297.92</v>
      </c>
      <c r="N79" s="1113">
        <v>1</v>
      </c>
      <c r="O79" s="1114">
        <f>N79*H79*$D$7*$D$7*$D$7</f>
        <v>1349.8368</v>
      </c>
      <c r="P79" s="1115">
        <f t="shared" si="28"/>
        <v>9831.7567999999992</v>
      </c>
      <c r="Q79" s="1114">
        <v>0</v>
      </c>
      <c r="R79" s="1116">
        <f t="shared" si="22"/>
        <v>9831.7567999999992</v>
      </c>
      <c r="S79" s="1085"/>
      <c r="T79" s="1085"/>
      <c r="U79" s="1085"/>
      <c r="V79" s="1085"/>
      <c r="W79" s="1085"/>
      <c r="X79" s="1085"/>
      <c r="Y79" s="1085"/>
      <c r="Z79" s="1085"/>
      <c r="AA79" s="1085"/>
      <c r="AB79" s="1085"/>
      <c r="AC79" s="1085"/>
      <c r="AD79" s="1085"/>
      <c r="AE79" s="1085"/>
      <c r="AF79" s="1085"/>
      <c r="AG79" s="1085"/>
      <c r="AH79" s="1085"/>
      <c r="AI79" s="1085"/>
      <c r="AJ79" s="1085"/>
    </row>
    <row r="80" spans="1:36" s="1064" customFormat="1" ht="30.6">
      <c r="A80" s="1123" t="s">
        <v>133</v>
      </c>
      <c r="B80" s="1110">
        <v>81030</v>
      </c>
      <c r="C80" s="1112" t="s">
        <v>134</v>
      </c>
      <c r="D80" s="1112" t="s">
        <v>118</v>
      </c>
      <c r="E80" s="1112"/>
      <c r="F80" s="1112" t="s">
        <v>28</v>
      </c>
      <c r="G80" s="1113">
        <v>3</v>
      </c>
      <c r="H80" s="1114">
        <v>350</v>
      </c>
      <c r="I80" s="973">
        <f>G80*H80</f>
        <v>1050</v>
      </c>
      <c r="J80" s="1114">
        <v>12</v>
      </c>
      <c r="K80" s="1114">
        <f t="shared" si="23"/>
        <v>4368</v>
      </c>
      <c r="L80" s="1113">
        <v>12</v>
      </c>
      <c r="M80" s="1114">
        <f t="shared" si="24"/>
        <v>4542.72</v>
      </c>
      <c r="N80" s="1113">
        <v>12</v>
      </c>
      <c r="O80" s="1114">
        <f t="shared" si="25"/>
        <v>4724.4288000000006</v>
      </c>
      <c r="P80" s="1115">
        <f t="shared" si="28"/>
        <v>14685.148800000003</v>
      </c>
      <c r="Q80" s="1114" t="s">
        <v>135</v>
      </c>
      <c r="R80" s="1116">
        <f t="shared" si="22"/>
        <v>14685.148800000003</v>
      </c>
      <c r="S80" s="1085"/>
      <c r="T80" s="1085"/>
      <c r="U80" s="1085"/>
      <c r="V80" s="1085"/>
      <c r="W80" s="1085"/>
      <c r="X80" s="1085"/>
      <c r="Y80" s="1085"/>
      <c r="Z80" s="1085"/>
      <c r="AA80" s="1085"/>
      <c r="AB80" s="1085"/>
      <c r="AC80" s="1085"/>
      <c r="AD80" s="1085"/>
      <c r="AE80" s="1085"/>
      <c r="AF80" s="1085"/>
      <c r="AG80" s="1085"/>
      <c r="AH80" s="1085"/>
      <c r="AI80" s="1085"/>
      <c r="AJ80" s="1085"/>
    </row>
    <row r="81" spans="1:36" ht="30" customHeight="1">
      <c r="A81" s="1123" t="s">
        <v>136</v>
      </c>
      <c r="B81" s="1110">
        <v>89400</v>
      </c>
      <c r="C81" s="1112" t="s">
        <v>137</v>
      </c>
      <c r="D81" s="1112" t="s">
        <v>118</v>
      </c>
      <c r="E81" s="1112"/>
      <c r="F81" s="1124" t="s">
        <v>28</v>
      </c>
      <c r="G81" s="1113">
        <v>9</v>
      </c>
      <c r="H81" s="1114">
        <v>108</v>
      </c>
      <c r="I81" s="973">
        <f>G81*H81</f>
        <v>972</v>
      </c>
      <c r="J81" s="1114">
        <v>12</v>
      </c>
      <c r="K81" s="1114">
        <f t="shared" si="23"/>
        <v>1347.8400000000001</v>
      </c>
      <c r="L81" s="1113">
        <v>12</v>
      </c>
      <c r="M81" s="1114">
        <f t="shared" si="24"/>
        <v>1401.7536000000002</v>
      </c>
      <c r="N81" s="1113">
        <v>9</v>
      </c>
      <c r="O81" s="1114">
        <f t="shared" si="25"/>
        <v>1093.367808</v>
      </c>
      <c r="P81" s="1115">
        <f t="shared" si="28"/>
        <v>4814.9614080000001</v>
      </c>
      <c r="Q81" s="1114">
        <v>0</v>
      </c>
      <c r="R81" s="1116">
        <f>SUM(P81:Q81)</f>
        <v>4814.9614080000001</v>
      </c>
      <c r="S81" s="1085"/>
      <c r="T81" s="1085"/>
      <c r="U81" s="1085"/>
      <c r="V81" s="1085"/>
      <c r="W81" s="1085"/>
      <c r="X81" s="1085"/>
      <c r="Y81" s="1085"/>
      <c r="Z81" s="1085"/>
      <c r="AA81" s="1085"/>
      <c r="AB81" s="1085"/>
      <c r="AC81" s="1085"/>
      <c r="AD81" s="1085"/>
      <c r="AE81" s="1085"/>
      <c r="AF81" s="1085"/>
      <c r="AG81" s="1085"/>
      <c r="AH81" s="1085"/>
      <c r="AI81" s="1085"/>
      <c r="AJ81" s="1085"/>
    </row>
    <row r="82" spans="1:36" ht="29.25" customHeight="1">
      <c r="A82" s="1123" t="s">
        <v>136</v>
      </c>
      <c r="B82" s="1110">
        <v>89400</v>
      </c>
      <c r="C82" s="1112" t="s">
        <v>138</v>
      </c>
      <c r="D82" s="1112" t="s">
        <v>118</v>
      </c>
      <c r="E82" s="1112"/>
      <c r="F82" s="1124" t="s">
        <v>121</v>
      </c>
      <c r="G82" s="1113">
        <v>1</v>
      </c>
      <c r="H82" s="1114">
        <v>1650</v>
      </c>
      <c r="I82" s="973">
        <f>G82*H82</f>
        <v>1650</v>
      </c>
      <c r="J82" s="1114">
        <v>1</v>
      </c>
      <c r="K82" s="1114">
        <f>J82*H82*$D$7</f>
        <v>1716</v>
      </c>
      <c r="L82" s="1113">
        <v>1</v>
      </c>
      <c r="M82" s="1114">
        <f>L82*H82*$D$7*$D$7</f>
        <v>1784.64</v>
      </c>
      <c r="N82" s="1113">
        <v>1</v>
      </c>
      <c r="O82" s="1114">
        <f>N82*H82*$D$7*$D$7*$D$7</f>
        <v>1856.0256000000002</v>
      </c>
      <c r="P82" s="1115">
        <f t="shared" si="28"/>
        <v>7006.6656000000003</v>
      </c>
      <c r="Q82" s="1114">
        <v>0</v>
      </c>
      <c r="R82" s="1116">
        <f>SUM(P82:Q82)</f>
        <v>7006.6656000000003</v>
      </c>
      <c r="S82" s="1085"/>
      <c r="T82" s="1085"/>
      <c r="U82" s="1085"/>
      <c r="V82" s="1085"/>
      <c r="W82" s="1085"/>
      <c r="X82" s="1085"/>
      <c r="Y82" s="1085"/>
      <c r="Z82" s="1085"/>
      <c r="AA82" s="1085"/>
      <c r="AB82" s="1085"/>
      <c r="AC82" s="1085"/>
      <c r="AD82" s="1085"/>
      <c r="AE82" s="1085"/>
      <c r="AF82" s="1085"/>
      <c r="AG82" s="1085"/>
      <c r="AH82" s="1085"/>
      <c r="AI82" s="1085"/>
      <c r="AJ82" s="1085"/>
    </row>
    <row r="83" spans="1:36" s="1064" customFormat="1" ht="29.25" customHeight="1">
      <c r="A83" s="1123" t="s">
        <v>139</v>
      </c>
      <c r="B83" s="1110">
        <v>86110</v>
      </c>
      <c r="C83" s="1112" t="s">
        <v>140</v>
      </c>
      <c r="D83" s="1112" t="s">
        <v>118</v>
      </c>
      <c r="E83" s="1112"/>
      <c r="F83" s="1112" t="s">
        <v>28</v>
      </c>
      <c r="G83" s="1113">
        <v>1</v>
      </c>
      <c r="H83" s="1114">
        <v>37758</v>
      </c>
      <c r="I83" s="973">
        <f>G83*H83</f>
        <v>37758</v>
      </c>
      <c r="J83" s="1114"/>
      <c r="K83" s="1114">
        <f t="shared" si="23"/>
        <v>0</v>
      </c>
      <c r="L83" s="1113"/>
      <c r="M83" s="1114">
        <f t="shared" si="24"/>
        <v>0</v>
      </c>
      <c r="N83" s="1113"/>
      <c r="O83" s="1114">
        <f t="shared" si="25"/>
        <v>0</v>
      </c>
      <c r="P83" s="1115">
        <f t="shared" si="28"/>
        <v>37758</v>
      </c>
      <c r="Q83" s="1114">
        <v>0</v>
      </c>
      <c r="R83" s="1116">
        <f>SUM(P83:Q83)</f>
        <v>37758</v>
      </c>
      <c r="S83" s="1085"/>
      <c r="T83" s="1085"/>
      <c r="U83" s="1085"/>
      <c r="V83" s="1085"/>
      <c r="W83" s="1085"/>
      <c r="X83" s="1085"/>
      <c r="Y83" s="1085"/>
      <c r="Z83" s="1085"/>
      <c r="AA83" s="1085"/>
      <c r="AB83" s="1085"/>
      <c r="AC83" s="1085"/>
      <c r="AD83" s="1085"/>
      <c r="AE83" s="1085"/>
      <c r="AF83" s="1085"/>
      <c r="AG83" s="1085"/>
      <c r="AH83" s="1085"/>
      <c r="AI83" s="1085"/>
      <c r="AJ83" s="1085"/>
    </row>
    <row r="84" spans="1:36" s="1064" customFormat="1" ht="15.3">
      <c r="A84" s="1123" t="s">
        <v>141</v>
      </c>
      <c r="B84" s="1110">
        <v>89400</v>
      </c>
      <c r="C84" s="1112" t="s">
        <v>142</v>
      </c>
      <c r="D84" s="1112" t="s">
        <v>118</v>
      </c>
      <c r="E84" s="1112"/>
      <c r="F84" s="1112" t="s">
        <v>121</v>
      </c>
      <c r="G84" s="1113">
        <v>1</v>
      </c>
      <c r="H84" s="1114">
        <v>5000</v>
      </c>
      <c r="I84" s="973">
        <f>G84*H84</f>
        <v>5000</v>
      </c>
      <c r="J84" s="1114">
        <v>1</v>
      </c>
      <c r="K84" s="1114">
        <v>15000</v>
      </c>
      <c r="L84" s="1113">
        <v>1</v>
      </c>
      <c r="M84" s="1114">
        <v>10000</v>
      </c>
      <c r="N84" s="1113">
        <v>1</v>
      </c>
      <c r="O84" s="1114">
        <v>10000</v>
      </c>
      <c r="P84" s="1115">
        <f t="shared" si="28"/>
        <v>40000</v>
      </c>
      <c r="Q84" s="1114">
        <v>0</v>
      </c>
      <c r="R84" s="1125">
        <f>SUM(P84:Q84)</f>
        <v>40000</v>
      </c>
      <c r="S84" s="1085"/>
      <c r="T84" s="1085"/>
      <c r="U84" s="1085"/>
      <c r="V84" s="1085"/>
      <c r="W84" s="1085"/>
      <c r="X84" s="1085"/>
      <c r="Y84" s="1085"/>
      <c r="Z84" s="1085"/>
      <c r="AA84" s="1085"/>
      <c r="AB84" s="1085"/>
      <c r="AC84" s="1085"/>
      <c r="AD84" s="1085"/>
      <c r="AE84" s="1085"/>
      <c r="AF84" s="1085"/>
      <c r="AG84" s="1085"/>
      <c r="AH84" s="1085"/>
      <c r="AI84" s="1085"/>
      <c r="AJ84" s="1085"/>
    </row>
    <row r="85" spans="1:36" ht="15.3">
      <c r="A85" s="1019"/>
      <c r="B85" s="1000"/>
      <c r="C85" s="992" t="s">
        <v>143</v>
      </c>
      <c r="D85" s="992"/>
      <c r="E85" s="992"/>
      <c r="F85" s="1029"/>
      <c r="G85" s="858"/>
      <c r="H85" s="1030"/>
      <c r="I85" s="857">
        <f>SUM(I73:I84)</f>
        <v>61126</v>
      </c>
      <c r="J85" s="1031"/>
      <c r="K85" s="1031">
        <f>SUM(K73:K84)</f>
        <v>40735.839999999997</v>
      </c>
      <c r="L85" s="986"/>
      <c r="M85" s="1031">
        <f>SUM(M73:M84)</f>
        <v>36765.2736</v>
      </c>
      <c r="N85" s="986"/>
      <c r="O85" s="1031">
        <f>SUM(O73:O84)</f>
        <v>37471.428608000002</v>
      </c>
      <c r="P85" s="987">
        <f>SUM(P73:P84)</f>
        <v>176098.542208</v>
      </c>
      <c r="Q85" s="1031"/>
      <c r="R85" s="1032">
        <f>SUM(R73:R84)</f>
        <v>176098.542208</v>
      </c>
      <c r="S85" s="1085"/>
      <c r="T85" s="1085"/>
      <c r="U85" s="1085"/>
      <c r="V85" s="1085"/>
      <c r="W85" s="1085"/>
      <c r="X85" s="1085"/>
      <c r="Y85" s="1085"/>
      <c r="Z85" s="1085"/>
      <c r="AA85" s="1085"/>
      <c r="AB85" s="1085"/>
      <c r="AC85" s="1085"/>
      <c r="AD85" s="1085"/>
      <c r="AE85" s="1085"/>
      <c r="AF85" s="1085"/>
      <c r="AG85" s="1085"/>
      <c r="AH85" s="1085"/>
      <c r="AI85" s="1085"/>
      <c r="AJ85" s="1085"/>
    </row>
    <row r="86" spans="1:36" ht="16.5" customHeight="1">
      <c r="A86" s="1019"/>
      <c r="B86" s="1000"/>
      <c r="C86" s="993" t="s">
        <v>144</v>
      </c>
      <c r="D86" s="876"/>
      <c r="E86" s="876"/>
      <c r="F86" s="877"/>
      <c r="G86" s="870"/>
      <c r="H86" s="871"/>
      <c r="I86" s="872"/>
      <c r="J86" s="871"/>
      <c r="K86" s="871"/>
      <c r="L86" s="870"/>
      <c r="M86" s="871"/>
      <c r="N86" s="870"/>
      <c r="O86" s="871"/>
      <c r="P86" s="873"/>
      <c r="Q86" s="871"/>
      <c r="R86" s="874"/>
      <c r="S86" s="1085"/>
      <c r="T86" s="1085"/>
      <c r="U86" s="1085"/>
      <c r="V86" s="1085"/>
      <c r="W86" s="1085"/>
      <c r="X86" s="1085"/>
      <c r="Y86" s="1085"/>
      <c r="Z86" s="1085"/>
      <c r="AA86" s="1085"/>
      <c r="AB86" s="1085"/>
      <c r="AC86" s="1085"/>
      <c r="AD86" s="1085"/>
      <c r="AE86" s="1085"/>
      <c r="AF86" s="1085"/>
      <c r="AG86" s="1085"/>
      <c r="AH86" s="1085"/>
      <c r="AI86" s="1085"/>
      <c r="AJ86" s="1085"/>
    </row>
    <row r="87" spans="1:36" ht="59.25" customHeight="1">
      <c r="A87" s="1019"/>
      <c r="B87" s="1000"/>
      <c r="C87" s="734" t="s">
        <v>145</v>
      </c>
      <c r="D87" s="712" t="s">
        <v>146</v>
      </c>
      <c r="E87" s="712"/>
      <c r="F87" s="712"/>
      <c r="G87" s="735"/>
      <c r="H87" s="737"/>
      <c r="I87" s="955"/>
      <c r="J87" s="737"/>
      <c r="K87" s="955"/>
      <c r="L87" s="735"/>
      <c r="M87" s="955"/>
      <c r="N87" s="735"/>
      <c r="O87" s="955"/>
      <c r="P87" s="956"/>
      <c r="Q87" s="988"/>
      <c r="R87" s="957"/>
      <c r="S87" s="1085"/>
      <c r="T87" s="1085"/>
      <c r="U87" s="1085"/>
      <c r="V87" s="1085"/>
      <c r="W87" s="1085"/>
      <c r="X87" s="1085"/>
      <c r="Y87" s="1085"/>
      <c r="Z87" s="1085"/>
      <c r="AA87" s="1085"/>
      <c r="AB87" s="1085"/>
      <c r="AC87" s="1085"/>
      <c r="AD87" s="1085"/>
      <c r="AE87" s="1085"/>
      <c r="AF87" s="1085"/>
      <c r="AG87" s="1085"/>
      <c r="AH87" s="1085"/>
      <c r="AI87" s="1085"/>
      <c r="AJ87" s="1085"/>
    </row>
    <row r="88" spans="1:36" s="804" customFormat="1" ht="45" customHeight="1">
      <c r="A88" s="1033"/>
      <c r="B88" s="1014"/>
      <c r="C88" s="994" t="s">
        <v>147</v>
      </c>
      <c r="D88" s="712" t="s">
        <v>146</v>
      </c>
      <c r="E88" s="712"/>
      <c r="F88" s="712"/>
      <c r="G88" s="735"/>
      <c r="H88" s="737"/>
      <c r="I88" s="955">
        <f>+' Activities Detail'!L20</f>
        <v>0</v>
      </c>
      <c r="J88" s="988"/>
      <c r="K88" s="955">
        <f>+' Activities Detail'!O20</f>
        <v>1435.2</v>
      </c>
      <c r="L88" s="954"/>
      <c r="M88" s="955">
        <f>+' Activities Detail'!R20</f>
        <v>0</v>
      </c>
      <c r="N88" s="954"/>
      <c r="O88" s="955">
        <f>+' Activities Detail'!U20</f>
        <v>0</v>
      </c>
      <c r="P88" s="956">
        <f t="shared" ref="P88:P93" si="29">SUM(I88+K88+M88+O88)</f>
        <v>1435.2</v>
      </c>
      <c r="Q88" s="988"/>
      <c r="R88" s="957">
        <f>SUM(P88:Q88)</f>
        <v>1435.2</v>
      </c>
      <c r="S88" s="1086"/>
    </row>
    <row r="89" spans="1:36" s="805" customFormat="1" ht="30.75" customHeight="1">
      <c r="A89" s="1034"/>
      <c r="B89" s="1015"/>
      <c r="C89" s="734" t="s">
        <v>148</v>
      </c>
      <c r="D89" s="712" t="s">
        <v>146</v>
      </c>
      <c r="E89" s="712"/>
      <c r="F89" s="712"/>
      <c r="G89" s="735"/>
      <c r="H89" s="737"/>
      <c r="I89" s="955">
        <f>+' Activities Detail'!L49</f>
        <v>0</v>
      </c>
      <c r="J89" s="737"/>
      <c r="K89" s="955">
        <f>+' Activities Detail'!O49</f>
        <v>10400</v>
      </c>
      <c r="L89" s="735"/>
      <c r="M89" s="955">
        <f>+' Activities Detail'!R49</f>
        <v>0</v>
      </c>
      <c r="N89" s="735"/>
      <c r="O89" s="955">
        <f>+' Activities Detail'!U49</f>
        <v>0</v>
      </c>
      <c r="P89" s="738">
        <f t="shared" si="29"/>
        <v>10400</v>
      </c>
      <c r="Q89" s="737"/>
      <c r="R89" s="739">
        <f t="shared" ref="R89" si="30">SUM(P89:Q89)</f>
        <v>10400</v>
      </c>
      <c r="S89" s="1065"/>
    </row>
    <row r="90" spans="1:36" s="804" customFormat="1" ht="31.5" customHeight="1">
      <c r="A90" s="1033"/>
      <c r="B90" s="1014"/>
      <c r="C90" s="734" t="s">
        <v>149</v>
      </c>
      <c r="D90" s="712" t="s">
        <v>146</v>
      </c>
      <c r="E90" s="712"/>
      <c r="F90" s="712"/>
      <c r="G90" s="735"/>
      <c r="H90" s="737"/>
      <c r="I90" s="955">
        <f>+' Activities Detail'!L81</f>
        <v>0</v>
      </c>
      <c r="J90" s="988"/>
      <c r="K90" s="988">
        <f>+' Activities Detail'!O64</f>
        <v>7280</v>
      </c>
      <c r="L90" s="954"/>
      <c r="M90" s="988">
        <f>+' Activities Detail'!R64</f>
        <v>9085.44</v>
      </c>
      <c r="N90" s="954"/>
      <c r="O90" s="988">
        <f>+' Activities Detail'!U64</f>
        <v>7874.0480000000007</v>
      </c>
      <c r="P90" s="956">
        <f t="shared" si="29"/>
        <v>24239.488000000001</v>
      </c>
      <c r="Q90" s="988"/>
      <c r="R90" s="957">
        <f>SUM(P90:Q90)</f>
        <v>24239.488000000001</v>
      </c>
      <c r="S90" s="1086"/>
    </row>
    <row r="91" spans="1:36" ht="33" customHeight="1">
      <c r="A91" s="1019"/>
      <c r="B91" s="1000"/>
      <c r="C91" s="734" t="s">
        <v>150</v>
      </c>
      <c r="D91" s="712" t="s">
        <v>146</v>
      </c>
      <c r="E91" s="712"/>
      <c r="F91" s="712"/>
      <c r="G91" s="735"/>
      <c r="H91" s="737"/>
      <c r="I91" s="973">
        <f>+' Activities Detail'!L81</f>
        <v>0</v>
      </c>
      <c r="J91" s="988"/>
      <c r="K91" s="973">
        <f>+' Activities Detail'!O81</f>
        <v>52000</v>
      </c>
      <c r="L91" s="954"/>
      <c r="M91" s="973">
        <f>+' Activities Detail'!R81</f>
        <v>0</v>
      </c>
      <c r="N91" s="954"/>
      <c r="O91" s="973">
        <f>+' Activities Detail'!U81</f>
        <v>0</v>
      </c>
      <c r="P91" s="956">
        <f t="shared" si="29"/>
        <v>52000</v>
      </c>
      <c r="Q91" s="988"/>
      <c r="R91" s="957">
        <f>SUM(P91:Q91)</f>
        <v>52000</v>
      </c>
      <c r="S91" s="1085"/>
    </row>
    <row r="92" spans="1:36" s="804" customFormat="1" ht="46.5" customHeight="1">
      <c r="A92" s="1033"/>
      <c r="B92" s="1014"/>
      <c r="C92" s="989" t="s">
        <v>151</v>
      </c>
      <c r="D92" s="1035" t="s">
        <v>146</v>
      </c>
      <c r="E92" s="1035"/>
      <c r="F92" s="1035"/>
      <c r="G92" s="954"/>
      <c r="H92" s="988"/>
      <c r="I92" s="955">
        <f>+' Activities Detail'!L96</f>
        <v>0</v>
      </c>
      <c r="J92" s="988"/>
      <c r="K92" s="955">
        <f>+' Activities Detail'!O96</f>
        <v>0</v>
      </c>
      <c r="L92" s="954"/>
      <c r="M92" s="955">
        <f>+' Activities Detail'!R96</f>
        <v>0</v>
      </c>
      <c r="N92" s="954"/>
      <c r="O92" s="955">
        <f>+' Activities Detail'!U96</f>
        <v>2125.99296</v>
      </c>
      <c r="P92" s="956">
        <f t="shared" si="29"/>
        <v>2125.99296</v>
      </c>
      <c r="Q92" s="988"/>
      <c r="R92" s="957">
        <f t="shared" ref="R92" si="31">SUM(P92:Q92)</f>
        <v>2125.99296</v>
      </c>
      <c r="S92" s="1086"/>
    </row>
    <row r="93" spans="1:36" s="805" customFormat="1" ht="15.3">
      <c r="A93" s="1034"/>
      <c r="B93" s="1015"/>
      <c r="C93" s="734" t="s">
        <v>152</v>
      </c>
      <c r="D93" s="712" t="s">
        <v>146</v>
      </c>
      <c r="E93" s="712"/>
      <c r="F93" s="712"/>
      <c r="G93" s="735"/>
      <c r="H93" s="737"/>
      <c r="I93" s="955">
        <f>+' Activities Detail'!L113</f>
        <v>0</v>
      </c>
      <c r="J93" s="988"/>
      <c r="K93" s="955">
        <f>+' Activities Detail'!O113</f>
        <v>0</v>
      </c>
      <c r="L93" s="954"/>
      <c r="M93" s="955">
        <f>+' Activities Detail'!R113</f>
        <v>9085.44</v>
      </c>
      <c r="N93" s="954"/>
      <c r="O93" s="955">
        <f>+' Activities Detail'!U113</f>
        <v>9448.8575999999994</v>
      </c>
      <c r="P93" s="956">
        <f t="shared" si="29"/>
        <v>18534.297599999998</v>
      </c>
      <c r="Q93" s="988"/>
      <c r="R93" s="957">
        <f>SUM(P93:Q93)</f>
        <v>18534.297599999998</v>
      </c>
      <c r="S93" s="1065"/>
    </row>
    <row r="94" spans="1:36" s="805" customFormat="1" ht="15">
      <c r="A94" s="1034"/>
      <c r="B94" s="1015"/>
      <c r="C94" s="992" t="s">
        <v>153</v>
      </c>
      <c r="D94" s="1036"/>
      <c r="E94" s="1036"/>
      <c r="F94" s="1036"/>
      <c r="G94" s="858"/>
      <c r="H94" s="1030"/>
      <c r="I94" s="958">
        <f>SUM(I87:I93)</f>
        <v>0</v>
      </c>
      <c r="J94" s="1030"/>
      <c r="K94" s="1030">
        <f>SUM(K87:K93)</f>
        <v>71115.199999999997</v>
      </c>
      <c r="L94" s="858"/>
      <c r="M94" s="1030">
        <f>SUM(M87:M93)</f>
        <v>18170.88</v>
      </c>
      <c r="N94" s="858"/>
      <c r="O94" s="1030">
        <f>SUM(O87:O93)</f>
        <v>19448.898560000001</v>
      </c>
      <c r="P94" s="865">
        <f>SUM(P87:P93)</f>
        <v>108734.97855999999</v>
      </c>
      <c r="Q94" s="1030"/>
      <c r="R94" s="863">
        <f>SUM(P94:Q94)</f>
        <v>108734.97855999999</v>
      </c>
      <c r="S94" s="1087"/>
    </row>
    <row r="95" spans="1:36" s="804" customFormat="1" ht="15.3">
      <c r="A95" s="1033"/>
      <c r="B95" s="1014"/>
      <c r="C95" s="993" t="s">
        <v>154</v>
      </c>
      <c r="D95" s="875"/>
      <c r="E95" s="875"/>
      <c r="F95" s="875"/>
      <c r="G95" s="864"/>
      <c r="H95" s="862"/>
      <c r="I95" s="861"/>
      <c r="J95" s="862"/>
      <c r="K95" s="862"/>
      <c r="L95" s="864"/>
      <c r="M95" s="862"/>
      <c r="N95" s="864"/>
      <c r="O95" s="862"/>
      <c r="P95" s="860"/>
      <c r="Q95" s="862"/>
      <c r="R95" s="859"/>
      <c r="S95" s="1086"/>
    </row>
    <row r="96" spans="1:36" s="804" customFormat="1" ht="30.75" customHeight="1">
      <c r="A96" s="1033"/>
      <c r="B96" s="1014"/>
      <c r="C96" s="989" t="s">
        <v>155</v>
      </c>
      <c r="D96" s="1035" t="s">
        <v>156</v>
      </c>
      <c r="E96" s="1035"/>
      <c r="F96" s="1035"/>
      <c r="G96" s="954"/>
      <c r="H96" s="988"/>
      <c r="I96" s="955"/>
      <c r="J96" s="988"/>
      <c r="K96" s="955"/>
      <c r="L96" s="954"/>
      <c r="M96" s="955"/>
      <c r="N96" s="954"/>
      <c r="O96" s="955"/>
      <c r="P96" s="956"/>
      <c r="Q96" s="988"/>
      <c r="R96" s="957"/>
      <c r="S96" s="1085"/>
    </row>
    <row r="97" spans="1:19" ht="45.9">
      <c r="A97" s="1019"/>
      <c r="B97" s="1000"/>
      <c r="C97" s="989" t="s">
        <v>157</v>
      </c>
      <c r="D97" s="1035" t="s">
        <v>156</v>
      </c>
      <c r="E97" s="1035"/>
      <c r="F97" s="1035"/>
      <c r="G97" s="954"/>
      <c r="H97" s="988"/>
      <c r="I97" s="955">
        <f>+' Activities Detail'!L124</f>
        <v>0</v>
      </c>
      <c r="J97" s="988"/>
      <c r="K97" s="955">
        <f>+' Activities Detail'!O124</f>
        <v>0</v>
      </c>
      <c r="L97" s="954"/>
      <c r="M97" s="955">
        <f>+' Activities Detail'!R124</f>
        <v>0</v>
      </c>
      <c r="N97" s="954"/>
      <c r="O97" s="955">
        <f>+' Activities Detail'!U124</f>
        <v>0</v>
      </c>
      <c r="P97" s="956">
        <f t="shared" ref="P97" si="32">SUM(I97+K97+M97+O97)</f>
        <v>0</v>
      </c>
      <c r="Q97" s="988"/>
      <c r="R97" s="957">
        <f>SUM(P97:Q97)</f>
        <v>0</v>
      </c>
    </row>
    <row r="98" spans="1:19" s="804" customFormat="1" ht="30.6">
      <c r="A98" s="1033"/>
      <c r="B98" s="1014"/>
      <c r="C98" s="989" t="s">
        <v>158</v>
      </c>
      <c r="D98" s="1035" t="s">
        <v>156</v>
      </c>
      <c r="E98" s="1035"/>
      <c r="F98" s="1035"/>
      <c r="G98" s="954"/>
      <c r="H98" s="988"/>
      <c r="I98" s="955">
        <f>+' Activities Detail'!L132</f>
        <v>0</v>
      </c>
      <c r="J98" s="988"/>
      <c r="K98" s="955">
        <f>+' Activities Detail'!O132</f>
        <v>3536</v>
      </c>
      <c r="L98" s="954"/>
      <c r="M98" s="955">
        <f>+' Activities Detail'!R132</f>
        <v>3677.44</v>
      </c>
      <c r="N98" s="954"/>
      <c r="O98" s="955">
        <f>+' Activities Detail'!U132</f>
        <v>1912.2688000000001</v>
      </c>
      <c r="P98" s="956">
        <f t="shared" ref="P98:P103" si="33">SUM(I98+K98+M98+O98)</f>
        <v>9125.7088000000003</v>
      </c>
      <c r="Q98" s="988"/>
      <c r="R98" s="957">
        <f t="shared" ref="R98:R99" si="34">SUM(P98:Q98)</f>
        <v>9125.7088000000003</v>
      </c>
    </row>
    <row r="99" spans="1:19" s="805" customFormat="1" ht="30.6">
      <c r="A99" s="1034"/>
      <c r="B99" s="1015"/>
      <c r="C99" s="989" t="s">
        <v>159</v>
      </c>
      <c r="D99" s="1035" t="s">
        <v>156</v>
      </c>
      <c r="E99" s="1035"/>
      <c r="F99" s="1035"/>
      <c r="G99" s="954"/>
      <c r="H99" s="988"/>
      <c r="I99" s="955">
        <f>+' Activities Detail'!L141</f>
        <v>0</v>
      </c>
      <c r="J99" s="988"/>
      <c r="K99" s="955">
        <f>+' Activities Detail'!O141</f>
        <v>2371.2000000000003</v>
      </c>
      <c r="L99" s="988"/>
      <c r="M99" s="955">
        <f>+' Activities Detail'!R141</f>
        <v>2466.0480000000002</v>
      </c>
      <c r="N99" s="988">
        <f>+' Activities Detail'!Q141</f>
        <v>0</v>
      </c>
      <c r="O99" s="955">
        <f>+' Activities Detail'!U141</f>
        <v>2564.6899200000003</v>
      </c>
      <c r="P99" s="956">
        <f t="shared" si="33"/>
        <v>7401.9379200000003</v>
      </c>
      <c r="Q99" s="988"/>
      <c r="R99" s="957">
        <f t="shared" si="34"/>
        <v>7401.9379200000003</v>
      </c>
    </row>
    <row r="100" spans="1:19" s="804" customFormat="1" ht="63.75" customHeight="1">
      <c r="A100" s="1033"/>
      <c r="B100" s="1014"/>
      <c r="C100" s="989" t="s">
        <v>160</v>
      </c>
      <c r="D100" s="1035" t="s">
        <v>156</v>
      </c>
      <c r="E100" s="1035"/>
      <c r="F100" s="1035"/>
      <c r="G100" s="954"/>
      <c r="H100" s="988"/>
      <c r="I100" s="955">
        <f>+' Activities Detail'!L150</f>
        <v>0</v>
      </c>
      <c r="J100" s="988"/>
      <c r="K100" s="955">
        <f>+' Activities Detail'!O150</f>
        <v>14352</v>
      </c>
      <c r="L100" s="988"/>
      <c r="M100" s="955">
        <f>+' Activities Detail'!R150</f>
        <v>14926.08</v>
      </c>
      <c r="N100" s="988"/>
      <c r="O100" s="955">
        <f>+' Activities Detail'!U150</f>
        <v>0</v>
      </c>
      <c r="P100" s="956">
        <f t="shared" si="33"/>
        <v>29278.080000000002</v>
      </c>
      <c r="Q100" s="988"/>
      <c r="R100" s="957">
        <f t="shared" ref="R100:R101" si="35">SUM(P100:Q100)</f>
        <v>29278.080000000002</v>
      </c>
    </row>
    <row r="101" spans="1:19" s="805" customFormat="1" ht="45.9">
      <c r="A101" s="1034"/>
      <c r="B101" s="1015"/>
      <c r="C101" s="989" t="s">
        <v>161</v>
      </c>
      <c r="D101" s="1035" t="s">
        <v>156</v>
      </c>
      <c r="E101" s="1035"/>
      <c r="F101" s="1035"/>
      <c r="G101" s="954"/>
      <c r="H101" s="988"/>
      <c r="I101" s="955">
        <f>+' Activities Detail'!L163</f>
        <v>0</v>
      </c>
      <c r="J101" s="988"/>
      <c r="K101" s="955">
        <f>+' Activities Detail'!O163</f>
        <v>0</v>
      </c>
      <c r="L101" s="988">
        <f>+' Activities Detail'!O163</f>
        <v>0</v>
      </c>
      <c r="M101" s="955">
        <f>+' Activities Detail'!R163</f>
        <v>886.91200000000003</v>
      </c>
      <c r="N101" s="988">
        <f>+' Activities Detail'!Q163</f>
        <v>0</v>
      </c>
      <c r="O101" s="955">
        <f>+' Activities Detail'!U163</f>
        <v>922.38848000000007</v>
      </c>
      <c r="P101" s="956">
        <f t="shared" si="33"/>
        <v>1809.3004800000001</v>
      </c>
      <c r="Q101" s="988"/>
      <c r="R101" s="957">
        <f t="shared" si="35"/>
        <v>1809.3004800000001</v>
      </c>
    </row>
    <row r="102" spans="1:19" s="804" customFormat="1" ht="45.9">
      <c r="A102" s="1033"/>
      <c r="B102" s="1014"/>
      <c r="C102" s="989" t="s">
        <v>162</v>
      </c>
      <c r="D102" s="1035" t="s">
        <v>156</v>
      </c>
      <c r="E102" s="1035"/>
      <c r="F102" s="1035"/>
      <c r="G102" s="954"/>
      <c r="H102" s="988"/>
      <c r="I102" s="955">
        <f>+' Activities Detail'!L179</f>
        <v>0</v>
      </c>
      <c r="J102" s="988"/>
      <c r="K102" s="955">
        <f>+' Activities Detail'!O179</f>
        <v>0</v>
      </c>
      <c r="L102" s="988">
        <f>+' Activities Detail'!O179</f>
        <v>0</v>
      </c>
      <c r="M102" s="955">
        <f>+' Activities Detail'!R179</f>
        <v>17089.280000000002</v>
      </c>
      <c r="N102" s="988">
        <f>+' Activities Detail'!Q179</f>
        <v>0</v>
      </c>
      <c r="O102" s="955">
        <f>+' Activities Detail'!U179</f>
        <v>17772.851200000001</v>
      </c>
      <c r="P102" s="956">
        <f t="shared" si="33"/>
        <v>34862.131200000003</v>
      </c>
      <c r="Q102" s="988"/>
      <c r="R102" s="957">
        <f>SUM(P102:Q102)</f>
        <v>34862.131200000003</v>
      </c>
    </row>
    <row r="103" spans="1:19" s="805" customFormat="1" ht="45.9">
      <c r="A103" s="1034"/>
      <c r="B103" s="1015"/>
      <c r="C103" s="989" t="s">
        <v>163</v>
      </c>
      <c r="D103" s="1035" t="s">
        <v>156</v>
      </c>
      <c r="E103" s="1035"/>
      <c r="F103" s="1035"/>
      <c r="G103" s="954"/>
      <c r="H103" s="988"/>
      <c r="I103" s="955">
        <f>+' Activities Detail'!L196</f>
        <v>0</v>
      </c>
      <c r="J103" s="988"/>
      <c r="K103" s="955">
        <f>+' Activities Detail'!O196</f>
        <v>0</v>
      </c>
      <c r="L103" s="988">
        <f>+' Activities Detail'!O196</f>
        <v>0</v>
      </c>
      <c r="M103" s="955">
        <f>+' Activities Detail'!R196</f>
        <v>0</v>
      </c>
      <c r="N103" s="988">
        <f>+' Activities Detail'!Q196</f>
        <v>0</v>
      </c>
      <c r="O103" s="955">
        <f>+' Activities Detail'!U196</f>
        <v>12823.4496</v>
      </c>
      <c r="P103" s="956">
        <f t="shared" si="33"/>
        <v>12823.4496</v>
      </c>
      <c r="Q103" s="988"/>
      <c r="R103" s="957">
        <f t="shared" ref="R103:R105" si="36">SUM(P103:Q103)</f>
        <v>12823.4496</v>
      </c>
    </row>
    <row r="104" spans="1:19" s="805" customFormat="1" ht="15">
      <c r="A104" s="1034"/>
      <c r="B104" s="1015"/>
      <c r="C104" s="992" t="s">
        <v>164</v>
      </c>
      <c r="D104" s="1036"/>
      <c r="E104" s="1036"/>
      <c r="F104" s="1036"/>
      <c r="G104" s="858"/>
      <c r="H104" s="1030"/>
      <c r="I104" s="857">
        <f>SUM(I96:I103)</f>
        <v>0</v>
      </c>
      <c r="J104" s="1030"/>
      <c r="K104" s="1030">
        <f>SUM(K96:K103)</f>
        <v>20259.2</v>
      </c>
      <c r="L104" s="858"/>
      <c r="M104" s="1030">
        <f>SUM(M96:M103)</f>
        <v>39045.760000000002</v>
      </c>
      <c r="N104" s="858"/>
      <c r="O104" s="1030">
        <f>SUM(O96:O103)</f>
        <v>35995.648000000001</v>
      </c>
      <c r="P104" s="865">
        <f>SUM(P96:P103)</f>
        <v>95300.608000000007</v>
      </c>
      <c r="Q104" s="1030"/>
      <c r="R104" s="863">
        <f>SUM(P104:Q104)</f>
        <v>95300.608000000007</v>
      </c>
      <c r="S104" s="1061"/>
    </row>
    <row r="105" spans="1:19" s="804" customFormat="1" ht="15.3">
      <c r="A105" s="1033"/>
      <c r="B105" s="1014"/>
      <c r="C105" s="993" t="s">
        <v>165</v>
      </c>
      <c r="D105" s="869"/>
      <c r="E105" s="869"/>
      <c r="F105" s="869"/>
      <c r="G105" s="870"/>
      <c r="H105" s="871"/>
      <c r="I105" s="872"/>
      <c r="J105" s="871"/>
      <c r="K105" s="871"/>
      <c r="L105" s="870"/>
      <c r="M105" s="871"/>
      <c r="N105" s="870"/>
      <c r="O105" s="871"/>
      <c r="P105" s="873"/>
      <c r="Q105" s="871"/>
      <c r="R105" s="874">
        <f t="shared" si="36"/>
        <v>0</v>
      </c>
    </row>
    <row r="106" spans="1:19" s="805" customFormat="1" ht="30.6">
      <c r="A106" s="1034"/>
      <c r="B106" s="1015"/>
      <c r="C106" s="989" t="s">
        <v>166</v>
      </c>
      <c r="D106" s="712" t="s">
        <v>167</v>
      </c>
      <c r="E106" s="712"/>
      <c r="F106" s="712"/>
      <c r="G106" s="735"/>
      <c r="H106" s="737"/>
      <c r="I106" s="955"/>
      <c r="J106" s="988"/>
      <c r="K106" s="955"/>
      <c r="L106" s="954"/>
      <c r="M106" s="955"/>
      <c r="N106" s="954"/>
      <c r="O106" s="955"/>
      <c r="P106" s="956"/>
      <c r="Q106" s="988"/>
      <c r="R106" s="957"/>
      <c r="S106" s="1085"/>
    </row>
    <row r="107" spans="1:19" s="804" customFormat="1" ht="30.6">
      <c r="A107" s="1033"/>
      <c r="B107" s="1014"/>
      <c r="C107" s="989" t="s">
        <v>168</v>
      </c>
      <c r="D107" s="712" t="s">
        <v>167</v>
      </c>
      <c r="E107" s="712"/>
      <c r="F107" s="712"/>
      <c r="G107" s="735"/>
      <c r="H107" s="737"/>
      <c r="I107" s="955">
        <f>+' Activities Detail'!L216</f>
        <v>0</v>
      </c>
      <c r="J107" s="988"/>
      <c r="K107" s="955">
        <f>+' Activities Detail'!O216</f>
        <v>2808</v>
      </c>
      <c r="L107" s="954"/>
      <c r="M107" s="955">
        <f>+' Activities Detail'!R216</f>
        <v>0</v>
      </c>
      <c r="N107" s="954"/>
      <c r="O107" s="955">
        <f>+' Activities Detail'!U216</f>
        <v>0</v>
      </c>
      <c r="P107" s="956">
        <f>SUM(I107+K107+M107+O107)</f>
        <v>2808</v>
      </c>
      <c r="Q107" s="988"/>
      <c r="R107" s="957">
        <f>SUM(P107:Q107)</f>
        <v>2808</v>
      </c>
    </row>
    <row r="108" spans="1:19" s="805" customFormat="1" ht="30.6">
      <c r="A108" s="1034"/>
      <c r="B108" s="1015"/>
      <c r="C108" s="989" t="s">
        <v>169</v>
      </c>
      <c r="D108" s="712" t="s">
        <v>167</v>
      </c>
      <c r="E108" s="712"/>
      <c r="F108" s="712"/>
      <c r="G108" s="735"/>
      <c r="H108" s="737"/>
      <c r="I108" s="955">
        <f>+' Activities Detail'!L223</f>
        <v>0</v>
      </c>
      <c r="J108" s="988"/>
      <c r="K108" s="955">
        <f>+' Activities Detail'!O223</f>
        <v>7956</v>
      </c>
      <c r="L108" s="954"/>
      <c r="M108" s="955">
        <f>+' Activities Detail'!R223</f>
        <v>8274.2400000000016</v>
      </c>
      <c r="N108" s="954"/>
      <c r="O108" s="955">
        <f>+' Activities Detail'!U223</f>
        <v>0</v>
      </c>
      <c r="P108" s="956">
        <f>SUM(I108+K108+M108+O108)</f>
        <v>16230.240000000002</v>
      </c>
      <c r="Q108" s="988"/>
      <c r="R108" s="957">
        <f t="shared" ref="R108" si="37">SUM(P108:Q108)</f>
        <v>16230.240000000002</v>
      </c>
    </row>
    <row r="109" spans="1:19" s="804" customFormat="1" ht="30.6">
      <c r="A109" s="1033"/>
      <c r="B109" s="1014"/>
      <c r="C109" s="989" t="s">
        <v>170</v>
      </c>
      <c r="D109" s="712" t="s">
        <v>167</v>
      </c>
      <c r="E109" s="712"/>
      <c r="F109" s="712"/>
      <c r="G109" s="735"/>
      <c r="H109" s="737"/>
      <c r="I109" s="955">
        <f>+' Activities Detail'!L237</f>
        <v>0</v>
      </c>
      <c r="J109" s="988"/>
      <c r="K109" s="955">
        <f>+' Activities Detail'!O237</f>
        <v>0</v>
      </c>
      <c r="L109" s="954"/>
      <c r="M109" s="955">
        <f>+' Activities Detail'!R237</f>
        <v>7787.52</v>
      </c>
      <c r="N109" s="954"/>
      <c r="O109" s="955">
        <f>+' Activities Detail'!U237</f>
        <v>0</v>
      </c>
      <c r="P109" s="956">
        <f>SUM(I109+K109+M109+O109)</f>
        <v>7787.52</v>
      </c>
      <c r="Q109" s="988"/>
      <c r="R109" s="957">
        <f>SUM(P109:Q109)</f>
        <v>7787.52</v>
      </c>
    </row>
    <row r="110" spans="1:19" s="804" customFormat="1" ht="30.6">
      <c r="A110" s="1033"/>
      <c r="B110" s="1014"/>
      <c r="C110" s="989" t="s">
        <v>171</v>
      </c>
      <c r="D110" s="712" t="s">
        <v>167</v>
      </c>
      <c r="E110" s="712"/>
      <c r="F110" s="712"/>
      <c r="G110" s="735"/>
      <c r="H110" s="737"/>
      <c r="I110" s="955">
        <f>+' Activities Detail'!L250</f>
        <v>0</v>
      </c>
      <c r="J110" s="988"/>
      <c r="K110" s="955">
        <f>+' Activities Detail'!O250</f>
        <v>5304</v>
      </c>
      <c r="L110" s="954"/>
      <c r="M110" s="955">
        <f>+' Activities Detail'!R250</f>
        <v>5516.16</v>
      </c>
      <c r="N110" s="954"/>
      <c r="O110" s="955">
        <f>+' Activities Detail'!U250</f>
        <v>0</v>
      </c>
      <c r="P110" s="956">
        <f>SUM(I110+K110+M110+O110)</f>
        <v>10820.16</v>
      </c>
      <c r="Q110" s="988"/>
      <c r="R110" s="957">
        <f>SUM(P110:Q110)</f>
        <v>10820.16</v>
      </c>
    </row>
    <row r="111" spans="1:19" s="804" customFormat="1" ht="45.9">
      <c r="A111" s="1033"/>
      <c r="B111" s="1014"/>
      <c r="C111" s="989" t="s">
        <v>172</v>
      </c>
      <c r="D111" s="712" t="s">
        <v>167</v>
      </c>
      <c r="E111" s="712"/>
      <c r="F111" s="712"/>
      <c r="G111" s="735"/>
      <c r="H111" s="737"/>
      <c r="I111" s="955">
        <f>+' Activities Detail'!L258</f>
        <v>0</v>
      </c>
      <c r="J111" s="988"/>
      <c r="K111" s="955">
        <f>+' Activities Detail'!O258</f>
        <v>0</v>
      </c>
      <c r="L111" s="954"/>
      <c r="M111" s="955">
        <f>+' Activities Detail'!R258</f>
        <v>0</v>
      </c>
      <c r="N111" s="954"/>
      <c r="O111" s="955">
        <f>+' Activities Detail'!U258</f>
        <v>0</v>
      </c>
      <c r="P111" s="956">
        <f>SUM(I111+K111+M111+O111)</f>
        <v>0</v>
      </c>
      <c r="Q111" s="988"/>
      <c r="R111" s="957">
        <f>SUM(P111:Q111)</f>
        <v>0</v>
      </c>
    </row>
    <row r="112" spans="1:19" s="804" customFormat="1" ht="15.3">
      <c r="A112" s="1033"/>
      <c r="B112" s="1014"/>
      <c r="C112" s="995" t="s">
        <v>173</v>
      </c>
      <c r="D112" s="1036"/>
      <c r="E112" s="1036"/>
      <c r="F112" s="1036"/>
      <c r="G112" s="858"/>
      <c r="H112" s="1030"/>
      <c r="I112" s="857">
        <f>SUM(I106:I111)</f>
        <v>0</v>
      </c>
      <c r="J112" s="858"/>
      <c r="K112" s="857">
        <f>SUM(K106:K111)</f>
        <v>16068</v>
      </c>
      <c r="L112" s="858"/>
      <c r="M112" s="857">
        <f>SUM(M106:M111)</f>
        <v>21577.920000000002</v>
      </c>
      <c r="N112" s="858"/>
      <c r="O112" s="857">
        <f>SUM(O106:O111)</f>
        <v>0</v>
      </c>
      <c r="P112" s="857">
        <f>SUM(P106:P111)</f>
        <v>37645.919999999998</v>
      </c>
      <c r="Q112" s="857">
        <f t="shared" ref="Q112" si="38">SUM(Q106:Q111)</f>
        <v>0</v>
      </c>
      <c r="R112" s="863">
        <f>SUM(R106:R111)</f>
        <v>37645.919999999998</v>
      </c>
      <c r="S112" s="1062"/>
    </row>
    <row r="113" spans="1:21" s="805" customFormat="1" ht="30">
      <c r="A113" s="1034"/>
      <c r="B113" s="1015"/>
      <c r="C113" s="996" t="s">
        <v>174</v>
      </c>
      <c r="D113" s="996"/>
      <c r="E113" s="996"/>
      <c r="F113" s="1037"/>
      <c r="G113" s="864"/>
      <c r="H113" s="862"/>
      <c r="I113" s="861"/>
      <c r="J113" s="862"/>
      <c r="K113" s="862"/>
      <c r="L113" s="862"/>
      <c r="M113" s="862"/>
      <c r="N113" s="864"/>
      <c r="O113" s="862"/>
      <c r="P113" s="860"/>
      <c r="Q113" s="862"/>
      <c r="R113" s="859"/>
    </row>
    <row r="114" spans="1:21" ht="30.3">
      <c r="A114" s="1088"/>
      <c r="B114" s="1089"/>
      <c r="C114" s="1090" t="s">
        <v>175</v>
      </c>
      <c r="D114" s="1090"/>
      <c r="E114" s="1090"/>
      <c r="F114" s="1091"/>
      <c r="G114" s="1092"/>
      <c r="H114" s="1093"/>
      <c r="I114" s="1094"/>
      <c r="J114" s="1093"/>
      <c r="K114" s="1093"/>
      <c r="L114" s="1092"/>
      <c r="M114" s="1093"/>
      <c r="N114" s="1092"/>
      <c r="O114" s="1093"/>
      <c r="P114" s="1095"/>
      <c r="Q114" s="1093"/>
      <c r="R114" s="1096"/>
      <c r="S114" s="716"/>
      <c r="T114" s="1063"/>
      <c r="U114" s="1063"/>
    </row>
    <row r="115" spans="1:21" ht="15.3">
      <c r="A115" s="1097" t="s">
        <v>176</v>
      </c>
      <c r="B115" s="1098">
        <v>81000</v>
      </c>
      <c r="C115" s="1099" t="s">
        <v>177</v>
      </c>
      <c r="D115" s="1099" t="s">
        <v>178</v>
      </c>
      <c r="E115" s="1099"/>
      <c r="F115" s="1100" t="s">
        <v>67</v>
      </c>
      <c r="G115" s="1101">
        <v>30</v>
      </c>
      <c r="H115" s="1102">
        <v>150</v>
      </c>
      <c r="I115" s="1103">
        <f>G115*H115</f>
        <v>4500</v>
      </c>
      <c r="J115" s="1102">
        <v>0</v>
      </c>
      <c r="K115" s="1102">
        <f>J115*H115*$D$7</f>
        <v>0</v>
      </c>
      <c r="L115" s="1101">
        <v>0</v>
      </c>
      <c r="M115" s="1102">
        <f>L115*H115*$D$7*$D$7</f>
        <v>0</v>
      </c>
      <c r="N115" s="1101">
        <v>0</v>
      </c>
      <c r="O115" s="1102">
        <f>N115*H115*$D$7*$D$7*$D$7</f>
        <v>0</v>
      </c>
      <c r="P115" s="1104">
        <f>SUM(I115+K115+M115+O115)</f>
        <v>4500</v>
      </c>
      <c r="Q115" s="1102" t="s">
        <v>63</v>
      </c>
      <c r="R115" s="1105">
        <f>SUM(P115:Q115)</f>
        <v>4500</v>
      </c>
    </row>
    <row r="116" spans="1:21" ht="15.3">
      <c r="A116" s="1106"/>
      <c r="B116" s="1107"/>
      <c r="C116" s="1090" t="s">
        <v>179</v>
      </c>
      <c r="D116" s="1099"/>
      <c r="E116" s="1099"/>
      <c r="F116" s="1100"/>
      <c r="G116" s="1101"/>
      <c r="H116" s="1102"/>
      <c r="I116" s="1103"/>
      <c r="J116" s="1102"/>
      <c r="K116" s="1102"/>
      <c r="L116" s="1101"/>
      <c r="M116" s="1102"/>
      <c r="N116" s="1101"/>
      <c r="O116" s="1102"/>
      <c r="P116" s="1104"/>
      <c r="Q116" s="1102"/>
      <c r="R116" s="1105"/>
    </row>
    <row r="117" spans="1:21" ht="15.3">
      <c r="A117" s="1097" t="s">
        <v>180</v>
      </c>
      <c r="B117" s="1098">
        <v>85300</v>
      </c>
      <c r="C117" s="1099" t="s">
        <v>181</v>
      </c>
      <c r="D117" s="1099" t="s">
        <v>178</v>
      </c>
      <c r="E117" s="1099"/>
      <c r="F117" s="1100" t="s">
        <v>182</v>
      </c>
      <c r="G117" s="1101">
        <v>1</v>
      </c>
      <c r="H117" s="1102">
        <v>2500</v>
      </c>
      <c r="I117" s="1103">
        <f>G117*H117</f>
        <v>2500</v>
      </c>
      <c r="J117" s="1102">
        <v>0</v>
      </c>
      <c r="K117" s="1102">
        <f>J117*H117*$D$7</f>
        <v>0</v>
      </c>
      <c r="L117" s="1101">
        <v>0</v>
      </c>
      <c r="M117" s="1102">
        <f>L117*H117*$D$7*$D$7</f>
        <v>0</v>
      </c>
      <c r="N117" s="1101">
        <v>0</v>
      </c>
      <c r="O117" s="1102">
        <f>N117*H117*$D$7*$D$7*$D$7</f>
        <v>0</v>
      </c>
      <c r="P117" s="1104">
        <f>SUM(I117+K117+M117+O117)</f>
        <v>2500</v>
      </c>
      <c r="Q117" s="1102" t="s">
        <v>63</v>
      </c>
      <c r="R117" s="1105">
        <f t="shared" ref="R117:R118" si="39">SUM(P117:Q117)</f>
        <v>2500</v>
      </c>
    </row>
    <row r="118" spans="1:21" ht="15.3">
      <c r="A118" s="1097" t="s">
        <v>183</v>
      </c>
      <c r="B118" s="1098">
        <v>81021</v>
      </c>
      <c r="C118" s="1099" t="s">
        <v>184</v>
      </c>
      <c r="D118" s="1099" t="s">
        <v>178</v>
      </c>
      <c r="E118" s="1099"/>
      <c r="F118" s="1100" t="s">
        <v>182</v>
      </c>
      <c r="G118" s="1101">
        <v>1</v>
      </c>
      <c r="H118" s="1102">
        <v>1800</v>
      </c>
      <c r="I118" s="1103">
        <f>G118*H118</f>
        <v>1800</v>
      </c>
      <c r="J118" s="1102">
        <v>0</v>
      </c>
      <c r="K118" s="1102">
        <f>J118*H118*$D$7</f>
        <v>0</v>
      </c>
      <c r="L118" s="1101">
        <v>0</v>
      </c>
      <c r="M118" s="1102">
        <f>L118*H118*$D$7*$D$7</f>
        <v>0</v>
      </c>
      <c r="N118" s="1101">
        <v>0</v>
      </c>
      <c r="O118" s="1102">
        <f>N118*H118*$D$7*$D$7*$D$7</f>
        <v>0</v>
      </c>
      <c r="P118" s="1104">
        <f>SUM(I118+K118+M118+O118)</f>
        <v>1800</v>
      </c>
      <c r="Q118" s="1102" t="s">
        <v>63</v>
      </c>
      <c r="R118" s="1105">
        <f t="shared" si="39"/>
        <v>1800</v>
      </c>
    </row>
    <row r="119" spans="1:21" ht="15.3">
      <c r="A119" s="1088"/>
      <c r="B119" s="1108"/>
      <c r="C119" s="1090" t="s">
        <v>185</v>
      </c>
      <c r="D119" s="1099"/>
      <c r="E119" s="1099"/>
      <c r="F119" s="1100"/>
      <c r="G119" s="1101"/>
      <c r="H119" s="1102"/>
      <c r="I119" s="1103"/>
      <c r="J119" s="1102"/>
      <c r="K119" s="1102"/>
      <c r="L119" s="1101"/>
      <c r="M119" s="1102"/>
      <c r="N119" s="1101"/>
      <c r="O119" s="1102"/>
      <c r="P119" s="1104"/>
      <c r="Q119" s="1102"/>
      <c r="R119" s="1105"/>
    </row>
    <row r="120" spans="1:21" ht="15.3">
      <c r="A120" s="1097" t="s">
        <v>186</v>
      </c>
      <c r="B120" s="1098">
        <v>87000</v>
      </c>
      <c r="C120" s="1099" t="s">
        <v>187</v>
      </c>
      <c r="D120" s="1099" t="s">
        <v>178</v>
      </c>
      <c r="E120" s="1099"/>
      <c r="F120" s="1100" t="s">
        <v>188</v>
      </c>
      <c r="G120" s="1101">
        <v>1</v>
      </c>
      <c r="H120" s="1102">
        <v>300</v>
      </c>
      <c r="I120" s="1103">
        <f>G120*H120</f>
        <v>300</v>
      </c>
      <c r="J120" s="1102">
        <v>0</v>
      </c>
      <c r="K120" s="1102">
        <f>J120*H120*$D$7</f>
        <v>0</v>
      </c>
      <c r="L120" s="1101">
        <v>1</v>
      </c>
      <c r="M120" s="1102">
        <f>L120*H120*$D$7*$D$7</f>
        <v>324.48</v>
      </c>
      <c r="N120" s="1101">
        <v>0</v>
      </c>
      <c r="O120" s="1102">
        <f>N120*H120*$D$7*$D$7*$D$7</f>
        <v>0</v>
      </c>
      <c r="P120" s="1104">
        <f>SUM(I120+K120+M120+O120)</f>
        <v>624.48</v>
      </c>
      <c r="Q120" s="1102" t="s">
        <v>63</v>
      </c>
      <c r="R120" s="1105">
        <f t="shared" ref="R120" si="40">SUM(P120:Q120)</f>
        <v>624.48</v>
      </c>
    </row>
    <row r="121" spans="1:21" ht="30.6">
      <c r="A121" s="1109" t="s">
        <v>189</v>
      </c>
      <c r="B121" s="1110" t="s">
        <v>65</v>
      </c>
      <c r="C121" s="1111" t="s">
        <v>190</v>
      </c>
      <c r="D121" s="1111" t="s">
        <v>178</v>
      </c>
      <c r="E121" s="1111"/>
      <c r="F121" s="1112" t="s">
        <v>191</v>
      </c>
      <c r="G121" s="1113">
        <v>5</v>
      </c>
      <c r="H121" s="1114">
        <v>115</v>
      </c>
      <c r="I121" s="973">
        <f>G121*H121</f>
        <v>575</v>
      </c>
      <c r="J121" s="1114">
        <v>0</v>
      </c>
      <c r="K121" s="1114">
        <f t="shared" ref="K121:K122" si="41">J121*H121*$D$7</f>
        <v>0</v>
      </c>
      <c r="L121" s="1113">
        <v>5</v>
      </c>
      <c r="M121" s="1114">
        <f t="shared" ref="M121:M122" si="42">L121*H121*$D$7*$D$7</f>
        <v>621.92000000000007</v>
      </c>
      <c r="N121" s="1113">
        <v>0</v>
      </c>
      <c r="O121" s="1114">
        <f>N121*H121*$D$7*$D$7*$D$7</f>
        <v>0</v>
      </c>
      <c r="P121" s="1115">
        <f>SUM(I121+K121+M121+O121)</f>
        <v>1196.92</v>
      </c>
      <c r="Q121" s="1114" t="s">
        <v>63</v>
      </c>
      <c r="R121" s="1116">
        <f t="shared" ref="R121" si="43">SUM(P121:Q121)</f>
        <v>1196.92</v>
      </c>
    </row>
    <row r="122" spans="1:21" ht="15.3">
      <c r="A122" s="1097" t="s">
        <v>192</v>
      </c>
      <c r="B122" s="1098">
        <v>86000</v>
      </c>
      <c r="C122" s="1099" t="s">
        <v>193</v>
      </c>
      <c r="D122" s="1099" t="s">
        <v>178</v>
      </c>
      <c r="E122" s="1099"/>
      <c r="F122" s="1100" t="s">
        <v>191</v>
      </c>
      <c r="G122" s="1101">
        <v>5</v>
      </c>
      <c r="H122" s="1102">
        <v>30</v>
      </c>
      <c r="I122" s="1103">
        <f>G122*H122</f>
        <v>150</v>
      </c>
      <c r="J122" s="1102">
        <v>0</v>
      </c>
      <c r="K122" s="1102">
        <f t="shared" si="41"/>
        <v>0</v>
      </c>
      <c r="L122" s="1101">
        <v>5</v>
      </c>
      <c r="M122" s="1102">
        <f t="shared" si="42"/>
        <v>162.24</v>
      </c>
      <c r="N122" s="1101">
        <v>0</v>
      </c>
      <c r="O122" s="1102">
        <f>N122*H122*$D$7*$D$7*$D$7</f>
        <v>0</v>
      </c>
      <c r="P122" s="1104">
        <f>SUM(I122+K122+M122+O122)</f>
        <v>312.24</v>
      </c>
      <c r="Q122" s="1102" t="s">
        <v>63</v>
      </c>
      <c r="R122" s="1105">
        <f t="shared" ref="R122" si="44">SUM(P122:Q122)</f>
        <v>312.24</v>
      </c>
    </row>
    <row r="123" spans="1:21" ht="30.3">
      <c r="A123" s="1088"/>
      <c r="B123" s="1089"/>
      <c r="C123" s="1117" t="s">
        <v>194</v>
      </c>
      <c r="D123" s="1099"/>
      <c r="E123" s="1099"/>
      <c r="F123" s="1100"/>
      <c r="G123" s="1101"/>
      <c r="H123" s="1102"/>
      <c r="I123" s="1103"/>
      <c r="J123" s="1102"/>
      <c r="K123" s="1102"/>
      <c r="L123" s="1101"/>
      <c r="M123" s="1102"/>
      <c r="N123" s="1101"/>
      <c r="O123" s="1102"/>
      <c r="P123" s="1104"/>
      <c r="Q123" s="1102"/>
      <c r="R123" s="1105"/>
    </row>
    <row r="124" spans="1:21" ht="30.6">
      <c r="A124" s="1109" t="s">
        <v>195</v>
      </c>
      <c r="B124" s="1118" t="s">
        <v>196</v>
      </c>
      <c r="C124" s="1119" t="s">
        <v>197</v>
      </c>
      <c r="D124" s="1120" t="s">
        <v>178</v>
      </c>
      <c r="E124" s="1120"/>
      <c r="F124" s="1121" t="s">
        <v>198</v>
      </c>
      <c r="G124" s="1113"/>
      <c r="H124" s="1114"/>
      <c r="I124" s="973">
        <f>G124*H124</f>
        <v>0</v>
      </c>
      <c r="J124" s="1114">
        <v>0</v>
      </c>
      <c r="K124" s="1114">
        <f>J124*H124*$D$7</f>
        <v>0</v>
      </c>
      <c r="L124" s="1113">
        <v>0</v>
      </c>
      <c r="M124" s="1114">
        <f>L124*H124*$D$7*$D$7</f>
        <v>0</v>
      </c>
      <c r="N124" s="1113">
        <v>0</v>
      </c>
      <c r="O124" s="1114">
        <f>N124*H124*$D$7*$D$7*$D$7</f>
        <v>0</v>
      </c>
      <c r="P124" s="1115">
        <f t="shared" ref="P124" si="45">SUM(I124+K124+M124+O124)</f>
        <v>0</v>
      </c>
      <c r="Q124" s="1114" t="s">
        <v>63</v>
      </c>
      <c r="R124" s="1116">
        <f t="shared" ref="R124" si="46">SUM(P124:Q124)</f>
        <v>0</v>
      </c>
      <c r="S124" s="1065"/>
    </row>
    <row r="125" spans="1:21" ht="30.6">
      <c r="A125" s="1109" t="s">
        <v>199</v>
      </c>
      <c r="B125" s="1110">
        <v>87000</v>
      </c>
      <c r="C125" s="1099" t="s">
        <v>200</v>
      </c>
      <c r="D125" s="1099" t="s">
        <v>178</v>
      </c>
      <c r="E125" s="1099"/>
      <c r="F125" s="1100" t="s">
        <v>188</v>
      </c>
      <c r="G125" s="1101">
        <v>1</v>
      </c>
      <c r="H125" s="1102">
        <v>4278</v>
      </c>
      <c r="I125" s="1103">
        <f>G125*H125</f>
        <v>4278</v>
      </c>
      <c r="J125" s="1102">
        <v>0</v>
      </c>
      <c r="K125" s="1102">
        <f>J125*H125*$D$7</f>
        <v>0</v>
      </c>
      <c r="L125" s="1101">
        <v>0</v>
      </c>
      <c r="M125" s="1102">
        <f>L125*H125*$D$7*$D$7</f>
        <v>0</v>
      </c>
      <c r="N125" s="1101">
        <v>0</v>
      </c>
      <c r="O125" s="1102">
        <f t="shared" ref="O125:O127" si="47">N125*H125*$D$7*$D$7*$D$7</f>
        <v>0</v>
      </c>
      <c r="P125" s="1104">
        <f>SUM(I125+K125+M125+O125)</f>
        <v>4278</v>
      </c>
      <c r="Q125" s="1102" t="s">
        <v>63</v>
      </c>
      <c r="R125" s="1105">
        <f t="shared" ref="R125" si="48">SUM(P125:Q125)</f>
        <v>4278</v>
      </c>
    </row>
    <row r="126" spans="1:21" ht="45.9">
      <c r="A126" s="1109" t="s">
        <v>201</v>
      </c>
      <c r="B126" s="1110" t="s">
        <v>65</v>
      </c>
      <c r="C126" s="1111" t="s">
        <v>202</v>
      </c>
      <c r="D126" s="1111" t="s">
        <v>178</v>
      </c>
      <c r="E126" s="1111"/>
      <c r="F126" s="1112" t="s">
        <v>191</v>
      </c>
      <c r="G126" s="1113">
        <v>1</v>
      </c>
      <c r="H126" s="1114">
        <v>6750</v>
      </c>
      <c r="I126" s="973">
        <f>G126*H126</f>
        <v>6750</v>
      </c>
      <c r="J126" s="1114">
        <v>0</v>
      </c>
      <c r="K126" s="1114">
        <f t="shared" ref="K126:K127" si="49">J126*H126*$D$7</f>
        <v>0</v>
      </c>
      <c r="L126" s="1113">
        <v>0</v>
      </c>
      <c r="M126" s="1114">
        <f t="shared" ref="M126:M127" si="50">L126*H126*$D$7*$D$7</f>
        <v>0</v>
      </c>
      <c r="N126" s="1113">
        <v>0</v>
      </c>
      <c r="O126" s="1114">
        <f t="shared" si="47"/>
        <v>0</v>
      </c>
      <c r="P126" s="1115">
        <f>SUM(I126+K126+M126+O126)</f>
        <v>6750</v>
      </c>
      <c r="Q126" s="1114" t="s">
        <v>63</v>
      </c>
      <c r="R126" s="1116">
        <f t="shared" ref="R126" si="51">SUM(P126:Q126)</f>
        <v>6750</v>
      </c>
    </row>
    <row r="127" spans="1:21" ht="45.9">
      <c r="A127" s="1109" t="s">
        <v>203</v>
      </c>
      <c r="B127" s="1110">
        <v>86000</v>
      </c>
      <c r="C127" s="1099" t="s">
        <v>204</v>
      </c>
      <c r="D127" s="1099" t="s">
        <v>178</v>
      </c>
      <c r="E127" s="1099"/>
      <c r="F127" s="1100" t="s">
        <v>191</v>
      </c>
      <c r="G127" s="1101">
        <v>1</v>
      </c>
      <c r="H127" s="1102">
        <v>4450</v>
      </c>
      <c r="I127" s="1103">
        <f>G127*H127</f>
        <v>4450</v>
      </c>
      <c r="J127" s="1102">
        <v>0</v>
      </c>
      <c r="K127" s="1102">
        <f t="shared" si="49"/>
        <v>0</v>
      </c>
      <c r="L127" s="1101">
        <v>0</v>
      </c>
      <c r="M127" s="1102">
        <f t="shared" si="50"/>
        <v>0</v>
      </c>
      <c r="N127" s="1101">
        <v>0</v>
      </c>
      <c r="O127" s="1102">
        <f t="shared" si="47"/>
        <v>0</v>
      </c>
      <c r="P127" s="1104">
        <f>SUM(I127+K127+M127+O127)</f>
        <v>4450</v>
      </c>
      <c r="Q127" s="1102" t="s">
        <v>63</v>
      </c>
      <c r="R127" s="1105">
        <f t="shared" ref="R127" si="52">SUM(P127:Q127)</f>
        <v>4450</v>
      </c>
    </row>
    <row r="128" spans="1:21" ht="30.3">
      <c r="A128" s="1088"/>
      <c r="B128" s="1089"/>
      <c r="C128" s="1090" t="s">
        <v>205</v>
      </c>
      <c r="D128" s="1099"/>
      <c r="E128" s="1099"/>
      <c r="F128" s="1100"/>
      <c r="G128" s="1101"/>
      <c r="H128" s="1102"/>
      <c r="I128" s="1103"/>
      <c r="J128" s="1102"/>
      <c r="K128" s="1102"/>
      <c r="L128" s="1101"/>
      <c r="M128" s="1102"/>
      <c r="N128" s="1101"/>
      <c r="O128" s="1102"/>
      <c r="P128" s="1104"/>
      <c r="Q128" s="1102"/>
      <c r="R128" s="1105"/>
    </row>
    <row r="129" spans="1:20" ht="30.6">
      <c r="A129" s="1109" t="s">
        <v>206</v>
      </c>
      <c r="B129" s="1110" t="s">
        <v>65</v>
      </c>
      <c r="C129" s="1111" t="s">
        <v>207</v>
      </c>
      <c r="D129" s="1111" t="s">
        <v>178</v>
      </c>
      <c r="E129" s="1111"/>
      <c r="F129" s="1112" t="s">
        <v>191</v>
      </c>
      <c r="G129" s="1113">
        <v>12</v>
      </c>
      <c r="H129" s="1114">
        <v>115</v>
      </c>
      <c r="I129" s="973">
        <f>G129*H129</f>
        <v>1380</v>
      </c>
      <c r="J129" s="1113">
        <f>12*2</f>
        <v>24</v>
      </c>
      <c r="K129" s="1114">
        <f>J129*H129*$D$7</f>
        <v>2870.4</v>
      </c>
      <c r="L129" s="1113">
        <f>12*2</f>
        <v>24</v>
      </c>
      <c r="M129" s="1114">
        <f>L129*H129*$D$7*$D$7</f>
        <v>2985.2160000000003</v>
      </c>
      <c r="N129" s="1113">
        <f>12*2</f>
        <v>24</v>
      </c>
      <c r="O129" s="1114">
        <f t="shared" ref="O129:O130" si="53">N129*H129*$D$7*$D$7*$D$7</f>
        <v>3104.6246400000005</v>
      </c>
      <c r="P129" s="1115">
        <f>SUM(I129+K129+M129+O129)</f>
        <v>10340.24064</v>
      </c>
      <c r="Q129" s="1114" t="s">
        <v>63</v>
      </c>
      <c r="R129" s="1116">
        <f t="shared" ref="R129" si="54">SUM(P129:Q129)</f>
        <v>10340.24064</v>
      </c>
    </row>
    <row r="130" spans="1:20" ht="15.3">
      <c r="A130" s="1097" t="s">
        <v>208</v>
      </c>
      <c r="B130" s="1098">
        <v>86000</v>
      </c>
      <c r="C130" s="1099" t="s">
        <v>209</v>
      </c>
      <c r="D130" s="1099" t="s">
        <v>178</v>
      </c>
      <c r="E130" s="1099"/>
      <c r="F130" s="1100" t="s">
        <v>67</v>
      </c>
      <c r="G130" s="1101">
        <v>12</v>
      </c>
      <c r="H130" s="1102">
        <v>30</v>
      </c>
      <c r="I130" s="1103">
        <f>G130*H130</f>
        <v>360</v>
      </c>
      <c r="J130" s="1101">
        <f>12*2</f>
        <v>24</v>
      </c>
      <c r="K130" s="1102">
        <f>J130*H130*$D$7</f>
        <v>748.80000000000007</v>
      </c>
      <c r="L130" s="1101">
        <f>12*2</f>
        <v>24</v>
      </c>
      <c r="M130" s="1102">
        <f t="shared" ref="M130" si="55">L130*H130*$D$7*$D$7</f>
        <v>778.75200000000007</v>
      </c>
      <c r="N130" s="1101">
        <f>12*2</f>
        <v>24</v>
      </c>
      <c r="O130" s="1102">
        <f t="shared" si="53"/>
        <v>809.90208000000007</v>
      </c>
      <c r="P130" s="1104">
        <f>SUM(I130+K130+M130+O130)</f>
        <v>2697.4540800000004</v>
      </c>
      <c r="Q130" s="1102" t="s">
        <v>63</v>
      </c>
      <c r="R130" s="1105">
        <f t="shared" ref="R130" si="56">SUM(P130:Q130)</f>
        <v>2697.4540800000004</v>
      </c>
    </row>
    <row r="131" spans="1:20" ht="15.3">
      <c r="A131" s="1097" t="s">
        <v>210</v>
      </c>
      <c r="B131" s="1098">
        <v>7710</v>
      </c>
      <c r="C131" s="1099" t="s">
        <v>211</v>
      </c>
      <c r="D131" s="1099" t="s">
        <v>178</v>
      </c>
      <c r="E131" s="1099"/>
      <c r="F131" s="1100" t="s">
        <v>92</v>
      </c>
      <c r="G131" s="1101">
        <v>1</v>
      </c>
      <c r="H131" s="1102">
        <v>488.5</v>
      </c>
      <c r="I131" s="1103">
        <v>500</v>
      </c>
      <c r="J131" s="1102">
        <v>1</v>
      </c>
      <c r="K131" s="1102">
        <f>H131*J131*$D$7</f>
        <v>508.04</v>
      </c>
      <c r="L131" s="1101">
        <v>1</v>
      </c>
      <c r="M131" s="1102">
        <f>H131*L131*$D$7*$D$7</f>
        <v>528.36160000000007</v>
      </c>
      <c r="N131" s="1101">
        <v>1</v>
      </c>
      <c r="O131" s="1102">
        <f>H131*N131*$D$7*$D$7*$D$7</f>
        <v>549.49606400000005</v>
      </c>
      <c r="P131" s="1104">
        <f>SUM(I131+K131+M131+O131)</f>
        <v>2085.8976640000001</v>
      </c>
      <c r="Q131" s="1102" t="s">
        <v>63</v>
      </c>
      <c r="R131" s="1105">
        <f t="shared" ref="R131" si="57">SUM(P131:Q131)</f>
        <v>2085.8976640000001</v>
      </c>
    </row>
    <row r="132" spans="1:20" ht="15.3">
      <c r="A132" s="1088"/>
      <c r="B132" s="1089"/>
      <c r="C132" s="1090" t="s">
        <v>212</v>
      </c>
      <c r="D132" s="1099"/>
      <c r="E132" s="1099"/>
      <c r="F132" s="1100"/>
      <c r="G132" s="1101"/>
      <c r="H132" s="1102"/>
      <c r="I132" s="1103"/>
      <c r="J132" s="1102"/>
      <c r="K132" s="1102"/>
      <c r="L132" s="1101"/>
      <c r="M132" s="1102"/>
      <c r="N132" s="1101"/>
      <c r="O132" s="1102"/>
      <c r="P132" s="1104"/>
      <c r="Q132" s="1102"/>
      <c r="R132" s="1105"/>
    </row>
    <row r="133" spans="1:20" ht="15.3">
      <c r="A133" s="1097" t="s">
        <v>213</v>
      </c>
      <c r="B133" s="1098">
        <v>81000</v>
      </c>
      <c r="C133" s="1099" t="s">
        <v>214</v>
      </c>
      <c r="D133" s="1099" t="s">
        <v>178</v>
      </c>
      <c r="E133" s="1099"/>
      <c r="F133" s="1100" t="s">
        <v>67</v>
      </c>
      <c r="G133" s="1101">
        <v>90</v>
      </c>
      <c r="H133" s="1102">
        <v>174.9</v>
      </c>
      <c r="I133" s="1103">
        <f>G133*H133</f>
        <v>15741</v>
      </c>
      <c r="J133" s="1102">
        <v>0</v>
      </c>
      <c r="K133" s="1102">
        <f>J133*H133*$D$7</f>
        <v>0</v>
      </c>
      <c r="L133" s="1101">
        <v>0</v>
      </c>
      <c r="M133" s="1102">
        <f t="shared" ref="M133:M134" si="58">L133*H133*$D$7*$D$7</f>
        <v>0</v>
      </c>
      <c r="N133" s="1101">
        <v>0</v>
      </c>
      <c r="O133" s="1102">
        <f t="shared" ref="O133" si="59">N133*H133</f>
        <v>0</v>
      </c>
      <c r="P133" s="1104">
        <f>SUM(I133+K133+M133+O133)</f>
        <v>15741</v>
      </c>
      <c r="Q133" s="1102" t="s">
        <v>63</v>
      </c>
      <c r="R133" s="1105">
        <f>SUM(P133:Q133)</f>
        <v>15741</v>
      </c>
      <c r="S133" s="1065"/>
    </row>
    <row r="134" spans="1:20" ht="15.3">
      <c r="A134" s="1097" t="s">
        <v>215</v>
      </c>
      <c r="B134" s="1098">
        <v>87010</v>
      </c>
      <c r="C134" s="1099" t="s">
        <v>216</v>
      </c>
      <c r="D134" s="1099" t="s">
        <v>178</v>
      </c>
      <c r="E134" s="1099"/>
      <c r="F134" s="1100" t="s">
        <v>217</v>
      </c>
      <c r="G134" s="1101">
        <v>12</v>
      </c>
      <c r="H134" s="1102">
        <v>449.53</v>
      </c>
      <c r="I134" s="1103">
        <f>G134*H134</f>
        <v>5394.36</v>
      </c>
      <c r="J134" s="1102">
        <v>0</v>
      </c>
      <c r="K134" s="1102">
        <f>J134*H134*$D$7</f>
        <v>0</v>
      </c>
      <c r="L134" s="1101">
        <v>0</v>
      </c>
      <c r="M134" s="1102">
        <f t="shared" si="58"/>
        <v>0</v>
      </c>
      <c r="N134" s="1101">
        <v>0</v>
      </c>
      <c r="O134" s="1102">
        <f t="shared" ref="O134" si="60">N134*H134*$D$7*$D$7*$D$7</f>
        <v>0</v>
      </c>
      <c r="P134" s="1104">
        <f>SUM(I134+K134+M134+O134)</f>
        <v>5394.36</v>
      </c>
      <c r="Q134" s="1102" t="s">
        <v>63</v>
      </c>
      <c r="R134" s="1105">
        <f t="shared" ref="R134" si="61">SUM(P134:Q134)</f>
        <v>5394.36</v>
      </c>
      <c r="S134" s="805"/>
    </row>
    <row r="135" spans="1:20" ht="15.3">
      <c r="A135" s="1088"/>
      <c r="B135" s="1089"/>
      <c r="C135" s="1090" t="s">
        <v>218</v>
      </c>
      <c r="D135" s="1099"/>
      <c r="E135" s="1099"/>
      <c r="F135" s="1100"/>
      <c r="G135" s="1101"/>
      <c r="H135" s="1102"/>
      <c r="I135" s="1103"/>
      <c r="J135" s="1102"/>
      <c r="K135" s="1102"/>
      <c r="L135" s="1101"/>
      <c r="M135" s="1102"/>
      <c r="N135" s="1101"/>
      <c r="O135" s="1102"/>
      <c r="P135" s="1104"/>
      <c r="Q135" s="1102"/>
      <c r="R135" s="1105"/>
    </row>
    <row r="136" spans="1:20" ht="15.3">
      <c r="A136" s="1097" t="s">
        <v>219</v>
      </c>
      <c r="B136" s="1098">
        <v>81010</v>
      </c>
      <c r="C136" s="1099" t="s">
        <v>220</v>
      </c>
      <c r="D136" s="1099" t="s">
        <v>178</v>
      </c>
      <c r="E136" s="1099"/>
      <c r="F136" s="1100" t="s">
        <v>221</v>
      </c>
      <c r="G136" s="1101">
        <v>0</v>
      </c>
      <c r="H136" s="1102">
        <v>60000</v>
      </c>
      <c r="I136" s="1103">
        <f>G136*H136</f>
        <v>0</v>
      </c>
      <c r="J136" s="1102">
        <v>1</v>
      </c>
      <c r="K136" s="1102">
        <f>J136*H136</f>
        <v>60000</v>
      </c>
      <c r="L136" s="1101">
        <v>0</v>
      </c>
      <c r="M136" s="1102">
        <f t="shared" ref="M136:M137" si="62">L136*H136*$D$7*$D$7</f>
        <v>0</v>
      </c>
      <c r="N136" s="1101">
        <v>0</v>
      </c>
      <c r="O136" s="1102">
        <f t="shared" ref="O136" si="63">N136*H136</f>
        <v>0</v>
      </c>
      <c r="P136" s="1104">
        <f>SUM(I136+K136+M136+O136)</f>
        <v>60000</v>
      </c>
      <c r="Q136" s="1102" t="s">
        <v>63</v>
      </c>
      <c r="R136" s="1122">
        <f t="shared" ref="R136" si="64">SUM(P136:Q136)</f>
        <v>60000</v>
      </c>
    </row>
    <row r="137" spans="1:20" ht="15.3">
      <c r="A137" s="1097" t="s">
        <v>222</v>
      </c>
      <c r="B137" s="1098">
        <v>81010</v>
      </c>
      <c r="C137" s="1099" t="s">
        <v>223</v>
      </c>
      <c r="D137" s="1099" t="s">
        <v>178</v>
      </c>
      <c r="E137" s="1099"/>
      <c r="F137" s="1100" t="s">
        <v>221</v>
      </c>
      <c r="G137" s="1101">
        <v>0</v>
      </c>
      <c r="H137" s="1102">
        <v>60000</v>
      </c>
      <c r="I137" s="1103">
        <f>G137*H137</f>
        <v>0</v>
      </c>
      <c r="J137" s="1102">
        <v>0</v>
      </c>
      <c r="K137" s="1102">
        <f>J137*H137</f>
        <v>0</v>
      </c>
      <c r="L137" s="1101">
        <v>0</v>
      </c>
      <c r="M137" s="1102">
        <f t="shared" si="62"/>
        <v>0</v>
      </c>
      <c r="N137" s="1101">
        <v>1</v>
      </c>
      <c r="O137" s="1102">
        <f t="shared" ref="O137" si="65">N137*H137</f>
        <v>60000</v>
      </c>
      <c r="P137" s="1104">
        <f>SUM(I137+K137+M137+O137)</f>
        <v>60000</v>
      </c>
      <c r="Q137" s="1102" t="s">
        <v>63</v>
      </c>
      <c r="R137" s="1122">
        <f>SUM(P137:Q137)</f>
        <v>60000</v>
      </c>
    </row>
    <row r="138" spans="1:20" s="856" customFormat="1" ht="33" customHeight="1">
      <c r="A138" s="1038"/>
      <c r="C138" s="894" t="s">
        <v>224</v>
      </c>
      <c r="D138" s="894"/>
      <c r="E138" s="894"/>
      <c r="F138" s="972"/>
      <c r="G138" s="895"/>
      <c r="H138" s="896"/>
      <c r="I138" s="896">
        <f>SUM(I115:I137)</f>
        <v>48678.36</v>
      </c>
      <c r="J138" s="896"/>
      <c r="K138" s="896">
        <f>SUM(K115:K137)</f>
        <v>64127.24</v>
      </c>
      <c r="L138" s="896"/>
      <c r="M138" s="896">
        <f>SUM(M115:M137)</f>
        <v>5400.9696000000013</v>
      </c>
      <c r="N138" s="896"/>
      <c r="O138" s="896">
        <f>SUM(O115:O137)</f>
        <v>64464.022784000001</v>
      </c>
      <c r="P138" s="896">
        <f>SUM(P115:P137)</f>
        <v>182670.59238400002</v>
      </c>
      <c r="Q138" s="896">
        <f>SUM(Q115:Q137)</f>
        <v>0</v>
      </c>
      <c r="R138" s="1039">
        <f>SUM(R115:R137)</f>
        <v>182670.59238400002</v>
      </c>
      <c r="S138" s="1071"/>
      <c r="T138" s="1060"/>
    </row>
    <row r="139" spans="1:20" ht="15.3">
      <c r="A139" s="1040"/>
      <c r="C139" s="755"/>
      <c r="G139" s="735"/>
      <c r="H139" s="737"/>
      <c r="I139" s="736"/>
      <c r="J139" s="737"/>
      <c r="K139" s="737"/>
      <c r="L139" s="735"/>
      <c r="M139" s="737"/>
      <c r="N139" s="735"/>
      <c r="O139" s="737"/>
      <c r="P139" s="738"/>
      <c r="Q139" s="737"/>
      <c r="R139" s="739"/>
    </row>
    <row r="140" spans="1:20" ht="15.3">
      <c r="A140" s="1040"/>
      <c r="C140" s="763" t="s">
        <v>225</v>
      </c>
      <c r="D140" s="764"/>
      <c r="E140" s="764"/>
      <c r="F140" s="764"/>
      <c r="G140" s="806"/>
      <c r="H140" s="807"/>
      <c r="I140" s="808">
        <f>I138+I112+I104+I94+I85</f>
        <v>109804.36</v>
      </c>
      <c r="J140" s="809"/>
      <c r="K140" s="808">
        <f>K138+K112+K104+K94+K85</f>
        <v>212305.47999999998</v>
      </c>
      <c r="L140" s="809"/>
      <c r="M140" s="808">
        <f>M138+M112+M104+M94+M85</f>
        <v>120960.80320000001</v>
      </c>
      <c r="N140" s="809"/>
      <c r="O140" s="808">
        <f>O138+O112+O104+O94+O85</f>
        <v>157379.99795200001</v>
      </c>
      <c r="P140" s="808">
        <f>P138+P112+P104+P94+P85</f>
        <v>600450.64115199994</v>
      </c>
      <c r="Q140" s="809">
        <f>SUM(Q88:Q137)</f>
        <v>0</v>
      </c>
      <c r="R140" s="783">
        <f>R138+R112+R104+R94+R85</f>
        <v>600450.64115199994</v>
      </c>
      <c r="S140" s="1083"/>
    </row>
    <row r="141" spans="1:20" ht="15.3">
      <c r="A141" s="1040"/>
      <c r="C141" s="960"/>
      <c r="D141" s="998"/>
      <c r="E141" s="998"/>
      <c r="F141" s="1041"/>
      <c r="G141" s="961"/>
      <c r="H141" s="1042"/>
      <c r="I141" s="962"/>
      <c r="J141" s="1042"/>
      <c r="K141" s="1042"/>
      <c r="L141" s="963"/>
      <c r="M141" s="1042"/>
      <c r="N141" s="963"/>
      <c r="O141" s="1042"/>
      <c r="P141" s="964"/>
      <c r="Q141" s="1043"/>
      <c r="R141" s="1044"/>
    </row>
    <row r="142" spans="1:20" ht="15.3">
      <c r="A142" s="1040"/>
      <c r="C142" s="966" t="s">
        <v>226</v>
      </c>
      <c r="D142" s="967"/>
      <c r="E142" s="967"/>
      <c r="F142" s="967"/>
      <c r="G142" s="968"/>
      <c r="H142" s="969"/>
      <c r="I142" s="965">
        <f>SUM(I26+I33+I51+I60++I140+I70+I55)</f>
        <v>606210.26922333334</v>
      </c>
      <c r="J142" s="814"/>
      <c r="K142" s="814">
        <f>SUM(K26+K33+K51+K60++K140+K70+K55)</f>
        <v>1112991.5277140001</v>
      </c>
      <c r="L142" s="815"/>
      <c r="M142" s="814">
        <f>SUM(M26+M33+M51+M60++M140+M70+M55)</f>
        <v>1039210.8840997</v>
      </c>
      <c r="N142" s="815"/>
      <c r="O142" s="814">
        <f>SUM(O26+O33+O51+O60++O140+O70+O55)</f>
        <v>936629.09552228497</v>
      </c>
      <c r="P142" s="816">
        <f>SUM(P26+P33+P51+P60+P140+P70+P55)</f>
        <v>3695041.7765593184</v>
      </c>
      <c r="Q142" s="814">
        <f>SUM(Q26+Q33+Q51+Q60++Q140+Q70+Q55)</f>
        <v>0</v>
      </c>
      <c r="R142" s="817">
        <f>SUM(R26+R33+R51+R60++R140+R70+R55)</f>
        <v>3695041.7765593184</v>
      </c>
      <c r="S142" s="716"/>
      <c r="T142" s="1082"/>
    </row>
    <row r="143" spans="1:20" ht="15.3">
      <c r="A143" s="1040"/>
      <c r="C143" s="818"/>
      <c r="D143" s="819"/>
      <c r="E143" s="819"/>
      <c r="G143" s="784"/>
      <c r="H143" s="758"/>
      <c r="I143" s="820"/>
      <c r="J143" s="821"/>
      <c r="K143" s="821"/>
      <c r="L143" s="822"/>
      <c r="M143" s="821"/>
      <c r="N143" s="822"/>
      <c r="O143" s="821"/>
      <c r="P143" s="823"/>
      <c r="Q143" s="821"/>
      <c r="R143" s="824"/>
    </row>
    <row r="144" spans="1:20" ht="33.75" customHeight="1">
      <c r="A144" s="1045"/>
      <c r="B144" s="1035"/>
      <c r="C144" s="970" t="s">
        <v>227</v>
      </c>
      <c r="D144" s="997" t="s">
        <v>228</v>
      </c>
      <c r="E144" s="997"/>
      <c r="F144" s="1046"/>
      <c r="G144" s="971"/>
      <c r="H144" s="1047">
        <v>0.2828</v>
      </c>
      <c r="I144" s="959">
        <f>(I142)*H144</f>
        <v>171436.26413635866</v>
      </c>
      <c r="J144" s="1048"/>
      <c r="K144" s="1048">
        <f>(K142)*H144</f>
        <v>314754.00403751922</v>
      </c>
      <c r="L144" s="1011"/>
      <c r="M144" s="1048">
        <f>(M142)*H144</f>
        <v>293888.83802339516</v>
      </c>
      <c r="N144" s="1081"/>
      <c r="O144" s="1048">
        <f>(O142)*H144</f>
        <v>264878.70821370219</v>
      </c>
      <c r="P144" s="1012">
        <f>SUM(I144+K144+M144+O144)</f>
        <v>1044957.8144109752</v>
      </c>
      <c r="Q144" s="1048">
        <v>0</v>
      </c>
      <c r="R144" s="1049">
        <f>SUM(P144:Q144)</f>
        <v>1044957.8144109752</v>
      </c>
      <c r="S144" s="716"/>
    </row>
    <row r="145" spans="1:19" ht="15.3">
      <c r="A145" s="1040"/>
      <c r="C145" s="825"/>
      <c r="D145" s="804"/>
      <c r="E145" s="804"/>
      <c r="F145" s="826"/>
      <c r="G145" s="827"/>
      <c r="H145" s="828"/>
      <c r="I145" s="829"/>
      <c r="J145" s="830"/>
      <c r="K145" s="830"/>
      <c r="L145" s="831"/>
      <c r="M145" s="830"/>
      <c r="N145" s="831"/>
      <c r="O145" s="830"/>
      <c r="P145" s="832"/>
      <c r="Q145" s="830"/>
      <c r="R145" s="833"/>
    </row>
    <row r="146" spans="1:19" ht="15.3">
      <c r="A146" s="1050"/>
      <c r="B146" s="1051"/>
      <c r="C146" s="810" t="s">
        <v>229</v>
      </c>
      <c r="D146" s="811"/>
      <c r="E146" s="811"/>
      <c r="F146" s="811"/>
      <c r="G146" s="812"/>
      <c r="H146" s="813"/>
      <c r="I146" s="834">
        <f>I142+I144</f>
        <v>777646.53335969197</v>
      </c>
      <c r="J146" s="835"/>
      <c r="K146" s="835">
        <f t="shared" ref="K146:O146" si="66">K142+K144</f>
        <v>1427745.5317515193</v>
      </c>
      <c r="L146" s="836"/>
      <c r="M146" s="835">
        <f t="shared" si="66"/>
        <v>1333099.7221230953</v>
      </c>
      <c r="N146" s="836"/>
      <c r="O146" s="835">
        <f t="shared" si="66"/>
        <v>1201507.8037359873</v>
      </c>
      <c r="P146" s="837">
        <f>P142+P144</f>
        <v>4739999.5909702936</v>
      </c>
      <c r="Q146" s="835">
        <f>Q142+Q144</f>
        <v>0</v>
      </c>
      <c r="R146" s="838">
        <f>SUM(P146:Q146)</f>
        <v>4739999.5909702936</v>
      </c>
      <c r="S146" s="716"/>
    </row>
    <row r="147" spans="1:19" ht="15.3"/>
    <row r="148" spans="1:19" ht="15.3">
      <c r="R148" s="839"/>
    </row>
    <row r="149" spans="1:19" ht="15.3"/>
    <row r="150" spans="1:19" ht="18.75" customHeight="1">
      <c r="C150" s="840"/>
      <c r="D150" s="840"/>
      <c r="E150" s="840"/>
      <c r="F150" s="841"/>
      <c r="P150" s="953"/>
      <c r="R150" s="1016"/>
    </row>
    <row r="151" spans="1:19" ht="12" customHeight="1">
      <c r="C151" s="840"/>
      <c r="D151" s="840"/>
      <c r="E151" s="840"/>
      <c r="F151" s="842"/>
    </row>
  </sheetData>
  <mergeCells count="5">
    <mergeCell ref="C1:R1"/>
    <mergeCell ref="C2:R2"/>
    <mergeCell ref="C3:R3"/>
    <mergeCell ref="C4:R4"/>
    <mergeCell ref="C5:D5"/>
  </mergeCells>
  <pageMargins left="0.7" right="0.7" top="0.75" bottom="0.75" header="0.3" footer="0.3"/>
  <pageSetup paperSize="17" scale="96" fitToHeight="0" orientation="landscape" r:id="rId1"/>
  <headerFooter alignWithMargins="0"/>
  <rowBreaks count="1" manualBreakCount="1">
    <brk id="70" min="2" max="13" man="1"/>
  </rowBreaks>
  <ignoredErrors>
    <ignoredError sqref="K129 M129:M130"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5:X285"/>
  <sheetViews>
    <sheetView zoomScaleNormal="100" workbookViewId="0">
      <pane ySplit="15" topLeftCell="A90" activePane="bottomLeft" state="frozen"/>
      <selection activeCell="A7" sqref="A7:F7"/>
      <selection pane="bottomLeft" activeCell="A7" sqref="A7:F7"/>
    </sheetView>
  </sheetViews>
  <sheetFormatPr defaultColWidth="9.27734375" defaultRowHeight="15.3"/>
  <cols>
    <col min="1" max="2" width="9.27734375" style="571"/>
    <col min="3" max="3" width="48.27734375" style="571" customWidth="1"/>
    <col min="4" max="4" width="7.71875" style="571" customWidth="1"/>
    <col min="5" max="5" width="10.71875" style="571" customWidth="1"/>
    <col min="6" max="6" width="9.71875" style="571" bestFit="1" customWidth="1"/>
    <col min="7" max="7" width="10" style="571" customWidth="1"/>
    <col min="8" max="8" width="9.27734375" style="571" bestFit="1" customWidth="1"/>
    <col min="9" max="9" width="8.44140625" style="571" customWidth="1"/>
    <col min="10" max="10" width="8.71875" style="571" hidden="1" customWidth="1"/>
    <col min="11" max="11" width="9.71875" style="571" bestFit="1" customWidth="1"/>
    <col min="12" max="12" width="10.27734375" style="571" customWidth="1"/>
    <col min="13" max="13" width="9" style="571" hidden="1" customWidth="1"/>
    <col min="14" max="14" width="10.71875" style="571" bestFit="1" customWidth="1"/>
    <col min="15" max="15" width="10.71875" style="571" customWidth="1"/>
    <col min="16" max="16" width="8.44140625" style="571" hidden="1" customWidth="1"/>
    <col min="17" max="17" width="9.71875" style="571" bestFit="1" customWidth="1"/>
    <col min="18" max="18" width="10.1640625" style="571" customWidth="1"/>
    <col min="19" max="19" width="9.83203125" style="571" hidden="1" customWidth="1"/>
    <col min="20" max="20" width="12.1640625" style="571" customWidth="1"/>
    <col min="21" max="21" width="10.27734375" style="571" bestFit="1" customWidth="1"/>
    <col min="22" max="22" width="15.44140625" style="572" bestFit="1" customWidth="1"/>
    <col min="23" max="23" width="12.44140625" style="571" customWidth="1"/>
    <col min="24" max="24" width="12.1640625" style="571" bestFit="1" customWidth="1"/>
    <col min="25" max="16384" width="9.27734375" style="571"/>
  </cols>
  <sheetData>
    <row r="5" spans="3:24">
      <c r="C5" s="474" t="s">
        <v>1</v>
      </c>
      <c r="D5" s="474"/>
    </row>
    <row r="6" spans="3:24">
      <c r="C6" s="474" t="s">
        <v>230</v>
      </c>
      <c r="D6" s="474" t="str">
        <f>Assumptions!C9</f>
        <v>USDOL</v>
      </c>
      <c r="V6" s="571"/>
    </row>
    <row r="7" spans="3:24">
      <c r="C7" s="474" t="s">
        <v>231</v>
      </c>
      <c r="D7" s="474" t="str">
        <f>Assumptions!C10</f>
        <v>Ecuador</v>
      </c>
      <c r="V7" s="571"/>
    </row>
    <row r="8" spans="3:24">
      <c r="C8" s="474" t="s">
        <v>232</v>
      </c>
      <c r="D8" s="474" t="str">
        <f>Assumptions!C11</f>
        <v>Project to Improve Adherence to International Labor Standards in the Agricultural Sector in Ecuador</v>
      </c>
      <c r="H8" s="645"/>
      <c r="V8" s="571"/>
    </row>
    <row r="9" spans="3:24">
      <c r="C9" s="474" t="s">
        <v>233</v>
      </c>
      <c r="D9" s="474" t="str">
        <f>Assumptions!C12</f>
        <v>FOA-ILAB-23-28</v>
      </c>
      <c r="H9" s="889"/>
      <c r="K9" s="889"/>
      <c r="N9" s="889"/>
      <c r="Q9" s="889"/>
      <c r="T9" s="889"/>
      <c r="V9" s="571"/>
    </row>
    <row r="10" spans="3:24">
      <c r="C10" s="474" t="s">
        <v>234</v>
      </c>
      <c r="D10" s="474" t="str">
        <f>Assumptions!C13</f>
        <v>48 months</v>
      </c>
      <c r="E10" s="566"/>
      <c r="F10" s="565"/>
      <c r="H10" s="889"/>
      <c r="K10" s="889"/>
      <c r="N10" s="889"/>
      <c r="Q10" s="889"/>
      <c r="T10" s="889"/>
      <c r="V10" s="571"/>
    </row>
    <row r="11" spans="3:24">
      <c r="C11" s="474"/>
      <c r="L11" s="889"/>
      <c r="O11" s="889"/>
      <c r="R11" s="889"/>
      <c r="U11" s="889"/>
      <c r="V11" s="889"/>
    </row>
    <row r="12" spans="3:24">
      <c r="C12" s="474"/>
      <c r="G12" s="572"/>
      <c r="L12" s="889"/>
      <c r="O12" s="889"/>
      <c r="R12" s="889"/>
      <c r="U12" s="889"/>
      <c r="V12" s="889"/>
    </row>
    <row r="13" spans="3:24" ht="15.6" thickBot="1">
      <c r="C13" s="572"/>
      <c r="X13" s="573"/>
    </row>
    <row r="14" spans="3:24" s="572" customFormat="1">
      <c r="C14" s="574" t="s">
        <v>235</v>
      </c>
      <c r="D14" s="575" t="s">
        <v>236</v>
      </c>
      <c r="E14" s="575"/>
      <c r="F14" s="575" t="s">
        <v>237</v>
      </c>
      <c r="G14" s="575" t="s">
        <v>238</v>
      </c>
      <c r="H14" s="575" t="s">
        <v>239</v>
      </c>
      <c r="I14" s="576"/>
      <c r="J14" s="1424" t="str">
        <f>'AgroJusto Budget'!I10</f>
        <v>Year 1</v>
      </c>
      <c r="K14" s="1424"/>
      <c r="L14" s="1424"/>
      <c r="M14" s="1424" t="str">
        <f>'AgroJusto Budget'!K10</f>
        <v>Year 2</v>
      </c>
      <c r="N14" s="1424"/>
      <c r="O14" s="1424"/>
      <c r="P14" s="1424" t="str">
        <f>'AgroJusto Budget'!M10</f>
        <v>Year 3</v>
      </c>
      <c r="Q14" s="1424"/>
      <c r="R14" s="1424"/>
      <c r="S14" s="1424" t="str">
        <f>'AgroJusto Budget'!O10</f>
        <v>Year 4</v>
      </c>
      <c r="T14" s="1424"/>
      <c r="U14" s="1424"/>
      <c r="V14" s="577" t="s">
        <v>240</v>
      </c>
      <c r="X14" s="573"/>
    </row>
    <row r="15" spans="3:24" s="572" customFormat="1" ht="14.25" customHeight="1" thickBot="1">
      <c r="C15" s="578"/>
      <c r="D15" s="579"/>
      <c r="E15" s="579"/>
      <c r="F15" s="579"/>
      <c r="G15" s="579"/>
      <c r="H15" s="579"/>
      <c r="I15" s="580"/>
      <c r="J15" s="1425" t="s">
        <v>241</v>
      </c>
      <c r="K15" s="1425"/>
      <c r="L15" s="581" t="s">
        <v>242</v>
      </c>
      <c r="M15" s="1425" t="s">
        <v>241</v>
      </c>
      <c r="N15" s="1425"/>
      <c r="O15" s="581" t="s">
        <v>242</v>
      </c>
      <c r="P15" s="1425" t="s">
        <v>241</v>
      </c>
      <c r="Q15" s="1425"/>
      <c r="R15" s="581" t="s">
        <v>242</v>
      </c>
      <c r="S15" s="1425" t="s">
        <v>241</v>
      </c>
      <c r="T15" s="1425"/>
      <c r="U15" s="581" t="s">
        <v>242</v>
      </c>
      <c r="V15" s="582"/>
      <c r="X15" s="573"/>
    </row>
    <row r="16" spans="3:24" s="572" customFormat="1" ht="15.6" thickTop="1">
      <c r="C16" s="583" t="s">
        <v>243</v>
      </c>
      <c r="D16" s="584">
        <v>0.04</v>
      </c>
      <c r="E16" s="585"/>
      <c r="F16" s="585"/>
      <c r="G16" s="585"/>
      <c r="H16" s="585"/>
      <c r="I16" s="586"/>
      <c r="J16" s="587"/>
      <c r="K16" s="587"/>
      <c r="L16" s="588">
        <v>1</v>
      </c>
      <c r="M16" s="587"/>
      <c r="N16" s="587"/>
      <c r="O16" s="588">
        <f>$L$16*SUM(1+$D$16)</f>
        <v>1.04</v>
      </c>
      <c r="P16" s="587"/>
      <c r="Q16" s="587"/>
      <c r="R16" s="588">
        <f>$O$16*SUM(1+$D$16)</f>
        <v>1.0816000000000001</v>
      </c>
      <c r="S16" s="587"/>
      <c r="T16" s="587"/>
      <c r="U16" s="588">
        <f>$R$16*SUM(1+$D$16)</f>
        <v>1.1248640000000001</v>
      </c>
      <c r="V16" s="589"/>
      <c r="X16" s="573"/>
    </row>
    <row r="17" spans="1:24">
      <c r="C17" s="567" t="s">
        <v>244</v>
      </c>
      <c r="D17" s="590"/>
      <c r="E17" s="590"/>
      <c r="F17" s="590"/>
      <c r="G17" s="590"/>
      <c r="H17" s="590"/>
      <c r="I17" s="590"/>
      <c r="J17" s="590"/>
      <c r="K17" s="590"/>
      <c r="L17" s="590"/>
      <c r="M17" s="590"/>
      <c r="N17" s="590"/>
      <c r="O17" s="590"/>
      <c r="P17" s="590"/>
      <c r="Q17" s="590"/>
      <c r="R17" s="590"/>
      <c r="S17" s="590"/>
      <c r="T17" s="590"/>
      <c r="U17" s="590"/>
      <c r="V17" s="591"/>
      <c r="X17" s="573"/>
    </row>
    <row r="18" spans="1:24">
      <c r="C18" s="568"/>
      <c r="D18" s="592"/>
      <c r="E18" s="592"/>
      <c r="F18" s="592"/>
      <c r="G18" s="592"/>
      <c r="H18" s="592"/>
      <c r="I18" s="592"/>
      <c r="J18" s="592"/>
      <c r="K18" s="592"/>
      <c r="L18" s="592"/>
      <c r="M18" s="592"/>
      <c r="N18" s="592"/>
      <c r="O18" s="592"/>
      <c r="P18" s="592"/>
      <c r="Q18" s="592"/>
      <c r="R18" s="592"/>
      <c r="S18" s="592"/>
      <c r="T18" s="592"/>
      <c r="U18" s="592"/>
      <c r="V18" s="593"/>
      <c r="X18" s="573"/>
    </row>
    <row r="19" spans="1:24" ht="13.5" customHeight="1">
      <c r="C19" s="569"/>
      <c r="D19" s="627"/>
      <c r="E19" s="627"/>
      <c r="F19" s="627"/>
      <c r="G19" s="627"/>
      <c r="H19" s="627"/>
      <c r="I19" s="592"/>
      <c r="J19" s="592"/>
      <c r="K19" s="592"/>
      <c r="L19" s="592"/>
      <c r="M19" s="592"/>
      <c r="N19" s="592"/>
      <c r="O19" s="592"/>
      <c r="P19" s="592"/>
      <c r="Q19" s="592"/>
      <c r="R19" s="592"/>
      <c r="S19" s="592"/>
      <c r="T19" s="592"/>
      <c r="U19" s="592"/>
      <c r="V19" s="593"/>
      <c r="X19" s="573"/>
    </row>
    <row r="20" spans="1:24" ht="34.15" customHeight="1" thickTop="1">
      <c r="C20" s="1415" t="s">
        <v>147</v>
      </c>
      <c r="D20" s="1415"/>
      <c r="E20" s="1415"/>
      <c r="F20" s="1415"/>
      <c r="G20" s="1415"/>
      <c r="H20" s="594">
        <v>1</v>
      </c>
      <c r="I20" s="595"/>
      <c r="J20" s="1405">
        <v>0</v>
      </c>
      <c r="K20" s="1405"/>
      <c r="L20" s="596">
        <f>SUM(K22:K46)</f>
        <v>0</v>
      </c>
      <c r="M20" s="1407">
        <v>4</v>
      </c>
      <c r="N20" s="1407"/>
      <c r="O20" s="597">
        <f>SUM(N22:N26)</f>
        <v>1435.2</v>
      </c>
      <c r="P20" s="1407">
        <v>0</v>
      </c>
      <c r="Q20" s="1407"/>
      <c r="R20" s="597">
        <f>SUM(Q22:Q26)</f>
        <v>0</v>
      </c>
      <c r="S20" s="1409">
        <v>0</v>
      </c>
      <c r="T20" s="1409"/>
      <c r="U20" s="597">
        <f>SUM(T22:T26)</f>
        <v>0</v>
      </c>
      <c r="V20" s="598">
        <f>SUM(L20,O20,R20,U20,)</f>
        <v>1435.2</v>
      </c>
      <c r="X20" s="573"/>
    </row>
    <row r="21" spans="1:24" ht="15.6" thickBot="1">
      <c r="C21" s="599" t="s">
        <v>245</v>
      </c>
      <c r="D21" s="600"/>
      <c r="E21" s="600"/>
      <c r="F21" s="600"/>
      <c r="G21" s="601"/>
      <c r="H21" s="600"/>
      <c r="I21" s="600"/>
      <c r="J21" s="602"/>
      <c r="K21" s="600"/>
      <c r="L21" s="601"/>
      <c r="M21" s="602"/>
      <c r="N21" s="600"/>
      <c r="O21" s="603"/>
      <c r="P21" s="602"/>
      <c r="Q21" s="600"/>
      <c r="R21" s="603"/>
      <c r="S21" s="602"/>
      <c r="T21" s="600"/>
      <c r="U21" s="603"/>
      <c r="V21" s="604"/>
      <c r="X21" s="573"/>
    </row>
    <row r="22" spans="1:24" ht="15.9" thickTop="1" thickBot="1">
      <c r="A22" s="1010" t="s">
        <v>246</v>
      </c>
      <c r="B22" s="1010">
        <v>86000</v>
      </c>
      <c r="C22" s="605" t="s">
        <v>247</v>
      </c>
      <c r="D22" s="606">
        <v>15</v>
      </c>
      <c r="E22" s="607" t="s">
        <v>248</v>
      </c>
      <c r="F22" s="606">
        <f>parttransp</f>
        <v>4</v>
      </c>
      <c r="G22" s="607" t="s">
        <v>249</v>
      </c>
      <c r="H22" s="608">
        <f>IF(D22=0,0,H20)</f>
        <v>1</v>
      </c>
      <c r="I22" s="608">
        <f t="shared" ref="I22:I26" si="0">D22*F22*H22</f>
        <v>60</v>
      </c>
      <c r="J22" s="609"/>
      <c r="K22" s="608">
        <f>$I22*J20*L$16</f>
        <v>0</v>
      </c>
      <c r="M22" s="609"/>
      <c r="N22" s="608">
        <f>$I22*M20*O$16</f>
        <v>249.60000000000002</v>
      </c>
      <c r="O22" s="610"/>
      <c r="P22" s="609"/>
      <c r="Q22" s="608">
        <f>$I22*P20*R$16</f>
        <v>0</v>
      </c>
      <c r="R22" s="610"/>
      <c r="S22" s="609"/>
      <c r="T22" s="608">
        <f>$I22*S20*U$16</f>
        <v>0</v>
      </c>
      <c r="U22" s="610"/>
      <c r="V22" s="598">
        <f t="shared" ref="V22:V46" si="1">T22+Q22+N22+K22</f>
        <v>249.60000000000002</v>
      </c>
      <c r="X22" s="573"/>
    </row>
    <row r="23" spans="1:24" ht="15.9" thickTop="1" thickBot="1">
      <c r="A23" s="1010" t="s">
        <v>250</v>
      </c>
      <c r="B23" s="1010">
        <v>87000</v>
      </c>
      <c r="C23" s="605" t="s">
        <v>251</v>
      </c>
      <c r="D23" s="606">
        <v>15</v>
      </c>
      <c r="E23" s="607" t="s">
        <v>248</v>
      </c>
      <c r="F23" s="606">
        <f>coffee+lunch</f>
        <v>16</v>
      </c>
      <c r="G23" s="607" t="s">
        <v>249</v>
      </c>
      <c r="H23" s="608">
        <f>IF(D23=0,0,H20)</f>
        <v>1</v>
      </c>
      <c r="I23" s="608">
        <f>D23*F23*H23</f>
        <v>240</v>
      </c>
      <c r="J23" s="609"/>
      <c r="K23" s="608">
        <f>$I23*J20*L$16</f>
        <v>0</v>
      </c>
      <c r="M23" s="609"/>
      <c r="N23" s="608">
        <f>$I23*M20*O$16</f>
        <v>998.40000000000009</v>
      </c>
      <c r="O23" s="610"/>
      <c r="P23" s="609"/>
      <c r="Q23" s="608">
        <f>$I23*P20*R$16</f>
        <v>0</v>
      </c>
      <c r="R23" s="610"/>
      <c r="S23" s="609"/>
      <c r="T23" s="608">
        <f>$I23*S20*U$16</f>
        <v>0</v>
      </c>
      <c r="U23" s="610"/>
      <c r="V23" s="598">
        <f t="shared" si="1"/>
        <v>998.40000000000009</v>
      </c>
      <c r="X23" s="573"/>
    </row>
    <row r="24" spans="1:24" ht="15.9" thickTop="1" thickBot="1">
      <c r="A24" s="1009" t="s">
        <v>252</v>
      </c>
      <c r="B24" s="1009">
        <v>82420</v>
      </c>
      <c r="C24" s="605" t="s">
        <v>253</v>
      </c>
      <c r="D24" s="606">
        <v>15</v>
      </c>
      <c r="E24" s="607" t="s">
        <v>254</v>
      </c>
      <c r="F24" s="606">
        <f>mats</f>
        <v>3</v>
      </c>
      <c r="G24" s="612" t="str">
        <f>E24</f>
        <v>workshop</v>
      </c>
      <c r="H24" s="608">
        <f>IF(D24=0,0,1)</f>
        <v>1</v>
      </c>
      <c r="I24" s="608">
        <f t="shared" si="0"/>
        <v>45</v>
      </c>
      <c r="J24" s="609"/>
      <c r="K24" s="608">
        <f>$I24*J20*L$16</f>
        <v>0</v>
      </c>
      <c r="M24" s="609"/>
      <c r="N24" s="608">
        <f>$I24*M20*O$16</f>
        <v>187.20000000000002</v>
      </c>
      <c r="O24" s="610"/>
      <c r="P24" s="609"/>
      <c r="Q24" s="608">
        <f>$I24*P20*R$16</f>
        <v>0</v>
      </c>
      <c r="R24" s="610"/>
      <c r="S24" s="609"/>
      <c r="T24" s="608">
        <f>$I24*S20*U$16</f>
        <v>0</v>
      </c>
      <c r="U24" s="610"/>
      <c r="V24" s="598">
        <f t="shared" si="1"/>
        <v>187.20000000000002</v>
      </c>
      <c r="X24" s="573"/>
    </row>
    <row r="25" spans="1:24" ht="15.9" thickTop="1" thickBot="1">
      <c r="A25" s="1009" t="s">
        <v>255</v>
      </c>
      <c r="B25" s="1009">
        <v>85300</v>
      </c>
      <c r="C25" s="605" t="s">
        <v>256</v>
      </c>
      <c r="D25" s="606">
        <v>0</v>
      </c>
      <c r="E25" s="607" t="s">
        <v>257</v>
      </c>
      <c r="F25" s="606">
        <f>guideprint</f>
        <v>200</v>
      </c>
      <c r="G25" s="612" t="str">
        <f>E25</f>
        <v>canton</v>
      </c>
      <c r="H25" s="608">
        <f>IF(D25=0,0,1)</f>
        <v>0</v>
      </c>
      <c r="I25" s="608">
        <f t="shared" si="0"/>
        <v>0</v>
      </c>
      <c r="J25" s="609"/>
      <c r="K25" s="608">
        <f>$I25*L$16</f>
        <v>0</v>
      </c>
      <c r="M25" s="609"/>
      <c r="N25" s="608"/>
      <c r="O25" s="610"/>
      <c r="P25" s="609"/>
      <c r="Q25" s="608">
        <f>$I25*P20*R$16</f>
        <v>0</v>
      </c>
      <c r="R25" s="610"/>
      <c r="S25" s="609"/>
      <c r="T25" s="608">
        <f>$I25*S20*U$16</f>
        <v>0</v>
      </c>
      <c r="U25" s="610"/>
      <c r="V25" s="598">
        <f t="shared" si="1"/>
        <v>0</v>
      </c>
      <c r="X25" s="573"/>
    </row>
    <row r="26" spans="1:24" ht="15.9" thickTop="1" thickBot="1">
      <c r="A26" s="1010" t="s">
        <v>258</v>
      </c>
      <c r="B26" s="1010">
        <v>81000</v>
      </c>
      <c r="C26" s="605" t="s">
        <v>259</v>
      </c>
      <c r="D26" s="606">
        <v>0</v>
      </c>
      <c r="E26" s="607" t="s">
        <v>248</v>
      </c>
      <c r="F26" s="606">
        <f>localcons</f>
        <v>300</v>
      </c>
      <c r="G26" s="607" t="s">
        <v>249</v>
      </c>
      <c r="H26" s="606">
        <v>1</v>
      </c>
      <c r="I26" s="608">
        <f t="shared" si="0"/>
        <v>0</v>
      </c>
      <c r="J26" s="609"/>
      <c r="K26" s="608">
        <f>$I26*J20*L$16</f>
        <v>0</v>
      </c>
      <c r="M26" s="609"/>
      <c r="N26" s="608">
        <f>$I26*M20*O$16</f>
        <v>0</v>
      </c>
      <c r="O26" s="610"/>
      <c r="P26" s="609"/>
      <c r="Q26" s="608">
        <f>$I26*P20*R$16</f>
        <v>0</v>
      </c>
      <c r="R26" s="610"/>
      <c r="S26" s="609"/>
      <c r="T26" s="608">
        <f>$I26*S20*U$16</f>
        <v>0</v>
      </c>
      <c r="U26" s="610"/>
      <c r="V26" s="598">
        <f t="shared" si="1"/>
        <v>0</v>
      </c>
      <c r="X26" s="573"/>
    </row>
    <row r="27" spans="1:24">
      <c r="C27" s="1072" t="s">
        <v>260</v>
      </c>
      <c r="D27" s="608"/>
      <c r="E27" s="614"/>
      <c r="F27" s="608"/>
      <c r="G27" s="608"/>
      <c r="H27" s="608"/>
      <c r="I27" s="608"/>
      <c r="J27" s="609"/>
      <c r="K27" s="608"/>
      <c r="M27" s="609"/>
      <c r="N27" s="608"/>
      <c r="O27" s="610"/>
      <c r="P27" s="609"/>
      <c r="Q27" s="608"/>
      <c r="R27" s="610"/>
      <c r="S27" s="609"/>
      <c r="T27" s="608"/>
      <c r="U27" s="610"/>
      <c r="V27" s="598">
        <f t="shared" si="1"/>
        <v>0</v>
      </c>
      <c r="X27" s="573"/>
    </row>
    <row r="28" spans="1:24">
      <c r="C28" s="1073" t="s">
        <v>261</v>
      </c>
      <c r="D28" s="606">
        <v>3</v>
      </c>
      <c r="E28" s="607" t="s">
        <v>248</v>
      </c>
      <c r="F28" s="606">
        <f>Assumptions!D73</f>
        <v>195</v>
      </c>
      <c r="G28" s="607" t="s">
        <v>262</v>
      </c>
      <c r="H28" s="608">
        <v>1</v>
      </c>
      <c r="I28" s="608">
        <f t="shared" ref="I28:I31" si="2">D28*F28*H28</f>
        <v>585</v>
      </c>
      <c r="J28" s="609"/>
      <c r="K28" s="608">
        <f>$I28*K$20*L$16</f>
        <v>0</v>
      </c>
      <c r="M28" s="609"/>
      <c r="N28" s="608">
        <f>$I28*M20*O$16</f>
        <v>2433.6</v>
      </c>
      <c r="O28" s="610"/>
      <c r="P28" s="609"/>
      <c r="Q28" s="608"/>
      <c r="R28" s="610"/>
      <c r="S28" s="609"/>
      <c r="T28" s="608"/>
      <c r="U28" s="610"/>
      <c r="V28" s="598">
        <v>0</v>
      </c>
      <c r="X28" s="573"/>
    </row>
    <row r="29" spans="1:24">
      <c r="C29" s="1073" t="s">
        <v>263</v>
      </c>
      <c r="D29" s="606">
        <v>3</v>
      </c>
      <c r="E29" s="607" t="s">
        <v>248</v>
      </c>
      <c r="F29" s="606">
        <f>partground</f>
        <v>9</v>
      </c>
      <c r="G29" s="607" t="s">
        <v>249</v>
      </c>
      <c r="H29" s="608">
        <v>4</v>
      </c>
      <c r="I29" s="608">
        <f t="shared" si="2"/>
        <v>108</v>
      </c>
      <c r="J29" s="609"/>
      <c r="K29" s="608">
        <f>$I29*K$20*L$16</f>
        <v>0</v>
      </c>
      <c r="M29" s="609"/>
      <c r="N29" s="608">
        <f>$I29*M20*O$16</f>
        <v>449.28000000000003</v>
      </c>
      <c r="O29" s="610"/>
      <c r="P29" s="609"/>
      <c r="Q29" s="608"/>
      <c r="R29" s="610"/>
      <c r="S29" s="609"/>
      <c r="T29" s="608"/>
      <c r="U29" s="610"/>
      <c r="V29" s="598">
        <v>0</v>
      </c>
      <c r="X29" s="573"/>
    </row>
    <row r="30" spans="1:24">
      <c r="C30" s="1073" t="s">
        <v>264</v>
      </c>
      <c r="D30" s="606">
        <v>3</v>
      </c>
      <c r="E30" s="607" t="s">
        <v>248</v>
      </c>
      <c r="F30" s="606">
        <f>Assumptions!D70</f>
        <v>122</v>
      </c>
      <c r="G30" s="607" t="s">
        <v>249</v>
      </c>
      <c r="H30" s="608">
        <v>4</v>
      </c>
      <c r="I30" s="608">
        <f t="shared" si="2"/>
        <v>1464</v>
      </c>
      <c r="J30" s="609"/>
      <c r="K30" s="608">
        <f>$I30*K$20*L$16</f>
        <v>0</v>
      </c>
      <c r="M30" s="609"/>
      <c r="N30" s="608">
        <f>$I30*M20*O$16</f>
        <v>6090.24</v>
      </c>
      <c r="O30" s="610"/>
      <c r="P30" s="609"/>
      <c r="Q30" s="608"/>
      <c r="R30" s="610"/>
      <c r="S30" s="609"/>
      <c r="T30" s="608"/>
      <c r="U30" s="610"/>
      <c r="V30" s="598">
        <v>0</v>
      </c>
      <c r="X30" s="573"/>
    </row>
    <row r="31" spans="1:24">
      <c r="C31" s="1073" t="s">
        <v>265</v>
      </c>
      <c r="D31" s="606">
        <v>3</v>
      </c>
      <c r="E31" s="607" t="s">
        <v>248</v>
      </c>
      <c r="F31" s="606">
        <f>partmeals</f>
        <v>47</v>
      </c>
      <c r="G31" s="607" t="s">
        <v>249</v>
      </c>
      <c r="H31" s="608">
        <v>4</v>
      </c>
      <c r="I31" s="608">
        <f t="shared" si="2"/>
        <v>564</v>
      </c>
      <c r="J31" s="609"/>
      <c r="K31" s="608">
        <f>$I31*K$20*L$16</f>
        <v>0</v>
      </c>
      <c r="M31" s="609"/>
      <c r="N31" s="608">
        <f>$I31*M20*O$16</f>
        <v>2346.2400000000002</v>
      </c>
      <c r="O31" s="610"/>
      <c r="P31" s="609"/>
      <c r="Q31" s="608"/>
      <c r="R31" s="610"/>
      <c r="S31" s="609"/>
      <c r="T31" s="608"/>
      <c r="U31" s="610"/>
      <c r="V31" s="598">
        <v>0</v>
      </c>
      <c r="X31" s="573"/>
    </row>
    <row r="32" spans="1:24">
      <c r="C32" s="1072" t="s">
        <v>260</v>
      </c>
      <c r="D32" s="608"/>
      <c r="E32" s="614"/>
      <c r="F32" s="608"/>
      <c r="G32" s="608"/>
      <c r="H32" s="608"/>
      <c r="I32" s="608"/>
      <c r="J32" s="609"/>
      <c r="K32" s="974"/>
      <c r="M32" s="609"/>
      <c r="N32" s="608"/>
      <c r="O32" s="610"/>
      <c r="P32" s="609"/>
      <c r="Q32" s="608"/>
      <c r="R32" s="610"/>
      <c r="S32" s="609"/>
      <c r="T32" s="608"/>
      <c r="U32" s="610"/>
      <c r="V32" s="598">
        <f t="shared" si="1"/>
        <v>0</v>
      </c>
      <c r="X32" s="573"/>
    </row>
    <row r="33" spans="3:24">
      <c r="C33" s="1073" t="s">
        <v>266</v>
      </c>
      <c r="D33" s="606">
        <v>3</v>
      </c>
      <c r="E33" s="607" t="s">
        <v>248</v>
      </c>
      <c r="F33" s="606">
        <f>partground</f>
        <v>9</v>
      </c>
      <c r="G33" s="607" t="s">
        <v>262</v>
      </c>
      <c r="H33" s="608">
        <v>2</v>
      </c>
      <c r="I33" s="608">
        <f t="shared" ref="I33:I35" si="3">D33*F33*H33</f>
        <v>54</v>
      </c>
      <c r="J33" s="609"/>
      <c r="K33" s="974">
        <f>$I33*J$20*L$16</f>
        <v>0</v>
      </c>
      <c r="M33" s="609"/>
      <c r="N33" s="608">
        <f>$I33*M20*O$16</f>
        <v>224.64000000000001</v>
      </c>
      <c r="O33" s="610"/>
      <c r="P33" s="609"/>
      <c r="Q33" s="608"/>
      <c r="R33" s="610"/>
      <c r="S33" s="609"/>
      <c r="T33" s="608"/>
      <c r="U33" s="610"/>
      <c r="V33" s="598">
        <v>0</v>
      </c>
      <c r="X33" s="573"/>
    </row>
    <row r="34" spans="3:24">
      <c r="C34" s="1073" t="s">
        <v>267</v>
      </c>
      <c r="D34" s="606">
        <v>3</v>
      </c>
      <c r="E34" s="607" t="s">
        <v>248</v>
      </c>
      <c r="F34" s="606">
        <f>partground</f>
        <v>9</v>
      </c>
      <c r="G34" s="607" t="s">
        <v>249</v>
      </c>
      <c r="H34" s="608">
        <v>4</v>
      </c>
      <c r="I34" s="608">
        <f t="shared" si="3"/>
        <v>108</v>
      </c>
      <c r="J34" s="609"/>
      <c r="K34" s="974">
        <f>$I34*J$20*L$16</f>
        <v>0</v>
      </c>
      <c r="M34" s="609"/>
      <c r="N34" s="608">
        <f>$I34*M20*O$16</f>
        <v>449.28000000000003</v>
      </c>
      <c r="O34" s="610"/>
      <c r="P34" s="609"/>
      <c r="Q34" s="608"/>
      <c r="R34" s="610"/>
      <c r="S34" s="609"/>
      <c r="T34" s="608"/>
      <c r="U34" s="610"/>
      <c r="V34" s="598">
        <v>0</v>
      </c>
      <c r="X34" s="573"/>
    </row>
    <row r="35" spans="3:24">
      <c r="C35" s="1073" t="s">
        <v>265</v>
      </c>
      <c r="D35" s="606">
        <v>3</v>
      </c>
      <c r="E35" s="607" t="s">
        <v>248</v>
      </c>
      <c r="F35" s="606">
        <f>partmeals</f>
        <v>47</v>
      </c>
      <c r="G35" s="607" t="s">
        <v>249</v>
      </c>
      <c r="H35" s="608">
        <v>4</v>
      </c>
      <c r="I35" s="608">
        <f t="shared" si="3"/>
        <v>564</v>
      </c>
      <c r="J35" s="609"/>
      <c r="K35" s="974">
        <f>$I35*J$20*L$16</f>
        <v>0</v>
      </c>
      <c r="M35" s="609"/>
      <c r="N35" s="608">
        <f>$I35*M20*O$16</f>
        <v>2346.2400000000002</v>
      </c>
      <c r="O35" s="610"/>
      <c r="P35" s="609"/>
      <c r="Q35" s="608"/>
      <c r="R35" s="610"/>
      <c r="S35" s="609"/>
      <c r="T35" s="608"/>
      <c r="U35" s="610"/>
      <c r="V35" s="598">
        <v>0</v>
      </c>
      <c r="X35" s="573"/>
    </row>
    <row r="36" spans="3:24">
      <c r="C36" s="1073"/>
      <c r="D36" s="606"/>
      <c r="E36" s="607"/>
      <c r="F36" s="606"/>
      <c r="G36" s="607"/>
      <c r="H36" s="608"/>
      <c r="I36" s="608"/>
      <c r="J36" s="609"/>
      <c r="K36" s="974"/>
      <c r="M36" s="609"/>
      <c r="N36" s="608"/>
      <c r="O36" s="610"/>
      <c r="P36" s="609"/>
      <c r="Q36" s="608"/>
      <c r="R36" s="610"/>
      <c r="S36" s="609"/>
      <c r="T36" s="608"/>
      <c r="U36" s="610"/>
      <c r="V36" s="598"/>
      <c r="X36" s="573"/>
    </row>
    <row r="37" spans="3:24">
      <c r="C37" s="1072" t="s">
        <v>268</v>
      </c>
      <c r="D37" s="608"/>
      <c r="E37" s="614"/>
      <c r="F37" s="608"/>
      <c r="G37" s="608"/>
      <c r="H37" s="608"/>
      <c r="I37" s="608"/>
      <c r="J37" s="609"/>
      <c r="K37" s="608"/>
      <c r="M37" s="609"/>
      <c r="N37" s="608"/>
      <c r="O37" s="610"/>
      <c r="P37" s="609"/>
      <c r="Q37" s="608"/>
      <c r="R37" s="610"/>
      <c r="S37" s="609"/>
      <c r="T37" s="608"/>
      <c r="U37" s="610"/>
      <c r="V37" s="598"/>
      <c r="X37" s="573"/>
    </row>
    <row r="38" spans="3:24">
      <c r="C38" s="1073" t="s">
        <v>261</v>
      </c>
      <c r="D38" s="606">
        <v>2</v>
      </c>
      <c r="E38" s="607" t="s">
        <v>248</v>
      </c>
      <c r="F38" s="606">
        <f>Assumptions!D73</f>
        <v>195</v>
      </c>
      <c r="G38" s="607" t="s">
        <v>262</v>
      </c>
      <c r="H38" s="608">
        <v>1</v>
      </c>
      <c r="I38" s="608">
        <f t="shared" ref="I38:I41" si="4">D38*F38*H38</f>
        <v>390</v>
      </c>
      <c r="J38" s="609"/>
      <c r="K38" s="608">
        <f>$I38*K$20*L$16</f>
        <v>0</v>
      </c>
      <c r="M38" s="609"/>
      <c r="N38" s="608">
        <f>$I38*M20*O$16</f>
        <v>1622.4</v>
      </c>
      <c r="O38" s="610"/>
      <c r="P38" s="609"/>
      <c r="Q38" s="608"/>
      <c r="R38" s="610"/>
      <c r="S38" s="609"/>
      <c r="T38" s="608"/>
      <c r="U38" s="610"/>
      <c r="V38" s="598"/>
      <c r="X38" s="573"/>
    </row>
    <row r="39" spans="3:24">
      <c r="C39" s="1073" t="s">
        <v>263</v>
      </c>
      <c r="D39" s="606">
        <v>2</v>
      </c>
      <c r="E39" s="607" t="s">
        <v>248</v>
      </c>
      <c r="F39" s="606">
        <f>partground</f>
        <v>9</v>
      </c>
      <c r="G39" s="607" t="s">
        <v>249</v>
      </c>
      <c r="H39" s="608">
        <v>4</v>
      </c>
      <c r="I39" s="608">
        <f t="shared" si="4"/>
        <v>72</v>
      </c>
      <c r="J39" s="609"/>
      <c r="K39" s="608">
        <f>$I39*K$20*L$16</f>
        <v>0</v>
      </c>
      <c r="M39" s="609"/>
      <c r="N39" s="608">
        <f>$I39*M20*O$16</f>
        <v>299.52</v>
      </c>
      <c r="O39" s="610"/>
      <c r="P39" s="609"/>
      <c r="Q39" s="608"/>
      <c r="R39" s="610"/>
      <c r="S39" s="609"/>
      <c r="T39" s="608"/>
      <c r="U39" s="610"/>
      <c r="V39" s="598"/>
      <c r="X39" s="573"/>
    </row>
    <row r="40" spans="3:24">
      <c r="C40" s="1073" t="s">
        <v>264</v>
      </c>
      <c r="D40" s="606">
        <v>2</v>
      </c>
      <c r="E40" s="607" t="s">
        <v>248</v>
      </c>
      <c r="F40" s="606">
        <f>Assumptions!D70</f>
        <v>122</v>
      </c>
      <c r="G40" s="607" t="s">
        <v>249</v>
      </c>
      <c r="H40" s="608">
        <v>4</v>
      </c>
      <c r="I40" s="608">
        <f t="shared" si="4"/>
        <v>976</v>
      </c>
      <c r="J40" s="609"/>
      <c r="K40" s="608">
        <f>$I40*K$20*L$16</f>
        <v>0</v>
      </c>
      <c r="M40" s="609"/>
      <c r="N40" s="608">
        <f>$I40*M20*O$16</f>
        <v>4060.1600000000003</v>
      </c>
      <c r="O40" s="610"/>
      <c r="P40" s="609"/>
      <c r="Q40" s="608"/>
      <c r="R40" s="610"/>
      <c r="S40" s="609"/>
      <c r="T40" s="608"/>
      <c r="U40" s="610"/>
      <c r="V40" s="598"/>
      <c r="X40" s="573"/>
    </row>
    <row r="41" spans="3:24">
      <c r="C41" s="1073" t="s">
        <v>265</v>
      </c>
      <c r="D41" s="606">
        <v>2</v>
      </c>
      <c r="E41" s="607" t="s">
        <v>248</v>
      </c>
      <c r="F41" s="606">
        <f>partmeals</f>
        <v>47</v>
      </c>
      <c r="G41" s="607" t="s">
        <v>249</v>
      </c>
      <c r="H41" s="608">
        <v>4</v>
      </c>
      <c r="I41" s="608">
        <f t="shared" si="4"/>
        <v>376</v>
      </c>
      <c r="J41" s="609"/>
      <c r="K41" s="608">
        <f>$I41*K$20*L$16</f>
        <v>0</v>
      </c>
      <c r="M41" s="609"/>
      <c r="N41" s="608">
        <f>$I41*M20*O$16</f>
        <v>1564.16</v>
      </c>
      <c r="O41" s="610"/>
      <c r="P41" s="609"/>
      <c r="Q41" s="608"/>
      <c r="R41" s="610"/>
      <c r="S41" s="609"/>
      <c r="T41" s="608"/>
      <c r="U41" s="610"/>
      <c r="V41" s="598"/>
      <c r="X41" s="573"/>
    </row>
    <row r="42" spans="3:24">
      <c r="C42" s="1072" t="s">
        <v>260</v>
      </c>
      <c r="D42" s="608"/>
      <c r="E42" s="614"/>
      <c r="F42" s="608"/>
      <c r="G42" s="608"/>
      <c r="H42" s="608"/>
      <c r="I42" s="608"/>
      <c r="J42" s="609"/>
      <c r="K42" s="974"/>
      <c r="M42" s="609"/>
      <c r="N42" s="608"/>
      <c r="O42" s="610"/>
      <c r="P42" s="609"/>
      <c r="Q42" s="608"/>
      <c r="R42" s="610"/>
      <c r="S42" s="609"/>
      <c r="T42" s="608"/>
      <c r="U42" s="610"/>
      <c r="V42" s="598"/>
      <c r="X42" s="573"/>
    </row>
    <row r="43" spans="3:24">
      <c r="C43" s="1073" t="s">
        <v>266</v>
      </c>
      <c r="D43" s="606">
        <v>2</v>
      </c>
      <c r="E43" s="607" t="s">
        <v>248</v>
      </c>
      <c r="F43" s="606">
        <f>partground</f>
        <v>9</v>
      </c>
      <c r="G43" s="607" t="s">
        <v>262</v>
      </c>
      <c r="H43" s="608">
        <v>2</v>
      </c>
      <c r="I43" s="608">
        <f t="shared" ref="I43:I45" si="5">D43*F43*H43</f>
        <v>36</v>
      </c>
      <c r="J43" s="609"/>
      <c r="K43" s="974">
        <f>$I43*J$20*L$16</f>
        <v>0</v>
      </c>
      <c r="M43" s="609"/>
      <c r="N43" s="608">
        <f>$I43*M20*O$16</f>
        <v>149.76</v>
      </c>
      <c r="O43" s="610"/>
      <c r="P43" s="609"/>
      <c r="Q43" s="608"/>
      <c r="R43" s="610"/>
      <c r="S43" s="609"/>
      <c r="T43" s="608"/>
      <c r="U43" s="610"/>
      <c r="V43" s="598"/>
      <c r="X43" s="573"/>
    </row>
    <row r="44" spans="3:24">
      <c r="C44" s="1073" t="s">
        <v>267</v>
      </c>
      <c r="D44" s="606">
        <v>2</v>
      </c>
      <c r="E44" s="607" t="s">
        <v>248</v>
      </c>
      <c r="F44" s="606">
        <f>partground</f>
        <v>9</v>
      </c>
      <c r="G44" s="607" t="s">
        <v>249</v>
      </c>
      <c r="H44" s="608">
        <v>4</v>
      </c>
      <c r="I44" s="608">
        <f t="shared" si="5"/>
        <v>72</v>
      </c>
      <c r="J44" s="609"/>
      <c r="K44" s="974">
        <f>$I44*J$20*L$16</f>
        <v>0</v>
      </c>
      <c r="M44" s="609"/>
      <c r="N44" s="608">
        <f>$I44*M20*O$16</f>
        <v>299.52</v>
      </c>
      <c r="O44" s="610"/>
      <c r="P44" s="609"/>
      <c r="Q44" s="608"/>
      <c r="R44" s="610"/>
      <c r="S44" s="609"/>
      <c r="T44" s="608"/>
      <c r="U44" s="610"/>
      <c r="V44" s="598"/>
      <c r="X44" s="573"/>
    </row>
    <row r="45" spans="3:24">
      <c r="C45" s="1073" t="s">
        <v>265</v>
      </c>
      <c r="D45" s="606">
        <v>2</v>
      </c>
      <c r="E45" s="607" t="s">
        <v>248</v>
      </c>
      <c r="F45" s="606">
        <f>partmeals</f>
        <v>47</v>
      </c>
      <c r="G45" s="607" t="s">
        <v>249</v>
      </c>
      <c r="H45" s="608">
        <v>4</v>
      </c>
      <c r="I45" s="608">
        <f t="shared" si="5"/>
        <v>376</v>
      </c>
      <c r="J45" s="609"/>
      <c r="K45" s="974">
        <f>$I45*J$20*L$16</f>
        <v>0</v>
      </c>
      <c r="M45" s="609"/>
      <c r="N45" s="608">
        <f>$I45*M20*O$16</f>
        <v>1564.16</v>
      </c>
      <c r="O45" s="610"/>
      <c r="P45" s="609"/>
      <c r="Q45" s="608"/>
      <c r="R45" s="610"/>
      <c r="S45" s="609"/>
      <c r="T45" s="608"/>
      <c r="U45" s="610"/>
      <c r="V45" s="598"/>
      <c r="X45" s="573"/>
    </row>
    <row r="46" spans="3:24" ht="15.6" thickTop="1">
      <c r="C46" s="605"/>
      <c r="D46" s="608"/>
      <c r="E46" s="608"/>
      <c r="F46" s="608"/>
      <c r="G46" s="608"/>
      <c r="H46" s="608"/>
      <c r="I46" s="608"/>
      <c r="J46" s="609"/>
      <c r="K46" s="608"/>
      <c r="M46" s="609"/>
      <c r="N46" s="608"/>
      <c r="O46" s="610"/>
      <c r="P46" s="609"/>
      <c r="Q46" s="608"/>
      <c r="R46" s="610"/>
      <c r="S46" s="609"/>
      <c r="T46" s="608"/>
      <c r="U46" s="610"/>
      <c r="V46" s="598">
        <f t="shared" si="1"/>
        <v>0</v>
      </c>
      <c r="X46" s="573"/>
    </row>
    <row r="47" spans="3:24">
      <c r="C47" s="621" t="s">
        <v>269</v>
      </c>
      <c r="D47" s="622"/>
      <c r="E47" s="622"/>
      <c r="F47" s="623"/>
      <c r="G47" s="1410">
        <f>SUM(N21:N46)</f>
        <v>25334.399999999998</v>
      </c>
      <c r="H47" s="1410"/>
      <c r="I47" s="624"/>
      <c r="J47" s="625"/>
      <c r="K47" s="625"/>
      <c r="L47" s="601"/>
      <c r="M47" s="625"/>
      <c r="N47" s="625"/>
      <c r="O47" s="601"/>
      <c r="P47" s="625"/>
      <c r="Q47" s="625"/>
      <c r="R47" s="601"/>
      <c r="S47" s="625"/>
      <c r="T47" s="625"/>
      <c r="U47" s="601"/>
      <c r="V47" s="626"/>
      <c r="X47" s="573"/>
    </row>
    <row r="48" spans="3:24" ht="13.5" customHeight="1" thickBot="1">
      <c r="C48" s="569"/>
      <c r="D48" s="627"/>
      <c r="E48" s="627"/>
      <c r="F48" s="627"/>
      <c r="G48" s="627"/>
      <c r="H48" s="627"/>
      <c r="I48" s="592"/>
      <c r="J48" s="592"/>
      <c r="K48" s="592"/>
      <c r="L48" s="592"/>
      <c r="M48" s="592"/>
      <c r="N48" s="592"/>
      <c r="O48" s="592"/>
      <c r="P48" s="592"/>
      <c r="Q48" s="592"/>
      <c r="R48" s="592"/>
      <c r="S48" s="592"/>
      <c r="T48" s="592"/>
      <c r="U48" s="592"/>
      <c r="V48" s="593"/>
      <c r="X48" s="573"/>
    </row>
    <row r="49" spans="3:24" ht="27" customHeight="1" thickTop="1" thickBot="1">
      <c r="C49" s="1415" t="s">
        <v>148</v>
      </c>
      <c r="D49" s="1415"/>
      <c r="E49" s="1415"/>
      <c r="F49" s="1415"/>
      <c r="G49" s="1415"/>
      <c r="H49" s="594">
        <v>1</v>
      </c>
      <c r="I49" s="595"/>
      <c r="J49" s="1405"/>
      <c r="K49" s="1405"/>
      <c r="L49" s="596">
        <f>SUM(K51:K61)</f>
        <v>0</v>
      </c>
      <c r="M49" s="1407">
        <v>1</v>
      </c>
      <c r="N49" s="1407"/>
      <c r="O49" s="597">
        <f>SUM(N51:N51)</f>
        <v>10400</v>
      </c>
      <c r="P49" s="1407">
        <v>0</v>
      </c>
      <c r="Q49" s="1407"/>
      <c r="R49" s="597">
        <f>SUM(Q51:Q61)</f>
        <v>0</v>
      </c>
      <c r="S49" s="1409">
        <v>0</v>
      </c>
      <c r="T49" s="1409"/>
      <c r="U49" s="597">
        <f>SUM(T51:T61)</f>
        <v>0</v>
      </c>
      <c r="V49" s="598">
        <f>SUM(L49,O49,R49,U49,)</f>
        <v>10400</v>
      </c>
      <c r="X49" s="573"/>
    </row>
    <row r="50" spans="3:24" ht="15.9" thickTop="1" thickBot="1">
      <c r="C50" s="599" t="s">
        <v>270</v>
      </c>
      <c r="D50" s="600"/>
      <c r="E50" s="600"/>
      <c r="F50" s="600"/>
      <c r="G50" s="601"/>
      <c r="H50" s="600"/>
      <c r="I50" s="600"/>
      <c r="J50" s="602"/>
      <c r="K50" s="600"/>
      <c r="L50" s="601"/>
      <c r="M50" s="602"/>
      <c r="N50" s="600"/>
      <c r="O50" s="603"/>
      <c r="P50" s="602"/>
      <c r="Q50" s="600"/>
      <c r="R50" s="603"/>
      <c r="S50" s="602"/>
      <c r="T50" s="600"/>
      <c r="U50" s="603"/>
      <c r="V50" s="598"/>
      <c r="X50" s="573"/>
    </row>
    <row r="51" spans="3:24">
      <c r="C51" s="1073" t="s">
        <v>271</v>
      </c>
      <c r="D51" s="606">
        <v>1</v>
      </c>
      <c r="E51" s="607" t="s">
        <v>272</v>
      </c>
      <c r="F51" s="606">
        <v>10000</v>
      </c>
      <c r="G51" s="607" t="s">
        <v>273</v>
      </c>
      <c r="H51" s="608">
        <v>1</v>
      </c>
      <c r="I51" s="608">
        <f t="shared" ref="I51" si="6">D51*F51*H51</f>
        <v>10000</v>
      </c>
      <c r="J51" s="609"/>
      <c r="K51" s="608"/>
      <c r="M51" s="609"/>
      <c r="N51" s="608">
        <f>$I51*M49*O$16</f>
        <v>10400</v>
      </c>
      <c r="O51" s="610"/>
      <c r="P51" s="609"/>
      <c r="Q51" s="608"/>
      <c r="R51" s="610"/>
      <c r="S51" s="609"/>
      <c r="T51" s="608"/>
      <c r="U51" s="610"/>
      <c r="V51" s="598">
        <f t="shared" ref="V51:V61" si="7">T51+Q51+N51+K51</f>
        <v>10400</v>
      </c>
      <c r="X51" s="573"/>
    </row>
    <row r="52" spans="3:24">
      <c r="C52" s="1072" t="s">
        <v>260</v>
      </c>
      <c r="D52" s="608"/>
      <c r="E52" s="614"/>
      <c r="F52" s="608"/>
      <c r="G52" s="608"/>
      <c r="H52" s="608"/>
      <c r="I52" s="608"/>
      <c r="J52" s="609"/>
      <c r="K52" s="608"/>
      <c r="M52" s="609"/>
      <c r="N52" s="608"/>
      <c r="O52" s="610"/>
      <c r="P52" s="609"/>
      <c r="Q52" s="608"/>
      <c r="R52" s="610"/>
      <c r="S52" s="609"/>
      <c r="T52" s="608"/>
      <c r="U52" s="610"/>
      <c r="V52" s="598"/>
      <c r="X52" s="573"/>
    </row>
    <row r="53" spans="3:24">
      <c r="C53" s="1073" t="s">
        <v>261</v>
      </c>
      <c r="D53" s="606">
        <v>2</v>
      </c>
      <c r="E53" s="607" t="s">
        <v>248</v>
      </c>
      <c r="F53" s="606">
        <f>Assumptions!D73</f>
        <v>195</v>
      </c>
      <c r="G53" s="607" t="s">
        <v>262</v>
      </c>
      <c r="H53" s="608">
        <v>1</v>
      </c>
      <c r="I53" s="608">
        <f>D53*F53*H53</f>
        <v>390</v>
      </c>
      <c r="J53" s="609"/>
      <c r="K53" s="608">
        <f>$I53*K$20*L$16</f>
        <v>0</v>
      </c>
      <c r="M53" s="609"/>
      <c r="N53" s="608">
        <f>$I53*M49*O$16</f>
        <v>405.6</v>
      </c>
      <c r="O53" s="610"/>
      <c r="P53" s="609"/>
      <c r="Q53" s="608"/>
      <c r="R53" s="610"/>
      <c r="S53" s="609"/>
      <c r="T53" s="608"/>
      <c r="U53" s="610"/>
      <c r="V53" s="598"/>
      <c r="X53" s="573"/>
    </row>
    <row r="54" spans="3:24">
      <c r="C54" s="1073" t="s">
        <v>263</v>
      </c>
      <c r="D54" s="606">
        <v>2</v>
      </c>
      <c r="E54" s="607" t="s">
        <v>248</v>
      </c>
      <c r="F54" s="606">
        <f>partground</f>
        <v>9</v>
      </c>
      <c r="G54" s="607" t="s">
        <v>249</v>
      </c>
      <c r="H54" s="608">
        <v>2</v>
      </c>
      <c r="I54" s="608">
        <f t="shared" ref="I54:I56" si="8">D54*F54*H54</f>
        <v>36</v>
      </c>
      <c r="J54" s="609"/>
      <c r="K54" s="608">
        <f>$I54*K$20*L$16</f>
        <v>0</v>
      </c>
      <c r="M54" s="609"/>
      <c r="N54" s="608">
        <f>$I54*M49*O$16</f>
        <v>37.44</v>
      </c>
      <c r="O54" s="610"/>
      <c r="P54" s="609"/>
      <c r="Q54" s="608"/>
      <c r="R54" s="610"/>
      <c r="S54" s="609"/>
      <c r="T54" s="608"/>
      <c r="U54" s="610"/>
      <c r="V54" s="598"/>
      <c r="X54" s="573"/>
    </row>
    <row r="55" spans="3:24">
      <c r="C55" s="1073" t="s">
        <v>264</v>
      </c>
      <c r="D55" s="1070">
        <v>2</v>
      </c>
      <c r="E55" s="1069" t="s">
        <v>248</v>
      </c>
      <c r="F55" s="1070">
        <f>Assumptions!D70</f>
        <v>122</v>
      </c>
      <c r="G55" s="1069" t="s">
        <v>249</v>
      </c>
      <c r="H55" s="1069">
        <v>2</v>
      </c>
      <c r="I55" s="1069">
        <f>D55*F55*H55</f>
        <v>488</v>
      </c>
      <c r="J55" s="1068"/>
      <c r="K55" s="1069">
        <f>$I55*K$20*L$16</f>
        <v>0</v>
      </c>
      <c r="M55" s="1068"/>
      <c r="N55" s="1069">
        <f>$I55*M49*O$16</f>
        <v>507.52000000000004</v>
      </c>
      <c r="O55" s="1067"/>
      <c r="P55" s="1068"/>
      <c r="Q55" s="1069"/>
      <c r="R55" s="1067"/>
      <c r="S55" s="1068"/>
      <c r="T55" s="1069"/>
      <c r="U55" s="1067"/>
      <c r="V55" s="1066"/>
      <c r="X55" s="573"/>
    </row>
    <row r="56" spans="3:24">
      <c r="C56" s="1073" t="s">
        <v>265</v>
      </c>
      <c r="D56" s="606">
        <v>2</v>
      </c>
      <c r="E56" s="607" t="s">
        <v>248</v>
      </c>
      <c r="F56" s="606">
        <f>partmeals</f>
        <v>47</v>
      </c>
      <c r="G56" s="607" t="s">
        <v>249</v>
      </c>
      <c r="H56" s="608">
        <v>2</v>
      </c>
      <c r="I56" s="608">
        <f t="shared" si="8"/>
        <v>188</v>
      </c>
      <c r="J56" s="609"/>
      <c r="K56" s="608">
        <f>$I56*K$20*L$16</f>
        <v>0</v>
      </c>
      <c r="M56" s="609"/>
      <c r="N56" s="608">
        <f>$I56*M49*O$16</f>
        <v>195.52</v>
      </c>
      <c r="O56" s="610"/>
      <c r="P56" s="609"/>
      <c r="Q56" s="608"/>
      <c r="R56" s="610"/>
      <c r="S56" s="609"/>
      <c r="T56" s="608"/>
      <c r="U56" s="610"/>
      <c r="V56" s="598"/>
      <c r="X56" s="573"/>
    </row>
    <row r="57" spans="3:24">
      <c r="C57" s="1072" t="s">
        <v>260</v>
      </c>
      <c r="D57" s="608"/>
      <c r="E57" s="614"/>
      <c r="F57" s="608"/>
      <c r="G57" s="608"/>
      <c r="H57" s="608"/>
      <c r="I57" s="608"/>
      <c r="J57" s="609"/>
      <c r="K57" s="974"/>
      <c r="M57" s="609"/>
      <c r="N57" s="608"/>
      <c r="O57" s="610"/>
      <c r="P57" s="609"/>
      <c r="Q57" s="608"/>
      <c r="R57" s="610"/>
      <c r="S57" s="609"/>
      <c r="T57" s="608"/>
      <c r="U57" s="610"/>
      <c r="V57" s="598"/>
      <c r="X57" s="573"/>
    </row>
    <row r="58" spans="3:24">
      <c r="C58" s="1073" t="s">
        <v>266</v>
      </c>
      <c r="D58" s="606">
        <v>2</v>
      </c>
      <c r="E58" s="607" t="s">
        <v>248</v>
      </c>
      <c r="F58" s="606">
        <f>partground</f>
        <v>9</v>
      </c>
      <c r="G58" s="607" t="s">
        <v>262</v>
      </c>
      <c r="H58" s="608">
        <v>2</v>
      </c>
      <c r="I58" s="608">
        <f t="shared" ref="I58:I60" si="9">D58*F58*H58</f>
        <v>36</v>
      </c>
      <c r="J58" s="609"/>
      <c r="K58" s="974">
        <f>$I58*J$20*L$16</f>
        <v>0</v>
      </c>
      <c r="M58" s="609"/>
      <c r="N58" s="608">
        <f>$I58*M49*O$16</f>
        <v>37.44</v>
      </c>
      <c r="O58" s="610"/>
      <c r="P58" s="609"/>
      <c r="Q58" s="608"/>
      <c r="R58" s="610"/>
      <c r="S58" s="609"/>
      <c r="T58" s="608"/>
      <c r="U58" s="610"/>
      <c r="V58" s="598"/>
      <c r="X58" s="573"/>
    </row>
    <row r="59" spans="3:24">
      <c r="C59" s="1073" t="s">
        <v>267</v>
      </c>
      <c r="D59" s="606">
        <v>2</v>
      </c>
      <c r="E59" s="607" t="s">
        <v>248</v>
      </c>
      <c r="F59" s="606">
        <f>partground</f>
        <v>9</v>
      </c>
      <c r="G59" s="607" t="s">
        <v>249</v>
      </c>
      <c r="H59" s="608">
        <v>2</v>
      </c>
      <c r="I59" s="608">
        <f t="shared" si="9"/>
        <v>36</v>
      </c>
      <c r="J59" s="609"/>
      <c r="K59" s="974">
        <f>$I59*J$20*L$16</f>
        <v>0</v>
      </c>
      <c r="M59" s="609"/>
      <c r="N59" s="608">
        <f>$I59*M49*O$16</f>
        <v>37.44</v>
      </c>
      <c r="O59" s="610"/>
      <c r="P59" s="609"/>
      <c r="Q59" s="608"/>
      <c r="R59" s="610"/>
      <c r="S59" s="609"/>
      <c r="T59" s="608"/>
      <c r="U59" s="610"/>
      <c r="V59" s="598"/>
      <c r="X59" s="573"/>
    </row>
    <row r="60" spans="3:24">
      <c r="C60" s="1073" t="s">
        <v>265</v>
      </c>
      <c r="D60" s="606">
        <v>2</v>
      </c>
      <c r="E60" s="607" t="s">
        <v>248</v>
      </c>
      <c r="F60" s="606">
        <f>partmeals</f>
        <v>47</v>
      </c>
      <c r="G60" s="607" t="s">
        <v>249</v>
      </c>
      <c r="H60" s="608">
        <v>2</v>
      </c>
      <c r="I60" s="608">
        <f t="shared" si="9"/>
        <v>188</v>
      </c>
      <c r="J60" s="609"/>
      <c r="K60" s="974">
        <f>$I60*J$20*L$16</f>
        <v>0</v>
      </c>
      <c r="M60" s="609"/>
      <c r="N60" s="608">
        <f>$I60*M49*O$16</f>
        <v>195.52</v>
      </c>
      <c r="O60" s="610"/>
      <c r="P60" s="609"/>
      <c r="Q60" s="608"/>
      <c r="R60" s="610"/>
      <c r="S60" s="609"/>
      <c r="T60" s="608"/>
      <c r="U60" s="610"/>
      <c r="V60" s="598"/>
      <c r="X60" s="573"/>
    </row>
    <row r="61" spans="3:24" ht="15.6" thickTop="1">
      <c r="C61" s="605"/>
      <c r="D61" s="608"/>
      <c r="E61" s="608"/>
      <c r="F61" s="608"/>
      <c r="G61" s="608"/>
      <c r="H61" s="608"/>
      <c r="I61" s="608"/>
      <c r="J61" s="609"/>
      <c r="K61" s="608"/>
      <c r="M61" s="609"/>
      <c r="N61" s="608"/>
      <c r="O61" s="610"/>
      <c r="P61" s="609"/>
      <c r="Q61" s="608"/>
      <c r="R61" s="610"/>
      <c r="S61" s="609"/>
      <c r="T61" s="608"/>
      <c r="U61" s="610"/>
      <c r="V61" s="598">
        <f t="shared" si="7"/>
        <v>0</v>
      </c>
      <c r="X61" s="573"/>
    </row>
    <row r="62" spans="3:24">
      <c r="C62" s="621" t="s">
        <v>269</v>
      </c>
      <c r="D62" s="622"/>
      <c r="E62" s="622"/>
      <c r="F62" s="623"/>
      <c r="G62" s="1410">
        <f>SUM(N50:N61)</f>
        <v>11816.480000000003</v>
      </c>
      <c r="H62" s="1410"/>
      <c r="I62" s="624"/>
      <c r="J62" s="625"/>
      <c r="K62" s="625"/>
      <c r="L62" s="601"/>
      <c r="M62" s="625"/>
      <c r="N62" s="625"/>
      <c r="O62" s="601"/>
      <c r="P62" s="625"/>
      <c r="Q62" s="625"/>
      <c r="R62" s="601"/>
      <c r="S62" s="625"/>
      <c r="T62" s="625"/>
      <c r="U62" s="601"/>
      <c r="V62" s="626"/>
      <c r="X62" s="573"/>
    </row>
    <row r="63" spans="3:24" ht="13.5" customHeight="1" thickBot="1">
      <c r="C63" s="569"/>
      <c r="D63" s="627"/>
      <c r="E63" s="627"/>
      <c r="F63" s="627"/>
      <c r="G63" s="627"/>
      <c r="H63" s="627"/>
      <c r="I63" s="592"/>
      <c r="J63" s="592"/>
      <c r="K63" s="592"/>
      <c r="L63" s="592"/>
      <c r="M63" s="592"/>
      <c r="N63" s="592"/>
      <c r="O63" s="592"/>
      <c r="P63" s="592"/>
      <c r="Q63" s="592"/>
      <c r="R63" s="592"/>
      <c r="S63" s="592"/>
      <c r="T63" s="592"/>
      <c r="U63" s="592"/>
      <c r="V63" s="593"/>
      <c r="X63" s="573"/>
    </row>
    <row r="64" spans="3:24" ht="32.65" customHeight="1" thickTop="1">
      <c r="C64" s="1421" t="s">
        <v>149</v>
      </c>
      <c r="D64" s="1421"/>
      <c r="E64" s="1421"/>
      <c r="F64" s="1421"/>
      <c r="G64" s="1421"/>
      <c r="H64" s="594">
        <v>1</v>
      </c>
      <c r="I64" s="595"/>
      <c r="J64" s="1405"/>
      <c r="K64" s="1405"/>
      <c r="L64" s="596">
        <f>SUM(K66:K68)</f>
        <v>0</v>
      </c>
      <c r="M64" s="1407">
        <v>10</v>
      </c>
      <c r="N64" s="1407"/>
      <c r="O64" s="597">
        <f>SUM(N66:N68)</f>
        <v>7280</v>
      </c>
      <c r="P64" s="1407">
        <v>12</v>
      </c>
      <c r="Q64" s="1407"/>
      <c r="R64" s="597">
        <f>SUM(Q66:Q68)</f>
        <v>9085.44</v>
      </c>
      <c r="S64" s="1409">
        <v>10</v>
      </c>
      <c r="T64" s="1409"/>
      <c r="U64" s="597">
        <f>SUM(T66:T68)</f>
        <v>7874.0480000000007</v>
      </c>
      <c r="V64" s="598">
        <f>SUM(L64,O64,R64,U64,)</f>
        <v>24239.488000000001</v>
      </c>
      <c r="X64" s="573"/>
    </row>
    <row r="65" spans="1:24" ht="15.6" thickBot="1">
      <c r="C65" s="599" t="s">
        <v>270</v>
      </c>
      <c r="D65" s="600"/>
      <c r="E65" s="600"/>
      <c r="F65" s="600"/>
      <c r="G65" s="601"/>
      <c r="H65" s="600"/>
      <c r="I65" s="600"/>
      <c r="J65" s="602"/>
      <c r="K65" s="600"/>
      <c r="L65" s="601"/>
      <c r="M65" s="602"/>
      <c r="N65" s="600"/>
      <c r="O65" s="603"/>
      <c r="P65" s="602"/>
      <c r="Q65" s="600"/>
      <c r="R65" s="603"/>
      <c r="S65" s="602"/>
      <c r="T65" s="600"/>
      <c r="U65" s="603"/>
      <c r="V65" s="604"/>
      <c r="X65" s="573"/>
    </row>
    <row r="66" spans="1:24" ht="15.9" thickTop="1" thickBot="1">
      <c r="A66" s="1010" t="s">
        <v>246</v>
      </c>
      <c r="B66" s="1010">
        <v>86000</v>
      </c>
      <c r="C66" s="605" t="s">
        <v>274</v>
      </c>
      <c r="D66" s="606">
        <v>15</v>
      </c>
      <c r="E66" s="607" t="s">
        <v>248</v>
      </c>
      <c r="F66" s="606">
        <f>parttransp</f>
        <v>4</v>
      </c>
      <c r="G66" s="607" t="s">
        <v>249</v>
      </c>
      <c r="H66" s="608">
        <v>2</v>
      </c>
      <c r="I66" s="608">
        <f>D66*F66*H66</f>
        <v>120</v>
      </c>
      <c r="J66" s="609"/>
      <c r="K66" s="608">
        <f>$I66*J64*L$16</f>
        <v>0</v>
      </c>
      <c r="M66" s="609"/>
      <c r="N66" s="608">
        <f>$I66*M64*O$16</f>
        <v>1248</v>
      </c>
      <c r="O66" s="610"/>
      <c r="P66" s="609"/>
      <c r="Q66" s="608">
        <f>$I66*P64*R$16</f>
        <v>1557.5040000000001</v>
      </c>
      <c r="R66" s="610"/>
      <c r="S66" s="609"/>
      <c r="T66" s="608">
        <f>$I66*S64*U$16</f>
        <v>1349.8368</v>
      </c>
      <c r="U66" s="610"/>
      <c r="V66" s="598">
        <f t="shared" ref="V66:V74" si="10">T66+Q66+N66+K66</f>
        <v>4155.3407999999999</v>
      </c>
      <c r="X66" s="573"/>
    </row>
    <row r="67" spans="1:24" ht="15.9" thickTop="1" thickBot="1">
      <c r="A67" s="1010" t="s">
        <v>250</v>
      </c>
      <c r="B67" s="1010">
        <v>87000</v>
      </c>
      <c r="C67" s="605" t="s">
        <v>251</v>
      </c>
      <c r="D67" s="606">
        <v>15</v>
      </c>
      <c r="E67" s="607" t="s">
        <v>248</v>
      </c>
      <c r="F67" s="606">
        <f>coffee+lunch</f>
        <v>16</v>
      </c>
      <c r="G67" s="607" t="s">
        <v>249</v>
      </c>
      <c r="H67" s="608">
        <v>2</v>
      </c>
      <c r="I67" s="608">
        <f>D67*F67*H67</f>
        <v>480</v>
      </c>
      <c r="J67" s="609"/>
      <c r="K67" s="608">
        <f>$I67*J64*L$16</f>
        <v>0</v>
      </c>
      <c r="M67" s="609"/>
      <c r="N67" s="608">
        <f>$I67*M64*O$16</f>
        <v>4992</v>
      </c>
      <c r="O67" s="610"/>
      <c r="P67" s="609"/>
      <c r="Q67" s="608">
        <f>$I67*P64*R$16</f>
        <v>6230.0160000000005</v>
      </c>
      <c r="R67" s="610"/>
      <c r="S67" s="609"/>
      <c r="T67" s="608">
        <f>$I67*S64*U$16</f>
        <v>5399.3472000000002</v>
      </c>
      <c r="U67" s="610"/>
      <c r="V67" s="598">
        <f t="shared" si="10"/>
        <v>16621.3632</v>
      </c>
      <c r="X67" s="573"/>
    </row>
    <row r="68" spans="1:24" ht="15.9" thickTop="1" thickBot="1">
      <c r="A68" s="1010" t="s">
        <v>275</v>
      </c>
      <c r="B68" s="1010">
        <v>85300</v>
      </c>
      <c r="C68" s="605" t="s">
        <v>276</v>
      </c>
      <c r="D68" s="606">
        <v>1</v>
      </c>
      <c r="E68" s="607" t="s">
        <v>277</v>
      </c>
      <c r="F68" s="606">
        <f>print</f>
        <v>50</v>
      </c>
      <c r="G68" s="612" t="str">
        <f>E68</f>
        <v>activity</v>
      </c>
      <c r="H68" s="608">
        <v>2</v>
      </c>
      <c r="I68" s="608">
        <f>D68*F68*H68</f>
        <v>100</v>
      </c>
      <c r="J68" s="609"/>
      <c r="K68" s="608">
        <f>$I68*J64*L$16</f>
        <v>0</v>
      </c>
      <c r="M68" s="609"/>
      <c r="N68" s="608">
        <f>$I68*M64*O$16</f>
        <v>1040</v>
      </c>
      <c r="O68" s="610"/>
      <c r="P68" s="609"/>
      <c r="Q68" s="608">
        <f>$I68*P64*R$16</f>
        <v>1297.92</v>
      </c>
      <c r="R68" s="610"/>
      <c r="S68" s="609"/>
      <c r="T68" s="608">
        <f>$I68*S64*U$16</f>
        <v>1124.864</v>
      </c>
      <c r="U68" s="610"/>
      <c r="V68" s="598">
        <f t="shared" si="10"/>
        <v>3462.7840000000001</v>
      </c>
      <c r="X68" s="573"/>
    </row>
    <row r="69" spans="1:24" ht="15.9" thickTop="1" thickBot="1">
      <c r="C69" s="613" t="s">
        <v>260</v>
      </c>
      <c r="D69" s="608"/>
      <c r="E69" s="614"/>
      <c r="F69" s="608"/>
      <c r="G69" s="608"/>
      <c r="H69" s="608"/>
      <c r="I69" s="608"/>
      <c r="J69" s="609"/>
      <c r="K69" s="608"/>
      <c r="M69" s="609"/>
      <c r="N69" s="608"/>
      <c r="O69" s="610"/>
      <c r="P69" s="609"/>
      <c r="Q69" s="608"/>
      <c r="R69" s="610"/>
      <c r="S69" s="609"/>
      <c r="T69" s="608"/>
      <c r="U69" s="610"/>
      <c r="V69" s="598">
        <f t="shared" si="10"/>
        <v>0</v>
      </c>
      <c r="X69" s="573"/>
    </row>
    <row r="70" spans="1:24">
      <c r="C70" s="605" t="s">
        <v>261</v>
      </c>
      <c r="D70" s="606">
        <v>2</v>
      </c>
      <c r="E70" s="607" t="s">
        <v>248</v>
      </c>
      <c r="F70" s="1074">
        <f>Assumptions!D73</f>
        <v>195</v>
      </c>
      <c r="G70" s="607" t="s">
        <v>262</v>
      </c>
      <c r="H70" s="608">
        <f>IF(D70=0,0,1)</f>
        <v>1</v>
      </c>
      <c r="I70" s="608">
        <f t="shared" ref="I70:I73" si="11">D70*F70*H70</f>
        <v>390</v>
      </c>
      <c r="J70" s="609"/>
      <c r="K70" s="608">
        <f>$I70*J$64*L$16</f>
        <v>0</v>
      </c>
      <c r="M70" s="609"/>
      <c r="N70" s="608">
        <f>$I70*M$64*O$16</f>
        <v>4056</v>
      </c>
      <c r="O70" s="610"/>
      <c r="P70" s="609"/>
      <c r="Q70" s="608">
        <f>$I70*P$64*R$16</f>
        <v>5061.8880000000008</v>
      </c>
      <c r="R70" s="610"/>
      <c r="S70" s="609"/>
      <c r="T70" s="608">
        <f>$I70*S$64*U$16</f>
        <v>4386.9696000000004</v>
      </c>
      <c r="U70" s="610"/>
      <c r="V70" s="598">
        <v>0</v>
      </c>
      <c r="X70" s="573"/>
    </row>
    <row r="71" spans="1:24" ht="15.9" thickTop="1" thickBot="1">
      <c r="C71" s="605" t="s">
        <v>263</v>
      </c>
      <c r="D71" s="606">
        <v>2</v>
      </c>
      <c r="E71" s="607" t="s">
        <v>248</v>
      </c>
      <c r="F71" s="606">
        <f>partground</f>
        <v>9</v>
      </c>
      <c r="G71" s="607" t="s">
        <v>249</v>
      </c>
      <c r="H71" s="608">
        <f>IF(D71=0,0,1)</f>
        <v>1</v>
      </c>
      <c r="I71" s="608">
        <f t="shared" si="11"/>
        <v>18</v>
      </c>
      <c r="J71" s="609"/>
      <c r="K71" s="608">
        <f>$I71*J$64*L$16</f>
        <v>0</v>
      </c>
      <c r="M71" s="609"/>
      <c r="N71" s="608">
        <f>$I71*M$64*O$16</f>
        <v>187.20000000000002</v>
      </c>
      <c r="O71" s="610"/>
      <c r="P71" s="609"/>
      <c r="Q71" s="608">
        <f>$I71*P$64*R$16</f>
        <v>233.62560000000002</v>
      </c>
      <c r="R71" s="610"/>
      <c r="S71" s="609"/>
      <c r="T71" s="608">
        <f>$I71*S$64*U$16</f>
        <v>202.47552000000002</v>
      </c>
      <c r="U71" s="610"/>
      <c r="V71" s="598">
        <v>0</v>
      </c>
      <c r="X71" s="573"/>
    </row>
    <row r="72" spans="1:24" ht="15.9" thickTop="1" thickBot="1">
      <c r="C72" s="605" t="s">
        <v>264</v>
      </c>
      <c r="D72" s="606">
        <v>2</v>
      </c>
      <c r="E72" s="607" t="s">
        <v>248</v>
      </c>
      <c r="F72" s="606">
        <f>Assumptions!D70</f>
        <v>122</v>
      </c>
      <c r="G72" s="607" t="s">
        <v>249</v>
      </c>
      <c r="H72" s="608">
        <v>2</v>
      </c>
      <c r="I72" s="608">
        <f t="shared" si="11"/>
        <v>488</v>
      </c>
      <c r="J72" s="609"/>
      <c r="K72" s="608">
        <f>$I72*J$64*L$16</f>
        <v>0</v>
      </c>
      <c r="M72" s="609"/>
      <c r="N72" s="608">
        <f>$I72*M$64*O$16</f>
        <v>5075.2</v>
      </c>
      <c r="O72" s="610"/>
      <c r="P72" s="609"/>
      <c r="Q72" s="608">
        <f>$I72*P$64*R$16</f>
        <v>6333.8496000000005</v>
      </c>
      <c r="R72" s="610"/>
      <c r="S72" s="609"/>
      <c r="T72" s="608">
        <f>$I72*S$64*U$16</f>
        <v>5489.3363200000003</v>
      </c>
      <c r="U72" s="610"/>
      <c r="V72" s="598">
        <v>0</v>
      </c>
      <c r="X72" s="573"/>
    </row>
    <row r="73" spans="1:24" ht="15.9" thickTop="1" thickBot="1">
      <c r="C73" s="605" t="s">
        <v>265</v>
      </c>
      <c r="D73" s="606">
        <v>2</v>
      </c>
      <c r="E73" s="607" t="s">
        <v>248</v>
      </c>
      <c r="F73" s="606">
        <f>partmeals</f>
        <v>47</v>
      </c>
      <c r="G73" s="607" t="s">
        <v>249</v>
      </c>
      <c r="H73" s="608">
        <v>2</v>
      </c>
      <c r="I73" s="608">
        <f t="shared" si="11"/>
        <v>188</v>
      </c>
      <c r="J73" s="609"/>
      <c r="K73" s="608">
        <f>$I73*J$64*L$16</f>
        <v>0</v>
      </c>
      <c r="M73" s="609"/>
      <c r="N73" s="608">
        <f>$I73*M$64*O$16</f>
        <v>1955.2</v>
      </c>
      <c r="O73" s="610"/>
      <c r="P73" s="609"/>
      <c r="Q73" s="608">
        <f>$I73*P$64*R$16</f>
        <v>2440.0896000000002</v>
      </c>
      <c r="R73" s="610"/>
      <c r="S73" s="609"/>
      <c r="T73" s="608">
        <f>$I73*S$64*U$16</f>
        <v>2114.7443200000002</v>
      </c>
      <c r="U73" s="610"/>
      <c r="V73" s="598">
        <v>0</v>
      </c>
      <c r="X73" s="573"/>
    </row>
    <row r="74" spans="1:24">
      <c r="C74" s="1072" t="s">
        <v>278</v>
      </c>
      <c r="D74" s="608"/>
      <c r="E74" s="607"/>
      <c r="F74" s="606"/>
      <c r="G74" s="607"/>
      <c r="H74" s="608"/>
      <c r="I74" s="608"/>
      <c r="J74" s="609"/>
      <c r="K74" s="608"/>
      <c r="M74" s="609"/>
      <c r="N74" s="608"/>
      <c r="O74" s="610"/>
      <c r="P74" s="609"/>
      <c r="Q74" s="608"/>
      <c r="R74" s="610"/>
      <c r="S74" s="609"/>
      <c r="T74" s="608"/>
      <c r="U74" s="610"/>
      <c r="V74" s="598">
        <f t="shared" si="10"/>
        <v>0</v>
      </c>
      <c r="X74" s="573"/>
    </row>
    <row r="75" spans="1:24">
      <c r="C75" s="1073" t="s">
        <v>266</v>
      </c>
      <c r="D75" s="606">
        <v>1</v>
      </c>
      <c r="E75" s="607" t="s">
        <v>248</v>
      </c>
      <c r="F75" s="606">
        <f>partground</f>
        <v>9</v>
      </c>
      <c r="G75" s="607" t="s">
        <v>262</v>
      </c>
      <c r="H75" s="608">
        <v>2</v>
      </c>
      <c r="I75" s="608">
        <f t="shared" ref="I75:I77" si="12">D75*F75*H75</f>
        <v>18</v>
      </c>
      <c r="J75" s="609"/>
      <c r="K75" s="608">
        <f>$I75*J$64*L$16</f>
        <v>0</v>
      </c>
      <c r="M75" s="609"/>
      <c r="N75" s="608">
        <f>$I75*M$64*O$16</f>
        <v>187.20000000000002</v>
      </c>
      <c r="O75" s="610"/>
      <c r="P75" s="609"/>
      <c r="Q75" s="608">
        <f>$I75*P$64*R$16</f>
        <v>233.62560000000002</v>
      </c>
      <c r="R75" s="610"/>
      <c r="S75" s="609"/>
      <c r="T75" s="608">
        <f>$I75*S$64*U$16</f>
        <v>202.47552000000002</v>
      </c>
      <c r="U75" s="610"/>
      <c r="V75" s="598">
        <v>0</v>
      </c>
      <c r="X75" s="573"/>
    </row>
    <row r="76" spans="1:24">
      <c r="C76" s="1073" t="s">
        <v>267</v>
      </c>
      <c r="D76" s="606">
        <v>1</v>
      </c>
      <c r="E76" s="607" t="s">
        <v>248</v>
      </c>
      <c r="F76" s="606">
        <f>partground</f>
        <v>9</v>
      </c>
      <c r="G76" s="607" t="s">
        <v>249</v>
      </c>
      <c r="H76" s="608">
        <v>1</v>
      </c>
      <c r="I76" s="608">
        <f t="shared" si="12"/>
        <v>9</v>
      </c>
      <c r="J76" s="609"/>
      <c r="K76" s="608">
        <f>$I76*J$64*L$16</f>
        <v>0</v>
      </c>
      <c r="M76" s="609"/>
      <c r="N76" s="608">
        <f>$I76*M$64*O$16</f>
        <v>93.600000000000009</v>
      </c>
      <c r="O76" s="610"/>
      <c r="P76" s="609"/>
      <c r="Q76" s="608">
        <f>$I76*P$64*R$16</f>
        <v>116.81280000000001</v>
      </c>
      <c r="R76" s="610"/>
      <c r="S76" s="609"/>
      <c r="T76" s="608">
        <f>$I76*S$64*U$16</f>
        <v>101.23776000000001</v>
      </c>
      <c r="U76" s="610"/>
      <c r="V76" s="598">
        <v>0</v>
      </c>
      <c r="X76" s="573"/>
    </row>
    <row r="77" spans="1:24">
      <c r="C77" s="1073" t="s">
        <v>265</v>
      </c>
      <c r="D77" s="606">
        <v>1</v>
      </c>
      <c r="E77" s="607" t="s">
        <v>248</v>
      </c>
      <c r="F77" s="606">
        <f>partmeals</f>
        <v>47</v>
      </c>
      <c r="G77" s="607" t="s">
        <v>249</v>
      </c>
      <c r="H77" s="608">
        <v>2</v>
      </c>
      <c r="I77" s="608">
        <f t="shared" si="12"/>
        <v>94</v>
      </c>
      <c r="J77" s="609"/>
      <c r="K77" s="608">
        <f>$I77*J$64*L$16</f>
        <v>0</v>
      </c>
      <c r="M77" s="609"/>
      <c r="N77" s="608">
        <f>$I77*M$64*O$16</f>
        <v>977.6</v>
      </c>
      <c r="O77" s="610"/>
      <c r="P77" s="609"/>
      <c r="Q77" s="608">
        <f>$I77*P$64*R$16</f>
        <v>1220.0448000000001</v>
      </c>
      <c r="R77" s="610"/>
      <c r="S77" s="609"/>
      <c r="T77" s="608">
        <f>$I77*S$64*U$16</f>
        <v>1057.3721600000001</v>
      </c>
      <c r="U77" s="610"/>
      <c r="V77" s="598">
        <v>0</v>
      </c>
      <c r="X77" s="573"/>
    </row>
    <row r="78" spans="1:24">
      <c r="C78" s="605"/>
      <c r="D78" s="608"/>
      <c r="E78" s="608"/>
      <c r="F78" s="608"/>
      <c r="G78" s="608"/>
      <c r="H78" s="608"/>
      <c r="I78" s="608"/>
      <c r="J78" s="609"/>
      <c r="K78" s="608"/>
      <c r="M78" s="609"/>
      <c r="N78" s="608"/>
      <c r="O78" s="610"/>
      <c r="P78" s="609"/>
      <c r="Q78" s="608"/>
      <c r="R78" s="610"/>
      <c r="S78" s="609"/>
      <c r="T78" s="608"/>
      <c r="U78" s="610"/>
      <c r="V78" s="611"/>
      <c r="X78" s="573"/>
    </row>
    <row r="79" spans="1:24">
      <c r="C79" s="621" t="s">
        <v>269</v>
      </c>
      <c r="D79" s="622"/>
      <c r="E79" s="622"/>
      <c r="F79" s="623"/>
      <c r="G79" s="1410">
        <f>SUM(N65:T78)</f>
        <v>65966.035199999998</v>
      </c>
      <c r="H79" s="1410"/>
      <c r="I79" s="624"/>
      <c r="J79" s="625"/>
      <c r="K79" s="625"/>
      <c r="L79" s="601"/>
      <c r="M79" s="625"/>
      <c r="N79" s="625"/>
      <c r="O79" s="601"/>
      <c r="P79" s="625"/>
      <c r="Q79" s="625"/>
      <c r="R79" s="601"/>
      <c r="S79" s="625"/>
      <c r="T79" s="625"/>
      <c r="U79" s="601"/>
      <c r="V79" s="626"/>
      <c r="X79" s="573"/>
    </row>
    <row r="80" spans="1:24" ht="13.5" customHeight="1" thickBot="1">
      <c r="C80" s="569"/>
      <c r="D80" s="627"/>
      <c r="E80" s="627"/>
      <c r="F80" s="627"/>
      <c r="G80" s="627"/>
      <c r="H80" s="627"/>
      <c r="I80" s="592"/>
      <c r="J80" s="592"/>
      <c r="K80" s="592"/>
      <c r="L80" s="592"/>
      <c r="M80" s="592"/>
      <c r="N80" s="592"/>
      <c r="O80" s="592"/>
      <c r="P80" s="592"/>
      <c r="Q80" s="592"/>
      <c r="R80" s="592"/>
      <c r="S80" s="592"/>
      <c r="T80" s="592"/>
      <c r="U80" s="592"/>
      <c r="V80" s="593"/>
      <c r="X80" s="573"/>
    </row>
    <row r="81" spans="1:24" ht="19.899999999999999" customHeight="1" thickTop="1">
      <c r="C81" s="1415" t="s">
        <v>150</v>
      </c>
      <c r="D81" s="1415"/>
      <c r="E81" s="1415"/>
      <c r="F81" s="1415"/>
      <c r="G81" s="1415"/>
      <c r="H81" s="594">
        <v>1</v>
      </c>
      <c r="I81" s="595"/>
      <c r="J81" s="1405"/>
      <c r="K81" s="1405"/>
      <c r="L81" s="596">
        <f>SUM(K83)</f>
        <v>0</v>
      </c>
      <c r="M81" s="1407">
        <v>1</v>
      </c>
      <c r="N81" s="1407"/>
      <c r="O81" s="597">
        <f>SUM(N83)</f>
        <v>52000</v>
      </c>
      <c r="P81" s="1407">
        <v>1</v>
      </c>
      <c r="Q81" s="1407"/>
      <c r="R81" s="597">
        <f>SUM(Q83)</f>
        <v>0</v>
      </c>
      <c r="S81" s="1409">
        <v>1</v>
      </c>
      <c r="T81" s="1409"/>
      <c r="U81" s="597">
        <f>SUM(T83)</f>
        <v>0</v>
      </c>
      <c r="V81" s="598">
        <f>SUM(L81,O81,R81,U81,)</f>
        <v>52000</v>
      </c>
      <c r="X81" s="573"/>
    </row>
    <row r="82" spans="1:24" ht="15.6" thickBot="1">
      <c r="C82" s="599" t="s">
        <v>270</v>
      </c>
      <c r="D82" s="600"/>
      <c r="E82" s="600"/>
      <c r="F82" s="600"/>
      <c r="G82" s="601"/>
      <c r="H82" s="600"/>
      <c r="I82" s="600"/>
      <c r="J82" s="602"/>
      <c r="K82" s="600"/>
      <c r="L82" s="601"/>
      <c r="M82" s="602"/>
      <c r="N82" s="600"/>
      <c r="O82" s="603"/>
      <c r="P82" s="602"/>
      <c r="Q82" s="600"/>
      <c r="R82" s="603"/>
      <c r="S82" s="602"/>
      <c r="T82" s="600"/>
      <c r="U82" s="603"/>
      <c r="V82" s="604"/>
      <c r="X82" s="573"/>
    </row>
    <row r="83" spans="1:24" ht="15.9" thickTop="1" thickBot="1">
      <c r="A83" s="1010" t="s">
        <v>279</v>
      </c>
      <c r="B83" s="1010">
        <v>81010</v>
      </c>
      <c r="C83" s="605" t="s">
        <v>280</v>
      </c>
      <c r="D83" s="606">
        <v>1</v>
      </c>
      <c r="E83" s="607" t="s">
        <v>272</v>
      </c>
      <c r="F83" s="606">
        <v>50000</v>
      </c>
      <c r="G83" s="607" t="s">
        <v>281</v>
      </c>
      <c r="H83" s="606">
        <v>0</v>
      </c>
      <c r="I83" s="608">
        <f t="shared" ref="I83:I92" si="13">D83*F83*H83</f>
        <v>0</v>
      </c>
      <c r="J83" s="609"/>
      <c r="K83" s="608">
        <v>0</v>
      </c>
      <c r="M83" s="609"/>
      <c r="N83" s="608">
        <f>$F83*M81*O$16</f>
        <v>52000</v>
      </c>
      <c r="O83" s="610"/>
      <c r="P83" s="609"/>
      <c r="Q83" s="608">
        <f>$I83*P81*R$16</f>
        <v>0</v>
      </c>
      <c r="R83" s="610"/>
      <c r="S83" s="609"/>
      <c r="T83" s="608">
        <f>$I83*S81*U$16</f>
        <v>0</v>
      </c>
      <c r="U83" s="610"/>
      <c r="V83" s="598">
        <f t="shared" ref="V83:V84" si="14">T83+Q83+N83+K83</f>
        <v>52000</v>
      </c>
      <c r="X83" s="573"/>
    </row>
    <row r="84" spans="1:24" ht="15.9" thickTop="1" thickBot="1">
      <c r="C84" s="613" t="s">
        <v>282</v>
      </c>
      <c r="D84" s="608"/>
      <c r="E84" s="614"/>
      <c r="F84" s="608"/>
      <c r="G84" s="608"/>
      <c r="H84" s="608"/>
      <c r="I84" s="608"/>
      <c r="J84" s="609"/>
      <c r="K84" s="608"/>
      <c r="M84" s="609"/>
      <c r="N84" s="608"/>
      <c r="O84" s="610"/>
      <c r="P84" s="609"/>
      <c r="Q84" s="608"/>
      <c r="R84" s="610"/>
      <c r="S84" s="609"/>
      <c r="T84" s="608"/>
      <c r="U84" s="610"/>
      <c r="V84" s="598">
        <f t="shared" si="14"/>
        <v>0</v>
      </c>
      <c r="X84" s="573"/>
    </row>
    <row r="85" spans="1:24">
      <c r="C85" s="605" t="s">
        <v>261</v>
      </c>
      <c r="D85" s="606">
        <v>2</v>
      </c>
      <c r="E85" s="607" t="s">
        <v>248</v>
      </c>
      <c r="F85" s="1074">
        <f>Assumptions!D73</f>
        <v>195</v>
      </c>
      <c r="G85" s="607" t="s">
        <v>262</v>
      </c>
      <c r="H85" s="608">
        <f>IF(D85=0,0,1)</f>
        <v>1</v>
      </c>
      <c r="I85" s="608">
        <f t="shared" si="13"/>
        <v>390</v>
      </c>
      <c r="J85" s="609"/>
      <c r="K85" s="974">
        <f>$I85*$J$81*L$16</f>
        <v>0</v>
      </c>
      <c r="M85" s="609"/>
      <c r="N85" s="608">
        <f>$I85*$M$81*O$16</f>
        <v>405.6</v>
      </c>
      <c r="O85" s="610"/>
      <c r="P85" s="609"/>
      <c r="Q85" s="608">
        <f>$I85*$P$81*R$16</f>
        <v>421.82400000000007</v>
      </c>
      <c r="R85" s="610"/>
      <c r="S85" s="609"/>
      <c r="T85" s="608">
        <f>$I85*$S$81*U$16</f>
        <v>438.69696000000005</v>
      </c>
      <c r="U85" s="610"/>
      <c r="V85" s="598">
        <v>0</v>
      </c>
      <c r="X85" s="573"/>
    </row>
    <row r="86" spans="1:24" ht="15.9" thickTop="1" thickBot="1">
      <c r="C86" s="605" t="s">
        <v>263</v>
      </c>
      <c r="D86" s="606">
        <v>2</v>
      </c>
      <c r="E86" s="607" t="s">
        <v>248</v>
      </c>
      <c r="F86" s="606">
        <f>partground</f>
        <v>9</v>
      </c>
      <c r="G86" s="607" t="s">
        <v>249</v>
      </c>
      <c r="H86" s="608">
        <f>IF(D86=0,0,1)</f>
        <v>1</v>
      </c>
      <c r="I86" s="608">
        <f t="shared" si="13"/>
        <v>18</v>
      </c>
      <c r="J86" s="609"/>
      <c r="K86" s="974">
        <f>$I86*$J$81*L$16</f>
        <v>0</v>
      </c>
      <c r="M86" s="609"/>
      <c r="N86" s="608">
        <f>$I86*$M$81*O$16</f>
        <v>18.72</v>
      </c>
      <c r="O86" s="610"/>
      <c r="P86" s="609"/>
      <c r="Q86" s="608">
        <f>$I86*$P$81*R$16</f>
        <v>19.468800000000002</v>
      </c>
      <c r="R86" s="610"/>
      <c r="S86" s="609"/>
      <c r="T86" s="608">
        <f>$I86*$S$81*U$16</f>
        <v>20.247552000000002</v>
      </c>
      <c r="U86" s="610"/>
      <c r="V86" s="598">
        <v>0</v>
      </c>
      <c r="X86" s="573"/>
    </row>
    <row r="87" spans="1:24" ht="15.9" thickTop="1" thickBot="1">
      <c r="C87" s="605" t="s">
        <v>264</v>
      </c>
      <c r="D87" s="606">
        <v>2</v>
      </c>
      <c r="E87" s="607" t="s">
        <v>248</v>
      </c>
      <c r="F87" s="606">
        <f>Assumptions!D70</f>
        <v>122</v>
      </c>
      <c r="G87" s="607" t="s">
        <v>249</v>
      </c>
      <c r="H87" s="608">
        <v>2</v>
      </c>
      <c r="I87" s="608">
        <f t="shared" si="13"/>
        <v>488</v>
      </c>
      <c r="J87" s="609"/>
      <c r="K87" s="974">
        <f>$I87*$J$81*L$16</f>
        <v>0</v>
      </c>
      <c r="M87" s="609"/>
      <c r="N87" s="608">
        <f>$I87*$M$81*O$16</f>
        <v>507.52000000000004</v>
      </c>
      <c r="O87" s="610"/>
      <c r="P87" s="609"/>
      <c r="Q87" s="608">
        <f>$I87*$P$81*R$16</f>
        <v>527.82080000000008</v>
      </c>
      <c r="R87" s="610"/>
      <c r="S87" s="609"/>
      <c r="T87" s="608">
        <f>$I87*$S$81*U$16</f>
        <v>548.93363199999999</v>
      </c>
      <c r="U87" s="610"/>
      <c r="V87" s="598">
        <v>0</v>
      </c>
      <c r="X87" s="573"/>
    </row>
    <row r="88" spans="1:24" ht="15.9" thickTop="1" thickBot="1">
      <c r="C88" s="605" t="s">
        <v>265</v>
      </c>
      <c r="D88" s="606">
        <v>2</v>
      </c>
      <c r="E88" s="607" t="s">
        <v>248</v>
      </c>
      <c r="F88" s="606">
        <f>partmeals</f>
        <v>47</v>
      </c>
      <c r="G88" s="607" t="s">
        <v>249</v>
      </c>
      <c r="H88" s="608">
        <v>2</v>
      </c>
      <c r="I88" s="608">
        <f t="shared" si="13"/>
        <v>188</v>
      </c>
      <c r="J88" s="609"/>
      <c r="K88" s="974">
        <f>$I88*$J$81*L$16</f>
        <v>0</v>
      </c>
      <c r="M88" s="609"/>
      <c r="N88" s="608">
        <f>$I88*$M$81*O$16</f>
        <v>195.52</v>
      </c>
      <c r="O88" s="610"/>
      <c r="P88" s="609"/>
      <c r="Q88" s="608">
        <f>$I88*$P$81*R$16</f>
        <v>203.34080000000003</v>
      </c>
      <c r="R88" s="610"/>
      <c r="S88" s="609"/>
      <c r="T88" s="608">
        <f>$I88*$S$81*U$16</f>
        <v>211.47443200000001</v>
      </c>
      <c r="U88" s="610"/>
      <c r="V88" s="598">
        <v>0</v>
      </c>
      <c r="X88" s="573"/>
    </row>
    <row r="89" spans="1:24" ht="15.9" thickTop="1" thickBot="1">
      <c r="C89" s="613" t="str">
        <f>C84</f>
        <v>Staff from outside site</v>
      </c>
      <c r="D89" s="608"/>
      <c r="E89" s="614"/>
      <c r="F89" s="608"/>
      <c r="G89" s="608"/>
      <c r="H89" s="608"/>
      <c r="I89" s="608"/>
      <c r="J89" s="609"/>
      <c r="K89" s="974"/>
      <c r="M89" s="609"/>
      <c r="N89" s="608"/>
      <c r="O89" s="878"/>
      <c r="P89" s="609"/>
      <c r="Q89" s="608"/>
      <c r="R89" s="878"/>
      <c r="S89" s="609"/>
      <c r="T89" s="608"/>
      <c r="U89" s="610"/>
      <c r="V89" s="598"/>
      <c r="X89" s="573"/>
    </row>
    <row r="90" spans="1:24" ht="15.9" thickTop="1" thickBot="1">
      <c r="C90" s="605" t="s">
        <v>266</v>
      </c>
      <c r="D90" s="606">
        <v>2</v>
      </c>
      <c r="E90" s="607" t="s">
        <v>248</v>
      </c>
      <c r="F90" s="606">
        <f>partground</f>
        <v>9</v>
      </c>
      <c r="G90" s="607" t="s">
        <v>262</v>
      </c>
      <c r="H90" s="608">
        <v>2</v>
      </c>
      <c r="I90" s="608">
        <f t="shared" si="13"/>
        <v>36</v>
      </c>
      <c r="J90" s="609"/>
      <c r="K90" s="974">
        <f>$I90*J$81*L$16</f>
        <v>0</v>
      </c>
      <c r="M90" s="609"/>
      <c r="N90" s="608">
        <f>$I90*M$81*O$16</f>
        <v>37.44</v>
      </c>
      <c r="O90" s="610"/>
      <c r="P90" s="609"/>
      <c r="Q90" s="608">
        <f>$I90*P$81*R$16</f>
        <v>38.937600000000003</v>
      </c>
      <c r="R90" s="610"/>
      <c r="S90" s="609"/>
      <c r="T90" s="608">
        <f>$I90*S$81*U$16</f>
        <v>40.495104000000005</v>
      </c>
      <c r="U90" s="610"/>
      <c r="V90" s="598">
        <v>0</v>
      </c>
      <c r="X90" s="573"/>
    </row>
    <row r="91" spans="1:24" ht="15.9" thickTop="1" thickBot="1">
      <c r="C91" s="605" t="s">
        <v>267</v>
      </c>
      <c r="D91" s="606">
        <v>2</v>
      </c>
      <c r="E91" s="607" t="s">
        <v>248</v>
      </c>
      <c r="F91" s="606">
        <f>partground</f>
        <v>9</v>
      </c>
      <c r="G91" s="607" t="s">
        <v>249</v>
      </c>
      <c r="H91" s="608">
        <v>2</v>
      </c>
      <c r="I91" s="608">
        <f t="shared" si="13"/>
        <v>36</v>
      </c>
      <c r="J91" s="609"/>
      <c r="K91" s="974">
        <f>$I91*J$81*L$16</f>
        <v>0</v>
      </c>
      <c r="M91" s="609"/>
      <c r="N91" s="608">
        <f>$I91*M$81*O$16</f>
        <v>37.44</v>
      </c>
      <c r="O91" s="610"/>
      <c r="P91" s="609"/>
      <c r="Q91" s="608">
        <f>$I91*P$81*R$16</f>
        <v>38.937600000000003</v>
      </c>
      <c r="R91" s="610"/>
      <c r="S91" s="609"/>
      <c r="T91" s="608">
        <f>$I91*S$81*U$16</f>
        <v>40.495104000000005</v>
      </c>
      <c r="U91" s="610"/>
      <c r="V91" s="598">
        <v>0</v>
      </c>
      <c r="X91" s="573"/>
    </row>
    <row r="92" spans="1:24" ht="15.6" thickTop="1">
      <c r="C92" s="605" t="s">
        <v>265</v>
      </c>
      <c r="D92" s="606">
        <v>2</v>
      </c>
      <c r="E92" s="607" t="s">
        <v>248</v>
      </c>
      <c r="F92" s="606">
        <f>partmeals</f>
        <v>47</v>
      </c>
      <c r="G92" s="607" t="s">
        <v>249</v>
      </c>
      <c r="H92" s="608">
        <v>2</v>
      </c>
      <c r="I92" s="608">
        <f t="shared" si="13"/>
        <v>188</v>
      </c>
      <c r="J92" s="609"/>
      <c r="K92" s="974">
        <f>$I92*J$81*L$16</f>
        <v>0</v>
      </c>
      <c r="M92" s="609"/>
      <c r="N92" s="608">
        <f>$I92*M$81*O$16</f>
        <v>195.52</v>
      </c>
      <c r="O92" s="610"/>
      <c r="P92" s="609"/>
      <c r="Q92" s="608">
        <f>$I92*P$81*R$16</f>
        <v>203.34080000000003</v>
      </c>
      <c r="R92" s="610"/>
      <c r="S92" s="609"/>
      <c r="T92" s="608">
        <f>$I92*S$81*U$16</f>
        <v>211.47443200000001</v>
      </c>
      <c r="U92" s="610"/>
      <c r="V92" s="598">
        <v>0</v>
      </c>
      <c r="X92" s="573"/>
    </row>
    <row r="93" spans="1:24">
      <c r="C93" s="605"/>
      <c r="D93" s="608"/>
      <c r="E93" s="608"/>
      <c r="F93" s="608"/>
      <c r="G93" s="608"/>
      <c r="H93" s="608"/>
      <c r="I93" s="608"/>
      <c r="J93" s="609"/>
      <c r="K93" s="608">
        <f>$I93*$J$81*L$16</f>
        <v>0</v>
      </c>
      <c r="M93" s="609"/>
      <c r="N93" s="608">
        <f>$I93*$M$81*O$16</f>
        <v>0</v>
      </c>
      <c r="O93" s="610"/>
      <c r="P93" s="609"/>
      <c r="Q93" s="608">
        <f>$I93*$P$81*R$16</f>
        <v>0</v>
      </c>
      <c r="R93" s="610"/>
      <c r="S93" s="609"/>
      <c r="T93" s="608"/>
      <c r="U93" s="610"/>
      <c r="V93" s="611"/>
      <c r="X93" s="573"/>
    </row>
    <row r="94" spans="1:24">
      <c r="C94" s="621" t="s">
        <v>269</v>
      </c>
      <c r="D94" s="622"/>
      <c r="E94" s="622"/>
      <c r="F94" s="623"/>
      <c r="G94" s="1410">
        <f>SUM(I82:I93)</f>
        <v>1344</v>
      </c>
      <c r="H94" s="1410"/>
      <c r="I94" s="624"/>
      <c r="J94" s="625"/>
      <c r="K94" s="625"/>
      <c r="L94" s="601"/>
      <c r="M94" s="625"/>
      <c r="N94" s="625"/>
      <c r="O94" s="601"/>
      <c r="P94" s="625"/>
      <c r="Q94" s="625"/>
      <c r="R94" s="601"/>
      <c r="S94" s="625"/>
      <c r="T94" s="625"/>
      <c r="U94" s="601"/>
      <c r="V94" s="626"/>
      <c r="X94" s="573"/>
    </row>
    <row r="95" spans="1:24" ht="13.5" customHeight="1" thickBot="1">
      <c r="C95" s="569"/>
      <c r="D95" s="627"/>
      <c r="E95" s="627"/>
      <c r="F95" s="627"/>
      <c r="G95" s="627"/>
      <c r="H95" s="627"/>
      <c r="I95" s="592"/>
      <c r="J95" s="592"/>
      <c r="K95" s="592"/>
      <c r="L95" s="592"/>
      <c r="M95" s="592"/>
      <c r="N95" s="592"/>
      <c r="O95" s="592"/>
      <c r="P95" s="592"/>
      <c r="Q95" s="592"/>
      <c r="R95" s="592"/>
      <c r="S95" s="592"/>
      <c r="T95" s="592"/>
      <c r="U95" s="592"/>
      <c r="V95" s="593"/>
      <c r="X95" s="573"/>
    </row>
    <row r="96" spans="1:24" ht="32.25" customHeight="1" thickTop="1">
      <c r="C96" s="1421" t="s">
        <v>151</v>
      </c>
      <c r="D96" s="1421"/>
      <c r="E96" s="1421"/>
      <c r="F96" s="1421"/>
      <c r="G96" s="1421"/>
      <c r="H96" s="594">
        <v>1</v>
      </c>
      <c r="I96" s="595"/>
      <c r="J96" s="1405"/>
      <c r="K96" s="1405"/>
      <c r="L96" s="596">
        <f>SUM(K98:K100)</f>
        <v>0</v>
      </c>
      <c r="M96" s="1407">
        <v>0</v>
      </c>
      <c r="N96" s="1407"/>
      <c r="O96" s="597">
        <f>SUM(N98:N100)</f>
        <v>0</v>
      </c>
      <c r="P96" s="1407">
        <v>0</v>
      </c>
      <c r="Q96" s="1407"/>
      <c r="R96" s="597">
        <f>SUM(Q98:Q100)</f>
        <v>0</v>
      </c>
      <c r="S96" s="1409">
        <v>6</v>
      </c>
      <c r="T96" s="1409"/>
      <c r="U96" s="597">
        <f>SUM(T98:T100)</f>
        <v>2125.99296</v>
      </c>
      <c r="V96" s="598">
        <f>SUM(L96,O96,R96,U96,)</f>
        <v>2125.99296</v>
      </c>
      <c r="X96" s="573"/>
    </row>
    <row r="97" spans="1:24" ht="15.6" thickBot="1">
      <c r="C97" s="599" t="s">
        <v>283</v>
      </c>
      <c r="D97" s="600"/>
      <c r="E97" s="600"/>
      <c r="F97" s="600"/>
      <c r="G97" s="601"/>
      <c r="H97" s="600"/>
      <c r="I97" s="600"/>
      <c r="J97" s="602"/>
      <c r="K97" s="600"/>
      <c r="L97" s="601"/>
      <c r="M97" s="602"/>
      <c r="N97" s="600"/>
      <c r="O97" s="603"/>
      <c r="P97" s="602"/>
      <c r="Q97" s="600"/>
      <c r="R97" s="603"/>
      <c r="S97" s="602"/>
      <c r="T97" s="600"/>
      <c r="U97" s="603"/>
      <c r="V97" s="604"/>
      <c r="X97" s="573"/>
    </row>
    <row r="98" spans="1:24" ht="15.9" thickTop="1" thickBot="1">
      <c r="A98" s="1010" t="s">
        <v>246</v>
      </c>
      <c r="B98" s="1010">
        <v>86000</v>
      </c>
      <c r="C98" s="605" t="s">
        <v>247</v>
      </c>
      <c r="D98" s="606">
        <v>15</v>
      </c>
      <c r="E98" s="607" t="s">
        <v>248</v>
      </c>
      <c r="F98" s="606">
        <f>parttransp</f>
        <v>4</v>
      </c>
      <c r="G98" s="607" t="s">
        <v>249</v>
      </c>
      <c r="H98" s="608">
        <f>IF(D98=0,0,H96)</f>
        <v>1</v>
      </c>
      <c r="I98" s="608">
        <f t="shared" ref="I98:I100" si="15">D98*F98*H98</f>
        <v>60</v>
      </c>
      <c r="J98" s="609"/>
      <c r="K98" s="608">
        <f>$I98*J96*L$16</f>
        <v>0</v>
      </c>
      <c r="M98" s="609"/>
      <c r="N98" s="608">
        <f>$I98*M96*O$16</f>
        <v>0</v>
      </c>
      <c r="O98" s="610"/>
      <c r="P98" s="609"/>
      <c r="Q98" s="608">
        <f>$I98*P96*R$16</f>
        <v>0</v>
      </c>
      <c r="R98" s="610"/>
      <c r="S98" s="609"/>
      <c r="T98" s="608">
        <f>$I98*S96*U$16</f>
        <v>404.95104000000003</v>
      </c>
      <c r="U98" s="610"/>
      <c r="V98" s="598">
        <f t="shared" ref="V98:V101" si="16">T98+Q98+N98+K98</f>
        <v>404.95104000000003</v>
      </c>
      <c r="X98" s="573"/>
    </row>
    <row r="99" spans="1:24" ht="15.9" thickTop="1" thickBot="1">
      <c r="A99" s="1010" t="s">
        <v>250</v>
      </c>
      <c r="B99" s="1010">
        <v>87000</v>
      </c>
      <c r="C99" s="605" t="s">
        <v>251</v>
      </c>
      <c r="D99" s="606">
        <v>15</v>
      </c>
      <c r="E99" s="607" t="s">
        <v>248</v>
      </c>
      <c r="F99" s="606">
        <f>coffee+lunch</f>
        <v>16</v>
      </c>
      <c r="G99" s="607" t="s">
        <v>249</v>
      </c>
      <c r="H99" s="608">
        <f>IF(D99=0,0,H96)</f>
        <v>1</v>
      </c>
      <c r="I99" s="608">
        <f t="shared" si="15"/>
        <v>240</v>
      </c>
      <c r="J99" s="609"/>
      <c r="K99" s="608">
        <f>$I99*J96*L$16</f>
        <v>0</v>
      </c>
      <c r="M99" s="609"/>
      <c r="N99" s="608">
        <f>$I99*M96*O$16</f>
        <v>0</v>
      </c>
      <c r="O99" s="610"/>
      <c r="P99" s="609"/>
      <c r="Q99" s="608">
        <f>$I99*P96*R$16</f>
        <v>0</v>
      </c>
      <c r="R99" s="610"/>
      <c r="S99" s="609"/>
      <c r="T99" s="608">
        <f>$I99*S96*U$16</f>
        <v>1619.8041600000001</v>
      </c>
      <c r="U99" s="610"/>
      <c r="V99" s="598">
        <f t="shared" si="16"/>
        <v>1619.8041600000001</v>
      </c>
      <c r="X99" s="573"/>
    </row>
    <row r="100" spans="1:24" ht="15.9" thickTop="1" thickBot="1">
      <c r="A100" s="1010" t="s">
        <v>275</v>
      </c>
      <c r="B100" s="1010">
        <v>85300</v>
      </c>
      <c r="C100" s="605" t="s">
        <v>276</v>
      </c>
      <c r="D100" s="606">
        <v>1</v>
      </c>
      <c r="E100" s="607" t="s">
        <v>277</v>
      </c>
      <c r="F100" s="606">
        <v>15</v>
      </c>
      <c r="G100" s="612" t="str">
        <f>E100</f>
        <v>activity</v>
      </c>
      <c r="H100" s="608">
        <f>IF(D100=0,0,1)</f>
        <v>1</v>
      </c>
      <c r="I100" s="608">
        <f t="shared" si="15"/>
        <v>15</v>
      </c>
      <c r="J100" s="609"/>
      <c r="K100" s="608">
        <f>$I100*J96*L$16</f>
        <v>0</v>
      </c>
      <c r="M100" s="609"/>
      <c r="N100" s="608">
        <f>$I100*M96*O$16</f>
        <v>0</v>
      </c>
      <c r="O100" s="610"/>
      <c r="P100" s="609"/>
      <c r="Q100" s="608">
        <f>$I100*P96*R$16</f>
        <v>0</v>
      </c>
      <c r="R100" s="610"/>
      <c r="S100" s="609"/>
      <c r="T100" s="608">
        <f>$I100*S96*U$16</f>
        <v>101.23776000000001</v>
      </c>
      <c r="U100" s="610"/>
      <c r="V100" s="598">
        <f t="shared" si="16"/>
        <v>101.23776000000001</v>
      </c>
      <c r="X100" s="573"/>
    </row>
    <row r="101" spans="1:24" ht="15.9" thickTop="1" thickBot="1">
      <c r="C101" s="613" t="s">
        <v>282</v>
      </c>
      <c r="D101" s="608"/>
      <c r="E101" s="614"/>
      <c r="F101" s="608"/>
      <c r="G101" s="608"/>
      <c r="H101" s="608"/>
      <c r="I101" s="608"/>
      <c r="J101" s="609"/>
      <c r="K101" s="608"/>
      <c r="M101" s="609"/>
      <c r="N101" s="608"/>
      <c r="O101" s="610"/>
      <c r="P101" s="609"/>
      <c r="Q101" s="608"/>
      <c r="R101" s="610"/>
      <c r="S101" s="609"/>
      <c r="T101" s="608"/>
      <c r="U101" s="610"/>
      <c r="V101" s="598">
        <f t="shared" si="16"/>
        <v>0</v>
      </c>
      <c r="X101" s="573"/>
    </row>
    <row r="102" spans="1:24">
      <c r="C102" s="605" t="s">
        <v>261</v>
      </c>
      <c r="D102" s="606">
        <v>2</v>
      </c>
      <c r="E102" s="607" t="s">
        <v>248</v>
      </c>
      <c r="F102" s="1074">
        <f>Assumptions!D73</f>
        <v>195</v>
      </c>
      <c r="G102" s="607" t="s">
        <v>262</v>
      </c>
      <c r="H102" s="1075">
        <v>3</v>
      </c>
      <c r="I102" s="608">
        <f>D102*F102*H102</f>
        <v>1170</v>
      </c>
      <c r="J102" s="609"/>
      <c r="K102" s="608"/>
      <c r="M102" s="609"/>
      <c r="N102" s="608">
        <v>0</v>
      </c>
      <c r="O102" s="610"/>
      <c r="P102" s="609"/>
      <c r="Q102" s="608">
        <v>0</v>
      </c>
      <c r="R102" s="610"/>
      <c r="S102" s="609"/>
      <c r="T102" s="608">
        <f>$I102*1*U$16</f>
        <v>1316.0908800000002</v>
      </c>
      <c r="U102" s="610"/>
      <c r="V102" s="598">
        <v>0</v>
      </c>
      <c r="X102" s="573"/>
    </row>
    <row r="103" spans="1:24">
      <c r="C103" s="605" t="s">
        <v>263</v>
      </c>
      <c r="D103" s="606">
        <v>2</v>
      </c>
      <c r="E103" s="607" t="s">
        <v>248</v>
      </c>
      <c r="F103" s="606">
        <f>partground</f>
        <v>9</v>
      </c>
      <c r="G103" s="607" t="s">
        <v>249</v>
      </c>
      <c r="H103" s="1075">
        <v>3</v>
      </c>
      <c r="I103" s="608">
        <f t="shared" ref="I103:I104" si="17">D103*F103*H103</f>
        <v>54</v>
      </c>
      <c r="J103" s="609"/>
      <c r="K103" s="608"/>
      <c r="M103" s="609"/>
      <c r="N103" s="608">
        <v>0</v>
      </c>
      <c r="O103" s="610"/>
      <c r="P103" s="609"/>
      <c r="Q103" s="608">
        <v>0</v>
      </c>
      <c r="R103" s="610"/>
      <c r="S103" s="609"/>
      <c r="T103" s="608">
        <f t="shared" ref="T103:T104" si="18">$I103*U$16</f>
        <v>60.742656000000004</v>
      </c>
      <c r="U103" s="610"/>
      <c r="V103" s="598">
        <v>0</v>
      </c>
      <c r="X103" s="573"/>
    </row>
    <row r="104" spans="1:24">
      <c r="C104" s="605" t="s">
        <v>264</v>
      </c>
      <c r="D104" s="606">
        <v>4</v>
      </c>
      <c r="E104" s="607" t="s">
        <v>248</v>
      </c>
      <c r="F104" s="606">
        <f>Assumptions!D70</f>
        <v>122</v>
      </c>
      <c r="G104" s="607" t="s">
        <v>249</v>
      </c>
      <c r="H104" s="1075">
        <v>6</v>
      </c>
      <c r="I104" s="608">
        <f t="shared" si="17"/>
        <v>2928</v>
      </c>
      <c r="J104" s="609"/>
      <c r="K104" s="608"/>
      <c r="M104" s="609"/>
      <c r="N104" s="608">
        <v>0</v>
      </c>
      <c r="O104" s="610"/>
      <c r="P104" s="609"/>
      <c r="Q104" s="608">
        <v>0</v>
      </c>
      <c r="R104" s="610"/>
      <c r="S104" s="609"/>
      <c r="T104" s="608">
        <f t="shared" si="18"/>
        <v>3293.6017920000004</v>
      </c>
      <c r="U104" s="610"/>
      <c r="V104" s="598">
        <v>0</v>
      </c>
      <c r="X104" s="573"/>
    </row>
    <row r="105" spans="1:24">
      <c r="C105" s="605" t="s">
        <v>265</v>
      </c>
      <c r="D105" s="606">
        <v>4</v>
      </c>
      <c r="E105" s="607" t="s">
        <v>248</v>
      </c>
      <c r="F105" s="606">
        <f>partmeals</f>
        <v>47</v>
      </c>
      <c r="G105" s="607" t="s">
        <v>249</v>
      </c>
      <c r="H105" s="1075">
        <v>2</v>
      </c>
      <c r="I105" s="608">
        <f>D105*F105*H105</f>
        <v>376</v>
      </c>
      <c r="J105" s="609"/>
      <c r="K105" s="608"/>
      <c r="M105" s="609"/>
      <c r="N105" s="608">
        <v>0</v>
      </c>
      <c r="O105" s="610"/>
      <c r="P105" s="609"/>
      <c r="Q105" s="608">
        <v>0</v>
      </c>
      <c r="R105" s="610"/>
      <c r="S105" s="609"/>
      <c r="T105" s="608">
        <f>$I105*U$16</f>
        <v>422.94886400000001</v>
      </c>
      <c r="U105" s="610"/>
      <c r="V105" s="598">
        <v>0</v>
      </c>
      <c r="X105" s="573"/>
    </row>
    <row r="106" spans="1:24">
      <c r="C106" s="613" t="s">
        <v>278</v>
      </c>
      <c r="D106" s="975"/>
      <c r="E106" s="614"/>
      <c r="F106" s="608"/>
      <c r="G106" s="608"/>
      <c r="H106" s="1075"/>
      <c r="I106" s="608"/>
      <c r="J106" s="609"/>
      <c r="K106" s="608"/>
      <c r="M106" s="609"/>
      <c r="N106" s="608"/>
      <c r="O106" s="610"/>
      <c r="P106" s="609"/>
      <c r="Q106" s="608"/>
      <c r="R106" s="610"/>
      <c r="S106" s="609"/>
      <c r="T106" s="608"/>
      <c r="U106" s="610"/>
      <c r="V106" s="598"/>
      <c r="X106" s="573"/>
    </row>
    <row r="107" spans="1:24">
      <c r="C107" s="605" t="s">
        <v>266</v>
      </c>
      <c r="D107" s="606">
        <v>2</v>
      </c>
      <c r="E107" s="607" t="s">
        <v>248</v>
      </c>
      <c r="F107" s="606">
        <f>partground</f>
        <v>9</v>
      </c>
      <c r="G107" s="607" t="s">
        <v>262</v>
      </c>
      <c r="H107" s="1075">
        <v>3</v>
      </c>
      <c r="I107" s="608">
        <f t="shared" ref="I107:I110" si="19">D107*F107*H107</f>
        <v>54</v>
      </c>
      <c r="J107" s="609"/>
      <c r="K107" s="608"/>
      <c r="M107" s="609"/>
      <c r="N107" s="608">
        <v>0</v>
      </c>
      <c r="O107" s="610"/>
      <c r="P107" s="609"/>
      <c r="Q107" s="608">
        <v>0</v>
      </c>
      <c r="R107" s="610"/>
      <c r="S107" s="609"/>
      <c r="T107" s="608">
        <f t="shared" ref="T107:T110" si="20">$I107*U$16</f>
        <v>60.742656000000004</v>
      </c>
      <c r="U107" s="610"/>
      <c r="V107" s="598">
        <v>0</v>
      </c>
      <c r="X107" s="573"/>
    </row>
    <row r="108" spans="1:24">
      <c r="C108" s="605" t="s">
        <v>267</v>
      </c>
      <c r="D108" s="606">
        <v>2</v>
      </c>
      <c r="E108" s="607" t="s">
        <v>248</v>
      </c>
      <c r="F108" s="606">
        <f>partground</f>
        <v>9</v>
      </c>
      <c r="G108" s="607" t="s">
        <v>249</v>
      </c>
      <c r="H108" s="1075">
        <v>3</v>
      </c>
      <c r="I108" s="608">
        <f t="shared" si="19"/>
        <v>54</v>
      </c>
      <c r="J108" s="609"/>
      <c r="K108" s="608"/>
      <c r="M108" s="609"/>
      <c r="N108" s="608">
        <v>0</v>
      </c>
      <c r="O108" s="610"/>
      <c r="P108" s="609"/>
      <c r="Q108" s="608">
        <v>0</v>
      </c>
      <c r="R108" s="610"/>
      <c r="S108" s="609"/>
      <c r="T108" s="608">
        <f t="shared" si="20"/>
        <v>60.742656000000004</v>
      </c>
      <c r="U108" s="610"/>
      <c r="V108" s="598">
        <v>0</v>
      </c>
      <c r="X108" s="573"/>
    </row>
    <row r="109" spans="1:24">
      <c r="C109" s="605" t="s">
        <v>264</v>
      </c>
      <c r="D109" s="1077">
        <v>4</v>
      </c>
      <c r="E109" s="1069" t="s">
        <v>248</v>
      </c>
      <c r="F109" s="1070">
        <f>Assumptions!D70</f>
        <v>122</v>
      </c>
      <c r="G109" s="1069" t="s">
        <v>249</v>
      </c>
      <c r="H109" s="1076">
        <v>3</v>
      </c>
      <c r="I109" s="1069">
        <f>D109*F109*H109</f>
        <v>1464</v>
      </c>
      <c r="J109" s="1068"/>
      <c r="K109" s="1069"/>
      <c r="M109" s="1068"/>
      <c r="N109" s="1069">
        <v>0</v>
      </c>
      <c r="O109" s="1067"/>
      <c r="P109" s="1068"/>
      <c r="Q109" s="1069">
        <v>0</v>
      </c>
      <c r="R109" s="1067"/>
      <c r="S109" s="1068"/>
      <c r="T109" s="1069">
        <f>$I109*U$16</f>
        <v>1646.8008960000002</v>
      </c>
      <c r="U109" s="1067"/>
      <c r="V109" s="1066">
        <v>0</v>
      </c>
      <c r="X109" s="573"/>
    </row>
    <row r="110" spans="1:24">
      <c r="C110" s="605" t="s">
        <v>265</v>
      </c>
      <c r="D110" s="1074">
        <v>4</v>
      </c>
      <c r="E110" s="607" t="s">
        <v>248</v>
      </c>
      <c r="F110" s="606">
        <f>partmeals</f>
        <v>47</v>
      </c>
      <c r="G110" s="607" t="s">
        <v>249</v>
      </c>
      <c r="H110" s="1075">
        <v>2</v>
      </c>
      <c r="I110" s="608">
        <f t="shared" si="19"/>
        <v>376</v>
      </c>
      <c r="J110" s="609"/>
      <c r="K110" s="608"/>
      <c r="M110" s="609"/>
      <c r="N110" s="608">
        <v>0</v>
      </c>
      <c r="O110" s="610"/>
      <c r="P110" s="609"/>
      <c r="Q110" s="608">
        <v>0</v>
      </c>
      <c r="R110" s="610"/>
      <c r="S110" s="609"/>
      <c r="T110" s="608">
        <f t="shared" si="20"/>
        <v>422.94886400000001</v>
      </c>
      <c r="U110" s="610"/>
      <c r="V110" s="598">
        <v>0</v>
      </c>
      <c r="X110" s="573"/>
    </row>
    <row r="111" spans="1:24">
      <c r="C111" s="621" t="s">
        <v>269</v>
      </c>
      <c r="D111" s="622"/>
      <c r="E111" s="622"/>
      <c r="F111" s="623"/>
      <c r="G111" s="1410">
        <f>SUM(I97:I110)</f>
        <v>6791</v>
      </c>
      <c r="H111" s="1411"/>
      <c r="I111" s="624"/>
      <c r="J111" s="625"/>
      <c r="K111" s="625"/>
      <c r="L111" s="601"/>
      <c r="M111" s="625"/>
      <c r="N111" s="625"/>
      <c r="O111" s="601"/>
      <c r="P111" s="625"/>
      <c r="Q111" s="625"/>
      <c r="R111" s="601"/>
      <c r="S111" s="625"/>
      <c r="T111" s="625"/>
      <c r="U111" s="601"/>
      <c r="V111" s="626"/>
      <c r="X111" s="573"/>
    </row>
    <row r="112" spans="1:24" ht="13.5" customHeight="1" thickBot="1">
      <c r="C112" s="569"/>
      <c r="D112" s="627"/>
      <c r="E112" s="627"/>
      <c r="F112" s="627"/>
      <c r="G112" s="627"/>
      <c r="H112" s="627"/>
      <c r="I112" s="592"/>
      <c r="J112" s="592"/>
      <c r="K112" s="592"/>
      <c r="L112" s="592"/>
      <c r="M112" s="592"/>
      <c r="N112" s="592"/>
      <c r="O112" s="592"/>
      <c r="P112" s="592"/>
      <c r="Q112" s="592"/>
      <c r="R112" s="592"/>
      <c r="S112" s="592"/>
      <c r="T112" s="592"/>
      <c r="U112" s="592"/>
      <c r="V112" s="593"/>
      <c r="X112" s="573"/>
    </row>
    <row r="113" spans="1:24" ht="15.6" thickTop="1">
      <c r="C113" s="1402" t="s">
        <v>152</v>
      </c>
      <c r="D113" s="1403"/>
      <c r="E113" s="1403"/>
      <c r="F113" s="1403"/>
      <c r="G113" s="1404"/>
      <c r="H113" s="594">
        <v>1</v>
      </c>
      <c r="I113" s="595"/>
      <c r="J113" s="1405"/>
      <c r="K113" s="1406"/>
      <c r="L113" s="596">
        <f>SUM(K115:K120)</f>
        <v>0</v>
      </c>
      <c r="M113" s="1407">
        <v>0</v>
      </c>
      <c r="N113" s="1408"/>
      <c r="O113" s="597">
        <f>SUM(N115:N120)</f>
        <v>0</v>
      </c>
      <c r="P113" s="1407">
        <v>2</v>
      </c>
      <c r="Q113" s="1408"/>
      <c r="R113" s="597">
        <f>SUM(Q115:Q120)</f>
        <v>9085.44</v>
      </c>
      <c r="S113" s="1409">
        <v>2</v>
      </c>
      <c r="T113" s="1407"/>
      <c r="U113" s="597">
        <f>SUM(T115:T120)</f>
        <v>9448.8575999999994</v>
      </c>
      <c r="V113" s="598">
        <f>SUM(L113,O113,R113,U113,)</f>
        <v>18534.297599999998</v>
      </c>
      <c r="W113" s="1080"/>
      <c r="X113" s="573"/>
    </row>
    <row r="114" spans="1:24" ht="15.6" thickBot="1">
      <c r="C114" s="599" t="s">
        <v>284</v>
      </c>
      <c r="D114" s="600"/>
      <c r="E114" s="600"/>
      <c r="F114" s="600"/>
      <c r="G114" s="601"/>
      <c r="H114" s="600"/>
      <c r="I114" s="600"/>
      <c r="J114" s="602"/>
      <c r="K114" s="600"/>
      <c r="L114" s="601"/>
      <c r="M114" s="602"/>
      <c r="N114" s="600"/>
      <c r="O114" s="603"/>
      <c r="P114" s="602"/>
      <c r="Q114" s="600"/>
      <c r="R114" s="603"/>
      <c r="S114" s="602"/>
      <c r="T114" s="600"/>
      <c r="U114" s="603"/>
      <c r="V114" s="604"/>
      <c r="X114" s="573"/>
    </row>
    <row r="115" spans="1:24">
      <c r="A115" s="1010" t="s">
        <v>246</v>
      </c>
      <c r="B115" s="1010">
        <v>86000</v>
      </c>
      <c r="C115" s="605" t="s">
        <v>247</v>
      </c>
      <c r="D115" s="1074">
        <v>80</v>
      </c>
      <c r="E115" s="607" t="s">
        <v>248</v>
      </c>
      <c r="F115" s="606">
        <f>parttransp</f>
        <v>4</v>
      </c>
      <c r="G115" s="607" t="s">
        <v>249</v>
      </c>
      <c r="H115" s="608">
        <f>IF(D115=0,0,H113)</f>
        <v>1</v>
      </c>
      <c r="I115" s="608">
        <f t="shared" ref="I115:I118" si="21">D115*F115*H115</f>
        <v>320</v>
      </c>
      <c r="J115" s="609"/>
      <c r="K115" s="608">
        <f>$I115*J113*L$16</f>
        <v>0</v>
      </c>
      <c r="M115" s="609"/>
      <c r="N115" s="608">
        <f>$I115*M113*O$16</f>
        <v>0</v>
      </c>
      <c r="O115" s="610"/>
      <c r="P115" s="609"/>
      <c r="Q115" s="608">
        <f>$I115*P113*R$16</f>
        <v>692.22400000000005</v>
      </c>
      <c r="R115" s="610"/>
      <c r="S115" s="609"/>
      <c r="T115" s="608">
        <f>$I115*S113*U$16</f>
        <v>719.91296000000011</v>
      </c>
      <c r="U115" s="610"/>
      <c r="V115" s="598">
        <f t="shared" ref="V115:V118" si="22">T115+Q115+N115+K115</f>
        <v>1412.1369600000003</v>
      </c>
      <c r="X115" s="573"/>
    </row>
    <row r="116" spans="1:24">
      <c r="A116" s="1010" t="s">
        <v>250</v>
      </c>
      <c r="B116" s="1010">
        <v>87000</v>
      </c>
      <c r="C116" s="605" t="s">
        <v>251</v>
      </c>
      <c r="D116" s="1074">
        <v>80</v>
      </c>
      <c r="E116" s="607" t="s">
        <v>248</v>
      </c>
      <c r="F116" s="606">
        <f>coffee+lunch</f>
        <v>16</v>
      </c>
      <c r="G116" s="607" t="s">
        <v>249</v>
      </c>
      <c r="H116" s="608">
        <f>IF(D116=0,0,H113)</f>
        <v>1</v>
      </c>
      <c r="I116" s="608">
        <f t="shared" si="21"/>
        <v>1280</v>
      </c>
      <c r="J116" s="609"/>
      <c r="K116" s="608">
        <f>$I116*J113*L$16</f>
        <v>0</v>
      </c>
      <c r="M116" s="609"/>
      <c r="N116" s="608">
        <f>$I116*M113*O$16</f>
        <v>0</v>
      </c>
      <c r="O116" s="610"/>
      <c r="P116" s="609"/>
      <c r="Q116" s="608">
        <f>$I116*P113*R$16</f>
        <v>2768.8960000000002</v>
      </c>
      <c r="R116" s="610"/>
      <c r="S116" s="609"/>
      <c r="T116" s="608">
        <f>$I116*S113*U$16</f>
        <v>2879.6518400000004</v>
      </c>
      <c r="U116" s="610"/>
      <c r="V116" s="598">
        <f t="shared" si="22"/>
        <v>5648.5478400000011</v>
      </c>
      <c r="X116" s="573"/>
    </row>
    <row r="117" spans="1:24">
      <c r="A117" s="1009" t="s">
        <v>252</v>
      </c>
      <c r="B117" s="1009">
        <v>82420</v>
      </c>
      <c r="C117" s="605" t="s">
        <v>285</v>
      </c>
      <c r="D117" s="1074">
        <v>800</v>
      </c>
      <c r="E117" s="607" t="s">
        <v>286</v>
      </c>
      <c r="F117" s="606">
        <v>1</v>
      </c>
      <c r="G117" s="612" t="str">
        <f>E117</f>
        <v>Forums</v>
      </c>
      <c r="H117" s="608">
        <v>1</v>
      </c>
      <c r="I117" s="608">
        <f t="shared" si="21"/>
        <v>800</v>
      </c>
      <c r="J117" s="609"/>
      <c r="K117" s="608">
        <f>$I117*J113*L$16</f>
        <v>0</v>
      </c>
      <c r="M117" s="609"/>
      <c r="N117" s="608">
        <f>$I117*M113*O$16</f>
        <v>0</v>
      </c>
      <c r="O117" s="610"/>
      <c r="P117" s="609"/>
      <c r="Q117" s="608">
        <f>$I117*P113*R$16</f>
        <v>1730.5600000000002</v>
      </c>
      <c r="R117" s="610"/>
      <c r="S117" s="609"/>
      <c r="T117" s="608">
        <f>$I117*S113*U$16</f>
        <v>1799.7824000000001</v>
      </c>
      <c r="U117" s="610"/>
      <c r="V117" s="598">
        <f t="shared" si="22"/>
        <v>3530.3424000000005</v>
      </c>
      <c r="X117" s="573"/>
    </row>
    <row r="118" spans="1:24">
      <c r="A118" s="1010" t="s">
        <v>258</v>
      </c>
      <c r="B118" s="1010">
        <v>81000</v>
      </c>
      <c r="C118" s="605" t="s">
        <v>287</v>
      </c>
      <c r="D118" s="1074">
        <v>2</v>
      </c>
      <c r="E118" s="607" t="s">
        <v>248</v>
      </c>
      <c r="F118" s="606">
        <f>localcons</f>
        <v>300</v>
      </c>
      <c r="G118" s="607" t="s">
        <v>249</v>
      </c>
      <c r="H118" s="608">
        <v>2</v>
      </c>
      <c r="I118" s="608">
        <f t="shared" si="21"/>
        <v>1200</v>
      </c>
      <c r="J118" s="609"/>
      <c r="K118" s="608">
        <f t="shared" ref="K118:K119" si="23">$I118*J114*L$16</f>
        <v>0</v>
      </c>
      <c r="M118" s="609"/>
      <c r="N118" s="608">
        <f t="shared" ref="N118:N119" si="24">$I118*M114*O$16</f>
        <v>0</v>
      </c>
      <c r="O118" s="610"/>
      <c r="P118" s="609"/>
      <c r="Q118" s="608">
        <f>$I118*P113*R$16</f>
        <v>2595.84</v>
      </c>
      <c r="R118" s="610"/>
      <c r="S118" s="609"/>
      <c r="T118" s="608">
        <f>$I118*S113*U$16</f>
        <v>2699.6736000000001</v>
      </c>
      <c r="U118" s="610"/>
      <c r="V118" s="598">
        <f t="shared" si="22"/>
        <v>5295.5136000000002</v>
      </c>
      <c r="X118" s="573"/>
    </row>
    <row r="119" spans="1:24">
      <c r="A119" s="1010" t="s">
        <v>258</v>
      </c>
      <c r="B119" s="1010">
        <v>81000</v>
      </c>
      <c r="C119" s="605" t="s">
        <v>288</v>
      </c>
      <c r="D119" s="1074">
        <v>1</v>
      </c>
      <c r="E119" s="607" t="s">
        <v>248</v>
      </c>
      <c r="F119" s="606">
        <f>localcons</f>
        <v>300</v>
      </c>
      <c r="G119" s="607" t="s">
        <v>249</v>
      </c>
      <c r="H119" s="608">
        <v>2</v>
      </c>
      <c r="I119" s="608">
        <f t="shared" ref="I119" si="25">D119*F119*H119</f>
        <v>600</v>
      </c>
      <c r="J119" s="609"/>
      <c r="K119" s="608">
        <f t="shared" si="23"/>
        <v>0</v>
      </c>
      <c r="M119" s="609"/>
      <c r="N119" s="608">
        <f t="shared" si="24"/>
        <v>0</v>
      </c>
      <c r="O119" s="610"/>
      <c r="P119" s="609"/>
      <c r="Q119" s="608">
        <f>$I119*P113*R$16</f>
        <v>1297.92</v>
      </c>
      <c r="R119" s="610"/>
      <c r="S119" s="609"/>
      <c r="T119" s="608">
        <f>$I119*S113*U$16</f>
        <v>1349.8368</v>
      </c>
      <c r="U119" s="610"/>
      <c r="V119" s="598">
        <f t="shared" ref="V119" si="26">T119+Q119+N119+K119</f>
        <v>2647.7568000000001</v>
      </c>
      <c r="X119" s="573"/>
    </row>
    <row r="120" spans="1:24">
      <c r="C120" s="605"/>
      <c r="D120" s="608"/>
      <c r="E120" s="608"/>
      <c r="F120" s="608"/>
      <c r="G120" s="608"/>
      <c r="H120" s="608"/>
      <c r="I120" s="608"/>
      <c r="J120" s="609"/>
      <c r="K120" s="608"/>
      <c r="M120" s="609"/>
      <c r="N120" s="608"/>
      <c r="O120" s="610"/>
      <c r="P120" s="609"/>
      <c r="Q120" s="608"/>
      <c r="R120" s="610"/>
      <c r="S120" s="609"/>
      <c r="T120" s="608"/>
      <c r="U120" s="610"/>
      <c r="V120" s="611"/>
      <c r="X120" s="573"/>
    </row>
    <row r="121" spans="1:24">
      <c r="C121" s="621" t="s">
        <v>269</v>
      </c>
      <c r="D121" s="622"/>
      <c r="E121" s="622"/>
      <c r="F121" s="623"/>
      <c r="G121" s="1410">
        <f>SUM(I114:I120)</f>
        <v>4200</v>
      </c>
      <c r="H121" s="1411"/>
      <c r="I121" s="624"/>
      <c r="J121" s="625"/>
      <c r="K121" s="625"/>
      <c r="L121" s="601"/>
      <c r="M121" s="625"/>
      <c r="N121" s="625"/>
      <c r="O121" s="601"/>
      <c r="P121" s="625"/>
      <c r="Q121" s="625"/>
      <c r="R121" s="601"/>
      <c r="S121" s="625"/>
      <c r="T121" s="625"/>
      <c r="U121" s="601"/>
      <c r="V121" s="626"/>
      <c r="X121" s="573"/>
    </row>
    <row r="122" spans="1:24" ht="13.5" customHeight="1">
      <c r="C122" s="569"/>
      <c r="D122" s="627"/>
      <c r="E122" s="627"/>
      <c r="F122" s="627"/>
      <c r="G122" s="627"/>
      <c r="H122" s="627"/>
      <c r="I122" s="592"/>
      <c r="J122" s="592"/>
      <c r="K122" s="592"/>
      <c r="L122" s="592"/>
      <c r="M122" s="592"/>
      <c r="N122" s="592"/>
      <c r="O122" s="592"/>
      <c r="P122" s="592"/>
      <c r="Q122" s="592"/>
      <c r="R122" s="592"/>
      <c r="S122" s="592"/>
      <c r="T122" s="592"/>
      <c r="U122" s="592"/>
      <c r="V122" s="593"/>
      <c r="X122" s="573"/>
    </row>
    <row r="123" spans="1:24" ht="13.5" customHeight="1">
      <c r="C123" s="569"/>
      <c r="D123" s="627"/>
      <c r="E123" s="627"/>
      <c r="F123" s="627"/>
      <c r="G123" s="627"/>
      <c r="H123" s="627"/>
      <c r="I123" s="592"/>
      <c r="J123" s="592"/>
      <c r="K123" s="592"/>
      <c r="L123" s="592"/>
      <c r="M123" s="592"/>
      <c r="N123" s="592"/>
      <c r="O123" s="592"/>
      <c r="P123" s="592"/>
      <c r="Q123" s="592"/>
      <c r="R123" s="592"/>
      <c r="S123" s="592"/>
      <c r="T123" s="592"/>
      <c r="U123" s="592"/>
      <c r="V123" s="593"/>
      <c r="X123" s="573"/>
    </row>
    <row r="124" spans="1:24" ht="31.15" customHeight="1" thickTop="1">
      <c r="C124" s="1415" t="s">
        <v>157</v>
      </c>
      <c r="D124" s="1416"/>
      <c r="E124" s="1416"/>
      <c r="F124" s="1416"/>
      <c r="G124" s="1417"/>
      <c r="H124" s="594">
        <v>3</v>
      </c>
      <c r="I124" s="595"/>
      <c r="J124" s="1405"/>
      <c r="K124" s="1406"/>
      <c r="L124" s="596"/>
      <c r="M124" s="1407">
        <v>1</v>
      </c>
      <c r="N124" s="1408"/>
      <c r="O124" s="596"/>
      <c r="P124" s="1407">
        <v>1</v>
      </c>
      <c r="Q124" s="1408"/>
      <c r="R124" s="596"/>
      <c r="S124" s="1409">
        <v>0</v>
      </c>
      <c r="T124" s="1407"/>
      <c r="U124" s="596"/>
      <c r="V124" s="598">
        <f>SUM(L124,O124,R124,U124,)</f>
        <v>0</v>
      </c>
      <c r="X124" s="573"/>
    </row>
    <row r="125" spans="1:24" ht="15.9" thickTop="1" thickBot="1">
      <c r="C125" s="613" t="s">
        <v>260</v>
      </c>
      <c r="D125" s="608"/>
      <c r="E125" s="614"/>
      <c r="F125" s="608"/>
      <c r="G125" s="608"/>
      <c r="H125" s="608"/>
      <c r="I125" s="608">
        <f t="shared" ref="I125:I129" si="27">D125*F125*H125</f>
        <v>0</v>
      </c>
      <c r="J125" s="609"/>
      <c r="K125" s="608">
        <f>$I125*J124*L$16</f>
        <v>0</v>
      </c>
      <c r="M125" s="609"/>
      <c r="N125" s="608">
        <f>$I125*M124*O$16</f>
        <v>0</v>
      </c>
      <c r="O125" s="610"/>
      <c r="P125" s="609"/>
      <c r="Q125" s="608">
        <f>$I125*P124*R$16</f>
        <v>0</v>
      </c>
      <c r="R125" s="610"/>
      <c r="S125" s="609"/>
      <c r="T125" s="608">
        <f>$I125*S124*U$16</f>
        <v>0</v>
      </c>
      <c r="U125" s="610"/>
      <c r="V125" s="598">
        <f t="shared" ref="V125" si="28">T125+Q125+N125+K125</f>
        <v>0</v>
      </c>
      <c r="X125" s="573"/>
    </row>
    <row r="126" spans="1:24">
      <c r="C126" s="605" t="s">
        <v>261</v>
      </c>
      <c r="D126" s="606">
        <v>2</v>
      </c>
      <c r="E126" s="607" t="s">
        <v>248</v>
      </c>
      <c r="F126" s="1074">
        <f>Assumptions!D73</f>
        <v>195</v>
      </c>
      <c r="G126" s="607" t="s">
        <v>262</v>
      </c>
      <c r="H126" s="608">
        <f>IF(D126=0,0,1)</f>
        <v>1</v>
      </c>
      <c r="I126" s="608">
        <f t="shared" si="27"/>
        <v>390</v>
      </c>
      <c r="J126" s="609"/>
      <c r="K126" s="608">
        <f>$I126*J124*L$16</f>
        <v>0</v>
      </c>
      <c r="M126" s="609"/>
      <c r="N126" s="608">
        <f>$I126*M124*O$16</f>
        <v>405.6</v>
      </c>
      <c r="O126" s="610"/>
      <c r="P126" s="609"/>
      <c r="Q126" s="608">
        <f>$I126*P124*R$16</f>
        <v>421.82400000000007</v>
      </c>
      <c r="R126" s="610"/>
      <c r="S126" s="609"/>
      <c r="T126" s="608">
        <f>$I126*S124*U$16</f>
        <v>0</v>
      </c>
      <c r="U126" s="610"/>
      <c r="V126" s="598">
        <v>0</v>
      </c>
      <c r="X126" s="573"/>
    </row>
    <row r="127" spans="1:24" ht="15.9" thickTop="1" thickBot="1">
      <c r="C127" s="605" t="s">
        <v>289</v>
      </c>
      <c r="D127" s="606">
        <v>2</v>
      </c>
      <c r="E127" s="607" t="s">
        <v>248</v>
      </c>
      <c r="F127" s="606">
        <f>partground</f>
        <v>9</v>
      </c>
      <c r="G127" s="607" t="s">
        <v>249</v>
      </c>
      <c r="H127" s="608">
        <f>IF(D127=0,0,1)</f>
        <v>1</v>
      </c>
      <c r="I127" s="608">
        <f t="shared" si="27"/>
        <v>18</v>
      </c>
      <c r="J127" s="609"/>
      <c r="K127" s="608">
        <f>$I127*J124*L$16</f>
        <v>0</v>
      </c>
      <c r="M127" s="609"/>
      <c r="N127" s="608">
        <f>$I127*M124*O$16</f>
        <v>18.72</v>
      </c>
      <c r="O127" s="610"/>
      <c r="P127" s="609"/>
      <c r="Q127" s="608">
        <f>$I127*P124*R$16</f>
        <v>19.468800000000002</v>
      </c>
      <c r="R127" s="610"/>
      <c r="S127" s="609"/>
      <c r="T127" s="608">
        <f>$I127*S124*U$16</f>
        <v>0</v>
      </c>
      <c r="U127" s="610"/>
      <c r="V127" s="598">
        <v>0</v>
      </c>
      <c r="X127" s="573"/>
    </row>
    <row r="128" spans="1:24">
      <c r="C128" s="605" t="s">
        <v>264</v>
      </c>
      <c r="D128" s="1074">
        <v>2</v>
      </c>
      <c r="E128" s="607" t="s">
        <v>248</v>
      </c>
      <c r="F128" s="606">
        <f>Assumptions!D70</f>
        <v>122</v>
      </c>
      <c r="G128" s="607" t="s">
        <v>249</v>
      </c>
      <c r="H128" s="608">
        <f>IF(D128=0,0,H124)</f>
        <v>3</v>
      </c>
      <c r="I128" s="608">
        <f t="shared" si="27"/>
        <v>732</v>
      </c>
      <c r="J128" s="609"/>
      <c r="K128" s="608">
        <f>$I128*J124*L$16</f>
        <v>0</v>
      </c>
      <c r="M128" s="609"/>
      <c r="N128" s="608">
        <f>$I128*M124*O$16</f>
        <v>761.28</v>
      </c>
      <c r="O128" s="610"/>
      <c r="P128" s="609"/>
      <c r="Q128" s="608">
        <f>$I128*P124*R$16</f>
        <v>791.73120000000006</v>
      </c>
      <c r="R128" s="610"/>
      <c r="S128" s="609"/>
      <c r="T128" s="608">
        <f>$I128*S124*U$16</f>
        <v>0</v>
      </c>
      <c r="U128" s="610"/>
      <c r="V128" s="598">
        <v>0</v>
      </c>
      <c r="X128" s="573"/>
    </row>
    <row r="129" spans="1:24">
      <c r="C129" s="605" t="s">
        <v>265</v>
      </c>
      <c r="D129" s="1074">
        <v>2</v>
      </c>
      <c r="E129" s="607" t="s">
        <v>248</v>
      </c>
      <c r="F129" s="606">
        <f>partmeals</f>
        <v>47</v>
      </c>
      <c r="G129" s="607" t="s">
        <v>249</v>
      </c>
      <c r="H129" s="608">
        <f>IF(D129=0,0,H124)</f>
        <v>3</v>
      </c>
      <c r="I129" s="608">
        <f t="shared" si="27"/>
        <v>282</v>
      </c>
      <c r="J129" s="609"/>
      <c r="K129" s="608">
        <f>$I129*J124*L$16</f>
        <v>0</v>
      </c>
      <c r="M129" s="609"/>
      <c r="N129" s="608">
        <f>$I129*M124*O$16</f>
        <v>293.28000000000003</v>
      </c>
      <c r="O129" s="610"/>
      <c r="P129" s="609"/>
      <c r="Q129" s="608">
        <f>$I129*P124*R$16</f>
        <v>305.01120000000003</v>
      </c>
      <c r="R129" s="610"/>
      <c r="S129" s="609"/>
      <c r="T129" s="608">
        <f>$I129*S124*U$16</f>
        <v>0</v>
      </c>
      <c r="U129" s="610"/>
      <c r="V129" s="598">
        <v>0</v>
      </c>
      <c r="X129" s="573"/>
    </row>
    <row r="130" spans="1:24">
      <c r="C130" s="621" t="s">
        <v>269</v>
      </c>
      <c r="D130" s="622"/>
      <c r="E130" s="622"/>
      <c r="F130" s="623"/>
      <c r="G130" s="1410">
        <f>SUM(I125:I129)</f>
        <v>1422</v>
      </c>
      <c r="H130" s="1411"/>
      <c r="I130" s="624"/>
      <c r="J130" s="625"/>
      <c r="K130" s="625"/>
      <c r="L130" s="601"/>
      <c r="M130" s="625"/>
      <c r="N130" s="625"/>
      <c r="O130" s="601"/>
      <c r="P130" s="625"/>
      <c r="Q130" s="625"/>
      <c r="R130" s="601"/>
      <c r="S130" s="625"/>
      <c r="T130" s="625"/>
      <c r="U130" s="601"/>
      <c r="V130" s="626"/>
      <c r="X130" s="573"/>
    </row>
    <row r="131" spans="1:24" ht="13.5" customHeight="1" thickBot="1">
      <c r="C131" s="569"/>
      <c r="D131" s="627"/>
      <c r="E131" s="627"/>
      <c r="F131" s="627"/>
      <c r="G131" s="627"/>
      <c r="H131" s="627"/>
      <c r="I131" s="592"/>
      <c r="J131" s="592"/>
      <c r="K131" s="592"/>
      <c r="L131" s="592"/>
      <c r="M131" s="592"/>
      <c r="N131" s="592"/>
      <c r="O131" s="592"/>
      <c r="P131" s="592"/>
      <c r="Q131" s="592"/>
      <c r="R131" s="592"/>
      <c r="S131" s="592"/>
      <c r="T131" s="592"/>
      <c r="U131" s="592"/>
      <c r="V131" s="593"/>
      <c r="X131" s="573"/>
    </row>
    <row r="132" spans="1:24" ht="32.65" customHeight="1" thickTop="1">
      <c r="C132" s="1415" t="s">
        <v>290</v>
      </c>
      <c r="D132" s="1416"/>
      <c r="E132" s="1416"/>
      <c r="F132" s="1416"/>
      <c r="G132" s="1417"/>
      <c r="H132" s="594">
        <v>0</v>
      </c>
      <c r="I132" s="595"/>
      <c r="J132" s="1405"/>
      <c r="K132" s="1406"/>
      <c r="L132" s="596">
        <f>SUM(K134:K136)</f>
        <v>0</v>
      </c>
      <c r="M132" s="1407">
        <v>2</v>
      </c>
      <c r="N132" s="1408"/>
      <c r="O132" s="596">
        <f>SUM(N134:N136)</f>
        <v>3536</v>
      </c>
      <c r="P132" s="1407">
        <v>2</v>
      </c>
      <c r="Q132" s="1408"/>
      <c r="R132" s="596">
        <f>SUM(Q134:Q136)</f>
        <v>3677.44</v>
      </c>
      <c r="S132" s="1409">
        <v>1</v>
      </c>
      <c r="T132" s="1407"/>
      <c r="U132" s="596">
        <f>SUM(T134:T136)</f>
        <v>1912.2688000000001</v>
      </c>
      <c r="V132" s="598">
        <f>SUM(L132,O132,R132,U132,)</f>
        <v>9125.7088000000003</v>
      </c>
      <c r="X132" s="573"/>
    </row>
    <row r="133" spans="1:24" ht="15.6" thickBot="1">
      <c r="C133" s="599" t="s">
        <v>283</v>
      </c>
      <c r="D133" s="600"/>
      <c r="E133" s="600"/>
      <c r="F133" s="600"/>
      <c r="G133" s="601"/>
      <c r="H133" s="600"/>
      <c r="I133" s="600"/>
      <c r="J133" s="602"/>
      <c r="K133" s="600"/>
      <c r="L133" s="601"/>
      <c r="M133" s="602"/>
      <c r="N133" s="600"/>
      <c r="O133" s="603"/>
      <c r="P133" s="602"/>
      <c r="Q133" s="600"/>
      <c r="R133" s="603"/>
      <c r="S133" s="602"/>
      <c r="T133" s="600"/>
      <c r="U133" s="603"/>
      <c r="V133" s="604"/>
      <c r="X133" s="573"/>
    </row>
    <row r="134" spans="1:24">
      <c r="A134" s="1010" t="s">
        <v>246</v>
      </c>
      <c r="B134" s="1010">
        <v>86000</v>
      </c>
      <c r="C134" s="605" t="s">
        <v>247</v>
      </c>
      <c r="D134" s="1074">
        <v>35</v>
      </c>
      <c r="E134" s="607" t="s">
        <v>248</v>
      </c>
      <c r="F134" s="606">
        <f>parttransp</f>
        <v>4</v>
      </c>
      <c r="G134" s="607" t="s">
        <v>249</v>
      </c>
      <c r="H134" s="608">
        <v>2</v>
      </c>
      <c r="I134" s="608">
        <f>D134*F134*H134</f>
        <v>280</v>
      </c>
      <c r="J134" s="609"/>
      <c r="K134" s="608">
        <f>$I134*J132*L$16</f>
        <v>0</v>
      </c>
      <c r="M134" s="609"/>
      <c r="N134" s="608">
        <f>$I134*M132*O$16</f>
        <v>582.4</v>
      </c>
      <c r="O134" s="610"/>
      <c r="P134" s="609"/>
      <c r="Q134" s="608">
        <f>$I134*P132*R$16</f>
        <v>605.69600000000003</v>
      </c>
      <c r="R134" s="610"/>
      <c r="S134" s="609"/>
      <c r="T134" s="608">
        <f>$I134*S132*U$16</f>
        <v>314.96192000000002</v>
      </c>
      <c r="U134" s="610"/>
      <c r="V134" s="598">
        <f t="shared" ref="V134:V136" si="29">T134+Q134+N134+K134</f>
        <v>1503.0579200000002</v>
      </c>
      <c r="X134" s="573"/>
    </row>
    <row r="135" spans="1:24">
      <c r="A135" s="1010" t="s">
        <v>250</v>
      </c>
      <c r="B135" s="1010">
        <v>87000</v>
      </c>
      <c r="C135" s="605" t="s">
        <v>251</v>
      </c>
      <c r="D135" s="1074">
        <v>35</v>
      </c>
      <c r="E135" s="607" t="s">
        <v>248</v>
      </c>
      <c r="F135" s="606">
        <f>coffee+lunch</f>
        <v>16</v>
      </c>
      <c r="G135" s="607" t="s">
        <v>249</v>
      </c>
      <c r="H135" s="608">
        <v>2</v>
      </c>
      <c r="I135" s="608">
        <f t="shared" ref="I135:I136" si="30">D135*F135*H135</f>
        <v>1120</v>
      </c>
      <c r="J135" s="609"/>
      <c r="K135" s="608">
        <f>$I135*J132*L$16</f>
        <v>0</v>
      </c>
      <c r="M135" s="609"/>
      <c r="N135" s="608">
        <f>$I135*M132*O$16</f>
        <v>2329.6</v>
      </c>
      <c r="O135" s="610"/>
      <c r="P135" s="609"/>
      <c r="Q135" s="608">
        <f>$I135*P132*R$16</f>
        <v>2422.7840000000001</v>
      </c>
      <c r="R135" s="610"/>
      <c r="S135" s="609"/>
      <c r="T135" s="608">
        <f>$I135*S132*U$16</f>
        <v>1259.8476800000001</v>
      </c>
      <c r="U135" s="610"/>
      <c r="V135" s="598">
        <f t="shared" si="29"/>
        <v>6012.2316800000008</v>
      </c>
      <c r="X135" s="573"/>
    </row>
    <row r="136" spans="1:24">
      <c r="A136" s="1010" t="s">
        <v>252</v>
      </c>
      <c r="B136" s="1010">
        <v>82420</v>
      </c>
      <c r="C136" s="1073" t="s">
        <v>285</v>
      </c>
      <c r="D136" s="1074">
        <v>300</v>
      </c>
      <c r="E136" s="607" t="s">
        <v>254</v>
      </c>
      <c r="F136" s="606">
        <v>1</v>
      </c>
      <c r="G136" s="612" t="str">
        <f>E136</f>
        <v>workshop</v>
      </c>
      <c r="H136" s="608">
        <v>1</v>
      </c>
      <c r="I136" s="608">
        <f t="shared" si="30"/>
        <v>300</v>
      </c>
      <c r="J136" s="609"/>
      <c r="K136" s="608">
        <f>$I136*J132*L$16</f>
        <v>0</v>
      </c>
      <c r="M136" s="609"/>
      <c r="N136" s="608">
        <f>$I136*M132*O$16</f>
        <v>624</v>
      </c>
      <c r="O136" s="610"/>
      <c r="P136" s="609"/>
      <c r="Q136" s="608">
        <f>$I136*P132*R$16</f>
        <v>648.96</v>
      </c>
      <c r="R136" s="610"/>
      <c r="S136" s="609"/>
      <c r="T136" s="608">
        <f>$I136*S132*U$16</f>
        <v>337.45920000000001</v>
      </c>
      <c r="U136" s="610"/>
      <c r="V136" s="598">
        <f t="shared" si="29"/>
        <v>1610.4192</v>
      </c>
      <c r="X136" s="573"/>
    </row>
    <row r="137" spans="1:24">
      <c r="C137" s="605"/>
      <c r="D137" s="608"/>
      <c r="E137" s="608"/>
      <c r="F137" s="608"/>
      <c r="G137" s="608"/>
      <c r="H137" s="608"/>
      <c r="I137" s="608"/>
      <c r="J137" s="609"/>
      <c r="K137" s="608"/>
      <c r="M137" s="609"/>
      <c r="N137" s="608"/>
      <c r="O137" s="610"/>
      <c r="P137" s="609"/>
      <c r="Q137" s="608"/>
      <c r="R137" s="610"/>
      <c r="S137" s="609"/>
      <c r="T137" s="608"/>
      <c r="U137" s="610"/>
      <c r="V137" s="611"/>
      <c r="X137" s="573"/>
    </row>
    <row r="138" spans="1:24">
      <c r="C138" s="621" t="s">
        <v>269</v>
      </c>
      <c r="D138" s="622"/>
      <c r="E138" s="622"/>
      <c r="F138" s="623"/>
      <c r="G138" s="1410">
        <f>SUM(I133:I137)</f>
        <v>1700</v>
      </c>
      <c r="H138" s="1411"/>
      <c r="I138" s="624"/>
      <c r="J138" s="625"/>
      <c r="K138" s="625"/>
      <c r="L138" s="601"/>
      <c r="M138" s="625"/>
      <c r="N138" s="625"/>
      <c r="O138" s="601"/>
      <c r="P138" s="625"/>
      <c r="Q138" s="625"/>
      <c r="R138" s="601"/>
      <c r="S138" s="625"/>
      <c r="T138" s="625"/>
      <c r="U138" s="601"/>
      <c r="V138" s="626"/>
      <c r="X138" s="573"/>
    </row>
    <row r="139" spans="1:24" ht="13.5" customHeight="1" thickBot="1">
      <c r="C139" s="569"/>
      <c r="D139" s="627"/>
      <c r="E139" s="627"/>
      <c r="F139" s="627"/>
      <c r="G139" s="627"/>
      <c r="H139" s="627"/>
      <c r="I139" s="592"/>
      <c r="J139" s="592"/>
      <c r="K139" s="592"/>
      <c r="L139" s="592"/>
      <c r="M139" s="592"/>
      <c r="N139" s="592"/>
      <c r="O139" s="592"/>
      <c r="P139" s="592"/>
      <c r="Q139" s="592"/>
      <c r="R139" s="592"/>
      <c r="S139" s="592"/>
      <c r="T139" s="592"/>
      <c r="U139" s="592"/>
      <c r="V139" s="593"/>
      <c r="X139" s="573"/>
    </row>
    <row r="140" spans="1:24" ht="13.5" customHeight="1" thickTop="1" thickBot="1">
      <c r="C140" s="569"/>
      <c r="D140" s="627"/>
      <c r="E140" s="627"/>
      <c r="F140" s="627"/>
      <c r="G140" s="627"/>
      <c r="H140" s="627"/>
      <c r="I140" s="592"/>
      <c r="J140" s="592"/>
      <c r="K140" s="592"/>
      <c r="L140" s="592"/>
      <c r="M140" s="592"/>
      <c r="N140" s="592"/>
      <c r="O140" s="592"/>
      <c r="P140" s="592"/>
      <c r="Q140" s="592"/>
      <c r="R140" s="592"/>
      <c r="S140" s="592"/>
      <c r="T140" s="592"/>
      <c r="U140" s="592"/>
      <c r="V140" s="593"/>
      <c r="X140" s="573"/>
    </row>
    <row r="141" spans="1:24" ht="21.75" customHeight="1" thickTop="1">
      <c r="C141" s="1415" t="s">
        <v>159</v>
      </c>
      <c r="D141" s="1416"/>
      <c r="E141" s="1416"/>
      <c r="F141" s="1416"/>
      <c r="G141" s="1417"/>
      <c r="H141" s="594">
        <v>1</v>
      </c>
      <c r="I141" s="595"/>
      <c r="J141" s="1405">
        <v>0</v>
      </c>
      <c r="K141" s="1406"/>
      <c r="L141" s="596">
        <f>SUM(K143:K145)</f>
        <v>0</v>
      </c>
      <c r="M141" s="1407">
        <v>6</v>
      </c>
      <c r="N141" s="1408"/>
      <c r="O141" s="596">
        <f>SUM(N143:N145)</f>
        <v>2371.2000000000003</v>
      </c>
      <c r="P141" s="1407">
        <v>6</v>
      </c>
      <c r="Q141" s="1408"/>
      <c r="R141" s="596">
        <f>SUM(Q143:Q145)</f>
        <v>2466.0480000000002</v>
      </c>
      <c r="S141" s="1409">
        <v>6</v>
      </c>
      <c r="T141" s="1407"/>
      <c r="U141" s="596">
        <f>SUM(T143:T145)</f>
        <v>2564.6899200000003</v>
      </c>
      <c r="V141" s="598">
        <f>SUM(L141,O141,R141,U141,)</f>
        <v>7401.9379200000003</v>
      </c>
      <c r="X141" s="573"/>
    </row>
    <row r="142" spans="1:24" ht="15.6" thickBot="1">
      <c r="C142" s="599" t="s">
        <v>283</v>
      </c>
      <c r="D142" s="600"/>
      <c r="E142" s="600"/>
      <c r="F142" s="600"/>
      <c r="G142" s="601"/>
      <c r="H142" s="600"/>
      <c r="I142" s="600"/>
      <c r="J142" s="602"/>
      <c r="K142" s="600"/>
      <c r="L142" s="601"/>
      <c r="M142" s="602"/>
      <c r="N142" s="600"/>
      <c r="O142" s="603"/>
      <c r="P142" s="602"/>
      <c r="Q142" s="600"/>
      <c r="R142" s="603"/>
      <c r="S142" s="602"/>
      <c r="T142" s="600"/>
      <c r="U142" s="603"/>
      <c r="V142" s="604"/>
      <c r="X142" s="573"/>
    </row>
    <row r="143" spans="1:24">
      <c r="A143" s="1010" t="s">
        <v>246</v>
      </c>
      <c r="B143" s="1010">
        <v>86000</v>
      </c>
      <c r="C143" s="605" t="s">
        <v>247</v>
      </c>
      <c r="D143" s="1074">
        <v>15</v>
      </c>
      <c r="E143" s="607" t="s">
        <v>248</v>
      </c>
      <c r="F143" s="606">
        <f>parttransp</f>
        <v>4</v>
      </c>
      <c r="G143" s="607" t="s">
        <v>249</v>
      </c>
      <c r="H143" s="608">
        <v>1</v>
      </c>
      <c r="I143" s="608">
        <f t="shared" ref="I143:I145" si="31">D143*F143*H143</f>
        <v>60</v>
      </c>
      <c r="J143" s="609"/>
      <c r="K143" s="608">
        <f>$I143*J141*L$16</f>
        <v>0</v>
      </c>
      <c r="M143" s="609"/>
      <c r="N143" s="608">
        <f>$I143*M141*O$16</f>
        <v>374.40000000000003</v>
      </c>
      <c r="O143" s="610"/>
      <c r="P143" s="609"/>
      <c r="Q143" s="608">
        <f>$I143*P141*R$16</f>
        <v>389.37600000000003</v>
      </c>
      <c r="R143" s="610"/>
      <c r="S143" s="609"/>
      <c r="T143" s="608">
        <f>$I143*S141*U$16</f>
        <v>404.95104000000003</v>
      </c>
      <c r="U143" s="610"/>
      <c r="V143" s="598">
        <f t="shared" ref="V143:V145" si="32">T143+Q143+N143+K143</f>
        <v>1168.7270400000002</v>
      </c>
      <c r="X143" s="573"/>
    </row>
    <row r="144" spans="1:24">
      <c r="A144" s="1010" t="s">
        <v>250</v>
      </c>
      <c r="B144" s="1010">
        <v>87000</v>
      </c>
      <c r="C144" s="605" t="s">
        <v>251</v>
      </c>
      <c r="D144" s="1074">
        <v>15</v>
      </c>
      <c r="E144" s="607" t="s">
        <v>248</v>
      </c>
      <c r="F144" s="606">
        <f>coffee+lunch</f>
        <v>16</v>
      </c>
      <c r="G144" s="607" t="s">
        <v>249</v>
      </c>
      <c r="H144" s="608">
        <v>1</v>
      </c>
      <c r="I144" s="608">
        <f t="shared" si="31"/>
        <v>240</v>
      </c>
      <c r="J144" s="609"/>
      <c r="K144" s="608">
        <f>$I144*J141*L$16</f>
        <v>0</v>
      </c>
      <c r="M144" s="609"/>
      <c r="N144" s="608">
        <f>$I144*M141*O$16</f>
        <v>1497.6000000000001</v>
      </c>
      <c r="O144" s="610"/>
      <c r="P144" s="609"/>
      <c r="Q144" s="608">
        <f>$I144*P141*R$16</f>
        <v>1557.5040000000001</v>
      </c>
      <c r="R144" s="610"/>
      <c r="S144" s="609"/>
      <c r="T144" s="608">
        <f>$I144*S141*U$16</f>
        <v>1619.8041600000001</v>
      </c>
      <c r="U144" s="610"/>
      <c r="V144" s="598">
        <f t="shared" si="32"/>
        <v>4674.9081600000009</v>
      </c>
      <c r="X144" s="573"/>
    </row>
    <row r="145" spans="1:24">
      <c r="A145" s="1010" t="s">
        <v>252</v>
      </c>
      <c r="B145" s="1010">
        <v>82420</v>
      </c>
      <c r="C145" s="1073" t="s">
        <v>285</v>
      </c>
      <c r="D145" s="1074">
        <v>80</v>
      </c>
      <c r="E145" s="607" t="s">
        <v>254</v>
      </c>
      <c r="F145" s="606">
        <f>partmats</f>
        <v>1</v>
      </c>
      <c r="G145" s="612" t="str">
        <f>E145</f>
        <v>workshop</v>
      </c>
      <c r="H145" s="608">
        <f>IF(D145=0,0,1)</f>
        <v>1</v>
      </c>
      <c r="I145" s="608">
        <f t="shared" si="31"/>
        <v>80</v>
      </c>
      <c r="J145" s="609"/>
      <c r="K145" s="608">
        <f>$I145*J141*L$16</f>
        <v>0</v>
      </c>
      <c r="M145" s="609"/>
      <c r="N145" s="608">
        <f>$I145*M141*O$16</f>
        <v>499.20000000000005</v>
      </c>
      <c r="O145" s="610"/>
      <c r="P145" s="609"/>
      <c r="Q145" s="608">
        <f>$I145*P141*R$16</f>
        <v>519.16800000000001</v>
      </c>
      <c r="R145" s="610"/>
      <c r="S145" s="609"/>
      <c r="T145" s="608">
        <f>$I145*S141*U$16</f>
        <v>539.93472000000008</v>
      </c>
      <c r="U145" s="610"/>
      <c r="V145" s="598">
        <f t="shared" si="32"/>
        <v>1558.3027200000001</v>
      </c>
      <c r="X145" s="573"/>
    </row>
    <row r="146" spans="1:24">
      <c r="C146" s="605"/>
      <c r="D146" s="608"/>
      <c r="E146" s="608"/>
      <c r="F146" s="608"/>
      <c r="G146" s="608"/>
      <c r="H146" s="608"/>
      <c r="I146" s="608"/>
      <c r="J146" s="609"/>
      <c r="K146" s="608"/>
      <c r="M146" s="609"/>
      <c r="N146" s="608"/>
      <c r="O146" s="610"/>
      <c r="P146" s="609"/>
      <c r="Q146" s="608"/>
      <c r="R146" s="610"/>
      <c r="S146" s="609"/>
      <c r="T146" s="608"/>
      <c r="U146" s="610"/>
      <c r="V146" s="611"/>
      <c r="X146" s="573"/>
    </row>
    <row r="147" spans="1:24">
      <c r="C147" s="621" t="s">
        <v>269</v>
      </c>
      <c r="D147" s="622"/>
      <c r="E147" s="622"/>
      <c r="F147" s="623"/>
      <c r="G147" s="1410">
        <f>SUM(I142:I146)</f>
        <v>380</v>
      </c>
      <c r="H147" s="1411"/>
      <c r="I147" s="624"/>
      <c r="J147" s="625"/>
      <c r="K147" s="625"/>
      <c r="L147" s="601"/>
      <c r="M147" s="625"/>
      <c r="N147" s="625"/>
      <c r="O147" s="601"/>
      <c r="P147" s="625"/>
      <c r="Q147" s="625"/>
      <c r="R147" s="601"/>
      <c r="S147" s="625"/>
      <c r="T147" s="625"/>
      <c r="U147" s="601"/>
      <c r="V147" s="626"/>
      <c r="X147" s="573"/>
    </row>
    <row r="148" spans="1:24" ht="13.5" customHeight="1" thickBot="1">
      <c r="C148" s="569"/>
      <c r="D148" s="627"/>
      <c r="E148" s="627"/>
      <c r="F148" s="627"/>
      <c r="G148" s="627"/>
      <c r="H148" s="627"/>
      <c r="I148" s="592"/>
      <c r="J148" s="592"/>
      <c r="K148" s="592"/>
      <c r="L148" s="592"/>
      <c r="M148" s="592"/>
      <c r="N148" s="592"/>
      <c r="O148" s="592"/>
      <c r="P148" s="592"/>
      <c r="Q148" s="592"/>
      <c r="R148" s="592"/>
      <c r="S148" s="592"/>
      <c r="T148" s="592"/>
      <c r="U148" s="592"/>
      <c r="V148" s="593"/>
      <c r="X148" s="573"/>
    </row>
    <row r="149" spans="1:24" ht="13.5" customHeight="1" thickTop="1" thickBot="1">
      <c r="C149" s="569"/>
      <c r="D149" s="627"/>
      <c r="E149" s="627"/>
      <c r="F149" s="627"/>
      <c r="G149" s="627"/>
      <c r="H149" s="627"/>
      <c r="I149" s="592"/>
      <c r="J149" s="592"/>
      <c r="K149" s="592"/>
      <c r="L149" s="592"/>
      <c r="M149" s="592"/>
      <c r="N149" s="592"/>
      <c r="O149" s="592"/>
      <c r="P149" s="592"/>
      <c r="Q149" s="592"/>
      <c r="R149" s="592"/>
      <c r="S149" s="592"/>
      <c r="T149" s="592"/>
      <c r="U149" s="592"/>
      <c r="V149" s="593"/>
      <c r="X149" s="573"/>
    </row>
    <row r="150" spans="1:24" ht="32.25" customHeight="1" thickTop="1">
      <c r="C150" s="1421" t="s">
        <v>160</v>
      </c>
      <c r="D150" s="1422"/>
      <c r="E150" s="1422"/>
      <c r="F150" s="1422"/>
      <c r="G150" s="1423"/>
      <c r="H150" s="594">
        <v>2</v>
      </c>
      <c r="I150" s="595"/>
      <c r="J150" s="1405"/>
      <c r="K150" s="1406"/>
      <c r="L150" s="596">
        <f>SUM(K152:K155)</f>
        <v>0</v>
      </c>
      <c r="M150" s="1407">
        <v>12</v>
      </c>
      <c r="N150" s="1408"/>
      <c r="O150" s="596">
        <f>SUM(N152:N155)</f>
        <v>14352</v>
      </c>
      <c r="P150" s="1407">
        <v>12</v>
      </c>
      <c r="Q150" s="1408"/>
      <c r="R150" s="596">
        <f>SUM(Q152:Q155)</f>
        <v>14926.08</v>
      </c>
      <c r="S150" s="1409">
        <v>0</v>
      </c>
      <c r="T150" s="1407"/>
      <c r="U150" s="596">
        <f>SUM(T152:T155)</f>
        <v>0</v>
      </c>
      <c r="V150" s="598">
        <f>SUM(L150,O150,R150,U150,)</f>
        <v>29278.080000000002</v>
      </c>
      <c r="X150" s="573"/>
    </row>
    <row r="151" spans="1:24" ht="15.6" thickBot="1">
      <c r="C151" s="599" t="s">
        <v>291</v>
      </c>
      <c r="D151" s="600"/>
      <c r="E151" s="600"/>
      <c r="F151" s="600"/>
      <c r="G151" s="601"/>
      <c r="H151" s="600"/>
      <c r="I151" s="600"/>
      <c r="J151" s="602"/>
      <c r="K151" s="600"/>
      <c r="L151" s="601"/>
      <c r="M151" s="602"/>
      <c r="N151" s="600"/>
      <c r="O151" s="603"/>
      <c r="P151" s="602"/>
      <c r="Q151" s="600"/>
      <c r="R151" s="603"/>
      <c r="S151" s="602"/>
      <c r="T151" s="600"/>
      <c r="U151" s="603"/>
      <c r="V151" s="604"/>
      <c r="X151" s="573"/>
    </row>
    <row r="152" spans="1:24" ht="15.9" thickTop="1" thickBot="1">
      <c r="A152" s="1010" t="s">
        <v>246</v>
      </c>
      <c r="B152" s="1010">
        <v>86000</v>
      </c>
      <c r="C152" s="605" t="s">
        <v>247</v>
      </c>
      <c r="D152" s="606">
        <v>20</v>
      </c>
      <c r="E152" s="607" t="s">
        <v>248</v>
      </c>
      <c r="F152" s="606">
        <f>parttransp</f>
        <v>4</v>
      </c>
      <c r="G152" s="607" t="s">
        <v>249</v>
      </c>
      <c r="H152" s="608">
        <f>IF(D152=0,0,H150)</f>
        <v>2</v>
      </c>
      <c r="I152" s="608">
        <f>D152*F152*H152</f>
        <v>160</v>
      </c>
      <c r="J152" s="609"/>
      <c r="K152" s="608">
        <f>$I152*J150*L$16</f>
        <v>0</v>
      </c>
      <c r="M152" s="609"/>
      <c r="N152" s="608">
        <f>$I152*M150*O$16</f>
        <v>1996.8000000000002</v>
      </c>
      <c r="O152" s="610"/>
      <c r="P152" s="609"/>
      <c r="Q152" s="608">
        <f>$I152*P150*R$16</f>
        <v>2076.672</v>
      </c>
      <c r="R152" s="610"/>
      <c r="S152" s="609"/>
      <c r="T152" s="608">
        <f>$I152*S150*U$16</f>
        <v>0</v>
      </c>
      <c r="U152" s="610"/>
      <c r="V152" s="598">
        <f t="shared" ref="V152:V156" si="33">T152+Q152+N152+K152</f>
        <v>4073.4720000000002</v>
      </c>
      <c r="X152" s="573"/>
    </row>
    <row r="153" spans="1:24" ht="15.9" thickTop="1" thickBot="1">
      <c r="A153" s="1010" t="s">
        <v>250</v>
      </c>
      <c r="B153" s="1010">
        <v>87000</v>
      </c>
      <c r="C153" s="605" t="s">
        <v>251</v>
      </c>
      <c r="D153" s="606">
        <v>20</v>
      </c>
      <c r="E153" s="607" t="s">
        <v>248</v>
      </c>
      <c r="F153" s="606">
        <f>coffee+lunch</f>
        <v>16</v>
      </c>
      <c r="G153" s="607" t="s">
        <v>249</v>
      </c>
      <c r="H153" s="608">
        <f>IF(D153=0,0,H150)</f>
        <v>2</v>
      </c>
      <c r="I153" s="608">
        <f t="shared" ref="I153:I154" si="34">D153*F153*H153</f>
        <v>640</v>
      </c>
      <c r="J153" s="609"/>
      <c r="K153" s="608">
        <f>$I153*J150*L$16</f>
        <v>0</v>
      </c>
      <c r="M153" s="609"/>
      <c r="N153" s="608">
        <f>$I153*M150*O$16</f>
        <v>7987.2000000000007</v>
      </c>
      <c r="O153" s="610"/>
      <c r="P153" s="609"/>
      <c r="Q153" s="608">
        <f>$I153*P150*R$16</f>
        <v>8306.6880000000001</v>
      </c>
      <c r="R153" s="610"/>
      <c r="S153" s="609"/>
      <c r="T153" s="608">
        <f>$I153*S150*U$16</f>
        <v>0</v>
      </c>
      <c r="U153" s="610"/>
      <c r="V153" s="598">
        <f t="shared" si="33"/>
        <v>16293.888000000001</v>
      </c>
      <c r="X153" s="573"/>
    </row>
    <row r="154" spans="1:24" ht="15.9" thickTop="1" thickBot="1">
      <c r="A154" s="1010" t="s">
        <v>275</v>
      </c>
      <c r="B154" s="1010">
        <v>85300</v>
      </c>
      <c r="C154" s="605" t="s">
        <v>276</v>
      </c>
      <c r="D154" s="606">
        <v>1</v>
      </c>
      <c r="E154" s="607" t="s">
        <v>277</v>
      </c>
      <c r="F154" s="606">
        <f>print</f>
        <v>50</v>
      </c>
      <c r="G154" s="612" t="str">
        <f>E154</f>
        <v>activity</v>
      </c>
      <c r="H154" s="608">
        <f>IF(D154=0,0,1)</f>
        <v>1</v>
      </c>
      <c r="I154" s="608">
        <f t="shared" si="34"/>
        <v>50</v>
      </c>
      <c r="J154" s="609"/>
      <c r="K154" s="608">
        <f>$I154*J150*L$16</f>
        <v>0</v>
      </c>
      <c r="M154" s="609"/>
      <c r="N154" s="608">
        <f>$I154*M150*O$16</f>
        <v>624</v>
      </c>
      <c r="O154" s="610"/>
      <c r="P154" s="609"/>
      <c r="Q154" s="608">
        <f>$I154*P150*R$16</f>
        <v>648.96</v>
      </c>
      <c r="R154" s="610"/>
      <c r="S154" s="609"/>
      <c r="T154" s="608">
        <f>$I154*S150*U$16</f>
        <v>0</v>
      </c>
      <c r="U154" s="610"/>
      <c r="V154" s="598">
        <f t="shared" si="33"/>
        <v>1272.96</v>
      </c>
      <c r="X154" s="573"/>
    </row>
    <row r="155" spans="1:24" ht="15.9" thickTop="1" thickBot="1">
      <c r="A155" s="1010" t="s">
        <v>258</v>
      </c>
      <c r="B155" s="1010">
        <v>81000</v>
      </c>
      <c r="C155" s="605" t="s">
        <v>292</v>
      </c>
      <c r="D155" s="606">
        <v>1</v>
      </c>
      <c r="E155" s="607" t="s">
        <v>248</v>
      </c>
      <c r="F155" s="606">
        <f>localcons</f>
        <v>300</v>
      </c>
      <c r="G155" s="607" t="s">
        <v>249</v>
      </c>
      <c r="H155" s="606">
        <v>1</v>
      </c>
      <c r="I155" s="608">
        <f>D155*F155*H155</f>
        <v>300</v>
      </c>
      <c r="J155" s="609"/>
      <c r="K155" s="608">
        <f>$I155*J150*L$16</f>
        <v>0</v>
      </c>
      <c r="M155" s="609"/>
      <c r="N155" s="608">
        <f>$I155*M150*O$16</f>
        <v>3744</v>
      </c>
      <c r="O155" s="610"/>
      <c r="P155" s="609"/>
      <c r="Q155" s="608">
        <f>$I155*P150*R$16</f>
        <v>3893.76</v>
      </c>
      <c r="R155" s="610"/>
      <c r="S155" s="609"/>
      <c r="T155" s="608">
        <f>$I155*S150*U$16</f>
        <v>0</v>
      </c>
      <c r="U155" s="610"/>
      <c r="V155" s="598">
        <f t="shared" si="33"/>
        <v>7637.76</v>
      </c>
      <c r="X155" s="573"/>
    </row>
    <row r="156" spans="1:24" ht="15.9" thickTop="1" thickBot="1">
      <c r="C156" s="613" t="s">
        <v>260</v>
      </c>
      <c r="D156" s="608"/>
      <c r="E156" s="614"/>
      <c r="F156" s="608"/>
      <c r="G156" s="608"/>
      <c r="H156" s="608"/>
      <c r="I156" s="608">
        <f t="shared" ref="I156:I160" si="35">D156*F156*H156</f>
        <v>0</v>
      </c>
      <c r="J156" s="609"/>
      <c r="K156" s="608">
        <f>$I156*J150*L$16</f>
        <v>0</v>
      </c>
      <c r="M156" s="609"/>
      <c r="N156" s="608">
        <f>$I156*M150*O$16</f>
        <v>0</v>
      </c>
      <c r="O156" s="610"/>
      <c r="P156" s="609"/>
      <c r="Q156" s="608">
        <f>$I156*P150*R$16</f>
        <v>0</v>
      </c>
      <c r="R156" s="610"/>
      <c r="S156" s="609"/>
      <c r="T156" s="608">
        <f>$I156*S150*U$16</f>
        <v>0</v>
      </c>
      <c r="U156" s="610"/>
      <c r="V156" s="598">
        <f t="shared" si="33"/>
        <v>0</v>
      </c>
      <c r="X156" s="573"/>
    </row>
    <row r="157" spans="1:24">
      <c r="C157" s="605" t="s">
        <v>261</v>
      </c>
      <c r="D157" s="606">
        <v>2</v>
      </c>
      <c r="E157" s="607" t="s">
        <v>248</v>
      </c>
      <c r="F157" s="1074">
        <f>localairfare</f>
        <v>195</v>
      </c>
      <c r="G157" s="607" t="s">
        <v>262</v>
      </c>
      <c r="H157" s="608">
        <f>IF(D157=0,0,1)</f>
        <v>1</v>
      </c>
      <c r="I157" s="608">
        <f t="shared" si="35"/>
        <v>390</v>
      </c>
      <c r="J157" s="609"/>
      <c r="K157" s="608">
        <f>$I157*J150*L$16</f>
        <v>0</v>
      </c>
      <c r="M157" s="609"/>
      <c r="N157" s="608">
        <f>$I157*6*O$16</f>
        <v>2433.6</v>
      </c>
      <c r="O157" s="610"/>
      <c r="P157" s="609"/>
      <c r="Q157" s="608">
        <f>$I157*6*R$16</f>
        <v>2530.9440000000004</v>
      </c>
      <c r="R157" s="610"/>
      <c r="S157" s="609"/>
      <c r="T157" s="608">
        <f>$I157*S150*U$16</f>
        <v>0</v>
      </c>
      <c r="U157" s="610"/>
      <c r="V157" s="598">
        <v>0</v>
      </c>
      <c r="X157" s="573"/>
    </row>
    <row r="158" spans="1:24" ht="15.9" thickTop="1" thickBot="1">
      <c r="C158" s="605" t="s">
        <v>263</v>
      </c>
      <c r="D158" s="606">
        <v>2</v>
      </c>
      <c r="E158" s="607" t="s">
        <v>248</v>
      </c>
      <c r="F158" s="606">
        <f>partground</f>
        <v>9</v>
      </c>
      <c r="G158" s="607" t="s">
        <v>249</v>
      </c>
      <c r="H158" s="608">
        <f>IF(D158=0,0,1)</f>
        <v>1</v>
      </c>
      <c r="I158" s="608">
        <f t="shared" si="35"/>
        <v>18</v>
      </c>
      <c r="J158" s="609"/>
      <c r="K158" s="608">
        <f>$I158*J150*L$16</f>
        <v>0</v>
      </c>
      <c r="M158" s="609"/>
      <c r="N158" s="608">
        <f t="shared" ref="N158:N160" si="36">$I158*6*O$16</f>
        <v>112.32000000000001</v>
      </c>
      <c r="O158" s="610"/>
      <c r="P158" s="609"/>
      <c r="Q158" s="608">
        <f t="shared" ref="Q158:Q160" si="37">$I158*6*R$16</f>
        <v>116.81280000000001</v>
      </c>
      <c r="R158" s="610"/>
      <c r="S158" s="609"/>
      <c r="T158" s="608">
        <f>$I158*S150*U$16</f>
        <v>0</v>
      </c>
      <c r="U158" s="610"/>
      <c r="V158" s="598">
        <v>0</v>
      </c>
      <c r="X158" s="573"/>
    </row>
    <row r="159" spans="1:24" ht="15.9" thickTop="1" thickBot="1">
      <c r="C159" s="605" t="s">
        <v>264</v>
      </c>
      <c r="D159" s="606">
        <v>2</v>
      </c>
      <c r="E159" s="607" t="s">
        <v>248</v>
      </c>
      <c r="F159" s="606">
        <f>Assumptions!D70</f>
        <v>122</v>
      </c>
      <c r="G159" s="607" t="s">
        <v>249</v>
      </c>
      <c r="H159" s="608">
        <f>IF(D159=0,0,H150)</f>
        <v>2</v>
      </c>
      <c r="I159" s="608">
        <f t="shared" si="35"/>
        <v>488</v>
      </c>
      <c r="J159" s="609"/>
      <c r="K159" s="608">
        <f>$I159*J150*L$16</f>
        <v>0</v>
      </c>
      <c r="M159" s="609"/>
      <c r="N159" s="608">
        <f t="shared" si="36"/>
        <v>3045.12</v>
      </c>
      <c r="O159" s="610"/>
      <c r="P159" s="609"/>
      <c r="Q159" s="608">
        <f t="shared" si="37"/>
        <v>3166.9248000000002</v>
      </c>
      <c r="R159" s="610"/>
      <c r="S159" s="609"/>
      <c r="T159" s="608">
        <f>$I159*S150*U$16</f>
        <v>0</v>
      </c>
      <c r="U159" s="610"/>
      <c r="V159" s="598">
        <v>0</v>
      </c>
      <c r="X159" s="573"/>
    </row>
    <row r="160" spans="1:24" ht="15.6" thickTop="1">
      <c r="C160" s="605" t="s">
        <v>265</v>
      </c>
      <c r="D160" s="606">
        <v>2</v>
      </c>
      <c r="E160" s="607" t="s">
        <v>248</v>
      </c>
      <c r="F160" s="606">
        <f>partmeals</f>
        <v>47</v>
      </c>
      <c r="G160" s="607" t="s">
        <v>249</v>
      </c>
      <c r="H160" s="608">
        <f>IF(D160=0,0,H150)</f>
        <v>2</v>
      </c>
      <c r="I160" s="608">
        <f t="shared" si="35"/>
        <v>188</v>
      </c>
      <c r="J160" s="609"/>
      <c r="K160" s="608">
        <f>$I160*J150*L$16</f>
        <v>0</v>
      </c>
      <c r="M160" s="609"/>
      <c r="N160" s="608">
        <f t="shared" si="36"/>
        <v>1173.1200000000001</v>
      </c>
      <c r="O160" s="610"/>
      <c r="P160" s="609"/>
      <c r="Q160" s="608">
        <f t="shared" si="37"/>
        <v>1220.0448000000001</v>
      </c>
      <c r="R160" s="610"/>
      <c r="S160" s="609"/>
      <c r="T160" s="608">
        <f>$I160*S150*U$16</f>
        <v>0</v>
      </c>
      <c r="U160" s="610"/>
      <c r="V160" s="598">
        <v>0</v>
      </c>
      <c r="X160" s="573"/>
    </row>
    <row r="161" spans="1:24">
      <c r="C161" s="621" t="s">
        <v>269</v>
      </c>
      <c r="D161" s="622"/>
      <c r="E161" s="622"/>
      <c r="F161" s="623"/>
      <c r="G161" s="1410">
        <f>SUM(I151:I160)</f>
        <v>2234</v>
      </c>
      <c r="H161" s="1411"/>
      <c r="I161" s="624"/>
      <c r="J161" s="625"/>
      <c r="K161" s="625"/>
      <c r="L161" s="601"/>
      <c r="M161" s="625"/>
      <c r="N161" s="625"/>
      <c r="O161" s="601"/>
      <c r="P161" s="625"/>
      <c r="Q161" s="625"/>
      <c r="R161" s="601"/>
      <c r="S161" s="625"/>
      <c r="T161" s="625"/>
      <c r="U161" s="601"/>
      <c r="V161" s="626"/>
      <c r="X161" s="573"/>
    </row>
    <row r="162" spans="1:24" ht="13.5" customHeight="1" thickBot="1">
      <c r="C162" s="569"/>
      <c r="D162" s="627"/>
      <c r="E162" s="627"/>
      <c r="F162" s="627"/>
      <c r="G162" s="627"/>
      <c r="H162" s="627"/>
      <c r="I162" s="592"/>
      <c r="J162" s="592"/>
      <c r="K162" s="592"/>
      <c r="L162" s="592"/>
      <c r="M162" s="592"/>
      <c r="N162" s="592"/>
      <c r="O162" s="592"/>
      <c r="P162" s="592"/>
      <c r="Q162" s="592"/>
      <c r="R162" s="592"/>
      <c r="S162" s="592"/>
      <c r="T162" s="592"/>
      <c r="U162" s="592"/>
      <c r="V162" s="593"/>
      <c r="X162" s="573"/>
    </row>
    <row r="163" spans="1:24" ht="34.9" customHeight="1" thickTop="1">
      <c r="C163" s="1415" t="s">
        <v>293</v>
      </c>
      <c r="D163" s="1416"/>
      <c r="E163" s="1416"/>
      <c r="F163" s="1416"/>
      <c r="G163" s="1417"/>
      <c r="H163" s="594">
        <v>2</v>
      </c>
      <c r="I163" s="595"/>
      <c r="J163" s="1405"/>
      <c r="K163" s="1406"/>
      <c r="L163" s="596">
        <f>SUM(K165:K167)</f>
        <v>0</v>
      </c>
      <c r="M163" s="1407">
        <v>0</v>
      </c>
      <c r="N163" s="1408"/>
      <c r="O163" s="596">
        <f>SUM(N165:N167)</f>
        <v>0</v>
      </c>
      <c r="P163" s="1407">
        <v>2</v>
      </c>
      <c r="Q163" s="1408"/>
      <c r="R163" s="596">
        <f>SUM(Q165:Q167)</f>
        <v>886.91200000000003</v>
      </c>
      <c r="S163" s="1409">
        <v>2</v>
      </c>
      <c r="T163" s="1407"/>
      <c r="U163" s="596">
        <f>SUM(T165:T167)</f>
        <v>922.38848000000007</v>
      </c>
      <c r="V163" s="598">
        <f>SUM(L163,O163,R163,U163,)</f>
        <v>1809.3004800000001</v>
      </c>
      <c r="X163" s="573"/>
    </row>
    <row r="164" spans="1:24" ht="15.6" thickBot="1">
      <c r="C164" s="599" t="s">
        <v>270</v>
      </c>
      <c r="D164" s="600"/>
      <c r="E164" s="600"/>
      <c r="F164" s="600"/>
      <c r="G164" s="601"/>
      <c r="H164" s="600"/>
      <c r="I164" s="600"/>
      <c r="J164" s="602"/>
      <c r="K164" s="600"/>
      <c r="L164" s="601"/>
      <c r="M164" s="602"/>
      <c r="N164" s="600"/>
      <c r="O164" s="603"/>
      <c r="P164" s="602"/>
      <c r="Q164" s="600"/>
      <c r="R164" s="603"/>
      <c r="S164" s="602"/>
      <c r="T164" s="600"/>
      <c r="U164" s="603"/>
      <c r="V164" s="604"/>
      <c r="X164" s="573"/>
    </row>
    <row r="165" spans="1:24" ht="15.9" thickTop="1" thickBot="1">
      <c r="A165" s="1010" t="s">
        <v>246</v>
      </c>
      <c r="B165" s="1010">
        <v>86000</v>
      </c>
      <c r="C165" s="605" t="s">
        <v>247</v>
      </c>
      <c r="D165" s="606">
        <v>9</v>
      </c>
      <c r="E165" s="607" t="s">
        <v>248</v>
      </c>
      <c r="F165" s="606">
        <f>parttransp</f>
        <v>4</v>
      </c>
      <c r="G165" s="607" t="s">
        <v>249</v>
      </c>
      <c r="H165" s="608">
        <f>IF(D165=0,0,H163)</f>
        <v>2</v>
      </c>
      <c r="I165" s="608">
        <f t="shared" ref="I165:I172" si="38">D165*F165*H165</f>
        <v>72</v>
      </c>
      <c r="J165" s="609"/>
      <c r="K165" s="608">
        <f>$I165*J163*L$16</f>
        <v>0</v>
      </c>
      <c r="M165" s="609"/>
      <c r="N165" s="608">
        <f>$I165*M163*O$16</f>
        <v>0</v>
      </c>
      <c r="O165" s="610"/>
      <c r="P165" s="609"/>
      <c r="Q165" s="608">
        <f>$I165*P163*R$16</f>
        <v>155.75040000000001</v>
      </c>
      <c r="R165" s="610"/>
      <c r="S165" s="609"/>
      <c r="T165" s="608">
        <f>$I165*S163*U$16</f>
        <v>161.98041600000002</v>
      </c>
      <c r="U165" s="610"/>
      <c r="V165" s="598">
        <f t="shared" ref="V165:V167" si="39">T165+Q165+N165+K165</f>
        <v>317.730816</v>
      </c>
      <c r="X165" s="573"/>
    </row>
    <row r="166" spans="1:24" ht="15.9" thickTop="1" thickBot="1">
      <c r="A166" s="1010" t="s">
        <v>250</v>
      </c>
      <c r="B166" s="1010">
        <v>87000</v>
      </c>
      <c r="C166" s="605" t="s">
        <v>251</v>
      </c>
      <c r="D166" s="606">
        <v>9</v>
      </c>
      <c r="E166" s="607" t="s">
        <v>248</v>
      </c>
      <c r="F166" s="606">
        <f>coffee+lunch</f>
        <v>16</v>
      </c>
      <c r="G166" s="607" t="s">
        <v>249</v>
      </c>
      <c r="H166" s="608">
        <f>IF(D166=0,0,H163)</f>
        <v>2</v>
      </c>
      <c r="I166" s="608">
        <f t="shared" si="38"/>
        <v>288</v>
      </c>
      <c r="J166" s="609"/>
      <c r="K166" s="608">
        <f>$I166*J163*L$16</f>
        <v>0</v>
      </c>
      <c r="M166" s="609"/>
      <c r="N166" s="608">
        <f>$I166*M163*O$16</f>
        <v>0</v>
      </c>
      <c r="O166" s="610"/>
      <c r="P166" s="609"/>
      <c r="Q166" s="608">
        <f>$I166*P163*R$16</f>
        <v>623.00160000000005</v>
      </c>
      <c r="R166" s="610"/>
      <c r="S166" s="609"/>
      <c r="T166" s="608">
        <f>$I166*S163*U$16</f>
        <v>647.92166400000008</v>
      </c>
      <c r="U166" s="610"/>
      <c r="V166" s="598">
        <f t="shared" si="39"/>
        <v>1270.923264</v>
      </c>
      <c r="X166" s="573"/>
    </row>
    <row r="167" spans="1:24" ht="15.9" thickTop="1" thickBot="1">
      <c r="A167" s="1010" t="s">
        <v>275</v>
      </c>
      <c r="B167" s="1010">
        <v>85300</v>
      </c>
      <c r="C167" s="605" t="s">
        <v>276</v>
      </c>
      <c r="D167" s="606">
        <v>1</v>
      </c>
      <c r="E167" s="607" t="s">
        <v>277</v>
      </c>
      <c r="F167" s="606">
        <f>print</f>
        <v>50</v>
      </c>
      <c r="G167" s="612" t="str">
        <f>E167</f>
        <v>activity</v>
      </c>
      <c r="H167" s="608">
        <f>IF(D167=0,0,1)</f>
        <v>1</v>
      </c>
      <c r="I167" s="608">
        <f t="shared" si="38"/>
        <v>50</v>
      </c>
      <c r="J167" s="609"/>
      <c r="K167" s="608">
        <f>$I167*J163*L$16</f>
        <v>0</v>
      </c>
      <c r="M167" s="609"/>
      <c r="N167" s="608">
        <f>$I167*M163*O$16</f>
        <v>0</v>
      </c>
      <c r="O167" s="610"/>
      <c r="P167" s="609"/>
      <c r="Q167" s="608">
        <f>$I167*P163*R$16</f>
        <v>108.16000000000001</v>
      </c>
      <c r="R167" s="610"/>
      <c r="S167" s="609"/>
      <c r="T167" s="608">
        <f>$I167*S163*U$16</f>
        <v>112.4864</v>
      </c>
      <c r="U167" s="610"/>
      <c r="V167" s="598">
        <f t="shared" si="39"/>
        <v>220.64640000000003</v>
      </c>
      <c r="X167" s="573"/>
    </row>
    <row r="168" spans="1:24" ht="15.9" thickTop="1" thickBot="1">
      <c r="C168" s="613" t="s">
        <v>260</v>
      </c>
      <c r="D168" s="608"/>
      <c r="E168" s="614"/>
      <c r="F168" s="608"/>
      <c r="G168" s="608"/>
      <c r="H168" s="608"/>
      <c r="I168" s="608"/>
      <c r="J168" s="609"/>
      <c r="K168" s="608"/>
      <c r="M168" s="609"/>
      <c r="N168" s="608"/>
      <c r="O168" s="610"/>
      <c r="P168" s="609"/>
      <c r="Q168" s="608"/>
      <c r="R168" s="610"/>
      <c r="S168" s="609"/>
      <c r="T168" s="608"/>
      <c r="U168" s="610"/>
      <c r="V168" s="598"/>
      <c r="X168" s="573"/>
    </row>
    <row r="169" spans="1:24">
      <c r="C169" s="605" t="s">
        <v>261</v>
      </c>
      <c r="D169" s="606">
        <v>2</v>
      </c>
      <c r="E169" s="607" t="s">
        <v>248</v>
      </c>
      <c r="F169" s="1074">
        <f>localairfare</f>
        <v>195</v>
      </c>
      <c r="G169" s="607" t="s">
        <v>262</v>
      </c>
      <c r="H169" s="608">
        <f>IF(D169=0,0,1)</f>
        <v>1</v>
      </c>
      <c r="I169" s="608">
        <f t="shared" si="38"/>
        <v>390</v>
      </c>
      <c r="J169" s="609"/>
      <c r="K169" s="608">
        <f>$I169*J162*L$16</f>
        <v>0</v>
      </c>
      <c r="M169" s="609"/>
      <c r="N169" s="608">
        <f>$I169*M162*O$16</f>
        <v>0</v>
      </c>
      <c r="O169" s="610"/>
      <c r="P169" s="609"/>
      <c r="Q169" s="608">
        <f>$I169*$P$163*R$16</f>
        <v>843.64800000000014</v>
      </c>
      <c r="R169" s="610"/>
      <c r="S169" s="609"/>
      <c r="T169" s="608">
        <f>$I169*$S$163*U$16</f>
        <v>877.39392000000009</v>
      </c>
      <c r="U169" s="610"/>
      <c r="V169" s="598">
        <v>0</v>
      </c>
      <c r="X169" s="573"/>
    </row>
    <row r="170" spans="1:24" ht="15.9" thickTop="1" thickBot="1">
      <c r="C170" s="605" t="s">
        <v>263</v>
      </c>
      <c r="D170" s="606">
        <v>2</v>
      </c>
      <c r="E170" s="607" t="s">
        <v>248</v>
      </c>
      <c r="F170" s="606">
        <f>partground</f>
        <v>9</v>
      </c>
      <c r="G170" s="607" t="s">
        <v>249</v>
      </c>
      <c r="H170" s="608">
        <f>IF(D170=0,0,1)</f>
        <v>1</v>
      </c>
      <c r="I170" s="608">
        <f t="shared" si="38"/>
        <v>18</v>
      </c>
      <c r="J170" s="609"/>
      <c r="K170" s="608">
        <f>$I170*J162*L$16</f>
        <v>0</v>
      </c>
      <c r="M170" s="609"/>
      <c r="N170" s="608">
        <f>$I170*M162*O$16</f>
        <v>0</v>
      </c>
      <c r="O170" s="610"/>
      <c r="P170" s="609"/>
      <c r="Q170" s="608">
        <f>$I170*$P$163*R$16</f>
        <v>38.937600000000003</v>
      </c>
      <c r="R170" s="610"/>
      <c r="S170" s="609"/>
      <c r="T170" s="608">
        <f>$I170*$S$163*U$16</f>
        <v>40.495104000000005</v>
      </c>
      <c r="U170" s="610"/>
      <c r="V170" s="598">
        <v>0</v>
      </c>
      <c r="X170" s="573"/>
    </row>
    <row r="171" spans="1:24" ht="15.9" thickTop="1" thickBot="1">
      <c r="C171" s="605" t="s">
        <v>264</v>
      </c>
      <c r="D171" s="606">
        <v>2</v>
      </c>
      <c r="E171" s="607" t="s">
        <v>248</v>
      </c>
      <c r="F171" s="606">
        <f>locallodg</f>
        <v>122</v>
      </c>
      <c r="G171" s="607" t="s">
        <v>249</v>
      </c>
      <c r="H171" s="608">
        <v>2</v>
      </c>
      <c r="I171" s="608">
        <f t="shared" si="38"/>
        <v>488</v>
      </c>
      <c r="J171" s="609"/>
      <c r="K171" s="608">
        <f>$I171*J162*L$16</f>
        <v>0</v>
      </c>
      <c r="M171" s="609"/>
      <c r="N171" s="608">
        <f>$I171*M162*O$16</f>
        <v>0</v>
      </c>
      <c r="O171" s="610"/>
      <c r="P171" s="609"/>
      <c r="Q171" s="608">
        <f>$I171*$P$163*R$16</f>
        <v>1055.6416000000002</v>
      </c>
      <c r="R171" s="610"/>
      <c r="S171" s="609"/>
      <c r="T171" s="608">
        <f>$I171*$S$163*U$16</f>
        <v>1097.867264</v>
      </c>
      <c r="U171" s="610"/>
      <c r="V171" s="598">
        <v>0</v>
      </c>
      <c r="X171" s="573"/>
    </row>
    <row r="172" spans="1:24" ht="15.9" thickTop="1" thickBot="1">
      <c r="C172" s="605" t="s">
        <v>265</v>
      </c>
      <c r="D172" s="606">
        <v>2</v>
      </c>
      <c r="E172" s="607" t="s">
        <v>248</v>
      </c>
      <c r="F172" s="606">
        <f>partmeals</f>
        <v>47</v>
      </c>
      <c r="G172" s="607" t="s">
        <v>249</v>
      </c>
      <c r="H172" s="608">
        <v>2</v>
      </c>
      <c r="I172" s="608">
        <f t="shared" si="38"/>
        <v>188</v>
      </c>
      <c r="J172" s="609"/>
      <c r="K172" s="608">
        <f>$I172*J162*L$16</f>
        <v>0</v>
      </c>
      <c r="M172" s="609"/>
      <c r="N172" s="608">
        <f>$I172*M162*O$16</f>
        <v>0</v>
      </c>
      <c r="O172" s="610"/>
      <c r="P172" s="609"/>
      <c r="Q172" s="608">
        <f>$I172*$P$163*R$16</f>
        <v>406.68160000000006</v>
      </c>
      <c r="R172" s="610"/>
      <c r="S172" s="609"/>
      <c r="T172" s="608">
        <f>$I172*$S$163*U$16</f>
        <v>422.94886400000001</v>
      </c>
      <c r="U172" s="610"/>
      <c r="V172" s="598">
        <v>0</v>
      </c>
      <c r="X172" s="573"/>
    </row>
    <row r="173" spans="1:24" ht="15.9" thickTop="1" thickBot="1">
      <c r="C173" s="613" t="s">
        <v>260</v>
      </c>
      <c r="D173" s="608"/>
      <c r="E173" s="614"/>
      <c r="F173" s="608"/>
      <c r="G173" s="608"/>
      <c r="H173" s="608"/>
      <c r="I173" s="608"/>
      <c r="J173" s="609"/>
      <c r="K173" s="608"/>
      <c r="M173" s="609"/>
      <c r="N173" s="608"/>
      <c r="O173" s="610"/>
      <c r="P173" s="609"/>
      <c r="Q173" s="608"/>
      <c r="R173" s="610"/>
      <c r="S173" s="609"/>
      <c r="T173" s="608"/>
      <c r="U173" s="610"/>
      <c r="V173" s="598"/>
      <c r="X173" s="573"/>
    </row>
    <row r="174" spans="1:24" ht="15.9" thickTop="1" thickBot="1">
      <c r="C174" s="605" t="s">
        <v>266</v>
      </c>
      <c r="D174" s="606">
        <v>1</v>
      </c>
      <c r="E174" s="607" t="s">
        <v>248</v>
      </c>
      <c r="F174" s="606">
        <f>partground</f>
        <v>9</v>
      </c>
      <c r="G174" s="607" t="s">
        <v>262</v>
      </c>
      <c r="H174" s="608">
        <v>2</v>
      </c>
      <c r="I174" s="608">
        <f t="shared" ref="I174:I176" si="40">D174*F174*H174</f>
        <v>18</v>
      </c>
      <c r="J174" s="609"/>
      <c r="K174" s="608">
        <f>$I174*J163*L$16</f>
        <v>0</v>
      </c>
      <c r="M174" s="609"/>
      <c r="N174" s="608">
        <f>$I174*M163*O$16</f>
        <v>0</v>
      </c>
      <c r="O174" s="610"/>
      <c r="P174" s="609"/>
      <c r="Q174" s="608">
        <f>$I174*$P$163*R$16</f>
        <v>38.937600000000003</v>
      </c>
      <c r="R174" s="610"/>
      <c r="S174" s="609"/>
      <c r="T174" s="608">
        <f>$I174*$S$163*U$16</f>
        <v>40.495104000000005</v>
      </c>
      <c r="U174" s="610"/>
      <c r="V174" s="598">
        <v>0</v>
      </c>
      <c r="X174" s="573"/>
    </row>
    <row r="175" spans="1:24" ht="15.9" thickTop="1" thickBot="1">
      <c r="C175" s="605" t="s">
        <v>267</v>
      </c>
      <c r="D175" s="606">
        <v>1</v>
      </c>
      <c r="E175" s="607" t="s">
        <v>248</v>
      </c>
      <c r="F175" s="606">
        <f>partground</f>
        <v>9</v>
      </c>
      <c r="G175" s="607" t="s">
        <v>249</v>
      </c>
      <c r="H175" s="608">
        <v>2</v>
      </c>
      <c r="I175" s="608">
        <f t="shared" si="40"/>
        <v>18</v>
      </c>
      <c r="J175" s="609"/>
      <c r="K175" s="608">
        <f>$I175*J163*L$16</f>
        <v>0</v>
      </c>
      <c r="M175" s="609"/>
      <c r="N175" s="608">
        <f>$I175*M163*O$16</f>
        <v>0</v>
      </c>
      <c r="O175" s="610"/>
      <c r="P175" s="609"/>
      <c r="Q175" s="608">
        <f>$I175*$P$163*R$16</f>
        <v>38.937600000000003</v>
      </c>
      <c r="R175" s="610"/>
      <c r="S175" s="609"/>
      <c r="T175" s="608">
        <f>$I175*$S$163*U$16</f>
        <v>40.495104000000005</v>
      </c>
      <c r="U175" s="610"/>
      <c r="V175" s="598">
        <v>0</v>
      </c>
      <c r="X175" s="573"/>
    </row>
    <row r="176" spans="1:24">
      <c r="C176" s="605" t="s">
        <v>265</v>
      </c>
      <c r="D176" s="1074">
        <v>1</v>
      </c>
      <c r="E176" s="607" t="s">
        <v>248</v>
      </c>
      <c r="F176" s="606">
        <f>partmeals</f>
        <v>47</v>
      </c>
      <c r="G176" s="607" t="s">
        <v>249</v>
      </c>
      <c r="H176" s="608">
        <f>IF(D176=0,0,H163)</f>
        <v>2</v>
      </c>
      <c r="I176" s="608">
        <f t="shared" si="40"/>
        <v>94</v>
      </c>
      <c r="J176" s="609"/>
      <c r="K176" s="608">
        <f>$I176*J163*L$16</f>
        <v>0</v>
      </c>
      <c r="M176" s="609"/>
      <c r="N176" s="608">
        <f>$I176*M163*O$16</f>
        <v>0</v>
      </c>
      <c r="O176" s="610"/>
      <c r="P176" s="609"/>
      <c r="Q176" s="608">
        <f>$I176*$P$163*R$16</f>
        <v>203.34080000000003</v>
      </c>
      <c r="R176" s="610"/>
      <c r="S176" s="609"/>
      <c r="T176" s="608">
        <f>$I176*$S$163*U$16</f>
        <v>211.47443200000001</v>
      </c>
      <c r="U176" s="610"/>
      <c r="V176" s="598">
        <v>0</v>
      </c>
      <c r="X176" s="573"/>
    </row>
    <row r="177" spans="1:24">
      <c r="C177" s="621" t="s">
        <v>269</v>
      </c>
      <c r="D177" s="622"/>
      <c r="E177" s="622"/>
      <c r="F177" s="623"/>
      <c r="G177" s="1410">
        <f>SUM(I164:I176)</f>
        <v>1624</v>
      </c>
      <c r="H177" s="1411"/>
      <c r="I177" s="624"/>
      <c r="J177" s="625"/>
      <c r="K177" s="625"/>
      <c r="L177" s="601"/>
      <c r="M177" s="625"/>
      <c r="N177" s="625"/>
      <c r="O177" s="601"/>
      <c r="P177" s="625"/>
      <c r="Q177" s="625"/>
      <c r="R177" s="601"/>
      <c r="S177" s="625"/>
      <c r="T177" s="625"/>
      <c r="U177" s="601"/>
      <c r="V177" s="626"/>
      <c r="X177" s="573"/>
    </row>
    <row r="178" spans="1:24" ht="13.5" customHeight="1" thickBot="1">
      <c r="C178" s="569"/>
      <c r="D178" s="627"/>
      <c r="E178" s="627"/>
      <c r="F178" s="627"/>
      <c r="G178" s="627"/>
      <c r="H178" s="627"/>
      <c r="I178" s="592"/>
      <c r="J178" s="592"/>
      <c r="K178" s="592"/>
      <c r="L178" s="592"/>
      <c r="M178" s="592"/>
      <c r="N178" s="592"/>
      <c r="O178" s="592"/>
      <c r="P178" s="592"/>
      <c r="Q178" s="592"/>
      <c r="R178" s="592"/>
      <c r="S178" s="592"/>
      <c r="T178" s="592"/>
      <c r="U178" s="592"/>
      <c r="V178" s="593"/>
      <c r="X178" s="573"/>
    </row>
    <row r="179" spans="1:24" ht="28.9" customHeight="1" thickTop="1">
      <c r="C179" s="1415" t="s">
        <v>162</v>
      </c>
      <c r="D179" s="1416"/>
      <c r="E179" s="1416"/>
      <c r="F179" s="1416"/>
      <c r="G179" s="1417"/>
      <c r="H179" s="594">
        <v>1</v>
      </c>
      <c r="I179" s="595"/>
      <c r="J179" s="1405"/>
      <c r="K179" s="1406"/>
      <c r="L179" s="596">
        <f>SUM(K181:K184)</f>
        <v>0</v>
      </c>
      <c r="M179" s="1407">
        <v>0</v>
      </c>
      <c r="N179" s="1408"/>
      <c r="O179" s="596">
        <f>SUM(N181:N184)</f>
        <v>0</v>
      </c>
      <c r="P179" s="1407">
        <v>2</v>
      </c>
      <c r="Q179" s="1408"/>
      <c r="R179" s="596">
        <f>SUM(Q181:Q184)</f>
        <v>17089.280000000002</v>
      </c>
      <c r="S179" s="1409">
        <v>2</v>
      </c>
      <c r="T179" s="1407"/>
      <c r="U179" s="596">
        <f>SUM(T181:T184)</f>
        <v>17772.851200000001</v>
      </c>
      <c r="V179" s="598">
        <f>SUM(L179,O179,R179,U179,)</f>
        <v>34862.131200000003</v>
      </c>
      <c r="X179" s="573"/>
    </row>
    <row r="180" spans="1:24" ht="15.6" thickBot="1">
      <c r="C180" s="599" t="s">
        <v>283</v>
      </c>
      <c r="D180" s="600"/>
      <c r="E180" s="600"/>
      <c r="F180" s="600"/>
      <c r="G180" s="601"/>
      <c r="H180" s="600"/>
      <c r="I180" s="600"/>
      <c r="J180" s="602"/>
      <c r="K180" s="600"/>
      <c r="L180" s="601"/>
      <c r="M180" s="602"/>
      <c r="N180" s="600"/>
      <c r="O180" s="603"/>
      <c r="P180" s="602"/>
      <c r="Q180" s="600"/>
      <c r="R180" s="603"/>
      <c r="S180" s="602"/>
      <c r="T180" s="600"/>
      <c r="U180" s="603"/>
      <c r="V180" s="604"/>
      <c r="X180" s="573"/>
    </row>
    <row r="181" spans="1:24">
      <c r="A181" s="1010" t="s">
        <v>246</v>
      </c>
      <c r="B181" s="1010">
        <v>86000</v>
      </c>
      <c r="C181" s="605" t="s">
        <v>247</v>
      </c>
      <c r="D181" s="1074">
        <v>50</v>
      </c>
      <c r="E181" s="607" t="s">
        <v>248</v>
      </c>
      <c r="F181" s="606">
        <f>parttransp</f>
        <v>4</v>
      </c>
      <c r="G181" s="607" t="s">
        <v>249</v>
      </c>
      <c r="H181" s="608">
        <v>4</v>
      </c>
      <c r="I181" s="608">
        <f>D181*F181*H181</f>
        <v>800</v>
      </c>
      <c r="J181" s="609"/>
      <c r="K181" s="608">
        <f>$I181*J179*L$16</f>
        <v>0</v>
      </c>
      <c r="M181" s="609"/>
      <c r="N181" s="608">
        <f>$I181*M179*O$16</f>
        <v>0</v>
      </c>
      <c r="O181" s="610"/>
      <c r="P181" s="609"/>
      <c r="Q181" s="608">
        <f>$I181*P179*R$16</f>
        <v>1730.5600000000002</v>
      </c>
      <c r="R181" s="610"/>
      <c r="S181" s="609"/>
      <c r="T181" s="608">
        <f>$I181*S179*U$16</f>
        <v>1799.7824000000001</v>
      </c>
      <c r="U181" s="610"/>
      <c r="V181" s="598">
        <f t="shared" ref="V181:V184" si="41">T181+Q181+N181+K181</f>
        <v>3530.3424000000005</v>
      </c>
      <c r="X181" s="573"/>
    </row>
    <row r="182" spans="1:24">
      <c r="A182" s="1010" t="s">
        <v>250</v>
      </c>
      <c r="B182" s="1010">
        <v>87000</v>
      </c>
      <c r="C182" s="605" t="s">
        <v>251</v>
      </c>
      <c r="D182" s="1074">
        <v>50</v>
      </c>
      <c r="E182" s="607" t="s">
        <v>248</v>
      </c>
      <c r="F182" s="606">
        <f>coffee+lunch</f>
        <v>16</v>
      </c>
      <c r="G182" s="607" t="s">
        <v>249</v>
      </c>
      <c r="H182" s="608">
        <v>4</v>
      </c>
      <c r="I182" s="608">
        <f t="shared" ref="I182:I189" si="42">D182*F182*H182</f>
        <v>3200</v>
      </c>
      <c r="J182" s="609"/>
      <c r="K182" s="608">
        <f>$I182*J179*L$16</f>
        <v>0</v>
      </c>
      <c r="M182" s="609"/>
      <c r="N182" s="608">
        <f>$I182*M179*O$16</f>
        <v>0</v>
      </c>
      <c r="O182" s="610"/>
      <c r="P182" s="609"/>
      <c r="Q182" s="608">
        <f>$I182*P179*R$16</f>
        <v>6922.2400000000007</v>
      </c>
      <c r="R182" s="610"/>
      <c r="S182" s="609"/>
      <c r="T182" s="608">
        <f>$I182*S179*U$16</f>
        <v>7199.1296000000002</v>
      </c>
      <c r="U182" s="610"/>
      <c r="V182" s="598">
        <f t="shared" si="41"/>
        <v>14121.369600000002</v>
      </c>
      <c r="X182" s="573"/>
    </row>
    <row r="183" spans="1:24">
      <c r="C183" s="605" t="s">
        <v>264</v>
      </c>
      <c r="D183" s="1074">
        <v>25</v>
      </c>
      <c r="E183" s="607" t="s">
        <v>248</v>
      </c>
      <c r="F183" s="606">
        <f>partlodg</f>
        <v>60</v>
      </c>
      <c r="G183" s="607" t="s">
        <v>249</v>
      </c>
      <c r="H183" s="608">
        <v>2</v>
      </c>
      <c r="I183" s="608">
        <f t="shared" ref="I183" si="43">D183*F183*H183</f>
        <v>3000</v>
      </c>
      <c r="J183" s="609"/>
      <c r="K183" s="608"/>
      <c r="M183" s="609"/>
      <c r="N183" s="608"/>
      <c r="O183" s="610"/>
      <c r="P183" s="609"/>
      <c r="Q183" s="608">
        <f>$I183*$P$179*R$16</f>
        <v>6489.6</v>
      </c>
      <c r="R183" s="610"/>
      <c r="S183" s="609"/>
      <c r="T183" s="608">
        <f>$I183*$S$179*U$16</f>
        <v>6749.1840000000002</v>
      </c>
      <c r="U183" s="610"/>
      <c r="V183" s="598">
        <f t="shared" si="41"/>
        <v>13238.784</v>
      </c>
      <c r="X183" s="573"/>
    </row>
    <row r="184" spans="1:24">
      <c r="A184" s="1010" t="s">
        <v>252</v>
      </c>
      <c r="B184" s="1010">
        <v>82420</v>
      </c>
      <c r="C184" s="1073" t="s">
        <v>285</v>
      </c>
      <c r="D184" s="1074">
        <v>300</v>
      </c>
      <c r="E184" s="607" t="s">
        <v>277</v>
      </c>
      <c r="F184" s="606">
        <f>mats</f>
        <v>3</v>
      </c>
      <c r="G184" s="612" t="str">
        <f>E184</f>
        <v>activity</v>
      </c>
      <c r="H184" s="608">
        <f>IF(D184=0,0,1)</f>
        <v>1</v>
      </c>
      <c r="I184" s="608">
        <f t="shared" si="42"/>
        <v>900</v>
      </c>
      <c r="J184" s="609"/>
      <c r="K184" s="608">
        <f>$I184*J179*L$16</f>
        <v>0</v>
      </c>
      <c r="M184" s="609"/>
      <c r="N184" s="608">
        <f>$I184*M179*O$16</f>
        <v>0</v>
      </c>
      <c r="O184" s="610"/>
      <c r="P184" s="609"/>
      <c r="Q184" s="608">
        <f>$I184*P179*R$16</f>
        <v>1946.88</v>
      </c>
      <c r="R184" s="610"/>
      <c r="S184" s="609"/>
      <c r="T184" s="608">
        <f>$I184*S179*U$16</f>
        <v>2024.7552000000001</v>
      </c>
      <c r="U184" s="610"/>
      <c r="V184" s="598">
        <f t="shared" si="41"/>
        <v>3971.6352000000002</v>
      </c>
      <c r="X184" s="573"/>
    </row>
    <row r="185" spans="1:24" ht="15.9" thickTop="1" thickBot="1">
      <c r="C185" s="613" t="s">
        <v>260</v>
      </c>
      <c r="D185" s="608"/>
      <c r="E185" s="614"/>
      <c r="F185" s="608"/>
      <c r="G185" s="608"/>
      <c r="H185" s="608"/>
      <c r="I185" s="608"/>
      <c r="J185" s="609"/>
      <c r="K185" s="608"/>
      <c r="M185" s="609"/>
      <c r="N185" s="608"/>
      <c r="O185" s="610"/>
      <c r="P185" s="609"/>
      <c r="Q185" s="608"/>
      <c r="R185" s="610"/>
      <c r="S185" s="609"/>
      <c r="T185" s="608"/>
      <c r="U185" s="610"/>
      <c r="V185" s="598"/>
      <c r="X185" s="573"/>
    </row>
    <row r="186" spans="1:24">
      <c r="C186" s="605" t="s">
        <v>261</v>
      </c>
      <c r="D186" s="606">
        <v>2</v>
      </c>
      <c r="E186" s="607" t="s">
        <v>248</v>
      </c>
      <c r="F186" s="1074">
        <f>Assumptions!D73</f>
        <v>195</v>
      </c>
      <c r="G186" s="607" t="s">
        <v>262</v>
      </c>
      <c r="H186" s="608">
        <v>1</v>
      </c>
      <c r="I186" s="608">
        <f t="shared" si="42"/>
        <v>390</v>
      </c>
      <c r="J186" s="609"/>
      <c r="K186" s="608"/>
      <c r="M186" s="609"/>
      <c r="N186" s="608"/>
      <c r="O186" s="610"/>
      <c r="P186" s="609"/>
      <c r="Q186" s="608">
        <f>$I186*$P$179*R$16</f>
        <v>843.64800000000014</v>
      </c>
      <c r="R186" s="610"/>
      <c r="S186" s="609"/>
      <c r="T186" s="608">
        <f>$I186*$S$179*U$16</f>
        <v>877.39392000000009</v>
      </c>
      <c r="U186" s="610"/>
      <c r="V186" s="598">
        <v>0</v>
      </c>
      <c r="X186" s="573"/>
    </row>
    <row r="187" spans="1:24" ht="15.9" thickTop="1" thickBot="1">
      <c r="C187" s="605" t="s">
        <v>263</v>
      </c>
      <c r="D187" s="606">
        <v>2</v>
      </c>
      <c r="E187" s="607" t="s">
        <v>248</v>
      </c>
      <c r="F187" s="606">
        <f>partground</f>
        <v>9</v>
      </c>
      <c r="G187" s="607" t="s">
        <v>249</v>
      </c>
      <c r="H187" s="608">
        <v>2</v>
      </c>
      <c r="I187" s="608">
        <f t="shared" si="42"/>
        <v>36</v>
      </c>
      <c r="J187" s="609"/>
      <c r="K187" s="608"/>
      <c r="M187" s="609"/>
      <c r="N187" s="608"/>
      <c r="O187" s="610"/>
      <c r="P187" s="609"/>
      <c r="Q187" s="608">
        <f>$I187*$P$179*R$16</f>
        <v>77.875200000000007</v>
      </c>
      <c r="R187" s="610"/>
      <c r="S187" s="609"/>
      <c r="T187" s="608">
        <f>$I187*$S$179*U$16</f>
        <v>80.99020800000001</v>
      </c>
      <c r="U187" s="610"/>
      <c r="V187" s="598">
        <v>0</v>
      </c>
      <c r="X187" s="573"/>
    </row>
    <row r="188" spans="1:24" ht="15.9" thickTop="1" thickBot="1">
      <c r="C188" s="605" t="s">
        <v>264</v>
      </c>
      <c r="D188" s="606">
        <v>2</v>
      </c>
      <c r="E188" s="607" t="s">
        <v>248</v>
      </c>
      <c r="F188" s="606">
        <f>Assumptions!D70</f>
        <v>122</v>
      </c>
      <c r="G188" s="607" t="s">
        <v>249</v>
      </c>
      <c r="H188" s="608">
        <v>1</v>
      </c>
      <c r="I188" s="608">
        <f t="shared" si="42"/>
        <v>244</v>
      </c>
      <c r="J188" s="609"/>
      <c r="K188" s="608"/>
      <c r="M188" s="609"/>
      <c r="N188" s="608"/>
      <c r="O188" s="610"/>
      <c r="P188" s="609"/>
      <c r="Q188" s="608">
        <f>$I188*$P$179*R$16</f>
        <v>527.82080000000008</v>
      </c>
      <c r="R188" s="610"/>
      <c r="S188" s="609"/>
      <c r="T188" s="608">
        <f>$I188*$S$179*U$16</f>
        <v>548.93363199999999</v>
      </c>
      <c r="U188" s="610"/>
      <c r="V188" s="598">
        <v>0</v>
      </c>
      <c r="X188" s="573"/>
    </row>
    <row r="189" spans="1:24" ht="15.9" thickTop="1" thickBot="1">
      <c r="C189" s="605" t="s">
        <v>265</v>
      </c>
      <c r="D189" s="606">
        <v>2</v>
      </c>
      <c r="E189" s="607" t="s">
        <v>248</v>
      </c>
      <c r="F189" s="606">
        <f>partmeals</f>
        <v>47</v>
      </c>
      <c r="G189" s="607" t="s">
        <v>249</v>
      </c>
      <c r="H189" s="608">
        <v>2</v>
      </c>
      <c r="I189" s="608">
        <f t="shared" si="42"/>
        <v>188</v>
      </c>
      <c r="J189" s="609"/>
      <c r="K189" s="608"/>
      <c r="M189" s="609"/>
      <c r="N189" s="608"/>
      <c r="O189" s="610"/>
      <c r="P189" s="609"/>
      <c r="Q189" s="608">
        <f>$I189*$P$179*R$16</f>
        <v>406.68160000000006</v>
      </c>
      <c r="R189" s="610"/>
      <c r="S189" s="609"/>
      <c r="T189" s="608">
        <f>$I189*$S$179*U$16</f>
        <v>422.94886400000001</v>
      </c>
      <c r="U189" s="610"/>
      <c r="V189" s="598">
        <v>0</v>
      </c>
      <c r="X189" s="573"/>
    </row>
    <row r="190" spans="1:24" ht="15.9" thickTop="1" thickBot="1">
      <c r="C190" s="613" t="s">
        <v>260</v>
      </c>
      <c r="D190" s="608"/>
      <c r="E190" s="614"/>
      <c r="F190" s="608"/>
      <c r="G190" s="608"/>
      <c r="H190" s="608"/>
      <c r="I190" s="608"/>
      <c r="J190" s="609"/>
      <c r="K190" s="608"/>
      <c r="M190" s="609"/>
      <c r="N190" s="608"/>
      <c r="O190" s="610"/>
      <c r="P190" s="609"/>
      <c r="Q190" s="608"/>
      <c r="R190" s="610"/>
      <c r="S190" s="609"/>
      <c r="T190" s="608"/>
      <c r="U190" s="610"/>
      <c r="V190" s="598"/>
      <c r="X190" s="573"/>
    </row>
    <row r="191" spans="1:24" ht="15.9" thickTop="1" thickBot="1">
      <c r="C191" s="605" t="s">
        <v>266</v>
      </c>
      <c r="D191" s="606">
        <v>2</v>
      </c>
      <c r="E191" s="607" t="s">
        <v>248</v>
      </c>
      <c r="F191" s="606">
        <f>partground</f>
        <v>9</v>
      </c>
      <c r="G191" s="607" t="s">
        <v>262</v>
      </c>
      <c r="H191" s="608">
        <f>IF(D191=0,0,1)</f>
        <v>1</v>
      </c>
      <c r="I191" s="608">
        <f t="shared" ref="I191:I193" si="44">D191*F191*H191</f>
        <v>18</v>
      </c>
      <c r="J191" s="609"/>
      <c r="K191" s="608"/>
      <c r="M191" s="609"/>
      <c r="N191" s="608"/>
      <c r="O191" s="610"/>
      <c r="P191" s="609"/>
      <c r="Q191" s="608">
        <f>$I191*$P$179*R$16</f>
        <v>38.937600000000003</v>
      </c>
      <c r="R191" s="610"/>
      <c r="S191" s="609"/>
      <c r="T191" s="608">
        <f>$I191*$S$179*U$16</f>
        <v>40.495104000000005</v>
      </c>
      <c r="U191" s="610"/>
      <c r="V191" s="598">
        <v>0</v>
      </c>
      <c r="X191" s="573"/>
    </row>
    <row r="192" spans="1:24" ht="15.9" thickTop="1" thickBot="1">
      <c r="C192" s="605" t="s">
        <v>267</v>
      </c>
      <c r="D192" s="606">
        <v>2</v>
      </c>
      <c r="E192" s="607" t="s">
        <v>248</v>
      </c>
      <c r="F192" s="606">
        <f>partground</f>
        <v>9</v>
      </c>
      <c r="G192" s="607" t="s">
        <v>249</v>
      </c>
      <c r="H192" s="608">
        <f>IF(D192=0,0,1)</f>
        <v>1</v>
      </c>
      <c r="I192" s="608">
        <f t="shared" si="44"/>
        <v>18</v>
      </c>
      <c r="J192" s="609"/>
      <c r="K192" s="608"/>
      <c r="M192" s="609"/>
      <c r="N192" s="608"/>
      <c r="O192" s="610"/>
      <c r="P192" s="609"/>
      <c r="Q192" s="608">
        <f>$I192*$P$179*R$16</f>
        <v>38.937600000000003</v>
      </c>
      <c r="R192" s="610"/>
      <c r="S192" s="609"/>
      <c r="T192" s="608">
        <f>$I192*$S$179*U$16</f>
        <v>40.495104000000005</v>
      </c>
      <c r="U192" s="610"/>
      <c r="V192" s="598">
        <v>0</v>
      </c>
      <c r="X192" s="573"/>
    </row>
    <row r="193" spans="1:24" ht="15.6" thickTop="1">
      <c r="C193" s="605" t="s">
        <v>265</v>
      </c>
      <c r="D193" s="606">
        <v>2</v>
      </c>
      <c r="E193" s="607" t="s">
        <v>248</v>
      </c>
      <c r="F193" s="606">
        <f>partmeals</f>
        <v>47</v>
      </c>
      <c r="G193" s="607" t="s">
        <v>249</v>
      </c>
      <c r="H193" s="608">
        <f>IF(D193=0,0,H179)</f>
        <v>1</v>
      </c>
      <c r="I193" s="608">
        <f t="shared" si="44"/>
        <v>94</v>
      </c>
      <c r="J193" s="609"/>
      <c r="K193" s="608"/>
      <c r="M193" s="609"/>
      <c r="N193" s="608"/>
      <c r="O193" s="610"/>
      <c r="P193" s="609"/>
      <c r="Q193" s="608">
        <f>$I193*$P$179*R$16</f>
        <v>203.34080000000003</v>
      </c>
      <c r="R193" s="610"/>
      <c r="S193" s="609"/>
      <c r="T193" s="608">
        <f>$I193*$S$179*U$16</f>
        <v>211.47443200000001</v>
      </c>
      <c r="U193" s="610"/>
      <c r="V193" s="598">
        <v>0</v>
      </c>
      <c r="X193" s="573"/>
    </row>
    <row r="194" spans="1:24">
      <c r="C194" s="621" t="s">
        <v>269</v>
      </c>
      <c r="D194" s="622"/>
      <c r="E194" s="622"/>
      <c r="F194" s="623"/>
      <c r="G194" s="1410">
        <f>SUM(I180:I193)</f>
        <v>8888</v>
      </c>
      <c r="H194" s="1411"/>
      <c r="I194" s="624"/>
      <c r="J194" s="625"/>
      <c r="K194" s="625"/>
      <c r="L194" s="601"/>
      <c r="M194" s="625"/>
      <c r="N194" s="625"/>
      <c r="O194" s="601"/>
      <c r="P194" s="625"/>
      <c r="Q194" s="625"/>
      <c r="R194" s="601"/>
      <c r="S194" s="625"/>
      <c r="T194" s="625"/>
      <c r="U194" s="601"/>
      <c r="V194" s="626"/>
      <c r="X194" s="573"/>
    </row>
    <row r="195" spans="1:24" ht="13.5" customHeight="1" thickBot="1">
      <c r="C195" s="569"/>
      <c r="D195" s="627"/>
      <c r="E195" s="627"/>
      <c r="F195" s="627"/>
      <c r="G195" s="627"/>
      <c r="H195" s="627"/>
      <c r="I195" s="592"/>
      <c r="J195" s="592"/>
      <c r="K195" s="592"/>
      <c r="L195" s="592"/>
      <c r="M195" s="592"/>
      <c r="N195" s="592"/>
      <c r="O195" s="592"/>
      <c r="P195" s="592"/>
      <c r="Q195" s="592"/>
      <c r="R195" s="592"/>
      <c r="S195" s="592"/>
      <c r="T195" s="592"/>
      <c r="U195" s="592"/>
      <c r="V195" s="593"/>
      <c r="X195" s="573"/>
    </row>
    <row r="196" spans="1:24" ht="33" customHeight="1" thickTop="1">
      <c r="C196" s="1418" t="s">
        <v>163</v>
      </c>
      <c r="D196" s="1419"/>
      <c r="E196" s="1419"/>
      <c r="F196" s="1419"/>
      <c r="G196" s="1420"/>
      <c r="H196" s="594">
        <v>1</v>
      </c>
      <c r="I196" s="595"/>
      <c r="J196" s="1405"/>
      <c r="K196" s="1406"/>
      <c r="L196" s="596"/>
      <c r="M196" s="1407">
        <v>0</v>
      </c>
      <c r="N196" s="1408"/>
      <c r="O196" s="597"/>
      <c r="P196" s="1407">
        <v>0</v>
      </c>
      <c r="Q196" s="1408"/>
      <c r="R196" s="597"/>
      <c r="S196" s="1409">
        <v>1</v>
      </c>
      <c r="T196" s="1407"/>
      <c r="U196" s="597">
        <f>SUM(T198:T202)</f>
        <v>12823.4496</v>
      </c>
      <c r="V196" s="598">
        <f>SUM(L196,O196,R196,U196,)</f>
        <v>12823.4496</v>
      </c>
      <c r="X196" s="573"/>
    </row>
    <row r="197" spans="1:24" ht="15.6" thickBot="1">
      <c r="C197" s="599" t="s">
        <v>283</v>
      </c>
      <c r="D197" s="600"/>
      <c r="E197" s="600"/>
      <c r="F197" s="600"/>
      <c r="G197" s="601"/>
      <c r="H197" s="600"/>
      <c r="I197" s="600"/>
      <c r="J197" s="602"/>
      <c r="K197" s="600"/>
      <c r="L197" s="601"/>
      <c r="M197" s="602"/>
      <c r="N197" s="600"/>
      <c r="O197" s="603"/>
      <c r="P197" s="602"/>
      <c r="Q197" s="600"/>
      <c r="R197" s="603"/>
      <c r="S197" s="602"/>
      <c r="T197" s="600"/>
      <c r="U197" s="603"/>
      <c r="V197" s="604"/>
      <c r="X197" s="573"/>
    </row>
    <row r="198" spans="1:24" ht="15.9" thickTop="1" thickBot="1">
      <c r="A198" s="1010" t="s">
        <v>246</v>
      </c>
      <c r="B198" s="1010">
        <v>86000</v>
      </c>
      <c r="C198" s="605" t="s">
        <v>247</v>
      </c>
      <c r="D198" s="606">
        <v>60</v>
      </c>
      <c r="E198" s="607" t="s">
        <v>248</v>
      </c>
      <c r="F198" s="606">
        <f>parttransp</f>
        <v>4</v>
      </c>
      <c r="G198" s="607" t="s">
        <v>249</v>
      </c>
      <c r="H198" s="608">
        <v>3</v>
      </c>
      <c r="I198" s="608">
        <f>D198*F198*H198</f>
        <v>720</v>
      </c>
      <c r="J198" s="609"/>
      <c r="K198" s="608"/>
      <c r="L198" s="607"/>
      <c r="M198" s="609"/>
      <c r="N198" s="608"/>
      <c r="O198" s="610"/>
      <c r="P198" s="609"/>
      <c r="Q198" s="608"/>
      <c r="R198" s="610"/>
      <c r="S198" s="609"/>
      <c r="T198" s="608">
        <f>$I198*$S$196*U$16</f>
        <v>809.90208000000007</v>
      </c>
      <c r="U198" s="610"/>
      <c r="V198" s="598">
        <f>T198+Q198+N198+K198</f>
        <v>809.90208000000007</v>
      </c>
      <c r="X198" s="573"/>
    </row>
    <row r="199" spans="1:24" ht="15.9" thickTop="1" thickBot="1">
      <c r="A199" s="1010" t="s">
        <v>250</v>
      </c>
      <c r="B199" s="1010">
        <v>87000</v>
      </c>
      <c r="C199" s="605" t="s">
        <v>251</v>
      </c>
      <c r="D199" s="976">
        <v>60</v>
      </c>
      <c r="E199" s="607" t="s">
        <v>248</v>
      </c>
      <c r="F199" s="606">
        <f>coffee+lunch</f>
        <v>16</v>
      </c>
      <c r="G199" s="607" t="s">
        <v>249</v>
      </c>
      <c r="H199" s="608">
        <v>3</v>
      </c>
      <c r="I199" s="608">
        <f>D199*F199*H199</f>
        <v>2880</v>
      </c>
      <c r="J199" s="609"/>
      <c r="K199" s="608"/>
      <c r="L199" s="607"/>
      <c r="M199" s="609"/>
      <c r="N199" s="608"/>
      <c r="O199" s="610"/>
      <c r="P199" s="609"/>
      <c r="Q199" s="608"/>
      <c r="R199" s="610"/>
      <c r="S199" s="609"/>
      <c r="T199" s="608">
        <f>$I199*$S$196*U$16</f>
        <v>3239.6083200000003</v>
      </c>
      <c r="U199" s="610"/>
      <c r="V199" s="598">
        <f t="shared" ref="V199:V200" si="45">T199+Q199+N199+K199</f>
        <v>3239.6083200000003</v>
      </c>
      <c r="X199" s="573"/>
    </row>
    <row r="200" spans="1:24">
      <c r="A200" s="1009" t="s">
        <v>255</v>
      </c>
      <c r="B200" s="1009">
        <v>85300</v>
      </c>
      <c r="C200" s="1073" t="s">
        <v>256</v>
      </c>
      <c r="D200" s="606">
        <v>6</v>
      </c>
      <c r="E200" s="607" t="s">
        <v>257</v>
      </c>
      <c r="F200" s="606">
        <f>guideprint</f>
        <v>200</v>
      </c>
      <c r="G200" s="612" t="str">
        <f>E200</f>
        <v>canton</v>
      </c>
      <c r="H200" s="608">
        <f>IF(D200=0,0,1)</f>
        <v>1</v>
      </c>
      <c r="I200" s="608">
        <f t="shared" ref="I200" si="46">D200*F200*H200</f>
        <v>1200</v>
      </c>
      <c r="J200" s="609"/>
      <c r="K200" s="608"/>
      <c r="L200" s="607"/>
      <c r="M200" s="609"/>
      <c r="N200" s="608"/>
      <c r="O200" s="610"/>
      <c r="P200" s="609"/>
      <c r="Q200" s="608"/>
      <c r="R200" s="610"/>
      <c r="S200" s="609"/>
      <c r="T200" s="608">
        <f>$I200*$S$196*U$16</f>
        <v>1349.8368</v>
      </c>
      <c r="U200" s="610"/>
      <c r="V200" s="598">
        <f t="shared" si="45"/>
        <v>1349.8368</v>
      </c>
      <c r="X200" s="573"/>
    </row>
    <row r="201" spans="1:24">
      <c r="A201" s="1010" t="s">
        <v>258</v>
      </c>
      <c r="B201" s="1010">
        <v>81000</v>
      </c>
      <c r="C201" s="1073" t="s">
        <v>294</v>
      </c>
      <c r="D201" s="606">
        <v>1</v>
      </c>
      <c r="E201" s="607" t="s">
        <v>248</v>
      </c>
      <c r="F201" s="606">
        <f>localcons</f>
        <v>300</v>
      </c>
      <c r="G201" s="607" t="s">
        <v>249</v>
      </c>
      <c r="H201" s="606">
        <v>4</v>
      </c>
      <c r="I201" s="608">
        <f>D201*F201*H201</f>
        <v>1200</v>
      </c>
      <c r="J201" s="609"/>
      <c r="K201" s="608"/>
      <c r="L201" s="607"/>
      <c r="M201" s="609"/>
      <c r="N201" s="608"/>
      <c r="O201" s="610"/>
      <c r="P201" s="609"/>
      <c r="Q201" s="608"/>
      <c r="R201" s="610"/>
      <c r="S201" s="609"/>
      <c r="T201" s="608">
        <f>$I201*$S$196*U$16</f>
        <v>1349.8368</v>
      </c>
      <c r="U201" s="610"/>
      <c r="V201" s="598">
        <f>T201+Q201+N201+K201</f>
        <v>1349.8368</v>
      </c>
      <c r="X201" s="573"/>
    </row>
    <row r="202" spans="1:24">
      <c r="C202" s="1073" t="s">
        <v>295</v>
      </c>
      <c r="D202" s="606">
        <v>1</v>
      </c>
      <c r="E202" s="607" t="s">
        <v>248</v>
      </c>
      <c r="F202" s="1079">
        <f>surveyor</f>
        <v>9</v>
      </c>
      <c r="G202" s="607" t="s">
        <v>296</v>
      </c>
      <c r="H202" s="608">
        <v>600</v>
      </c>
      <c r="I202" s="608">
        <f>D202*F202*H202</f>
        <v>5400</v>
      </c>
      <c r="J202" s="609"/>
      <c r="K202" s="608"/>
      <c r="L202" s="607"/>
      <c r="M202" s="609"/>
      <c r="N202" s="608"/>
      <c r="O202" s="610"/>
      <c r="P202" s="609"/>
      <c r="Q202" s="608"/>
      <c r="R202" s="610"/>
      <c r="S202" s="609"/>
      <c r="T202" s="608">
        <f>$I202*$S$196*U$16</f>
        <v>6074.2656000000006</v>
      </c>
      <c r="U202" s="610"/>
      <c r="V202" s="598">
        <f>T202+Q202+N202+K202</f>
        <v>6074.2656000000006</v>
      </c>
      <c r="X202" s="573"/>
    </row>
    <row r="203" spans="1:24">
      <c r="C203" s="1072" t="s">
        <v>260</v>
      </c>
      <c r="D203" s="608"/>
      <c r="E203" s="614"/>
      <c r="F203" s="608"/>
      <c r="G203" s="608"/>
      <c r="H203" s="608"/>
      <c r="I203" s="608"/>
      <c r="J203" s="609"/>
      <c r="K203" s="608"/>
      <c r="L203" s="607"/>
      <c r="M203" s="609"/>
      <c r="N203" s="608"/>
      <c r="O203" s="610"/>
      <c r="P203" s="609"/>
      <c r="Q203" s="608"/>
      <c r="R203" s="610"/>
      <c r="S203" s="609"/>
      <c r="T203" s="608"/>
      <c r="U203" s="610"/>
      <c r="V203" s="611"/>
      <c r="X203" s="573"/>
    </row>
    <row r="204" spans="1:24">
      <c r="C204" s="1073" t="s">
        <v>297</v>
      </c>
      <c r="D204" s="606">
        <v>3</v>
      </c>
      <c r="E204" s="607" t="s">
        <v>248</v>
      </c>
      <c r="F204" s="606">
        <f>Assumptions!D73</f>
        <v>195</v>
      </c>
      <c r="G204" s="607" t="s">
        <v>262</v>
      </c>
      <c r="H204" s="608">
        <v>3</v>
      </c>
      <c r="I204" s="608">
        <f t="shared" ref="I204:I207" si="47">D204*F204*H204</f>
        <v>1755</v>
      </c>
      <c r="J204" s="609"/>
      <c r="K204" s="608"/>
      <c r="L204" s="607"/>
      <c r="M204" s="609"/>
      <c r="N204" s="608"/>
      <c r="O204" s="610"/>
      <c r="P204" s="609"/>
      <c r="Q204" s="608"/>
      <c r="R204" s="610"/>
      <c r="S204" s="609"/>
      <c r="T204" s="608">
        <f>$I204*$S$196*U$16</f>
        <v>1974.1363200000001</v>
      </c>
      <c r="U204" s="610"/>
      <c r="V204" s="598"/>
      <c r="X204" s="573"/>
    </row>
    <row r="205" spans="1:24">
      <c r="C205" s="1073" t="s">
        <v>298</v>
      </c>
      <c r="D205" s="606">
        <v>3</v>
      </c>
      <c r="E205" s="607" t="s">
        <v>248</v>
      </c>
      <c r="F205" s="606">
        <f>partground</f>
        <v>9</v>
      </c>
      <c r="G205" s="607" t="s">
        <v>249</v>
      </c>
      <c r="H205" s="608">
        <v>12</v>
      </c>
      <c r="I205" s="608">
        <f t="shared" si="47"/>
        <v>324</v>
      </c>
      <c r="J205" s="609"/>
      <c r="K205" s="608"/>
      <c r="L205" s="607"/>
      <c r="M205" s="609"/>
      <c r="N205" s="608"/>
      <c r="O205" s="610"/>
      <c r="P205" s="609"/>
      <c r="Q205" s="608"/>
      <c r="R205" s="610"/>
      <c r="S205" s="609"/>
      <c r="T205" s="608">
        <f>$I205*$S$196*U$16</f>
        <v>364.45593600000001</v>
      </c>
      <c r="U205" s="610"/>
      <c r="V205" s="598"/>
      <c r="X205" s="573"/>
    </row>
    <row r="206" spans="1:24">
      <c r="C206" s="1073" t="s">
        <v>264</v>
      </c>
      <c r="D206" s="606">
        <v>3</v>
      </c>
      <c r="E206" s="607" t="s">
        <v>248</v>
      </c>
      <c r="F206" s="606">
        <f>Assumptions!D70</f>
        <v>122</v>
      </c>
      <c r="G206" s="607" t="s">
        <v>249</v>
      </c>
      <c r="H206" s="608">
        <v>12</v>
      </c>
      <c r="I206" s="608">
        <f t="shared" si="47"/>
        <v>4392</v>
      </c>
      <c r="J206" s="609"/>
      <c r="K206" s="608"/>
      <c r="L206" s="607"/>
      <c r="M206" s="609"/>
      <c r="N206" s="608"/>
      <c r="O206" s="610"/>
      <c r="P206" s="609"/>
      <c r="Q206" s="608"/>
      <c r="R206" s="610"/>
      <c r="S206" s="609"/>
      <c r="T206" s="608">
        <f>$I206*$S$196*U$16</f>
        <v>4940.4026880000001</v>
      </c>
      <c r="U206" s="610"/>
      <c r="V206" s="598"/>
      <c r="X206" s="573"/>
    </row>
    <row r="207" spans="1:24">
      <c r="C207" s="1073" t="s">
        <v>265</v>
      </c>
      <c r="D207" s="606">
        <v>3</v>
      </c>
      <c r="E207" s="607" t="s">
        <v>248</v>
      </c>
      <c r="F207" s="606">
        <f>partmeals</f>
        <v>47</v>
      </c>
      <c r="G207" s="607" t="s">
        <v>249</v>
      </c>
      <c r="H207" s="608">
        <v>12</v>
      </c>
      <c r="I207" s="608">
        <f t="shared" si="47"/>
        <v>1692</v>
      </c>
      <c r="J207" s="609"/>
      <c r="K207" s="608"/>
      <c r="L207" s="607"/>
      <c r="M207" s="609"/>
      <c r="N207" s="608"/>
      <c r="O207" s="610"/>
      <c r="P207" s="609"/>
      <c r="Q207" s="608"/>
      <c r="R207" s="610"/>
      <c r="S207" s="609"/>
      <c r="T207" s="608">
        <f>$I207*$S$196*U$16</f>
        <v>1903.269888</v>
      </c>
      <c r="U207" s="610"/>
      <c r="V207" s="598"/>
      <c r="X207" s="573"/>
    </row>
    <row r="208" spans="1:24">
      <c r="C208" s="1072" t="s">
        <v>260</v>
      </c>
      <c r="D208" s="608"/>
      <c r="E208" s="614"/>
      <c r="F208" s="608"/>
      <c r="G208" s="608"/>
      <c r="H208" s="608"/>
      <c r="I208" s="608"/>
      <c r="J208" s="609"/>
      <c r="K208" s="608"/>
      <c r="L208" s="607"/>
      <c r="M208" s="609"/>
      <c r="N208" s="608"/>
      <c r="O208" s="610"/>
      <c r="P208" s="609"/>
      <c r="Q208" s="608"/>
      <c r="R208" s="610"/>
      <c r="S208" s="609"/>
      <c r="T208" s="608"/>
      <c r="U208" s="610"/>
      <c r="V208" s="598"/>
      <c r="X208" s="573"/>
    </row>
    <row r="209" spans="1:24">
      <c r="C209" s="1073" t="s">
        <v>266</v>
      </c>
      <c r="D209" s="606">
        <v>3</v>
      </c>
      <c r="E209" s="607" t="s">
        <v>248</v>
      </c>
      <c r="F209" s="606">
        <f>partground</f>
        <v>9</v>
      </c>
      <c r="G209" s="607" t="s">
        <v>262</v>
      </c>
      <c r="H209" s="608">
        <v>10</v>
      </c>
      <c r="I209" s="608">
        <f t="shared" ref="I209:I211" si="48">D209*F209*H209</f>
        <v>270</v>
      </c>
      <c r="J209" s="609"/>
      <c r="K209" s="608"/>
      <c r="L209" s="607"/>
      <c r="M209" s="609"/>
      <c r="N209" s="608"/>
      <c r="O209" s="610"/>
      <c r="P209" s="609"/>
      <c r="Q209" s="608"/>
      <c r="R209" s="610"/>
      <c r="S209" s="609"/>
      <c r="T209" s="608">
        <f>$I209*$S$196*U$16</f>
        <v>303.71328</v>
      </c>
      <c r="U209" s="610"/>
      <c r="V209" s="598"/>
      <c r="X209" s="573"/>
    </row>
    <row r="210" spans="1:24">
      <c r="C210" s="1073" t="s">
        <v>267</v>
      </c>
      <c r="D210" s="606">
        <v>3</v>
      </c>
      <c r="E210" s="607" t="s">
        <v>248</v>
      </c>
      <c r="F210" s="606">
        <f>partground</f>
        <v>9</v>
      </c>
      <c r="G210" s="607" t="s">
        <v>249</v>
      </c>
      <c r="H210" s="608">
        <v>10</v>
      </c>
      <c r="I210" s="608">
        <f t="shared" si="48"/>
        <v>270</v>
      </c>
      <c r="J210" s="609"/>
      <c r="K210" s="608"/>
      <c r="L210" s="607"/>
      <c r="M210" s="609"/>
      <c r="N210" s="608"/>
      <c r="O210" s="610"/>
      <c r="P210" s="609"/>
      <c r="Q210" s="608"/>
      <c r="R210" s="610"/>
      <c r="S210" s="609"/>
      <c r="T210" s="608">
        <f>$I210*$S$196*U$16</f>
        <v>303.71328</v>
      </c>
      <c r="U210" s="610"/>
      <c r="V210" s="598"/>
      <c r="X210" s="573"/>
    </row>
    <row r="211" spans="1:24">
      <c r="C211" s="1073" t="s">
        <v>265</v>
      </c>
      <c r="D211" s="606">
        <v>3</v>
      </c>
      <c r="E211" s="607" t="s">
        <v>248</v>
      </c>
      <c r="F211" s="606">
        <f>partmeals</f>
        <v>47</v>
      </c>
      <c r="G211" s="607" t="s">
        <v>249</v>
      </c>
      <c r="H211" s="608">
        <v>10</v>
      </c>
      <c r="I211" s="608">
        <f t="shared" si="48"/>
        <v>1410</v>
      </c>
      <c r="J211" s="609"/>
      <c r="K211" s="608"/>
      <c r="L211" s="607"/>
      <c r="M211" s="609"/>
      <c r="N211" s="608"/>
      <c r="O211" s="610"/>
      <c r="P211" s="609"/>
      <c r="Q211" s="608"/>
      <c r="R211" s="610"/>
      <c r="S211" s="609"/>
      <c r="T211" s="608">
        <f>$I211*$S$196*U$16</f>
        <v>1586.0582400000001</v>
      </c>
      <c r="U211" s="610"/>
      <c r="V211" s="598"/>
      <c r="X211" s="573"/>
    </row>
    <row r="212" spans="1:24" ht="15.6" thickTop="1">
      <c r="C212" s="615"/>
      <c r="D212" s="616"/>
      <c r="E212" s="617"/>
      <c r="F212" s="977"/>
      <c r="G212" s="617"/>
      <c r="H212" s="977"/>
      <c r="I212" s="616"/>
      <c r="J212" s="616"/>
      <c r="K212" s="616"/>
      <c r="L212" s="619"/>
      <c r="M212" s="618"/>
      <c r="N212" s="616"/>
      <c r="O212" s="620"/>
      <c r="P212" s="618"/>
      <c r="Q212" s="616"/>
      <c r="R212" s="620"/>
      <c r="S212" s="618"/>
      <c r="T212" s="616"/>
      <c r="U212" s="620"/>
      <c r="V212" s="598"/>
      <c r="X212" s="573"/>
    </row>
    <row r="213" spans="1:24">
      <c r="C213" s="621" t="s">
        <v>269</v>
      </c>
      <c r="D213" s="622"/>
      <c r="E213" s="622"/>
      <c r="F213" s="623"/>
      <c r="G213" s="1410">
        <f>SUM(I197:I212)</f>
        <v>21513</v>
      </c>
      <c r="H213" s="1411"/>
      <c r="I213" s="978"/>
      <c r="J213" s="979"/>
      <c r="K213" s="979"/>
      <c r="L213" s="601"/>
      <c r="M213" s="625"/>
      <c r="N213" s="625"/>
      <c r="O213" s="601"/>
      <c r="P213" s="625"/>
      <c r="Q213" s="625"/>
      <c r="R213" s="601"/>
      <c r="S213" s="625"/>
      <c r="T213" s="625"/>
      <c r="U213" s="601"/>
      <c r="V213" s="626"/>
      <c r="W213" s="1080"/>
      <c r="X213" s="573"/>
    </row>
    <row r="214" spans="1:24" ht="13.5" customHeight="1">
      <c r="C214" s="569"/>
      <c r="D214" s="627"/>
      <c r="E214" s="627"/>
      <c r="F214" s="627"/>
      <c r="G214" s="627"/>
      <c r="H214" s="627"/>
      <c r="I214" s="592"/>
      <c r="J214" s="592"/>
      <c r="K214" s="592"/>
      <c r="L214" s="592"/>
      <c r="M214" s="592"/>
      <c r="N214" s="592"/>
      <c r="O214" s="592"/>
      <c r="P214" s="592"/>
      <c r="Q214" s="592"/>
      <c r="R214" s="592"/>
      <c r="S214" s="592"/>
      <c r="T214" s="592"/>
      <c r="U214" s="592"/>
      <c r="V214" s="593"/>
      <c r="X214" s="573"/>
    </row>
    <row r="215" spans="1:24" ht="13.5" customHeight="1">
      <c r="C215" s="569"/>
      <c r="D215" s="627"/>
      <c r="E215" s="627"/>
      <c r="F215" s="627"/>
      <c r="G215" s="627"/>
      <c r="H215" s="627"/>
      <c r="I215" s="592"/>
      <c r="J215" s="592"/>
      <c r="K215" s="592"/>
      <c r="L215" s="592"/>
      <c r="M215" s="592"/>
      <c r="N215" s="592"/>
      <c r="O215" s="592"/>
      <c r="P215" s="592"/>
      <c r="Q215" s="592"/>
      <c r="R215" s="592"/>
      <c r="S215" s="592"/>
      <c r="T215" s="592"/>
      <c r="U215" s="592"/>
      <c r="V215" s="593"/>
      <c r="X215" s="573"/>
    </row>
    <row r="216" spans="1:24" ht="15.6" thickTop="1">
      <c r="C216" s="1402" t="s">
        <v>168</v>
      </c>
      <c r="D216" s="1403"/>
      <c r="E216" s="1403"/>
      <c r="F216" s="1403"/>
      <c r="G216" s="1404"/>
      <c r="H216" s="594">
        <v>1</v>
      </c>
      <c r="I216" s="595"/>
      <c r="J216" s="1405"/>
      <c r="K216" s="1406"/>
      <c r="L216" s="596">
        <f>SUM(K218:K220)</f>
        <v>0</v>
      </c>
      <c r="M216" s="1407">
        <v>6</v>
      </c>
      <c r="N216" s="1408"/>
      <c r="O216" s="597">
        <f>SUM(N218:N220)</f>
        <v>2808</v>
      </c>
      <c r="P216" s="1407">
        <v>0</v>
      </c>
      <c r="Q216" s="1408"/>
      <c r="R216" s="597">
        <f>SUM(Q217)</f>
        <v>0</v>
      </c>
      <c r="S216" s="1409"/>
      <c r="T216" s="1407"/>
      <c r="U216" s="597">
        <f>SUM(T218:T220)</f>
        <v>0</v>
      </c>
      <c r="V216" s="598">
        <f>SUM(L216,O216,R216,U216,)</f>
        <v>2808</v>
      </c>
      <c r="X216" s="573"/>
    </row>
    <row r="217" spans="1:24" ht="15.6" thickBot="1">
      <c r="C217" s="599" t="s">
        <v>283</v>
      </c>
      <c r="D217" s="600"/>
      <c r="E217" s="600"/>
      <c r="F217" s="600"/>
      <c r="G217" s="601"/>
      <c r="H217" s="600"/>
      <c r="I217" s="600"/>
      <c r="J217" s="602"/>
      <c r="K217" s="600"/>
      <c r="L217" s="601"/>
      <c r="M217" s="602"/>
      <c r="N217" s="600"/>
      <c r="O217" s="603"/>
      <c r="P217" s="602"/>
      <c r="Q217" s="600"/>
      <c r="R217" s="603"/>
      <c r="S217" s="602"/>
      <c r="T217" s="600"/>
      <c r="U217" s="603"/>
      <c r="V217" s="604"/>
      <c r="X217" s="573"/>
    </row>
    <row r="218" spans="1:24" ht="15.9" thickTop="1" thickBot="1">
      <c r="A218" s="1010" t="s">
        <v>246</v>
      </c>
      <c r="B218" s="1010">
        <v>86000</v>
      </c>
      <c r="C218" s="605" t="s">
        <v>247</v>
      </c>
      <c r="D218" s="606">
        <v>20</v>
      </c>
      <c r="E218" s="607" t="s">
        <v>248</v>
      </c>
      <c r="F218" s="606">
        <f>parttransp</f>
        <v>4</v>
      </c>
      <c r="G218" s="607" t="s">
        <v>249</v>
      </c>
      <c r="H218" s="608">
        <f>IF(D218=0,0,H216)</f>
        <v>1</v>
      </c>
      <c r="I218" s="608">
        <f t="shared" ref="I218:I220" si="49">D218*F218*H218</f>
        <v>80</v>
      </c>
      <c r="J218" s="609"/>
      <c r="K218" s="608">
        <f>$I218*J216*L$16</f>
        <v>0</v>
      </c>
      <c r="M218" s="609"/>
      <c r="N218" s="608">
        <f>$I218*M216*O$16</f>
        <v>499.20000000000005</v>
      </c>
      <c r="O218" s="610"/>
      <c r="P218" s="609"/>
      <c r="Q218" s="608">
        <f>$I218*P216*R$16</f>
        <v>0</v>
      </c>
      <c r="R218" s="610"/>
      <c r="S218" s="609"/>
      <c r="T218" s="608">
        <f>$I218*S216*U$16</f>
        <v>0</v>
      </c>
      <c r="U218" s="610"/>
      <c r="V218" s="598">
        <f t="shared" ref="V218:V220" si="50">T218+Q218+N218+K218</f>
        <v>499.20000000000005</v>
      </c>
      <c r="X218" s="573"/>
    </row>
    <row r="219" spans="1:24" ht="15.9" thickTop="1" thickBot="1">
      <c r="A219" s="1010" t="s">
        <v>250</v>
      </c>
      <c r="B219" s="1010">
        <v>87000</v>
      </c>
      <c r="C219" s="605" t="s">
        <v>251</v>
      </c>
      <c r="D219" s="606">
        <v>20</v>
      </c>
      <c r="E219" s="607" t="s">
        <v>248</v>
      </c>
      <c r="F219" s="606">
        <f>coffee+lunch</f>
        <v>16</v>
      </c>
      <c r="G219" s="607" t="s">
        <v>249</v>
      </c>
      <c r="H219" s="608">
        <f>IF(D219=0,0,H216)</f>
        <v>1</v>
      </c>
      <c r="I219" s="608">
        <f t="shared" si="49"/>
        <v>320</v>
      </c>
      <c r="J219" s="609"/>
      <c r="K219" s="608">
        <f>$I219*J216*L$16</f>
        <v>0</v>
      </c>
      <c r="M219" s="609"/>
      <c r="N219" s="608">
        <f>$I219*M216*O$16</f>
        <v>1996.8000000000002</v>
      </c>
      <c r="O219" s="610"/>
      <c r="P219" s="609"/>
      <c r="Q219" s="608">
        <f>$I219*P216*R$16</f>
        <v>0</v>
      </c>
      <c r="R219" s="610"/>
      <c r="S219" s="609"/>
      <c r="T219" s="608">
        <f>$I219*S216*U$16</f>
        <v>0</v>
      </c>
      <c r="U219" s="610"/>
      <c r="V219" s="598">
        <f t="shared" si="50"/>
        <v>1996.8000000000002</v>
      </c>
      <c r="X219" s="573"/>
    </row>
    <row r="220" spans="1:24" ht="15.6" thickTop="1">
      <c r="A220" s="1010" t="s">
        <v>275</v>
      </c>
      <c r="B220" s="1010">
        <v>85300</v>
      </c>
      <c r="C220" s="605" t="s">
        <v>276</v>
      </c>
      <c r="D220" s="606">
        <v>1</v>
      </c>
      <c r="E220" s="607" t="s">
        <v>277</v>
      </c>
      <c r="F220" s="606">
        <f>print</f>
        <v>50</v>
      </c>
      <c r="G220" s="612" t="str">
        <f>E220</f>
        <v>activity</v>
      </c>
      <c r="H220" s="608">
        <f>IF(D220=0,0,1)</f>
        <v>1</v>
      </c>
      <c r="I220" s="608">
        <f t="shared" si="49"/>
        <v>50</v>
      </c>
      <c r="J220" s="609"/>
      <c r="K220" s="608">
        <f>$I220*J216*L$16</f>
        <v>0</v>
      </c>
      <c r="M220" s="609"/>
      <c r="N220" s="608">
        <f>$I220*M216*O$16</f>
        <v>312</v>
      </c>
      <c r="O220" s="610"/>
      <c r="P220" s="609"/>
      <c r="Q220" s="608">
        <f>$I220*P216*R$16</f>
        <v>0</v>
      </c>
      <c r="R220" s="610"/>
      <c r="S220" s="609"/>
      <c r="T220" s="608">
        <f>$I220*S216*U$16</f>
        <v>0</v>
      </c>
      <c r="U220" s="610"/>
      <c r="V220" s="598">
        <f t="shared" si="50"/>
        <v>312</v>
      </c>
      <c r="X220" s="573"/>
    </row>
    <row r="221" spans="1:24">
      <c r="C221" s="621" t="s">
        <v>269</v>
      </c>
      <c r="D221" s="622"/>
      <c r="E221" s="622"/>
      <c r="F221" s="623"/>
      <c r="G221" s="1410">
        <f>SUM(I217:I220)</f>
        <v>450</v>
      </c>
      <c r="H221" s="1411"/>
      <c r="I221" s="624"/>
      <c r="J221" s="625"/>
      <c r="K221" s="625"/>
      <c r="L221" s="601"/>
      <c r="M221" s="625"/>
      <c r="N221" s="625"/>
      <c r="O221" s="601"/>
      <c r="P221" s="625"/>
      <c r="Q221" s="625"/>
      <c r="R221" s="601"/>
      <c r="S221" s="625"/>
      <c r="T221" s="625"/>
      <c r="U221" s="601"/>
      <c r="V221" s="626"/>
      <c r="X221" s="573"/>
    </row>
    <row r="222" spans="1:24" ht="13.5" customHeight="1" thickBot="1">
      <c r="C222" s="569"/>
      <c r="D222" s="627"/>
      <c r="E222" s="627"/>
      <c r="F222" s="627"/>
      <c r="G222" s="627"/>
      <c r="H222" s="627"/>
      <c r="I222" s="592"/>
      <c r="J222" s="592"/>
      <c r="K222" s="592"/>
      <c r="L222" s="592"/>
      <c r="M222" s="592"/>
      <c r="N222" s="592"/>
      <c r="O222" s="592"/>
      <c r="P222" s="592"/>
      <c r="Q222" s="592"/>
      <c r="R222" s="592"/>
      <c r="S222" s="592"/>
      <c r="T222" s="592"/>
      <c r="U222" s="592"/>
      <c r="V222" s="593"/>
      <c r="X222" s="573"/>
    </row>
    <row r="223" spans="1:24" ht="22.15" customHeight="1" thickTop="1">
      <c r="C223" s="1415" t="s">
        <v>169</v>
      </c>
      <c r="D223" s="1416"/>
      <c r="E223" s="1416"/>
      <c r="F223" s="1416"/>
      <c r="G223" s="1417"/>
      <c r="H223" s="594">
        <v>3</v>
      </c>
      <c r="I223" s="595"/>
      <c r="J223" s="1405"/>
      <c r="K223" s="1406"/>
      <c r="L223" s="596">
        <f>SUM(K225:K228)</f>
        <v>0</v>
      </c>
      <c r="M223" s="1407">
        <v>3</v>
      </c>
      <c r="N223" s="1408"/>
      <c r="O223" s="597">
        <f>SUM(N225:N229)</f>
        <v>7956</v>
      </c>
      <c r="P223" s="1407">
        <v>3</v>
      </c>
      <c r="Q223" s="1408"/>
      <c r="R223" s="597">
        <f>SUM(Q225:Q229)</f>
        <v>8274.2400000000016</v>
      </c>
      <c r="S223" s="1409">
        <v>0</v>
      </c>
      <c r="T223" s="1407"/>
      <c r="U223" s="597">
        <f>SUM(T225:T228)</f>
        <v>0</v>
      </c>
      <c r="V223" s="598">
        <f>SUM(L223,O223,R223,U223,)</f>
        <v>16230.240000000002</v>
      </c>
      <c r="X223" s="573"/>
    </row>
    <row r="224" spans="1:24" ht="15.6" thickBot="1">
      <c r="C224" s="599" t="s">
        <v>283</v>
      </c>
      <c r="D224" s="600"/>
      <c r="E224" s="600"/>
      <c r="F224" s="600"/>
      <c r="G224" s="601"/>
      <c r="H224" s="600"/>
      <c r="I224" s="600"/>
      <c r="J224" s="602"/>
      <c r="K224" s="600"/>
      <c r="L224" s="601"/>
      <c r="M224" s="602"/>
      <c r="N224" s="600"/>
      <c r="O224" s="603"/>
      <c r="P224" s="602"/>
      <c r="Q224" s="600"/>
      <c r="R224" s="603"/>
      <c r="S224" s="602"/>
      <c r="T224" s="600"/>
      <c r="U224" s="603"/>
      <c r="V224" s="604"/>
      <c r="X224" s="573"/>
    </row>
    <row r="225" spans="1:24" ht="15.9" thickTop="1" thickBot="1">
      <c r="A225" s="1009" t="s">
        <v>252</v>
      </c>
      <c r="B225" s="1009">
        <v>82420</v>
      </c>
      <c r="C225" s="605" t="s">
        <v>299</v>
      </c>
      <c r="D225" s="606">
        <v>1</v>
      </c>
      <c r="E225" s="607" t="s">
        <v>254</v>
      </c>
      <c r="F225" s="606">
        <f>workshop</f>
        <v>600</v>
      </c>
      <c r="G225" s="612" t="str">
        <f>E225</f>
        <v>workshop</v>
      </c>
      <c r="H225" s="608">
        <f>IF(D225=0,0,1)</f>
        <v>1</v>
      </c>
      <c r="I225" s="608">
        <f>D225*F225*H225</f>
        <v>600</v>
      </c>
      <c r="J225" s="609"/>
      <c r="K225" s="608">
        <f>$I225*J223*L$16</f>
        <v>0</v>
      </c>
      <c r="M225" s="609"/>
      <c r="N225" s="608">
        <f>$I225*M223*O$16</f>
        <v>1872</v>
      </c>
      <c r="O225" s="610"/>
      <c r="P225" s="609"/>
      <c r="Q225" s="608">
        <f>$I225*P223*R$16</f>
        <v>1946.88</v>
      </c>
      <c r="R225" s="610"/>
      <c r="S225" s="609"/>
      <c r="T225" s="608">
        <f>$I225*S223*U$16</f>
        <v>0</v>
      </c>
      <c r="U225" s="610"/>
      <c r="V225" s="598">
        <f t="shared" ref="V225:V230" si="51">T225+Q225+N225+K225</f>
        <v>3818.88</v>
      </c>
      <c r="X225" s="573"/>
    </row>
    <row r="226" spans="1:24" ht="15.9" thickTop="1" thickBot="1">
      <c r="A226" s="1010" t="s">
        <v>275</v>
      </c>
      <c r="B226" s="1010">
        <v>85300</v>
      </c>
      <c r="C226" s="605" t="s">
        <v>276</v>
      </c>
      <c r="D226" s="606">
        <v>1</v>
      </c>
      <c r="E226" s="607" t="s">
        <v>277</v>
      </c>
      <c r="F226" s="606">
        <f>print</f>
        <v>50</v>
      </c>
      <c r="G226" s="612" t="str">
        <f>E226</f>
        <v>activity</v>
      </c>
      <c r="H226" s="608">
        <f>IF(D226=0,0,1)</f>
        <v>1</v>
      </c>
      <c r="I226" s="608">
        <f t="shared" ref="I226:I229" si="52">D226*F226*H226</f>
        <v>50</v>
      </c>
      <c r="J226" s="609"/>
      <c r="K226" s="608">
        <f>$I226*J223*L$16</f>
        <v>0</v>
      </c>
      <c r="M226" s="609"/>
      <c r="N226" s="608">
        <f>$I226*M223*O$16</f>
        <v>156</v>
      </c>
      <c r="O226" s="610"/>
      <c r="P226" s="609"/>
      <c r="Q226" s="608">
        <f>$I226*P223*R$16</f>
        <v>162.24</v>
      </c>
      <c r="R226" s="610"/>
      <c r="S226" s="609"/>
      <c r="T226" s="608">
        <f>$I226*S223*U$16</f>
        <v>0</v>
      </c>
      <c r="U226" s="610"/>
      <c r="V226" s="598">
        <f t="shared" si="51"/>
        <v>318.24</v>
      </c>
      <c r="X226" s="573"/>
    </row>
    <row r="227" spans="1:24">
      <c r="C227" s="1073" t="s">
        <v>247</v>
      </c>
      <c r="D227" s="606">
        <v>20</v>
      </c>
      <c r="E227" s="607" t="s">
        <v>248</v>
      </c>
      <c r="F227" s="606">
        <f>parttransp</f>
        <v>4</v>
      </c>
      <c r="G227" s="607" t="s">
        <v>249</v>
      </c>
      <c r="H227" s="608">
        <f>IF(D227=0,0,H225)</f>
        <v>1</v>
      </c>
      <c r="I227" s="608">
        <f t="shared" si="52"/>
        <v>80</v>
      </c>
      <c r="J227" s="609"/>
      <c r="K227" s="608">
        <f>$I227*J225*L$16</f>
        <v>0</v>
      </c>
      <c r="M227" s="609"/>
      <c r="N227" s="608">
        <f>$I227*M223*O$16</f>
        <v>249.60000000000002</v>
      </c>
      <c r="O227" s="610"/>
      <c r="P227" s="609"/>
      <c r="Q227" s="608">
        <f>$I227*P223*R$16</f>
        <v>259.584</v>
      </c>
      <c r="R227" s="610"/>
      <c r="S227" s="609"/>
      <c r="T227" s="608">
        <f>$I227*S223*U$16</f>
        <v>0</v>
      </c>
      <c r="U227" s="610"/>
      <c r="V227" s="598">
        <f t="shared" si="51"/>
        <v>509.18400000000003</v>
      </c>
      <c r="X227" s="573"/>
    </row>
    <row r="228" spans="1:24">
      <c r="A228" s="1010" t="s">
        <v>250</v>
      </c>
      <c r="B228" s="1010">
        <v>87000</v>
      </c>
      <c r="C228" s="1073" t="s">
        <v>251</v>
      </c>
      <c r="D228" s="606">
        <v>20</v>
      </c>
      <c r="E228" s="607" t="s">
        <v>248</v>
      </c>
      <c r="F228" s="606">
        <f>coffee+lunch</f>
        <v>16</v>
      </c>
      <c r="G228" s="607" t="s">
        <v>249</v>
      </c>
      <c r="H228" s="608">
        <f>IF(D228=0,0,H225)</f>
        <v>1</v>
      </c>
      <c r="I228" s="608">
        <f t="shared" si="52"/>
        <v>320</v>
      </c>
      <c r="J228" s="609"/>
      <c r="K228" s="608">
        <f>$I228*J225*L$16</f>
        <v>0</v>
      </c>
      <c r="M228" s="609"/>
      <c r="N228" s="608">
        <f>$I228*M223*O$16</f>
        <v>998.40000000000009</v>
      </c>
      <c r="O228" s="610"/>
      <c r="P228" s="609"/>
      <c r="Q228" s="608">
        <f>$I228*P223*R$16</f>
        <v>1038.336</v>
      </c>
      <c r="R228" s="610"/>
      <c r="S228" s="609"/>
      <c r="T228" s="608">
        <f>$I228*S223*U$16</f>
        <v>0</v>
      </c>
      <c r="U228" s="610"/>
      <c r="V228" s="598">
        <f t="shared" si="51"/>
        <v>2036.7360000000001</v>
      </c>
      <c r="X228" s="573"/>
    </row>
    <row r="229" spans="1:24">
      <c r="A229" s="1010" t="s">
        <v>258</v>
      </c>
      <c r="B229" s="1010">
        <v>81000</v>
      </c>
      <c r="C229" s="1073" t="s">
        <v>300</v>
      </c>
      <c r="D229" s="606">
        <v>1</v>
      </c>
      <c r="E229" s="607" t="s">
        <v>248</v>
      </c>
      <c r="F229" s="606">
        <f>localcons</f>
        <v>300</v>
      </c>
      <c r="G229" s="607" t="s">
        <v>249</v>
      </c>
      <c r="H229" s="606">
        <v>5</v>
      </c>
      <c r="I229" s="608">
        <f t="shared" si="52"/>
        <v>1500</v>
      </c>
      <c r="J229" s="609"/>
      <c r="K229" s="608"/>
      <c r="M229" s="609"/>
      <c r="N229" s="608">
        <f>$I229*M223*O$16</f>
        <v>4680</v>
      </c>
      <c r="O229" s="610"/>
      <c r="P229" s="609"/>
      <c r="Q229" s="608">
        <f>$I229*P223*R$16</f>
        <v>4867.2000000000007</v>
      </c>
      <c r="R229" s="610"/>
      <c r="S229" s="609"/>
      <c r="T229" s="608"/>
      <c r="U229" s="610"/>
      <c r="V229" s="598">
        <f>T229+Q229+N229+K229</f>
        <v>9547.2000000000007</v>
      </c>
      <c r="X229" s="573"/>
    </row>
    <row r="230" spans="1:24" ht="15.9" thickTop="1" thickBot="1">
      <c r="C230" s="613" t="s">
        <v>260</v>
      </c>
      <c r="D230" s="608"/>
      <c r="E230" s="614"/>
      <c r="F230" s="608"/>
      <c r="G230" s="608"/>
      <c r="H230" s="608"/>
      <c r="I230" s="608"/>
      <c r="J230" s="609"/>
      <c r="K230" s="608"/>
      <c r="M230" s="609"/>
      <c r="N230" s="608"/>
      <c r="O230" s="610"/>
      <c r="P230" s="609"/>
      <c r="Q230" s="608"/>
      <c r="R230" s="610"/>
      <c r="S230" s="609"/>
      <c r="T230" s="608"/>
      <c r="U230" s="610"/>
      <c r="V230" s="598">
        <f t="shared" si="51"/>
        <v>0</v>
      </c>
      <c r="X230" s="573"/>
    </row>
    <row r="231" spans="1:24">
      <c r="C231" s="605" t="s">
        <v>261</v>
      </c>
      <c r="D231" s="606">
        <v>2</v>
      </c>
      <c r="E231" s="607" t="s">
        <v>248</v>
      </c>
      <c r="F231" s="1074">
        <f>Assumptions!D73</f>
        <v>195</v>
      </c>
      <c r="G231" s="607" t="s">
        <v>262</v>
      </c>
      <c r="H231" s="608">
        <v>1</v>
      </c>
      <c r="I231" s="608">
        <f>D231*F231*H231</f>
        <v>390</v>
      </c>
      <c r="J231" s="609"/>
      <c r="K231" s="608"/>
      <c r="M231" s="609"/>
      <c r="N231" s="608">
        <f>$I231*1*O$16</f>
        <v>405.6</v>
      </c>
      <c r="O231" s="610"/>
      <c r="P231" s="609"/>
      <c r="Q231" s="608">
        <f t="shared" ref="Q231:Q234" si="53">$I231*1*R$16</f>
        <v>421.82400000000007</v>
      </c>
      <c r="R231" s="610"/>
      <c r="S231" s="609"/>
      <c r="T231" s="608"/>
      <c r="U231" s="610"/>
      <c r="V231" s="598">
        <v>0</v>
      </c>
      <c r="X231" s="573"/>
    </row>
    <row r="232" spans="1:24" ht="15.9" thickTop="1" thickBot="1">
      <c r="C232" s="605" t="s">
        <v>263</v>
      </c>
      <c r="D232" s="606">
        <v>2</v>
      </c>
      <c r="E232" s="607" t="s">
        <v>248</v>
      </c>
      <c r="F232" s="606">
        <f>partground</f>
        <v>9</v>
      </c>
      <c r="G232" s="607" t="s">
        <v>249</v>
      </c>
      <c r="H232" s="608">
        <v>3</v>
      </c>
      <c r="I232" s="608">
        <f t="shared" ref="I232:I234" si="54">D232*F232*H232</f>
        <v>54</v>
      </c>
      <c r="J232" s="609"/>
      <c r="K232" s="608"/>
      <c r="M232" s="609"/>
      <c r="N232" s="608">
        <f t="shared" ref="N232:N234" si="55">$I232*1*O$16</f>
        <v>56.160000000000004</v>
      </c>
      <c r="O232" s="610"/>
      <c r="P232" s="609"/>
      <c r="Q232" s="608">
        <f t="shared" si="53"/>
        <v>58.406400000000005</v>
      </c>
      <c r="R232" s="610"/>
      <c r="S232" s="609"/>
      <c r="T232" s="608"/>
      <c r="U232" s="610"/>
      <c r="V232" s="598">
        <v>0</v>
      </c>
      <c r="X232" s="573"/>
    </row>
    <row r="233" spans="1:24">
      <c r="C233" s="605" t="s">
        <v>264</v>
      </c>
      <c r="D233" s="1074">
        <v>2</v>
      </c>
      <c r="E233" s="607" t="s">
        <v>248</v>
      </c>
      <c r="F233" s="606">
        <f>Assumptions!D70</f>
        <v>122</v>
      </c>
      <c r="G233" s="607" t="s">
        <v>249</v>
      </c>
      <c r="H233" s="608">
        <v>3</v>
      </c>
      <c r="I233" s="608">
        <f t="shared" si="54"/>
        <v>732</v>
      </c>
      <c r="J233" s="609"/>
      <c r="K233" s="608"/>
      <c r="M233" s="609"/>
      <c r="N233" s="608">
        <f t="shared" si="55"/>
        <v>761.28</v>
      </c>
      <c r="O233" s="610"/>
      <c r="P233" s="609"/>
      <c r="Q233" s="608">
        <f t="shared" si="53"/>
        <v>791.73120000000006</v>
      </c>
      <c r="R233" s="610"/>
      <c r="S233" s="609"/>
      <c r="T233" s="608"/>
      <c r="U233" s="610"/>
      <c r="V233" s="598">
        <v>0</v>
      </c>
      <c r="X233" s="573"/>
    </row>
    <row r="234" spans="1:24">
      <c r="C234" s="605" t="s">
        <v>265</v>
      </c>
      <c r="D234" s="1074">
        <f>D233</f>
        <v>2</v>
      </c>
      <c r="E234" s="607" t="s">
        <v>248</v>
      </c>
      <c r="F234" s="606">
        <f>partmeals</f>
        <v>47</v>
      </c>
      <c r="G234" s="607" t="s">
        <v>249</v>
      </c>
      <c r="H234" s="608">
        <v>3</v>
      </c>
      <c r="I234" s="608">
        <f t="shared" si="54"/>
        <v>282</v>
      </c>
      <c r="J234" s="609"/>
      <c r="K234" s="608"/>
      <c r="M234" s="609"/>
      <c r="N234" s="608">
        <f t="shared" si="55"/>
        <v>293.28000000000003</v>
      </c>
      <c r="O234" s="610"/>
      <c r="P234" s="609"/>
      <c r="Q234" s="608">
        <f t="shared" si="53"/>
        <v>305.01120000000003</v>
      </c>
      <c r="R234" s="610"/>
      <c r="S234" s="609"/>
      <c r="T234" s="608"/>
      <c r="U234" s="610"/>
      <c r="V234" s="598">
        <v>0</v>
      </c>
      <c r="X234" s="573"/>
    </row>
    <row r="235" spans="1:24">
      <c r="C235" s="621" t="s">
        <v>269</v>
      </c>
      <c r="D235" s="622"/>
      <c r="E235" s="622"/>
      <c r="F235" s="623"/>
      <c r="G235" s="1410">
        <f>SUM(I224:I234)</f>
        <v>4008</v>
      </c>
      <c r="H235" s="1411"/>
      <c r="I235" s="624"/>
      <c r="J235" s="625"/>
      <c r="K235" s="625"/>
      <c r="L235" s="601"/>
      <c r="M235" s="625"/>
      <c r="N235" s="625"/>
      <c r="O235" s="601"/>
      <c r="P235" s="625"/>
      <c r="Q235" s="625"/>
      <c r="R235" s="601"/>
      <c r="S235" s="625"/>
      <c r="T235" s="625"/>
      <c r="U235" s="601"/>
      <c r="V235" s="626"/>
      <c r="X235" s="573"/>
    </row>
    <row r="236" spans="1:24" ht="13.5" customHeight="1" thickBot="1">
      <c r="C236" s="569"/>
      <c r="D236" s="627"/>
      <c r="E236" s="627"/>
      <c r="F236" s="627"/>
      <c r="G236" s="627"/>
      <c r="H236" s="627"/>
      <c r="I236" s="592"/>
      <c r="J236" s="592"/>
      <c r="K236" s="592"/>
      <c r="L236" s="592"/>
      <c r="M236" s="592"/>
      <c r="N236" s="592"/>
      <c r="O236" s="592"/>
      <c r="P236" s="592"/>
      <c r="Q236" s="592"/>
      <c r="R236" s="592"/>
      <c r="S236" s="592"/>
      <c r="T236" s="592"/>
      <c r="U236" s="592"/>
      <c r="V236" s="593"/>
      <c r="X236" s="573"/>
    </row>
    <row r="237" spans="1:24" ht="24" customHeight="1" thickTop="1">
      <c r="C237" s="1415" t="s">
        <v>170</v>
      </c>
      <c r="D237" s="1416"/>
      <c r="E237" s="1416"/>
      <c r="F237" s="1416"/>
      <c r="G237" s="1417"/>
      <c r="H237" s="594">
        <v>1</v>
      </c>
      <c r="I237" s="595"/>
      <c r="J237" s="1405"/>
      <c r="K237" s="1406"/>
      <c r="L237" s="596">
        <f>SUM(K239:K242)</f>
        <v>0</v>
      </c>
      <c r="M237" s="1407"/>
      <c r="N237" s="1408"/>
      <c r="O237" s="597">
        <f>SUM(N239:N242)</f>
        <v>0</v>
      </c>
      <c r="P237" s="1407">
        <v>3</v>
      </c>
      <c r="Q237" s="1408"/>
      <c r="R237" s="597">
        <f>SUM(Q239:Q242)</f>
        <v>7787.52</v>
      </c>
      <c r="S237" s="1409"/>
      <c r="T237" s="1407"/>
      <c r="U237" s="597">
        <f>SUM(T239:T242)</f>
        <v>0</v>
      </c>
      <c r="V237" s="598">
        <f>SUM(L237,O237,R237,U237,)</f>
        <v>7787.52</v>
      </c>
      <c r="X237" s="573"/>
    </row>
    <row r="238" spans="1:24" ht="15.6" thickBot="1">
      <c r="C238" s="599" t="s">
        <v>283</v>
      </c>
      <c r="D238" s="600"/>
      <c r="E238" s="600"/>
      <c r="F238" s="600"/>
      <c r="G238" s="601"/>
      <c r="H238" s="600"/>
      <c r="I238" s="600"/>
      <c r="J238" s="602"/>
      <c r="K238" s="600"/>
      <c r="L238" s="601"/>
      <c r="M238" s="602"/>
      <c r="N238" s="600"/>
      <c r="O238" s="603"/>
      <c r="P238" s="602"/>
      <c r="Q238" s="600"/>
      <c r="R238" s="603"/>
      <c r="S238" s="602"/>
      <c r="T238" s="600"/>
      <c r="U238" s="603"/>
      <c r="V238" s="604"/>
      <c r="X238" s="573"/>
    </row>
    <row r="239" spans="1:24" ht="15.9" thickTop="1" thickBot="1">
      <c r="A239" s="1010" t="s">
        <v>246</v>
      </c>
      <c r="B239" s="1010">
        <v>86000</v>
      </c>
      <c r="C239" s="605" t="s">
        <v>247</v>
      </c>
      <c r="D239" s="606">
        <v>20</v>
      </c>
      <c r="E239" s="607" t="s">
        <v>248</v>
      </c>
      <c r="F239" s="606">
        <f>parttransp</f>
        <v>4</v>
      </c>
      <c r="G239" s="607" t="s">
        <v>249</v>
      </c>
      <c r="H239" s="608">
        <v>2</v>
      </c>
      <c r="I239" s="608">
        <f t="shared" ref="I239:I242" si="56">D239*F239*H239</f>
        <v>160</v>
      </c>
      <c r="J239" s="609"/>
      <c r="K239" s="608">
        <f>$I239*J237*L$16</f>
        <v>0</v>
      </c>
      <c r="M239" s="609"/>
      <c r="N239" s="608">
        <f>$I239*M237*O$16</f>
        <v>0</v>
      </c>
      <c r="O239" s="610"/>
      <c r="P239" s="609"/>
      <c r="Q239" s="608">
        <f>$I239*P237*R$16</f>
        <v>519.16800000000001</v>
      </c>
      <c r="R239" s="610"/>
      <c r="S239" s="609"/>
      <c r="T239" s="608">
        <f>$I239*S237*U$16</f>
        <v>0</v>
      </c>
      <c r="U239" s="610"/>
      <c r="V239" s="598">
        <f t="shared" ref="V239:V243" si="57">T239+Q239+N239+K239</f>
        <v>519.16800000000001</v>
      </c>
      <c r="X239" s="573"/>
    </row>
    <row r="240" spans="1:24" ht="15.9" thickTop="1" thickBot="1">
      <c r="A240" s="1010" t="s">
        <v>250</v>
      </c>
      <c r="B240" s="1010">
        <v>87000</v>
      </c>
      <c r="C240" s="605" t="s">
        <v>251</v>
      </c>
      <c r="D240" s="606">
        <v>20</v>
      </c>
      <c r="E240" s="607" t="s">
        <v>248</v>
      </c>
      <c r="F240" s="606">
        <f>coffee+lunch</f>
        <v>16</v>
      </c>
      <c r="G240" s="607" t="s">
        <v>249</v>
      </c>
      <c r="H240" s="608">
        <v>2</v>
      </c>
      <c r="I240" s="608">
        <f t="shared" si="56"/>
        <v>640</v>
      </c>
      <c r="J240" s="609"/>
      <c r="K240" s="608">
        <f>$I240*J237*L$16</f>
        <v>0</v>
      </c>
      <c r="M240" s="609"/>
      <c r="N240" s="608">
        <f>$I240*M237*O$16</f>
        <v>0</v>
      </c>
      <c r="O240" s="610"/>
      <c r="P240" s="609"/>
      <c r="Q240" s="608">
        <f>$I240*P237*R$16</f>
        <v>2076.672</v>
      </c>
      <c r="R240" s="610"/>
      <c r="S240" s="609"/>
      <c r="T240" s="608">
        <f>$I240*S237*U$16</f>
        <v>0</v>
      </c>
      <c r="U240" s="610"/>
      <c r="V240" s="598">
        <f t="shared" si="57"/>
        <v>2076.672</v>
      </c>
      <c r="X240" s="573"/>
    </row>
    <row r="241" spans="1:24" ht="15.9" thickTop="1" thickBot="1">
      <c r="A241" s="1010" t="s">
        <v>275</v>
      </c>
      <c r="B241" s="1010">
        <v>85300</v>
      </c>
      <c r="C241" s="605" t="s">
        <v>276</v>
      </c>
      <c r="D241" s="606">
        <v>1</v>
      </c>
      <c r="E241" s="607" t="s">
        <v>277</v>
      </c>
      <c r="F241" s="606">
        <f>print</f>
        <v>50</v>
      </c>
      <c r="G241" s="612" t="str">
        <f>E241</f>
        <v>activity</v>
      </c>
      <c r="H241" s="608">
        <v>2</v>
      </c>
      <c r="I241" s="608">
        <f t="shared" si="56"/>
        <v>100</v>
      </c>
      <c r="J241" s="609"/>
      <c r="K241" s="608">
        <f>$I241*J237*L$16</f>
        <v>0</v>
      </c>
      <c r="M241" s="609"/>
      <c r="N241" s="608">
        <f>$I241*M237*O$16</f>
        <v>0</v>
      </c>
      <c r="O241" s="610"/>
      <c r="P241" s="609"/>
      <c r="Q241" s="608">
        <f>$I241*P237*R$16</f>
        <v>324.48</v>
      </c>
      <c r="R241" s="610"/>
      <c r="S241" s="609"/>
      <c r="T241" s="608">
        <f>$I241*S237*U$16</f>
        <v>0</v>
      </c>
      <c r="U241" s="610"/>
      <c r="V241" s="598">
        <f t="shared" si="57"/>
        <v>324.48</v>
      </c>
      <c r="X241" s="573"/>
    </row>
    <row r="242" spans="1:24" ht="15.9" thickTop="1" thickBot="1">
      <c r="A242" s="1010" t="s">
        <v>258</v>
      </c>
      <c r="B242" s="1010">
        <v>81000</v>
      </c>
      <c r="C242" s="605" t="s">
        <v>300</v>
      </c>
      <c r="D242" s="606">
        <v>1</v>
      </c>
      <c r="E242" s="607" t="s">
        <v>248</v>
      </c>
      <c r="F242" s="606">
        <f>localcons</f>
        <v>300</v>
      </c>
      <c r="G242" s="607" t="s">
        <v>249</v>
      </c>
      <c r="H242" s="606">
        <v>5</v>
      </c>
      <c r="I242" s="608">
        <f t="shared" si="56"/>
        <v>1500</v>
      </c>
      <c r="J242" s="609"/>
      <c r="K242" s="608">
        <f>$I242*J237*L$16</f>
        <v>0</v>
      </c>
      <c r="M242" s="609"/>
      <c r="N242" s="608">
        <f>$I242*M237*O$16</f>
        <v>0</v>
      </c>
      <c r="O242" s="610"/>
      <c r="P242" s="609"/>
      <c r="Q242" s="608">
        <f>$I242*P237*R$16</f>
        <v>4867.2000000000007</v>
      </c>
      <c r="R242" s="610"/>
      <c r="S242" s="609"/>
      <c r="T242" s="608">
        <f>$I242*S237*U$16</f>
        <v>0</v>
      </c>
      <c r="U242" s="610"/>
      <c r="V242" s="598">
        <f t="shared" si="57"/>
        <v>4867.2000000000007</v>
      </c>
      <c r="X242" s="573"/>
    </row>
    <row r="243" spans="1:24" ht="15.9" thickTop="1" thickBot="1">
      <c r="C243" s="613" t="s">
        <v>260</v>
      </c>
      <c r="D243" s="608"/>
      <c r="E243" s="614"/>
      <c r="F243" s="608"/>
      <c r="G243" s="608"/>
      <c r="H243" s="608"/>
      <c r="I243" s="608">
        <f t="shared" ref="I243:I247" si="58">D243*F243*H243</f>
        <v>0</v>
      </c>
      <c r="J243" s="609"/>
      <c r="K243" s="608"/>
      <c r="M243" s="609"/>
      <c r="N243" s="608"/>
      <c r="O243" s="610"/>
      <c r="P243" s="609"/>
      <c r="Q243" s="608"/>
      <c r="R243" s="610"/>
      <c r="S243" s="609"/>
      <c r="T243" s="608"/>
      <c r="U243" s="610"/>
      <c r="V243" s="598">
        <f t="shared" si="57"/>
        <v>0</v>
      </c>
      <c r="X243" s="573"/>
    </row>
    <row r="244" spans="1:24">
      <c r="C244" s="605" t="s">
        <v>261</v>
      </c>
      <c r="D244" s="606">
        <v>2</v>
      </c>
      <c r="E244" s="607" t="s">
        <v>248</v>
      </c>
      <c r="F244" s="1074">
        <f>Assumptions!D73</f>
        <v>195</v>
      </c>
      <c r="G244" s="607" t="s">
        <v>262</v>
      </c>
      <c r="H244" s="608">
        <v>1</v>
      </c>
      <c r="I244" s="608">
        <f t="shared" si="58"/>
        <v>390</v>
      </c>
      <c r="J244" s="609"/>
      <c r="K244" s="608"/>
      <c r="M244" s="609"/>
      <c r="N244" s="608"/>
      <c r="O244" s="610"/>
      <c r="P244" s="609"/>
      <c r="Q244" s="608">
        <f>$I244*3*R$16</f>
        <v>1265.4720000000002</v>
      </c>
      <c r="R244" s="610"/>
      <c r="S244" s="609"/>
      <c r="T244" s="608"/>
      <c r="U244" s="610"/>
      <c r="V244" s="598">
        <v>0</v>
      </c>
      <c r="X244" s="573"/>
    </row>
    <row r="245" spans="1:24" ht="15.9" thickTop="1" thickBot="1">
      <c r="C245" s="605" t="s">
        <v>263</v>
      </c>
      <c r="D245" s="606">
        <v>2</v>
      </c>
      <c r="E245" s="607" t="s">
        <v>248</v>
      </c>
      <c r="F245" s="606">
        <f>partground</f>
        <v>9</v>
      </c>
      <c r="G245" s="607" t="s">
        <v>249</v>
      </c>
      <c r="H245" s="608">
        <v>1</v>
      </c>
      <c r="I245" s="608">
        <f t="shared" si="58"/>
        <v>18</v>
      </c>
      <c r="J245" s="609"/>
      <c r="K245" s="608"/>
      <c r="M245" s="609"/>
      <c r="N245" s="608"/>
      <c r="O245" s="610"/>
      <c r="P245" s="609"/>
      <c r="Q245" s="608">
        <f>$I245*3*R$16</f>
        <v>58.406400000000005</v>
      </c>
      <c r="R245" s="610"/>
      <c r="S245" s="609"/>
      <c r="T245" s="608"/>
      <c r="U245" s="610"/>
      <c r="V245" s="598">
        <v>0</v>
      </c>
      <c r="X245" s="573"/>
    </row>
    <row r="246" spans="1:24">
      <c r="C246" s="605" t="s">
        <v>264</v>
      </c>
      <c r="D246" s="1074">
        <v>2</v>
      </c>
      <c r="E246" s="607" t="s">
        <v>248</v>
      </c>
      <c r="F246" s="606">
        <f>Assumptions!D70</f>
        <v>122</v>
      </c>
      <c r="G246" s="607" t="s">
        <v>249</v>
      </c>
      <c r="H246" s="1075">
        <v>2</v>
      </c>
      <c r="I246" s="608">
        <f t="shared" si="58"/>
        <v>488</v>
      </c>
      <c r="J246" s="609"/>
      <c r="K246" s="608"/>
      <c r="M246" s="609"/>
      <c r="N246" s="608"/>
      <c r="O246" s="610"/>
      <c r="P246" s="609"/>
      <c r="Q246" s="608">
        <f>$I246*3*R$16</f>
        <v>1583.4624000000001</v>
      </c>
      <c r="R246" s="610"/>
      <c r="S246" s="609"/>
      <c r="T246" s="608"/>
      <c r="U246" s="610"/>
      <c r="V246" s="598">
        <v>0</v>
      </c>
      <c r="X246" s="573"/>
    </row>
    <row r="247" spans="1:24">
      <c r="C247" s="605" t="s">
        <v>265</v>
      </c>
      <c r="D247" s="1074">
        <v>2</v>
      </c>
      <c r="E247" s="607" t="s">
        <v>248</v>
      </c>
      <c r="F247" s="606">
        <f>partmeals</f>
        <v>47</v>
      </c>
      <c r="G247" s="607" t="s">
        <v>249</v>
      </c>
      <c r="H247" s="1075">
        <v>2</v>
      </c>
      <c r="I247" s="608">
        <f t="shared" si="58"/>
        <v>188</v>
      </c>
      <c r="J247" s="609"/>
      <c r="K247" s="608"/>
      <c r="M247" s="609"/>
      <c r="N247" s="608"/>
      <c r="O247" s="610"/>
      <c r="P247" s="609"/>
      <c r="Q247" s="608">
        <f>$I247*3*R$16</f>
        <v>610.02240000000006</v>
      </c>
      <c r="R247" s="610"/>
      <c r="S247" s="609"/>
      <c r="T247" s="608"/>
      <c r="U247" s="610"/>
      <c r="V247" s="598">
        <v>0</v>
      </c>
      <c r="X247" s="573"/>
    </row>
    <row r="248" spans="1:24">
      <c r="C248" s="621" t="s">
        <v>269</v>
      </c>
      <c r="D248" s="622"/>
      <c r="E248" s="622"/>
      <c r="F248" s="623"/>
      <c r="G248" s="1410">
        <f>SUM(I238:I247)</f>
        <v>3484</v>
      </c>
      <c r="H248" s="1411"/>
      <c r="I248" s="624"/>
      <c r="J248" s="625"/>
      <c r="K248" s="625"/>
      <c r="L248" s="601"/>
      <c r="M248" s="625"/>
      <c r="N248" s="625"/>
      <c r="O248" s="601"/>
      <c r="P248" s="625"/>
      <c r="Q248" s="625"/>
      <c r="R248" s="601"/>
      <c r="S248" s="625"/>
      <c r="T248" s="625"/>
      <c r="U248" s="601"/>
      <c r="V248" s="626"/>
      <c r="X248" s="573"/>
    </row>
    <row r="249" spans="1:24" ht="13.5" customHeight="1" thickBot="1">
      <c r="C249" s="569"/>
      <c r="D249" s="627"/>
      <c r="E249" s="627"/>
      <c r="F249" s="627"/>
      <c r="G249" s="627"/>
      <c r="H249" s="627"/>
      <c r="I249" s="592"/>
      <c r="J249" s="592"/>
      <c r="K249" s="592"/>
      <c r="L249" s="592"/>
      <c r="M249" s="592"/>
      <c r="N249" s="592"/>
      <c r="O249" s="592"/>
      <c r="P249" s="592"/>
      <c r="Q249" s="592"/>
      <c r="R249" s="592"/>
      <c r="S249" s="592"/>
      <c r="T249" s="592"/>
      <c r="U249" s="592"/>
      <c r="V249" s="593"/>
      <c r="X249" s="573"/>
    </row>
    <row r="250" spans="1:24" ht="15.6" thickTop="1">
      <c r="C250" s="1402" t="s">
        <v>171</v>
      </c>
      <c r="D250" s="1403"/>
      <c r="E250" s="1403"/>
      <c r="F250" s="1403"/>
      <c r="G250" s="1404"/>
      <c r="H250" s="594">
        <v>3</v>
      </c>
      <c r="I250" s="595"/>
      <c r="J250" s="1405"/>
      <c r="K250" s="1406"/>
      <c r="L250" s="596">
        <f>SUM(K252:K254)</f>
        <v>0</v>
      </c>
      <c r="M250" s="1407">
        <v>6</v>
      </c>
      <c r="N250" s="1408"/>
      <c r="O250" s="597">
        <f>SUM(N252:N254)</f>
        <v>5304</v>
      </c>
      <c r="P250" s="1407">
        <v>6</v>
      </c>
      <c r="Q250" s="1408"/>
      <c r="R250" s="597">
        <f>SUM(Q252:Q254)</f>
        <v>5516.16</v>
      </c>
      <c r="S250" s="1409">
        <v>0</v>
      </c>
      <c r="T250" s="1407"/>
      <c r="U250" s="597">
        <f>SUM(T252:T254)</f>
        <v>0</v>
      </c>
      <c r="V250" s="598">
        <f>SUM(L250,O250,R250,U250,)</f>
        <v>10820.16</v>
      </c>
      <c r="X250" s="573"/>
    </row>
    <row r="251" spans="1:24" ht="15.6" thickBot="1">
      <c r="C251" s="599" t="s">
        <v>283</v>
      </c>
      <c r="D251" s="600"/>
      <c r="E251" s="600"/>
      <c r="F251" s="600"/>
      <c r="G251" s="601"/>
      <c r="H251" s="600"/>
      <c r="I251" s="600"/>
      <c r="J251" s="602"/>
      <c r="K251" s="600"/>
      <c r="L251" s="601"/>
      <c r="M251" s="602"/>
      <c r="N251" s="600"/>
      <c r="O251" s="603"/>
      <c r="P251" s="602"/>
      <c r="Q251" s="600"/>
      <c r="R251" s="603"/>
      <c r="S251" s="602"/>
      <c r="T251" s="600"/>
      <c r="U251" s="603"/>
      <c r="V251" s="604"/>
      <c r="X251" s="573"/>
    </row>
    <row r="252" spans="1:24" ht="15.9" thickTop="1" thickBot="1">
      <c r="A252" s="1009" t="s">
        <v>252</v>
      </c>
      <c r="B252" s="1009">
        <v>82420</v>
      </c>
      <c r="C252" s="605" t="s">
        <v>301</v>
      </c>
      <c r="D252" s="606">
        <v>1</v>
      </c>
      <c r="E252" s="607" t="s">
        <v>254</v>
      </c>
      <c r="F252" s="606">
        <v>500</v>
      </c>
      <c r="G252" s="612" t="str">
        <f>E252</f>
        <v>workshop</v>
      </c>
      <c r="H252" s="608">
        <f>IF(D252=0,0,1)</f>
        <v>1</v>
      </c>
      <c r="I252" s="608">
        <f t="shared" ref="I252:I254" si="59">D252*F252*H252</f>
        <v>500</v>
      </c>
      <c r="J252" s="609"/>
      <c r="K252" s="608">
        <f>$I252*J250*L$16</f>
        <v>0</v>
      </c>
      <c r="M252" s="609"/>
      <c r="N252" s="608">
        <f>$I252*M250*O$16</f>
        <v>3120</v>
      </c>
      <c r="O252" s="610"/>
      <c r="P252" s="609"/>
      <c r="Q252" s="608">
        <f>$I252*P250*R$16</f>
        <v>3244.8</v>
      </c>
      <c r="R252" s="610"/>
      <c r="S252" s="609"/>
      <c r="T252" s="608">
        <f>$I252*S250*U$16</f>
        <v>0</v>
      </c>
      <c r="U252" s="610"/>
      <c r="V252" s="598">
        <f>T252+Q252+N252+K252</f>
        <v>6364.8</v>
      </c>
      <c r="X252" s="573"/>
    </row>
    <row r="253" spans="1:24" ht="15.9" thickTop="1" thickBot="1">
      <c r="A253" s="1010" t="s">
        <v>275</v>
      </c>
      <c r="B253" s="1010">
        <v>85300</v>
      </c>
      <c r="C253" s="605" t="s">
        <v>276</v>
      </c>
      <c r="D253" s="606">
        <v>1</v>
      </c>
      <c r="E253" s="607" t="s">
        <v>277</v>
      </c>
      <c r="F253" s="606">
        <f>print</f>
        <v>50</v>
      </c>
      <c r="G253" s="612" t="str">
        <f>E253</f>
        <v>activity</v>
      </c>
      <c r="H253" s="608">
        <f>IF(D253=0,0,1)</f>
        <v>1</v>
      </c>
      <c r="I253" s="608">
        <f t="shared" si="59"/>
        <v>50</v>
      </c>
      <c r="J253" s="609"/>
      <c r="K253" s="608">
        <f>$I253*J250*L$16</f>
        <v>0</v>
      </c>
      <c r="M253" s="609"/>
      <c r="N253" s="608">
        <f>$I253*M250*O$16</f>
        <v>312</v>
      </c>
      <c r="O253" s="610"/>
      <c r="P253" s="609"/>
      <c r="Q253" s="608">
        <f>$I253*P250*R$16</f>
        <v>324.48</v>
      </c>
      <c r="R253" s="610"/>
      <c r="S253" s="609"/>
      <c r="T253" s="608">
        <f>$I253*S250*U$16</f>
        <v>0</v>
      </c>
      <c r="U253" s="610"/>
      <c r="V253" s="598">
        <f t="shared" ref="V253:V254" si="60">T253+Q253+N253+K253</f>
        <v>636.48</v>
      </c>
      <c r="X253" s="573"/>
    </row>
    <row r="254" spans="1:24" ht="15.6" thickTop="1">
      <c r="A254" s="1010" t="s">
        <v>258</v>
      </c>
      <c r="B254" s="1010">
        <v>81000</v>
      </c>
      <c r="C254" s="605" t="s">
        <v>302</v>
      </c>
      <c r="D254" s="606">
        <v>1</v>
      </c>
      <c r="E254" s="607" t="s">
        <v>248</v>
      </c>
      <c r="F254" s="606">
        <f>localcons</f>
        <v>300</v>
      </c>
      <c r="G254" s="607" t="s">
        <v>249</v>
      </c>
      <c r="H254" s="606">
        <v>1</v>
      </c>
      <c r="I254" s="608">
        <f t="shared" si="59"/>
        <v>300</v>
      </c>
      <c r="J254" s="609"/>
      <c r="K254" s="608">
        <f>$I254*J250*L$16</f>
        <v>0</v>
      </c>
      <c r="M254" s="609"/>
      <c r="N254" s="608">
        <f>$I254*M250*O$16</f>
        <v>1872</v>
      </c>
      <c r="O254" s="610"/>
      <c r="P254" s="609"/>
      <c r="Q254" s="608">
        <f>$I254*P250*R$16</f>
        <v>1946.88</v>
      </c>
      <c r="R254" s="610"/>
      <c r="S254" s="609"/>
      <c r="T254" s="608">
        <f>$I254*S250*U$16</f>
        <v>0</v>
      </c>
      <c r="U254" s="610"/>
      <c r="V254" s="598">
        <f t="shared" si="60"/>
        <v>3818.88</v>
      </c>
      <c r="X254" s="573"/>
    </row>
    <row r="255" spans="1:24">
      <c r="C255" s="605"/>
      <c r="D255" s="608"/>
      <c r="E255" s="608"/>
      <c r="F255" s="608"/>
      <c r="G255" s="608"/>
      <c r="H255" s="608"/>
      <c r="I255" s="608"/>
      <c r="J255" s="609"/>
      <c r="K255" s="608"/>
      <c r="M255" s="609"/>
      <c r="N255" s="608"/>
      <c r="O255" s="610"/>
      <c r="P255" s="609"/>
      <c r="Q255" s="608"/>
      <c r="R255" s="610"/>
      <c r="S255" s="609"/>
      <c r="T255" s="608"/>
      <c r="U255" s="610"/>
      <c r="V255" s="611"/>
      <c r="X255" s="573"/>
    </row>
    <row r="256" spans="1:24">
      <c r="C256" s="621" t="s">
        <v>269</v>
      </c>
      <c r="D256" s="622"/>
      <c r="E256" s="622"/>
      <c r="F256" s="623"/>
      <c r="G256" s="1410">
        <f>SUM(I251:I255)</f>
        <v>850</v>
      </c>
      <c r="H256" s="1411"/>
      <c r="I256" s="624"/>
      <c r="J256" s="625"/>
      <c r="K256" s="625"/>
      <c r="L256" s="601"/>
      <c r="M256" s="625"/>
      <c r="N256" s="625"/>
      <c r="O256" s="601"/>
      <c r="P256" s="625"/>
      <c r="Q256" s="625"/>
      <c r="R256" s="601"/>
      <c r="S256" s="625"/>
      <c r="T256" s="625"/>
      <c r="U256" s="601"/>
      <c r="V256" s="626"/>
      <c r="X256" s="573"/>
    </row>
    <row r="257" spans="1:24" ht="15.6" thickBot="1">
      <c r="C257" s="570"/>
      <c r="D257" s="628"/>
      <c r="E257" s="628"/>
      <c r="F257" s="628"/>
      <c r="G257" s="628"/>
      <c r="H257" s="628"/>
      <c r="I257" s="629"/>
      <c r="J257" s="629"/>
      <c r="K257" s="629"/>
      <c r="L257" s="629"/>
      <c r="M257" s="629"/>
      <c r="N257" s="629"/>
      <c r="O257" s="629"/>
      <c r="P257" s="629"/>
      <c r="Q257" s="629"/>
      <c r="R257" s="629"/>
      <c r="S257" s="629"/>
      <c r="T257" s="629"/>
      <c r="U257" s="629"/>
      <c r="V257" s="630"/>
      <c r="X257" s="573"/>
    </row>
    <row r="258" spans="1:24" ht="33" customHeight="1" thickTop="1">
      <c r="C258" s="1415" t="s">
        <v>172</v>
      </c>
      <c r="D258" s="1416"/>
      <c r="E258" s="1416"/>
      <c r="F258" s="1416"/>
      <c r="G258" s="1417"/>
      <c r="H258" s="594">
        <v>3</v>
      </c>
      <c r="I258" s="595"/>
      <c r="J258" s="1405">
        <v>0</v>
      </c>
      <c r="K258" s="1406"/>
      <c r="L258" s="596">
        <f>SUM(K260:K262)</f>
        <v>0</v>
      </c>
      <c r="M258" s="1407">
        <v>0</v>
      </c>
      <c r="N258" s="1408"/>
      <c r="O258" s="597">
        <f>SUM(N260:N262)</f>
        <v>0</v>
      </c>
      <c r="P258" s="1407">
        <v>0</v>
      </c>
      <c r="Q258" s="1408"/>
      <c r="R258" s="597">
        <f>SUM(Q260:Q262)</f>
        <v>0</v>
      </c>
      <c r="S258" s="1409">
        <v>8</v>
      </c>
      <c r="T258" s="1407"/>
      <c r="U258" s="597">
        <f>SUM(T260:T262)</f>
        <v>0</v>
      </c>
      <c r="V258" s="598">
        <f>SUM(L258,O258,R258,U258,)</f>
        <v>0</v>
      </c>
      <c r="X258" s="573"/>
    </row>
    <row r="259" spans="1:24" ht="15.6" thickBot="1">
      <c r="C259" s="599" t="s">
        <v>283</v>
      </c>
      <c r="D259" s="600"/>
      <c r="E259" s="600"/>
      <c r="F259" s="600"/>
      <c r="G259" s="601"/>
      <c r="H259" s="600"/>
      <c r="I259" s="600"/>
      <c r="J259" s="602"/>
      <c r="K259" s="600"/>
      <c r="L259" s="601"/>
      <c r="M259" s="602"/>
      <c r="N259" s="600"/>
      <c r="O259" s="603"/>
      <c r="P259" s="602"/>
      <c r="Q259" s="600"/>
      <c r="R259" s="603"/>
      <c r="S259" s="602"/>
      <c r="T259" s="600"/>
      <c r="U259" s="603"/>
      <c r="V259" s="604"/>
      <c r="X259" s="573"/>
    </row>
    <row r="260" spans="1:24" ht="15.9" thickTop="1" thickBot="1">
      <c r="A260" s="1010" t="s">
        <v>246</v>
      </c>
      <c r="B260" s="1010">
        <v>86000</v>
      </c>
      <c r="C260" s="605" t="s">
        <v>247</v>
      </c>
      <c r="D260" s="606">
        <v>0</v>
      </c>
      <c r="E260" s="607" t="s">
        <v>248</v>
      </c>
      <c r="F260" s="606">
        <f>parttransp</f>
        <v>4</v>
      </c>
      <c r="G260" s="607" t="s">
        <v>249</v>
      </c>
      <c r="H260" s="608">
        <f>IF(D260=0,0,H258)</f>
        <v>0</v>
      </c>
      <c r="I260" s="608">
        <f t="shared" ref="I260:I262" si="61">D260*F260*H260</f>
        <v>0</v>
      </c>
      <c r="J260" s="609"/>
      <c r="K260" s="608">
        <f>$I260*J258*L$16</f>
        <v>0</v>
      </c>
      <c r="M260" s="609"/>
      <c r="N260" s="608">
        <f>$I260*M258*O$16</f>
        <v>0</v>
      </c>
      <c r="O260" s="610"/>
      <c r="P260" s="609"/>
      <c r="Q260" s="608">
        <f>$I260*P258*R$16</f>
        <v>0</v>
      </c>
      <c r="R260" s="610"/>
      <c r="S260" s="609"/>
      <c r="T260" s="608">
        <f>$I260*S258*U$16</f>
        <v>0</v>
      </c>
      <c r="U260" s="610"/>
      <c r="V260" s="598">
        <f t="shared" ref="V260:V262" si="62">T260+Q260+N260+K260</f>
        <v>0</v>
      </c>
      <c r="X260" s="573"/>
    </row>
    <row r="261" spans="1:24" ht="15.9" thickTop="1" thickBot="1">
      <c r="A261" s="1010" t="s">
        <v>250</v>
      </c>
      <c r="B261" s="1010">
        <v>87000</v>
      </c>
      <c r="C261" s="605" t="s">
        <v>251</v>
      </c>
      <c r="D261" s="606">
        <v>0</v>
      </c>
      <c r="E261" s="607" t="s">
        <v>248</v>
      </c>
      <c r="F261" s="606">
        <f>coffee+lunch</f>
        <v>16</v>
      </c>
      <c r="G261" s="607" t="s">
        <v>249</v>
      </c>
      <c r="H261" s="608">
        <f>IF(D261=0,0,H258)</f>
        <v>0</v>
      </c>
      <c r="I261" s="608">
        <f t="shared" si="61"/>
        <v>0</v>
      </c>
      <c r="J261" s="609"/>
      <c r="K261" s="608">
        <f>$I261*J258*L$16</f>
        <v>0</v>
      </c>
      <c r="M261" s="609"/>
      <c r="N261" s="608">
        <f>$I261*M258*O$16</f>
        <v>0</v>
      </c>
      <c r="O261" s="610"/>
      <c r="P261" s="609"/>
      <c r="Q261" s="608">
        <f>$I261*P258*R$16</f>
        <v>0</v>
      </c>
      <c r="R261" s="610"/>
      <c r="S261" s="609"/>
      <c r="T261" s="608">
        <f>$I261*S258*U$16</f>
        <v>0</v>
      </c>
      <c r="U261" s="610"/>
      <c r="V261" s="598">
        <f t="shared" si="62"/>
        <v>0</v>
      </c>
      <c r="X261" s="573"/>
    </row>
    <row r="262" spans="1:24" ht="15.9" thickTop="1" thickBot="1">
      <c r="A262" s="1010" t="s">
        <v>275</v>
      </c>
      <c r="B262" s="1010">
        <v>85300</v>
      </c>
      <c r="C262" s="605" t="s">
        <v>276</v>
      </c>
      <c r="D262" s="606">
        <v>0</v>
      </c>
      <c r="E262" s="607" t="s">
        <v>277</v>
      </c>
      <c r="F262" s="606">
        <f>print</f>
        <v>50</v>
      </c>
      <c r="G262" s="612" t="str">
        <f>E262</f>
        <v>activity</v>
      </c>
      <c r="H262" s="608">
        <f>IF(D262=0,0,1)</f>
        <v>0</v>
      </c>
      <c r="I262" s="608">
        <f t="shared" si="61"/>
        <v>0</v>
      </c>
      <c r="J262" s="609"/>
      <c r="K262" s="608">
        <f>$I262*J258*L$16</f>
        <v>0</v>
      </c>
      <c r="M262" s="609"/>
      <c r="N262" s="608">
        <f>$I262*M258*O$16</f>
        <v>0</v>
      </c>
      <c r="O262" s="610"/>
      <c r="P262" s="609"/>
      <c r="Q262" s="608">
        <f>$I262*P258*R$16</f>
        <v>0</v>
      </c>
      <c r="R262" s="610"/>
      <c r="S262" s="609"/>
      <c r="T262" s="608">
        <f>$I262*S258*U$16</f>
        <v>0</v>
      </c>
      <c r="U262" s="610"/>
      <c r="V262" s="598">
        <f t="shared" si="62"/>
        <v>0</v>
      </c>
      <c r="X262" s="573"/>
    </row>
    <row r="263" spans="1:24">
      <c r="C263" s="1072" t="s">
        <v>260</v>
      </c>
      <c r="D263" s="608"/>
      <c r="E263" s="614"/>
      <c r="F263" s="608"/>
      <c r="G263" s="608"/>
      <c r="H263" s="608"/>
      <c r="I263" s="608"/>
      <c r="J263" s="609"/>
      <c r="K263" s="608"/>
      <c r="M263" s="609"/>
      <c r="N263" s="608"/>
      <c r="O263" s="610"/>
      <c r="P263" s="609"/>
      <c r="Q263" s="608"/>
      <c r="R263" s="610"/>
      <c r="S263" s="609"/>
      <c r="T263" s="608"/>
      <c r="U263" s="610"/>
      <c r="V263" s="598"/>
      <c r="X263" s="573"/>
    </row>
    <row r="264" spans="1:24">
      <c r="C264" s="1073" t="s">
        <v>266</v>
      </c>
      <c r="D264" s="606">
        <v>2</v>
      </c>
      <c r="E264" s="607" t="s">
        <v>248</v>
      </c>
      <c r="F264" s="606">
        <f>partground</f>
        <v>9</v>
      </c>
      <c r="G264" s="607" t="s">
        <v>262</v>
      </c>
      <c r="H264" s="608">
        <v>3</v>
      </c>
      <c r="I264" s="608">
        <f t="shared" ref="I264:I266" si="63">D264*F264*H264</f>
        <v>54</v>
      </c>
      <c r="J264" s="609"/>
      <c r="K264" s="608"/>
      <c r="M264" s="609"/>
      <c r="N264" s="608"/>
      <c r="O264" s="610"/>
      <c r="P264" s="609"/>
      <c r="Q264" s="608"/>
      <c r="R264" s="610"/>
      <c r="S264" s="609"/>
      <c r="T264" s="608">
        <f>$I264*S258*U$16</f>
        <v>485.94124800000003</v>
      </c>
      <c r="U264" s="610"/>
      <c r="V264" s="598"/>
      <c r="X264" s="573"/>
    </row>
    <row r="265" spans="1:24">
      <c r="C265" s="1073" t="s">
        <v>267</v>
      </c>
      <c r="D265" s="606">
        <v>2</v>
      </c>
      <c r="E265" s="607" t="s">
        <v>248</v>
      </c>
      <c r="F265" s="606">
        <f>partground</f>
        <v>9</v>
      </c>
      <c r="G265" s="607" t="s">
        <v>249</v>
      </c>
      <c r="H265" s="608">
        <v>3</v>
      </c>
      <c r="I265" s="608">
        <f t="shared" si="63"/>
        <v>54</v>
      </c>
      <c r="J265" s="609"/>
      <c r="K265" s="608"/>
      <c r="M265" s="609"/>
      <c r="N265" s="608"/>
      <c r="O265" s="610"/>
      <c r="P265" s="609"/>
      <c r="Q265" s="608"/>
      <c r="R265" s="610"/>
      <c r="S265" s="609"/>
      <c r="T265" s="608">
        <f>$I265*S258*U$16</f>
        <v>485.94124800000003</v>
      </c>
      <c r="U265" s="610"/>
      <c r="V265" s="598"/>
      <c r="X265" s="573"/>
    </row>
    <row r="266" spans="1:24">
      <c r="C266" s="1073" t="s">
        <v>265</v>
      </c>
      <c r="D266" s="606">
        <v>2</v>
      </c>
      <c r="E266" s="607" t="s">
        <v>248</v>
      </c>
      <c r="F266" s="606">
        <f>partmeals</f>
        <v>47</v>
      </c>
      <c r="G266" s="607" t="s">
        <v>249</v>
      </c>
      <c r="H266" s="608">
        <v>3</v>
      </c>
      <c r="I266" s="608">
        <f t="shared" si="63"/>
        <v>282</v>
      </c>
      <c r="J266" s="609"/>
      <c r="K266" s="608"/>
      <c r="M266" s="609"/>
      <c r="N266" s="608"/>
      <c r="O266" s="610"/>
      <c r="P266" s="609"/>
      <c r="Q266" s="608"/>
      <c r="R266" s="610"/>
      <c r="S266" s="609"/>
      <c r="T266" s="608">
        <f>$I266*S258*U$16</f>
        <v>2537.6931840000002</v>
      </c>
      <c r="U266" s="610"/>
      <c r="V266" s="598"/>
      <c r="X266" s="573"/>
    </row>
    <row r="267" spans="1:24">
      <c r="C267" s="1078" t="s">
        <v>260</v>
      </c>
      <c r="D267" s="606"/>
      <c r="E267" s="607"/>
      <c r="F267" s="606"/>
      <c r="G267" s="607"/>
      <c r="H267" s="608"/>
      <c r="I267" s="608"/>
      <c r="J267" s="609"/>
      <c r="K267" s="608"/>
      <c r="M267" s="609"/>
      <c r="N267" s="608"/>
      <c r="O267" s="610"/>
      <c r="P267" s="609"/>
      <c r="Q267" s="608"/>
      <c r="R267" s="610"/>
      <c r="S267" s="609"/>
      <c r="T267" s="608"/>
      <c r="U267" s="610"/>
      <c r="V267" s="598"/>
      <c r="X267" s="573"/>
    </row>
    <row r="268" spans="1:24">
      <c r="C268" s="605" t="s">
        <v>261</v>
      </c>
      <c r="D268" s="606">
        <v>2</v>
      </c>
      <c r="E268" s="607" t="s">
        <v>248</v>
      </c>
      <c r="F268" s="1074">
        <f>Assumptions!D73</f>
        <v>195</v>
      </c>
      <c r="G268" s="607" t="s">
        <v>262</v>
      </c>
      <c r="H268" s="608">
        <v>1</v>
      </c>
      <c r="I268" s="608">
        <f t="shared" ref="I268:I271" si="64">D268*F268*H268</f>
        <v>390</v>
      </c>
      <c r="J268" s="609"/>
      <c r="K268" s="608"/>
      <c r="M268" s="609"/>
      <c r="N268" s="608"/>
      <c r="O268" s="610"/>
      <c r="P268" s="609"/>
      <c r="Q268" s="608"/>
      <c r="R268" s="610"/>
      <c r="S268" s="609"/>
      <c r="T268" s="608">
        <f>$I268*S258*U$16</f>
        <v>3509.5756800000004</v>
      </c>
      <c r="U268" s="610"/>
      <c r="V268" s="598">
        <v>0</v>
      </c>
      <c r="X268" s="573"/>
    </row>
    <row r="269" spans="1:24" ht="15.9" thickTop="1" thickBot="1">
      <c r="C269" s="605" t="s">
        <v>263</v>
      </c>
      <c r="D269" s="606">
        <v>2</v>
      </c>
      <c r="E269" s="607" t="s">
        <v>248</v>
      </c>
      <c r="F269" s="606">
        <f>partground</f>
        <v>9</v>
      </c>
      <c r="G269" s="607" t="s">
        <v>249</v>
      </c>
      <c r="H269" s="608">
        <v>3</v>
      </c>
      <c r="I269" s="608">
        <f t="shared" si="64"/>
        <v>54</v>
      </c>
      <c r="J269" s="609"/>
      <c r="K269" s="608"/>
      <c r="M269" s="609"/>
      <c r="N269" s="608"/>
      <c r="O269" s="610"/>
      <c r="P269" s="609"/>
      <c r="Q269" s="608"/>
      <c r="R269" s="610"/>
      <c r="S269" s="609"/>
      <c r="T269" s="608">
        <f>$I269*S258*U$16</f>
        <v>485.94124800000003</v>
      </c>
      <c r="U269" s="610"/>
      <c r="V269" s="598">
        <v>0</v>
      </c>
      <c r="X269" s="573"/>
    </row>
    <row r="270" spans="1:24">
      <c r="C270" s="605" t="s">
        <v>264</v>
      </c>
      <c r="D270" s="1074">
        <v>2</v>
      </c>
      <c r="E270" s="607" t="s">
        <v>248</v>
      </c>
      <c r="F270" s="606">
        <f>Assumptions!D70</f>
        <v>122</v>
      </c>
      <c r="G270" s="607" t="s">
        <v>249</v>
      </c>
      <c r="H270" s="608">
        <v>3</v>
      </c>
      <c r="I270" s="608">
        <f t="shared" si="64"/>
        <v>732</v>
      </c>
      <c r="J270" s="609"/>
      <c r="K270" s="608"/>
      <c r="M270" s="609"/>
      <c r="N270" s="608"/>
      <c r="O270" s="610"/>
      <c r="P270" s="609"/>
      <c r="Q270" s="608"/>
      <c r="R270" s="610"/>
      <c r="S270" s="609"/>
      <c r="T270" s="608">
        <f>$I270*S258*U$16</f>
        <v>6587.2035840000008</v>
      </c>
      <c r="U270" s="610"/>
      <c r="V270" s="598">
        <v>0</v>
      </c>
      <c r="X270" s="573"/>
    </row>
    <row r="271" spans="1:24">
      <c r="C271" s="605" t="s">
        <v>265</v>
      </c>
      <c r="D271" s="1074">
        <v>2</v>
      </c>
      <c r="E271" s="607" t="s">
        <v>248</v>
      </c>
      <c r="F271" s="606">
        <f>partmeals</f>
        <v>47</v>
      </c>
      <c r="G271" s="607" t="s">
        <v>249</v>
      </c>
      <c r="H271" s="608">
        <v>3</v>
      </c>
      <c r="I271" s="608">
        <f t="shared" si="64"/>
        <v>282</v>
      </c>
      <c r="J271" s="609"/>
      <c r="K271" s="608"/>
      <c r="M271" s="609"/>
      <c r="N271" s="608"/>
      <c r="O271" s="610"/>
      <c r="P271" s="609"/>
      <c r="Q271" s="608"/>
      <c r="R271" s="610"/>
      <c r="S271" s="609"/>
      <c r="T271" s="608">
        <f>$I271*S258*U$16</f>
        <v>2537.6931840000002</v>
      </c>
      <c r="U271" s="610"/>
      <c r="V271" s="598">
        <v>0</v>
      </c>
      <c r="X271" s="573"/>
    </row>
    <row r="272" spans="1:24">
      <c r="C272" s="621" t="s">
        <v>269</v>
      </c>
      <c r="D272" s="622"/>
      <c r="E272" s="622"/>
      <c r="F272" s="623"/>
      <c r="G272" s="1410">
        <f>SUM(I259:I271)</f>
        <v>1848</v>
      </c>
      <c r="H272" s="1411"/>
      <c r="I272" s="624"/>
      <c r="J272" s="625"/>
      <c r="K272" s="625"/>
      <c r="L272" s="601"/>
      <c r="M272" s="625"/>
      <c r="N272" s="625"/>
      <c r="O272" s="601"/>
      <c r="P272" s="625"/>
      <c r="Q272" s="625"/>
      <c r="R272" s="601"/>
      <c r="S272" s="625"/>
      <c r="T272" s="625"/>
      <c r="U272" s="601"/>
      <c r="V272" s="626"/>
      <c r="W272" s="1080"/>
      <c r="X272" s="573"/>
    </row>
    <row r="273" spans="3:24" ht="13.5" customHeight="1" thickBot="1">
      <c r="C273" s="569"/>
      <c r="D273" s="627"/>
      <c r="E273" s="627"/>
      <c r="F273" s="627"/>
      <c r="G273" s="627"/>
      <c r="H273" s="627"/>
      <c r="I273" s="592"/>
      <c r="J273" s="592"/>
      <c r="K273" s="592"/>
      <c r="L273" s="592"/>
      <c r="M273" s="592"/>
      <c r="N273" s="592"/>
      <c r="O273" s="592"/>
      <c r="P273" s="592"/>
      <c r="Q273" s="592"/>
      <c r="R273" s="592"/>
      <c r="S273" s="592"/>
      <c r="T273" s="592"/>
      <c r="U273" s="592"/>
      <c r="V273" s="593"/>
      <c r="X273" s="573"/>
    </row>
    <row r="274" spans="3:24" ht="15.9" thickTop="1" thickBot="1">
      <c r="C274" s="570"/>
      <c r="D274" s="628"/>
      <c r="E274" s="628"/>
      <c r="F274" s="628"/>
      <c r="G274" s="628"/>
      <c r="H274" s="628"/>
      <c r="I274" s="629"/>
      <c r="J274" s="629"/>
      <c r="K274" s="629"/>
      <c r="L274" s="629"/>
      <c r="M274" s="629"/>
      <c r="N274" s="629"/>
      <c r="O274" s="629"/>
      <c r="P274" s="629"/>
      <c r="Q274" s="629"/>
      <c r="R274" s="629"/>
      <c r="S274" s="629"/>
      <c r="T274" s="629"/>
      <c r="U274" s="629"/>
      <c r="V274" s="630"/>
      <c r="X274" s="573"/>
    </row>
    <row r="275" spans="3:24" ht="15.6" thickBot="1">
      <c r="C275" s="631"/>
      <c r="D275" s="632"/>
      <c r="E275" s="632"/>
      <c r="F275" s="632"/>
      <c r="G275" s="632"/>
      <c r="H275" s="632"/>
      <c r="I275" s="633"/>
      <c r="J275" s="633"/>
      <c r="K275" s="633"/>
      <c r="L275" s="634"/>
      <c r="M275" s="633"/>
      <c r="N275" s="633"/>
      <c r="O275" s="634"/>
      <c r="P275" s="633"/>
      <c r="Q275" s="633"/>
      <c r="R275" s="634"/>
      <c r="S275" s="633"/>
      <c r="T275" s="633"/>
      <c r="U275" s="634"/>
      <c r="V275" s="635"/>
    </row>
    <row r="276" spans="3:24" ht="18" customHeight="1" thickBot="1">
      <c r="C276" s="636" t="s">
        <v>303</v>
      </c>
      <c r="D276" s="637"/>
      <c r="E276" s="637"/>
      <c r="F276" s="637"/>
      <c r="G276" s="637"/>
      <c r="H276" s="637"/>
      <c r="I276" s="637"/>
      <c r="J276" s="638">
        <f>SUM(J19:J275)</f>
        <v>0</v>
      </c>
      <c r="K276" s="639"/>
      <c r="L276" s="640">
        <f>SUM(L19:L274)</f>
        <v>0</v>
      </c>
      <c r="M276" s="638"/>
      <c r="N276" s="639">
        <v>0</v>
      </c>
      <c r="O276" s="640">
        <f>SUM(O19:O274)</f>
        <v>107442.4</v>
      </c>
      <c r="P276" s="638"/>
      <c r="Q276" s="639">
        <v>0</v>
      </c>
      <c r="R276" s="641">
        <f>SUM(R19:R274)</f>
        <v>78794.560000000012</v>
      </c>
      <c r="S276" s="638"/>
      <c r="T276" s="639">
        <v>0</v>
      </c>
      <c r="U276" s="641">
        <f>SUM(U19:U274)</f>
        <v>55444.54656000001</v>
      </c>
      <c r="V276" s="642">
        <f>SUM(L276,O276,R276,U276,)</f>
        <v>241681.50656000004</v>
      </c>
      <c r="W276" s="1080"/>
      <c r="X276" s="982"/>
    </row>
    <row r="277" spans="3:24">
      <c r="C277" s="643"/>
      <c r="D277" s="643"/>
      <c r="E277" s="643"/>
      <c r="F277" s="643"/>
      <c r="G277" s="643"/>
      <c r="H277" s="643"/>
      <c r="I277" s="643"/>
      <c r="J277" s="643"/>
      <c r="K277" s="643"/>
      <c r="L277" s="643"/>
      <c r="M277" s="643"/>
      <c r="N277" s="643"/>
      <c r="O277" s="643"/>
      <c r="P277" s="643"/>
      <c r="Q277" s="643"/>
      <c r="R277" s="643"/>
      <c r="S277" s="643"/>
      <c r="T277" s="643"/>
      <c r="U277" s="643"/>
      <c r="V277" s="644"/>
    </row>
    <row r="278" spans="3:24">
      <c r="C278" s="31"/>
      <c r="D278" s="891"/>
      <c r="E278" s="891"/>
      <c r="F278" s="891"/>
      <c r="G278" s="891"/>
      <c r="H278" s="891"/>
      <c r="I278" s="891"/>
      <c r="J278" s="891"/>
      <c r="K278" s="891"/>
      <c r="L278" s="891"/>
      <c r="M278" s="891"/>
      <c r="N278" s="891"/>
      <c r="O278" s="891"/>
      <c r="P278" s="891"/>
      <c r="Q278" s="891"/>
      <c r="R278" s="891"/>
      <c r="S278" s="891"/>
      <c r="T278" s="891"/>
      <c r="U278" s="891"/>
    </row>
    <row r="279" spans="3:24">
      <c r="C279" s="843" t="s">
        <v>304</v>
      </c>
      <c r="D279" s="892"/>
      <c r="E279" s="879"/>
      <c r="F279" s="893"/>
      <c r="G279" s="890"/>
      <c r="H279" s="890"/>
      <c r="I279" s="890"/>
      <c r="J279" s="890"/>
      <c r="K279" s="890"/>
      <c r="L279" s="844" t="str">
        <f>J14</f>
        <v>Year 1</v>
      </c>
      <c r="M279" s="890"/>
      <c r="N279" s="890"/>
      <c r="O279" s="844" t="str">
        <f>M14</f>
        <v>Year 2</v>
      </c>
      <c r="P279" s="890"/>
      <c r="Q279" s="890"/>
      <c r="R279" s="844" t="str">
        <f>P14</f>
        <v>Year 3</v>
      </c>
      <c r="S279" s="890"/>
      <c r="T279" s="890"/>
      <c r="U279" s="844" t="str">
        <f>S14</f>
        <v>Year 4</v>
      </c>
      <c r="V279" s="851" t="s">
        <v>240</v>
      </c>
    </row>
    <row r="280" spans="3:24">
      <c r="C280" s="845" t="s">
        <v>305</v>
      </c>
      <c r="D280" s="846"/>
      <c r="E280" s="847"/>
      <c r="F280" s="849" t="s">
        <v>306</v>
      </c>
      <c r="G280" s="891"/>
      <c r="H280" s="891"/>
      <c r="I280" s="891"/>
      <c r="J280" s="891"/>
      <c r="K280" s="891"/>
      <c r="L280" s="848">
        <f>SUM(K263:K271,K243:K247,K230:K234,K204:K211,K186:K193,K169:K176,K156:K160,K143:K146,K125:K129,K102:K110,K84:K93,K217:K220,)</f>
        <v>0</v>
      </c>
      <c r="M280" s="891"/>
      <c r="N280" s="891"/>
      <c r="O280" s="848">
        <f>SUM(N264:N271,N243:N247,N231:N234,N204:N211,N186:N193,N169:N176,N157:N160,N27:N45,N126:N129,N102:N110,N85:N93,N218:N220,N53:N60,N70:N77)</f>
        <v>51812.799999999981</v>
      </c>
      <c r="P280" s="891"/>
      <c r="Q280" s="891"/>
      <c r="R280" s="848">
        <f>SUM(Q263:Q271,Q243:Q247,Q230:Q234,Q204:Q212,Q186:Q193,Q169:Q176,Q156:Q160,Q146:Q146,Q125:Q129,Q102:Q110,Q85:Q93,Q217:Q220,Q70:Q77)</f>
        <v>35524.070400000011</v>
      </c>
      <c r="S280" s="891"/>
      <c r="T280" s="891"/>
      <c r="U280" s="848">
        <f>SUM(T264:T271,T243:T247,T230:T234,T204:T211,T186:T193,T169:T176,T156:T160,T146:T146,T125:T129,T102:T110,T85:T93,T218:T220,T70:T77)</f>
        <v>55310.687744000024</v>
      </c>
      <c r="V280" s="848">
        <f>SUM(L280:U280)</f>
        <v>142647.55814400001</v>
      </c>
    </row>
    <row r="281" spans="3:24">
      <c r="C281" s="1412" t="s">
        <v>307</v>
      </c>
      <c r="D281" s="1413"/>
      <c r="E281" s="1413"/>
      <c r="F281" s="1414"/>
      <c r="G281" s="891"/>
      <c r="H281" s="891"/>
      <c r="I281" s="891"/>
      <c r="J281" s="891"/>
      <c r="K281" s="891"/>
      <c r="L281" s="850">
        <f>SUM(L280:L280)</f>
        <v>0</v>
      </c>
      <c r="M281" s="891"/>
      <c r="N281" s="891"/>
      <c r="O281" s="850">
        <f>SUM(O280:O280)</f>
        <v>51812.799999999981</v>
      </c>
      <c r="P281" s="891"/>
      <c r="Q281" s="891"/>
      <c r="R281" s="850">
        <f>SUM(R280:R280)</f>
        <v>35524.070400000011</v>
      </c>
      <c r="S281" s="891"/>
      <c r="T281" s="891"/>
      <c r="U281" s="850">
        <f>SUM(U280:U280)</f>
        <v>55310.687744000024</v>
      </c>
      <c r="V281" s="852">
        <f>L281+O281+R281+U281</f>
        <v>142647.55814400001</v>
      </c>
      <c r="W281" s="984"/>
      <c r="X281" s="985"/>
    </row>
    <row r="283" spans="3:24">
      <c r="V283" s="981"/>
    </row>
    <row r="284" spans="3:24">
      <c r="V284" s="983"/>
    </row>
    <row r="285" spans="3:24">
      <c r="V285" s="980"/>
    </row>
  </sheetData>
  <sheetProtection formatColumns="0" formatRows="0"/>
  <autoFilter ref="C5:C295" xr:uid="{00000000-0001-0000-0000-000000000000}"/>
  <mergeCells count="117">
    <mergeCell ref="J14:L14"/>
    <mergeCell ref="M14:O14"/>
    <mergeCell ref="P14:R14"/>
    <mergeCell ref="S14:U14"/>
    <mergeCell ref="J15:K15"/>
    <mergeCell ref="M15:N15"/>
    <mergeCell ref="P15:Q15"/>
    <mergeCell ref="S15:T15"/>
    <mergeCell ref="C20:G20"/>
    <mergeCell ref="J20:K20"/>
    <mergeCell ref="M20:N20"/>
    <mergeCell ref="P20:Q20"/>
    <mergeCell ref="S20:T20"/>
    <mergeCell ref="G47:H47"/>
    <mergeCell ref="C64:G64"/>
    <mergeCell ref="J64:K64"/>
    <mergeCell ref="M64:N64"/>
    <mergeCell ref="P64:Q64"/>
    <mergeCell ref="S64:T64"/>
    <mergeCell ref="G79:H79"/>
    <mergeCell ref="C49:G49"/>
    <mergeCell ref="J49:K49"/>
    <mergeCell ref="M49:N49"/>
    <mergeCell ref="P49:Q49"/>
    <mergeCell ref="S49:T49"/>
    <mergeCell ref="G62:H62"/>
    <mergeCell ref="C96:G96"/>
    <mergeCell ref="J96:K96"/>
    <mergeCell ref="M96:N96"/>
    <mergeCell ref="P96:Q96"/>
    <mergeCell ref="S96:T96"/>
    <mergeCell ref="G111:H111"/>
    <mergeCell ref="C81:G81"/>
    <mergeCell ref="J81:K81"/>
    <mergeCell ref="M81:N81"/>
    <mergeCell ref="P81:Q81"/>
    <mergeCell ref="S81:T81"/>
    <mergeCell ref="G94:H94"/>
    <mergeCell ref="C113:G113"/>
    <mergeCell ref="J113:K113"/>
    <mergeCell ref="M113:N113"/>
    <mergeCell ref="P113:Q113"/>
    <mergeCell ref="S113:T113"/>
    <mergeCell ref="G121:H121"/>
    <mergeCell ref="C132:G132"/>
    <mergeCell ref="J132:K132"/>
    <mergeCell ref="M132:N132"/>
    <mergeCell ref="P132:Q132"/>
    <mergeCell ref="S132:T132"/>
    <mergeCell ref="G138:H138"/>
    <mergeCell ref="C124:G124"/>
    <mergeCell ref="J124:K124"/>
    <mergeCell ref="M124:N124"/>
    <mergeCell ref="P124:Q124"/>
    <mergeCell ref="S124:T124"/>
    <mergeCell ref="G130:H130"/>
    <mergeCell ref="C150:G150"/>
    <mergeCell ref="J150:K150"/>
    <mergeCell ref="M150:N150"/>
    <mergeCell ref="P150:Q150"/>
    <mergeCell ref="S150:T150"/>
    <mergeCell ref="G161:H161"/>
    <mergeCell ref="C141:G141"/>
    <mergeCell ref="J141:K141"/>
    <mergeCell ref="M141:N141"/>
    <mergeCell ref="P141:Q141"/>
    <mergeCell ref="S141:T141"/>
    <mergeCell ref="G147:H147"/>
    <mergeCell ref="C179:G179"/>
    <mergeCell ref="J179:K179"/>
    <mergeCell ref="M179:N179"/>
    <mergeCell ref="P179:Q179"/>
    <mergeCell ref="S179:T179"/>
    <mergeCell ref="G194:H194"/>
    <mergeCell ref="C163:G163"/>
    <mergeCell ref="J163:K163"/>
    <mergeCell ref="M163:N163"/>
    <mergeCell ref="P163:Q163"/>
    <mergeCell ref="S163:T163"/>
    <mergeCell ref="G177:H177"/>
    <mergeCell ref="C196:G196"/>
    <mergeCell ref="J196:K196"/>
    <mergeCell ref="M196:N196"/>
    <mergeCell ref="P196:Q196"/>
    <mergeCell ref="S196:T196"/>
    <mergeCell ref="G213:H213"/>
    <mergeCell ref="C223:G223"/>
    <mergeCell ref="J223:K223"/>
    <mergeCell ref="M223:N223"/>
    <mergeCell ref="P223:Q223"/>
    <mergeCell ref="S223:T223"/>
    <mergeCell ref="G235:H235"/>
    <mergeCell ref="C216:G216"/>
    <mergeCell ref="J216:K216"/>
    <mergeCell ref="M216:N216"/>
    <mergeCell ref="P216:Q216"/>
    <mergeCell ref="S216:T216"/>
    <mergeCell ref="G221:H221"/>
    <mergeCell ref="C250:G250"/>
    <mergeCell ref="J250:K250"/>
    <mergeCell ref="M250:N250"/>
    <mergeCell ref="P250:Q250"/>
    <mergeCell ref="S250:T250"/>
    <mergeCell ref="G272:H272"/>
    <mergeCell ref="C281:F281"/>
    <mergeCell ref="G256:H256"/>
    <mergeCell ref="C237:G237"/>
    <mergeCell ref="J237:K237"/>
    <mergeCell ref="M237:N237"/>
    <mergeCell ref="P237:Q237"/>
    <mergeCell ref="S237:T237"/>
    <mergeCell ref="G248:H248"/>
    <mergeCell ref="C258:G258"/>
    <mergeCell ref="J258:K258"/>
    <mergeCell ref="M258:N258"/>
    <mergeCell ref="P258:Q258"/>
    <mergeCell ref="S258:T258"/>
  </mergeCells>
  <conditionalFormatting sqref="D198:H201 D203:H211">
    <cfRule type="dataBar" priority="5">
      <dataBar>
        <cfvo type="min"/>
        <cfvo type="max"/>
        <color rgb="FF638EC6"/>
      </dataBar>
      <extLst>
        <ext xmlns:x14="http://schemas.microsoft.com/office/spreadsheetml/2009/9/main" uri="{B025F937-C7B1-47D3-B67F-A62EFF666E3E}">
          <x14:id>{2A7585B6-3A41-4DC4-AFF3-EBBB7856B9FE}</x14:id>
        </ext>
      </extLst>
    </cfRule>
  </conditionalFormatting>
  <conditionalFormatting sqref="D263:H267">
    <cfRule type="dataBar" priority="1">
      <dataBar>
        <cfvo type="min"/>
        <cfvo type="max"/>
        <color rgb="FF638EC6"/>
      </dataBar>
      <extLst>
        <ext xmlns:x14="http://schemas.microsoft.com/office/spreadsheetml/2009/9/main" uri="{B025F937-C7B1-47D3-B67F-A62EFF666E3E}">
          <x14:id>{970968C8-A9BE-4848-A835-DE928BEF277B}</x14:id>
        </ext>
      </extLst>
    </cfRule>
  </conditionalFormatting>
  <pageMargins left="0.5" right="0.5" top="0.5" bottom="0.5" header="0" footer="0.25"/>
  <pageSetup scale="33" fitToHeight="0" orientation="landscape" r:id="rId1"/>
  <headerFooter scaleWithDoc="0" alignWithMargins="0">
    <oddFooter>&amp;LUse or disclosure of data contained on this sheet is subject to the restriction on the proprietary statement of this proposal.&amp;RJhpiego's, Page &amp;P of &amp;N</oddFooter>
  </headerFooter>
  <rowBreaks count="1" manualBreakCount="1">
    <brk id="47" min="2" max="40" man="1"/>
  </rowBreaks>
  <ignoredErrors>
    <ignoredError sqref="D234 L49 F54 F23:N23 Q22:V26 L20:N20 V46 R49:V49 V61 F74:V74 F69:M69 N66:P69 Q66:V73 F71:P71 L64:N64 F66:G67 J68:M68 S64:T64 P64:Q64 O64 R64 U64 L96:V96 F98:F101 G100 H107:V108 H106 J106:M106 O106:P106 R106:S106 H85:H89 F86 L81:V81 G94 H98:V105 F115:V116 L113:V113 I119 F117:J118 V119 G111 P117:V118 K117:O119 F119 Q119:T119 F125:V125 F134:V135 L132 Q132:R132 N132:O132 T132:V132 F136:G136 I136:V136 G138 F143:V144 F152:V156 G161 F165:V167 F173:H173 F170:V170 F168:G168 G177 F181:V182 G194 F187:V187 G186 G200:H200 F203 V198:V200 F198:F199 I198:I200 T198:T200 I201:V202 U196:V196 G213 F218:V220 O216:V216 L216 G225:V225 G230:V230 L226:M226 L223 G235 N223 G231:S234 U231:V234 G226:J228 F226:F230 I229 T223:U223 Q223 O223:P223 R223:S223 V223 F243:V243 Q239:V241 L237 F242:P242 F239:G241 F245 U237:V237 Q237:R237 O237 I244:S247 U244:U247 I239:P241 L250 F253:U254 G256 H260:V263 G252:M252 J162:V163 L150:V150 L141:V141 M179:U179 L179 V179 V251:V254 L258:T258 M276:N276 P276:U276 D6:D10 G22:M22 F31:N32 G30:N30 F41:N42 G40:N40 F56:F60 F73:P73 G72:P72 F76:G77 F88:F92 F105:F108 F110 F129:V129 G128:V128 F160:V160 G159:V159 F172:V172 G171:V171 F176:V176 G188 F189:V193 F207:F211 F234 F247 F185:V185 G183:V183 V27:V37 I56:K60 N56:N60 I75:V77 F44:N45 F43:G43 I43:N43 F35:N37 G33 I33:N33 I83:V93 H92 H110:V110 F174:G175 I174:V175 T203:T212 I203:I211 H268:V271 I264:V264 I188:V188 I186:U186 O252:U252 N250:O250 Q250:U250 H265:V265 V51 I51:K54 N51:N54 N124 Q124 S124:T124 V124 F201 F158:V158 G157:V157 G169:V169 G184:P184 F26:N27 G24:N24 F29:N29 G28:N28 I266:V266 F232 F205 F39:N39 G38:N38 G70:P70 G75 F103 F127:V127 G126:V126 G25:N25 G145:V145 G34:N34 J66:M66 J67:M67 P20:V20 G68 R184:V184 O226:V226 R242:V242" unlockedFormula="1"/>
    <ignoredError sqref="K226 K227:V228 N229:V229" formula="1" unlockedFormula="1"/>
    <ignoredError sqref="K229:M229" formula="1"/>
  </ignoredErrors>
  <drawing r:id="rId2"/>
  <extLst>
    <ext xmlns:x14="http://schemas.microsoft.com/office/spreadsheetml/2009/9/main" uri="{78C0D931-6437-407d-A8EE-F0AAD7539E65}">
      <x14:conditionalFormattings>
        <x14:conditionalFormatting xmlns:xm="http://schemas.microsoft.com/office/excel/2006/main">
          <x14:cfRule type="dataBar" id="{2A7585B6-3A41-4DC4-AFF3-EBBB7856B9FE}">
            <x14:dataBar minLength="0" maxLength="100" gradient="0">
              <x14:cfvo type="autoMin"/>
              <x14:cfvo type="autoMax"/>
              <x14:negativeFillColor rgb="FFFF0000"/>
              <x14:axisColor rgb="FF000000"/>
            </x14:dataBar>
          </x14:cfRule>
          <xm:sqref>D198:H201 D203:H211</xm:sqref>
        </x14:conditionalFormatting>
        <x14:conditionalFormatting xmlns:xm="http://schemas.microsoft.com/office/excel/2006/main">
          <x14:cfRule type="dataBar" id="{970968C8-A9BE-4848-A835-DE928BEF277B}">
            <x14:dataBar minLength="0" maxLength="100" gradient="0">
              <x14:cfvo type="autoMin"/>
              <x14:cfvo type="autoMax"/>
              <x14:negativeFillColor rgb="FFFF0000"/>
              <x14:axisColor rgb="FF000000"/>
            </x14:dataBar>
          </x14:cfRule>
          <xm:sqref>D263:H267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pageSetUpPr fitToPage="1"/>
  </sheetPr>
  <dimension ref="A1:AE131"/>
  <sheetViews>
    <sheetView topLeftCell="A7" zoomScale="85" zoomScaleNormal="85" zoomScaleSheetLayoutView="70" workbookViewId="0">
      <pane xSplit="5" ySplit="4" topLeftCell="F20" activePane="bottomRight" state="frozen"/>
      <selection pane="topRight" activeCell="F7" sqref="F7"/>
      <selection pane="bottomLeft" activeCell="A11" sqref="A11"/>
      <selection pane="bottomRight" activeCell="F7" sqref="F7"/>
    </sheetView>
  </sheetViews>
  <sheetFormatPr defaultColWidth="9.71875" defaultRowHeight="12.3"/>
  <cols>
    <col min="1" max="1" width="50.71875" style="9" customWidth="1"/>
    <col min="2" max="2" width="9.71875" style="13" hidden="1" customWidth="1"/>
    <col min="3" max="3" width="9" style="9" hidden="1" customWidth="1"/>
    <col min="4" max="4" width="10.5546875" style="9" hidden="1" customWidth="1"/>
    <col min="5" max="5" width="9.27734375" style="9" hidden="1" customWidth="1"/>
    <col min="6" max="6" width="14.44140625" style="9" customWidth="1"/>
    <col min="7" max="7" width="9.71875" style="9" hidden="1" customWidth="1"/>
    <col min="8" max="8" width="8.27734375" style="9" hidden="1" customWidth="1"/>
    <col min="9" max="9" width="14.44140625" style="9" customWidth="1"/>
    <col min="10" max="10" width="10.27734375" style="9" hidden="1" customWidth="1"/>
    <col min="11" max="11" width="9.27734375" style="9" hidden="1" customWidth="1"/>
    <col min="12" max="12" width="14.44140625" style="9" customWidth="1"/>
    <col min="13" max="13" width="10.5546875" style="9" hidden="1" customWidth="1"/>
    <col min="14" max="14" width="9.27734375" style="9" hidden="1" customWidth="1"/>
    <col min="15" max="15" width="14.44140625" style="9" customWidth="1"/>
    <col min="16" max="16" width="10.27734375" style="9" hidden="1" customWidth="1"/>
    <col min="17" max="17" width="9.27734375" style="9" hidden="1" customWidth="1"/>
    <col min="18" max="18" width="14.44140625" style="9" customWidth="1"/>
    <col min="19" max="20" width="9.44140625" style="9" hidden="1" customWidth="1"/>
    <col min="21" max="21" width="16.44140625" style="9" bestFit="1" customWidth="1"/>
    <col min="22" max="22" width="16" style="9" customWidth="1"/>
    <col min="23" max="23" width="15.5546875" style="14" customWidth="1"/>
    <col min="24" max="24" width="13.71875" style="14" customWidth="1"/>
    <col min="25" max="25" width="12.44140625" style="5" bestFit="1" customWidth="1"/>
    <col min="26" max="16384" width="9.71875" style="9"/>
  </cols>
  <sheetData>
    <row r="1" spans="1:25" s="8" customFormat="1" ht="20.100000000000001">
      <c r="A1" s="4" t="str">
        <f>Assumptions!B8</f>
        <v>Partners of America</v>
      </c>
      <c r="B1" s="7"/>
      <c r="J1" s="9"/>
      <c r="K1" s="10"/>
      <c r="M1" s="24"/>
      <c r="N1" s="25"/>
      <c r="O1" s="25"/>
      <c r="Q1" s="25"/>
      <c r="R1" s="25"/>
      <c r="S1" s="24"/>
      <c r="T1" s="24"/>
      <c r="U1" s="26"/>
      <c r="X1" s="11"/>
    </row>
    <row r="2" spans="1:25" s="8" customFormat="1" ht="15">
      <c r="A2" s="442" t="str">
        <f>Assumptions!B9</f>
        <v>DONOR:</v>
      </c>
      <c r="F2" s="315" t="str">
        <f>Assumptions!C9</f>
        <v>USDOL</v>
      </c>
      <c r="J2" s="9"/>
      <c r="K2" s="9"/>
      <c r="L2" s="9"/>
      <c r="M2" s="27"/>
      <c r="N2" s="12"/>
      <c r="O2" s="12"/>
      <c r="Q2" s="9"/>
      <c r="W2" s="11"/>
      <c r="X2" s="11"/>
      <c r="Y2" s="12"/>
    </row>
    <row r="3" spans="1:25" s="8" customFormat="1" ht="15">
      <c r="A3" s="442" t="str">
        <f>Assumptions!B10</f>
        <v>Country:</v>
      </c>
      <c r="F3" s="315" t="str">
        <f>Assumptions!C10</f>
        <v>Ecuador</v>
      </c>
      <c r="J3" s="9"/>
      <c r="K3" s="9"/>
      <c r="L3" s="9"/>
      <c r="M3" s="27"/>
      <c r="N3" s="12"/>
      <c r="O3" s="12"/>
      <c r="Q3" s="9"/>
      <c r="S3" s="912"/>
      <c r="T3" s="912"/>
      <c r="U3" s="28"/>
      <c r="W3" s="11"/>
      <c r="X3" s="11"/>
      <c r="Y3" s="12"/>
    </row>
    <row r="4" spans="1:25" ht="15">
      <c r="A4" s="442" t="str">
        <f>Assumptions!B11</f>
        <v>Program Name:</v>
      </c>
      <c r="B4" s="16"/>
      <c r="C4" s="8"/>
      <c r="F4" s="315" t="str">
        <f>Assumptions!C11</f>
        <v>Project to Improve Adherence to International Labor Standards in the Agricultural Sector in Ecuador</v>
      </c>
      <c r="P4" s="913"/>
      <c r="S4" s="912"/>
      <c r="T4" s="912"/>
      <c r="U4" s="28"/>
    </row>
    <row r="5" spans="1:25" ht="15">
      <c r="A5" s="442" t="str">
        <f>Assumptions!B12</f>
        <v>Grant Number:</v>
      </c>
      <c r="B5" s="16"/>
      <c r="F5" s="315" t="str">
        <f>Assumptions!C12</f>
        <v>FOA-ILAB-23-28</v>
      </c>
      <c r="P5" s="913"/>
      <c r="S5" s="912"/>
      <c r="T5" s="912"/>
      <c r="U5" s="28"/>
    </row>
    <row r="6" spans="1:25" ht="15">
      <c r="A6" s="442" t="str">
        <f>Assumptions!B13</f>
        <v>Period of Performance:</v>
      </c>
      <c r="B6" s="16"/>
      <c r="E6" s="315"/>
      <c r="F6" s="462" t="str">
        <f>Assumptions!C13</f>
        <v>48 months</v>
      </c>
      <c r="I6" s="462">
        <f>Assumptions!G13</f>
        <v>0</v>
      </c>
      <c r="P6" s="913"/>
      <c r="S6" s="912"/>
      <c r="T6" s="912"/>
      <c r="U6" s="28"/>
    </row>
    <row r="7" spans="1:25" ht="15">
      <c r="A7" s="315"/>
      <c r="B7" s="16"/>
      <c r="P7" s="913"/>
    </row>
    <row r="8" spans="1:25" ht="20.100000000000001">
      <c r="A8" s="4" t="s">
        <v>308</v>
      </c>
      <c r="B8" s="15"/>
    </row>
    <row r="9" spans="1:25" ht="15.3" thickBot="1">
      <c r="B9" s="16"/>
      <c r="S9" s="8"/>
      <c r="T9" s="8"/>
      <c r="U9" s="8"/>
    </row>
    <row r="10" spans="1:25" s="440" customFormat="1" ht="15.3" thickBot="1">
      <c r="A10" s="436" t="s">
        <v>309</v>
      </c>
      <c r="B10" s="437"/>
      <c r="C10" s="437"/>
      <c r="D10" s="437"/>
      <c r="E10" s="437"/>
      <c r="F10" s="418" t="e">
        <f>#REF!</f>
        <v>#REF!</v>
      </c>
      <c r="G10" s="437"/>
      <c r="H10" s="437"/>
      <c r="I10" s="418" t="e">
        <f>#REF!</f>
        <v>#REF!</v>
      </c>
      <c r="J10" s="437"/>
      <c r="K10" s="437"/>
      <c r="L10" s="418" t="e">
        <f>#REF!</f>
        <v>#REF!</v>
      </c>
      <c r="M10" s="437"/>
      <c r="N10" s="437"/>
      <c r="O10" s="418" t="e">
        <f>#REF!</f>
        <v>#REF!</v>
      </c>
      <c r="P10" s="437"/>
      <c r="Q10" s="437"/>
      <c r="R10" s="418" t="e">
        <f>#REF!</f>
        <v>#REF!</v>
      </c>
      <c r="S10" s="438"/>
      <c r="T10" s="438"/>
      <c r="U10" s="439" t="s">
        <v>240</v>
      </c>
    </row>
    <row r="11" spans="1:25" s="30" customFormat="1" ht="15">
      <c r="A11" s="373"/>
      <c r="B11" s="361"/>
      <c r="C11" s="361"/>
      <c r="D11" s="361"/>
      <c r="E11" s="361"/>
      <c r="F11" s="370"/>
      <c r="G11" s="361"/>
      <c r="H11" s="361"/>
      <c r="I11" s="370"/>
      <c r="J11" s="361"/>
      <c r="K11" s="361"/>
      <c r="L11" s="370"/>
      <c r="M11" s="361"/>
      <c r="N11" s="361"/>
      <c r="O11" s="370"/>
      <c r="P11" s="361"/>
      <c r="Q11" s="361"/>
      <c r="R11" s="370"/>
      <c r="S11" s="371"/>
      <c r="T11" s="371"/>
      <c r="U11" s="372"/>
    </row>
    <row r="12" spans="1:25" s="30" customFormat="1" ht="15">
      <c r="A12" s="367" t="s">
        <v>27</v>
      </c>
      <c r="B12" s="329"/>
      <c r="C12" s="329"/>
      <c r="D12" s="329"/>
      <c r="E12" s="329"/>
      <c r="F12" s="362" t="e">
        <f>#REF!</f>
        <v>#REF!</v>
      </c>
      <c r="G12" s="329"/>
      <c r="H12" s="329"/>
      <c r="I12" s="362" t="e">
        <f>#REF!</f>
        <v>#REF!</v>
      </c>
      <c r="J12" s="329"/>
      <c r="K12" s="329"/>
      <c r="L12" s="362" t="e">
        <f>#REF!</f>
        <v>#REF!</v>
      </c>
      <c r="M12" s="329"/>
      <c r="N12" s="329"/>
      <c r="O12" s="362" t="e">
        <f>#REF!</f>
        <v>#REF!</v>
      </c>
      <c r="P12" s="329"/>
      <c r="Q12" s="329"/>
      <c r="R12" s="362" t="e">
        <f>#REF!</f>
        <v>#REF!</v>
      </c>
      <c r="S12" s="330"/>
      <c r="T12" s="330"/>
      <c r="U12" s="363" t="e">
        <f xml:space="preserve"> SUM(F12,I12,L12,O12,R12)</f>
        <v>#REF!</v>
      </c>
    </row>
    <row r="13" spans="1:25" s="30" customFormat="1" ht="15">
      <c r="A13" s="367" t="s">
        <v>52</v>
      </c>
      <c r="B13" s="329"/>
      <c r="C13" s="329"/>
      <c r="D13" s="329"/>
      <c r="E13" s="329"/>
      <c r="F13" s="362" t="e">
        <f>#REF!</f>
        <v>#REF!</v>
      </c>
      <c r="G13" s="329"/>
      <c r="H13" s="329"/>
      <c r="I13" s="362" t="e">
        <f>#REF!</f>
        <v>#REF!</v>
      </c>
      <c r="J13" s="329"/>
      <c r="K13" s="329"/>
      <c r="L13" s="362" t="e">
        <f>#REF!</f>
        <v>#REF!</v>
      </c>
      <c r="M13" s="329"/>
      <c r="N13" s="329"/>
      <c r="O13" s="362" t="e">
        <f>#REF!</f>
        <v>#REF!</v>
      </c>
      <c r="P13" s="329"/>
      <c r="Q13" s="329"/>
      <c r="R13" s="362" t="e">
        <f>#REF!</f>
        <v>#REF!</v>
      </c>
      <c r="S13" s="330"/>
      <c r="T13" s="330"/>
      <c r="U13" s="363" t="e">
        <f t="shared" ref="U13:U20" si="0" xml:space="preserve"> SUM(F13,I13,L13,O13,R13)</f>
        <v>#REF!</v>
      </c>
    </row>
    <row r="14" spans="1:25" s="30" customFormat="1" ht="15">
      <c r="A14" s="367" t="s">
        <v>58</v>
      </c>
      <c r="B14" s="329"/>
      <c r="C14" s="329"/>
      <c r="D14" s="329"/>
      <c r="E14" s="329"/>
      <c r="F14" s="362" t="e">
        <f>#REF!</f>
        <v>#REF!</v>
      </c>
      <c r="G14" s="329"/>
      <c r="H14" s="329"/>
      <c r="I14" s="362" t="e">
        <f>#REF!</f>
        <v>#REF!</v>
      </c>
      <c r="J14" s="329"/>
      <c r="K14" s="329"/>
      <c r="L14" s="362" t="e">
        <f>#REF!</f>
        <v>#REF!</v>
      </c>
      <c r="M14" s="329"/>
      <c r="N14" s="329"/>
      <c r="O14" s="362" t="e">
        <f>#REF!</f>
        <v>#REF!</v>
      </c>
      <c r="P14" s="329"/>
      <c r="Q14" s="329"/>
      <c r="R14" s="362" t="e">
        <f>#REF!</f>
        <v>#REF!</v>
      </c>
      <c r="S14" s="330"/>
      <c r="T14" s="330"/>
      <c r="U14" s="363" t="e">
        <f t="shared" si="0"/>
        <v>#REF!</v>
      </c>
    </row>
    <row r="15" spans="1:25" s="30" customFormat="1" ht="15">
      <c r="A15" s="367" t="s">
        <v>90</v>
      </c>
      <c r="B15" s="329"/>
      <c r="C15" s="329"/>
      <c r="D15" s="329"/>
      <c r="E15" s="329"/>
      <c r="F15" s="362" t="e">
        <f>#REF!</f>
        <v>#REF!</v>
      </c>
      <c r="G15" s="329"/>
      <c r="H15" s="329"/>
      <c r="I15" s="362" t="e">
        <f>#REF!</f>
        <v>#REF!</v>
      </c>
      <c r="J15" s="329"/>
      <c r="K15" s="329"/>
      <c r="L15" s="362" t="e">
        <f>#REF!</f>
        <v>#REF!</v>
      </c>
      <c r="M15" s="329"/>
      <c r="N15" s="329"/>
      <c r="O15" s="362" t="e">
        <f>#REF!</f>
        <v>#REF!</v>
      </c>
      <c r="P15" s="329"/>
      <c r="Q15" s="329"/>
      <c r="R15" s="362" t="e">
        <f>#REF!</f>
        <v>#REF!</v>
      </c>
      <c r="S15" s="330"/>
      <c r="T15" s="330"/>
      <c r="U15" s="363" t="e">
        <f t="shared" si="0"/>
        <v>#REF!</v>
      </c>
    </row>
    <row r="16" spans="1:25" s="30" customFormat="1" ht="15">
      <c r="A16" s="367" t="s">
        <v>310</v>
      </c>
      <c r="B16" s="329"/>
      <c r="C16" s="329"/>
      <c r="D16" s="329"/>
      <c r="E16" s="329"/>
      <c r="F16" s="362" t="e">
        <f>#REF!</f>
        <v>#REF!</v>
      </c>
      <c r="G16" s="329"/>
      <c r="H16" s="329"/>
      <c r="I16" s="362" t="e">
        <f>#REF!</f>
        <v>#REF!</v>
      </c>
      <c r="J16" s="329"/>
      <c r="K16" s="329"/>
      <c r="L16" s="362" t="e">
        <f>#REF!</f>
        <v>#REF!</v>
      </c>
      <c r="M16" s="329"/>
      <c r="N16" s="329"/>
      <c r="O16" s="362" t="e">
        <f>#REF!</f>
        <v>#REF!</v>
      </c>
      <c r="P16" s="329"/>
      <c r="Q16" s="329"/>
      <c r="R16" s="362" t="e">
        <f>#REF!</f>
        <v>#REF!</v>
      </c>
      <c r="S16" s="330"/>
      <c r="T16" s="330"/>
      <c r="U16" s="363" t="e">
        <f t="shared" si="0"/>
        <v>#REF!</v>
      </c>
    </row>
    <row r="17" spans="1:31" s="30" customFormat="1" ht="15">
      <c r="A17" s="367" t="s">
        <v>311</v>
      </c>
      <c r="B17" s="329"/>
      <c r="C17" s="329"/>
      <c r="D17" s="329"/>
      <c r="E17" s="329"/>
      <c r="F17" s="362" t="e">
        <f>#REF!</f>
        <v>#REF!</v>
      </c>
      <c r="G17" s="329"/>
      <c r="H17" s="329"/>
      <c r="I17" s="362" t="e">
        <f>#REF!</f>
        <v>#REF!</v>
      </c>
      <c r="J17" s="329"/>
      <c r="K17" s="329"/>
      <c r="L17" s="362" t="e">
        <f>#REF!</f>
        <v>#REF!</v>
      </c>
      <c r="M17" s="329"/>
      <c r="N17" s="329"/>
      <c r="O17" s="362" t="e">
        <f>#REF!</f>
        <v>#REF!</v>
      </c>
      <c r="P17" s="329"/>
      <c r="Q17" s="329"/>
      <c r="R17" s="362" t="e">
        <f>#REF!</f>
        <v>#REF!</v>
      </c>
      <c r="S17" s="330"/>
      <c r="T17" s="330"/>
      <c r="U17" s="363" t="e">
        <f t="shared" si="0"/>
        <v>#REF!</v>
      </c>
    </row>
    <row r="18" spans="1:31" s="30" customFormat="1" ht="15">
      <c r="A18" s="367" t="s">
        <v>103</v>
      </c>
      <c r="B18" s="329"/>
      <c r="C18" s="329"/>
      <c r="D18" s="329"/>
      <c r="E18" s="329"/>
      <c r="F18" s="362" t="e">
        <f>#REF!</f>
        <v>#REF!</v>
      </c>
      <c r="G18" s="329"/>
      <c r="H18" s="329"/>
      <c r="I18" s="362" t="e">
        <f>#REF!</f>
        <v>#REF!</v>
      </c>
      <c r="J18" s="329"/>
      <c r="K18" s="329"/>
      <c r="L18" s="362" t="e">
        <f>#REF!</f>
        <v>#REF!</v>
      </c>
      <c r="M18" s="329"/>
      <c r="N18" s="329"/>
      <c r="O18" s="362" t="e">
        <f>#REF!</f>
        <v>#REF!</v>
      </c>
      <c r="P18" s="329"/>
      <c r="Q18" s="329"/>
      <c r="R18" s="362" t="e">
        <f>#REF!</f>
        <v>#REF!</v>
      </c>
      <c r="S18" s="330"/>
      <c r="T18" s="330"/>
      <c r="U18" s="363" t="e">
        <f t="shared" si="0"/>
        <v>#REF!</v>
      </c>
    </row>
    <row r="19" spans="1:31" s="30" customFormat="1" ht="15">
      <c r="A19" s="367" t="s">
        <v>114</v>
      </c>
      <c r="B19" s="329"/>
      <c r="C19" s="329"/>
      <c r="D19" s="329"/>
      <c r="E19" s="329"/>
      <c r="F19" s="362" t="e">
        <f>#REF!</f>
        <v>#REF!</v>
      </c>
      <c r="G19" s="329"/>
      <c r="H19" s="329"/>
      <c r="I19" s="362" t="e">
        <f>#REF!</f>
        <v>#REF!</v>
      </c>
      <c r="J19" s="329"/>
      <c r="K19" s="329"/>
      <c r="L19" s="362" t="e">
        <f>#REF!</f>
        <v>#REF!</v>
      </c>
      <c r="M19" s="329"/>
      <c r="N19" s="329"/>
      <c r="O19" s="362" t="e">
        <f>#REF!</f>
        <v>#REF!</v>
      </c>
      <c r="P19" s="329"/>
      <c r="Q19" s="329"/>
      <c r="R19" s="362" t="e">
        <f>#REF!</f>
        <v>#REF!</v>
      </c>
      <c r="S19" s="330"/>
      <c r="T19" s="330"/>
      <c r="U19" s="363" t="e">
        <f t="shared" si="0"/>
        <v>#REF!</v>
      </c>
    </row>
    <row r="20" spans="1:31" s="30" customFormat="1" ht="15">
      <c r="A20" s="368" t="s">
        <v>312</v>
      </c>
      <c r="B20" s="329"/>
      <c r="C20" s="329"/>
      <c r="D20" s="329"/>
      <c r="E20" s="329"/>
      <c r="F20" s="362" t="e">
        <f>#REF!</f>
        <v>#REF!</v>
      </c>
      <c r="G20" s="329"/>
      <c r="H20" s="329"/>
      <c r="I20" s="362" t="e">
        <f>#REF!</f>
        <v>#REF!</v>
      </c>
      <c r="J20" s="329"/>
      <c r="K20" s="329"/>
      <c r="L20" s="362" t="e">
        <f>#REF!</f>
        <v>#REF!</v>
      </c>
      <c r="M20" s="329"/>
      <c r="N20" s="329"/>
      <c r="O20" s="362" t="e">
        <f>#REF!</f>
        <v>#REF!</v>
      </c>
      <c r="P20" s="329"/>
      <c r="Q20" s="329"/>
      <c r="R20" s="362" t="e">
        <f>#REF!</f>
        <v>#REF!</v>
      </c>
      <c r="S20" s="330"/>
      <c r="T20" s="330"/>
      <c r="U20" s="363" t="e">
        <f t="shared" si="0"/>
        <v>#REF!</v>
      </c>
    </row>
    <row r="21" spans="1:31" s="30" customFormat="1" ht="15">
      <c r="A21" s="367"/>
      <c r="B21" s="329"/>
      <c r="C21" s="329"/>
      <c r="D21" s="329"/>
      <c r="E21" s="329"/>
      <c r="F21" s="362"/>
      <c r="G21" s="329"/>
      <c r="H21" s="329"/>
      <c r="I21" s="362"/>
      <c r="J21" s="329"/>
      <c r="K21" s="329"/>
      <c r="L21" s="362"/>
      <c r="M21" s="329"/>
      <c r="N21" s="329"/>
      <c r="O21" s="362"/>
      <c r="P21" s="329"/>
      <c r="Q21" s="329"/>
      <c r="R21" s="362"/>
      <c r="S21" s="330"/>
      <c r="T21" s="330"/>
      <c r="U21" s="363"/>
    </row>
    <row r="22" spans="1:31" s="30" customFormat="1" ht="15">
      <c r="A22" s="367" t="s">
        <v>313</v>
      </c>
      <c r="B22" s="329"/>
      <c r="C22" s="329"/>
      <c r="D22" s="329"/>
      <c r="E22" s="329"/>
      <c r="F22" s="362" t="e">
        <f>#REF!</f>
        <v>#REF!</v>
      </c>
      <c r="G22" s="329"/>
      <c r="H22" s="329"/>
      <c r="I22" s="362" t="e">
        <f>#REF!</f>
        <v>#REF!</v>
      </c>
      <c r="J22" s="329"/>
      <c r="K22" s="329"/>
      <c r="L22" s="362" t="e">
        <f>#REF!</f>
        <v>#REF!</v>
      </c>
      <c r="M22" s="329"/>
      <c r="N22" s="329"/>
      <c r="O22" s="362" t="e">
        <f>#REF!</f>
        <v>#REF!</v>
      </c>
      <c r="P22" s="329"/>
      <c r="Q22" s="329"/>
      <c r="R22" s="362" t="e">
        <f>#REF!</f>
        <v>#REF!</v>
      </c>
      <c r="S22" s="330"/>
      <c r="T22" s="330"/>
      <c r="U22" s="363" t="e">
        <f t="shared" ref="U22:U23" si="1" xml:space="preserve"> SUM(F22,I22,L22,O22,R22)</f>
        <v>#REF!</v>
      </c>
    </row>
    <row r="23" spans="1:31" s="30" customFormat="1" ht="15">
      <c r="A23" s="367" t="s">
        <v>314</v>
      </c>
      <c r="B23" s="329"/>
      <c r="C23" s="329"/>
      <c r="D23" s="329"/>
      <c r="E23" s="329"/>
      <c r="F23" s="362" t="e">
        <f>#REF!</f>
        <v>#REF!</v>
      </c>
      <c r="G23" s="329"/>
      <c r="H23" s="329"/>
      <c r="I23" s="362" t="e">
        <f>#REF!</f>
        <v>#REF!</v>
      </c>
      <c r="J23" s="329"/>
      <c r="K23" s="329"/>
      <c r="L23" s="362" t="e">
        <f>#REF!</f>
        <v>#REF!</v>
      </c>
      <c r="M23" s="329"/>
      <c r="N23" s="329"/>
      <c r="O23" s="362" t="e">
        <f>#REF!</f>
        <v>#REF!</v>
      </c>
      <c r="P23" s="329"/>
      <c r="Q23" s="329"/>
      <c r="R23" s="362" t="e">
        <f>#REF!</f>
        <v>#REF!</v>
      </c>
      <c r="S23" s="330"/>
      <c r="T23" s="330"/>
      <c r="U23" s="363" t="e">
        <f t="shared" si="1"/>
        <v>#REF!</v>
      </c>
    </row>
    <row r="24" spans="1:31" s="30" customFormat="1" ht="15">
      <c r="A24" s="367"/>
      <c r="B24" s="329"/>
      <c r="C24" s="329"/>
      <c r="D24" s="329"/>
      <c r="E24" s="329"/>
      <c r="F24" s="364"/>
      <c r="G24" s="329"/>
      <c r="H24" s="329"/>
      <c r="I24" s="364"/>
      <c r="J24" s="329"/>
      <c r="K24" s="329"/>
      <c r="L24" s="364"/>
      <c r="M24" s="329"/>
      <c r="N24" s="329"/>
      <c r="O24" s="364"/>
      <c r="P24" s="329"/>
      <c r="Q24" s="329"/>
      <c r="R24" s="364"/>
      <c r="S24" s="330"/>
      <c r="T24" s="330"/>
      <c r="U24" s="363"/>
    </row>
    <row r="25" spans="1:31" s="30" customFormat="1" ht="15">
      <c r="A25" s="367" t="s">
        <v>315</v>
      </c>
      <c r="B25" s="329"/>
      <c r="C25" s="329"/>
      <c r="D25" s="329"/>
      <c r="E25" s="329"/>
      <c r="F25" s="362" t="e">
        <f>#REF!</f>
        <v>#REF!</v>
      </c>
      <c r="G25" s="329"/>
      <c r="H25" s="329"/>
      <c r="I25" s="362" t="e">
        <f>#REF!</f>
        <v>#REF!</v>
      </c>
      <c r="J25" s="329"/>
      <c r="K25" s="329"/>
      <c r="L25" s="362" t="e">
        <f>#REF!</f>
        <v>#REF!</v>
      </c>
      <c r="M25" s="329"/>
      <c r="N25" s="329"/>
      <c r="O25" s="362" t="e">
        <f>#REF!</f>
        <v>#REF!</v>
      </c>
      <c r="P25" s="329"/>
      <c r="Q25" s="329"/>
      <c r="R25" s="362" t="e">
        <f>#REF!</f>
        <v>#REF!</v>
      </c>
      <c r="S25" s="330"/>
      <c r="T25" s="330"/>
      <c r="U25" s="363" t="e">
        <f t="shared" ref="U25:U26" si="2" xml:space="preserve"> SUM(F25,I25,L25,O25,R25)</f>
        <v>#REF!</v>
      </c>
    </row>
    <row r="26" spans="1:31" s="30" customFormat="1" ht="15">
      <c r="A26" s="367" t="s">
        <v>316</v>
      </c>
      <c r="B26" s="329"/>
      <c r="C26" s="329"/>
      <c r="D26" s="329"/>
      <c r="E26" s="329"/>
      <c r="F26" s="362" t="e">
        <f>#REF!</f>
        <v>#REF!</v>
      </c>
      <c r="G26" s="329"/>
      <c r="H26" s="329"/>
      <c r="I26" s="362" t="e">
        <f>#REF!</f>
        <v>#REF!</v>
      </c>
      <c r="J26" s="329"/>
      <c r="K26" s="329"/>
      <c r="L26" s="362" t="e">
        <f>#REF!</f>
        <v>#REF!</v>
      </c>
      <c r="M26" s="329"/>
      <c r="N26" s="329"/>
      <c r="O26" s="362" t="e">
        <f>#REF!</f>
        <v>#REF!</v>
      </c>
      <c r="P26" s="329"/>
      <c r="Q26" s="329"/>
      <c r="R26" s="362" t="e">
        <f>#REF!</f>
        <v>#REF!</v>
      </c>
      <c r="S26" s="330"/>
      <c r="T26" s="330"/>
      <c r="U26" s="363" t="e">
        <f t="shared" si="2"/>
        <v>#REF!</v>
      </c>
    </row>
    <row r="27" spans="1:31" s="30" customFormat="1" ht="15.3" thickBot="1">
      <c r="A27" s="369"/>
      <c r="B27" s="331"/>
      <c r="C27" s="331"/>
      <c r="D27" s="331"/>
      <c r="E27" s="331"/>
      <c r="F27" s="365"/>
      <c r="G27" s="331"/>
      <c r="H27" s="331"/>
      <c r="I27" s="365"/>
      <c r="J27" s="331"/>
      <c r="K27" s="331"/>
      <c r="L27" s="365"/>
      <c r="M27" s="331"/>
      <c r="N27" s="331"/>
      <c r="O27" s="365"/>
      <c r="P27" s="331"/>
      <c r="Q27" s="331"/>
      <c r="R27" s="365"/>
      <c r="S27" s="332"/>
      <c r="T27" s="332"/>
      <c r="U27" s="366"/>
    </row>
    <row r="28" spans="1:31" s="30" customFormat="1" ht="15.3" thickBot="1">
      <c r="A28" s="193" t="s">
        <v>307</v>
      </c>
      <c r="B28" s="333"/>
      <c r="C28" s="333"/>
      <c r="D28" s="333"/>
      <c r="E28" s="333"/>
      <c r="F28" s="194" t="e">
        <f>SUM(F20:F27)</f>
        <v>#REF!</v>
      </c>
      <c r="G28" s="333"/>
      <c r="H28" s="333"/>
      <c r="I28" s="194" t="e">
        <f>SUM(I20:I27)</f>
        <v>#REF!</v>
      </c>
      <c r="J28" s="333"/>
      <c r="K28" s="333"/>
      <c r="L28" s="194" t="e">
        <f>SUM(L20:L27)</f>
        <v>#REF!</v>
      </c>
      <c r="M28" s="333"/>
      <c r="N28" s="333"/>
      <c r="O28" s="194" t="e">
        <f>SUM(O20:O27)</f>
        <v>#REF!</v>
      </c>
      <c r="P28" s="333"/>
      <c r="Q28" s="333"/>
      <c r="R28" s="194" t="e">
        <f>SUM(R20:R27)</f>
        <v>#REF!</v>
      </c>
      <c r="S28" s="334"/>
      <c r="T28" s="334"/>
      <c r="U28" s="195" t="e">
        <f>SUM(E28:T28)</f>
        <v>#REF!</v>
      </c>
    </row>
    <row r="29" spans="1:31" s="14" customFormat="1" ht="15.3" thickTop="1">
      <c r="A29" s="8"/>
      <c r="B29" s="173"/>
      <c r="C29" s="8"/>
      <c r="D29" s="8"/>
      <c r="E29" s="8"/>
      <c r="F29" s="8"/>
      <c r="G29" s="8"/>
      <c r="H29" s="8"/>
      <c r="I29" s="8"/>
      <c r="J29" s="8"/>
      <c r="K29" s="8"/>
      <c r="L29" s="8"/>
      <c r="M29" s="8"/>
      <c r="N29" s="8"/>
      <c r="O29" s="8"/>
      <c r="P29" s="8"/>
      <c r="Q29" s="8"/>
      <c r="R29" s="8"/>
      <c r="S29" s="8"/>
      <c r="T29" s="8"/>
      <c r="U29" s="8"/>
      <c r="V29" s="9"/>
      <c r="W29" s="9"/>
      <c r="Y29" s="5"/>
      <c r="Z29" s="9"/>
      <c r="AA29" s="9"/>
      <c r="AB29" s="9"/>
      <c r="AC29" s="9"/>
      <c r="AD29" s="9"/>
      <c r="AE29" s="9"/>
    </row>
    <row r="30" spans="1:31" s="30" customFormat="1" ht="20.100000000000001">
      <c r="A30" s="4" t="s">
        <v>317</v>
      </c>
      <c r="B30" s="173"/>
      <c r="C30" s="173"/>
      <c r="D30" s="173"/>
      <c r="E30" s="173"/>
      <c r="F30" s="173"/>
      <c r="G30" s="173"/>
      <c r="H30" s="173"/>
      <c r="I30" s="173"/>
      <c r="J30" s="173"/>
      <c r="K30" s="173"/>
      <c r="L30" s="173"/>
      <c r="M30" s="173"/>
      <c r="N30" s="173"/>
      <c r="O30" s="173"/>
      <c r="P30" s="173"/>
      <c r="Q30" s="173"/>
      <c r="R30" s="173"/>
      <c r="S30" s="173"/>
      <c r="T30" s="173"/>
      <c r="U30" s="173"/>
      <c r="V30" s="31"/>
      <c r="W30" s="31"/>
    </row>
    <row r="31" spans="1:31" s="30" customFormat="1" ht="15.3" thickBot="1">
      <c r="A31" s="914"/>
      <c r="B31" s="173"/>
      <c r="C31" s="173"/>
      <c r="D31" s="173"/>
      <c r="E31" s="173"/>
      <c r="F31" s="173"/>
      <c r="G31" s="173"/>
      <c r="H31" s="173"/>
      <c r="I31" s="173"/>
      <c r="J31" s="173"/>
      <c r="K31" s="173"/>
      <c r="L31" s="173"/>
      <c r="M31" s="173"/>
      <c r="N31" s="173"/>
      <c r="O31" s="173"/>
      <c r="P31" s="173"/>
      <c r="Q31" s="173"/>
      <c r="R31" s="173"/>
      <c r="S31" s="173"/>
      <c r="T31" s="173"/>
      <c r="U31" s="173"/>
      <c r="V31" s="31"/>
      <c r="W31" s="31"/>
    </row>
    <row r="32" spans="1:31" s="440" customFormat="1" ht="15.3" thickBot="1">
      <c r="A32" s="411" t="s">
        <v>309</v>
      </c>
      <c r="B32" s="437"/>
      <c r="C32" s="437"/>
      <c r="D32" s="437"/>
      <c r="E32" s="437"/>
      <c r="F32" s="418" t="e">
        <f>F10</f>
        <v>#REF!</v>
      </c>
      <c r="G32" s="437"/>
      <c r="H32" s="437"/>
      <c r="I32" s="418" t="e">
        <f>I10</f>
        <v>#REF!</v>
      </c>
      <c r="J32" s="437"/>
      <c r="K32" s="437"/>
      <c r="L32" s="418" t="e">
        <f>L10</f>
        <v>#REF!</v>
      </c>
      <c r="M32" s="437"/>
      <c r="N32" s="437"/>
      <c r="O32" s="418" t="e">
        <f>O10</f>
        <v>#REF!</v>
      </c>
      <c r="P32" s="437"/>
      <c r="Q32" s="437"/>
      <c r="R32" s="418" t="e">
        <f>R10</f>
        <v>#REF!</v>
      </c>
      <c r="S32" s="438"/>
      <c r="T32" s="438"/>
      <c r="U32" s="439" t="str">
        <f>U10</f>
        <v>Total</v>
      </c>
    </row>
    <row r="33" spans="1:21" s="30" customFormat="1" ht="15">
      <c r="A33" s="373"/>
      <c r="B33" s="361"/>
      <c r="C33" s="361"/>
      <c r="D33" s="361"/>
      <c r="E33" s="361"/>
      <c r="F33" s="370"/>
      <c r="G33" s="361"/>
      <c r="H33" s="361"/>
      <c r="I33" s="370"/>
      <c r="J33" s="361"/>
      <c r="K33" s="361"/>
      <c r="L33" s="370"/>
      <c r="M33" s="361"/>
      <c r="N33" s="361"/>
      <c r="O33" s="370"/>
      <c r="P33" s="361"/>
      <c r="Q33" s="361"/>
      <c r="R33" s="370"/>
      <c r="S33" s="371"/>
      <c r="T33" s="371"/>
      <c r="U33" s="372"/>
    </row>
    <row r="34" spans="1:21" s="30" customFormat="1" ht="15">
      <c r="A34" s="367" t="s">
        <v>27</v>
      </c>
      <c r="B34" s="329"/>
      <c r="C34" s="329"/>
      <c r="D34" s="329"/>
      <c r="E34" s="329"/>
      <c r="F34" s="362" t="e">
        <f>#REF!</f>
        <v>#REF!</v>
      </c>
      <c r="G34" s="329"/>
      <c r="H34" s="329"/>
      <c r="I34" s="362" t="e">
        <f>#REF!</f>
        <v>#REF!</v>
      </c>
      <c r="J34" s="329"/>
      <c r="K34" s="329"/>
      <c r="L34" s="362" t="e">
        <f>#REF!</f>
        <v>#REF!</v>
      </c>
      <c r="M34" s="329"/>
      <c r="N34" s="329"/>
      <c r="O34" s="362" t="e">
        <f>#REF!</f>
        <v>#REF!</v>
      </c>
      <c r="P34" s="329"/>
      <c r="Q34" s="329"/>
      <c r="R34" s="362" t="e">
        <f>#REF!</f>
        <v>#REF!</v>
      </c>
      <c r="S34" s="330"/>
      <c r="T34" s="330"/>
      <c r="U34" s="363" t="e">
        <f t="shared" ref="U34:U42" si="3" xml:space="preserve"> SUM(F34,I34,L34,O34,R34)</f>
        <v>#REF!</v>
      </c>
    </row>
    <row r="35" spans="1:21" s="30" customFormat="1" ht="15">
      <c r="A35" s="367" t="s">
        <v>52</v>
      </c>
      <c r="B35" s="329"/>
      <c r="C35" s="329"/>
      <c r="D35" s="329"/>
      <c r="E35" s="329"/>
      <c r="F35" s="362" t="e">
        <f>#REF!</f>
        <v>#REF!</v>
      </c>
      <c r="G35" s="329"/>
      <c r="H35" s="329"/>
      <c r="I35" s="362" t="e">
        <f>#REF!</f>
        <v>#REF!</v>
      </c>
      <c r="J35" s="329"/>
      <c r="K35" s="329"/>
      <c r="L35" s="362" t="e">
        <f>#REF!</f>
        <v>#REF!</v>
      </c>
      <c r="M35" s="329"/>
      <c r="N35" s="329"/>
      <c r="O35" s="362" t="e">
        <f>#REF!</f>
        <v>#REF!</v>
      </c>
      <c r="P35" s="329"/>
      <c r="Q35" s="329"/>
      <c r="R35" s="362" t="e">
        <f>#REF!</f>
        <v>#REF!</v>
      </c>
      <c r="S35" s="330"/>
      <c r="T35" s="330"/>
      <c r="U35" s="363" t="e">
        <f t="shared" si="3"/>
        <v>#REF!</v>
      </c>
    </row>
    <row r="36" spans="1:21" s="30" customFormat="1" ht="15">
      <c r="A36" s="367" t="s">
        <v>58</v>
      </c>
      <c r="B36" s="329"/>
      <c r="C36" s="329"/>
      <c r="D36" s="329"/>
      <c r="E36" s="329"/>
      <c r="F36" s="362" t="e">
        <f>#REF!</f>
        <v>#REF!</v>
      </c>
      <c r="G36" s="329"/>
      <c r="H36" s="329"/>
      <c r="I36" s="362" t="e">
        <f>#REF!</f>
        <v>#REF!</v>
      </c>
      <c r="J36" s="329"/>
      <c r="K36" s="329"/>
      <c r="L36" s="362" t="e">
        <f>#REF!</f>
        <v>#REF!</v>
      </c>
      <c r="M36" s="329"/>
      <c r="N36" s="329"/>
      <c r="O36" s="362" t="e">
        <f>#REF!</f>
        <v>#REF!</v>
      </c>
      <c r="P36" s="329"/>
      <c r="Q36" s="329"/>
      <c r="R36" s="362" t="e">
        <f>#REF!</f>
        <v>#REF!</v>
      </c>
      <c r="S36" s="330"/>
      <c r="T36" s="330"/>
      <c r="U36" s="363" t="e">
        <f t="shared" si="3"/>
        <v>#REF!</v>
      </c>
    </row>
    <row r="37" spans="1:21" s="30" customFormat="1" ht="15">
      <c r="A37" s="367" t="s">
        <v>90</v>
      </c>
      <c r="B37" s="329"/>
      <c r="C37" s="329"/>
      <c r="D37" s="329"/>
      <c r="E37" s="329"/>
      <c r="F37" s="362" t="e">
        <f>#REF!</f>
        <v>#REF!</v>
      </c>
      <c r="G37" s="329"/>
      <c r="H37" s="329"/>
      <c r="I37" s="362" t="e">
        <f>#REF!</f>
        <v>#REF!</v>
      </c>
      <c r="J37" s="329"/>
      <c r="K37" s="329"/>
      <c r="L37" s="362" t="e">
        <f>#REF!</f>
        <v>#REF!</v>
      </c>
      <c r="M37" s="329"/>
      <c r="N37" s="329"/>
      <c r="O37" s="362" t="e">
        <f>#REF!</f>
        <v>#REF!</v>
      </c>
      <c r="P37" s="329"/>
      <c r="Q37" s="329"/>
      <c r="R37" s="362" t="e">
        <f>#REF!</f>
        <v>#REF!</v>
      </c>
      <c r="S37" s="330"/>
      <c r="T37" s="330"/>
      <c r="U37" s="363" t="e">
        <f t="shared" si="3"/>
        <v>#REF!</v>
      </c>
    </row>
    <row r="38" spans="1:21" s="30" customFormat="1" ht="15">
      <c r="A38" s="367" t="s">
        <v>310</v>
      </c>
      <c r="B38" s="329"/>
      <c r="C38" s="329"/>
      <c r="D38" s="329"/>
      <c r="E38" s="329"/>
      <c r="F38" s="362" t="e">
        <f>#REF!</f>
        <v>#REF!</v>
      </c>
      <c r="G38" s="329"/>
      <c r="H38" s="329"/>
      <c r="I38" s="362" t="e">
        <f>#REF!</f>
        <v>#REF!</v>
      </c>
      <c r="J38" s="329"/>
      <c r="K38" s="329"/>
      <c r="L38" s="362" t="e">
        <f>#REF!</f>
        <v>#REF!</v>
      </c>
      <c r="M38" s="329"/>
      <c r="N38" s="329"/>
      <c r="O38" s="362" t="e">
        <f>#REF!</f>
        <v>#REF!</v>
      </c>
      <c r="P38" s="329"/>
      <c r="Q38" s="329"/>
      <c r="R38" s="362" t="e">
        <f>#REF!</f>
        <v>#REF!</v>
      </c>
      <c r="S38" s="330"/>
      <c r="T38" s="330"/>
      <c r="U38" s="363" t="e">
        <f t="shared" si="3"/>
        <v>#REF!</v>
      </c>
    </row>
    <row r="39" spans="1:21" s="30" customFormat="1" ht="15">
      <c r="A39" s="367" t="s">
        <v>311</v>
      </c>
      <c r="B39" s="329"/>
      <c r="C39" s="329"/>
      <c r="D39" s="329"/>
      <c r="E39" s="329"/>
      <c r="F39" s="362" t="e">
        <f>#REF!</f>
        <v>#REF!</v>
      </c>
      <c r="G39" s="329"/>
      <c r="H39" s="329"/>
      <c r="I39" s="362" t="e">
        <f>#REF!</f>
        <v>#REF!</v>
      </c>
      <c r="J39" s="329"/>
      <c r="K39" s="329"/>
      <c r="L39" s="362" t="e">
        <f>#REF!</f>
        <v>#REF!</v>
      </c>
      <c r="M39" s="329"/>
      <c r="N39" s="329"/>
      <c r="O39" s="362" t="e">
        <f>#REF!</f>
        <v>#REF!</v>
      </c>
      <c r="P39" s="329"/>
      <c r="Q39" s="329"/>
      <c r="R39" s="362" t="e">
        <f>#REF!</f>
        <v>#REF!</v>
      </c>
      <c r="S39" s="330"/>
      <c r="T39" s="330"/>
      <c r="U39" s="363" t="e">
        <f t="shared" si="3"/>
        <v>#REF!</v>
      </c>
    </row>
    <row r="40" spans="1:21" s="30" customFormat="1" ht="15">
      <c r="A40" s="367" t="s">
        <v>103</v>
      </c>
      <c r="B40" s="329"/>
      <c r="C40" s="329"/>
      <c r="D40" s="329"/>
      <c r="E40" s="329"/>
      <c r="F40" s="362" t="e">
        <f>#REF!</f>
        <v>#REF!</v>
      </c>
      <c r="G40" s="329"/>
      <c r="H40" s="329"/>
      <c r="I40" s="362" t="e">
        <f>#REF!</f>
        <v>#REF!</v>
      </c>
      <c r="J40" s="329"/>
      <c r="K40" s="329"/>
      <c r="L40" s="362" t="e">
        <f>#REF!</f>
        <v>#REF!</v>
      </c>
      <c r="M40" s="329"/>
      <c r="N40" s="329"/>
      <c r="O40" s="362" t="e">
        <f>#REF!</f>
        <v>#REF!</v>
      </c>
      <c r="P40" s="329"/>
      <c r="Q40" s="329"/>
      <c r="R40" s="362" t="e">
        <f>#REF!</f>
        <v>#REF!</v>
      </c>
      <c r="S40" s="330"/>
      <c r="T40" s="330"/>
      <c r="U40" s="363" t="e">
        <f t="shared" si="3"/>
        <v>#REF!</v>
      </c>
    </row>
    <row r="41" spans="1:21" s="30" customFormat="1" ht="15">
      <c r="A41" s="367" t="s">
        <v>114</v>
      </c>
      <c r="B41" s="329"/>
      <c r="C41" s="329"/>
      <c r="D41" s="329"/>
      <c r="E41" s="329"/>
      <c r="F41" s="362" t="e">
        <f>#REF!</f>
        <v>#REF!</v>
      </c>
      <c r="G41" s="329"/>
      <c r="H41" s="329"/>
      <c r="I41" s="362" t="e">
        <f>#REF!</f>
        <v>#REF!</v>
      </c>
      <c r="J41" s="329"/>
      <c r="K41" s="329"/>
      <c r="L41" s="362" t="e">
        <f>#REF!</f>
        <v>#REF!</v>
      </c>
      <c r="M41" s="329"/>
      <c r="N41" s="329"/>
      <c r="O41" s="362" t="e">
        <f>#REF!</f>
        <v>#REF!</v>
      </c>
      <c r="P41" s="329"/>
      <c r="Q41" s="329"/>
      <c r="R41" s="362" t="e">
        <f>#REF!</f>
        <v>#REF!</v>
      </c>
      <c r="S41" s="330"/>
      <c r="T41" s="330"/>
      <c r="U41" s="363" t="e">
        <f t="shared" si="3"/>
        <v>#REF!</v>
      </c>
    </row>
    <row r="42" spans="1:21" s="30" customFormat="1" ht="15">
      <c r="A42" s="368" t="s">
        <v>312</v>
      </c>
      <c r="B42" s="329"/>
      <c r="C42" s="329"/>
      <c r="D42" s="329"/>
      <c r="E42" s="329"/>
      <c r="F42" s="362" t="e">
        <f>#REF!</f>
        <v>#REF!</v>
      </c>
      <c r="G42" s="329"/>
      <c r="H42" s="329"/>
      <c r="I42" s="362" t="e">
        <f>#REF!</f>
        <v>#REF!</v>
      </c>
      <c r="J42" s="329"/>
      <c r="K42" s="329"/>
      <c r="L42" s="362" t="e">
        <f>#REF!</f>
        <v>#REF!</v>
      </c>
      <c r="M42" s="329"/>
      <c r="N42" s="329"/>
      <c r="O42" s="362" t="e">
        <f>#REF!</f>
        <v>#REF!</v>
      </c>
      <c r="P42" s="329"/>
      <c r="Q42" s="329"/>
      <c r="R42" s="362" t="e">
        <f>#REF!</f>
        <v>#REF!</v>
      </c>
      <c r="S42" s="330"/>
      <c r="T42" s="330"/>
      <c r="U42" s="363" t="e">
        <f t="shared" si="3"/>
        <v>#REF!</v>
      </c>
    </row>
    <row r="43" spans="1:21" s="30" customFormat="1" ht="15">
      <c r="A43" s="367"/>
      <c r="B43" s="329"/>
      <c r="C43" s="329"/>
      <c r="D43" s="329"/>
      <c r="E43" s="329"/>
      <c r="F43" s="362"/>
      <c r="G43" s="329"/>
      <c r="H43" s="329"/>
      <c r="I43" s="362"/>
      <c r="J43" s="329"/>
      <c r="K43" s="329"/>
      <c r="L43" s="362"/>
      <c r="M43" s="329"/>
      <c r="N43" s="329"/>
      <c r="O43" s="362"/>
      <c r="P43" s="329"/>
      <c r="Q43" s="329"/>
      <c r="R43" s="362"/>
      <c r="S43" s="330"/>
      <c r="T43" s="330"/>
      <c r="U43" s="363"/>
    </row>
    <row r="44" spans="1:21" s="30" customFormat="1" ht="15">
      <c r="A44" s="367" t="s">
        <v>313</v>
      </c>
      <c r="B44" s="329"/>
      <c r="C44" s="329"/>
      <c r="D44" s="329"/>
      <c r="E44" s="329"/>
      <c r="F44" s="362" t="e">
        <f>#REF!</f>
        <v>#REF!</v>
      </c>
      <c r="G44" s="329"/>
      <c r="H44" s="329"/>
      <c r="I44" s="362" t="e">
        <f>#REF!</f>
        <v>#REF!</v>
      </c>
      <c r="J44" s="329"/>
      <c r="K44" s="329"/>
      <c r="L44" s="362" t="e">
        <f>#REF!</f>
        <v>#REF!</v>
      </c>
      <c r="M44" s="329"/>
      <c r="N44" s="329"/>
      <c r="O44" s="362" t="e">
        <f>#REF!</f>
        <v>#REF!</v>
      </c>
      <c r="P44" s="329"/>
      <c r="Q44" s="329"/>
      <c r="R44" s="362" t="e">
        <f>#REF!</f>
        <v>#REF!</v>
      </c>
      <c r="S44" s="330"/>
      <c r="T44" s="330"/>
      <c r="U44" s="363" t="e">
        <f t="shared" ref="U44:U45" si="4" xml:space="preserve"> SUM(F44,I44,L44,O44,R44)</f>
        <v>#REF!</v>
      </c>
    </row>
    <row r="45" spans="1:21" s="30" customFormat="1" ht="15">
      <c r="A45" s="367" t="s">
        <v>314</v>
      </c>
      <c r="B45" s="329"/>
      <c r="C45" s="329"/>
      <c r="D45" s="329"/>
      <c r="E45" s="329"/>
      <c r="F45" s="362" t="e">
        <f>#REF!</f>
        <v>#REF!</v>
      </c>
      <c r="G45" s="329"/>
      <c r="H45" s="329"/>
      <c r="I45" s="362" t="e">
        <f>#REF!</f>
        <v>#REF!</v>
      </c>
      <c r="J45" s="329"/>
      <c r="K45" s="329"/>
      <c r="L45" s="362" t="e">
        <f>#REF!</f>
        <v>#REF!</v>
      </c>
      <c r="M45" s="329"/>
      <c r="N45" s="329"/>
      <c r="O45" s="362" t="e">
        <f>#REF!</f>
        <v>#REF!</v>
      </c>
      <c r="P45" s="329"/>
      <c r="Q45" s="329"/>
      <c r="R45" s="362" t="e">
        <f>#REF!</f>
        <v>#REF!</v>
      </c>
      <c r="S45" s="330"/>
      <c r="T45" s="330"/>
      <c r="U45" s="363" t="e">
        <f t="shared" si="4"/>
        <v>#REF!</v>
      </c>
    </row>
    <row r="46" spans="1:21" s="30" customFormat="1" ht="15">
      <c r="A46" s="367"/>
      <c r="B46" s="329"/>
      <c r="C46" s="329"/>
      <c r="D46" s="329"/>
      <c r="E46" s="329"/>
      <c r="F46" s="364"/>
      <c r="G46" s="329"/>
      <c r="H46" s="329"/>
      <c r="I46" s="364"/>
      <c r="J46" s="329"/>
      <c r="K46" s="329"/>
      <c r="L46" s="364"/>
      <c r="M46" s="329"/>
      <c r="N46" s="329"/>
      <c r="O46" s="364"/>
      <c r="P46" s="329"/>
      <c r="Q46" s="329"/>
      <c r="R46" s="364"/>
      <c r="S46" s="330"/>
      <c r="T46" s="330"/>
      <c r="U46" s="363"/>
    </row>
    <row r="47" spans="1:21" s="30" customFormat="1" ht="15">
      <c r="A47" s="367" t="s">
        <v>315</v>
      </c>
      <c r="B47" s="329"/>
      <c r="C47" s="329"/>
      <c r="D47" s="329"/>
      <c r="E47" s="329"/>
      <c r="F47" s="362" t="e">
        <f>#REF!</f>
        <v>#REF!</v>
      </c>
      <c r="G47" s="329"/>
      <c r="H47" s="329"/>
      <c r="I47" s="362" t="e">
        <f>#REF!</f>
        <v>#REF!</v>
      </c>
      <c r="J47" s="329"/>
      <c r="K47" s="329"/>
      <c r="L47" s="362" t="e">
        <f>#REF!</f>
        <v>#REF!</v>
      </c>
      <c r="M47" s="329"/>
      <c r="N47" s="329"/>
      <c r="O47" s="362" t="e">
        <f>#REF!</f>
        <v>#REF!</v>
      </c>
      <c r="P47" s="329"/>
      <c r="Q47" s="329"/>
      <c r="R47" s="362" t="e">
        <f>#REF!</f>
        <v>#REF!</v>
      </c>
      <c r="S47" s="330"/>
      <c r="T47" s="330"/>
      <c r="U47" s="363" t="e">
        <f t="shared" ref="U47:U48" si="5" xml:space="preserve"> SUM(F47,I47,L47,O47,R47)</f>
        <v>#REF!</v>
      </c>
    </row>
    <row r="48" spans="1:21" s="30" customFormat="1" ht="15">
      <c r="A48" s="367" t="s">
        <v>316</v>
      </c>
      <c r="B48" s="329"/>
      <c r="C48" s="329"/>
      <c r="D48" s="329"/>
      <c r="E48" s="329"/>
      <c r="F48" s="362" t="e">
        <f>#REF!</f>
        <v>#REF!</v>
      </c>
      <c r="G48" s="329"/>
      <c r="H48" s="329"/>
      <c r="I48" s="362" t="e">
        <f>#REF!</f>
        <v>#REF!</v>
      </c>
      <c r="J48" s="329"/>
      <c r="K48" s="329"/>
      <c r="L48" s="362" t="e">
        <f>#REF!</f>
        <v>#REF!</v>
      </c>
      <c r="M48" s="329"/>
      <c r="N48" s="329"/>
      <c r="O48" s="362" t="e">
        <f>#REF!</f>
        <v>#REF!</v>
      </c>
      <c r="P48" s="329"/>
      <c r="Q48" s="329"/>
      <c r="R48" s="362" t="e">
        <f>#REF!</f>
        <v>#REF!</v>
      </c>
      <c r="S48" s="330"/>
      <c r="T48" s="330"/>
      <c r="U48" s="363" t="e">
        <f t="shared" si="5"/>
        <v>#REF!</v>
      </c>
    </row>
    <row r="49" spans="1:31" s="30" customFormat="1" ht="15.3" thickBot="1">
      <c r="A49" s="369"/>
      <c r="B49" s="331"/>
      <c r="C49" s="331"/>
      <c r="D49" s="331"/>
      <c r="E49" s="331"/>
      <c r="F49" s="365"/>
      <c r="G49" s="331"/>
      <c r="H49" s="331"/>
      <c r="I49" s="365"/>
      <c r="J49" s="331"/>
      <c r="K49" s="331"/>
      <c r="L49" s="365"/>
      <c r="M49" s="331"/>
      <c r="N49" s="331"/>
      <c r="O49" s="365"/>
      <c r="P49" s="331"/>
      <c r="Q49" s="331"/>
      <c r="R49" s="365"/>
      <c r="S49" s="332"/>
      <c r="T49" s="332"/>
      <c r="U49" s="366"/>
    </row>
    <row r="50" spans="1:31" s="30" customFormat="1" ht="15.3" thickBot="1">
      <c r="A50" s="193" t="s">
        <v>307</v>
      </c>
      <c r="B50" s="333"/>
      <c r="C50" s="333"/>
      <c r="D50" s="333"/>
      <c r="E50" s="333"/>
      <c r="F50" s="194" t="e">
        <f>SUM(F42:F49)</f>
        <v>#REF!</v>
      </c>
      <c r="G50" s="333"/>
      <c r="H50" s="333"/>
      <c r="I50" s="194" t="e">
        <f>SUM(I42:I49)</f>
        <v>#REF!</v>
      </c>
      <c r="J50" s="333"/>
      <c r="K50" s="333"/>
      <c r="L50" s="194" t="e">
        <f>SUM(L42:L49)</f>
        <v>#REF!</v>
      </c>
      <c r="M50" s="333"/>
      <c r="N50" s="333"/>
      <c r="O50" s="194" t="e">
        <f>SUM(O42:O49)</f>
        <v>#REF!</v>
      </c>
      <c r="P50" s="333"/>
      <c r="Q50" s="333"/>
      <c r="R50" s="194" t="e">
        <f>SUM(R42:R49)</f>
        <v>#REF!</v>
      </c>
      <c r="S50" s="334"/>
      <c r="T50" s="334"/>
      <c r="U50" s="363" t="e">
        <f xml:space="preserve"> SUM(F50,I50,L50,O50,R50)</f>
        <v>#REF!</v>
      </c>
    </row>
    <row r="51" spans="1:31" s="14" customFormat="1" ht="15.6" thickTop="1" thickBot="1">
      <c r="A51" s="336"/>
      <c r="B51" s="337"/>
      <c r="C51" s="337"/>
      <c r="D51" s="337"/>
      <c r="E51" s="337"/>
      <c r="F51" s="338"/>
      <c r="G51" s="337"/>
      <c r="H51" s="337"/>
      <c r="I51" s="338"/>
      <c r="J51" s="337"/>
      <c r="K51" s="337"/>
      <c r="L51" s="338"/>
      <c r="M51" s="337"/>
      <c r="N51" s="337"/>
      <c r="O51" s="338"/>
      <c r="P51" s="337"/>
      <c r="Q51" s="337"/>
      <c r="R51" s="338"/>
      <c r="S51" s="339"/>
      <c r="T51" s="339"/>
      <c r="U51" s="340"/>
      <c r="V51" s="9"/>
      <c r="W51" s="9"/>
      <c r="Y51" s="5"/>
      <c r="Z51" s="9"/>
      <c r="AA51" s="9"/>
      <c r="AB51" s="9"/>
      <c r="AC51" s="9"/>
      <c r="AD51" s="9"/>
      <c r="AE51" s="9"/>
    </row>
    <row r="52" spans="1:31" s="14" customFormat="1" ht="15.3" thickBot="1">
      <c r="A52" s="192" t="s">
        <v>318</v>
      </c>
      <c r="B52" s="328"/>
      <c r="C52" s="328"/>
      <c r="D52" s="328"/>
      <c r="E52" s="328"/>
      <c r="F52" s="196" t="e">
        <f>SUM(F50,F28)</f>
        <v>#REF!</v>
      </c>
      <c r="G52" s="328"/>
      <c r="H52" s="328"/>
      <c r="I52" s="196" t="e">
        <f>SUM(I50,I28)</f>
        <v>#REF!</v>
      </c>
      <c r="J52" s="328"/>
      <c r="K52" s="328"/>
      <c r="L52" s="196" t="e">
        <f>SUM(L50,L28)</f>
        <v>#REF!</v>
      </c>
      <c r="M52" s="328"/>
      <c r="N52" s="328"/>
      <c r="O52" s="196" t="e">
        <f>SUM(O50,O28)</f>
        <v>#REF!</v>
      </c>
      <c r="P52" s="328"/>
      <c r="Q52" s="328"/>
      <c r="R52" s="196" t="e">
        <f>SUM(R50,R28)</f>
        <v>#REF!</v>
      </c>
      <c r="S52" s="335"/>
      <c r="T52" s="335"/>
      <c r="U52" s="197" t="e">
        <f xml:space="preserve"> SUM(F52,I52,L52,O52,R52)</f>
        <v>#REF!</v>
      </c>
      <c r="V52" s="9"/>
      <c r="W52" s="9"/>
      <c r="Y52" s="5"/>
      <c r="Z52" s="9"/>
      <c r="AA52" s="9"/>
      <c r="AB52" s="9"/>
      <c r="AC52" s="9"/>
      <c r="AD52" s="9"/>
      <c r="AE52" s="9"/>
    </row>
    <row r="53" spans="1:31" s="14" customFormat="1">
      <c r="A53" s="9"/>
      <c r="B53" s="30"/>
      <c r="C53" s="9"/>
      <c r="D53" s="9"/>
      <c r="E53" s="9"/>
      <c r="F53" s="9"/>
      <c r="G53" s="9"/>
      <c r="H53" s="9"/>
      <c r="I53" s="9"/>
      <c r="J53" s="9"/>
      <c r="K53" s="9"/>
      <c r="L53" s="9"/>
      <c r="M53" s="9"/>
      <c r="N53" s="9"/>
      <c r="O53" s="9"/>
      <c r="P53" s="9"/>
      <c r="Q53" s="9"/>
      <c r="R53" s="9"/>
      <c r="S53" s="9"/>
      <c r="T53" s="9"/>
      <c r="U53" s="9"/>
      <c r="V53" s="9"/>
      <c r="W53" s="9"/>
      <c r="Y53" s="5"/>
      <c r="Z53" s="9"/>
      <c r="AA53" s="9"/>
      <c r="AB53" s="9"/>
      <c r="AC53" s="9"/>
      <c r="AD53" s="9"/>
      <c r="AE53" s="9"/>
    </row>
    <row r="54" spans="1:31" s="14" customFormat="1">
      <c r="A54" s="9"/>
      <c r="B54" s="30"/>
      <c r="C54" s="9"/>
      <c r="D54" s="9"/>
      <c r="E54" s="9"/>
      <c r="F54" s="9"/>
      <c r="G54" s="9"/>
      <c r="H54" s="9"/>
      <c r="I54" s="9"/>
      <c r="J54" s="9"/>
      <c r="K54" s="9"/>
      <c r="L54" s="9"/>
      <c r="M54" s="9"/>
      <c r="N54" s="9"/>
      <c r="O54" s="9"/>
      <c r="P54" s="9"/>
      <c r="Q54" s="9"/>
      <c r="R54" s="9"/>
      <c r="S54" s="9"/>
      <c r="T54" s="9"/>
      <c r="U54" s="9"/>
      <c r="V54" s="9"/>
      <c r="W54" s="9"/>
      <c r="Y54" s="5"/>
      <c r="Z54" s="9"/>
      <c r="AA54" s="9"/>
      <c r="AB54" s="9"/>
      <c r="AC54" s="9"/>
      <c r="AD54" s="9"/>
      <c r="AE54" s="9"/>
    </row>
    <row r="55" spans="1:31" s="14" customFormat="1">
      <c r="A55" s="9"/>
      <c r="B55" s="30"/>
      <c r="C55" s="9"/>
      <c r="D55" s="9"/>
      <c r="E55" s="9"/>
      <c r="F55" s="9"/>
      <c r="G55" s="9"/>
      <c r="H55" s="9"/>
      <c r="I55" s="9"/>
      <c r="J55" s="9"/>
      <c r="K55" s="9"/>
      <c r="L55" s="9"/>
      <c r="M55" s="9"/>
      <c r="N55" s="9"/>
      <c r="O55" s="9"/>
      <c r="P55" s="9"/>
      <c r="Q55" s="9"/>
      <c r="R55" s="9"/>
      <c r="S55" s="9"/>
      <c r="T55" s="9"/>
      <c r="U55" s="9"/>
      <c r="V55" s="9"/>
      <c r="W55" s="9"/>
      <c r="Y55" s="5"/>
      <c r="Z55" s="9"/>
      <c r="AA55" s="9"/>
      <c r="AB55" s="9"/>
      <c r="AC55" s="9"/>
      <c r="AD55" s="9"/>
      <c r="AE55" s="9"/>
    </row>
    <row r="56" spans="1:31" s="14" customFormat="1">
      <c r="A56" s="9"/>
      <c r="B56" s="30"/>
      <c r="C56" s="9"/>
      <c r="D56" s="9"/>
      <c r="E56" s="9"/>
      <c r="F56" s="9"/>
      <c r="G56" s="9"/>
      <c r="H56" s="9"/>
      <c r="I56" s="9"/>
      <c r="J56" s="9"/>
      <c r="K56" s="9"/>
      <c r="L56" s="9"/>
      <c r="M56" s="9"/>
      <c r="N56" s="9"/>
      <c r="O56" s="9"/>
      <c r="P56" s="9"/>
      <c r="Q56" s="9"/>
      <c r="R56" s="9"/>
      <c r="S56" s="9"/>
      <c r="T56" s="9"/>
      <c r="U56" s="9"/>
      <c r="V56" s="9"/>
      <c r="W56" s="9"/>
      <c r="Y56" s="5"/>
      <c r="Z56" s="9"/>
      <c r="AA56" s="9"/>
      <c r="AB56" s="9"/>
      <c r="AC56" s="9"/>
      <c r="AD56" s="9"/>
      <c r="AE56" s="9"/>
    </row>
    <row r="57" spans="1:31" s="14" customFormat="1">
      <c r="A57" s="9"/>
      <c r="B57" s="30"/>
      <c r="C57" s="9"/>
      <c r="D57" s="9"/>
      <c r="E57" s="9"/>
      <c r="F57" s="9"/>
      <c r="G57" s="9"/>
      <c r="H57" s="9"/>
      <c r="I57" s="9"/>
      <c r="J57" s="9"/>
      <c r="K57" s="9"/>
      <c r="L57" s="9"/>
      <c r="M57" s="9"/>
      <c r="N57" s="9"/>
      <c r="O57" s="9"/>
      <c r="P57" s="9"/>
      <c r="Q57" s="9"/>
      <c r="R57" s="9"/>
      <c r="S57" s="9"/>
      <c r="T57" s="9"/>
      <c r="U57" s="9"/>
      <c r="V57" s="9"/>
      <c r="W57" s="9"/>
      <c r="Y57" s="5"/>
      <c r="Z57" s="9"/>
      <c r="AA57" s="9"/>
      <c r="AB57" s="9"/>
      <c r="AC57" s="9"/>
      <c r="AD57" s="9"/>
      <c r="AE57" s="9"/>
    </row>
    <row r="58" spans="1:31" s="14" customFormat="1">
      <c r="A58" s="9"/>
      <c r="B58" s="30"/>
      <c r="C58" s="9"/>
      <c r="D58" s="9"/>
      <c r="E58" s="9"/>
      <c r="F58" s="9"/>
      <c r="G58" s="9"/>
      <c r="H58" s="9"/>
      <c r="I58" s="9"/>
      <c r="J58" s="9"/>
      <c r="K58" s="9"/>
      <c r="L58" s="9"/>
      <c r="M58" s="9"/>
      <c r="N58" s="9"/>
      <c r="O58" s="9"/>
      <c r="P58" s="9"/>
      <c r="Q58" s="9"/>
      <c r="R58" s="9"/>
      <c r="S58" s="9"/>
      <c r="T58" s="9"/>
      <c r="U58" s="9"/>
      <c r="V58" s="9"/>
      <c r="W58" s="9"/>
      <c r="Y58" s="5"/>
      <c r="Z58" s="9"/>
      <c r="AA58" s="9"/>
      <c r="AB58" s="9"/>
      <c r="AC58" s="9"/>
      <c r="AD58" s="9"/>
      <c r="AE58" s="9"/>
    </row>
    <row r="59" spans="1:31" s="14" customFormat="1">
      <c r="A59" s="9"/>
      <c r="B59" s="30"/>
      <c r="C59" s="9"/>
      <c r="D59" s="9"/>
      <c r="E59" s="9"/>
      <c r="F59" s="9"/>
      <c r="G59" s="9"/>
      <c r="H59" s="9"/>
      <c r="I59" s="9"/>
      <c r="J59" s="9"/>
      <c r="K59" s="9"/>
      <c r="L59" s="9"/>
      <c r="M59" s="9"/>
      <c r="N59" s="9"/>
      <c r="O59" s="9"/>
      <c r="P59" s="9"/>
      <c r="Q59" s="9"/>
      <c r="R59" s="9"/>
      <c r="S59" s="9"/>
      <c r="T59" s="9"/>
      <c r="U59" s="9"/>
      <c r="V59" s="9"/>
      <c r="W59" s="9"/>
      <c r="Y59" s="5"/>
      <c r="Z59" s="9"/>
      <c r="AA59" s="9"/>
      <c r="AB59" s="9"/>
      <c r="AC59" s="9"/>
      <c r="AD59" s="9"/>
      <c r="AE59" s="9"/>
    </row>
    <row r="60" spans="1:31" s="14" customFormat="1">
      <c r="A60" s="9"/>
      <c r="B60" s="30"/>
      <c r="C60" s="9"/>
      <c r="D60" s="9"/>
      <c r="E60" s="9"/>
      <c r="F60" s="9"/>
      <c r="G60" s="9"/>
      <c r="H60" s="9"/>
      <c r="I60" s="9"/>
      <c r="J60" s="9"/>
      <c r="K60" s="9"/>
      <c r="L60" s="9"/>
      <c r="M60" s="9"/>
      <c r="N60" s="9"/>
      <c r="O60" s="9"/>
      <c r="P60" s="9"/>
      <c r="Q60" s="9"/>
      <c r="R60" s="9"/>
      <c r="S60" s="9"/>
      <c r="T60" s="9"/>
      <c r="U60" s="9"/>
      <c r="V60" s="9"/>
      <c r="W60" s="9"/>
      <c r="Y60" s="5"/>
      <c r="Z60" s="9"/>
      <c r="AA60" s="9"/>
      <c r="AB60" s="9"/>
      <c r="AC60" s="9"/>
      <c r="AD60" s="9"/>
      <c r="AE60" s="9"/>
    </row>
    <row r="61" spans="1:31" s="14" customFormat="1">
      <c r="A61" s="9"/>
      <c r="B61" s="30"/>
      <c r="C61" s="9"/>
      <c r="D61" s="9"/>
      <c r="E61" s="9"/>
      <c r="F61" s="9"/>
      <c r="G61" s="9"/>
      <c r="H61" s="9"/>
      <c r="I61" s="9"/>
      <c r="J61" s="9"/>
      <c r="K61" s="9"/>
      <c r="L61" s="9"/>
      <c r="M61" s="9"/>
      <c r="N61" s="9"/>
      <c r="O61" s="9"/>
      <c r="P61" s="9"/>
      <c r="Q61" s="9"/>
      <c r="R61" s="9"/>
      <c r="S61" s="9"/>
      <c r="T61" s="9"/>
      <c r="U61" s="9"/>
      <c r="V61" s="9"/>
      <c r="W61" s="9"/>
      <c r="Y61" s="5"/>
      <c r="Z61" s="9"/>
      <c r="AA61" s="9"/>
      <c r="AB61" s="9"/>
      <c r="AC61" s="9"/>
      <c r="AD61" s="9"/>
      <c r="AE61" s="9"/>
    </row>
    <row r="62" spans="1:31" s="14" customFormat="1">
      <c r="A62" s="9"/>
      <c r="B62" s="30"/>
      <c r="C62" s="9"/>
      <c r="D62" s="9"/>
      <c r="E62" s="9"/>
      <c r="F62" s="9"/>
      <c r="G62" s="9"/>
      <c r="H62" s="9"/>
      <c r="I62" s="9"/>
      <c r="J62" s="9"/>
      <c r="K62" s="9"/>
      <c r="L62" s="9"/>
      <c r="M62" s="9"/>
      <c r="N62" s="9"/>
      <c r="O62" s="9"/>
      <c r="P62" s="9"/>
      <c r="Q62" s="9"/>
      <c r="R62" s="9"/>
      <c r="S62" s="9"/>
      <c r="T62" s="9"/>
      <c r="U62" s="9"/>
      <c r="V62" s="9"/>
      <c r="W62" s="9"/>
      <c r="Y62" s="5"/>
      <c r="Z62" s="9"/>
      <c r="AA62" s="9"/>
      <c r="AB62" s="9"/>
      <c r="AC62" s="9"/>
      <c r="AD62" s="9"/>
      <c r="AE62" s="9"/>
    </row>
    <row r="63" spans="1:31" s="14" customFormat="1">
      <c r="A63" s="9"/>
      <c r="B63" s="30"/>
      <c r="C63" s="9"/>
      <c r="D63" s="9"/>
      <c r="E63" s="9"/>
      <c r="F63" s="9"/>
      <c r="G63" s="9"/>
      <c r="H63" s="9"/>
      <c r="I63" s="9"/>
      <c r="J63" s="9"/>
      <c r="K63" s="9"/>
      <c r="L63" s="9"/>
      <c r="M63" s="9"/>
      <c r="N63" s="9"/>
      <c r="O63" s="9"/>
      <c r="P63" s="9"/>
      <c r="Q63" s="9"/>
      <c r="R63" s="9"/>
      <c r="S63" s="9"/>
      <c r="T63" s="9"/>
      <c r="U63" s="9"/>
      <c r="V63" s="9"/>
      <c r="W63" s="9"/>
      <c r="Y63" s="5"/>
      <c r="Z63" s="9"/>
      <c r="AA63" s="9"/>
      <c r="AB63" s="9"/>
      <c r="AC63" s="9"/>
      <c r="AD63" s="9"/>
      <c r="AE63" s="9"/>
    </row>
    <row r="64" spans="1:31" s="14" customFormat="1">
      <c r="A64" s="9"/>
      <c r="B64" s="30"/>
      <c r="C64" s="9"/>
      <c r="D64" s="9"/>
      <c r="E64" s="9"/>
      <c r="F64" s="9"/>
      <c r="G64" s="9"/>
      <c r="H64" s="9"/>
      <c r="I64" s="9"/>
      <c r="J64" s="9"/>
      <c r="K64" s="9"/>
      <c r="L64" s="9"/>
      <c r="M64" s="9"/>
      <c r="N64" s="9"/>
      <c r="O64" s="9"/>
      <c r="P64" s="9"/>
      <c r="Q64" s="9"/>
      <c r="R64" s="9"/>
      <c r="S64" s="9"/>
      <c r="T64" s="9"/>
      <c r="U64" s="9"/>
      <c r="V64" s="9"/>
      <c r="W64" s="9"/>
      <c r="Y64" s="5"/>
      <c r="Z64" s="9"/>
      <c r="AA64" s="9"/>
      <c r="AB64" s="9"/>
      <c r="AC64" s="9"/>
      <c r="AD64" s="9"/>
      <c r="AE64" s="9"/>
    </row>
    <row r="65" spans="1:31" s="14" customFormat="1">
      <c r="A65" s="9"/>
      <c r="B65" s="30"/>
      <c r="C65" s="9"/>
      <c r="D65" s="9"/>
      <c r="E65" s="9"/>
      <c r="F65" s="9"/>
      <c r="G65" s="9"/>
      <c r="H65" s="9"/>
      <c r="I65" s="9"/>
      <c r="J65" s="9"/>
      <c r="K65" s="9"/>
      <c r="L65" s="9"/>
      <c r="M65" s="9"/>
      <c r="N65" s="9"/>
      <c r="O65" s="9"/>
      <c r="P65" s="9"/>
      <c r="Q65" s="9"/>
      <c r="R65" s="9"/>
      <c r="S65" s="9"/>
      <c r="T65" s="9"/>
      <c r="U65" s="9"/>
      <c r="V65" s="9"/>
      <c r="W65" s="9"/>
      <c r="Y65" s="5"/>
      <c r="Z65" s="9"/>
      <c r="AA65" s="9"/>
      <c r="AB65" s="9"/>
      <c r="AC65" s="9"/>
      <c r="AD65" s="9"/>
      <c r="AE65" s="9"/>
    </row>
    <row r="66" spans="1:31" s="14" customFormat="1">
      <c r="A66" s="9"/>
      <c r="B66" s="30"/>
      <c r="C66" s="9"/>
      <c r="D66" s="9"/>
      <c r="E66" s="9"/>
      <c r="F66" s="9"/>
      <c r="G66" s="9"/>
      <c r="H66" s="9"/>
      <c r="I66" s="9"/>
      <c r="J66" s="9"/>
      <c r="K66" s="9"/>
      <c r="L66" s="9"/>
      <c r="M66" s="9"/>
      <c r="N66" s="9"/>
      <c r="O66" s="9"/>
      <c r="P66" s="9"/>
      <c r="Q66" s="9"/>
      <c r="R66" s="9"/>
      <c r="S66" s="9"/>
      <c r="T66" s="9"/>
      <c r="U66" s="9"/>
      <c r="V66" s="9"/>
      <c r="W66" s="9"/>
      <c r="Y66" s="5"/>
      <c r="Z66" s="9"/>
      <c r="AA66" s="9"/>
      <c r="AB66" s="9"/>
      <c r="AC66" s="9"/>
      <c r="AD66" s="9"/>
      <c r="AE66" s="9"/>
    </row>
    <row r="67" spans="1:31" s="14" customFormat="1">
      <c r="A67" s="9"/>
      <c r="B67" s="30"/>
      <c r="C67" s="9"/>
      <c r="D67" s="9"/>
      <c r="E67" s="9"/>
      <c r="F67" s="9"/>
      <c r="G67" s="9"/>
      <c r="H67" s="9"/>
      <c r="I67" s="9"/>
      <c r="J67" s="9"/>
      <c r="K67" s="9"/>
      <c r="L67" s="9"/>
      <c r="M67" s="9"/>
      <c r="N67" s="9"/>
      <c r="O67" s="9"/>
      <c r="P67" s="9"/>
      <c r="Q67" s="9"/>
      <c r="R67" s="9"/>
      <c r="S67" s="9"/>
      <c r="T67" s="9"/>
      <c r="U67" s="9"/>
      <c r="V67" s="9"/>
      <c r="W67" s="9"/>
      <c r="Y67" s="5"/>
      <c r="Z67" s="9"/>
      <c r="AA67" s="9"/>
      <c r="AB67" s="9"/>
      <c r="AC67" s="9"/>
      <c r="AD67" s="9"/>
      <c r="AE67" s="9"/>
    </row>
    <row r="68" spans="1:31" s="14" customFormat="1">
      <c r="A68" s="9"/>
      <c r="B68" s="30"/>
      <c r="C68" s="9"/>
      <c r="D68" s="9"/>
      <c r="E68" s="9"/>
      <c r="F68" s="9"/>
      <c r="G68" s="9"/>
      <c r="H68" s="9"/>
      <c r="I68" s="9"/>
      <c r="J68" s="9"/>
      <c r="K68" s="9"/>
      <c r="L68" s="9"/>
      <c r="M68" s="9"/>
      <c r="N68" s="9"/>
      <c r="O68" s="9"/>
      <c r="P68" s="9"/>
      <c r="Q68" s="9"/>
      <c r="R68" s="9"/>
      <c r="S68" s="9"/>
      <c r="T68" s="9"/>
      <c r="U68" s="9"/>
      <c r="V68" s="9"/>
      <c r="W68" s="9"/>
      <c r="Y68" s="5"/>
      <c r="Z68" s="9"/>
      <c r="AA68" s="9"/>
      <c r="AB68" s="9"/>
      <c r="AC68" s="9"/>
      <c r="AD68" s="9"/>
      <c r="AE68" s="9"/>
    </row>
    <row r="69" spans="1:31" s="14" customFormat="1">
      <c r="A69" s="9"/>
      <c r="B69" s="30"/>
      <c r="C69" s="9"/>
      <c r="D69" s="9"/>
      <c r="E69" s="9"/>
      <c r="F69" s="9"/>
      <c r="G69" s="9"/>
      <c r="H69" s="9"/>
      <c r="I69" s="9"/>
      <c r="J69" s="9"/>
      <c r="K69" s="9"/>
      <c r="L69" s="9"/>
      <c r="M69" s="9"/>
      <c r="N69" s="9"/>
      <c r="O69" s="9"/>
      <c r="P69" s="9"/>
      <c r="Q69" s="9"/>
      <c r="R69" s="9"/>
      <c r="S69" s="9"/>
      <c r="T69" s="9"/>
      <c r="U69" s="9"/>
      <c r="V69" s="9"/>
      <c r="W69" s="9"/>
      <c r="Y69" s="5"/>
      <c r="Z69" s="9"/>
      <c r="AA69" s="9"/>
      <c r="AB69" s="9"/>
      <c r="AC69" s="9"/>
      <c r="AD69" s="9"/>
      <c r="AE69" s="9"/>
    </row>
    <row r="70" spans="1:31" s="14" customFormat="1">
      <c r="A70" s="9"/>
      <c r="B70" s="16"/>
      <c r="C70" s="9"/>
      <c r="D70" s="9"/>
      <c r="E70" s="9"/>
      <c r="F70" s="9"/>
      <c r="G70" s="9"/>
      <c r="H70" s="9"/>
      <c r="I70" s="9"/>
      <c r="J70" s="9"/>
      <c r="K70" s="9"/>
      <c r="L70" s="9"/>
      <c r="M70" s="9"/>
      <c r="N70" s="9"/>
      <c r="O70" s="9"/>
      <c r="P70" s="9"/>
      <c r="Q70" s="9"/>
      <c r="R70" s="9"/>
      <c r="S70" s="9"/>
      <c r="T70" s="9"/>
      <c r="U70" s="9"/>
      <c r="V70" s="9"/>
      <c r="W70" s="9"/>
      <c r="Y70" s="5"/>
      <c r="Z70" s="9"/>
      <c r="AA70" s="9"/>
      <c r="AB70" s="9"/>
      <c r="AC70" s="9"/>
      <c r="AD70" s="9"/>
      <c r="AE70" s="9"/>
    </row>
    <row r="71" spans="1:31" s="14" customFormat="1">
      <c r="A71" s="9"/>
      <c r="B71" s="16"/>
      <c r="C71" s="9"/>
      <c r="D71" s="9"/>
      <c r="E71" s="9"/>
      <c r="F71" s="9"/>
      <c r="G71" s="9"/>
      <c r="H71" s="9"/>
      <c r="I71" s="9"/>
      <c r="J71" s="9"/>
      <c r="K71" s="9"/>
      <c r="L71" s="9"/>
      <c r="M71" s="9"/>
      <c r="N71" s="9"/>
      <c r="O71" s="9"/>
      <c r="P71" s="9"/>
      <c r="Q71" s="9"/>
      <c r="R71" s="9"/>
      <c r="S71" s="9"/>
      <c r="T71" s="9"/>
      <c r="U71" s="9"/>
      <c r="V71" s="9"/>
      <c r="W71" s="9"/>
      <c r="Y71" s="5"/>
      <c r="Z71" s="9"/>
      <c r="AA71" s="9"/>
      <c r="AB71" s="9"/>
      <c r="AC71" s="9"/>
      <c r="AD71" s="9"/>
      <c r="AE71" s="9"/>
    </row>
    <row r="72" spans="1:31" s="14" customFormat="1">
      <c r="A72" s="9"/>
      <c r="B72" s="16"/>
      <c r="C72" s="9"/>
      <c r="D72" s="9"/>
      <c r="E72" s="9"/>
      <c r="F72" s="9"/>
      <c r="G72" s="9"/>
      <c r="H72" s="9"/>
      <c r="I72" s="9"/>
      <c r="J72" s="9"/>
      <c r="K72" s="9"/>
      <c r="L72" s="9"/>
      <c r="M72" s="9"/>
      <c r="N72" s="9"/>
      <c r="O72" s="9"/>
      <c r="P72" s="9"/>
      <c r="Q72" s="9"/>
      <c r="R72" s="9"/>
      <c r="S72" s="9"/>
      <c r="T72" s="9"/>
      <c r="U72" s="9"/>
      <c r="V72" s="9"/>
      <c r="W72" s="9"/>
      <c r="Y72" s="5"/>
      <c r="Z72" s="9"/>
      <c r="AA72" s="9"/>
      <c r="AB72" s="9"/>
      <c r="AC72" s="9"/>
      <c r="AD72" s="9"/>
      <c r="AE72" s="9"/>
    </row>
    <row r="73" spans="1:31" s="14" customFormat="1">
      <c r="A73" s="9"/>
      <c r="B73" s="16"/>
      <c r="C73" s="9"/>
      <c r="D73" s="9"/>
      <c r="E73" s="9"/>
      <c r="F73" s="9"/>
      <c r="G73" s="9"/>
      <c r="H73" s="9"/>
      <c r="I73" s="9"/>
      <c r="J73" s="9"/>
      <c r="K73" s="9"/>
      <c r="L73" s="9"/>
      <c r="M73" s="9"/>
      <c r="N73" s="9"/>
      <c r="O73" s="9"/>
      <c r="P73" s="9"/>
      <c r="Q73" s="9"/>
      <c r="R73" s="9"/>
      <c r="S73" s="9"/>
      <c r="T73" s="9"/>
      <c r="U73" s="9"/>
      <c r="V73" s="9"/>
      <c r="W73" s="9"/>
      <c r="Y73" s="5"/>
      <c r="Z73" s="9"/>
      <c r="AA73" s="9"/>
      <c r="AB73" s="9"/>
      <c r="AC73" s="9"/>
      <c r="AD73" s="9"/>
      <c r="AE73" s="9"/>
    </row>
    <row r="74" spans="1:31" s="14" customFormat="1">
      <c r="A74" s="9"/>
      <c r="B74" s="16"/>
      <c r="C74" s="9"/>
      <c r="D74" s="9"/>
      <c r="E74" s="9"/>
      <c r="F74" s="9"/>
      <c r="G74" s="9"/>
      <c r="H74" s="9"/>
      <c r="I74" s="9"/>
      <c r="J74" s="9"/>
      <c r="K74" s="9"/>
      <c r="L74" s="9"/>
      <c r="M74" s="9"/>
      <c r="N74" s="9"/>
      <c r="O74" s="9"/>
      <c r="P74" s="9"/>
      <c r="Q74" s="9"/>
      <c r="R74" s="9"/>
      <c r="S74" s="9"/>
      <c r="T74" s="9"/>
      <c r="U74" s="9"/>
      <c r="V74" s="9"/>
      <c r="W74" s="9"/>
      <c r="Y74" s="5"/>
      <c r="Z74" s="9"/>
      <c r="AA74" s="9"/>
      <c r="AB74" s="9"/>
      <c r="AC74" s="9"/>
      <c r="AD74" s="9"/>
      <c r="AE74" s="9"/>
    </row>
    <row r="75" spans="1:31" s="14" customFormat="1">
      <c r="A75" s="9"/>
      <c r="B75" s="16"/>
      <c r="C75" s="9"/>
      <c r="D75" s="9"/>
      <c r="E75" s="9"/>
      <c r="F75" s="9"/>
      <c r="G75" s="9"/>
      <c r="H75" s="9"/>
      <c r="I75" s="9"/>
      <c r="J75" s="9"/>
      <c r="K75" s="9"/>
      <c r="L75" s="9"/>
      <c r="M75" s="9"/>
      <c r="N75" s="9"/>
      <c r="O75" s="9"/>
      <c r="P75" s="9"/>
      <c r="Q75" s="9"/>
      <c r="R75" s="9"/>
      <c r="S75" s="9"/>
      <c r="T75" s="9"/>
      <c r="U75" s="9"/>
      <c r="V75" s="9"/>
      <c r="W75" s="9"/>
      <c r="Y75" s="5"/>
      <c r="Z75" s="9"/>
      <c r="AA75" s="9"/>
      <c r="AB75" s="9"/>
      <c r="AC75" s="9"/>
      <c r="AD75" s="9"/>
      <c r="AE75" s="9"/>
    </row>
    <row r="76" spans="1:31" s="14" customFormat="1">
      <c r="A76" s="9"/>
      <c r="B76" s="16"/>
      <c r="C76" s="9"/>
      <c r="D76" s="9"/>
      <c r="E76" s="9"/>
      <c r="F76" s="9"/>
      <c r="G76" s="9"/>
      <c r="H76" s="9"/>
      <c r="I76" s="9"/>
      <c r="J76" s="9"/>
      <c r="K76" s="9"/>
      <c r="L76" s="9"/>
      <c r="M76" s="9"/>
      <c r="N76" s="9"/>
      <c r="O76" s="9"/>
      <c r="P76" s="9"/>
      <c r="Q76" s="9"/>
      <c r="R76" s="9"/>
      <c r="S76" s="9"/>
      <c r="T76" s="9"/>
      <c r="U76" s="9"/>
      <c r="V76" s="9"/>
      <c r="W76" s="9"/>
      <c r="Y76" s="5"/>
      <c r="Z76" s="9"/>
      <c r="AA76" s="9"/>
      <c r="AB76" s="9"/>
      <c r="AC76" s="9"/>
      <c r="AD76" s="9"/>
      <c r="AE76" s="9"/>
    </row>
    <row r="77" spans="1:31" s="14" customFormat="1">
      <c r="A77" s="9"/>
      <c r="B77" s="16"/>
      <c r="C77" s="9"/>
      <c r="D77" s="9"/>
      <c r="E77" s="9"/>
      <c r="F77" s="9"/>
      <c r="G77" s="9"/>
      <c r="H77" s="9"/>
      <c r="I77" s="9"/>
      <c r="J77" s="9"/>
      <c r="K77" s="9"/>
      <c r="L77" s="9"/>
      <c r="M77" s="9"/>
      <c r="N77" s="9"/>
      <c r="O77" s="9"/>
      <c r="P77" s="9"/>
      <c r="Q77" s="9"/>
      <c r="R77" s="9"/>
      <c r="S77" s="9"/>
      <c r="T77" s="9"/>
      <c r="U77" s="9"/>
      <c r="V77" s="9"/>
      <c r="W77" s="9"/>
      <c r="Y77" s="5"/>
      <c r="Z77" s="9"/>
      <c r="AA77" s="9"/>
      <c r="AB77" s="9"/>
      <c r="AC77" s="9"/>
      <c r="AD77" s="9"/>
      <c r="AE77" s="9"/>
    </row>
    <row r="78" spans="1:31" s="14" customFormat="1">
      <c r="A78" s="9"/>
      <c r="B78" s="16"/>
      <c r="C78" s="9"/>
      <c r="D78" s="9"/>
      <c r="E78" s="9"/>
      <c r="F78" s="9"/>
      <c r="G78" s="9"/>
      <c r="H78" s="9"/>
      <c r="I78" s="9"/>
      <c r="J78" s="9"/>
      <c r="K78" s="9"/>
      <c r="L78" s="9"/>
      <c r="M78" s="9"/>
      <c r="N78" s="9"/>
      <c r="O78" s="9"/>
      <c r="P78" s="9"/>
      <c r="Q78" s="9"/>
      <c r="R78" s="9"/>
      <c r="S78" s="9"/>
      <c r="T78" s="9"/>
      <c r="U78" s="9"/>
      <c r="V78" s="9"/>
      <c r="W78" s="9"/>
      <c r="Y78" s="5"/>
      <c r="Z78" s="9"/>
      <c r="AA78" s="9"/>
      <c r="AB78" s="9"/>
      <c r="AC78" s="9"/>
      <c r="AD78" s="9"/>
      <c r="AE78" s="9"/>
    </row>
    <row r="79" spans="1:31" s="14" customFormat="1">
      <c r="A79" s="9"/>
      <c r="B79" s="16"/>
      <c r="C79" s="9"/>
      <c r="D79" s="9"/>
      <c r="E79" s="9"/>
      <c r="F79" s="9"/>
      <c r="G79" s="9"/>
      <c r="H79" s="9"/>
      <c r="I79" s="9"/>
      <c r="J79" s="9"/>
      <c r="K79" s="9"/>
      <c r="L79" s="9"/>
      <c r="M79" s="9"/>
      <c r="N79" s="9"/>
      <c r="O79" s="9"/>
      <c r="P79" s="9"/>
      <c r="Q79" s="9"/>
      <c r="R79" s="9"/>
      <c r="S79" s="9"/>
      <c r="T79" s="9"/>
      <c r="U79" s="9"/>
      <c r="V79" s="9"/>
      <c r="W79" s="9"/>
      <c r="Y79" s="5"/>
      <c r="Z79" s="9"/>
      <c r="AA79" s="9"/>
      <c r="AB79" s="9"/>
      <c r="AC79" s="9"/>
      <c r="AD79" s="9"/>
      <c r="AE79" s="9"/>
    </row>
    <row r="80" spans="1:31" s="14" customFormat="1">
      <c r="A80" s="9"/>
      <c r="B80" s="16"/>
      <c r="C80" s="9"/>
      <c r="D80" s="9"/>
      <c r="E80" s="9"/>
      <c r="F80" s="9"/>
      <c r="G80" s="9"/>
      <c r="H80" s="9"/>
      <c r="I80" s="9"/>
      <c r="J80" s="9"/>
      <c r="K80" s="9"/>
      <c r="L80" s="9"/>
      <c r="M80" s="9"/>
      <c r="N80" s="9"/>
      <c r="O80" s="9"/>
      <c r="P80" s="9"/>
      <c r="Q80" s="9"/>
      <c r="R80" s="9"/>
      <c r="S80" s="9"/>
      <c r="T80" s="9"/>
      <c r="U80" s="9"/>
      <c r="V80" s="9"/>
      <c r="W80" s="9"/>
      <c r="Y80" s="5"/>
      <c r="Z80" s="9"/>
      <c r="AA80" s="9"/>
      <c r="AB80" s="9"/>
      <c r="AC80" s="9"/>
      <c r="AD80" s="9"/>
      <c r="AE80" s="9"/>
    </row>
    <row r="81" spans="1:31" s="14" customFormat="1">
      <c r="A81" s="9"/>
      <c r="B81" s="16"/>
      <c r="C81" s="9"/>
      <c r="D81" s="9"/>
      <c r="E81" s="9"/>
      <c r="F81" s="9"/>
      <c r="G81" s="9"/>
      <c r="H81" s="9"/>
      <c r="I81" s="9"/>
      <c r="J81" s="9"/>
      <c r="K81" s="9"/>
      <c r="L81" s="9"/>
      <c r="M81" s="9"/>
      <c r="N81" s="9"/>
      <c r="O81" s="9"/>
      <c r="P81" s="9"/>
      <c r="Q81" s="9"/>
      <c r="R81" s="9"/>
      <c r="S81" s="9"/>
      <c r="T81" s="9"/>
      <c r="U81" s="9"/>
      <c r="V81" s="9"/>
      <c r="W81" s="9"/>
      <c r="Y81" s="5"/>
      <c r="Z81" s="9"/>
      <c r="AA81" s="9"/>
      <c r="AB81" s="9"/>
      <c r="AC81" s="9"/>
      <c r="AD81" s="9"/>
      <c r="AE81" s="9"/>
    </row>
    <row r="82" spans="1:31" s="14" customFormat="1">
      <c r="A82" s="9"/>
      <c r="B82" s="16"/>
      <c r="C82" s="9"/>
      <c r="D82" s="9"/>
      <c r="E82" s="9"/>
      <c r="F82" s="9"/>
      <c r="G82" s="9"/>
      <c r="H82" s="9"/>
      <c r="I82" s="9"/>
      <c r="J82" s="9"/>
      <c r="K82" s="9"/>
      <c r="L82" s="9"/>
      <c r="M82" s="9"/>
      <c r="N82" s="9"/>
      <c r="O82" s="9"/>
      <c r="P82" s="9"/>
      <c r="Q82" s="9"/>
      <c r="R82" s="9"/>
      <c r="S82" s="9"/>
      <c r="T82" s="9"/>
      <c r="U82" s="9"/>
      <c r="V82" s="9"/>
      <c r="W82" s="9"/>
      <c r="Y82" s="5"/>
      <c r="Z82" s="9"/>
      <c r="AA82" s="9"/>
      <c r="AB82" s="9"/>
      <c r="AC82" s="9"/>
      <c r="AD82" s="9"/>
      <c r="AE82" s="9"/>
    </row>
    <row r="83" spans="1:31" s="14" customFormat="1">
      <c r="A83" s="9"/>
      <c r="B83" s="16"/>
      <c r="C83" s="9"/>
      <c r="D83" s="9"/>
      <c r="E83" s="9"/>
      <c r="F83" s="9"/>
      <c r="G83" s="9"/>
      <c r="H83" s="9"/>
      <c r="I83" s="9"/>
      <c r="J83" s="9"/>
      <c r="K83" s="9"/>
      <c r="L83" s="9"/>
      <c r="M83" s="9"/>
      <c r="N83" s="9"/>
      <c r="O83" s="9"/>
      <c r="P83" s="9"/>
      <c r="Q83" s="9"/>
      <c r="R83" s="9"/>
      <c r="S83" s="9"/>
      <c r="T83" s="9"/>
      <c r="U83" s="9"/>
      <c r="V83" s="9"/>
      <c r="W83" s="9"/>
      <c r="Y83" s="5"/>
      <c r="Z83" s="9"/>
      <c r="AA83" s="9"/>
      <c r="AB83" s="9"/>
      <c r="AC83" s="9"/>
      <c r="AD83" s="9"/>
      <c r="AE83" s="9"/>
    </row>
    <row r="84" spans="1:31" s="14" customFormat="1">
      <c r="A84" s="9"/>
      <c r="B84" s="16"/>
      <c r="C84" s="9"/>
      <c r="D84" s="9"/>
      <c r="E84" s="9"/>
      <c r="F84" s="9"/>
      <c r="G84" s="9"/>
      <c r="H84" s="9"/>
      <c r="I84" s="9"/>
      <c r="J84" s="9"/>
      <c r="K84" s="9"/>
      <c r="L84" s="9"/>
      <c r="M84" s="9"/>
      <c r="N84" s="9"/>
      <c r="O84" s="9"/>
      <c r="P84" s="9"/>
      <c r="Q84" s="9"/>
      <c r="R84" s="9"/>
      <c r="S84" s="9"/>
      <c r="T84" s="9"/>
      <c r="U84" s="9"/>
      <c r="V84" s="9"/>
      <c r="W84" s="9"/>
      <c r="Y84" s="5"/>
      <c r="Z84" s="9"/>
      <c r="AA84" s="9"/>
      <c r="AB84" s="9"/>
      <c r="AC84" s="9"/>
      <c r="AD84" s="9"/>
      <c r="AE84" s="9"/>
    </row>
    <row r="85" spans="1:31" s="14" customFormat="1">
      <c r="A85" s="9"/>
      <c r="B85" s="16"/>
      <c r="C85" s="9"/>
      <c r="D85" s="9"/>
      <c r="E85" s="9"/>
      <c r="F85" s="9"/>
      <c r="G85" s="9"/>
      <c r="H85" s="9"/>
      <c r="I85" s="9"/>
      <c r="J85" s="9"/>
      <c r="K85" s="9"/>
      <c r="L85" s="9"/>
      <c r="M85" s="9"/>
      <c r="N85" s="9"/>
      <c r="O85" s="9"/>
      <c r="P85" s="9"/>
      <c r="Q85" s="9"/>
      <c r="R85" s="9"/>
      <c r="S85" s="9"/>
      <c r="T85" s="9"/>
      <c r="U85" s="9"/>
      <c r="V85" s="9"/>
      <c r="W85" s="9"/>
      <c r="Y85" s="5"/>
      <c r="Z85" s="9"/>
      <c r="AA85" s="9"/>
      <c r="AB85" s="9"/>
      <c r="AC85" s="9"/>
      <c r="AD85" s="9"/>
      <c r="AE85" s="9"/>
    </row>
    <row r="86" spans="1:31" s="14" customFormat="1">
      <c r="A86" s="9"/>
      <c r="B86" s="16"/>
      <c r="C86" s="9"/>
      <c r="D86" s="9"/>
      <c r="E86" s="9"/>
      <c r="F86" s="9"/>
      <c r="G86" s="9"/>
      <c r="H86" s="9"/>
      <c r="I86" s="9"/>
      <c r="J86" s="9"/>
      <c r="K86" s="9"/>
      <c r="L86" s="9"/>
      <c r="M86" s="9"/>
      <c r="N86" s="9"/>
      <c r="O86" s="9"/>
      <c r="P86" s="9"/>
      <c r="Q86" s="9"/>
      <c r="R86" s="9"/>
      <c r="S86" s="9"/>
      <c r="T86" s="9"/>
      <c r="U86" s="9"/>
      <c r="V86" s="9"/>
      <c r="W86" s="9"/>
      <c r="Y86" s="5"/>
      <c r="Z86" s="9"/>
      <c r="AA86" s="9"/>
      <c r="AB86" s="9"/>
      <c r="AC86" s="9"/>
      <c r="AD86" s="9"/>
      <c r="AE86" s="9"/>
    </row>
    <row r="87" spans="1:31" s="14" customFormat="1">
      <c r="A87" s="9"/>
      <c r="B87" s="16"/>
      <c r="C87" s="9"/>
      <c r="D87" s="9"/>
      <c r="E87" s="9"/>
      <c r="F87" s="9"/>
      <c r="G87" s="9"/>
      <c r="H87" s="9"/>
      <c r="I87" s="9"/>
      <c r="J87" s="9"/>
      <c r="K87" s="9"/>
      <c r="L87" s="9"/>
      <c r="M87" s="9"/>
      <c r="N87" s="9"/>
      <c r="O87" s="9"/>
      <c r="P87" s="9"/>
      <c r="Q87" s="9"/>
      <c r="R87" s="9"/>
      <c r="S87" s="9"/>
      <c r="T87" s="9"/>
      <c r="U87" s="9"/>
      <c r="V87" s="9"/>
      <c r="W87" s="9"/>
      <c r="Y87" s="5"/>
      <c r="Z87" s="9"/>
      <c r="AA87" s="9"/>
      <c r="AB87" s="9"/>
      <c r="AC87" s="9"/>
      <c r="AD87" s="9"/>
      <c r="AE87" s="9"/>
    </row>
    <row r="88" spans="1:31" s="14" customFormat="1">
      <c r="A88" s="9"/>
      <c r="B88" s="16"/>
      <c r="C88" s="9"/>
      <c r="D88" s="9"/>
      <c r="E88" s="9"/>
      <c r="F88" s="9"/>
      <c r="G88" s="9"/>
      <c r="H88" s="9"/>
      <c r="I88" s="9"/>
      <c r="J88" s="9"/>
      <c r="K88" s="9"/>
      <c r="L88" s="9"/>
      <c r="M88" s="9"/>
      <c r="N88" s="9"/>
      <c r="O88" s="9"/>
      <c r="P88" s="9"/>
      <c r="Q88" s="9"/>
      <c r="R88" s="9"/>
      <c r="S88" s="9"/>
      <c r="T88" s="9"/>
      <c r="U88" s="9"/>
      <c r="V88" s="9"/>
      <c r="W88" s="9"/>
      <c r="Y88" s="5"/>
      <c r="Z88" s="9"/>
      <c r="AA88" s="9"/>
      <c r="AB88" s="9"/>
      <c r="AC88" s="9"/>
      <c r="AD88" s="9"/>
      <c r="AE88" s="9"/>
    </row>
    <row r="89" spans="1:31" s="14" customFormat="1">
      <c r="A89" s="9"/>
      <c r="B89" s="16"/>
      <c r="C89" s="9"/>
      <c r="D89" s="9"/>
      <c r="E89" s="9"/>
      <c r="F89" s="9"/>
      <c r="G89" s="9"/>
      <c r="H89" s="9"/>
      <c r="I89" s="9"/>
      <c r="J89" s="9"/>
      <c r="K89" s="9"/>
      <c r="L89" s="9"/>
      <c r="M89" s="9"/>
      <c r="N89" s="9"/>
      <c r="O89" s="9"/>
      <c r="P89" s="9"/>
      <c r="Q89" s="9"/>
      <c r="R89" s="9"/>
      <c r="S89" s="9"/>
      <c r="T89" s="9"/>
      <c r="U89" s="9"/>
      <c r="V89" s="9"/>
      <c r="W89" s="9"/>
      <c r="Y89" s="5"/>
      <c r="Z89" s="9"/>
      <c r="AA89" s="9"/>
      <c r="AB89" s="9"/>
      <c r="AC89" s="9"/>
      <c r="AD89" s="9"/>
      <c r="AE89" s="9"/>
    </row>
    <row r="90" spans="1:31" s="14" customFormat="1">
      <c r="A90" s="9"/>
      <c r="B90" s="16"/>
      <c r="C90" s="9"/>
      <c r="D90" s="9"/>
      <c r="E90" s="9"/>
      <c r="F90" s="9"/>
      <c r="G90" s="9"/>
      <c r="H90" s="9"/>
      <c r="I90" s="9"/>
      <c r="J90" s="9"/>
      <c r="K90" s="9"/>
      <c r="L90" s="9"/>
      <c r="M90" s="9"/>
      <c r="N90" s="9"/>
      <c r="O90" s="9"/>
      <c r="P90" s="9"/>
      <c r="Q90" s="9"/>
      <c r="R90" s="9"/>
      <c r="S90" s="9"/>
      <c r="T90" s="9"/>
      <c r="U90" s="9"/>
      <c r="V90" s="9"/>
      <c r="W90" s="9"/>
      <c r="Y90" s="5"/>
      <c r="Z90" s="9"/>
      <c r="AA90" s="9"/>
      <c r="AB90" s="9"/>
      <c r="AC90" s="9"/>
      <c r="AD90" s="9"/>
      <c r="AE90" s="9"/>
    </row>
    <row r="91" spans="1:31" s="14" customFormat="1">
      <c r="A91" s="9"/>
      <c r="B91" s="16"/>
      <c r="C91" s="9"/>
      <c r="D91" s="9"/>
      <c r="E91" s="9"/>
      <c r="F91" s="9"/>
      <c r="G91" s="9"/>
      <c r="H91" s="9"/>
      <c r="I91" s="9"/>
      <c r="J91" s="9"/>
      <c r="K91" s="9"/>
      <c r="L91" s="9"/>
      <c r="M91" s="9"/>
      <c r="N91" s="9"/>
      <c r="O91" s="9"/>
      <c r="P91" s="9"/>
      <c r="Q91" s="9"/>
      <c r="R91" s="9"/>
      <c r="S91" s="9"/>
      <c r="T91" s="9"/>
      <c r="U91" s="9"/>
      <c r="V91" s="9"/>
      <c r="W91" s="9"/>
      <c r="Y91" s="5"/>
      <c r="Z91" s="9"/>
      <c r="AA91" s="9"/>
      <c r="AB91" s="9"/>
      <c r="AC91" s="9"/>
      <c r="AD91" s="9"/>
      <c r="AE91" s="9"/>
    </row>
    <row r="92" spans="1:31" s="14" customFormat="1">
      <c r="A92" s="9"/>
      <c r="B92" s="16"/>
      <c r="C92" s="9"/>
      <c r="D92" s="9"/>
      <c r="E92" s="9"/>
      <c r="F92" s="9"/>
      <c r="G92" s="9"/>
      <c r="H92" s="9"/>
      <c r="I92" s="9"/>
      <c r="J92" s="9"/>
      <c r="K92" s="9"/>
      <c r="L92" s="9"/>
      <c r="M92" s="9"/>
      <c r="N92" s="9"/>
      <c r="O92" s="9"/>
      <c r="P92" s="9"/>
      <c r="Q92" s="9"/>
      <c r="R92" s="9"/>
      <c r="S92" s="9"/>
      <c r="T92" s="9"/>
      <c r="U92" s="9"/>
      <c r="V92" s="9"/>
      <c r="W92" s="9"/>
      <c r="Y92" s="5"/>
      <c r="Z92" s="9"/>
      <c r="AA92" s="9"/>
      <c r="AB92" s="9"/>
      <c r="AC92" s="9"/>
      <c r="AD92" s="9"/>
      <c r="AE92" s="9"/>
    </row>
    <row r="93" spans="1:31" s="14" customFormat="1">
      <c r="A93" s="9"/>
      <c r="B93" s="16"/>
      <c r="C93" s="9"/>
      <c r="D93" s="9"/>
      <c r="E93" s="9"/>
      <c r="F93" s="9"/>
      <c r="G93" s="9"/>
      <c r="H93" s="9"/>
      <c r="I93" s="9"/>
      <c r="J93" s="9"/>
      <c r="K93" s="9"/>
      <c r="L93" s="9"/>
      <c r="M93" s="9"/>
      <c r="N93" s="9"/>
      <c r="O93" s="9"/>
      <c r="P93" s="9"/>
      <c r="Q93" s="9"/>
      <c r="R93" s="9"/>
      <c r="S93" s="9"/>
      <c r="T93" s="9"/>
      <c r="U93" s="9"/>
      <c r="V93" s="9"/>
      <c r="W93" s="9"/>
      <c r="Y93" s="5"/>
      <c r="Z93" s="9"/>
      <c r="AA93" s="9"/>
      <c r="AB93" s="9"/>
      <c r="AC93" s="9"/>
      <c r="AD93" s="9"/>
      <c r="AE93" s="9"/>
    </row>
    <row r="94" spans="1:31" s="14" customFormat="1">
      <c r="A94" s="9"/>
      <c r="B94" s="16"/>
      <c r="C94" s="9"/>
      <c r="D94" s="9"/>
      <c r="E94" s="9"/>
      <c r="F94" s="9"/>
      <c r="G94" s="9"/>
      <c r="H94" s="9"/>
      <c r="I94" s="9"/>
      <c r="J94" s="9"/>
      <c r="K94" s="9"/>
      <c r="L94" s="9"/>
      <c r="M94" s="9"/>
      <c r="N94" s="9"/>
      <c r="O94" s="9"/>
      <c r="P94" s="9"/>
      <c r="Q94" s="9"/>
      <c r="R94" s="9"/>
      <c r="S94" s="9"/>
      <c r="T94" s="9"/>
      <c r="U94" s="9"/>
      <c r="V94" s="9"/>
      <c r="W94" s="9"/>
      <c r="Y94" s="5"/>
      <c r="Z94" s="9"/>
      <c r="AA94" s="9"/>
      <c r="AB94" s="9"/>
      <c r="AC94" s="9"/>
      <c r="AD94" s="9"/>
      <c r="AE94" s="9"/>
    </row>
    <row r="95" spans="1:31" s="14" customFormat="1">
      <c r="A95" s="9"/>
      <c r="B95" s="16"/>
      <c r="C95" s="9"/>
      <c r="D95" s="9"/>
      <c r="E95" s="9"/>
      <c r="F95" s="9"/>
      <c r="G95" s="9"/>
      <c r="H95" s="9"/>
      <c r="I95" s="9"/>
      <c r="J95" s="9"/>
      <c r="K95" s="9"/>
      <c r="L95" s="9"/>
      <c r="M95" s="9"/>
      <c r="N95" s="9"/>
      <c r="O95" s="9"/>
      <c r="P95" s="9"/>
      <c r="Q95" s="9"/>
      <c r="R95" s="9"/>
      <c r="S95" s="9"/>
      <c r="T95" s="9"/>
      <c r="U95" s="9"/>
      <c r="V95" s="9"/>
      <c r="W95" s="9"/>
      <c r="Y95" s="5"/>
      <c r="Z95" s="9"/>
      <c r="AA95" s="9"/>
      <c r="AB95" s="9"/>
      <c r="AC95" s="9"/>
      <c r="AD95" s="9"/>
      <c r="AE95" s="9"/>
    </row>
    <row r="96" spans="1:31" s="14" customFormat="1">
      <c r="A96" s="9"/>
      <c r="B96" s="16"/>
      <c r="C96" s="9"/>
      <c r="D96" s="9"/>
      <c r="E96" s="9"/>
      <c r="F96" s="9"/>
      <c r="G96" s="9"/>
      <c r="H96" s="9"/>
      <c r="I96" s="9"/>
      <c r="J96" s="9"/>
      <c r="K96" s="9"/>
      <c r="L96" s="9"/>
      <c r="M96" s="9"/>
      <c r="N96" s="9"/>
      <c r="O96" s="9"/>
      <c r="P96" s="9"/>
      <c r="Q96" s="9"/>
      <c r="R96" s="9"/>
      <c r="S96" s="9"/>
      <c r="T96" s="9"/>
      <c r="U96" s="9"/>
      <c r="V96" s="9"/>
      <c r="W96" s="9"/>
      <c r="Y96" s="5"/>
      <c r="Z96" s="9"/>
      <c r="AA96" s="9"/>
      <c r="AB96" s="9"/>
      <c r="AC96" s="9"/>
      <c r="AD96" s="9"/>
      <c r="AE96" s="9"/>
    </row>
    <row r="97" spans="1:31" s="14" customFormat="1">
      <c r="A97" s="9"/>
      <c r="B97" s="16"/>
      <c r="C97" s="9"/>
      <c r="D97" s="9"/>
      <c r="E97" s="9"/>
      <c r="F97" s="9"/>
      <c r="G97" s="9"/>
      <c r="H97" s="9"/>
      <c r="I97" s="9"/>
      <c r="J97" s="9"/>
      <c r="K97" s="9"/>
      <c r="L97" s="9"/>
      <c r="M97" s="9"/>
      <c r="N97" s="9"/>
      <c r="O97" s="9"/>
      <c r="P97" s="9"/>
      <c r="Q97" s="9"/>
      <c r="R97" s="9"/>
      <c r="S97" s="9"/>
      <c r="T97" s="9"/>
      <c r="U97" s="9"/>
      <c r="V97" s="9"/>
      <c r="W97" s="9"/>
      <c r="Y97" s="5"/>
      <c r="Z97" s="9"/>
      <c r="AA97" s="9"/>
      <c r="AB97" s="9"/>
      <c r="AC97" s="9"/>
      <c r="AD97" s="9"/>
      <c r="AE97" s="9"/>
    </row>
    <row r="98" spans="1:31" s="14" customFormat="1">
      <c r="A98" s="9"/>
      <c r="B98" s="16"/>
      <c r="C98" s="9"/>
      <c r="D98" s="9"/>
      <c r="E98" s="9"/>
      <c r="F98" s="9"/>
      <c r="G98" s="9"/>
      <c r="H98" s="9"/>
      <c r="I98" s="9"/>
      <c r="J98" s="9"/>
      <c r="K98" s="9"/>
      <c r="L98" s="9"/>
      <c r="M98" s="9"/>
      <c r="N98" s="9"/>
      <c r="O98" s="9"/>
      <c r="P98" s="9"/>
      <c r="Q98" s="9"/>
      <c r="R98" s="9"/>
      <c r="S98" s="9"/>
      <c r="T98" s="9"/>
      <c r="U98" s="9"/>
      <c r="V98" s="9"/>
      <c r="W98" s="9"/>
      <c r="Y98" s="5"/>
      <c r="Z98" s="9"/>
      <c r="AA98" s="9"/>
      <c r="AB98" s="9"/>
      <c r="AC98" s="9"/>
      <c r="AD98" s="9"/>
      <c r="AE98" s="9"/>
    </row>
    <row r="99" spans="1:31" s="14" customFormat="1">
      <c r="A99" s="9"/>
      <c r="B99" s="16"/>
      <c r="C99" s="9"/>
      <c r="D99" s="9"/>
      <c r="E99" s="9"/>
      <c r="F99" s="9"/>
      <c r="G99" s="9"/>
      <c r="H99" s="9"/>
      <c r="I99" s="9"/>
      <c r="J99" s="9"/>
      <c r="K99" s="9"/>
      <c r="L99" s="9"/>
      <c r="M99" s="9"/>
      <c r="N99" s="9"/>
      <c r="O99" s="9"/>
      <c r="P99" s="9"/>
      <c r="Q99" s="9"/>
      <c r="R99" s="9"/>
      <c r="S99" s="9"/>
      <c r="T99" s="9"/>
      <c r="U99" s="9"/>
      <c r="V99" s="9"/>
      <c r="W99" s="9"/>
      <c r="Y99" s="5"/>
      <c r="Z99" s="9"/>
      <c r="AA99" s="9"/>
      <c r="AB99" s="9"/>
      <c r="AC99" s="9"/>
      <c r="AD99" s="9"/>
      <c r="AE99" s="9"/>
    </row>
    <row r="100" spans="1:31" s="14" customFormat="1">
      <c r="A100" s="9"/>
      <c r="B100" s="16"/>
      <c r="C100" s="9"/>
      <c r="D100" s="9"/>
      <c r="E100" s="9"/>
      <c r="F100" s="9"/>
      <c r="G100" s="9"/>
      <c r="H100" s="9"/>
      <c r="I100" s="9"/>
      <c r="J100" s="9"/>
      <c r="K100" s="9"/>
      <c r="L100" s="9"/>
      <c r="M100" s="9"/>
      <c r="N100" s="9"/>
      <c r="O100" s="9"/>
      <c r="P100" s="9"/>
      <c r="Q100" s="9"/>
      <c r="R100" s="9"/>
      <c r="S100" s="9"/>
      <c r="T100" s="9"/>
      <c r="U100" s="9"/>
      <c r="V100" s="9"/>
      <c r="W100" s="9"/>
      <c r="Y100" s="5"/>
      <c r="Z100" s="9"/>
      <c r="AA100" s="9"/>
      <c r="AB100" s="9"/>
      <c r="AC100" s="9"/>
      <c r="AD100" s="9"/>
      <c r="AE100" s="9"/>
    </row>
    <row r="101" spans="1:31" s="14" customFormat="1">
      <c r="A101" s="9"/>
      <c r="B101" s="16"/>
      <c r="C101" s="9"/>
      <c r="D101" s="9"/>
      <c r="E101" s="9"/>
      <c r="F101" s="9"/>
      <c r="G101" s="9"/>
      <c r="H101" s="9"/>
      <c r="I101" s="9"/>
      <c r="J101" s="9"/>
      <c r="K101" s="9"/>
      <c r="L101" s="9"/>
      <c r="M101" s="9"/>
      <c r="N101" s="9"/>
      <c r="O101" s="9"/>
      <c r="P101" s="9"/>
      <c r="Q101" s="9"/>
      <c r="R101" s="9"/>
      <c r="S101" s="9"/>
      <c r="T101" s="9"/>
      <c r="U101" s="9"/>
      <c r="V101" s="9"/>
      <c r="W101" s="9"/>
      <c r="Y101" s="5"/>
      <c r="Z101" s="9"/>
      <c r="AA101" s="9"/>
      <c r="AB101" s="9"/>
      <c r="AC101" s="9"/>
      <c r="AD101" s="9"/>
      <c r="AE101" s="9"/>
    </row>
    <row r="102" spans="1:31" s="14" customFormat="1">
      <c r="A102" s="9"/>
      <c r="B102" s="16"/>
      <c r="C102" s="9"/>
      <c r="D102" s="9"/>
      <c r="E102" s="9"/>
      <c r="F102" s="9"/>
      <c r="G102" s="9"/>
      <c r="H102" s="9"/>
      <c r="I102" s="9"/>
      <c r="J102" s="9"/>
      <c r="K102" s="9"/>
      <c r="L102" s="9"/>
      <c r="M102" s="9"/>
      <c r="N102" s="9"/>
      <c r="O102" s="9"/>
      <c r="P102" s="9"/>
      <c r="Q102" s="9"/>
      <c r="R102" s="9"/>
      <c r="S102" s="9"/>
      <c r="T102" s="9"/>
      <c r="U102" s="9"/>
      <c r="V102" s="9"/>
      <c r="W102" s="9"/>
      <c r="Y102" s="5"/>
      <c r="Z102" s="9"/>
      <c r="AA102" s="9"/>
      <c r="AB102" s="9"/>
      <c r="AC102" s="9"/>
      <c r="AD102" s="9"/>
      <c r="AE102" s="9"/>
    </row>
    <row r="103" spans="1:31" s="14" customFormat="1">
      <c r="A103" s="9"/>
      <c r="B103" s="16"/>
      <c r="C103" s="9"/>
      <c r="D103" s="9"/>
      <c r="E103" s="9"/>
      <c r="F103" s="9"/>
      <c r="G103" s="9"/>
      <c r="H103" s="9"/>
      <c r="I103" s="9"/>
      <c r="J103" s="9"/>
      <c r="K103" s="9"/>
      <c r="L103" s="9"/>
      <c r="M103" s="9"/>
      <c r="N103" s="9"/>
      <c r="O103" s="9"/>
      <c r="P103" s="9"/>
      <c r="Q103" s="9"/>
      <c r="R103" s="9"/>
      <c r="S103" s="9"/>
      <c r="T103" s="9"/>
      <c r="U103" s="9"/>
      <c r="V103" s="9"/>
      <c r="W103" s="9"/>
      <c r="Y103" s="5"/>
      <c r="Z103" s="9"/>
      <c r="AA103" s="9"/>
      <c r="AB103" s="9"/>
      <c r="AC103" s="9"/>
      <c r="AD103" s="9"/>
      <c r="AE103" s="9"/>
    </row>
    <row r="104" spans="1:31" s="14" customFormat="1">
      <c r="A104" s="9"/>
      <c r="B104" s="16"/>
      <c r="C104" s="9"/>
      <c r="D104" s="9"/>
      <c r="E104" s="9"/>
      <c r="F104" s="9"/>
      <c r="G104" s="9"/>
      <c r="H104" s="9"/>
      <c r="I104" s="9"/>
      <c r="J104" s="9"/>
      <c r="K104" s="9"/>
      <c r="L104" s="9"/>
      <c r="M104" s="9"/>
      <c r="N104" s="9"/>
      <c r="O104" s="9"/>
      <c r="P104" s="9"/>
      <c r="Q104" s="9"/>
      <c r="R104" s="9"/>
      <c r="S104" s="9"/>
      <c r="T104" s="9"/>
      <c r="U104" s="9"/>
      <c r="V104" s="9"/>
      <c r="W104" s="9"/>
      <c r="Y104" s="5"/>
      <c r="Z104" s="9"/>
      <c r="AA104" s="9"/>
      <c r="AB104" s="9"/>
      <c r="AC104" s="9"/>
      <c r="AD104" s="9"/>
      <c r="AE104" s="9"/>
    </row>
    <row r="105" spans="1:31" s="14" customFormat="1">
      <c r="A105" s="9"/>
      <c r="B105" s="16"/>
      <c r="C105" s="9"/>
      <c r="D105" s="9"/>
      <c r="E105" s="9"/>
      <c r="F105" s="9"/>
      <c r="G105" s="9"/>
      <c r="H105" s="9"/>
      <c r="I105" s="9"/>
      <c r="J105" s="9"/>
      <c r="K105" s="9"/>
      <c r="L105" s="9"/>
      <c r="M105" s="9"/>
      <c r="N105" s="9"/>
      <c r="O105" s="9"/>
      <c r="P105" s="9"/>
      <c r="Q105" s="9"/>
      <c r="R105" s="9"/>
      <c r="S105" s="9"/>
      <c r="T105" s="9"/>
      <c r="U105" s="9"/>
      <c r="V105" s="9"/>
      <c r="W105" s="9"/>
      <c r="Y105" s="5"/>
      <c r="Z105" s="9"/>
      <c r="AA105" s="9"/>
      <c r="AB105" s="9"/>
      <c r="AC105" s="9"/>
      <c r="AD105" s="9"/>
      <c r="AE105" s="9"/>
    </row>
    <row r="106" spans="1:31" s="14" customFormat="1">
      <c r="A106" s="9"/>
      <c r="B106" s="16"/>
      <c r="C106" s="9"/>
      <c r="D106" s="9"/>
      <c r="E106" s="9"/>
      <c r="F106" s="9"/>
      <c r="G106" s="9"/>
      <c r="H106" s="9"/>
      <c r="I106" s="9"/>
      <c r="J106" s="9"/>
      <c r="K106" s="9"/>
      <c r="L106" s="9"/>
      <c r="M106" s="9"/>
      <c r="N106" s="9"/>
      <c r="O106" s="9"/>
      <c r="P106" s="9"/>
      <c r="Q106" s="9"/>
      <c r="R106" s="9"/>
      <c r="S106" s="9"/>
      <c r="T106" s="9"/>
      <c r="U106" s="9"/>
      <c r="V106" s="9"/>
      <c r="W106" s="9"/>
      <c r="Y106" s="5"/>
      <c r="Z106" s="9"/>
      <c r="AA106" s="9"/>
      <c r="AB106" s="9"/>
      <c r="AC106" s="9"/>
      <c r="AD106" s="9"/>
      <c r="AE106" s="9"/>
    </row>
    <row r="107" spans="1:31" s="14" customFormat="1">
      <c r="A107" s="9"/>
      <c r="B107" s="16"/>
      <c r="C107" s="9"/>
      <c r="D107" s="9"/>
      <c r="E107" s="9"/>
      <c r="F107" s="9"/>
      <c r="G107" s="9"/>
      <c r="H107" s="9"/>
      <c r="I107" s="9"/>
      <c r="J107" s="9"/>
      <c r="K107" s="9"/>
      <c r="L107" s="9"/>
      <c r="M107" s="9"/>
      <c r="N107" s="9"/>
      <c r="O107" s="9"/>
      <c r="P107" s="9"/>
      <c r="Q107" s="9"/>
      <c r="R107" s="9"/>
      <c r="S107" s="9"/>
      <c r="T107" s="9"/>
      <c r="U107" s="9"/>
      <c r="V107" s="9"/>
      <c r="W107" s="9"/>
      <c r="Y107" s="5"/>
      <c r="Z107" s="9"/>
      <c r="AA107" s="9"/>
      <c r="AB107" s="9"/>
      <c r="AC107" s="9"/>
      <c r="AD107" s="9"/>
      <c r="AE107" s="9"/>
    </row>
    <row r="108" spans="1:31" s="14" customFormat="1">
      <c r="A108" s="9"/>
      <c r="B108" s="16"/>
      <c r="C108" s="9"/>
      <c r="D108" s="9"/>
      <c r="E108" s="9"/>
      <c r="F108" s="9"/>
      <c r="G108" s="9"/>
      <c r="H108" s="9"/>
      <c r="I108" s="9"/>
      <c r="J108" s="9"/>
      <c r="K108" s="9"/>
      <c r="L108" s="9"/>
      <c r="M108" s="9"/>
      <c r="N108" s="9"/>
      <c r="O108" s="9"/>
      <c r="P108" s="9"/>
      <c r="Q108" s="9"/>
      <c r="R108" s="9"/>
      <c r="S108" s="9"/>
      <c r="T108" s="9"/>
      <c r="U108" s="9"/>
      <c r="V108" s="9"/>
      <c r="W108" s="9"/>
      <c r="Y108" s="5"/>
      <c r="Z108" s="9"/>
      <c r="AA108" s="9"/>
      <c r="AB108" s="9"/>
      <c r="AC108" s="9"/>
      <c r="AD108" s="9"/>
      <c r="AE108" s="9"/>
    </row>
    <row r="109" spans="1:31" s="14" customFormat="1">
      <c r="A109" s="9"/>
      <c r="B109" s="16"/>
      <c r="C109" s="9"/>
      <c r="D109" s="9"/>
      <c r="E109" s="9"/>
      <c r="F109" s="9"/>
      <c r="G109" s="9"/>
      <c r="H109" s="9"/>
      <c r="I109" s="9"/>
      <c r="J109" s="9"/>
      <c r="K109" s="9"/>
      <c r="L109" s="9"/>
      <c r="M109" s="9"/>
      <c r="N109" s="9"/>
      <c r="O109" s="9"/>
      <c r="P109" s="9"/>
      <c r="Q109" s="9"/>
      <c r="R109" s="9"/>
      <c r="S109" s="9"/>
      <c r="T109" s="9"/>
      <c r="U109" s="9"/>
      <c r="V109" s="9"/>
      <c r="W109" s="9"/>
      <c r="Y109" s="5"/>
      <c r="Z109" s="9"/>
      <c r="AA109" s="9"/>
      <c r="AB109" s="9"/>
      <c r="AC109" s="9"/>
      <c r="AD109" s="9"/>
      <c r="AE109" s="9"/>
    </row>
    <row r="110" spans="1:31" s="14" customFormat="1">
      <c r="A110" s="9"/>
      <c r="B110" s="16"/>
      <c r="C110" s="9"/>
      <c r="D110" s="9"/>
      <c r="E110" s="9"/>
      <c r="F110" s="9"/>
      <c r="G110" s="9"/>
      <c r="H110" s="9"/>
      <c r="I110" s="9"/>
      <c r="J110" s="9"/>
      <c r="K110" s="9"/>
      <c r="L110" s="9"/>
      <c r="M110" s="9"/>
      <c r="N110" s="9"/>
      <c r="O110" s="9"/>
      <c r="P110" s="9"/>
      <c r="Q110" s="9"/>
      <c r="R110" s="9"/>
      <c r="S110" s="9"/>
      <c r="T110" s="9"/>
      <c r="U110" s="9"/>
      <c r="V110" s="9"/>
      <c r="W110" s="9"/>
      <c r="Y110" s="5"/>
      <c r="Z110" s="9"/>
      <c r="AA110" s="9"/>
      <c r="AB110" s="9"/>
      <c r="AC110" s="9"/>
      <c r="AD110" s="9"/>
      <c r="AE110" s="9"/>
    </row>
    <row r="111" spans="1:31" s="14" customFormat="1">
      <c r="A111" s="9"/>
      <c r="B111" s="16"/>
      <c r="C111" s="9"/>
      <c r="D111" s="9"/>
      <c r="E111" s="9"/>
      <c r="F111" s="9"/>
      <c r="G111" s="9"/>
      <c r="H111" s="9"/>
      <c r="I111" s="9"/>
      <c r="J111" s="9"/>
      <c r="K111" s="9"/>
      <c r="L111" s="9"/>
      <c r="M111" s="9"/>
      <c r="N111" s="9"/>
      <c r="O111" s="9"/>
      <c r="P111" s="9"/>
      <c r="Q111" s="9"/>
      <c r="R111" s="9"/>
      <c r="S111" s="9"/>
      <c r="T111" s="9"/>
      <c r="U111" s="9"/>
      <c r="V111" s="9"/>
      <c r="W111" s="9"/>
      <c r="Y111" s="5"/>
      <c r="Z111" s="9"/>
      <c r="AA111" s="9"/>
      <c r="AB111" s="9"/>
      <c r="AC111" s="9"/>
      <c r="AD111" s="9"/>
      <c r="AE111" s="9"/>
    </row>
    <row r="112" spans="1:31" s="14" customFormat="1">
      <c r="A112" s="9"/>
      <c r="B112" s="16"/>
      <c r="C112" s="9"/>
      <c r="D112" s="9"/>
      <c r="E112" s="9"/>
      <c r="F112" s="9"/>
      <c r="G112" s="9"/>
      <c r="H112" s="9"/>
      <c r="I112" s="9"/>
      <c r="J112" s="9"/>
      <c r="K112" s="9"/>
      <c r="L112" s="9"/>
      <c r="M112" s="9"/>
      <c r="N112" s="9"/>
      <c r="O112" s="9"/>
      <c r="P112" s="9"/>
      <c r="Q112" s="9"/>
      <c r="R112" s="9"/>
      <c r="S112" s="9"/>
      <c r="T112" s="9"/>
      <c r="U112" s="9"/>
      <c r="V112" s="9"/>
      <c r="W112" s="9"/>
      <c r="Y112" s="5"/>
      <c r="Z112" s="9"/>
      <c r="AA112" s="9"/>
      <c r="AB112" s="9"/>
      <c r="AC112" s="9"/>
      <c r="AD112" s="9"/>
      <c r="AE112" s="9"/>
    </row>
    <row r="113" spans="1:31" s="14" customFormat="1">
      <c r="A113" s="9"/>
      <c r="B113" s="16"/>
      <c r="C113" s="9"/>
      <c r="D113" s="9"/>
      <c r="E113" s="9"/>
      <c r="F113" s="9"/>
      <c r="G113" s="9"/>
      <c r="H113" s="9"/>
      <c r="I113" s="9"/>
      <c r="J113" s="9"/>
      <c r="K113" s="9"/>
      <c r="L113" s="9"/>
      <c r="M113" s="9"/>
      <c r="N113" s="9"/>
      <c r="O113" s="9"/>
      <c r="P113" s="9"/>
      <c r="Q113" s="9"/>
      <c r="R113" s="9"/>
      <c r="S113" s="9"/>
      <c r="T113" s="9"/>
      <c r="U113" s="9"/>
      <c r="V113" s="9"/>
      <c r="W113" s="9"/>
      <c r="Y113" s="5"/>
      <c r="Z113" s="9"/>
      <c r="AA113" s="9"/>
      <c r="AB113" s="9"/>
      <c r="AC113" s="9"/>
      <c r="AD113" s="9"/>
      <c r="AE113" s="9"/>
    </row>
    <row r="114" spans="1:31" s="14" customFormat="1">
      <c r="A114" s="9"/>
      <c r="B114" s="16"/>
      <c r="C114" s="9"/>
      <c r="D114" s="9"/>
      <c r="E114" s="9"/>
      <c r="F114" s="9"/>
      <c r="G114" s="9"/>
      <c r="H114" s="9"/>
      <c r="I114" s="9"/>
      <c r="J114" s="9"/>
      <c r="K114" s="9"/>
      <c r="L114" s="9"/>
      <c r="M114" s="9"/>
      <c r="N114" s="9"/>
      <c r="O114" s="9"/>
      <c r="P114" s="9"/>
      <c r="Q114" s="9"/>
      <c r="R114" s="9"/>
      <c r="S114" s="9"/>
      <c r="T114" s="9"/>
      <c r="U114" s="9"/>
      <c r="V114" s="9"/>
      <c r="W114" s="9"/>
      <c r="Y114" s="5"/>
      <c r="Z114" s="9"/>
      <c r="AA114" s="9"/>
      <c r="AB114" s="9"/>
      <c r="AC114" s="9"/>
      <c r="AD114" s="9"/>
      <c r="AE114" s="9"/>
    </row>
    <row r="115" spans="1:31" s="14" customFormat="1">
      <c r="A115" s="9"/>
      <c r="B115" s="16"/>
      <c r="C115" s="9"/>
      <c r="D115" s="9"/>
      <c r="E115" s="9"/>
      <c r="F115" s="9"/>
      <c r="G115" s="9"/>
      <c r="H115" s="9"/>
      <c r="I115" s="9"/>
      <c r="J115" s="9"/>
      <c r="K115" s="9"/>
      <c r="L115" s="9"/>
      <c r="M115" s="9"/>
      <c r="N115" s="9"/>
      <c r="O115" s="9"/>
      <c r="P115" s="9"/>
      <c r="Q115" s="9"/>
      <c r="R115" s="9"/>
      <c r="S115" s="9"/>
      <c r="T115" s="9"/>
      <c r="U115" s="9"/>
      <c r="V115" s="9"/>
      <c r="W115" s="9"/>
      <c r="Y115" s="5"/>
      <c r="Z115" s="9"/>
      <c r="AA115" s="9"/>
      <c r="AB115" s="9"/>
      <c r="AC115" s="9"/>
      <c r="AD115" s="9"/>
      <c r="AE115" s="9"/>
    </row>
    <row r="116" spans="1:31" s="14" customFormat="1">
      <c r="A116" s="9"/>
      <c r="B116" s="16"/>
      <c r="C116" s="9"/>
      <c r="D116" s="9"/>
      <c r="E116" s="9"/>
      <c r="F116" s="9"/>
      <c r="G116" s="9"/>
      <c r="H116" s="9"/>
      <c r="I116" s="9"/>
      <c r="J116" s="9"/>
      <c r="K116" s="9"/>
      <c r="L116" s="9"/>
      <c r="M116" s="9"/>
      <c r="N116" s="9"/>
      <c r="O116" s="9"/>
      <c r="P116" s="9"/>
      <c r="Q116" s="9"/>
      <c r="R116" s="9"/>
      <c r="S116" s="9"/>
      <c r="T116" s="9"/>
      <c r="U116" s="9"/>
      <c r="V116" s="9"/>
      <c r="W116" s="9"/>
      <c r="Y116" s="5"/>
      <c r="Z116" s="9"/>
      <c r="AA116" s="9"/>
      <c r="AB116" s="9"/>
      <c r="AC116" s="9"/>
      <c r="AD116" s="9"/>
      <c r="AE116" s="9"/>
    </row>
    <row r="117" spans="1:31" s="14" customFormat="1">
      <c r="A117" s="9"/>
      <c r="B117" s="16"/>
      <c r="C117" s="9"/>
      <c r="D117" s="9"/>
      <c r="E117" s="9"/>
      <c r="F117" s="9"/>
      <c r="G117" s="9"/>
      <c r="H117" s="9"/>
      <c r="I117" s="9"/>
      <c r="J117" s="9"/>
      <c r="K117" s="9"/>
      <c r="L117" s="9"/>
      <c r="M117" s="9"/>
      <c r="N117" s="9"/>
      <c r="O117" s="9"/>
      <c r="P117" s="9"/>
      <c r="Q117" s="9"/>
      <c r="R117" s="9"/>
      <c r="S117" s="9"/>
      <c r="T117" s="9"/>
      <c r="U117" s="9"/>
      <c r="V117" s="9"/>
      <c r="W117" s="9"/>
      <c r="Y117" s="5"/>
      <c r="Z117" s="9"/>
      <c r="AA117" s="9"/>
      <c r="AB117" s="9"/>
      <c r="AC117" s="9"/>
      <c r="AD117" s="9"/>
      <c r="AE117" s="9"/>
    </row>
    <row r="118" spans="1:31" s="14" customFormat="1">
      <c r="A118" s="9"/>
      <c r="B118" s="16"/>
      <c r="C118" s="9"/>
      <c r="D118" s="9"/>
      <c r="E118" s="9"/>
      <c r="F118" s="9"/>
      <c r="G118" s="9"/>
      <c r="H118" s="9"/>
      <c r="I118" s="9"/>
      <c r="J118" s="9"/>
      <c r="K118" s="9"/>
      <c r="L118" s="9"/>
      <c r="M118" s="9"/>
      <c r="N118" s="9"/>
      <c r="O118" s="9"/>
      <c r="P118" s="9"/>
      <c r="Q118" s="9"/>
      <c r="R118" s="9"/>
      <c r="S118" s="9"/>
      <c r="T118" s="9"/>
      <c r="U118" s="9"/>
      <c r="V118" s="9"/>
      <c r="W118" s="9"/>
      <c r="Y118" s="5"/>
      <c r="Z118" s="9"/>
      <c r="AA118" s="9"/>
      <c r="AB118" s="9"/>
      <c r="AC118" s="9"/>
      <c r="AD118" s="9"/>
      <c r="AE118" s="9"/>
    </row>
    <row r="119" spans="1:31" s="14" customFormat="1">
      <c r="A119" s="9"/>
      <c r="B119" s="16"/>
      <c r="C119" s="9"/>
      <c r="D119" s="9"/>
      <c r="E119" s="9"/>
      <c r="F119" s="9"/>
      <c r="G119" s="9"/>
      <c r="H119" s="9"/>
      <c r="I119" s="9"/>
      <c r="J119" s="9"/>
      <c r="K119" s="9"/>
      <c r="L119" s="9"/>
      <c r="M119" s="9"/>
      <c r="N119" s="9"/>
      <c r="O119" s="9"/>
      <c r="P119" s="9"/>
      <c r="Q119" s="9"/>
      <c r="R119" s="9"/>
      <c r="S119" s="9"/>
      <c r="T119" s="9"/>
      <c r="U119" s="9"/>
      <c r="V119" s="9"/>
      <c r="W119" s="9"/>
      <c r="Y119" s="5"/>
      <c r="Z119" s="9"/>
      <c r="AA119" s="9"/>
      <c r="AB119" s="9"/>
      <c r="AC119" s="9"/>
      <c r="AD119" s="9"/>
      <c r="AE119" s="9"/>
    </row>
    <row r="120" spans="1:31" s="14" customFormat="1">
      <c r="A120" s="9"/>
      <c r="B120" s="16"/>
      <c r="C120" s="9"/>
      <c r="D120" s="9"/>
      <c r="E120" s="9"/>
      <c r="F120" s="9"/>
      <c r="G120" s="9"/>
      <c r="H120" s="9"/>
      <c r="I120" s="9"/>
      <c r="J120" s="9"/>
      <c r="K120" s="9"/>
      <c r="L120" s="9"/>
      <c r="M120" s="9"/>
      <c r="N120" s="9"/>
      <c r="O120" s="9"/>
      <c r="P120" s="9"/>
      <c r="Q120" s="9"/>
      <c r="R120" s="9"/>
      <c r="S120" s="9"/>
      <c r="T120" s="9"/>
      <c r="U120" s="9"/>
      <c r="V120" s="9"/>
      <c r="W120" s="9"/>
      <c r="Y120" s="5"/>
      <c r="Z120" s="9"/>
      <c r="AA120" s="9"/>
      <c r="AB120" s="9"/>
      <c r="AC120" s="9"/>
      <c r="AD120" s="9"/>
      <c r="AE120" s="9"/>
    </row>
    <row r="121" spans="1:31" s="14" customFormat="1">
      <c r="A121" s="9"/>
      <c r="B121" s="16"/>
      <c r="C121" s="9"/>
      <c r="D121" s="9"/>
      <c r="E121" s="9"/>
      <c r="F121" s="9"/>
      <c r="G121" s="9"/>
      <c r="H121" s="9"/>
      <c r="I121" s="9"/>
      <c r="J121" s="9"/>
      <c r="K121" s="9"/>
      <c r="L121" s="9"/>
      <c r="M121" s="9"/>
      <c r="N121" s="9"/>
      <c r="O121" s="9"/>
      <c r="P121" s="9"/>
      <c r="Q121" s="9"/>
      <c r="R121" s="9"/>
      <c r="S121" s="9"/>
      <c r="T121" s="9"/>
      <c r="U121" s="9"/>
      <c r="V121" s="9"/>
      <c r="W121" s="9"/>
      <c r="Y121" s="5"/>
      <c r="Z121" s="9"/>
      <c r="AA121" s="9"/>
      <c r="AB121" s="9"/>
      <c r="AC121" s="9"/>
      <c r="AD121" s="9"/>
      <c r="AE121" s="9"/>
    </row>
    <row r="122" spans="1:31" s="14" customFormat="1">
      <c r="A122" s="9"/>
      <c r="B122" s="16"/>
      <c r="C122" s="9"/>
      <c r="D122" s="9"/>
      <c r="E122" s="9"/>
      <c r="F122" s="9"/>
      <c r="G122" s="9"/>
      <c r="H122" s="9"/>
      <c r="I122" s="9"/>
      <c r="J122" s="9"/>
      <c r="K122" s="9"/>
      <c r="L122" s="9"/>
      <c r="M122" s="9"/>
      <c r="N122" s="9"/>
      <c r="O122" s="9"/>
      <c r="P122" s="9"/>
      <c r="Q122" s="9"/>
      <c r="R122" s="9"/>
      <c r="S122" s="9"/>
      <c r="T122" s="9"/>
      <c r="U122" s="9"/>
      <c r="V122" s="9"/>
      <c r="W122" s="9"/>
      <c r="Y122" s="5"/>
      <c r="Z122" s="9"/>
      <c r="AA122" s="9"/>
      <c r="AB122" s="9"/>
      <c r="AC122" s="9"/>
      <c r="AD122" s="9"/>
      <c r="AE122" s="9"/>
    </row>
    <row r="123" spans="1:31" s="14" customFormat="1">
      <c r="A123" s="9"/>
      <c r="B123" s="16"/>
      <c r="C123" s="9"/>
      <c r="D123" s="9"/>
      <c r="E123" s="9"/>
      <c r="F123" s="9"/>
      <c r="G123" s="9"/>
      <c r="H123" s="9"/>
      <c r="I123" s="9"/>
      <c r="J123" s="9"/>
      <c r="K123" s="9"/>
      <c r="L123" s="9"/>
      <c r="M123" s="9"/>
      <c r="N123" s="9"/>
      <c r="O123" s="9"/>
      <c r="P123" s="9"/>
      <c r="Q123" s="9"/>
      <c r="R123" s="9"/>
      <c r="S123" s="9"/>
      <c r="T123" s="9"/>
      <c r="U123" s="9"/>
      <c r="V123" s="9"/>
      <c r="W123" s="9"/>
      <c r="Y123" s="5"/>
      <c r="Z123" s="9"/>
      <c r="AA123" s="9"/>
      <c r="AB123" s="9"/>
      <c r="AC123" s="9"/>
      <c r="AD123" s="9"/>
      <c r="AE123" s="9"/>
    </row>
    <row r="124" spans="1:31" s="14" customFormat="1">
      <c r="A124" s="9"/>
      <c r="B124" s="16"/>
      <c r="C124" s="9"/>
      <c r="D124" s="9"/>
      <c r="E124" s="9"/>
      <c r="F124" s="9"/>
      <c r="G124" s="9"/>
      <c r="H124" s="9"/>
      <c r="I124" s="9"/>
      <c r="J124" s="9"/>
      <c r="K124" s="9"/>
      <c r="L124" s="9"/>
      <c r="M124" s="9"/>
      <c r="N124" s="9"/>
      <c r="O124" s="9"/>
      <c r="P124" s="9"/>
      <c r="Q124" s="9"/>
      <c r="R124" s="9"/>
      <c r="S124" s="9"/>
      <c r="T124" s="9"/>
      <c r="U124" s="9"/>
      <c r="V124" s="9"/>
      <c r="W124" s="9"/>
      <c r="Y124" s="5"/>
      <c r="Z124" s="9"/>
      <c r="AA124" s="9"/>
      <c r="AB124" s="9"/>
      <c r="AC124" s="9"/>
      <c r="AD124" s="9"/>
      <c r="AE124" s="9"/>
    </row>
    <row r="125" spans="1:31" s="14" customFormat="1">
      <c r="A125" s="9"/>
      <c r="B125" s="16"/>
      <c r="C125" s="9"/>
      <c r="D125" s="9"/>
      <c r="E125" s="9"/>
      <c r="F125" s="9"/>
      <c r="G125" s="9"/>
      <c r="H125" s="9"/>
      <c r="I125" s="9"/>
      <c r="J125" s="9"/>
      <c r="K125" s="9"/>
      <c r="L125" s="9"/>
      <c r="M125" s="9"/>
      <c r="N125" s="9"/>
      <c r="O125" s="9"/>
      <c r="P125" s="9"/>
      <c r="Q125" s="9"/>
      <c r="R125" s="9"/>
      <c r="S125" s="9"/>
      <c r="T125" s="9"/>
      <c r="U125" s="9"/>
      <c r="V125" s="9"/>
      <c r="W125" s="9"/>
      <c r="Y125" s="5"/>
      <c r="Z125" s="9"/>
      <c r="AA125" s="9"/>
      <c r="AB125" s="9"/>
      <c r="AC125" s="9"/>
      <c r="AD125" s="9"/>
      <c r="AE125" s="9"/>
    </row>
    <row r="126" spans="1:31" s="14" customFormat="1">
      <c r="A126" s="9"/>
      <c r="B126" s="16"/>
      <c r="C126" s="9"/>
      <c r="D126" s="9"/>
      <c r="E126" s="9"/>
      <c r="F126" s="9"/>
      <c r="G126" s="9"/>
      <c r="H126" s="9"/>
      <c r="I126" s="9"/>
      <c r="J126" s="9"/>
      <c r="K126" s="9"/>
      <c r="L126" s="9"/>
      <c r="M126" s="9"/>
      <c r="N126" s="9"/>
      <c r="O126" s="9"/>
      <c r="P126" s="9"/>
      <c r="Q126" s="9"/>
      <c r="R126" s="9"/>
      <c r="S126" s="9"/>
      <c r="T126" s="9"/>
      <c r="U126" s="9"/>
      <c r="V126" s="9"/>
      <c r="W126" s="9"/>
      <c r="Y126" s="5"/>
      <c r="Z126" s="9"/>
      <c r="AA126" s="9"/>
      <c r="AB126" s="9"/>
      <c r="AC126" s="9"/>
      <c r="AD126" s="9"/>
      <c r="AE126" s="9"/>
    </row>
    <row r="127" spans="1:31" s="14" customFormat="1">
      <c r="A127" s="9"/>
      <c r="B127" s="16"/>
      <c r="C127" s="9"/>
      <c r="D127" s="9"/>
      <c r="E127" s="9"/>
      <c r="F127" s="9"/>
      <c r="G127" s="9"/>
      <c r="H127" s="9"/>
      <c r="I127" s="9"/>
      <c r="J127" s="9"/>
      <c r="K127" s="9"/>
      <c r="L127" s="9"/>
      <c r="M127" s="9"/>
      <c r="N127" s="9"/>
      <c r="O127" s="9"/>
      <c r="P127" s="9"/>
      <c r="Q127" s="9"/>
      <c r="R127" s="9"/>
      <c r="S127" s="9"/>
      <c r="T127" s="9"/>
      <c r="U127" s="9"/>
      <c r="V127" s="9"/>
      <c r="W127" s="9"/>
      <c r="Y127" s="5"/>
      <c r="Z127" s="9"/>
      <c r="AA127" s="9"/>
      <c r="AB127" s="9"/>
      <c r="AC127" s="9"/>
      <c r="AD127" s="9"/>
      <c r="AE127" s="9"/>
    </row>
    <row r="128" spans="1:31" s="14" customFormat="1">
      <c r="A128" s="9"/>
      <c r="B128" s="16"/>
      <c r="C128" s="9"/>
      <c r="D128" s="9"/>
      <c r="E128" s="9"/>
      <c r="F128" s="9"/>
      <c r="G128" s="9"/>
      <c r="H128" s="9"/>
      <c r="I128" s="9"/>
      <c r="J128" s="9"/>
      <c r="K128" s="9"/>
      <c r="L128" s="9"/>
      <c r="M128" s="9"/>
      <c r="N128" s="9"/>
      <c r="O128" s="9"/>
      <c r="P128" s="9"/>
      <c r="Q128" s="9"/>
      <c r="R128" s="9"/>
      <c r="S128" s="9"/>
      <c r="T128" s="9"/>
      <c r="U128" s="9"/>
      <c r="V128" s="9"/>
      <c r="W128" s="9"/>
      <c r="Y128" s="5"/>
      <c r="Z128" s="9"/>
      <c r="AA128" s="9"/>
      <c r="AB128" s="9"/>
      <c r="AC128" s="9"/>
      <c r="AD128" s="9"/>
      <c r="AE128" s="9"/>
    </row>
    <row r="129" spans="1:31" s="14" customFormat="1">
      <c r="A129" s="9"/>
      <c r="B129" s="16"/>
      <c r="C129" s="9"/>
      <c r="D129" s="9"/>
      <c r="E129" s="9"/>
      <c r="F129" s="9"/>
      <c r="G129" s="9"/>
      <c r="H129" s="9"/>
      <c r="I129" s="9"/>
      <c r="J129" s="9"/>
      <c r="K129" s="9"/>
      <c r="L129" s="9"/>
      <c r="M129" s="9"/>
      <c r="N129" s="9"/>
      <c r="O129" s="9"/>
      <c r="P129" s="9"/>
      <c r="Q129" s="9"/>
      <c r="R129" s="9"/>
      <c r="S129" s="9"/>
      <c r="T129" s="9"/>
      <c r="U129" s="9"/>
      <c r="V129" s="9"/>
      <c r="W129" s="9"/>
      <c r="Y129" s="5"/>
      <c r="Z129" s="9"/>
      <c r="AA129" s="9"/>
      <c r="AB129" s="9"/>
      <c r="AC129" s="9"/>
      <c r="AD129" s="9"/>
      <c r="AE129" s="9"/>
    </row>
    <row r="130" spans="1:31" s="14" customFormat="1">
      <c r="A130" s="9"/>
      <c r="B130" s="16"/>
      <c r="C130" s="9"/>
      <c r="D130" s="9"/>
      <c r="E130" s="9"/>
      <c r="F130" s="9"/>
      <c r="G130" s="9"/>
      <c r="H130" s="9"/>
      <c r="I130" s="9"/>
      <c r="J130" s="9"/>
      <c r="K130" s="9"/>
      <c r="L130" s="9"/>
      <c r="M130" s="9"/>
      <c r="N130" s="9"/>
      <c r="O130" s="9"/>
      <c r="P130" s="9"/>
      <c r="Q130" s="9"/>
      <c r="R130" s="9"/>
      <c r="S130" s="9"/>
      <c r="T130" s="9"/>
      <c r="U130" s="9"/>
      <c r="V130" s="9"/>
      <c r="W130" s="9"/>
      <c r="Y130" s="5"/>
      <c r="Z130" s="9"/>
      <c r="AA130" s="9"/>
      <c r="AB130" s="9"/>
      <c r="AC130" s="9"/>
      <c r="AD130" s="9"/>
      <c r="AE130" s="9"/>
    </row>
    <row r="131" spans="1:31" s="14" customFormat="1">
      <c r="A131" s="9"/>
      <c r="B131" s="16"/>
      <c r="C131" s="9"/>
      <c r="D131" s="9"/>
      <c r="E131" s="9"/>
      <c r="F131" s="9"/>
      <c r="G131" s="9"/>
      <c r="H131" s="9"/>
      <c r="I131" s="9"/>
      <c r="J131" s="9"/>
      <c r="K131" s="9"/>
      <c r="L131" s="9"/>
      <c r="M131" s="9"/>
      <c r="N131" s="9"/>
      <c r="O131" s="9"/>
      <c r="P131" s="9"/>
      <c r="Q131" s="9"/>
      <c r="R131" s="9"/>
      <c r="S131" s="9"/>
      <c r="T131" s="9"/>
      <c r="U131" s="9"/>
      <c r="V131" s="9"/>
      <c r="W131" s="9"/>
      <c r="Y131" s="5"/>
      <c r="Z131" s="9"/>
      <c r="AA131" s="9"/>
      <c r="AB131" s="9"/>
      <c r="AC131" s="9"/>
      <c r="AD131" s="9"/>
      <c r="AE131" s="9"/>
    </row>
  </sheetData>
  <sheetProtection formatColumns="0" formatRows="0" insertRows="0" autoFilter="0"/>
  <dataValidations disablePrompts="1" count="1">
    <dataValidation type="list" allowBlank="1" showInputMessage="1" showErrorMessage="1" prompt="Select US Costs or Incountry Costs as appropriate" sqref="A31" xr:uid="{00000000-0002-0000-0200-000000000000}">
      <formula1>#REF!</formula1>
    </dataValidation>
  </dataValidations>
  <pageMargins left="0.5" right="0.5" top="0.5" bottom="0.5" header="0" footer="0.25"/>
  <pageSetup scale="61" fitToHeight="0" orientation="landscape" r:id="rId1"/>
  <headerFooter scaleWithDoc="0" alignWithMargins="0">
    <oddFooter>&amp;LUse or disclosure of data contained on this sheet is subject to the restriction on the proprietary statement of this proposal.&amp;RJhpiego, Page &amp;P of &amp;N</oddFooter>
  </headerFooter>
  <rowBreaks count="1" manualBreakCount="1">
    <brk id="29" max="1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54"/>
  <sheetViews>
    <sheetView zoomScale="70" zoomScaleNormal="60" zoomScaleSheetLayoutView="85" workbookViewId="0">
      <pane xSplit="2" ySplit="9" topLeftCell="C10" activePane="bottomRight" state="frozen"/>
      <selection pane="topRight" activeCell="G20" sqref="G20"/>
      <selection pane="bottomLeft" activeCell="G20" sqref="G20"/>
      <selection pane="bottomRight" activeCell="G20" sqref="G20"/>
    </sheetView>
  </sheetViews>
  <sheetFormatPr defaultColWidth="8.71875" defaultRowHeight="15"/>
  <cols>
    <col min="1" max="1" width="8.27734375" style="175" hidden="1" customWidth="1"/>
    <col min="2" max="2" width="54.71875" style="178" bestFit="1" customWidth="1"/>
    <col min="3" max="3" width="17.71875" style="177" bestFit="1" customWidth="1"/>
    <col min="4" max="4" width="5.71875" style="177" hidden="1" customWidth="1"/>
    <col min="5" max="5" width="2.71875" style="177" hidden="1" customWidth="1"/>
    <col min="6" max="6" width="18" style="177" bestFit="1" customWidth="1"/>
    <col min="7" max="7" width="5.71875" style="177" hidden="1" customWidth="1"/>
    <col min="8" max="8" width="2.71875" style="177" hidden="1" customWidth="1"/>
    <col min="9" max="9" width="18.5546875" style="177" bestFit="1" customWidth="1"/>
    <col min="10" max="10" width="5.71875" style="177" hidden="1" customWidth="1"/>
    <col min="11" max="11" width="2.71875" style="177" hidden="1" customWidth="1"/>
    <col min="12" max="12" width="18.71875" style="177" bestFit="1" customWidth="1"/>
    <col min="13" max="13" width="5.71875" style="177" hidden="1" customWidth="1"/>
    <col min="14" max="14" width="2.71875" style="177" hidden="1" customWidth="1"/>
    <col min="15" max="15" width="18.27734375" style="177" bestFit="1" customWidth="1"/>
    <col min="16" max="17" width="5.71875" style="177" hidden="1" customWidth="1"/>
    <col min="18" max="18" width="2.71875" style="177" hidden="1" customWidth="1"/>
    <col min="19" max="19" width="19.27734375" style="177" bestFit="1" customWidth="1"/>
    <col min="20" max="258" width="9.27734375" style="178"/>
    <col min="259" max="259" width="0" style="178" hidden="1" customWidth="1"/>
    <col min="260" max="260" width="54.71875" style="178" bestFit="1" customWidth="1"/>
    <col min="261" max="261" width="17.71875" style="178" bestFit="1" customWidth="1"/>
    <col min="262" max="263" width="0" style="178" hidden="1" customWidth="1"/>
    <col min="264" max="264" width="18" style="178" bestFit="1" customWidth="1"/>
    <col min="265" max="266" width="0" style="178" hidden="1" customWidth="1"/>
    <col min="267" max="267" width="18.5546875" style="178" bestFit="1" customWidth="1"/>
    <col min="268" max="269" width="0" style="178" hidden="1" customWidth="1"/>
    <col min="270" max="270" width="18.71875" style="178" bestFit="1" customWidth="1"/>
    <col min="271" max="272" width="0" style="178" hidden="1" customWidth="1"/>
    <col min="273" max="273" width="18.27734375" style="178" bestFit="1" customWidth="1"/>
    <col min="274" max="274" width="0" style="178" hidden="1" customWidth="1"/>
    <col min="275" max="275" width="19.27734375" style="178" bestFit="1" customWidth="1"/>
    <col min="276" max="514" width="9.27734375" style="178"/>
    <col min="515" max="515" width="0" style="178" hidden="1" customWidth="1"/>
    <col min="516" max="516" width="54.71875" style="178" bestFit="1" customWidth="1"/>
    <col min="517" max="517" width="17.71875" style="178" bestFit="1" customWidth="1"/>
    <col min="518" max="519" width="0" style="178" hidden="1" customWidth="1"/>
    <col min="520" max="520" width="18" style="178" bestFit="1" customWidth="1"/>
    <col min="521" max="522" width="0" style="178" hidden="1" customWidth="1"/>
    <col min="523" max="523" width="18.5546875" style="178" bestFit="1" customWidth="1"/>
    <col min="524" max="525" width="0" style="178" hidden="1" customWidth="1"/>
    <col min="526" max="526" width="18.71875" style="178" bestFit="1" customWidth="1"/>
    <col min="527" max="528" width="0" style="178" hidden="1" customWidth="1"/>
    <col min="529" max="529" width="18.27734375" style="178" bestFit="1" customWidth="1"/>
    <col min="530" max="530" width="0" style="178" hidden="1" customWidth="1"/>
    <col min="531" max="531" width="19.27734375" style="178" bestFit="1" customWidth="1"/>
    <col min="532" max="770" width="9.27734375" style="178"/>
    <col min="771" max="771" width="0" style="178" hidden="1" customWidth="1"/>
    <col min="772" max="772" width="54.71875" style="178" bestFit="1" customWidth="1"/>
    <col min="773" max="773" width="17.71875" style="178" bestFit="1" customWidth="1"/>
    <col min="774" max="775" width="0" style="178" hidden="1" customWidth="1"/>
    <col min="776" max="776" width="18" style="178" bestFit="1" customWidth="1"/>
    <col min="777" max="778" width="0" style="178" hidden="1" customWidth="1"/>
    <col min="779" max="779" width="18.5546875" style="178" bestFit="1" customWidth="1"/>
    <col min="780" max="781" width="0" style="178" hidden="1" customWidth="1"/>
    <col min="782" max="782" width="18.71875" style="178" bestFit="1" customWidth="1"/>
    <col min="783" max="784" width="0" style="178" hidden="1" customWidth="1"/>
    <col min="785" max="785" width="18.27734375" style="178" bestFit="1" customWidth="1"/>
    <col min="786" max="786" width="0" style="178" hidden="1" customWidth="1"/>
    <col min="787" max="787" width="19.27734375" style="178" bestFit="1" customWidth="1"/>
    <col min="788" max="1026" width="9.27734375" style="178"/>
    <col min="1027" max="1027" width="0" style="178" hidden="1" customWidth="1"/>
    <col min="1028" max="1028" width="54.71875" style="178" bestFit="1" customWidth="1"/>
    <col min="1029" max="1029" width="17.71875" style="178" bestFit="1" customWidth="1"/>
    <col min="1030" max="1031" width="0" style="178" hidden="1" customWidth="1"/>
    <col min="1032" max="1032" width="18" style="178" bestFit="1" customWidth="1"/>
    <col min="1033" max="1034" width="0" style="178" hidden="1" customWidth="1"/>
    <col min="1035" max="1035" width="18.5546875" style="178" bestFit="1" customWidth="1"/>
    <col min="1036" max="1037" width="0" style="178" hidden="1" customWidth="1"/>
    <col min="1038" max="1038" width="18.71875" style="178" bestFit="1" customWidth="1"/>
    <col min="1039" max="1040" width="0" style="178" hidden="1" customWidth="1"/>
    <col min="1041" max="1041" width="18.27734375" style="178" bestFit="1" customWidth="1"/>
    <col min="1042" max="1042" width="0" style="178" hidden="1" customWidth="1"/>
    <col min="1043" max="1043" width="19.27734375" style="178" bestFit="1" customWidth="1"/>
    <col min="1044" max="1282" width="9.27734375" style="178"/>
    <col min="1283" max="1283" width="0" style="178" hidden="1" customWidth="1"/>
    <col min="1284" max="1284" width="54.71875" style="178" bestFit="1" customWidth="1"/>
    <col min="1285" max="1285" width="17.71875" style="178" bestFit="1" customWidth="1"/>
    <col min="1286" max="1287" width="0" style="178" hidden="1" customWidth="1"/>
    <col min="1288" max="1288" width="18" style="178" bestFit="1" customWidth="1"/>
    <col min="1289" max="1290" width="0" style="178" hidden="1" customWidth="1"/>
    <col min="1291" max="1291" width="18.5546875" style="178" bestFit="1" customWidth="1"/>
    <col min="1292" max="1293" width="0" style="178" hidden="1" customWidth="1"/>
    <col min="1294" max="1294" width="18.71875" style="178" bestFit="1" customWidth="1"/>
    <col min="1295" max="1296" width="0" style="178" hidden="1" customWidth="1"/>
    <col min="1297" max="1297" width="18.27734375" style="178" bestFit="1" customWidth="1"/>
    <col min="1298" max="1298" width="0" style="178" hidden="1" customWidth="1"/>
    <col min="1299" max="1299" width="19.27734375" style="178" bestFit="1" customWidth="1"/>
    <col min="1300" max="1538" width="9.27734375" style="178"/>
    <col min="1539" max="1539" width="0" style="178" hidden="1" customWidth="1"/>
    <col min="1540" max="1540" width="54.71875" style="178" bestFit="1" customWidth="1"/>
    <col min="1541" max="1541" width="17.71875" style="178" bestFit="1" customWidth="1"/>
    <col min="1542" max="1543" width="0" style="178" hidden="1" customWidth="1"/>
    <col min="1544" max="1544" width="18" style="178" bestFit="1" customWidth="1"/>
    <col min="1545" max="1546" width="0" style="178" hidden="1" customWidth="1"/>
    <col min="1547" max="1547" width="18.5546875" style="178" bestFit="1" customWidth="1"/>
    <col min="1548" max="1549" width="0" style="178" hidden="1" customWidth="1"/>
    <col min="1550" max="1550" width="18.71875" style="178" bestFit="1" customWidth="1"/>
    <col min="1551" max="1552" width="0" style="178" hidden="1" customWidth="1"/>
    <col min="1553" max="1553" width="18.27734375" style="178" bestFit="1" customWidth="1"/>
    <col min="1554" max="1554" width="0" style="178" hidden="1" customWidth="1"/>
    <col min="1555" max="1555" width="19.27734375" style="178" bestFit="1" customWidth="1"/>
    <col min="1556" max="1794" width="9.27734375" style="178"/>
    <col min="1795" max="1795" width="0" style="178" hidden="1" customWidth="1"/>
    <col min="1796" max="1796" width="54.71875" style="178" bestFit="1" customWidth="1"/>
    <col min="1797" max="1797" width="17.71875" style="178" bestFit="1" customWidth="1"/>
    <col min="1798" max="1799" width="0" style="178" hidden="1" customWidth="1"/>
    <col min="1800" max="1800" width="18" style="178" bestFit="1" customWidth="1"/>
    <col min="1801" max="1802" width="0" style="178" hidden="1" customWidth="1"/>
    <col min="1803" max="1803" width="18.5546875" style="178" bestFit="1" customWidth="1"/>
    <col min="1804" max="1805" width="0" style="178" hidden="1" customWidth="1"/>
    <col min="1806" max="1806" width="18.71875" style="178" bestFit="1" customWidth="1"/>
    <col min="1807" max="1808" width="0" style="178" hidden="1" customWidth="1"/>
    <col min="1809" max="1809" width="18.27734375" style="178" bestFit="1" customWidth="1"/>
    <col min="1810" max="1810" width="0" style="178" hidden="1" customWidth="1"/>
    <col min="1811" max="1811" width="19.27734375" style="178" bestFit="1" customWidth="1"/>
    <col min="1812" max="2050" width="9.27734375" style="178"/>
    <col min="2051" max="2051" width="0" style="178" hidden="1" customWidth="1"/>
    <col min="2052" max="2052" width="54.71875" style="178" bestFit="1" customWidth="1"/>
    <col min="2053" max="2053" width="17.71875" style="178" bestFit="1" customWidth="1"/>
    <col min="2054" max="2055" width="0" style="178" hidden="1" customWidth="1"/>
    <col min="2056" max="2056" width="18" style="178" bestFit="1" customWidth="1"/>
    <col min="2057" max="2058" width="0" style="178" hidden="1" customWidth="1"/>
    <col min="2059" max="2059" width="18.5546875" style="178" bestFit="1" customWidth="1"/>
    <col min="2060" max="2061" width="0" style="178" hidden="1" customWidth="1"/>
    <col min="2062" max="2062" width="18.71875" style="178" bestFit="1" customWidth="1"/>
    <col min="2063" max="2064" width="0" style="178" hidden="1" customWidth="1"/>
    <col min="2065" max="2065" width="18.27734375" style="178" bestFit="1" customWidth="1"/>
    <col min="2066" max="2066" width="0" style="178" hidden="1" customWidth="1"/>
    <col min="2067" max="2067" width="19.27734375" style="178" bestFit="1" customWidth="1"/>
    <col min="2068" max="2306" width="9.27734375" style="178"/>
    <col min="2307" max="2307" width="0" style="178" hidden="1" customWidth="1"/>
    <col min="2308" max="2308" width="54.71875" style="178" bestFit="1" customWidth="1"/>
    <col min="2309" max="2309" width="17.71875" style="178" bestFit="1" customWidth="1"/>
    <col min="2310" max="2311" width="0" style="178" hidden="1" customWidth="1"/>
    <col min="2312" max="2312" width="18" style="178" bestFit="1" customWidth="1"/>
    <col min="2313" max="2314" width="0" style="178" hidden="1" customWidth="1"/>
    <col min="2315" max="2315" width="18.5546875" style="178" bestFit="1" customWidth="1"/>
    <col min="2316" max="2317" width="0" style="178" hidden="1" customWidth="1"/>
    <col min="2318" max="2318" width="18.71875" style="178" bestFit="1" customWidth="1"/>
    <col min="2319" max="2320" width="0" style="178" hidden="1" customWidth="1"/>
    <col min="2321" max="2321" width="18.27734375" style="178" bestFit="1" customWidth="1"/>
    <col min="2322" max="2322" width="0" style="178" hidden="1" customWidth="1"/>
    <col min="2323" max="2323" width="19.27734375" style="178" bestFit="1" customWidth="1"/>
    <col min="2324" max="2562" width="9.27734375" style="178"/>
    <col min="2563" max="2563" width="0" style="178" hidden="1" customWidth="1"/>
    <col min="2564" max="2564" width="54.71875" style="178" bestFit="1" customWidth="1"/>
    <col min="2565" max="2565" width="17.71875" style="178" bestFit="1" customWidth="1"/>
    <col min="2566" max="2567" width="0" style="178" hidden="1" customWidth="1"/>
    <col min="2568" max="2568" width="18" style="178" bestFit="1" customWidth="1"/>
    <col min="2569" max="2570" width="0" style="178" hidden="1" customWidth="1"/>
    <col min="2571" max="2571" width="18.5546875" style="178" bestFit="1" customWidth="1"/>
    <col min="2572" max="2573" width="0" style="178" hidden="1" customWidth="1"/>
    <col min="2574" max="2574" width="18.71875" style="178" bestFit="1" customWidth="1"/>
    <col min="2575" max="2576" width="0" style="178" hidden="1" customWidth="1"/>
    <col min="2577" max="2577" width="18.27734375" style="178" bestFit="1" customWidth="1"/>
    <col min="2578" max="2578" width="0" style="178" hidden="1" customWidth="1"/>
    <col min="2579" max="2579" width="19.27734375" style="178" bestFit="1" customWidth="1"/>
    <col min="2580" max="2818" width="9.27734375" style="178"/>
    <col min="2819" max="2819" width="0" style="178" hidden="1" customWidth="1"/>
    <col min="2820" max="2820" width="54.71875" style="178" bestFit="1" customWidth="1"/>
    <col min="2821" max="2821" width="17.71875" style="178" bestFit="1" customWidth="1"/>
    <col min="2822" max="2823" width="0" style="178" hidden="1" customWidth="1"/>
    <col min="2824" max="2824" width="18" style="178" bestFit="1" customWidth="1"/>
    <col min="2825" max="2826" width="0" style="178" hidden="1" customWidth="1"/>
    <col min="2827" max="2827" width="18.5546875" style="178" bestFit="1" customWidth="1"/>
    <col min="2828" max="2829" width="0" style="178" hidden="1" customWidth="1"/>
    <col min="2830" max="2830" width="18.71875" style="178" bestFit="1" customWidth="1"/>
    <col min="2831" max="2832" width="0" style="178" hidden="1" customWidth="1"/>
    <col min="2833" max="2833" width="18.27734375" style="178" bestFit="1" customWidth="1"/>
    <col min="2834" max="2834" width="0" style="178" hidden="1" customWidth="1"/>
    <col min="2835" max="2835" width="19.27734375" style="178" bestFit="1" customWidth="1"/>
    <col min="2836" max="3074" width="9.27734375" style="178"/>
    <col min="3075" max="3075" width="0" style="178" hidden="1" customWidth="1"/>
    <col min="3076" max="3076" width="54.71875" style="178" bestFit="1" customWidth="1"/>
    <col min="3077" max="3077" width="17.71875" style="178" bestFit="1" customWidth="1"/>
    <col min="3078" max="3079" width="0" style="178" hidden="1" customWidth="1"/>
    <col min="3080" max="3080" width="18" style="178" bestFit="1" customWidth="1"/>
    <col min="3081" max="3082" width="0" style="178" hidden="1" customWidth="1"/>
    <col min="3083" max="3083" width="18.5546875" style="178" bestFit="1" customWidth="1"/>
    <col min="3084" max="3085" width="0" style="178" hidden="1" customWidth="1"/>
    <col min="3086" max="3086" width="18.71875" style="178" bestFit="1" customWidth="1"/>
    <col min="3087" max="3088" width="0" style="178" hidden="1" customWidth="1"/>
    <col min="3089" max="3089" width="18.27734375" style="178" bestFit="1" customWidth="1"/>
    <col min="3090" max="3090" width="0" style="178" hidden="1" customWidth="1"/>
    <col min="3091" max="3091" width="19.27734375" style="178" bestFit="1" customWidth="1"/>
    <col min="3092" max="3330" width="9.27734375" style="178"/>
    <col min="3331" max="3331" width="0" style="178" hidden="1" customWidth="1"/>
    <col min="3332" max="3332" width="54.71875" style="178" bestFit="1" customWidth="1"/>
    <col min="3333" max="3333" width="17.71875" style="178" bestFit="1" customWidth="1"/>
    <col min="3334" max="3335" width="0" style="178" hidden="1" customWidth="1"/>
    <col min="3336" max="3336" width="18" style="178" bestFit="1" customWidth="1"/>
    <col min="3337" max="3338" width="0" style="178" hidden="1" customWidth="1"/>
    <col min="3339" max="3339" width="18.5546875" style="178" bestFit="1" customWidth="1"/>
    <col min="3340" max="3341" width="0" style="178" hidden="1" customWidth="1"/>
    <col min="3342" max="3342" width="18.71875" style="178" bestFit="1" customWidth="1"/>
    <col min="3343" max="3344" width="0" style="178" hidden="1" customWidth="1"/>
    <col min="3345" max="3345" width="18.27734375" style="178" bestFit="1" customWidth="1"/>
    <col min="3346" max="3346" width="0" style="178" hidden="1" customWidth="1"/>
    <col min="3347" max="3347" width="19.27734375" style="178" bestFit="1" customWidth="1"/>
    <col min="3348" max="3586" width="9.27734375" style="178"/>
    <col min="3587" max="3587" width="0" style="178" hidden="1" customWidth="1"/>
    <col min="3588" max="3588" width="54.71875" style="178" bestFit="1" customWidth="1"/>
    <col min="3589" max="3589" width="17.71875" style="178" bestFit="1" customWidth="1"/>
    <col min="3590" max="3591" width="0" style="178" hidden="1" customWidth="1"/>
    <col min="3592" max="3592" width="18" style="178" bestFit="1" customWidth="1"/>
    <col min="3593" max="3594" width="0" style="178" hidden="1" customWidth="1"/>
    <col min="3595" max="3595" width="18.5546875" style="178" bestFit="1" customWidth="1"/>
    <col min="3596" max="3597" width="0" style="178" hidden="1" customWidth="1"/>
    <col min="3598" max="3598" width="18.71875" style="178" bestFit="1" customWidth="1"/>
    <col min="3599" max="3600" width="0" style="178" hidden="1" customWidth="1"/>
    <col min="3601" max="3601" width="18.27734375" style="178" bestFit="1" customWidth="1"/>
    <col min="3602" max="3602" width="0" style="178" hidden="1" customWidth="1"/>
    <col min="3603" max="3603" width="19.27734375" style="178" bestFit="1" customWidth="1"/>
    <col min="3604" max="3842" width="9.27734375" style="178"/>
    <col min="3843" max="3843" width="0" style="178" hidden="1" customWidth="1"/>
    <col min="3844" max="3844" width="54.71875" style="178" bestFit="1" customWidth="1"/>
    <col min="3845" max="3845" width="17.71875" style="178" bestFit="1" customWidth="1"/>
    <col min="3846" max="3847" width="0" style="178" hidden="1" customWidth="1"/>
    <col min="3848" max="3848" width="18" style="178" bestFit="1" customWidth="1"/>
    <col min="3849" max="3850" width="0" style="178" hidden="1" customWidth="1"/>
    <col min="3851" max="3851" width="18.5546875" style="178" bestFit="1" customWidth="1"/>
    <col min="3852" max="3853" width="0" style="178" hidden="1" customWidth="1"/>
    <col min="3854" max="3854" width="18.71875" style="178" bestFit="1" customWidth="1"/>
    <col min="3855" max="3856" width="0" style="178" hidden="1" customWidth="1"/>
    <col min="3857" max="3857" width="18.27734375" style="178" bestFit="1" customWidth="1"/>
    <col min="3858" max="3858" width="0" style="178" hidden="1" customWidth="1"/>
    <col min="3859" max="3859" width="19.27734375" style="178" bestFit="1" customWidth="1"/>
    <col min="3860" max="4098" width="9.27734375" style="178"/>
    <col min="4099" max="4099" width="0" style="178" hidden="1" customWidth="1"/>
    <col min="4100" max="4100" width="54.71875" style="178" bestFit="1" customWidth="1"/>
    <col min="4101" max="4101" width="17.71875" style="178" bestFit="1" customWidth="1"/>
    <col min="4102" max="4103" width="0" style="178" hidden="1" customWidth="1"/>
    <col min="4104" max="4104" width="18" style="178" bestFit="1" customWidth="1"/>
    <col min="4105" max="4106" width="0" style="178" hidden="1" customWidth="1"/>
    <col min="4107" max="4107" width="18.5546875" style="178" bestFit="1" customWidth="1"/>
    <col min="4108" max="4109" width="0" style="178" hidden="1" customWidth="1"/>
    <col min="4110" max="4110" width="18.71875" style="178" bestFit="1" customWidth="1"/>
    <col min="4111" max="4112" width="0" style="178" hidden="1" customWidth="1"/>
    <col min="4113" max="4113" width="18.27734375" style="178" bestFit="1" customWidth="1"/>
    <col min="4114" max="4114" width="0" style="178" hidden="1" customWidth="1"/>
    <col min="4115" max="4115" width="19.27734375" style="178" bestFit="1" customWidth="1"/>
    <col min="4116" max="4354" width="9.27734375" style="178"/>
    <col min="4355" max="4355" width="0" style="178" hidden="1" customWidth="1"/>
    <col min="4356" max="4356" width="54.71875" style="178" bestFit="1" customWidth="1"/>
    <col min="4357" max="4357" width="17.71875" style="178" bestFit="1" customWidth="1"/>
    <col min="4358" max="4359" width="0" style="178" hidden="1" customWidth="1"/>
    <col min="4360" max="4360" width="18" style="178" bestFit="1" customWidth="1"/>
    <col min="4361" max="4362" width="0" style="178" hidden="1" customWidth="1"/>
    <col min="4363" max="4363" width="18.5546875" style="178" bestFit="1" customWidth="1"/>
    <col min="4364" max="4365" width="0" style="178" hidden="1" customWidth="1"/>
    <col min="4366" max="4366" width="18.71875" style="178" bestFit="1" customWidth="1"/>
    <col min="4367" max="4368" width="0" style="178" hidden="1" customWidth="1"/>
    <col min="4369" max="4369" width="18.27734375" style="178" bestFit="1" customWidth="1"/>
    <col min="4370" max="4370" width="0" style="178" hidden="1" customWidth="1"/>
    <col min="4371" max="4371" width="19.27734375" style="178" bestFit="1" customWidth="1"/>
    <col min="4372" max="4610" width="9.27734375" style="178"/>
    <col min="4611" max="4611" width="0" style="178" hidden="1" customWidth="1"/>
    <col min="4612" max="4612" width="54.71875" style="178" bestFit="1" customWidth="1"/>
    <col min="4613" max="4613" width="17.71875" style="178" bestFit="1" customWidth="1"/>
    <col min="4614" max="4615" width="0" style="178" hidden="1" customWidth="1"/>
    <col min="4616" max="4616" width="18" style="178" bestFit="1" customWidth="1"/>
    <col min="4617" max="4618" width="0" style="178" hidden="1" customWidth="1"/>
    <col min="4619" max="4619" width="18.5546875" style="178" bestFit="1" customWidth="1"/>
    <col min="4620" max="4621" width="0" style="178" hidden="1" customWidth="1"/>
    <col min="4622" max="4622" width="18.71875" style="178" bestFit="1" customWidth="1"/>
    <col min="4623" max="4624" width="0" style="178" hidden="1" customWidth="1"/>
    <col min="4625" max="4625" width="18.27734375" style="178" bestFit="1" customWidth="1"/>
    <col min="4626" max="4626" width="0" style="178" hidden="1" customWidth="1"/>
    <col min="4627" max="4627" width="19.27734375" style="178" bestFit="1" customWidth="1"/>
    <col min="4628" max="4866" width="9.27734375" style="178"/>
    <col min="4867" max="4867" width="0" style="178" hidden="1" customWidth="1"/>
    <col min="4868" max="4868" width="54.71875" style="178" bestFit="1" customWidth="1"/>
    <col min="4869" max="4869" width="17.71875" style="178" bestFit="1" customWidth="1"/>
    <col min="4870" max="4871" width="0" style="178" hidden="1" customWidth="1"/>
    <col min="4872" max="4872" width="18" style="178" bestFit="1" customWidth="1"/>
    <col min="4873" max="4874" width="0" style="178" hidden="1" customWidth="1"/>
    <col min="4875" max="4875" width="18.5546875" style="178" bestFit="1" customWidth="1"/>
    <col min="4876" max="4877" width="0" style="178" hidden="1" customWidth="1"/>
    <col min="4878" max="4878" width="18.71875" style="178" bestFit="1" customWidth="1"/>
    <col min="4879" max="4880" width="0" style="178" hidden="1" customWidth="1"/>
    <col min="4881" max="4881" width="18.27734375" style="178" bestFit="1" customWidth="1"/>
    <col min="4882" max="4882" width="0" style="178" hidden="1" customWidth="1"/>
    <col min="4883" max="4883" width="19.27734375" style="178" bestFit="1" customWidth="1"/>
    <col min="4884" max="5122" width="9.27734375" style="178"/>
    <col min="5123" max="5123" width="0" style="178" hidden="1" customWidth="1"/>
    <col min="5124" max="5124" width="54.71875" style="178" bestFit="1" customWidth="1"/>
    <col min="5125" max="5125" width="17.71875" style="178" bestFit="1" customWidth="1"/>
    <col min="5126" max="5127" width="0" style="178" hidden="1" customWidth="1"/>
    <col min="5128" max="5128" width="18" style="178" bestFit="1" customWidth="1"/>
    <col min="5129" max="5130" width="0" style="178" hidden="1" customWidth="1"/>
    <col min="5131" max="5131" width="18.5546875" style="178" bestFit="1" customWidth="1"/>
    <col min="5132" max="5133" width="0" style="178" hidden="1" customWidth="1"/>
    <col min="5134" max="5134" width="18.71875" style="178" bestFit="1" customWidth="1"/>
    <col min="5135" max="5136" width="0" style="178" hidden="1" customWidth="1"/>
    <col min="5137" max="5137" width="18.27734375" style="178" bestFit="1" customWidth="1"/>
    <col min="5138" max="5138" width="0" style="178" hidden="1" customWidth="1"/>
    <col min="5139" max="5139" width="19.27734375" style="178" bestFit="1" customWidth="1"/>
    <col min="5140" max="5378" width="9.27734375" style="178"/>
    <col min="5379" max="5379" width="0" style="178" hidden="1" customWidth="1"/>
    <col min="5380" max="5380" width="54.71875" style="178" bestFit="1" customWidth="1"/>
    <col min="5381" max="5381" width="17.71875" style="178" bestFit="1" customWidth="1"/>
    <col min="5382" max="5383" width="0" style="178" hidden="1" customWidth="1"/>
    <col min="5384" max="5384" width="18" style="178" bestFit="1" customWidth="1"/>
    <col min="5385" max="5386" width="0" style="178" hidden="1" customWidth="1"/>
    <col min="5387" max="5387" width="18.5546875" style="178" bestFit="1" customWidth="1"/>
    <col min="5388" max="5389" width="0" style="178" hidden="1" customWidth="1"/>
    <col min="5390" max="5390" width="18.71875" style="178" bestFit="1" customWidth="1"/>
    <col min="5391" max="5392" width="0" style="178" hidden="1" customWidth="1"/>
    <col min="5393" max="5393" width="18.27734375" style="178" bestFit="1" customWidth="1"/>
    <col min="5394" max="5394" width="0" style="178" hidden="1" customWidth="1"/>
    <col min="5395" max="5395" width="19.27734375" style="178" bestFit="1" customWidth="1"/>
    <col min="5396" max="5634" width="9.27734375" style="178"/>
    <col min="5635" max="5635" width="0" style="178" hidden="1" customWidth="1"/>
    <col min="5636" max="5636" width="54.71875" style="178" bestFit="1" customWidth="1"/>
    <col min="5637" max="5637" width="17.71875" style="178" bestFit="1" customWidth="1"/>
    <col min="5638" max="5639" width="0" style="178" hidden="1" customWidth="1"/>
    <col min="5640" max="5640" width="18" style="178" bestFit="1" customWidth="1"/>
    <col min="5641" max="5642" width="0" style="178" hidden="1" customWidth="1"/>
    <col min="5643" max="5643" width="18.5546875" style="178" bestFit="1" customWidth="1"/>
    <col min="5644" max="5645" width="0" style="178" hidden="1" customWidth="1"/>
    <col min="5646" max="5646" width="18.71875" style="178" bestFit="1" customWidth="1"/>
    <col min="5647" max="5648" width="0" style="178" hidden="1" customWidth="1"/>
    <col min="5649" max="5649" width="18.27734375" style="178" bestFit="1" customWidth="1"/>
    <col min="5650" max="5650" width="0" style="178" hidden="1" customWidth="1"/>
    <col min="5651" max="5651" width="19.27734375" style="178" bestFit="1" customWidth="1"/>
    <col min="5652" max="5890" width="9.27734375" style="178"/>
    <col min="5891" max="5891" width="0" style="178" hidden="1" customWidth="1"/>
    <col min="5892" max="5892" width="54.71875" style="178" bestFit="1" customWidth="1"/>
    <col min="5893" max="5893" width="17.71875" style="178" bestFit="1" customWidth="1"/>
    <col min="5894" max="5895" width="0" style="178" hidden="1" customWidth="1"/>
    <col min="5896" max="5896" width="18" style="178" bestFit="1" customWidth="1"/>
    <col min="5897" max="5898" width="0" style="178" hidden="1" customWidth="1"/>
    <col min="5899" max="5899" width="18.5546875" style="178" bestFit="1" customWidth="1"/>
    <col min="5900" max="5901" width="0" style="178" hidden="1" customWidth="1"/>
    <col min="5902" max="5902" width="18.71875" style="178" bestFit="1" customWidth="1"/>
    <col min="5903" max="5904" width="0" style="178" hidden="1" customWidth="1"/>
    <col min="5905" max="5905" width="18.27734375" style="178" bestFit="1" customWidth="1"/>
    <col min="5906" max="5906" width="0" style="178" hidden="1" customWidth="1"/>
    <col min="5907" max="5907" width="19.27734375" style="178" bestFit="1" customWidth="1"/>
    <col min="5908" max="6146" width="9.27734375" style="178"/>
    <col min="6147" max="6147" width="0" style="178" hidden="1" customWidth="1"/>
    <col min="6148" max="6148" width="54.71875" style="178" bestFit="1" customWidth="1"/>
    <col min="6149" max="6149" width="17.71875" style="178" bestFit="1" customWidth="1"/>
    <col min="6150" max="6151" width="0" style="178" hidden="1" customWidth="1"/>
    <col min="6152" max="6152" width="18" style="178" bestFit="1" customWidth="1"/>
    <col min="6153" max="6154" width="0" style="178" hidden="1" customWidth="1"/>
    <col min="6155" max="6155" width="18.5546875" style="178" bestFit="1" customWidth="1"/>
    <col min="6156" max="6157" width="0" style="178" hidden="1" customWidth="1"/>
    <col min="6158" max="6158" width="18.71875" style="178" bestFit="1" customWidth="1"/>
    <col min="6159" max="6160" width="0" style="178" hidden="1" customWidth="1"/>
    <col min="6161" max="6161" width="18.27734375" style="178" bestFit="1" customWidth="1"/>
    <col min="6162" max="6162" width="0" style="178" hidden="1" customWidth="1"/>
    <col min="6163" max="6163" width="19.27734375" style="178" bestFit="1" customWidth="1"/>
    <col min="6164" max="6402" width="9.27734375" style="178"/>
    <col min="6403" max="6403" width="0" style="178" hidden="1" customWidth="1"/>
    <col min="6404" max="6404" width="54.71875" style="178" bestFit="1" customWidth="1"/>
    <col min="6405" max="6405" width="17.71875" style="178" bestFit="1" customWidth="1"/>
    <col min="6406" max="6407" width="0" style="178" hidden="1" customWidth="1"/>
    <col min="6408" max="6408" width="18" style="178" bestFit="1" customWidth="1"/>
    <col min="6409" max="6410" width="0" style="178" hidden="1" customWidth="1"/>
    <col min="6411" max="6411" width="18.5546875" style="178" bestFit="1" customWidth="1"/>
    <col min="6412" max="6413" width="0" style="178" hidden="1" customWidth="1"/>
    <col min="6414" max="6414" width="18.71875" style="178" bestFit="1" customWidth="1"/>
    <col min="6415" max="6416" width="0" style="178" hidden="1" customWidth="1"/>
    <col min="6417" max="6417" width="18.27734375" style="178" bestFit="1" customWidth="1"/>
    <col min="6418" max="6418" width="0" style="178" hidden="1" customWidth="1"/>
    <col min="6419" max="6419" width="19.27734375" style="178" bestFit="1" customWidth="1"/>
    <col min="6420" max="6658" width="9.27734375" style="178"/>
    <col min="6659" max="6659" width="0" style="178" hidden="1" customWidth="1"/>
    <col min="6660" max="6660" width="54.71875" style="178" bestFit="1" customWidth="1"/>
    <col min="6661" max="6661" width="17.71875" style="178" bestFit="1" customWidth="1"/>
    <col min="6662" max="6663" width="0" style="178" hidden="1" customWidth="1"/>
    <col min="6664" max="6664" width="18" style="178" bestFit="1" customWidth="1"/>
    <col min="6665" max="6666" width="0" style="178" hidden="1" customWidth="1"/>
    <col min="6667" max="6667" width="18.5546875" style="178" bestFit="1" customWidth="1"/>
    <col min="6668" max="6669" width="0" style="178" hidden="1" customWidth="1"/>
    <col min="6670" max="6670" width="18.71875" style="178" bestFit="1" customWidth="1"/>
    <col min="6671" max="6672" width="0" style="178" hidden="1" customWidth="1"/>
    <col min="6673" max="6673" width="18.27734375" style="178" bestFit="1" customWidth="1"/>
    <col min="6674" max="6674" width="0" style="178" hidden="1" customWidth="1"/>
    <col min="6675" max="6675" width="19.27734375" style="178" bestFit="1" customWidth="1"/>
    <col min="6676" max="6914" width="9.27734375" style="178"/>
    <col min="6915" max="6915" width="0" style="178" hidden="1" customWidth="1"/>
    <col min="6916" max="6916" width="54.71875" style="178" bestFit="1" customWidth="1"/>
    <col min="6917" max="6917" width="17.71875" style="178" bestFit="1" customWidth="1"/>
    <col min="6918" max="6919" width="0" style="178" hidden="1" customWidth="1"/>
    <col min="6920" max="6920" width="18" style="178" bestFit="1" customWidth="1"/>
    <col min="6921" max="6922" width="0" style="178" hidden="1" customWidth="1"/>
    <col min="6923" max="6923" width="18.5546875" style="178" bestFit="1" customWidth="1"/>
    <col min="6924" max="6925" width="0" style="178" hidden="1" customWidth="1"/>
    <col min="6926" max="6926" width="18.71875" style="178" bestFit="1" customWidth="1"/>
    <col min="6927" max="6928" width="0" style="178" hidden="1" customWidth="1"/>
    <col min="6929" max="6929" width="18.27734375" style="178" bestFit="1" customWidth="1"/>
    <col min="6930" max="6930" width="0" style="178" hidden="1" customWidth="1"/>
    <col min="6931" max="6931" width="19.27734375" style="178" bestFit="1" customWidth="1"/>
    <col min="6932" max="7170" width="9.27734375" style="178"/>
    <col min="7171" max="7171" width="0" style="178" hidden="1" customWidth="1"/>
    <col min="7172" max="7172" width="54.71875" style="178" bestFit="1" customWidth="1"/>
    <col min="7173" max="7173" width="17.71875" style="178" bestFit="1" customWidth="1"/>
    <col min="7174" max="7175" width="0" style="178" hidden="1" customWidth="1"/>
    <col min="7176" max="7176" width="18" style="178" bestFit="1" customWidth="1"/>
    <col min="7177" max="7178" width="0" style="178" hidden="1" customWidth="1"/>
    <col min="7179" max="7179" width="18.5546875" style="178" bestFit="1" customWidth="1"/>
    <col min="7180" max="7181" width="0" style="178" hidden="1" customWidth="1"/>
    <col min="7182" max="7182" width="18.71875" style="178" bestFit="1" customWidth="1"/>
    <col min="7183" max="7184" width="0" style="178" hidden="1" customWidth="1"/>
    <col min="7185" max="7185" width="18.27734375" style="178" bestFit="1" customWidth="1"/>
    <col min="7186" max="7186" width="0" style="178" hidden="1" customWidth="1"/>
    <col min="7187" max="7187" width="19.27734375" style="178" bestFit="1" customWidth="1"/>
    <col min="7188" max="7426" width="9.27734375" style="178"/>
    <col min="7427" max="7427" width="0" style="178" hidden="1" customWidth="1"/>
    <col min="7428" max="7428" width="54.71875" style="178" bestFit="1" customWidth="1"/>
    <col min="7429" max="7429" width="17.71875" style="178" bestFit="1" customWidth="1"/>
    <col min="7430" max="7431" width="0" style="178" hidden="1" customWidth="1"/>
    <col min="7432" max="7432" width="18" style="178" bestFit="1" customWidth="1"/>
    <col min="7433" max="7434" width="0" style="178" hidden="1" customWidth="1"/>
    <col min="7435" max="7435" width="18.5546875" style="178" bestFit="1" customWidth="1"/>
    <col min="7436" max="7437" width="0" style="178" hidden="1" customWidth="1"/>
    <col min="7438" max="7438" width="18.71875" style="178" bestFit="1" customWidth="1"/>
    <col min="7439" max="7440" width="0" style="178" hidden="1" customWidth="1"/>
    <col min="7441" max="7441" width="18.27734375" style="178" bestFit="1" customWidth="1"/>
    <col min="7442" max="7442" width="0" style="178" hidden="1" customWidth="1"/>
    <col min="7443" max="7443" width="19.27734375" style="178" bestFit="1" customWidth="1"/>
    <col min="7444" max="7682" width="9.27734375" style="178"/>
    <col min="7683" max="7683" width="0" style="178" hidden="1" customWidth="1"/>
    <col min="7684" max="7684" width="54.71875" style="178" bestFit="1" customWidth="1"/>
    <col min="7685" max="7685" width="17.71875" style="178" bestFit="1" customWidth="1"/>
    <col min="7686" max="7687" width="0" style="178" hidden="1" customWidth="1"/>
    <col min="7688" max="7688" width="18" style="178" bestFit="1" customWidth="1"/>
    <col min="7689" max="7690" width="0" style="178" hidden="1" customWidth="1"/>
    <col min="7691" max="7691" width="18.5546875" style="178" bestFit="1" customWidth="1"/>
    <col min="7692" max="7693" width="0" style="178" hidden="1" customWidth="1"/>
    <col min="7694" max="7694" width="18.71875" style="178" bestFit="1" customWidth="1"/>
    <col min="7695" max="7696" width="0" style="178" hidden="1" customWidth="1"/>
    <col min="7697" max="7697" width="18.27734375" style="178" bestFit="1" customWidth="1"/>
    <col min="7698" max="7698" width="0" style="178" hidden="1" customWidth="1"/>
    <col min="7699" max="7699" width="19.27734375" style="178" bestFit="1" customWidth="1"/>
    <col min="7700" max="7938" width="9.27734375" style="178"/>
    <col min="7939" max="7939" width="0" style="178" hidden="1" customWidth="1"/>
    <col min="7940" max="7940" width="54.71875" style="178" bestFit="1" customWidth="1"/>
    <col min="7941" max="7941" width="17.71875" style="178" bestFit="1" customWidth="1"/>
    <col min="7942" max="7943" width="0" style="178" hidden="1" customWidth="1"/>
    <col min="7944" max="7944" width="18" style="178" bestFit="1" customWidth="1"/>
    <col min="7945" max="7946" width="0" style="178" hidden="1" customWidth="1"/>
    <col min="7947" max="7947" width="18.5546875" style="178" bestFit="1" customWidth="1"/>
    <col min="7948" max="7949" width="0" style="178" hidden="1" customWidth="1"/>
    <col min="7950" max="7950" width="18.71875" style="178" bestFit="1" customWidth="1"/>
    <col min="7951" max="7952" width="0" style="178" hidden="1" customWidth="1"/>
    <col min="7953" max="7953" width="18.27734375" style="178" bestFit="1" customWidth="1"/>
    <col min="7954" max="7954" width="0" style="178" hidden="1" customWidth="1"/>
    <col min="7955" max="7955" width="19.27734375" style="178" bestFit="1" customWidth="1"/>
    <col min="7956" max="8194" width="9.27734375" style="178"/>
    <col min="8195" max="8195" width="0" style="178" hidden="1" customWidth="1"/>
    <col min="8196" max="8196" width="54.71875" style="178" bestFit="1" customWidth="1"/>
    <col min="8197" max="8197" width="17.71875" style="178" bestFit="1" customWidth="1"/>
    <col min="8198" max="8199" width="0" style="178" hidden="1" customWidth="1"/>
    <col min="8200" max="8200" width="18" style="178" bestFit="1" customWidth="1"/>
    <col min="8201" max="8202" width="0" style="178" hidden="1" customWidth="1"/>
    <col min="8203" max="8203" width="18.5546875" style="178" bestFit="1" customWidth="1"/>
    <col min="8204" max="8205" width="0" style="178" hidden="1" customWidth="1"/>
    <col min="8206" max="8206" width="18.71875" style="178" bestFit="1" customWidth="1"/>
    <col min="8207" max="8208" width="0" style="178" hidden="1" customWidth="1"/>
    <col min="8209" max="8209" width="18.27734375" style="178" bestFit="1" customWidth="1"/>
    <col min="8210" max="8210" width="0" style="178" hidden="1" customWidth="1"/>
    <col min="8211" max="8211" width="19.27734375" style="178" bestFit="1" customWidth="1"/>
    <col min="8212" max="8450" width="9.27734375" style="178"/>
    <col min="8451" max="8451" width="0" style="178" hidden="1" customWidth="1"/>
    <col min="8452" max="8452" width="54.71875" style="178" bestFit="1" customWidth="1"/>
    <col min="8453" max="8453" width="17.71875" style="178" bestFit="1" customWidth="1"/>
    <col min="8454" max="8455" width="0" style="178" hidden="1" customWidth="1"/>
    <col min="8456" max="8456" width="18" style="178" bestFit="1" customWidth="1"/>
    <col min="8457" max="8458" width="0" style="178" hidden="1" customWidth="1"/>
    <col min="8459" max="8459" width="18.5546875" style="178" bestFit="1" customWidth="1"/>
    <col min="8460" max="8461" width="0" style="178" hidden="1" customWidth="1"/>
    <col min="8462" max="8462" width="18.71875" style="178" bestFit="1" customWidth="1"/>
    <col min="8463" max="8464" width="0" style="178" hidden="1" customWidth="1"/>
    <col min="8465" max="8465" width="18.27734375" style="178" bestFit="1" customWidth="1"/>
    <col min="8466" max="8466" width="0" style="178" hidden="1" customWidth="1"/>
    <col min="8467" max="8467" width="19.27734375" style="178" bestFit="1" customWidth="1"/>
    <col min="8468" max="8706" width="9.27734375" style="178"/>
    <col min="8707" max="8707" width="0" style="178" hidden="1" customWidth="1"/>
    <col min="8708" max="8708" width="54.71875" style="178" bestFit="1" customWidth="1"/>
    <col min="8709" max="8709" width="17.71875" style="178" bestFit="1" customWidth="1"/>
    <col min="8710" max="8711" width="0" style="178" hidden="1" customWidth="1"/>
    <col min="8712" max="8712" width="18" style="178" bestFit="1" customWidth="1"/>
    <col min="8713" max="8714" width="0" style="178" hidden="1" customWidth="1"/>
    <col min="8715" max="8715" width="18.5546875" style="178" bestFit="1" customWidth="1"/>
    <col min="8716" max="8717" width="0" style="178" hidden="1" customWidth="1"/>
    <col min="8718" max="8718" width="18.71875" style="178" bestFit="1" customWidth="1"/>
    <col min="8719" max="8720" width="0" style="178" hidden="1" customWidth="1"/>
    <col min="8721" max="8721" width="18.27734375" style="178" bestFit="1" customWidth="1"/>
    <col min="8722" max="8722" width="0" style="178" hidden="1" customWidth="1"/>
    <col min="8723" max="8723" width="19.27734375" style="178" bestFit="1" customWidth="1"/>
    <col min="8724" max="8962" width="9.27734375" style="178"/>
    <col min="8963" max="8963" width="0" style="178" hidden="1" customWidth="1"/>
    <col min="8964" max="8964" width="54.71875" style="178" bestFit="1" customWidth="1"/>
    <col min="8965" max="8965" width="17.71875" style="178" bestFit="1" customWidth="1"/>
    <col min="8966" max="8967" width="0" style="178" hidden="1" customWidth="1"/>
    <col min="8968" max="8968" width="18" style="178" bestFit="1" customWidth="1"/>
    <col min="8969" max="8970" width="0" style="178" hidden="1" customWidth="1"/>
    <col min="8971" max="8971" width="18.5546875" style="178" bestFit="1" customWidth="1"/>
    <col min="8972" max="8973" width="0" style="178" hidden="1" customWidth="1"/>
    <col min="8974" max="8974" width="18.71875" style="178" bestFit="1" customWidth="1"/>
    <col min="8975" max="8976" width="0" style="178" hidden="1" customWidth="1"/>
    <col min="8977" max="8977" width="18.27734375" style="178" bestFit="1" customWidth="1"/>
    <col min="8978" max="8978" width="0" style="178" hidden="1" customWidth="1"/>
    <col min="8979" max="8979" width="19.27734375" style="178" bestFit="1" customWidth="1"/>
    <col min="8980" max="9218" width="9.27734375" style="178"/>
    <col min="9219" max="9219" width="0" style="178" hidden="1" customWidth="1"/>
    <col min="9220" max="9220" width="54.71875" style="178" bestFit="1" customWidth="1"/>
    <col min="9221" max="9221" width="17.71875" style="178" bestFit="1" customWidth="1"/>
    <col min="9222" max="9223" width="0" style="178" hidden="1" customWidth="1"/>
    <col min="9224" max="9224" width="18" style="178" bestFit="1" customWidth="1"/>
    <col min="9225" max="9226" width="0" style="178" hidden="1" customWidth="1"/>
    <col min="9227" max="9227" width="18.5546875" style="178" bestFit="1" customWidth="1"/>
    <col min="9228" max="9229" width="0" style="178" hidden="1" customWidth="1"/>
    <col min="9230" max="9230" width="18.71875" style="178" bestFit="1" customWidth="1"/>
    <col min="9231" max="9232" width="0" style="178" hidden="1" customWidth="1"/>
    <col min="9233" max="9233" width="18.27734375" style="178" bestFit="1" customWidth="1"/>
    <col min="9234" max="9234" width="0" style="178" hidden="1" customWidth="1"/>
    <col min="9235" max="9235" width="19.27734375" style="178" bestFit="1" customWidth="1"/>
    <col min="9236" max="9474" width="9.27734375" style="178"/>
    <col min="9475" max="9475" width="0" style="178" hidden="1" customWidth="1"/>
    <col min="9476" max="9476" width="54.71875" style="178" bestFit="1" customWidth="1"/>
    <col min="9477" max="9477" width="17.71875" style="178" bestFit="1" customWidth="1"/>
    <col min="9478" max="9479" width="0" style="178" hidden="1" customWidth="1"/>
    <col min="9480" max="9480" width="18" style="178" bestFit="1" customWidth="1"/>
    <col min="9481" max="9482" width="0" style="178" hidden="1" customWidth="1"/>
    <col min="9483" max="9483" width="18.5546875" style="178" bestFit="1" customWidth="1"/>
    <col min="9484" max="9485" width="0" style="178" hidden="1" customWidth="1"/>
    <col min="9486" max="9486" width="18.71875" style="178" bestFit="1" customWidth="1"/>
    <col min="9487" max="9488" width="0" style="178" hidden="1" customWidth="1"/>
    <col min="9489" max="9489" width="18.27734375" style="178" bestFit="1" customWidth="1"/>
    <col min="9490" max="9490" width="0" style="178" hidden="1" customWidth="1"/>
    <col min="9491" max="9491" width="19.27734375" style="178" bestFit="1" customWidth="1"/>
    <col min="9492" max="9730" width="9.27734375" style="178"/>
    <col min="9731" max="9731" width="0" style="178" hidden="1" customWidth="1"/>
    <col min="9732" max="9732" width="54.71875" style="178" bestFit="1" customWidth="1"/>
    <col min="9733" max="9733" width="17.71875" style="178" bestFit="1" customWidth="1"/>
    <col min="9734" max="9735" width="0" style="178" hidden="1" customWidth="1"/>
    <col min="9736" max="9736" width="18" style="178" bestFit="1" customWidth="1"/>
    <col min="9737" max="9738" width="0" style="178" hidden="1" customWidth="1"/>
    <col min="9739" max="9739" width="18.5546875" style="178" bestFit="1" customWidth="1"/>
    <col min="9740" max="9741" width="0" style="178" hidden="1" customWidth="1"/>
    <col min="9742" max="9742" width="18.71875" style="178" bestFit="1" customWidth="1"/>
    <col min="9743" max="9744" width="0" style="178" hidden="1" customWidth="1"/>
    <col min="9745" max="9745" width="18.27734375" style="178" bestFit="1" customWidth="1"/>
    <col min="9746" max="9746" width="0" style="178" hidden="1" customWidth="1"/>
    <col min="9747" max="9747" width="19.27734375" style="178" bestFit="1" customWidth="1"/>
    <col min="9748" max="9986" width="9.27734375" style="178"/>
    <col min="9987" max="9987" width="0" style="178" hidden="1" customWidth="1"/>
    <col min="9988" max="9988" width="54.71875" style="178" bestFit="1" customWidth="1"/>
    <col min="9989" max="9989" width="17.71875" style="178" bestFit="1" customWidth="1"/>
    <col min="9990" max="9991" width="0" style="178" hidden="1" customWidth="1"/>
    <col min="9992" max="9992" width="18" style="178" bestFit="1" customWidth="1"/>
    <col min="9993" max="9994" width="0" style="178" hidden="1" customWidth="1"/>
    <col min="9995" max="9995" width="18.5546875" style="178" bestFit="1" customWidth="1"/>
    <col min="9996" max="9997" width="0" style="178" hidden="1" customWidth="1"/>
    <col min="9998" max="9998" width="18.71875" style="178" bestFit="1" customWidth="1"/>
    <col min="9999" max="10000" width="0" style="178" hidden="1" customWidth="1"/>
    <col min="10001" max="10001" width="18.27734375" style="178" bestFit="1" customWidth="1"/>
    <col min="10002" max="10002" width="0" style="178" hidden="1" customWidth="1"/>
    <col min="10003" max="10003" width="19.27734375" style="178" bestFit="1" customWidth="1"/>
    <col min="10004" max="10242" width="9.27734375" style="178"/>
    <col min="10243" max="10243" width="0" style="178" hidden="1" customWidth="1"/>
    <col min="10244" max="10244" width="54.71875" style="178" bestFit="1" customWidth="1"/>
    <col min="10245" max="10245" width="17.71875" style="178" bestFit="1" customWidth="1"/>
    <col min="10246" max="10247" width="0" style="178" hidden="1" customWidth="1"/>
    <col min="10248" max="10248" width="18" style="178" bestFit="1" customWidth="1"/>
    <col min="10249" max="10250" width="0" style="178" hidden="1" customWidth="1"/>
    <col min="10251" max="10251" width="18.5546875" style="178" bestFit="1" customWidth="1"/>
    <col min="10252" max="10253" width="0" style="178" hidden="1" customWidth="1"/>
    <col min="10254" max="10254" width="18.71875" style="178" bestFit="1" customWidth="1"/>
    <col min="10255" max="10256" width="0" style="178" hidden="1" customWidth="1"/>
    <col min="10257" max="10257" width="18.27734375" style="178" bestFit="1" customWidth="1"/>
    <col min="10258" max="10258" width="0" style="178" hidden="1" customWidth="1"/>
    <col min="10259" max="10259" width="19.27734375" style="178" bestFit="1" customWidth="1"/>
    <col min="10260" max="10498" width="9.27734375" style="178"/>
    <col min="10499" max="10499" width="0" style="178" hidden="1" customWidth="1"/>
    <col min="10500" max="10500" width="54.71875" style="178" bestFit="1" customWidth="1"/>
    <col min="10501" max="10501" width="17.71875" style="178" bestFit="1" customWidth="1"/>
    <col min="10502" max="10503" width="0" style="178" hidden="1" customWidth="1"/>
    <col min="10504" max="10504" width="18" style="178" bestFit="1" customWidth="1"/>
    <col min="10505" max="10506" width="0" style="178" hidden="1" customWidth="1"/>
    <col min="10507" max="10507" width="18.5546875" style="178" bestFit="1" customWidth="1"/>
    <col min="10508" max="10509" width="0" style="178" hidden="1" customWidth="1"/>
    <col min="10510" max="10510" width="18.71875" style="178" bestFit="1" customWidth="1"/>
    <col min="10511" max="10512" width="0" style="178" hidden="1" customWidth="1"/>
    <col min="10513" max="10513" width="18.27734375" style="178" bestFit="1" customWidth="1"/>
    <col min="10514" max="10514" width="0" style="178" hidden="1" customWidth="1"/>
    <col min="10515" max="10515" width="19.27734375" style="178" bestFit="1" customWidth="1"/>
    <col min="10516" max="10754" width="9.27734375" style="178"/>
    <col min="10755" max="10755" width="0" style="178" hidden="1" customWidth="1"/>
    <col min="10756" max="10756" width="54.71875" style="178" bestFit="1" customWidth="1"/>
    <col min="10757" max="10757" width="17.71875" style="178" bestFit="1" customWidth="1"/>
    <col min="10758" max="10759" width="0" style="178" hidden="1" customWidth="1"/>
    <col min="10760" max="10760" width="18" style="178" bestFit="1" customWidth="1"/>
    <col min="10761" max="10762" width="0" style="178" hidden="1" customWidth="1"/>
    <col min="10763" max="10763" width="18.5546875" style="178" bestFit="1" customWidth="1"/>
    <col min="10764" max="10765" width="0" style="178" hidden="1" customWidth="1"/>
    <col min="10766" max="10766" width="18.71875" style="178" bestFit="1" customWidth="1"/>
    <col min="10767" max="10768" width="0" style="178" hidden="1" customWidth="1"/>
    <col min="10769" max="10769" width="18.27734375" style="178" bestFit="1" customWidth="1"/>
    <col min="10770" max="10770" width="0" style="178" hidden="1" customWidth="1"/>
    <col min="10771" max="10771" width="19.27734375" style="178" bestFit="1" customWidth="1"/>
    <col min="10772" max="11010" width="9.27734375" style="178"/>
    <col min="11011" max="11011" width="0" style="178" hidden="1" customWidth="1"/>
    <col min="11012" max="11012" width="54.71875" style="178" bestFit="1" customWidth="1"/>
    <col min="11013" max="11013" width="17.71875" style="178" bestFit="1" customWidth="1"/>
    <col min="11014" max="11015" width="0" style="178" hidden="1" customWidth="1"/>
    <col min="11016" max="11016" width="18" style="178" bestFit="1" customWidth="1"/>
    <col min="11017" max="11018" width="0" style="178" hidden="1" customWidth="1"/>
    <col min="11019" max="11019" width="18.5546875" style="178" bestFit="1" customWidth="1"/>
    <col min="11020" max="11021" width="0" style="178" hidden="1" customWidth="1"/>
    <col min="11022" max="11022" width="18.71875" style="178" bestFit="1" customWidth="1"/>
    <col min="11023" max="11024" width="0" style="178" hidden="1" customWidth="1"/>
    <col min="11025" max="11025" width="18.27734375" style="178" bestFit="1" customWidth="1"/>
    <col min="11026" max="11026" width="0" style="178" hidden="1" customWidth="1"/>
    <col min="11027" max="11027" width="19.27734375" style="178" bestFit="1" customWidth="1"/>
    <col min="11028" max="11266" width="9.27734375" style="178"/>
    <col min="11267" max="11267" width="0" style="178" hidden="1" customWidth="1"/>
    <col min="11268" max="11268" width="54.71875" style="178" bestFit="1" customWidth="1"/>
    <col min="11269" max="11269" width="17.71875" style="178" bestFit="1" customWidth="1"/>
    <col min="11270" max="11271" width="0" style="178" hidden="1" customWidth="1"/>
    <col min="11272" max="11272" width="18" style="178" bestFit="1" customWidth="1"/>
    <col min="11273" max="11274" width="0" style="178" hidden="1" customWidth="1"/>
    <col min="11275" max="11275" width="18.5546875" style="178" bestFit="1" customWidth="1"/>
    <col min="11276" max="11277" width="0" style="178" hidden="1" customWidth="1"/>
    <col min="11278" max="11278" width="18.71875" style="178" bestFit="1" customWidth="1"/>
    <col min="11279" max="11280" width="0" style="178" hidden="1" customWidth="1"/>
    <col min="11281" max="11281" width="18.27734375" style="178" bestFit="1" customWidth="1"/>
    <col min="11282" max="11282" width="0" style="178" hidden="1" customWidth="1"/>
    <col min="11283" max="11283" width="19.27734375" style="178" bestFit="1" customWidth="1"/>
    <col min="11284" max="11522" width="9.27734375" style="178"/>
    <col min="11523" max="11523" width="0" style="178" hidden="1" customWidth="1"/>
    <col min="11524" max="11524" width="54.71875" style="178" bestFit="1" customWidth="1"/>
    <col min="11525" max="11525" width="17.71875" style="178" bestFit="1" customWidth="1"/>
    <col min="11526" max="11527" width="0" style="178" hidden="1" customWidth="1"/>
    <col min="11528" max="11528" width="18" style="178" bestFit="1" customWidth="1"/>
    <col min="11529" max="11530" width="0" style="178" hidden="1" customWidth="1"/>
    <col min="11531" max="11531" width="18.5546875" style="178" bestFit="1" customWidth="1"/>
    <col min="11532" max="11533" width="0" style="178" hidden="1" customWidth="1"/>
    <col min="11534" max="11534" width="18.71875" style="178" bestFit="1" customWidth="1"/>
    <col min="11535" max="11536" width="0" style="178" hidden="1" customWidth="1"/>
    <col min="11537" max="11537" width="18.27734375" style="178" bestFit="1" customWidth="1"/>
    <col min="11538" max="11538" width="0" style="178" hidden="1" customWidth="1"/>
    <col min="11539" max="11539" width="19.27734375" style="178" bestFit="1" customWidth="1"/>
    <col min="11540" max="11778" width="9.27734375" style="178"/>
    <col min="11779" max="11779" width="0" style="178" hidden="1" customWidth="1"/>
    <col min="11780" max="11780" width="54.71875" style="178" bestFit="1" customWidth="1"/>
    <col min="11781" max="11781" width="17.71875" style="178" bestFit="1" customWidth="1"/>
    <col min="11782" max="11783" width="0" style="178" hidden="1" customWidth="1"/>
    <col min="11784" max="11784" width="18" style="178" bestFit="1" customWidth="1"/>
    <col min="11785" max="11786" width="0" style="178" hidden="1" customWidth="1"/>
    <col min="11787" max="11787" width="18.5546875" style="178" bestFit="1" customWidth="1"/>
    <col min="11788" max="11789" width="0" style="178" hidden="1" customWidth="1"/>
    <col min="11790" max="11790" width="18.71875" style="178" bestFit="1" customWidth="1"/>
    <col min="11791" max="11792" width="0" style="178" hidden="1" customWidth="1"/>
    <col min="11793" max="11793" width="18.27734375" style="178" bestFit="1" customWidth="1"/>
    <col min="11794" max="11794" width="0" style="178" hidden="1" customWidth="1"/>
    <col min="11795" max="11795" width="19.27734375" style="178" bestFit="1" customWidth="1"/>
    <col min="11796" max="12034" width="9.27734375" style="178"/>
    <col min="12035" max="12035" width="0" style="178" hidden="1" customWidth="1"/>
    <col min="12036" max="12036" width="54.71875" style="178" bestFit="1" customWidth="1"/>
    <col min="12037" max="12037" width="17.71875" style="178" bestFit="1" customWidth="1"/>
    <col min="12038" max="12039" width="0" style="178" hidden="1" customWidth="1"/>
    <col min="12040" max="12040" width="18" style="178" bestFit="1" customWidth="1"/>
    <col min="12041" max="12042" width="0" style="178" hidden="1" customWidth="1"/>
    <col min="12043" max="12043" width="18.5546875" style="178" bestFit="1" customWidth="1"/>
    <col min="12044" max="12045" width="0" style="178" hidden="1" customWidth="1"/>
    <col min="12046" max="12046" width="18.71875" style="178" bestFit="1" customWidth="1"/>
    <col min="12047" max="12048" width="0" style="178" hidden="1" customWidth="1"/>
    <col min="12049" max="12049" width="18.27734375" style="178" bestFit="1" customWidth="1"/>
    <col min="12050" max="12050" width="0" style="178" hidden="1" customWidth="1"/>
    <col min="12051" max="12051" width="19.27734375" style="178" bestFit="1" customWidth="1"/>
    <col min="12052" max="12290" width="9.27734375" style="178"/>
    <col min="12291" max="12291" width="0" style="178" hidden="1" customWidth="1"/>
    <col min="12292" max="12292" width="54.71875" style="178" bestFit="1" customWidth="1"/>
    <col min="12293" max="12293" width="17.71875" style="178" bestFit="1" customWidth="1"/>
    <col min="12294" max="12295" width="0" style="178" hidden="1" customWidth="1"/>
    <col min="12296" max="12296" width="18" style="178" bestFit="1" customWidth="1"/>
    <col min="12297" max="12298" width="0" style="178" hidden="1" customWidth="1"/>
    <col min="12299" max="12299" width="18.5546875" style="178" bestFit="1" customWidth="1"/>
    <col min="12300" max="12301" width="0" style="178" hidden="1" customWidth="1"/>
    <col min="12302" max="12302" width="18.71875" style="178" bestFit="1" customWidth="1"/>
    <col min="12303" max="12304" width="0" style="178" hidden="1" customWidth="1"/>
    <col min="12305" max="12305" width="18.27734375" style="178" bestFit="1" customWidth="1"/>
    <col min="12306" max="12306" width="0" style="178" hidden="1" customWidth="1"/>
    <col min="12307" max="12307" width="19.27734375" style="178" bestFit="1" customWidth="1"/>
    <col min="12308" max="12546" width="9.27734375" style="178"/>
    <col min="12547" max="12547" width="0" style="178" hidden="1" customWidth="1"/>
    <col min="12548" max="12548" width="54.71875" style="178" bestFit="1" customWidth="1"/>
    <col min="12549" max="12549" width="17.71875" style="178" bestFit="1" customWidth="1"/>
    <col min="12550" max="12551" width="0" style="178" hidden="1" customWidth="1"/>
    <col min="12552" max="12552" width="18" style="178" bestFit="1" customWidth="1"/>
    <col min="12553" max="12554" width="0" style="178" hidden="1" customWidth="1"/>
    <col min="12555" max="12555" width="18.5546875" style="178" bestFit="1" customWidth="1"/>
    <col min="12556" max="12557" width="0" style="178" hidden="1" customWidth="1"/>
    <col min="12558" max="12558" width="18.71875" style="178" bestFit="1" customWidth="1"/>
    <col min="12559" max="12560" width="0" style="178" hidden="1" customWidth="1"/>
    <col min="12561" max="12561" width="18.27734375" style="178" bestFit="1" customWidth="1"/>
    <col min="12562" max="12562" width="0" style="178" hidden="1" customWidth="1"/>
    <col min="12563" max="12563" width="19.27734375" style="178" bestFit="1" customWidth="1"/>
    <col min="12564" max="12802" width="9.27734375" style="178"/>
    <col min="12803" max="12803" width="0" style="178" hidden="1" customWidth="1"/>
    <col min="12804" max="12804" width="54.71875" style="178" bestFit="1" customWidth="1"/>
    <col min="12805" max="12805" width="17.71875" style="178" bestFit="1" customWidth="1"/>
    <col min="12806" max="12807" width="0" style="178" hidden="1" customWidth="1"/>
    <col min="12808" max="12808" width="18" style="178" bestFit="1" customWidth="1"/>
    <col min="12809" max="12810" width="0" style="178" hidden="1" customWidth="1"/>
    <col min="12811" max="12811" width="18.5546875" style="178" bestFit="1" customWidth="1"/>
    <col min="12812" max="12813" width="0" style="178" hidden="1" customWidth="1"/>
    <col min="12814" max="12814" width="18.71875" style="178" bestFit="1" customWidth="1"/>
    <col min="12815" max="12816" width="0" style="178" hidden="1" customWidth="1"/>
    <col min="12817" max="12817" width="18.27734375" style="178" bestFit="1" customWidth="1"/>
    <col min="12818" max="12818" width="0" style="178" hidden="1" customWidth="1"/>
    <col min="12819" max="12819" width="19.27734375" style="178" bestFit="1" customWidth="1"/>
    <col min="12820" max="13058" width="9.27734375" style="178"/>
    <col min="13059" max="13059" width="0" style="178" hidden="1" customWidth="1"/>
    <col min="13060" max="13060" width="54.71875" style="178" bestFit="1" customWidth="1"/>
    <col min="13061" max="13061" width="17.71875" style="178" bestFit="1" customWidth="1"/>
    <col min="13062" max="13063" width="0" style="178" hidden="1" customWidth="1"/>
    <col min="13064" max="13064" width="18" style="178" bestFit="1" customWidth="1"/>
    <col min="13065" max="13066" width="0" style="178" hidden="1" customWidth="1"/>
    <col min="13067" max="13067" width="18.5546875" style="178" bestFit="1" customWidth="1"/>
    <col min="13068" max="13069" width="0" style="178" hidden="1" customWidth="1"/>
    <col min="13070" max="13070" width="18.71875" style="178" bestFit="1" customWidth="1"/>
    <col min="13071" max="13072" width="0" style="178" hidden="1" customWidth="1"/>
    <col min="13073" max="13073" width="18.27734375" style="178" bestFit="1" customWidth="1"/>
    <col min="13074" max="13074" width="0" style="178" hidden="1" customWidth="1"/>
    <col min="13075" max="13075" width="19.27734375" style="178" bestFit="1" customWidth="1"/>
    <col min="13076" max="13314" width="9.27734375" style="178"/>
    <col min="13315" max="13315" width="0" style="178" hidden="1" customWidth="1"/>
    <col min="13316" max="13316" width="54.71875" style="178" bestFit="1" customWidth="1"/>
    <col min="13317" max="13317" width="17.71875" style="178" bestFit="1" customWidth="1"/>
    <col min="13318" max="13319" width="0" style="178" hidden="1" customWidth="1"/>
    <col min="13320" max="13320" width="18" style="178" bestFit="1" customWidth="1"/>
    <col min="13321" max="13322" width="0" style="178" hidden="1" customWidth="1"/>
    <col min="13323" max="13323" width="18.5546875" style="178" bestFit="1" customWidth="1"/>
    <col min="13324" max="13325" width="0" style="178" hidden="1" customWidth="1"/>
    <col min="13326" max="13326" width="18.71875" style="178" bestFit="1" customWidth="1"/>
    <col min="13327" max="13328" width="0" style="178" hidden="1" customWidth="1"/>
    <col min="13329" max="13329" width="18.27734375" style="178" bestFit="1" customWidth="1"/>
    <col min="13330" max="13330" width="0" style="178" hidden="1" customWidth="1"/>
    <col min="13331" max="13331" width="19.27734375" style="178" bestFit="1" customWidth="1"/>
    <col min="13332" max="13570" width="9.27734375" style="178"/>
    <col min="13571" max="13571" width="0" style="178" hidden="1" customWidth="1"/>
    <col min="13572" max="13572" width="54.71875" style="178" bestFit="1" customWidth="1"/>
    <col min="13573" max="13573" width="17.71875" style="178" bestFit="1" customWidth="1"/>
    <col min="13574" max="13575" width="0" style="178" hidden="1" customWidth="1"/>
    <col min="13576" max="13576" width="18" style="178" bestFit="1" customWidth="1"/>
    <col min="13577" max="13578" width="0" style="178" hidden="1" customWidth="1"/>
    <col min="13579" max="13579" width="18.5546875" style="178" bestFit="1" customWidth="1"/>
    <col min="13580" max="13581" width="0" style="178" hidden="1" customWidth="1"/>
    <col min="13582" max="13582" width="18.71875" style="178" bestFit="1" customWidth="1"/>
    <col min="13583" max="13584" width="0" style="178" hidden="1" customWidth="1"/>
    <col min="13585" max="13585" width="18.27734375" style="178" bestFit="1" customWidth="1"/>
    <col min="13586" max="13586" width="0" style="178" hidden="1" customWidth="1"/>
    <col min="13587" max="13587" width="19.27734375" style="178" bestFit="1" customWidth="1"/>
    <col min="13588" max="13826" width="9.27734375" style="178"/>
    <col min="13827" max="13827" width="0" style="178" hidden="1" customWidth="1"/>
    <col min="13828" max="13828" width="54.71875" style="178" bestFit="1" customWidth="1"/>
    <col min="13829" max="13829" width="17.71875" style="178" bestFit="1" customWidth="1"/>
    <col min="13830" max="13831" width="0" style="178" hidden="1" customWidth="1"/>
    <col min="13832" max="13832" width="18" style="178" bestFit="1" customWidth="1"/>
    <col min="13833" max="13834" width="0" style="178" hidden="1" customWidth="1"/>
    <col min="13835" max="13835" width="18.5546875" style="178" bestFit="1" customWidth="1"/>
    <col min="13836" max="13837" width="0" style="178" hidden="1" customWidth="1"/>
    <col min="13838" max="13838" width="18.71875" style="178" bestFit="1" customWidth="1"/>
    <col min="13839" max="13840" width="0" style="178" hidden="1" customWidth="1"/>
    <col min="13841" max="13841" width="18.27734375" style="178" bestFit="1" customWidth="1"/>
    <col min="13842" max="13842" width="0" style="178" hidden="1" customWidth="1"/>
    <col min="13843" max="13843" width="19.27734375" style="178" bestFit="1" customWidth="1"/>
    <col min="13844" max="14082" width="9.27734375" style="178"/>
    <col min="14083" max="14083" width="0" style="178" hidden="1" customWidth="1"/>
    <col min="14084" max="14084" width="54.71875" style="178" bestFit="1" customWidth="1"/>
    <col min="14085" max="14085" width="17.71875" style="178" bestFit="1" customWidth="1"/>
    <col min="14086" max="14087" width="0" style="178" hidden="1" customWidth="1"/>
    <col min="14088" max="14088" width="18" style="178" bestFit="1" customWidth="1"/>
    <col min="14089" max="14090" width="0" style="178" hidden="1" customWidth="1"/>
    <col min="14091" max="14091" width="18.5546875" style="178" bestFit="1" customWidth="1"/>
    <col min="14092" max="14093" width="0" style="178" hidden="1" customWidth="1"/>
    <col min="14094" max="14094" width="18.71875" style="178" bestFit="1" customWidth="1"/>
    <col min="14095" max="14096" width="0" style="178" hidden="1" customWidth="1"/>
    <col min="14097" max="14097" width="18.27734375" style="178" bestFit="1" customWidth="1"/>
    <col min="14098" max="14098" width="0" style="178" hidden="1" customWidth="1"/>
    <col min="14099" max="14099" width="19.27734375" style="178" bestFit="1" customWidth="1"/>
    <col min="14100" max="14338" width="9.27734375" style="178"/>
    <col min="14339" max="14339" width="0" style="178" hidden="1" customWidth="1"/>
    <col min="14340" max="14340" width="54.71875" style="178" bestFit="1" customWidth="1"/>
    <col min="14341" max="14341" width="17.71875" style="178" bestFit="1" customWidth="1"/>
    <col min="14342" max="14343" width="0" style="178" hidden="1" customWidth="1"/>
    <col min="14344" max="14344" width="18" style="178" bestFit="1" customWidth="1"/>
    <col min="14345" max="14346" width="0" style="178" hidden="1" customWidth="1"/>
    <col min="14347" max="14347" width="18.5546875" style="178" bestFit="1" customWidth="1"/>
    <col min="14348" max="14349" width="0" style="178" hidden="1" customWidth="1"/>
    <col min="14350" max="14350" width="18.71875" style="178" bestFit="1" customWidth="1"/>
    <col min="14351" max="14352" width="0" style="178" hidden="1" customWidth="1"/>
    <col min="14353" max="14353" width="18.27734375" style="178" bestFit="1" customWidth="1"/>
    <col min="14354" max="14354" width="0" style="178" hidden="1" customWidth="1"/>
    <col min="14355" max="14355" width="19.27734375" style="178" bestFit="1" customWidth="1"/>
    <col min="14356" max="14594" width="9.27734375" style="178"/>
    <col min="14595" max="14595" width="0" style="178" hidden="1" customWidth="1"/>
    <col min="14596" max="14596" width="54.71875" style="178" bestFit="1" customWidth="1"/>
    <col min="14597" max="14597" width="17.71875" style="178" bestFit="1" customWidth="1"/>
    <col min="14598" max="14599" width="0" style="178" hidden="1" customWidth="1"/>
    <col min="14600" max="14600" width="18" style="178" bestFit="1" customWidth="1"/>
    <col min="14601" max="14602" width="0" style="178" hidden="1" customWidth="1"/>
    <col min="14603" max="14603" width="18.5546875" style="178" bestFit="1" customWidth="1"/>
    <col min="14604" max="14605" width="0" style="178" hidden="1" customWidth="1"/>
    <col min="14606" max="14606" width="18.71875" style="178" bestFit="1" customWidth="1"/>
    <col min="14607" max="14608" width="0" style="178" hidden="1" customWidth="1"/>
    <col min="14609" max="14609" width="18.27734375" style="178" bestFit="1" customWidth="1"/>
    <col min="14610" max="14610" width="0" style="178" hidden="1" customWidth="1"/>
    <col min="14611" max="14611" width="19.27734375" style="178" bestFit="1" customWidth="1"/>
    <col min="14612" max="14850" width="9.27734375" style="178"/>
    <col min="14851" max="14851" width="0" style="178" hidden="1" customWidth="1"/>
    <col min="14852" max="14852" width="54.71875" style="178" bestFit="1" customWidth="1"/>
    <col min="14853" max="14853" width="17.71875" style="178" bestFit="1" customWidth="1"/>
    <col min="14854" max="14855" width="0" style="178" hidden="1" customWidth="1"/>
    <col min="14856" max="14856" width="18" style="178" bestFit="1" customWidth="1"/>
    <col min="14857" max="14858" width="0" style="178" hidden="1" customWidth="1"/>
    <col min="14859" max="14859" width="18.5546875" style="178" bestFit="1" customWidth="1"/>
    <col min="14860" max="14861" width="0" style="178" hidden="1" customWidth="1"/>
    <col min="14862" max="14862" width="18.71875" style="178" bestFit="1" customWidth="1"/>
    <col min="14863" max="14864" width="0" style="178" hidden="1" customWidth="1"/>
    <col min="14865" max="14865" width="18.27734375" style="178" bestFit="1" customWidth="1"/>
    <col min="14866" max="14866" width="0" style="178" hidden="1" customWidth="1"/>
    <col min="14867" max="14867" width="19.27734375" style="178" bestFit="1" customWidth="1"/>
    <col min="14868" max="15106" width="9.27734375" style="178"/>
    <col min="15107" max="15107" width="0" style="178" hidden="1" customWidth="1"/>
    <col min="15108" max="15108" width="54.71875" style="178" bestFit="1" customWidth="1"/>
    <col min="15109" max="15109" width="17.71875" style="178" bestFit="1" customWidth="1"/>
    <col min="15110" max="15111" width="0" style="178" hidden="1" customWidth="1"/>
    <col min="15112" max="15112" width="18" style="178" bestFit="1" customWidth="1"/>
    <col min="15113" max="15114" width="0" style="178" hidden="1" customWidth="1"/>
    <col min="15115" max="15115" width="18.5546875" style="178" bestFit="1" customWidth="1"/>
    <col min="15116" max="15117" width="0" style="178" hidden="1" customWidth="1"/>
    <col min="15118" max="15118" width="18.71875" style="178" bestFit="1" customWidth="1"/>
    <col min="15119" max="15120" width="0" style="178" hidden="1" customWidth="1"/>
    <col min="15121" max="15121" width="18.27734375" style="178" bestFit="1" customWidth="1"/>
    <col min="15122" max="15122" width="0" style="178" hidden="1" customWidth="1"/>
    <col min="15123" max="15123" width="19.27734375" style="178" bestFit="1" customWidth="1"/>
    <col min="15124" max="15362" width="9.27734375" style="178"/>
    <col min="15363" max="15363" width="0" style="178" hidden="1" customWidth="1"/>
    <col min="15364" max="15364" width="54.71875" style="178" bestFit="1" customWidth="1"/>
    <col min="15365" max="15365" width="17.71875" style="178" bestFit="1" customWidth="1"/>
    <col min="15366" max="15367" width="0" style="178" hidden="1" customWidth="1"/>
    <col min="15368" max="15368" width="18" style="178" bestFit="1" customWidth="1"/>
    <col min="15369" max="15370" width="0" style="178" hidden="1" customWidth="1"/>
    <col min="15371" max="15371" width="18.5546875" style="178" bestFit="1" customWidth="1"/>
    <col min="15372" max="15373" width="0" style="178" hidden="1" customWidth="1"/>
    <col min="15374" max="15374" width="18.71875" style="178" bestFit="1" customWidth="1"/>
    <col min="15375" max="15376" width="0" style="178" hidden="1" customWidth="1"/>
    <col min="15377" max="15377" width="18.27734375" style="178" bestFit="1" customWidth="1"/>
    <col min="15378" max="15378" width="0" style="178" hidden="1" customWidth="1"/>
    <col min="15379" max="15379" width="19.27734375" style="178" bestFit="1" customWidth="1"/>
    <col min="15380" max="15618" width="9.27734375" style="178"/>
    <col min="15619" max="15619" width="0" style="178" hidden="1" customWidth="1"/>
    <col min="15620" max="15620" width="54.71875" style="178" bestFit="1" customWidth="1"/>
    <col min="15621" max="15621" width="17.71875" style="178" bestFit="1" customWidth="1"/>
    <col min="15622" max="15623" width="0" style="178" hidden="1" customWidth="1"/>
    <col min="15624" max="15624" width="18" style="178" bestFit="1" customWidth="1"/>
    <col min="15625" max="15626" width="0" style="178" hidden="1" customWidth="1"/>
    <col min="15627" max="15627" width="18.5546875" style="178" bestFit="1" customWidth="1"/>
    <col min="15628" max="15629" width="0" style="178" hidden="1" customWidth="1"/>
    <col min="15630" max="15630" width="18.71875" style="178" bestFit="1" customWidth="1"/>
    <col min="15631" max="15632" width="0" style="178" hidden="1" customWidth="1"/>
    <col min="15633" max="15633" width="18.27734375" style="178" bestFit="1" customWidth="1"/>
    <col min="15634" max="15634" width="0" style="178" hidden="1" customWidth="1"/>
    <col min="15635" max="15635" width="19.27734375" style="178" bestFit="1" customWidth="1"/>
    <col min="15636" max="15874" width="9.27734375" style="178"/>
    <col min="15875" max="15875" width="0" style="178" hidden="1" customWidth="1"/>
    <col min="15876" max="15876" width="54.71875" style="178" bestFit="1" customWidth="1"/>
    <col min="15877" max="15877" width="17.71875" style="178" bestFit="1" customWidth="1"/>
    <col min="15878" max="15879" width="0" style="178" hidden="1" customWidth="1"/>
    <col min="15880" max="15880" width="18" style="178" bestFit="1" customWidth="1"/>
    <col min="15881" max="15882" width="0" style="178" hidden="1" customWidth="1"/>
    <col min="15883" max="15883" width="18.5546875" style="178" bestFit="1" customWidth="1"/>
    <col min="15884" max="15885" width="0" style="178" hidden="1" customWidth="1"/>
    <col min="15886" max="15886" width="18.71875" style="178" bestFit="1" customWidth="1"/>
    <col min="15887" max="15888" width="0" style="178" hidden="1" customWidth="1"/>
    <col min="15889" max="15889" width="18.27734375" style="178" bestFit="1" customWidth="1"/>
    <col min="15890" max="15890" width="0" style="178" hidden="1" customWidth="1"/>
    <col min="15891" max="15891" width="19.27734375" style="178" bestFit="1" customWidth="1"/>
    <col min="15892" max="16130" width="9.27734375" style="178"/>
    <col min="16131" max="16131" width="0" style="178" hidden="1" customWidth="1"/>
    <col min="16132" max="16132" width="54.71875" style="178" bestFit="1" customWidth="1"/>
    <col min="16133" max="16133" width="17.71875" style="178" bestFit="1" customWidth="1"/>
    <col min="16134" max="16135" width="0" style="178" hidden="1" customWidth="1"/>
    <col min="16136" max="16136" width="18" style="178" bestFit="1" customWidth="1"/>
    <col min="16137" max="16138" width="0" style="178" hidden="1" customWidth="1"/>
    <col min="16139" max="16139" width="18.5546875" style="178" bestFit="1" customWidth="1"/>
    <col min="16140" max="16141" width="0" style="178" hidden="1" customWidth="1"/>
    <col min="16142" max="16142" width="18.71875" style="178" bestFit="1" customWidth="1"/>
    <col min="16143" max="16144" width="0" style="178" hidden="1" customWidth="1"/>
    <col min="16145" max="16145" width="18.27734375" style="178" bestFit="1" customWidth="1"/>
    <col min="16146" max="16146" width="0" style="178" hidden="1" customWidth="1"/>
    <col min="16147" max="16147" width="19.27734375" style="178" bestFit="1" customWidth="1"/>
    <col min="16148" max="16384" width="9.27734375" style="178"/>
  </cols>
  <sheetData>
    <row r="1" spans="1:20" ht="20.100000000000001">
      <c r="B1" s="4" t="str">
        <f>Assumptions!$B$8</f>
        <v>Partners of America</v>
      </c>
    </row>
    <row r="2" spans="1:20">
      <c r="B2" s="315" t="str">
        <f>CONCATENATE(Assumptions!$B9," ",Assumptions!$C9)</f>
        <v>DONOR: USDOL</v>
      </c>
    </row>
    <row r="3" spans="1:20">
      <c r="B3" s="315" t="str">
        <f>CONCATENATE(Assumptions!$B10," ",Assumptions!$C10)</f>
        <v>Country: Ecuador</v>
      </c>
    </row>
    <row r="4" spans="1:20">
      <c r="B4" s="315" t="str">
        <f>CONCATENATE(Assumptions!$B11," ",Assumptions!$C11)</f>
        <v>Program Name: Project to Improve Adherence to International Labor Standards in the Agricultural Sector in Ecuador</v>
      </c>
    </row>
    <row r="5" spans="1:20">
      <c r="B5" s="315" t="str">
        <f>CONCATENATE(Assumptions!$B12," ",Assumptions!$C12)</f>
        <v>Grant Number: FOA-ILAB-23-28</v>
      </c>
    </row>
    <row r="6" spans="1:20">
      <c r="B6" s="915"/>
    </row>
    <row r="7" spans="1:20" ht="20.100000000000001">
      <c r="B7" s="176" t="s">
        <v>319</v>
      </c>
    </row>
    <row r="8" spans="1:20" ht="15.3" thickBot="1">
      <c r="B8" s="341"/>
      <c r="C8" s="342"/>
      <c r="D8" s="342"/>
      <c r="E8" s="342"/>
      <c r="F8" s="342"/>
      <c r="G8" s="342"/>
      <c r="H8" s="342"/>
      <c r="I8" s="342"/>
      <c r="J8" s="342"/>
      <c r="K8" s="342"/>
      <c r="L8" s="342"/>
      <c r="M8" s="342"/>
      <c r="N8" s="342"/>
      <c r="O8" s="342"/>
      <c r="P8" s="342"/>
      <c r="Q8" s="342"/>
      <c r="R8" s="342"/>
      <c r="S8" s="342"/>
    </row>
    <row r="9" spans="1:20" ht="15.3" thickBot="1">
      <c r="B9" s="916" t="s">
        <v>309</v>
      </c>
      <c r="C9" s="917" t="e">
        <f>#REF!</f>
        <v>#REF!</v>
      </c>
      <c r="D9" s="918"/>
      <c r="E9" s="918"/>
      <c r="F9" s="917" t="e">
        <f>#REF!</f>
        <v>#REF!</v>
      </c>
      <c r="G9" s="918"/>
      <c r="H9" s="918"/>
      <c r="I9" s="917" t="e">
        <f>#REF!</f>
        <v>#REF!</v>
      </c>
      <c r="J9" s="918"/>
      <c r="K9" s="918"/>
      <c r="L9" s="917" t="e">
        <f>#REF!</f>
        <v>#REF!</v>
      </c>
      <c r="M9" s="918"/>
      <c r="N9" s="918"/>
      <c r="O9" s="917" t="e">
        <f>#REF!</f>
        <v>#REF!</v>
      </c>
      <c r="P9" s="918"/>
      <c r="Q9" s="918"/>
      <c r="R9" s="918"/>
      <c r="S9" s="919" t="s">
        <v>240</v>
      </c>
      <c r="T9" s="346"/>
    </row>
    <row r="10" spans="1:20" ht="15.3" thickTop="1">
      <c r="B10" s="343"/>
      <c r="C10" s="344"/>
      <c r="D10" s="344"/>
      <c r="E10" s="344"/>
      <c r="F10" s="344"/>
      <c r="G10" s="344"/>
      <c r="H10" s="344"/>
      <c r="I10" s="344"/>
      <c r="J10" s="344"/>
      <c r="K10" s="344"/>
      <c r="L10" s="344"/>
      <c r="M10" s="344"/>
      <c r="N10" s="344"/>
      <c r="O10" s="344"/>
      <c r="P10" s="344"/>
      <c r="Q10" s="344"/>
      <c r="R10" s="344"/>
      <c r="S10" s="345"/>
      <c r="T10" s="346"/>
    </row>
    <row r="11" spans="1:20" ht="17.7">
      <c r="A11" s="175" t="s">
        <v>320</v>
      </c>
      <c r="B11" s="182" t="s">
        <v>321</v>
      </c>
      <c r="C11" s="180"/>
      <c r="D11" s="180"/>
      <c r="E11" s="180"/>
      <c r="F11" s="180"/>
      <c r="G11" s="180"/>
      <c r="H11" s="180"/>
      <c r="I11" s="180"/>
      <c r="J11" s="180"/>
      <c r="K11" s="180"/>
      <c r="L11" s="180"/>
      <c r="M11" s="180"/>
      <c r="N11" s="180"/>
      <c r="O11" s="180"/>
      <c r="P11" s="180"/>
      <c r="Q11" s="180"/>
      <c r="R11" s="180"/>
      <c r="S11" s="181"/>
      <c r="T11" s="346"/>
    </row>
    <row r="12" spans="1:20">
      <c r="B12" s="183" t="s">
        <v>322</v>
      </c>
      <c r="C12" s="180" t="e">
        <f>SUM(#REF!,#REF!)</f>
        <v>#REF!</v>
      </c>
      <c r="D12" s="180"/>
      <c r="E12" s="180"/>
      <c r="F12" s="180" t="e">
        <f>SUM(#REF!,#REF!)</f>
        <v>#REF!</v>
      </c>
      <c r="G12" s="180"/>
      <c r="H12" s="180"/>
      <c r="I12" s="180" t="e">
        <f>SUM(#REF!,#REF!)</f>
        <v>#REF!</v>
      </c>
      <c r="J12" s="180"/>
      <c r="K12" s="180"/>
      <c r="L12" s="180" t="e">
        <f>SUM(#REF!,#REF!)</f>
        <v>#REF!</v>
      </c>
      <c r="M12" s="180"/>
      <c r="N12" s="180"/>
      <c r="O12" s="180" t="e">
        <f>SUM(#REF!,#REF!)</f>
        <v>#REF!</v>
      </c>
      <c r="P12" s="180"/>
      <c r="Q12" s="180"/>
      <c r="R12" s="180"/>
      <c r="S12" s="181" t="e">
        <f t="shared" ref="S12:S20" si="0">SUM(C12:O12)</f>
        <v>#REF!</v>
      </c>
      <c r="T12" s="346"/>
    </row>
    <row r="13" spans="1:20">
      <c r="B13" s="183" t="s">
        <v>323</v>
      </c>
      <c r="C13" s="180" t="e">
        <f>SUM(#REF!)</f>
        <v>#REF!</v>
      </c>
      <c r="D13" s="180"/>
      <c r="E13" s="180"/>
      <c r="F13" s="180" t="e">
        <f>SUM(#REF!)</f>
        <v>#REF!</v>
      </c>
      <c r="G13" s="180"/>
      <c r="H13" s="180"/>
      <c r="I13" s="180" t="e">
        <f>SUM(#REF!)</f>
        <v>#REF!</v>
      </c>
      <c r="J13" s="180"/>
      <c r="K13" s="180"/>
      <c r="L13" s="180" t="e">
        <f>SUM(#REF!)</f>
        <v>#REF!</v>
      </c>
      <c r="M13" s="180"/>
      <c r="N13" s="180"/>
      <c r="O13" s="180" t="e">
        <f>SUM(#REF!)</f>
        <v>#REF!</v>
      </c>
      <c r="P13" s="180"/>
      <c r="Q13" s="180"/>
      <c r="R13" s="180"/>
      <c r="S13" s="181" t="e">
        <f t="shared" si="0"/>
        <v>#REF!</v>
      </c>
      <c r="T13" s="346"/>
    </row>
    <row r="14" spans="1:20">
      <c r="B14" s="183" t="s">
        <v>324</v>
      </c>
      <c r="C14" s="180" t="e">
        <f>SUM(#REF!,#REF!)</f>
        <v>#REF!</v>
      </c>
      <c r="D14" s="180"/>
      <c r="E14" s="180"/>
      <c r="F14" s="180" t="e">
        <f>SUM(#REF!,#REF!)</f>
        <v>#REF!</v>
      </c>
      <c r="G14" s="180"/>
      <c r="H14" s="180"/>
      <c r="I14" s="180" t="e">
        <f>SUM(#REF!,#REF!)</f>
        <v>#REF!</v>
      </c>
      <c r="J14" s="180"/>
      <c r="K14" s="180"/>
      <c r="L14" s="180" t="e">
        <f>SUM(#REF!,#REF!)</f>
        <v>#REF!</v>
      </c>
      <c r="M14" s="180"/>
      <c r="N14" s="180"/>
      <c r="O14" s="180" t="e">
        <f>SUM(#REF!,#REF!)</f>
        <v>#REF!</v>
      </c>
      <c r="P14" s="180"/>
      <c r="Q14" s="180"/>
      <c r="R14" s="180"/>
      <c r="S14" s="181" t="e">
        <f>SUM(C14:O14)</f>
        <v>#REF!</v>
      </c>
      <c r="T14" s="346"/>
    </row>
    <row r="15" spans="1:20">
      <c r="B15" s="183" t="s">
        <v>325</v>
      </c>
      <c r="C15" s="180" t="e">
        <f>SUM(#REF!)</f>
        <v>#REF!</v>
      </c>
      <c r="D15" s="180"/>
      <c r="E15" s="180"/>
      <c r="F15" s="180" t="e">
        <f>SUM(#REF!)</f>
        <v>#REF!</v>
      </c>
      <c r="G15" s="180"/>
      <c r="H15" s="180"/>
      <c r="I15" s="180" t="e">
        <f>SUM(#REF!)</f>
        <v>#REF!</v>
      </c>
      <c r="J15" s="180"/>
      <c r="K15" s="180"/>
      <c r="L15" s="180" t="e">
        <f>SUM(#REF!)</f>
        <v>#REF!</v>
      </c>
      <c r="M15" s="180"/>
      <c r="N15" s="180"/>
      <c r="O15" s="180" t="e">
        <f>SUM(#REF!)</f>
        <v>#REF!</v>
      </c>
      <c r="P15" s="180"/>
      <c r="Q15" s="180"/>
      <c r="R15" s="180"/>
      <c r="S15" s="181" t="e">
        <f>SUM(C15:O15)</f>
        <v>#REF!</v>
      </c>
      <c r="T15" s="346"/>
    </row>
    <row r="16" spans="1:20">
      <c r="B16" s="183" t="s">
        <v>326</v>
      </c>
      <c r="C16" s="180" t="e">
        <f>SUM(#REF!,#REF!,#REF!)</f>
        <v>#REF!</v>
      </c>
      <c r="D16" s="184"/>
      <c r="E16" s="180"/>
      <c r="F16" s="180" t="e">
        <f>SUM(#REF!,#REF!,#REF!)</f>
        <v>#REF!</v>
      </c>
      <c r="G16" s="184"/>
      <c r="H16" s="180"/>
      <c r="I16" s="180" t="e">
        <f>SUM(#REF!,#REF!,#REF!)</f>
        <v>#REF!</v>
      </c>
      <c r="J16" s="184"/>
      <c r="K16" s="180"/>
      <c r="L16" s="180" t="e">
        <f>SUM(#REF!,#REF!,#REF!)</f>
        <v>#REF!</v>
      </c>
      <c r="M16" s="184"/>
      <c r="N16" s="180"/>
      <c r="O16" s="180" t="e">
        <f>SUM(#REF!,#REF!,#REF!)</f>
        <v>#REF!</v>
      </c>
      <c r="P16" s="184"/>
      <c r="Q16" s="184"/>
      <c r="R16" s="180"/>
      <c r="S16" s="181" t="e">
        <f t="shared" si="0"/>
        <v>#REF!</v>
      </c>
      <c r="T16" s="346"/>
    </row>
    <row r="17" spans="1:20">
      <c r="B17" s="185" t="s">
        <v>327</v>
      </c>
      <c r="C17" s="180" t="e">
        <f>SUM(#REF!)</f>
        <v>#REF!</v>
      </c>
      <c r="D17" s="180"/>
      <c r="E17" s="180"/>
      <c r="F17" s="180" t="e">
        <f>SUM(#REF!)</f>
        <v>#REF!</v>
      </c>
      <c r="G17" s="180"/>
      <c r="H17" s="180"/>
      <c r="I17" s="180" t="e">
        <f>SUM(#REF!)</f>
        <v>#REF!</v>
      </c>
      <c r="J17" s="180"/>
      <c r="K17" s="180"/>
      <c r="L17" s="180" t="e">
        <f>SUM(#REF!)</f>
        <v>#REF!</v>
      </c>
      <c r="M17" s="180"/>
      <c r="N17" s="180"/>
      <c r="O17" s="180" t="e">
        <f>SUM(#REF!)</f>
        <v>#REF!</v>
      </c>
      <c r="P17" s="180"/>
      <c r="Q17" s="180"/>
      <c r="R17" s="180"/>
      <c r="S17" s="181" t="e">
        <f>SUM(C17:O17)</f>
        <v>#REF!</v>
      </c>
      <c r="T17" s="346"/>
    </row>
    <row r="18" spans="1:20">
      <c r="B18" s="185" t="s">
        <v>328</v>
      </c>
      <c r="C18" s="180" t="e">
        <f>SUM(#REF!)</f>
        <v>#REF!</v>
      </c>
      <c r="D18" s="180"/>
      <c r="E18" s="180"/>
      <c r="F18" s="180" t="e">
        <f>SUM(#REF!)</f>
        <v>#REF!</v>
      </c>
      <c r="G18" s="180"/>
      <c r="H18" s="180"/>
      <c r="I18" s="180" t="e">
        <f>SUM(#REF!)</f>
        <v>#REF!</v>
      </c>
      <c r="J18" s="180"/>
      <c r="K18" s="180"/>
      <c r="L18" s="180" t="e">
        <f>SUM(#REF!)</f>
        <v>#REF!</v>
      </c>
      <c r="M18" s="180"/>
      <c r="N18" s="180"/>
      <c r="O18" s="180" t="e">
        <f>SUM(#REF!)</f>
        <v>#REF!</v>
      </c>
      <c r="P18" s="180"/>
      <c r="Q18" s="180"/>
      <c r="R18" s="180"/>
      <c r="S18" s="181" t="e">
        <f t="shared" si="0"/>
        <v>#REF!</v>
      </c>
      <c r="T18" s="346"/>
    </row>
    <row r="19" spans="1:20">
      <c r="B19" s="183" t="s">
        <v>329</v>
      </c>
      <c r="C19" s="180" t="e">
        <f>#REF!</f>
        <v>#REF!</v>
      </c>
      <c r="D19" s="180"/>
      <c r="E19" s="180"/>
      <c r="F19" s="180" t="e">
        <f>#REF!</f>
        <v>#REF!</v>
      </c>
      <c r="G19" s="180"/>
      <c r="H19" s="180"/>
      <c r="I19" s="180" t="e">
        <f>#REF!</f>
        <v>#REF!</v>
      </c>
      <c r="J19" s="180"/>
      <c r="K19" s="180"/>
      <c r="L19" s="180" t="e">
        <f>#REF!</f>
        <v>#REF!</v>
      </c>
      <c r="M19" s="180"/>
      <c r="N19" s="180"/>
      <c r="O19" s="180" t="e">
        <f>#REF!</f>
        <v>#REF!</v>
      </c>
      <c r="P19" s="180"/>
      <c r="Q19" s="180"/>
      <c r="R19" s="180"/>
      <c r="S19" s="181" t="e">
        <f t="shared" si="0"/>
        <v>#REF!</v>
      </c>
      <c r="T19" s="346"/>
    </row>
    <row r="20" spans="1:20">
      <c r="B20" s="317" t="s">
        <v>330</v>
      </c>
      <c r="C20" s="318" t="e">
        <f>SUM(#REF!)</f>
        <v>#REF!</v>
      </c>
      <c r="D20" s="318"/>
      <c r="E20" s="318"/>
      <c r="F20" s="318" t="e">
        <f>SUM(#REF!)</f>
        <v>#REF!</v>
      </c>
      <c r="G20" s="318"/>
      <c r="H20" s="318"/>
      <c r="I20" s="318" t="e">
        <f>SUM(#REF!)</f>
        <v>#REF!</v>
      </c>
      <c r="J20" s="318"/>
      <c r="K20" s="318"/>
      <c r="L20" s="318" t="e">
        <f>SUM(#REF!)</f>
        <v>#REF!</v>
      </c>
      <c r="M20" s="318"/>
      <c r="N20" s="318"/>
      <c r="O20" s="318" t="e">
        <f>SUM(#REF!)</f>
        <v>#REF!</v>
      </c>
      <c r="P20" s="318"/>
      <c r="Q20" s="318"/>
      <c r="R20" s="318"/>
      <c r="S20" s="319" t="e">
        <f t="shared" si="0"/>
        <v>#REF!</v>
      </c>
      <c r="T20" s="346"/>
    </row>
    <row r="21" spans="1:20" s="179" customFormat="1" ht="16.5">
      <c r="A21" s="186"/>
      <c r="B21" s="189" t="s">
        <v>331</v>
      </c>
      <c r="C21" s="190" t="e">
        <f>SUM(C12:C20)</f>
        <v>#REF!</v>
      </c>
      <c r="D21" s="190"/>
      <c r="E21" s="190"/>
      <c r="F21" s="190" t="e">
        <f>SUM(F12:F20)</f>
        <v>#REF!</v>
      </c>
      <c r="G21" s="190"/>
      <c r="H21" s="190"/>
      <c r="I21" s="190" t="e">
        <f>SUM(I12:I20)</f>
        <v>#REF!</v>
      </c>
      <c r="J21" s="190"/>
      <c r="K21" s="190"/>
      <c r="L21" s="190" t="e">
        <f>SUM(L12:L20)</f>
        <v>#REF!</v>
      </c>
      <c r="M21" s="190"/>
      <c r="N21" s="190"/>
      <c r="O21" s="190" t="e">
        <f>SUM(O12:O20)</f>
        <v>#REF!</v>
      </c>
      <c r="P21" s="190"/>
      <c r="Q21" s="190"/>
      <c r="R21" s="190"/>
      <c r="S21" s="191" t="e">
        <f>SUM(C21:O21)</f>
        <v>#REF!</v>
      </c>
      <c r="T21" s="346"/>
    </row>
    <row r="22" spans="1:20">
      <c r="B22" s="320"/>
      <c r="C22" s="321"/>
      <c r="D22" s="321"/>
      <c r="E22" s="321"/>
      <c r="F22" s="321"/>
      <c r="G22" s="321"/>
      <c r="H22" s="321"/>
      <c r="I22" s="321"/>
      <c r="J22" s="321"/>
      <c r="K22" s="321"/>
      <c r="L22" s="321"/>
      <c r="M22" s="321"/>
      <c r="N22" s="321"/>
      <c r="O22" s="321"/>
      <c r="P22" s="321"/>
      <c r="Q22" s="321"/>
      <c r="R22" s="321"/>
      <c r="S22" s="187"/>
      <c r="T22" s="346"/>
    </row>
    <row r="23" spans="1:20" ht="17.7">
      <c r="B23" s="182" t="s">
        <v>332</v>
      </c>
      <c r="C23" s="180"/>
      <c r="D23" s="180"/>
      <c r="E23" s="180"/>
      <c r="F23" s="180"/>
      <c r="G23" s="180"/>
      <c r="H23" s="180"/>
      <c r="I23" s="180"/>
      <c r="J23" s="180"/>
      <c r="K23" s="180"/>
      <c r="L23" s="180"/>
      <c r="M23" s="180"/>
      <c r="N23" s="180"/>
      <c r="O23" s="180"/>
      <c r="P23" s="180"/>
      <c r="Q23" s="180"/>
      <c r="R23" s="180"/>
      <c r="S23" s="181"/>
      <c r="T23" s="346"/>
    </row>
    <row r="24" spans="1:20">
      <c r="B24" s="183" t="s">
        <v>333</v>
      </c>
      <c r="C24" s="180" t="e">
        <f>#REF!</f>
        <v>#REF!</v>
      </c>
      <c r="D24" s="180"/>
      <c r="E24" s="180"/>
      <c r="F24" s="180" t="e">
        <f>#REF!</f>
        <v>#REF!</v>
      </c>
      <c r="G24" s="180"/>
      <c r="H24" s="180"/>
      <c r="I24" s="180" t="e">
        <f>#REF!</f>
        <v>#REF!</v>
      </c>
      <c r="J24" s="180"/>
      <c r="K24" s="180"/>
      <c r="L24" s="180" t="e">
        <f>#REF!</f>
        <v>#REF!</v>
      </c>
      <c r="M24" s="180"/>
      <c r="N24" s="180"/>
      <c r="O24" s="180" t="e">
        <f>#REF!</f>
        <v>#REF!</v>
      </c>
      <c r="P24" s="180"/>
      <c r="Q24" s="180"/>
      <c r="R24" s="180"/>
      <c r="S24" s="181" t="e">
        <f t="shared" ref="S24:S29" si="1">SUM(O24,C24,F24,I24,L24)</f>
        <v>#REF!</v>
      </c>
      <c r="T24" s="346"/>
    </row>
    <row r="25" spans="1:20">
      <c r="B25" s="183" t="s">
        <v>334</v>
      </c>
      <c r="C25" s="180" t="e">
        <f>#REF!</f>
        <v>#REF!</v>
      </c>
      <c r="D25" s="180"/>
      <c r="E25" s="180"/>
      <c r="F25" s="180" t="e">
        <f>#REF!</f>
        <v>#REF!</v>
      </c>
      <c r="G25" s="180"/>
      <c r="H25" s="180"/>
      <c r="I25" s="180" t="e">
        <f>#REF!</f>
        <v>#REF!</v>
      </c>
      <c r="J25" s="180"/>
      <c r="K25" s="180"/>
      <c r="L25" s="180" t="e">
        <f>#REF!</f>
        <v>#REF!</v>
      </c>
      <c r="M25" s="180"/>
      <c r="N25" s="180"/>
      <c r="O25" s="180" t="e">
        <f>#REF!</f>
        <v>#REF!</v>
      </c>
      <c r="P25" s="180"/>
      <c r="Q25" s="180"/>
      <c r="R25" s="180"/>
      <c r="S25" s="181" t="e">
        <f t="shared" si="1"/>
        <v>#REF!</v>
      </c>
      <c r="T25" s="346"/>
    </row>
    <row r="26" spans="1:20">
      <c r="B26" s="183" t="s">
        <v>335</v>
      </c>
      <c r="C26" s="180" t="e">
        <f>SUM(#REF!)</f>
        <v>#REF!</v>
      </c>
      <c r="D26" s="180"/>
      <c r="E26" s="180"/>
      <c r="F26" s="180" t="e">
        <f>SUM(#REF!)</f>
        <v>#REF!</v>
      </c>
      <c r="G26" s="180"/>
      <c r="H26" s="180"/>
      <c r="I26" s="180" t="e">
        <f>SUM(#REF!)</f>
        <v>#REF!</v>
      </c>
      <c r="J26" s="180"/>
      <c r="K26" s="180"/>
      <c r="L26" s="180" t="e">
        <f>SUM(#REF!)</f>
        <v>#REF!</v>
      </c>
      <c r="M26" s="180"/>
      <c r="N26" s="180"/>
      <c r="O26" s="180" t="e">
        <f>SUM(#REF!)</f>
        <v>#REF!</v>
      </c>
      <c r="P26" s="180"/>
      <c r="Q26" s="180"/>
      <c r="R26" s="180"/>
      <c r="S26" s="181" t="e">
        <f>SUM(O26,C26,F26,I26,L26)</f>
        <v>#REF!</v>
      </c>
      <c r="T26" s="346"/>
    </row>
    <row r="27" spans="1:20">
      <c r="B27" s="183" t="s">
        <v>336</v>
      </c>
      <c r="C27" s="180" t="e">
        <f>#REF!</f>
        <v>#REF!</v>
      </c>
      <c r="D27" s="180"/>
      <c r="E27" s="180"/>
      <c r="F27" s="180" t="e">
        <f>#REF!</f>
        <v>#REF!</v>
      </c>
      <c r="G27" s="180"/>
      <c r="H27" s="180"/>
      <c r="I27" s="180" t="e">
        <f>#REF!</f>
        <v>#REF!</v>
      </c>
      <c r="J27" s="180"/>
      <c r="K27" s="180"/>
      <c r="L27" s="180" t="e">
        <f>#REF!</f>
        <v>#REF!</v>
      </c>
      <c r="M27" s="180"/>
      <c r="N27" s="180"/>
      <c r="O27" s="180" t="e">
        <f>#REF!</f>
        <v>#REF!</v>
      </c>
      <c r="P27" s="180"/>
      <c r="Q27" s="180"/>
      <c r="R27" s="180"/>
      <c r="S27" s="181" t="e">
        <f t="shared" si="1"/>
        <v>#REF!</v>
      </c>
      <c r="T27" s="346"/>
    </row>
    <row r="28" spans="1:20">
      <c r="B28" s="183" t="s">
        <v>337</v>
      </c>
      <c r="C28" s="180" t="e">
        <f>#REF!</f>
        <v>#REF!</v>
      </c>
      <c r="D28" s="180"/>
      <c r="E28" s="180"/>
      <c r="F28" s="180" t="e">
        <f>#REF!</f>
        <v>#REF!</v>
      </c>
      <c r="G28" s="180"/>
      <c r="H28" s="180"/>
      <c r="I28" s="180" t="e">
        <f>#REF!</f>
        <v>#REF!</v>
      </c>
      <c r="J28" s="180"/>
      <c r="K28" s="180"/>
      <c r="L28" s="180" t="e">
        <f>#REF!</f>
        <v>#REF!</v>
      </c>
      <c r="M28" s="180"/>
      <c r="N28" s="180"/>
      <c r="O28" s="180" t="e">
        <f>#REF!</f>
        <v>#REF!</v>
      </c>
      <c r="P28" s="180"/>
      <c r="Q28" s="180"/>
      <c r="R28" s="180"/>
      <c r="S28" s="181" t="e">
        <f t="shared" si="1"/>
        <v>#REF!</v>
      </c>
      <c r="T28" s="346"/>
    </row>
    <row r="29" spans="1:20">
      <c r="B29" s="317" t="s">
        <v>338</v>
      </c>
      <c r="C29" s="318" t="e">
        <f>SUM(#REF!)</f>
        <v>#REF!</v>
      </c>
      <c r="D29" s="318"/>
      <c r="E29" s="318"/>
      <c r="F29" s="318" t="e">
        <f>SUM(#REF!)</f>
        <v>#REF!</v>
      </c>
      <c r="G29" s="318"/>
      <c r="H29" s="318"/>
      <c r="I29" s="318" t="e">
        <f>SUM(#REF!)</f>
        <v>#REF!</v>
      </c>
      <c r="J29" s="318"/>
      <c r="K29" s="318"/>
      <c r="L29" s="318" t="e">
        <f>SUM(#REF!)</f>
        <v>#REF!</v>
      </c>
      <c r="M29" s="318"/>
      <c r="N29" s="318"/>
      <c r="O29" s="318" t="e">
        <f>SUM(#REF!)</f>
        <v>#REF!</v>
      </c>
      <c r="P29" s="318"/>
      <c r="Q29" s="318"/>
      <c r="R29" s="318"/>
      <c r="S29" s="319" t="e">
        <f t="shared" si="1"/>
        <v>#REF!</v>
      </c>
      <c r="T29" s="346"/>
    </row>
    <row r="30" spans="1:20" s="179" customFormat="1" ht="16.5">
      <c r="A30" s="186"/>
      <c r="B30" s="189" t="s">
        <v>339</v>
      </c>
      <c r="C30" s="190" t="e">
        <f>SUM(C23:C29)</f>
        <v>#REF!</v>
      </c>
      <c r="D30" s="190"/>
      <c r="E30" s="190"/>
      <c r="F30" s="190" t="e">
        <f>SUM(F23:F29)</f>
        <v>#REF!</v>
      </c>
      <c r="G30" s="190"/>
      <c r="H30" s="190"/>
      <c r="I30" s="190" t="e">
        <f>SUM(I23:I29)</f>
        <v>#REF!</v>
      </c>
      <c r="J30" s="190"/>
      <c r="K30" s="190"/>
      <c r="L30" s="190" t="e">
        <f>SUM(L23:L29)</f>
        <v>#REF!</v>
      </c>
      <c r="M30" s="190"/>
      <c r="N30" s="190"/>
      <c r="O30" s="190" t="e">
        <f>SUM(O23:O29)</f>
        <v>#REF!</v>
      </c>
      <c r="P30" s="190"/>
      <c r="Q30" s="190"/>
      <c r="R30" s="190"/>
      <c r="S30" s="191" t="e">
        <f>SUM(C30:O30)</f>
        <v>#REF!</v>
      </c>
      <c r="T30" s="346"/>
    </row>
    <row r="31" spans="1:20">
      <c r="B31" s="322"/>
      <c r="C31" s="323"/>
      <c r="D31" s="323"/>
      <c r="E31" s="323"/>
      <c r="F31" s="323"/>
      <c r="G31" s="323"/>
      <c r="H31" s="323"/>
      <c r="I31" s="323"/>
      <c r="J31" s="323"/>
      <c r="K31" s="323"/>
      <c r="L31" s="323"/>
      <c r="M31" s="323"/>
      <c r="N31" s="323"/>
      <c r="O31" s="323"/>
      <c r="P31" s="323"/>
      <c r="Q31" s="323"/>
      <c r="R31" s="323"/>
      <c r="S31" s="324"/>
      <c r="T31" s="346"/>
    </row>
    <row r="32" spans="1:20" s="179" customFormat="1" ht="16.5">
      <c r="A32" s="186"/>
      <c r="B32" s="189" t="s">
        <v>340</v>
      </c>
      <c r="C32" s="190" t="e">
        <f>SUM(C30,C21)</f>
        <v>#REF!</v>
      </c>
      <c r="D32" s="190"/>
      <c r="E32" s="190"/>
      <c r="F32" s="190" t="e">
        <f>SUM(F30,F21)</f>
        <v>#REF!</v>
      </c>
      <c r="G32" s="190"/>
      <c r="H32" s="190"/>
      <c r="I32" s="190" t="e">
        <f>SUM(I30,I21)</f>
        <v>#REF!</v>
      </c>
      <c r="J32" s="190"/>
      <c r="K32" s="190"/>
      <c r="L32" s="190" t="e">
        <f>SUM(L30,L21)</f>
        <v>#REF!</v>
      </c>
      <c r="M32" s="190"/>
      <c r="N32" s="190"/>
      <c r="O32" s="190" t="e">
        <f>SUM(O30,O21)</f>
        <v>#REF!</v>
      </c>
      <c r="P32" s="190"/>
      <c r="Q32" s="190"/>
      <c r="R32" s="190"/>
      <c r="S32" s="191" t="e">
        <f>SUM(C32:O32)</f>
        <v>#REF!</v>
      </c>
      <c r="T32" s="346"/>
    </row>
    <row r="33" spans="2:19">
      <c r="B33" s="325"/>
      <c r="C33" s="326"/>
      <c r="D33" s="326"/>
      <c r="E33" s="326"/>
      <c r="F33" s="326"/>
      <c r="G33" s="326"/>
      <c r="H33" s="326"/>
      <c r="I33" s="326"/>
      <c r="J33" s="326"/>
      <c r="K33" s="326"/>
      <c r="L33" s="326"/>
      <c r="M33" s="326"/>
      <c r="N33" s="326"/>
      <c r="O33" s="326"/>
      <c r="P33" s="326"/>
      <c r="Q33" s="326"/>
      <c r="R33" s="326"/>
      <c r="S33" s="326"/>
    </row>
    <row r="54" spans="1:20" s="177" customFormat="1">
      <c r="A54" s="175"/>
      <c r="B54" s="178"/>
      <c r="C54" s="188"/>
      <c r="T54" s="178"/>
    </row>
  </sheetData>
  <sheetProtection insertRows="0" selectLockedCells="1"/>
  <protectedRanges>
    <protectedRange password="CCBC" sqref="G1:H65535 J1:K65535 M1:N65535 D1:E65535 P1:R65535" name="Range1"/>
  </protectedRanges>
  <conditionalFormatting sqref="B17 B27:B28">
    <cfRule type="cellIs" dxfId="6" priority="1" stopIfTrue="1" operator="equal">
      <formula>0</formula>
    </cfRule>
  </conditionalFormatting>
  <dataValidations count="2">
    <dataValidation allowBlank="1" showInputMessage="1" showErrorMessage="1" prompt="Invalid cell" sqref="JH16 TD16 ACZ16 AMV16 AWR16 BGN16 BQJ16 CAF16 CKB16 CTX16 DDT16 DNP16 DXL16 EHH16 ERD16 FAZ16 FKV16 FUR16 GEN16 GOJ16 GYF16 HIB16 HRX16 IBT16 ILP16 IVL16 JFH16 JPD16 JYZ16 KIV16 KSR16 LCN16 LMJ16 LWF16 MGB16 MPX16 MZT16 NJP16 NTL16 ODH16 OND16 OWZ16 PGV16 PQR16 QAN16 QKJ16 QUF16 REB16 RNX16 RXT16 SHP16 SRL16 TBH16 TLD16 TUZ16 UEV16 UOR16 UYN16 VIJ16 VSF16 WCB16 WLX16 WVT16 G16 J65549 JH65549 TD65549 ACZ65549 AMV65549 AWR65549 BGN65549 BQJ65549 CAF65549 CKB65549 CTX65549 DDT65549 DNP65549 DXL65549 EHH65549 ERD65549 FAZ65549 FKV65549 FUR65549 GEN65549 GOJ65549 GYF65549 HIB65549 HRX65549 IBT65549 ILP65549 IVL65549 JFH65549 JPD65549 JYZ65549 KIV65549 KSR65549 LCN65549 LMJ65549 LWF65549 MGB65549 MPX65549 MZT65549 NJP65549 NTL65549 ODH65549 OND65549 OWZ65549 PGV65549 PQR65549 QAN65549 QKJ65549 QUF65549 REB65549 RNX65549 RXT65549 SHP65549 SRL65549 TBH65549 TLD65549 TUZ65549 UEV65549 UOR65549 UYN65549 VIJ65549 VSF65549 WCB65549 WLX65549 WVT65549 J131085 JH131085 TD131085 ACZ131085 AMV131085 AWR131085 BGN131085 BQJ131085 CAF131085 CKB131085 CTX131085 DDT131085 DNP131085 DXL131085 EHH131085 ERD131085 FAZ131085 FKV131085 FUR131085 GEN131085 GOJ131085 GYF131085 HIB131085 HRX131085 IBT131085 ILP131085 IVL131085 JFH131085 JPD131085 JYZ131085 KIV131085 KSR131085 LCN131085 LMJ131085 LWF131085 MGB131085 MPX131085 MZT131085 NJP131085 NTL131085 ODH131085 OND131085 OWZ131085 PGV131085 PQR131085 QAN131085 QKJ131085 QUF131085 REB131085 RNX131085 RXT131085 SHP131085 SRL131085 TBH131085 TLD131085 TUZ131085 UEV131085 UOR131085 UYN131085 VIJ131085 VSF131085 WCB131085 WLX131085 WVT131085 J196621 JH196621 TD196621 ACZ196621 AMV196621 AWR196621 BGN196621 BQJ196621 CAF196621 CKB196621 CTX196621 DDT196621 DNP196621 DXL196621 EHH196621 ERD196621 FAZ196621 FKV196621 FUR196621 GEN196621 GOJ196621 GYF196621 HIB196621 HRX196621 IBT196621 ILP196621 IVL196621 JFH196621 JPD196621 JYZ196621 KIV196621 KSR196621 LCN196621 LMJ196621 LWF196621 MGB196621 MPX196621 MZT196621 NJP196621 NTL196621 ODH196621 OND196621 OWZ196621 PGV196621 PQR196621 QAN196621 QKJ196621 QUF196621 REB196621 RNX196621 RXT196621 SHP196621 SRL196621 TBH196621 TLD196621 TUZ196621 UEV196621 UOR196621 UYN196621 VIJ196621 VSF196621 WCB196621 WLX196621 WVT196621 J262157 JH262157 TD262157 ACZ262157 AMV262157 AWR262157 BGN262157 BQJ262157 CAF262157 CKB262157 CTX262157 DDT262157 DNP262157 DXL262157 EHH262157 ERD262157 FAZ262157 FKV262157 FUR262157 GEN262157 GOJ262157 GYF262157 HIB262157 HRX262157 IBT262157 ILP262157 IVL262157 JFH262157 JPD262157 JYZ262157 KIV262157 KSR262157 LCN262157 LMJ262157 LWF262157 MGB262157 MPX262157 MZT262157 NJP262157 NTL262157 ODH262157 OND262157 OWZ262157 PGV262157 PQR262157 QAN262157 QKJ262157 QUF262157 REB262157 RNX262157 RXT262157 SHP262157 SRL262157 TBH262157 TLD262157 TUZ262157 UEV262157 UOR262157 UYN262157 VIJ262157 VSF262157 WCB262157 WLX262157 WVT262157 J327693 JH327693 TD327693 ACZ327693 AMV327693 AWR327693 BGN327693 BQJ327693 CAF327693 CKB327693 CTX327693 DDT327693 DNP327693 DXL327693 EHH327693 ERD327693 FAZ327693 FKV327693 FUR327693 GEN327693 GOJ327693 GYF327693 HIB327693 HRX327693 IBT327693 ILP327693 IVL327693 JFH327693 JPD327693 JYZ327693 KIV327693 KSR327693 LCN327693 LMJ327693 LWF327693 MGB327693 MPX327693 MZT327693 NJP327693 NTL327693 ODH327693 OND327693 OWZ327693 PGV327693 PQR327693 QAN327693 QKJ327693 QUF327693 REB327693 RNX327693 RXT327693 SHP327693 SRL327693 TBH327693 TLD327693 TUZ327693 UEV327693 UOR327693 UYN327693 VIJ327693 VSF327693 WCB327693 WLX327693 WVT327693 J393229 JH393229 TD393229 ACZ393229 AMV393229 AWR393229 BGN393229 BQJ393229 CAF393229 CKB393229 CTX393229 DDT393229 DNP393229 DXL393229 EHH393229 ERD393229 FAZ393229 FKV393229 FUR393229 GEN393229 GOJ393229 GYF393229 HIB393229 HRX393229 IBT393229 ILP393229 IVL393229 JFH393229 JPD393229 JYZ393229 KIV393229 KSR393229 LCN393229 LMJ393229 LWF393229 MGB393229 MPX393229 MZT393229 NJP393229 NTL393229 ODH393229 OND393229 OWZ393229 PGV393229 PQR393229 QAN393229 QKJ393229 QUF393229 REB393229 RNX393229 RXT393229 SHP393229 SRL393229 TBH393229 TLD393229 TUZ393229 UEV393229 UOR393229 UYN393229 VIJ393229 VSF393229 WCB393229 WLX393229 WVT393229 J458765 JH458765 TD458765 ACZ458765 AMV458765 AWR458765 BGN458765 BQJ458765 CAF458765 CKB458765 CTX458765 DDT458765 DNP458765 DXL458765 EHH458765 ERD458765 FAZ458765 FKV458765 FUR458765 GEN458765 GOJ458765 GYF458765 HIB458765 HRX458765 IBT458765 ILP458765 IVL458765 JFH458765 JPD458765 JYZ458765 KIV458765 KSR458765 LCN458765 LMJ458765 LWF458765 MGB458765 MPX458765 MZT458765 NJP458765 NTL458765 ODH458765 OND458765 OWZ458765 PGV458765 PQR458765 QAN458765 QKJ458765 QUF458765 REB458765 RNX458765 RXT458765 SHP458765 SRL458765 TBH458765 TLD458765 TUZ458765 UEV458765 UOR458765 UYN458765 VIJ458765 VSF458765 WCB458765 WLX458765 WVT458765 J524301 JH524301 TD524301 ACZ524301 AMV524301 AWR524301 BGN524301 BQJ524301 CAF524301 CKB524301 CTX524301 DDT524301 DNP524301 DXL524301 EHH524301 ERD524301 FAZ524301 FKV524301 FUR524301 GEN524301 GOJ524301 GYF524301 HIB524301 HRX524301 IBT524301 ILP524301 IVL524301 JFH524301 JPD524301 JYZ524301 KIV524301 KSR524301 LCN524301 LMJ524301 LWF524301 MGB524301 MPX524301 MZT524301 NJP524301 NTL524301 ODH524301 OND524301 OWZ524301 PGV524301 PQR524301 QAN524301 QKJ524301 QUF524301 REB524301 RNX524301 RXT524301 SHP524301 SRL524301 TBH524301 TLD524301 TUZ524301 UEV524301 UOR524301 UYN524301 VIJ524301 VSF524301 WCB524301 WLX524301 WVT524301 J589837 JH589837 TD589837 ACZ589837 AMV589837 AWR589837 BGN589837 BQJ589837 CAF589837 CKB589837 CTX589837 DDT589837 DNP589837 DXL589837 EHH589837 ERD589837 FAZ589837 FKV589837 FUR589837 GEN589837 GOJ589837 GYF589837 HIB589837 HRX589837 IBT589837 ILP589837 IVL589837 JFH589837 JPD589837 JYZ589837 KIV589837 KSR589837 LCN589837 LMJ589837 LWF589837 MGB589837 MPX589837 MZT589837 NJP589837 NTL589837 ODH589837 OND589837 OWZ589837 PGV589837 PQR589837 QAN589837 QKJ589837 QUF589837 REB589837 RNX589837 RXT589837 SHP589837 SRL589837 TBH589837 TLD589837 TUZ589837 UEV589837 UOR589837 UYN589837 VIJ589837 VSF589837 WCB589837 WLX589837 WVT589837 J655373 JH655373 TD655373 ACZ655373 AMV655373 AWR655373 BGN655373 BQJ655373 CAF655373 CKB655373 CTX655373 DDT655373 DNP655373 DXL655373 EHH655373 ERD655373 FAZ655373 FKV655373 FUR655373 GEN655373 GOJ655373 GYF655373 HIB655373 HRX655373 IBT655373 ILP655373 IVL655373 JFH655373 JPD655373 JYZ655373 KIV655373 KSR655373 LCN655373 LMJ655373 LWF655373 MGB655373 MPX655373 MZT655373 NJP655373 NTL655373 ODH655373 OND655373 OWZ655373 PGV655373 PQR655373 QAN655373 QKJ655373 QUF655373 REB655373 RNX655373 RXT655373 SHP655373 SRL655373 TBH655373 TLD655373 TUZ655373 UEV655373 UOR655373 UYN655373 VIJ655373 VSF655373 WCB655373 WLX655373 WVT655373 J720909 JH720909 TD720909 ACZ720909 AMV720909 AWR720909 BGN720909 BQJ720909 CAF720909 CKB720909 CTX720909 DDT720909 DNP720909 DXL720909 EHH720909 ERD720909 FAZ720909 FKV720909 FUR720909 GEN720909 GOJ720909 GYF720909 HIB720909 HRX720909 IBT720909 ILP720909 IVL720909 JFH720909 JPD720909 JYZ720909 KIV720909 KSR720909 LCN720909 LMJ720909 LWF720909 MGB720909 MPX720909 MZT720909 NJP720909 NTL720909 ODH720909 OND720909 OWZ720909 PGV720909 PQR720909 QAN720909 QKJ720909 QUF720909 REB720909 RNX720909 RXT720909 SHP720909 SRL720909 TBH720909 TLD720909 TUZ720909 UEV720909 UOR720909 UYN720909 VIJ720909 VSF720909 WCB720909 WLX720909 WVT720909 J786445 JH786445 TD786445 ACZ786445 AMV786445 AWR786445 BGN786445 BQJ786445 CAF786445 CKB786445 CTX786445 DDT786445 DNP786445 DXL786445 EHH786445 ERD786445 FAZ786445 FKV786445 FUR786445 GEN786445 GOJ786445 GYF786445 HIB786445 HRX786445 IBT786445 ILP786445 IVL786445 JFH786445 JPD786445 JYZ786445 KIV786445 KSR786445 LCN786445 LMJ786445 LWF786445 MGB786445 MPX786445 MZT786445 NJP786445 NTL786445 ODH786445 OND786445 OWZ786445 PGV786445 PQR786445 QAN786445 QKJ786445 QUF786445 REB786445 RNX786445 RXT786445 SHP786445 SRL786445 TBH786445 TLD786445 TUZ786445 UEV786445 UOR786445 UYN786445 VIJ786445 VSF786445 WCB786445 WLX786445 WVT786445 J851981 JH851981 TD851981 ACZ851981 AMV851981 AWR851981 BGN851981 BQJ851981 CAF851981 CKB851981 CTX851981 DDT851981 DNP851981 DXL851981 EHH851981 ERD851981 FAZ851981 FKV851981 FUR851981 GEN851981 GOJ851981 GYF851981 HIB851981 HRX851981 IBT851981 ILP851981 IVL851981 JFH851981 JPD851981 JYZ851981 KIV851981 KSR851981 LCN851981 LMJ851981 LWF851981 MGB851981 MPX851981 MZT851981 NJP851981 NTL851981 ODH851981 OND851981 OWZ851981 PGV851981 PQR851981 QAN851981 QKJ851981 QUF851981 REB851981 RNX851981 RXT851981 SHP851981 SRL851981 TBH851981 TLD851981 TUZ851981 UEV851981 UOR851981 UYN851981 VIJ851981 VSF851981 WCB851981 WLX851981 WVT851981 J917517 JH917517 TD917517 ACZ917517 AMV917517 AWR917517 BGN917517 BQJ917517 CAF917517 CKB917517 CTX917517 DDT917517 DNP917517 DXL917517 EHH917517 ERD917517 FAZ917517 FKV917517 FUR917517 GEN917517 GOJ917517 GYF917517 HIB917517 HRX917517 IBT917517 ILP917517 IVL917517 JFH917517 JPD917517 JYZ917517 KIV917517 KSR917517 LCN917517 LMJ917517 LWF917517 MGB917517 MPX917517 MZT917517 NJP917517 NTL917517 ODH917517 OND917517 OWZ917517 PGV917517 PQR917517 QAN917517 QKJ917517 QUF917517 REB917517 RNX917517 RXT917517 SHP917517 SRL917517 TBH917517 TLD917517 TUZ917517 UEV917517 UOR917517 UYN917517 VIJ917517 VSF917517 WCB917517 WLX917517 WVT917517 J983053 JH983053 TD983053 ACZ983053 AMV983053 AWR983053 BGN983053 BQJ983053 CAF983053 CKB983053 CTX983053 DDT983053 DNP983053 DXL983053 EHH983053 ERD983053 FAZ983053 FKV983053 FUR983053 GEN983053 GOJ983053 GYF983053 HIB983053 HRX983053 IBT983053 ILP983053 IVL983053 JFH983053 JPD983053 JYZ983053 KIV983053 KSR983053 LCN983053 LMJ983053 LWF983053 MGB983053 MPX983053 MZT983053 NJP983053 NTL983053 ODH983053 OND983053 OWZ983053 PGV983053 PQR983053 QAN983053 QKJ983053 QUF983053 REB983053 RNX983053 RXT983053 SHP983053 SRL983053 TBH983053 TLD983053 TUZ983053 UEV983053 UOR983053 UYN983053 VIJ983053 VSF983053 WCB983053 WLX983053 WVT983053 JE16 TA16 ACW16 AMS16 AWO16 BGK16 BQG16 CAC16 CJY16 CTU16 DDQ16 DNM16 DXI16 EHE16 ERA16 FAW16 FKS16 FUO16 GEK16 GOG16 GYC16 HHY16 HRU16 IBQ16 ILM16 IVI16 JFE16 JPA16 JYW16 KIS16 KSO16 LCK16 LMG16 LWC16 MFY16 MPU16 MZQ16 NJM16 NTI16 ODE16 ONA16 OWW16 PGS16 PQO16 QAK16 QKG16 QUC16 RDY16 RNU16 RXQ16 SHM16 SRI16 TBE16 TLA16 TUW16 UES16 UOO16 UYK16 VIG16 VSC16 WBY16 WLU16 WVQ16 P131085 G65549 JE65549 TA65549 ACW65549 AMS65549 AWO65549 BGK65549 BQG65549 CAC65549 CJY65549 CTU65549 DDQ65549 DNM65549 DXI65549 EHE65549 ERA65549 FAW65549 FKS65549 FUO65549 GEK65549 GOG65549 GYC65549 HHY65549 HRU65549 IBQ65549 ILM65549 IVI65549 JFE65549 JPA65549 JYW65549 KIS65549 KSO65549 LCK65549 LMG65549 LWC65549 MFY65549 MPU65549 MZQ65549 NJM65549 NTI65549 ODE65549 ONA65549 OWW65549 PGS65549 PQO65549 QAK65549 QKG65549 QUC65549 RDY65549 RNU65549 RXQ65549 SHM65549 SRI65549 TBE65549 TLA65549 TUW65549 UES65549 UOO65549 UYK65549 VIG65549 VSC65549 WBY65549 WLU65549 WVQ65549 G131085 JE131085 TA131085 ACW131085 AMS131085 AWO131085 BGK131085 BQG131085 CAC131085 CJY131085 CTU131085 DDQ131085 DNM131085 DXI131085 EHE131085 ERA131085 FAW131085 FKS131085 FUO131085 GEK131085 GOG131085 GYC131085 HHY131085 HRU131085 IBQ131085 ILM131085 IVI131085 JFE131085 JPA131085 JYW131085 KIS131085 KSO131085 LCK131085 LMG131085 LWC131085 MFY131085 MPU131085 MZQ131085 NJM131085 NTI131085 ODE131085 ONA131085 OWW131085 PGS131085 PQO131085 QAK131085 QKG131085 QUC131085 RDY131085 RNU131085 RXQ131085 SHM131085 SRI131085 TBE131085 TLA131085 TUW131085 UES131085 UOO131085 UYK131085 VIG131085 VSC131085 WBY131085 WLU131085 WVQ131085 G196621 JE196621 TA196621 ACW196621 AMS196621 AWO196621 BGK196621 BQG196621 CAC196621 CJY196621 CTU196621 DDQ196621 DNM196621 DXI196621 EHE196621 ERA196621 FAW196621 FKS196621 FUO196621 GEK196621 GOG196621 GYC196621 HHY196621 HRU196621 IBQ196621 ILM196621 IVI196621 JFE196621 JPA196621 JYW196621 KIS196621 KSO196621 LCK196621 LMG196621 LWC196621 MFY196621 MPU196621 MZQ196621 NJM196621 NTI196621 ODE196621 ONA196621 OWW196621 PGS196621 PQO196621 QAK196621 QKG196621 QUC196621 RDY196621 RNU196621 RXQ196621 SHM196621 SRI196621 TBE196621 TLA196621 TUW196621 UES196621 UOO196621 UYK196621 VIG196621 VSC196621 WBY196621 WLU196621 WVQ196621 G262157 JE262157 TA262157 ACW262157 AMS262157 AWO262157 BGK262157 BQG262157 CAC262157 CJY262157 CTU262157 DDQ262157 DNM262157 DXI262157 EHE262157 ERA262157 FAW262157 FKS262157 FUO262157 GEK262157 GOG262157 GYC262157 HHY262157 HRU262157 IBQ262157 ILM262157 IVI262157 JFE262157 JPA262157 JYW262157 KIS262157 KSO262157 LCK262157 LMG262157 LWC262157 MFY262157 MPU262157 MZQ262157 NJM262157 NTI262157 ODE262157 ONA262157 OWW262157 PGS262157 PQO262157 QAK262157 QKG262157 QUC262157 RDY262157 RNU262157 RXQ262157 SHM262157 SRI262157 TBE262157 TLA262157 TUW262157 UES262157 UOO262157 UYK262157 VIG262157 VSC262157 WBY262157 WLU262157 WVQ262157 G327693 JE327693 TA327693 ACW327693 AMS327693 AWO327693 BGK327693 BQG327693 CAC327693 CJY327693 CTU327693 DDQ327693 DNM327693 DXI327693 EHE327693 ERA327693 FAW327693 FKS327693 FUO327693 GEK327693 GOG327693 GYC327693 HHY327693 HRU327693 IBQ327693 ILM327693 IVI327693 JFE327693 JPA327693 JYW327693 KIS327693 KSO327693 LCK327693 LMG327693 LWC327693 MFY327693 MPU327693 MZQ327693 NJM327693 NTI327693 ODE327693 ONA327693 OWW327693 PGS327693 PQO327693 QAK327693 QKG327693 QUC327693 RDY327693 RNU327693 RXQ327693 SHM327693 SRI327693 TBE327693 TLA327693 TUW327693 UES327693 UOO327693 UYK327693 VIG327693 VSC327693 WBY327693 WLU327693 WVQ327693 G393229 JE393229 TA393229 ACW393229 AMS393229 AWO393229 BGK393229 BQG393229 CAC393229 CJY393229 CTU393229 DDQ393229 DNM393229 DXI393229 EHE393229 ERA393229 FAW393229 FKS393229 FUO393229 GEK393229 GOG393229 GYC393229 HHY393229 HRU393229 IBQ393229 ILM393229 IVI393229 JFE393229 JPA393229 JYW393229 KIS393229 KSO393229 LCK393229 LMG393229 LWC393229 MFY393229 MPU393229 MZQ393229 NJM393229 NTI393229 ODE393229 ONA393229 OWW393229 PGS393229 PQO393229 QAK393229 QKG393229 QUC393229 RDY393229 RNU393229 RXQ393229 SHM393229 SRI393229 TBE393229 TLA393229 TUW393229 UES393229 UOO393229 UYK393229 VIG393229 VSC393229 WBY393229 WLU393229 WVQ393229 G458765 JE458765 TA458765 ACW458765 AMS458765 AWO458765 BGK458765 BQG458765 CAC458765 CJY458765 CTU458765 DDQ458765 DNM458765 DXI458765 EHE458765 ERA458765 FAW458765 FKS458765 FUO458765 GEK458765 GOG458765 GYC458765 HHY458765 HRU458765 IBQ458765 ILM458765 IVI458765 JFE458765 JPA458765 JYW458765 KIS458765 KSO458765 LCK458765 LMG458765 LWC458765 MFY458765 MPU458765 MZQ458765 NJM458765 NTI458765 ODE458765 ONA458765 OWW458765 PGS458765 PQO458765 QAK458765 QKG458765 QUC458765 RDY458765 RNU458765 RXQ458765 SHM458765 SRI458765 TBE458765 TLA458765 TUW458765 UES458765 UOO458765 UYK458765 VIG458765 VSC458765 WBY458765 WLU458765 WVQ458765 G524301 JE524301 TA524301 ACW524301 AMS524301 AWO524301 BGK524301 BQG524301 CAC524301 CJY524301 CTU524301 DDQ524301 DNM524301 DXI524301 EHE524301 ERA524301 FAW524301 FKS524301 FUO524301 GEK524301 GOG524301 GYC524301 HHY524301 HRU524301 IBQ524301 ILM524301 IVI524301 JFE524301 JPA524301 JYW524301 KIS524301 KSO524301 LCK524301 LMG524301 LWC524301 MFY524301 MPU524301 MZQ524301 NJM524301 NTI524301 ODE524301 ONA524301 OWW524301 PGS524301 PQO524301 QAK524301 QKG524301 QUC524301 RDY524301 RNU524301 RXQ524301 SHM524301 SRI524301 TBE524301 TLA524301 TUW524301 UES524301 UOO524301 UYK524301 VIG524301 VSC524301 WBY524301 WLU524301 WVQ524301 G589837 JE589837 TA589837 ACW589837 AMS589837 AWO589837 BGK589837 BQG589837 CAC589837 CJY589837 CTU589837 DDQ589837 DNM589837 DXI589837 EHE589837 ERA589837 FAW589837 FKS589837 FUO589837 GEK589837 GOG589837 GYC589837 HHY589837 HRU589837 IBQ589837 ILM589837 IVI589837 JFE589837 JPA589837 JYW589837 KIS589837 KSO589837 LCK589837 LMG589837 LWC589837 MFY589837 MPU589837 MZQ589837 NJM589837 NTI589837 ODE589837 ONA589837 OWW589837 PGS589837 PQO589837 QAK589837 QKG589837 QUC589837 RDY589837 RNU589837 RXQ589837 SHM589837 SRI589837 TBE589837 TLA589837 TUW589837 UES589837 UOO589837 UYK589837 VIG589837 VSC589837 WBY589837 WLU589837 WVQ589837 G655373 JE655373 TA655373 ACW655373 AMS655373 AWO655373 BGK655373 BQG655373 CAC655373 CJY655373 CTU655373 DDQ655373 DNM655373 DXI655373 EHE655373 ERA655373 FAW655373 FKS655373 FUO655373 GEK655373 GOG655373 GYC655373 HHY655373 HRU655373 IBQ655373 ILM655373 IVI655373 JFE655373 JPA655373 JYW655373 KIS655373 KSO655373 LCK655373 LMG655373 LWC655373 MFY655373 MPU655373 MZQ655373 NJM655373 NTI655373 ODE655373 ONA655373 OWW655373 PGS655373 PQO655373 QAK655373 QKG655373 QUC655373 RDY655373 RNU655373 RXQ655373 SHM655373 SRI655373 TBE655373 TLA655373 TUW655373 UES655373 UOO655373 UYK655373 VIG655373 VSC655373 WBY655373 WLU655373 WVQ655373 G720909 JE720909 TA720909 ACW720909 AMS720909 AWO720909 BGK720909 BQG720909 CAC720909 CJY720909 CTU720909 DDQ720909 DNM720909 DXI720909 EHE720909 ERA720909 FAW720909 FKS720909 FUO720909 GEK720909 GOG720909 GYC720909 HHY720909 HRU720909 IBQ720909 ILM720909 IVI720909 JFE720909 JPA720909 JYW720909 KIS720909 KSO720909 LCK720909 LMG720909 LWC720909 MFY720909 MPU720909 MZQ720909 NJM720909 NTI720909 ODE720909 ONA720909 OWW720909 PGS720909 PQO720909 QAK720909 QKG720909 QUC720909 RDY720909 RNU720909 RXQ720909 SHM720909 SRI720909 TBE720909 TLA720909 TUW720909 UES720909 UOO720909 UYK720909 VIG720909 VSC720909 WBY720909 WLU720909 WVQ720909 G786445 JE786445 TA786445 ACW786445 AMS786445 AWO786445 BGK786445 BQG786445 CAC786445 CJY786445 CTU786445 DDQ786445 DNM786445 DXI786445 EHE786445 ERA786445 FAW786445 FKS786445 FUO786445 GEK786445 GOG786445 GYC786445 HHY786445 HRU786445 IBQ786445 ILM786445 IVI786445 JFE786445 JPA786445 JYW786445 KIS786445 KSO786445 LCK786445 LMG786445 LWC786445 MFY786445 MPU786445 MZQ786445 NJM786445 NTI786445 ODE786445 ONA786445 OWW786445 PGS786445 PQO786445 QAK786445 QKG786445 QUC786445 RDY786445 RNU786445 RXQ786445 SHM786445 SRI786445 TBE786445 TLA786445 TUW786445 UES786445 UOO786445 UYK786445 VIG786445 VSC786445 WBY786445 WLU786445 WVQ786445 G851981 JE851981 TA851981 ACW851981 AMS851981 AWO851981 BGK851981 BQG851981 CAC851981 CJY851981 CTU851981 DDQ851981 DNM851981 DXI851981 EHE851981 ERA851981 FAW851981 FKS851981 FUO851981 GEK851981 GOG851981 GYC851981 HHY851981 HRU851981 IBQ851981 ILM851981 IVI851981 JFE851981 JPA851981 JYW851981 KIS851981 KSO851981 LCK851981 LMG851981 LWC851981 MFY851981 MPU851981 MZQ851981 NJM851981 NTI851981 ODE851981 ONA851981 OWW851981 PGS851981 PQO851981 QAK851981 QKG851981 QUC851981 RDY851981 RNU851981 RXQ851981 SHM851981 SRI851981 TBE851981 TLA851981 TUW851981 UES851981 UOO851981 UYK851981 VIG851981 VSC851981 WBY851981 WLU851981 WVQ851981 G917517 JE917517 TA917517 ACW917517 AMS917517 AWO917517 BGK917517 BQG917517 CAC917517 CJY917517 CTU917517 DDQ917517 DNM917517 DXI917517 EHE917517 ERA917517 FAW917517 FKS917517 FUO917517 GEK917517 GOG917517 GYC917517 HHY917517 HRU917517 IBQ917517 ILM917517 IVI917517 JFE917517 JPA917517 JYW917517 KIS917517 KSO917517 LCK917517 LMG917517 LWC917517 MFY917517 MPU917517 MZQ917517 NJM917517 NTI917517 ODE917517 ONA917517 OWW917517 PGS917517 PQO917517 QAK917517 QKG917517 QUC917517 RDY917517 RNU917517 RXQ917517 SHM917517 SRI917517 TBE917517 TLA917517 TUW917517 UES917517 UOO917517 UYK917517 VIG917517 VSC917517 WBY917517 WLU917517 WVQ917517 G983053 JE983053 TA983053 ACW983053 AMS983053 AWO983053 BGK983053 BQG983053 CAC983053 CJY983053 CTU983053 DDQ983053 DNM983053 DXI983053 EHE983053 ERA983053 FAW983053 FKS983053 FUO983053 GEK983053 GOG983053 GYC983053 HHY983053 HRU983053 IBQ983053 ILM983053 IVI983053 JFE983053 JPA983053 JYW983053 KIS983053 KSO983053 LCK983053 LMG983053 LWC983053 MFY983053 MPU983053 MZQ983053 NJM983053 NTI983053 ODE983053 ONA983053 OWW983053 PGS983053 PQO983053 QAK983053 QKG983053 QUC983053 RDY983053 RNU983053 RXQ983053 SHM983053 SRI983053 TBE983053 TLA983053 TUW983053 UES983053 UOO983053 UYK983053 VIG983053 VSC983053 WBY983053 WLU983053 WVQ983053 JN16 TJ16 ADF16 ANB16 AWX16 BGT16 BQP16 CAL16 CKH16 CUD16 DDZ16 DNV16 DXR16 EHN16 ERJ16 FBF16 FLB16 FUX16 GET16 GOP16 GYL16 HIH16 HSD16 IBZ16 ILV16 IVR16 JFN16 JPJ16 JZF16 KJB16 KSX16 LCT16 LMP16 LWL16 MGH16 MQD16 MZZ16 NJV16 NTR16 ODN16 ONJ16 OXF16 PHB16 PQX16 QAT16 QKP16 QUL16 REH16 ROD16 RXZ16 SHV16 SRR16 TBN16 TLJ16 TVF16 UFB16 UOX16 UYT16 VIP16 VSL16 WCH16 WMD16 WVZ16 M16 P196621 JN65549 TJ65549 ADF65549 ANB65549 AWX65549 BGT65549 BQP65549 CAL65549 CKH65549 CUD65549 DDZ65549 DNV65549 DXR65549 EHN65549 ERJ65549 FBF65549 FLB65549 FUX65549 GET65549 GOP65549 GYL65549 HIH65549 HSD65549 IBZ65549 ILV65549 IVR65549 JFN65549 JPJ65549 JZF65549 KJB65549 KSX65549 LCT65549 LMP65549 LWL65549 MGH65549 MQD65549 MZZ65549 NJV65549 NTR65549 ODN65549 ONJ65549 OXF65549 PHB65549 PQX65549 QAT65549 QKP65549 QUL65549 REH65549 ROD65549 RXZ65549 SHV65549 SRR65549 TBN65549 TLJ65549 TVF65549 UFB65549 UOX65549 UYT65549 VIP65549 VSL65549 WCH65549 WMD65549 WVZ65549 P262157 JN131085 TJ131085 ADF131085 ANB131085 AWX131085 BGT131085 BQP131085 CAL131085 CKH131085 CUD131085 DDZ131085 DNV131085 DXR131085 EHN131085 ERJ131085 FBF131085 FLB131085 FUX131085 GET131085 GOP131085 GYL131085 HIH131085 HSD131085 IBZ131085 ILV131085 IVR131085 JFN131085 JPJ131085 JZF131085 KJB131085 KSX131085 LCT131085 LMP131085 LWL131085 MGH131085 MQD131085 MZZ131085 NJV131085 NTR131085 ODN131085 ONJ131085 OXF131085 PHB131085 PQX131085 QAT131085 QKP131085 QUL131085 REH131085 ROD131085 RXZ131085 SHV131085 SRR131085 TBN131085 TLJ131085 TVF131085 UFB131085 UOX131085 UYT131085 VIP131085 VSL131085 WCH131085 WMD131085 WVZ131085 P327693 JN196621 TJ196621 ADF196621 ANB196621 AWX196621 BGT196621 BQP196621 CAL196621 CKH196621 CUD196621 DDZ196621 DNV196621 DXR196621 EHN196621 ERJ196621 FBF196621 FLB196621 FUX196621 GET196621 GOP196621 GYL196621 HIH196621 HSD196621 IBZ196621 ILV196621 IVR196621 JFN196621 JPJ196621 JZF196621 KJB196621 KSX196621 LCT196621 LMP196621 LWL196621 MGH196621 MQD196621 MZZ196621 NJV196621 NTR196621 ODN196621 ONJ196621 OXF196621 PHB196621 PQX196621 QAT196621 QKP196621 QUL196621 REH196621 ROD196621 RXZ196621 SHV196621 SRR196621 TBN196621 TLJ196621 TVF196621 UFB196621 UOX196621 UYT196621 VIP196621 VSL196621 WCH196621 WMD196621 WVZ196621 P393229 JN262157 TJ262157 ADF262157 ANB262157 AWX262157 BGT262157 BQP262157 CAL262157 CKH262157 CUD262157 DDZ262157 DNV262157 DXR262157 EHN262157 ERJ262157 FBF262157 FLB262157 FUX262157 GET262157 GOP262157 GYL262157 HIH262157 HSD262157 IBZ262157 ILV262157 IVR262157 JFN262157 JPJ262157 JZF262157 KJB262157 KSX262157 LCT262157 LMP262157 LWL262157 MGH262157 MQD262157 MZZ262157 NJV262157 NTR262157 ODN262157 ONJ262157 OXF262157 PHB262157 PQX262157 QAT262157 QKP262157 QUL262157 REH262157 ROD262157 RXZ262157 SHV262157 SRR262157 TBN262157 TLJ262157 TVF262157 UFB262157 UOX262157 UYT262157 VIP262157 VSL262157 WCH262157 WMD262157 WVZ262157 P458765 JN327693 TJ327693 ADF327693 ANB327693 AWX327693 BGT327693 BQP327693 CAL327693 CKH327693 CUD327693 DDZ327693 DNV327693 DXR327693 EHN327693 ERJ327693 FBF327693 FLB327693 FUX327693 GET327693 GOP327693 GYL327693 HIH327693 HSD327693 IBZ327693 ILV327693 IVR327693 JFN327693 JPJ327693 JZF327693 KJB327693 KSX327693 LCT327693 LMP327693 LWL327693 MGH327693 MQD327693 MZZ327693 NJV327693 NTR327693 ODN327693 ONJ327693 OXF327693 PHB327693 PQX327693 QAT327693 QKP327693 QUL327693 REH327693 ROD327693 RXZ327693 SHV327693 SRR327693 TBN327693 TLJ327693 TVF327693 UFB327693 UOX327693 UYT327693 VIP327693 VSL327693 WCH327693 WMD327693 WVZ327693 P524301 JN393229 TJ393229 ADF393229 ANB393229 AWX393229 BGT393229 BQP393229 CAL393229 CKH393229 CUD393229 DDZ393229 DNV393229 DXR393229 EHN393229 ERJ393229 FBF393229 FLB393229 FUX393229 GET393229 GOP393229 GYL393229 HIH393229 HSD393229 IBZ393229 ILV393229 IVR393229 JFN393229 JPJ393229 JZF393229 KJB393229 KSX393229 LCT393229 LMP393229 LWL393229 MGH393229 MQD393229 MZZ393229 NJV393229 NTR393229 ODN393229 ONJ393229 OXF393229 PHB393229 PQX393229 QAT393229 QKP393229 QUL393229 REH393229 ROD393229 RXZ393229 SHV393229 SRR393229 TBN393229 TLJ393229 TVF393229 UFB393229 UOX393229 UYT393229 VIP393229 VSL393229 WCH393229 WMD393229 WVZ393229 P589837 JN458765 TJ458765 ADF458765 ANB458765 AWX458765 BGT458765 BQP458765 CAL458765 CKH458765 CUD458765 DDZ458765 DNV458765 DXR458765 EHN458765 ERJ458765 FBF458765 FLB458765 FUX458765 GET458765 GOP458765 GYL458765 HIH458765 HSD458765 IBZ458765 ILV458765 IVR458765 JFN458765 JPJ458765 JZF458765 KJB458765 KSX458765 LCT458765 LMP458765 LWL458765 MGH458765 MQD458765 MZZ458765 NJV458765 NTR458765 ODN458765 ONJ458765 OXF458765 PHB458765 PQX458765 QAT458765 QKP458765 QUL458765 REH458765 ROD458765 RXZ458765 SHV458765 SRR458765 TBN458765 TLJ458765 TVF458765 UFB458765 UOX458765 UYT458765 VIP458765 VSL458765 WCH458765 WMD458765 WVZ458765 P655373 JN524301 TJ524301 ADF524301 ANB524301 AWX524301 BGT524301 BQP524301 CAL524301 CKH524301 CUD524301 DDZ524301 DNV524301 DXR524301 EHN524301 ERJ524301 FBF524301 FLB524301 FUX524301 GET524301 GOP524301 GYL524301 HIH524301 HSD524301 IBZ524301 ILV524301 IVR524301 JFN524301 JPJ524301 JZF524301 KJB524301 KSX524301 LCT524301 LMP524301 LWL524301 MGH524301 MQD524301 MZZ524301 NJV524301 NTR524301 ODN524301 ONJ524301 OXF524301 PHB524301 PQX524301 QAT524301 QKP524301 QUL524301 REH524301 ROD524301 RXZ524301 SHV524301 SRR524301 TBN524301 TLJ524301 TVF524301 UFB524301 UOX524301 UYT524301 VIP524301 VSL524301 WCH524301 WMD524301 WVZ524301 P720909 JN589837 TJ589837 ADF589837 ANB589837 AWX589837 BGT589837 BQP589837 CAL589837 CKH589837 CUD589837 DDZ589837 DNV589837 DXR589837 EHN589837 ERJ589837 FBF589837 FLB589837 FUX589837 GET589837 GOP589837 GYL589837 HIH589837 HSD589837 IBZ589837 ILV589837 IVR589837 JFN589837 JPJ589837 JZF589837 KJB589837 KSX589837 LCT589837 LMP589837 LWL589837 MGH589837 MQD589837 MZZ589837 NJV589837 NTR589837 ODN589837 ONJ589837 OXF589837 PHB589837 PQX589837 QAT589837 QKP589837 QUL589837 REH589837 ROD589837 RXZ589837 SHV589837 SRR589837 TBN589837 TLJ589837 TVF589837 UFB589837 UOX589837 UYT589837 VIP589837 VSL589837 WCH589837 WMD589837 WVZ589837 P786445 JN655373 TJ655373 ADF655373 ANB655373 AWX655373 BGT655373 BQP655373 CAL655373 CKH655373 CUD655373 DDZ655373 DNV655373 DXR655373 EHN655373 ERJ655373 FBF655373 FLB655373 FUX655373 GET655373 GOP655373 GYL655373 HIH655373 HSD655373 IBZ655373 ILV655373 IVR655373 JFN655373 JPJ655373 JZF655373 KJB655373 KSX655373 LCT655373 LMP655373 LWL655373 MGH655373 MQD655373 MZZ655373 NJV655373 NTR655373 ODN655373 ONJ655373 OXF655373 PHB655373 PQX655373 QAT655373 QKP655373 QUL655373 REH655373 ROD655373 RXZ655373 SHV655373 SRR655373 TBN655373 TLJ655373 TVF655373 UFB655373 UOX655373 UYT655373 VIP655373 VSL655373 WCH655373 WMD655373 WVZ655373 P851981 JN720909 TJ720909 ADF720909 ANB720909 AWX720909 BGT720909 BQP720909 CAL720909 CKH720909 CUD720909 DDZ720909 DNV720909 DXR720909 EHN720909 ERJ720909 FBF720909 FLB720909 FUX720909 GET720909 GOP720909 GYL720909 HIH720909 HSD720909 IBZ720909 ILV720909 IVR720909 JFN720909 JPJ720909 JZF720909 KJB720909 KSX720909 LCT720909 LMP720909 LWL720909 MGH720909 MQD720909 MZZ720909 NJV720909 NTR720909 ODN720909 ONJ720909 OXF720909 PHB720909 PQX720909 QAT720909 QKP720909 QUL720909 REH720909 ROD720909 RXZ720909 SHV720909 SRR720909 TBN720909 TLJ720909 TVF720909 UFB720909 UOX720909 UYT720909 VIP720909 VSL720909 WCH720909 WMD720909 WVZ720909 P917517 JN786445 TJ786445 ADF786445 ANB786445 AWX786445 BGT786445 BQP786445 CAL786445 CKH786445 CUD786445 DDZ786445 DNV786445 DXR786445 EHN786445 ERJ786445 FBF786445 FLB786445 FUX786445 GET786445 GOP786445 GYL786445 HIH786445 HSD786445 IBZ786445 ILV786445 IVR786445 JFN786445 JPJ786445 JZF786445 KJB786445 KSX786445 LCT786445 LMP786445 LWL786445 MGH786445 MQD786445 MZZ786445 NJV786445 NTR786445 ODN786445 ONJ786445 OXF786445 PHB786445 PQX786445 QAT786445 QKP786445 QUL786445 REH786445 ROD786445 RXZ786445 SHV786445 SRR786445 TBN786445 TLJ786445 TVF786445 UFB786445 UOX786445 UYT786445 VIP786445 VSL786445 WCH786445 WMD786445 WVZ786445 P983053 JN851981 TJ851981 ADF851981 ANB851981 AWX851981 BGT851981 BQP851981 CAL851981 CKH851981 CUD851981 DDZ851981 DNV851981 DXR851981 EHN851981 ERJ851981 FBF851981 FLB851981 FUX851981 GET851981 GOP851981 GYL851981 HIH851981 HSD851981 IBZ851981 ILV851981 IVR851981 JFN851981 JPJ851981 JZF851981 KJB851981 KSX851981 LCT851981 LMP851981 LWL851981 MGH851981 MQD851981 MZZ851981 NJV851981 NTR851981 ODN851981 ONJ851981 OXF851981 PHB851981 PQX851981 QAT851981 QKP851981 QUL851981 REH851981 ROD851981 RXZ851981 SHV851981 SRR851981 TBN851981 TLJ851981 TVF851981 UFB851981 UOX851981 UYT851981 VIP851981 VSL851981 WCH851981 WMD851981 WVZ851981 P16 JN917517 TJ917517 ADF917517 ANB917517 AWX917517 BGT917517 BQP917517 CAL917517 CKH917517 CUD917517 DDZ917517 DNV917517 DXR917517 EHN917517 ERJ917517 FBF917517 FLB917517 FUX917517 GET917517 GOP917517 GYL917517 HIH917517 HSD917517 IBZ917517 ILV917517 IVR917517 JFN917517 JPJ917517 JZF917517 KJB917517 KSX917517 LCT917517 LMP917517 LWL917517 MGH917517 MQD917517 MZZ917517 NJV917517 NTR917517 ODN917517 ONJ917517 OXF917517 PHB917517 PQX917517 QAT917517 QKP917517 QUL917517 REH917517 ROD917517 RXZ917517 SHV917517 SRR917517 TBN917517 TLJ917517 TVF917517 UFB917517 UOX917517 UYT917517 VIP917517 VSL917517 WCH917517 WMD917517 WVZ917517 D1:E1048576 JN983053 TJ983053 ADF983053 ANB983053 AWX983053 BGT983053 BQP983053 CAL983053 CKH983053 CUD983053 DDZ983053 DNV983053 DXR983053 EHN983053 ERJ983053 FBF983053 FLB983053 FUX983053 GET983053 GOP983053 GYL983053 HIH983053 HSD983053 IBZ983053 ILV983053 IVR983053 JFN983053 JPJ983053 JZF983053 KJB983053 KSX983053 LCT983053 LMP983053 LWL983053 MGH983053 MQD983053 MZZ983053 NJV983053 NTR983053 ODN983053 ONJ983053 OXF983053 PHB983053 PQX983053 QAT983053 QKP983053 QUL983053 REH983053 ROD983053 RXZ983053 SHV983053 SRR983053 TBN983053 TLJ983053 TVF983053 UFB983053 UOX983053 UYT983053 VIP983053 VSL983053 WCH983053 WMD983053 WVZ983053 JK16 TG16 ADC16 AMY16 AWU16 BGQ16 BQM16 CAI16 CKE16 CUA16 DDW16 DNS16 DXO16 EHK16 ERG16 FBC16 FKY16 FUU16 GEQ16 GOM16 GYI16 HIE16 HSA16 IBW16 ILS16 IVO16 JFK16 JPG16 JZC16 KIY16 KSU16 LCQ16 LMM16 LWI16 MGE16 MQA16 MZW16 NJS16 NTO16 ODK16 ONG16 OXC16 PGY16 PQU16 QAQ16 QKM16 QUI16 REE16 ROA16 RXW16 SHS16 SRO16 TBK16 TLG16 TVC16 UEY16 UOU16 UYQ16 VIM16 VSI16 WCE16 WMA16 WVW16 M65549 JK65549 TG65549 ADC65549 AMY65549 AWU65549 BGQ65549 BQM65549 CAI65549 CKE65549 CUA65549 DDW65549 DNS65549 DXO65549 EHK65549 ERG65549 FBC65549 FKY65549 FUU65549 GEQ65549 GOM65549 GYI65549 HIE65549 HSA65549 IBW65549 ILS65549 IVO65549 JFK65549 JPG65549 JZC65549 KIY65549 KSU65549 LCQ65549 LMM65549 LWI65549 MGE65549 MQA65549 MZW65549 NJS65549 NTO65549 ODK65549 ONG65549 OXC65549 PGY65549 PQU65549 QAQ65549 QKM65549 QUI65549 REE65549 ROA65549 RXW65549 SHS65549 SRO65549 TBK65549 TLG65549 TVC65549 UEY65549 UOU65549 UYQ65549 VIM65549 VSI65549 WCE65549 WMA65549 WVW65549 M131085 JK131085 TG131085 ADC131085 AMY131085 AWU131085 BGQ131085 BQM131085 CAI131085 CKE131085 CUA131085 DDW131085 DNS131085 DXO131085 EHK131085 ERG131085 FBC131085 FKY131085 FUU131085 GEQ131085 GOM131085 GYI131085 HIE131085 HSA131085 IBW131085 ILS131085 IVO131085 JFK131085 JPG131085 JZC131085 KIY131085 KSU131085 LCQ131085 LMM131085 LWI131085 MGE131085 MQA131085 MZW131085 NJS131085 NTO131085 ODK131085 ONG131085 OXC131085 PGY131085 PQU131085 QAQ131085 QKM131085 QUI131085 REE131085 ROA131085 RXW131085 SHS131085 SRO131085 TBK131085 TLG131085 TVC131085 UEY131085 UOU131085 UYQ131085 VIM131085 VSI131085 WCE131085 WMA131085 WVW131085 M196621 JK196621 TG196621 ADC196621 AMY196621 AWU196621 BGQ196621 BQM196621 CAI196621 CKE196621 CUA196621 DDW196621 DNS196621 DXO196621 EHK196621 ERG196621 FBC196621 FKY196621 FUU196621 GEQ196621 GOM196621 GYI196621 HIE196621 HSA196621 IBW196621 ILS196621 IVO196621 JFK196621 JPG196621 JZC196621 KIY196621 KSU196621 LCQ196621 LMM196621 LWI196621 MGE196621 MQA196621 MZW196621 NJS196621 NTO196621 ODK196621 ONG196621 OXC196621 PGY196621 PQU196621 QAQ196621 QKM196621 QUI196621 REE196621 ROA196621 RXW196621 SHS196621 SRO196621 TBK196621 TLG196621 TVC196621 UEY196621 UOU196621 UYQ196621 VIM196621 VSI196621 WCE196621 WMA196621 WVW196621 M262157 JK262157 TG262157 ADC262157 AMY262157 AWU262157 BGQ262157 BQM262157 CAI262157 CKE262157 CUA262157 DDW262157 DNS262157 DXO262157 EHK262157 ERG262157 FBC262157 FKY262157 FUU262157 GEQ262157 GOM262157 GYI262157 HIE262157 HSA262157 IBW262157 ILS262157 IVO262157 JFK262157 JPG262157 JZC262157 KIY262157 KSU262157 LCQ262157 LMM262157 LWI262157 MGE262157 MQA262157 MZW262157 NJS262157 NTO262157 ODK262157 ONG262157 OXC262157 PGY262157 PQU262157 QAQ262157 QKM262157 QUI262157 REE262157 ROA262157 RXW262157 SHS262157 SRO262157 TBK262157 TLG262157 TVC262157 UEY262157 UOU262157 UYQ262157 VIM262157 VSI262157 WCE262157 WMA262157 WVW262157 M327693 JK327693 TG327693 ADC327693 AMY327693 AWU327693 BGQ327693 BQM327693 CAI327693 CKE327693 CUA327693 DDW327693 DNS327693 DXO327693 EHK327693 ERG327693 FBC327693 FKY327693 FUU327693 GEQ327693 GOM327693 GYI327693 HIE327693 HSA327693 IBW327693 ILS327693 IVO327693 JFK327693 JPG327693 JZC327693 KIY327693 KSU327693 LCQ327693 LMM327693 LWI327693 MGE327693 MQA327693 MZW327693 NJS327693 NTO327693 ODK327693 ONG327693 OXC327693 PGY327693 PQU327693 QAQ327693 QKM327693 QUI327693 REE327693 ROA327693 RXW327693 SHS327693 SRO327693 TBK327693 TLG327693 TVC327693 UEY327693 UOU327693 UYQ327693 VIM327693 VSI327693 WCE327693 WMA327693 WVW327693 M393229 JK393229 TG393229 ADC393229 AMY393229 AWU393229 BGQ393229 BQM393229 CAI393229 CKE393229 CUA393229 DDW393229 DNS393229 DXO393229 EHK393229 ERG393229 FBC393229 FKY393229 FUU393229 GEQ393229 GOM393229 GYI393229 HIE393229 HSA393229 IBW393229 ILS393229 IVO393229 JFK393229 JPG393229 JZC393229 KIY393229 KSU393229 LCQ393229 LMM393229 LWI393229 MGE393229 MQA393229 MZW393229 NJS393229 NTO393229 ODK393229 ONG393229 OXC393229 PGY393229 PQU393229 QAQ393229 QKM393229 QUI393229 REE393229 ROA393229 RXW393229 SHS393229 SRO393229 TBK393229 TLG393229 TVC393229 UEY393229 UOU393229 UYQ393229 VIM393229 VSI393229 WCE393229 WMA393229 WVW393229 M458765 JK458765 TG458765 ADC458765 AMY458765 AWU458765 BGQ458765 BQM458765 CAI458765 CKE458765 CUA458765 DDW458765 DNS458765 DXO458765 EHK458765 ERG458765 FBC458765 FKY458765 FUU458765 GEQ458765 GOM458765 GYI458765 HIE458765 HSA458765 IBW458765 ILS458765 IVO458765 JFK458765 JPG458765 JZC458765 KIY458765 KSU458765 LCQ458765 LMM458765 LWI458765 MGE458765 MQA458765 MZW458765 NJS458765 NTO458765 ODK458765 ONG458765 OXC458765 PGY458765 PQU458765 QAQ458765 QKM458765 QUI458765 REE458765 ROA458765 RXW458765 SHS458765 SRO458765 TBK458765 TLG458765 TVC458765 UEY458765 UOU458765 UYQ458765 VIM458765 VSI458765 WCE458765 WMA458765 WVW458765 M524301 JK524301 TG524301 ADC524301 AMY524301 AWU524301 BGQ524301 BQM524301 CAI524301 CKE524301 CUA524301 DDW524301 DNS524301 DXO524301 EHK524301 ERG524301 FBC524301 FKY524301 FUU524301 GEQ524301 GOM524301 GYI524301 HIE524301 HSA524301 IBW524301 ILS524301 IVO524301 JFK524301 JPG524301 JZC524301 KIY524301 KSU524301 LCQ524301 LMM524301 LWI524301 MGE524301 MQA524301 MZW524301 NJS524301 NTO524301 ODK524301 ONG524301 OXC524301 PGY524301 PQU524301 QAQ524301 QKM524301 QUI524301 REE524301 ROA524301 RXW524301 SHS524301 SRO524301 TBK524301 TLG524301 TVC524301 UEY524301 UOU524301 UYQ524301 VIM524301 VSI524301 WCE524301 WMA524301 WVW524301 M589837 JK589837 TG589837 ADC589837 AMY589837 AWU589837 BGQ589837 BQM589837 CAI589837 CKE589837 CUA589837 DDW589837 DNS589837 DXO589837 EHK589837 ERG589837 FBC589837 FKY589837 FUU589837 GEQ589837 GOM589837 GYI589837 HIE589837 HSA589837 IBW589837 ILS589837 IVO589837 JFK589837 JPG589837 JZC589837 KIY589837 KSU589837 LCQ589837 LMM589837 LWI589837 MGE589837 MQA589837 MZW589837 NJS589837 NTO589837 ODK589837 ONG589837 OXC589837 PGY589837 PQU589837 QAQ589837 QKM589837 QUI589837 REE589837 ROA589837 RXW589837 SHS589837 SRO589837 TBK589837 TLG589837 TVC589837 UEY589837 UOU589837 UYQ589837 VIM589837 VSI589837 WCE589837 WMA589837 WVW589837 M655373 JK655373 TG655373 ADC655373 AMY655373 AWU655373 BGQ655373 BQM655373 CAI655373 CKE655373 CUA655373 DDW655373 DNS655373 DXO655373 EHK655373 ERG655373 FBC655373 FKY655373 FUU655373 GEQ655373 GOM655373 GYI655373 HIE655373 HSA655373 IBW655373 ILS655373 IVO655373 JFK655373 JPG655373 JZC655373 KIY655373 KSU655373 LCQ655373 LMM655373 LWI655373 MGE655373 MQA655373 MZW655373 NJS655373 NTO655373 ODK655373 ONG655373 OXC655373 PGY655373 PQU655373 QAQ655373 QKM655373 QUI655373 REE655373 ROA655373 RXW655373 SHS655373 SRO655373 TBK655373 TLG655373 TVC655373 UEY655373 UOU655373 UYQ655373 VIM655373 VSI655373 WCE655373 WMA655373 WVW655373 M720909 JK720909 TG720909 ADC720909 AMY720909 AWU720909 BGQ720909 BQM720909 CAI720909 CKE720909 CUA720909 DDW720909 DNS720909 DXO720909 EHK720909 ERG720909 FBC720909 FKY720909 FUU720909 GEQ720909 GOM720909 GYI720909 HIE720909 HSA720909 IBW720909 ILS720909 IVO720909 JFK720909 JPG720909 JZC720909 KIY720909 KSU720909 LCQ720909 LMM720909 LWI720909 MGE720909 MQA720909 MZW720909 NJS720909 NTO720909 ODK720909 ONG720909 OXC720909 PGY720909 PQU720909 QAQ720909 QKM720909 QUI720909 REE720909 ROA720909 RXW720909 SHS720909 SRO720909 TBK720909 TLG720909 TVC720909 UEY720909 UOU720909 UYQ720909 VIM720909 VSI720909 WCE720909 WMA720909 WVW720909 M786445 JK786445 TG786445 ADC786445 AMY786445 AWU786445 BGQ786445 BQM786445 CAI786445 CKE786445 CUA786445 DDW786445 DNS786445 DXO786445 EHK786445 ERG786445 FBC786445 FKY786445 FUU786445 GEQ786445 GOM786445 GYI786445 HIE786445 HSA786445 IBW786445 ILS786445 IVO786445 JFK786445 JPG786445 JZC786445 KIY786445 KSU786445 LCQ786445 LMM786445 LWI786445 MGE786445 MQA786445 MZW786445 NJS786445 NTO786445 ODK786445 ONG786445 OXC786445 PGY786445 PQU786445 QAQ786445 QKM786445 QUI786445 REE786445 ROA786445 RXW786445 SHS786445 SRO786445 TBK786445 TLG786445 TVC786445 UEY786445 UOU786445 UYQ786445 VIM786445 VSI786445 WCE786445 WMA786445 WVW786445 M851981 JK851981 TG851981 ADC851981 AMY851981 AWU851981 BGQ851981 BQM851981 CAI851981 CKE851981 CUA851981 DDW851981 DNS851981 DXO851981 EHK851981 ERG851981 FBC851981 FKY851981 FUU851981 GEQ851981 GOM851981 GYI851981 HIE851981 HSA851981 IBW851981 ILS851981 IVO851981 JFK851981 JPG851981 JZC851981 KIY851981 KSU851981 LCQ851981 LMM851981 LWI851981 MGE851981 MQA851981 MZW851981 NJS851981 NTO851981 ODK851981 ONG851981 OXC851981 PGY851981 PQU851981 QAQ851981 QKM851981 QUI851981 REE851981 ROA851981 RXW851981 SHS851981 SRO851981 TBK851981 TLG851981 TVC851981 UEY851981 UOU851981 UYQ851981 VIM851981 VSI851981 WCE851981 WMA851981 WVW851981 M917517 JK917517 TG917517 ADC917517 AMY917517 AWU917517 BGQ917517 BQM917517 CAI917517 CKE917517 CUA917517 DDW917517 DNS917517 DXO917517 EHK917517 ERG917517 FBC917517 FKY917517 FUU917517 GEQ917517 GOM917517 GYI917517 HIE917517 HSA917517 IBW917517 ILS917517 IVO917517 JFK917517 JPG917517 JZC917517 KIY917517 KSU917517 LCQ917517 LMM917517 LWI917517 MGE917517 MQA917517 MZW917517 NJS917517 NTO917517 ODK917517 ONG917517 OXC917517 PGY917517 PQU917517 QAQ917517 QKM917517 QUI917517 REE917517 ROA917517 RXW917517 SHS917517 SRO917517 TBK917517 TLG917517 TVC917517 UEY917517 UOU917517 UYQ917517 VIM917517 VSI917517 WCE917517 WMA917517 WVW917517 M983053 JK983053 TG983053 ADC983053 AMY983053 AWU983053 BGQ983053 BQM983053 CAI983053 CKE983053 CUA983053 DDW983053 DNS983053 DXO983053 EHK983053 ERG983053 FBC983053 FKY983053 FUU983053 GEQ983053 GOM983053 GYI983053 HIE983053 HSA983053 IBW983053 ILS983053 IVO983053 JFK983053 JPG983053 JZC983053 KIY983053 KSU983053 LCQ983053 LMM983053 LWI983053 MGE983053 MQA983053 MZW983053 NJS983053 NTO983053 ODK983053 ONG983053 OXC983053 PGY983053 PQU983053 QAQ983053 QKM983053 QUI983053 REE983053 ROA983053 RXW983053 SHS983053 SRO983053 TBK983053 TLG983053 TVC983053 UEY983053 UOU983053 UYQ983053 VIM983053 VSI983053 WCE983053 WMA983053 WVW983053 J16 WVN1:WVO1048576 WLR1:WLS1048576 WBV1:WBW1048576 VRZ1:VSA1048576 VID1:VIE1048576 UYH1:UYI1048576 UOL1:UOM1048576 UEP1:UEQ1048576 TUT1:TUU1048576 TKX1:TKY1048576 TBB1:TBC1048576 SRF1:SRG1048576 SHJ1:SHK1048576 RXN1:RXO1048576 RNR1:RNS1048576 RDV1:RDW1048576 QTZ1:QUA1048576 QKD1:QKE1048576 QAH1:QAI1048576 PQL1:PQM1048576 PGP1:PGQ1048576 OWT1:OWU1048576 OMX1:OMY1048576 ODB1:ODC1048576 NTF1:NTG1048576 NJJ1:NJK1048576 MZN1:MZO1048576 MPR1:MPS1048576 MFV1:MFW1048576 LVZ1:LWA1048576 LMD1:LME1048576 LCH1:LCI1048576 KSL1:KSM1048576 KIP1:KIQ1048576 JYT1:JYU1048576 JOX1:JOY1048576 JFB1:JFC1048576 IVF1:IVG1048576 ILJ1:ILK1048576 IBN1:IBO1048576 HRR1:HRS1048576 HHV1:HHW1048576 GXZ1:GYA1048576 GOD1:GOE1048576 GEH1:GEI1048576 FUL1:FUM1048576 FKP1:FKQ1048576 FAT1:FAU1048576 EQX1:EQY1048576 EHB1:EHC1048576 DXF1:DXG1048576 DNJ1:DNK1048576 DDN1:DDO1048576 CTR1:CTS1048576 CJV1:CJW1048576 BZZ1:CAA1048576 BQD1:BQE1048576 BGH1:BGI1048576 AWL1:AWM1048576 AMP1:AMQ1048576 ACT1:ACU1048576 SX1:SY1048576 JB1:JC1048576 P65549 Q131085 Q196621 Q262157 Q327693 Q393229 Q458765 Q524301 Q589837 Q655373 Q720909 Q786445 Q851981 Q917517 Q983053 Q16 Q65549" xr:uid="{00000000-0002-0000-0300-000000000000}"/>
    <dataValidation allowBlank="1" showInputMessage="1" showErrorMessage="1" promptTitle="Not valid" sqref="J65550:K131084 JH65550:JI131084 TD65550:TE131084 ACZ65550:ADA131084 AMV65550:AMW131084 AWR65550:AWS131084 BGN65550:BGO131084 BQJ65550:BQK131084 CAF65550:CAG131084 CKB65550:CKC131084 CTX65550:CTY131084 DDT65550:DDU131084 DNP65550:DNQ131084 DXL65550:DXM131084 EHH65550:EHI131084 ERD65550:ERE131084 FAZ65550:FBA131084 FKV65550:FKW131084 FUR65550:FUS131084 GEN65550:GEO131084 GOJ65550:GOK131084 GYF65550:GYG131084 HIB65550:HIC131084 HRX65550:HRY131084 IBT65550:IBU131084 ILP65550:ILQ131084 IVL65550:IVM131084 JFH65550:JFI131084 JPD65550:JPE131084 JYZ65550:JZA131084 KIV65550:KIW131084 KSR65550:KSS131084 LCN65550:LCO131084 LMJ65550:LMK131084 LWF65550:LWG131084 MGB65550:MGC131084 MPX65550:MPY131084 MZT65550:MZU131084 NJP65550:NJQ131084 NTL65550:NTM131084 ODH65550:ODI131084 OND65550:ONE131084 OWZ65550:OXA131084 PGV65550:PGW131084 PQR65550:PQS131084 QAN65550:QAO131084 QKJ65550:QKK131084 QUF65550:QUG131084 REB65550:REC131084 RNX65550:RNY131084 RXT65550:RXU131084 SHP65550:SHQ131084 SRL65550:SRM131084 TBH65550:TBI131084 TLD65550:TLE131084 TUZ65550:TVA131084 UEV65550:UEW131084 UOR65550:UOS131084 UYN65550:UYO131084 VIJ65550:VIK131084 VSF65550:VSG131084 WCB65550:WCC131084 WLX65550:WLY131084 WVT65550:WVU131084 J131086:K196620 JH131086:JI196620 TD131086:TE196620 ACZ131086:ADA196620 AMV131086:AMW196620 AWR131086:AWS196620 BGN131086:BGO196620 BQJ131086:BQK196620 CAF131086:CAG196620 CKB131086:CKC196620 CTX131086:CTY196620 DDT131086:DDU196620 DNP131086:DNQ196620 DXL131086:DXM196620 EHH131086:EHI196620 ERD131086:ERE196620 FAZ131086:FBA196620 FKV131086:FKW196620 FUR131086:FUS196620 GEN131086:GEO196620 GOJ131086:GOK196620 GYF131086:GYG196620 HIB131086:HIC196620 HRX131086:HRY196620 IBT131086:IBU196620 ILP131086:ILQ196620 IVL131086:IVM196620 JFH131086:JFI196620 JPD131086:JPE196620 JYZ131086:JZA196620 KIV131086:KIW196620 KSR131086:KSS196620 LCN131086:LCO196620 LMJ131086:LMK196620 LWF131086:LWG196620 MGB131086:MGC196620 MPX131086:MPY196620 MZT131086:MZU196620 NJP131086:NJQ196620 NTL131086:NTM196620 ODH131086:ODI196620 OND131086:ONE196620 OWZ131086:OXA196620 PGV131086:PGW196620 PQR131086:PQS196620 QAN131086:QAO196620 QKJ131086:QKK196620 QUF131086:QUG196620 REB131086:REC196620 RNX131086:RNY196620 RXT131086:RXU196620 SHP131086:SHQ196620 SRL131086:SRM196620 TBH131086:TBI196620 TLD131086:TLE196620 TUZ131086:TVA196620 UEV131086:UEW196620 UOR131086:UOS196620 UYN131086:UYO196620 VIJ131086:VIK196620 VSF131086:VSG196620 WCB131086:WCC196620 WLX131086:WLY196620 WVT131086:WVU196620 J196622:K262156 JH196622:JI262156 TD196622:TE262156 ACZ196622:ADA262156 AMV196622:AMW262156 AWR196622:AWS262156 BGN196622:BGO262156 BQJ196622:BQK262156 CAF196622:CAG262156 CKB196622:CKC262156 CTX196622:CTY262156 DDT196622:DDU262156 DNP196622:DNQ262156 DXL196622:DXM262156 EHH196622:EHI262156 ERD196622:ERE262156 FAZ196622:FBA262156 FKV196622:FKW262156 FUR196622:FUS262156 GEN196622:GEO262156 GOJ196622:GOK262156 GYF196622:GYG262156 HIB196622:HIC262156 HRX196622:HRY262156 IBT196622:IBU262156 ILP196622:ILQ262156 IVL196622:IVM262156 JFH196622:JFI262156 JPD196622:JPE262156 JYZ196622:JZA262156 KIV196622:KIW262156 KSR196622:KSS262156 LCN196622:LCO262156 LMJ196622:LMK262156 LWF196622:LWG262156 MGB196622:MGC262156 MPX196622:MPY262156 MZT196622:MZU262156 NJP196622:NJQ262156 NTL196622:NTM262156 ODH196622:ODI262156 OND196622:ONE262156 OWZ196622:OXA262156 PGV196622:PGW262156 PQR196622:PQS262156 QAN196622:QAO262156 QKJ196622:QKK262156 QUF196622:QUG262156 REB196622:REC262156 RNX196622:RNY262156 RXT196622:RXU262156 SHP196622:SHQ262156 SRL196622:SRM262156 TBH196622:TBI262156 TLD196622:TLE262156 TUZ196622:TVA262156 UEV196622:UEW262156 UOR196622:UOS262156 UYN196622:UYO262156 VIJ196622:VIK262156 VSF196622:VSG262156 WCB196622:WCC262156 WLX196622:WLY262156 WVT196622:WVU262156 J262158:K327692 JH262158:JI327692 TD262158:TE327692 ACZ262158:ADA327692 AMV262158:AMW327692 AWR262158:AWS327692 BGN262158:BGO327692 BQJ262158:BQK327692 CAF262158:CAG327692 CKB262158:CKC327692 CTX262158:CTY327692 DDT262158:DDU327692 DNP262158:DNQ327692 DXL262158:DXM327692 EHH262158:EHI327692 ERD262158:ERE327692 FAZ262158:FBA327692 FKV262158:FKW327692 FUR262158:FUS327692 GEN262158:GEO327692 GOJ262158:GOK327692 GYF262158:GYG327692 HIB262158:HIC327692 HRX262158:HRY327692 IBT262158:IBU327692 ILP262158:ILQ327692 IVL262158:IVM327692 JFH262158:JFI327692 JPD262158:JPE327692 JYZ262158:JZA327692 KIV262158:KIW327692 KSR262158:KSS327692 LCN262158:LCO327692 LMJ262158:LMK327692 LWF262158:LWG327692 MGB262158:MGC327692 MPX262158:MPY327692 MZT262158:MZU327692 NJP262158:NJQ327692 NTL262158:NTM327692 ODH262158:ODI327692 OND262158:ONE327692 OWZ262158:OXA327692 PGV262158:PGW327692 PQR262158:PQS327692 QAN262158:QAO327692 QKJ262158:QKK327692 QUF262158:QUG327692 REB262158:REC327692 RNX262158:RNY327692 RXT262158:RXU327692 SHP262158:SHQ327692 SRL262158:SRM327692 TBH262158:TBI327692 TLD262158:TLE327692 TUZ262158:TVA327692 UEV262158:UEW327692 UOR262158:UOS327692 UYN262158:UYO327692 VIJ262158:VIK327692 VSF262158:VSG327692 WCB262158:WCC327692 WLX262158:WLY327692 WVT262158:WVU327692 J327694:K393228 JH327694:JI393228 TD327694:TE393228 ACZ327694:ADA393228 AMV327694:AMW393228 AWR327694:AWS393228 BGN327694:BGO393228 BQJ327694:BQK393228 CAF327694:CAG393228 CKB327694:CKC393228 CTX327694:CTY393228 DDT327694:DDU393228 DNP327694:DNQ393228 DXL327694:DXM393228 EHH327694:EHI393228 ERD327694:ERE393228 FAZ327694:FBA393228 FKV327694:FKW393228 FUR327694:FUS393228 GEN327694:GEO393228 GOJ327694:GOK393228 GYF327694:GYG393228 HIB327694:HIC393228 HRX327694:HRY393228 IBT327694:IBU393228 ILP327694:ILQ393228 IVL327694:IVM393228 JFH327694:JFI393228 JPD327694:JPE393228 JYZ327694:JZA393228 KIV327694:KIW393228 KSR327694:KSS393228 LCN327694:LCO393228 LMJ327694:LMK393228 LWF327694:LWG393228 MGB327694:MGC393228 MPX327694:MPY393228 MZT327694:MZU393228 NJP327694:NJQ393228 NTL327694:NTM393228 ODH327694:ODI393228 OND327694:ONE393228 OWZ327694:OXA393228 PGV327694:PGW393228 PQR327694:PQS393228 QAN327694:QAO393228 QKJ327694:QKK393228 QUF327694:QUG393228 REB327694:REC393228 RNX327694:RNY393228 RXT327694:RXU393228 SHP327694:SHQ393228 SRL327694:SRM393228 TBH327694:TBI393228 TLD327694:TLE393228 TUZ327694:TVA393228 UEV327694:UEW393228 UOR327694:UOS393228 UYN327694:UYO393228 VIJ327694:VIK393228 VSF327694:VSG393228 WCB327694:WCC393228 WLX327694:WLY393228 WVT327694:WVU393228 J393230:K458764 JH393230:JI458764 TD393230:TE458764 ACZ393230:ADA458764 AMV393230:AMW458764 AWR393230:AWS458764 BGN393230:BGO458764 BQJ393230:BQK458764 CAF393230:CAG458764 CKB393230:CKC458764 CTX393230:CTY458764 DDT393230:DDU458764 DNP393230:DNQ458764 DXL393230:DXM458764 EHH393230:EHI458764 ERD393230:ERE458764 FAZ393230:FBA458764 FKV393230:FKW458764 FUR393230:FUS458764 GEN393230:GEO458764 GOJ393230:GOK458764 GYF393230:GYG458764 HIB393230:HIC458764 HRX393230:HRY458764 IBT393230:IBU458764 ILP393230:ILQ458764 IVL393230:IVM458764 JFH393230:JFI458764 JPD393230:JPE458764 JYZ393230:JZA458764 KIV393230:KIW458764 KSR393230:KSS458764 LCN393230:LCO458764 LMJ393230:LMK458764 LWF393230:LWG458764 MGB393230:MGC458764 MPX393230:MPY458764 MZT393230:MZU458764 NJP393230:NJQ458764 NTL393230:NTM458764 ODH393230:ODI458764 OND393230:ONE458764 OWZ393230:OXA458764 PGV393230:PGW458764 PQR393230:PQS458764 QAN393230:QAO458764 QKJ393230:QKK458764 QUF393230:QUG458764 REB393230:REC458764 RNX393230:RNY458764 RXT393230:RXU458764 SHP393230:SHQ458764 SRL393230:SRM458764 TBH393230:TBI458764 TLD393230:TLE458764 TUZ393230:TVA458764 UEV393230:UEW458764 UOR393230:UOS458764 UYN393230:UYO458764 VIJ393230:VIK458764 VSF393230:VSG458764 WCB393230:WCC458764 WLX393230:WLY458764 WVT393230:WVU458764 J458766:K524300 JH458766:JI524300 TD458766:TE524300 ACZ458766:ADA524300 AMV458766:AMW524300 AWR458766:AWS524300 BGN458766:BGO524300 BQJ458766:BQK524300 CAF458766:CAG524300 CKB458766:CKC524300 CTX458766:CTY524300 DDT458766:DDU524300 DNP458766:DNQ524300 DXL458766:DXM524300 EHH458766:EHI524300 ERD458766:ERE524300 FAZ458766:FBA524300 FKV458766:FKW524300 FUR458766:FUS524300 GEN458766:GEO524300 GOJ458766:GOK524300 GYF458766:GYG524300 HIB458766:HIC524300 HRX458766:HRY524300 IBT458766:IBU524300 ILP458766:ILQ524300 IVL458766:IVM524300 JFH458766:JFI524300 JPD458766:JPE524300 JYZ458766:JZA524300 KIV458766:KIW524300 KSR458766:KSS524300 LCN458766:LCO524300 LMJ458766:LMK524300 LWF458766:LWG524300 MGB458766:MGC524300 MPX458766:MPY524300 MZT458766:MZU524300 NJP458766:NJQ524300 NTL458766:NTM524300 ODH458766:ODI524300 OND458766:ONE524300 OWZ458766:OXA524300 PGV458766:PGW524300 PQR458766:PQS524300 QAN458766:QAO524300 QKJ458766:QKK524300 QUF458766:QUG524300 REB458766:REC524300 RNX458766:RNY524300 RXT458766:RXU524300 SHP458766:SHQ524300 SRL458766:SRM524300 TBH458766:TBI524300 TLD458766:TLE524300 TUZ458766:TVA524300 UEV458766:UEW524300 UOR458766:UOS524300 UYN458766:UYO524300 VIJ458766:VIK524300 VSF458766:VSG524300 WCB458766:WCC524300 WLX458766:WLY524300 WVT458766:WVU524300 J524302:K589836 JH524302:JI589836 TD524302:TE589836 ACZ524302:ADA589836 AMV524302:AMW589836 AWR524302:AWS589836 BGN524302:BGO589836 BQJ524302:BQK589836 CAF524302:CAG589836 CKB524302:CKC589836 CTX524302:CTY589836 DDT524302:DDU589836 DNP524302:DNQ589836 DXL524302:DXM589836 EHH524302:EHI589836 ERD524302:ERE589836 FAZ524302:FBA589836 FKV524302:FKW589836 FUR524302:FUS589836 GEN524302:GEO589836 GOJ524302:GOK589836 GYF524302:GYG589836 HIB524302:HIC589836 HRX524302:HRY589836 IBT524302:IBU589836 ILP524302:ILQ589836 IVL524302:IVM589836 JFH524302:JFI589836 JPD524302:JPE589836 JYZ524302:JZA589836 KIV524302:KIW589836 KSR524302:KSS589836 LCN524302:LCO589836 LMJ524302:LMK589836 LWF524302:LWG589836 MGB524302:MGC589836 MPX524302:MPY589836 MZT524302:MZU589836 NJP524302:NJQ589836 NTL524302:NTM589836 ODH524302:ODI589836 OND524302:ONE589836 OWZ524302:OXA589836 PGV524302:PGW589836 PQR524302:PQS589836 QAN524302:QAO589836 QKJ524302:QKK589836 QUF524302:QUG589836 REB524302:REC589836 RNX524302:RNY589836 RXT524302:RXU589836 SHP524302:SHQ589836 SRL524302:SRM589836 TBH524302:TBI589836 TLD524302:TLE589836 TUZ524302:TVA589836 UEV524302:UEW589836 UOR524302:UOS589836 UYN524302:UYO589836 VIJ524302:VIK589836 VSF524302:VSG589836 WCB524302:WCC589836 WLX524302:WLY589836 WVT524302:WVU589836 J589838:K655372 JH589838:JI655372 TD589838:TE655372 ACZ589838:ADA655372 AMV589838:AMW655372 AWR589838:AWS655372 BGN589838:BGO655372 BQJ589838:BQK655372 CAF589838:CAG655372 CKB589838:CKC655372 CTX589838:CTY655372 DDT589838:DDU655372 DNP589838:DNQ655372 DXL589838:DXM655372 EHH589838:EHI655372 ERD589838:ERE655372 FAZ589838:FBA655372 FKV589838:FKW655372 FUR589838:FUS655372 GEN589838:GEO655372 GOJ589838:GOK655372 GYF589838:GYG655372 HIB589838:HIC655372 HRX589838:HRY655372 IBT589838:IBU655372 ILP589838:ILQ655372 IVL589838:IVM655372 JFH589838:JFI655372 JPD589838:JPE655372 JYZ589838:JZA655372 KIV589838:KIW655372 KSR589838:KSS655372 LCN589838:LCO655372 LMJ589838:LMK655372 LWF589838:LWG655372 MGB589838:MGC655372 MPX589838:MPY655372 MZT589838:MZU655372 NJP589838:NJQ655372 NTL589838:NTM655372 ODH589838:ODI655372 OND589838:ONE655372 OWZ589838:OXA655372 PGV589838:PGW655372 PQR589838:PQS655372 QAN589838:QAO655372 QKJ589838:QKK655372 QUF589838:QUG655372 REB589838:REC655372 RNX589838:RNY655372 RXT589838:RXU655372 SHP589838:SHQ655372 SRL589838:SRM655372 TBH589838:TBI655372 TLD589838:TLE655372 TUZ589838:TVA655372 UEV589838:UEW655372 UOR589838:UOS655372 UYN589838:UYO655372 VIJ589838:VIK655372 VSF589838:VSG655372 WCB589838:WCC655372 WLX589838:WLY655372 WVT589838:WVU655372 J655374:K720908 JH655374:JI720908 TD655374:TE720908 ACZ655374:ADA720908 AMV655374:AMW720908 AWR655374:AWS720908 BGN655374:BGO720908 BQJ655374:BQK720908 CAF655374:CAG720908 CKB655374:CKC720908 CTX655374:CTY720908 DDT655374:DDU720908 DNP655374:DNQ720908 DXL655374:DXM720908 EHH655374:EHI720908 ERD655374:ERE720908 FAZ655374:FBA720908 FKV655374:FKW720908 FUR655374:FUS720908 GEN655374:GEO720908 GOJ655374:GOK720908 GYF655374:GYG720908 HIB655374:HIC720908 HRX655374:HRY720908 IBT655374:IBU720908 ILP655374:ILQ720908 IVL655374:IVM720908 JFH655374:JFI720908 JPD655374:JPE720908 JYZ655374:JZA720908 KIV655374:KIW720908 KSR655374:KSS720908 LCN655374:LCO720908 LMJ655374:LMK720908 LWF655374:LWG720908 MGB655374:MGC720908 MPX655374:MPY720908 MZT655374:MZU720908 NJP655374:NJQ720908 NTL655374:NTM720908 ODH655374:ODI720908 OND655374:ONE720908 OWZ655374:OXA720908 PGV655374:PGW720908 PQR655374:PQS720908 QAN655374:QAO720908 QKJ655374:QKK720908 QUF655374:QUG720908 REB655374:REC720908 RNX655374:RNY720908 RXT655374:RXU720908 SHP655374:SHQ720908 SRL655374:SRM720908 TBH655374:TBI720908 TLD655374:TLE720908 TUZ655374:TVA720908 UEV655374:UEW720908 UOR655374:UOS720908 UYN655374:UYO720908 VIJ655374:VIK720908 VSF655374:VSG720908 WCB655374:WCC720908 WLX655374:WLY720908 WVT655374:WVU720908 J720910:K786444 JH720910:JI786444 TD720910:TE786444 ACZ720910:ADA786444 AMV720910:AMW786444 AWR720910:AWS786444 BGN720910:BGO786444 BQJ720910:BQK786444 CAF720910:CAG786444 CKB720910:CKC786444 CTX720910:CTY786444 DDT720910:DDU786444 DNP720910:DNQ786444 DXL720910:DXM786444 EHH720910:EHI786444 ERD720910:ERE786444 FAZ720910:FBA786444 FKV720910:FKW786444 FUR720910:FUS786444 GEN720910:GEO786444 GOJ720910:GOK786444 GYF720910:GYG786444 HIB720910:HIC786444 HRX720910:HRY786444 IBT720910:IBU786444 ILP720910:ILQ786444 IVL720910:IVM786444 JFH720910:JFI786444 JPD720910:JPE786444 JYZ720910:JZA786444 KIV720910:KIW786444 KSR720910:KSS786444 LCN720910:LCO786444 LMJ720910:LMK786444 LWF720910:LWG786444 MGB720910:MGC786444 MPX720910:MPY786444 MZT720910:MZU786444 NJP720910:NJQ786444 NTL720910:NTM786444 ODH720910:ODI786444 OND720910:ONE786444 OWZ720910:OXA786444 PGV720910:PGW786444 PQR720910:PQS786444 QAN720910:QAO786444 QKJ720910:QKK786444 QUF720910:QUG786444 REB720910:REC786444 RNX720910:RNY786444 RXT720910:RXU786444 SHP720910:SHQ786444 SRL720910:SRM786444 TBH720910:TBI786444 TLD720910:TLE786444 TUZ720910:TVA786444 UEV720910:UEW786444 UOR720910:UOS786444 UYN720910:UYO786444 VIJ720910:VIK786444 VSF720910:VSG786444 WCB720910:WCC786444 WLX720910:WLY786444 WVT720910:WVU786444 J786446:K851980 JH786446:JI851980 TD786446:TE851980 ACZ786446:ADA851980 AMV786446:AMW851980 AWR786446:AWS851980 BGN786446:BGO851980 BQJ786446:BQK851980 CAF786446:CAG851980 CKB786446:CKC851980 CTX786446:CTY851980 DDT786446:DDU851980 DNP786446:DNQ851980 DXL786446:DXM851980 EHH786446:EHI851980 ERD786446:ERE851980 FAZ786446:FBA851980 FKV786446:FKW851980 FUR786446:FUS851980 GEN786446:GEO851980 GOJ786446:GOK851980 GYF786446:GYG851980 HIB786446:HIC851980 HRX786446:HRY851980 IBT786446:IBU851980 ILP786446:ILQ851980 IVL786446:IVM851980 JFH786446:JFI851980 JPD786446:JPE851980 JYZ786446:JZA851980 KIV786446:KIW851980 KSR786446:KSS851980 LCN786446:LCO851980 LMJ786446:LMK851980 LWF786446:LWG851980 MGB786446:MGC851980 MPX786446:MPY851980 MZT786446:MZU851980 NJP786446:NJQ851980 NTL786446:NTM851980 ODH786446:ODI851980 OND786446:ONE851980 OWZ786446:OXA851980 PGV786446:PGW851980 PQR786446:PQS851980 QAN786446:QAO851980 QKJ786446:QKK851980 QUF786446:QUG851980 REB786446:REC851980 RNX786446:RNY851980 RXT786446:RXU851980 SHP786446:SHQ851980 SRL786446:SRM851980 TBH786446:TBI851980 TLD786446:TLE851980 TUZ786446:TVA851980 UEV786446:UEW851980 UOR786446:UOS851980 UYN786446:UYO851980 VIJ786446:VIK851980 VSF786446:VSG851980 WCB786446:WCC851980 WLX786446:WLY851980 WVT786446:WVU851980 J851982:K917516 JH851982:JI917516 TD851982:TE917516 ACZ851982:ADA917516 AMV851982:AMW917516 AWR851982:AWS917516 BGN851982:BGO917516 BQJ851982:BQK917516 CAF851982:CAG917516 CKB851982:CKC917516 CTX851982:CTY917516 DDT851982:DDU917516 DNP851982:DNQ917516 DXL851982:DXM917516 EHH851982:EHI917516 ERD851982:ERE917516 FAZ851982:FBA917516 FKV851982:FKW917516 FUR851982:FUS917516 GEN851982:GEO917516 GOJ851982:GOK917516 GYF851982:GYG917516 HIB851982:HIC917516 HRX851982:HRY917516 IBT851982:IBU917516 ILP851982:ILQ917516 IVL851982:IVM917516 JFH851982:JFI917516 JPD851982:JPE917516 JYZ851982:JZA917516 KIV851982:KIW917516 KSR851982:KSS917516 LCN851982:LCO917516 LMJ851982:LMK917516 LWF851982:LWG917516 MGB851982:MGC917516 MPX851982:MPY917516 MZT851982:MZU917516 NJP851982:NJQ917516 NTL851982:NTM917516 ODH851982:ODI917516 OND851982:ONE917516 OWZ851982:OXA917516 PGV851982:PGW917516 PQR851982:PQS917516 QAN851982:QAO917516 QKJ851982:QKK917516 QUF851982:QUG917516 REB851982:REC917516 RNX851982:RNY917516 RXT851982:RXU917516 SHP851982:SHQ917516 SRL851982:SRM917516 TBH851982:TBI917516 TLD851982:TLE917516 TUZ851982:TVA917516 UEV851982:UEW917516 UOR851982:UOS917516 UYN851982:UYO917516 VIJ851982:VIK917516 VSF851982:VSG917516 WCB851982:WCC917516 WLX851982:WLY917516 WVT851982:WVU917516 J917518:K983052 JH917518:JI983052 TD917518:TE983052 ACZ917518:ADA983052 AMV917518:AMW983052 AWR917518:AWS983052 BGN917518:BGO983052 BQJ917518:BQK983052 CAF917518:CAG983052 CKB917518:CKC983052 CTX917518:CTY983052 DDT917518:DDU983052 DNP917518:DNQ983052 DXL917518:DXM983052 EHH917518:EHI983052 ERD917518:ERE983052 FAZ917518:FBA983052 FKV917518:FKW983052 FUR917518:FUS983052 GEN917518:GEO983052 GOJ917518:GOK983052 GYF917518:GYG983052 HIB917518:HIC983052 HRX917518:HRY983052 IBT917518:IBU983052 ILP917518:ILQ983052 IVL917518:IVM983052 JFH917518:JFI983052 JPD917518:JPE983052 JYZ917518:JZA983052 KIV917518:KIW983052 KSR917518:KSS983052 LCN917518:LCO983052 LMJ917518:LMK983052 LWF917518:LWG983052 MGB917518:MGC983052 MPX917518:MPY983052 MZT917518:MZU983052 NJP917518:NJQ983052 NTL917518:NTM983052 ODH917518:ODI983052 OND917518:ONE983052 OWZ917518:OXA983052 PGV917518:PGW983052 PQR917518:PQS983052 QAN917518:QAO983052 QKJ917518:QKK983052 QUF917518:QUG983052 REB917518:REC983052 RNX917518:RNY983052 RXT917518:RXU983052 SHP917518:SHQ983052 SRL917518:SRM983052 TBH917518:TBI983052 TLD917518:TLE983052 TUZ917518:TVA983052 UEV917518:UEW983052 UOR917518:UOS983052 UYN917518:UYO983052 VIJ917518:VIK983052 VSF917518:VSG983052 WCB917518:WCC983052 WLX917518:WLY983052 WVT917518:WVU983052 M65550:N131084 JK65550:JL131084 TG65550:TH131084 ADC65550:ADD131084 AMY65550:AMZ131084 AWU65550:AWV131084 BGQ65550:BGR131084 BQM65550:BQN131084 CAI65550:CAJ131084 CKE65550:CKF131084 CUA65550:CUB131084 DDW65550:DDX131084 DNS65550:DNT131084 DXO65550:DXP131084 EHK65550:EHL131084 ERG65550:ERH131084 FBC65550:FBD131084 FKY65550:FKZ131084 FUU65550:FUV131084 GEQ65550:GER131084 GOM65550:GON131084 GYI65550:GYJ131084 HIE65550:HIF131084 HSA65550:HSB131084 IBW65550:IBX131084 ILS65550:ILT131084 IVO65550:IVP131084 JFK65550:JFL131084 JPG65550:JPH131084 JZC65550:JZD131084 KIY65550:KIZ131084 KSU65550:KSV131084 LCQ65550:LCR131084 LMM65550:LMN131084 LWI65550:LWJ131084 MGE65550:MGF131084 MQA65550:MQB131084 MZW65550:MZX131084 NJS65550:NJT131084 NTO65550:NTP131084 ODK65550:ODL131084 ONG65550:ONH131084 OXC65550:OXD131084 PGY65550:PGZ131084 PQU65550:PQV131084 QAQ65550:QAR131084 QKM65550:QKN131084 QUI65550:QUJ131084 REE65550:REF131084 ROA65550:ROB131084 RXW65550:RXX131084 SHS65550:SHT131084 SRO65550:SRP131084 TBK65550:TBL131084 TLG65550:TLH131084 TVC65550:TVD131084 UEY65550:UEZ131084 UOU65550:UOV131084 UYQ65550:UYR131084 VIM65550:VIN131084 VSI65550:VSJ131084 WCE65550:WCF131084 WMA65550:WMB131084 WVW65550:WVX131084 M131086:N196620 JK131086:JL196620 TG131086:TH196620 ADC131086:ADD196620 AMY131086:AMZ196620 AWU131086:AWV196620 BGQ131086:BGR196620 BQM131086:BQN196620 CAI131086:CAJ196620 CKE131086:CKF196620 CUA131086:CUB196620 DDW131086:DDX196620 DNS131086:DNT196620 DXO131086:DXP196620 EHK131086:EHL196620 ERG131086:ERH196620 FBC131086:FBD196620 FKY131086:FKZ196620 FUU131086:FUV196620 GEQ131086:GER196620 GOM131086:GON196620 GYI131086:GYJ196620 HIE131086:HIF196620 HSA131086:HSB196620 IBW131086:IBX196620 ILS131086:ILT196620 IVO131086:IVP196620 JFK131086:JFL196620 JPG131086:JPH196620 JZC131086:JZD196620 KIY131086:KIZ196620 KSU131086:KSV196620 LCQ131086:LCR196620 LMM131086:LMN196620 LWI131086:LWJ196620 MGE131086:MGF196620 MQA131086:MQB196620 MZW131086:MZX196620 NJS131086:NJT196620 NTO131086:NTP196620 ODK131086:ODL196620 ONG131086:ONH196620 OXC131086:OXD196620 PGY131086:PGZ196620 PQU131086:PQV196620 QAQ131086:QAR196620 QKM131086:QKN196620 QUI131086:QUJ196620 REE131086:REF196620 ROA131086:ROB196620 RXW131086:RXX196620 SHS131086:SHT196620 SRO131086:SRP196620 TBK131086:TBL196620 TLG131086:TLH196620 TVC131086:TVD196620 UEY131086:UEZ196620 UOU131086:UOV196620 UYQ131086:UYR196620 VIM131086:VIN196620 VSI131086:VSJ196620 WCE131086:WCF196620 WMA131086:WMB196620 WVW131086:WVX196620 M196622:N262156 JK196622:JL262156 TG196622:TH262156 ADC196622:ADD262156 AMY196622:AMZ262156 AWU196622:AWV262156 BGQ196622:BGR262156 BQM196622:BQN262156 CAI196622:CAJ262156 CKE196622:CKF262156 CUA196622:CUB262156 DDW196622:DDX262156 DNS196622:DNT262156 DXO196622:DXP262156 EHK196622:EHL262156 ERG196622:ERH262156 FBC196622:FBD262156 FKY196622:FKZ262156 FUU196622:FUV262156 GEQ196622:GER262156 GOM196622:GON262156 GYI196622:GYJ262156 HIE196622:HIF262156 HSA196622:HSB262156 IBW196622:IBX262156 ILS196622:ILT262156 IVO196622:IVP262156 JFK196622:JFL262156 JPG196622:JPH262156 JZC196622:JZD262156 KIY196622:KIZ262156 KSU196622:KSV262156 LCQ196622:LCR262156 LMM196622:LMN262156 LWI196622:LWJ262156 MGE196622:MGF262156 MQA196622:MQB262156 MZW196622:MZX262156 NJS196622:NJT262156 NTO196622:NTP262156 ODK196622:ODL262156 ONG196622:ONH262156 OXC196622:OXD262156 PGY196622:PGZ262156 PQU196622:PQV262156 QAQ196622:QAR262156 QKM196622:QKN262156 QUI196622:QUJ262156 REE196622:REF262156 ROA196622:ROB262156 RXW196622:RXX262156 SHS196622:SHT262156 SRO196622:SRP262156 TBK196622:TBL262156 TLG196622:TLH262156 TVC196622:TVD262156 UEY196622:UEZ262156 UOU196622:UOV262156 UYQ196622:UYR262156 VIM196622:VIN262156 VSI196622:VSJ262156 WCE196622:WCF262156 WMA196622:WMB262156 WVW196622:WVX262156 M262158:N327692 JK262158:JL327692 TG262158:TH327692 ADC262158:ADD327692 AMY262158:AMZ327692 AWU262158:AWV327692 BGQ262158:BGR327692 BQM262158:BQN327692 CAI262158:CAJ327692 CKE262158:CKF327692 CUA262158:CUB327692 DDW262158:DDX327692 DNS262158:DNT327692 DXO262158:DXP327692 EHK262158:EHL327692 ERG262158:ERH327692 FBC262158:FBD327692 FKY262158:FKZ327692 FUU262158:FUV327692 GEQ262158:GER327692 GOM262158:GON327692 GYI262158:GYJ327692 HIE262158:HIF327692 HSA262158:HSB327692 IBW262158:IBX327692 ILS262158:ILT327692 IVO262158:IVP327692 JFK262158:JFL327692 JPG262158:JPH327692 JZC262158:JZD327692 KIY262158:KIZ327692 KSU262158:KSV327692 LCQ262158:LCR327692 LMM262158:LMN327692 LWI262158:LWJ327692 MGE262158:MGF327692 MQA262158:MQB327692 MZW262158:MZX327692 NJS262158:NJT327692 NTO262158:NTP327692 ODK262158:ODL327692 ONG262158:ONH327692 OXC262158:OXD327692 PGY262158:PGZ327692 PQU262158:PQV327692 QAQ262158:QAR327692 QKM262158:QKN327692 QUI262158:QUJ327692 REE262158:REF327692 ROA262158:ROB327692 RXW262158:RXX327692 SHS262158:SHT327692 SRO262158:SRP327692 TBK262158:TBL327692 TLG262158:TLH327692 TVC262158:TVD327692 UEY262158:UEZ327692 UOU262158:UOV327692 UYQ262158:UYR327692 VIM262158:VIN327692 VSI262158:VSJ327692 WCE262158:WCF327692 WMA262158:WMB327692 WVW262158:WVX327692 M327694:N393228 JK327694:JL393228 TG327694:TH393228 ADC327694:ADD393228 AMY327694:AMZ393228 AWU327694:AWV393228 BGQ327694:BGR393228 BQM327694:BQN393228 CAI327694:CAJ393228 CKE327694:CKF393228 CUA327694:CUB393228 DDW327694:DDX393228 DNS327694:DNT393228 DXO327694:DXP393228 EHK327694:EHL393228 ERG327694:ERH393228 FBC327694:FBD393228 FKY327694:FKZ393228 FUU327694:FUV393228 GEQ327694:GER393228 GOM327694:GON393228 GYI327694:GYJ393228 HIE327694:HIF393228 HSA327694:HSB393228 IBW327694:IBX393228 ILS327694:ILT393228 IVO327694:IVP393228 JFK327694:JFL393228 JPG327694:JPH393228 JZC327694:JZD393228 KIY327694:KIZ393228 KSU327694:KSV393228 LCQ327694:LCR393228 LMM327694:LMN393228 LWI327694:LWJ393228 MGE327694:MGF393228 MQA327694:MQB393228 MZW327694:MZX393228 NJS327694:NJT393228 NTO327694:NTP393228 ODK327694:ODL393228 ONG327694:ONH393228 OXC327694:OXD393228 PGY327694:PGZ393228 PQU327694:PQV393228 QAQ327694:QAR393228 QKM327694:QKN393228 QUI327694:QUJ393228 REE327694:REF393228 ROA327694:ROB393228 RXW327694:RXX393228 SHS327694:SHT393228 SRO327694:SRP393228 TBK327694:TBL393228 TLG327694:TLH393228 TVC327694:TVD393228 UEY327694:UEZ393228 UOU327694:UOV393228 UYQ327694:UYR393228 VIM327694:VIN393228 VSI327694:VSJ393228 WCE327694:WCF393228 WMA327694:WMB393228 WVW327694:WVX393228 M393230:N458764 JK393230:JL458764 TG393230:TH458764 ADC393230:ADD458764 AMY393230:AMZ458764 AWU393230:AWV458764 BGQ393230:BGR458764 BQM393230:BQN458764 CAI393230:CAJ458764 CKE393230:CKF458764 CUA393230:CUB458764 DDW393230:DDX458764 DNS393230:DNT458764 DXO393230:DXP458764 EHK393230:EHL458764 ERG393230:ERH458764 FBC393230:FBD458764 FKY393230:FKZ458764 FUU393230:FUV458764 GEQ393230:GER458764 GOM393230:GON458764 GYI393230:GYJ458764 HIE393230:HIF458764 HSA393230:HSB458764 IBW393230:IBX458764 ILS393230:ILT458764 IVO393230:IVP458764 JFK393230:JFL458764 JPG393230:JPH458764 JZC393230:JZD458764 KIY393230:KIZ458764 KSU393230:KSV458764 LCQ393230:LCR458764 LMM393230:LMN458764 LWI393230:LWJ458764 MGE393230:MGF458764 MQA393230:MQB458764 MZW393230:MZX458764 NJS393230:NJT458764 NTO393230:NTP458764 ODK393230:ODL458764 ONG393230:ONH458764 OXC393230:OXD458764 PGY393230:PGZ458764 PQU393230:PQV458764 QAQ393230:QAR458764 QKM393230:QKN458764 QUI393230:QUJ458764 REE393230:REF458764 ROA393230:ROB458764 RXW393230:RXX458764 SHS393230:SHT458764 SRO393230:SRP458764 TBK393230:TBL458764 TLG393230:TLH458764 TVC393230:TVD458764 UEY393230:UEZ458764 UOU393230:UOV458764 UYQ393230:UYR458764 VIM393230:VIN458764 VSI393230:VSJ458764 WCE393230:WCF458764 WMA393230:WMB458764 WVW393230:WVX458764 M458766:N524300 JK458766:JL524300 TG458766:TH524300 ADC458766:ADD524300 AMY458766:AMZ524300 AWU458766:AWV524300 BGQ458766:BGR524300 BQM458766:BQN524300 CAI458766:CAJ524300 CKE458766:CKF524300 CUA458766:CUB524300 DDW458766:DDX524300 DNS458766:DNT524300 DXO458766:DXP524300 EHK458766:EHL524300 ERG458766:ERH524300 FBC458766:FBD524300 FKY458766:FKZ524300 FUU458766:FUV524300 GEQ458766:GER524300 GOM458766:GON524300 GYI458766:GYJ524300 HIE458766:HIF524300 HSA458766:HSB524300 IBW458766:IBX524300 ILS458766:ILT524300 IVO458766:IVP524300 JFK458766:JFL524300 JPG458766:JPH524300 JZC458766:JZD524300 KIY458766:KIZ524300 KSU458766:KSV524300 LCQ458766:LCR524300 LMM458766:LMN524300 LWI458766:LWJ524300 MGE458766:MGF524300 MQA458766:MQB524300 MZW458766:MZX524300 NJS458766:NJT524300 NTO458766:NTP524300 ODK458766:ODL524300 ONG458766:ONH524300 OXC458766:OXD524300 PGY458766:PGZ524300 PQU458766:PQV524300 QAQ458766:QAR524300 QKM458766:QKN524300 QUI458766:QUJ524300 REE458766:REF524300 ROA458766:ROB524300 RXW458766:RXX524300 SHS458766:SHT524300 SRO458766:SRP524300 TBK458766:TBL524300 TLG458766:TLH524300 TVC458766:TVD524300 UEY458766:UEZ524300 UOU458766:UOV524300 UYQ458766:UYR524300 VIM458766:VIN524300 VSI458766:VSJ524300 WCE458766:WCF524300 WMA458766:WMB524300 WVW458766:WVX524300 M524302:N589836 JK524302:JL589836 TG524302:TH589836 ADC524302:ADD589836 AMY524302:AMZ589836 AWU524302:AWV589836 BGQ524302:BGR589836 BQM524302:BQN589836 CAI524302:CAJ589836 CKE524302:CKF589836 CUA524302:CUB589836 DDW524302:DDX589836 DNS524302:DNT589836 DXO524302:DXP589836 EHK524302:EHL589836 ERG524302:ERH589836 FBC524302:FBD589836 FKY524302:FKZ589836 FUU524302:FUV589836 GEQ524302:GER589836 GOM524302:GON589836 GYI524302:GYJ589836 HIE524302:HIF589836 HSA524302:HSB589836 IBW524302:IBX589836 ILS524302:ILT589836 IVO524302:IVP589836 JFK524302:JFL589836 JPG524302:JPH589836 JZC524302:JZD589836 KIY524302:KIZ589836 KSU524302:KSV589836 LCQ524302:LCR589836 LMM524302:LMN589836 LWI524302:LWJ589836 MGE524302:MGF589836 MQA524302:MQB589836 MZW524302:MZX589836 NJS524302:NJT589836 NTO524302:NTP589836 ODK524302:ODL589836 ONG524302:ONH589836 OXC524302:OXD589836 PGY524302:PGZ589836 PQU524302:PQV589836 QAQ524302:QAR589836 QKM524302:QKN589836 QUI524302:QUJ589836 REE524302:REF589836 ROA524302:ROB589836 RXW524302:RXX589836 SHS524302:SHT589836 SRO524302:SRP589836 TBK524302:TBL589836 TLG524302:TLH589836 TVC524302:TVD589836 UEY524302:UEZ589836 UOU524302:UOV589836 UYQ524302:UYR589836 VIM524302:VIN589836 VSI524302:VSJ589836 WCE524302:WCF589836 WMA524302:WMB589836 WVW524302:WVX589836 M589838:N655372 JK589838:JL655372 TG589838:TH655372 ADC589838:ADD655372 AMY589838:AMZ655372 AWU589838:AWV655372 BGQ589838:BGR655372 BQM589838:BQN655372 CAI589838:CAJ655372 CKE589838:CKF655372 CUA589838:CUB655372 DDW589838:DDX655372 DNS589838:DNT655372 DXO589838:DXP655372 EHK589838:EHL655372 ERG589838:ERH655372 FBC589838:FBD655372 FKY589838:FKZ655372 FUU589838:FUV655372 GEQ589838:GER655372 GOM589838:GON655372 GYI589838:GYJ655372 HIE589838:HIF655372 HSA589838:HSB655372 IBW589838:IBX655372 ILS589838:ILT655372 IVO589838:IVP655372 JFK589838:JFL655372 JPG589838:JPH655372 JZC589838:JZD655372 KIY589838:KIZ655372 KSU589838:KSV655372 LCQ589838:LCR655372 LMM589838:LMN655372 LWI589838:LWJ655372 MGE589838:MGF655372 MQA589838:MQB655372 MZW589838:MZX655372 NJS589838:NJT655372 NTO589838:NTP655372 ODK589838:ODL655372 ONG589838:ONH655372 OXC589838:OXD655372 PGY589838:PGZ655372 PQU589838:PQV655372 QAQ589838:QAR655372 QKM589838:QKN655372 QUI589838:QUJ655372 REE589838:REF655372 ROA589838:ROB655372 RXW589838:RXX655372 SHS589838:SHT655372 SRO589838:SRP655372 TBK589838:TBL655372 TLG589838:TLH655372 TVC589838:TVD655372 UEY589838:UEZ655372 UOU589838:UOV655372 UYQ589838:UYR655372 VIM589838:VIN655372 VSI589838:VSJ655372 WCE589838:WCF655372 WMA589838:WMB655372 WVW589838:WVX655372 M655374:N720908 JK655374:JL720908 TG655374:TH720908 ADC655374:ADD720908 AMY655374:AMZ720908 AWU655374:AWV720908 BGQ655374:BGR720908 BQM655374:BQN720908 CAI655374:CAJ720908 CKE655374:CKF720908 CUA655374:CUB720908 DDW655374:DDX720908 DNS655374:DNT720908 DXO655374:DXP720908 EHK655374:EHL720908 ERG655374:ERH720908 FBC655374:FBD720908 FKY655374:FKZ720908 FUU655374:FUV720908 GEQ655374:GER720908 GOM655374:GON720908 GYI655374:GYJ720908 HIE655374:HIF720908 HSA655374:HSB720908 IBW655374:IBX720908 ILS655374:ILT720908 IVO655374:IVP720908 JFK655374:JFL720908 JPG655374:JPH720908 JZC655374:JZD720908 KIY655374:KIZ720908 KSU655374:KSV720908 LCQ655374:LCR720908 LMM655374:LMN720908 LWI655374:LWJ720908 MGE655374:MGF720908 MQA655374:MQB720908 MZW655374:MZX720908 NJS655374:NJT720908 NTO655374:NTP720908 ODK655374:ODL720908 ONG655374:ONH720908 OXC655374:OXD720908 PGY655374:PGZ720908 PQU655374:PQV720908 QAQ655374:QAR720908 QKM655374:QKN720908 QUI655374:QUJ720908 REE655374:REF720908 ROA655374:ROB720908 RXW655374:RXX720908 SHS655374:SHT720908 SRO655374:SRP720908 TBK655374:TBL720908 TLG655374:TLH720908 TVC655374:TVD720908 UEY655374:UEZ720908 UOU655374:UOV720908 UYQ655374:UYR720908 VIM655374:VIN720908 VSI655374:VSJ720908 WCE655374:WCF720908 WMA655374:WMB720908 WVW655374:WVX720908 M720910:N786444 JK720910:JL786444 TG720910:TH786444 ADC720910:ADD786444 AMY720910:AMZ786444 AWU720910:AWV786444 BGQ720910:BGR786444 BQM720910:BQN786444 CAI720910:CAJ786444 CKE720910:CKF786444 CUA720910:CUB786444 DDW720910:DDX786444 DNS720910:DNT786444 DXO720910:DXP786444 EHK720910:EHL786444 ERG720910:ERH786444 FBC720910:FBD786444 FKY720910:FKZ786444 FUU720910:FUV786444 GEQ720910:GER786444 GOM720910:GON786444 GYI720910:GYJ786444 HIE720910:HIF786444 HSA720910:HSB786444 IBW720910:IBX786444 ILS720910:ILT786444 IVO720910:IVP786444 JFK720910:JFL786444 JPG720910:JPH786444 JZC720910:JZD786444 KIY720910:KIZ786444 KSU720910:KSV786444 LCQ720910:LCR786444 LMM720910:LMN786444 LWI720910:LWJ786444 MGE720910:MGF786444 MQA720910:MQB786444 MZW720910:MZX786444 NJS720910:NJT786444 NTO720910:NTP786444 ODK720910:ODL786444 ONG720910:ONH786444 OXC720910:OXD786444 PGY720910:PGZ786444 PQU720910:PQV786444 QAQ720910:QAR786444 QKM720910:QKN786444 QUI720910:QUJ786444 REE720910:REF786444 ROA720910:ROB786444 RXW720910:RXX786444 SHS720910:SHT786444 SRO720910:SRP786444 TBK720910:TBL786444 TLG720910:TLH786444 TVC720910:TVD786444 UEY720910:UEZ786444 UOU720910:UOV786444 UYQ720910:UYR786444 VIM720910:VIN786444 VSI720910:VSJ786444 WCE720910:WCF786444 WMA720910:WMB786444 WVW720910:WVX786444 M786446:N851980 JK786446:JL851980 TG786446:TH851980 ADC786446:ADD851980 AMY786446:AMZ851980 AWU786446:AWV851980 BGQ786446:BGR851980 BQM786446:BQN851980 CAI786446:CAJ851980 CKE786446:CKF851980 CUA786446:CUB851980 DDW786446:DDX851980 DNS786446:DNT851980 DXO786446:DXP851980 EHK786446:EHL851980 ERG786446:ERH851980 FBC786446:FBD851980 FKY786446:FKZ851980 FUU786446:FUV851980 GEQ786446:GER851980 GOM786446:GON851980 GYI786446:GYJ851980 HIE786446:HIF851980 HSA786446:HSB851980 IBW786446:IBX851980 ILS786446:ILT851980 IVO786446:IVP851980 JFK786446:JFL851980 JPG786446:JPH851980 JZC786446:JZD851980 KIY786446:KIZ851980 KSU786446:KSV851980 LCQ786446:LCR851980 LMM786446:LMN851980 LWI786446:LWJ851980 MGE786446:MGF851980 MQA786446:MQB851980 MZW786446:MZX851980 NJS786446:NJT851980 NTO786446:NTP851980 ODK786446:ODL851980 ONG786446:ONH851980 OXC786446:OXD851980 PGY786446:PGZ851980 PQU786446:PQV851980 QAQ786446:QAR851980 QKM786446:QKN851980 QUI786446:QUJ851980 REE786446:REF851980 ROA786446:ROB851980 RXW786446:RXX851980 SHS786446:SHT851980 SRO786446:SRP851980 TBK786446:TBL851980 TLG786446:TLH851980 TVC786446:TVD851980 UEY786446:UEZ851980 UOU786446:UOV851980 UYQ786446:UYR851980 VIM786446:VIN851980 VSI786446:VSJ851980 WCE786446:WCF851980 WMA786446:WMB851980 WVW786446:WVX851980 M851982:N917516 JK851982:JL917516 TG851982:TH917516 ADC851982:ADD917516 AMY851982:AMZ917516 AWU851982:AWV917516 BGQ851982:BGR917516 BQM851982:BQN917516 CAI851982:CAJ917516 CKE851982:CKF917516 CUA851982:CUB917516 DDW851982:DDX917516 DNS851982:DNT917516 DXO851982:DXP917516 EHK851982:EHL917516 ERG851982:ERH917516 FBC851982:FBD917516 FKY851982:FKZ917516 FUU851982:FUV917516 GEQ851982:GER917516 GOM851982:GON917516 GYI851982:GYJ917516 HIE851982:HIF917516 HSA851982:HSB917516 IBW851982:IBX917516 ILS851982:ILT917516 IVO851982:IVP917516 JFK851982:JFL917516 JPG851982:JPH917516 JZC851982:JZD917516 KIY851982:KIZ917516 KSU851982:KSV917516 LCQ851982:LCR917516 LMM851982:LMN917516 LWI851982:LWJ917516 MGE851982:MGF917516 MQA851982:MQB917516 MZW851982:MZX917516 NJS851982:NJT917516 NTO851982:NTP917516 ODK851982:ODL917516 ONG851982:ONH917516 OXC851982:OXD917516 PGY851982:PGZ917516 PQU851982:PQV917516 QAQ851982:QAR917516 QKM851982:QKN917516 QUI851982:QUJ917516 REE851982:REF917516 ROA851982:ROB917516 RXW851982:RXX917516 SHS851982:SHT917516 SRO851982:SRP917516 TBK851982:TBL917516 TLG851982:TLH917516 TVC851982:TVD917516 UEY851982:UEZ917516 UOU851982:UOV917516 UYQ851982:UYR917516 VIM851982:VIN917516 VSI851982:VSJ917516 WCE851982:WCF917516 WMA851982:WMB917516 WVW851982:WVX917516 M917518:N983052 JK917518:JL983052 TG917518:TH983052 ADC917518:ADD983052 AMY917518:AMZ983052 AWU917518:AWV983052 BGQ917518:BGR983052 BQM917518:BQN983052 CAI917518:CAJ983052 CKE917518:CKF983052 CUA917518:CUB983052 DDW917518:DDX983052 DNS917518:DNT983052 DXO917518:DXP983052 EHK917518:EHL983052 ERG917518:ERH983052 FBC917518:FBD983052 FKY917518:FKZ983052 FUU917518:FUV983052 GEQ917518:GER983052 GOM917518:GON983052 GYI917518:GYJ983052 HIE917518:HIF983052 HSA917518:HSB983052 IBW917518:IBX983052 ILS917518:ILT983052 IVO917518:IVP983052 JFK917518:JFL983052 JPG917518:JPH983052 JZC917518:JZD983052 KIY917518:KIZ983052 KSU917518:KSV983052 LCQ917518:LCR983052 LMM917518:LMN983052 LWI917518:LWJ983052 MGE917518:MGF983052 MQA917518:MQB983052 MZW917518:MZX983052 NJS917518:NJT983052 NTO917518:NTP983052 ODK917518:ODL983052 ONG917518:ONH983052 OXC917518:OXD983052 PGY917518:PGZ983052 PQU917518:PQV983052 QAQ917518:QAR983052 QKM917518:QKN983052 QUI917518:QUJ983052 REE917518:REF983052 ROA917518:ROB983052 RXW917518:RXX983052 SHS917518:SHT983052 SRO917518:SRP983052 TBK917518:TBL983052 TLG917518:TLH983052 TVC917518:TVD983052 UEY917518:UEZ983052 UOU917518:UOV983052 UYQ917518:UYR983052 VIM917518:VIN983052 VSI917518:VSJ983052 WCE917518:WCF983052 WMA917518:WMB983052 WVW917518:WVX983052 M983054:N1048576 JK983054:JL1048576 TG983054:TH1048576 ADC983054:ADD1048576 AMY983054:AMZ1048576 AWU983054:AWV1048576 BGQ983054:BGR1048576 BQM983054:BQN1048576 CAI983054:CAJ1048576 CKE983054:CKF1048576 CUA983054:CUB1048576 DDW983054:DDX1048576 DNS983054:DNT1048576 DXO983054:DXP1048576 EHK983054:EHL1048576 ERG983054:ERH1048576 FBC983054:FBD1048576 FKY983054:FKZ1048576 FUU983054:FUV1048576 GEQ983054:GER1048576 GOM983054:GON1048576 GYI983054:GYJ1048576 HIE983054:HIF1048576 HSA983054:HSB1048576 IBW983054:IBX1048576 ILS983054:ILT1048576 IVO983054:IVP1048576 JFK983054:JFL1048576 JPG983054:JPH1048576 JZC983054:JZD1048576 KIY983054:KIZ1048576 KSU983054:KSV1048576 LCQ983054:LCR1048576 LMM983054:LMN1048576 LWI983054:LWJ1048576 MGE983054:MGF1048576 MQA983054:MQB1048576 MZW983054:MZX1048576 NJS983054:NJT1048576 NTO983054:NTP1048576 ODK983054:ODL1048576 ONG983054:ONH1048576 OXC983054:OXD1048576 PGY983054:PGZ1048576 PQU983054:PQV1048576 QAQ983054:QAR1048576 QKM983054:QKN1048576 QUI983054:QUJ1048576 REE983054:REF1048576 ROA983054:ROB1048576 RXW983054:RXX1048576 SHS983054:SHT1048576 SRO983054:SRP1048576 TBK983054:TBL1048576 TLG983054:TLH1048576 TVC983054:TVD1048576 UEY983054:UEZ1048576 UOU983054:UOV1048576 UYQ983054:UYR1048576 VIM983054:VIN1048576 VSI983054:VSJ1048576 WCE983054:WCF1048576 WMA983054:WMB1048576 WVW983054:WVX1048576 G65550:H131084 JE65550:JF131084 TA65550:TB131084 ACW65550:ACX131084 AMS65550:AMT131084 AWO65550:AWP131084 BGK65550:BGL131084 BQG65550:BQH131084 CAC65550:CAD131084 CJY65550:CJZ131084 CTU65550:CTV131084 DDQ65550:DDR131084 DNM65550:DNN131084 DXI65550:DXJ131084 EHE65550:EHF131084 ERA65550:ERB131084 FAW65550:FAX131084 FKS65550:FKT131084 FUO65550:FUP131084 GEK65550:GEL131084 GOG65550:GOH131084 GYC65550:GYD131084 HHY65550:HHZ131084 HRU65550:HRV131084 IBQ65550:IBR131084 ILM65550:ILN131084 IVI65550:IVJ131084 JFE65550:JFF131084 JPA65550:JPB131084 JYW65550:JYX131084 KIS65550:KIT131084 KSO65550:KSP131084 LCK65550:LCL131084 LMG65550:LMH131084 LWC65550:LWD131084 MFY65550:MFZ131084 MPU65550:MPV131084 MZQ65550:MZR131084 NJM65550:NJN131084 NTI65550:NTJ131084 ODE65550:ODF131084 ONA65550:ONB131084 OWW65550:OWX131084 PGS65550:PGT131084 PQO65550:PQP131084 QAK65550:QAL131084 QKG65550:QKH131084 QUC65550:QUD131084 RDY65550:RDZ131084 RNU65550:RNV131084 RXQ65550:RXR131084 SHM65550:SHN131084 SRI65550:SRJ131084 TBE65550:TBF131084 TLA65550:TLB131084 TUW65550:TUX131084 UES65550:UET131084 UOO65550:UOP131084 UYK65550:UYL131084 VIG65550:VIH131084 VSC65550:VSD131084 WBY65550:WBZ131084 WLU65550:WLV131084 WVQ65550:WVR131084 G131086:H196620 JE131086:JF196620 TA131086:TB196620 ACW131086:ACX196620 AMS131086:AMT196620 AWO131086:AWP196620 BGK131086:BGL196620 BQG131086:BQH196620 CAC131086:CAD196620 CJY131086:CJZ196620 CTU131086:CTV196620 DDQ131086:DDR196620 DNM131086:DNN196620 DXI131086:DXJ196620 EHE131086:EHF196620 ERA131086:ERB196620 FAW131086:FAX196620 FKS131086:FKT196620 FUO131086:FUP196620 GEK131086:GEL196620 GOG131086:GOH196620 GYC131086:GYD196620 HHY131086:HHZ196620 HRU131086:HRV196620 IBQ131086:IBR196620 ILM131086:ILN196620 IVI131086:IVJ196620 JFE131086:JFF196620 JPA131086:JPB196620 JYW131086:JYX196620 KIS131086:KIT196620 KSO131086:KSP196620 LCK131086:LCL196620 LMG131086:LMH196620 LWC131086:LWD196620 MFY131086:MFZ196620 MPU131086:MPV196620 MZQ131086:MZR196620 NJM131086:NJN196620 NTI131086:NTJ196620 ODE131086:ODF196620 ONA131086:ONB196620 OWW131086:OWX196620 PGS131086:PGT196620 PQO131086:PQP196620 QAK131086:QAL196620 QKG131086:QKH196620 QUC131086:QUD196620 RDY131086:RDZ196620 RNU131086:RNV196620 RXQ131086:RXR196620 SHM131086:SHN196620 SRI131086:SRJ196620 TBE131086:TBF196620 TLA131086:TLB196620 TUW131086:TUX196620 UES131086:UET196620 UOO131086:UOP196620 UYK131086:UYL196620 VIG131086:VIH196620 VSC131086:VSD196620 WBY131086:WBZ196620 WLU131086:WLV196620 WVQ131086:WVR196620 G196622:H262156 JE196622:JF262156 TA196622:TB262156 ACW196622:ACX262156 AMS196622:AMT262156 AWO196622:AWP262156 BGK196622:BGL262156 BQG196622:BQH262156 CAC196622:CAD262156 CJY196622:CJZ262156 CTU196622:CTV262156 DDQ196622:DDR262156 DNM196622:DNN262156 DXI196622:DXJ262156 EHE196622:EHF262156 ERA196622:ERB262156 FAW196622:FAX262156 FKS196622:FKT262156 FUO196622:FUP262156 GEK196622:GEL262156 GOG196622:GOH262156 GYC196622:GYD262156 HHY196622:HHZ262156 HRU196622:HRV262156 IBQ196622:IBR262156 ILM196622:ILN262156 IVI196622:IVJ262156 JFE196622:JFF262156 JPA196622:JPB262156 JYW196622:JYX262156 KIS196622:KIT262156 KSO196622:KSP262156 LCK196622:LCL262156 LMG196622:LMH262156 LWC196622:LWD262156 MFY196622:MFZ262156 MPU196622:MPV262156 MZQ196622:MZR262156 NJM196622:NJN262156 NTI196622:NTJ262156 ODE196622:ODF262156 ONA196622:ONB262156 OWW196622:OWX262156 PGS196622:PGT262156 PQO196622:PQP262156 QAK196622:QAL262156 QKG196622:QKH262156 QUC196622:QUD262156 RDY196622:RDZ262156 RNU196622:RNV262156 RXQ196622:RXR262156 SHM196622:SHN262156 SRI196622:SRJ262156 TBE196622:TBF262156 TLA196622:TLB262156 TUW196622:TUX262156 UES196622:UET262156 UOO196622:UOP262156 UYK196622:UYL262156 VIG196622:VIH262156 VSC196622:VSD262156 WBY196622:WBZ262156 WLU196622:WLV262156 WVQ196622:WVR262156 G262158:H327692 JE262158:JF327692 TA262158:TB327692 ACW262158:ACX327692 AMS262158:AMT327692 AWO262158:AWP327692 BGK262158:BGL327692 BQG262158:BQH327692 CAC262158:CAD327692 CJY262158:CJZ327692 CTU262158:CTV327692 DDQ262158:DDR327692 DNM262158:DNN327692 DXI262158:DXJ327692 EHE262158:EHF327692 ERA262158:ERB327692 FAW262158:FAX327692 FKS262158:FKT327692 FUO262158:FUP327692 GEK262158:GEL327692 GOG262158:GOH327692 GYC262158:GYD327692 HHY262158:HHZ327692 HRU262158:HRV327692 IBQ262158:IBR327692 ILM262158:ILN327692 IVI262158:IVJ327692 JFE262158:JFF327692 JPA262158:JPB327692 JYW262158:JYX327692 KIS262158:KIT327692 KSO262158:KSP327692 LCK262158:LCL327692 LMG262158:LMH327692 LWC262158:LWD327692 MFY262158:MFZ327692 MPU262158:MPV327692 MZQ262158:MZR327692 NJM262158:NJN327692 NTI262158:NTJ327692 ODE262158:ODF327692 ONA262158:ONB327692 OWW262158:OWX327692 PGS262158:PGT327692 PQO262158:PQP327692 QAK262158:QAL327692 QKG262158:QKH327692 QUC262158:QUD327692 RDY262158:RDZ327692 RNU262158:RNV327692 RXQ262158:RXR327692 SHM262158:SHN327692 SRI262158:SRJ327692 TBE262158:TBF327692 TLA262158:TLB327692 TUW262158:TUX327692 UES262158:UET327692 UOO262158:UOP327692 UYK262158:UYL327692 VIG262158:VIH327692 VSC262158:VSD327692 WBY262158:WBZ327692 WLU262158:WLV327692 WVQ262158:WVR327692 G327694:H393228 JE327694:JF393228 TA327694:TB393228 ACW327694:ACX393228 AMS327694:AMT393228 AWO327694:AWP393228 BGK327694:BGL393228 BQG327694:BQH393228 CAC327694:CAD393228 CJY327694:CJZ393228 CTU327694:CTV393228 DDQ327694:DDR393228 DNM327694:DNN393228 DXI327694:DXJ393228 EHE327694:EHF393228 ERA327694:ERB393228 FAW327694:FAX393228 FKS327694:FKT393228 FUO327694:FUP393228 GEK327694:GEL393228 GOG327694:GOH393228 GYC327694:GYD393228 HHY327694:HHZ393228 HRU327694:HRV393228 IBQ327694:IBR393228 ILM327694:ILN393228 IVI327694:IVJ393228 JFE327694:JFF393228 JPA327694:JPB393228 JYW327694:JYX393228 KIS327694:KIT393228 KSO327694:KSP393228 LCK327694:LCL393228 LMG327694:LMH393228 LWC327694:LWD393228 MFY327694:MFZ393228 MPU327694:MPV393228 MZQ327694:MZR393228 NJM327694:NJN393228 NTI327694:NTJ393228 ODE327694:ODF393228 ONA327694:ONB393228 OWW327694:OWX393228 PGS327694:PGT393228 PQO327694:PQP393228 QAK327694:QAL393228 QKG327694:QKH393228 QUC327694:QUD393228 RDY327694:RDZ393228 RNU327694:RNV393228 RXQ327694:RXR393228 SHM327694:SHN393228 SRI327694:SRJ393228 TBE327694:TBF393228 TLA327694:TLB393228 TUW327694:TUX393228 UES327694:UET393228 UOO327694:UOP393228 UYK327694:UYL393228 VIG327694:VIH393228 VSC327694:VSD393228 WBY327694:WBZ393228 WLU327694:WLV393228 WVQ327694:WVR393228 G393230:H458764 JE393230:JF458764 TA393230:TB458764 ACW393230:ACX458764 AMS393230:AMT458764 AWO393230:AWP458764 BGK393230:BGL458764 BQG393230:BQH458764 CAC393230:CAD458764 CJY393230:CJZ458764 CTU393230:CTV458764 DDQ393230:DDR458764 DNM393230:DNN458764 DXI393230:DXJ458764 EHE393230:EHF458764 ERA393230:ERB458764 FAW393230:FAX458764 FKS393230:FKT458764 FUO393230:FUP458764 GEK393230:GEL458764 GOG393230:GOH458764 GYC393230:GYD458764 HHY393230:HHZ458764 HRU393230:HRV458764 IBQ393230:IBR458764 ILM393230:ILN458764 IVI393230:IVJ458764 JFE393230:JFF458764 JPA393230:JPB458764 JYW393230:JYX458764 KIS393230:KIT458764 KSO393230:KSP458764 LCK393230:LCL458764 LMG393230:LMH458764 LWC393230:LWD458764 MFY393230:MFZ458764 MPU393230:MPV458764 MZQ393230:MZR458764 NJM393230:NJN458764 NTI393230:NTJ458764 ODE393230:ODF458764 ONA393230:ONB458764 OWW393230:OWX458764 PGS393230:PGT458764 PQO393230:PQP458764 QAK393230:QAL458764 QKG393230:QKH458764 QUC393230:QUD458764 RDY393230:RDZ458764 RNU393230:RNV458764 RXQ393230:RXR458764 SHM393230:SHN458764 SRI393230:SRJ458764 TBE393230:TBF458764 TLA393230:TLB458764 TUW393230:TUX458764 UES393230:UET458764 UOO393230:UOP458764 UYK393230:UYL458764 VIG393230:VIH458764 VSC393230:VSD458764 WBY393230:WBZ458764 WLU393230:WLV458764 WVQ393230:WVR458764 G458766:H524300 JE458766:JF524300 TA458766:TB524300 ACW458766:ACX524300 AMS458766:AMT524300 AWO458766:AWP524300 BGK458766:BGL524300 BQG458766:BQH524300 CAC458766:CAD524300 CJY458766:CJZ524300 CTU458766:CTV524300 DDQ458766:DDR524300 DNM458766:DNN524300 DXI458766:DXJ524300 EHE458766:EHF524300 ERA458766:ERB524300 FAW458766:FAX524300 FKS458766:FKT524300 FUO458766:FUP524300 GEK458766:GEL524300 GOG458766:GOH524300 GYC458766:GYD524300 HHY458766:HHZ524300 HRU458766:HRV524300 IBQ458766:IBR524300 ILM458766:ILN524300 IVI458766:IVJ524300 JFE458766:JFF524300 JPA458766:JPB524300 JYW458766:JYX524300 KIS458766:KIT524300 KSO458766:KSP524300 LCK458766:LCL524300 LMG458766:LMH524300 LWC458766:LWD524300 MFY458766:MFZ524300 MPU458766:MPV524300 MZQ458766:MZR524300 NJM458766:NJN524300 NTI458766:NTJ524300 ODE458766:ODF524300 ONA458766:ONB524300 OWW458766:OWX524300 PGS458766:PGT524300 PQO458766:PQP524300 QAK458766:QAL524300 QKG458766:QKH524300 QUC458766:QUD524300 RDY458766:RDZ524300 RNU458766:RNV524300 RXQ458766:RXR524300 SHM458766:SHN524300 SRI458766:SRJ524300 TBE458766:TBF524300 TLA458766:TLB524300 TUW458766:TUX524300 UES458766:UET524300 UOO458766:UOP524300 UYK458766:UYL524300 VIG458766:VIH524300 VSC458766:VSD524300 WBY458766:WBZ524300 WLU458766:WLV524300 WVQ458766:WVR524300 G524302:H589836 JE524302:JF589836 TA524302:TB589836 ACW524302:ACX589836 AMS524302:AMT589836 AWO524302:AWP589836 BGK524302:BGL589836 BQG524302:BQH589836 CAC524302:CAD589836 CJY524302:CJZ589836 CTU524302:CTV589836 DDQ524302:DDR589836 DNM524302:DNN589836 DXI524302:DXJ589836 EHE524302:EHF589836 ERA524302:ERB589836 FAW524302:FAX589836 FKS524302:FKT589836 FUO524302:FUP589836 GEK524302:GEL589836 GOG524302:GOH589836 GYC524302:GYD589836 HHY524302:HHZ589836 HRU524302:HRV589836 IBQ524302:IBR589836 ILM524302:ILN589836 IVI524302:IVJ589836 JFE524302:JFF589836 JPA524302:JPB589836 JYW524302:JYX589836 KIS524302:KIT589836 KSO524302:KSP589836 LCK524302:LCL589836 LMG524302:LMH589836 LWC524302:LWD589836 MFY524302:MFZ589836 MPU524302:MPV589836 MZQ524302:MZR589836 NJM524302:NJN589836 NTI524302:NTJ589836 ODE524302:ODF589836 ONA524302:ONB589836 OWW524302:OWX589836 PGS524302:PGT589836 PQO524302:PQP589836 QAK524302:QAL589836 QKG524302:QKH589836 QUC524302:QUD589836 RDY524302:RDZ589836 RNU524302:RNV589836 RXQ524302:RXR589836 SHM524302:SHN589836 SRI524302:SRJ589836 TBE524302:TBF589836 TLA524302:TLB589836 TUW524302:TUX589836 UES524302:UET589836 UOO524302:UOP589836 UYK524302:UYL589836 VIG524302:VIH589836 VSC524302:VSD589836 WBY524302:WBZ589836 WLU524302:WLV589836 WVQ524302:WVR589836 G589838:H655372 JE589838:JF655372 TA589838:TB655372 ACW589838:ACX655372 AMS589838:AMT655372 AWO589838:AWP655372 BGK589838:BGL655372 BQG589838:BQH655372 CAC589838:CAD655372 CJY589838:CJZ655372 CTU589838:CTV655372 DDQ589838:DDR655372 DNM589838:DNN655372 DXI589838:DXJ655372 EHE589838:EHF655372 ERA589838:ERB655372 FAW589838:FAX655372 FKS589838:FKT655372 FUO589838:FUP655372 GEK589838:GEL655372 GOG589838:GOH655372 GYC589838:GYD655372 HHY589838:HHZ655372 HRU589838:HRV655372 IBQ589838:IBR655372 ILM589838:ILN655372 IVI589838:IVJ655372 JFE589838:JFF655372 JPA589838:JPB655372 JYW589838:JYX655372 KIS589838:KIT655372 KSO589838:KSP655372 LCK589838:LCL655372 LMG589838:LMH655372 LWC589838:LWD655372 MFY589838:MFZ655372 MPU589838:MPV655372 MZQ589838:MZR655372 NJM589838:NJN655372 NTI589838:NTJ655372 ODE589838:ODF655372 ONA589838:ONB655372 OWW589838:OWX655372 PGS589838:PGT655372 PQO589838:PQP655372 QAK589838:QAL655372 QKG589838:QKH655372 QUC589838:QUD655372 RDY589838:RDZ655372 RNU589838:RNV655372 RXQ589838:RXR655372 SHM589838:SHN655372 SRI589838:SRJ655372 TBE589838:TBF655372 TLA589838:TLB655372 TUW589838:TUX655372 UES589838:UET655372 UOO589838:UOP655372 UYK589838:UYL655372 VIG589838:VIH655372 VSC589838:VSD655372 WBY589838:WBZ655372 WLU589838:WLV655372 WVQ589838:WVR655372 G655374:H720908 JE655374:JF720908 TA655374:TB720908 ACW655374:ACX720908 AMS655374:AMT720908 AWO655374:AWP720908 BGK655374:BGL720908 BQG655374:BQH720908 CAC655374:CAD720908 CJY655374:CJZ720908 CTU655374:CTV720908 DDQ655374:DDR720908 DNM655374:DNN720908 DXI655374:DXJ720908 EHE655374:EHF720908 ERA655374:ERB720908 FAW655374:FAX720908 FKS655374:FKT720908 FUO655374:FUP720908 GEK655374:GEL720908 GOG655374:GOH720908 GYC655374:GYD720908 HHY655374:HHZ720908 HRU655374:HRV720908 IBQ655374:IBR720908 ILM655374:ILN720908 IVI655374:IVJ720908 JFE655374:JFF720908 JPA655374:JPB720908 JYW655374:JYX720908 KIS655374:KIT720908 KSO655374:KSP720908 LCK655374:LCL720908 LMG655374:LMH720908 LWC655374:LWD720908 MFY655374:MFZ720908 MPU655374:MPV720908 MZQ655374:MZR720908 NJM655374:NJN720908 NTI655374:NTJ720908 ODE655374:ODF720908 ONA655374:ONB720908 OWW655374:OWX720908 PGS655374:PGT720908 PQO655374:PQP720908 QAK655374:QAL720908 QKG655374:QKH720908 QUC655374:QUD720908 RDY655374:RDZ720908 RNU655374:RNV720908 RXQ655374:RXR720908 SHM655374:SHN720908 SRI655374:SRJ720908 TBE655374:TBF720908 TLA655374:TLB720908 TUW655374:TUX720908 UES655374:UET720908 UOO655374:UOP720908 UYK655374:UYL720908 VIG655374:VIH720908 VSC655374:VSD720908 WBY655374:WBZ720908 WLU655374:WLV720908 WVQ655374:WVR720908 G720910:H786444 JE720910:JF786444 TA720910:TB786444 ACW720910:ACX786444 AMS720910:AMT786444 AWO720910:AWP786444 BGK720910:BGL786444 BQG720910:BQH786444 CAC720910:CAD786444 CJY720910:CJZ786444 CTU720910:CTV786444 DDQ720910:DDR786444 DNM720910:DNN786444 DXI720910:DXJ786444 EHE720910:EHF786444 ERA720910:ERB786444 FAW720910:FAX786444 FKS720910:FKT786444 FUO720910:FUP786444 GEK720910:GEL786444 GOG720910:GOH786444 GYC720910:GYD786444 HHY720910:HHZ786444 HRU720910:HRV786444 IBQ720910:IBR786444 ILM720910:ILN786444 IVI720910:IVJ786444 JFE720910:JFF786444 JPA720910:JPB786444 JYW720910:JYX786444 KIS720910:KIT786444 KSO720910:KSP786444 LCK720910:LCL786444 LMG720910:LMH786444 LWC720910:LWD786444 MFY720910:MFZ786444 MPU720910:MPV786444 MZQ720910:MZR786444 NJM720910:NJN786444 NTI720910:NTJ786444 ODE720910:ODF786444 ONA720910:ONB786444 OWW720910:OWX786444 PGS720910:PGT786444 PQO720910:PQP786444 QAK720910:QAL786444 QKG720910:QKH786444 QUC720910:QUD786444 RDY720910:RDZ786444 RNU720910:RNV786444 RXQ720910:RXR786444 SHM720910:SHN786444 SRI720910:SRJ786444 TBE720910:TBF786444 TLA720910:TLB786444 TUW720910:TUX786444 UES720910:UET786444 UOO720910:UOP786444 UYK720910:UYL786444 VIG720910:VIH786444 VSC720910:VSD786444 WBY720910:WBZ786444 WLU720910:WLV786444 WVQ720910:WVR786444 G786446:H851980 JE786446:JF851980 TA786446:TB851980 ACW786446:ACX851980 AMS786446:AMT851980 AWO786446:AWP851980 BGK786446:BGL851980 BQG786446:BQH851980 CAC786446:CAD851980 CJY786446:CJZ851980 CTU786446:CTV851980 DDQ786446:DDR851980 DNM786446:DNN851980 DXI786446:DXJ851980 EHE786446:EHF851980 ERA786446:ERB851980 FAW786446:FAX851980 FKS786446:FKT851980 FUO786446:FUP851980 GEK786446:GEL851980 GOG786446:GOH851980 GYC786446:GYD851980 HHY786446:HHZ851980 HRU786446:HRV851980 IBQ786446:IBR851980 ILM786446:ILN851980 IVI786446:IVJ851980 JFE786446:JFF851980 JPA786446:JPB851980 JYW786446:JYX851980 KIS786446:KIT851980 KSO786446:KSP851980 LCK786446:LCL851980 LMG786446:LMH851980 LWC786446:LWD851980 MFY786446:MFZ851980 MPU786446:MPV851980 MZQ786446:MZR851980 NJM786446:NJN851980 NTI786446:NTJ851980 ODE786446:ODF851980 ONA786446:ONB851980 OWW786446:OWX851980 PGS786446:PGT851980 PQO786446:PQP851980 QAK786446:QAL851980 QKG786446:QKH851980 QUC786446:QUD851980 RDY786446:RDZ851980 RNU786446:RNV851980 RXQ786446:RXR851980 SHM786446:SHN851980 SRI786446:SRJ851980 TBE786446:TBF851980 TLA786446:TLB851980 TUW786446:TUX851980 UES786446:UET851980 UOO786446:UOP851980 UYK786446:UYL851980 VIG786446:VIH851980 VSC786446:VSD851980 WBY786446:WBZ851980 WLU786446:WLV851980 WVQ786446:WVR851980 G851982:H917516 JE851982:JF917516 TA851982:TB917516 ACW851982:ACX917516 AMS851982:AMT917516 AWO851982:AWP917516 BGK851982:BGL917516 BQG851982:BQH917516 CAC851982:CAD917516 CJY851982:CJZ917516 CTU851982:CTV917516 DDQ851982:DDR917516 DNM851982:DNN917516 DXI851982:DXJ917516 EHE851982:EHF917516 ERA851982:ERB917516 FAW851982:FAX917516 FKS851982:FKT917516 FUO851982:FUP917516 GEK851982:GEL917516 GOG851982:GOH917516 GYC851982:GYD917516 HHY851982:HHZ917516 HRU851982:HRV917516 IBQ851982:IBR917516 ILM851982:ILN917516 IVI851982:IVJ917516 JFE851982:JFF917516 JPA851982:JPB917516 JYW851982:JYX917516 KIS851982:KIT917516 KSO851982:KSP917516 LCK851982:LCL917516 LMG851982:LMH917516 LWC851982:LWD917516 MFY851982:MFZ917516 MPU851982:MPV917516 MZQ851982:MZR917516 NJM851982:NJN917516 NTI851982:NTJ917516 ODE851982:ODF917516 ONA851982:ONB917516 OWW851982:OWX917516 PGS851982:PGT917516 PQO851982:PQP917516 QAK851982:QAL917516 QKG851982:QKH917516 QUC851982:QUD917516 RDY851982:RDZ917516 RNU851982:RNV917516 RXQ851982:RXR917516 SHM851982:SHN917516 SRI851982:SRJ917516 TBE851982:TBF917516 TLA851982:TLB917516 TUW851982:TUX917516 UES851982:UET917516 UOO851982:UOP917516 UYK851982:UYL917516 VIG851982:VIH917516 VSC851982:VSD917516 WBY851982:WBZ917516 WLU851982:WLV917516 WVQ851982:WVR917516 G917518:H983052 JE917518:JF983052 TA917518:TB983052 ACW917518:ACX983052 AMS917518:AMT983052 AWO917518:AWP983052 BGK917518:BGL983052 BQG917518:BQH983052 CAC917518:CAD983052 CJY917518:CJZ983052 CTU917518:CTV983052 DDQ917518:DDR983052 DNM917518:DNN983052 DXI917518:DXJ983052 EHE917518:EHF983052 ERA917518:ERB983052 FAW917518:FAX983052 FKS917518:FKT983052 FUO917518:FUP983052 GEK917518:GEL983052 GOG917518:GOH983052 GYC917518:GYD983052 HHY917518:HHZ983052 HRU917518:HRV983052 IBQ917518:IBR983052 ILM917518:ILN983052 IVI917518:IVJ983052 JFE917518:JFF983052 JPA917518:JPB983052 JYW917518:JYX983052 KIS917518:KIT983052 KSO917518:KSP983052 LCK917518:LCL983052 LMG917518:LMH983052 LWC917518:LWD983052 MFY917518:MFZ983052 MPU917518:MPV983052 MZQ917518:MZR983052 NJM917518:NJN983052 NTI917518:NTJ983052 ODE917518:ODF983052 ONA917518:ONB983052 OWW917518:OWX983052 PGS917518:PGT983052 PQO917518:PQP983052 QAK917518:QAL983052 QKG917518:QKH983052 QUC917518:QUD983052 RDY917518:RDZ983052 RNU917518:RNV983052 RXQ917518:RXR983052 SHM917518:SHN983052 SRI917518:SRJ983052 TBE917518:TBF983052 TLA917518:TLB983052 TUW917518:TUX983052 UES917518:UET983052 UOO917518:UOP983052 UYK917518:UYL983052 VIG917518:VIH983052 VSC917518:VSD983052 WBY917518:WBZ983052 WLU917518:WLV983052 WVQ917518:WVR983052 G983054:H1048576 JE983054:JF1048576 TA983054:TB1048576 ACW983054:ACX1048576 AMS983054:AMT1048576 AWO983054:AWP1048576 BGK983054:BGL1048576 BQG983054:BQH1048576 CAC983054:CAD1048576 CJY983054:CJZ1048576 CTU983054:CTV1048576 DDQ983054:DDR1048576 DNM983054:DNN1048576 DXI983054:DXJ1048576 EHE983054:EHF1048576 ERA983054:ERB1048576 FAW983054:FAX1048576 FKS983054:FKT1048576 FUO983054:FUP1048576 GEK983054:GEL1048576 GOG983054:GOH1048576 GYC983054:GYD1048576 HHY983054:HHZ1048576 HRU983054:HRV1048576 IBQ983054:IBR1048576 ILM983054:ILN1048576 IVI983054:IVJ1048576 JFE983054:JFF1048576 JPA983054:JPB1048576 JYW983054:JYX1048576 KIS983054:KIT1048576 KSO983054:KSP1048576 LCK983054:LCL1048576 LMG983054:LMH1048576 LWC983054:LWD1048576 MFY983054:MFZ1048576 MPU983054:MPV1048576 MZQ983054:MZR1048576 NJM983054:NJN1048576 NTI983054:NTJ1048576 ODE983054:ODF1048576 ONA983054:ONB1048576 OWW983054:OWX1048576 PGS983054:PGT1048576 PQO983054:PQP1048576 QAK983054:QAL1048576 QKG983054:QKH1048576 QUC983054:QUD1048576 RDY983054:RDZ1048576 RNU983054:RNV1048576 RXQ983054:RXR1048576 SHM983054:SHN1048576 SRI983054:SRJ1048576 TBE983054:TBF1048576 TLA983054:TLB1048576 TUW983054:TUX1048576 UES983054:UET1048576 UOO983054:UOP1048576 UYK983054:UYL1048576 VIG983054:VIH1048576 VSC983054:VSD1048576 WBY983054:WBZ1048576 WLU983054:WLV1048576 WVQ983054:WVR1048576 J983054:K1048576 JH983054:JI1048576 TD983054:TE1048576 ACZ983054:ADA1048576 AMV983054:AMW1048576 AWR983054:AWS1048576 BGN983054:BGO1048576 BQJ983054:BQK1048576 CAF983054:CAG1048576 CKB983054:CKC1048576 CTX983054:CTY1048576 DDT983054:DDU1048576 DNP983054:DNQ1048576 DXL983054:DXM1048576 EHH983054:EHI1048576 ERD983054:ERE1048576 FAZ983054:FBA1048576 FKV983054:FKW1048576 FUR983054:FUS1048576 GEN983054:GEO1048576 GOJ983054:GOK1048576 GYF983054:GYG1048576 HIB983054:HIC1048576 HRX983054:HRY1048576 IBT983054:IBU1048576 ILP983054:ILQ1048576 IVL983054:IVM1048576 JFH983054:JFI1048576 JPD983054:JPE1048576 JYZ983054:JZA1048576 KIV983054:KIW1048576 KSR983054:KSS1048576 LCN983054:LCO1048576 LMJ983054:LMK1048576 LWF983054:LWG1048576 MGB983054:MGC1048576 MPX983054:MPY1048576 MZT983054:MZU1048576 NJP983054:NJQ1048576 NTL983054:NTM1048576 ODH983054:ODI1048576 OND983054:ONE1048576 OWZ983054:OXA1048576 PGV983054:PGW1048576 PQR983054:PQS1048576 QAN983054:QAO1048576 QKJ983054:QKK1048576 QUF983054:QUG1048576 REB983054:REC1048576 RNX983054:RNY1048576 RXT983054:RXU1048576 SHP983054:SHQ1048576 SRL983054:SRM1048576 TBH983054:TBI1048576 TLD983054:TLE1048576 TUZ983054:TVA1048576 UEV983054:UEW1048576 UOR983054:UOS1048576 UYN983054:UYO1048576 VIJ983054:VIK1048576 VSF983054:VSG1048576 WCB983054:WCC1048576 WLX983054:WLY1048576 WVT983054:WVU1048576 JF16 TB16 ACX16 AMT16 AWP16 BGL16 BQH16 CAD16 CJZ16 CTV16 DDR16 DNN16 DXJ16 EHF16 ERB16 FAX16 FKT16 FUP16 GEL16 GOH16 GYD16 HHZ16 HRV16 IBR16 ILN16 IVJ16 JFF16 JPB16 JYX16 KIT16 KSP16 LCL16 LMH16 LWD16 MFZ16 MPV16 MZR16 NJN16 NTJ16 ODF16 ONB16 OWX16 PGT16 PQP16 QAL16 QKH16 QUD16 RDZ16 RNV16 RXR16 SHN16 SRJ16 TBF16 TLB16 TUX16 UET16 UOP16 UYL16 VIH16 VSD16 WBZ16 WLV16 WVR16 K16 H65549 JF65549 TB65549 ACX65549 AMT65549 AWP65549 BGL65549 BQH65549 CAD65549 CJZ65549 CTV65549 DDR65549 DNN65549 DXJ65549 EHF65549 ERB65549 FAX65549 FKT65549 FUP65549 GEL65549 GOH65549 GYD65549 HHZ65549 HRV65549 IBR65549 ILN65549 IVJ65549 JFF65549 JPB65549 JYX65549 KIT65549 KSP65549 LCL65549 LMH65549 LWD65549 MFZ65549 MPV65549 MZR65549 NJN65549 NTJ65549 ODF65549 ONB65549 OWX65549 PGT65549 PQP65549 QAL65549 QKH65549 QUD65549 RDZ65549 RNV65549 RXR65549 SHN65549 SRJ65549 TBF65549 TLB65549 TUX65549 UET65549 UOP65549 UYL65549 VIH65549 VSD65549 WBZ65549 WLV65549 WVR65549 H131085 JF131085 TB131085 ACX131085 AMT131085 AWP131085 BGL131085 BQH131085 CAD131085 CJZ131085 CTV131085 DDR131085 DNN131085 DXJ131085 EHF131085 ERB131085 FAX131085 FKT131085 FUP131085 GEL131085 GOH131085 GYD131085 HHZ131085 HRV131085 IBR131085 ILN131085 IVJ131085 JFF131085 JPB131085 JYX131085 KIT131085 KSP131085 LCL131085 LMH131085 LWD131085 MFZ131085 MPV131085 MZR131085 NJN131085 NTJ131085 ODF131085 ONB131085 OWX131085 PGT131085 PQP131085 QAL131085 QKH131085 QUD131085 RDZ131085 RNV131085 RXR131085 SHN131085 SRJ131085 TBF131085 TLB131085 TUX131085 UET131085 UOP131085 UYL131085 VIH131085 VSD131085 WBZ131085 WLV131085 WVR131085 H196621 JF196621 TB196621 ACX196621 AMT196621 AWP196621 BGL196621 BQH196621 CAD196621 CJZ196621 CTV196621 DDR196621 DNN196621 DXJ196621 EHF196621 ERB196621 FAX196621 FKT196621 FUP196621 GEL196621 GOH196621 GYD196621 HHZ196621 HRV196621 IBR196621 ILN196621 IVJ196621 JFF196621 JPB196621 JYX196621 KIT196621 KSP196621 LCL196621 LMH196621 LWD196621 MFZ196621 MPV196621 MZR196621 NJN196621 NTJ196621 ODF196621 ONB196621 OWX196621 PGT196621 PQP196621 QAL196621 QKH196621 QUD196621 RDZ196621 RNV196621 RXR196621 SHN196621 SRJ196621 TBF196621 TLB196621 TUX196621 UET196621 UOP196621 UYL196621 VIH196621 VSD196621 WBZ196621 WLV196621 WVR196621 H262157 JF262157 TB262157 ACX262157 AMT262157 AWP262157 BGL262157 BQH262157 CAD262157 CJZ262157 CTV262157 DDR262157 DNN262157 DXJ262157 EHF262157 ERB262157 FAX262157 FKT262157 FUP262157 GEL262157 GOH262157 GYD262157 HHZ262157 HRV262157 IBR262157 ILN262157 IVJ262157 JFF262157 JPB262157 JYX262157 KIT262157 KSP262157 LCL262157 LMH262157 LWD262157 MFZ262157 MPV262157 MZR262157 NJN262157 NTJ262157 ODF262157 ONB262157 OWX262157 PGT262157 PQP262157 QAL262157 QKH262157 QUD262157 RDZ262157 RNV262157 RXR262157 SHN262157 SRJ262157 TBF262157 TLB262157 TUX262157 UET262157 UOP262157 UYL262157 VIH262157 VSD262157 WBZ262157 WLV262157 WVR262157 H327693 JF327693 TB327693 ACX327693 AMT327693 AWP327693 BGL327693 BQH327693 CAD327693 CJZ327693 CTV327693 DDR327693 DNN327693 DXJ327693 EHF327693 ERB327693 FAX327693 FKT327693 FUP327693 GEL327693 GOH327693 GYD327693 HHZ327693 HRV327693 IBR327693 ILN327693 IVJ327693 JFF327693 JPB327693 JYX327693 KIT327693 KSP327693 LCL327693 LMH327693 LWD327693 MFZ327693 MPV327693 MZR327693 NJN327693 NTJ327693 ODF327693 ONB327693 OWX327693 PGT327693 PQP327693 QAL327693 QKH327693 QUD327693 RDZ327693 RNV327693 RXR327693 SHN327693 SRJ327693 TBF327693 TLB327693 TUX327693 UET327693 UOP327693 UYL327693 VIH327693 VSD327693 WBZ327693 WLV327693 WVR327693 H393229 JF393229 TB393229 ACX393229 AMT393229 AWP393229 BGL393229 BQH393229 CAD393229 CJZ393229 CTV393229 DDR393229 DNN393229 DXJ393229 EHF393229 ERB393229 FAX393229 FKT393229 FUP393229 GEL393229 GOH393229 GYD393229 HHZ393229 HRV393229 IBR393229 ILN393229 IVJ393229 JFF393229 JPB393229 JYX393229 KIT393229 KSP393229 LCL393229 LMH393229 LWD393229 MFZ393229 MPV393229 MZR393229 NJN393229 NTJ393229 ODF393229 ONB393229 OWX393229 PGT393229 PQP393229 QAL393229 QKH393229 QUD393229 RDZ393229 RNV393229 RXR393229 SHN393229 SRJ393229 TBF393229 TLB393229 TUX393229 UET393229 UOP393229 UYL393229 VIH393229 VSD393229 WBZ393229 WLV393229 WVR393229 H458765 JF458765 TB458765 ACX458765 AMT458765 AWP458765 BGL458765 BQH458765 CAD458765 CJZ458765 CTV458765 DDR458765 DNN458765 DXJ458765 EHF458765 ERB458765 FAX458765 FKT458765 FUP458765 GEL458765 GOH458765 GYD458765 HHZ458765 HRV458765 IBR458765 ILN458765 IVJ458765 JFF458765 JPB458765 JYX458765 KIT458765 KSP458765 LCL458765 LMH458765 LWD458765 MFZ458765 MPV458765 MZR458765 NJN458765 NTJ458765 ODF458765 ONB458765 OWX458765 PGT458765 PQP458765 QAL458765 QKH458765 QUD458765 RDZ458765 RNV458765 RXR458765 SHN458765 SRJ458765 TBF458765 TLB458765 TUX458765 UET458765 UOP458765 UYL458765 VIH458765 VSD458765 WBZ458765 WLV458765 WVR458765 H524301 JF524301 TB524301 ACX524301 AMT524301 AWP524301 BGL524301 BQH524301 CAD524301 CJZ524301 CTV524301 DDR524301 DNN524301 DXJ524301 EHF524301 ERB524301 FAX524301 FKT524301 FUP524301 GEL524301 GOH524301 GYD524301 HHZ524301 HRV524301 IBR524301 ILN524301 IVJ524301 JFF524301 JPB524301 JYX524301 KIT524301 KSP524301 LCL524301 LMH524301 LWD524301 MFZ524301 MPV524301 MZR524301 NJN524301 NTJ524301 ODF524301 ONB524301 OWX524301 PGT524301 PQP524301 QAL524301 QKH524301 QUD524301 RDZ524301 RNV524301 RXR524301 SHN524301 SRJ524301 TBF524301 TLB524301 TUX524301 UET524301 UOP524301 UYL524301 VIH524301 VSD524301 WBZ524301 WLV524301 WVR524301 H589837 JF589837 TB589837 ACX589837 AMT589837 AWP589837 BGL589837 BQH589837 CAD589837 CJZ589837 CTV589837 DDR589837 DNN589837 DXJ589837 EHF589837 ERB589837 FAX589837 FKT589837 FUP589837 GEL589837 GOH589837 GYD589837 HHZ589837 HRV589837 IBR589837 ILN589837 IVJ589837 JFF589837 JPB589837 JYX589837 KIT589837 KSP589837 LCL589837 LMH589837 LWD589837 MFZ589837 MPV589837 MZR589837 NJN589837 NTJ589837 ODF589837 ONB589837 OWX589837 PGT589837 PQP589837 QAL589837 QKH589837 QUD589837 RDZ589837 RNV589837 RXR589837 SHN589837 SRJ589837 TBF589837 TLB589837 TUX589837 UET589837 UOP589837 UYL589837 VIH589837 VSD589837 WBZ589837 WLV589837 WVR589837 H655373 JF655373 TB655373 ACX655373 AMT655373 AWP655373 BGL655373 BQH655373 CAD655373 CJZ655373 CTV655373 DDR655373 DNN655373 DXJ655373 EHF655373 ERB655373 FAX655373 FKT655373 FUP655373 GEL655373 GOH655373 GYD655373 HHZ655373 HRV655373 IBR655373 ILN655373 IVJ655373 JFF655373 JPB655373 JYX655373 KIT655373 KSP655373 LCL655373 LMH655373 LWD655373 MFZ655373 MPV655373 MZR655373 NJN655373 NTJ655373 ODF655373 ONB655373 OWX655373 PGT655373 PQP655373 QAL655373 QKH655373 QUD655373 RDZ655373 RNV655373 RXR655373 SHN655373 SRJ655373 TBF655373 TLB655373 TUX655373 UET655373 UOP655373 UYL655373 VIH655373 VSD655373 WBZ655373 WLV655373 WVR655373 H720909 JF720909 TB720909 ACX720909 AMT720909 AWP720909 BGL720909 BQH720909 CAD720909 CJZ720909 CTV720909 DDR720909 DNN720909 DXJ720909 EHF720909 ERB720909 FAX720909 FKT720909 FUP720909 GEL720909 GOH720909 GYD720909 HHZ720909 HRV720909 IBR720909 ILN720909 IVJ720909 JFF720909 JPB720909 JYX720909 KIT720909 KSP720909 LCL720909 LMH720909 LWD720909 MFZ720909 MPV720909 MZR720909 NJN720909 NTJ720909 ODF720909 ONB720909 OWX720909 PGT720909 PQP720909 QAL720909 QKH720909 QUD720909 RDZ720909 RNV720909 RXR720909 SHN720909 SRJ720909 TBF720909 TLB720909 TUX720909 UET720909 UOP720909 UYL720909 VIH720909 VSD720909 WBZ720909 WLV720909 WVR720909 H786445 JF786445 TB786445 ACX786445 AMT786445 AWP786445 BGL786445 BQH786445 CAD786445 CJZ786445 CTV786445 DDR786445 DNN786445 DXJ786445 EHF786445 ERB786445 FAX786445 FKT786445 FUP786445 GEL786445 GOH786445 GYD786445 HHZ786445 HRV786445 IBR786445 ILN786445 IVJ786445 JFF786445 JPB786445 JYX786445 KIT786445 KSP786445 LCL786445 LMH786445 LWD786445 MFZ786445 MPV786445 MZR786445 NJN786445 NTJ786445 ODF786445 ONB786445 OWX786445 PGT786445 PQP786445 QAL786445 QKH786445 QUD786445 RDZ786445 RNV786445 RXR786445 SHN786445 SRJ786445 TBF786445 TLB786445 TUX786445 UET786445 UOP786445 UYL786445 VIH786445 VSD786445 WBZ786445 WLV786445 WVR786445 H851981 JF851981 TB851981 ACX851981 AMT851981 AWP851981 BGL851981 BQH851981 CAD851981 CJZ851981 CTV851981 DDR851981 DNN851981 DXJ851981 EHF851981 ERB851981 FAX851981 FKT851981 FUP851981 GEL851981 GOH851981 GYD851981 HHZ851981 HRV851981 IBR851981 ILN851981 IVJ851981 JFF851981 JPB851981 JYX851981 KIT851981 KSP851981 LCL851981 LMH851981 LWD851981 MFZ851981 MPV851981 MZR851981 NJN851981 NTJ851981 ODF851981 ONB851981 OWX851981 PGT851981 PQP851981 QAL851981 QKH851981 QUD851981 RDZ851981 RNV851981 RXR851981 SHN851981 SRJ851981 TBF851981 TLB851981 TUX851981 UET851981 UOP851981 UYL851981 VIH851981 VSD851981 WBZ851981 WLV851981 WVR851981 H917517 JF917517 TB917517 ACX917517 AMT917517 AWP917517 BGL917517 BQH917517 CAD917517 CJZ917517 CTV917517 DDR917517 DNN917517 DXJ917517 EHF917517 ERB917517 FAX917517 FKT917517 FUP917517 GEL917517 GOH917517 GYD917517 HHZ917517 HRV917517 IBR917517 ILN917517 IVJ917517 JFF917517 JPB917517 JYX917517 KIT917517 KSP917517 LCL917517 LMH917517 LWD917517 MFZ917517 MPV917517 MZR917517 NJN917517 NTJ917517 ODF917517 ONB917517 OWX917517 PGT917517 PQP917517 QAL917517 QKH917517 QUD917517 RDZ917517 RNV917517 RXR917517 SHN917517 SRJ917517 TBF917517 TLB917517 TUX917517 UET917517 UOP917517 UYL917517 VIH917517 VSD917517 WBZ917517 WLV917517 WVR917517 H983053 JF983053 TB983053 ACX983053 AMT983053 AWP983053 BGL983053 BQH983053 CAD983053 CJZ983053 CTV983053 DDR983053 DNN983053 DXJ983053 EHF983053 ERB983053 FAX983053 FKT983053 FUP983053 GEL983053 GOH983053 GYD983053 HHZ983053 HRV983053 IBR983053 ILN983053 IVJ983053 JFF983053 JPB983053 JYX983053 KIT983053 KSP983053 LCL983053 LMH983053 LWD983053 MFZ983053 MPV983053 MZR983053 NJN983053 NTJ983053 ODF983053 ONB983053 OWX983053 PGT983053 PQP983053 QAL983053 QKH983053 QUD983053 RDZ983053 RNV983053 RXR983053 SHN983053 SRJ983053 TBF983053 TLB983053 TUX983053 UET983053 UOP983053 UYL983053 VIH983053 VSD983053 WBZ983053 WLV983053 WVR983053 P196622:P262156 JN65550:JN131084 TJ65550:TJ131084 ADF65550:ADF131084 ANB65550:ANB131084 AWX65550:AWX131084 BGT65550:BGT131084 BQP65550:BQP131084 CAL65550:CAL131084 CKH65550:CKH131084 CUD65550:CUD131084 DDZ65550:DDZ131084 DNV65550:DNV131084 DXR65550:DXR131084 EHN65550:EHN131084 ERJ65550:ERJ131084 FBF65550:FBF131084 FLB65550:FLB131084 FUX65550:FUX131084 GET65550:GET131084 GOP65550:GOP131084 GYL65550:GYL131084 HIH65550:HIH131084 HSD65550:HSD131084 IBZ65550:IBZ131084 ILV65550:ILV131084 IVR65550:IVR131084 JFN65550:JFN131084 JPJ65550:JPJ131084 JZF65550:JZF131084 KJB65550:KJB131084 KSX65550:KSX131084 LCT65550:LCT131084 LMP65550:LMP131084 LWL65550:LWL131084 MGH65550:MGH131084 MQD65550:MQD131084 MZZ65550:MZZ131084 NJV65550:NJV131084 NTR65550:NTR131084 ODN65550:ODN131084 ONJ65550:ONJ131084 OXF65550:OXF131084 PHB65550:PHB131084 PQX65550:PQX131084 QAT65550:QAT131084 QKP65550:QKP131084 QUL65550:QUL131084 REH65550:REH131084 ROD65550:ROD131084 RXZ65550:RXZ131084 SHV65550:SHV131084 SRR65550:SRR131084 TBN65550:TBN131084 TLJ65550:TLJ131084 TVF65550:TVF131084 UFB65550:UFB131084 UOX65550:UOX131084 UYT65550:UYT131084 VIP65550:VIP131084 VSL65550:VSL131084 WCH65550:WCH131084 WMD65550:WMD131084 WVZ65550:WVZ131084 P262158:P327692 JN131086:JN196620 TJ131086:TJ196620 ADF131086:ADF196620 ANB131086:ANB196620 AWX131086:AWX196620 BGT131086:BGT196620 BQP131086:BQP196620 CAL131086:CAL196620 CKH131086:CKH196620 CUD131086:CUD196620 DDZ131086:DDZ196620 DNV131086:DNV196620 DXR131086:DXR196620 EHN131086:EHN196620 ERJ131086:ERJ196620 FBF131086:FBF196620 FLB131086:FLB196620 FUX131086:FUX196620 GET131086:GET196620 GOP131086:GOP196620 GYL131086:GYL196620 HIH131086:HIH196620 HSD131086:HSD196620 IBZ131086:IBZ196620 ILV131086:ILV196620 IVR131086:IVR196620 JFN131086:JFN196620 JPJ131086:JPJ196620 JZF131086:JZF196620 KJB131086:KJB196620 KSX131086:KSX196620 LCT131086:LCT196620 LMP131086:LMP196620 LWL131086:LWL196620 MGH131086:MGH196620 MQD131086:MQD196620 MZZ131086:MZZ196620 NJV131086:NJV196620 NTR131086:NTR196620 ODN131086:ODN196620 ONJ131086:ONJ196620 OXF131086:OXF196620 PHB131086:PHB196620 PQX131086:PQX196620 QAT131086:QAT196620 QKP131086:QKP196620 QUL131086:QUL196620 REH131086:REH196620 ROD131086:ROD196620 RXZ131086:RXZ196620 SHV131086:SHV196620 SRR131086:SRR196620 TBN131086:TBN196620 TLJ131086:TLJ196620 TVF131086:TVF196620 UFB131086:UFB196620 UOX131086:UOX196620 UYT131086:UYT196620 VIP131086:VIP196620 VSL131086:VSL196620 WCH131086:WCH196620 WMD131086:WMD196620 WVZ131086:WVZ196620 P327694:P393228 JN196622:JN262156 TJ196622:TJ262156 ADF196622:ADF262156 ANB196622:ANB262156 AWX196622:AWX262156 BGT196622:BGT262156 BQP196622:BQP262156 CAL196622:CAL262156 CKH196622:CKH262156 CUD196622:CUD262156 DDZ196622:DDZ262156 DNV196622:DNV262156 DXR196622:DXR262156 EHN196622:EHN262156 ERJ196622:ERJ262156 FBF196622:FBF262156 FLB196622:FLB262156 FUX196622:FUX262156 GET196622:GET262156 GOP196622:GOP262156 GYL196622:GYL262156 HIH196622:HIH262156 HSD196622:HSD262156 IBZ196622:IBZ262156 ILV196622:ILV262156 IVR196622:IVR262156 JFN196622:JFN262156 JPJ196622:JPJ262156 JZF196622:JZF262156 KJB196622:KJB262156 KSX196622:KSX262156 LCT196622:LCT262156 LMP196622:LMP262156 LWL196622:LWL262156 MGH196622:MGH262156 MQD196622:MQD262156 MZZ196622:MZZ262156 NJV196622:NJV262156 NTR196622:NTR262156 ODN196622:ODN262156 ONJ196622:ONJ262156 OXF196622:OXF262156 PHB196622:PHB262156 PQX196622:PQX262156 QAT196622:QAT262156 QKP196622:QKP262156 QUL196622:QUL262156 REH196622:REH262156 ROD196622:ROD262156 RXZ196622:RXZ262156 SHV196622:SHV262156 SRR196622:SRR262156 TBN196622:TBN262156 TLJ196622:TLJ262156 TVF196622:TVF262156 UFB196622:UFB262156 UOX196622:UOX262156 UYT196622:UYT262156 VIP196622:VIP262156 VSL196622:VSL262156 WCH196622:WCH262156 WMD196622:WMD262156 WVZ196622:WVZ262156 P393230:P458764 JN262158:JN327692 TJ262158:TJ327692 ADF262158:ADF327692 ANB262158:ANB327692 AWX262158:AWX327692 BGT262158:BGT327692 BQP262158:BQP327692 CAL262158:CAL327692 CKH262158:CKH327692 CUD262158:CUD327692 DDZ262158:DDZ327692 DNV262158:DNV327692 DXR262158:DXR327692 EHN262158:EHN327692 ERJ262158:ERJ327692 FBF262158:FBF327692 FLB262158:FLB327692 FUX262158:FUX327692 GET262158:GET327692 GOP262158:GOP327692 GYL262158:GYL327692 HIH262158:HIH327692 HSD262158:HSD327692 IBZ262158:IBZ327692 ILV262158:ILV327692 IVR262158:IVR327692 JFN262158:JFN327692 JPJ262158:JPJ327692 JZF262158:JZF327692 KJB262158:KJB327692 KSX262158:KSX327692 LCT262158:LCT327692 LMP262158:LMP327692 LWL262158:LWL327692 MGH262158:MGH327692 MQD262158:MQD327692 MZZ262158:MZZ327692 NJV262158:NJV327692 NTR262158:NTR327692 ODN262158:ODN327692 ONJ262158:ONJ327692 OXF262158:OXF327692 PHB262158:PHB327692 PQX262158:PQX327692 QAT262158:QAT327692 QKP262158:QKP327692 QUL262158:QUL327692 REH262158:REH327692 ROD262158:ROD327692 RXZ262158:RXZ327692 SHV262158:SHV327692 SRR262158:SRR327692 TBN262158:TBN327692 TLJ262158:TLJ327692 TVF262158:TVF327692 UFB262158:UFB327692 UOX262158:UOX327692 UYT262158:UYT327692 VIP262158:VIP327692 VSL262158:VSL327692 WCH262158:WCH327692 WMD262158:WMD327692 WVZ262158:WVZ327692 P458766:P524300 JN327694:JN393228 TJ327694:TJ393228 ADF327694:ADF393228 ANB327694:ANB393228 AWX327694:AWX393228 BGT327694:BGT393228 BQP327694:BQP393228 CAL327694:CAL393228 CKH327694:CKH393228 CUD327694:CUD393228 DDZ327694:DDZ393228 DNV327694:DNV393228 DXR327694:DXR393228 EHN327694:EHN393228 ERJ327694:ERJ393228 FBF327694:FBF393228 FLB327694:FLB393228 FUX327694:FUX393228 GET327694:GET393228 GOP327694:GOP393228 GYL327694:GYL393228 HIH327694:HIH393228 HSD327694:HSD393228 IBZ327694:IBZ393228 ILV327694:ILV393228 IVR327694:IVR393228 JFN327694:JFN393228 JPJ327694:JPJ393228 JZF327694:JZF393228 KJB327694:KJB393228 KSX327694:KSX393228 LCT327694:LCT393228 LMP327694:LMP393228 LWL327694:LWL393228 MGH327694:MGH393228 MQD327694:MQD393228 MZZ327694:MZZ393228 NJV327694:NJV393228 NTR327694:NTR393228 ODN327694:ODN393228 ONJ327694:ONJ393228 OXF327694:OXF393228 PHB327694:PHB393228 PQX327694:PQX393228 QAT327694:QAT393228 QKP327694:QKP393228 QUL327694:QUL393228 REH327694:REH393228 ROD327694:ROD393228 RXZ327694:RXZ393228 SHV327694:SHV393228 SRR327694:SRR393228 TBN327694:TBN393228 TLJ327694:TLJ393228 TVF327694:TVF393228 UFB327694:UFB393228 UOX327694:UOX393228 UYT327694:UYT393228 VIP327694:VIP393228 VSL327694:VSL393228 WCH327694:WCH393228 WMD327694:WMD393228 WVZ327694:WVZ393228 P524302:P589836 JN393230:JN458764 TJ393230:TJ458764 ADF393230:ADF458764 ANB393230:ANB458764 AWX393230:AWX458764 BGT393230:BGT458764 BQP393230:BQP458764 CAL393230:CAL458764 CKH393230:CKH458764 CUD393230:CUD458764 DDZ393230:DDZ458764 DNV393230:DNV458764 DXR393230:DXR458764 EHN393230:EHN458764 ERJ393230:ERJ458764 FBF393230:FBF458764 FLB393230:FLB458764 FUX393230:FUX458764 GET393230:GET458764 GOP393230:GOP458764 GYL393230:GYL458764 HIH393230:HIH458764 HSD393230:HSD458764 IBZ393230:IBZ458764 ILV393230:ILV458764 IVR393230:IVR458764 JFN393230:JFN458764 JPJ393230:JPJ458764 JZF393230:JZF458764 KJB393230:KJB458764 KSX393230:KSX458764 LCT393230:LCT458764 LMP393230:LMP458764 LWL393230:LWL458764 MGH393230:MGH458764 MQD393230:MQD458764 MZZ393230:MZZ458764 NJV393230:NJV458764 NTR393230:NTR458764 ODN393230:ODN458764 ONJ393230:ONJ458764 OXF393230:OXF458764 PHB393230:PHB458764 PQX393230:PQX458764 QAT393230:QAT458764 QKP393230:QKP458764 QUL393230:QUL458764 REH393230:REH458764 ROD393230:ROD458764 RXZ393230:RXZ458764 SHV393230:SHV458764 SRR393230:SRR458764 TBN393230:TBN458764 TLJ393230:TLJ458764 TVF393230:TVF458764 UFB393230:UFB458764 UOX393230:UOX458764 UYT393230:UYT458764 VIP393230:VIP458764 VSL393230:VSL458764 WCH393230:WCH458764 WMD393230:WMD458764 WVZ393230:WVZ458764 P589838:P655372 JN458766:JN524300 TJ458766:TJ524300 ADF458766:ADF524300 ANB458766:ANB524300 AWX458766:AWX524300 BGT458766:BGT524300 BQP458766:BQP524300 CAL458766:CAL524300 CKH458766:CKH524300 CUD458766:CUD524300 DDZ458766:DDZ524300 DNV458766:DNV524300 DXR458766:DXR524300 EHN458766:EHN524300 ERJ458766:ERJ524300 FBF458766:FBF524300 FLB458766:FLB524300 FUX458766:FUX524300 GET458766:GET524300 GOP458766:GOP524300 GYL458766:GYL524300 HIH458766:HIH524300 HSD458766:HSD524300 IBZ458766:IBZ524300 ILV458766:ILV524300 IVR458766:IVR524300 JFN458766:JFN524300 JPJ458766:JPJ524300 JZF458766:JZF524300 KJB458766:KJB524300 KSX458766:KSX524300 LCT458766:LCT524300 LMP458766:LMP524300 LWL458766:LWL524300 MGH458766:MGH524300 MQD458766:MQD524300 MZZ458766:MZZ524300 NJV458766:NJV524300 NTR458766:NTR524300 ODN458766:ODN524300 ONJ458766:ONJ524300 OXF458766:OXF524300 PHB458766:PHB524300 PQX458766:PQX524300 QAT458766:QAT524300 QKP458766:QKP524300 QUL458766:QUL524300 REH458766:REH524300 ROD458766:ROD524300 RXZ458766:RXZ524300 SHV458766:SHV524300 SRR458766:SRR524300 TBN458766:TBN524300 TLJ458766:TLJ524300 TVF458766:TVF524300 UFB458766:UFB524300 UOX458766:UOX524300 UYT458766:UYT524300 VIP458766:VIP524300 VSL458766:VSL524300 WCH458766:WCH524300 WMD458766:WMD524300 WVZ458766:WVZ524300 P655374:P720908 JN524302:JN589836 TJ524302:TJ589836 ADF524302:ADF589836 ANB524302:ANB589836 AWX524302:AWX589836 BGT524302:BGT589836 BQP524302:BQP589836 CAL524302:CAL589836 CKH524302:CKH589836 CUD524302:CUD589836 DDZ524302:DDZ589836 DNV524302:DNV589836 DXR524302:DXR589836 EHN524302:EHN589836 ERJ524302:ERJ589836 FBF524302:FBF589836 FLB524302:FLB589836 FUX524302:FUX589836 GET524302:GET589836 GOP524302:GOP589836 GYL524302:GYL589836 HIH524302:HIH589836 HSD524302:HSD589836 IBZ524302:IBZ589836 ILV524302:ILV589836 IVR524302:IVR589836 JFN524302:JFN589836 JPJ524302:JPJ589836 JZF524302:JZF589836 KJB524302:KJB589836 KSX524302:KSX589836 LCT524302:LCT589836 LMP524302:LMP589836 LWL524302:LWL589836 MGH524302:MGH589836 MQD524302:MQD589836 MZZ524302:MZZ589836 NJV524302:NJV589836 NTR524302:NTR589836 ODN524302:ODN589836 ONJ524302:ONJ589836 OXF524302:OXF589836 PHB524302:PHB589836 PQX524302:PQX589836 QAT524302:QAT589836 QKP524302:QKP589836 QUL524302:QUL589836 REH524302:REH589836 ROD524302:ROD589836 RXZ524302:RXZ589836 SHV524302:SHV589836 SRR524302:SRR589836 TBN524302:TBN589836 TLJ524302:TLJ589836 TVF524302:TVF589836 UFB524302:UFB589836 UOX524302:UOX589836 UYT524302:UYT589836 VIP524302:VIP589836 VSL524302:VSL589836 WCH524302:WCH589836 WMD524302:WMD589836 WVZ524302:WVZ589836 P720910:P786444 JN589838:JN655372 TJ589838:TJ655372 ADF589838:ADF655372 ANB589838:ANB655372 AWX589838:AWX655372 BGT589838:BGT655372 BQP589838:BQP655372 CAL589838:CAL655372 CKH589838:CKH655372 CUD589838:CUD655372 DDZ589838:DDZ655372 DNV589838:DNV655372 DXR589838:DXR655372 EHN589838:EHN655372 ERJ589838:ERJ655372 FBF589838:FBF655372 FLB589838:FLB655372 FUX589838:FUX655372 GET589838:GET655372 GOP589838:GOP655372 GYL589838:GYL655372 HIH589838:HIH655372 HSD589838:HSD655372 IBZ589838:IBZ655372 ILV589838:ILV655372 IVR589838:IVR655372 JFN589838:JFN655372 JPJ589838:JPJ655372 JZF589838:JZF655372 KJB589838:KJB655372 KSX589838:KSX655372 LCT589838:LCT655372 LMP589838:LMP655372 LWL589838:LWL655372 MGH589838:MGH655372 MQD589838:MQD655372 MZZ589838:MZZ655372 NJV589838:NJV655372 NTR589838:NTR655372 ODN589838:ODN655372 ONJ589838:ONJ655372 OXF589838:OXF655372 PHB589838:PHB655372 PQX589838:PQX655372 QAT589838:QAT655372 QKP589838:QKP655372 QUL589838:QUL655372 REH589838:REH655372 ROD589838:ROD655372 RXZ589838:RXZ655372 SHV589838:SHV655372 SRR589838:SRR655372 TBN589838:TBN655372 TLJ589838:TLJ655372 TVF589838:TVF655372 UFB589838:UFB655372 UOX589838:UOX655372 UYT589838:UYT655372 VIP589838:VIP655372 VSL589838:VSL655372 WCH589838:WCH655372 WMD589838:WMD655372 WVZ589838:WVZ655372 P786446:P851980 JN655374:JN720908 TJ655374:TJ720908 ADF655374:ADF720908 ANB655374:ANB720908 AWX655374:AWX720908 BGT655374:BGT720908 BQP655374:BQP720908 CAL655374:CAL720908 CKH655374:CKH720908 CUD655374:CUD720908 DDZ655374:DDZ720908 DNV655374:DNV720908 DXR655374:DXR720908 EHN655374:EHN720908 ERJ655374:ERJ720908 FBF655374:FBF720908 FLB655374:FLB720908 FUX655374:FUX720908 GET655374:GET720908 GOP655374:GOP720908 GYL655374:GYL720908 HIH655374:HIH720908 HSD655374:HSD720908 IBZ655374:IBZ720908 ILV655374:ILV720908 IVR655374:IVR720908 JFN655374:JFN720908 JPJ655374:JPJ720908 JZF655374:JZF720908 KJB655374:KJB720908 KSX655374:KSX720908 LCT655374:LCT720908 LMP655374:LMP720908 LWL655374:LWL720908 MGH655374:MGH720908 MQD655374:MQD720908 MZZ655374:MZZ720908 NJV655374:NJV720908 NTR655374:NTR720908 ODN655374:ODN720908 ONJ655374:ONJ720908 OXF655374:OXF720908 PHB655374:PHB720908 PQX655374:PQX720908 QAT655374:QAT720908 QKP655374:QKP720908 QUL655374:QUL720908 REH655374:REH720908 ROD655374:ROD720908 RXZ655374:RXZ720908 SHV655374:SHV720908 SRR655374:SRR720908 TBN655374:TBN720908 TLJ655374:TLJ720908 TVF655374:TVF720908 UFB655374:UFB720908 UOX655374:UOX720908 UYT655374:UYT720908 VIP655374:VIP720908 VSL655374:VSL720908 WCH655374:WCH720908 WMD655374:WMD720908 WVZ655374:WVZ720908 P851982:P917516 JN720910:JN786444 TJ720910:TJ786444 ADF720910:ADF786444 ANB720910:ANB786444 AWX720910:AWX786444 BGT720910:BGT786444 BQP720910:BQP786444 CAL720910:CAL786444 CKH720910:CKH786444 CUD720910:CUD786444 DDZ720910:DDZ786444 DNV720910:DNV786444 DXR720910:DXR786444 EHN720910:EHN786444 ERJ720910:ERJ786444 FBF720910:FBF786444 FLB720910:FLB786444 FUX720910:FUX786444 GET720910:GET786444 GOP720910:GOP786444 GYL720910:GYL786444 HIH720910:HIH786444 HSD720910:HSD786444 IBZ720910:IBZ786444 ILV720910:ILV786444 IVR720910:IVR786444 JFN720910:JFN786444 JPJ720910:JPJ786444 JZF720910:JZF786444 KJB720910:KJB786444 KSX720910:KSX786444 LCT720910:LCT786444 LMP720910:LMP786444 LWL720910:LWL786444 MGH720910:MGH786444 MQD720910:MQD786444 MZZ720910:MZZ786444 NJV720910:NJV786444 NTR720910:NTR786444 ODN720910:ODN786444 ONJ720910:ONJ786444 OXF720910:OXF786444 PHB720910:PHB786444 PQX720910:PQX786444 QAT720910:QAT786444 QKP720910:QKP786444 QUL720910:QUL786444 REH720910:REH786444 ROD720910:ROD786444 RXZ720910:RXZ786444 SHV720910:SHV786444 SRR720910:SRR786444 TBN720910:TBN786444 TLJ720910:TLJ786444 TVF720910:TVF786444 UFB720910:UFB786444 UOX720910:UOX786444 UYT720910:UYT786444 VIP720910:VIP786444 VSL720910:VSL786444 WCH720910:WCH786444 WMD720910:WMD786444 WVZ720910:WVZ786444 P917518:P983052 JN786446:JN851980 TJ786446:TJ851980 ADF786446:ADF851980 ANB786446:ANB851980 AWX786446:AWX851980 BGT786446:BGT851980 BQP786446:BQP851980 CAL786446:CAL851980 CKH786446:CKH851980 CUD786446:CUD851980 DDZ786446:DDZ851980 DNV786446:DNV851980 DXR786446:DXR851980 EHN786446:EHN851980 ERJ786446:ERJ851980 FBF786446:FBF851980 FLB786446:FLB851980 FUX786446:FUX851980 GET786446:GET851980 GOP786446:GOP851980 GYL786446:GYL851980 HIH786446:HIH851980 HSD786446:HSD851980 IBZ786446:IBZ851980 ILV786446:ILV851980 IVR786446:IVR851980 JFN786446:JFN851980 JPJ786446:JPJ851980 JZF786446:JZF851980 KJB786446:KJB851980 KSX786446:KSX851980 LCT786446:LCT851980 LMP786446:LMP851980 LWL786446:LWL851980 MGH786446:MGH851980 MQD786446:MQD851980 MZZ786446:MZZ851980 NJV786446:NJV851980 NTR786446:NTR851980 ODN786446:ODN851980 ONJ786446:ONJ851980 OXF786446:OXF851980 PHB786446:PHB851980 PQX786446:PQX851980 QAT786446:QAT851980 QKP786446:QKP851980 QUL786446:QUL851980 REH786446:REH851980 ROD786446:ROD851980 RXZ786446:RXZ851980 SHV786446:SHV851980 SRR786446:SRR851980 TBN786446:TBN851980 TLJ786446:TLJ851980 TVF786446:TVF851980 UFB786446:UFB851980 UOX786446:UOX851980 UYT786446:UYT851980 VIP786446:VIP851980 VSL786446:VSL851980 WCH786446:WCH851980 WMD786446:WMD851980 WVZ786446:WVZ851980 P983054:P1048576 JN851982:JN917516 TJ851982:TJ917516 ADF851982:ADF917516 ANB851982:ANB917516 AWX851982:AWX917516 BGT851982:BGT917516 BQP851982:BQP917516 CAL851982:CAL917516 CKH851982:CKH917516 CUD851982:CUD917516 DDZ851982:DDZ917516 DNV851982:DNV917516 DXR851982:DXR917516 EHN851982:EHN917516 ERJ851982:ERJ917516 FBF851982:FBF917516 FLB851982:FLB917516 FUX851982:FUX917516 GET851982:GET917516 GOP851982:GOP917516 GYL851982:GYL917516 HIH851982:HIH917516 HSD851982:HSD917516 IBZ851982:IBZ917516 ILV851982:ILV917516 IVR851982:IVR917516 JFN851982:JFN917516 JPJ851982:JPJ917516 JZF851982:JZF917516 KJB851982:KJB917516 KSX851982:KSX917516 LCT851982:LCT917516 LMP851982:LMP917516 LWL851982:LWL917516 MGH851982:MGH917516 MQD851982:MQD917516 MZZ851982:MZZ917516 NJV851982:NJV917516 NTR851982:NTR917516 ODN851982:ODN917516 ONJ851982:ONJ917516 OXF851982:OXF917516 PHB851982:PHB917516 PQX851982:PQX917516 QAT851982:QAT917516 QKP851982:QKP917516 QUL851982:QUL917516 REH851982:REH917516 ROD851982:ROD917516 RXZ851982:RXZ917516 SHV851982:SHV917516 SRR851982:SRR917516 TBN851982:TBN917516 TLJ851982:TLJ917516 TVF851982:TVF917516 UFB851982:UFB917516 UOX851982:UOX917516 UYT851982:UYT917516 VIP851982:VIP917516 VSL851982:VSL917516 WCH851982:WCH917516 WMD851982:WMD917516 WVZ851982:WVZ917516 P1:P15 JN917518:JN983052 TJ917518:TJ983052 ADF917518:ADF983052 ANB917518:ANB983052 AWX917518:AWX983052 BGT917518:BGT983052 BQP917518:BQP983052 CAL917518:CAL983052 CKH917518:CKH983052 CUD917518:CUD983052 DDZ917518:DDZ983052 DNV917518:DNV983052 DXR917518:DXR983052 EHN917518:EHN983052 ERJ917518:ERJ983052 FBF917518:FBF983052 FLB917518:FLB983052 FUX917518:FUX983052 GET917518:GET983052 GOP917518:GOP983052 GYL917518:GYL983052 HIH917518:HIH983052 HSD917518:HSD983052 IBZ917518:IBZ983052 ILV917518:ILV983052 IVR917518:IVR983052 JFN917518:JFN983052 JPJ917518:JPJ983052 JZF917518:JZF983052 KJB917518:KJB983052 KSX917518:KSX983052 LCT917518:LCT983052 LMP917518:LMP983052 LWL917518:LWL983052 MGH917518:MGH983052 MQD917518:MQD983052 MZZ917518:MZZ983052 NJV917518:NJV983052 NTR917518:NTR983052 ODN917518:ODN983052 ONJ917518:ONJ983052 OXF917518:OXF983052 PHB917518:PHB983052 PQX917518:PQX983052 QAT917518:QAT983052 QKP917518:QKP983052 QUL917518:QUL983052 REH917518:REH983052 ROD917518:ROD983052 RXZ917518:RXZ983052 SHV917518:SHV983052 SRR917518:SRR983052 TBN917518:TBN983052 TLJ917518:TLJ983052 TVF917518:TVF983052 UFB917518:UFB983052 UOX917518:UOX983052 UYT917518:UYT983052 VIP917518:VIP983052 VSL917518:VSL983052 WCH917518:WCH983052 WMD917518:WMD983052 WVZ917518:WVZ983052 P17:P65548 JN983054:JN1048576 TJ983054:TJ1048576 ADF983054:ADF1048576 ANB983054:ANB1048576 AWX983054:AWX1048576 BGT983054:BGT1048576 BQP983054:BQP1048576 CAL983054:CAL1048576 CKH983054:CKH1048576 CUD983054:CUD1048576 DDZ983054:DDZ1048576 DNV983054:DNV1048576 DXR983054:DXR1048576 EHN983054:EHN1048576 ERJ983054:ERJ1048576 FBF983054:FBF1048576 FLB983054:FLB1048576 FUX983054:FUX1048576 GET983054:GET1048576 GOP983054:GOP1048576 GYL983054:GYL1048576 HIH983054:HIH1048576 HSD983054:HSD1048576 IBZ983054:IBZ1048576 ILV983054:ILV1048576 IVR983054:IVR1048576 JFN983054:JFN1048576 JPJ983054:JPJ1048576 JZF983054:JZF1048576 KJB983054:KJB1048576 KSX983054:KSX1048576 LCT983054:LCT1048576 LMP983054:LMP1048576 LWL983054:LWL1048576 MGH983054:MGH1048576 MQD983054:MQD1048576 MZZ983054:MZZ1048576 NJV983054:NJV1048576 NTR983054:NTR1048576 ODN983054:ODN1048576 ONJ983054:ONJ1048576 OXF983054:OXF1048576 PHB983054:PHB1048576 PQX983054:PQX1048576 QAT983054:QAT1048576 QKP983054:QKP1048576 QUL983054:QUL1048576 REH983054:REH1048576 ROD983054:ROD1048576 RXZ983054:RXZ1048576 SHV983054:SHV1048576 SRR983054:SRR1048576 TBN983054:TBN1048576 TLJ983054:TLJ1048576 TVF983054:TVF1048576 UFB983054:UFB1048576 UOX983054:UOX1048576 UYT983054:UYT1048576 VIP983054:VIP1048576 VSL983054:VSL1048576 WCH983054:WCH1048576 WMD983054:WMD1048576 WVZ983054:WVZ1048576 JI16 TE16 ADA16 AMW16 AWS16 BGO16 BQK16 CAG16 CKC16 CTY16 DDU16 DNQ16 DXM16 EHI16 ERE16 FBA16 FKW16 FUS16 GEO16 GOK16 GYG16 HIC16 HRY16 IBU16 ILQ16 IVM16 JFI16 JPE16 JZA16 KIW16 KSS16 LCO16 LMK16 LWG16 MGC16 MPY16 MZU16 NJQ16 NTM16 ODI16 ONE16 OXA16 PGW16 PQS16 QAO16 QKK16 QUG16 REC16 RNY16 RXU16 SHQ16 SRM16 TBI16 TLE16 TVA16 UEW16 UOS16 UYO16 VIK16 VSG16 WCC16 WLY16 WVU16 N16 K65549 JI65549 TE65549 ADA65549 AMW65549 AWS65549 BGO65549 BQK65549 CAG65549 CKC65549 CTY65549 DDU65549 DNQ65549 DXM65549 EHI65549 ERE65549 FBA65549 FKW65549 FUS65549 GEO65549 GOK65549 GYG65549 HIC65549 HRY65549 IBU65549 ILQ65549 IVM65549 JFI65549 JPE65549 JZA65549 KIW65549 KSS65549 LCO65549 LMK65549 LWG65549 MGC65549 MPY65549 MZU65549 NJQ65549 NTM65549 ODI65549 ONE65549 OXA65549 PGW65549 PQS65549 QAO65549 QKK65549 QUG65549 REC65549 RNY65549 RXU65549 SHQ65549 SRM65549 TBI65549 TLE65549 TVA65549 UEW65549 UOS65549 UYO65549 VIK65549 VSG65549 WCC65549 WLY65549 WVU65549 K131085 JI131085 TE131085 ADA131085 AMW131085 AWS131085 BGO131085 BQK131085 CAG131085 CKC131085 CTY131085 DDU131085 DNQ131085 DXM131085 EHI131085 ERE131085 FBA131085 FKW131085 FUS131085 GEO131085 GOK131085 GYG131085 HIC131085 HRY131085 IBU131085 ILQ131085 IVM131085 JFI131085 JPE131085 JZA131085 KIW131085 KSS131085 LCO131085 LMK131085 LWG131085 MGC131085 MPY131085 MZU131085 NJQ131085 NTM131085 ODI131085 ONE131085 OXA131085 PGW131085 PQS131085 QAO131085 QKK131085 QUG131085 REC131085 RNY131085 RXU131085 SHQ131085 SRM131085 TBI131085 TLE131085 TVA131085 UEW131085 UOS131085 UYO131085 VIK131085 VSG131085 WCC131085 WLY131085 WVU131085 K196621 JI196621 TE196621 ADA196621 AMW196621 AWS196621 BGO196621 BQK196621 CAG196621 CKC196621 CTY196621 DDU196621 DNQ196621 DXM196621 EHI196621 ERE196621 FBA196621 FKW196621 FUS196621 GEO196621 GOK196621 GYG196621 HIC196621 HRY196621 IBU196621 ILQ196621 IVM196621 JFI196621 JPE196621 JZA196621 KIW196621 KSS196621 LCO196621 LMK196621 LWG196621 MGC196621 MPY196621 MZU196621 NJQ196621 NTM196621 ODI196621 ONE196621 OXA196621 PGW196621 PQS196621 QAO196621 QKK196621 QUG196621 REC196621 RNY196621 RXU196621 SHQ196621 SRM196621 TBI196621 TLE196621 TVA196621 UEW196621 UOS196621 UYO196621 VIK196621 VSG196621 WCC196621 WLY196621 WVU196621 K262157 JI262157 TE262157 ADA262157 AMW262157 AWS262157 BGO262157 BQK262157 CAG262157 CKC262157 CTY262157 DDU262157 DNQ262157 DXM262157 EHI262157 ERE262157 FBA262157 FKW262157 FUS262157 GEO262157 GOK262157 GYG262157 HIC262157 HRY262157 IBU262157 ILQ262157 IVM262157 JFI262157 JPE262157 JZA262157 KIW262157 KSS262157 LCO262157 LMK262157 LWG262157 MGC262157 MPY262157 MZU262157 NJQ262157 NTM262157 ODI262157 ONE262157 OXA262157 PGW262157 PQS262157 QAO262157 QKK262157 QUG262157 REC262157 RNY262157 RXU262157 SHQ262157 SRM262157 TBI262157 TLE262157 TVA262157 UEW262157 UOS262157 UYO262157 VIK262157 VSG262157 WCC262157 WLY262157 WVU262157 K327693 JI327693 TE327693 ADA327693 AMW327693 AWS327693 BGO327693 BQK327693 CAG327693 CKC327693 CTY327693 DDU327693 DNQ327693 DXM327693 EHI327693 ERE327693 FBA327693 FKW327693 FUS327693 GEO327693 GOK327693 GYG327693 HIC327693 HRY327693 IBU327693 ILQ327693 IVM327693 JFI327693 JPE327693 JZA327693 KIW327693 KSS327693 LCO327693 LMK327693 LWG327693 MGC327693 MPY327693 MZU327693 NJQ327693 NTM327693 ODI327693 ONE327693 OXA327693 PGW327693 PQS327693 QAO327693 QKK327693 QUG327693 REC327693 RNY327693 RXU327693 SHQ327693 SRM327693 TBI327693 TLE327693 TVA327693 UEW327693 UOS327693 UYO327693 VIK327693 VSG327693 WCC327693 WLY327693 WVU327693 K393229 JI393229 TE393229 ADA393229 AMW393229 AWS393229 BGO393229 BQK393229 CAG393229 CKC393229 CTY393229 DDU393229 DNQ393229 DXM393229 EHI393229 ERE393229 FBA393229 FKW393229 FUS393229 GEO393229 GOK393229 GYG393229 HIC393229 HRY393229 IBU393229 ILQ393229 IVM393229 JFI393229 JPE393229 JZA393229 KIW393229 KSS393229 LCO393229 LMK393229 LWG393229 MGC393229 MPY393229 MZU393229 NJQ393229 NTM393229 ODI393229 ONE393229 OXA393229 PGW393229 PQS393229 QAO393229 QKK393229 QUG393229 REC393229 RNY393229 RXU393229 SHQ393229 SRM393229 TBI393229 TLE393229 TVA393229 UEW393229 UOS393229 UYO393229 VIK393229 VSG393229 WCC393229 WLY393229 WVU393229 K458765 JI458765 TE458765 ADA458765 AMW458765 AWS458765 BGO458765 BQK458765 CAG458765 CKC458765 CTY458765 DDU458765 DNQ458765 DXM458765 EHI458765 ERE458765 FBA458765 FKW458765 FUS458765 GEO458765 GOK458765 GYG458765 HIC458765 HRY458765 IBU458765 ILQ458765 IVM458765 JFI458765 JPE458765 JZA458765 KIW458765 KSS458765 LCO458765 LMK458765 LWG458765 MGC458765 MPY458765 MZU458765 NJQ458765 NTM458765 ODI458765 ONE458765 OXA458765 PGW458765 PQS458765 QAO458765 QKK458765 QUG458765 REC458765 RNY458765 RXU458765 SHQ458765 SRM458765 TBI458765 TLE458765 TVA458765 UEW458765 UOS458765 UYO458765 VIK458765 VSG458765 WCC458765 WLY458765 WVU458765 K524301 JI524301 TE524301 ADA524301 AMW524301 AWS524301 BGO524301 BQK524301 CAG524301 CKC524301 CTY524301 DDU524301 DNQ524301 DXM524301 EHI524301 ERE524301 FBA524301 FKW524301 FUS524301 GEO524301 GOK524301 GYG524301 HIC524301 HRY524301 IBU524301 ILQ524301 IVM524301 JFI524301 JPE524301 JZA524301 KIW524301 KSS524301 LCO524301 LMK524301 LWG524301 MGC524301 MPY524301 MZU524301 NJQ524301 NTM524301 ODI524301 ONE524301 OXA524301 PGW524301 PQS524301 QAO524301 QKK524301 QUG524301 REC524301 RNY524301 RXU524301 SHQ524301 SRM524301 TBI524301 TLE524301 TVA524301 UEW524301 UOS524301 UYO524301 VIK524301 VSG524301 WCC524301 WLY524301 WVU524301 K589837 JI589837 TE589837 ADA589837 AMW589837 AWS589837 BGO589837 BQK589837 CAG589837 CKC589837 CTY589837 DDU589837 DNQ589837 DXM589837 EHI589837 ERE589837 FBA589837 FKW589837 FUS589837 GEO589837 GOK589837 GYG589837 HIC589837 HRY589837 IBU589837 ILQ589837 IVM589837 JFI589837 JPE589837 JZA589837 KIW589837 KSS589837 LCO589837 LMK589837 LWG589837 MGC589837 MPY589837 MZU589837 NJQ589837 NTM589837 ODI589837 ONE589837 OXA589837 PGW589837 PQS589837 QAO589837 QKK589837 QUG589837 REC589837 RNY589837 RXU589837 SHQ589837 SRM589837 TBI589837 TLE589837 TVA589837 UEW589837 UOS589837 UYO589837 VIK589837 VSG589837 WCC589837 WLY589837 WVU589837 K655373 JI655373 TE655373 ADA655373 AMW655373 AWS655373 BGO655373 BQK655373 CAG655373 CKC655373 CTY655373 DDU655373 DNQ655373 DXM655373 EHI655373 ERE655373 FBA655373 FKW655373 FUS655373 GEO655373 GOK655373 GYG655373 HIC655373 HRY655373 IBU655373 ILQ655373 IVM655373 JFI655373 JPE655373 JZA655373 KIW655373 KSS655373 LCO655373 LMK655373 LWG655373 MGC655373 MPY655373 MZU655373 NJQ655373 NTM655373 ODI655373 ONE655373 OXA655373 PGW655373 PQS655373 QAO655373 QKK655373 QUG655373 REC655373 RNY655373 RXU655373 SHQ655373 SRM655373 TBI655373 TLE655373 TVA655373 UEW655373 UOS655373 UYO655373 VIK655373 VSG655373 WCC655373 WLY655373 WVU655373 K720909 JI720909 TE720909 ADA720909 AMW720909 AWS720909 BGO720909 BQK720909 CAG720909 CKC720909 CTY720909 DDU720909 DNQ720909 DXM720909 EHI720909 ERE720909 FBA720909 FKW720909 FUS720909 GEO720909 GOK720909 GYG720909 HIC720909 HRY720909 IBU720909 ILQ720909 IVM720909 JFI720909 JPE720909 JZA720909 KIW720909 KSS720909 LCO720909 LMK720909 LWG720909 MGC720909 MPY720909 MZU720909 NJQ720909 NTM720909 ODI720909 ONE720909 OXA720909 PGW720909 PQS720909 QAO720909 QKK720909 QUG720909 REC720909 RNY720909 RXU720909 SHQ720909 SRM720909 TBI720909 TLE720909 TVA720909 UEW720909 UOS720909 UYO720909 VIK720909 VSG720909 WCC720909 WLY720909 WVU720909 K786445 JI786445 TE786445 ADA786445 AMW786445 AWS786445 BGO786445 BQK786445 CAG786445 CKC786445 CTY786445 DDU786445 DNQ786445 DXM786445 EHI786445 ERE786445 FBA786445 FKW786445 FUS786445 GEO786445 GOK786445 GYG786445 HIC786445 HRY786445 IBU786445 ILQ786445 IVM786445 JFI786445 JPE786445 JZA786445 KIW786445 KSS786445 LCO786445 LMK786445 LWG786445 MGC786445 MPY786445 MZU786445 NJQ786445 NTM786445 ODI786445 ONE786445 OXA786445 PGW786445 PQS786445 QAO786445 QKK786445 QUG786445 REC786445 RNY786445 RXU786445 SHQ786445 SRM786445 TBI786445 TLE786445 TVA786445 UEW786445 UOS786445 UYO786445 VIK786445 VSG786445 WCC786445 WLY786445 WVU786445 K851981 JI851981 TE851981 ADA851981 AMW851981 AWS851981 BGO851981 BQK851981 CAG851981 CKC851981 CTY851981 DDU851981 DNQ851981 DXM851981 EHI851981 ERE851981 FBA851981 FKW851981 FUS851981 GEO851981 GOK851981 GYG851981 HIC851981 HRY851981 IBU851981 ILQ851981 IVM851981 JFI851981 JPE851981 JZA851981 KIW851981 KSS851981 LCO851981 LMK851981 LWG851981 MGC851981 MPY851981 MZU851981 NJQ851981 NTM851981 ODI851981 ONE851981 OXA851981 PGW851981 PQS851981 QAO851981 QKK851981 QUG851981 REC851981 RNY851981 RXU851981 SHQ851981 SRM851981 TBI851981 TLE851981 TVA851981 UEW851981 UOS851981 UYO851981 VIK851981 VSG851981 WCC851981 WLY851981 WVU851981 K917517 JI917517 TE917517 ADA917517 AMW917517 AWS917517 BGO917517 BQK917517 CAG917517 CKC917517 CTY917517 DDU917517 DNQ917517 DXM917517 EHI917517 ERE917517 FBA917517 FKW917517 FUS917517 GEO917517 GOK917517 GYG917517 HIC917517 HRY917517 IBU917517 ILQ917517 IVM917517 JFI917517 JPE917517 JZA917517 KIW917517 KSS917517 LCO917517 LMK917517 LWG917517 MGC917517 MPY917517 MZU917517 NJQ917517 NTM917517 ODI917517 ONE917517 OXA917517 PGW917517 PQS917517 QAO917517 QKK917517 QUG917517 REC917517 RNY917517 RXU917517 SHQ917517 SRM917517 TBI917517 TLE917517 TVA917517 UEW917517 UOS917517 UYO917517 VIK917517 VSG917517 WCC917517 WLY917517 WVU917517 K983053 JI983053 TE983053 ADA983053 AMW983053 AWS983053 BGO983053 BQK983053 CAG983053 CKC983053 CTY983053 DDU983053 DNQ983053 DXM983053 EHI983053 ERE983053 FBA983053 FKW983053 FUS983053 GEO983053 GOK983053 GYG983053 HIC983053 HRY983053 IBU983053 ILQ983053 IVM983053 JFI983053 JPE983053 JZA983053 KIW983053 KSS983053 LCO983053 LMK983053 LWG983053 MGC983053 MPY983053 MZU983053 NJQ983053 NTM983053 ODI983053 ONE983053 OXA983053 PGW983053 PQS983053 QAO983053 QKK983053 QUG983053 REC983053 RNY983053 RXU983053 SHQ983053 SRM983053 TBI983053 TLE983053 TVA983053 UEW983053 UOS983053 UYO983053 VIK983053 VSG983053 WCC983053 WLY983053 WVU983053 JL16 TH16 ADD16 AMZ16 AWV16 BGR16 BQN16 CAJ16 CKF16 CUB16 DDX16 DNT16 DXP16 EHL16 ERH16 FBD16 FKZ16 FUV16 GER16 GON16 GYJ16 HIF16 HSB16 IBX16 ILT16 IVP16 JFL16 JPH16 JZD16 KIZ16 KSV16 LCR16 LMN16 LWJ16 MGF16 MQB16 MZX16 NJT16 NTP16 ODL16 ONH16 OXD16 PGZ16 PQV16 QAR16 QKN16 QUJ16 REF16 ROB16 RXX16 SHT16 SRP16 TBL16 TLH16 TVD16 UEZ16 UOV16 UYR16 VIN16 VSJ16 WCF16 WMB16 WVX16 N65549 JL65549 TH65549 ADD65549 AMZ65549 AWV65549 BGR65549 BQN65549 CAJ65549 CKF65549 CUB65549 DDX65549 DNT65549 DXP65549 EHL65549 ERH65549 FBD65549 FKZ65549 FUV65549 GER65549 GON65549 GYJ65549 HIF65549 HSB65549 IBX65549 ILT65549 IVP65549 JFL65549 JPH65549 JZD65549 KIZ65549 KSV65549 LCR65549 LMN65549 LWJ65549 MGF65549 MQB65549 MZX65549 NJT65549 NTP65549 ODL65549 ONH65549 OXD65549 PGZ65549 PQV65549 QAR65549 QKN65549 QUJ65549 REF65549 ROB65549 RXX65549 SHT65549 SRP65549 TBL65549 TLH65549 TVD65549 UEZ65549 UOV65549 UYR65549 VIN65549 VSJ65549 WCF65549 WMB65549 WVX65549 N131085 JL131085 TH131085 ADD131085 AMZ131085 AWV131085 BGR131085 BQN131085 CAJ131085 CKF131085 CUB131085 DDX131085 DNT131085 DXP131085 EHL131085 ERH131085 FBD131085 FKZ131085 FUV131085 GER131085 GON131085 GYJ131085 HIF131085 HSB131085 IBX131085 ILT131085 IVP131085 JFL131085 JPH131085 JZD131085 KIZ131085 KSV131085 LCR131085 LMN131085 LWJ131085 MGF131085 MQB131085 MZX131085 NJT131085 NTP131085 ODL131085 ONH131085 OXD131085 PGZ131085 PQV131085 QAR131085 QKN131085 QUJ131085 REF131085 ROB131085 RXX131085 SHT131085 SRP131085 TBL131085 TLH131085 TVD131085 UEZ131085 UOV131085 UYR131085 VIN131085 VSJ131085 WCF131085 WMB131085 WVX131085 N196621 JL196621 TH196621 ADD196621 AMZ196621 AWV196621 BGR196621 BQN196621 CAJ196621 CKF196621 CUB196621 DDX196621 DNT196621 DXP196621 EHL196621 ERH196621 FBD196621 FKZ196621 FUV196621 GER196621 GON196621 GYJ196621 HIF196621 HSB196621 IBX196621 ILT196621 IVP196621 JFL196621 JPH196621 JZD196621 KIZ196621 KSV196621 LCR196621 LMN196621 LWJ196621 MGF196621 MQB196621 MZX196621 NJT196621 NTP196621 ODL196621 ONH196621 OXD196621 PGZ196621 PQV196621 QAR196621 QKN196621 QUJ196621 REF196621 ROB196621 RXX196621 SHT196621 SRP196621 TBL196621 TLH196621 TVD196621 UEZ196621 UOV196621 UYR196621 VIN196621 VSJ196621 WCF196621 WMB196621 WVX196621 N262157 JL262157 TH262157 ADD262157 AMZ262157 AWV262157 BGR262157 BQN262157 CAJ262157 CKF262157 CUB262157 DDX262157 DNT262157 DXP262157 EHL262157 ERH262157 FBD262157 FKZ262157 FUV262157 GER262157 GON262157 GYJ262157 HIF262157 HSB262157 IBX262157 ILT262157 IVP262157 JFL262157 JPH262157 JZD262157 KIZ262157 KSV262157 LCR262157 LMN262157 LWJ262157 MGF262157 MQB262157 MZX262157 NJT262157 NTP262157 ODL262157 ONH262157 OXD262157 PGZ262157 PQV262157 QAR262157 QKN262157 QUJ262157 REF262157 ROB262157 RXX262157 SHT262157 SRP262157 TBL262157 TLH262157 TVD262157 UEZ262157 UOV262157 UYR262157 VIN262157 VSJ262157 WCF262157 WMB262157 WVX262157 N327693 JL327693 TH327693 ADD327693 AMZ327693 AWV327693 BGR327693 BQN327693 CAJ327693 CKF327693 CUB327693 DDX327693 DNT327693 DXP327693 EHL327693 ERH327693 FBD327693 FKZ327693 FUV327693 GER327693 GON327693 GYJ327693 HIF327693 HSB327693 IBX327693 ILT327693 IVP327693 JFL327693 JPH327693 JZD327693 KIZ327693 KSV327693 LCR327693 LMN327693 LWJ327693 MGF327693 MQB327693 MZX327693 NJT327693 NTP327693 ODL327693 ONH327693 OXD327693 PGZ327693 PQV327693 QAR327693 QKN327693 QUJ327693 REF327693 ROB327693 RXX327693 SHT327693 SRP327693 TBL327693 TLH327693 TVD327693 UEZ327693 UOV327693 UYR327693 VIN327693 VSJ327693 WCF327693 WMB327693 WVX327693 N393229 JL393229 TH393229 ADD393229 AMZ393229 AWV393229 BGR393229 BQN393229 CAJ393229 CKF393229 CUB393229 DDX393229 DNT393229 DXP393229 EHL393229 ERH393229 FBD393229 FKZ393229 FUV393229 GER393229 GON393229 GYJ393229 HIF393229 HSB393229 IBX393229 ILT393229 IVP393229 JFL393229 JPH393229 JZD393229 KIZ393229 KSV393229 LCR393229 LMN393229 LWJ393229 MGF393229 MQB393229 MZX393229 NJT393229 NTP393229 ODL393229 ONH393229 OXD393229 PGZ393229 PQV393229 QAR393229 QKN393229 QUJ393229 REF393229 ROB393229 RXX393229 SHT393229 SRP393229 TBL393229 TLH393229 TVD393229 UEZ393229 UOV393229 UYR393229 VIN393229 VSJ393229 WCF393229 WMB393229 WVX393229 N458765 JL458765 TH458765 ADD458765 AMZ458765 AWV458765 BGR458765 BQN458765 CAJ458765 CKF458765 CUB458765 DDX458765 DNT458765 DXP458765 EHL458765 ERH458765 FBD458765 FKZ458765 FUV458765 GER458765 GON458765 GYJ458765 HIF458765 HSB458765 IBX458765 ILT458765 IVP458765 JFL458765 JPH458765 JZD458765 KIZ458765 KSV458765 LCR458765 LMN458765 LWJ458765 MGF458765 MQB458765 MZX458765 NJT458765 NTP458765 ODL458765 ONH458765 OXD458765 PGZ458765 PQV458765 QAR458765 QKN458765 QUJ458765 REF458765 ROB458765 RXX458765 SHT458765 SRP458765 TBL458765 TLH458765 TVD458765 UEZ458765 UOV458765 UYR458765 VIN458765 VSJ458765 WCF458765 WMB458765 WVX458765 N524301 JL524301 TH524301 ADD524301 AMZ524301 AWV524301 BGR524301 BQN524301 CAJ524301 CKF524301 CUB524301 DDX524301 DNT524301 DXP524301 EHL524301 ERH524301 FBD524301 FKZ524301 FUV524301 GER524301 GON524301 GYJ524301 HIF524301 HSB524301 IBX524301 ILT524301 IVP524301 JFL524301 JPH524301 JZD524301 KIZ524301 KSV524301 LCR524301 LMN524301 LWJ524301 MGF524301 MQB524301 MZX524301 NJT524301 NTP524301 ODL524301 ONH524301 OXD524301 PGZ524301 PQV524301 QAR524301 QKN524301 QUJ524301 REF524301 ROB524301 RXX524301 SHT524301 SRP524301 TBL524301 TLH524301 TVD524301 UEZ524301 UOV524301 UYR524301 VIN524301 VSJ524301 WCF524301 WMB524301 WVX524301 N589837 JL589837 TH589837 ADD589837 AMZ589837 AWV589837 BGR589837 BQN589837 CAJ589837 CKF589837 CUB589837 DDX589837 DNT589837 DXP589837 EHL589837 ERH589837 FBD589837 FKZ589837 FUV589837 GER589837 GON589837 GYJ589837 HIF589837 HSB589837 IBX589837 ILT589837 IVP589837 JFL589837 JPH589837 JZD589837 KIZ589837 KSV589837 LCR589837 LMN589837 LWJ589837 MGF589837 MQB589837 MZX589837 NJT589837 NTP589837 ODL589837 ONH589837 OXD589837 PGZ589837 PQV589837 QAR589837 QKN589837 QUJ589837 REF589837 ROB589837 RXX589837 SHT589837 SRP589837 TBL589837 TLH589837 TVD589837 UEZ589837 UOV589837 UYR589837 VIN589837 VSJ589837 WCF589837 WMB589837 WVX589837 N655373 JL655373 TH655373 ADD655373 AMZ655373 AWV655373 BGR655373 BQN655373 CAJ655373 CKF655373 CUB655373 DDX655373 DNT655373 DXP655373 EHL655373 ERH655373 FBD655373 FKZ655373 FUV655373 GER655373 GON655373 GYJ655373 HIF655373 HSB655373 IBX655373 ILT655373 IVP655373 JFL655373 JPH655373 JZD655373 KIZ655373 KSV655373 LCR655373 LMN655373 LWJ655373 MGF655373 MQB655373 MZX655373 NJT655373 NTP655373 ODL655373 ONH655373 OXD655373 PGZ655373 PQV655373 QAR655373 QKN655373 QUJ655373 REF655373 ROB655373 RXX655373 SHT655373 SRP655373 TBL655373 TLH655373 TVD655373 UEZ655373 UOV655373 UYR655373 VIN655373 VSJ655373 WCF655373 WMB655373 WVX655373 N720909 JL720909 TH720909 ADD720909 AMZ720909 AWV720909 BGR720909 BQN720909 CAJ720909 CKF720909 CUB720909 DDX720909 DNT720909 DXP720909 EHL720909 ERH720909 FBD720909 FKZ720909 FUV720909 GER720909 GON720909 GYJ720909 HIF720909 HSB720909 IBX720909 ILT720909 IVP720909 JFL720909 JPH720909 JZD720909 KIZ720909 KSV720909 LCR720909 LMN720909 LWJ720909 MGF720909 MQB720909 MZX720909 NJT720909 NTP720909 ODL720909 ONH720909 OXD720909 PGZ720909 PQV720909 QAR720909 QKN720909 QUJ720909 REF720909 ROB720909 RXX720909 SHT720909 SRP720909 TBL720909 TLH720909 TVD720909 UEZ720909 UOV720909 UYR720909 VIN720909 VSJ720909 WCF720909 WMB720909 WVX720909 N786445 JL786445 TH786445 ADD786445 AMZ786445 AWV786445 BGR786445 BQN786445 CAJ786445 CKF786445 CUB786445 DDX786445 DNT786445 DXP786445 EHL786445 ERH786445 FBD786445 FKZ786445 FUV786445 GER786445 GON786445 GYJ786445 HIF786445 HSB786445 IBX786445 ILT786445 IVP786445 JFL786445 JPH786445 JZD786445 KIZ786445 KSV786445 LCR786445 LMN786445 LWJ786445 MGF786445 MQB786445 MZX786445 NJT786445 NTP786445 ODL786445 ONH786445 OXD786445 PGZ786445 PQV786445 QAR786445 QKN786445 QUJ786445 REF786445 ROB786445 RXX786445 SHT786445 SRP786445 TBL786445 TLH786445 TVD786445 UEZ786445 UOV786445 UYR786445 VIN786445 VSJ786445 WCF786445 WMB786445 WVX786445 N851981 JL851981 TH851981 ADD851981 AMZ851981 AWV851981 BGR851981 BQN851981 CAJ851981 CKF851981 CUB851981 DDX851981 DNT851981 DXP851981 EHL851981 ERH851981 FBD851981 FKZ851981 FUV851981 GER851981 GON851981 GYJ851981 HIF851981 HSB851981 IBX851981 ILT851981 IVP851981 JFL851981 JPH851981 JZD851981 KIZ851981 KSV851981 LCR851981 LMN851981 LWJ851981 MGF851981 MQB851981 MZX851981 NJT851981 NTP851981 ODL851981 ONH851981 OXD851981 PGZ851981 PQV851981 QAR851981 QKN851981 QUJ851981 REF851981 ROB851981 RXX851981 SHT851981 SRP851981 TBL851981 TLH851981 TVD851981 UEZ851981 UOV851981 UYR851981 VIN851981 VSJ851981 WCF851981 WMB851981 WVX851981 N917517 JL917517 TH917517 ADD917517 AMZ917517 AWV917517 BGR917517 BQN917517 CAJ917517 CKF917517 CUB917517 DDX917517 DNT917517 DXP917517 EHL917517 ERH917517 FBD917517 FKZ917517 FUV917517 GER917517 GON917517 GYJ917517 HIF917517 HSB917517 IBX917517 ILT917517 IVP917517 JFL917517 JPH917517 JZD917517 KIZ917517 KSV917517 LCR917517 LMN917517 LWJ917517 MGF917517 MQB917517 MZX917517 NJT917517 NTP917517 ODL917517 ONH917517 OXD917517 PGZ917517 PQV917517 QAR917517 QKN917517 QUJ917517 REF917517 ROB917517 RXX917517 SHT917517 SRP917517 TBL917517 TLH917517 TVD917517 UEZ917517 UOV917517 UYR917517 VIN917517 VSJ917517 WCF917517 WMB917517 WVX917517 N983053 JL983053 TH983053 ADD983053 AMZ983053 AWV983053 BGR983053 BQN983053 CAJ983053 CKF983053 CUB983053 DDX983053 DNT983053 DXP983053 EHL983053 ERH983053 FBD983053 FKZ983053 FUV983053 GER983053 GON983053 GYJ983053 HIF983053 HSB983053 IBX983053 ILT983053 IVP983053 JFL983053 JPH983053 JZD983053 KIZ983053 KSV983053 LCR983053 LMN983053 LWJ983053 MGF983053 MQB983053 MZX983053 NJT983053 NTP983053 ODL983053 ONH983053 OXD983053 PGZ983053 PQV983053 QAR983053 QKN983053 QUJ983053 REF983053 ROB983053 RXX983053 SHT983053 SRP983053 TBL983053 TLH983053 TVD983053 UEZ983053 UOV983053 UYR983053 VIN983053 VSJ983053 WCF983053 WMB983053 WVX983053 J1:K15 WVZ1:WVZ15 WMD1:WMD15 WCH1:WCH15 VSL1:VSL15 VIP1:VIP15 UYT1:UYT15 UOX1:UOX15 UFB1:UFB15 TVF1:TVF15 TLJ1:TLJ15 TBN1:TBN15 SRR1:SRR15 SHV1:SHV15 RXZ1:RXZ15 ROD1:ROD15 REH1:REH15 QUL1:QUL15 QKP1:QKP15 QAT1:QAT15 PQX1:PQX15 PHB1:PHB15 OXF1:OXF15 ONJ1:ONJ15 ODN1:ODN15 NTR1:NTR15 NJV1:NJV15 MZZ1:MZZ15 MQD1:MQD15 MGH1:MGH15 LWL1:LWL15 LMP1:LMP15 LCT1:LCT15 KSX1:KSX15 KJB1:KJB15 JZF1:JZF15 JPJ1:JPJ15 JFN1:JFN15 IVR1:IVR15 ILV1:ILV15 IBZ1:IBZ15 HSD1:HSD15 HIH1:HIH15 GYL1:GYL15 GOP1:GOP15 GET1:GET15 FUX1:FUX15 FLB1:FLB15 FBF1:FBF15 ERJ1:ERJ15 EHN1:EHN15 DXR1:DXR15 DNV1:DNV15 DDZ1:DDZ15 CUD1:CUD15 CKH1:CKH15 CAL1:CAL15 BQP1:BQP15 BGT1:BGT15 AWX1:AWX15 ANB1:ANB15 ADF1:ADF15 TJ1:TJ15 JN1:JN15 P65550:P131084 WVQ1:WVR15 WLU1:WLV15 WBY1:WBZ15 VSC1:VSD15 VIG1:VIH15 UYK1:UYL15 UOO1:UOP15 UES1:UET15 TUW1:TUX15 TLA1:TLB15 TBE1:TBF15 SRI1:SRJ15 SHM1:SHN15 RXQ1:RXR15 RNU1:RNV15 RDY1:RDZ15 QUC1:QUD15 QKG1:QKH15 QAK1:QAL15 PQO1:PQP15 PGS1:PGT15 OWW1:OWX15 ONA1:ONB15 ODE1:ODF15 NTI1:NTJ15 NJM1:NJN15 MZQ1:MZR15 MPU1:MPV15 MFY1:MFZ15 LWC1:LWD15 LMG1:LMH15 LCK1:LCL15 KSO1:KSP15 KIS1:KIT15 JYW1:JYX15 JPA1:JPB15 JFE1:JFF15 IVI1:IVJ15 ILM1:ILN15 IBQ1:IBR15 HRU1:HRV15 HHY1:HHZ15 GYC1:GYD15 GOG1:GOH15 GEK1:GEL15 FUO1:FUP15 FKS1:FKT15 FAW1:FAX15 ERA1:ERB15 EHE1:EHF15 DXI1:DXJ15 DNM1:DNN15 DDQ1:DDR15 CTU1:CTV15 CJY1:CJZ15 CAC1:CAD15 BQG1:BQH15 BGK1:BGL15 AWO1:AWP15 AMS1:AMT15 ACW1:ACX15 TA1:TB15 JE1:JF15 G1:H15 WVW1:WVX15 WMA1:WMB15 WCE1:WCF15 VSI1:VSJ15 VIM1:VIN15 UYQ1:UYR15 UOU1:UOV15 UEY1:UEZ15 TVC1:TVD15 TLG1:TLH15 TBK1:TBL15 SRO1:SRP15 SHS1:SHT15 RXW1:RXX15 ROA1:ROB15 REE1:REF15 QUI1:QUJ15 QKM1:QKN15 QAQ1:QAR15 PQU1:PQV15 PGY1:PGZ15 OXC1:OXD15 ONG1:ONH15 ODK1:ODL15 NTO1:NTP15 NJS1:NJT15 MZW1:MZX15 MQA1:MQB15 MGE1:MGF15 LWI1:LWJ15 LMM1:LMN15 LCQ1:LCR15 KSU1:KSV15 KIY1:KIZ15 JZC1:JZD15 JPG1:JPH15 JFK1:JFL15 IVO1:IVP15 ILS1:ILT15 IBW1:IBX15 HSA1:HSB15 HIE1:HIF15 GYI1:GYJ15 GOM1:GON15 GEQ1:GER15 FUU1:FUV15 FKY1:FKZ15 FBC1:FBD15 ERG1:ERH15 EHK1:EHL15 DXO1:DXP15 DNS1:DNT15 DDW1:DDX15 CUA1:CUB15 CKE1:CKF15 CAI1:CAJ15 BQM1:BQN15 BGQ1:BGR15 AWU1:AWV15 AMY1:AMZ15 ADC1:ADD15 TG1:TH15 JK1:JL15 M1:N15 WVT1:WVU15 WLX1:WLY15 WCB1:WCC15 VSF1:VSG15 VIJ1:VIK15 UYN1:UYO15 UOR1:UOS15 UEV1:UEW15 TUZ1:TVA15 TLD1:TLE15 TBH1:TBI15 SRL1:SRM15 SHP1:SHQ15 RXT1:RXU15 RNX1:RNY15 REB1:REC15 QUF1:QUG15 QKJ1:QKK15 QAN1:QAO15 PQR1:PQS15 PGV1:PGW15 OWZ1:OXA15 OND1:ONE15 ODH1:ODI15 NTL1:NTM15 NJP1:NJQ15 MZT1:MZU15 MPX1:MPY15 MGB1:MGC15 LWF1:LWG15 LMJ1:LMK15 LCN1:LCO15 KSR1:KSS15 KIV1:KIW15 JYZ1:JZA15 JPD1:JPE15 JFH1:JFI15 IVL1:IVM15 ILP1:ILQ15 IBT1:IBU15 HRX1:HRY15 HIB1:HIC15 GYF1:GYG15 GOJ1:GOK15 GEN1:GEO15 FUR1:FUS15 FKV1:FKW15 FAZ1:FBA15 ERD1:ERE15 EHH1:EHI15 DXL1:DXM15 DNP1:DNQ15 DDT1:DDU15 CTX1:CTY15 CKB1:CKC15 CAF1:CAG15 BQJ1:BQK15 BGN1:BGO15 AWR1:AWS15 AMV1:AMW15 ACZ1:ADA15 TD1:TE15 JH1:JI15 H16 JH17:JI65548 J17:K65548 WVZ17:WVZ65548 WMD17:WMD65548 WCH17:WCH65548 VSL17:VSL65548 VIP17:VIP65548 UYT17:UYT65548 UOX17:UOX65548 UFB17:UFB65548 TVF17:TVF65548 TLJ17:TLJ65548 TBN17:TBN65548 SRR17:SRR65548 SHV17:SHV65548 RXZ17:RXZ65548 ROD17:ROD65548 REH17:REH65548 QUL17:QUL65548 QKP17:QKP65548 QAT17:QAT65548 PQX17:PQX65548 PHB17:PHB65548 OXF17:OXF65548 ONJ17:ONJ65548 ODN17:ODN65548 NTR17:NTR65548 NJV17:NJV65548 MZZ17:MZZ65548 MQD17:MQD65548 MGH17:MGH65548 LWL17:LWL65548 LMP17:LMP65548 LCT17:LCT65548 KSX17:KSX65548 KJB17:KJB65548 JZF17:JZF65548 JPJ17:JPJ65548 JFN17:JFN65548 IVR17:IVR65548 ILV17:ILV65548 IBZ17:IBZ65548 HSD17:HSD65548 HIH17:HIH65548 GYL17:GYL65548 GOP17:GOP65548 GET17:GET65548 FUX17:FUX65548 FLB17:FLB65548 FBF17:FBF65548 ERJ17:ERJ65548 EHN17:EHN65548 DXR17:DXR65548 DNV17:DNV65548 DDZ17:DDZ65548 CUD17:CUD65548 CKH17:CKH65548 CAL17:CAL65548 BQP17:BQP65548 BGT17:BGT65548 AWX17:AWX65548 ANB17:ANB65548 ADF17:ADF65548 TJ17:TJ65548 JN17:JN65548 TD17:TE65548 WVQ17:WVR65548 WLU17:WLV65548 WBY17:WBZ65548 VSC17:VSD65548 VIG17:VIH65548 UYK17:UYL65548 UOO17:UOP65548 UES17:UET65548 TUW17:TUX65548 TLA17:TLB65548 TBE17:TBF65548 SRI17:SRJ65548 SHM17:SHN65548 RXQ17:RXR65548 RNU17:RNV65548 RDY17:RDZ65548 QUC17:QUD65548 QKG17:QKH65548 QAK17:QAL65548 PQO17:PQP65548 PGS17:PGT65548 OWW17:OWX65548 ONA17:ONB65548 ODE17:ODF65548 NTI17:NTJ65548 NJM17:NJN65548 MZQ17:MZR65548 MPU17:MPV65548 MFY17:MFZ65548 LWC17:LWD65548 LMG17:LMH65548 LCK17:LCL65548 KSO17:KSP65548 KIS17:KIT65548 JYW17:JYX65548 JPA17:JPB65548 JFE17:JFF65548 IVI17:IVJ65548 ILM17:ILN65548 IBQ17:IBR65548 HRU17:HRV65548 HHY17:HHZ65548 GYC17:GYD65548 GOG17:GOH65548 GEK17:GEL65548 FUO17:FUP65548 FKS17:FKT65548 FAW17:FAX65548 ERA17:ERB65548 EHE17:EHF65548 DXI17:DXJ65548 DNM17:DNN65548 DDQ17:DDR65548 CTU17:CTV65548 CJY17:CJZ65548 CAC17:CAD65548 BQG17:BQH65548 BGK17:BGL65548 AWO17:AWP65548 AMS17:AMT65548 ACW17:ACX65548 TA17:TB65548 JE17:JF65548 G17:H65548 WVW17:WVX65548 WMA17:WMB65548 WCE17:WCF65548 VSI17:VSJ65548 VIM17:VIN65548 UYQ17:UYR65548 UOU17:UOV65548 UEY17:UEZ65548 TVC17:TVD65548 TLG17:TLH65548 TBK17:TBL65548 SRO17:SRP65548 SHS17:SHT65548 RXW17:RXX65548 ROA17:ROB65548 REE17:REF65548 QUI17:QUJ65548 QKM17:QKN65548 QAQ17:QAR65548 PQU17:PQV65548 PGY17:PGZ65548 OXC17:OXD65548 ONG17:ONH65548 ODK17:ODL65548 NTO17:NTP65548 NJS17:NJT65548 MZW17:MZX65548 MQA17:MQB65548 MGE17:MGF65548 LWI17:LWJ65548 LMM17:LMN65548 LCQ17:LCR65548 KSU17:KSV65548 KIY17:KIZ65548 JZC17:JZD65548 JPG17:JPH65548 JFK17:JFL65548 IVO17:IVP65548 ILS17:ILT65548 IBW17:IBX65548 HSA17:HSB65548 HIE17:HIF65548 GYI17:GYJ65548 GOM17:GON65548 GEQ17:GER65548 FUU17:FUV65548 FKY17:FKZ65548 FBC17:FBD65548 ERG17:ERH65548 EHK17:EHL65548 DXO17:DXP65548 DNS17:DNT65548 DDW17:DDX65548 CUA17:CUB65548 CKE17:CKF65548 CAI17:CAJ65548 BQM17:BQN65548 BGQ17:BGR65548 AWU17:AWV65548 AMY17:AMZ65548 ADC17:ADD65548 TG17:TH65548 JK17:JL65548 M17:N65548 WVT17:WVU65548 WLX17:WLY65548 WCB17:WCC65548 VSF17:VSG65548 VIJ17:VIK65548 UYN17:UYO65548 UOR17:UOS65548 UEV17:UEW65548 TUZ17:TVA65548 TLD17:TLE65548 TBH17:TBI65548 SRL17:SRM65548 SHP17:SHQ65548 RXT17:RXU65548 RNX17:RNY65548 REB17:REC65548 QUF17:QUG65548 QKJ17:QKK65548 QAN17:QAO65548 PQR17:PQS65548 PGV17:PGW65548 OWZ17:OXA65548 OND17:ONE65548 ODH17:ODI65548 NTL17:NTM65548 NJP17:NJQ65548 MZT17:MZU65548 MPX17:MPY65548 MGB17:MGC65548 LWF17:LWG65548 LMJ17:LMK65548 LCN17:LCO65548 KSR17:KSS65548 KIV17:KIW65548 JYZ17:JZA65548 JPD17:JPE65548 JFH17:JFI65548 IVL17:IVM65548 ILP17:ILQ65548 IBT17:IBU65548 HRX17:HRY65548 HIB17:HIC65548 GYF17:GYG65548 GOJ17:GOK65548 GEN17:GEO65548 FUR17:FUS65548 FKV17:FKW65548 FAZ17:FBA65548 ERD17:ERE65548 EHH17:EHI65548 DXL17:DXM65548 DNP17:DNQ65548 DDT17:DDU65548 CTX17:CTY65548 CKB17:CKC65548 CAF17:CAG65548 BQJ17:BQK65548 BGN17:BGO65548 AWR17:AWS65548 AMV17:AMW65548 ACZ17:ADA65548 P131086:P196620 Q196622:R262156 Q262158:R327692 Q327694:R393228 Q393230:R458764 Q458766:R524300 Q524302:R589836 Q589838:R655372 Q655374:R720908 Q720910:R786444 Q786446:R851980 Q851982:R917516 Q917518:R983052 Q983054:R1048576 Q1:R15 Q17:R65548 Q65550:R131084 Q131086:R196620 R16 R65549 R131085 R196621 R262157 R327693 R393229 R458765 R524301 R589837 R655373 R720909 R786445 R851981 R917517 R983053" xr:uid="{00000000-0002-0000-0300-000001000000}"/>
  </dataValidations>
  <pageMargins left="0.5" right="0.5" top="0.5" bottom="0.5" header="0" footer="0.25"/>
  <pageSetup scale="50"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59"/>
  <sheetViews>
    <sheetView zoomScale="85" zoomScaleNormal="85" workbookViewId="0">
      <pane xSplit="1" ySplit="10" topLeftCell="B11" activePane="bottomRight" state="frozen"/>
      <selection pane="topRight" activeCell="B1" sqref="B1"/>
      <selection pane="bottomLeft" activeCell="A11" sqref="A11"/>
      <selection pane="bottomRight" activeCell="B1" sqref="B1"/>
    </sheetView>
  </sheetViews>
  <sheetFormatPr defaultColWidth="9.27734375" defaultRowHeight="15"/>
  <cols>
    <col min="1" max="1" width="41" style="33" customWidth="1"/>
    <col min="2" max="2" width="14.71875" style="3" customWidth="1"/>
    <col min="3" max="3" width="14.71875" style="3" hidden="1" customWidth="1"/>
    <col min="4" max="4" width="2.71875" style="3" hidden="1" customWidth="1"/>
    <col min="5" max="5" width="14.71875" style="3" customWidth="1"/>
    <col min="6" max="6" width="14.71875" style="3" hidden="1" customWidth="1"/>
    <col min="7" max="7" width="2.71875" style="3" hidden="1" customWidth="1"/>
    <col min="8" max="8" width="14.71875" style="3" customWidth="1"/>
    <col min="9" max="9" width="14.71875" style="3" hidden="1" customWidth="1"/>
    <col min="10" max="10" width="2.71875" style="3" hidden="1" customWidth="1"/>
    <col min="11" max="11" width="14.71875" style="3" customWidth="1"/>
    <col min="12" max="12" width="14.71875" style="3" hidden="1" customWidth="1"/>
    <col min="13" max="13" width="2.71875" style="3" hidden="1" customWidth="1"/>
    <col min="14" max="14" width="14.71875" style="3" customWidth="1"/>
    <col min="15" max="15" width="14.71875" style="3" hidden="1" customWidth="1"/>
    <col min="16" max="16" width="2.71875" style="3" hidden="1" customWidth="1"/>
    <col min="17" max="17" width="16.27734375" style="3" bestFit="1" customWidth="1"/>
    <col min="18" max="18" width="13.71875" style="33" hidden="1" customWidth="1"/>
    <col min="19" max="19" width="4.27734375" style="33" customWidth="1"/>
    <col min="20" max="20" width="12.27734375" style="32" customWidth="1"/>
    <col min="21" max="21" width="11.44140625" style="33" customWidth="1"/>
    <col min="22" max="22" width="10.27734375" style="33" bestFit="1" customWidth="1"/>
    <col min="23" max="23" width="9.27734375" style="33"/>
    <col min="24" max="24" width="9.27734375" style="33" bestFit="1" customWidth="1"/>
    <col min="25" max="16384" width="9.27734375" style="33"/>
  </cols>
  <sheetData>
    <row r="1" spans="1:21" ht="20.100000000000001">
      <c r="A1" s="4" t="str">
        <f>Assumptions!$B$8</f>
        <v>Partners of America</v>
      </c>
    </row>
    <row r="2" spans="1:21">
      <c r="A2" s="315" t="str">
        <f>CONCATENATE(Assumptions!$B9," ",Assumptions!$C9)</f>
        <v>DONOR: USDOL</v>
      </c>
      <c r="R2" s="3"/>
      <c r="S2" s="3"/>
    </row>
    <row r="3" spans="1:21">
      <c r="A3" s="315" t="str">
        <f>CONCATENATE(Assumptions!$B10," ",Assumptions!$C10)</f>
        <v>Country: Ecuador</v>
      </c>
    </row>
    <row r="4" spans="1:21">
      <c r="A4" s="315" t="str">
        <f>CONCATENATE(Assumptions!$B11," ",Assumptions!$C11)</f>
        <v>Program Name: Project to Improve Adherence to International Labor Standards in the Agricultural Sector in Ecuador</v>
      </c>
    </row>
    <row r="5" spans="1:21">
      <c r="A5" s="315" t="str">
        <f>CONCATENATE(Assumptions!$B12," ",Assumptions!$C12)</f>
        <v>Grant Number: FOA-ILAB-23-28</v>
      </c>
      <c r="U5" s="32"/>
    </row>
    <row r="6" spans="1:21">
      <c r="A6" s="920"/>
      <c r="U6" s="32"/>
    </row>
    <row r="7" spans="1:21" ht="20.100000000000001">
      <c r="A7" s="2" t="s">
        <v>341</v>
      </c>
      <c r="U7" s="32"/>
    </row>
    <row r="8" spans="1:21" ht="15.3" thickBot="1">
      <c r="A8" s="347"/>
      <c r="B8" s="348"/>
      <c r="C8" s="348"/>
      <c r="D8" s="348"/>
      <c r="E8" s="348"/>
      <c r="F8" s="348"/>
      <c r="G8" s="348"/>
      <c r="H8" s="348"/>
      <c r="I8" s="348"/>
      <c r="J8" s="348"/>
      <c r="K8" s="348"/>
      <c r="L8" s="348"/>
      <c r="M8" s="348"/>
      <c r="N8" s="348"/>
      <c r="O8" s="348"/>
      <c r="P8" s="348"/>
      <c r="Q8" s="348"/>
      <c r="R8" s="347"/>
      <c r="U8" s="32"/>
    </row>
    <row r="9" spans="1:21" ht="15.3" thickBot="1">
      <c r="A9" s="1428" t="s">
        <v>342</v>
      </c>
      <c r="B9" s="1430" t="str">
        <f>Assumptions!G24</f>
        <v>Year 1</v>
      </c>
      <c r="C9" s="1431"/>
      <c r="D9" s="921"/>
      <c r="E9" s="1430" t="str">
        <f>Assumptions!J24</f>
        <v>Year 2</v>
      </c>
      <c r="F9" s="1431"/>
      <c r="G9" s="921"/>
      <c r="H9" s="1430" t="str">
        <f>Assumptions!M24</f>
        <v>Year 3</v>
      </c>
      <c r="I9" s="1431"/>
      <c r="J9" s="921"/>
      <c r="K9" s="1430" t="str">
        <f>Assumptions!P24</f>
        <v>Year 4</v>
      </c>
      <c r="L9" s="1431"/>
      <c r="M9" s="921"/>
      <c r="N9" s="1430" t="str">
        <f>Assumptions!S24</f>
        <v>Year 5</v>
      </c>
      <c r="O9" s="1431"/>
      <c r="P9" s="921"/>
      <c r="Q9" s="1426" t="s">
        <v>240</v>
      </c>
      <c r="R9" s="1427"/>
      <c r="S9" s="36"/>
      <c r="U9" s="32"/>
    </row>
    <row r="10" spans="1:21" ht="28.8" thickTop="1" thickBot="1">
      <c r="A10" s="1429"/>
      <c r="B10" s="354" t="s">
        <v>343</v>
      </c>
      <c r="C10" s="354" t="s">
        <v>344</v>
      </c>
      <c r="D10" s="922"/>
      <c r="E10" s="354" t="s">
        <v>343</v>
      </c>
      <c r="F10" s="354" t="s">
        <v>344</v>
      </c>
      <c r="G10" s="922"/>
      <c r="H10" s="354" t="s">
        <v>343</v>
      </c>
      <c r="I10" s="354" t="s">
        <v>344</v>
      </c>
      <c r="J10" s="922"/>
      <c r="K10" s="354" t="s">
        <v>343</v>
      </c>
      <c r="L10" s="354" t="s">
        <v>344</v>
      </c>
      <c r="M10" s="922"/>
      <c r="N10" s="354" t="s">
        <v>343</v>
      </c>
      <c r="O10" s="354" t="s">
        <v>344</v>
      </c>
      <c r="P10" s="922"/>
      <c r="Q10" s="355" t="s">
        <v>343</v>
      </c>
      <c r="R10" s="357" t="s">
        <v>344</v>
      </c>
      <c r="S10" s="356"/>
      <c r="T10" s="360" t="s">
        <v>345</v>
      </c>
      <c r="U10" s="32"/>
    </row>
    <row r="11" spans="1:21" ht="15.3" thickTop="1">
      <c r="A11" s="349"/>
      <c r="B11" s="350"/>
      <c r="C11" s="350"/>
      <c r="D11" s="350"/>
      <c r="E11" s="350"/>
      <c r="F11" s="350"/>
      <c r="G11" s="350"/>
      <c r="H11" s="350"/>
      <c r="I11" s="350"/>
      <c r="J11" s="350"/>
      <c r="K11" s="350"/>
      <c r="L11" s="350"/>
      <c r="M11" s="350"/>
      <c r="N11" s="350"/>
      <c r="O11" s="350"/>
      <c r="P11" s="350"/>
      <c r="Q11" s="351"/>
      <c r="R11" s="358"/>
      <c r="S11" s="36"/>
      <c r="T11" s="32" t="s">
        <v>346</v>
      </c>
      <c r="U11" s="32"/>
    </row>
    <row r="12" spans="1:21" s="6" customFormat="1">
      <c r="A12" s="204" t="s">
        <v>347</v>
      </c>
      <c r="B12" s="923" t="e">
        <f>B35-SUM(B13:B33)</f>
        <v>#REF!</v>
      </c>
      <c r="C12" s="923"/>
      <c r="D12" s="923"/>
      <c r="E12" s="923" t="e">
        <f>E35-SUM(E13:E33)</f>
        <v>#REF!</v>
      </c>
      <c r="F12" s="923"/>
      <c r="G12" s="923"/>
      <c r="H12" s="923" t="e">
        <f>H35-SUM(H13:H33)</f>
        <v>#REF!</v>
      </c>
      <c r="I12" s="923"/>
      <c r="J12" s="923"/>
      <c r="K12" s="923" t="e">
        <f>K35-SUM(K13:K33)</f>
        <v>#REF!</v>
      </c>
      <c r="L12" s="923"/>
      <c r="M12" s="923"/>
      <c r="N12" s="923" t="e">
        <f>N35-SUM(N13:N33)</f>
        <v>#REF!</v>
      </c>
      <c r="O12" s="923"/>
      <c r="P12" s="923"/>
      <c r="Q12" s="924" t="e">
        <f>SUM(B12,E12,H12,K12,N12)</f>
        <v>#REF!</v>
      </c>
      <c r="R12" s="925" t="e">
        <f>SUM(C12,F12,I12,L12,O12,#REF!,#REF!,#REF!,#REF!,#REF!)</f>
        <v>#REF!</v>
      </c>
      <c r="S12" s="926"/>
      <c r="T12" s="32" t="e">
        <f>SUM(B12:P12)</f>
        <v>#REF!</v>
      </c>
      <c r="U12" s="32"/>
    </row>
    <row r="13" spans="1:21">
      <c r="A13" s="927"/>
      <c r="B13" s="89"/>
      <c r="C13" s="89"/>
      <c r="D13" s="89"/>
      <c r="E13" s="89"/>
      <c r="F13" s="89"/>
      <c r="G13" s="89"/>
      <c r="H13" s="89"/>
      <c r="I13" s="89"/>
      <c r="J13" s="89"/>
      <c r="K13" s="89"/>
      <c r="L13" s="89"/>
      <c r="M13" s="89"/>
      <c r="N13" s="89"/>
      <c r="O13" s="89"/>
      <c r="P13" s="89"/>
      <c r="Q13" s="92"/>
      <c r="R13" s="925"/>
      <c r="S13" s="36"/>
      <c r="U13" s="32"/>
    </row>
    <row r="14" spans="1:21" s="6" customFormat="1">
      <c r="A14" s="204" t="e">
        <f>#REF!</f>
        <v>#REF!</v>
      </c>
      <c r="B14" s="923" t="e">
        <f>#REF!</f>
        <v>#REF!</v>
      </c>
      <c r="C14" s="923"/>
      <c r="D14" s="923"/>
      <c r="E14" s="923" t="e">
        <f>#REF!</f>
        <v>#REF!</v>
      </c>
      <c r="F14" s="923"/>
      <c r="G14" s="923"/>
      <c r="H14" s="923" t="e">
        <f>#REF!</f>
        <v>#REF!</v>
      </c>
      <c r="I14" s="923"/>
      <c r="J14" s="923"/>
      <c r="K14" s="923" t="e">
        <f>#REF!</f>
        <v>#REF!</v>
      </c>
      <c r="L14" s="923"/>
      <c r="M14" s="923"/>
      <c r="N14" s="923" t="e">
        <f>#REF!</f>
        <v>#REF!</v>
      </c>
      <c r="O14" s="923"/>
      <c r="P14" s="923"/>
      <c r="Q14" s="924" t="e">
        <f>SUM(B14,E14,H14,K14,N14)</f>
        <v>#REF!</v>
      </c>
      <c r="R14" s="925">
        <f>SUM(O14,L14,I14,F14,C14)</f>
        <v>0</v>
      </c>
      <c r="S14" s="926"/>
      <c r="T14" s="32" t="e">
        <f>SUM(B14:P14)</f>
        <v>#REF!</v>
      </c>
      <c r="U14" s="32"/>
    </row>
    <row r="15" spans="1:21">
      <c r="A15" s="927"/>
      <c r="B15" s="89"/>
      <c r="C15" s="89"/>
      <c r="D15" s="89"/>
      <c r="E15" s="89"/>
      <c r="F15" s="89"/>
      <c r="G15" s="89"/>
      <c r="H15" s="89"/>
      <c r="I15" s="89"/>
      <c r="J15" s="89"/>
      <c r="K15" s="89"/>
      <c r="L15" s="89"/>
      <c r="M15" s="89"/>
      <c r="N15" s="89"/>
      <c r="O15" s="89"/>
      <c r="P15" s="89"/>
      <c r="Q15" s="92"/>
      <c r="R15" s="925"/>
      <c r="S15" s="36"/>
      <c r="U15" s="32"/>
    </row>
    <row r="16" spans="1:21" s="6" customFormat="1">
      <c r="A16" s="204" t="e">
        <f>#REF!</f>
        <v>#REF!</v>
      </c>
      <c r="B16" s="923" t="e">
        <f>#REF!</f>
        <v>#REF!</v>
      </c>
      <c r="C16" s="923"/>
      <c r="D16" s="923"/>
      <c r="E16" s="923" t="e">
        <f>#REF!</f>
        <v>#REF!</v>
      </c>
      <c r="F16" s="923"/>
      <c r="G16" s="923"/>
      <c r="H16" s="923" t="e">
        <f>#REF!</f>
        <v>#REF!</v>
      </c>
      <c r="I16" s="923"/>
      <c r="J16" s="923"/>
      <c r="K16" s="923" t="e">
        <f>#REF!</f>
        <v>#REF!</v>
      </c>
      <c r="L16" s="923"/>
      <c r="M16" s="923"/>
      <c r="N16" s="923" t="e">
        <f>#REF!</f>
        <v>#REF!</v>
      </c>
      <c r="O16" s="923"/>
      <c r="P16" s="923"/>
      <c r="Q16" s="924" t="e">
        <f>SUM(B16,E16,H16,K16,N16)</f>
        <v>#REF!</v>
      </c>
      <c r="R16" s="925">
        <f>SUM(O16,L16,I16,F16,C16)</f>
        <v>0</v>
      </c>
      <c r="S16" s="926"/>
      <c r="T16" s="32" t="e">
        <f>SUM(B16:P16)</f>
        <v>#REF!</v>
      </c>
      <c r="U16" s="32"/>
    </row>
    <row r="17" spans="1:21">
      <c r="A17" s="927"/>
      <c r="B17" s="89"/>
      <c r="C17" s="89"/>
      <c r="D17" s="89"/>
      <c r="E17" s="89"/>
      <c r="F17" s="89"/>
      <c r="G17" s="89"/>
      <c r="H17" s="89"/>
      <c r="I17" s="89"/>
      <c r="J17" s="89"/>
      <c r="K17" s="89"/>
      <c r="L17" s="89"/>
      <c r="M17" s="89"/>
      <c r="N17" s="89"/>
      <c r="O17" s="89"/>
      <c r="P17" s="89"/>
      <c r="Q17" s="92"/>
      <c r="R17" s="925"/>
      <c r="S17" s="36"/>
      <c r="U17" s="32"/>
    </row>
    <row r="18" spans="1:21" s="6" customFormat="1">
      <c r="A18" s="204" t="e">
        <f>#REF!</f>
        <v>#REF!</v>
      </c>
      <c r="B18" s="923" t="e">
        <f>#REF!</f>
        <v>#REF!</v>
      </c>
      <c r="C18" s="923"/>
      <c r="D18" s="923"/>
      <c r="E18" s="923" t="e">
        <f>#REF!</f>
        <v>#REF!</v>
      </c>
      <c r="F18" s="923"/>
      <c r="G18" s="923"/>
      <c r="H18" s="923" t="e">
        <f>#REF!</f>
        <v>#REF!</v>
      </c>
      <c r="I18" s="923"/>
      <c r="J18" s="923"/>
      <c r="K18" s="923" t="e">
        <f>#REF!</f>
        <v>#REF!</v>
      </c>
      <c r="L18" s="923"/>
      <c r="M18" s="923"/>
      <c r="N18" s="923" t="e">
        <f>#REF!</f>
        <v>#REF!</v>
      </c>
      <c r="O18" s="923"/>
      <c r="P18" s="923"/>
      <c r="Q18" s="924" t="e">
        <f>SUM(B18,E18,H18,K18,N18)</f>
        <v>#REF!</v>
      </c>
      <c r="R18" s="925">
        <f>SUM(O18,L18,I18,F18,C18)</f>
        <v>0</v>
      </c>
      <c r="S18" s="926"/>
      <c r="T18" s="32" t="e">
        <f>SUM(B18:P18)</f>
        <v>#REF!</v>
      </c>
      <c r="U18" s="32"/>
    </row>
    <row r="19" spans="1:21">
      <c r="A19" s="927"/>
      <c r="B19" s="89"/>
      <c r="C19" s="89"/>
      <c r="D19" s="89"/>
      <c r="E19" s="89"/>
      <c r="F19" s="89"/>
      <c r="G19" s="89"/>
      <c r="H19" s="89"/>
      <c r="I19" s="89"/>
      <c r="J19" s="89"/>
      <c r="K19" s="89"/>
      <c r="L19" s="89"/>
      <c r="M19" s="89"/>
      <c r="N19" s="89"/>
      <c r="O19" s="89"/>
      <c r="P19" s="89"/>
      <c r="Q19" s="92"/>
      <c r="R19" s="925"/>
      <c r="S19" s="36"/>
      <c r="U19" s="32"/>
    </row>
    <row r="20" spans="1:21" s="6" customFormat="1">
      <c r="A20" s="204" t="e">
        <f>#REF!</f>
        <v>#REF!</v>
      </c>
      <c r="B20" s="923" t="e">
        <f>#REF!</f>
        <v>#REF!</v>
      </c>
      <c r="C20" s="923"/>
      <c r="D20" s="923"/>
      <c r="E20" s="923" t="e">
        <f>#REF!</f>
        <v>#REF!</v>
      </c>
      <c r="F20" s="923"/>
      <c r="G20" s="923"/>
      <c r="H20" s="923" t="e">
        <f>#REF!</f>
        <v>#REF!</v>
      </c>
      <c r="I20" s="923"/>
      <c r="J20" s="923"/>
      <c r="K20" s="923" t="e">
        <f>#REF!</f>
        <v>#REF!</v>
      </c>
      <c r="L20" s="923"/>
      <c r="M20" s="923"/>
      <c r="N20" s="923" t="e">
        <f>#REF!</f>
        <v>#REF!</v>
      </c>
      <c r="O20" s="923"/>
      <c r="P20" s="923"/>
      <c r="Q20" s="924" t="e">
        <f>SUM(B20,E20,H20,K20,N20)</f>
        <v>#REF!</v>
      </c>
      <c r="R20" s="925">
        <f>SUM(O20,L20,I20,F20,C20)</f>
        <v>0</v>
      </c>
      <c r="S20" s="926"/>
      <c r="T20" s="32" t="e">
        <f>SUM(B20:P20)</f>
        <v>#REF!</v>
      </c>
      <c r="U20" s="32"/>
    </row>
    <row r="21" spans="1:21">
      <c r="A21" s="927"/>
      <c r="B21" s="89"/>
      <c r="C21" s="89"/>
      <c r="D21" s="89"/>
      <c r="E21" s="89"/>
      <c r="F21" s="89"/>
      <c r="G21" s="89"/>
      <c r="H21" s="89"/>
      <c r="I21" s="89"/>
      <c r="J21" s="89"/>
      <c r="K21" s="89"/>
      <c r="L21" s="89"/>
      <c r="M21" s="89"/>
      <c r="N21" s="89"/>
      <c r="O21" s="89"/>
      <c r="P21" s="89"/>
      <c r="Q21" s="92"/>
      <c r="R21" s="925"/>
      <c r="S21" s="36"/>
      <c r="U21" s="32"/>
    </row>
    <row r="22" spans="1:21" s="6" customFormat="1">
      <c r="A22" s="204" t="e">
        <f>#REF!</f>
        <v>#REF!</v>
      </c>
      <c r="B22" s="923" t="e">
        <f>#REF!</f>
        <v>#REF!</v>
      </c>
      <c r="C22" s="923"/>
      <c r="D22" s="923"/>
      <c r="E22" s="923" t="e">
        <f>#REF!</f>
        <v>#REF!</v>
      </c>
      <c r="F22" s="923"/>
      <c r="G22" s="923"/>
      <c r="H22" s="923" t="e">
        <f>#REF!</f>
        <v>#REF!</v>
      </c>
      <c r="I22" s="923"/>
      <c r="J22" s="923"/>
      <c r="K22" s="923" t="e">
        <f>#REF!</f>
        <v>#REF!</v>
      </c>
      <c r="L22" s="923"/>
      <c r="M22" s="923"/>
      <c r="N22" s="923" t="e">
        <f>#REF!</f>
        <v>#REF!</v>
      </c>
      <c r="O22" s="923"/>
      <c r="P22" s="923"/>
      <c r="Q22" s="924" t="e">
        <f>SUM(B22,E22,H22,K22,N22)</f>
        <v>#REF!</v>
      </c>
      <c r="R22" s="925">
        <f>SUM(O22,L22,I22,F22,C22)</f>
        <v>0</v>
      </c>
      <c r="S22" s="926"/>
      <c r="T22" s="32" t="e">
        <f>SUM(B22:P22)</f>
        <v>#REF!</v>
      </c>
      <c r="U22" s="32"/>
    </row>
    <row r="23" spans="1:21">
      <c r="A23" s="927"/>
      <c r="B23" s="89"/>
      <c r="C23" s="89"/>
      <c r="D23" s="89"/>
      <c r="E23" s="89"/>
      <c r="F23" s="89"/>
      <c r="G23" s="89"/>
      <c r="H23" s="89"/>
      <c r="I23" s="89"/>
      <c r="J23" s="89"/>
      <c r="K23" s="89"/>
      <c r="L23" s="89"/>
      <c r="M23" s="89"/>
      <c r="N23" s="89"/>
      <c r="O23" s="89"/>
      <c r="P23" s="89"/>
      <c r="Q23" s="92"/>
      <c r="R23" s="925"/>
      <c r="S23" s="36"/>
      <c r="U23" s="32"/>
    </row>
    <row r="24" spans="1:21" s="6" customFormat="1">
      <c r="A24" s="204" t="e">
        <f>#REF!</f>
        <v>#REF!</v>
      </c>
      <c r="B24" s="923" t="e">
        <f>#REF!</f>
        <v>#REF!</v>
      </c>
      <c r="C24" s="923"/>
      <c r="D24" s="923"/>
      <c r="E24" s="923" t="e">
        <f>#REF!</f>
        <v>#REF!</v>
      </c>
      <c r="F24" s="923"/>
      <c r="G24" s="923"/>
      <c r="H24" s="923" t="e">
        <f>#REF!</f>
        <v>#REF!</v>
      </c>
      <c r="I24" s="923"/>
      <c r="J24" s="923"/>
      <c r="K24" s="923" t="e">
        <f>#REF!</f>
        <v>#REF!</v>
      </c>
      <c r="L24" s="923"/>
      <c r="M24" s="923"/>
      <c r="N24" s="923" t="e">
        <f>#REF!</f>
        <v>#REF!</v>
      </c>
      <c r="O24" s="923"/>
      <c r="P24" s="923"/>
      <c r="Q24" s="924" t="e">
        <f>SUM(B24,E24,H24,K24,N24)</f>
        <v>#REF!</v>
      </c>
      <c r="R24" s="925">
        <f>SUM(O24,L24,I24,F24,C24)</f>
        <v>0</v>
      </c>
      <c r="S24" s="926"/>
      <c r="T24" s="32" t="e">
        <f>SUM(B24:P24)</f>
        <v>#REF!</v>
      </c>
      <c r="U24" s="32"/>
    </row>
    <row r="25" spans="1:21">
      <c r="A25" s="927"/>
      <c r="B25" s="89"/>
      <c r="C25" s="89"/>
      <c r="D25" s="89"/>
      <c r="E25" s="89"/>
      <c r="F25" s="89"/>
      <c r="G25" s="89"/>
      <c r="H25" s="89"/>
      <c r="I25" s="89"/>
      <c r="J25" s="89"/>
      <c r="K25" s="89"/>
      <c r="L25" s="89"/>
      <c r="M25" s="89"/>
      <c r="N25" s="89"/>
      <c r="O25" s="89"/>
      <c r="P25" s="89"/>
      <c r="Q25" s="92"/>
      <c r="R25" s="925"/>
      <c r="S25" s="36"/>
      <c r="U25" s="32"/>
    </row>
    <row r="26" spans="1:21" s="6" customFormat="1">
      <c r="A26" s="204" t="e">
        <f>#REF!</f>
        <v>#REF!</v>
      </c>
      <c r="B26" s="923" t="e">
        <f>#REF!</f>
        <v>#REF!</v>
      </c>
      <c r="C26" s="923"/>
      <c r="D26" s="923"/>
      <c r="E26" s="923" t="e">
        <f>#REF!</f>
        <v>#REF!</v>
      </c>
      <c r="F26" s="923"/>
      <c r="G26" s="923"/>
      <c r="H26" s="923" t="e">
        <f>#REF!</f>
        <v>#REF!</v>
      </c>
      <c r="I26" s="923"/>
      <c r="J26" s="923"/>
      <c r="K26" s="923" t="e">
        <f>#REF!</f>
        <v>#REF!</v>
      </c>
      <c r="L26" s="923"/>
      <c r="M26" s="923"/>
      <c r="N26" s="923" t="e">
        <f>#REF!</f>
        <v>#REF!</v>
      </c>
      <c r="O26" s="923"/>
      <c r="P26" s="923"/>
      <c r="Q26" s="924" t="e">
        <f>SUM(B26,E26,H26,K26,N26)</f>
        <v>#REF!</v>
      </c>
      <c r="R26" s="925">
        <f>SUM(O26,L26,I26,F26,C26)</f>
        <v>0</v>
      </c>
      <c r="S26" s="926"/>
      <c r="T26" s="32" t="e">
        <f>SUM(B26:P26)</f>
        <v>#REF!</v>
      </c>
      <c r="U26" s="32"/>
    </row>
    <row r="27" spans="1:21">
      <c r="A27" s="927"/>
      <c r="B27" s="89"/>
      <c r="C27" s="89"/>
      <c r="D27" s="89"/>
      <c r="E27" s="89"/>
      <c r="F27" s="89"/>
      <c r="G27" s="89"/>
      <c r="H27" s="89"/>
      <c r="I27" s="89"/>
      <c r="J27" s="89"/>
      <c r="K27" s="89"/>
      <c r="L27" s="89"/>
      <c r="M27" s="89"/>
      <c r="N27" s="89"/>
      <c r="O27" s="89"/>
      <c r="P27" s="89"/>
      <c r="Q27" s="92"/>
      <c r="R27" s="925"/>
      <c r="S27" s="36"/>
      <c r="U27" s="32"/>
    </row>
    <row r="28" spans="1:21" s="6" customFormat="1">
      <c r="A28" s="204" t="e">
        <f>#REF!</f>
        <v>#REF!</v>
      </c>
      <c r="B28" s="923" t="e">
        <f>#REF!</f>
        <v>#REF!</v>
      </c>
      <c r="C28" s="923"/>
      <c r="D28" s="923"/>
      <c r="E28" s="923" t="e">
        <f>#REF!</f>
        <v>#REF!</v>
      </c>
      <c r="F28" s="923"/>
      <c r="G28" s="923"/>
      <c r="H28" s="923" t="e">
        <f>#REF!</f>
        <v>#REF!</v>
      </c>
      <c r="I28" s="923"/>
      <c r="J28" s="923"/>
      <c r="K28" s="923" t="e">
        <f>#REF!</f>
        <v>#REF!</v>
      </c>
      <c r="L28" s="923"/>
      <c r="M28" s="923"/>
      <c r="N28" s="923" t="e">
        <f>#REF!</f>
        <v>#REF!</v>
      </c>
      <c r="O28" s="923"/>
      <c r="P28" s="923"/>
      <c r="Q28" s="924" t="e">
        <f>SUM(B28,E28,H28,K28,N28)</f>
        <v>#REF!</v>
      </c>
      <c r="R28" s="925">
        <f>SUM(O28,L28,I28,F28,C28)</f>
        <v>0</v>
      </c>
      <c r="S28" s="926"/>
      <c r="T28" s="32" t="e">
        <f>SUM(B28:P28)</f>
        <v>#REF!</v>
      </c>
      <c r="U28" s="32"/>
    </row>
    <row r="29" spans="1:21">
      <c r="A29" s="927"/>
      <c r="B29" s="89"/>
      <c r="C29" s="89"/>
      <c r="D29" s="89"/>
      <c r="E29" s="89"/>
      <c r="F29" s="89"/>
      <c r="G29" s="89"/>
      <c r="H29" s="89"/>
      <c r="I29" s="89"/>
      <c r="J29" s="89"/>
      <c r="K29" s="89"/>
      <c r="L29" s="89"/>
      <c r="M29" s="89"/>
      <c r="N29" s="89"/>
      <c r="O29" s="89"/>
      <c r="P29" s="89"/>
      <c r="Q29" s="92"/>
      <c r="R29" s="925"/>
      <c r="S29" s="36"/>
      <c r="U29" s="32"/>
    </row>
    <row r="30" spans="1:21" s="6" customFormat="1">
      <c r="A30" s="204" t="e">
        <f>#REF!</f>
        <v>#REF!</v>
      </c>
      <c r="B30" s="923" t="e">
        <f>#REF!</f>
        <v>#REF!</v>
      </c>
      <c r="C30" s="923"/>
      <c r="D30" s="923"/>
      <c r="E30" s="923" t="e">
        <f>#REF!</f>
        <v>#REF!</v>
      </c>
      <c r="F30" s="923"/>
      <c r="G30" s="923"/>
      <c r="H30" s="923" t="e">
        <f>#REF!</f>
        <v>#REF!</v>
      </c>
      <c r="I30" s="923"/>
      <c r="J30" s="923"/>
      <c r="K30" s="923" t="e">
        <f>#REF!</f>
        <v>#REF!</v>
      </c>
      <c r="L30" s="923"/>
      <c r="M30" s="923"/>
      <c r="N30" s="923" t="e">
        <f>#REF!</f>
        <v>#REF!</v>
      </c>
      <c r="O30" s="923"/>
      <c r="P30" s="923"/>
      <c r="Q30" s="924" t="e">
        <f>SUM(B30,E30,H30,K30,N30)</f>
        <v>#REF!</v>
      </c>
      <c r="R30" s="925">
        <f>SUM(O30,L30,I30,F30,C30)</f>
        <v>0</v>
      </c>
      <c r="S30" s="926"/>
      <c r="T30" s="32" t="e">
        <f>SUM(B30:P30)</f>
        <v>#REF!</v>
      </c>
      <c r="U30" s="32"/>
    </row>
    <row r="31" spans="1:21">
      <c r="A31" s="927"/>
      <c r="B31" s="89"/>
      <c r="C31" s="89"/>
      <c r="D31" s="89"/>
      <c r="E31" s="89"/>
      <c r="F31" s="89"/>
      <c r="G31" s="89"/>
      <c r="H31" s="89"/>
      <c r="I31" s="89"/>
      <c r="J31" s="89"/>
      <c r="K31" s="89"/>
      <c r="L31" s="89"/>
      <c r="M31" s="89"/>
      <c r="N31" s="89"/>
      <c r="O31" s="89"/>
      <c r="P31" s="89"/>
      <c r="Q31" s="92"/>
      <c r="R31" s="925"/>
      <c r="S31" s="36"/>
      <c r="U31" s="32"/>
    </row>
    <row r="32" spans="1:21" s="6" customFormat="1">
      <c r="A32" s="204"/>
      <c r="B32" s="923"/>
      <c r="C32" s="923"/>
      <c r="D32" s="923"/>
      <c r="E32" s="923"/>
      <c r="F32" s="923"/>
      <c r="G32" s="923"/>
      <c r="H32" s="923"/>
      <c r="I32" s="923"/>
      <c r="J32" s="923"/>
      <c r="K32" s="923"/>
      <c r="L32" s="923"/>
      <c r="M32" s="923"/>
      <c r="N32" s="923"/>
      <c r="O32" s="923"/>
      <c r="P32" s="923"/>
      <c r="Q32" s="924">
        <f>SUM(N32,K32,H32,E32,B32)</f>
        <v>0</v>
      </c>
      <c r="R32" s="925">
        <f>SUM(O32,L32,I32,F32,C32)</f>
        <v>0</v>
      </c>
      <c r="S32" s="926"/>
      <c r="T32" s="32">
        <f>SUM(B32:P32)</f>
        <v>0</v>
      </c>
      <c r="U32" s="32"/>
    </row>
    <row r="33" spans="1:21">
      <c r="A33" s="927"/>
      <c r="B33" s="89"/>
      <c r="C33" s="89"/>
      <c r="D33" s="89"/>
      <c r="E33" s="89"/>
      <c r="F33" s="89"/>
      <c r="G33" s="89"/>
      <c r="H33" s="89"/>
      <c r="I33" s="89"/>
      <c r="J33" s="89"/>
      <c r="K33" s="89"/>
      <c r="L33" s="89"/>
      <c r="M33" s="89"/>
      <c r="N33" s="89"/>
      <c r="O33" s="89"/>
      <c r="P33" s="89"/>
      <c r="Q33" s="92"/>
      <c r="R33" s="925"/>
      <c r="S33" s="36"/>
      <c r="U33" s="32"/>
    </row>
    <row r="34" spans="1:21">
      <c r="A34" s="34"/>
      <c r="B34" s="89"/>
      <c r="C34" s="89"/>
      <c r="D34" s="89"/>
      <c r="E34" s="89"/>
      <c r="F34" s="89"/>
      <c r="G34" s="89"/>
      <c r="H34" s="89"/>
      <c r="I34" s="89"/>
      <c r="J34" s="89"/>
      <c r="K34" s="89"/>
      <c r="L34" s="89"/>
      <c r="M34" s="89"/>
      <c r="N34" s="89"/>
      <c r="O34" s="89"/>
      <c r="P34" s="89"/>
      <c r="Q34" s="92"/>
      <c r="R34" s="925"/>
      <c r="S34" s="36"/>
      <c r="U34" s="32"/>
    </row>
    <row r="35" spans="1:21" s="6" customFormat="1">
      <c r="A35" s="928" t="s">
        <v>348</v>
      </c>
      <c r="B35" s="929" t="e">
        <f>#REF!</f>
        <v>#REF!</v>
      </c>
      <c r="C35" s="929">
        <f>SUM(C11:C34)</f>
        <v>0</v>
      </c>
      <c r="D35" s="929"/>
      <c r="E35" s="929" t="e">
        <f>#REF!</f>
        <v>#REF!</v>
      </c>
      <c r="F35" s="929">
        <f>SUM(F11:F34)</f>
        <v>0</v>
      </c>
      <c r="G35" s="929"/>
      <c r="H35" s="929" t="e">
        <f>#REF!</f>
        <v>#REF!</v>
      </c>
      <c r="I35" s="929">
        <f>SUM(I11:I34)</f>
        <v>0</v>
      </c>
      <c r="J35" s="929"/>
      <c r="K35" s="929" t="e">
        <f>#REF!</f>
        <v>#REF!</v>
      </c>
      <c r="L35" s="929">
        <f>SUM(L11:L34)</f>
        <v>0</v>
      </c>
      <c r="M35" s="929"/>
      <c r="N35" s="929" t="e">
        <f>#REF!</f>
        <v>#REF!</v>
      </c>
      <c r="O35" s="929">
        <f>SUM(O11:O34)</f>
        <v>0</v>
      </c>
      <c r="P35" s="929"/>
      <c r="Q35" s="924" t="e">
        <f>SUM(B35,E35,H35,K35,N35)</f>
        <v>#REF!</v>
      </c>
      <c r="R35" s="925">
        <f>SUM(O35,L35,I35,F35,C35)</f>
        <v>0</v>
      </c>
      <c r="S35" s="926"/>
      <c r="T35" s="32" t="e">
        <f>SUM(B35:P35)</f>
        <v>#REF!</v>
      </c>
      <c r="U35" s="32"/>
    </row>
    <row r="36" spans="1:21" ht="15.3" thickBot="1">
      <c r="A36" s="93"/>
      <c r="B36" s="94"/>
      <c r="C36" s="94"/>
      <c r="D36" s="94"/>
      <c r="E36" s="94"/>
      <c r="F36" s="94"/>
      <c r="G36" s="94"/>
      <c r="H36" s="94"/>
      <c r="I36" s="94"/>
      <c r="J36" s="94"/>
      <c r="K36" s="94"/>
      <c r="L36" s="94"/>
      <c r="M36" s="94"/>
      <c r="N36" s="94"/>
      <c r="O36" s="94"/>
      <c r="P36" s="94"/>
      <c r="Q36" s="95"/>
      <c r="R36" s="359"/>
      <c r="S36" s="36"/>
      <c r="U36" s="32"/>
    </row>
    <row r="37" spans="1:21" ht="15.3" thickTop="1">
      <c r="A37" s="352"/>
      <c r="B37" s="353"/>
      <c r="C37" s="353"/>
      <c r="D37" s="353"/>
      <c r="E37" s="353"/>
      <c r="F37" s="353"/>
      <c r="G37" s="353"/>
      <c r="H37" s="353"/>
      <c r="I37" s="353"/>
      <c r="J37" s="353"/>
      <c r="K37" s="353"/>
      <c r="L37" s="353"/>
      <c r="M37" s="353"/>
      <c r="N37" s="353"/>
      <c r="O37" s="353"/>
      <c r="P37" s="353"/>
      <c r="Q37" s="353"/>
      <c r="R37" s="352"/>
    </row>
    <row r="59" spans="1:24" s="3" customFormat="1">
      <c r="A59" s="33"/>
      <c r="B59" s="35"/>
      <c r="R59" s="33"/>
      <c r="S59" s="33"/>
      <c r="T59" s="32"/>
      <c r="U59" s="33"/>
      <c r="V59" s="33"/>
      <c r="W59" s="33"/>
      <c r="X59" s="33"/>
    </row>
  </sheetData>
  <mergeCells count="7">
    <mergeCell ref="Q9:R9"/>
    <mergeCell ref="A9:A10"/>
    <mergeCell ref="B9:C9"/>
    <mergeCell ref="E9:F9"/>
    <mergeCell ref="H9:I9"/>
    <mergeCell ref="K9:L9"/>
    <mergeCell ref="N9:O9"/>
  </mergeCells>
  <pageMargins left="0.5" right="0.5" top="0.5" bottom="0.5" header="0" footer="0.25"/>
  <pageSetup scale="63" fitToHeight="0" orientation="landscape" r:id="rId1"/>
  <headerFooter scaleWithDoc="0" alignWithMargins="0">
    <oddFooter>&amp;LUse or disclosure of data contained on this sheet is subject to the restriction on the proprietary statement of this proposal.&amp;RJhpiego, Page &amp;P of &amp;N</oddFooter>
  </headerFooter>
  <colBreaks count="1" manualBreakCount="1">
    <brk id="19"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V294"/>
  <sheetViews>
    <sheetView zoomScale="70" zoomScaleNormal="75" zoomScaleSheetLayoutView="70" workbookViewId="0">
      <pane xSplit="2" ySplit="10" topLeftCell="C201" activePane="bottomRight" state="frozen"/>
      <selection pane="topRight" activeCell="G20" sqref="G20"/>
      <selection pane="bottomLeft" activeCell="G20" sqref="G20"/>
      <selection pane="bottomRight" activeCell="G20" sqref="G20"/>
    </sheetView>
  </sheetViews>
  <sheetFormatPr defaultColWidth="9.71875" defaultRowHeight="12.3"/>
  <cols>
    <col min="1" max="1" width="50.71875" style="9" customWidth="1"/>
    <col min="2" max="2" width="9" style="9" customWidth="1"/>
    <col min="3" max="3" width="10.5546875" style="9" customWidth="1"/>
    <col min="4" max="4" width="8.27734375" style="9" hidden="1" customWidth="1"/>
    <col min="5" max="5" width="14.44140625" style="9" hidden="1" customWidth="1"/>
    <col min="6" max="6" width="9.71875" style="9" customWidth="1"/>
    <col min="7" max="8" width="2.71875" style="9" hidden="1" customWidth="1"/>
    <col min="9" max="9" width="10.27734375" style="9" customWidth="1"/>
    <col min="10" max="11" width="2.71875" style="9" hidden="1" customWidth="1"/>
    <col min="12" max="12" width="10.5546875" style="9" customWidth="1"/>
    <col min="13" max="14" width="2.71875" style="9" hidden="1" customWidth="1"/>
    <col min="15" max="15" width="10.27734375" style="9" customWidth="1"/>
    <col min="16" max="17" width="2.71875" style="9" hidden="1" customWidth="1"/>
    <col min="18" max="18" width="9.44140625" style="9" customWidth="1"/>
    <col min="19" max="19" width="14.5546875" style="9" customWidth="1"/>
    <col min="20" max="20" width="15.5546875" style="14" customWidth="1"/>
    <col min="21" max="21" width="13.71875" style="14" customWidth="1"/>
    <col min="22" max="16384" width="9.71875" style="9"/>
  </cols>
  <sheetData>
    <row r="1" spans="1:22" s="8" customFormat="1" ht="20.100000000000001">
      <c r="A1" s="4" t="str">
        <f>Assumptions!$B$8</f>
        <v>Partners of America</v>
      </c>
      <c r="I1" s="9"/>
      <c r="J1" s="10"/>
      <c r="L1" s="24"/>
      <c r="M1" s="25"/>
      <c r="N1" s="25"/>
      <c r="P1" s="25"/>
      <c r="Q1" s="25"/>
      <c r="R1" s="24"/>
      <c r="S1" s="26"/>
      <c r="T1" s="11"/>
      <c r="U1" s="11"/>
    </row>
    <row r="2" spans="1:22" s="8" customFormat="1" ht="15">
      <c r="A2" s="315" t="str">
        <f>CONCATENATE(Assumptions!$B9," ",Assumptions!$C9)</f>
        <v>DONOR: USDOL</v>
      </c>
      <c r="I2" s="9"/>
      <c r="J2" s="9"/>
      <c r="K2" s="9"/>
      <c r="L2" s="27"/>
      <c r="M2" s="12"/>
      <c r="N2" s="12"/>
      <c r="P2" s="9"/>
      <c r="Q2" s="9" t="s">
        <v>349</v>
      </c>
      <c r="R2" s="930"/>
      <c r="S2" s="28"/>
      <c r="T2" s="11"/>
      <c r="U2" s="11"/>
    </row>
    <row r="3" spans="1:22" s="8" customFormat="1" ht="15">
      <c r="A3" s="315" t="str">
        <f>CONCATENATE(Assumptions!$B10," ",Assumptions!$C10)</f>
        <v>Country: Ecuador</v>
      </c>
      <c r="D3" s="9"/>
      <c r="E3" s="9"/>
      <c r="I3" s="9"/>
      <c r="J3" s="9"/>
      <c r="K3" s="9"/>
      <c r="L3" s="27"/>
      <c r="M3" s="12"/>
      <c r="N3" s="12"/>
      <c r="P3" s="9"/>
      <c r="Q3" s="9" t="s">
        <v>350</v>
      </c>
      <c r="R3" s="930"/>
      <c r="S3" s="28"/>
      <c r="T3" s="11"/>
      <c r="U3" s="11"/>
    </row>
    <row r="4" spans="1:22" ht="15">
      <c r="A4" s="315" t="str">
        <f>CONCATENATE(Assumptions!$B11," ",Assumptions!$C11)</f>
        <v>Program Name: Project to Improve Adherence to International Labor Standards in the Agricultural Sector in Ecuador</v>
      </c>
      <c r="O4" s="913"/>
    </row>
    <row r="5" spans="1:22" ht="15">
      <c r="A5" s="315" t="str">
        <f>CONCATENATE(Assumptions!$B12," ",Assumptions!$C12)</f>
        <v>Grant Number: FOA-ILAB-23-28</v>
      </c>
      <c r="O5" s="913"/>
    </row>
    <row r="6" spans="1:22" ht="15">
      <c r="A6" s="315"/>
      <c r="O6" s="913"/>
    </row>
    <row r="7" spans="1:22" ht="20.100000000000001">
      <c r="A7" s="4" t="s">
        <v>351</v>
      </c>
    </row>
    <row r="8" spans="1:22" ht="15.3" thickBot="1">
      <c r="A8" s="931"/>
      <c r="B8" s="931"/>
      <c r="C8" s="931"/>
      <c r="D8" s="931"/>
      <c r="E8" s="931"/>
      <c r="F8" s="931"/>
      <c r="G8" s="931"/>
      <c r="H8" s="931"/>
      <c r="I8" s="931"/>
      <c r="J8" s="931"/>
      <c r="K8" s="931"/>
      <c r="L8" s="931"/>
      <c r="M8" s="931"/>
      <c r="N8" s="931"/>
      <c r="O8" s="931"/>
      <c r="P8" s="931"/>
      <c r="Q8" s="931"/>
      <c r="R8" s="932"/>
      <c r="S8" s="932"/>
    </row>
    <row r="9" spans="1:22" s="435" customFormat="1" ht="51" customHeight="1">
      <c r="A9" s="431" t="s">
        <v>352</v>
      </c>
      <c r="B9" s="432"/>
      <c r="C9" s="1432" t="e">
        <f>#REF!</f>
        <v>#REF!</v>
      </c>
      <c r="D9" s="1433"/>
      <c r="E9" s="1433"/>
      <c r="F9" s="1432" t="e">
        <f>#REF!</f>
        <v>#REF!</v>
      </c>
      <c r="G9" s="1433"/>
      <c r="H9" s="1433"/>
      <c r="I9" s="1434" t="str">
        <f>Assumptions!M24</f>
        <v>Year 3</v>
      </c>
      <c r="J9" s="1436"/>
      <c r="K9" s="1435"/>
      <c r="L9" s="1432" t="e">
        <f>#REF!</f>
        <v>#REF!</v>
      </c>
      <c r="M9" s="1433"/>
      <c r="N9" s="1433"/>
      <c r="O9" s="1432" t="e">
        <f>#REF!</f>
        <v>#REF!</v>
      </c>
      <c r="P9" s="1433"/>
      <c r="Q9" s="1433"/>
      <c r="R9" s="1434" t="s">
        <v>240</v>
      </c>
      <c r="S9" s="1435"/>
      <c r="T9" s="433" t="s">
        <v>353</v>
      </c>
      <c r="U9" s="434"/>
    </row>
    <row r="10" spans="1:22" s="5" customFormat="1" ht="12.6" thickBot="1">
      <c r="A10" s="933" t="s">
        <v>354</v>
      </c>
      <c r="B10" s="934" t="s">
        <v>92</v>
      </c>
      <c r="C10" s="935" t="s">
        <v>236</v>
      </c>
      <c r="D10" s="936"/>
      <c r="E10" s="936"/>
      <c r="F10" s="936" t="s">
        <v>236</v>
      </c>
      <c r="G10" s="936"/>
      <c r="H10" s="936"/>
      <c r="I10" s="936" t="s">
        <v>236</v>
      </c>
      <c r="J10" s="936"/>
      <c r="K10" s="936"/>
      <c r="L10" s="936" t="s">
        <v>236</v>
      </c>
      <c r="M10" s="936"/>
      <c r="N10" s="936"/>
      <c r="O10" s="936" t="s">
        <v>236</v>
      </c>
      <c r="P10" s="936"/>
      <c r="Q10" s="936"/>
      <c r="R10" s="935" t="s">
        <v>355</v>
      </c>
      <c r="S10" s="934" t="s">
        <v>356</v>
      </c>
      <c r="T10" s="937" t="s">
        <v>357</v>
      </c>
      <c r="U10" s="17"/>
      <c r="V10" s="5" t="s">
        <v>358</v>
      </c>
    </row>
    <row r="11" spans="1:22" s="5" customFormat="1" ht="12.6" thickTop="1">
      <c r="A11" s="40"/>
      <c r="B11" s="938"/>
      <c r="C11" s="939"/>
      <c r="D11" s="940"/>
      <c r="E11" s="940"/>
      <c r="F11" s="940"/>
      <c r="G11" s="940"/>
      <c r="H11" s="940"/>
      <c r="I11" s="940"/>
      <c r="J11" s="940"/>
      <c r="K11" s="940"/>
      <c r="L11" s="940"/>
      <c r="M11" s="940"/>
      <c r="N11" s="940"/>
      <c r="O11" s="940"/>
      <c r="P11" s="940"/>
      <c r="Q11" s="940"/>
      <c r="R11" s="939"/>
      <c r="S11" s="938"/>
      <c r="T11" s="941"/>
      <c r="U11" s="17"/>
      <c r="V11" s="104" t="e">
        <f>IF(SUM(S12:S190)=0,"hide","show")</f>
        <v>#REF!</v>
      </c>
    </row>
    <row r="12" spans="1:22" s="5" customFormat="1" ht="16.5">
      <c r="A12" s="374" t="e">
        <f>#REF!</f>
        <v>#REF!</v>
      </c>
      <c r="B12" s="316"/>
      <c r="C12" s="22"/>
      <c r="D12" s="44"/>
      <c r="E12" s="44"/>
      <c r="F12" s="21"/>
      <c r="G12" s="44"/>
      <c r="H12" s="44"/>
      <c r="I12" s="21"/>
      <c r="J12" s="44"/>
      <c r="K12" s="44"/>
      <c r="L12" s="21"/>
      <c r="M12" s="44"/>
      <c r="N12" s="44"/>
      <c r="O12" s="21"/>
      <c r="P12" s="44"/>
      <c r="Q12" s="44"/>
      <c r="R12" s="22"/>
      <c r="S12" s="96"/>
      <c r="T12" s="42"/>
      <c r="U12" s="9"/>
      <c r="V12" s="5" t="e">
        <f>IF(SUM(S20:S190)=0,"hide","show")</f>
        <v>#REF!</v>
      </c>
    </row>
    <row r="13" spans="1:22" s="5" customFormat="1" ht="15">
      <c r="A13" s="942" t="e">
        <f>#REF!</f>
        <v>#REF!</v>
      </c>
      <c r="B13" s="316"/>
      <c r="C13" s="22"/>
      <c r="D13" s="23"/>
      <c r="E13" s="23"/>
      <c r="F13" s="21"/>
      <c r="G13" s="23"/>
      <c r="H13" s="23"/>
      <c r="I13" s="21"/>
      <c r="J13" s="23"/>
      <c r="K13" s="23"/>
      <c r="L13" s="21"/>
      <c r="M13" s="23"/>
      <c r="N13" s="23"/>
      <c r="O13" s="21"/>
      <c r="P13" s="23"/>
      <c r="Q13" s="23"/>
      <c r="R13" s="22"/>
      <c r="S13" s="96"/>
      <c r="T13" s="42"/>
      <c r="U13" s="9"/>
      <c r="V13" s="5" t="e">
        <f>IF(SUM(S14:S18)=0,"hide","show")</f>
        <v>#REF!</v>
      </c>
    </row>
    <row r="14" spans="1:22" s="5" customFormat="1">
      <c r="A14" s="375" t="e">
        <f>#REF!</f>
        <v>#REF!</v>
      </c>
      <c r="B14" s="943" t="s">
        <v>355</v>
      </c>
      <c r="C14" s="22" t="e">
        <f>#REF!</f>
        <v>#REF!</v>
      </c>
      <c r="D14" s="18"/>
      <c r="E14" s="18"/>
      <c r="F14" s="21" t="e">
        <f>#REF!</f>
        <v>#REF!</v>
      </c>
      <c r="G14" s="18"/>
      <c r="H14" s="18"/>
      <c r="I14" s="21" t="e">
        <f>#REF!</f>
        <v>#REF!</v>
      </c>
      <c r="J14" s="18"/>
      <c r="K14" s="18"/>
      <c r="L14" s="21" t="e">
        <f>#REF!</f>
        <v>#REF!</v>
      </c>
      <c r="M14" s="18"/>
      <c r="N14" s="18"/>
      <c r="O14" s="21" t="e">
        <f>#REF!</f>
        <v>#REF!</v>
      </c>
      <c r="P14" s="18"/>
      <c r="Q14" s="18"/>
      <c r="R14" s="22" t="e">
        <f>C14+F14+I14+L14+O14</f>
        <v>#REF!</v>
      </c>
      <c r="S14" s="96" t="e">
        <f>#REF!</f>
        <v>#REF!</v>
      </c>
      <c r="T14" s="42"/>
      <c r="U14" s="9"/>
      <c r="V14" s="5" t="e">
        <f>IF(S14=0,"hide","show")</f>
        <v>#REF!</v>
      </c>
    </row>
    <row r="15" spans="1:22" s="5" customFormat="1">
      <c r="A15" s="375" t="e">
        <f>#REF!</f>
        <v>#REF!</v>
      </c>
      <c r="B15" s="943" t="s">
        <v>355</v>
      </c>
      <c r="C15" s="22" t="e">
        <f>#REF!</f>
        <v>#REF!</v>
      </c>
      <c r="D15" s="18"/>
      <c r="E15" s="18"/>
      <c r="F15" s="21" t="e">
        <f>#REF!</f>
        <v>#REF!</v>
      </c>
      <c r="G15" s="18"/>
      <c r="H15" s="18"/>
      <c r="I15" s="21" t="e">
        <f>#REF!</f>
        <v>#REF!</v>
      </c>
      <c r="J15" s="18"/>
      <c r="K15" s="18"/>
      <c r="L15" s="21" t="e">
        <f>#REF!</f>
        <v>#REF!</v>
      </c>
      <c r="M15" s="18"/>
      <c r="N15" s="18"/>
      <c r="O15" s="21" t="e">
        <f>#REF!</f>
        <v>#REF!</v>
      </c>
      <c r="P15" s="18"/>
      <c r="Q15" s="18"/>
      <c r="R15" s="22" t="e">
        <f>C15+F15+I15+L15+O15</f>
        <v>#REF!</v>
      </c>
      <c r="S15" s="96" t="e">
        <f>#REF!</f>
        <v>#REF!</v>
      </c>
      <c r="T15" s="42"/>
      <c r="U15" s="9"/>
      <c r="V15" s="5" t="e">
        <f>IF(S15=0,"hide","show")</f>
        <v>#REF!</v>
      </c>
    </row>
    <row r="16" spans="1:22" s="5" customFormat="1">
      <c r="A16" s="375" t="e">
        <f>#REF!</f>
        <v>#REF!</v>
      </c>
      <c r="B16" s="943" t="s">
        <v>355</v>
      </c>
      <c r="C16" s="22" t="e">
        <f>#REF!</f>
        <v>#REF!</v>
      </c>
      <c r="D16" s="18"/>
      <c r="E16" s="18"/>
      <c r="F16" s="21" t="e">
        <f>#REF!</f>
        <v>#REF!</v>
      </c>
      <c r="G16" s="18"/>
      <c r="H16" s="18"/>
      <c r="I16" s="21" t="e">
        <f>#REF!</f>
        <v>#REF!</v>
      </c>
      <c r="J16" s="18"/>
      <c r="K16" s="18"/>
      <c r="L16" s="21" t="e">
        <f>#REF!</f>
        <v>#REF!</v>
      </c>
      <c r="M16" s="18"/>
      <c r="N16" s="18"/>
      <c r="O16" s="21" t="e">
        <f>#REF!</f>
        <v>#REF!</v>
      </c>
      <c r="P16" s="18"/>
      <c r="Q16" s="18"/>
      <c r="R16" s="22" t="e">
        <f>C16+F16+I16+L16+O16</f>
        <v>#REF!</v>
      </c>
      <c r="S16" s="96" t="e">
        <f>#REF!</f>
        <v>#REF!</v>
      </c>
      <c r="T16" s="42"/>
      <c r="U16" s="9"/>
      <c r="V16" s="5" t="e">
        <f>IF(S16=0,"hide","show")</f>
        <v>#REF!</v>
      </c>
    </row>
    <row r="17" spans="1:22" s="5" customFormat="1">
      <c r="A17" s="375" t="e">
        <f>#REF!</f>
        <v>#REF!</v>
      </c>
      <c r="B17" s="943" t="s">
        <v>355</v>
      </c>
      <c r="C17" s="22" t="e">
        <f>#REF!</f>
        <v>#REF!</v>
      </c>
      <c r="D17" s="18"/>
      <c r="E17" s="18"/>
      <c r="F17" s="21" t="e">
        <f>#REF!</f>
        <v>#REF!</v>
      </c>
      <c r="G17" s="18"/>
      <c r="H17" s="18"/>
      <c r="I17" s="21" t="e">
        <f>#REF!</f>
        <v>#REF!</v>
      </c>
      <c r="J17" s="18"/>
      <c r="K17" s="18"/>
      <c r="L17" s="21" t="e">
        <f>#REF!</f>
        <v>#REF!</v>
      </c>
      <c r="M17" s="18"/>
      <c r="N17" s="18"/>
      <c r="O17" s="21" t="e">
        <f>#REF!</f>
        <v>#REF!</v>
      </c>
      <c r="P17" s="18"/>
      <c r="Q17" s="18"/>
      <c r="R17" s="22" t="e">
        <f>C17+F17+I17+L17+O17</f>
        <v>#REF!</v>
      </c>
      <c r="S17" s="96" t="e">
        <f>#REF!</f>
        <v>#REF!</v>
      </c>
      <c r="T17" s="42"/>
      <c r="U17" s="9"/>
      <c r="V17" s="5" t="e">
        <f>IF(S17=0,"hide","show")</f>
        <v>#REF!</v>
      </c>
    </row>
    <row r="18" spans="1:22" s="5" customFormat="1">
      <c r="A18" s="375" t="e">
        <f>#REF!</f>
        <v>#REF!</v>
      </c>
      <c r="B18" s="943" t="s">
        <v>355</v>
      </c>
      <c r="C18" s="22" t="e">
        <f>#REF!</f>
        <v>#REF!</v>
      </c>
      <c r="D18" s="18"/>
      <c r="E18" s="18"/>
      <c r="F18" s="21" t="e">
        <f>#REF!</f>
        <v>#REF!</v>
      </c>
      <c r="G18" s="18"/>
      <c r="H18" s="18"/>
      <c r="I18" s="21" t="e">
        <f>#REF!</f>
        <v>#REF!</v>
      </c>
      <c r="J18" s="18"/>
      <c r="K18" s="18"/>
      <c r="L18" s="21" t="e">
        <f>#REF!</f>
        <v>#REF!</v>
      </c>
      <c r="M18" s="18"/>
      <c r="N18" s="18"/>
      <c r="O18" s="21" t="e">
        <f>#REF!</f>
        <v>#REF!</v>
      </c>
      <c r="P18" s="18"/>
      <c r="Q18" s="18"/>
      <c r="R18" s="22" t="e">
        <f>C18+F18+I18+L18+O18</f>
        <v>#REF!</v>
      </c>
      <c r="S18" s="96" t="e">
        <f>#REF!</f>
        <v>#REF!</v>
      </c>
      <c r="T18" s="42"/>
      <c r="U18" s="9"/>
      <c r="V18" s="5" t="e">
        <f>IF(S18=0,"hide","show")</f>
        <v>#REF!</v>
      </c>
    </row>
    <row r="19" spans="1:22" s="5" customFormat="1">
      <c r="A19" s="39"/>
      <c r="B19" s="943"/>
      <c r="C19" s="22"/>
      <c r="D19" s="41"/>
      <c r="E19" s="41"/>
      <c r="F19" s="21"/>
      <c r="G19" s="41"/>
      <c r="H19" s="41"/>
      <c r="I19" s="21"/>
      <c r="J19" s="41"/>
      <c r="K19" s="41"/>
      <c r="L19" s="21"/>
      <c r="M19" s="41"/>
      <c r="N19" s="41"/>
      <c r="O19" s="21"/>
      <c r="P19" s="23"/>
      <c r="Q19" s="23"/>
      <c r="R19" s="22"/>
      <c r="S19" s="96"/>
      <c r="T19" s="42"/>
      <c r="U19" s="9"/>
      <c r="V19" s="104" t="e">
        <f>IF(SUM(S20:S110)=0,"hide","show")</f>
        <v>#REF!</v>
      </c>
    </row>
    <row r="20" spans="1:22" s="5" customFormat="1" ht="15">
      <c r="A20" s="942" t="e">
        <f>#REF!</f>
        <v>#REF!</v>
      </c>
      <c r="B20" s="316"/>
      <c r="C20" s="22"/>
      <c r="D20" s="23"/>
      <c r="E20" s="23"/>
      <c r="F20" s="21"/>
      <c r="G20" s="23"/>
      <c r="H20" s="23"/>
      <c r="I20" s="21"/>
      <c r="J20" s="23"/>
      <c r="K20" s="23"/>
      <c r="L20" s="21"/>
      <c r="M20" s="23"/>
      <c r="N20" s="23"/>
      <c r="O20" s="21"/>
      <c r="P20" s="23"/>
      <c r="Q20" s="23"/>
      <c r="R20" s="22"/>
      <c r="S20" s="96"/>
      <c r="T20" s="42"/>
      <c r="U20" s="9"/>
      <c r="V20" s="5" t="e">
        <f>IF(SUM(S21:S25)=0,"hide","show")</f>
        <v>#REF!</v>
      </c>
    </row>
    <row r="21" spans="1:22" s="5" customFormat="1">
      <c r="A21" s="375" t="e">
        <f>#REF!</f>
        <v>#REF!</v>
      </c>
      <c r="B21" s="943" t="s">
        <v>355</v>
      </c>
      <c r="C21" s="22" t="e">
        <f>#REF!</f>
        <v>#REF!</v>
      </c>
      <c r="D21" s="18"/>
      <c r="E21" s="18"/>
      <c r="F21" s="21" t="e">
        <f>#REF!</f>
        <v>#REF!</v>
      </c>
      <c r="G21" s="18"/>
      <c r="H21" s="18"/>
      <c r="I21" s="21" t="e">
        <f>#REF!</f>
        <v>#REF!</v>
      </c>
      <c r="J21" s="18"/>
      <c r="K21" s="18"/>
      <c r="L21" s="21" t="e">
        <f>#REF!</f>
        <v>#REF!</v>
      </c>
      <c r="M21" s="18"/>
      <c r="N21" s="18"/>
      <c r="O21" s="21" t="e">
        <f>#REF!</f>
        <v>#REF!</v>
      </c>
      <c r="P21" s="18"/>
      <c r="Q21" s="18"/>
      <c r="R21" s="22" t="e">
        <f>C21+F21+I21+L21+O21</f>
        <v>#REF!</v>
      </c>
      <c r="S21" s="96" t="e">
        <f>#REF!</f>
        <v>#REF!</v>
      </c>
      <c r="T21" s="42"/>
      <c r="U21" s="9"/>
      <c r="V21" s="5" t="e">
        <f>IF(S21=0,"hide","show")</f>
        <v>#REF!</v>
      </c>
    </row>
    <row r="22" spans="1:22" s="5" customFormat="1">
      <c r="A22" s="375" t="e">
        <f>#REF!</f>
        <v>#REF!</v>
      </c>
      <c r="B22" s="943" t="s">
        <v>355</v>
      </c>
      <c r="C22" s="22" t="e">
        <f>#REF!</f>
        <v>#REF!</v>
      </c>
      <c r="D22" s="18"/>
      <c r="E22" s="18"/>
      <c r="F22" s="21" t="e">
        <f>#REF!</f>
        <v>#REF!</v>
      </c>
      <c r="G22" s="18"/>
      <c r="H22" s="18"/>
      <c r="I22" s="21" t="e">
        <f>#REF!</f>
        <v>#REF!</v>
      </c>
      <c r="J22" s="18"/>
      <c r="K22" s="18"/>
      <c r="L22" s="21" t="e">
        <f>#REF!</f>
        <v>#REF!</v>
      </c>
      <c r="M22" s="18"/>
      <c r="N22" s="18"/>
      <c r="O22" s="21" t="e">
        <f>#REF!</f>
        <v>#REF!</v>
      </c>
      <c r="P22" s="18"/>
      <c r="Q22" s="18"/>
      <c r="R22" s="22" t="e">
        <f>C22+F22+I22+L22+O22</f>
        <v>#REF!</v>
      </c>
      <c r="S22" s="96" t="e">
        <f>#REF!</f>
        <v>#REF!</v>
      </c>
      <c r="T22" s="42"/>
      <c r="U22" s="9"/>
      <c r="V22" s="5" t="e">
        <f>IF(S22=0,"hide","show")</f>
        <v>#REF!</v>
      </c>
    </row>
    <row r="23" spans="1:22" s="5" customFormat="1">
      <c r="A23" s="375" t="e">
        <f>#REF!</f>
        <v>#REF!</v>
      </c>
      <c r="B23" s="943" t="s">
        <v>355</v>
      </c>
      <c r="C23" s="22" t="e">
        <f>#REF!</f>
        <v>#REF!</v>
      </c>
      <c r="D23" s="18"/>
      <c r="E23" s="18"/>
      <c r="F23" s="21" t="e">
        <f>#REF!</f>
        <v>#REF!</v>
      </c>
      <c r="G23" s="18"/>
      <c r="H23" s="18"/>
      <c r="I23" s="21" t="e">
        <f>#REF!</f>
        <v>#REF!</v>
      </c>
      <c r="J23" s="18"/>
      <c r="K23" s="18"/>
      <c r="L23" s="21" t="e">
        <f>#REF!</f>
        <v>#REF!</v>
      </c>
      <c r="M23" s="18"/>
      <c r="N23" s="18"/>
      <c r="O23" s="21" t="e">
        <f>#REF!</f>
        <v>#REF!</v>
      </c>
      <c r="P23" s="18"/>
      <c r="Q23" s="18"/>
      <c r="R23" s="22" t="e">
        <f>C23+F23+I23+L23+O23</f>
        <v>#REF!</v>
      </c>
      <c r="S23" s="96" t="e">
        <f>#REF!</f>
        <v>#REF!</v>
      </c>
      <c r="T23" s="42"/>
      <c r="U23" s="9"/>
      <c r="V23" s="5" t="e">
        <f>IF(S23=0,"hide","show")</f>
        <v>#REF!</v>
      </c>
    </row>
    <row r="24" spans="1:22" s="5" customFormat="1">
      <c r="A24" s="375" t="e">
        <f>#REF!</f>
        <v>#REF!</v>
      </c>
      <c r="B24" s="943" t="s">
        <v>355</v>
      </c>
      <c r="C24" s="22" t="e">
        <f>#REF!</f>
        <v>#REF!</v>
      </c>
      <c r="D24" s="18"/>
      <c r="E24" s="18"/>
      <c r="F24" s="21" t="e">
        <f>#REF!</f>
        <v>#REF!</v>
      </c>
      <c r="G24" s="18"/>
      <c r="H24" s="18"/>
      <c r="I24" s="21" t="e">
        <f>#REF!</f>
        <v>#REF!</v>
      </c>
      <c r="J24" s="18"/>
      <c r="K24" s="18"/>
      <c r="L24" s="21" t="e">
        <f>#REF!</f>
        <v>#REF!</v>
      </c>
      <c r="M24" s="18"/>
      <c r="N24" s="18"/>
      <c r="O24" s="21" t="e">
        <f>#REF!</f>
        <v>#REF!</v>
      </c>
      <c r="P24" s="18"/>
      <c r="Q24" s="18"/>
      <c r="R24" s="22" t="e">
        <f>C24+F24+I24+L24+O24</f>
        <v>#REF!</v>
      </c>
      <c r="S24" s="96" t="e">
        <f>#REF!</f>
        <v>#REF!</v>
      </c>
      <c r="T24" s="42"/>
      <c r="U24" s="9"/>
      <c r="V24" s="5" t="e">
        <f>IF(S24=0,"hide","show")</f>
        <v>#REF!</v>
      </c>
    </row>
    <row r="25" spans="1:22" s="5" customFormat="1">
      <c r="A25" s="375" t="e">
        <f>#REF!</f>
        <v>#REF!</v>
      </c>
      <c r="B25" s="943" t="s">
        <v>355</v>
      </c>
      <c r="C25" s="22" t="e">
        <f>#REF!</f>
        <v>#REF!</v>
      </c>
      <c r="D25" s="18"/>
      <c r="E25" s="18"/>
      <c r="F25" s="21" t="e">
        <f>#REF!</f>
        <v>#REF!</v>
      </c>
      <c r="G25" s="18"/>
      <c r="H25" s="18"/>
      <c r="I25" s="21" t="e">
        <f>#REF!</f>
        <v>#REF!</v>
      </c>
      <c r="J25" s="18"/>
      <c r="K25" s="18"/>
      <c r="L25" s="21" t="e">
        <f>#REF!</f>
        <v>#REF!</v>
      </c>
      <c r="M25" s="18"/>
      <c r="N25" s="18"/>
      <c r="O25" s="21" t="e">
        <f>#REF!</f>
        <v>#REF!</v>
      </c>
      <c r="P25" s="18"/>
      <c r="Q25" s="18"/>
      <c r="R25" s="22" t="e">
        <f>C25+F25+I25+L25+O25</f>
        <v>#REF!</v>
      </c>
      <c r="S25" s="96" t="e">
        <f>#REF!</f>
        <v>#REF!</v>
      </c>
      <c r="T25" s="42"/>
      <c r="U25" s="9"/>
      <c r="V25" s="5" t="e">
        <f>IF(S25=0,"hide","show")</f>
        <v>#REF!</v>
      </c>
    </row>
    <row r="26" spans="1:22" s="5" customFormat="1">
      <c r="A26" s="39"/>
      <c r="B26" s="943"/>
      <c r="C26" s="22"/>
      <c r="D26" s="41"/>
      <c r="E26" s="41"/>
      <c r="F26" s="21"/>
      <c r="G26" s="41"/>
      <c r="H26" s="41"/>
      <c r="I26" s="21"/>
      <c r="J26" s="41"/>
      <c r="K26" s="41"/>
      <c r="L26" s="21"/>
      <c r="M26" s="41"/>
      <c r="N26" s="41"/>
      <c r="O26" s="21"/>
      <c r="P26" s="23"/>
      <c r="Q26" s="23"/>
      <c r="R26" s="22"/>
      <c r="S26" s="96"/>
      <c r="T26" s="42"/>
      <c r="U26" s="9"/>
      <c r="V26" s="104" t="e">
        <f>IF(SUM(S27:S190)=0,"hide","show")</f>
        <v>#REF!</v>
      </c>
    </row>
    <row r="27" spans="1:22" s="5" customFormat="1" ht="15">
      <c r="A27" s="942" t="e">
        <f>#REF!</f>
        <v>#REF!</v>
      </c>
      <c r="B27" s="943"/>
      <c r="C27" s="22"/>
      <c r="D27" s="41"/>
      <c r="E27" s="41"/>
      <c r="F27" s="21"/>
      <c r="G27" s="41"/>
      <c r="H27" s="41"/>
      <c r="I27" s="21"/>
      <c r="J27" s="41"/>
      <c r="K27" s="41"/>
      <c r="L27" s="21"/>
      <c r="M27" s="41"/>
      <c r="N27" s="41"/>
      <c r="O27" s="21"/>
      <c r="P27" s="23"/>
      <c r="Q27" s="23"/>
      <c r="R27" s="22"/>
      <c r="S27" s="96"/>
      <c r="T27" s="42"/>
      <c r="U27" s="9"/>
      <c r="V27" s="5" t="e">
        <f>IF(SUM(S28:S190)=0,"hide","show")</f>
        <v>#REF!</v>
      </c>
    </row>
    <row r="28" spans="1:22" s="5" customFormat="1" ht="14.1">
      <c r="A28" s="376" t="e">
        <f>#REF!</f>
        <v>#REF!</v>
      </c>
      <c r="B28" s="943"/>
      <c r="C28" s="22"/>
      <c r="D28" s="21"/>
      <c r="E28" s="21"/>
      <c r="F28" s="21"/>
      <c r="G28" s="21"/>
      <c r="H28" s="21"/>
      <c r="I28" s="21"/>
      <c r="J28" s="18"/>
      <c r="K28" s="21"/>
      <c r="L28" s="21"/>
      <c r="M28" s="21"/>
      <c r="N28" s="21"/>
      <c r="O28" s="21"/>
      <c r="P28" s="23"/>
      <c r="Q28" s="23"/>
      <c r="R28" s="22"/>
      <c r="S28" s="96"/>
      <c r="T28" s="42"/>
      <c r="U28" s="9"/>
      <c r="V28" s="5" t="e">
        <f>IF(SUM(S29:S110)=0,"hide","show")</f>
        <v>#REF!</v>
      </c>
    </row>
    <row r="29" spans="1:22" s="5" customFormat="1">
      <c r="A29" s="375" t="e">
        <f>#REF!</f>
        <v>#REF!</v>
      </c>
      <c r="B29" s="943" t="s">
        <v>355</v>
      </c>
      <c r="C29" s="22" t="e">
        <f>#REF!</f>
        <v>#REF!</v>
      </c>
      <c r="D29" s="18"/>
      <c r="E29" s="18"/>
      <c r="F29" s="21" t="e">
        <f>#REF!</f>
        <v>#REF!</v>
      </c>
      <c r="G29" s="18"/>
      <c r="H29" s="18"/>
      <c r="I29" s="21" t="e">
        <f>#REF!</f>
        <v>#REF!</v>
      </c>
      <c r="J29" s="18"/>
      <c r="K29" s="18"/>
      <c r="L29" s="21" t="e">
        <f>#REF!</f>
        <v>#REF!</v>
      </c>
      <c r="M29" s="18"/>
      <c r="N29" s="18"/>
      <c r="O29" s="21" t="e">
        <f>#REF!</f>
        <v>#REF!</v>
      </c>
      <c r="P29" s="18"/>
      <c r="Q29" s="18"/>
      <c r="R29" s="22" t="e">
        <f t="shared" ref="R29:R60" si="0">C29+F29+I29+L29+O29</f>
        <v>#REF!</v>
      </c>
      <c r="S29" s="96" t="e">
        <f>#REF!</f>
        <v>#REF!</v>
      </c>
      <c r="T29" s="42"/>
      <c r="U29" s="9"/>
      <c r="V29" s="5" t="e">
        <f>IF(S29=0,"hide","show")</f>
        <v>#REF!</v>
      </c>
    </row>
    <row r="30" spans="1:22" s="5" customFormat="1">
      <c r="A30" s="375" t="e">
        <f>#REF!</f>
        <v>#REF!</v>
      </c>
      <c r="B30" s="943" t="s">
        <v>355</v>
      </c>
      <c r="C30" s="22" t="e">
        <f>#REF!</f>
        <v>#REF!</v>
      </c>
      <c r="D30" s="18"/>
      <c r="E30" s="18"/>
      <c r="F30" s="21" t="e">
        <f>#REF!</f>
        <v>#REF!</v>
      </c>
      <c r="G30" s="18"/>
      <c r="H30" s="18"/>
      <c r="I30" s="21" t="e">
        <f>#REF!</f>
        <v>#REF!</v>
      </c>
      <c r="J30" s="18"/>
      <c r="K30" s="18"/>
      <c r="L30" s="21" t="e">
        <f>#REF!</f>
        <v>#REF!</v>
      </c>
      <c r="M30" s="18"/>
      <c r="N30" s="18"/>
      <c r="O30" s="21" t="e">
        <f>#REF!</f>
        <v>#REF!</v>
      </c>
      <c r="P30" s="18"/>
      <c r="Q30" s="18"/>
      <c r="R30" s="22" t="e">
        <f t="shared" si="0"/>
        <v>#REF!</v>
      </c>
      <c r="S30" s="96" t="e">
        <f>#REF!</f>
        <v>#REF!</v>
      </c>
      <c r="T30" s="42"/>
      <c r="U30" s="9"/>
      <c r="V30" s="5" t="e">
        <f t="shared" ref="V30:V93" si="1">IF(S30=0,"hide","show")</f>
        <v>#REF!</v>
      </c>
    </row>
    <row r="31" spans="1:22" s="5" customFormat="1">
      <c r="A31" s="375" t="e">
        <f>#REF!</f>
        <v>#REF!</v>
      </c>
      <c r="B31" s="943" t="s">
        <v>355</v>
      </c>
      <c r="C31" s="22" t="e">
        <f>#REF!</f>
        <v>#REF!</v>
      </c>
      <c r="D31" s="18"/>
      <c r="E31" s="18"/>
      <c r="F31" s="21" t="e">
        <f>#REF!</f>
        <v>#REF!</v>
      </c>
      <c r="G31" s="18"/>
      <c r="H31" s="18"/>
      <c r="I31" s="21" t="e">
        <f>#REF!</f>
        <v>#REF!</v>
      </c>
      <c r="J31" s="18"/>
      <c r="K31" s="18"/>
      <c r="L31" s="21" t="e">
        <f>#REF!</f>
        <v>#REF!</v>
      </c>
      <c r="M31" s="18"/>
      <c r="N31" s="18"/>
      <c r="O31" s="21" t="e">
        <f>#REF!</f>
        <v>#REF!</v>
      </c>
      <c r="P31" s="18"/>
      <c r="Q31" s="18"/>
      <c r="R31" s="22" t="e">
        <f t="shared" si="0"/>
        <v>#REF!</v>
      </c>
      <c r="S31" s="96" t="e">
        <f>#REF!</f>
        <v>#REF!</v>
      </c>
      <c r="T31" s="42"/>
      <c r="U31" s="9"/>
      <c r="V31" s="5" t="e">
        <f t="shared" si="1"/>
        <v>#REF!</v>
      </c>
    </row>
    <row r="32" spans="1:22" s="5" customFormat="1">
      <c r="A32" s="375" t="e">
        <f>#REF!</f>
        <v>#REF!</v>
      </c>
      <c r="B32" s="943" t="s">
        <v>355</v>
      </c>
      <c r="C32" s="22" t="e">
        <f>#REF!</f>
        <v>#REF!</v>
      </c>
      <c r="D32" s="18"/>
      <c r="E32" s="18"/>
      <c r="F32" s="21" t="e">
        <f>#REF!</f>
        <v>#REF!</v>
      </c>
      <c r="G32" s="18"/>
      <c r="H32" s="18"/>
      <c r="I32" s="21" t="e">
        <f>#REF!</f>
        <v>#REF!</v>
      </c>
      <c r="J32" s="18"/>
      <c r="K32" s="18"/>
      <c r="L32" s="21" t="e">
        <f>#REF!</f>
        <v>#REF!</v>
      </c>
      <c r="M32" s="18"/>
      <c r="N32" s="18"/>
      <c r="O32" s="21" t="e">
        <f>#REF!</f>
        <v>#REF!</v>
      </c>
      <c r="P32" s="18"/>
      <c r="Q32" s="18"/>
      <c r="R32" s="22" t="e">
        <f t="shared" si="0"/>
        <v>#REF!</v>
      </c>
      <c r="S32" s="96" t="e">
        <f>#REF!</f>
        <v>#REF!</v>
      </c>
      <c r="T32" s="42"/>
      <c r="U32" s="9"/>
      <c r="V32" s="5" t="e">
        <f t="shared" si="1"/>
        <v>#REF!</v>
      </c>
    </row>
    <row r="33" spans="1:22" s="5" customFormat="1">
      <c r="A33" s="375" t="e">
        <f>#REF!</f>
        <v>#REF!</v>
      </c>
      <c r="B33" s="943" t="s">
        <v>355</v>
      </c>
      <c r="C33" s="22" t="e">
        <f>#REF!</f>
        <v>#REF!</v>
      </c>
      <c r="D33" s="18"/>
      <c r="E33" s="18"/>
      <c r="F33" s="21" t="e">
        <f>#REF!</f>
        <v>#REF!</v>
      </c>
      <c r="G33" s="18"/>
      <c r="H33" s="18"/>
      <c r="I33" s="21" t="e">
        <f>#REF!</f>
        <v>#REF!</v>
      </c>
      <c r="J33" s="18"/>
      <c r="K33" s="18"/>
      <c r="L33" s="21" t="e">
        <f>#REF!</f>
        <v>#REF!</v>
      </c>
      <c r="M33" s="18"/>
      <c r="N33" s="18"/>
      <c r="O33" s="21" t="e">
        <f>#REF!</f>
        <v>#REF!</v>
      </c>
      <c r="P33" s="18"/>
      <c r="Q33" s="18"/>
      <c r="R33" s="22" t="e">
        <f t="shared" si="0"/>
        <v>#REF!</v>
      </c>
      <c r="S33" s="96" t="e">
        <f>#REF!</f>
        <v>#REF!</v>
      </c>
      <c r="T33" s="42"/>
      <c r="U33" s="9"/>
      <c r="V33" s="5" t="e">
        <f t="shared" si="1"/>
        <v>#REF!</v>
      </c>
    </row>
    <row r="34" spans="1:22" s="5" customFormat="1">
      <c r="A34" s="375" t="e">
        <f>#REF!</f>
        <v>#REF!</v>
      </c>
      <c r="B34" s="943" t="s">
        <v>355</v>
      </c>
      <c r="C34" s="22" t="e">
        <f>#REF!</f>
        <v>#REF!</v>
      </c>
      <c r="D34" s="18"/>
      <c r="E34" s="18"/>
      <c r="F34" s="21" t="e">
        <f>#REF!</f>
        <v>#REF!</v>
      </c>
      <c r="G34" s="18"/>
      <c r="H34" s="18"/>
      <c r="I34" s="21" t="e">
        <f>#REF!</f>
        <v>#REF!</v>
      </c>
      <c r="J34" s="18"/>
      <c r="K34" s="18"/>
      <c r="L34" s="21" t="e">
        <f>#REF!</f>
        <v>#REF!</v>
      </c>
      <c r="M34" s="18"/>
      <c r="N34" s="18"/>
      <c r="O34" s="21" t="e">
        <f>#REF!</f>
        <v>#REF!</v>
      </c>
      <c r="P34" s="18"/>
      <c r="Q34" s="18"/>
      <c r="R34" s="22" t="e">
        <f t="shared" si="0"/>
        <v>#REF!</v>
      </c>
      <c r="S34" s="96" t="e">
        <f>#REF!</f>
        <v>#REF!</v>
      </c>
      <c r="T34" s="42"/>
      <c r="U34" s="9"/>
      <c r="V34" s="5" t="e">
        <f t="shared" si="1"/>
        <v>#REF!</v>
      </c>
    </row>
    <row r="35" spans="1:22" s="5" customFormat="1">
      <c r="A35" s="375" t="e">
        <f>#REF!</f>
        <v>#REF!</v>
      </c>
      <c r="B35" s="943" t="s">
        <v>355</v>
      </c>
      <c r="C35" s="22" t="e">
        <f>#REF!</f>
        <v>#REF!</v>
      </c>
      <c r="D35" s="18"/>
      <c r="E35" s="18"/>
      <c r="F35" s="21" t="e">
        <f>#REF!</f>
        <v>#REF!</v>
      </c>
      <c r="G35" s="18"/>
      <c r="H35" s="18"/>
      <c r="I35" s="21" t="e">
        <f>#REF!</f>
        <v>#REF!</v>
      </c>
      <c r="J35" s="18"/>
      <c r="K35" s="18"/>
      <c r="L35" s="21" t="e">
        <f>#REF!</f>
        <v>#REF!</v>
      </c>
      <c r="M35" s="18"/>
      <c r="N35" s="18"/>
      <c r="O35" s="21" t="e">
        <f>#REF!</f>
        <v>#REF!</v>
      </c>
      <c r="P35" s="18"/>
      <c r="Q35" s="18"/>
      <c r="R35" s="22" t="e">
        <f t="shared" si="0"/>
        <v>#REF!</v>
      </c>
      <c r="S35" s="96" t="e">
        <f>#REF!</f>
        <v>#REF!</v>
      </c>
      <c r="T35" s="42"/>
      <c r="U35" s="9"/>
      <c r="V35" s="5" t="e">
        <f t="shared" si="1"/>
        <v>#REF!</v>
      </c>
    </row>
    <row r="36" spans="1:22" s="5" customFormat="1">
      <c r="A36" s="375" t="e">
        <f>#REF!</f>
        <v>#REF!</v>
      </c>
      <c r="B36" s="943" t="s">
        <v>355</v>
      </c>
      <c r="C36" s="22" t="e">
        <f>#REF!</f>
        <v>#REF!</v>
      </c>
      <c r="D36" s="18"/>
      <c r="E36" s="18"/>
      <c r="F36" s="21" t="e">
        <f>#REF!</f>
        <v>#REF!</v>
      </c>
      <c r="G36" s="18"/>
      <c r="H36" s="18"/>
      <c r="I36" s="21" t="e">
        <f>#REF!</f>
        <v>#REF!</v>
      </c>
      <c r="J36" s="18"/>
      <c r="K36" s="18"/>
      <c r="L36" s="21" t="e">
        <f>#REF!</f>
        <v>#REF!</v>
      </c>
      <c r="M36" s="18"/>
      <c r="N36" s="18"/>
      <c r="O36" s="21" t="e">
        <f>#REF!</f>
        <v>#REF!</v>
      </c>
      <c r="P36" s="18"/>
      <c r="Q36" s="18"/>
      <c r="R36" s="22" t="e">
        <f t="shared" si="0"/>
        <v>#REF!</v>
      </c>
      <c r="S36" s="96" t="e">
        <f>#REF!</f>
        <v>#REF!</v>
      </c>
      <c r="T36" s="42"/>
      <c r="U36" s="9"/>
      <c r="V36" s="5" t="e">
        <f t="shared" si="1"/>
        <v>#REF!</v>
      </c>
    </row>
    <row r="37" spans="1:22" s="5" customFormat="1">
      <c r="A37" s="375" t="e">
        <f>#REF!</f>
        <v>#REF!</v>
      </c>
      <c r="B37" s="943" t="s">
        <v>355</v>
      </c>
      <c r="C37" s="22" t="e">
        <f>#REF!</f>
        <v>#REF!</v>
      </c>
      <c r="D37" s="18"/>
      <c r="E37" s="18"/>
      <c r="F37" s="21" t="e">
        <f>#REF!</f>
        <v>#REF!</v>
      </c>
      <c r="G37" s="18"/>
      <c r="H37" s="18"/>
      <c r="I37" s="21" t="e">
        <f>#REF!</f>
        <v>#REF!</v>
      </c>
      <c r="J37" s="18"/>
      <c r="K37" s="18"/>
      <c r="L37" s="21" t="e">
        <f>#REF!</f>
        <v>#REF!</v>
      </c>
      <c r="M37" s="18"/>
      <c r="N37" s="18"/>
      <c r="O37" s="21" t="e">
        <f>#REF!</f>
        <v>#REF!</v>
      </c>
      <c r="P37" s="18"/>
      <c r="Q37" s="18"/>
      <c r="R37" s="22" t="e">
        <f t="shared" si="0"/>
        <v>#REF!</v>
      </c>
      <c r="S37" s="96" t="e">
        <f>#REF!</f>
        <v>#REF!</v>
      </c>
      <c r="T37" s="42"/>
      <c r="U37" s="9"/>
      <c r="V37" s="5" t="e">
        <f t="shared" si="1"/>
        <v>#REF!</v>
      </c>
    </row>
    <row r="38" spans="1:22" s="5" customFormat="1">
      <c r="A38" s="375" t="e">
        <f>#REF!</f>
        <v>#REF!</v>
      </c>
      <c r="B38" s="943" t="s">
        <v>355</v>
      </c>
      <c r="C38" s="22" t="e">
        <f>#REF!</f>
        <v>#REF!</v>
      </c>
      <c r="D38" s="18"/>
      <c r="E38" s="18"/>
      <c r="F38" s="21" t="e">
        <f>#REF!</f>
        <v>#REF!</v>
      </c>
      <c r="G38" s="18"/>
      <c r="H38" s="18"/>
      <c r="I38" s="21" t="e">
        <f>#REF!</f>
        <v>#REF!</v>
      </c>
      <c r="J38" s="18"/>
      <c r="K38" s="18"/>
      <c r="L38" s="21" t="e">
        <f>#REF!</f>
        <v>#REF!</v>
      </c>
      <c r="M38" s="18"/>
      <c r="N38" s="18"/>
      <c r="O38" s="21" t="e">
        <f>#REF!</f>
        <v>#REF!</v>
      </c>
      <c r="P38" s="18"/>
      <c r="Q38" s="18"/>
      <c r="R38" s="22" t="e">
        <f t="shared" si="0"/>
        <v>#REF!</v>
      </c>
      <c r="S38" s="96" t="e">
        <f>#REF!</f>
        <v>#REF!</v>
      </c>
      <c r="T38" s="42"/>
      <c r="U38" s="9"/>
      <c r="V38" s="5" t="e">
        <f t="shared" si="1"/>
        <v>#REF!</v>
      </c>
    </row>
    <row r="39" spans="1:22" s="5" customFormat="1">
      <c r="A39" s="375" t="e">
        <f>#REF!</f>
        <v>#REF!</v>
      </c>
      <c r="B39" s="943" t="s">
        <v>355</v>
      </c>
      <c r="C39" s="22" t="e">
        <f>#REF!</f>
        <v>#REF!</v>
      </c>
      <c r="D39" s="18"/>
      <c r="E39" s="18"/>
      <c r="F39" s="21" t="e">
        <f>#REF!</f>
        <v>#REF!</v>
      </c>
      <c r="G39" s="18"/>
      <c r="H39" s="18"/>
      <c r="I39" s="21" t="e">
        <f>#REF!</f>
        <v>#REF!</v>
      </c>
      <c r="J39" s="18"/>
      <c r="K39" s="18"/>
      <c r="L39" s="21" t="e">
        <f>#REF!</f>
        <v>#REF!</v>
      </c>
      <c r="M39" s="18"/>
      <c r="N39" s="18"/>
      <c r="O39" s="21" t="e">
        <f>#REF!</f>
        <v>#REF!</v>
      </c>
      <c r="P39" s="18"/>
      <c r="Q39" s="18"/>
      <c r="R39" s="22" t="e">
        <f t="shared" si="0"/>
        <v>#REF!</v>
      </c>
      <c r="S39" s="96" t="e">
        <f>#REF!</f>
        <v>#REF!</v>
      </c>
      <c r="T39" s="42"/>
      <c r="U39" s="9"/>
      <c r="V39" s="5" t="e">
        <f t="shared" si="1"/>
        <v>#REF!</v>
      </c>
    </row>
    <row r="40" spans="1:22" s="5" customFormat="1">
      <c r="A40" s="375" t="e">
        <f>#REF!</f>
        <v>#REF!</v>
      </c>
      <c r="B40" s="943" t="s">
        <v>355</v>
      </c>
      <c r="C40" s="22" t="e">
        <f>#REF!</f>
        <v>#REF!</v>
      </c>
      <c r="D40" s="18"/>
      <c r="E40" s="18"/>
      <c r="F40" s="21" t="e">
        <f>#REF!</f>
        <v>#REF!</v>
      </c>
      <c r="G40" s="18"/>
      <c r="H40" s="18"/>
      <c r="I40" s="21" t="e">
        <f>#REF!</f>
        <v>#REF!</v>
      </c>
      <c r="J40" s="18"/>
      <c r="K40" s="18"/>
      <c r="L40" s="21" t="e">
        <f>#REF!</f>
        <v>#REF!</v>
      </c>
      <c r="M40" s="18"/>
      <c r="N40" s="18"/>
      <c r="O40" s="21" t="e">
        <f>#REF!</f>
        <v>#REF!</v>
      </c>
      <c r="P40" s="18"/>
      <c r="Q40" s="18"/>
      <c r="R40" s="22" t="e">
        <f t="shared" si="0"/>
        <v>#REF!</v>
      </c>
      <c r="S40" s="96" t="e">
        <f>#REF!</f>
        <v>#REF!</v>
      </c>
      <c r="T40" s="42"/>
      <c r="U40" s="9"/>
      <c r="V40" s="5" t="e">
        <f t="shared" si="1"/>
        <v>#REF!</v>
      </c>
    </row>
    <row r="41" spans="1:22" s="5" customFormat="1">
      <c r="A41" s="375" t="e">
        <f>#REF!</f>
        <v>#REF!</v>
      </c>
      <c r="B41" s="943" t="s">
        <v>355</v>
      </c>
      <c r="C41" s="22" t="e">
        <f>#REF!</f>
        <v>#REF!</v>
      </c>
      <c r="D41" s="18"/>
      <c r="E41" s="18"/>
      <c r="F41" s="21" t="e">
        <f>#REF!</f>
        <v>#REF!</v>
      </c>
      <c r="G41" s="18"/>
      <c r="H41" s="18"/>
      <c r="I41" s="21" t="e">
        <f>#REF!</f>
        <v>#REF!</v>
      </c>
      <c r="J41" s="18"/>
      <c r="K41" s="18"/>
      <c r="L41" s="21" t="e">
        <f>#REF!</f>
        <v>#REF!</v>
      </c>
      <c r="M41" s="18"/>
      <c r="N41" s="18"/>
      <c r="O41" s="21" t="e">
        <f>#REF!</f>
        <v>#REF!</v>
      </c>
      <c r="P41" s="18"/>
      <c r="Q41" s="18"/>
      <c r="R41" s="22" t="e">
        <f t="shared" si="0"/>
        <v>#REF!</v>
      </c>
      <c r="S41" s="96" t="e">
        <f>#REF!</f>
        <v>#REF!</v>
      </c>
      <c r="T41" s="42"/>
      <c r="U41" s="9"/>
      <c r="V41" s="5" t="e">
        <f t="shared" si="1"/>
        <v>#REF!</v>
      </c>
    </row>
    <row r="42" spans="1:22" s="5" customFormat="1">
      <c r="A42" s="375" t="e">
        <f>#REF!</f>
        <v>#REF!</v>
      </c>
      <c r="B42" s="943" t="s">
        <v>355</v>
      </c>
      <c r="C42" s="22" t="e">
        <f>#REF!</f>
        <v>#REF!</v>
      </c>
      <c r="D42" s="18"/>
      <c r="E42" s="18"/>
      <c r="F42" s="21" t="e">
        <f>#REF!</f>
        <v>#REF!</v>
      </c>
      <c r="G42" s="18"/>
      <c r="H42" s="18"/>
      <c r="I42" s="21" t="e">
        <f>#REF!</f>
        <v>#REF!</v>
      </c>
      <c r="J42" s="18"/>
      <c r="K42" s="18"/>
      <c r="L42" s="21" t="e">
        <f>#REF!</f>
        <v>#REF!</v>
      </c>
      <c r="M42" s="18"/>
      <c r="N42" s="18"/>
      <c r="O42" s="21" t="e">
        <f>#REF!</f>
        <v>#REF!</v>
      </c>
      <c r="P42" s="18"/>
      <c r="Q42" s="18"/>
      <c r="R42" s="22" t="e">
        <f t="shared" si="0"/>
        <v>#REF!</v>
      </c>
      <c r="S42" s="96" t="e">
        <f>#REF!</f>
        <v>#REF!</v>
      </c>
      <c r="T42" s="42"/>
      <c r="U42" s="9"/>
      <c r="V42" s="5" t="e">
        <f t="shared" si="1"/>
        <v>#REF!</v>
      </c>
    </row>
    <row r="43" spans="1:22" s="5" customFormat="1">
      <c r="A43" s="375" t="e">
        <f>#REF!</f>
        <v>#REF!</v>
      </c>
      <c r="B43" s="943" t="s">
        <v>355</v>
      </c>
      <c r="C43" s="22" t="e">
        <f>#REF!</f>
        <v>#REF!</v>
      </c>
      <c r="D43" s="18"/>
      <c r="E43" s="18"/>
      <c r="F43" s="21" t="e">
        <f>#REF!</f>
        <v>#REF!</v>
      </c>
      <c r="G43" s="18"/>
      <c r="H43" s="18"/>
      <c r="I43" s="21" t="e">
        <f>#REF!</f>
        <v>#REF!</v>
      </c>
      <c r="J43" s="18"/>
      <c r="K43" s="18"/>
      <c r="L43" s="21" t="e">
        <f>#REF!</f>
        <v>#REF!</v>
      </c>
      <c r="M43" s="18"/>
      <c r="N43" s="18"/>
      <c r="O43" s="21" t="e">
        <f>#REF!</f>
        <v>#REF!</v>
      </c>
      <c r="P43" s="18"/>
      <c r="Q43" s="18"/>
      <c r="R43" s="22" t="e">
        <f t="shared" si="0"/>
        <v>#REF!</v>
      </c>
      <c r="S43" s="96" t="e">
        <f>#REF!</f>
        <v>#REF!</v>
      </c>
      <c r="T43" s="42"/>
      <c r="U43" s="9"/>
      <c r="V43" s="5" t="e">
        <f t="shared" si="1"/>
        <v>#REF!</v>
      </c>
    </row>
    <row r="44" spans="1:22" s="5" customFormat="1">
      <c r="A44" s="375" t="e">
        <f>#REF!</f>
        <v>#REF!</v>
      </c>
      <c r="B44" s="943" t="s">
        <v>355</v>
      </c>
      <c r="C44" s="22" t="e">
        <f>#REF!</f>
        <v>#REF!</v>
      </c>
      <c r="D44" s="18"/>
      <c r="E44" s="18"/>
      <c r="F44" s="21" t="e">
        <f>#REF!</f>
        <v>#REF!</v>
      </c>
      <c r="G44" s="18"/>
      <c r="H44" s="18"/>
      <c r="I44" s="21" t="e">
        <f>#REF!</f>
        <v>#REF!</v>
      </c>
      <c r="J44" s="18"/>
      <c r="K44" s="18"/>
      <c r="L44" s="21" t="e">
        <f>#REF!</f>
        <v>#REF!</v>
      </c>
      <c r="M44" s="18"/>
      <c r="N44" s="18"/>
      <c r="O44" s="21" t="e">
        <f>#REF!</f>
        <v>#REF!</v>
      </c>
      <c r="P44" s="18"/>
      <c r="Q44" s="18"/>
      <c r="R44" s="22" t="e">
        <f t="shared" si="0"/>
        <v>#REF!</v>
      </c>
      <c r="S44" s="96" t="e">
        <f>#REF!</f>
        <v>#REF!</v>
      </c>
      <c r="T44" s="42"/>
      <c r="U44" s="9"/>
      <c r="V44" s="5" t="e">
        <f t="shared" si="1"/>
        <v>#REF!</v>
      </c>
    </row>
    <row r="45" spans="1:22" s="5" customFormat="1">
      <c r="A45" s="375" t="e">
        <f>#REF!</f>
        <v>#REF!</v>
      </c>
      <c r="B45" s="943" t="s">
        <v>355</v>
      </c>
      <c r="C45" s="22" t="e">
        <f>#REF!</f>
        <v>#REF!</v>
      </c>
      <c r="D45" s="18"/>
      <c r="E45" s="18"/>
      <c r="F45" s="21" t="e">
        <f>#REF!</f>
        <v>#REF!</v>
      </c>
      <c r="G45" s="18"/>
      <c r="H45" s="18"/>
      <c r="I45" s="21" t="e">
        <f>#REF!</f>
        <v>#REF!</v>
      </c>
      <c r="J45" s="18"/>
      <c r="K45" s="18"/>
      <c r="L45" s="21" t="e">
        <f>#REF!</f>
        <v>#REF!</v>
      </c>
      <c r="M45" s="18"/>
      <c r="N45" s="18"/>
      <c r="O45" s="21" t="e">
        <f>#REF!</f>
        <v>#REF!</v>
      </c>
      <c r="P45" s="18"/>
      <c r="Q45" s="18"/>
      <c r="R45" s="22" t="e">
        <f t="shared" si="0"/>
        <v>#REF!</v>
      </c>
      <c r="S45" s="96" t="e">
        <f>#REF!</f>
        <v>#REF!</v>
      </c>
      <c r="T45" s="42"/>
      <c r="U45" s="9"/>
      <c r="V45" s="5" t="e">
        <f t="shared" si="1"/>
        <v>#REF!</v>
      </c>
    </row>
    <row r="46" spans="1:22" s="5" customFormat="1">
      <c r="A46" s="375" t="e">
        <f>#REF!</f>
        <v>#REF!</v>
      </c>
      <c r="B46" s="943" t="s">
        <v>355</v>
      </c>
      <c r="C46" s="22" t="e">
        <f>#REF!</f>
        <v>#REF!</v>
      </c>
      <c r="D46" s="18"/>
      <c r="E46" s="18"/>
      <c r="F46" s="21" t="e">
        <f>#REF!</f>
        <v>#REF!</v>
      </c>
      <c r="G46" s="18"/>
      <c r="H46" s="18"/>
      <c r="I46" s="21" t="e">
        <f>#REF!</f>
        <v>#REF!</v>
      </c>
      <c r="J46" s="18"/>
      <c r="K46" s="18"/>
      <c r="L46" s="21" t="e">
        <f>#REF!</f>
        <v>#REF!</v>
      </c>
      <c r="M46" s="18"/>
      <c r="N46" s="18"/>
      <c r="O46" s="21" t="e">
        <f>#REF!</f>
        <v>#REF!</v>
      </c>
      <c r="P46" s="18"/>
      <c r="Q46" s="18"/>
      <c r="R46" s="22" t="e">
        <f t="shared" si="0"/>
        <v>#REF!</v>
      </c>
      <c r="S46" s="96" t="e">
        <f>#REF!</f>
        <v>#REF!</v>
      </c>
      <c r="T46" s="42"/>
      <c r="U46" s="9"/>
      <c r="V46" s="5" t="e">
        <f t="shared" si="1"/>
        <v>#REF!</v>
      </c>
    </row>
    <row r="47" spans="1:22" s="5" customFormat="1">
      <c r="A47" s="375" t="e">
        <f>#REF!</f>
        <v>#REF!</v>
      </c>
      <c r="B47" s="943" t="s">
        <v>355</v>
      </c>
      <c r="C47" s="22" t="e">
        <f>#REF!</f>
        <v>#REF!</v>
      </c>
      <c r="D47" s="18"/>
      <c r="E47" s="18"/>
      <c r="F47" s="21" t="e">
        <f>#REF!</f>
        <v>#REF!</v>
      </c>
      <c r="G47" s="18"/>
      <c r="H47" s="18"/>
      <c r="I47" s="21" t="e">
        <f>#REF!</f>
        <v>#REF!</v>
      </c>
      <c r="J47" s="18"/>
      <c r="K47" s="18"/>
      <c r="L47" s="21" t="e">
        <f>#REF!</f>
        <v>#REF!</v>
      </c>
      <c r="M47" s="18"/>
      <c r="N47" s="18"/>
      <c r="O47" s="21" t="e">
        <f>#REF!</f>
        <v>#REF!</v>
      </c>
      <c r="P47" s="18"/>
      <c r="Q47" s="18"/>
      <c r="R47" s="22" t="e">
        <f t="shared" si="0"/>
        <v>#REF!</v>
      </c>
      <c r="S47" s="96" t="e">
        <f>#REF!</f>
        <v>#REF!</v>
      </c>
      <c r="T47" s="42"/>
      <c r="U47" s="9"/>
      <c r="V47" s="5" t="e">
        <f t="shared" si="1"/>
        <v>#REF!</v>
      </c>
    </row>
    <row r="48" spans="1:22" s="5" customFormat="1">
      <c r="A48" s="375" t="e">
        <f>#REF!</f>
        <v>#REF!</v>
      </c>
      <c r="B48" s="943" t="s">
        <v>355</v>
      </c>
      <c r="C48" s="22" t="e">
        <f>#REF!</f>
        <v>#REF!</v>
      </c>
      <c r="D48" s="18"/>
      <c r="E48" s="18"/>
      <c r="F48" s="21" t="e">
        <f>#REF!</f>
        <v>#REF!</v>
      </c>
      <c r="G48" s="18"/>
      <c r="H48" s="18"/>
      <c r="I48" s="21" t="e">
        <f>#REF!</f>
        <v>#REF!</v>
      </c>
      <c r="J48" s="18"/>
      <c r="K48" s="18"/>
      <c r="L48" s="21" t="e">
        <f>#REF!</f>
        <v>#REF!</v>
      </c>
      <c r="M48" s="18"/>
      <c r="N48" s="18"/>
      <c r="O48" s="21" t="e">
        <f>#REF!</f>
        <v>#REF!</v>
      </c>
      <c r="P48" s="18"/>
      <c r="Q48" s="18"/>
      <c r="R48" s="22" t="e">
        <f t="shared" si="0"/>
        <v>#REF!</v>
      </c>
      <c r="S48" s="96" t="e">
        <f>#REF!</f>
        <v>#REF!</v>
      </c>
      <c r="T48" s="42"/>
      <c r="U48" s="9"/>
      <c r="V48" s="5" t="e">
        <f t="shared" si="1"/>
        <v>#REF!</v>
      </c>
    </row>
    <row r="49" spans="1:22" s="5" customFormat="1">
      <c r="A49" s="375" t="e">
        <f>#REF!</f>
        <v>#REF!</v>
      </c>
      <c r="B49" s="943" t="s">
        <v>355</v>
      </c>
      <c r="C49" s="22" t="e">
        <f>#REF!</f>
        <v>#REF!</v>
      </c>
      <c r="D49" s="18"/>
      <c r="E49" s="18"/>
      <c r="F49" s="21" t="e">
        <f>#REF!</f>
        <v>#REF!</v>
      </c>
      <c r="G49" s="18"/>
      <c r="H49" s="18"/>
      <c r="I49" s="21" t="e">
        <f>#REF!</f>
        <v>#REF!</v>
      </c>
      <c r="J49" s="18"/>
      <c r="K49" s="18"/>
      <c r="L49" s="21" t="e">
        <f>#REF!</f>
        <v>#REF!</v>
      </c>
      <c r="M49" s="18"/>
      <c r="N49" s="18"/>
      <c r="O49" s="21" t="e">
        <f>#REF!</f>
        <v>#REF!</v>
      </c>
      <c r="P49" s="18"/>
      <c r="Q49" s="18"/>
      <c r="R49" s="22" t="e">
        <f t="shared" si="0"/>
        <v>#REF!</v>
      </c>
      <c r="S49" s="96" t="e">
        <f>#REF!</f>
        <v>#REF!</v>
      </c>
      <c r="T49" s="42"/>
      <c r="U49" s="9"/>
      <c r="V49" s="5" t="e">
        <f t="shared" si="1"/>
        <v>#REF!</v>
      </c>
    </row>
    <row r="50" spans="1:22" s="5" customFormat="1">
      <c r="A50" s="375" t="e">
        <f>#REF!</f>
        <v>#REF!</v>
      </c>
      <c r="B50" s="943" t="s">
        <v>355</v>
      </c>
      <c r="C50" s="22" t="e">
        <f>#REF!</f>
        <v>#REF!</v>
      </c>
      <c r="D50" s="18"/>
      <c r="E50" s="18"/>
      <c r="F50" s="21" t="e">
        <f>#REF!</f>
        <v>#REF!</v>
      </c>
      <c r="G50" s="18"/>
      <c r="H50" s="18"/>
      <c r="I50" s="21" t="e">
        <f>#REF!</f>
        <v>#REF!</v>
      </c>
      <c r="J50" s="18"/>
      <c r="K50" s="18"/>
      <c r="L50" s="21" t="e">
        <f>#REF!</f>
        <v>#REF!</v>
      </c>
      <c r="M50" s="18"/>
      <c r="N50" s="18"/>
      <c r="O50" s="21" t="e">
        <f>#REF!</f>
        <v>#REF!</v>
      </c>
      <c r="P50" s="18"/>
      <c r="Q50" s="18"/>
      <c r="R50" s="22" t="e">
        <f t="shared" si="0"/>
        <v>#REF!</v>
      </c>
      <c r="S50" s="96" t="e">
        <f>#REF!</f>
        <v>#REF!</v>
      </c>
      <c r="T50" s="42"/>
      <c r="U50" s="9"/>
      <c r="V50" s="5" t="e">
        <f t="shared" si="1"/>
        <v>#REF!</v>
      </c>
    </row>
    <row r="51" spans="1:22" s="5" customFormat="1">
      <c r="A51" s="375" t="e">
        <f>#REF!</f>
        <v>#REF!</v>
      </c>
      <c r="B51" s="943" t="s">
        <v>355</v>
      </c>
      <c r="C51" s="22" t="e">
        <f>#REF!</f>
        <v>#REF!</v>
      </c>
      <c r="D51" s="18"/>
      <c r="E51" s="18"/>
      <c r="F51" s="21" t="e">
        <f>#REF!</f>
        <v>#REF!</v>
      </c>
      <c r="G51" s="18"/>
      <c r="H51" s="18"/>
      <c r="I51" s="21" t="e">
        <f>#REF!</f>
        <v>#REF!</v>
      </c>
      <c r="J51" s="18"/>
      <c r="K51" s="18"/>
      <c r="L51" s="21" t="e">
        <f>#REF!</f>
        <v>#REF!</v>
      </c>
      <c r="M51" s="18"/>
      <c r="N51" s="18"/>
      <c r="O51" s="21" t="e">
        <f>#REF!</f>
        <v>#REF!</v>
      </c>
      <c r="P51" s="18"/>
      <c r="Q51" s="18"/>
      <c r="R51" s="22" t="e">
        <f t="shared" si="0"/>
        <v>#REF!</v>
      </c>
      <c r="S51" s="96" t="e">
        <f>#REF!</f>
        <v>#REF!</v>
      </c>
      <c r="T51" s="42"/>
      <c r="U51" s="9"/>
      <c r="V51" s="5" t="e">
        <f t="shared" si="1"/>
        <v>#REF!</v>
      </c>
    </row>
    <row r="52" spans="1:22" s="5" customFormat="1">
      <c r="A52" s="375" t="e">
        <f>#REF!</f>
        <v>#REF!</v>
      </c>
      <c r="B52" s="943" t="s">
        <v>355</v>
      </c>
      <c r="C52" s="22" t="e">
        <f>#REF!</f>
        <v>#REF!</v>
      </c>
      <c r="D52" s="18"/>
      <c r="E52" s="18"/>
      <c r="F52" s="21" t="e">
        <f>#REF!</f>
        <v>#REF!</v>
      </c>
      <c r="G52" s="18"/>
      <c r="H52" s="18"/>
      <c r="I52" s="21" t="e">
        <f>#REF!</f>
        <v>#REF!</v>
      </c>
      <c r="J52" s="18"/>
      <c r="K52" s="18"/>
      <c r="L52" s="21" t="e">
        <f>#REF!</f>
        <v>#REF!</v>
      </c>
      <c r="M52" s="18"/>
      <c r="N52" s="18"/>
      <c r="O52" s="21" t="e">
        <f>#REF!</f>
        <v>#REF!</v>
      </c>
      <c r="P52" s="18"/>
      <c r="Q52" s="18"/>
      <c r="R52" s="22" t="e">
        <f t="shared" si="0"/>
        <v>#REF!</v>
      </c>
      <c r="S52" s="96" t="e">
        <f>#REF!</f>
        <v>#REF!</v>
      </c>
      <c r="T52" s="42"/>
      <c r="U52" s="9"/>
      <c r="V52" s="5" t="e">
        <f t="shared" si="1"/>
        <v>#REF!</v>
      </c>
    </row>
    <row r="53" spans="1:22" s="5" customFormat="1">
      <c r="A53" s="375" t="e">
        <f>#REF!</f>
        <v>#REF!</v>
      </c>
      <c r="B53" s="943" t="s">
        <v>355</v>
      </c>
      <c r="C53" s="22" t="e">
        <f>#REF!</f>
        <v>#REF!</v>
      </c>
      <c r="D53" s="18"/>
      <c r="E53" s="18"/>
      <c r="F53" s="21" t="e">
        <f>#REF!</f>
        <v>#REF!</v>
      </c>
      <c r="G53" s="18"/>
      <c r="H53" s="18"/>
      <c r="I53" s="21" t="e">
        <f>#REF!</f>
        <v>#REF!</v>
      </c>
      <c r="J53" s="18"/>
      <c r="K53" s="18"/>
      <c r="L53" s="21" t="e">
        <f>#REF!</f>
        <v>#REF!</v>
      </c>
      <c r="M53" s="18"/>
      <c r="N53" s="18"/>
      <c r="O53" s="21" t="e">
        <f>#REF!</f>
        <v>#REF!</v>
      </c>
      <c r="P53" s="18"/>
      <c r="Q53" s="18"/>
      <c r="R53" s="22" t="e">
        <f t="shared" si="0"/>
        <v>#REF!</v>
      </c>
      <c r="S53" s="96" t="e">
        <f>#REF!</f>
        <v>#REF!</v>
      </c>
      <c r="T53" s="42"/>
      <c r="U53" s="9"/>
      <c r="V53" s="5" t="e">
        <f t="shared" si="1"/>
        <v>#REF!</v>
      </c>
    </row>
    <row r="54" spans="1:22" s="5" customFormat="1">
      <c r="A54" s="375" t="e">
        <f>#REF!</f>
        <v>#REF!</v>
      </c>
      <c r="B54" s="943" t="s">
        <v>355</v>
      </c>
      <c r="C54" s="22" t="e">
        <f>#REF!</f>
        <v>#REF!</v>
      </c>
      <c r="D54" s="18"/>
      <c r="E54" s="18"/>
      <c r="F54" s="21" t="e">
        <f>#REF!</f>
        <v>#REF!</v>
      </c>
      <c r="G54" s="18"/>
      <c r="H54" s="18"/>
      <c r="I54" s="21" t="e">
        <f>#REF!</f>
        <v>#REF!</v>
      </c>
      <c r="J54" s="18"/>
      <c r="K54" s="18"/>
      <c r="L54" s="21" t="e">
        <f>#REF!</f>
        <v>#REF!</v>
      </c>
      <c r="M54" s="18"/>
      <c r="N54" s="18"/>
      <c r="O54" s="21" t="e">
        <f>#REF!</f>
        <v>#REF!</v>
      </c>
      <c r="P54" s="18"/>
      <c r="Q54" s="18"/>
      <c r="R54" s="22" t="e">
        <f t="shared" si="0"/>
        <v>#REF!</v>
      </c>
      <c r="S54" s="96" t="e">
        <f>#REF!</f>
        <v>#REF!</v>
      </c>
      <c r="T54" s="42"/>
      <c r="U54" s="9"/>
      <c r="V54" s="5" t="e">
        <f t="shared" si="1"/>
        <v>#REF!</v>
      </c>
    </row>
    <row r="55" spans="1:22" s="5" customFormat="1">
      <c r="A55" s="375" t="e">
        <f>#REF!</f>
        <v>#REF!</v>
      </c>
      <c r="B55" s="943" t="s">
        <v>355</v>
      </c>
      <c r="C55" s="22" t="e">
        <f>#REF!</f>
        <v>#REF!</v>
      </c>
      <c r="D55" s="18"/>
      <c r="E55" s="18"/>
      <c r="F55" s="21" t="e">
        <f>#REF!</f>
        <v>#REF!</v>
      </c>
      <c r="G55" s="18"/>
      <c r="H55" s="18"/>
      <c r="I55" s="21" t="e">
        <f>#REF!</f>
        <v>#REF!</v>
      </c>
      <c r="J55" s="18"/>
      <c r="K55" s="18"/>
      <c r="L55" s="21" t="e">
        <f>#REF!</f>
        <v>#REF!</v>
      </c>
      <c r="M55" s="18"/>
      <c r="N55" s="18"/>
      <c r="O55" s="21" t="e">
        <f>#REF!</f>
        <v>#REF!</v>
      </c>
      <c r="P55" s="18"/>
      <c r="Q55" s="18"/>
      <c r="R55" s="22" t="e">
        <f t="shared" si="0"/>
        <v>#REF!</v>
      </c>
      <c r="S55" s="96" t="e">
        <f>#REF!</f>
        <v>#REF!</v>
      </c>
      <c r="T55" s="42"/>
      <c r="U55" s="9"/>
      <c r="V55" s="5" t="e">
        <f t="shared" si="1"/>
        <v>#REF!</v>
      </c>
    </row>
    <row r="56" spans="1:22" s="5" customFormat="1">
      <c r="A56" s="375" t="e">
        <f>#REF!</f>
        <v>#REF!</v>
      </c>
      <c r="B56" s="943" t="s">
        <v>355</v>
      </c>
      <c r="C56" s="22" t="e">
        <f>#REF!</f>
        <v>#REF!</v>
      </c>
      <c r="D56" s="18"/>
      <c r="E56" s="18"/>
      <c r="F56" s="21" t="e">
        <f>#REF!</f>
        <v>#REF!</v>
      </c>
      <c r="G56" s="18"/>
      <c r="H56" s="18"/>
      <c r="I56" s="21" t="e">
        <f>#REF!</f>
        <v>#REF!</v>
      </c>
      <c r="J56" s="18"/>
      <c r="K56" s="18"/>
      <c r="L56" s="21" t="e">
        <f>#REF!</f>
        <v>#REF!</v>
      </c>
      <c r="M56" s="18"/>
      <c r="N56" s="18"/>
      <c r="O56" s="21" t="e">
        <f>#REF!</f>
        <v>#REF!</v>
      </c>
      <c r="P56" s="18"/>
      <c r="Q56" s="18"/>
      <c r="R56" s="22" t="e">
        <f t="shared" si="0"/>
        <v>#REF!</v>
      </c>
      <c r="S56" s="96" t="e">
        <f>#REF!</f>
        <v>#REF!</v>
      </c>
      <c r="T56" s="42"/>
      <c r="U56" s="9"/>
      <c r="V56" s="5" t="e">
        <f t="shared" si="1"/>
        <v>#REF!</v>
      </c>
    </row>
    <row r="57" spans="1:22" s="5" customFormat="1">
      <c r="A57" s="375" t="e">
        <f>#REF!</f>
        <v>#REF!</v>
      </c>
      <c r="B57" s="943" t="s">
        <v>355</v>
      </c>
      <c r="C57" s="22" t="e">
        <f>#REF!</f>
        <v>#REF!</v>
      </c>
      <c r="D57" s="18"/>
      <c r="E57" s="18"/>
      <c r="F57" s="21" t="e">
        <f>#REF!</f>
        <v>#REF!</v>
      </c>
      <c r="G57" s="18"/>
      <c r="H57" s="18"/>
      <c r="I57" s="21" t="e">
        <f>#REF!</f>
        <v>#REF!</v>
      </c>
      <c r="J57" s="18"/>
      <c r="K57" s="18"/>
      <c r="L57" s="21" t="e">
        <f>#REF!</f>
        <v>#REF!</v>
      </c>
      <c r="M57" s="18"/>
      <c r="N57" s="18"/>
      <c r="O57" s="21" t="e">
        <f>#REF!</f>
        <v>#REF!</v>
      </c>
      <c r="P57" s="18"/>
      <c r="Q57" s="18"/>
      <c r="R57" s="22" t="e">
        <f t="shared" si="0"/>
        <v>#REF!</v>
      </c>
      <c r="S57" s="96" t="e">
        <f>#REF!</f>
        <v>#REF!</v>
      </c>
      <c r="T57" s="42"/>
      <c r="U57" s="9"/>
      <c r="V57" s="5" t="e">
        <f t="shared" si="1"/>
        <v>#REF!</v>
      </c>
    </row>
    <row r="58" spans="1:22" s="5" customFormat="1">
      <c r="A58" s="375" t="e">
        <f>#REF!</f>
        <v>#REF!</v>
      </c>
      <c r="B58" s="943" t="s">
        <v>355</v>
      </c>
      <c r="C58" s="22" t="e">
        <f>#REF!</f>
        <v>#REF!</v>
      </c>
      <c r="D58" s="18"/>
      <c r="E58" s="18"/>
      <c r="F58" s="21" t="e">
        <f>#REF!</f>
        <v>#REF!</v>
      </c>
      <c r="G58" s="18"/>
      <c r="H58" s="18"/>
      <c r="I58" s="21" t="e">
        <f>#REF!</f>
        <v>#REF!</v>
      </c>
      <c r="J58" s="18"/>
      <c r="K58" s="18"/>
      <c r="L58" s="21" t="e">
        <f>#REF!</f>
        <v>#REF!</v>
      </c>
      <c r="M58" s="18"/>
      <c r="N58" s="18"/>
      <c r="O58" s="21" t="e">
        <f>#REF!</f>
        <v>#REF!</v>
      </c>
      <c r="P58" s="18"/>
      <c r="Q58" s="18"/>
      <c r="R58" s="22" t="e">
        <f t="shared" si="0"/>
        <v>#REF!</v>
      </c>
      <c r="S58" s="96" t="e">
        <f>#REF!</f>
        <v>#REF!</v>
      </c>
      <c r="T58" s="42"/>
      <c r="U58" s="9"/>
      <c r="V58" s="5" t="e">
        <f t="shared" si="1"/>
        <v>#REF!</v>
      </c>
    </row>
    <row r="59" spans="1:22" s="5" customFormat="1">
      <c r="A59" s="375" t="e">
        <f>#REF!</f>
        <v>#REF!</v>
      </c>
      <c r="B59" s="943" t="s">
        <v>355</v>
      </c>
      <c r="C59" s="22" t="e">
        <f>#REF!</f>
        <v>#REF!</v>
      </c>
      <c r="D59" s="18"/>
      <c r="E59" s="18"/>
      <c r="F59" s="21" t="e">
        <f>#REF!</f>
        <v>#REF!</v>
      </c>
      <c r="G59" s="18"/>
      <c r="H59" s="18"/>
      <c r="I59" s="21" t="e">
        <f>#REF!</f>
        <v>#REF!</v>
      </c>
      <c r="J59" s="18"/>
      <c r="K59" s="18"/>
      <c r="L59" s="21" t="e">
        <f>#REF!</f>
        <v>#REF!</v>
      </c>
      <c r="M59" s="18"/>
      <c r="N59" s="18"/>
      <c r="O59" s="21" t="e">
        <f>#REF!</f>
        <v>#REF!</v>
      </c>
      <c r="P59" s="18"/>
      <c r="Q59" s="18"/>
      <c r="R59" s="22" t="e">
        <f t="shared" si="0"/>
        <v>#REF!</v>
      </c>
      <c r="S59" s="96" t="e">
        <f>#REF!</f>
        <v>#REF!</v>
      </c>
      <c r="T59" s="42"/>
      <c r="U59" s="9"/>
      <c r="V59" s="5" t="e">
        <f t="shared" si="1"/>
        <v>#REF!</v>
      </c>
    </row>
    <row r="60" spans="1:22" s="5" customFormat="1">
      <c r="A60" s="375" t="e">
        <f>#REF!</f>
        <v>#REF!</v>
      </c>
      <c r="B60" s="943" t="s">
        <v>355</v>
      </c>
      <c r="C60" s="22" t="e">
        <f>#REF!</f>
        <v>#REF!</v>
      </c>
      <c r="D60" s="18"/>
      <c r="E60" s="18"/>
      <c r="F60" s="21" t="e">
        <f>#REF!</f>
        <v>#REF!</v>
      </c>
      <c r="G60" s="18"/>
      <c r="H60" s="18"/>
      <c r="I60" s="21" t="e">
        <f>#REF!</f>
        <v>#REF!</v>
      </c>
      <c r="J60" s="18"/>
      <c r="K60" s="18"/>
      <c r="L60" s="21" t="e">
        <f>#REF!</f>
        <v>#REF!</v>
      </c>
      <c r="M60" s="18"/>
      <c r="N60" s="18"/>
      <c r="O60" s="21" t="e">
        <f>#REF!</f>
        <v>#REF!</v>
      </c>
      <c r="P60" s="18"/>
      <c r="Q60" s="18"/>
      <c r="R60" s="22" t="e">
        <f t="shared" si="0"/>
        <v>#REF!</v>
      </c>
      <c r="S60" s="96" t="e">
        <f>#REF!</f>
        <v>#REF!</v>
      </c>
      <c r="T60" s="42"/>
      <c r="U60" s="9"/>
      <c r="V60" s="5" t="e">
        <f t="shared" si="1"/>
        <v>#REF!</v>
      </c>
    </row>
    <row r="61" spans="1:22" s="5" customFormat="1">
      <c r="A61" s="375" t="e">
        <f>#REF!</f>
        <v>#REF!</v>
      </c>
      <c r="B61" s="943" t="s">
        <v>355</v>
      </c>
      <c r="C61" s="22" t="e">
        <f>#REF!</f>
        <v>#REF!</v>
      </c>
      <c r="D61" s="18"/>
      <c r="E61" s="18"/>
      <c r="F61" s="21" t="e">
        <f>#REF!</f>
        <v>#REF!</v>
      </c>
      <c r="G61" s="18"/>
      <c r="H61" s="18"/>
      <c r="I61" s="21" t="e">
        <f>#REF!</f>
        <v>#REF!</v>
      </c>
      <c r="J61" s="18"/>
      <c r="K61" s="18"/>
      <c r="L61" s="21" t="e">
        <f>#REF!</f>
        <v>#REF!</v>
      </c>
      <c r="M61" s="18"/>
      <c r="N61" s="18"/>
      <c r="O61" s="21" t="e">
        <f>#REF!</f>
        <v>#REF!</v>
      </c>
      <c r="P61" s="18"/>
      <c r="Q61" s="18"/>
      <c r="R61" s="22" t="e">
        <f t="shared" ref="R61:R92" si="2">C61+F61+I61+L61+O61</f>
        <v>#REF!</v>
      </c>
      <c r="S61" s="96" t="e">
        <f>#REF!</f>
        <v>#REF!</v>
      </c>
      <c r="T61" s="42"/>
      <c r="U61" s="9"/>
      <c r="V61" s="5" t="e">
        <f t="shared" si="1"/>
        <v>#REF!</v>
      </c>
    </row>
    <row r="62" spans="1:22" s="5" customFormat="1">
      <c r="A62" s="375" t="e">
        <f>#REF!</f>
        <v>#REF!</v>
      </c>
      <c r="B62" s="943" t="s">
        <v>355</v>
      </c>
      <c r="C62" s="22" t="e">
        <f>#REF!</f>
        <v>#REF!</v>
      </c>
      <c r="D62" s="18"/>
      <c r="E62" s="18"/>
      <c r="F62" s="21" t="e">
        <f>#REF!</f>
        <v>#REF!</v>
      </c>
      <c r="G62" s="18"/>
      <c r="H62" s="18"/>
      <c r="I62" s="21" t="e">
        <f>#REF!</f>
        <v>#REF!</v>
      </c>
      <c r="J62" s="18"/>
      <c r="K62" s="18"/>
      <c r="L62" s="21" t="e">
        <f>#REF!</f>
        <v>#REF!</v>
      </c>
      <c r="M62" s="18"/>
      <c r="N62" s="18"/>
      <c r="O62" s="21" t="e">
        <f>#REF!</f>
        <v>#REF!</v>
      </c>
      <c r="P62" s="18"/>
      <c r="Q62" s="18"/>
      <c r="R62" s="22" t="e">
        <f t="shared" si="2"/>
        <v>#REF!</v>
      </c>
      <c r="S62" s="96" t="e">
        <f>#REF!</f>
        <v>#REF!</v>
      </c>
      <c r="T62" s="42"/>
      <c r="U62" s="9"/>
      <c r="V62" s="5" t="e">
        <f t="shared" si="1"/>
        <v>#REF!</v>
      </c>
    </row>
    <row r="63" spans="1:22" s="5" customFormat="1">
      <c r="A63" s="375" t="e">
        <f>#REF!</f>
        <v>#REF!</v>
      </c>
      <c r="B63" s="943" t="s">
        <v>355</v>
      </c>
      <c r="C63" s="22" t="e">
        <f>#REF!</f>
        <v>#REF!</v>
      </c>
      <c r="D63" s="18"/>
      <c r="E63" s="18"/>
      <c r="F63" s="21" t="e">
        <f>#REF!</f>
        <v>#REF!</v>
      </c>
      <c r="G63" s="18"/>
      <c r="H63" s="18"/>
      <c r="I63" s="21" t="e">
        <f>#REF!</f>
        <v>#REF!</v>
      </c>
      <c r="J63" s="18"/>
      <c r="K63" s="18"/>
      <c r="L63" s="21" t="e">
        <f>#REF!</f>
        <v>#REF!</v>
      </c>
      <c r="M63" s="18"/>
      <c r="N63" s="18"/>
      <c r="O63" s="21" t="e">
        <f>#REF!</f>
        <v>#REF!</v>
      </c>
      <c r="P63" s="18"/>
      <c r="Q63" s="18"/>
      <c r="R63" s="22" t="e">
        <f t="shared" si="2"/>
        <v>#REF!</v>
      </c>
      <c r="S63" s="96" t="e">
        <f>#REF!</f>
        <v>#REF!</v>
      </c>
      <c r="T63" s="42"/>
      <c r="U63" s="9"/>
      <c r="V63" s="5" t="e">
        <f t="shared" si="1"/>
        <v>#REF!</v>
      </c>
    </row>
    <row r="64" spans="1:22" s="5" customFormat="1">
      <c r="A64" s="375" t="e">
        <f>#REF!</f>
        <v>#REF!</v>
      </c>
      <c r="B64" s="943" t="s">
        <v>355</v>
      </c>
      <c r="C64" s="22" t="e">
        <f>#REF!</f>
        <v>#REF!</v>
      </c>
      <c r="D64" s="18"/>
      <c r="E64" s="18"/>
      <c r="F64" s="21" t="e">
        <f>#REF!</f>
        <v>#REF!</v>
      </c>
      <c r="G64" s="18"/>
      <c r="H64" s="18"/>
      <c r="I64" s="21" t="e">
        <f>#REF!</f>
        <v>#REF!</v>
      </c>
      <c r="J64" s="18"/>
      <c r="K64" s="18"/>
      <c r="L64" s="21" t="e">
        <f>#REF!</f>
        <v>#REF!</v>
      </c>
      <c r="M64" s="18"/>
      <c r="N64" s="18"/>
      <c r="O64" s="21" t="e">
        <f>#REF!</f>
        <v>#REF!</v>
      </c>
      <c r="P64" s="18"/>
      <c r="Q64" s="18"/>
      <c r="R64" s="22" t="e">
        <f t="shared" si="2"/>
        <v>#REF!</v>
      </c>
      <c r="S64" s="96" t="e">
        <f>#REF!</f>
        <v>#REF!</v>
      </c>
      <c r="T64" s="42"/>
      <c r="U64" s="9"/>
      <c r="V64" s="5" t="e">
        <f t="shared" si="1"/>
        <v>#REF!</v>
      </c>
    </row>
    <row r="65" spans="1:22" s="5" customFormat="1">
      <c r="A65" s="375" t="e">
        <f>#REF!</f>
        <v>#REF!</v>
      </c>
      <c r="B65" s="943" t="s">
        <v>355</v>
      </c>
      <c r="C65" s="22" t="e">
        <f>#REF!</f>
        <v>#REF!</v>
      </c>
      <c r="D65" s="18"/>
      <c r="E65" s="18"/>
      <c r="F65" s="21" t="e">
        <f>#REF!</f>
        <v>#REF!</v>
      </c>
      <c r="G65" s="18"/>
      <c r="H65" s="18"/>
      <c r="I65" s="21" t="e">
        <f>#REF!</f>
        <v>#REF!</v>
      </c>
      <c r="J65" s="18"/>
      <c r="K65" s="18"/>
      <c r="L65" s="21" t="e">
        <f>#REF!</f>
        <v>#REF!</v>
      </c>
      <c r="M65" s="18"/>
      <c r="N65" s="18"/>
      <c r="O65" s="21" t="e">
        <f>#REF!</f>
        <v>#REF!</v>
      </c>
      <c r="P65" s="18"/>
      <c r="Q65" s="18"/>
      <c r="R65" s="22" t="e">
        <f t="shared" si="2"/>
        <v>#REF!</v>
      </c>
      <c r="S65" s="96" t="e">
        <f>#REF!</f>
        <v>#REF!</v>
      </c>
      <c r="T65" s="42"/>
      <c r="U65" s="9"/>
      <c r="V65" s="5" t="e">
        <f t="shared" si="1"/>
        <v>#REF!</v>
      </c>
    </row>
    <row r="66" spans="1:22" s="5" customFormat="1">
      <c r="A66" s="375" t="e">
        <f>#REF!</f>
        <v>#REF!</v>
      </c>
      <c r="B66" s="943" t="s">
        <v>355</v>
      </c>
      <c r="C66" s="22" t="e">
        <f>#REF!</f>
        <v>#REF!</v>
      </c>
      <c r="D66" s="18"/>
      <c r="E66" s="18"/>
      <c r="F66" s="21" t="e">
        <f>#REF!</f>
        <v>#REF!</v>
      </c>
      <c r="G66" s="18"/>
      <c r="H66" s="18"/>
      <c r="I66" s="21" t="e">
        <f>#REF!</f>
        <v>#REF!</v>
      </c>
      <c r="J66" s="18"/>
      <c r="K66" s="18"/>
      <c r="L66" s="21" t="e">
        <f>#REF!</f>
        <v>#REF!</v>
      </c>
      <c r="M66" s="18"/>
      <c r="N66" s="18"/>
      <c r="O66" s="21" t="e">
        <f>#REF!</f>
        <v>#REF!</v>
      </c>
      <c r="P66" s="18"/>
      <c r="Q66" s="18"/>
      <c r="R66" s="22" t="e">
        <f t="shared" si="2"/>
        <v>#REF!</v>
      </c>
      <c r="S66" s="96" t="e">
        <f>#REF!</f>
        <v>#REF!</v>
      </c>
      <c r="T66" s="42"/>
      <c r="U66" s="9"/>
      <c r="V66" s="5" t="e">
        <f t="shared" si="1"/>
        <v>#REF!</v>
      </c>
    </row>
    <row r="67" spans="1:22" s="5" customFormat="1">
      <c r="A67" s="375" t="e">
        <f>#REF!</f>
        <v>#REF!</v>
      </c>
      <c r="B67" s="943" t="s">
        <v>355</v>
      </c>
      <c r="C67" s="22" t="e">
        <f>#REF!</f>
        <v>#REF!</v>
      </c>
      <c r="D67" s="18"/>
      <c r="E67" s="18"/>
      <c r="F67" s="21" t="e">
        <f>#REF!</f>
        <v>#REF!</v>
      </c>
      <c r="G67" s="18"/>
      <c r="H67" s="18"/>
      <c r="I67" s="21" t="e">
        <f>#REF!</f>
        <v>#REF!</v>
      </c>
      <c r="J67" s="18"/>
      <c r="K67" s="18"/>
      <c r="L67" s="21" t="e">
        <f>#REF!</f>
        <v>#REF!</v>
      </c>
      <c r="M67" s="18"/>
      <c r="N67" s="18"/>
      <c r="O67" s="21" t="e">
        <f>#REF!</f>
        <v>#REF!</v>
      </c>
      <c r="P67" s="18"/>
      <c r="Q67" s="18"/>
      <c r="R67" s="22" t="e">
        <f t="shared" si="2"/>
        <v>#REF!</v>
      </c>
      <c r="S67" s="96" t="e">
        <f>#REF!</f>
        <v>#REF!</v>
      </c>
      <c r="T67" s="42"/>
      <c r="U67" s="9"/>
      <c r="V67" s="5" t="e">
        <f t="shared" si="1"/>
        <v>#REF!</v>
      </c>
    </row>
    <row r="68" spans="1:22" s="5" customFormat="1">
      <c r="A68" s="375" t="e">
        <f>#REF!</f>
        <v>#REF!</v>
      </c>
      <c r="B68" s="943" t="s">
        <v>355</v>
      </c>
      <c r="C68" s="22" t="e">
        <f>#REF!</f>
        <v>#REF!</v>
      </c>
      <c r="D68" s="18"/>
      <c r="E68" s="18"/>
      <c r="F68" s="21" t="e">
        <f>#REF!</f>
        <v>#REF!</v>
      </c>
      <c r="G68" s="18"/>
      <c r="H68" s="18"/>
      <c r="I68" s="21" t="e">
        <f>#REF!</f>
        <v>#REF!</v>
      </c>
      <c r="J68" s="18"/>
      <c r="K68" s="18"/>
      <c r="L68" s="21" t="e">
        <f>#REF!</f>
        <v>#REF!</v>
      </c>
      <c r="M68" s="18"/>
      <c r="N68" s="18"/>
      <c r="O68" s="21" t="e">
        <f>#REF!</f>
        <v>#REF!</v>
      </c>
      <c r="P68" s="18"/>
      <c r="Q68" s="18"/>
      <c r="R68" s="22" t="e">
        <f t="shared" si="2"/>
        <v>#REF!</v>
      </c>
      <c r="S68" s="96" t="e">
        <f>#REF!</f>
        <v>#REF!</v>
      </c>
      <c r="T68" s="42"/>
      <c r="U68" s="9"/>
      <c r="V68" s="5" t="e">
        <f t="shared" si="1"/>
        <v>#REF!</v>
      </c>
    </row>
    <row r="69" spans="1:22" s="5" customFormat="1">
      <c r="A69" s="375" t="e">
        <f>#REF!</f>
        <v>#REF!</v>
      </c>
      <c r="B69" s="943" t="s">
        <v>355</v>
      </c>
      <c r="C69" s="22" t="e">
        <f>#REF!</f>
        <v>#REF!</v>
      </c>
      <c r="D69" s="18"/>
      <c r="E69" s="18"/>
      <c r="F69" s="21" t="e">
        <f>#REF!</f>
        <v>#REF!</v>
      </c>
      <c r="G69" s="18"/>
      <c r="H69" s="18"/>
      <c r="I69" s="21" t="e">
        <f>#REF!</f>
        <v>#REF!</v>
      </c>
      <c r="J69" s="18"/>
      <c r="K69" s="18"/>
      <c r="L69" s="21" t="e">
        <f>#REF!</f>
        <v>#REF!</v>
      </c>
      <c r="M69" s="18"/>
      <c r="N69" s="18"/>
      <c r="O69" s="21" t="e">
        <f>#REF!</f>
        <v>#REF!</v>
      </c>
      <c r="P69" s="18"/>
      <c r="Q69" s="18"/>
      <c r="R69" s="22" t="e">
        <f t="shared" si="2"/>
        <v>#REF!</v>
      </c>
      <c r="S69" s="96" t="e">
        <f>#REF!</f>
        <v>#REF!</v>
      </c>
      <c r="T69" s="42"/>
      <c r="U69" s="9"/>
      <c r="V69" s="5" t="e">
        <f t="shared" si="1"/>
        <v>#REF!</v>
      </c>
    </row>
    <row r="70" spans="1:22" s="5" customFormat="1">
      <c r="A70" s="375" t="e">
        <f>#REF!</f>
        <v>#REF!</v>
      </c>
      <c r="B70" s="943" t="s">
        <v>355</v>
      </c>
      <c r="C70" s="22" t="e">
        <f>#REF!</f>
        <v>#REF!</v>
      </c>
      <c r="D70" s="18"/>
      <c r="E70" s="18"/>
      <c r="F70" s="21" t="e">
        <f>#REF!</f>
        <v>#REF!</v>
      </c>
      <c r="G70" s="18"/>
      <c r="H70" s="18"/>
      <c r="I70" s="21" t="e">
        <f>#REF!</f>
        <v>#REF!</v>
      </c>
      <c r="J70" s="18"/>
      <c r="K70" s="18"/>
      <c r="L70" s="21" t="e">
        <f>#REF!</f>
        <v>#REF!</v>
      </c>
      <c r="M70" s="18"/>
      <c r="N70" s="18"/>
      <c r="O70" s="21" t="e">
        <f>#REF!</f>
        <v>#REF!</v>
      </c>
      <c r="P70" s="18"/>
      <c r="Q70" s="18"/>
      <c r="R70" s="22" t="e">
        <f t="shared" si="2"/>
        <v>#REF!</v>
      </c>
      <c r="S70" s="96" t="e">
        <f>#REF!</f>
        <v>#REF!</v>
      </c>
      <c r="T70" s="42"/>
      <c r="U70" s="9"/>
      <c r="V70" s="5" t="e">
        <f t="shared" si="1"/>
        <v>#REF!</v>
      </c>
    </row>
    <row r="71" spans="1:22" s="5" customFormat="1">
      <c r="A71" s="375" t="e">
        <f>#REF!</f>
        <v>#REF!</v>
      </c>
      <c r="B71" s="943" t="s">
        <v>355</v>
      </c>
      <c r="C71" s="22" t="e">
        <f>#REF!</f>
        <v>#REF!</v>
      </c>
      <c r="D71" s="18"/>
      <c r="E71" s="18"/>
      <c r="F71" s="21" t="e">
        <f>#REF!</f>
        <v>#REF!</v>
      </c>
      <c r="G71" s="18"/>
      <c r="H71" s="18"/>
      <c r="I71" s="21" t="e">
        <f>#REF!</f>
        <v>#REF!</v>
      </c>
      <c r="J71" s="18"/>
      <c r="K71" s="18"/>
      <c r="L71" s="21" t="e">
        <f>#REF!</f>
        <v>#REF!</v>
      </c>
      <c r="M71" s="18"/>
      <c r="N71" s="18"/>
      <c r="O71" s="21" t="e">
        <f>#REF!</f>
        <v>#REF!</v>
      </c>
      <c r="P71" s="18"/>
      <c r="Q71" s="18"/>
      <c r="R71" s="22" t="e">
        <f t="shared" si="2"/>
        <v>#REF!</v>
      </c>
      <c r="S71" s="96" t="e">
        <f>#REF!</f>
        <v>#REF!</v>
      </c>
      <c r="T71" s="42"/>
      <c r="U71" s="9"/>
      <c r="V71" s="5" t="e">
        <f t="shared" si="1"/>
        <v>#REF!</v>
      </c>
    </row>
    <row r="72" spans="1:22" s="5" customFormat="1">
      <c r="A72" s="375" t="e">
        <f>#REF!</f>
        <v>#REF!</v>
      </c>
      <c r="B72" s="943" t="s">
        <v>355</v>
      </c>
      <c r="C72" s="22" t="e">
        <f>#REF!</f>
        <v>#REF!</v>
      </c>
      <c r="D72" s="18"/>
      <c r="E72" s="18"/>
      <c r="F72" s="21" t="e">
        <f>#REF!</f>
        <v>#REF!</v>
      </c>
      <c r="G72" s="18"/>
      <c r="H72" s="18"/>
      <c r="I72" s="21" t="e">
        <f>#REF!</f>
        <v>#REF!</v>
      </c>
      <c r="J72" s="18"/>
      <c r="K72" s="18"/>
      <c r="L72" s="21" t="e">
        <f>#REF!</f>
        <v>#REF!</v>
      </c>
      <c r="M72" s="18"/>
      <c r="N72" s="18"/>
      <c r="O72" s="21" t="e">
        <f>#REF!</f>
        <v>#REF!</v>
      </c>
      <c r="P72" s="18"/>
      <c r="Q72" s="18"/>
      <c r="R72" s="22" t="e">
        <f t="shared" si="2"/>
        <v>#REF!</v>
      </c>
      <c r="S72" s="96" t="e">
        <f>#REF!</f>
        <v>#REF!</v>
      </c>
      <c r="T72" s="42"/>
      <c r="U72" s="9"/>
      <c r="V72" s="5" t="e">
        <f t="shared" si="1"/>
        <v>#REF!</v>
      </c>
    </row>
    <row r="73" spans="1:22" s="5" customFormat="1">
      <c r="A73" s="375" t="e">
        <f>#REF!</f>
        <v>#REF!</v>
      </c>
      <c r="B73" s="943" t="s">
        <v>355</v>
      </c>
      <c r="C73" s="22" t="e">
        <f>#REF!</f>
        <v>#REF!</v>
      </c>
      <c r="D73" s="18"/>
      <c r="E73" s="18"/>
      <c r="F73" s="21" t="e">
        <f>#REF!</f>
        <v>#REF!</v>
      </c>
      <c r="G73" s="18"/>
      <c r="H73" s="18"/>
      <c r="I73" s="21" t="e">
        <f>#REF!</f>
        <v>#REF!</v>
      </c>
      <c r="J73" s="18"/>
      <c r="K73" s="18"/>
      <c r="L73" s="21" t="e">
        <f>#REF!</f>
        <v>#REF!</v>
      </c>
      <c r="M73" s="18"/>
      <c r="N73" s="18"/>
      <c r="O73" s="21" t="e">
        <f>#REF!</f>
        <v>#REF!</v>
      </c>
      <c r="P73" s="18"/>
      <c r="Q73" s="18"/>
      <c r="R73" s="22" t="e">
        <f t="shared" si="2"/>
        <v>#REF!</v>
      </c>
      <c r="S73" s="96" t="e">
        <f>#REF!</f>
        <v>#REF!</v>
      </c>
      <c r="T73" s="42"/>
      <c r="U73" s="9"/>
      <c r="V73" s="5" t="e">
        <f t="shared" si="1"/>
        <v>#REF!</v>
      </c>
    </row>
    <row r="74" spans="1:22" s="5" customFormat="1">
      <c r="A74" s="375" t="e">
        <f>#REF!</f>
        <v>#REF!</v>
      </c>
      <c r="B74" s="943" t="s">
        <v>355</v>
      </c>
      <c r="C74" s="22" t="e">
        <f>#REF!</f>
        <v>#REF!</v>
      </c>
      <c r="D74" s="18"/>
      <c r="E74" s="18"/>
      <c r="F74" s="21" t="e">
        <f>#REF!</f>
        <v>#REF!</v>
      </c>
      <c r="G74" s="18"/>
      <c r="H74" s="18"/>
      <c r="I74" s="21" t="e">
        <f>#REF!</f>
        <v>#REF!</v>
      </c>
      <c r="J74" s="18"/>
      <c r="K74" s="18"/>
      <c r="L74" s="21" t="e">
        <f>#REF!</f>
        <v>#REF!</v>
      </c>
      <c r="M74" s="18"/>
      <c r="N74" s="18"/>
      <c r="O74" s="21" t="e">
        <f>#REF!</f>
        <v>#REF!</v>
      </c>
      <c r="P74" s="18"/>
      <c r="Q74" s="18"/>
      <c r="R74" s="22" t="e">
        <f t="shared" si="2"/>
        <v>#REF!</v>
      </c>
      <c r="S74" s="96" t="e">
        <f>#REF!</f>
        <v>#REF!</v>
      </c>
      <c r="T74" s="42"/>
      <c r="U74" s="9"/>
      <c r="V74" s="5" t="e">
        <f t="shared" si="1"/>
        <v>#REF!</v>
      </c>
    </row>
    <row r="75" spans="1:22" s="5" customFormat="1">
      <c r="A75" s="375" t="e">
        <f>#REF!</f>
        <v>#REF!</v>
      </c>
      <c r="B75" s="943" t="s">
        <v>355</v>
      </c>
      <c r="C75" s="22" t="e">
        <f>#REF!</f>
        <v>#REF!</v>
      </c>
      <c r="D75" s="18"/>
      <c r="E75" s="18"/>
      <c r="F75" s="21" t="e">
        <f>#REF!</f>
        <v>#REF!</v>
      </c>
      <c r="G75" s="18"/>
      <c r="H75" s="18"/>
      <c r="I75" s="21" t="e">
        <f>#REF!</f>
        <v>#REF!</v>
      </c>
      <c r="J75" s="18"/>
      <c r="K75" s="18"/>
      <c r="L75" s="21" t="e">
        <f>#REF!</f>
        <v>#REF!</v>
      </c>
      <c r="M75" s="18"/>
      <c r="N75" s="18"/>
      <c r="O75" s="21" t="e">
        <f>#REF!</f>
        <v>#REF!</v>
      </c>
      <c r="P75" s="18"/>
      <c r="Q75" s="18"/>
      <c r="R75" s="22" t="e">
        <f t="shared" si="2"/>
        <v>#REF!</v>
      </c>
      <c r="S75" s="96" t="e">
        <f>#REF!</f>
        <v>#REF!</v>
      </c>
      <c r="T75" s="42"/>
      <c r="U75" s="9"/>
      <c r="V75" s="5" t="e">
        <f t="shared" si="1"/>
        <v>#REF!</v>
      </c>
    </row>
    <row r="76" spans="1:22" s="5" customFormat="1">
      <c r="A76" s="375" t="e">
        <f>#REF!</f>
        <v>#REF!</v>
      </c>
      <c r="B76" s="943" t="s">
        <v>355</v>
      </c>
      <c r="C76" s="22" t="e">
        <f>#REF!</f>
        <v>#REF!</v>
      </c>
      <c r="D76" s="18"/>
      <c r="E76" s="18"/>
      <c r="F76" s="21" t="e">
        <f>#REF!</f>
        <v>#REF!</v>
      </c>
      <c r="G76" s="18"/>
      <c r="H76" s="18"/>
      <c r="I76" s="21" t="e">
        <f>#REF!</f>
        <v>#REF!</v>
      </c>
      <c r="J76" s="18"/>
      <c r="K76" s="18"/>
      <c r="L76" s="21" t="e">
        <f>#REF!</f>
        <v>#REF!</v>
      </c>
      <c r="M76" s="18"/>
      <c r="N76" s="18"/>
      <c r="O76" s="21" t="e">
        <f>#REF!</f>
        <v>#REF!</v>
      </c>
      <c r="P76" s="18"/>
      <c r="Q76" s="18"/>
      <c r="R76" s="22" t="e">
        <f t="shared" si="2"/>
        <v>#REF!</v>
      </c>
      <c r="S76" s="96" t="e">
        <f>#REF!</f>
        <v>#REF!</v>
      </c>
      <c r="T76" s="42"/>
      <c r="U76" s="9"/>
      <c r="V76" s="5" t="e">
        <f t="shared" si="1"/>
        <v>#REF!</v>
      </c>
    </row>
    <row r="77" spans="1:22" s="5" customFormat="1">
      <c r="A77" s="375" t="e">
        <f>#REF!</f>
        <v>#REF!</v>
      </c>
      <c r="B77" s="943" t="s">
        <v>355</v>
      </c>
      <c r="C77" s="22" t="e">
        <f>#REF!</f>
        <v>#REF!</v>
      </c>
      <c r="D77" s="18"/>
      <c r="E77" s="18"/>
      <c r="F77" s="21" t="e">
        <f>#REF!</f>
        <v>#REF!</v>
      </c>
      <c r="G77" s="18"/>
      <c r="H77" s="18"/>
      <c r="I77" s="21" t="e">
        <f>#REF!</f>
        <v>#REF!</v>
      </c>
      <c r="J77" s="18"/>
      <c r="K77" s="18"/>
      <c r="L77" s="21" t="e">
        <f>#REF!</f>
        <v>#REF!</v>
      </c>
      <c r="M77" s="18"/>
      <c r="N77" s="18"/>
      <c r="O77" s="21" t="e">
        <f>#REF!</f>
        <v>#REF!</v>
      </c>
      <c r="P77" s="18"/>
      <c r="Q77" s="18"/>
      <c r="R77" s="22" t="e">
        <f t="shared" si="2"/>
        <v>#REF!</v>
      </c>
      <c r="S77" s="96" t="e">
        <f>#REF!</f>
        <v>#REF!</v>
      </c>
      <c r="T77" s="42"/>
      <c r="U77" s="9"/>
      <c r="V77" s="5" t="e">
        <f t="shared" si="1"/>
        <v>#REF!</v>
      </c>
    </row>
    <row r="78" spans="1:22" s="5" customFormat="1">
      <c r="A78" s="375" t="e">
        <f>#REF!</f>
        <v>#REF!</v>
      </c>
      <c r="B78" s="943" t="s">
        <v>355</v>
      </c>
      <c r="C78" s="22" t="e">
        <f>#REF!</f>
        <v>#REF!</v>
      </c>
      <c r="D78" s="18"/>
      <c r="E78" s="18"/>
      <c r="F78" s="21" t="e">
        <f>#REF!</f>
        <v>#REF!</v>
      </c>
      <c r="G78" s="18"/>
      <c r="H78" s="18"/>
      <c r="I78" s="21" t="e">
        <f>#REF!</f>
        <v>#REF!</v>
      </c>
      <c r="J78" s="18"/>
      <c r="K78" s="18"/>
      <c r="L78" s="21" t="e">
        <f>#REF!</f>
        <v>#REF!</v>
      </c>
      <c r="M78" s="18"/>
      <c r="N78" s="18"/>
      <c r="O78" s="21" t="e">
        <f>#REF!</f>
        <v>#REF!</v>
      </c>
      <c r="P78" s="18"/>
      <c r="Q78" s="18"/>
      <c r="R78" s="22" t="e">
        <f t="shared" si="2"/>
        <v>#REF!</v>
      </c>
      <c r="S78" s="96" t="e">
        <f>#REF!</f>
        <v>#REF!</v>
      </c>
      <c r="T78" s="42"/>
      <c r="U78" s="9"/>
      <c r="V78" s="5" t="e">
        <f t="shared" si="1"/>
        <v>#REF!</v>
      </c>
    </row>
    <row r="79" spans="1:22" s="5" customFormat="1">
      <c r="A79" s="375" t="e">
        <f>#REF!</f>
        <v>#REF!</v>
      </c>
      <c r="B79" s="943" t="s">
        <v>355</v>
      </c>
      <c r="C79" s="22" t="e">
        <f>#REF!</f>
        <v>#REF!</v>
      </c>
      <c r="D79" s="18"/>
      <c r="E79" s="18"/>
      <c r="F79" s="21" t="e">
        <f>#REF!</f>
        <v>#REF!</v>
      </c>
      <c r="G79" s="18"/>
      <c r="H79" s="18"/>
      <c r="I79" s="21" t="e">
        <f>#REF!</f>
        <v>#REF!</v>
      </c>
      <c r="J79" s="18"/>
      <c r="K79" s="18"/>
      <c r="L79" s="21" t="e">
        <f>#REF!</f>
        <v>#REF!</v>
      </c>
      <c r="M79" s="18"/>
      <c r="N79" s="18"/>
      <c r="O79" s="21" t="e">
        <f>#REF!</f>
        <v>#REF!</v>
      </c>
      <c r="P79" s="18"/>
      <c r="Q79" s="18"/>
      <c r="R79" s="22" t="e">
        <f t="shared" si="2"/>
        <v>#REF!</v>
      </c>
      <c r="S79" s="96" t="e">
        <f>#REF!</f>
        <v>#REF!</v>
      </c>
      <c r="T79" s="42"/>
      <c r="U79" s="9"/>
      <c r="V79" s="5" t="e">
        <f t="shared" si="1"/>
        <v>#REF!</v>
      </c>
    </row>
    <row r="80" spans="1:22" s="5" customFormat="1">
      <c r="A80" s="375" t="e">
        <f>#REF!</f>
        <v>#REF!</v>
      </c>
      <c r="B80" s="943" t="s">
        <v>355</v>
      </c>
      <c r="C80" s="22" t="e">
        <f>#REF!</f>
        <v>#REF!</v>
      </c>
      <c r="D80" s="18"/>
      <c r="E80" s="18"/>
      <c r="F80" s="21" t="e">
        <f>#REF!</f>
        <v>#REF!</v>
      </c>
      <c r="G80" s="18"/>
      <c r="H80" s="18"/>
      <c r="I80" s="21" t="e">
        <f>#REF!</f>
        <v>#REF!</v>
      </c>
      <c r="J80" s="18"/>
      <c r="K80" s="18"/>
      <c r="L80" s="21" t="e">
        <f>#REF!</f>
        <v>#REF!</v>
      </c>
      <c r="M80" s="18"/>
      <c r="N80" s="18"/>
      <c r="O80" s="21" t="e">
        <f>#REF!</f>
        <v>#REF!</v>
      </c>
      <c r="P80" s="18"/>
      <c r="Q80" s="18"/>
      <c r="R80" s="22" t="e">
        <f t="shared" si="2"/>
        <v>#REF!</v>
      </c>
      <c r="S80" s="96" t="e">
        <f>#REF!</f>
        <v>#REF!</v>
      </c>
      <c r="T80" s="42"/>
      <c r="U80" s="9"/>
      <c r="V80" s="5" t="e">
        <f t="shared" si="1"/>
        <v>#REF!</v>
      </c>
    </row>
    <row r="81" spans="1:22" s="5" customFormat="1">
      <c r="A81" s="375" t="e">
        <f>#REF!</f>
        <v>#REF!</v>
      </c>
      <c r="B81" s="943" t="s">
        <v>355</v>
      </c>
      <c r="C81" s="22" t="e">
        <f>#REF!</f>
        <v>#REF!</v>
      </c>
      <c r="D81" s="18"/>
      <c r="E81" s="18"/>
      <c r="F81" s="21" t="e">
        <f>#REF!</f>
        <v>#REF!</v>
      </c>
      <c r="G81" s="18"/>
      <c r="H81" s="18"/>
      <c r="I81" s="21" t="e">
        <f>#REF!</f>
        <v>#REF!</v>
      </c>
      <c r="J81" s="18"/>
      <c r="K81" s="18"/>
      <c r="L81" s="21" t="e">
        <f>#REF!</f>
        <v>#REF!</v>
      </c>
      <c r="M81" s="18"/>
      <c r="N81" s="18"/>
      <c r="O81" s="21" t="e">
        <f>#REF!</f>
        <v>#REF!</v>
      </c>
      <c r="P81" s="18"/>
      <c r="Q81" s="18"/>
      <c r="R81" s="22" t="e">
        <f t="shared" si="2"/>
        <v>#REF!</v>
      </c>
      <c r="S81" s="96" t="e">
        <f>#REF!</f>
        <v>#REF!</v>
      </c>
      <c r="T81" s="42"/>
      <c r="U81" s="9"/>
      <c r="V81" s="5" t="e">
        <f t="shared" si="1"/>
        <v>#REF!</v>
      </c>
    </row>
    <row r="82" spans="1:22" s="5" customFormat="1">
      <c r="A82" s="375" t="e">
        <f>#REF!</f>
        <v>#REF!</v>
      </c>
      <c r="B82" s="943" t="s">
        <v>355</v>
      </c>
      <c r="C82" s="22" t="e">
        <f>#REF!</f>
        <v>#REF!</v>
      </c>
      <c r="D82" s="18"/>
      <c r="E82" s="18"/>
      <c r="F82" s="21" t="e">
        <f>#REF!</f>
        <v>#REF!</v>
      </c>
      <c r="G82" s="18"/>
      <c r="H82" s="18"/>
      <c r="I82" s="21" t="e">
        <f>#REF!</f>
        <v>#REF!</v>
      </c>
      <c r="J82" s="18"/>
      <c r="K82" s="18"/>
      <c r="L82" s="21" t="e">
        <f>#REF!</f>
        <v>#REF!</v>
      </c>
      <c r="M82" s="18"/>
      <c r="N82" s="18"/>
      <c r="O82" s="21" t="e">
        <f>#REF!</f>
        <v>#REF!</v>
      </c>
      <c r="P82" s="18"/>
      <c r="Q82" s="18"/>
      <c r="R82" s="22" t="e">
        <f t="shared" si="2"/>
        <v>#REF!</v>
      </c>
      <c r="S82" s="96" t="e">
        <f>#REF!</f>
        <v>#REF!</v>
      </c>
      <c r="T82" s="42"/>
      <c r="U82" s="9"/>
      <c r="V82" s="5" t="e">
        <f t="shared" si="1"/>
        <v>#REF!</v>
      </c>
    </row>
    <row r="83" spans="1:22" s="5" customFormat="1">
      <c r="A83" s="375" t="e">
        <f>#REF!</f>
        <v>#REF!</v>
      </c>
      <c r="B83" s="943" t="s">
        <v>355</v>
      </c>
      <c r="C83" s="22" t="e">
        <f>#REF!</f>
        <v>#REF!</v>
      </c>
      <c r="D83" s="18"/>
      <c r="E83" s="18"/>
      <c r="F83" s="21" t="e">
        <f>#REF!</f>
        <v>#REF!</v>
      </c>
      <c r="G83" s="18"/>
      <c r="H83" s="18"/>
      <c r="I83" s="21" t="e">
        <f>#REF!</f>
        <v>#REF!</v>
      </c>
      <c r="J83" s="18"/>
      <c r="K83" s="18"/>
      <c r="L83" s="21" t="e">
        <f>#REF!</f>
        <v>#REF!</v>
      </c>
      <c r="M83" s="18"/>
      <c r="N83" s="18"/>
      <c r="O83" s="21" t="e">
        <f>#REF!</f>
        <v>#REF!</v>
      </c>
      <c r="P83" s="18"/>
      <c r="Q83" s="18"/>
      <c r="R83" s="22" t="e">
        <f t="shared" si="2"/>
        <v>#REF!</v>
      </c>
      <c r="S83" s="96" t="e">
        <f>#REF!</f>
        <v>#REF!</v>
      </c>
      <c r="T83" s="42"/>
      <c r="U83" s="9"/>
      <c r="V83" s="5" t="e">
        <f t="shared" si="1"/>
        <v>#REF!</v>
      </c>
    </row>
    <row r="84" spans="1:22" s="5" customFormat="1">
      <c r="A84" s="375" t="e">
        <f>#REF!</f>
        <v>#REF!</v>
      </c>
      <c r="B84" s="943" t="s">
        <v>355</v>
      </c>
      <c r="C84" s="22" t="e">
        <f>#REF!</f>
        <v>#REF!</v>
      </c>
      <c r="D84" s="18"/>
      <c r="E84" s="18"/>
      <c r="F84" s="21" t="e">
        <f>#REF!</f>
        <v>#REF!</v>
      </c>
      <c r="G84" s="18"/>
      <c r="H84" s="18"/>
      <c r="I84" s="21" t="e">
        <f>#REF!</f>
        <v>#REF!</v>
      </c>
      <c r="J84" s="18"/>
      <c r="K84" s="18"/>
      <c r="L84" s="21" t="e">
        <f>#REF!</f>
        <v>#REF!</v>
      </c>
      <c r="M84" s="18"/>
      <c r="N84" s="18"/>
      <c r="O84" s="21" t="e">
        <f>#REF!</f>
        <v>#REF!</v>
      </c>
      <c r="P84" s="18"/>
      <c r="Q84" s="18"/>
      <c r="R84" s="22" t="e">
        <f t="shared" si="2"/>
        <v>#REF!</v>
      </c>
      <c r="S84" s="96" t="e">
        <f>#REF!</f>
        <v>#REF!</v>
      </c>
      <c r="T84" s="42"/>
      <c r="U84" s="9"/>
      <c r="V84" s="5" t="e">
        <f t="shared" si="1"/>
        <v>#REF!</v>
      </c>
    </row>
    <row r="85" spans="1:22" s="5" customFormat="1">
      <c r="A85" s="375" t="e">
        <f>#REF!</f>
        <v>#REF!</v>
      </c>
      <c r="B85" s="943" t="s">
        <v>355</v>
      </c>
      <c r="C85" s="22" t="e">
        <f>#REF!</f>
        <v>#REF!</v>
      </c>
      <c r="D85" s="18"/>
      <c r="E85" s="18"/>
      <c r="F85" s="21" t="e">
        <f>#REF!</f>
        <v>#REF!</v>
      </c>
      <c r="G85" s="18"/>
      <c r="H85" s="18"/>
      <c r="I85" s="21" t="e">
        <f>#REF!</f>
        <v>#REF!</v>
      </c>
      <c r="J85" s="18"/>
      <c r="K85" s="18"/>
      <c r="L85" s="21" t="e">
        <f>#REF!</f>
        <v>#REF!</v>
      </c>
      <c r="M85" s="18"/>
      <c r="N85" s="18"/>
      <c r="O85" s="21" t="e">
        <f>#REF!</f>
        <v>#REF!</v>
      </c>
      <c r="P85" s="18"/>
      <c r="Q85" s="18"/>
      <c r="R85" s="22" t="e">
        <f t="shared" si="2"/>
        <v>#REF!</v>
      </c>
      <c r="S85" s="96" t="e">
        <f>#REF!</f>
        <v>#REF!</v>
      </c>
      <c r="T85" s="42"/>
      <c r="U85" s="9"/>
      <c r="V85" s="5" t="e">
        <f t="shared" si="1"/>
        <v>#REF!</v>
      </c>
    </row>
    <row r="86" spans="1:22" s="5" customFormat="1">
      <c r="A86" s="375" t="e">
        <f>#REF!</f>
        <v>#REF!</v>
      </c>
      <c r="B86" s="943" t="s">
        <v>355</v>
      </c>
      <c r="C86" s="22" t="e">
        <f>#REF!</f>
        <v>#REF!</v>
      </c>
      <c r="D86" s="18"/>
      <c r="E86" s="18"/>
      <c r="F86" s="21" t="e">
        <f>#REF!</f>
        <v>#REF!</v>
      </c>
      <c r="G86" s="18"/>
      <c r="H86" s="18"/>
      <c r="I86" s="21" t="e">
        <f>#REF!</f>
        <v>#REF!</v>
      </c>
      <c r="J86" s="18"/>
      <c r="K86" s="18"/>
      <c r="L86" s="21" t="e">
        <f>#REF!</f>
        <v>#REF!</v>
      </c>
      <c r="M86" s="18"/>
      <c r="N86" s="18"/>
      <c r="O86" s="21" t="e">
        <f>#REF!</f>
        <v>#REF!</v>
      </c>
      <c r="P86" s="18"/>
      <c r="Q86" s="18"/>
      <c r="R86" s="22" t="e">
        <f t="shared" si="2"/>
        <v>#REF!</v>
      </c>
      <c r="S86" s="96" t="e">
        <f>#REF!</f>
        <v>#REF!</v>
      </c>
      <c r="T86" s="42"/>
      <c r="U86" s="9"/>
      <c r="V86" s="5" t="e">
        <f t="shared" si="1"/>
        <v>#REF!</v>
      </c>
    </row>
    <row r="87" spans="1:22" s="5" customFormat="1">
      <c r="A87" s="375" t="e">
        <f>#REF!</f>
        <v>#REF!</v>
      </c>
      <c r="B87" s="943" t="s">
        <v>355</v>
      </c>
      <c r="C87" s="22" t="e">
        <f>#REF!</f>
        <v>#REF!</v>
      </c>
      <c r="D87" s="18"/>
      <c r="E87" s="18"/>
      <c r="F87" s="21" t="e">
        <f>#REF!</f>
        <v>#REF!</v>
      </c>
      <c r="G87" s="18"/>
      <c r="H87" s="18"/>
      <c r="I87" s="21" t="e">
        <f>#REF!</f>
        <v>#REF!</v>
      </c>
      <c r="J87" s="18"/>
      <c r="K87" s="18"/>
      <c r="L87" s="21" t="e">
        <f>#REF!</f>
        <v>#REF!</v>
      </c>
      <c r="M87" s="18"/>
      <c r="N87" s="18"/>
      <c r="O87" s="21" t="e">
        <f>#REF!</f>
        <v>#REF!</v>
      </c>
      <c r="P87" s="18"/>
      <c r="Q87" s="18"/>
      <c r="R87" s="22" t="e">
        <f t="shared" si="2"/>
        <v>#REF!</v>
      </c>
      <c r="S87" s="96" t="e">
        <f>#REF!</f>
        <v>#REF!</v>
      </c>
      <c r="T87" s="42"/>
      <c r="U87" s="9"/>
      <c r="V87" s="5" t="e">
        <f t="shared" si="1"/>
        <v>#REF!</v>
      </c>
    </row>
    <row r="88" spans="1:22" s="5" customFormat="1">
      <c r="A88" s="375" t="e">
        <f>#REF!</f>
        <v>#REF!</v>
      </c>
      <c r="B88" s="943" t="s">
        <v>355</v>
      </c>
      <c r="C88" s="22" t="e">
        <f>#REF!</f>
        <v>#REF!</v>
      </c>
      <c r="D88" s="18"/>
      <c r="E88" s="18"/>
      <c r="F88" s="21" t="e">
        <f>#REF!</f>
        <v>#REF!</v>
      </c>
      <c r="G88" s="18"/>
      <c r="H88" s="18"/>
      <c r="I88" s="21" t="e">
        <f>#REF!</f>
        <v>#REF!</v>
      </c>
      <c r="J88" s="18"/>
      <c r="K88" s="18"/>
      <c r="L88" s="21" t="e">
        <f>#REF!</f>
        <v>#REF!</v>
      </c>
      <c r="M88" s="18"/>
      <c r="N88" s="18"/>
      <c r="O88" s="21" t="e">
        <f>#REF!</f>
        <v>#REF!</v>
      </c>
      <c r="P88" s="18"/>
      <c r="Q88" s="18"/>
      <c r="R88" s="22" t="e">
        <f t="shared" si="2"/>
        <v>#REF!</v>
      </c>
      <c r="S88" s="96" t="e">
        <f>#REF!</f>
        <v>#REF!</v>
      </c>
      <c r="T88" s="42"/>
      <c r="U88" s="9"/>
      <c r="V88" s="5" t="e">
        <f t="shared" si="1"/>
        <v>#REF!</v>
      </c>
    </row>
    <row r="89" spans="1:22" s="5" customFormat="1">
      <c r="A89" s="375" t="e">
        <f>#REF!</f>
        <v>#REF!</v>
      </c>
      <c r="B89" s="943" t="s">
        <v>355</v>
      </c>
      <c r="C89" s="22" t="e">
        <f>#REF!</f>
        <v>#REF!</v>
      </c>
      <c r="D89" s="18"/>
      <c r="E89" s="18"/>
      <c r="F89" s="21" t="e">
        <f>#REF!</f>
        <v>#REF!</v>
      </c>
      <c r="G89" s="18"/>
      <c r="H89" s="18"/>
      <c r="I89" s="21" t="e">
        <f>#REF!</f>
        <v>#REF!</v>
      </c>
      <c r="J89" s="18"/>
      <c r="K89" s="18"/>
      <c r="L89" s="21" t="e">
        <f>#REF!</f>
        <v>#REF!</v>
      </c>
      <c r="M89" s="18"/>
      <c r="N89" s="18"/>
      <c r="O89" s="21" t="e">
        <f>#REF!</f>
        <v>#REF!</v>
      </c>
      <c r="P89" s="18"/>
      <c r="Q89" s="18"/>
      <c r="R89" s="22" t="e">
        <f t="shared" si="2"/>
        <v>#REF!</v>
      </c>
      <c r="S89" s="96" t="e">
        <f>#REF!</f>
        <v>#REF!</v>
      </c>
      <c r="T89" s="42"/>
      <c r="U89" s="9"/>
      <c r="V89" s="5" t="e">
        <f t="shared" si="1"/>
        <v>#REF!</v>
      </c>
    </row>
    <row r="90" spans="1:22" s="5" customFormat="1">
      <c r="A90" s="375" t="e">
        <f>#REF!</f>
        <v>#REF!</v>
      </c>
      <c r="B90" s="943" t="s">
        <v>355</v>
      </c>
      <c r="C90" s="22" t="e">
        <f>#REF!</f>
        <v>#REF!</v>
      </c>
      <c r="D90" s="18"/>
      <c r="E90" s="18"/>
      <c r="F90" s="21" t="e">
        <f>#REF!</f>
        <v>#REF!</v>
      </c>
      <c r="G90" s="18"/>
      <c r="H90" s="18"/>
      <c r="I90" s="21" t="e">
        <f>#REF!</f>
        <v>#REF!</v>
      </c>
      <c r="J90" s="18"/>
      <c r="K90" s="18"/>
      <c r="L90" s="21" t="e">
        <f>#REF!</f>
        <v>#REF!</v>
      </c>
      <c r="M90" s="18"/>
      <c r="N90" s="18"/>
      <c r="O90" s="21" t="e">
        <f>#REF!</f>
        <v>#REF!</v>
      </c>
      <c r="P90" s="18"/>
      <c r="Q90" s="18"/>
      <c r="R90" s="22" t="e">
        <f t="shared" si="2"/>
        <v>#REF!</v>
      </c>
      <c r="S90" s="96" t="e">
        <f>#REF!</f>
        <v>#REF!</v>
      </c>
      <c r="T90" s="42"/>
      <c r="U90" s="9"/>
      <c r="V90" s="5" t="e">
        <f t="shared" si="1"/>
        <v>#REF!</v>
      </c>
    </row>
    <row r="91" spans="1:22" s="5" customFormat="1">
      <c r="A91" s="375" t="e">
        <f>#REF!</f>
        <v>#REF!</v>
      </c>
      <c r="B91" s="943" t="s">
        <v>355</v>
      </c>
      <c r="C91" s="22" t="e">
        <f>#REF!</f>
        <v>#REF!</v>
      </c>
      <c r="D91" s="18"/>
      <c r="E91" s="18"/>
      <c r="F91" s="21" t="e">
        <f>#REF!</f>
        <v>#REF!</v>
      </c>
      <c r="G91" s="18"/>
      <c r="H91" s="18"/>
      <c r="I91" s="21" t="e">
        <f>#REF!</f>
        <v>#REF!</v>
      </c>
      <c r="J91" s="18"/>
      <c r="K91" s="18"/>
      <c r="L91" s="21" t="e">
        <f>#REF!</f>
        <v>#REF!</v>
      </c>
      <c r="M91" s="18"/>
      <c r="N91" s="18"/>
      <c r="O91" s="21" t="e">
        <f>#REF!</f>
        <v>#REF!</v>
      </c>
      <c r="P91" s="18"/>
      <c r="Q91" s="18"/>
      <c r="R91" s="22" t="e">
        <f t="shared" si="2"/>
        <v>#REF!</v>
      </c>
      <c r="S91" s="96" t="e">
        <f>#REF!</f>
        <v>#REF!</v>
      </c>
      <c r="T91" s="42"/>
      <c r="U91" s="9"/>
      <c r="V91" s="5" t="e">
        <f t="shared" si="1"/>
        <v>#REF!</v>
      </c>
    </row>
    <row r="92" spans="1:22" s="5" customFormat="1">
      <c r="A92" s="375" t="e">
        <f>#REF!</f>
        <v>#REF!</v>
      </c>
      <c r="B92" s="943" t="s">
        <v>355</v>
      </c>
      <c r="C92" s="22" t="e">
        <f>#REF!</f>
        <v>#REF!</v>
      </c>
      <c r="D92" s="18"/>
      <c r="E92" s="18"/>
      <c r="F92" s="21" t="e">
        <f>#REF!</f>
        <v>#REF!</v>
      </c>
      <c r="G92" s="18"/>
      <c r="H92" s="18"/>
      <c r="I92" s="21" t="e">
        <f>#REF!</f>
        <v>#REF!</v>
      </c>
      <c r="J92" s="18"/>
      <c r="K92" s="18"/>
      <c r="L92" s="21" t="e">
        <f>#REF!</f>
        <v>#REF!</v>
      </c>
      <c r="M92" s="18"/>
      <c r="N92" s="18"/>
      <c r="O92" s="21" t="e">
        <f>#REF!</f>
        <v>#REF!</v>
      </c>
      <c r="P92" s="18"/>
      <c r="Q92" s="18"/>
      <c r="R92" s="22" t="e">
        <f t="shared" si="2"/>
        <v>#REF!</v>
      </c>
      <c r="S92" s="96" t="e">
        <f>#REF!</f>
        <v>#REF!</v>
      </c>
      <c r="T92" s="42"/>
      <c r="U92" s="9"/>
      <c r="V92" s="5" t="e">
        <f t="shared" si="1"/>
        <v>#REF!</v>
      </c>
    </row>
    <row r="93" spans="1:22" s="5" customFormat="1">
      <c r="A93" s="375" t="e">
        <f>#REF!</f>
        <v>#REF!</v>
      </c>
      <c r="B93" s="943" t="s">
        <v>355</v>
      </c>
      <c r="C93" s="22" t="e">
        <f>#REF!</f>
        <v>#REF!</v>
      </c>
      <c r="D93" s="18"/>
      <c r="E93" s="18"/>
      <c r="F93" s="21" t="e">
        <f>#REF!</f>
        <v>#REF!</v>
      </c>
      <c r="G93" s="18"/>
      <c r="H93" s="18"/>
      <c r="I93" s="21" t="e">
        <f>#REF!</f>
        <v>#REF!</v>
      </c>
      <c r="J93" s="18"/>
      <c r="K93" s="18"/>
      <c r="L93" s="21" t="e">
        <f>#REF!</f>
        <v>#REF!</v>
      </c>
      <c r="M93" s="18"/>
      <c r="N93" s="18"/>
      <c r="O93" s="21" t="e">
        <f>#REF!</f>
        <v>#REF!</v>
      </c>
      <c r="P93" s="18"/>
      <c r="Q93" s="18"/>
      <c r="R93" s="22" t="e">
        <f t="shared" ref="R93:R114" si="3">C93+F93+I93+L93+O93</f>
        <v>#REF!</v>
      </c>
      <c r="S93" s="96" t="e">
        <f>#REF!</f>
        <v>#REF!</v>
      </c>
      <c r="T93" s="42"/>
      <c r="U93" s="9"/>
      <c r="V93" s="5" t="e">
        <f t="shared" si="1"/>
        <v>#REF!</v>
      </c>
    </row>
    <row r="94" spans="1:22" s="5" customFormat="1">
      <c r="A94" s="375" t="e">
        <f>#REF!</f>
        <v>#REF!</v>
      </c>
      <c r="B94" s="943" t="s">
        <v>355</v>
      </c>
      <c r="C94" s="22" t="e">
        <f>#REF!</f>
        <v>#REF!</v>
      </c>
      <c r="D94" s="18"/>
      <c r="E94" s="18"/>
      <c r="F94" s="21" t="e">
        <f>#REF!</f>
        <v>#REF!</v>
      </c>
      <c r="G94" s="18"/>
      <c r="H94" s="18"/>
      <c r="I94" s="21" t="e">
        <f>#REF!</f>
        <v>#REF!</v>
      </c>
      <c r="J94" s="18"/>
      <c r="K94" s="18"/>
      <c r="L94" s="21" t="e">
        <f>#REF!</f>
        <v>#REF!</v>
      </c>
      <c r="M94" s="18"/>
      <c r="N94" s="18"/>
      <c r="O94" s="21" t="e">
        <f>#REF!</f>
        <v>#REF!</v>
      </c>
      <c r="P94" s="18"/>
      <c r="Q94" s="18"/>
      <c r="R94" s="22" t="e">
        <f t="shared" si="3"/>
        <v>#REF!</v>
      </c>
      <c r="S94" s="96" t="e">
        <f>#REF!</f>
        <v>#REF!</v>
      </c>
      <c r="T94" s="42"/>
      <c r="U94" s="9"/>
      <c r="V94" s="5" t="e">
        <f t="shared" ref="V94:V106" si="4">IF(S94=0,"hide","show")</f>
        <v>#REF!</v>
      </c>
    </row>
    <row r="95" spans="1:22" s="5" customFormat="1">
      <c r="A95" s="375" t="e">
        <f>#REF!</f>
        <v>#REF!</v>
      </c>
      <c r="B95" s="943" t="s">
        <v>355</v>
      </c>
      <c r="C95" s="22" t="e">
        <f>#REF!</f>
        <v>#REF!</v>
      </c>
      <c r="D95" s="18"/>
      <c r="E95" s="18"/>
      <c r="F95" s="21" t="e">
        <f>#REF!</f>
        <v>#REF!</v>
      </c>
      <c r="G95" s="18"/>
      <c r="H95" s="18"/>
      <c r="I95" s="21" t="e">
        <f>#REF!</f>
        <v>#REF!</v>
      </c>
      <c r="J95" s="18"/>
      <c r="K95" s="18"/>
      <c r="L95" s="21" t="e">
        <f>#REF!</f>
        <v>#REF!</v>
      </c>
      <c r="M95" s="18"/>
      <c r="N95" s="18"/>
      <c r="O95" s="21" t="e">
        <f>#REF!</f>
        <v>#REF!</v>
      </c>
      <c r="P95" s="18"/>
      <c r="Q95" s="18"/>
      <c r="R95" s="22" t="e">
        <f t="shared" si="3"/>
        <v>#REF!</v>
      </c>
      <c r="S95" s="96" t="e">
        <f>#REF!</f>
        <v>#REF!</v>
      </c>
      <c r="T95" s="42"/>
      <c r="U95" s="9"/>
      <c r="V95" s="5" t="e">
        <f t="shared" si="4"/>
        <v>#REF!</v>
      </c>
    </row>
    <row r="96" spans="1:22" s="5" customFormat="1">
      <c r="A96" s="375" t="e">
        <f>#REF!</f>
        <v>#REF!</v>
      </c>
      <c r="B96" s="943" t="s">
        <v>355</v>
      </c>
      <c r="C96" s="22" t="e">
        <f>#REF!</f>
        <v>#REF!</v>
      </c>
      <c r="D96" s="18"/>
      <c r="E96" s="18"/>
      <c r="F96" s="21" t="e">
        <f>#REF!</f>
        <v>#REF!</v>
      </c>
      <c r="G96" s="18"/>
      <c r="H96" s="18"/>
      <c r="I96" s="21" t="e">
        <f>#REF!</f>
        <v>#REF!</v>
      </c>
      <c r="J96" s="18"/>
      <c r="K96" s="18"/>
      <c r="L96" s="21" t="e">
        <f>#REF!</f>
        <v>#REF!</v>
      </c>
      <c r="M96" s="18"/>
      <c r="N96" s="18"/>
      <c r="O96" s="21" t="e">
        <f>#REF!</f>
        <v>#REF!</v>
      </c>
      <c r="P96" s="18"/>
      <c r="Q96" s="18"/>
      <c r="R96" s="22" t="e">
        <f t="shared" si="3"/>
        <v>#REF!</v>
      </c>
      <c r="S96" s="96" t="e">
        <f>#REF!</f>
        <v>#REF!</v>
      </c>
      <c r="T96" s="42"/>
      <c r="U96" s="9"/>
      <c r="V96" s="5" t="e">
        <f t="shared" si="4"/>
        <v>#REF!</v>
      </c>
    </row>
    <row r="97" spans="1:22" s="5" customFormat="1">
      <c r="A97" s="375" t="e">
        <f>#REF!</f>
        <v>#REF!</v>
      </c>
      <c r="B97" s="943" t="s">
        <v>355</v>
      </c>
      <c r="C97" s="22" t="e">
        <f>#REF!</f>
        <v>#REF!</v>
      </c>
      <c r="D97" s="18"/>
      <c r="E97" s="18"/>
      <c r="F97" s="21" t="e">
        <f>#REF!</f>
        <v>#REF!</v>
      </c>
      <c r="G97" s="18"/>
      <c r="H97" s="18"/>
      <c r="I97" s="21" t="e">
        <f>#REF!</f>
        <v>#REF!</v>
      </c>
      <c r="J97" s="18"/>
      <c r="K97" s="18"/>
      <c r="L97" s="21" t="e">
        <f>#REF!</f>
        <v>#REF!</v>
      </c>
      <c r="M97" s="18"/>
      <c r="N97" s="18"/>
      <c r="O97" s="21" t="e">
        <f>#REF!</f>
        <v>#REF!</v>
      </c>
      <c r="P97" s="18"/>
      <c r="Q97" s="18"/>
      <c r="R97" s="22" t="e">
        <f t="shared" si="3"/>
        <v>#REF!</v>
      </c>
      <c r="S97" s="96" t="e">
        <f>#REF!</f>
        <v>#REF!</v>
      </c>
      <c r="T97" s="42"/>
      <c r="U97" s="9"/>
      <c r="V97" s="5" t="e">
        <f t="shared" si="4"/>
        <v>#REF!</v>
      </c>
    </row>
    <row r="98" spans="1:22" s="5" customFormat="1">
      <c r="A98" s="375" t="e">
        <f>#REF!</f>
        <v>#REF!</v>
      </c>
      <c r="B98" s="943" t="s">
        <v>355</v>
      </c>
      <c r="C98" s="22" t="e">
        <f>#REF!</f>
        <v>#REF!</v>
      </c>
      <c r="D98" s="18"/>
      <c r="E98" s="18"/>
      <c r="F98" s="21" t="e">
        <f>#REF!</f>
        <v>#REF!</v>
      </c>
      <c r="G98" s="18"/>
      <c r="H98" s="18"/>
      <c r="I98" s="21" t="e">
        <f>#REF!</f>
        <v>#REF!</v>
      </c>
      <c r="J98" s="18"/>
      <c r="K98" s="18"/>
      <c r="L98" s="21" t="e">
        <f>#REF!</f>
        <v>#REF!</v>
      </c>
      <c r="M98" s="18"/>
      <c r="N98" s="18"/>
      <c r="O98" s="21" t="e">
        <f>#REF!</f>
        <v>#REF!</v>
      </c>
      <c r="P98" s="18"/>
      <c r="Q98" s="18"/>
      <c r="R98" s="22" t="e">
        <f t="shared" si="3"/>
        <v>#REF!</v>
      </c>
      <c r="S98" s="96" t="e">
        <f>#REF!</f>
        <v>#REF!</v>
      </c>
      <c r="T98" s="42"/>
      <c r="U98" s="9"/>
      <c r="V98" s="5" t="e">
        <f t="shared" si="4"/>
        <v>#REF!</v>
      </c>
    </row>
    <row r="99" spans="1:22" s="5" customFormat="1">
      <c r="A99" s="375" t="e">
        <f>#REF!</f>
        <v>#REF!</v>
      </c>
      <c r="B99" s="943" t="s">
        <v>355</v>
      </c>
      <c r="C99" s="22" t="e">
        <f>#REF!</f>
        <v>#REF!</v>
      </c>
      <c r="D99" s="18"/>
      <c r="E99" s="18"/>
      <c r="F99" s="21" t="e">
        <f>#REF!</f>
        <v>#REF!</v>
      </c>
      <c r="G99" s="18"/>
      <c r="H99" s="18"/>
      <c r="I99" s="21" t="e">
        <f>#REF!</f>
        <v>#REF!</v>
      </c>
      <c r="J99" s="18"/>
      <c r="K99" s="18"/>
      <c r="L99" s="21" t="e">
        <f>#REF!</f>
        <v>#REF!</v>
      </c>
      <c r="M99" s="18"/>
      <c r="N99" s="18"/>
      <c r="O99" s="21" t="e">
        <f>#REF!</f>
        <v>#REF!</v>
      </c>
      <c r="P99" s="18"/>
      <c r="Q99" s="18"/>
      <c r="R99" s="22" t="e">
        <f t="shared" si="3"/>
        <v>#REF!</v>
      </c>
      <c r="S99" s="96" t="e">
        <f>#REF!</f>
        <v>#REF!</v>
      </c>
      <c r="T99" s="42"/>
      <c r="U99" s="9"/>
      <c r="V99" s="5" t="e">
        <f t="shared" si="4"/>
        <v>#REF!</v>
      </c>
    </row>
    <row r="100" spans="1:22" s="5" customFormat="1">
      <c r="A100" s="375" t="e">
        <f>#REF!</f>
        <v>#REF!</v>
      </c>
      <c r="B100" s="943" t="s">
        <v>355</v>
      </c>
      <c r="C100" s="22" t="e">
        <f>#REF!</f>
        <v>#REF!</v>
      </c>
      <c r="D100" s="18"/>
      <c r="E100" s="18"/>
      <c r="F100" s="21" t="e">
        <f>#REF!</f>
        <v>#REF!</v>
      </c>
      <c r="G100" s="18"/>
      <c r="H100" s="18"/>
      <c r="I100" s="21" t="e">
        <f>#REF!</f>
        <v>#REF!</v>
      </c>
      <c r="J100" s="18"/>
      <c r="K100" s="18"/>
      <c r="L100" s="21" t="e">
        <f>#REF!</f>
        <v>#REF!</v>
      </c>
      <c r="M100" s="18"/>
      <c r="N100" s="18"/>
      <c r="O100" s="21" t="e">
        <f>#REF!</f>
        <v>#REF!</v>
      </c>
      <c r="P100" s="18"/>
      <c r="Q100" s="18"/>
      <c r="R100" s="22" t="e">
        <f t="shared" si="3"/>
        <v>#REF!</v>
      </c>
      <c r="S100" s="96" t="e">
        <f>#REF!</f>
        <v>#REF!</v>
      </c>
      <c r="T100" s="42"/>
      <c r="U100" s="9"/>
      <c r="V100" s="5" t="e">
        <f t="shared" si="4"/>
        <v>#REF!</v>
      </c>
    </row>
    <row r="101" spans="1:22" s="5" customFormat="1">
      <c r="A101" s="375" t="e">
        <f>#REF!</f>
        <v>#REF!</v>
      </c>
      <c r="B101" s="943" t="s">
        <v>355</v>
      </c>
      <c r="C101" s="22" t="e">
        <f>#REF!</f>
        <v>#REF!</v>
      </c>
      <c r="D101" s="18"/>
      <c r="E101" s="18"/>
      <c r="F101" s="21" t="e">
        <f>#REF!</f>
        <v>#REF!</v>
      </c>
      <c r="G101" s="18"/>
      <c r="H101" s="18"/>
      <c r="I101" s="21" t="e">
        <f>#REF!</f>
        <v>#REF!</v>
      </c>
      <c r="J101" s="18"/>
      <c r="K101" s="18"/>
      <c r="L101" s="21" t="e">
        <f>#REF!</f>
        <v>#REF!</v>
      </c>
      <c r="M101" s="18"/>
      <c r="N101" s="18"/>
      <c r="O101" s="21" t="e">
        <f>#REF!</f>
        <v>#REF!</v>
      </c>
      <c r="P101" s="18"/>
      <c r="Q101" s="18"/>
      <c r="R101" s="22" t="e">
        <f t="shared" si="3"/>
        <v>#REF!</v>
      </c>
      <c r="S101" s="96" t="e">
        <f>#REF!</f>
        <v>#REF!</v>
      </c>
      <c r="T101" s="42"/>
      <c r="U101" s="9"/>
      <c r="V101" s="5" t="e">
        <f t="shared" si="4"/>
        <v>#REF!</v>
      </c>
    </row>
    <row r="102" spans="1:22" s="5" customFormat="1">
      <c r="A102" s="375" t="e">
        <f>#REF!</f>
        <v>#REF!</v>
      </c>
      <c r="B102" s="943" t="s">
        <v>355</v>
      </c>
      <c r="C102" s="22" t="e">
        <f>#REF!</f>
        <v>#REF!</v>
      </c>
      <c r="D102" s="18"/>
      <c r="E102" s="18"/>
      <c r="F102" s="21" t="e">
        <f>#REF!</f>
        <v>#REF!</v>
      </c>
      <c r="G102" s="18"/>
      <c r="H102" s="18"/>
      <c r="I102" s="21" t="e">
        <f>#REF!</f>
        <v>#REF!</v>
      </c>
      <c r="J102" s="18"/>
      <c r="K102" s="18"/>
      <c r="L102" s="21" t="e">
        <f>#REF!</f>
        <v>#REF!</v>
      </c>
      <c r="M102" s="18"/>
      <c r="N102" s="18"/>
      <c r="O102" s="21" t="e">
        <f>#REF!</f>
        <v>#REF!</v>
      </c>
      <c r="P102" s="18"/>
      <c r="Q102" s="18"/>
      <c r="R102" s="22" t="e">
        <f t="shared" si="3"/>
        <v>#REF!</v>
      </c>
      <c r="S102" s="96" t="e">
        <f>#REF!</f>
        <v>#REF!</v>
      </c>
      <c r="T102" s="42"/>
      <c r="U102" s="9"/>
      <c r="V102" s="5" t="e">
        <f t="shared" si="4"/>
        <v>#REF!</v>
      </c>
    </row>
    <row r="103" spans="1:22" s="5" customFormat="1">
      <c r="A103" s="375" t="e">
        <f>#REF!</f>
        <v>#REF!</v>
      </c>
      <c r="B103" s="943" t="s">
        <v>355</v>
      </c>
      <c r="C103" s="22" t="e">
        <f>#REF!</f>
        <v>#REF!</v>
      </c>
      <c r="D103" s="18"/>
      <c r="E103" s="18"/>
      <c r="F103" s="21" t="e">
        <f>#REF!</f>
        <v>#REF!</v>
      </c>
      <c r="G103" s="18"/>
      <c r="H103" s="18"/>
      <c r="I103" s="21" t="e">
        <f>#REF!</f>
        <v>#REF!</v>
      </c>
      <c r="J103" s="18"/>
      <c r="K103" s="18"/>
      <c r="L103" s="21" t="e">
        <f>#REF!</f>
        <v>#REF!</v>
      </c>
      <c r="M103" s="18"/>
      <c r="N103" s="18"/>
      <c r="O103" s="21" t="e">
        <f>#REF!</f>
        <v>#REF!</v>
      </c>
      <c r="P103" s="18"/>
      <c r="Q103" s="18"/>
      <c r="R103" s="22" t="e">
        <f t="shared" si="3"/>
        <v>#REF!</v>
      </c>
      <c r="S103" s="96" t="e">
        <f>#REF!</f>
        <v>#REF!</v>
      </c>
      <c r="T103" s="42"/>
      <c r="U103" s="9"/>
      <c r="V103" s="5" t="e">
        <f t="shared" si="4"/>
        <v>#REF!</v>
      </c>
    </row>
    <row r="104" spans="1:22" s="5" customFormat="1">
      <c r="A104" s="375" t="e">
        <f>#REF!</f>
        <v>#REF!</v>
      </c>
      <c r="B104" s="943" t="s">
        <v>355</v>
      </c>
      <c r="C104" s="22" t="e">
        <f>#REF!</f>
        <v>#REF!</v>
      </c>
      <c r="D104" s="18"/>
      <c r="E104" s="18"/>
      <c r="F104" s="21" t="e">
        <f>#REF!</f>
        <v>#REF!</v>
      </c>
      <c r="G104" s="18"/>
      <c r="H104" s="18"/>
      <c r="I104" s="21" t="e">
        <f>#REF!</f>
        <v>#REF!</v>
      </c>
      <c r="J104" s="18"/>
      <c r="K104" s="18"/>
      <c r="L104" s="21" t="e">
        <f>#REF!</f>
        <v>#REF!</v>
      </c>
      <c r="M104" s="18"/>
      <c r="N104" s="18"/>
      <c r="O104" s="21" t="e">
        <f>#REF!</f>
        <v>#REF!</v>
      </c>
      <c r="P104" s="18"/>
      <c r="Q104" s="18"/>
      <c r="R104" s="22" t="e">
        <f t="shared" si="3"/>
        <v>#REF!</v>
      </c>
      <c r="S104" s="96" t="e">
        <f>#REF!</f>
        <v>#REF!</v>
      </c>
      <c r="T104" s="42"/>
      <c r="U104" s="9"/>
      <c r="V104" s="5" t="e">
        <f t="shared" si="4"/>
        <v>#REF!</v>
      </c>
    </row>
    <row r="105" spans="1:22" s="5" customFormat="1">
      <c r="A105" s="375" t="e">
        <f>#REF!</f>
        <v>#REF!</v>
      </c>
      <c r="B105" s="943" t="s">
        <v>355</v>
      </c>
      <c r="C105" s="22" t="e">
        <f>#REF!</f>
        <v>#REF!</v>
      </c>
      <c r="D105" s="18"/>
      <c r="E105" s="18"/>
      <c r="F105" s="21" t="e">
        <f>#REF!</f>
        <v>#REF!</v>
      </c>
      <c r="G105" s="18"/>
      <c r="H105" s="18"/>
      <c r="I105" s="21" t="e">
        <f>#REF!</f>
        <v>#REF!</v>
      </c>
      <c r="J105" s="18"/>
      <c r="K105" s="18"/>
      <c r="L105" s="21" t="e">
        <f>#REF!</f>
        <v>#REF!</v>
      </c>
      <c r="M105" s="18"/>
      <c r="N105" s="18"/>
      <c r="O105" s="21" t="e">
        <f>#REF!</f>
        <v>#REF!</v>
      </c>
      <c r="P105" s="18"/>
      <c r="Q105" s="18"/>
      <c r="R105" s="22" t="e">
        <f t="shared" si="3"/>
        <v>#REF!</v>
      </c>
      <c r="S105" s="96" t="e">
        <f>#REF!</f>
        <v>#REF!</v>
      </c>
      <c r="T105" s="42"/>
      <c r="U105" s="9"/>
      <c r="V105" s="5" t="e">
        <f t="shared" si="4"/>
        <v>#REF!</v>
      </c>
    </row>
    <row r="106" spans="1:22" s="5" customFormat="1">
      <c r="A106" s="375" t="e">
        <f>#REF!</f>
        <v>#REF!</v>
      </c>
      <c r="B106" s="943" t="s">
        <v>355</v>
      </c>
      <c r="C106" s="22" t="e">
        <f>#REF!</f>
        <v>#REF!</v>
      </c>
      <c r="D106" s="18"/>
      <c r="E106" s="18"/>
      <c r="F106" s="21" t="e">
        <f>#REF!</f>
        <v>#REF!</v>
      </c>
      <c r="G106" s="18"/>
      <c r="H106" s="18"/>
      <c r="I106" s="21" t="e">
        <f>#REF!</f>
        <v>#REF!</v>
      </c>
      <c r="J106" s="18"/>
      <c r="K106" s="18"/>
      <c r="L106" s="21" t="e">
        <f>#REF!</f>
        <v>#REF!</v>
      </c>
      <c r="M106" s="18"/>
      <c r="N106" s="18"/>
      <c r="O106" s="21" t="e">
        <f>#REF!</f>
        <v>#REF!</v>
      </c>
      <c r="P106" s="18"/>
      <c r="Q106" s="18"/>
      <c r="R106" s="22" t="e">
        <f t="shared" si="3"/>
        <v>#REF!</v>
      </c>
      <c r="S106" s="96" t="e">
        <f>#REF!</f>
        <v>#REF!</v>
      </c>
      <c r="T106" s="42"/>
      <c r="U106" s="9"/>
      <c r="V106" s="5" t="e">
        <f t="shared" si="4"/>
        <v>#REF!</v>
      </c>
    </row>
    <row r="107" spans="1:22" s="5" customFormat="1">
      <c r="A107" s="375" t="e">
        <f>#REF!</f>
        <v>#REF!</v>
      </c>
      <c r="B107" s="943" t="s">
        <v>355</v>
      </c>
      <c r="C107" s="22" t="e">
        <f>#REF!</f>
        <v>#REF!</v>
      </c>
      <c r="D107" s="18"/>
      <c r="E107" s="18"/>
      <c r="F107" s="21" t="e">
        <f>#REF!</f>
        <v>#REF!</v>
      </c>
      <c r="G107" s="18"/>
      <c r="H107" s="18"/>
      <c r="I107" s="21" t="e">
        <f>#REF!</f>
        <v>#REF!</v>
      </c>
      <c r="J107" s="18"/>
      <c r="K107" s="18"/>
      <c r="L107" s="21" t="e">
        <f>#REF!</f>
        <v>#REF!</v>
      </c>
      <c r="M107" s="18"/>
      <c r="N107" s="18"/>
      <c r="O107" s="21" t="e">
        <f>#REF!</f>
        <v>#REF!</v>
      </c>
      <c r="P107" s="18"/>
      <c r="Q107" s="18"/>
      <c r="R107" s="22" t="e">
        <f t="shared" si="3"/>
        <v>#REF!</v>
      </c>
      <c r="S107" s="96" t="e">
        <f>#REF!</f>
        <v>#REF!</v>
      </c>
      <c r="T107" s="42"/>
      <c r="U107" s="9"/>
      <c r="V107" s="5" t="e">
        <f t="shared" ref="V107:V114" si="5">IF(S107=0,"hide","show")</f>
        <v>#REF!</v>
      </c>
    </row>
    <row r="108" spans="1:22" s="5" customFormat="1">
      <c r="A108" s="375" t="e">
        <f>#REF!</f>
        <v>#REF!</v>
      </c>
      <c r="B108" s="943" t="s">
        <v>355</v>
      </c>
      <c r="C108" s="22" t="e">
        <f>#REF!</f>
        <v>#REF!</v>
      </c>
      <c r="D108" s="18"/>
      <c r="E108" s="18"/>
      <c r="F108" s="21" t="e">
        <f>#REF!</f>
        <v>#REF!</v>
      </c>
      <c r="G108" s="18"/>
      <c r="H108" s="18"/>
      <c r="I108" s="21" t="e">
        <f>#REF!</f>
        <v>#REF!</v>
      </c>
      <c r="J108" s="18"/>
      <c r="K108" s="18"/>
      <c r="L108" s="21" t="e">
        <f>#REF!</f>
        <v>#REF!</v>
      </c>
      <c r="M108" s="18"/>
      <c r="N108" s="18"/>
      <c r="O108" s="21" t="e">
        <f>#REF!</f>
        <v>#REF!</v>
      </c>
      <c r="P108" s="18"/>
      <c r="Q108" s="18"/>
      <c r="R108" s="22" t="e">
        <f t="shared" si="3"/>
        <v>#REF!</v>
      </c>
      <c r="S108" s="96" t="e">
        <f>#REF!</f>
        <v>#REF!</v>
      </c>
      <c r="T108" s="42"/>
      <c r="U108" s="9"/>
      <c r="V108" s="5" t="e">
        <f t="shared" si="5"/>
        <v>#REF!</v>
      </c>
    </row>
    <row r="109" spans="1:22" s="5" customFormat="1">
      <c r="A109" s="375" t="e">
        <f>#REF!</f>
        <v>#REF!</v>
      </c>
      <c r="B109" s="943" t="s">
        <v>355</v>
      </c>
      <c r="C109" s="22" t="e">
        <f>#REF!</f>
        <v>#REF!</v>
      </c>
      <c r="D109" s="18"/>
      <c r="E109" s="18"/>
      <c r="F109" s="21" t="e">
        <f>#REF!</f>
        <v>#REF!</v>
      </c>
      <c r="G109" s="18"/>
      <c r="H109" s="18"/>
      <c r="I109" s="21" t="e">
        <f>#REF!</f>
        <v>#REF!</v>
      </c>
      <c r="J109" s="18"/>
      <c r="K109" s="18"/>
      <c r="L109" s="21" t="e">
        <f>#REF!</f>
        <v>#REF!</v>
      </c>
      <c r="M109" s="18"/>
      <c r="N109" s="18"/>
      <c r="O109" s="21" t="e">
        <f>#REF!</f>
        <v>#REF!</v>
      </c>
      <c r="P109" s="18"/>
      <c r="Q109" s="18"/>
      <c r="R109" s="22" t="e">
        <f t="shared" si="3"/>
        <v>#REF!</v>
      </c>
      <c r="S109" s="96" t="e">
        <f>#REF!</f>
        <v>#REF!</v>
      </c>
      <c r="T109" s="42"/>
      <c r="U109" s="9"/>
      <c r="V109" s="5" t="e">
        <f t="shared" si="5"/>
        <v>#REF!</v>
      </c>
    </row>
    <row r="110" spans="1:22" s="5" customFormat="1">
      <c r="A110" s="375" t="e">
        <f>#REF!</f>
        <v>#REF!</v>
      </c>
      <c r="B110" s="943" t="s">
        <v>355</v>
      </c>
      <c r="C110" s="22" t="e">
        <f>#REF!</f>
        <v>#REF!</v>
      </c>
      <c r="D110" s="18"/>
      <c r="E110" s="18"/>
      <c r="F110" s="21" t="e">
        <f>#REF!</f>
        <v>#REF!</v>
      </c>
      <c r="G110" s="18"/>
      <c r="H110" s="18"/>
      <c r="I110" s="21" t="e">
        <f>#REF!</f>
        <v>#REF!</v>
      </c>
      <c r="J110" s="18"/>
      <c r="K110" s="18"/>
      <c r="L110" s="21" t="e">
        <f>#REF!</f>
        <v>#REF!</v>
      </c>
      <c r="M110" s="18"/>
      <c r="N110" s="18"/>
      <c r="O110" s="21" t="e">
        <f>#REF!</f>
        <v>#REF!</v>
      </c>
      <c r="P110" s="18"/>
      <c r="Q110" s="18"/>
      <c r="R110" s="22" t="e">
        <f t="shared" si="3"/>
        <v>#REF!</v>
      </c>
      <c r="S110" s="96" t="e">
        <f>#REF!</f>
        <v>#REF!</v>
      </c>
      <c r="T110" s="42"/>
      <c r="U110" s="9"/>
      <c r="V110" s="5" t="e">
        <f t="shared" si="5"/>
        <v>#REF!</v>
      </c>
    </row>
    <row r="111" spans="1:22" s="5" customFormat="1">
      <c r="A111" s="375" t="e">
        <f>#REF!</f>
        <v>#REF!</v>
      </c>
      <c r="B111" s="943" t="s">
        <v>355</v>
      </c>
      <c r="C111" s="22" t="e">
        <f>#REF!</f>
        <v>#REF!</v>
      </c>
      <c r="D111" s="18"/>
      <c r="E111" s="18"/>
      <c r="F111" s="21" t="e">
        <f>#REF!</f>
        <v>#REF!</v>
      </c>
      <c r="G111" s="18"/>
      <c r="H111" s="18"/>
      <c r="I111" s="21" t="e">
        <f>#REF!</f>
        <v>#REF!</v>
      </c>
      <c r="J111" s="18"/>
      <c r="K111" s="18"/>
      <c r="L111" s="21" t="e">
        <f>#REF!</f>
        <v>#REF!</v>
      </c>
      <c r="M111" s="18"/>
      <c r="N111" s="18"/>
      <c r="O111" s="21" t="e">
        <f>#REF!</f>
        <v>#REF!</v>
      </c>
      <c r="P111" s="18"/>
      <c r="Q111" s="18"/>
      <c r="R111" s="22" t="e">
        <f t="shared" si="3"/>
        <v>#REF!</v>
      </c>
      <c r="S111" s="96" t="e">
        <f>#REF!</f>
        <v>#REF!</v>
      </c>
      <c r="T111" s="42"/>
      <c r="U111" s="9"/>
      <c r="V111" s="5" t="e">
        <f t="shared" si="5"/>
        <v>#REF!</v>
      </c>
    </row>
    <row r="112" spans="1:22" s="5" customFormat="1">
      <c r="A112" s="375" t="e">
        <f>#REF!</f>
        <v>#REF!</v>
      </c>
      <c r="B112" s="943" t="s">
        <v>355</v>
      </c>
      <c r="C112" s="22" t="e">
        <f>#REF!</f>
        <v>#REF!</v>
      </c>
      <c r="D112" s="18"/>
      <c r="E112" s="18"/>
      <c r="F112" s="21" t="e">
        <f>#REF!</f>
        <v>#REF!</v>
      </c>
      <c r="G112" s="18"/>
      <c r="H112" s="18"/>
      <c r="I112" s="21" t="e">
        <f>#REF!</f>
        <v>#REF!</v>
      </c>
      <c r="J112" s="18"/>
      <c r="K112" s="18"/>
      <c r="L112" s="21" t="e">
        <f>#REF!</f>
        <v>#REF!</v>
      </c>
      <c r="M112" s="18"/>
      <c r="N112" s="18"/>
      <c r="O112" s="21" t="e">
        <f>#REF!</f>
        <v>#REF!</v>
      </c>
      <c r="P112" s="18"/>
      <c r="Q112" s="18"/>
      <c r="R112" s="22" t="e">
        <f t="shared" si="3"/>
        <v>#REF!</v>
      </c>
      <c r="S112" s="96" t="e">
        <f>#REF!</f>
        <v>#REF!</v>
      </c>
      <c r="T112" s="42"/>
      <c r="U112" s="9"/>
      <c r="V112" s="5" t="e">
        <f t="shared" si="5"/>
        <v>#REF!</v>
      </c>
    </row>
    <row r="113" spans="1:22" s="5" customFormat="1">
      <c r="A113" s="375" t="e">
        <f>#REF!</f>
        <v>#REF!</v>
      </c>
      <c r="B113" s="943" t="s">
        <v>355</v>
      </c>
      <c r="C113" s="22" t="e">
        <f>#REF!</f>
        <v>#REF!</v>
      </c>
      <c r="D113" s="18"/>
      <c r="E113" s="18"/>
      <c r="F113" s="21" t="e">
        <f>#REF!</f>
        <v>#REF!</v>
      </c>
      <c r="G113" s="18"/>
      <c r="H113" s="18"/>
      <c r="I113" s="21" t="e">
        <f>#REF!</f>
        <v>#REF!</v>
      </c>
      <c r="J113" s="18"/>
      <c r="K113" s="18"/>
      <c r="L113" s="21" t="e">
        <f>#REF!</f>
        <v>#REF!</v>
      </c>
      <c r="M113" s="18"/>
      <c r="N113" s="18"/>
      <c r="O113" s="21" t="e">
        <f>#REF!</f>
        <v>#REF!</v>
      </c>
      <c r="P113" s="18"/>
      <c r="Q113" s="18"/>
      <c r="R113" s="22" t="e">
        <f t="shared" si="3"/>
        <v>#REF!</v>
      </c>
      <c r="S113" s="96" t="e">
        <f>#REF!</f>
        <v>#REF!</v>
      </c>
      <c r="T113" s="42"/>
      <c r="U113" s="9"/>
      <c r="V113" s="5" t="e">
        <f t="shared" si="5"/>
        <v>#REF!</v>
      </c>
    </row>
    <row r="114" spans="1:22" s="5" customFormat="1">
      <c r="A114" s="375" t="e">
        <f>#REF!</f>
        <v>#REF!</v>
      </c>
      <c r="B114" s="943" t="s">
        <v>355</v>
      </c>
      <c r="C114" s="22" t="e">
        <f>#REF!</f>
        <v>#REF!</v>
      </c>
      <c r="D114" s="18"/>
      <c r="E114" s="18"/>
      <c r="F114" s="21" t="e">
        <f>#REF!</f>
        <v>#REF!</v>
      </c>
      <c r="G114" s="18"/>
      <c r="H114" s="18"/>
      <c r="I114" s="21" t="e">
        <f>#REF!</f>
        <v>#REF!</v>
      </c>
      <c r="J114" s="18"/>
      <c r="K114" s="18"/>
      <c r="L114" s="21" t="e">
        <f>#REF!</f>
        <v>#REF!</v>
      </c>
      <c r="M114" s="18"/>
      <c r="N114" s="18"/>
      <c r="O114" s="21" t="e">
        <f>#REF!</f>
        <v>#REF!</v>
      </c>
      <c r="P114" s="18"/>
      <c r="Q114" s="18"/>
      <c r="R114" s="22" t="e">
        <f t="shared" si="3"/>
        <v>#REF!</v>
      </c>
      <c r="S114" s="96" t="e">
        <f>#REF!</f>
        <v>#REF!</v>
      </c>
      <c r="T114" s="42"/>
      <c r="U114" s="9"/>
      <c r="V114" s="5" t="e">
        <f t="shared" si="5"/>
        <v>#REF!</v>
      </c>
    </row>
    <row r="115" spans="1:22" s="5" customFormat="1">
      <c r="A115" s="375"/>
      <c r="B115" s="943"/>
      <c r="C115" s="22"/>
      <c r="D115" s="18"/>
      <c r="E115" s="18"/>
      <c r="F115" s="21"/>
      <c r="G115" s="18"/>
      <c r="H115" s="18"/>
      <c r="I115" s="21"/>
      <c r="J115" s="18"/>
      <c r="K115" s="18"/>
      <c r="L115" s="21"/>
      <c r="M115" s="18"/>
      <c r="N115" s="18"/>
      <c r="O115" s="21"/>
      <c r="P115" s="18"/>
      <c r="Q115" s="18"/>
      <c r="R115" s="22"/>
      <c r="S115" s="96"/>
      <c r="T115" s="42"/>
      <c r="U115" s="9"/>
      <c r="V115" s="104" t="e">
        <f>IF(SUM(S117:S190)=0,"hide","show")</f>
        <v>#REF!</v>
      </c>
    </row>
    <row r="116" spans="1:22" s="5" customFormat="1" ht="14.1">
      <c r="A116" s="376" t="e">
        <f>#REF!</f>
        <v>#REF!</v>
      </c>
      <c r="B116" s="943"/>
      <c r="C116" s="22"/>
      <c r="D116" s="21"/>
      <c r="E116" s="21"/>
      <c r="F116" s="21"/>
      <c r="G116" s="21"/>
      <c r="H116" s="21"/>
      <c r="I116" s="21"/>
      <c r="J116" s="21"/>
      <c r="K116" s="21"/>
      <c r="L116" s="21"/>
      <c r="M116" s="21"/>
      <c r="N116" s="21"/>
      <c r="O116" s="21"/>
      <c r="P116" s="23"/>
      <c r="Q116" s="23"/>
      <c r="R116" s="22"/>
      <c r="S116" s="96"/>
      <c r="T116" s="42"/>
      <c r="U116" s="9"/>
      <c r="V116" s="5" t="e">
        <f>IF(SUM(S117:S190)=0,"hide","show")</f>
        <v>#REF!</v>
      </c>
    </row>
    <row r="117" spans="1:22" s="5" customFormat="1">
      <c r="A117" s="375" t="e">
        <f>#REF!</f>
        <v>#REF!</v>
      </c>
      <c r="B117" s="943" t="s">
        <v>355</v>
      </c>
      <c r="C117" s="22" t="e">
        <f>#REF!</f>
        <v>#REF!</v>
      </c>
      <c r="D117" s="18"/>
      <c r="E117" s="18"/>
      <c r="F117" s="21" t="e">
        <f>#REF!</f>
        <v>#REF!</v>
      </c>
      <c r="G117" s="18"/>
      <c r="H117" s="18"/>
      <c r="I117" s="21" t="e">
        <f>#REF!</f>
        <v>#REF!</v>
      </c>
      <c r="J117" s="18"/>
      <c r="K117" s="18"/>
      <c r="L117" s="21" t="e">
        <f>#REF!</f>
        <v>#REF!</v>
      </c>
      <c r="M117" s="18"/>
      <c r="N117" s="18"/>
      <c r="O117" s="21" t="e">
        <f>#REF!</f>
        <v>#REF!</v>
      </c>
      <c r="P117" s="18"/>
      <c r="Q117" s="18"/>
      <c r="R117" s="22" t="e">
        <f t="shared" ref="R117:R148" si="6">C117+F117+I117+L117+O117</f>
        <v>#REF!</v>
      </c>
      <c r="S117" s="96" t="e">
        <f>#REF!</f>
        <v>#REF!</v>
      </c>
      <c r="T117" s="42"/>
      <c r="U117" s="9"/>
      <c r="V117" s="5" t="e">
        <f>IF(S117=0,"hide","show")</f>
        <v>#REF!</v>
      </c>
    </row>
    <row r="118" spans="1:22" s="5" customFormat="1">
      <c r="A118" s="375" t="e">
        <f>#REF!</f>
        <v>#REF!</v>
      </c>
      <c r="B118" s="943" t="s">
        <v>355</v>
      </c>
      <c r="C118" s="22" t="e">
        <f>#REF!</f>
        <v>#REF!</v>
      </c>
      <c r="D118" s="18"/>
      <c r="E118" s="18"/>
      <c r="F118" s="21" t="e">
        <f>#REF!</f>
        <v>#REF!</v>
      </c>
      <c r="G118" s="18"/>
      <c r="H118" s="18"/>
      <c r="I118" s="21" t="e">
        <f>#REF!</f>
        <v>#REF!</v>
      </c>
      <c r="J118" s="18"/>
      <c r="K118" s="18"/>
      <c r="L118" s="21" t="e">
        <f>#REF!</f>
        <v>#REF!</v>
      </c>
      <c r="M118" s="18"/>
      <c r="N118" s="18"/>
      <c r="O118" s="21" t="e">
        <f>#REF!</f>
        <v>#REF!</v>
      </c>
      <c r="P118" s="18"/>
      <c r="Q118" s="18"/>
      <c r="R118" s="22" t="e">
        <f t="shared" si="6"/>
        <v>#REF!</v>
      </c>
      <c r="S118" s="96" t="e">
        <f>#REF!</f>
        <v>#REF!</v>
      </c>
      <c r="T118" s="42"/>
      <c r="U118" s="9"/>
      <c r="V118" s="5" t="e">
        <f t="shared" ref="V118:V181" si="7">IF(S118=0,"hide","show")</f>
        <v>#REF!</v>
      </c>
    </row>
    <row r="119" spans="1:22" s="5" customFormat="1">
      <c r="A119" s="375" t="e">
        <f>#REF!</f>
        <v>#REF!</v>
      </c>
      <c r="B119" s="943" t="s">
        <v>355</v>
      </c>
      <c r="C119" s="22" t="e">
        <f>#REF!</f>
        <v>#REF!</v>
      </c>
      <c r="D119" s="18"/>
      <c r="E119" s="18"/>
      <c r="F119" s="21" t="e">
        <f>#REF!</f>
        <v>#REF!</v>
      </c>
      <c r="G119" s="18"/>
      <c r="H119" s="18"/>
      <c r="I119" s="21" t="e">
        <f>#REF!</f>
        <v>#REF!</v>
      </c>
      <c r="J119" s="18"/>
      <c r="K119" s="18"/>
      <c r="L119" s="21" t="e">
        <f>#REF!</f>
        <v>#REF!</v>
      </c>
      <c r="M119" s="18"/>
      <c r="N119" s="18"/>
      <c r="O119" s="21" t="e">
        <f>#REF!</f>
        <v>#REF!</v>
      </c>
      <c r="P119" s="18"/>
      <c r="Q119" s="18"/>
      <c r="R119" s="22" t="e">
        <f t="shared" si="6"/>
        <v>#REF!</v>
      </c>
      <c r="S119" s="96" t="e">
        <f>#REF!</f>
        <v>#REF!</v>
      </c>
      <c r="T119" s="42"/>
      <c r="U119" s="9"/>
      <c r="V119" s="5" t="e">
        <f t="shared" si="7"/>
        <v>#REF!</v>
      </c>
    </row>
    <row r="120" spans="1:22" s="5" customFormat="1">
      <c r="A120" s="375" t="e">
        <f>#REF!</f>
        <v>#REF!</v>
      </c>
      <c r="B120" s="943" t="s">
        <v>355</v>
      </c>
      <c r="C120" s="22" t="e">
        <f>#REF!</f>
        <v>#REF!</v>
      </c>
      <c r="D120" s="18"/>
      <c r="E120" s="18"/>
      <c r="F120" s="21" t="e">
        <f>#REF!</f>
        <v>#REF!</v>
      </c>
      <c r="G120" s="18"/>
      <c r="H120" s="18"/>
      <c r="I120" s="21" t="e">
        <f>#REF!</f>
        <v>#REF!</v>
      </c>
      <c r="J120" s="18"/>
      <c r="K120" s="18"/>
      <c r="L120" s="21" t="e">
        <f>#REF!</f>
        <v>#REF!</v>
      </c>
      <c r="M120" s="18"/>
      <c r="N120" s="18"/>
      <c r="O120" s="21" t="e">
        <f>#REF!</f>
        <v>#REF!</v>
      </c>
      <c r="P120" s="18"/>
      <c r="Q120" s="18"/>
      <c r="R120" s="22" t="e">
        <f t="shared" si="6"/>
        <v>#REF!</v>
      </c>
      <c r="S120" s="96" t="e">
        <f>#REF!</f>
        <v>#REF!</v>
      </c>
      <c r="T120" s="42"/>
      <c r="U120" s="9"/>
      <c r="V120" s="5" t="e">
        <f t="shared" si="7"/>
        <v>#REF!</v>
      </c>
    </row>
    <row r="121" spans="1:22" s="5" customFormat="1">
      <c r="A121" s="375" t="e">
        <f>#REF!</f>
        <v>#REF!</v>
      </c>
      <c r="B121" s="943" t="s">
        <v>355</v>
      </c>
      <c r="C121" s="22" t="e">
        <f>#REF!</f>
        <v>#REF!</v>
      </c>
      <c r="D121" s="18"/>
      <c r="E121" s="18"/>
      <c r="F121" s="21" t="e">
        <f>#REF!</f>
        <v>#REF!</v>
      </c>
      <c r="G121" s="18"/>
      <c r="H121" s="18"/>
      <c r="I121" s="21" t="e">
        <f>#REF!</f>
        <v>#REF!</v>
      </c>
      <c r="J121" s="18"/>
      <c r="K121" s="18"/>
      <c r="L121" s="21" t="e">
        <f>#REF!</f>
        <v>#REF!</v>
      </c>
      <c r="M121" s="18"/>
      <c r="N121" s="18"/>
      <c r="O121" s="21" t="e">
        <f>#REF!</f>
        <v>#REF!</v>
      </c>
      <c r="P121" s="18"/>
      <c r="Q121" s="18"/>
      <c r="R121" s="22" t="e">
        <f t="shared" si="6"/>
        <v>#REF!</v>
      </c>
      <c r="S121" s="96" t="e">
        <f>#REF!</f>
        <v>#REF!</v>
      </c>
      <c r="T121" s="42"/>
      <c r="U121" s="9"/>
      <c r="V121" s="5" t="e">
        <f t="shared" si="7"/>
        <v>#REF!</v>
      </c>
    </row>
    <row r="122" spans="1:22" s="5" customFormat="1">
      <c r="A122" s="375" t="e">
        <f>#REF!</f>
        <v>#REF!</v>
      </c>
      <c r="B122" s="943" t="s">
        <v>355</v>
      </c>
      <c r="C122" s="22" t="e">
        <f>#REF!</f>
        <v>#REF!</v>
      </c>
      <c r="D122" s="18"/>
      <c r="E122" s="18"/>
      <c r="F122" s="21" t="e">
        <f>#REF!</f>
        <v>#REF!</v>
      </c>
      <c r="G122" s="18"/>
      <c r="H122" s="18"/>
      <c r="I122" s="21" t="e">
        <f>#REF!</f>
        <v>#REF!</v>
      </c>
      <c r="J122" s="18"/>
      <c r="K122" s="18"/>
      <c r="L122" s="21" t="e">
        <f>#REF!</f>
        <v>#REF!</v>
      </c>
      <c r="M122" s="18"/>
      <c r="N122" s="18"/>
      <c r="O122" s="21" t="e">
        <f>#REF!</f>
        <v>#REF!</v>
      </c>
      <c r="P122" s="18"/>
      <c r="Q122" s="18"/>
      <c r="R122" s="22" t="e">
        <f t="shared" si="6"/>
        <v>#REF!</v>
      </c>
      <c r="S122" s="96" t="e">
        <f>#REF!</f>
        <v>#REF!</v>
      </c>
      <c r="T122" s="42"/>
      <c r="U122" s="9"/>
      <c r="V122" s="5" t="e">
        <f t="shared" si="7"/>
        <v>#REF!</v>
      </c>
    </row>
    <row r="123" spans="1:22" s="5" customFormat="1">
      <c r="A123" s="375" t="e">
        <f>#REF!</f>
        <v>#REF!</v>
      </c>
      <c r="B123" s="943" t="s">
        <v>355</v>
      </c>
      <c r="C123" s="22" t="e">
        <f>#REF!</f>
        <v>#REF!</v>
      </c>
      <c r="D123" s="18"/>
      <c r="E123" s="18"/>
      <c r="F123" s="21" t="e">
        <f>#REF!</f>
        <v>#REF!</v>
      </c>
      <c r="G123" s="18"/>
      <c r="H123" s="18"/>
      <c r="I123" s="21" t="e">
        <f>#REF!</f>
        <v>#REF!</v>
      </c>
      <c r="J123" s="18"/>
      <c r="K123" s="18"/>
      <c r="L123" s="21" t="e">
        <f>#REF!</f>
        <v>#REF!</v>
      </c>
      <c r="M123" s="18"/>
      <c r="N123" s="18"/>
      <c r="O123" s="21" t="e">
        <f>#REF!</f>
        <v>#REF!</v>
      </c>
      <c r="P123" s="18"/>
      <c r="Q123" s="18"/>
      <c r="R123" s="22" t="e">
        <f t="shared" si="6"/>
        <v>#REF!</v>
      </c>
      <c r="S123" s="96" t="e">
        <f>#REF!</f>
        <v>#REF!</v>
      </c>
      <c r="T123" s="42"/>
      <c r="U123" s="9"/>
      <c r="V123" s="5" t="e">
        <f t="shared" si="7"/>
        <v>#REF!</v>
      </c>
    </row>
    <row r="124" spans="1:22" s="5" customFormat="1">
      <c r="A124" s="375" t="e">
        <f>#REF!</f>
        <v>#REF!</v>
      </c>
      <c r="B124" s="943" t="s">
        <v>355</v>
      </c>
      <c r="C124" s="22" t="e">
        <f>#REF!</f>
        <v>#REF!</v>
      </c>
      <c r="D124" s="18"/>
      <c r="E124" s="18"/>
      <c r="F124" s="21" t="e">
        <f>#REF!</f>
        <v>#REF!</v>
      </c>
      <c r="G124" s="18"/>
      <c r="H124" s="18"/>
      <c r="I124" s="21" t="e">
        <f>#REF!</f>
        <v>#REF!</v>
      </c>
      <c r="J124" s="18"/>
      <c r="K124" s="18"/>
      <c r="L124" s="21" t="e">
        <f>#REF!</f>
        <v>#REF!</v>
      </c>
      <c r="M124" s="18"/>
      <c r="N124" s="18"/>
      <c r="O124" s="21" t="e">
        <f>#REF!</f>
        <v>#REF!</v>
      </c>
      <c r="P124" s="18"/>
      <c r="Q124" s="18"/>
      <c r="R124" s="22" t="e">
        <f t="shared" si="6"/>
        <v>#REF!</v>
      </c>
      <c r="S124" s="96" t="e">
        <f>#REF!</f>
        <v>#REF!</v>
      </c>
      <c r="T124" s="42"/>
      <c r="U124" s="9"/>
      <c r="V124" s="5" t="e">
        <f t="shared" si="7"/>
        <v>#REF!</v>
      </c>
    </row>
    <row r="125" spans="1:22" s="5" customFormat="1">
      <c r="A125" s="375" t="e">
        <f>#REF!</f>
        <v>#REF!</v>
      </c>
      <c r="B125" s="943" t="s">
        <v>355</v>
      </c>
      <c r="C125" s="22" t="e">
        <f>#REF!</f>
        <v>#REF!</v>
      </c>
      <c r="D125" s="18"/>
      <c r="E125" s="18"/>
      <c r="F125" s="21" t="e">
        <f>#REF!</f>
        <v>#REF!</v>
      </c>
      <c r="G125" s="18"/>
      <c r="H125" s="18"/>
      <c r="I125" s="21" t="e">
        <f>#REF!</f>
        <v>#REF!</v>
      </c>
      <c r="J125" s="18"/>
      <c r="K125" s="18"/>
      <c r="L125" s="21" t="e">
        <f>#REF!</f>
        <v>#REF!</v>
      </c>
      <c r="M125" s="18"/>
      <c r="N125" s="18"/>
      <c r="O125" s="21" t="e">
        <f>#REF!</f>
        <v>#REF!</v>
      </c>
      <c r="P125" s="18"/>
      <c r="Q125" s="18"/>
      <c r="R125" s="22" t="e">
        <f t="shared" si="6"/>
        <v>#REF!</v>
      </c>
      <c r="S125" s="96" t="e">
        <f>#REF!</f>
        <v>#REF!</v>
      </c>
      <c r="T125" s="42"/>
      <c r="U125" s="9"/>
      <c r="V125" s="5" t="e">
        <f t="shared" si="7"/>
        <v>#REF!</v>
      </c>
    </row>
    <row r="126" spans="1:22" s="5" customFormat="1">
      <c r="A126" s="375" t="e">
        <f>#REF!</f>
        <v>#REF!</v>
      </c>
      <c r="B126" s="943" t="s">
        <v>355</v>
      </c>
      <c r="C126" s="22" t="e">
        <f>#REF!</f>
        <v>#REF!</v>
      </c>
      <c r="D126" s="18"/>
      <c r="E126" s="18"/>
      <c r="F126" s="21" t="e">
        <f>#REF!</f>
        <v>#REF!</v>
      </c>
      <c r="G126" s="18"/>
      <c r="H126" s="18"/>
      <c r="I126" s="21" t="e">
        <f>#REF!</f>
        <v>#REF!</v>
      </c>
      <c r="J126" s="18"/>
      <c r="K126" s="18"/>
      <c r="L126" s="21" t="e">
        <f>#REF!</f>
        <v>#REF!</v>
      </c>
      <c r="M126" s="18"/>
      <c r="N126" s="18"/>
      <c r="O126" s="21" t="e">
        <f>#REF!</f>
        <v>#REF!</v>
      </c>
      <c r="P126" s="18"/>
      <c r="Q126" s="18"/>
      <c r="R126" s="22" t="e">
        <f t="shared" si="6"/>
        <v>#REF!</v>
      </c>
      <c r="S126" s="96" t="e">
        <f>#REF!</f>
        <v>#REF!</v>
      </c>
      <c r="T126" s="42"/>
      <c r="U126" s="9"/>
      <c r="V126" s="5" t="e">
        <f t="shared" si="7"/>
        <v>#REF!</v>
      </c>
    </row>
    <row r="127" spans="1:22" s="5" customFormat="1">
      <c r="A127" s="375" t="e">
        <f>#REF!</f>
        <v>#REF!</v>
      </c>
      <c r="B127" s="943" t="s">
        <v>355</v>
      </c>
      <c r="C127" s="22" t="e">
        <f>#REF!</f>
        <v>#REF!</v>
      </c>
      <c r="D127" s="18"/>
      <c r="E127" s="18"/>
      <c r="F127" s="21" t="e">
        <f>#REF!</f>
        <v>#REF!</v>
      </c>
      <c r="G127" s="18"/>
      <c r="H127" s="18"/>
      <c r="I127" s="21" t="e">
        <f>#REF!</f>
        <v>#REF!</v>
      </c>
      <c r="J127" s="18"/>
      <c r="K127" s="18"/>
      <c r="L127" s="21" t="e">
        <f>#REF!</f>
        <v>#REF!</v>
      </c>
      <c r="M127" s="18"/>
      <c r="N127" s="18"/>
      <c r="O127" s="21" t="e">
        <f>#REF!</f>
        <v>#REF!</v>
      </c>
      <c r="P127" s="18"/>
      <c r="Q127" s="18"/>
      <c r="R127" s="22" t="e">
        <f t="shared" si="6"/>
        <v>#REF!</v>
      </c>
      <c r="S127" s="96" t="e">
        <f>#REF!</f>
        <v>#REF!</v>
      </c>
      <c r="T127" s="42"/>
      <c r="U127" s="9"/>
      <c r="V127" s="5" t="e">
        <f t="shared" si="7"/>
        <v>#REF!</v>
      </c>
    </row>
    <row r="128" spans="1:22" s="5" customFormat="1">
      <c r="A128" s="375" t="e">
        <f>#REF!</f>
        <v>#REF!</v>
      </c>
      <c r="B128" s="943" t="s">
        <v>355</v>
      </c>
      <c r="C128" s="22" t="e">
        <f>#REF!</f>
        <v>#REF!</v>
      </c>
      <c r="D128" s="18"/>
      <c r="E128" s="18"/>
      <c r="F128" s="21" t="e">
        <f>#REF!</f>
        <v>#REF!</v>
      </c>
      <c r="G128" s="18"/>
      <c r="H128" s="18"/>
      <c r="I128" s="21" t="e">
        <f>#REF!</f>
        <v>#REF!</v>
      </c>
      <c r="J128" s="18"/>
      <c r="K128" s="18"/>
      <c r="L128" s="21" t="e">
        <f>#REF!</f>
        <v>#REF!</v>
      </c>
      <c r="M128" s="18"/>
      <c r="N128" s="18"/>
      <c r="O128" s="21" t="e">
        <f>#REF!</f>
        <v>#REF!</v>
      </c>
      <c r="P128" s="18"/>
      <c r="Q128" s="18"/>
      <c r="R128" s="22" t="e">
        <f t="shared" si="6"/>
        <v>#REF!</v>
      </c>
      <c r="S128" s="96" t="e">
        <f>#REF!</f>
        <v>#REF!</v>
      </c>
      <c r="T128" s="42"/>
      <c r="U128" s="9"/>
      <c r="V128" s="5" t="e">
        <f t="shared" si="7"/>
        <v>#REF!</v>
      </c>
    </row>
    <row r="129" spans="1:22" s="5" customFormat="1">
      <c r="A129" s="375" t="e">
        <f>#REF!</f>
        <v>#REF!</v>
      </c>
      <c r="B129" s="943" t="s">
        <v>355</v>
      </c>
      <c r="C129" s="22" t="e">
        <f>#REF!</f>
        <v>#REF!</v>
      </c>
      <c r="D129" s="18"/>
      <c r="E129" s="18"/>
      <c r="F129" s="21" t="e">
        <f>#REF!</f>
        <v>#REF!</v>
      </c>
      <c r="G129" s="18"/>
      <c r="H129" s="18"/>
      <c r="I129" s="21" t="e">
        <f>#REF!</f>
        <v>#REF!</v>
      </c>
      <c r="J129" s="18"/>
      <c r="K129" s="18"/>
      <c r="L129" s="21" t="e">
        <f>#REF!</f>
        <v>#REF!</v>
      </c>
      <c r="M129" s="18"/>
      <c r="N129" s="18"/>
      <c r="O129" s="21" t="e">
        <f>#REF!</f>
        <v>#REF!</v>
      </c>
      <c r="P129" s="18"/>
      <c r="Q129" s="18"/>
      <c r="R129" s="22" t="e">
        <f t="shared" si="6"/>
        <v>#REF!</v>
      </c>
      <c r="S129" s="96" t="e">
        <f>#REF!</f>
        <v>#REF!</v>
      </c>
      <c r="T129" s="42"/>
      <c r="U129" s="9"/>
      <c r="V129" s="5" t="e">
        <f t="shared" si="7"/>
        <v>#REF!</v>
      </c>
    </row>
    <row r="130" spans="1:22" s="5" customFormat="1">
      <c r="A130" s="375" t="e">
        <f>#REF!</f>
        <v>#REF!</v>
      </c>
      <c r="B130" s="943" t="s">
        <v>355</v>
      </c>
      <c r="C130" s="22" t="e">
        <f>#REF!</f>
        <v>#REF!</v>
      </c>
      <c r="D130" s="18"/>
      <c r="E130" s="18"/>
      <c r="F130" s="21" t="e">
        <f>#REF!</f>
        <v>#REF!</v>
      </c>
      <c r="G130" s="18"/>
      <c r="H130" s="18"/>
      <c r="I130" s="21" t="e">
        <f>#REF!</f>
        <v>#REF!</v>
      </c>
      <c r="J130" s="18"/>
      <c r="K130" s="18"/>
      <c r="L130" s="21" t="e">
        <f>#REF!</f>
        <v>#REF!</v>
      </c>
      <c r="M130" s="18"/>
      <c r="N130" s="18"/>
      <c r="O130" s="21" t="e">
        <f>#REF!</f>
        <v>#REF!</v>
      </c>
      <c r="P130" s="18"/>
      <c r="Q130" s="18"/>
      <c r="R130" s="22" t="e">
        <f t="shared" si="6"/>
        <v>#REF!</v>
      </c>
      <c r="S130" s="96" t="e">
        <f>#REF!</f>
        <v>#REF!</v>
      </c>
      <c r="T130" s="42"/>
      <c r="U130" s="9"/>
      <c r="V130" s="5" t="e">
        <f t="shared" si="7"/>
        <v>#REF!</v>
      </c>
    </row>
    <row r="131" spans="1:22" s="5" customFormat="1">
      <c r="A131" s="375" t="e">
        <f>#REF!</f>
        <v>#REF!</v>
      </c>
      <c r="B131" s="943" t="s">
        <v>355</v>
      </c>
      <c r="C131" s="22" t="e">
        <f>#REF!</f>
        <v>#REF!</v>
      </c>
      <c r="D131" s="18"/>
      <c r="E131" s="18"/>
      <c r="F131" s="21" t="e">
        <f>#REF!</f>
        <v>#REF!</v>
      </c>
      <c r="G131" s="18"/>
      <c r="H131" s="18"/>
      <c r="I131" s="21" t="e">
        <f>#REF!</f>
        <v>#REF!</v>
      </c>
      <c r="J131" s="18"/>
      <c r="K131" s="18"/>
      <c r="L131" s="21" t="e">
        <f>#REF!</f>
        <v>#REF!</v>
      </c>
      <c r="M131" s="18"/>
      <c r="N131" s="18"/>
      <c r="O131" s="21" t="e">
        <f>#REF!</f>
        <v>#REF!</v>
      </c>
      <c r="P131" s="18"/>
      <c r="Q131" s="18"/>
      <c r="R131" s="22" t="e">
        <f t="shared" si="6"/>
        <v>#REF!</v>
      </c>
      <c r="S131" s="96" t="e">
        <f>#REF!</f>
        <v>#REF!</v>
      </c>
      <c r="T131" s="42"/>
      <c r="U131" s="9"/>
      <c r="V131" s="5" t="e">
        <f t="shared" si="7"/>
        <v>#REF!</v>
      </c>
    </row>
    <row r="132" spans="1:22" s="5" customFormat="1">
      <c r="A132" s="375" t="e">
        <f>#REF!</f>
        <v>#REF!</v>
      </c>
      <c r="B132" s="943" t="s">
        <v>355</v>
      </c>
      <c r="C132" s="22" t="e">
        <f>#REF!</f>
        <v>#REF!</v>
      </c>
      <c r="D132" s="18"/>
      <c r="E132" s="18"/>
      <c r="F132" s="21" t="e">
        <f>#REF!</f>
        <v>#REF!</v>
      </c>
      <c r="G132" s="18"/>
      <c r="H132" s="18"/>
      <c r="I132" s="21" t="e">
        <f>#REF!</f>
        <v>#REF!</v>
      </c>
      <c r="J132" s="18"/>
      <c r="K132" s="18"/>
      <c r="L132" s="21" t="e">
        <f>#REF!</f>
        <v>#REF!</v>
      </c>
      <c r="M132" s="18"/>
      <c r="N132" s="18"/>
      <c r="O132" s="21" t="e">
        <f>#REF!</f>
        <v>#REF!</v>
      </c>
      <c r="P132" s="18"/>
      <c r="Q132" s="18"/>
      <c r="R132" s="22" t="e">
        <f t="shared" si="6"/>
        <v>#REF!</v>
      </c>
      <c r="S132" s="96" t="e">
        <f>#REF!</f>
        <v>#REF!</v>
      </c>
      <c r="T132" s="42"/>
      <c r="U132" s="9"/>
      <c r="V132" s="5" t="e">
        <f t="shared" si="7"/>
        <v>#REF!</v>
      </c>
    </row>
    <row r="133" spans="1:22" s="5" customFormat="1">
      <c r="A133" s="375" t="e">
        <f>#REF!</f>
        <v>#REF!</v>
      </c>
      <c r="B133" s="943" t="s">
        <v>355</v>
      </c>
      <c r="C133" s="22" t="e">
        <f>#REF!</f>
        <v>#REF!</v>
      </c>
      <c r="D133" s="18"/>
      <c r="E133" s="18"/>
      <c r="F133" s="21" t="e">
        <f>#REF!</f>
        <v>#REF!</v>
      </c>
      <c r="G133" s="18"/>
      <c r="H133" s="18"/>
      <c r="I133" s="21" t="e">
        <f>#REF!</f>
        <v>#REF!</v>
      </c>
      <c r="J133" s="18"/>
      <c r="K133" s="18"/>
      <c r="L133" s="21" t="e">
        <f>#REF!</f>
        <v>#REF!</v>
      </c>
      <c r="M133" s="18"/>
      <c r="N133" s="18"/>
      <c r="O133" s="21" t="e">
        <f>#REF!</f>
        <v>#REF!</v>
      </c>
      <c r="P133" s="18"/>
      <c r="Q133" s="18"/>
      <c r="R133" s="22" t="e">
        <f t="shared" si="6"/>
        <v>#REF!</v>
      </c>
      <c r="S133" s="96" t="e">
        <f>#REF!</f>
        <v>#REF!</v>
      </c>
      <c r="T133" s="42"/>
      <c r="U133" s="9"/>
      <c r="V133" s="5" t="e">
        <f t="shared" si="7"/>
        <v>#REF!</v>
      </c>
    </row>
    <row r="134" spans="1:22" s="5" customFormat="1">
      <c r="A134" s="375" t="e">
        <f>#REF!</f>
        <v>#REF!</v>
      </c>
      <c r="B134" s="943" t="s">
        <v>355</v>
      </c>
      <c r="C134" s="22" t="e">
        <f>#REF!</f>
        <v>#REF!</v>
      </c>
      <c r="D134" s="18"/>
      <c r="E134" s="18"/>
      <c r="F134" s="21" t="e">
        <f>#REF!</f>
        <v>#REF!</v>
      </c>
      <c r="G134" s="18"/>
      <c r="H134" s="18"/>
      <c r="I134" s="21" t="e">
        <f>#REF!</f>
        <v>#REF!</v>
      </c>
      <c r="J134" s="18"/>
      <c r="K134" s="18"/>
      <c r="L134" s="21" t="e">
        <f>#REF!</f>
        <v>#REF!</v>
      </c>
      <c r="M134" s="18"/>
      <c r="N134" s="18"/>
      <c r="O134" s="21" t="e">
        <f>#REF!</f>
        <v>#REF!</v>
      </c>
      <c r="P134" s="18"/>
      <c r="Q134" s="18"/>
      <c r="R134" s="22" t="e">
        <f t="shared" si="6"/>
        <v>#REF!</v>
      </c>
      <c r="S134" s="96" t="e">
        <f>#REF!</f>
        <v>#REF!</v>
      </c>
      <c r="T134" s="42"/>
      <c r="U134" s="9"/>
      <c r="V134" s="5" t="e">
        <f t="shared" si="7"/>
        <v>#REF!</v>
      </c>
    </row>
    <row r="135" spans="1:22" s="5" customFormat="1">
      <c r="A135" s="375" t="e">
        <f>#REF!</f>
        <v>#REF!</v>
      </c>
      <c r="B135" s="943" t="s">
        <v>355</v>
      </c>
      <c r="C135" s="22" t="e">
        <f>#REF!</f>
        <v>#REF!</v>
      </c>
      <c r="D135" s="18"/>
      <c r="E135" s="18"/>
      <c r="F135" s="21" t="e">
        <f>#REF!</f>
        <v>#REF!</v>
      </c>
      <c r="G135" s="18"/>
      <c r="H135" s="18"/>
      <c r="I135" s="21" t="e">
        <f>#REF!</f>
        <v>#REF!</v>
      </c>
      <c r="J135" s="18"/>
      <c r="K135" s="18"/>
      <c r="L135" s="21" t="e">
        <f>#REF!</f>
        <v>#REF!</v>
      </c>
      <c r="M135" s="18"/>
      <c r="N135" s="18"/>
      <c r="O135" s="21" t="e">
        <f>#REF!</f>
        <v>#REF!</v>
      </c>
      <c r="P135" s="18"/>
      <c r="Q135" s="18"/>
      <c r="R135" s="22" t="e">
        <f t="shared" si="6"/>
        <v>#REF!</v>
      </c>
      <c r="S135" s="96" t="e">
        <f>#REF!</f>
        <v>#REF!</v>
      </c>
      <c r="T135" s="42"/>
      <c r="U135" s="9"/>
      <c r="V135" s="5" t="e">
        <f t="shared" si="7"/>
        <v>#REF!</v>
      </c>
    </row>
    <row r="136" spans="1:22" s="5" customFormat="1">
      <c r="A136" s="375" t="e">
        <f>#REF!</f>
        <v>#REF!</v>
      </c>
      <c r="B136" s="943" t="s">
        <v>355</v>
      </c>
      <c r="C136" s="22" t="e">
        <f>#REF!</f>
        <v>#REF!</v>
      </c>
      <c r="D136" s="18"/>
      <c r="E136" s="18"/>
      <c r="F136" s="21" t="e">
        <f>#REF!</f>
        <v>#REF!</v>
      </c>
      <c r="G136" s="18"/>
      <c r="H136" s="18"/>
      <c r="I136" s="21" t="e">
        <f>#REF!</f>
        <v>#REF!</v>
      </c>
      <c r="J136" s="18"/>
      <c r="K136" s="18"/>
      <c r="L136" s="21" t="e">
        <f>#REF!</f>
        <v>#REF!</v>
      </c>
      <c r="M136" s="18"/>
      <c r="N136" s="18"/>
      <c r="O136" s="21" t="e">
        <f>#REF!</f>
        <v>#REF!</v>
      </c>
      <c r="P136" s="18"/>
      <c r="Q136" s="18"/>
      <c r="R136" s="22" t="e">
        <f t="shared" si="6"/>
        <v>#REF!</v>
      </c>
      <c r="S136" s="96" t="e">
        <f>#REF!</f>
        <v>#REF!</v>
      </c>
      <c r="T136" s="42"/>
      <c r="U136" s="9"/>
      <c r="V136" s="5" t="e">
        <f t="shared" si="7"/>
        <v>#REF!</v>
      </c>
    </row>
    <row r="137" spans="1:22" s="5" customFormat="1">
      <c r="A137" s="375" t="e">
        <f>#REF!</f>
        <v>#REF!</v>
      </c>
      <c r="B137" s="943" t="s">
        <v>355</v>
      </c>
      <c r="C137" s="22" t="e">
        <f>#REF!</f>
        <v>#REF!</v>
      </c>
      <c r="D137" s="18"/>
      <c r="E137" s="18"/>
      <c r="F137" s="21" t="e">
        <f>#REF!</f>
        <v>#REF!</v>
      </c>
      <c r="G137" s="18"/>
      <c r="H137" s="18"/>
      <c r="I137" s="21" t="e">
        <f>#REF!</f>
        <v>#REF!</v>
      </c>
      <c r="J137" s="18"/>
      <c r="K137" s="18"/>
      <c r="L137" s="21" t="e">
        <f>#REF!</f>
        <v>#REF!</v>
      </c>
      <c r="M137" s="18"/>
      <c r="N137" s="18"/>
      <c r="O137" s="21" t="e">
        <f>#REF!</f>
        <v>#REF!</v>
      </c>
      <c r="P137" s="18"/>
      <c r="Q137" s="18"/>
      <c r="R137" s="22" t="e">
        <f t="shared" si="6"/>
        <v>#REF!</v>
      </c>
      <c r="S137" s="96" t="e">
        <f>#REF!</f>
        <v>#REF!</v>
      </c>
      <c r="T137" s="42"/>
      <c r="U137" s="9"/>
      <c r="V137" s="5" t="e">
        <f t="shared" si="7"/>
        <v>#REF!</v>
      </c>
    </row>
    <row r="138" spans="1:22" s="5" customFormat="1">
      <c r="A138" s="375" t="e">
        <f>#REF!</f>
        <v>#REF!</v>
      </c>
      <c r="B138" s="943" t="s">
        <v>355</v>
      </c>
      <c r="C138" s="22" t="e">
        <f>#REF!</f>
        <v>#REF!</v>
      </c>
      <c r="D138" s="18"/>
      <c r="E138" s="18"/>
      <c r="F138" s="21" t="e">
        <f>#REF!</f>
        <v>#REF!</v>
      </c>
      <c r="G138" s="18"/>
      <c r="H138" s="18"/>
      <c r="I138" s="21" t="e">
        <f>#REF!</f>
        <v>#REF!</v>
      </c>
      <c r="J138" s="18"/>
      <c r="K138" s="18"/>
      <c r="L138" s="21" t="e">
        <f>#REF!</f>
        <v>#REF!</v>
      </c>
      <c r="M138" s="18"/>
      <c r="N138" s="18"/>
      <c r="O138" s="21" t="e">
        <f>#REF!</f>
        <v>#REF!</v>
      </c>
      <c r="P138" s="18"/>
      <c r="Q138" s="18"/>
      <c r="R138" s="22" t="e">
        <f t="shared" si="6"/>
        <v>#REF!</v>
      </c>
      <c r="S138" s="96" t="e">
        <f>#REF!</f>
        <v>#REF!</v>
      </c>
      <c r="T138" s="42"/>
      <c r="U138" s="9"/>
      <c r="V138" s="5" t="e">
        <f t="shared" si="7"/>
        <v>#REF!</v>
      </c>
    </row>
    <row r="139" spans="1:22" s="5" customFormat="1">
      <c r="A139" s="375" t="e">
        <f>#REF!</f>
        <v>#REF!</v>
      </c>
      <c r="B139" s="943" t="s">
        <v>355</v>
      </c>
      <c r="C139" s="22" t="e">
        <f>#REF!</f>
        <v>#REF!</v>
      </c>
      <c r="D139" s="18"/>
      <c r="E139" s="18"/>
      <c r="F139" s="21" t="e">
        <f>#REF!</f>
        <v>#REF!</v>
      </c>
      <c r="G139" s="18"/>
      <c r="H139" s="18"/>
      <c r="I139" s="21" t="e">
        <f>#REF!</f>
        <v>#REF!</v>
      </c>
      <c r="J139" s="18"/>
      <c r="K139" s="18"/>
      <c r="L139" s="21" t="e">
        <f>#REF!</f>
        <v>#REF!</v>
      </c>
      <c r="M139" s="18"/>
      <c r="N139" s="18"/>
      <c r="O139" s="21" t="e">
        <f>#REF!</f>
        <v>#REF!</v>
      </c>
      <c r="P139" s="18"/>
      <c r="Q139" s="18"/>
      <c r="R139" s="22" t="e">
        <f t="shared" si="6"/>
        <v>#REF!</v>
      </c>
      <c r="S139" s="96" t="e">
        <f>#REF!</f>
        <v>#REF!</v>
      </c>
      <c r="T139" s="42"/>
      <c r="U139" s="9"/>
      <c r="V139" s="5" t="e">
        <f t="shared" si="7"/>
        <v>#REF!</v>
      </c>
    </row>
    <row r="140" spans="1:22" s="5" customFormat="1">
      <c r="A140" s="375" t="e">
        <f>#REF!</f>
        <v>#REF!</v>
      </c>
      <c r="B140" s="943" t="s">
        <v>355</v>
      </c>
      <c r="C140" s="22" t="e">
        <f>#REF!</f>
        <v>#REF!</v>
      </c>
      <c r="D140" s="18"/>
      <c r="E140" s="18"/>
      <c r="F140" s="21" t="e">
        <f>#REF!</f>
        <v>#REF!</v>
      </c>
      <c r="G140" s="18"/>
      <c r="H140" s="18"/>
      <c r="I140" s="21" t="e">
        <f>#REF!</f>
        <v>#REF!</v>
      </c>
      <c r="J140" s="18"/>
      <c r="K140" s="18"/>
      <c r="L140" s="21" t="e">
        <f>#REF!</f>
        <v>#REF!</v>
      </c>
      <c r="M140" s="18"/>
      <c r="N140" s="18"/>
      <c r="O140" s="21" t="e">
        <f>#REF!</f>
        <v>#REF!</v>
      </c>
      <c r="P140" s="18"/>
      <c r="Q140" s="18"/>
      <c r="R140" s="22" t="e">
        <f t="shared" si="6"/>
        <v>#REF!</v>
      </c>
      <c r="S140" s="96" t="e">
        <f>#REF!</f>
        <v>#REF!</v>
      </c>
      <c r="T140" s="42"/>
      <c r="U140" s="9"/>
      <c r="V140" s="5" t="e">
        <f t="shared" si="7"/>
        <v>#REF!</v>
      </c>
    </row>
    <row r="141" spans="1:22" s="5" customFormat="1">
      <c r="A141" s="375" t="e">
        <f>#REF!</f>
        <v>#REF!</v>
      </c>
      <c r="B141" s="943" t="s">
        <v>355</v>
      </c>
      <c r="C141" s="22" t="e">
        <f>#REF!</f>
        <v>#REF!</v>
      </c>
      <c r="D141" s="18"/>
      <c r="E141" s="18"/>
      <c r="F141" s="21" t="e">
        <f>#REF!</f>
        <v>#REF!</v>
      </c>
      <c r="G141" s="18"/>
      <c r="H141" s="18"/>
      <c r="I141" s="21" t="e">
        <f>#REF!</f>
        <v>#REF!</v>
      </c>
      <c r="J141" s="18"/>
      <c r="K141" s="18"/>
      <c r="L141" s="21" t="e">
        <f>#REF!</f>
        <v>#REF!</v>
      </c>
      <c r="M141" s="18"/>
      <c r="N141" s="18"/>
      <c r="O141" s="21" t="e">
        <f>#REF!</f>
        <v>#REF!</v>
      </c>
      <c r="P141" s="18"/>
      <c r="Q141" s="18"/>
      <c r="R141" s="22" t="e">
        <f t="shared" si="6"/>
        <v>#REF!</v>
      </c>
      <c r="S141" s="96" t="e">
        <f>#REF!</f>
        <v>#REF!</v>
      </c>
      <c r="T141" s="42"/>
      <c r="U141" s="9"/>
      <c r="V141" s="5" t="e">
        <f t="shared" si="7"/>
        <v>#REF!</v>
      </c>
    </row>
    <row r="142" spans="1:22" s="5" customFormat="1">
      <c r="A142" s="375" t="e">
        <f>#REF!</f>
        <v>#REF!</v>
      </c>
      <c r="B142" s="943" t="s">
        <v>355</v>
      </c>
      <c r="C142" s="22" t="e">
        <f>#REF!</f>
        <v>#REF!</v>
      </c>
      <c r="D142" s="18"/>
      <c r="E142" s="18"/>
      <c r="F142" s="21" t="e">
        <f>#REF!</f>
        <v>#REF!</v>
      </c>
      <c r="G142" s="18"/>
      <c r="H142" s="18"/>
      <c r="I142" s="21" t="e">
        <f>#REF!</f>
        <v>#REF!</v>
      </c>
      <c r="J142" s="18"/>
      <c r="K142" s="18"/>
      <c r="L142" s="21" t="e">
        <f>#REF!</f>
        <v>#REF!</v>
      </c>
      <c r="M142" s="18"/>
      <c r="N142" s="18"/>
      <c r="O142" s="21" t="e">
        <f>#REF!</f>
        <v>#REF!</v>
      </c>
      <c r="P142" s="18"/>
      <c r="Q142" s="18"/>
      <c r="R142" s="22" t="e">
        <f t="shared" si="6"/>
        <v>#REF!</v>
      </c>
      <c r="S142" s="96" t="e">
        <f>#REF!</f>
        <v>#REF!</v>
      </c>
      <c r="T142" s="42"/>
      <c r="U142" s="9"/>
      <c r="V142" s="5" t="e">
        <f t="shared" si="7"/>
        <v>#REF!</v>
      </c>
    </row>
    <row r="143" spans="1:22" s="5" customFormat="1">
      <c r="A143" s="375" t="e">
        <f>#REF!</f>
        <v>#REF!</v>
      </c>
      <c r="B143" s="943" t="s">
        <v>355</v>
      </c>
      <c r="C143" s="22" t="e">
        <f>#REF!</f>
        <v>#REF!</v>
      </c>
      <c r="D143" s="18"/>
      <c r="E143" s="18"/>
      <c r="F143" s="21" t="e">
        <f>#REF!</f>
        <v>#REF!</v>
      </c>
      <c r="G143" s="18"/>
      <c r="H143" s="18"/>
      <c r="I143" s="21" t="e">
        <f>#REF!</f>
        <v>#REF!</v>
      </c>
      <c r="J143" s="18"/>
      <c r="K143" s="18"/>
      <c r="L143" s="21" t="e">
        <f>#REF!</f>
        <v>#REF!</v>
      </c>
      <c r="M143" s="18"/>
      <c r="N143" s="18"/>
      <c r="O143" s="21" t="e">
        <f>#REF!</f>
        <v>#REF!</v>
      </c>
      <c r="P143" s="18"/>
      <c r="Q143" s="18"/>
      <c r="R143" s="22" t="e">
        <f t="shared" si="6"/>
        <v>#REF!</v>
      </c>
      <c r="S143" s="96" t="e">
        <f>#REF!</f>
        <v>#REF!</v>
      </c>
      <c r="T143" s="42"/>
      <c r="U143" s="9"/>
      <c r="V143" s="5" t="e">
        <f t="shared" si="7"/>
        <v>#REF!</v>
      </c>
    </row>
    <row r="144" spans="1:22" s="5" customFormat="1">
      <c r="A144" s="375" t="e">
        <f>#REF!</f>
        <v>#REF!</v>
      </c>
      <c r="B144" s="943" t="s">
        <v>355</v>
      </c>
      <c r="C144" s="22" t="e">
        <f>#REF!</f>
        <v>#REF!</v>
      </c>
      <c r="D144" s="18"/>
      <c r="E144" s="18"/>
      <c r="F144" s="21" t="e">
        <f>#REF!</f>
        <v>#REF!</v>
      </c>
      <c r="G144" s="18"/>
      <c r="H144" s="18"/>
      <c r="I144" s="21" t="e">
        <f>#REF!</f>
        <v>#REF!</v>
      </c>
      <c r="J144" s="18"/>
      <c r="K144" s="18"/>
      <c r="L144" s="21" t="e">
        <f>#REF!</f>
        <v>#REF!</v>
      </c>
      <c r="M144" s="18"/>
      <c r="N144" s="18"/>
      <c r="O144" s="21" t="e">
        <f>#REF!</f>
        <v>#REF!</v>
      </c>
      <c r="P144" s="18"/>
      <c r="Q144" s="18"/>
      <c r="R144" s="22" t="e">
        <f t="shared" si="6"/>
        <v>#REF!</v>
      </c>
      <c r="S144" s="96" t="e">
        <f>#REF!</f>
        <v>#REF!</v>
      </c>
      <c r="T144" s="42"/>
      <c r="U144" s="9"/>
      <c r="V144" s="5" t="e">
        <f t="shared" si="7"/>
        <v>#REF!</v>
      </c>
    </row>
    <row r="145" spans="1:22" s="5" customFormat="1">
      <c r="A145" s="375" t="e">
        <f>#REF!</f>
        <v>#REF!</v>
      </c>
      <c r="B145" s="943" t="s">
        <v>355</v>
      </c>
      <c r="C145" s="22" t="e">
        <f>#REF!</f>
        <v>#REF!</v>
      </c>
      <c r="D145" s="18"/>
      <c r="E145" s="18"/>
      <c r="F145" s="21" t="e">
        <f>#REF!</f>
        <v>#REF!</v>
      </c>
      <c r="G145" s="18"/>
      <c r="H145" s="18"/>
      <c r="I145" s="21" t="e">
        <f>#REF!</f>
        <v>#REF!</v>
      </c>
      <c r="J145" s="18"/>
      <c r="K145" s="18"/>
      <c r="L145" s="21" t="e">
        <f>#REF!</f>
        <v>#REF!</v>
      </c>
      <c r="M145" s="18"/>
      <c r="N145" s="18"/>
      <c r="O145" s="21" t="e">
        <f>#REF!</f>
        <v>#REF!</v>
      </c>
      <c r="P145" s="18"/>
      <c r="Q145" s="18"/>
      <c r="R145" s="22" t="e">
        <f t="shared" si="6"/>
        <v>#REF!</v>
      </c>
      <c r="S145" s="96" t="e">
        <f>#REF!</f>
        <v>#REF!</v>
      </c>
      <c r="T145" s="42"/>
      <c r="U145" s="9"/>
      <c r="V145" s="5" t="e">
        <f t="shared" si="7"/>
        <v>#REF!</v>
      </c>
    </row>
    <row r="146" spans="1:22" s="5" customFormat="1">
      <c r="A146" s="375" t="e">
        <f>#REF!</f>
        <v>#REF!</v>
      </c>
      <c r="B146" s="943" t="s">
        <v>355</v>
      </c>
      <c r="C146" s="22" t="e">
        <f>#REF!</f>
        <v>#REF!</v>
      </c>
      <c r="D146" s="18"/>
      <c r="E146" s="18"/>
      <c r="F146" s="21" t="e">
        <f>#REF!</f>
        <v>#REF!</v>
      </c>
      <c r="G146" s="18"/>
      <c r="H146" s="18"/>
      <c r="I146" s="21" t="e">
        <f>#REF!</f>
        <v>#REF!</v>
      </c>
      <c r="J146" s="18"/>
      <c r="K146" s="18"/>
      <c r="L146" s="21" t="e">
        <f>#REF!</f>
        <v>#REF!</v>
      </c>
      <c r="M146" s="18"/>
      <c r="N146" s="18"/>
      <c r="O146" s="21" t="e">
        <f>#REF!</f>
        <v>#REF!</v>
      </c>
      <c r="P146" s="18"/>
      <c r="Q146" s="18"/>
      <c r="R146" s="22" t="e">
        <f t="shared" si="6"/>
        <v>#REF!</v>
      </c>
      <c r="S146" s="96" t="e">
        <f>#REF!</f>
        <v>#REF!</v>
      </c>
      <c r="T146" s="42"/>
      <c r="U146" s="9"/>
      <c r="V146" s="5" t="e">
        <f t="shared" si="7"/>
        <v>#REF!</v>
      </c>
    </row>
    <row r="147" spans="1:22" s="5" customFormat="1">
      <c r="A147" s="375" t="e">
        <f>#REF!</f>
        <v>#REF!</v>
      </c>
      <c r="B147" s="943" t="s">
        <v>355</v>
      </c>
      <c r="C147" s="22" t="e">
        <f>#REF!</f>
        <v>#REF!</v>
      </c>
      <c r="D147" s="18"/>
      <c r="E147" s="18"/>
      <c r="F147" s="21" t="e">
        <f>#REF!</f>
        <v>#REF!</v>
      </c>
      <c r="G147" s="18"/>
      <c r="H147" s="18"/>
      <c r="I147" s="21" t="e">
        <f>#REF!</f>
        <v>#REF!</v>
      </c>
      <c r="J147" s="18"/>
      <c r="K147" s="18"/>
      <c r="L147" s="21" t="e">
        <f>#REF!</f>
        <v>#REF!</v>
      </c>
      <c r="M147" s="18"/>
      <c r="N147" s="18"/>
      <c r="O147" s="21" t="e">
        <f>#REF!</f>
        <v>#REF!</v>
      </c>
      <c r="P147" s="18"/>
      <c r="Q147" s="18"/>
      <c r="R147" s="22" t="e">
        <f t="shared" si="6"/>
        <v>#REF!</v>
      </c>
      <c r="S147" s="96" t="e">
        <f>#REF!</f>
        <v>#REF!</v>
      </c>
      <c r="T147" s="42"/>
      <c r="U147" s="9"/>
      <c r="V147" s="5" t="e">
        <f t="shared" si="7"/>
        <v>#REF!</v>
      </c>
    </row>
    <row r="148" spans="1:22" s="5" customFormat="1">
      <c r="A148" s="375" t="e">
        <f>#REF!</f>
        <v>#REF!</v>
      </c>
      <c r="B148" s="943" t="s">
        <v>355</v>
      </c>
      <c r="C148" s="22" t="e">
        <f>#REF!</f>
        <v>#REF!</v>
      </c>
      <c r="D148" s="18"/>
      <c r="E148" s="18"/>
      <c r="F148" s="21" t="e">
        <f>#REF!</f>
        <v>#REF!</v>
      </c>
      <c r="G148" s="18"/>
      <c r="H148" s="18"/>
      <c r="I148" s="21" t="e">
        <f>#REF!</f>
        <v>#REF!</v>
      </c>
      <c r="J148" s="18"/>
      <c r="K148" s="18"/>
      <c r="L148" s="21" t="e">
        <f>#REF!</f>
        <v>#REF!</v>
      </c>
      <c r="M148" s="18"/>
      <c r="N148" s="18"/>
      <c r="O148" s="21" t="e">
        <f>#REF!</f>
        <v>#REF!</v>
      </c>
      <c r="P148" s="18"/>
      <c r="Q148" s="18"/>
      <c r="R148" s="22" t="e">
        <f t="shared" si="6"/>
        <v>#REF!</v>
      </c>
      <c r="S148" s="96" t="e">
        <f>#REF!</f>
        <v>#REF!</v>
      </c>
      <c r="T148" s="42"/>
      <c r="U148" s="9"/>
      <c r="V148" s="5" t="e">
        <f t="shared" si="7"/>
        <v>#REF!</v>
      </c>
    </row>
    <row r="149" spans="1:22" s="5" customFormat="1">
      <c r="A149" s="375" t="e">
        <f>#REF!</f>
        <v>#REF!</v>
      </c>
      <c r="B149" s="943" t="s">
        <v>355</v>
      </c>
      <c r="C149" s="22" t="e">
        <f>#REF!</f>
        <v>#REF!</v>
      </c>
      <c r="D149" s="18"/>
      <c r="E149" s="18"/>
      <c r="F149" s="21" t="e">
        <f>#REF!</f>
        <v>#REF!</v>
      </c>
      <c r="G149" s="18"/>
      <c r="H149" s="18"/>
      <c r="I149" s="21" t="e">
        <f>#REF!</f>
        <v>#REF!</v>
      </c>
      <c r="J149" s="18"/>
      <c r="K149" s="18"/>
      <c r="L149" s="21" t="e">
        <f>#REF!</f>
        <v>#REF!</v>
      </c>
      <c r="M149" s="18"/>
      <c r="N149" s="18"/>
      <c r="O149" s="21" t="e">
        <f>#REF!</f>
        <v>#REF!</v>
      </c>
      <c r="P149" s="18"/>
      <c r="Q149" s="18"/>
      <c r="R149" s="22" t="e">
        <f t="shared" ref="R149:R180" si="8">C149+F149+I149+L149+O149</f>
        <v>#REF!</v>
      </c>
      <c r="S149" s="96" t="e">
        <f>#REF!</f>
        <v>#REF!</v>
      </c>
      <c r="T149" s="42"/>
      <c r="U149" s="9"/>
      <c r="V149" s="5" t="e">
        <f t="shared" si="7"/>
        <v>#REF!</v>
      </c>
    </row>
    <row r="150" spans="1:22" s="5" customFormat="1">
      <c r="A150" s="375" t="e">
        <f>#REF!</f>
        <v>#REF!</v>
      </c>
      <c r="B150" s="943" t="s">
        <v>355</v>
      </c>
      <c r="C150" s="22" t="e">
        <f>#REF!</f>
        <v>#REF!</v>
      </c>
      <c r="D150" s="18"/>
      <c r="E150" s="18"/>
      <c r="F150" s="21" t="e">
        <f>#REF!</f>
        <v>#REF!</v>
      </c>
      <c r="G150" s="18"/>
      <c r="H150" s="18"/>
      <c r="I150" s="21" t="e">
        <f>#REF!</f>
        <v>#REF!</v>
      </c>
      <c r="J150" s="18"/>
      <c r="K150" s="18"/>
      <c r="L150" s="21" t="e">
        <f>#REF!</f>
        <v>#REF!</v>
      </c>
      <c r="M150" s="18"/>
      <c r="N150" s="18"/>
      <c r="O150" s="21" t="e">
        <f>#REF!</f>
        <v>#REF!</v>
      </c>
      <c r="P150" s="18"/>
      <c r="Q150" s="18"/>
      <c r="R150" s="22" t="e">
        <f t="shared" si="8"/>
        <v>#REF!</v>
      </c>
      <c r="S150" s="96" t="e">
        <f>#REF!</f>
        <v>#REF!</v>
      </c>
      <c r="T150" s="42"/>
      <c r="U150" s="9"/>
      <c r="V150" s="5" t="e">
        <f t="shared" si="7"/>
        <v>#REF!</v>
      </c>
    </row>
    <row r="151" spans="1:22" s="5" customFormat="1">
      <c r="A151" s="375" t="e">
        <f>#REF!</f>
        <v>#REF!</v>
      </c>
      <c r="B151" s="943" t="s">
        <v>355</v>
      </c>
      <c r="C151" s="22" t="e">
        <f>#REF!</f>
        <v>#REF!</v>
      </c>
      <c r="D151" s="18"/>
      <c r="E151" s="18"/>
      <c r="F151" s="21" t="e">
        <f>#REF!</f>
        <v>#REF!</v>
      </c>
      <c r="G151" s="18"/>
      <c r="H151" s="18"/>
      <c r="I151" s="21" t="e">
        <f>#REF!</f>
        <v>#REF!</v>
      </c>
      <c r="J151" s="18"/>
      <c r="K151" s="18"/>
      <c r="L151" s="21" t="e">
        <f>#REF!</f>
        <v>#REF!</v>
      </c>
      <c r="M151" s="18"/>
      <c r="N151" s="18"/>
      <c r="O151" s="21" t="e">
        <f>#REF!</f>
        <v>#REF!</v>
      </c>
      <c r="P151" s="18"/>
      <c r="Q151" s="18"/>
      <c r="R151" s="22" t="e">
        <f t="shared" si="8"/>
        <v>#REF!</v>
      </c>
      <c r="S151" s="96" t="e">
        <f>#REF!</f>
        <v>#REF!</v>
      </c>
      <c r="T151" s="42"/>
      <c r="U151" s="9"/>
      <c r="V151" s="5" t="e">
        <f t="shared" si="7"/>
        <v>#REF!</v>
      </c>
    </row>
    <row r="152" spans="1:22" s="5" customFormat="1">
      <c r="A152" s="375" t="e">
        <f>#REF!</f>
        <v>#REF!</v>
      </c>
      <c r="B152" s="943" t="s">
        <v>355</v>
      </c>
      <c r="C152" s="22" t="e">
        <f>#REF!</f>
        <v>#REF!</v>
      </c>
      <c r="D152" s="18"/>
      <c r="E152" s="18"/>
      <c r="F152" s="21" t="e">
        <f>#REF!</f>
        <v>#REF!</v>
      </c>
      <c r="G152" s="18"/>
      <c r="H152" s="18"/>
      <c r="I152" s="21" t="e">
        <f>#REF!</f>
        <v>#REF!</v>
      </c>
      <c r="J152" s="18"/>
      <c r="K152" s="18"/>
      <c r="L152" s="21" t="e">
        <f>#REF!</f>
        <v>#REF!</v>
      </c>
      <c r="M152" s="18"/>
      <c r="N152" s="18"/>
      <c r="O152" s="21" t="e">
        <f>#REF!</f>
        <v>#REF!</v>
      </c>
      <c r="P152" s="18"/>
      <c r="Q152" s="18"/>
      <c r="R152" s="22" t="e">
        <f t="shared" si="8"/>
        <v>#REF!</v>
      </c>
      <c r="S152" s="96" t="e">
        <f>#REF!</f>
        <v>#REF!</v>
      </c>
      <c r="T152" s="42"/>
      <c r="U152" s="9"/>
      <c r="V152" s="5" t="e">
        <f t="shared" si="7"/>
        <v>#REF!</v>
      </c>
    </row>
    <row r="153" spans="1:22" s="5" customFormat="1">
      <c r="A153" s="375" t="e">
        <f>#REF!</f>
        <v>#REF!</v>
      </c>
      <c r="B153" s="943" t="s">
        <v>355</v>
      </c>
      <c r="C153" s="22" t="e">
        <f>#REF!</f>
        <v>#REF!</v>
      </c>
      <c r="D153" s="18"/>
      <c r="E153" s="18"/>
      <c r="F153" s="21" t="e">
        <f>#REF!</f>
        <v>#REF!</v>
      </c>
      <c r="G153" s="18"/>
      <c r="H153" s="18"/>
      <c r="I153" s="21" t="e">
        <f>#REF!</f>
        <v>#REF!</v>
      </c>
      <c r="J153" s="18"/>
      <c r="K153" s="18"/>
      <c r="L153" s="21" t="e">
        <f>#REF!</f>
        <v>#REF!</v>
      </c>
      <c r="M153" s="18"/>
      <c r="N153" s="18"/>
      <c r="O153" s="21" t="e">
        <f>#REF!</f>
        <v>#REF!</v>
      </c>
      <c r="P153" s="18"/>
      <c r="Q153" s="18"/>
      <c r="R153" s="22" t="e">
        <f t="shared" si="8"/>
        <v>#REF!</v>
      </c>
      <c r="S153" s="96" t="e">
        <f>#REF!</f>
        <v>#REF!</v>
      </c>
      <c r="T153" s="42"/>
      <c r="U153" s="9"/>
      <c r="V153" s="5" t="e">
        <f t="shared" si="7"/>
        <v>#REF!</v>
      </c>
    </row>
    <row r="154" spans="1:22" s="5" customFormat="1">
      <c r="A154" s="375" t="e">
        <f>#REF!</f>
        <v>#REF!</v>
      </c>
      <c r="B154" s="943" t="s">
        <v>355</v>
      </c>
      <c r="C154" s="22" t="e">
        <f>#REF!</f>
        <v>#REF!</v>
      </c>
      <c r="D154" s="18"/>
      <c r="E154" s="18"/>
      <c r="F154" s="21" t="e">
        <f>#REF!</f>
        <v>#REF!</v>
      </c>
      <c r="G154" s="18"/>
      <c r="H154" s="18"/>
      <c r="I154" s="21" t="e">
        <f>#REF!</f>
        <v>#REF!</v>
      </c>
      <c r="J154" s="18"/>
      <c r="K154" s="18"/>
      <c r="L154" s="21" t="e">
        <f>#REF!</f>
        <v>#REF!</v>
      </c>
      <c r="M154" s="18"/>
      <c r="N154" s="18"/>
      <c r="O154" s="21" t="e">
        <f>#REF!</f>
        <v>#REF!</v>
      </c>
      <c r="P154" s="18"/>
      <c r="Q154" s="18"/>
      <c r="R154" s="22" t="e">
        <f t="shared" si="8"/>
        <v>#REF!</v>
      </c>
      <c r="S154" s="96" t="e">
        <f>#REF!</f>
        <v>#REF!</v>
      </c>
      <c r="T154" s="42"/>
      <c r="U154" s="9"/>
      <c r="V154" s="5" t="e">
        <f t="shared" si="7"/>
        <v>#REF!</v>
      </c>
    </row>
    <row r="155" spans="1:22" s="5" customFormat="1">
      <c r="A155" s="375" t="e">
        <f>#REF!</f>
        <v>#REF!</v>
      </c>
      <c r="B155" s="943" t="s">
        <v>355</v>
      </c>
      <c r="C155" s="22" t="e">
        <f>#REF!</f>
        <v>#REF!</v>
      </c>
      <c r="D155" s="18"/>
      <c r="E155" s="18"/>
      <c r="F155" s="21" t="e">
        <f>#REF!</f>
        <v>#REF!</v>
      </c>
      <c r="G155" s="18"/>
      <c r="H155" s="18"/>
      <c r="I155" s="21" t="e">
        <f>#REF!</f>
        <v>#REF!</v>
      </c>
      <c r="J155" s="18"/>
      <c r="K155" s="18"/>
      <c r="L155" s="21" t="e">
        <f>#REF!</f>
        <v>#REF!</v>
      </c>
      <c r="M155" s="18"/>
      <c r="N155" s="18"/>
      <c r="O155" s="21" t="e">
        <f>#REF!</f>
        <v>#REF!</v>
      </c>
      <c r="P155" s="18"/>
      <c r="Q155" s="18"/>
      <c r="R155" s="22" t="e">
        <f t="shared" si="8"/>
        <v>#REF!</v>
      </c>
      <c r="S155" s="96" t="e">
        <f>#REF!</f>
        <v>#REF!</v>
      </c>
      <c r="T155" s="42"/>
      <c r="U155" s="9"/>
      <c r="V155" s="5" t="e">
        <f t="shared" si="7"/>
        <v>#REF!</v>
      </c>
    </row>
    <row r="156" spans="1:22" s="5" customFormat="1">
      <c r="A156" s="375" t="e">
        <f>#REF!</f>
        <v>#REF!</v>
      </c>
      <c r="B156" s="943" t="s">
        <v>355</v>
      </c>
      <c r="C156" s="22" t="e">
        <f>#REF!</f>
        <v>#REF!</v>
      </c>
      <c r="D156" s="18"/>
      <c r="E156" s="18"/>
      <c r="F156" s="21" t="e">
        <f>#REF!</f>
        <v>#REF!</v>
      </c>
      <c r="G156" s="18"/>
      <c r="H156" s="18"/>
      <c r="I156" s="21" t="e">
        <f>#REF!</f>
        <v>#REF!</v>
      </c>
      <c r="J156" s="18"/>
      <c r="K156" s="18"/>
      <c r="L156" s="21" t="e">
        <f>#REF!</f>
        <v>#REF!</v>
      </c>
      <c r="M156" s="18"/>
      <c r="N156" s="18"/>
      <c r="O156" s="21" t="e">
        <f>#REF!</f>
        <v>#REF!</v>
      </c>
      <c r="P156" s="18"/>
      <c r="Q156" s="18"/>
      <c r="R156" s="22" t="e">
        <f t="shared" si="8"/>
        <v>#REF!</v>
      </c>
      <c r="S156" s="96" t="e">
        <f>#REF!</f>
        <v>#REF!</v>
      </c>
      <c r="T156" s="42"/>
      <c r="U156" s="9"/>
      <c r="V156" s="5" t="e">
        <f t="shared" si="7"/>
        <v>#REF!</v>
      </c>
    </row>
    <row r="157" spans="1:22" s="5" customFormat="1">
      <c r="A157" s="375" t="e">
        <f>#REF!</f>
        <v>#REF!</v>
      </c>
      <c r="B157" s="943" t="s">
        <v>355</v>
      </c>
      <c r="C157" s="22" t="e">
        <f>#REF!</f>
        <v>#REF!</v>
      </c>
      <c r="D157" s="18"/>
      <c r="E157" s="18"/>
      <c r="F157" s="21" t="e">
        <f>#REF!</f>
        <v>#REF!</v>
      </c>
      <c r="G157" s="18"/>
      <c r="H157" s="18"/>
      <c r="I157" s="21" t="e">
        <f>#REF!</f>
        <v>#REF!</v>
      </c>
      <c r="J157" s="18"/>
      <c r="K157" s="18"/>
      <c r="L157" s="21" t="e">
        <f>#REF!</f>
        <v>#REF!</v>
      </c>
      <c r="M157" s="18"/>
      <c r="N157" s="18"/>
      <c r="O157" s="21" t="e">
        <f>#REF!</f>
        <v>#REF!</v>
      </c>
      <c r="P157" s="18"/>
      <c r="Q157" s="18"/>
      <c r="R157" s="22" t="e">
        <f t="shared" si="8"/>
        <v>#REF!</v>
      </c>
      <c r="S157" s="96" t="e">
        <f>#REF!</f>
        <v>#REF!</v>
      </c>
      <c r="T157" s="42"/>
      <c r="U157" s="9"/>
      <c r="V157" s="5" t="e">
        <f t="shared" si="7"/>
        <v>#REF!</v>
      </c>
    </row>
    <row r="158" spans="1:22" s="5" customFormat="1">
      <c r="A158" s="375" t="e">
        <f>#REF!</f>
        <v>#REF!</v>
      </c>
      <c r="B158" s="943" t="s">
        <v>355</v>
      </c>
      <c r="C158" s="22" t="e">
        <f>#REF!</f>
        <v>#REF!</v>
      </c>
      <c r="D158" s="18"/>
      <c r="E158" s="18"/>
      <c r="F158" s="21" t="e">
        <f>#REF!</f>
        <v>#REF!</v>
      </c>
      <c r="G158" s="18"/>
      <c r="H158" s="18"/>
      <c r="I158" s="21" t="e">
        <f>#REF!</f>
        <v>#REF!</v>
      </c>
      <c r="J158" s="18"/>
      <c r="K158" s="18"/>
      <c r="L158" s="21" t="e">
        <f>#REF!</f>
        <v>#REF!</v>
      </c>
      <c r="M158" s="18"/>
      <c r="N158" s="18"/>
      <c r="O158" s="21" t="e">
        <f>#REF!</f>
        <v>#REF!</v>
      </c>
      <c r="P158" s="18"/>
      <c r="Q158" s="18"/>
      <c r="R158" s="22" t="e">
        <f t="shared" si="8"/>
        <v>#REF!</v>
      </c>
      <c r="S158" s="96" t="e">
        <f>#REF!</f>
        <v>#REF!</v>
      </c>
      <c r="T158" s="42"/>
      <c r="U158" s="9"/>
      <c r="V158" s="5" t="e">
        <f t="shared" si="7"/>
        <v>#REF!</v>
      </c>
    </row>
    <row r="159" spans="1:22" s="5" customFormat="1">
      <c r="A159" s="375" t="e">
        <f>#REF!</f>
        <v>#REF!</v>
      </c>
      <c r="B159" s="943" t="s">
        <v>355</v>
      </c>
      <c r="C159" s="22" t="e">
        <f>#REF!</f>
        <v>#REF!</v>
      </c>
      <c r="D159" s="18"/>
      <c r="E159" s="18"/>
      <c r="F159" s="21" t="e">
        <f>#REF!</f>
        <v>#REF!</v>
      </c>
      <c r="G159" s="18"/>
      <c r="H159" s="18"/>
      <c r="I159" s="21" t="e">
        <f>#REF!</f>
        <v>#REF!</v>
      </c>
      <c r="J159" s="18"/>
      <c r="K159" s="18"/>
      <c r="L159" s="21" t="e">
        <f>#REF!</f>
        <v>#REF!</v>
      </c>
      <c r="M159" s="18"/>
      <c r="N159" s="18"/>
      <c r="O159" s="21" t="e">
        <f>#REF!</f>
        <v>#REF!</v>
      </c>
      <c r="P159" s="18"/>
      <c r="Q159" s="18"/>
      <c r="R159" s="22" t="e">
        <f t="shared" si="8"/>
        <v>#REF!</v>
      </c>
      <c r="S159" s="96" t="e">
        <f>#REF!</f>
        <v>#REF!</v>
      </c>
      <c r="T159" s="42"/>
      <c r="U159" s="9"/>
      <c r="V159" s="5" t="e">
        <f t="shared" si="7"/>
        <v>#REF!</v>
      </c>
    </row>
    <row r="160" spans="1:22" s="5" customFormat="1">
      <c r="A160" s="375" t="e">
        <f>#REF!</f>
        <v>#REF!</v>
      </c>
      <c r="B160" s="943" t="s">
        <v>355</v>
      </c>
      <c r="C160" s="22" t="e">
        <f>#REF!</f>
        <v>#REF!</v>
      </c>
      <c r="D160" s="18"/>
      <c r="E160" s="18"/>
      <c r="F160" s="21" t="e">
        <f>#REF!</f>
        <v>#REF!</v>
      </c>
      <c r="G160" s="18"/>
      <c r="H160" s="18"/>
      <c r="I160" s="21" t="e">
        <f>#REF!</f>
        <v>#REF!</v>
      </c>
      <c r="J160" s="18"/>
      <c r="K160" s="18"/>
      <c r="L160" s="21" t="e">
        <f>#REF!</f>
        <v>#REF!</v>
      </c>
      <c r="M160" s="18"/>
      <c r="N160" s="18"/>
      <c r="O160" s="21" t="e">
        <f>#REF!</f>
        <v>#REF!</v>
      </c>
      <c r="P160" s="18"/>
      <c r="Q160" s="18"/>
      <c r="R160" s="22" t="e">
        <f t="shared" si="8"/>
        <v>#REF!</v>
      </c>
      <c r="S160" s="96" t="e">
        <f>#REF!</f>
        <v>#REF!</v>
      </c>
      <c r="T160" s="42"/>
      <c r="U160" s="9"/>
      <c r="V160" s="5" t="e">
        <f t="shared" si="7"/>
        <v>#REF!</v>
      </c>
    </row>
    <row r="161" spans="1:22" s="5" customFormat="1">
      <c r="A161" s="375" t="e">
        <f>#REF!</f>
        <v>#REF!</v>
      </c>
      <c r="B161" s="943" t="s">
        <v>355</v>
      </c>
      <c r="C161" s="22" t="e">
        <f>#REF!</f>
        <v>#REF!</v>
      </c>
      <c r="D161" s="18"/>
      <c r="E161" s="18"/>
      <c r="F161" s="21" t="e">
        <f>#REF!</f>
        <v>#REF!</v>
      </c>
      <c r="G161" s="18"/>
      <c r="H161" s="18"/>
      <c r="I161" s="21" t="e">
        <f>#REF!</f>
        <v>#REF!</v>
      </c>
      <c r="J161" s="18"/>
      <c r="K161" s="18"/>
      <c r="L161" s="21" t="e">
        <f>#REF!</f>
        <v>#REF!</v>
      </c>
      <c r="M161" s="18"/>
      <c r="N161" s="18"/>
      <c r="O161" s="21" t="e">
        <f>#REF!</f>
        <v>#REF!</v>
      </c>
      <c r="P161" s="18"/>
      <c r="Q161" s="18"/>
      <c r="R161" s="22" t="e">
        <f t="shared" si="8"/>
        <v>#REF!</v>
      </c>
      <c r="S161" s="96" t="e">
        <f>#REF!</f>
        <v>#REF!</v>
      </c>
      <c r="T161" s="42"/>
      <c r="U161" s="9"/>
      <c r="V161" s="5" t="e">
        <f t="shared" si="7"/>
        <v>#REF!</v>
      </c>
    </row>
    <row r="162" spans="1:22" s="5" customFormat="1">
      <c r="A162" s="375" t="e">
        <f>#REF!</f>
        <v>#REF!</v>
      </c>
      <c r="B162" s="943" t="s">
        <v>355</v>
      </c>
      <c r="C162" s="22" t="e">
        <f>#REF!</f>
        <v>#REF!</v>
      </c>
      <c r="D162" s="18"/>
      <c r="E162" s="18"/>
      <c r="F162" s="21" t="e">
        <f>#REF!</f>
        <v>#REF!</v>
      </c>
      <c r="G162" s="18"/>
      <c r="H162" s="18"/>
      <c r="I162" s="21" t="e">
        <f>#REF!</f>
        <v>#REF!</v>
      </c>
      <c r="J162" s="18"/>
      <c r="K162" s="18"/>
      <c r="L162" s="21" t="e">
        <f>#REF!</f>
        <v>#REF!</v>
      </c>
      <c r="M162" s="18"/>
      <c r="N162" s="18"/>
      <c r="O162" s="21" t="e">
        <f>#REF!</f>
        <v>#REF!</v>
      </c>
      <c r="P162" s="18"/>
      <c r="Q162" s="18"/>
      <c r="R162" s="22" t="e">
        <f t="shared" si="8"/>
        <v>#REF!</v>
      </c>
      <c r="S162" s="96" t="e">
        <f>#REF!</f>
        <v>#REF!</v>
      </c>
      <c r="T162" s="42"/>
      <c r="U162" s="9"/>
      <c r="V162" s="5" t="e">
        <f t="shared" si="7"/>
        <v>#REF!</v>
      </c>
    </row>
    <row r="163" spans="1:22" s="5" customFormat="1">
      <c r="A163" s="375" t="e">
        <f>#REF!</f>
        <v>#REF!</v>
      </c>
      <c r="B163" s="943" t="s">
        <v>355</v>
      </c>
      <c r="C163" s="22" t="e">
        <f>#REF!</f>
        <v>#REF!</v>
      </c>
      <c r="D163" s="18"/>
      <c r="E163" s="18"/>
      <c r="F163" s="21" t="e">
        <f>#REF!</f>
        <v>#REF!</v>
      </c>
      <c r="G163" s="18"/>
      <c r="H163" s="18"/>
      <c r="I163" s="21" t="e">
        <f>#REF!</f>
        <v>#REF!</v>
      </c>
      <c r="J163" s="18"/>
      <c r="K163" s="18"/>
      <c r="L163" s="21" t="e">
        <f>#REF!</f>
        <v>#REF!</v>
      </c>
      <c r="M163" s="18"/>
      <c r="N163" s="18"/>
      <c r="O163" s="21" t="e">
        <f>#REF!</f>
        <v>#REF!</v>
      </c>
      <c r="P163" s="18"/>
      <c r="Q163" s="18"/>
      <c r="R163" s="22" t="e">
        <f t="shared" si="8"/>
        <v>#REF!</v>
      </c>
      <c r="S163" s="96" t="e">
        <f>#REF!</f>
        <v>#REF!</v>
      </c>
      <c r="T163" s="42"/>
      <c r="U163" s="9"/>
      <c r="V163" s="5" t="e">
        <f t="shared" si="7"/>
        <v>#REF!</v>
      </c>
    </row>
    <row r="164" spans="1:22" s="5" customFormat="1">
      <c r="A164" s="375" t="e">
        <f>#REF!</f>
        <v>#REF!</v>
      </c>
      <c r="B164" s="943" t="s">
        <v>355</v>
      </c>
      <c r="C164" s="22" t="e">
        <f>#REF!</f>
        <v>#REF!</v>
      </c>
      <c r="D164" s="18"/>
      <c r="E164" s="18"/>
      <c r="F164" s="21" t="e">
        <f>#REF!</f>
        <v>#REF!</v>
      </c>
      <c r="G164" s="18"/>
      <c r="H164" s="18"/>
      <c r="I164" s="21" t="e">
        <f>#REF!</f>
        <v>#REF!</v>
      </c>
      <c r="J164" s="18"/>
      <c r="K164" s="18"/>
      <c r="L164" s="21" t="e">
        <f>#REF!</f>
        <v>#REF!</v>
      </c>
      <c r="M164" s="18"/>
      <c r="N164" s="18"/>
      <c r="O164" s="21" t="e">
        <f>#REF!</f>
        <v>#REF!</v>
      </c>
      <c r="P164" s="18"/>
      <c r="Q164" s="18"/>
      <c r="R164" s="22" t="e">
        <f t="shared" si="8"/>
        <v>#REF!</v>
      </c>
      <c r="S164" s="96" t="e">
        <f>#REF!</f>
        <v>#REF!</v>
      </c>
      <c r="T164" s="42"/>
      <c r="U164" s="9"/>
      <c r="V164" s="5" t="e">
        <f t="shared" si="7"/>
        <v>#REF!</v>
      </c>
    </row>
    <row r="165" spans="1:22" s="5" customFormat="1">
      <c r="A165" s="375" t="e">
        <f>#REF!</f>
        <v>#REF!</v>
      </c>
      <c r="B165" s="943" t="s">
        <v>355</v>
      </c>
      <c r="C165" s="22" t="e">
        <f>#REF!</f>
        <v>#REF!</v>
      </c>
      <c r="D165" s="18"/>
      <c r="E165" s="18"/>
      <c r="F165" s="21" t="e">
        <f>#REF!</f>
        <v>#REF!</v>
      </c>
      <c r="G165" s="18"/>
      <c r="H165" s="18"/>
      <c r="I165" s="21" t="e">
        <f>#REF!</f>
        <v>#REF!</v>
      </c>
      <c r="J165" s="18"/>
      <c r="K165" s="18"/>
      <c r="L165" s="21" t="e">
        <f>#REF!</f>
        <v>#REF!</v>
      </c>
      <c r="M165" s="18"/>
      <c r="N165" s="18"/>
      <c r="O165" s="21" t="e">
        <f>#REF!</f>
        <v>#REF!</v>
      </c>
      <c r="P165" s="18"/>
      <c r="Q165" s="18"/>
      <c r="R165" s="22" t="e">
        <f t="shared" si="8"/>
        <v>#REF!</v>
      </c>
      <c r="S165" s="96" t="e">
        <f>#REF!</f>
        <v>#REF!</v>
      </c>
      <c r="T165" s="42"/>
      <c r="U165" s="9"/>
      <c r="V165" s="5" t="e">
        <f t="shared" si="7"/>
        <v>#REF!</v>
      </c>
    </row>
    <row r="166" spans="1:22" s="5" customFormat="1">
      <c r="A166" s="375" t="e">
        <f>#REF!</f>
        <v>#REF!</v>
      </c>
      <c r="B166" s="943" t="s">
        <v>355</v>
      </c>
      <c r="C166" s="22" t="e">
        <f>#REF!</f>
        <v>#REF!</v>
      </c>
      <c r="D166" s="18"/>
      <c r="E166" s="18"/>
      <c r="F166" s="21" t="e">
        <f>#REF!</f>
        <v>#REF!</v>
      </c>
      <c r="G166" s="18"/>
      <c r="H166" s="18"/>
      <c r="I166" s="21" t="e">
        <f>#REF!</f>
        <v>#REF!</v>
      </c>
      <c r="J166" s="18"/>
      <c r="K166" s="18"/>
      <c r="L166" s="21" t="e">
        <f>#REF!</f>
        <v>#REF!</v>
      </c>
      <c r="M166" s="18"/>
      <c r="N166" s="18"/>
      <c r="O166" s="21" t="e">
        <f>#REF!</f>
        <v>#REF!</v>
      </c>
      <c r="P166" s="18"/>
      <c r="Q166" s="18"/>
      <c r="R166" s="22" t="e">
        <f t="shared" si="8"/>
        <v>#REF!</v>
      </c>
      <c r="S166" s="96" t="e">
        <f>#REF!</f>
        <v>#REF!</v>
      </c>
      <c r="T166" s="42"/>
      <c r="U166" s="9"/>
      <c r="V166" s="5" t="e">
        <f t="shared" si="7"/>
        <v>#REF!</v>
      </c>
    </row>
    <row r="167" spans="1:22" s="5" customFormat="1">
      <c r="A167" s="375" t="e">
        <f>#REF!</f>
        <v>#REF!</v>
      </c>
      <c r="B167" s="943" t="s">
        <v>355</v>
      </c>
      <c r="C167" s="22" t="e">
        <f>#REF!</f>
        <v>#REF!</v>
      </c>
      <c r="D167" s="18"/>
      <c r="E167" s="18"/>
      <c r="F167" s="21" t="e">
        <f>#REF!</f>
        <v>#REF!</v>
      </c>
      <c r="G167" s="18"/>
      <c r="H167" s="18"/>
      <c r="I167" s="21" t="e">
        <f>#REF!</f>
        <v>#REF!</v>
      </c>
      <c r="J167" s="18"/>
      <c r="K167" s="18"/>
      <c r="L167" s="21" t="e">
        <f>#REF!</f>
        <v>#REF!</v>
      </c>
      <c r="M167" s="18"/>
      <c r="N167" s="18"/>
      <c r="O167" s="21" t="e">
        <f>#REF!</f>
        <v>#REF!</v>
      </c>
      <c r="P167" s="18"/>
      <c r="Q167" s="18"/>
      <c r="R167" s="22" t="e">
        <f t="shared" si="8"/>
        <v>#REF!</v>
      </c>
      <c r="S167" s="96" t="e">
        <f>#REF!</f>
        <v>#REF!</v>
      </c>
      <c r="T167" s="42"/>
      <c r="U167" s="9"/>
      <c r="V167" s="5" t="e">
        <f t="shared" si="7"/>
        <v>#REF!</v>
      </c>
    </row>
    <row r="168" spans="1:22" s="5" customFormat="1">
      <c r="A168" s="375" t="e">
        <f>#REF!</f>
        <v>#REF!</v>
      </c>
      <c r="B168" s="943" t="s">
        <v>355</v>
      </c>
      <c r="C168" s="22" t="e">
        <f>#REF!</f>
        <v>#REF!</v>
      </c>
      <c r="D168" s="18"/>
      <c r="E168" s="18"/>
      <c r="F168" s="21" t="e">
        <f>#REF!</f>
        <v>#REF!</v>
      </c>
      <c r="G168" s="18"/>
      <c r="H168" s="18"/>
      <c r="I168" s="21" t="e">
        <f>#REF!</f>
        <v>#REF!</v>
      </c>
      <c r="J168" s="18"/>
      <c r="K168" s="18"/>
      <c r="L168" s="21" t="e">
        <f>#REF!</f>
        <v>#REF!</v>
      </c>
      <c r="M168" s="18"/>
      <c r="N168" s="18"/>
      <c r="O168" s="21" t="e">
        <f>#REF!</f>
        <v>#REF!</v>
      </c>
      <c r="P168" s="18"/>
      <c r="Q168" s="18"/>
      <c r="R168" s="22" t="e">
        <f t="shared" si="8"/>
        <v>#REF!</v>
      </c>
      <c r="S168" s="96" t="e">
        <f>#REF!</f>
        <v>#REF!</v>
      </c>
      <c r="T168" s="42"/>
      <c r="U168" s="9"/>
      <c r="V168" s="5" t="e">
        <f t="shared" si="7"/>
        <v>#REF!</v>
      </c>
    </row>
    <row r="169" spans="1:22" s="5" customFormat="1">
      <c r="A169" s="375" t="e">
        <f>#REF!</f>
        <v>#REF!</v>
      </c>
      <c r="B169" s="943" t="s">
        <v>355</v>
      </c>
      <c r="C169" s="22" t="e">
        <f>#REF!</f>
        <v>#REF!</v>
      </c>
      <c r="D169" s="18"/>
      <c r="E169" s="18"/>
      <c r="F169" s="21" t="e">
        <f>#REF!</f>
        <v>#REF!</v>
      </c>
      <c r="G169" s="18"/>
      <c r="H169" s="18"/>
      <c r="I169" s="21" t="e">
        <f>#REF!</f>
        <v>#REF!</v>
      </c>
      <c r="J169" s="18"/>
      <c r="K169" s="18"/>
      <c r="L169" s="21" t="e">
        <f>#REF!</f>
        <v>#REF!</v>
      </c>
      <c r="M169" s="18"/>
      <c r="N169" s="18"/>
      <c r="O169" s="21" t="e">
        <f>#REF!</f>
        <v>#REF!</v>
      </c>
      <c r="P169" s="18"/>
      <c r="Q169" s="18"/>
      <c r="R169" s="22" t="e">
        <f t="shared" si="8"/>
        <v>#REF!</v>
      </c>
      <c r="S169" s="96" t="e">
        <f>#REF!</f>
        <v>#REF!</v>
      </c>
      <c r="T169" s="42"/>
      <c r="U169" s="9"/>
      <c r="V169" s="5" t="e">
        <f t="shared" si="7"/>
        <v>#REF!</v>
      </c>
    </row>
    <row r="170" spans="1:22" s="5" customFormat="1">
      <c r="A170" s="375" t="e">
        <f>#REF!</f>
        <v>#REF!</v>
      </c>
      <c r="B170" s="943" t="s">
        <v>355</v>
      </c>
      <c r="C170" s="22" t="e">
        <f>#REF!</f>
        <v>#REF!</v>
      </c>
      <c r="D170" s="18"/>
      <c r="E170" s="18"/>
      <c r="F170" s="21" t="e">
        <f>#REF!</f>
        <v>#REF!</v>
      </c>
      <c r="G170" s="18"/>
      <c r="H170" s="18"/>
      <c r="I170" s="21" t="e">
        <f>#REF!</f>
        <v>#REF!</v>
      </c>
      <c r="J170" s="18"/>
      <c r="K170" s="18"/>
      <c r="L170" s="21" t="e">
        <f>#REF!</f>
        <v>#REF!</v>
      </c>
      <c r="M170" s="18"/>
      <c r="N170" s="18"/>
      <c r="O170" s="21" t="e">
        <f>#REF!</f>
        <v>#REF!</v>
      </c>
      <c r="P170" s="18"/>
      <c r="Q170" s="18"/>
      <c r="R170" s="22" t="e">
        <f t="shared" si="8"/>
        <v>#REF!</v>
      </c>
      <c r="S170" s="96" t="e">
        <f>#REF!</f>
        <v>#REF!</v>
      </c>
      <c r="T170" s="42"/>
      <c r="U170" s="9"/>
      <c r="V170" s="5" t="e">
        <f t="shared" si="7"/>
        <v>#REF!</v>
      </c>
    </row>
    <row r="171" spans="1:22" s="5" customFormat="1">
      <c r="A171" s="375" t="e">
        <f>#REF!</f>
        <v>#REF!</v>
      </c>
      <c r="B171" s="943" t="s">
        <v>355</v>
      </c>
      <c r="C171" s="22" t="e">
        <f>#REF!</f>
        <v>#REF!</v>
      </c>
      <c r="D171" s="18"/>
      <c r="E171" s="18"/>
      <c r="F171" s="21" t="e">
        <f>#REF!</f>
        <v>#REF!</v>
      </c>
      <c r="G171" s="18"/>
      <c r="H171" s="18"/>
      <c r="I171" s="21" t="e">
        <f>#REF!</f>
        <v>#REF!</v>
      </c>
      <c r="J171" s="18"/>
      <c r="K171" s="18"/>
      <c r="L171" s="21" t="e">
        <f>#REF!</f>
        <v>#REF!</v>
      </c>
      <c r="M171" s="18"/>
      <c r="N171" s="18"/>
      <c r="O171" s="21" t="e">
        <f>#REF!</f>
        <v>#REF!</v>
      </c>
      <c r="P171" s="18"/>
      <c r="Q171" s="18"/>
      <c r="R171" s="22" t="e">
        <f t="shared" si="8"/>
        <v>#REF!</v>
      </c>
      <c r="S171" s="96" t="e">
        <f>#REF!</f>
        <v>#REF!</v>
      </c>
      <c r="T171" s="42"/>
      <c r="U171" s="9"/>
      <c r="V171" s="5" t="e">
        <f t="shared" si="7"/>
        <v>#REF!</v>
      </c>
    </row>
    <row r="172" spans="1:22" s="5" customFormat="1">
      <c r="A172" s="375" t="e">
        <f>#REF!</f>
        <v>#REF!</v>
      </c>
      <c r="B172" s="943" t="s">
        <v>355</v>
      </c>
      <c r="C172" s="22" t="e">
        <f>#REF!</f>
        <v>#REF!</v>
      </c>
      <c r="D172" s="18"/>
      <c r="E172" s="18"/>
      <c r="F172" s="21" t="e">
        <f>#REF!</f>
        <v>#REF!</v>
      </c>
      <c r="G172" s="18"/>
      <c r="H172" s="18"/>
      <c r="I172" s="21" t="e">
        <f>#REF!</f>
        <v>#REF!</v>
      </c>
      <c r="J172" s="18"/>
      <c r="K172" s="18"/>
      <c r="L172" s="21" t="e">
        <f>#REF!</f>
        <v>#REF!</v>
      </c>
      <c r="M172" s="18"/>
      <c r="N172" s="18"/>
      <c r="O172" s="21" t="e">
        <f>#REF!</f>
        <v>#REF!</v>
      </c>
      <c r="P172" s="18"/>
      <c r="Q172" s="18"/>
      <c r="R172" s="22" t="e">
        <f t="shared" si="8"/>
        <v>#REF!</v>
      </c>
      <c r="S172" s="96" t="e">
        <f>#REF!</f>
        <v>#REF!</v>
      </c>
      <c r="T172" s="42"/>
      <c r="U172" s="9"/>
      <c r="V172" s="5" t="e">
        <f t="shared" si="7"/>
        <v>#REF!</v>
      </c>
    </row>
    <row r="173" spans="1:22" s="5" customFormat="1">
      <c r="A173" s="375" t="e">
        <f>#REF!</f>
        <v>#REF!</v>
      </c>
      <c r="B173" s="943" t="s">
        <v>355</v>
      </c>
      <c r="C173" s="22" t="e">
        <f>#REF!</f>
        <v>#REF!</v>
      </c>
      <c r="D173" s="18"/>
      <c r="E173" s="18"/>
      <c r="F173" s="21" t="e">
        <f>#REF!</f>
        <v>#REF!</v>
      </c>
      <c r="G173" s="18"/>
      <c r="H173" s="18"/>
      <c r="I173" s="21" t="e">
        <f>#REF!</f>
        <v>#REF!</v>
      </c>
      <c r="J173" s="18"/>
      <c r="K173" s="18"/>
      <c r="L173" s="21" t="e">
        <f>#REF!</f>
        <v>#REF!</v>
      </c>
      <c r="M173" s="18"/>
      <c r="N173" s="18"/>
      <c r="O173" s="21" t="e">
        <f>#REF!</f>
        <v>#REF!</v>
      </c>
      <c r="P173" s="18"/>
      <c r="Q173" s="18"/>
      <c r="R173" s="22" t="e">
        <f t="shared" si="8"/>
        <v>#REF!</v>
      </c>
      <c r="S173" s="96" t="e">
        <f>#REF!</f>
        <v>#REF!</v>
      </c>
      <c r="T173" s="42"/>
      <c r="U173" s="9"/>
      <c r="V173" s="5" t="e">
        <f t="shared" si="7"/>
        <v>#REF!</v>
      </c>
    </row>
    <row r="174" spans="1:22" s="5" customFormat="1">
      <c r="A174" s="375" t="e">
        <f>#REF!</f>
        <v>#REF!</v>
      </c>
      <c r="B174" s="943" t="s">
        <v>355</v>
      </c>
      <c r="C174" s="22" t="e">
        <f>#REF!</f>
        <v>#REF!</v>
      </c>
      <c r="D174" s="18"/>
      <c r="E174" s="18"/>
      <c r="F174" s="21" t="e">
        <f>#REF!</f>
        <v>#REF!</v>
      </c>
      <c r="G174" s="18"/>
      <c r="H174" s="18"/>
      <c r="I174" s="21" t="e">
        <f>#REF!</f>
        <v>#REF!</v>
      </c>
      <c r="J174" s="18"/>
      <c r="K174" s="18"/>
      <c r="L174" s="21" t="e">
        <f>#REF!</f>
        <v>#REF!</v>
      </c>
      <c r="M174" s="18"/>
      <c r="N174" s="18"/>
      <c r="O174" s="21" t="e">
        <f>#REF!</f>
        <v>#REF!</v>
      </c>
      <c r="P174" s="18"/>
      <c r="Q174" s="18"/>
      <c r="R174" s="22" t="e">
        <f t="shared" si="8"/>
        <v>#REF!</v>
      </c>
      <c r="S174" s="96" t="e">
        <f>#REF!</f>
        <v>#REF!</v>
      </c>
      <c r="T174" s="42"/>
      <c r="U174" s="9"/>
      <c r="V174" s="5" t="e">
        <f t="shared" si="7"/>
        <v>#REF!</v>
      </c>
    </row>
    <row r="175" spans="1:22" s="5" customFormat="1">
      <c r="A175" s="375" t="e">
        <f>#REF!</f>
        <v>#REF!</v>
      </c>
      <c r="B175" s="943" t="s">
        <v>355</v>
      </c>
      <c r="C175" s="22" t="e">
        <f>#REF!</f>
        <v>#REF!</v>
      </c>
      <c r="D175" s="18"/>
      <c r="E175" s="18"/>
      <c r="F175" s="21" t="e">
        <f>#REF!</f>
        <v>#REF!</v>
      </c>
      <c r="G175" s="18"/>
      <c r="H175" s="18"/>
      <c r="I175" s="21" t="e">
        <f>#REF!</f>
        <v>#REF!</v>
      </c>
      <c r="J175" s="18"/>
      <c r="K175" s="18"/>
      <c r="L175" s="21" t="e">
        <f>#REF!</f>
        <v>#REF!</v>
      </c>
      <c r="M175" s="18"/>
      <c r="N175" s="18"/>
      <c r="O175" s="21" t="e">
        <f>#REF!</f>
        <v>#REF!</v>
      </c>
      <c r="P175" s="18"/>
      <c r="Q175" s="18"/>
      <c r="R175" s="22" t="e">
        <f t="shared" si="8"/>
        <v>#REF!</v>
      </c>
      <c r="S175" s="96" t="e">
        <f>#REF!</f>
        <v>#REF!</v>
      </c>
      <c r="T175" s="42"/>
      <c r="U175" s="9"/>
      <c r="V175" s="5" t="e">
        <f t="shared" si="7"/>
        <v>#REF!</v>
      </c>
    </row>
    <row r="176" spans="1:22" s="5" customFormat="1">
      <c r="A176" s="375" t="e">
        <f>#REF!</f>
        <v>#REF!</v>
      </c>
      <c r="B176" s="943" t="s">
        <v>355</v>
      </c>
      <c r="C176" s="22" t="e">
        <f>#REF!</f>
        <v>#REF!</v>
      </c>
      <c r="D176" s="18"/>
      <c r="E176" s="18"/>
      <c r="F176" s="21" t="e">
        <f>#REF!</f>
        <v>#REF!</v>
      </c>
      <c r="G176" s="18"/>
      <c r="H176" s="18"/>
      <c r="I176" s="21" t="e">
        <f>#REF!</f>
        <v>#REF!</v>
      </c>
      <c r="J176" s="18"/>
      <c r="K176" s="18"/>
      <c r="L176" s="21" t="e">
        <f>#REF!</f>
        <v>#REF!</v>
      </c>
      <c r="M176" s="18"/>
      <c r="N176" s="18"/>
      <c r="O176" s="21" t="e">
        <f>#REF!</f>
        <v>#REF!</v>
      </c>
      <c r="P176" s="18"/>
      <c r="Q176" s="18"/>
      <c r="R176" s="22" t="e">
        <f t="shared" si="8"/>
        <v>#REF!</v>
      </c>
      <c r="S176" s="96" t="e">
        <f>#REF!</f>
        <v>#REF!</v>
      </c>
      <c r="T176" s="42"/>
      <c r="U176" s="9"/>
      <c r="V176" s="5" t="e">
        <f t="shared" si="7"/>
        <v>#REF!</v>
      </c>
    </row>
    <row r="177" spans="1:22" s="5" customFormat="1">
      <c r="A177" s="375" t="e">
        <f>#REF!</f>
        <v>#REF!</v>
      </c>
      <c r="B177" s="943" t="s">
        <v>355</v>
      </c>
      <c r="C177" s="22" t="e">
        <f>#REF!</f>
        <v>#REF!</v>
      </c>
      <c r="D177" s="18"/>
      <c r="E177" s="18"/>
      <c r="F177" s="21" t="e">
        <f>#REF!</f>
        <v>#REF!</v>
      </c>
      <c r="G177" s="18"/>
      <c r="H177" s="18"/>
      <c r="I177" s="21" t="e">
        <f>#REF!</f>
        <v>#REF!</v>
      </c>
      <c r="J177" s="18"/>
      <c r="K177" s="18"/>
      <c r="L177" s="21" t="e">
        <f>#REF!</f>
        <v>#REF!</v>
      </c>
      <c r="M177" s="18"/>
      <c r="N177" s="18"/>
      <c r="O177" s="21" t="e">
        <f>#REF!</f>
        <v>#REF!</v>
      </c>
      <c r="P177" s="18"/>
      <c r="Q177" s="18"/>
      <c r="R177" s="22" t="e">
        <f t="shared" si="8"/>
        <v>#REF!</v>
      </c>
      <c r="S177" s="96" t="e">
        <f>#REF!</f>
        <v>#REF!</v>
      </c>
      <c r="T177" s="42"/>
      <c r="U177" s="9"/>
      <c r="V177" s="5" t="e">
        <f t="shared" si="7"/>
        <v>#REF!</v>
      </c>
    </row>
    <row r="178" spans="1:22" s="5" customFormat="1">
      <c r="A178" s="375" t="e">
        <f>#REF!</f>
        <v>#REF!</v>
      </c>
      <c r="B178" s="943" t="s">
        <v>355</v>
      </c>
      <c r="C178" s="22" t="e">
        <f>#REF!</f>
        <v>#REF!</v>
      </c>
      <c r="D178" s="18"/>
      <c r="E178" s="18"/>
      <c r="F178" s="21" t="e">
        <f>#REF!</f>
        <v>#REF!</v>
      </c>
      <c r="G178" s="18"/>
      <c r="H178" s="18"/>
      <c r="I178" s="21" t="e">
        <f>#REF!</f>
        <v>#REF!</v>
      </c>
      <c r="J178" s="18"/>
      <c r="K178" s="18"/>
      <c r="L178" s="21" t="e">
        <f>#REF!</f>
        <v>#REF!</v>
      </c>
      <c r="M178" s="18"/>
      <c r="N178" s="18"/>
      <c r="O178" s="21" t="e">
        <f>#REF!</f>
        <v>#REF!</v>
      </c>
      <c r="P178" s="18"/>
      <c r="Q178" s="18"/>
      <c r="R178" s="22" t="e">
        <f t="shared" si="8"/>
        <v>#REF!</v>
      </c>
      <c r="S178" s="96" t="e">
        <f>#REF!</f>
        <v>#REF!</v>
      </c>
      <c r="T178" s="42"/>
      <c r="U178" s="9"/>
      <c r="V178" s="5" t="e">
        <f t="shared" si="7"/>
        <v>#REF!</v>
      </c>
    </row>
    <row r="179" spans="1:22" s="5" customFormat="1">
      <c r="A179" s="375" t="e">
        <f>#REF!</f>
        <v>#REF!</v>
      </c>
      <c r="B179" s="943" t="s">
        <v>355</v>
      </c>
      <c r="C179" s="22" t="e">
        <f>#REF!</f>
        <v>#REF!</v>
      </c>
      <c r="D179" s="18"/>
      <c r="E179" s="18"/>
      <c r="F179" s="21" t="e">
        <f>#REF!</f>
        <v>#REF!</v>
      </c>
      <c r="G179" s="18"/>
      <c r="H179" s="18"/>
      <c r="I179" s="21" t="e">
        <f>#REF!</f>
        <v>#REF!</v>
      </c>
      <c r="J179" s="18"/>
      <c r="K179" s="18"/>
      <c r="L179" s="21" t="e">
        <f>#REF!</f>
        <v>#REF!</v>
      </c>
      <c r="M179" s="18"/>
      <c r="N179" s="18"/>
      <c r="O179" s="21" t="e">
        <f>#REF!</f>
        <v>#REF!</v>
      </c>
      <c r="P179" s="18"/>
      <c r="Q179" s="18"/>
      <c r="R179" s="22" t="e">
        <f t="shared" si="8"/>
        <v>#REF!</v>
      </c>
      <c r="S179" s="96" t="e">
        <f>#REF!</f>
        <v>#REF!</v>
      </c>
      <c r="T179" s="42"/>
      <c r="U179" s="9"/>
      <c r="V179" s="5" t="e">
        <f t="shared" si="7"/>
        <v>#REF!</v>
      </c>
    </row>
    <row r="180" spans="1:22" s="5" customFormat="1">
      <c r="A180" s="375" t="e">
        <f>#REF!</f>
        <v>#REF!</v>
      </c>
      <c r="B180" s="943" t="s">
        <v>355</v>
      </c>
      <c r="C180" s="22" t="e">
        <f>#REF!</f>
        <v>#REF!</v>
      </c>
      <c r="D180" s="18"/>
      <c r="E180" s="18"/>
      <c r="F180" s="21" t="e">
        <f>#REF!</f>
        <v>#REF!</v>
      </c>
      <c r="G180" s="18"/>
      <c r="H180" s="18"/>
      <c r="I180" s="21" t="e">
        <f>#REF!</f>
        <v>#REF!</v>
      </c>
      <c r="J180" s="18"/>
      <c r="K180" s="18"/>
      <c r="L180" s="21" t="e">
        <f>#REF!</f>
        <v>#REF!</v>
      </c>
      <c r="M180" s="18"/>
      <c r="N180" s="18"/>
      <c r="O180" s="21" t="e">
        <f>#REF!</f>
        <v>#REF!</v>
      </c>
      <c r="P180" s="18"/>
      <c r="Q180" s="18"/>
      <c r="R180" s="22" t="e">
        <f t="shared" si="8"/>
        <v>#REF!</v>
      </c>
      <c r="S180" s="96" t="e">
        <f>#REF!</f>
        <v>#REF!</v>
      </c>
      <c r="T180" s="42"/>
      <c r="U180" s="9"/>
      <c r="V180" s="5" t="e">
        <f t="shared" si="7"/>
        <v>#REF!</v>
      </c>
    </row>
    <row r="181" spans="1:22" s="5" customFormat="1">
      <c r="A181" s="375" t="e">
        <f>#REF!</f>
        <v>#REF!</v>
      </c>
      <c r="B181" s="943" t="s">
        <v>355</v>
      </c>
      <c r="C181" s="22" t="e">
        <f>#REF!</f>
        <v>#REF!</v>
      </c>
      <c r="D181" s="18"/>
      <c r="E181" s="18"/>
      <c r="F181" s="21" t="e">
        <f>#REF!</f>
        <v>#REF!</v>
      </c>
      <c r="G181" s="18"/>
      <c r="H181" s="18"/>
      <c r="I181" s="21" t="e">
        <f>#REF!</f>
        <v>#REF!</v>
      </c>
      <c r="J181" s="18"/>
      <c r="K181" s="18"/>
      <c r="L181" s="21" t="e">
        <f>#REF!</f>
        <v>#REF!</v>
      </c>
      <c r="M181" s="18"/>
      <c r="N181" s="18"/>
      <c r="O181" s="21" t="e">
        <f>#REF!</f>
        <v>#REF!</v>
      </c>
      <c r="P181" s="18"/>
      <c r="Q181" s="18"/>
      <c r="R181" s="22" t="e">
        <f t="shared" ref="R181:R190" si="9">C181+F181+I181+L181+O181</f>
        <v>#REF!</v>
      </c>
      <c r="S181" s="96" t="e">
        <f>#REF!</f>
        <v>#REF!</v>
      </c>
      <c r="T181" s="42"/>
      <c r="U181" s="9"/>
      <c r="V181" s="5" t="e">
        <f t="shared" si="7"/>
        <v>#REF!</v>
      </c>
    </row>
    <row r="182" spans="1:22" s="5" customFormat="1">
      <c r="A182" s="375" t="e">
        <f>#REF!</f>
        <v>#REF!</v>
      </c>
      <c r="B182" s="943" t="s">
        <v>355</v>
      </c>
      <c r="C182" s="22" t="e">
        <f>#REF!</f>
        <v>#REF!</v>
      </c>
      <c r="D182" s="18"/>
      <c r="E182" s="18"/>
      <c r="F182" s="21" t="e">
        <f>#REF!</f>
        <v>#REF!</v>
      </c>
      <c r="G182" s="18"/>
      <c r="H182" s="18"/>
      <c r="I182" s="21" t="e">
        <f>#REF!</f>
        <v>#REF!</v>
      </c>
      <c r="J182" s="18"/>
      <c r="K182" s="18"/>
      <c r="L182" s="21" t="e">
        <f>#REF!</f>
        <v>#REF!</v>
      </c>
      <c r="M182" s="18"/>
      <c r="N182" s="18"/>
      <c r="O182" s="21" t="e">
        <f>#REF!</f>
        <v>#REF!</v>
      </c>
      <c r="P182" s="18"/>
      <c r="Q182" s="18"/>
      <c r="R182" s="22" t="e">
        <f t="shared" si="9"/>
        <v>#REF!</v>
      </c>
      <c r="S182" s="96" t="e">
        <f>#REF!</f>
        <v>#REF!</v>
      </c>
      <c r="T182" s="42"/>
      <c r="U182" s="9"/>
      <c r="V182" s="5" t="e">
        <f t="shared" ref="V182:V189" si="10">IF(S182=0,"hide","show")</f>
        <v>#REF!</v>
      </c>
    </row>
    <row r="183" spans="1:22" s="5" customFormat="1">
      <c r="A183" s="375" t="e">
        <f>#REF!</f>
        <v>#REF!</v>
      </c>
      <c r="B183" s="943" t="s">
        <v>355</v>
      </c>
      <c r="C183" s="22" t="e">
        <f>#REF!</f>
        <v>#REF!</v>
      </c>
      <c r="D183" s="18"/>
      <c r="E183" s="18"/>
      <c r="F183" s="21" t="e">
        <f>#REF!</f>
        <v>#REF!</v>
      </c>
      <c r="G183" s="18"/>
      <c r="H183" s="18"/>
      <c r="I183" s="21" t="e">
        <f>#REF!</f>
        <v>#REF!</v>
      </c>
      <c r="J183" s="18"/>
      <c r="K183" s="18"/>
      <c r="L183" s="21" t="e">
        <f>#REF!</f>
        <v>#REF!</v>
      </c>
      <c r="M183" s="18"/>
      <c r="N183" s="18"/>
      <c r="O183" s="21" t="e">
        <f>#REF!</f>
        <v>#REF!</v>
      </c>
      <c r="P183" s="18"/>
      <c r="Q183" s="18"/>
      <c r="R183" s="22" t="e">
        <f t="shared" si="9"/>
        <v>#REF!</v>
      </c>
      <c r="S183" s="96" t="e">
        <f>#REF!</f>
        <v>#REF!</v>
      </c>
      <c r="T183" s="42"/>
      <c r="U183" s="9"/>
      <c r="V183" s="5" t="e">
        <f t="shared" si="10"/>
        <v>#REF!</v>
      </c>
    </row>
    <row r="184" spans="1:22" s="5" customFormat="1">
      <c r="A184" s="375" t="e">
        <f>#REF!</f>
        <v>#REF!</v>
      </c>
      <c r="B184" s="943" t="s">
        <v>355</v>
      </c>
      <c r="C184" s="22" t="e">
        <f>#REF!</f>
        <v>#REF!</v>
      </c>
      <c r="D184" s="18"/>
      <c r="E184" s="18"/>
      <c r="F184" s="21" t="e">
        <f>#REF!</f>
        <v>#REF!</v>
      </c>
      <c r="G184" s="18"/>
      <c r="H184" s="18"/>
      <c r="I184" s="21" t="e">
        <f>#REF!</f>
        <v>#REF!</v>
      </c>
      <c r="J184" s="18"/>
      <c r="K184" s="18"/>
      <c r="L184" s="21" t="e">
        <f>#REF!</f>
        <v>#REF!</v>
      </c>
      <c r="M184" s="18"/>
      <c r="N184" s="18"/>
      <c r="O184" s="21" t="e">
        <f>#REF!</f>
        <v>#REF!</v>
      </c>
      <c r="P184" s="18"/>
      <c r="Q184" s="18"/>
      <c r="R184" s="22" t="e">
        <f t="shared" si="9"/>
        <v>#REF!</v>
      </c>
      <c r="S184" s="96" t="e">
        <f>#REF!</f>
        <v>#REF!</v>
      </c>
      <c r="T184" s="42"/>
      <c r="U184" s="9"/>
      <c r="V184" s="5" t="e">
        <f t="shared" si="10"/>
        <v>#REF!</v>
      </c>
    </row>
    <row r="185" spans="1:22" s="5" customFormat="1">
      <c r="A185" s="375" t="e">
        <f>#REF!</f>
        <v>#REF!</v>
      </c>
      <c r="B185" s="943" t="s">
        <v>355</v>
      </c>
      <c r="C185" s="22" t="e">
        <f>#REF!</f>
        <v>#REF!</v>
      </c>
      <c r="D185" s="18"/>
      <c r="E185" s="18"/>
      <c r="F185" s="21" t="e">
        <f>#REF!</f>
        <v>#REF!</v>
      </c>
      <c r="G185" s="18"/>
      <c r="H185" s="18"/>
      <c r="I185" s="21" t="e">
        <f>#REF!</f>
        <v>#REF!</v>
      </c>
      <c r="J185" s="18"/>
      <c r="K185" s="18"/>
      <c r="L185" s="21" t="e">
        <f>#REF!</f>
        <v>#REF!</v>
      </c>
      <c r="M185" s="18"/>
      <c r="N185" s="18"/>
      <c r="O185" s="21" t="e">
        <f>#REF!</f>
        <v>#REF!</v>
      </c>
      <c r="P185" s="18"/>
      <c r="Q185" s="18"/>
      <c r="R185" s="22" t="e">
        <f t="shared" si="9"/>
        <v>#REF!</v>
      </c>
      <c r="S185" s="96" t="e">
        <f>#REF!</f>
        <v>#REF!</v>
      </c>
      <c r="T185" s="42"/>
      <c r="U185" s="9"/>
      <c r="V185" s="5" t="e">
        <f t="shared" si="10"/>
        <v>#REF!</v>
      </c>
    </row>
    <row r="186" spans="1:22" s="5" customFormat="1">
      <c r="A186" s="375" t="e">
        <f>#REF!</f>
        <v>#REF!</v>
      </c>
      <c r="B186" s="943" t="s">
        <v>355</v>
      </c>
      <c r="C186" s="22" t="e">
        <f>#REF!</f>
        <v>#REF!</v>
      </c>
      <c r="D186" s="18"/>
      <c r="E186" s="18"/>
      <c r="F186" s="21" t="e">
        <f>#REF!</f>
        <v>#REF!</v>
      </c>
      <c r="G186" s="18"/>
      <c r="H186" s="18"/>
      <c r="I186" s="21" t="e">
        <f>#REF!</f>
        <v>#REF!</v>
      </c>
      <c r="J186" s="18"/>
      <c r="K186" s="18"/>
      <c r="L186" s="21" t="e">
        <f>#REF!</f>
        <v>#REF!</v>
      </c>
      <c r="M186" s="18"/>
      <c r="N186" s="18"/>
      <c r="O186" s="21" t="e">
        <f>#REF!</f>
        <v>#REF!</v>
      </c>
      <c r="P186" s="18"/>
      <c r="Q186" s="18"/>
      <c r="R186" s="22" t="e">
        <f t="shared" si="9"/>
        <v>#REF!</v>
      </c>
      <c r="S186" s="96" t="e">
        <f>#REF!</f>
        <v>#REF!</v>
      </c>
      <c r="T186" s="42"/>
      <c r="U186" s="9"/>
      <c r="V186" s="5" t="e">
        <f t="shared" si="10"/>
        <v>#REF!</v>
      </c>
    </row>
    <row r="187" spans="1:22" s="5" customFormat="1">
      <c r="A187" s="375" t="e">
        <f>#REF!</f>
        <v>#REF!</v>
      </c>
      <c r="B187" s="943" t="s">
        <v>355</v>
      </c>
      <c r="C187" s="22" t="e">
        <f>#REF!</f>
        <v>#REF!</v>
      </c>
      <c r="D187" s="18"/>
      <c r="E187" s="18"/>
      <c r="F187" s="21" t="e">
        <f>#REF!</f>
        <v>#REF!</v>
      </c>
      <c r="G187" s="18"/>
      <c r="H187" s="18"/>
      <c r="I187" s="21" t="e">
        <f>#REF!</f>
        <v>#REF!</v>
      </c>
      <c r="J187" s="18"/>
      <c r="K187" s="18"/>
      <c r="L187" s="21" t="e">
        <f>#REF!</f>
        <v>#REF!</v>
      </c>
      <c r="M187" s="18"/>
      <c r="N187" s="18"/>
      <c r="O187" s="21" t="e">
        <f>#REF!</f>
        <v>#REF!</v>
      </c>
      <c r="P187" s="18"/>
      <c r="Q187" s="18"/>
      <c r="R187" s="22" t="e">
        <f t="shared" si="9"/>
        <v>#REF!</v>
      </c>
      <c r="S187" s="96" t="e">
        <f>#REF!</f>
        <v>#REF!</v>
      </c>
      <c r="T187" s="42"/>
      <c r="U187" s="9"/>
      <c r="V187" s="5" t="e">
        <f t="shared" si="10"/>
        <v>#REF!</v>
      </c>
    </row>
    <row r="188" spans="1:22" s="5" customFormat="1">
      <c r="A188" s="375" t="e">
        <f>#REF!</f>
        <v>#REF!</v>
      </c>
      <c r="B188" s="943" t="s">
        <v>355</v>
      </c>
      <c r="C188" s="22" t="e">
        <f>#REF!</f>
        <v>#REF!</v>
      </c>
      <c r="D188" s="18"/>
      <c r="E188" s="18"/>
      <c r="F188" s="21" t="e">
        <f>#REF!</f>
        <v>#REF!</v>
      </c>
      <c r="G188" s="18"/>
      <c r="H188" s="18"/>
      <c r="I188" s="21" t="e">
        <f>#REF!</f>
        <v>#REF!</v>
      </c>
      <c r="J188" s="18"/>
      <c r="K188" s="18"/>
      <c r="L188" s="21" t="e">
        <f>#REF!</f>
        <v>#REF!</v>
      </c>
      <c r="M188" s="18"/>
      <c r="N188" s="18"/>
      <c r="O188" s="21" t="e">
        <f>#REF!</f>
        <v>#REF!</v>
      </c>
      <c r="P188" s="18"/>
      <c r="Q188" s="18"/>
      <c r="R188" s="22" t="e">
        <f t="shared" si="9"/>
        <v>#REF!</v>
      </c>
      <c r="S188" s="96" t="e">
        <f>#REF!</f>
        <v>#REF!</v>
      </c>
      <c r="T188" s="42"/>
      <c r="U188" s="9"/>
      <c r="V188" s="5" t="e">
        <f t="shared" si="10"/>
        <v>#REF!</v>
      </c>
    </row>
    <row r="189" spans="1:22" s="5" customFormat="1">
      <c r="A189" s="375" t="e">
        <f>#REF!</f>
        <v>#REF!</v>
      </c>
      <c r="B189" s="943" t="s">
        <v>355</v>
      </c>
      <c r="C189" s="22" t="e">
        <f>#REF!</f>
        <v>#REF!</v>
      </c>
      <c r="D189" s="18"/>
      <c r="E189" s="18"/>
      <c r="F189" s="21" t="e">
        <f>#REF!</f>
        <v>#REF!</v>
      </c>
      <c r="G189" s="18"/>
      <c r="H189" s="18"/>
      <c r="I189" s="21" t="e">
        <f>#REF!</f>
        <v>#REF!</v>
      </c>
      <c r="J189" s="18"/>
      <c r="K189" s="18"/>
      <c r="L189" s="21" t="e">
        <f>#REF!</f>
        <v>#REF!</v>
      </c>
      <c r="M189" s="18"/>
      <c r="N189" s="18"/>
      <c r="O189" s="21" t="e">
        <f>#REF!</f>
        <v>#REF!</v>
      </c>
      <c r="P189" s="18"/>
      <c r="Q189" s="18"/>
      <c r="R189" s="22" t="e">
        <f t="shared" si="9"/>
        <v>#REF!</v>
      </c>
      <c r="S189" s="96" t="e">
        <f>#REF!</f>
        <v>#REF!</v>
      </c>
      <c r="T189" s="42"/>
      <c r="U189" s="9"/>
      <c r="V189" s="5" t="e">
        <f t="shared" si="10"/>
        <v>#REF!</v>
      </c>
    </row>
    <row r="190" spans="1:22" s="5" customFormat="1">
      <c r="A190" s="375" t="e">
        <f>#REF!</f>
        <v>#REF!</v>
      </c>
      <c r="B190" s="943" t="s">
        <v>355</v>
      </c>
      <c r="C190" s="22" t="e">
        <f>#REF!</f>
        <v>#REF!</v>
      </c>
      <c r="D190" s="18"/>
      <c r="E190" s="18"/>
      <c r="F190" s="21" t="e">
        <f>#REF!</f>
        <v>#REF!</v>
      </c>
      <c r="G190" s="18"/>
      <c r="H190" s="18"/>
      <c r="I190" s="21" t="e">
        <f>#REF!</f>
        <v>#REF!</v>
      </c>
      <c r="J190" s="18"/>
      <c r="K190" s="18"/>
      <c r="L190" s="21" t="e">
        <f>#REF!</f>
        <v>#REF!</v>
      </c>
      <c r="M190" s="18"/>
      <c r="N190" s="18"/>
      <c r="O190" s="21" t="e">
        <f>#REF!</f>
        <v>#REF!</v>
      </c>
      <c r="P190" s="18"/>
      <c r="Q190" s="18"/>
      <c r="R190" s="22" t="e">
        <f t="shared" si="9"/>
        <v>#REF!</v>
      </c>
      <c r="S190" s="96" t="e">
        <f>#REF!</f>
        <v>#REF!</v>
      </c>
      <c r="T190" s="42"/>
      <c r="U190" s="9"/>
      <c r="V190" s="5" t="e">
        <f>IF(S190=0,"hide","show")</f>
        <v>#REF!</v>
      </c>
    </row>
    <row r="191" spans="1:22" s="5" customFormat="1">
      <c r="A191" s="375"/>
      <c r="B191" s="943"/>
      <c r="C191" s="22"/>
      <c r="D191" s="18"/>
      <c r="E191" s="18"/>
      <c r="F191" s="21"/>
      <c r="G191" s="18"/>
      <c r="H191" s="18"/>
      <c r="I191" s="21"/>
      <c r="J191" s="18"/>
      <c r="K191" s="18"/>
      <c r="L191" s="21"/>
      <c r="M191" s="18"/>
      <c r="N191" s="18"/>
      <c r="O191" s="21"/>
      <c r="P191" s="18"/>
      <c r="Q191" s="18"/>
      <c r="R191" s="22"/>
      <c r="S191" s="96"/>
      <c r="T191" s="42"/>
      <c r="U191" s="9"/>
      <c r="V191" s="104" t="e">
        <f>IF(SUM(S193:S212)=0,"hide","show")</f>
        <v>#REF!</v>
      </c>
    </row>
    <row r="192" spans="1:22" s="5" customFormat="1" ht="16.5">
      <c r="A192" s="374" t="e">
        <f>#REF!</f>
        <v>#REF!</v>
      </c>
      <c r="B192" s="316"/>
      <c r="C192" s="22"/>
      <c r="D192" s="23"/>
      <c r="E192" s="23"/>
      <c r="F192" s="21"/>
      <c r="G192" s="23"/>
      <c r="H192" s="23"/>
      <c r="I192" s="21"/>
      <c r="J192" s="23"/>
      <c r="K192" s="23"/>
      <c r="L192" s="21"/>
      <c r="M192" s="23"/>
      <c r="N192" s="23"/>
      <c r="O192" s="21"/>
      <c r="P192" s="23"/>
      <c r="Q192" s="23"/>
      <c r="R192" s="22"/>
      <c r="S192" s="96"/>
      <c r="T192" s="42"/>
      <c r="U192" s="9"/>
      <c r="V192" s="5" t="e">
        <f>IF(SUM(S194:S212)=0,"hide","show")</f>
        <v>#REF!</v>
      </c>
    </row>
    <row r="193" spans="1:22" s="5" customFormat="1" ht="15">
      <c r="A193" s="942" t="e">
        <f>#REF!</f>
        <v>#REF!</v>
      </c>
      <c r="B193" s="316"/>
      <c r="C193" s="22"/>
      <c r="D193" s="23"/>
      <c r="E193" s="23"/>
      <c r="F193" s="21"/>
      <c r="G193" s="23"/>
      <c r="H193" s="23"/>
      <c r="I193" s="21"/>
      <c r="J193" s="23"/>
      <c r="K193" s="23"/>
      <c r="L193" s="21"/>
      <c r="M193" s="23"/>
      <c r="N193" s="23"/>
      <c r="O193" s="21"/>
      <c r="P193" s="23"/>
      <c r="Q193" s="23"/>
      <c r="R193" s="22"/>
      <c r="S193" s="96"/>
      <c r="T193" s="42"/>
      <c r="U193" s="9"/>
      <c r="V193" s="5" t="e">
        <f>IF(SUM(S194:S198)=0,"hide","show")</f>
        <v>#REF!</v>
      </c>
    </row>
    <row r="194" spans="1:22" s="5" customFormat="1">
      <c r="A194" s="375" t="e">
        <f>#REF!</f>
        <v>#REF!</v>
      </c>
      <c r="B194" s="943" t="s">
        <v>355</v>
      </c>
      <c r="C194" s="22" t="e">
        <f>#REF!</f>
        <v>#REF!</v>
      </c>
      <c r="D194" s="18"/>
      <c r="E194" s="18"/>
      <c r="F194" s="21" t="e">
        <f>#REF!</f>
        <v>#REF!</v>
      </c>
      <c r="G194" s="18"/>
      <c r="H194" s="18"/>
      <c r="I194" s="21" t="e">
        <f>#REF!</f>
        <v>#REF!</v>
      </c>
      <c r="J194" s="18"/>
      <c r="K194" s="18"/>
      <c r="L194" s="21" t="e">
        <f>#REF!</f>
        <v>#REF!</v>
      </c>
      <c r="M194" s="18"/>
      <c r="N194" s="18"/>
      <c r="O194" s="21" t="e">
        <f>#REF!</f>
        <v>#REF!</v>
      </c>
      <c r="P194" s="18"/>
      <c r="Q194" s="18"/>
      <c r="R194" s="22" t="e">
        <f>C194+F194+I194+L194+O194</f>
        <v>#REF!</v>
      </c>
      <c r="S194" s="96" t="e">
        <f>#REF!</f>
        <v>#REF!</v>
      </c>
      <c r="T194" s="42"/>
      <c r="U194" s="9"/>
      <c r="V194" s="5" t="e">
        <f>IF(S194=0,"hide","show")</f>
        <v>#REF!</v>
      </c>
    </row>
    <row r="195" spans="1:22" s="5" customFormat="1">
      <c r="A195" s="375" t="e">
        <f>#REF!</f>
        <v>#REF!</v>
      </c>
      <c r="B195" s="943" t="s">
        <v>355</v>
      </c>
      <c r="C195" s="22" t="e">
        <f>#REF!</f>
        <v>#REF!</v>
      </c>
      <c r="D195" s="18"/>
      <c r="E195" s="18"/>
      <c r="F195" s="21" t="e">
        <f>#REF!</f>
        <v>#REF!</v>
      </c>
      <c r="G195" s="18"/>
      <c r="H195" s="18"/>
      <c r="I195" s="21" t="e">
        <f>#REF!</f>
        <v>#REF!</v>
      </c>
      <c r="J195" s="18"/>
      <c r="K195" s="18"/>
      <c r="L195" s="21" t="e">
        <f>#REF!</f>
        <v>#REF!</v>
      </c>
      <c r="M195" s="18"/>
      <c r="N195" s="18"/>
      <c r="O195" s="21" t="e">
        <f>#REF!</f>
        <v>#REF!</v>
      </c>
      <c r="P195" s="18"/>
      <c r="Q195" s="18"/>
      <c r="R195" s="22" t="e">
        <f>C195+F195+I195+L195+O195</f>
        <v>#REF!</v>
      </c>
      <c r="S195" s="96" t="e">
        <f>#REF!</f>
        <v>#REF!</v>
      </c>
      <c r="T195" s="42"/>
      <c r="U195" s="9"/>
      <c r="V195" s="5" t="e">
        <f>IF(S195=0,"hide","show")</f>
        <v>#REF!</v>
      </c>
    </row>
    <row r="196" spans="1:22" s="5" customFormat="1">
      <c r="A196" s="375" t="e">
        <f>#REF!</f>
        <v>#REF!</v>
      </c>
      <c r="B196" s="943" t="s">
        <v>355</v>
      </c>
      <c r="C196" s="22" t="e">
        <f>#REF!</f>
        <v>#REF!</v>
      </c>
      <c r="D196" s="18"/>
      <c r="E196" s="18"/>
      <c r="F196" s="21" t="e">
        <f>#REF!</f>
        <v>#REF!</v>
      </c>
      <c r="G196" s="18"/>
      <c r="H196" s="18"/>
      <c r="I196" s="21" t="e">
        <f>#REF!</f>
        <v>#REF!</v>
      </c>
      <c r="J196" s="18"/>
      <c r="K196" s="18"/>
      <c r="L196" s="21" t="e">
        <f>#REF!</f>
        <v>#REF!</v>
      </c>
      <c r="M196" s="18"/>
      <c r="N196" s="18"/>
      <c r="O196" s="21" t="e">
        <f>#REF!</f>
        <v>#REF!</v>
      </c>
      <c r="P196" s="18"/>
      <c r="Q196" s="18"/>
      <c r="R196" s="22" t="e">
        <f>C196+F196+I196+L196+O196</f>
        <v>#REF!</v>
      </c>
      <c r="S196" s="96" t="e">
        <f>#REF!</f>
        <v>#REF!</v>
      </c>
      <c r="T196" s="42"/>
      <c r="U196" s="9"/>
      <c r="V196" s="5" t="e">
        <f>IF(S196=0,"hide","show")</f>
        <v>#REF!</v>
      </c>
    </row>
    <row r="197" spans="1:22" s="5" customFormat="1">
      <c r="A197" s="375" t="e">
        <f>#REF!</f>
        <v>#REF!</v>
      </c>
      <c r="B197" s="943" t="s">
        <v>355</v>
      </c>
      <c r="C197" s="22" t="e">
        <f>#REF!</f>
        <v>#REF!</v>
      </c>
      <c r="D197" s="18"/>
      <c r="E197" s="18"/>
      <c r="F197" s="21" t="e">
        <f>#REF!</f>
        <v>#REF!</v>
      </c>
      <c r="G197" s="18"/>
      <c r="H197" s="18"/>
      <c r="I197" s="21" t="e">
        <f>#REF!</f>
        <v>#REF!</v>
      </c>
      <c r="J197" s="18"/>
      <c r="K197" s="18"/>
      <c r="L197" s="21" t="e">
        <f>#REF!</f>
        <v>#REF!</v>
      </c>
      <c r="M197" s="18"/>
      <c r="N197" s="18"/>
      <c r="O197" s="21" t="e">
        <f>#REF!</f>
        <v>#REF!</v>
      </c>
      <c r="P197" s="18"/>
      <c r="Q197" s="18"/>
      <c r="R197" s="22" t="e">
        <f>C197+F197+I197+L197+O197</f>
        <v>#REF!</v>
      </c>
      <c r="S197" s="96" t="e">
        <f>#REF!</f>
        <v>#REF!</v>
      </c>
      <c r="T197" s="42"/>
      <c r="U197" s="9"/>
      <c r="V197" s="5" t="e">
        <f>IF(S197=0,"hide","show")</f>
        <v>#REF!</v>
      </c>
    </row>
    <row r="198" spans="1:22" s="5" customFormat="1">
      <c r="A198" s="375" t="e">
        <f>#REF!</f>
        <v>#REF!</v>
      </c>
      <c r="B198" s="943" t="s">
        <v>355</v>
      </c>
      <c r="C198" s="22" t="e">
        <f>#REF!</f>
        <v>#REF!</v>
      </c>
      <c r="D198" s="18"/>
      <c r="E198" s="18"/>
      <c r="F198" s="21" t="e">
        <f>#REF!</f>
        <v>#REF!</v>
      </c>
      <c r="G198" s="18"/>
      <c r="H198" s="18"/>
      <c r="I198" s="21" t="e">
        <f>#REF!</f>
        <v>#REF!</v>
      </c>
      <c r="J198" s="18"/>
      <c r="K198" s="18"/>
      <c r="L198" s="21" t="e">
        <f>#REF!</f>
        <v>#REF!</v>
      </c>
      <c r="M198" s="18"/>
      <c r="N198" s="18"/>
      <c r="O198" s="21" t="e">
        <f>#REF!</f>
        <v>#REF!</v>
      </c>
      <c r="P198" s="18"/>
      <c r="Q198" s="18"/>
      <c r="R198" s="22" t="e">
        <f>C198+F198+I198+L198+O198</f>
        <v>#REF!</v>
      </c>
      <c r="S198" s="96" t="e">
        <f>#REF!</f>
        <v>#REF!</v>
      </c>
      <c r="T198" s="42"/>
      <c r="U198" s="9"/>
      <c r="V198" s="5" t="e">
        <f>IF(S198=0,"hide","show")</f>
        <v>#REF!</v>
      </c>
    </row>
    <row r="199" spans="1:22" s="5" customFormat="1">
      <c r="A199" s="375"/>
      <c r="B199" s="943"/>
      <c r="C199" s="22"/>
      <c r="D199" s="18"/>
      <c r="E199" s="18"/>
      <c r="F199" s="21"/>
      <c r="G199" s="18"/>
      <c r="H199" s="18"/>
      <c r="I199" s="21"/>
      <c r="J199" s="18"/>
      <c r="K199" s="18"/>
      <c r="L199" s="21"/>
      <c r="M199" s="18"/>
      <c r="N199" s="18"/>
      <c r="O199" s="21"/>
      <c r="P199" s="18"/>
      <c r="Q199" s="18"/>
      <c r="R199" s="22"/>
      <c r="S199" s="96"/>
      <c r="T199" s="42"/>
      <c r="U199" s="9"/>
      <c r="V199" s="5" t="e">
        <f>IF(SUM(S201:S205)=0,"hide","show")</f>
        <v>#REF!</v>
      </c>
    </row>
    <row r="200" spans="1:22" s="5" customFormat="1" ht="15">
      <c r="A200" s="942" t="e">
        <f>#REF!</f>
        <v>#REF!</v>
      </c>
      <c r="B200" s="316"/>
      <c r="C200" s="22"/>
      <c r="D200" s="23"/>
      <c r="E200" s="23"/>
      <c r="F200" s="21"/>
      <c r="G200" s="23"/>
      <c r="H200" s="23"/>
      <c r="I200" s="21"/>
      <c r="J200" s="23"/>
      <c r="K200" s="23"/>
      <c r="L200" s="21"/>
      <c r="M200" s="23"/>
      <c r="N200" s="23"/>
      <c r="O200" s="21"/>
      <c r="P200" s="23"/>
      <c r="Q200" s="23"/>
      <c r="R200" s="22"/>
      <c r="S200" s="96"/>
      <c r="T200" s="42"/>
      <c r="U200" s="9"/>
      <c r="V200" s="5" t="e">
        <f>IF(SUM(S201:S205)=0,"hide","show")</f>
        <v>#REF!</v>
      </c>
    </row>
    <row r="201" spans="1:22" s="5" customFormat="1">
      <c r="A201" s="375" t="e">
        <f>#REF!</f>
        <v>#REF!</v>
      </c>
      <c r="B201" s="943" t="s">
        <v>355</v>
      </c>
      <c r="C201" s="22" t="e">
        <f>#REF!</f>
        <v>#REF!</v>
      </c>
      <c r="D201" s="18"/>
      <c r="E201" s="18"/>
      <c r="F201" s="21" t="e">
        <f>#REF!</f>
        <v>#REF!</v>
      </c>
      <c r="G201" s="18"/>
      <c r="H201" s="18"/>
      <c r="I201" s="21" t="e">
        <f>#REF!</f>
        <v>#REF!</v>
      </c>
      <c r="J201" s="18"/>
      <c r="K201" s="18"/>
      <c r="L201" s="21" t="e">
        <f>#REF!</f>
        <v>#REF!</v>
      </c>
      <c r="M201" s="18"/>
      <c r="N201" s="18"/>
      <c r="O201" s="21" t="e">
        <f>#REF!</f>
        <v>#REF!</v>
      </c>
      <c r="P201" s="18"/>
      <c r="Q201" s="18"/>
      <c r="R201" s="22" t="e">
        <f>C201+F201+I201+L201+O201</f>
        <v>#REF!</v>
      </c>
      <c r="S201" s="96" t="e">
        <f>#REF!</f>
        <v>#REF!</v>
      </c>
      <c r="T201" s="42"/>
      <c r="U201" s="9"/>
      <c r="V201" s="5" t="e">
        <f>IF(S201=0,"hide","show")</f>
        <v>#REF!</v>
      </c>
    </row>
    <row r="202" spans="1:22" s="5" customFormat="1">
      <c r="A202" s="375" t="e">
        <f>#REF!</f>
        <v>#REF!</v>
      </c>
      <c r="B202" s="943" t="s">
        <v>355</v>
      </c>
      <c r="C202" s="22" t="e">
        <f>#REF!</f>
        <v>#REF!</v>
      </c>
      <c r="D202" s="18"/>
      <c r="E202" s="18"/>
      <c r="F202" s="21" t="e">
        <f>#REF!</f>
        <v>#REF!</v>
      </c>
      <c r="G202" s="18"/>
      <c r="H202" s="18"/>
      <c r="I202" s="21" t="e">
        <f>#REF!</f>
        <v>#REF!</v>
      </c>
      <c r="J202" s="18"/>
      <c r="K202" s="18"/>
      <c r="L202" s="21" t="e">
        <f>#REF!</f>
        <v>#REF!</v>
      </c>
      <c r="M202" s="18"/>
      <c r="N202" s="18"/>
      <c r="O202" s="21" t="e">
        <f>#REF!</f>
        <v>#REF!</v>
      </c>
      <c r="P202" s="18"/>
      <c r="Q202" s="18"/>
      <c r="R202" s="22" t="e">
        <f>C202+F202+I202+L202+O202</f>
        <v>#REF!</v>
      </c>
      <c r="S202" s="96" t="e">
        <f>#REF!</f>
        <v>#REF!</v>
      </c>
      <c r="T202" s="42"/>
      <c r="U202" s="9"/>
      <c r="V202" s="5" t="e">
        <f>IF(S202=0,"hide","show")</f>
        <v>#REF!</v>
      </c>
    </row>
    <row r="203" spans="1:22" s="5" customFormat="1">
      <c r="A203" s="375" t="e">
        <f>#REF!</f>
        <v>#REF!</v>
      </c>
      <c r="B203" s="943" t="s">
        <v>355</v>
      </c>
      <c r="C203" s="22" t="e">
        <f>#REF!</f>
        <v>#REF!</v>
      </c>
      <c r="D203" s="18"/>
      <c r="E203" s="18"/>
      <c r="F203" s="21" t="e">
        <f>#REF!</f>
        <v>#REF!</v>
      </c>
      <c r="G203" s="18"/>
      <c r="H203" s="18"/>
      <c r="I203" s="21" t="e">
        <f>#REF!</f>
        <v>#REF!</v>
      </c>
      <c r="J203" s="18"/>
      <c r="K203" s="18"/>
      <c r="L203" s="21" t="e">
        <f>#REF!</f>
        <v>#REF!</v>
      </c>
      <c r="M203" s="18"/>
      <c r="N203" s="18"/>
      <c r="O203" s="21" t="e">
        <f>#REF!</f>
        <v>#REF!</v>
      </c>
      <c r="P203" s="18"/>
      <c r="Q203" s="18"/>
      <c r="R203" s="22" t="e">
        <f>C203+F203+I203+L203+O203</f>
        <v>#REF!</v>
      </c>
      <c r="S203" s="96" t="e">
        <f>#REF!</f>
        <v>#REF!</v>
      </c>
      <c r="T203" s="42"/>
      <c r="U203" s="9"/>
      <c r="V203" s="5" t="e">
        <f>IF(S203=0,"hide","show")</f>
        <v>#REF!</v>
      </c>
    </row>
    <row r="204" spans="1:22" s="5" customFormat="1">
      <c r="A204" s="375" t="e">
        <f>#REF!</f>
        <v>#REF!</v>
      </c>
      <c r="B204" s="943" t="s">
        <v>355</v>
      </c>
      <c r="C204" s="22" t="e">
        <f>#REF!</f>
        <v>#REF!</v>
      </c>
      <c r="D204" s="18"/>
      <c r="E204" s="18"/>
      <c r="F204" s="21" t="e">
        <f>#REF!</f>
        <v>#REF!</v>
      </c>
      <c r="G204" s="18"/>
      <c r="H204" s="18"/>
      <c r="I204" s="21" t="e">
        <f>#REF!</f>
        <v>#REF!</v>
      </c>
      <c r="J204" s="18"/>
      <c r="K204" s="18"/>
      <c r="L204" s="21" t="e">
        <f>#REF!</f>
        <v>#REF!</v>
      </c>
      <c r="M204" s="18"/>
      <c r="N204" s="18"/>
      <c r="O204" s="21" t="e">
        <f>#REF!</f>
        <v>#REF!</v>
      </c>
      <c r="P204" s="18"/>
      <c r="Q204" s="18"/>
      <c r="R204" s="22" t="e">
        <f>C204+F204+I204+L204+O204</f>
        <v>#REF!</v>
      </c>
      <c r="S204" s="96" t="e">
        <f>#REF!</f>
        <v>#REF!</v>
      </c>
      <c r="T204" s="42"/>
      <c r="U204" s="9"/>
      <c r="V204" s="5" t="e">
        <f>IF(S204=0,"hide","show")</f>
        <v>#REF!</v>
      </c>
    </row>
    <row r="205" spans="1:22" s="5" customFormat="1">
      <c r="A205" s="375" t="e">
        <f>#REF!</f>
        <v>#REF!</v>
      </c>
      <c r="B205" s="943" t="s">
        <v>355</v>
      </c>
      <c r="C205" s="22" t="e">
        <f>#REF!</f>
        <v>#REF!</v>
      </c>
      <c r="D205" s="18"/>
      <c r="E205" s="18"/>
      <c r="F205" s="21" t="e">
        <f>#REF!</f>
        <v>#REF!</v>
      </c>
      <c r="G205" s="18"/>
      <c r="H205" s="18"/>
      <c r="I205" s="21" t="e">
        <f>#REF!</f>
        <v>#REF!</v>
      </c>
      <c r="J205" s="18"/>
      <c r="K205" s="18"/>
      <c r="L205" s="21" t="e">
        <f>#REF!</f>
        <v>#REF!</v>
      </c>
      <c r="M205" s="18"/>
      <c r="N205" s="18"/>
      <c r="O205" s="21" t="e">
        <f>#REF!</f>
        <v>#REF!</v>
      </c>
      <c r="P205" s="18"/>
      <c r="Q205" s="18"/>
      <c r="R205" s="22" t="e">
        <f>C205+F205+I205+L205+O205</f>
        <v>#REF!</v>
      </c>
      <c r="S205" s="96" t="e">
        <f>#REF!</f>
        <v>#REF!</v>
      </c>
      <c r="T205" s="42"/>
      <c r="U205" s="9"/>
      <c r="V205" s="5" t="e">
        <f>IF(S205=0,"hide","show")</f>
        <v>#REF!</v>
      </c>
    </row>
    <row r="206" spans="1:22" s="5" customFormat="1">
      <c r="A206" s="375"/>
      <c r="B206" s="943"/>
      <c r="C206" s="22"/>
      <c r="D206" s="18"/>
      <c r="E206" s="18"/>
      <c r="F206" s="21"/>
      <c r="G206" s="18"/>
      <c r="H206" s="18"/>
      <c r="I206" s="21"/>
      <c r="J206" s="18"/>
      <c r="K206" s="18"/>
      <c r="L206" s="21"/>
      <c r="M206" s="18"/>
      <c r="N206" s="18"/>
      <c r="O206" s="21"/>
      <c r="P206" s="18"/>
      <c r="Q206" s="18"/>
      <c r="R206" s="22"/>
      <c r="S206" s="96"/>
      <c r="T206" s="42"/>
      <c r="U206" s="9"/>
      <c r="V206" s="5" t="e">
        <f>IF(SUM(S208:S212)=0,"hide","show")</f>
        <v>#REF!</v>
      </c>
    </row>
    <row r="207" spans="1:22" s="5" customFormat="1" ht="15">
      <c r="A207" s="942" t="e">
        <f>#REF!</f>
        <v>#REF!</v>
      </c>
      <c r="B207" s="316"/>
      <c r="C207" s="22"/>
      <c r="D207" s="23"/>
      <c r="E207" s="23"/>
      <c r="F207" s="21"/>
      <c r="G207" s="23"/>
      <c r="H207" s="23"/>
      <c r="I207" s="21"/>
      <c r="J207" s="23"/>
      <c r="K207" s="23"/>
      <c r="L207" s="21"/>
      <c r="M207" s="23"/>
      <c r="N207" s="23"/>
      <c r="O207" s="21"/>
      <c r="P207" s="23"/>
      <c r="Q207" s="23"/>
      <c r="R207" s="22"/>
      <c r="S207" s="96"/>
      <c r="T207" s="42"/>
      <c r="U207" s="9"/>
      <c r="V207" s="5" t="e">
        <f>IF(SUM(S208:S212)=0,"hide","show")</f>
        <v>#REF!</v>
      </c>
    </row>
    <row r="208" spans="1:22" s="5" customFormat="1">
      <c r="A208" s="375" t="e">
        <f>#REF!</f>
        <v>#REF!</v>
      </c>
      <c r="B208" s="943" t="s">
        <v>355</v>
      </c>
      <c r="C208" s="22" t="e">
        <f>#REF!</f>
        <v>#REF!</v>
      </c>
      <c r="D208" s="18"/>
      <c r="E208" s="18"/>
      <c r="F208" s="21" t="e">
        <f>#REF!</f>
        <v>#REF!</v>
      </c>
      <c r="G208" s="18"/>
      <c r="H208" s="18"/>
      <c r="I208" s="21" t="e">
        <f>#REF!</f>
        <v>#REF!</v>
      </c>
      <c r="J208" s="18"/>
      <c r="K208" s="18"/>
      <c r="L208" s="21" t="e">
        <f>#REF!</f>
        <v>#REF!</v>
      </c>
      <c r="M208" s="18"/>
      <c r="N208" s="18"/>
      <c r="O208" s="21" t="e">
        <f>#REF!</f>
        <v>#REF!</v>
      </c>
      <c r="P208" s="18"/>
      <c r="Q208" s="18"/>
      <c r="R208" s="22" t="e">
        <f>C208+F208+I208+L208+O208</f>
        <v>#REF!</v>
      </c>
      <c r="S208" s="96" t="e">
        <f>#REF!</f>
        <v>#REF!</v>
      </c>
      <c r="T208" s="42"/>
      <c r="U208" s="9"/>
      <c r="V208" s="5" t="e">
        <f>IF(S208=0,"hide","show")</f>
        <v>#REF!</v>
      </c>
    </row>
    <row r="209" spans="1:22" s="5" customFormat="1">
      <c r="A209" s="375" t="e">
        <f>#REF!</f>
        <v>#REF!</v>
      </c>
      <c r="B209" s="943" t="s">
        <v>355</v>
      </c>
      <c r="C209" s="22" t="e">
        <f>#REF!</f>
        <v>#REF!</v>
      </c>
      <c r="D209" s="18"/>
      <c r="E209" s="18"/>
      <c r="F209" s="21" t="e">
        <f>#REF!</f>
        <v>#REF!</v>
      </c>
      <c r="G209" s="18"/>
      <c r="H209" s="18"/>
      <c r="I209" s="21" t="e">
        <f>#REF!</f>
        <v>#REF!</v>
      </c>
      <c r="J209" s="18"/>
      <c r="K209" s="18"/>
      <c r="L209" s="21" t="e">
        <f>#REF!</f>
        <v>#REF!</v>
      </c>
      <c r="M209" s="18"/>
      <c r="N209" s="18"/>
      <c r="O209" s="21" t="e">
        <f>#REF!</f>
        <v>#REF!</v>
      </c>
      <c r="P209" s="18"/>
      <c r="Q209" s="18"/>
      <c r="R209" s="22" t="e">
        <f>C209+F209+I209+L209+O209</f>
        <v>#REF!</v>
      </c>
      <c r="S209" s="96" t="e">
        <f>#REF!</f>
        <v>#REF!</v>
      </c>
      <c r="T209" s="42"/>
      <c r="U209" s="9"/>
      <c r="V209" s="5" t="e">
        <f>IF(S209=0,"hide","show")</f>
        <v>#REF!</v>
      </c>
    </row>
    <row r="210" spans="1:22" s="5" customFormat="1">
      <c r="A210" s="375" t="e">
        <f>#REF!</f>
        <v>#REF!</v>
      </c>
      <c r="B210" s="943" t="s">
        <v>355</v>
      </c>
      <c r="C210" s="22" t="e">
        <f>#REF!</f>
        <v>#REF!</v>
      </c>
      <c r="D210" s="18"/>
      <c r="E210" s="18"/>
      <c r="F210" s="21" t="e">
        <f>#REF!</f>
        <v>#REF!</v>
      </c>
      <c r="G210" s="18"/>
      <c r="H210" s="18"/>
      <c r="I210" s="21" t="e">
        <f>#REF!</f>
        <v>#REF!</v>
      </c>
      <c r="J210" s="18"/>
      <c r="K210" s="18"/>
      <c r="L210" s="21" t="e">
        <f>#REF!</f>
        <v>#REF!</v>
      </c>
      <c r="M210" s="18"/>
      <c r="N210" s="18"/>
      <c r="O210" s="21" t="e">
        <f>#REF!</f>
        <v>#REF!</v>
      </c>
      <c r="P210" s="18"/>
      <c r="Q210" s="18"/>
      <c r="R210" s="22" t="e">
        <f>C210+F210+I210+L210+O210</f>
        <v>#REF!</v>
      </c>
      <c r="S210" s="96" t="e">
        <f>#REF!</f>
        <v>#REF!</v>
      </c>
      <c r="T210" s="42"/>
      <c r="U210" s="9"/>
      <c r="V210" s="5" t="e">
        <f>IF(S210=0,"hide","show")</f>
        <v>#REF!</v>
      </c>
    </row>
    <row r="211" spans="1:22" s="5" customFormat="1">
      <c r="A211" s="375" t="e">
        <f>#REF!</f>
        <v>#REF!</v>
      </c>
      <c r="B211" s="943" t="s">
        <v>355</v>
      </c>
      <c r="C211" s="22" t="e">
        <f>#REF!</f>
        <v>#REF!</v>
      </c>
      <c r="D211" s="18"/>
      <c r="E211" s="18"/>
      <c r="F211" s="21" t="e">
        <f>#REF!</f>
        <v>#REF!</v>
      </c>
      <c r="G211" s="18"/>
      <c r="H211" s="18"/>
      <c r="I211" s="21" t="e">
        <f>#REF!</f>
        <v>#REF!</v>
      </c>
      <c r="J211" s="18"/>
      <c r="K211" s="18"/>
      <c r="L211" s="21" t="e">
        <f>#REF!</f>
        <v>#REF!</v>
      </c>
      <c r="M211" s="18"/>
      <c r="N211" s="18"/>
      <c r="O211" s="21" t="e">
        <f>#REF!</f>
        <v>#REF!</v>
      </c>
      <c r="P211" s="18"/>
      <c r="Q211" s="18"/>
      <c r="R211" s="22" t="e">
        <f>C211+F211+I211+L211+O211</f>
        <v>#REF!</v>
      </c>
      <c r="S211" s="96" t="e">
        <f>#REF!</f>
        <v>#REF!</v>
      </c>
      <c r="T211" s="42"/>
      <c r="U211" s="9"/>
      <c r="V211" s="5" t="e">
        <f>IF(S211=0,"hide","show")</f>
        <v>#REF!</v>
      </c>
    </row>
    <row r="212" spans="1:22" s="5" customFormat="1">
      <c r="A212" s="375" t="e">
        <f>#REF!</f>
        <v>#REF!</v>
      </c>
      <c r="B212" s="943" t="s">
        <v>355</v>
      </c>
      <c r="C212" s="22" t="e">
        <f>#REF!</f>
        <v>#REF!</v>
      </c>
      <c r="D212" s="18"/>
      <c r="E212" s="18"/>
      <c r="F212" s="21" t="e">
        <f>#REF!</f>
        <v>#REF!</v>
      </c>
      <c r="G212" s="18"/>
      <c r="H212" s="18"/>
      <c r="I212" s="21" t="e">
        <f>#REF!</f>
        <v>#REF!</v>
      </c>
      <c r="J212" s="18"/>
      <c r="K212" s="18"/>
      <c r="L212" s="21" t="e">
        <f>#REF!</f>
        <v>#REF!</v>
      </c>
      <c r="M212" s="18"/>
      <c r="N212" s="18"/>
      <c r="O212" s="21" t="e">
        <f>#REF!</f>
        <v>#REF!</v>
      </c>
      <c r="P212" s="18"/>
      <c r="Q212" s="18"/>
      <c r="R212" s="22" t="e">
        <f>C212+F212+I212+L212+O212</f>
        <v>#REF!</v>
      </c>
      <c r="S212" s="96" t="e">
        <f>#REF!</f>
        <v>#REF!</v>
      </c>
      <c r="T212" s="42"/>
      <c r="U212" s="9"/>
      <c r="V212" s="5" t="e">
        <f>IF(S212=0,"hide","show")</f>
        <v>#REF!</v>
      </c>
    </row>
    <row r="213" spans="1:22" s="5" customFormat="1">
      <c r="A213" s="375"/>
      <c r="B213" s="943"/>
      <c r="C213" s="22"/>
      <c r="D213" s="18"/>
      <c r="E213" s="18"/>
      <c r="F213" s="21"/>
      <c r="G213" s="18"/>
      <c r="H213" s="18"/>
      <c r="I213" s="21"/>
      <c r="J213" s="18"/>
      <c r="K213" s="18"/>
      <c r="L213" s="21"/>
      <c r="M213" s="18"/>
      <c r="N213" s="18"/>
      <c r="O213" s="21"/>
      <c r="P213" s="18"/>
      <c r="Q213" s="18"/>
      <c r="R213" s="22"/>
      <c r="S213" s="96"/>
      <c r="T213" s="42"/>
      <c r="U213" s="9"/>
      <c r="V213" s="5" t="e">
        <f>IF(SUM(S215:S219)=0,"hide","show")</f>
        <v>#REF!</v>
      </c>
    </row>
    <row r="214" spans="1:22" s="5" customFormat="1" ht="16.5">
      <c r="A214" s="374" t="e">
        <f>#REF!</f>
        <v>#REF!</v>
      </c>
      <c r="B214" s="316"/>
      <c r="C214" s="22"/>
      <c r="D214" s="23"/>
      <c r="E214" s="23"/>
      <c r="F214" s="21"/>
      <c r="G214" s="23"/>
      <c r="H214" s="23"/>
      <c r="I214" s="21"/>
      <c r="J214" s="23"/>
      <c r="K214" s="23"/>
      <c r="L214" s="21"/>
      <c r="M214" s="23"/>
      <c r="N214" s="23"/>
      <c r="O214" s="21"/>
      <c r="P214" s="23"/>
      <c r="Q214" s="23"/>
      <c r="R214" s="22"/>
      <c r="S214" s="96"/>
      <c r="T214" s="42"/>
      <c r="U214" s="9"/>
      <c r="V214" s="5" t="e">
        <f>IF(SUM(S215:S219)=0,"hide","show")</f>
        <v>#REF!</v>
      </c>
    </row>
    <row r="215" spans="1:22" s="5" customFormat="1">
      <c r="A215" s="375" t="e">
        <f>#REF!</f>
        <v>#REF!</v>
      </c>
      <c r="B215" s="943" t="s">
        <v>355</v>
      </c>
      <c r="C215" s="22" t="e">
        <f>#REF!</f>
        <v>#REF!</v>
      </c>
      <c r="D215" s="18"/>
      <c r="E215" s="18"/>
      <c r="F215" s="21" t="e">
        <f>#REF!</f>
        <v>#REF!</v>
      </c>
      <c r="G215" s="18"/>
      <c r="H215" s="18"/>
      <c r="I215" s="21" t="e">
        <f>#REF!</f>
        <v>#REF!</v>
      </c>
      <c r="J215" s="18"/>
      <c r="K215" s="18"/>
      <c r="L215" s="21" t="e">
        <f>#REF!</f>
        <v>#REF!</v>
      </c>
      <c r="M215" s="18"/>
      <c r="N215" s="18"/>
      <c r="O215" s="21" t="e">
        <f>#REF!</f>
        <v>#REF!</v>
      </c>
      <c r="P215" s="18"/>
      <c r="Q215" s="18"/>
      <c r="R215" s="22" t="e">
        <f>C215+F215+I215+L215+O215</f>
        <v>#REF!</v>
      </c>
      <c r="S215" s="96" t="e">
        <f>#REF!</f>
        <v>#REF!</v>
      </c>
      <c r="T215" s="42"/>
      <c r="U215" s="9"/>
      <c r="V215" s="5" t="e">
        <f>IF(S215=0,"hide","show")</f>
        <v>#REF!</v>
      </c>
    </row>
    <row r="216" spans="1:22" s="5" customFormat="1">
      <c r="A216" s="375" t="e">
        <f>#REF!</f>
        <v>#REF!</v>
      </c>
      <c r="B216" s="943" t="s">
        <v>355</v>
      </c>
      <c r="C216" s="22" t="e">
        <f>#REF!</f>
        <v>#REF!</v>
      </c>
      <c r="D216" s="18"/>
      <c r="E216" s="18"/>
      <c r="F216" s="21" t="e">
        <f>#REF!</f>
        <v>#REF!</v>
      </c>
      <c r="G216" s="18"/>
      <c r="H216" s="18"/>
      <c r="I216" s="21" t="e">
        <f>#REF!</f>
        <v>#REF!</v>
      </c>
      <c r="J216" s="18"/>
      <c r="K216" s="18"/>
      <c r="L216" s="21" t="e">
        <f>#REF!</f>
        <v>#REF!</v>
      </c>
      <c r="M216" s="18"/>
      <c r="N216" s="18"/>
      <c r="O216" s="21" t="e">
        <f>#REF!</f>
        <v>#REF!</v>
      </c>
      <c r="P216" s="18"/>
      <c r="Q216" s="18"/>
      <c r="R216" s="22" t="e">
        <f>C216+F216+I216+L216+O216</f>
        <v>#REF!</v>
      </c>
      <c r="S216" s="96" t="e">
        <f>#REF!</f>
        <v>#REF!</v>
      </c>
      <c r="T216" s="42"/>
      <c r="U216" s="9"/>
      <c r="V216" s="5" t="e">
        <f>IF(S216=0,"hide","show")</f>
        <v>#REF!</v>
      </c>
    </row>
    <row r="217" spans="1:22" s="5" customFormat="1">
      <c r="A217" s="375" t="e">
        <f>#REF!</f>
        <v>#REF!</v>
      </c>
      <c r="B217" s="943" t="s">
        <v>355</v>
      </c>
      <c r="C217" s="22" t="e">
        <f>#REF!</f>
        <v>#REF!</v>
      </c>
      <c r="D217" s="18"/>
      <c r="E217" s="18"/>
      <c r="F217" s="21" t="e">
        <f>#REF!</f>
        <v>#REF!</v>
      </c>
      <c r="G217" s="18"/>
      <c r="H217" s="18"/>
      <c r="I217" s="21" t="e">
        <f>#REF!</f>
        <v>#REF!</v>
      </c>
      <c r="J217" s="18"/>
      <c r="K217" s="18"/>
      <c r="L217" s="21" t="e">
        <f>#REF!</f>
        <v>#REF!</v>
      </c>
      <c r="M217" s="18"/>
      <c r="N217" s="18"/>
      <c r="O217" s="21" t="e">
        <f>#REF!</f>
        <v>#REF!</v>
      </c>
      <c r="P217" s="18"/>
      <c r="Q217" s="18"/>
      <c r="R217" s="22" t="e">
        <f>C217+F217+I217+L217+O217</f>
        <v>#REF!</v>
      </c>
      <c r="S217" s="96" t="e">
        <f>#REF!</f>
        <v>#REF!</v>
      </c>
      <c r="T217" s="42"/>
      <c r="U217" s="9"/>
      <c r="V217" s="5" t="e">
        <f>IF(S217=0,"hide","show")</f>
        <v>#REF!</v>
      </c>
    </row>
    <row r="218" spans="1:22" s="5" customFormat="1">
      <c r="A218" s="375" t="e">
        <f>#REF!</f>
        <v>#REF!</v>
      </c>
      <c r="B218" s="943" t="s">
        <v>355</v>
      </c>
      <c r="C218" s="22" t="e">
        <f>#REF!</f>
        <v>#REF!</v>
      </c>
      <c r="D218" s="18"/>
      <c r="E218" s="18"/>
      <c r="F218" s="21" t="e">
        <f>#REF!</f>
        <v>#REF!</v>
      </c>
      <c r="G218" s="18"/>
      <c r="H218" s="18"/>
      <c r="I218" s="21" t="e">
        <f>#REF!</f>
        <v>#REF!</v>
      </c>
      <c r="J218" s="18"/>
      <c r="K218" s="18"/>
      <c r="L218" s="21" t="e">
        <f>#REF!</f>
        <v>#REF!</v>
      </c>
      <c r="M218" s="18"/>
      <c r="N218" s="18"/>
      <c r="O218" s="21" t="e">
        <f>#REF!</f>
        <v>#REF!</v>
      </c>
      <c r="P218" s="18"/>
      <c r="Q218" s="18"/>
      <c r="R218" s="22" t="e">
        <f>C218+F218+I218+L218+O218</f>
        <v>#REF!</v>
      </c>
      <c r="S218" s="96" t="e">
        <f>#REF!</f>
        <v>#REF!</v>
      </c>
      <c r="T218" s="42"/>
      <c r="U218" s="9"/>
      <c r="V218" s="5" t="e">
        <f>IF(S218=0,"hide","show")</f>
        <v>#REF!</v>
      </c>
    </row>
    <row r="219" spans="1:22" s="5" customFormat="1">
      <c r="A219" s="375" t="e">
        <f>#REF!</f>
        <v>#REF!</v>
      </c>
      <c r="B219" s="943" t="s">
        <v>355</v>
      </c>
      <c r="C219" s="22" t="e">
        <f>#REF!</f>
        <v>#REF!</v>
      </c>
      <c r="D219" s="18"/>
      <c r="E219" s="18"/>
      <c r="F219" s="21" t="e">
        <f>#REF!</f>
        <v>#REF!</v>
      </c>
      <c r="G219" s="18"/>
      <c r="H219" s="18"/>
      <c r="I219" s="21" t="e">
        <f>#REF!</f>
        <v>#REF!</v>
      </c>
      <c r="J219" s="18"/>
      <c r="K219" s="18"/>
      <c r="L219" s="21" t="e">
        <f>#REF!</f>
        <v>#REF!</v>
      </c>
      <c r="M219" s="18"/>
      <c r="N219" s="18"/>
      <c r="O219" s="21" t="e">
        <f>#REF!</f>
        <v>#REF!</v>
      </c>
      <c r="P219" s="18"/>
      <c r="Q219" s="18"/>
      <c r="R219" s="22" t="e">
        <f>C219+F219+I219+L219+O219</f>
        <v>#REF!</v>
      </c>
      <c r="S219" s="96" t="e">
        <f>#REF!</f>
        <v>#REF!</v>
      </c>
      <c r="T219" s="42"/>
      <c r="U219" s="9"/>
      <c r="V219" s="5" t="e">
        <f>IF(S219=0,"hide","show")</f>
        <v>#REF!</v>
      </c>
    </row>
    <row r="220" spans="1:22" s="5" customFormat="1">
      <c r="A220" s="944"/>
      <c r="B220" s="316"/>
      <c r="C220" s="22"/>
      <c r="D220" s="23"/>
      <c r="E220" s="23"/>
      <c r="F220" s="21"/>
      <c r="G220" s="23"/>
      <c r="H220" s="23"/>
      <c r="I220" s="21"/>
      <c r="J220" s="23"/>
      <c r="K220" s="23"/>
      <c r="L220" s="21"/>
      <c r="M220" s="23"/>
      <c r="N220" s="23"/>
      <c r="O220" s="21"/>
      <c r="P220" s="23"/>
      <c r="Q220" s="23"/>
      <c r="R220" s="22"/>
      <c r="S220" s="96"/>
      <c r="T220" s="42"/>
      <c r="U220" s="9"/>
      <c r="V220" s="5" t="e">
        <f>IF(SUM(S222:S228)=0,"hide","show")</f>
        <v>#REF!</v>
      </c>
    </row>
    <row r="221" spans="1:22" s="5" customFormat="1" ht="12.75" customHeight="1">
      <c r="A221" s="945" t="e">
        <f>#REF!</f>
        <v>#REF!</v>
      </c>
      <c r="B221" s="316"/>
      <c r="C221" s="43" t="e">
        <f>SUM(C13:C19)</f>
        <v>#REF!</v>
      </c>
      <c r="D221" s="23"/>
      <c r="E221" s="18"/>
      <c r="F221" s="97" t="e">
        <f>SUM(F13:F19)</f>
        <v>#REF!</v>
      </c>
      <c r="G221" s="23"/>
      <c r="H221" s="18"/>
      <c r="I221" s="97" t="e">
        <f>SUM(I13:I19)</f>
        <v>#REF!</v>
      </c>
      <c r="J221" s="23"/>
      <c r="K221" s="18"/>
      <c r="L221" s="97" t="e">
        <f>SUM(L13:L19)</f>
        <v>#REF!</v>
      </c>
      <c r="M221" s="23"/>
      <c r="N221" s="18"/>
      <c r="O221" s="97" t="e">
        <f>SUM(O13:O19)</f>
        <v>#REF!</v>
      </c>
      <c r="P221" s="23"/>
      <c r="Q221" s="18"/>
      <c r="R221" s="22" t="e">
        <f t="shared" ref="R221:R228" si="11">C221+F221+I221+L221+O221</f>
        <v>#REF!</v>
      </c>
      <c r="S221" s="96" t="e">
        <f>#REF!</f>
        <v>#REF!</v>
      </c>
      <c r="T221" s="42"/>
      <c r="U221" s="9"/>
      <c r="V221" s="5" t="e">
        <f>IF(S221=0,"hide","show")</f>
        <v>#REF!</v>
      </c>
    </row>
    <row r="222" spans="1:22" s="5" customFormat="1" ht="12.75" customHeight="1">
      <c r="A222" s="945" t="e">
        <f>#REF!</f>
        <v>#REF!</v>
      </c>
      <c r="B222" s="316"/>
      <c r="C222" s="43" t="e">
        <f>SUM(C20:C26)</f>
        <v>#REF!</v>
      </c>
      <c r="D222" s="23"/>
      <c r="E222" s="18"/>
      <c r="F222" s="97" t="e">
        <f>SUM(F20:F26)</f>
        <v>#REF!</v>
      </c>
      <c r="G222" s="23"/>
      <c r="H222" s="18"/>
      <c r="I222" s="97" t="e">
        <f>SUM(I20:I26)</f>
        <v>#REF!</v>
      </c>
      <c r="J222" s="23"/>
      <c r="K222" s="18"/>
      <c r="L222" s="97" t="e">
        <f>SUM(L20:L26)</f>
        <v>#REF!</v>
      </c>
      <c r="M222" s="23"/>
      <c r="N222" s="18"/>
      <c r="O222" s="97" t="e">
        <f>SUM(O20:O26)</f>
        <v>#REF!</v>
      </c>
      <c r="P222" s="23"/>
      <c r="Q222" s="18"/>
      <c r="R222" s="22" t="e">
        <f t="shared" si="11"/>
        <v>#REF!</v>
      </c>
      <c r="S222" s="96" t="e">
        <f>#REF!</f>
        <v>#REF!</v>
      </c>
      <c r="T222" s="42"/>
      <c r="U222" s="9"/>
      <c r="V222" s="5" t="e">
        <f t="shared" ref="V222:V228" si="12">IF(S222=0,"hide","show")</f>
        <v>#REF!</v>
      </c>
    </row>
    <row r="223" spans="1:22" s="5" customFormat="1" ht="12.75" customHeight="1">
      <c r="A223" s="945" t="e">
        <f>#REF!</f>
        <v>#REF!</v>
      </c>
      <c r="B223" s="316"/>
      <c r="C223" s="43" t="e">
        <f>SUM(C28:C115)</f>
        <v>#REF!</v>
      </c>
      <c r="D223" s="23"/>
      <c r="E223" s="18"/>
      <c r="F223" s="97" t="e">
        <f>SUM(F28:F115)</f>
        <v>#REF!</v>
      </c>
      <c r="G223" s="23"/>
      <c r="H223" s="18"/>
      <c r="I223" s="97" t="e">
        <f>SUM(I28:I115)</f>
        <v>#REF!</v>
      </c>
      <c r="J223" s="23"/>
      <c r="K223" s="18"/>
      <c r="L223" s="97" t="e">
        <f>SUM(L28:L115)</f>
        <v>#REF!</v>
      </c>
      <c r="M223" s="23"/>
      <c r="N223" s="18"/>
      <c r="O223" s="97" t="e">
        <f>SUM(O28:O115)</f>
        <v>#REF!</v>
      </c>
      <c r="P223" s="23"/>
      <c r="Q223" s="18"/>
      <c r="R223" s="22" t="e">
        <f t="shared" si="11"/>
        <v>#REF!</v>
      </c>
      <c r="S223" s="96" t="e">
        <f>#REF!</f>
        <v>#REF!</v>
      </c>
      <c r="T223" s="42"/>
      <c r="U223" s="9"/>
      <c r="V223" s="5" t="e">
        <f t="shared" si="12"/>
        <v>#REF!</v>
      </c>
    </row>
    <row r="224" spans="1:22" s="5" customFormat="1" ht="12.75" customHeight="1">
      <c r="A224" s="945" t="e">
        <f>#REF!</f>
        <v>#REF!</v>
      </c>
      <c r="B224" s="316"/>
      <c r="C224" s="43" t="e">
        <f>SUM(C116:C191)</f>
        <v>#REF!</v>
      </c>
      <c r="D224" s="44"/>
      <c r="E224" s="18"/>
      <c r="F224" s="97" t="e">
        <f>SUM(F116:F191)</f>
        <v>#REF!</v>
      </c>
      <c r="G224" s="44"/>
      <c r="H224" s="18"/>
      <c r="I224" s="97" t="e">
        <f>SUM(I116:I191)</f>
        <v>#REF!</v>
      </c>
      <c r="J224" s="44"/>
      <c r="K224" s="18"/>
      <c r="L224" s="97" t="e">
        <f>SUM(L116:L191)</f>
        <v>#REF!</v>
      </c>
      <c r="M224" s="44"/>
      <c r="N224" s="18"/>
      <c r="O224" s="97" t="e">
        <f>SUM(O116:O191)</f>
        <v>#REF!</v>
      </c>
      <c r="P224" s="44"/>
      <c r="Q224" s="18"/>
      <c r="R224" s="22" t="e">
        <f t="shared" si="11"/>
        <v>#REF!</v>
      </c>
      <c r="S224" s="96" t="e">
        <f>#REF!</f>
        <v>#REF!</v>
      </c>
      <c r="T224" s="42"/>
      <c r="U224" s="9"/>
      <c r="V224" s="5" t="e">
        <f t="shared" si="12"/>
        <v>#REF!</v>
      </c>
    </row>
    <row r="225" spans="1:22" s="5" customFormat="1" ht="12.75" customHeight="1">
      <c r="A225" s="945" t="e">
        <f>#REF!</f>
        <v>#REF!</v>
      </c>
      <c r="B225" s="316"/>
      <c r="C225" s="43" t="e">
        <f>SUM(C193:C199)</f>
        <v>#REF!</v>
      </c>
      <c r="D225" s="44"/>
      <c r="E225" s="18"/>
      <c r="F225" s="97" t="e">
        <f>SUM(F193:F199)</f>
        <v>#REF!</v>
      </c>
      <c r="G225" s="44"/>
      <c r="H225" s="18"/>
      <c r="I225" s="97" t="e">
        <f>SUM(I193:I199)</f>
        <v>#REF!</v>
      </c>
      <c r="J225" s="44"/>
      <c r="K225" s="18"/>
      <c r="L225" s="97" t="e">
        <f>SUM(L193:L199)</f>
        <v>#REF!</v>
      </c>
      <c r="M225" s="44"/>
      <c r="N225" s="18"/>
      <c r="O225" s="97" t="e">
        <f>SUM(O193:O199)</f>
        <v>#REF!</v>
      </c>
      <c r="P225" s="44"/>
      <c r="Q225" s="18"/>
      <c r="R225" s="22" t="e">
        <f t="shared" si="11"/>
        <v>#REF!</v>
      </c>
      <c r="S225" s="96" t="e">
        <f>#REF!</f>
        <v>#REF!</v>
      </c>
      <c r="T225" s="42"/>
      <c r="U225" s="9"/>
      <c r="V225" s="5" t="e">
        <f t="shared" si="12"/>
        <v>#REF!</v>
      </c>
    </row>
    <row r="226" spans="1:22" s="5" customFormat="1" ht="12.75" customHeight="1">
      <c r="A226" s="945" t="e">
        <f>#REF!</f>
        <v>#REF!</v>
      </c>
      <c r="B226" s="316"/>
      <c r="C226" s="43" t="e">
        <f>SUM(C200:C206)</f>
        <v>#REF!</v>
      </c>
      <c r="D226" s="44"/>
      <c r="E226" s="18"/>
      <c r="F226" s="97" t="e">
        <f>SUM(F200:F206)</f>
        <v>#REF!</v>
      </c>
      <c r="G226" s="44"/>
      <c r="H226" s="18"/>
      <c r="I226" s="97" t="e">
        <f>SUM(I200:I206)</f>
        <v>#REF!</v>
      </c>
      <c r="J226" s="44"/>
      <c r="K226" s="18"/>
      <c r="L226" s="97" t="e">
        <f>SUM(L200:L206)</f>
        <v>#REF!</v>
      </c>
      <c r="M226" s="44"/>
      <c r="N226" s="18"/>
      <c r="O226" s="97" t="e">
        <f>SUM(O200:O206)</f>
        <v>#REF!</v>
      </c>
      <c r="P226" s="44"/>
      <c r="Q226" s="18"/>
      <c r="R226" s="22" t="e">
        <f t="shared" si="11"/>
        <v>#REF!</v>
      </c>
      <c r="S226" s="96" t="e">
        <f>#REF!</f>
        <v>#REF!</v>
      </c>
      <c r="T226" s="42"/>
      <c r="U226" s="9"/>
      <c r="V226" s="5" t="e">
        <f t="shared" si="12"/>
        <v>#REF!</v>
      </c>
    </row>
    <row r="227" spans="1:22" s="5" customFormat="1" ht="12.75" customHeight="1">
      <c r="A227" s="945" t="e">
        <f>#REF!</f>
        <v>#REF!</v>
      </c>
      <c r="B227" s="316"/>
      <c r="C227" s="43" t="e">
        <f>SUM(C207:C213)</f>
        <v>#REF!</v>
      </c>
      <c r="D227" s="44"/>
      <c r="E227" s="18"/>
      <c r="F227" s="97" t="e">
        <f>SUM(F207:F213)</f>
        <v>#REF!</v>
      </c>
      <c r="G227" s="44"/>
      <c r="H227" s="18"/>
      <c r="I227" s="97" t="e">
        <f>SUM(I207:I213)</f>
        <v>#REF!</v>
      </c>
      <c r="J227" s="44"/>
      <c r="K227" s="18"/>
      <c r="L227" s="97" t="e">
        <f>SUM(L207:L213)</f>
        <v>#REF!</v>
      </c>
      <c r="M227" s="44"/>
      <c r="N227" s="18"/>
      <c r="O227" s="97" t="e">
        <f>SUM(O207:O213)</f>
        <v>#REF!</v>
      </c>
      <c r="P227" s="44"/>
      <c r="Q227" s="18"/>
      <c r="R227" s="22" t="e">
        <f t="shared" si="11"/>
        <v>#REF!</v>
      </c>
      <c r="S227" s="96" t="e">
        <f>#REF!</f>
        <v>#REF!</v>
      </c>
      <c r="T227" s="42"/>
      <c r="U227" s="9"/>
      <c r="V227" s="5" t="e">
        <f t="shared" si="12"/>
        <v>#REF!</v>
      </c>
    </row>
    <row r="228" spans="1:22" s="5" customFormat="1" ht="12.75" customHeight="1">
      <c r="A228" s="945" t="e">
        <f>#REF!</f>
        <v>#REF!</v>
      </c>
      <c r="B228" s="316"/>
      <c r="C228" s="43" t="e">
        <f>SUM(C214:C219)</f>
        <v>#REF!</v>
      </c>
      <c r="D228" s="44"/>
      <c r="E228" s="18"/>
      <c r="F228" s="97" t="e">
        <f>SUM(F214:F219)</f>
        <v>#REF!</v>
      </c>
      <c r="G228" s="44"/>
      <c r="H228" s="18"/>
      <c r="I228" s="97" t="e">
        <f>SUM(I214:I219)</f>
        <v>#REF!</v>
      </c>
      <c r="J228" s="44"/>
      <c r="K228" s="18"/>
      <c r="L228" s="97" t="e">
        <f>SUM(L214:L219)</f>
        <v>#REF!</v>
      </c>
      <c r="M228" s="44"/>
      <c r="N228" s="18"/>
      <c r="O228" s="97" t="e">
        <f>SUM(O214:O219)</f>
        <v>#REF!</v>
      </c>
      <c r="P228" s="44"/>
      <c r="Q228" s="18"/>
      <c r="R228" s="22" t="e">
        <f t="shared" si="11"/>
        <v>#REF!</v>
      </c>
      <c r="S228" s="96" t="e">
        <f>#REF!</f>
        <v>#REF!</v>
      </c>
      <c r="T228" s="42"/>
      <c r="U228" s="9"/>
      <c r="V228" s="5" t="e">
        <f t="shared" si="12"/>
        <v>#REF!</v>
      </c>
    </row>
    <row r="229" spans="1:22" s="5" customFormat="1" ht="12.75" customHeight="1">
      <c r="A229" s="946"/>
      <c r="B229" s="316"/>
      <c r="C229" s="22"/>
      <c r="D229" s="44"/>
      <c r="E229" s="23"/>
      <c r="F229" s="21"/>
      <c r="G229" s="44"/>
      <c r="H229" s="23"/>
      <c r="I229" s="21"/>
      <c r="J229" s="44"/>
      <c r="K229" s="23"/>
      <c r="L229" s="21"/>
      <c r="M229" s="44"/>
      <c r="N229" s="23"/>
      <c r="O229" s="21"/>
      <c r="P229" s="44"/>
      <c r="Q229" s="23"/>
      <c r="R229" s="22"/>
      <c r="S229" s="96"/>
      <c r="T229" s="42"/>
      <c r="U229" s="9"/>
      <c r="V229" s="5" t="e">
        <f>IF(S230=0,"hide","show")</f>
        <v>#REF!</v>
      </c>
    </row>
    <row r="230" spans="1:22" s="5" customFormat="1" ht="12.75" customHeight="1" thickBot="1">
      <c r="A230" s="377" t="s">
        <v>359</v>
      </c>
      <c r="B230" s="378"/>
      <c r="C230" s="45" t="e">
        <f>SUM(C12:C219)/100%</f>
        <v>#REF!</v>
      </c>
      <c r="D230" s="46"/>
      <c r="E230" s="98"/>
      <c r="F230" s="99" t="e">
        <f>SUM(F12:F219)/100%</f>
        <v>#REF!</v>
      </c>
      <c r="G230" s="46"/>
      <c r="H230" s="98"/>
      <c r="I230" s="99" t="e">
        <f>SUM(I12:I219)/100%</f>
        <v>#REF!</v>
      </c>
      <c r="J230" s="46"/>
      <c r="K230" s="98"/>
      <c r="L230" s="99" t="e">
        <f>SUM(L12:L219)/100%</f>
        <v>#REF!</v>
      </c>
      <c r="M230" s="46"/>
      <c r="N230" s="98"/>
      <c r="O230" s="99" t="e">
        <f>SUM(O12:O219)/100%</f>
        <v>#REF!</v>
      </c>
      <c r="P230" s="46"/>
      <c r="Q230" s="98"/>
      <c r="R230" s="45" t="e">
        <f>SUM(R20:R219)/100%</f>
        <v>#REF!</v>
      </c>
      <c r="S230" s="47" t="e">
        <f>SUM(S13:S219)/100%</f>
        <v>#REF!</v>
      </c>
      <c r="T230" s="48" t="e">
        <f>SUM(S12:S219)</f>
        <v>#REF!</v>
      </c>
      <c r="U230" s="19"/>
      <c r="V230" s="5" t="e">
        <f>IF(S230=0,"hide","show")</f>
        <v>#REF!</v>
      </c>
    </row>
    <row r="231" spans="1:22" ht="12.75" customHeight="1">
      <c r="A231" s="379"/>
      <c r="B231" s="379"/>
      <c r="C231" s="379"/>
      <c r="D231" s="379"/>
      <c r="E231" s="379"/>
      <c r="F231" s="379"/>
      <c r="G231" s="379"/>
      <c r="H231" s="379"/>
      <c r="I231" s="379"/>
      <c r="J231" s="379"/>
      <c r="K231" s="379"/>
      <c r="L231" s="379"/>
      <c r="M231" s="379"/>
      <c r="N231" s="379"/>
      <c r="O231" s="379"/>
      <c r="P231" s="379"/>
      <c r="Q231" s="379"/>
      <c r="R231" s="379"/>
      <c r="S231" s="379"/>
      <c r="T231" s="9"/>
    </row>
    <row r="232" spans="1:22" ht="12.75" customHeight="1">
      <c r="T232" s="9"/>
    </row>
    <row r="233" spans="1:22" ht="12.75" customHeight="1">
      <c r="T233" s="9"/>
    </row>
    <row r="234" spans="1:22" ht="12.75" customHeight="1">
      <c r="T234" s="9"/>
    </row>
    <row r="235" spans="1:22" ht="12.75" customHeight="1">
      <c r="T235" s="9"/>
    </row>
    <row r="236" spans="1:22" ht="12.75" customHeight="1">
      <c r="T236" s="9"/>
    </row>
    <row r="237" spans="1:22" ht="12.75" customHeight="1">
      <c r="T237" s="9"/>
    </row>
    <row r="238" spans="1:22" ht="12.75" customHeight="1">
      <c r="T238" s="9"/>
    </row>
    <row r="239" spans="1:22" ht="12.75" customHeight="1">
      <c r="T239" s="9"/>
    </row>
    <row r="240" spans="1:22" ht="12.75" customHeight="1">
      <c r="T240" s="9"/>
    </row>
    <row r="241" spans="20:20" ht="12.75" customHeight="1">
      <c r="T241" s="9"/>
    </row>
    <row r="242" spans="20:20" ht="12.75" customHeight="1">
      <c r="T242" s="9"/>
    </row>
    <row r="243" spans="20:20" ht="12.75" customHeight="1">
      <c r="T243" s="9"/>
    </row>
    <row r="244" spans="20:20">
      <c r="T244" s="9"/>
    </row>
    <row r="245" spans="20:20">
      <c r="T245" s="9"/>
    </row>
    <row r="246" spans="20:20">
      <c r="T246" s="9"/>
    </row>
    <row r="247" spans="20:20">
      <c r="T247" s="9"/>
    </row>
    <row r="248" spans="20:20">
      <c r="T248" s="9"/>
    </row>
    <row r="249" spans="20:20">
      <c r="T249" s="9"/>
    </row>
    <row r="250" spans="20:20">
      <c r="T250" s="9"/>
    </row>
    <row r="251" spans="20:20">
      <c r="T251" s="9"/>
    </row>
    <row r="252" spans="20:20">
      <c r="T252" s="9"/>
    </row>
    <row r="253" spans="20:20">
      <c r="T253" s="9"/>
    </row>
    <row r="254" spans="20:20">
      <c r="T254" s="9"/>
    </row>
    <row r="255" spans="20:20">
      <c r="T255" s="9"/>
    </row>
    <row r="256" spans="20:20">
      <c r="T256" s="9"/>
    </row>
    <row r="257" spans="20:20">
      <c r="T257" s="9"/>
    </row>
    <row r="258" spans="20:20">
      <c r="T258" s="9"/>
    </row>
    <row r="259" spans="20:20">
      <c r="T259" s="9"/>
    </row>
    <row r="260" spans="20:20">
      <c r="T260" s="9"/>
    </row>
    <row r="261" spans="20:20">
      <c r="T261" s="9"/>
    </row>
    <row r="262" spans="20:20">
      <c r="T262" s="9"/>
    </row>
    <row r="263" spans="20:20">
      <c r="T263" s="9"/>
    </row>
    <row r="264" spans="20:20">
      <c r="T264" s="9"/>
    </row>
    <row r="265" spans="20:20">
      <c r="T265" s="9"/>
    </row>
    <row r="266" spans="20:20">
      <c r="T266" s="9"/>
    </row>
    <row r="267" spans="20:20">
      <c r="T267" s="9"/>
    </row>
    <row r="268" spans="20:20">
      <c r="T268" s="9"/>
    </row>
    <row r="269" spans="20:20">
      <c r="T269" s="9"/>
    </row>
    <row r="270" spans="20:20">
      <c r="T270" s="9"/>
    </row>
    <row r="271" spans="20:20">
      <c r="T271" s="9"/>
    </row>
    <row r="272" spans="20:20">
      <c r="T272" s="9"/>
    </row>
    <row r="273" spans="20:20">
      <c r="T273" s="9"/>
    </row>
    <row r="274" spans="20:20">
      <c r="T274" s="9"/>
    </row>
    <row r="275" spans="20:20">
      <c r="T275" s="9"/>
    </row>
    <row r="276" spans="20:20">
      <c r="T276" s="9"/>
    </row>
    <row r="277" spans="20:20">
      <c r="T277" s="9"/>
    </row>
    <row r="278" spans="20:20">
      <c r="T278" s="9"/>
    </row>
    <row r="279" spans="20:20">
      <c r="T279" s="9"/>
    </row>
    <row r="280" spans="20:20">
      <c r="T280" s="9"/>
    </row>
    <row r="281" spans="20:20">
      <c r="T281" s="9"/>
    </row>
    <row r="282" spans="20:20">
      <c r="T282" s="9"/>
    </row>
    <row r="283" spans="20:20">
      <c r="T283" s="9"/>
    </row>
    <row r="284" spans="20:20">
      <c r="T284" s="9"/>
    </row>
    <row r="285" spans="20:20">
      <c r="T285" s="9"/>
    </row>
    <row r="286" spans="20:20">
      <c r="T286" s="9"/>
    </row>
    <row r="287" spans="20:20">
      <c r="T287" s="9"/>
    </row>
    <row r="288" spans="20:20">
      <c r="T288" s="9"/>
    </row>
    <row r="289" spans="20:20">
      <c r="T289" s="9"/>
    </row>
    <row r="290" spans="20:20">
      <c r="T290" s="9"/>
    </row>
    <row r="291" spans="20:20">
      <c r="T291" s="9"/>
    </row>
    <row r="292" spans="20:20">
      <c r="T292" s="9"/>
    </row>
    <row r="293" spans="20:20">
      <c r="T293" s="9"/>
    </row>
    <row r="294" spans="20:20">
      <c r="T294" s="9"/>
    </row>
  </sheetData>
  <sheetProtection formatColumns="0" formatRows="0" insertRows="0" autoFilter="0"/>
  <autoFilter ref="V10:V230" xr:uid="{00000000-0009-0000-0000-000005000000}"/>
  <mergeCells count="6">
    <mergeCell ref="C9:E9"/>
    <mergeCell ref="R9:S9"/>
    <mergeCell ref="O9:Q9"/>
    <mergeCell ref="F9:H9"/>
    <mergeCell ref="I9:K9"/>
    <mergeCell ref="L9:N9"/>
  </mergeCells>
  <phoneticPr fontId="0" type="noConversion"/>
  <conditionalFormatting sqref="A14:A18">
    <cfRule type="cellIs" dxfId="5" priority="3" stopIfTrue="1" operator="equal">
      <formula>0</formula>
    </cfRule>
  </conditionalFormatting>
  <conditionalFormatting sqref="A21:A25 A117:A191 A194:A199 A201:A206 A208:A213 A215:A219">
    <cfRule type="cellIs" dxfId="4" priority="4" stopIfTrue="1" operator="equal">
      <formula>0</formula>
    </cfRule>
  </conditionalFormatting>
  <conditionalFormatting sqref="A29:A115">
    <cfRule type="cellIs" dxfId="3" priority="1" stopIfTrue="1" operator="equal">
      <formula>0</formula>
    </cfRule>
  </conditionalFormatting>
  <conditionalFormatting sqref="A221:A222">
    <cfRule type="cellIs" dxfId="2" priority="2" stopIfTrue="1" operator="equal">
      <formula>0</formula>
    </cfRule>
  </conditionalFormatting>
  <pageMargins left="0.5" right="0.5" top="0.5" bottom="0.5" header="0" footer="0.25"/>
  <pageSetup scale="69"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499984740745262"/>
    <pageSetUpPr fitToPage="1"/>
  </sheetPr>
  <dimension ref="A1:AG141"/>
  <sheetViews>
    <sheetView zoomScale="70" zoomScaleNormal="70" zoomScaleSheetLayoutView="70" workbookViewId="0">
      <pane xSplit="3" ySplit="12" topLeftCell="D20" activePane="bottomRight" state="frozen"/>
      <selection pane="topRight" activeCell="V1" sqref="V1:AH1048576"/>
      <selection pane="bottomLeft" activeCell="V1" sqref="V1:AH1048576"/>
      <selection pane="bottomRight" activeCell="V1" sqref="V1:AH1048576"/>
    </sheetView>
  </sheetViews>
  <sheetFormatPr defaultColWidth="9.71875" defaultRowHeight="12.3"/>
  <cols>
    <col min="1" max="1" width="15.44140625" style="19" bestFit="1" customWidth="1"/>
    <col min="2" max="2" width="14.44140625" style="9" customWidth="1"/>
    <col min="3" max="3" width="48.44140625" style="9" bestFit="1" customWidth="1"/>
    <col min="4" max="4" width="9.27734375" style="13" hidden="1" customWidth="1"/>
    <col min="5" max="5" width="39.5546875" style="9" hidden="1" customWidth="1"/>
    <col min="6" max="6" width="10.5546875" style="9" hidden="1" customWidth="1"/>
    <col min="7" max="7" width="8.71875" style="9" hidden="1" customWidth="1"/>
    <col min="8" max="8" width="16.44140625" style="9" bestFit="1" customWidth="1"/>
    <col min="9" max="9" width="14.44140625" style="9" customWidth="1"/>
    <col min="10" max="10" width="9.71875" style="9" hidden="1" customWidth="1"/>
    <col min="11" max="11" width="8.27734375" style="9" hidden="1" customWidth="1"/>
    <col min="12" max="12" width="14.44140625" style="9" customWidth="1"/>
    <col min="13" max="13" width="10.27734375" style="9" hidden="1" customWidth="1"/>
    <col min="14" max="14" width="9.27734375" style="9" hidden="1" customWidth="1"/>
    <col min="15" max="15" width="14.44140625" style="9" customWidth="1"/>
    <col min="16" max="16" width="10.5546875" style="9" hidden="1" customWidth="1"/>
    <col min="17" max="17" width="9.27734375" style="9" hidden="1" customWidth="1"/>
    <col min="18" max="18" width="14.44140625" style="9" customWidth="1"/>
    <col min="19" max="19" width="10.27734375" style="9" hidden="1" customWidth="1"/>
    <col min="20" max="20" width="9.27734375" style="9" hidden="1" customWidth="1"/>
    <col min="21" max="21" width="14.44140625" style="9" customWidth="1"/>
    <col min="22" max="22" width="14.44140625" style="9" hidden="1" customWidth="1"/>
    <col min="23" max="23" width="9.44140625" style="9" hidden="1" customWidth="1"/>
    <col min="24" max="24" width="16" style="9" customWidth="1"/>
    <col min="25" max="25" width="15.5546875" style="14" customWidth="1"/>
    <col min="26" max="26" width="13.71875" style="14" customWidth="1"/>
    <col min="27" max="27" width="12.44140625" style="5" bestFit="1" customWidth="1"/>
    <col min="28" max="16384" width="9.71875" style="9"/>
  </cols>
  <sheetData>
    <row r="1" spans="1:27" s="8" customFormat="1" ht="20.100000000000001">
      <c r="A1" s="19"/>
      <c r="B1" s="4" t="str">
        <f>Assumptions!B8</f>
        <v>Partners of America</v>
      </c>
      <c r="C1" s="4"/>
      <c r="H1" s="26"/>
      <c r="M1" s="9"/>
      <c r="N1" s="10"/>
      <c r="P1" s="24"/>
      <c r="Q1" s="25"/>
      <c r="R1" s="25"/>
      <c r="T1" s="25"/>
      <c r="U1" s="25"/>
      <c r="V1" s="25"/>
      <c r="W1" s="24"/>
      <c r="Z1" s="11"/>
    </row>
    <row r="2" spans="1:27" s="8" customFormat="1" ht="15">
      <c r="A2" s="19"/>
      <c r="B2" s="442" t="str">
        <f>Assumptions!B9</f>
        <v>DONOR:</v>
      </c>
      <c r="C2" s="464" t="str">
        <f>Assumptions!C9</f>
        <v>USDOL</v>
      </c>
      <c r="G2" s="315"/>
      <c r="M2" s="9"/>
      <c r="N2" s="9"/>
      <c r="O2" s="9"/>
      <c r="P2" s="27"/>
      <c r="Q2" s="12"/>
      <c r="R2" s="12"/>
      <c r="T2" s="9"/>
      <c r="Y2" s="11"/>
      <c r="Z2" s="11"/>
      <c r="AA2" s="12"/>
    </row>
    <row r="3" spans="1:27" s="8" customFormat="1" ht="15">
      <c r="A3" s="19"/>
      <c r="B3" s="442" t="str">
        <f>Assumptions!B10</f>
        <v>Country:</v>
      </c>
      <c r="C3" s="464" t="str">
        <f>Assumptions!C10</f>
        <v>Ecuador</v>
      </c>
      <c r="G3" s="315"/>
      <c r="H3" s="28"/>
      <c r="I3" s="9"/>
      <c r="M3" s="9"/>
      <c r="N3" s="9"/>
      <c r="O3" s="9"/>
      <c r="P3" s="27"/>
      <c r="Q3" s="12"/>
      <c r="R3" s="12"/>
      <c r="T3" s="9"/>
      <c r="W3" s="912"/>
      <c r="Y3" s="11"/>
      <c r="Z3" s="11"/>
      <c r="AA3" s="12"/>
    </row>
    <row r="4" spans="1:27" ht="15">
      <c r="B4" s="442" t="str">
        <f>Assumptions!B11</f>
        <v>Program Name:</v>
      </c>
      <c r="C4" s="464" t="str">
        <f>Assumptions!C11</f>
        <v>Project to Improve Adherence to International Labor Standards in the Agricultural Sector in Ecuador</v>
      </c>
      <c r="D4" s="8"/>
      <c r="G4" s="315"/>
      <c r="H4" s="28"/>
      <c r="I4"/>
      <c r="S4" s="913"/>
      <c r="W4" s="912"/>
    </row>
    <row r="5" spans="1:27" ht="15">
      <c r="B5" s="442" t="str">
        <f>Assumptions!B12</f>
        <v>Grant Number:</v>
      </c>
      <c r="C5" s="464" t="str">
        <f>Assumptions!C12</f>
        <v>FOA-ILAB-23-28</v>
      </c>
      <c r="D5" s="9"/>
      <c r="G5" s="315"/>
      <c r="H5" s="28"/>
      <c r="S5" s="913"/>
      <c r="W5" s="912"/>
    </row>
    <row r="6" spans="1:27" ht="15">
      <c r="B6" s="442" t="str">
        <f>Assumptions!B13</f>
        <v>Period of Performance:</v>
      </c>
      <c r="C6" s="466" t="str">
        <f>Assumptions!C13</f>
        <v>48 months</v>
      </c>
      <c r="D6" s="9"/>
      <c r="F6" s="315"/>
      <c r="G6" s="462"/>
      <c r="H6" s="463">
        <f>Assumptions!G13</f>
        <v>0</v>
      </c>
      <c r="S6" s="913"/>
    </row>
    <row r="7" spans="1:27" ht="15">
      <c r="B7" s="315"/>
      <c r="C7" s="315"/>
      <c r="D7" s="16"/>
      <c r="S7" s="913"/>
    </row>
    <row r="8" spans="1:27" ht="20.100000000000001">
      <c r="B8" s="4" t="s">
        <v>360</v>
      </c>
      <c r="C8" s="315"/>
      <c r="D8" s="16"/>
      <c r="S8" s="913"/>
    </row>
    <row r="9" spans="1:27" ht="15" hidden="1">
      <c r="B9" s="315"/>
      <c r="C9" s="315"/>
      <c r="D9" s="16"/>
      <c r="S9" s="913"/>
    </row>
    <row r="10" spans="1:27" ht="15">
      <c r="D10" s="9"/>
      <c r="F10" s="425"/>
      <c r="H10" s="442" t="s">
        <v>361</v>
      </c>
      <c r="I10" s="465" t="s">
        <v>362</v>
      </c>
    </row>
    <row r="11" spans="1:27" ht="15.3" thickBot="1">
      <c r="D11" s="16"/>
      <c r="H11" s="8"/>
      <c r="W11" s="8"/>
    </row>
    <row r="12" spans="1:27" s="440" customFormat="1" ht="30.3" thickBot="1">
      <c r="A12" s="445" t="s">
        <v>363</v>
      </c>
      <c r="B12" s="411" t="s">
        <v>364</v>
      </c>
      <c r="C12" s="438" t="s">
        <v>365</v>
      </c>
      <c r="D12" s="446" t="s">
        <v>366</v>
      </c>
      <c r="E12" s="438" t="s">
        <v>365</v>
      </c>
      <c r="F12" s="437"/>
      <c r="G12" s="437"/>
      <c r="H12" s="418" t="s">
        <v>240</v>
      </c>
      <c r="I12" s="454" t="e">
        <f>#REF!</f>
        <v>#REF!</v>
      </c>
      <c r="J12" s="437"/>
      <c r="K12" s="437"/>
      <c r="L12" s="418" t="e">
        <f>#REF!</f>
        <v>#REF!</v>
      </c>
      <c r="M12" s="437"/>
      <c r="N12" s="437"/>
      <c r="O12" s="418" t="e">
        <f>#REF!</f>
        <v>#REF!</v>
      </c>
      <c r="P12" s="437"/>
      <c r="Q12" s="437"/>
      <c r="R12" s="418" t="e">
        <f>#REF!</f>
        <v>#REF!</v>
      </c>
      <c r="S12" s="437"/>
      <c r="T12" s="437"/>
      <c r="U12" s="418" t="e">
        <f>#REF!</f>
        <v>#REF!</v>
      </c>
      <c r="V12" s="418"/>
      <c r="W12" s="438"/>
    </row>
    <row r="13" spans="1:27" s="30" customFormat="1" ht="15">
      <c r="A13" s="31"/>
      <c r="B13" s="373"/>
      <c r="C13" s="381"/>
      <c r="D13" s="361"/>
      <c r="E13" s="361"/>
      <c r="F13" s="361"/>
      <c r="G13" s="361"/>
      <c r="H13" s="370"/>
      <c r="I13" s="455"/>
      <c r="J13" s="361"/>
      <c r="K13" s="361"/>
      <c r="L13" s="370"/>
      <c r="M13" s="361"/>
      <c r="N13" s="361"/>
      <c r="O13" s="370"/>
      <c r="P13" s="361"/>
      <c r="Q13" s="361"/>
      <c r="R13" s="370"/>
      <c r="S13" s="361"/>
      <c r="T13" s="361"/>
      <c r="U13" s="370"/>
      <c r="V13" s="370"/>
      <c r="W13" s="371"/>
    </row>
    <row r="14" spans="1:27" s="30" customFormat="1" ht="15">
      <c r="A14" s="410" t="s">
        <v>23</v>
      </c>
      <c r="B14" s="380" t="s">
        <v>367</v>
      </c>
      <c r="C14" s="329" t="s">
        <v>368</v>
      </c>
      <c r="D14" s="384"/>
      <c r="E14" s="329"/>
      <c r="F14" s="329"/>
      <c r="G14" s="329"/>
      <c r="H14" s="458" t="e">
        <f>SUM(I14,L14,O14,R14,U14)</f>
        <v>#REF!</v>
      </c>
      <c r="I14" s="460" t="e">
        <f>SUM('US Costs by Sponsored Class'!I14,'Incountry Costs by GL USD'!I15)</f>
        <v>#REF!</v>
      </c>
      <c r="J14" s="452"/>
      <c r="K14" s="452"/>
      <c r="L14" s="451" t="e">
        <f>SUM('US Costs by Sponsored Class'!L14,'Incountry Costs by GL USD'!L15)</f>
        <v>#REF!</v>
      </c>
      <c r="M14" s="452"/>
      <c r="N14" s="452"/>
      <c r="O14" s="451" t="e">
        <f>SUM('US Costs by Sponsored Class'!O14,'Incountry Costs by GL USD'!O15)</f>
        <v>#REF!</v>
      </c>
      <c r="P14" s="452"/>
      <c r="Q14" s="452"/>
      <c r="R14" s="451" t="e">
        <f>SUM('US Costs by Sponsored Class'!R14,'Incountry Costs by GL USD'!R15)</f>
        <v>#REF!</v>
      </c>
      <c r="S14" s="452"/>
      <c r="T14" s="452"/>
      <c r="U14" s="451" t="e">
        <f>SUM('US Costs by Sponsored Class'!U14,'Incountry Costs by GL USD'!U15)</f>
        <v>#REF!</v>
      </c>
      <c r="V14" s="451"/>
      <c r="W14" s="453"/>
    </row>
    <row r="15" spans="1:27" s="30" customFormat="1" ht="15">
      <c r="A15" s="410"/>
      <c r="B15" s="380" t="s">
        <v>369</v>
      </c>
      <c r="C15" s="329" t="s">
        <v>370</v>
      </c>
      <c r="D15" s="384"/>
      <c r="E15" s="329"/>
      <c r="F15" s="329"/>
      <c r="G15" s="329"/>
      <c r="H15" s="458" t="e">
        <f>SUM(I15,L15,O15,R15,U15)</f>
        <v>#REF!</v>
      </c>
      <c r="I15" s="460" t="e">
        <f>'US Costs by Sponsored Class'!I15</f>
        <v>#REF!</v>
      </c>
      <c r="J15" s="452"/>
      <c r="K15" s="452"/>
      <c r="L15" s="451" t="e">
        <f>'US Costs by Sponsored Class'!L15</f>
        <v>#REF!</v>
      </c>
      <c r="M15" s="452"/>
      <c r="N15" s="452"/>
      <c r="O15" s="451" t="e">
        <f>'US Costs by Sponsored Class'!O15</f>
        <v>#REF!</v>
      </c>
      <c r="P15" s="452"/>
      <c r="Q15" s="452"/>
      <c r="R15" s="451" t="e">
        <f>'US Costs by Sponsored Class'!R15</f>
        <v>#REF!</v>
      </c>
      <c r="S15" s="452"/>
      <c r="T15" s="452"/>
      <c r="U15" s="451" t="e">
        <f>'US Costs by Sponsored Class'!U15</f>
        <v>#REF!</v>
      </c>
      <c r="V15" s="451"/>
      <c r="W15" s="453"/>
    </row>
    <row r="16" spans="1:27" s="30" customFormat="1" ht="15">
      <c r="A16" s="410"/>
      <c r="B16" s="380"/>
      <c r="C16" s="329"/>
      <c r="F16" s="329"/>
      <c r="G16" s="329"/>
      <c r="H16" s="458"/>
      <c r="I16" s="460"/>
      <c r="J16" s="452"/>
      <c r="K16" s="452"/>
      <c r="L16" s="451"/>
      <c r="M16" s="452"/>
      <c r="N16" s="452"/>
      <c r="O16" s="451"/>
      <c r="P16" s="452"/>
      <c r="Q16" s="452"/>
      <c r="R16" s="451"/>
      <c r="S16" s="452"/>
      <c r="T16" s="452"/>
      <c r="U16" s="451"/>
      <c r="V16" s="451"/>
      <c r="W16" s="453"/>
    </row>
    <row r="17" spans="1:23" s="30" customFormat="1" ht="15">
      <c r="A17" s="410" t="s">
        <v>52</v>
      </c>
      <c r="B17" s="380" t="s">
        <v>371</v>
      </c>
      <c r="C17" s="329" t="s">
        <v>52</v>
      </c>
      <c r="D17" s="384"/>
      <c r="E17" s="329"/>
      <c r="F17" s="329"/>
      <c r="G17" s="329"/>
      <c r="H17" s="458" t="e">
        <f>SUM(I17,L17,O17,R17,U17)</f>
        <v>#REF!</v>
      </c>
      <c r="I17" s="460" t="e">
        <f>SUM('US Costs by Sponsored Class'!I16,'Incountry Costs by GL USD'!I16)</f>
        <v>#REF!</v>
      </c>
      <c r="J17" s="452"/>
      <c r="K17" s="452"/>
      <c r="L17" s="451" t="e">
        <f>SUM('US Costs by Sponsored Class'!L16,'Incountry Costs by GL USD'!L16)</f>
        <v>#REF!</v>
      </c>
      <c r="M17" s="452"/>
      <c r="N17" s="452"/>
      <c r="O17" s="451" t="e">
        <f>SUM('US Costs by Sponsored Class'!O16,'Incountry Costs by GL USD'!O16)</f>
        <v>#REF!</v>
      </c>
      <c r="P17" s="452"/>
      <c r="Q17" s="452"/>
      <c r="R17" s="451" t="e">
        <f>SUM('US Costs by Sponsored Class'!R16,'Incountry Costs by GL USD'!R16)</f>
        <v>#REF!</v>
      </c>
      <c r="S17" s="452"/>
      <c r="T17" s="452"/>
      <c r="U17" s="451" t="e">
        <f>SUM('US Costs by Sponsored Class'!U16,'Incountry Costs by GL USD'!U16)</f>
        <v>#REF!</v>
      </c>
      <c r="V17" s="451"/>
      <c r="W17" s="453"/>
    </row>
    <row r="18" spans="1:23" s="30" customFormat="1" ht="15">
      <c r="A18" s="410"/>
      <c r="B18" s="380"/>
      <c r="C18" s="329"/>
      <c r="D18" s="384"/>
      <c r="E18" s="329"/>
      <c r="F18" s="329"/>
      <c r="G18" s="329"/>
      <c r="H18" s="458"/>
      <c r="I18" s="460"/>
      <c r="J18" s="452"/>
      <c r="K18" s="452"/>
      <c r="L18" s="451"/>
      <c r="M18" s="452"/>
      <c r="N18" s="452"/>
      <c r="O18" s="451"/>
      <c r="P18" s="452"/>
      <c r="Q18" s="452"/>
      <c r="R18" s="451"/>
      <c r="S18" s="452"/>
      <c r="T18" s="452"/>
      <c r="U18" s="451"/>
      <c r="V18" s="451"/>
      <c r="W18" s="453"/>
    </row>
    <row r="19" spans="1:23" s="30" customFormat="1" ht="15">
      <c r="A19" s="410" t="s">
        <v>58</v>
      </c>
      <c r="B19" s="380" t="s">
        <v>372</v>
      </c>
      <c r="C19" s="329" t="s">
        <v>373</v>
      </c>
      <c r="D19" s="329"/>
      <c r="E19" s="329"/>
      <c r="F19" s="329"/>
      <c r="G19" s="329"/>
      <c r="H19" s="458" t="e">
        <f>SUM(I19,L19,O19,R19,U19)</f>
        <v>#REF!</v>
      </c>
      <c r="I19" s="460" t="e">
        <f>SUM('US Costs by Sponsored Class'!I18,'Incountry Costs by GL USD'!I17)</f>
        <v>#REF!</v>
      </c>
      <c r="J19" s="452"/>
      <c r="K19" s="452"/>
      <c r="L19" s="451" t="e">
        <f>SUM('US Costs by Sponsored Class'!L18,'Incountry Costs by GL USD'!L17)</f>
        <v>#REF!</v>
      </c>
      <c r="M19" s="452"/>
      <c r="N19" s="452"/>
      <c r="O19" s="451" t="e">
        <f>SUM('US Costs by Sponsored Class'!O18,'Incountry Costs by GL USD'!O17)</f>
        <v>#REF!</v>
      </c>
      <c r="P19" s="452"/>
      <c r="Q19" s="452"/>
      <c r="R19" s="451" t="e">
        <f>SUM('US Costs by Sponsored Class'!R18,'Incountry Costs by GL USD'!R17)</f>
        <v>#REF!</v>
      </c>
      <c r="S19" s="452"/>
      <c r="T19" s="452"/>
      <c r="U19" s="451" t="e">
        <f>SUM('US Costs by Sponsored Class'!U18,'Incountry Costs by GL USD'!U17)</f>
        <v>#REF!</v>
      </c>
      <c r="V19" s="451"/>
      <c r="W19" s="453"/>
    </row>
    <row r="20" spans="1:23" s="30" customFormat="1" ht="15">
      <c r="A20" s="410"/>
      <c r="B20" s="380" t="s">
        <v>374</v>
      </c>
      <c r="C20" s="329" t="s">
        <v>375</v>
      </c>
      <c r="D20" s="329"/>
      <c r="E20" s="329"/>
      <c r="F20" s="329"/>
      <c r="G20" s="329"/>
      <c r="H20" s="458" t="e">
        <f>SUM(I20,L20,O20,R20,U20)</f>
        <v>#REF!</v>
      </c>
      <c r="I20" s="460" t="e">
        <f>SUM('US Costs by Sponsored Class'!H19,'Incountry Costs by GL USD'!I18:I19)</f>
        <v>#REF!</v>
      </c>
      <c r="J20" s="452"/>
      <c r="K20" s="452"/>
      <c r="L20" s="451" t="e">
        <f>SUM('US Costs by Sponsored Class'!K19,'Incountry Costs by GL USD'!L18:L19)</f>
        <v>#REF!</v>
      </c>
      <c r="M20" s="452"/>
      <c r="N20" s="452"/>
      <c r="O20" s="451" t="e">
        <f>SUM('US Costs by Sponsored Class'!N19,'Incountry Costs by GL USD'!O18:O19)</f>
        <v>#REF!</v>
      </c>
      <c r="P20" s="452"/>
      <c r="Q20" s="452"/>
      <c r="R20" s="451" t="e">
        <f>SUM('US Costs by Sponsored Class'!Q19,'Incountry Costs by GL USD'!R18:R19)</f>
        <v>#REF!</v>
      </c>
      <c r="S20" s="452"/>
      <c r="T20" s="452"/>
      <c r="U20" s="451" t="e">
        <f>SUM('US Costs by Sponsored Class'!T19,'Incountry Costs by GL USD'!U18:U19)</f>
        <v>#REF!</v>
      </c>
      <c r="V20" s="451"/>
      <c r="W20" s="453"/>
    </row>
    <row r="21" spans="1:23" s="30" customFormat="1" ht="15">
      <c r="A21" s="410"/>
      <c r="B21" s="380"/>
      <c r="C21" s="329"/>
      <c r="D21" s="384"/>
      <c r="E21" s="329"/>
      <c r="F21" s="329"/>
      <c r="G21" s="329"/>
      <c r="H21" s="458"/>
      <c r="I21" s="460"/>
      <c r="J21" s="452"/>
      <c r="K21" s="452"/>
      <c r="L21" s="451"/>
      <c r="M21" s="452"/>
      <c r="N21" s="452"/>
      <c r="O21" s="451"/>
      <c r="P21" s="452"/>
      <c r="Q21" s="452"/>
      <c r="R21" s="451"/>
      <c r="S21" s="452"/>
      <c r="T21" s="452"/>
      <c r="U21" s="451"/>
      <c r="V21" s="451"/>
      <c r="W21" s="453"/>
    </row>
    <row r="22" spans="1:23" s="30" customFormat="1" ht="15">
      <c r="A22" s="410" t="s">
        <v>94</v>
      </c>
      <c r="B22" s="380" t="s">
        <v>376</v>
      </c>
      <c r="C22" s="329" t="s">
        <v>377</v>
      </c>
      <c r="D22" s="384"/>
      <c r="E22" s="329"/>
      <c r="F22" s="329"/>
      <c r="G22" s="329"/>
      <c r="H22" s="458" t="e">
        <f>SUM(I22,L22,O22,R22,U22)</f>
        <v>#REF!</v>
      </c>
      <c r="I22" s="460" t="e">
        <f>SUM('US Costs by Sponsored Class'!I21:I22,'Incountry Costs by GL USD'!I20:I29)</f>
        <v>#REF!</v>
      </c>
      <c r="J22" s="452"/>
      <c r="K22" s="452"/>
      <c r="L22" s="451" t="e">
        <f>SUM('US Costs by Sponsored Class'!L21:L22,'Incountry Costs by GL USD'!L20:L29)</f>
        <v>#REF!</v>
      </c>
      <c r="M22" s="452"/>
      <c r="N22" s="452"/>
      <c r="O22" s="451" t="e">
        <f>SUM('US Costs by Sponsored Class'!O21:O22,'Incountry Costs by GL USD'!O20:O29)</f>
        <v>#REF!</v>
      </c>
      <c r="P22" s="452"/>
      <c r="Q22" s="452"/>
      <c r="R22" s="451" t="e">
        <f>SUM('US Costs by Sponsored Class'!R21:R22,'Incountry Costs by GL USD'!R20:R29)</f>
        <v>#REF!</v>
      </c>
      <c r="S22" s="452"/>
      <c r="T22" s="452"/>
      <c r="U22" s="451" t="e">
        <f>SUM('US Costs by Sponsored Class'!U21:U22,'Incountry Costs by GL USD'!U20:U29)</f>
        <v>#REF!</v>
      </c>
      <c r="V22" s="451"/>
      <c r="W22" s="453"/>
    </row>
    <row r="23" spans="1:23" s="30" customFormat="1" ht="15">
      <c r="A23" s="410"/>
      <c r="B23" s="380"/>
      <c r="C23" s="329"/>
      <c r="D23" s="384"/>
      <c r="E23" s="329"/>
      <c r="F23" s="329"/>
      <c r="G23" s="329"/>
      <c r="H23" s="458"/>
      <c r="I23" s="460"/>
      <c r="J23" s="452"/>
      <c r="K23" s="452"/>
      <c r="L23" s="451"/>
      <c r="M23" s="452"/>
      <c r="N23" s="452"/>
      <c r="O23" s="451"/>
      <c r="P23" s="452"/>
      <c r="Q23" s="452"/>
      <c r="R23" s="451"/>
      <c r="S23" s="452"/>
      <c r="T23" s="452"/>
      <c r="U23" s="451"/>
      <c r="V23" s="451"/>
      <c r="W23" s="453"/>
    </row>
    <row r="24" spans="1:23" s="30" customFormat="1" ht="15" hidden="1">
      <c r="A24" s="410"/>
      <c r="B24" s="380"/>
      <c r="C24" s="329"/>
      <c r="D24" s="384" t="s">
        <v>378</v>
      </c>
      <c r="E24" s="329" t="s">
        <v>379</v>
      </c>
      <c r="F24" s="329"/>
      <c r="G24" s="329"/>
      <c r="H24" s="458"/>
      <c r="I24" s="460"/>
      <c r="J24" s="452"/>
      <c r="K24" s="452"/>
      <c r="L24" s="451"/>
      <c r="M24" s="452"/>
      <c r="N24" s="452"/>
      <c r="O24" s="451"/>
      <c r="P24" s="452"/>
      <c r="Q24" s="452"/>
      <c r="R24" s="451"/>
      <c r="S24" s="452"/>
      <c r="T24" s="452"/>
      <c r="U24" s="451"/>
      <c r="V24" s="451"/>
      <c r="W24" s="453"/>
    </row>
    <row r="25" spans="1:23" s="30" customFormat="1" ht="15" hidden="1">
      <c r="A25" s="410"/>
      <c r="B25" s="380"/>
      <c r="C25" s="329"/>
      <c r="D25" s="384" t="s">
        <v>380</v>
      </c>
      <c r="E25" s="329" t="s">
        <v>381</v>
      </c>
      <c r="F25" s="329"/>
      <c r="G25" s="329"/>
      <c r="H25" s="458"/>
      <c r="I25" s="460"/>
      <c r="J25" s="452"/>
      <c r="K25" s="452"/>
      <c r="L25" s="451"/>
      <c r="M25" s="452"/>
      <c r="N25" s="452"/>
      <c r="O25" s="451"/>
      <c r="P25" s="452"/>
      <c r="Q25" s="452"/>
      <c r="R25" s="451"/>
      <c r="S25" s="452"/>
      <c r="T25" s="452"/>
      <c r="U25" s="451"/>
      <c r="V25" s="451"/>
      <c r="W25" s="453"/>
    </row>
    <row r="26" spans="1:23" s="30" customFormat="1" ht="15" hidden="1">
      <c r="A26" s="410"/>
      <c r="B26" s="380"/>
      <c r="C26" s="329"/>
      <c r="D26" s="384" t="s">
        <v>382</v>
      </c>
      <c r="E26" s="329" t="s">
        <v>383</v>
      </c>
      <c r="F26" s="329"/>
      <c r="G26" s="329"/>
      <c r="H26" s="458"/>
      <c r="I26" s="460"/>
      <c r="J26" s="452"/>
      <c r="K26" s="452"/>
      <c r="L26" s="451"/>
      <c r="M26" s="452"/>
      <c r="N26" s="452"/>
      <c r="O26" s="451"/>
      <c r="P26" s="452"/>
      <c r="Q26" s="452"/>
      <c r="R26" s="451"/>
      <c r="S26" s="452"/>
      <c r="T26" s="452"/>
      <c r="U26" s="451"/>
      <c r="V26" s="451"/>
      <c r="W26" s="453"/>
    </row>
    <row r="27" spans="1:23" s="30" customFormat="1" ht="15" hidden="1">
      <c r="A27" s="410"/>
      <c r="B27" s="380"/>
      <c r="C27" s="329"/>
      <c r="D27" s="384" t="s">
        <v>384</v>
      </c>
      <c r="E27" s="329" t="s">
        <v>385</v>
      </c>
      <c r="F27" s="329"/>
      <c r="G27" s="329"/>
      <c r="H27" s="458"/>
      <c r="I27" s="460"/>
      <c r="J27" s="452"/>
      <c r="K27" s="452"/>
      <c r="L27" s="451"/>
      <c r="M27" s="452"/>
      <c r="N27" s="452"/>
      <c r="O27" s="451"/>
      <c r="P27" s="452"/>
      <c r="Q27" s="452"/>
      <c r="R27" s="451"/>
      <c r="S27" s="452"/>
      <c r="T27" s="452"/>
      <c r="U27" s="451"/>
      <c r="V27" s="451"/>
      <c r="W27" s="453"/>
    </row>
    <row r="28" spans="1:23" s="30" customFormat="1" ht="15" hidden="1">
      <c r="A28" s="410"/>
      <c r="B28" s="380"/>
      <c r="C28" s="329"/>
      <c r="D28" s="384" t="s">
        <v>386</v>
      </c>
      <c r="E28" s="329" t="s">
        <v>387</v>
      </c>
      <c r="F28" s="329"/>
      <c r="G28" s="329"/>
      <c r="H28" s="458"/>
      <c r="I28" s="460"/>
      <c r="J28" s="452"/>
      <c r="K28" s="452"/>
      <c r="L28" s="451"/>
      <c r="M28" s="452"/>
      <c r="N28" s="452"/>
      <c r="O28" s="451"/>
      <c r="P28" s="452"/>
      <c r="Q28" s="452"/>
      <c r="R28" s="451"/>
      <c r="S28" s="452"/>
      <c r="T28" s="452"/>
      <c r="U28" s="451"/>
      <c r="V28" s="451"/>
      <c r="W28" s="453"/>
    </row>
    <row r="29" spans="1:23" s="30" customFormat="1" ht="15">
      <c r="A29" s="410"/>
      <c r="B29" s="380"/>
      <c r="C29" s="329"/>
      <c r="D29" s="384"/>
      <c r="E29" s="329"/>
      <c r="F29" s="329"/>
      <c r="G29" s="329"/>
      <c r="H29" s="458"/>
      <c r="I29" s="460"/>
      <c r="J29" s="452"/>
      <c r="K29" s="452"/>
      <c r="L29" s="451"/>
      <c r="M29" s="452"/>
      <c r="N29" s="452"/>
      <c r="O29" s="451"/>
      <c r="P29" s="452"/>
      <c r="Q29" s="452"/>
      <c r="R29" s="451"/>
      <c r="S29" s="452"/>
      <c r="T29" s="452"/>
      <c r="U29" s="451"/>
      <c r="V29" s="451"/>
      <c r="W29" s="453"/>
    </row>
    <row r="30" spans="1:23" s="30" customFormat="1" ht="15">
      <c r="A30" s="410" t="s">
        <v>90</v>
      </c>
      <c r="B30" s="380" t="s">
        <v>388</v>
      </c>
      <c r="C30" s="329" t="s">
        <v>90</v>
      </c>
      <c r="D30" s="329"/>
      <c r="E30" s="329"/>
      <c r="F30" s="329"/>
      <c r="G30" s="329"/>
      <c r="H30" s="458" t="e">
        <f>SUM(I30,L30,O30,R30,U30)</f>
        <v>#REF!</v>
      </c>
      <c r="I30" s="460" t="e">
        <f>SUM('US Costs by Sponsored Class'!I29,'Incountry Costs by GL USD'!I30)</f>
        <v>#REF!</v>
      </c>
      <c r="J30" s="452"/>
      <c r="K30" s="452"/>
      <c r="L30" s="451" t="e">
        <f>SUM('US Costs by Sponsored Class'!L29,'Incountry Costs by GL USD'!L30)</f>
        <v>#REF!</v>
      </c>
      <c r="M30" s="452"/>
      <c r="N30" s="452"/>
      <c r="O30" s="451" t="e">
        <f>SUM('US Costs by Sponsored Class'!O29,'Incountry Costs by GL USD'!O30)</f>
        <v>#REF!</v>
      </c>
      <c r="P30" s="452"/>
      <c r="Q30" s="452"/>
      <c r="R30" s="451" t="e">
        <f>SUM('US Costs by Sponsored Class'!R29,'Incountry Costs by GL USD'!R30)</f>
        <v>#REF!</v>
      </c>
      <c r="S30" s="452"/>
      <c r="T30" s="452"/>
      <c r="U30" s="451" t="e">
        <f>SUM('US Costs by Sponsored Class'!U29,'Incountry Costs by GL USD'!U30)</f>
        <v>#REF!</v>
      </c>
      <c r="V30" s="451"/>
      <c r="W30" s="453"/>
    </row>
    <row r="31" spans="1:23" s="30" customFormat="1" ht="15">
      <c r="A31" s="410"/>
      <c r="B31" s="380"/>
      <c r="C31" s="329"/>
      <c r="D31" s="384"/>
      <c r="E31" s="329"/>
      <c r="F31" s="329"/>
      <c r="G31" s="329"/>
      <c r="H31" s="458"/>
      <c r="I31" s="460"/>
      <c r="J31" s="452"/>
      <c r="K31" s="452"/>
      <c r="L31" s="451"/>
      <c r="M31" s="452"/>
      <c r="N31" s="452"/>
      <c r="O31" s="451"/>
      <c r="P31" s="452"/>
      <c r="Q31" s="452"/>
      <c r="R31" s="451"/>
      <c r="S31" s="452"/>
      <c r="T31" s="452"/>
      <c r="U31" s="451"/>
      <c r="V31" s="451"/>
      <c r="W31" s="453"/>
    </row>
    <row r="32" spans="1:23" s="30" customFormat="1" ht="15">
      <c r="A32" s="410" t="s">
        <v>103</v>
      </c>
      <c r="B32" s="380" t="s">
        <v>389</v>
      </c>
      <c r="C32" s="329" t="s">
        <v>390</v>
      </c>
      <c r="D32" s="329"/>
      <c r="E32" s="329"/>
      <c r="F32" s="329"/>
      <c r="G32" s="329"/>
      <c r="H32" s="458" t="e">
        <f>SUM(I32,L32,O32,R32,U32)</f>
        <v>#REF!</v>
      </c>
      <c r="I32" s="460" t="e">
        <f>SUM('US Costs by Sponsored Class'!I31,'Incountry Costs by GL USD'!I32:I44)</f>
        <v>#REF!</v>
      </c>
      <c r="J32" s="452"/>
      <c r="K32" s="452"/>
      <c r="L32" s="451" t="e">
        <f>SUM('US Costs by Sponsored Class'!L31,'Incountry Costs by GL USD'!L32:L44)</f>
        <v>#REF!</v>
      </c>
      <c r="M32" s="452"/>
      <c r="N32" s="452"/>
      <c r="O32" s="451" t="e">
        <f>SUM('US Costs by Sponsored Class'!O31,'Incountry Costs by GL USD'!O32:O44)</f>
        <v>#REF!</v>
      </c>
      <c r="P32" s="452"/>
      <c r="Q32" s="452"/>
      <c r="R32" s="451" t="e">
        <f>SUM('US Costs by Sponsored Class'!R31,'Incountry Costs by GL USD'!R32:R44)</f>
        <v>#REF!</v>
      </c>
      <c r="S32" s="452"/>
      <c r="T32" s="452"/>
      <c r="U32" s="451" t="e">
        <f>SUM('US Costs by Sponsored Class'!U31,'Incountry Costs by GL USD'!U32:U44)</f>
        <v>#REF!</v>
      </c>
      <c r="V32" s="451"/>
      <c r="W32" s="453"/>
    </row>
    <row r="33" spans="1:23" s="30" customFormat="1" ht="15">
      <c r="A33" s="410"/>
      <c r="B33" s="380" t="s">
        <v>391</v>
      </c>
      <c r="C33" s="329" t="s">
        <v>392</v>
      </c>
      <c r="D33" s="329"/>
      <c r="E33" s="329"/>
      <c r="F33" s="329"/>
      <c r="G33" s="329"/>
      <c r="H33" s="458" t="e">
        <f>SUM(I33,L33,O33,R33,U33)</f>
        <v>#REF!</v>
      </c>
      <c r="I33" s="460" t="e">
        <f>SUM('US Costs by Sponsored Class'!I32,'Incountry Costs by GL USD'!I45)</f>
        <v>#REF!</v>
      </c>
      <c r="J33" s="452"/>
      <c r="K33" s="452"/>
      <c r="L33" s="451" t="e">
        <f>SUM('US Costs by Sponsored Class'!L32,'Incountry Costs by GL USD'!L45)</f>
        <v>#REF!</v>
      </c>
      <c r="M33" s="452"/>
      <c r="N33" s="452"/>
      <c r="O33" s="451" t="e">
        <f>SUM('US Costs by Sponsored Class'!O32,'Incountry Costs by GL USD'!O45)</f>
        <v>#REF!</v>
      </c>
      <c r="P33" s="452"/>
      <c r="Q33" s="452"/>
      <c r="R33" s="451" t="e">
        <f>SUM('US Costs by Sponsored Class'!R32,'Incountry Costs by GL USD'!R45)</f>
        <v>#REF!</v>
      </c>
      <c r="S33" s="452"/>
      <c r="T33" s="452"/>
      <c r="U33" s="451" t="e">
        <f>SUM('US Costs by Sponsored Class'!U32,'Incountry Costs by GL USD'!U45)</f>
        <v>#REF!</v>
      </c>
      <c r="V33" s="451"/>
      <c r="W33" s="453"/>
    </row>
    <row r="34" spans="1:23" s="30" customFormat="1" ht="15">
      <c r="A34" s="410"/>
      <c r="B34" s="380" t="s">
        <v>393</v>
      </c>
      <c r="C34" s="329" t="s">
        <v>394</v>
      </c>
      <c r="D34" s="329"/>
      <c r="E34" s="329"/>
      <c r="F34" s="329"/>
      <c r="G34" s="329"/>
      <c r="H34" s="458" t="e">
        <f>SUM(I34,L34,O34,R34,U34)</f>
        <v>#REF!</v>
      </c>
      <c r="I34" s="460" t="e">
        <f>SUM('US Costs by Sponsored Class'!I33,'Incountry Costs by GL USD'!I46)</f>
        <v>#REF!</v>
      </c>
      <c r="J34" s="452"/>
      <c r="K34" s="452"/>
      <c r="L34" s="451" t="e">
        <f>SUM('US Costs by Sponsored Class'!L33,'Incountry Costs by GL USD'!L46)</f>
        <v>#REF!</v>
      </c>
      <c r="M34" s="452"/>
      <c r="N34" s="452"/>
      <c r="O34" s="451" t="e">
        <f>SUM('US Costs by Sponsored Class'!O33,'Incountry Costs by GL USD'!O46)</f>
        <v>#REF!</v>
      </c>
      <c r="P34" s="452"/>
      <c r="Q34" s="452"/>
      <c r="R34" s="451" t="e">
        <f>SUM('US Costs by Sponsored Class'!R33,'Incountry Costs by GL USD'!R46)</f>
        <v>#REF!</v>
      </c>
      <c r="S34" s="452"/>
      <c r="T34" s="452"/>
      <c r="U34" s="451" t="e">
        <f>SUM('US Costs by Sponsored Class'!U33,'Incountry Costs by GL USD'!U46)</f>
        <v>#REF!</v>
      </c>
      <c r="V34" s="451"/>
      <c r="W34" s="453"/>
    </row>
    <row r="35" spans="1:23" s="30" customFormat="1" ht="15">
      <c r="A35" s="31"/>
      <c r="B35" s="380" t="s">
        <v>395</v>
      </c>
      <c r="C35" s="329" t="s">
        <v>396</v>
      </c>
      <c r="D35" s="329"/>
      <c r="E35" s="329"/>
      <c r="F35" s="329"/>
      <c r="G35" s="329"/>
      <c r="H35" s="458" t="e">
        <f>SUM(I35,L35,O35,R35,U35)</f>
        <v>#REF!</v>
      </c>
      <c r="I35" s="460" t="e">
        <f>SUM('US Costs by Sponsored Class'!I34,'Incountry Costs by GL USD'!I31)</f>
        <v>#REF!</v>
      </c>
      <c r="J35" s="452"/>
      <c r="K35" s="452"/>
      <c r="L35" s="451" t="e">
        <f>SUM('US Costs by Sponsored Class'!L34,'Incountry Costs by GL USD'!L31)</f>
        <v>#REF!</v>
      </c>
      <c r="M35" s="452"/>
      <c r="N35" s="452"/>
      <c r="O35" s="451" t="e">
        <f>SUM('US Costs by Sponsored Class'!O34,'Incountry Costs by GL USD'!O31)</f>
        <v>#REF!</v>
      </c>
      <c r="P35" s="452"/>
      <c r="Q35" s="452"/>
      <c r="R35" s="451" t="e">
        <f>SUM('US Costs by Sponsored Class'!R34,'Incountry Costs by GL USD'!R31)</f>
        <v>#REF!</v>
      </c>
      <c r="S35" s="452"/>
      <c r="T35" s="452"/>
      <c r="U35" s="451" t="e">
        <f>SUM('US Costs by Sponsored Class'!U34,'Incountry Costs by GL USD'!U31)</f>
        <v>#REF!</v>
      </c>
      <c r="V35" s="451"/>
      <c r="W35" s="453"/>
    </row>
    <row r="36" spans="1:23" s="30" customFormat="1" ht="15">
      <c r="A36" s="410"/>
      <c r="B36" s="380"/>
      <c r="C36" s="329"/>
      <c r="D36" s="384"/>
      <c r="E36" s="329"/>
      <c r="F36" s="329"/>
      <c r="G36" s="329"/>
      <c r="H36" s="458"/>
      <c r="I36" s="460"/>
      <c r="J36" s="452"/>
      <c r="K36" s="452"/>
      <c r="L36" s="451"/>
      <c r="M36" s="452"/>
      <c r="N36" s="452"/>
      <c r="O36" s="451"/>
      <c r="P36" s="452"/>
      <c r="Q36" s="452"/>
      <c r="R36" s="451"/>
      <c r="S36" s="452"/>
      <c r="T36" s="452"/>
      <c r="U36" s="451"/>
      <c r="V36" s="451"/>
      <c r="W36" s="453"/>
    </row>
    <row r="37" spans="1:23" s="30" customFormat="1" ht="15">
      <c r="A37" s="410" t="s">
        <v>397</v>
      </c>
      <c r="B37" s="380" t="s">
        <v>398</v>
      </c>
      <c r="C37" s="329" t="s">
        <v>399</v>
      </c>
      <c r="D37" s="329"/>
      <c r="E37" s="329"/>
      <c r="F37" s="329"/>
      <c r="G37" s="329"/>
      <c r="H37" s="458" t="e">
        <f>SUM(I37,L37,O37,R37,U37)</f>
        <v>#REF!</v>
      </c>
      <c r="I37" s="460" t="e">
        <f>SUM('US Costs by Sponsored Class'!I36,'Incountry Costs by GL USD'!I47)</f>
        <v>#REF!</v>
      </c>
      <c r="J37" s="452"/>
      <c r="K37" s="452"/>
      <c r="L37" s="451" t="e">
        <f>SUM('US Costs by Sponsored Class'!L36,'Incountry Costs by GL USD'!L47)</f>
        <v>#REF!</v>
      </c>
      <c r="M37" s="452"/>
      <c r="N37" s="452"/>
      <c r="O37" s="451" t="e">
        <f>SUM('US Costs by Sponsored Class'!O36,'Incountry Costs by GL USD'!O47)</f>
        <v>#REF!</v>
      </c>
      <c r="P37" s="452"/>
      <c r="Q37" s="452"/>
      <c r="R37" s="451" t="e">
        <f>SUM('US Costs by Sponsored Class'!R36,'Incountry Costs by GL USD'!R47)</f>
        <v>#REF!</v>
      </c>
      <c r="S37" s="452"/>
      <c r="T37" s="452"/>
      <c r="U37" s="451" t="e">
        <f>SUM('US Costs by Sponsored Class'!U36,'Incountry Costs by GL USD'!U47)</f>
        <v>#REF!</v>
      </c>
      <c r="V37" s="451"/>
      <c r="W37" s="453"/>
    </row>
    <row r="38" spans="1:23" s="30" customFormat="1" ht="15">
      <c r="A38" s="31"/>
      <c r="B38" s="380" t="s">
        <v>400</v>
      </c>
      <c r="C38" s="329" t="s">
        <v>401</v>
      </c>
      <c r="D38" s="329"/>
      <c r="E38" s="329"/>
      <c r="F38" s="329"/>
      <c r="G38" s="329"/>
      <c r="H38" s="458" t="e">
        <f>SUM(I38,L38,O38,R38,U38)</f>
        <v>#REF!</v>
      </c>
      <c r="I38" s="460" t="e">
        <f>SUM('US Costs by Sponsored Class'!I37,'Incountry Costs by GL USD'!I48)</f>
        <v>#REF!</v>
      </c>
      <c r="J38" s="452"/>
      <c r="K38" s="452"/>
      <c r="L38" s="451" t="e">
        <f>SUM('US Costs by Sponsored Class'!L37,'Incountry Costs by GL USD'!L48)</f>
        <v>#REF!</v>
      </c>
      <c r="M38" s="452"/>
      <c r="N38" s="452"/>
      <c r="O38" s="451" t="e">
        <f>SUM('US Costs by Sponsored Class'!O37,'Incountry Costs by GL USD'!O48)</f>
        <v>#REF!</v>
      </c>
      <c r="P38" s="452"/>
      <c r="Q38" s="452"/>
      <c r="R38" s="451" t="e">
        <f>SUM('US Costs by Sponsored Class'!R37,'Incountry Costs by GL USD'!R48)</f>
        <v>#REF!</v>
      </c>
      <c r="S38" s="452"/>
      <c r="T38" s="452"/>
      <c r="U38" s="451" t="e">
        <f>SUM('US Costs by Sponsored Class'!U37,'Incountry Costs by GL USD'!U48)</f>
        <v>#REF!</v>
      </c>
      <c r="V38" s="451"/>
      <c r="W38" s="453"/>
    </row>
    <row r="39" spans="1:23" s="30" customFormat="1" ht="15">
      <c r="A39" s="31"/>
      <c r="B39" s="380" t="s">
        <v>402</v>
      </c>
      <c r="C39" s="329" t="s">
        <v>403</v>
      </c>
      <c r="D39" s="329"/>
      <c r="E39" s="329"/>
      <c r="F39" s="329"/>
      <c r="G39" s="329"/>
      <c r="H39" s="458" t="e">
        <f>SUM(I39,L39,O39,R39,U39)</f>
        <v>#REF!</v>
      </c>
      <c r="I39" s="460" t="e">
        <f>SUM('US Costs by Sponsored Class'!I38,'Incountry Costs by GL USD'!I49:I54)</f>
        <v>#REF!</v>
      </c>
      <c r="J39" s="452"/>
      <c r="K39" s="452"/>
      <c r="L39" s="451" t="e">
        <f>SUM('US Costs by Sponsored Class'!L38,'Incountry Costs by GL USD'!L49:L54)</f>
        <v>#REF!</v>
      </c>
      <c r="M39" s="452"/>
      <c r="N39" s="452"/>
      <c r="O39" s="451" t="e">
        <f>SUM('US Costs by Sponsored Class'!O38,'Incountry Costs by GL USD'!O49:O54)</f>
        <v>#REF!</v>
      </c>
      <c r="P39" s="452"/>
      <c r="Q39" s="452"/>
      <c r="R39" s="451" t="e">
        <f>SUM('US Costs by Sponsored Class'!R38,'Incountry Costs by GL USD'!R49:R54)</f>
        <v>#REF!</v>
      </c>
      <c r="S39" s="452"/>
      <c r="T39" s="452"/>
      <c r="U39" s="451" t="e">
        <f>SUM('US Costs by Sponsored Class'!U38,'Incountry Costs by GL USD'!U49:U54)</f>
        <v>#REF!</v>
      </c>
      <c r="V39" s="451"/>
      <c r="W39" s="453"/>
    </row>
    <row r="40" spans="1:23" s="30" customFormat="1" ht="15">
      <c r="A40" s="31"/>
      <c r="B40" s="380" t="s">
        <v>404</v>
      </c>
      <c r="C40" s="329" t="s">
        <v>405</v>
      </c>
      <c r="D40" s="329"/>
      <c r="E40" s="329"/>
      <c r="F40" s="329"/>
      <c r="G40" s="329"/>
      <c r="H40" s="458" t="e">
        <f>SUM(I40,L40,O40,R40,U40)</f>
        <v>#REF!</v>
      </c>
      <c r="I40" s="460" t="e">
        <f>SUM('US Costs by Sponsored Class'!I39,'Incountry Costs by GL USD'!I55:I56)</f>
        <v>#REF!</v>
      </c>
      <c r="J40" s="452"/>
      <c r="K40" s="452"/>
      <c r="L40" s="451" t="e">
        <f>SUM('US Costs by Sponsored Class'!L39,'Incountry Costs by GL USD'!L55:L56)</f>
        <v>#REF!</v>
      </c>
      <c r="M40" s="452"/>
      <c r="N40" s="452"/>
      <c r="O40" s="451" t="e">
        <f>SUM('US Costs by Sponsored Class'!O39,'Incountry Costs by GL USD'!O55:O56)</f>
        <v>#REF!</v>
      </c>
      <c r="P40" s="452"/>
      <c r="Q40" s="452"/>
      <c r="R40" s="451" t="e">
        <f>SUM('US Costs by Sponsored Class'!R39,'Incountry Costs by GL USD'!R55:R56)</f>
        <v>#REF!</v>
      </c>
      <c r="S40" s="452"/>
      <c r="T40" s="452"/>
      <c r="U40" s="451" t="e">
        <f>SUM('US Costs by Sponsored Class'!U39,'Incountry Costs by GL USD'!U55:U56)</f>
        <v>#REF!</v>
      </c>
      <c r="V40" s="451"/>
      <c r="W40" s="453"/>
    </row>
    <row r="41" spans="1:23" s="30" customFormat="1" ht="15">
      <c r="A41" s="31"/>
      <c r="B41" s="380"/>
      <c r="C41" s="329"/>
      <c r="D41" s="329"/>
      <c r="E41" s="329"/>
      <c r="F41" s="329"/>
      <c r="G41" s="329"/>
      <c r="H41" s="458"/>
      <c r="I41" s="460"/>
      <c r="J41" s="452"/>
      <c r="K41" s="452"/>
      <c r="L41" s="451"/>
      <c r="M41" s="452"/>
      <c r="N41" s="452"/>
      <c r="O41" s="451"/>
      <c r="P41" s="452"/>
      <c r="Q41" s="452"/>
      <c r="R41" s="451"/>
      <c r="S41" s="452"/>
      <c r="T41" s="452"/>
      <c r="U41" s="451"/>
      <c r="V41" s="451"/>
      <c r="W41" s="453"/>
    </row>
    <row r="42" spans="1:23" s="30" customFormat="1" ht="15">
      <c r="A42" s="31"/>
      <c r="B42" s="368" t="s">
        <v>312</v>
      </c>
      <c r="C42" s="329"/>
      <c r="D42" s="329"/>
      <c r="E42" s="329"/>
      <c r="F42" s="329"/>
      <c r="G42" s="329"/>
      <c r="H42" s="458" t="e">
        <f>SUM(I42,L42,O42,R42,U42)</f>
        <v>#REF!</v>
      </c>
      <c r="I42" s="460" t="e">
        <f>SUM(I13:I41)</f>
        <v>#REF!</v>
      </c>
      <c r="J42" s="452"/>
      <c r="K42" s="452"/>
      <c r="L42" s="460" t="e">
        <f>SUM(L13:L41)</f>
        <v>#REF!</v>
      </c>
      <c r="M42" s="452"/>
      <c r="N42" s="452"/>
      <c r="O42" s="460" t="e">
        <f>SUM(O13:O41)</f>
        <v>#REF!</v>
      </c>
      <c r="P42" s="452"/>
      <c r="Q42" s="452"/>
      <c r="R42" s="460" t="e">
        <f>SUM(R13:R41)</f>
        <v>#REF!</v>
      </c>
      <c r="S42" s="452"/>
      <c r="T42" s="452"/>
      <c r="U42" s="460" t="e">
        <f>SUM(U13:U41)</f>
        <v>#REF!</v>
      </c>
      <c r="V42" s="451"/>
      <c r="W42" s="453"/>
    </row>
    <row r="43" spans="1:23" s="30" customFormat="1" ht="15">
      <c r="A43" s="31"/>
      <c r="B43" s="367"/>
      <c r="C43" s="329"/>
      <c r="D43" s="329"/>
      <c r="E43" s="329"/>
      <c r="F43" s="329"/>
      <c r="G43" s="329"/>
      <c r="H43" s="458"/>
      <c r="I43" s="460"/>
      <c r="J43" s="452"/>
      <c r="K43" s="452"/>
      <c r="L43" s="451"/>
      <c r="M43" s="452"/>
      <c r="N43" s="452"/>
      <c r="O43" s="451"/>
      <c r="P43" s="452"/>
      <c r="Q43" s="452"/>
      <c r="R43" s="451"/>
      <c r="S43" s="452"/>
      <c r="T43" s="452"/>
      <c r="U43" s="451"/>
      <c r="V43" s="451"/>
      <c r="W43" s="453"/>
    </row>
    <row r="44" spans="1:23" s="30" customFormat="1" ht="15">
      <c r="A44" s="31"/>
      <c r="B44" s="380" t="s">
        <v>406</v>
      </c>
      <c r="C44" s="329" t="s">
        <v>407</v>
      </c>
      <c r="D44" s="329"/>
      <c r="E44" s="329"/>
      <c r="F44" s="329"/>
      <c r="G44" s="329"/>
      <c r="H44" s="458" t="e">
        <f>SUM(I44,L44,O44,R44,U44)</f>
        <v>#REF!</v>
      </c>
      <c r="I44" s="460" t="e">
        <f>'US Costs by Sponsored Class'!I43</f>
        <v>#REF!</v>
      </c>
      <c r="J44" s="452"/>
      <c r="K44" s="452"/>
      <c r="L44" s="451" t="e">
        <f>'US Costs by Sponsored Class'!L43</f>
        <v>#REF!</v>
      </c>
      <c r="M44" s="452"/>
      <c r="N44" s="452"/>
      <c r="O44" s="451" t="e">
        <f>'US Costs by Sponsored Class'!O43</f>
        <v>#REF!</v>
      </c>
      <c r="P44" s="452"/>
      <c r="Q44" s="452"/>
      <c r="R44" s="451" t="e">
        <f>'US Costs by Sponsored Class'!R43</f>
        <v>#REF!</v>
      </c>
      <c r="S44" s="452"/>
      <c r="T44" s="452"/>
      <c r="U44" s="451" t="e">
        <f>'US Costs by Sponsored Class'!U43</f>
        <v>#REF!</v>
      </c>
      <c r="V44" s="451"/>
      <c r="W44" s="453"/>
    </row>
    <row r="45" spans="1:23" s="30" customFormat="1" ht="15">
      <c r="A45" s="31"/>
      <c r="B45" s="367"/>
      <c r="C45" s="382"/>
      <c r="D45" s="329"/>
      <c r="E45" s="329"/>
      <c r="F45" s="329"/>
      <c r="G45" s="329"/>
      <c r="H45" s="458"/>
      <c r="I45" s="460"/>
      <c r="J45" s="452"/>
      <c r="K45" s="452"/>
      <c r="L45" s="451"/>
      <c r="M45" s="452"/>
      <c r="N45" s="452"/>
      <c r="O45" s="451"/>
      <c r="P45" s="452"/>
      <c r="Q45" s="452"/>
      <c r="R45" s="451"/>
      <c r="S45" s="452"/>
      <c r="T45" s="452"/>
      <c r="U45" s="451"/>
      <c r="V45" s="451"/>
      <c r="W45" s="453"/>
    </row>
    <row r="46" spans="1:23" s="30" customFormat="1" ht="15">
      <c r="A46" s="31"/>
      <c r="B46" s="380" t="s">
        <v>408</v>
      </c>
      <c r="C46" s="329" t="s">
        <v>409</v>
      </c>
      <c r="D46" s="329"/>
      <c r="E46" s="329"/>
      <c r="F46" s="329"/>
      <c r="G46" s="329"/>
      <c r="H46" s="458" t="e">
        <f>SUM(I46,L46,O46,R46,U46)</f>
        <v>#REF!</v>
      </c>
      <c r="I46" s="460" t="e">
        <f>'US Costs by Sponsored Class'!I45</f>
        <v>#REF!</v>
      </c>
      <c r="J46" s="452"/>
      <c r="K46" s="452"/>
      <c r="L46" s="451" t="e">
        <f>'US Costs by Sponsored Class'!L45</f>
        <v>#REF!</v>
      </c>
      <c r="M46" s="452"/>
      <c r="N46" s="452"/>
      <c r="O46" s="451" t="e">
        <f>'US Costs by Sponsored Class'!O45</f>
        <v>#REF!</v>
      </c>
      <c r="P46" s="452"/>
      <c r="Q46" s="452"/>
      <c r="R46" s="451" t="e">
        <f>'US Costs by Sponsored Class'!R45</f>
        <v>#REF!</v>
      </c>
      <c r="S46" s="452"/>
      <c r="T46" s="452"/>
      <c r="U46" s="451" t="e">
        <f>'US Costs by Sponsored Class'!U45</f>
        <v>#REF!</v>
      </c>
      <c r="V46" s="451"/>
      <c r="W46" s="453"/>
    </row>
    <row r="47" spans="1:23" s="30" customFormat="1" ht="15.3" thickBot="1">
      <c r="A47" s="31"/>
      <c r="B47" s="369"/>
      <c r="C47" s="383"/>
      <c r="D47" s="331"/>
      <c r="E47" s="331"/>
      <c r="F47" s="331"/>
      <c r="G47" s="331"/>
      <c r="H47" s="459"/>
      <c r="I47" s="456"/>
      <c r="J47" s="331"/>
      <c r="K47" s="331"/>
      <c r="L47" s="365"/>
      <c r="M47" s="331"/>
      <c r="N47" s="331"/>
      <c r="O47" s="365"/>
      <c r="P47" s="331"/>
      <c r="Q47" s="331"/>
      <c r="R47" s="365"/>
      <c r="S47" s="331"/>
      <c r="T47" s="331"/>
      <c r="U47" s="365"/>
      <c r="V47" s="365"/>
      <c r="W47" s="332"/>
    </row>
    <row r="48" spans="1:23" s="30" customFormat="1" ht="15.3" thickBot="1">
      <c r="A48" s="31"/>
      <c r="B48" s="413" t="s">
        <v>307</v>
      </c>
      <c r="C48" s="414"/>
      <c r="D48" s="327"/>
      <c r="E48" s="327"/>
      <c r="F48" s="327"/>
      <c r="G48" s="327"/>
      <c r="H48" s="196" t="e">
        <f>SUM(I48,L48,O48,R48,U48)</f>
        <v>#REF!</v>
      </c>
      <c r="I48" s="457" t="e">
        <f>SUM(I42:I47)</f>
        <v>#REF!</v>
      </c>
      <c r="J48" s="327"/>
      <c r="K48" s="327"/>
      <c r="L48" s="412" t="e">
        <f>SUM(L42:L47)</f>
        <v>#REF!</v>
      </c>
      <c r="M48" s="327"/>
      <c r="N48" s="327"/>
      <c r="O48" s="412" t="e">
        <f>SUM(O42:O47)</f>
        <v>#REF!</v>
      </c>
      <c r="P48" s="327"/>
      <c r="Q48" s="327"/>
      <c r="R48" s="412" t="e">
        <f>SUM(R42:R47)</f>
        <v>#REF!</v>
      </c>
      <c r="S48" s="327"/>
      <c r="T48" s="327"/>
      <c r="U48" s="412" t="e">
        <f>SUM(U42:U47)</f>
        <v>#REF!</v>
      </c>
      <c r="V48" s="412"/>
      <c r="W48" s="328"/>
    </row>
    <row r="49" spans="1:33" s="14" customFormat="1">
      <c r="A49" s="29"/>
      <c r="B49" s="9"/>
      <c r="C49" s="9"/>
      <c r="D49" s="30"/>
      <c r="E49" s="9"/>
      <c r="F49" s="9"/>
      <c r="G49" s="9"/>
      <c r="H49" s="9"/>
      <c r="I49" s="9"/>
      <c r="J49" s="9"/>
      <c r="K49" s="9"/>
      <c r="L49" s="9"/>
      <c r="M49" s="9"/>
      <c r="N49" s="9"/>
      <c r="O49" s="9"/>
      <c r="P49" s="9"/>
      <c r="Q49" s="9"/>
      <c r="R49" s="9"/>
      <c r="S49" s="9"/>
      <c r="T49" s="9"/>
      <c r="U49" s="9"/>
      <c r="V49" s="9"/>
      <c r="W49" s="9"/>
      <c r="X49" s="9"/>
      <c r="Y49" s="9"/>
      <c r="AA49" s="5"/>
      <c r="AB49" s="9"/>
      <c r="AC49" s="9"/>
      <c r="AD49" s="9"/>
      <c r="AE49" s="9"/>
      <c r="AF49" s="9"/>
      <c r="AG49" s="9"/>
    </row>
    <row r="50" spans="1:33" s="14" customFormat="1">
      <c r="A50" s="31"/>
      <c r="B50" s="9" t="s">
        <v>410</v>
      </c>
      <c r="C50" s="9"/>
      <c r="D50" s="30"/>
      <c r="E50" s="9"/>
      <c r="F50" s="9"/>
      <c r="G50" s="9"/>
      <c r="H50" s="174"/>
      <c r="I50" s="174"/>
      <c r="J50" s="9"/>
      <c r="K50" s="9"/>
      <c r="L50" s="174"/>
      <c r="M50" s="9"/>
      <c r="N50" s="9"/>
      <c r="O50" s="174"/>
      <c r="P50" s="9"/>
      <c r="Q50" s="9"/>
      <c r="R50" s="174"/>
      <c r="S50" s="9"/>
      <c r="T50" s="9"/>
      <c r="U50" s="174"/>
      <c r="V50" s="174"/>
      <c r="W50" s="9"/>
      <c r="X50" s="9"/>
      <c r="Y50" s="9"/>
      <c r="AA50" s="5"/>
      <c r="AB50" s="9"/>
      <c r="AC50" s="9"/>
      <c r="AD50" s="9"/>
      <c r="AE50" s="9"/>
      <c r="AF50" s="9"/>
      <c r="AG50" s="9"/>
    </row>
    <row r="51" spans="1:33" s="14" customFormat="1">
      <c r="A51" s="29"/>
      <c r="B51" s="9"/>
      <c r="C51" s="9"/>
      <c r="D51" s="30"/>
      <c r="E51" s="9"/>
      <c r="F51" s="9"/>
      <c r="G51" s="9"/>
      <c r="H51" s="9"/>
      <c r="I51" s="9"/>
      <c r="J51" s="9"/>
      <c r="K51" s="9"/>
      <c r="L51" s="9"/>
      <c r="M51" s="9"/>
      <c r="N51" s="9"/>
      <c r="O51" s="9"/>
      <c r="P51" s="9"/>
      <c r="Q51" s="9"/>
      <c r="R51" s="9"/>
      <c r="S51" s="9"/>
      <c r="T51" s="9"/>
      <c r="U51" s="9"/>
      <c r="V51" s="9"/>
      <c r="W51" s="9"/>
      <c r="X51" s="9"/>
      <c r="Y51" s="9"/>
      <c r="AA51" s="5"/>
      <c r="AB51" s="9"/>
      <c r="AC51" s="9"/>
      <c r="AD51" s="9"/>
      <c r="AE51" s="9"/>
      <c r="AF51" s="9"/>
      <c r="AG51" s="9"/>
    </row>
    <row r="52" spans="1:33" s="14" customFormat="1">
      <c r="A52" s="29"/>
      <c r="B52" s="9"/>
      <c r="C52" s="9"/>
      <c r="D52" s="30"/>
      <c r="E52" s="9"/>
      <c r="F52" s="9"/>
      <c r="G52" s="9"/>
      <c r="H52" s="9"/>
      <c r="I52" s="9"/>
      <c r="J52" s="9"/>
      <c r="K52" s="9"/>
      <c r="L52" s="9"/>
      <c r="M52" s="9"/>
      <c r="N52" s="9"/>
      <c r="O52" s="9"/>
      <c r="P52" s="9"/>
      <c r="Q52" s="9"/>
      <c r="R52" s="9"/>
      <c r="S52" s="9"/>
      <c r="T52" s="9"/>
      <c r="U52" s="9"/>
      <c r="V52" s="9"/>
      <c r="W52" s="9"/>
      <c r="X52" s="9"/>
      <c r="Y52" s="9"/>
      <c r="AA52" s="5"/>
      <c r="AB52" s="9"/>
      <c r="AC52" s="9"/>
      <c r="AD52" s="9"/>
      <c r="AE52" s="9"/>
      <c r="AF52" s="9"/>
      <c r="AG52" s="9"/>
    </row>
    <row r="53" spans="1:33" s="14" customFormat="1">
      <c r="A53" s="29"/>
      <c r="B53" s="9"/>
      <c r="C53" s="9"/>
      <c r="D53" s="30"/>
      <c r="E53" s="9"/>
      <c r="F53" s="9"/>
      <c r="G53" s="9"/>
      <c r="H53" s="9"/>
      <c r="I53" s="9"/>
      <c r="J53" s="9"/>
      <c r="K53" s="9"/>
      <c r="L53" s="9"/>
      <c r="M53" s="9"/>
      <c r="N53" s="9"/>
      <c r="O53" s="9"/>
      <c r="P53" s="9"/>
      <c r="Q53" s="9"/>
      <c r="R53" s="9"/>
      <c r="S53" s="9"/>
      <c r="T53" s="9"/>
      <c r="U53" s="9"/>
      <c r="V53" s="9"/>
      <c r="W53" s="9"/>
      <c r="X53" s="9"/>
      <c r="Y53" s="9"/>
      <c r="AA53" s="5"/>
      <c r="AB53" s="9"/>
      <c r="AC53" s="9"/>
      <c r="AD53" s="9"/>
      <c r="AE53" s="9"/>
      <c r="AF53" s="9"/>
      <c r="AG53" s="9"/>
    </row>
    <row r="54" spans="1:33" s="14" customFormat="1">
      <c r="A54" s="29"/>
      <c r="B54" s="9"/>
      <c r="C54" s="9"/>
      <c r="D54" s="30"/>
      <c r="E54" s="9"/>
      <c r="F54" s="9"/>
      <c r="G54" s="9"/>
      <c r="H54" s="9"/>
      <c r="I54" s="9"/>
      <c r="J54" s="9"/>
      <c r="K54" s="9"/>
      <c r="L54" s="9"/>
      <c r="M54" s="9"/>
      <c r="N54" s="9"/>
      <c r="O54" s="9"/>
      <c r="P54" s="9"/>
      <c r="Q54" s="9"/>
      <c r="R54" s="9"/>
      <c r="S54" s="9"/>
      <c r="T54" s="9"/>
      <c r="U54" s="9"/>
      <c r="V54" s="9"/>
      <c r="W54" s="9"/>
      <c r="X54" s="9"/>
      <c r="Y54" s="9"/>
      <c r="AA54" s="5"/>
      <c r="AB54" s="9"/>
      <c r="AC54" s="9"/>
      <c r="AD54" s="9"/>
      <c r="AE54" s="9"/>
      <c r="AF54" s="9"/>
      <c r="AG54" s="9"/>
    </row>
    <row r="55" spans="1:33" s="14" customFormat="1">
      <c r="A55" s="29"/>
      <c r="B55" s="9"/>
      <c r="C55" s="9"/>
      <c r="D55" s="30"/>
      <c r="E55" s="9"/>
      <c r="F55" s="9"/>
      <c r="G55" s="9"/>
      <c r="H55" s="9"/>
      <c r="I55" s="9"/>
      <c r="J55" s="9"/>
      <c r="K55" s="9"/>
      <c r="L55" s="9"/>
      <c r="M55" s="9"/>
      <c r="N55" s="9"/>
      <c r="O55" s="9"/>
      <c r="P55" s="9"/>
      <c r="Q55" s="9"/>
      <c r="R55" s="9"/>
      <c r="S55" s="9"/>
      <c r="T55" s="9"/>
      <c r="U55" s="9"/>
      <c r="V55" s="9"/>
      <c r="W55" s="9"/>
      <c r="X55" s="9"/>
      <c r="Y55" s="9"/>
      <c r="AA55" s="5"/>
      <c r="AB55" s="9"/>
      <c r="AC55" s="9"/>
      <c r="AD55" s="9"/>
      <c r="AE55" s="9"/>
      <c r="AF55" s="9"/>
      <c r="AG55" s="9"/>
    </row>
    <row r="56" spans="1:33" s="14" customFormat="1">
      <c r="A56" s="29"/>
      <c r="B56" s="9"/>
      <c r="C56" s="9"/>
      <c r="D56" s="30"/>
      <c r="E56" s="9"/>
      <c r="F56" s="9"/>
      <c r="G56" s="9"/>
      <c r="H56" s="9"/>
      <c r="I56" s="9"/>
      <c r="J56" s="9"/>
      <c r="K56" s="9"/>
      <c r="L56" s="9"/>
      <c r="M56" s="9"/>
      <c r="N56" s="9"/>
      <c r="O56" s="9"/>
      <c r="P56" s="9"/>
      <c r="Q56" s="9"/>
      <c r="R56" s="9"/>
      <c r="S56" s="9"/>
      <c r="T56" s="9"/>
      <c r="U56" s="9"/>
      <c r="V56" s="9"/>
      <c r="W56" s="9"/>
      <c r="X56" s="9"/>
      <c r="Y56" s="9"/>
      <c r="AA56" s="5"/>
      <c r="AB56" s="9"/>
      <c r="AC56" s="9"/>
      <c r="AD56" s="9"/>
      <c r="AE56" s="9"/>
      <c r="AF56" s="9"/>
      <c r="AG56" s="9"/>
    </row>
    <row r="57" spans="1:33" s="14" customFormat="1">
      <c r="A57" s="29"/>
      <c r="B57" s="9"/>
      <c r="C57" s="9"/>
      <c r="D57" s="30"/>
      <c r="E57" s="9"/>
      <c r="F57" s="9"/>
      <c r="G57" s="9"/>
      <c r="H57" s="9"/>
      <c r="I57" s="9"/>
      <c r="J57" s="9"/>
      <c r="K57" s="9"/>
      <c r="L57" s="9"/>
      <c r="M57" s="9"/>
      <c r="N57" s="9"/>
      <c r="O57" s="9"/>
      <c r="P57" s="9"/>
      <c r="Q57" s="9"/>
      <c r="R57" s="9"/>
      <c r="S57" s="9"/>
      <c r="T57" s="9"/>
      <c r="U57" s="9"/>
      <c r="V57" s="9"/>
      <c r="W57" s="9"/>
      <c r="X57" s="9"/>
      <c r="Y57" s="9"/>
      <c r="AA57" s="5"/>
      <c r="AB57" s="9"/>
      <c r="AC57" s="9"/>
      <c r="AD57" s="9"/>
      <c r="AE57" s="9"/>
      <c r="AF57" s="9"/>
      <c r="AG57" s="9"/>
    </row>
    <row r="58" spans="1:33" s="14" customFormat="1">
      <c r="A58" s="29"/>
      <c r="B58" s="9"/>
      <c r="C58" s="9"/>
      <c r="D58" s="30"/>
      <c r="E58" s="9"/>
      <c r="F58" s="9"/>
      <c r="G58" s="9"/>
      <c r="H58" s="9"/>
      <c r="I58" s="9"/>
      <c r="J58" s="9"/>
      <c r="K58" s="9"/>
      <c r="L58" s="9"/>
      <c r="M58" s="9"/>
      <c r="N58" s="9"/>
      <c r="O58" s="9"/>
      <c r="P58" s="9"/>
      <c r="Q58" s="9"/>
      <c r="R58" s="9"/>
      <c r="S58" s="9"/>
      <c r="T58" s="9"/>
      <c r="U58" s="9"/>
      <c r="V58" s="9"/>
      <c r="W58" s="9"/>
      <c r="X58" s="9"/>
      <c r="Y58" s="9"/>
      <c r="AA58" s="5"/>
      <c r="AB58" s="9"/>
      <c r="AC58" s="9"/>
      <c r="AD58" s="9"/>
      <c r="AE58" s="9"/>
      <c r="AF58" s="9"/>
      <c r="AG58" s="9"/>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c r="C60" s="9"/>
      <c r="D60" s="30"/>
      <c r="E60" s="9"/>
      <c r="F60" s="9"/>
      <c r="G60" s="9"/>
      <c r="H60" s="9"/>
      <c r="I60" s="9"/>
      <c r="J60" s="9"/>
      <c r="K60" s="9"/>
      <c r="L60" s="9"/>
      <c r="M60" s="9"/>
      <c r="N60" s="9"/>
      <c r="O60" s="9"/>
      <c r="P60" s="9"/>
      <c r="Q60" s="9"/>
      <c r="R60" s="9"/>
      <c r="S60" s="9"/>
      <c r="T60" s="9"/>
      <c r="U60" s="9"/>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30"/>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16"/>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16"/>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16"/>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16"/>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16"/>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16"/>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16"/>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16"/>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16"/>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16"/>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2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2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2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2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s="14" customFormat="1">
      <c r="A139" s="29"/>
      <c r="B139" s="9"/>
      <c r="C139" s="9"/>
      <c r="D139" s="16"/>
      <c r="E139" s="9"/>
      <c r="F139" s="9"/>
      <c r="G139" s="9"/>
      <c r="H139" s="9"/>
      <c r="I139" s="9"/>
      <c r="J139" s="9"/>
      <c r="K139" s="9"/>
      <c r="L139" s="9"/>
      <c r="M139" s="9"/>
      <c r="N139" s="9"/>
      <c r="O139" s="9"/>
      <c r="P139" s="9"/>
      <c r="Q139" s="9"/>
      <c r="R139" s="9"/>
      <c r="S139" s="9"/>
      <c r="T139" s="9"/>
      <c r="U139" s="9"/>
      <c r="V139" s="9"/>
      <c r="W139" s="9"/>
      <c r="X139" s="9"/>
      <c r="Y139" s="9"/>
      <c r="AA139" s="5"/>
      <c r="AB139" s="9"/>
      <c r="AC139" s="9"/>
      <c r="AD139" s="9"/>
      <c r="AE139" s="9"/>
      <c r="AF139" s="9"/>
      <c r="AG139" s="9"/>
    </row>
    <row r="140" spans="1:33">
      <c r="A140" s="29"/>
      <c r="D140" s="16"/>
    </row>
    <row r="141" spans="1:33">
      <c r="A141" s="29"/>
      <c r="D141" s="16"/>
    </row>
  </sheetData>
  <sheetProtection formatColumns="0" formatRows="0" insertRows="0" autoFilter="0"/>
  <pageMargins left="0.5" right="0.5" top="0.5" bottom="0.5" header="0" footer="0.25"/>
  <pageSetup scale="58"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499984740745262"/>
    <pageSetUpPr fitToPage="1"/>
  </sheetPr>
  <dimension ref="A1:AG140"/>
  <sheetViews>
    <sheetView zoomScale="70" zoomScaleNormal="70" zoomScaleSheetLayoutView="70" workbookViewId="0">
      <pane xSplit="3" ySplit="12" topLeftCell="D13" activePane="bottomRight" state="frozen"/>
      <selection pane="topRight" activeCell="B43" sqref="B43"/>
      <selection pane="bottomLeft" activeCell="B43" sqref="B43"/>
      <selection pane="bottomRight" activeCell="B43" sqref="B43"/>
    </sheetView>
  </sheetViews>
  <sheetFormatPr defaultColWidth="9.71875" defaultRowHeight="12.3"/>
  <cols>
    <col min="1" max="1" width="15.44140625" style="19" bestFit="1" customWidth="1"/>
    <col min="2" max="2" width="14.44140625" style="9" customWidth="1"/>
    <col min="3" max="3" width="48.44140625" style="9" bestFit="1" customWidth="1"/>
    <col min="4" max="4" width="9.27734375" style="13" customWidth="1"/>
    <col min="5" max="5" width="39.5546875" style="9" customWidth="1"/>
    <col min="6" max="6" width="10.5546875" style="9" hidden="1" customWidth="1"/>
    <col min="7" max="7" width="9.27734375" style="9" hidden="1" customWidth="1"/>
    <col min="8" max="8" width="18.71875" style="9" bestFit="1" customWidth="1"/>
    <col min="9" max="9" width="14.44140625" style="9" customWidth="1"/>
    <col min="10" max="10" width="9.71875" style="9" hidden="1" customWidth="1"/>
    <col min="11" max="11" width="8.27734375" style="9" hidden="1" customWidth="1"/>
    <col min="12" max="12" width="14.44140625" style="9" customWidth="1"/>
    <col min="13" max="13" width="10.27734375" style="9" hidden="1" customWidth="1"/>
    <col min="14" max="14" width="9.27734375" style="9" hidden="1" customWidth="1"/>
    <col min="15" max="15" width="14.44140625" style="9" customWidth="1"/>
    <col min="16" max="16" width="10.5546875" style="9" hidden="1" customWidth="1"/>
    <col min="17" max="17" width="9.27734375" style="9" hidden="1" customWidth="1"/>
    <col min="18" max="18" width="14.44140625" style="9" customWidth="1"/>
    <col min="19" max="19" width="10.27734375" style="9" hidden="1" customWidth="1"/>
    <col min="20" max="20" width="9.27734375" style="9" hidden="1" customWidth="1"/>
    <col min="21" max="21" width="14.44140625" style="9" customWidth="1"/>
    <col min="22" max="22" width="14.44140625" style="9" hidden="1" customWidth="1"/>
    <col min="23" max="23" width="9.44140625" style="9" hidden="1" customWidth="1"/>
    <col min="24" max="24" width="16" style="9" customWidth="1"/>
    <col min="25" max="25" width="15.5546875" style="14" customWidth="1"/>
    <col min="26" max="26" width="13.71875" style="14" customWidth="1"/>
    <col min="27" max="27" width="12.44140625" style="5" bestFit="1" customWidth="1"/>
    <col min="28" max="16384" width="9.71875" style="9"/>
  </cols>
  <sheetData>
    <row r="1" spans="1:27" s="8" customFormat="1" ht="20.100000000000001">
      <c r="A1" s="19"/>
      <c r="B1" s="4" t="str">
        <f>Assumptions!B8</f>
        <v>Partners of America</v>
      </c>
      <c r="C1" s="4"/>
      <c r="M1" s="9"/>
      <c r="N1" s="10"/>
      <c r="P1" s="24"/>
      <c r="Q1" s="25"/>
      <c r="R1" s="25"/>
      <c r="T1" s="25"/>
      <c r="U1" s="25"/>
      <c r="V1" s="25"/>
      <c r="W1" s="24"/>
      <c r="Z1" s="11"/>
    </row>
    <row r="2" spans="1:27" s="8" customFormat="1" ht="15">
      <c r="A2" s="19"/>
      <c r="B2" s="442" t="str">
        <f>Assumptions!B9</f>
        <v>DONOR:</v>
      </c>
      <c r="C2" s="464" t="str">
        <f>Assumptions!C9</f>
        <v>USDOL</v>
      </c>
      <c r="M2" s="9"/>
      <c r="N2" s="9"/>
      <c r="O2" s="9"/>
      <c r="P2" s="27"/>
      <c r="Q2" s="12"/>
      <c r="R2" s="12"/>
      <c r="T2" s="9"/>
      <c r="Y2" s="11"/>
      <c r="Z2" s="11"/>
      <c r="AA2" s="12"/>
    </row>
    <row r="3" spans="1:27" s="8" customFormat="1" ht="15">
      <c r="A3" s="19"/>
      <c r="B3" s="442" t="str">
        <f>Assumptions!B10</f>
        <v>Country:</v>
      </c>
      <c r="C3" s="464" t="str">
        <f>Assumptions!C10</f>
        <v>Ecuador</v>
      </c>
      <c r="G3" s="9"/>
      <c r="I3" s="9"/>
      <c r="M3" s="9"/>
      <c r="N3" s="9"/>
      <c r="O3" s="9"/>
      <c r="P3" s="27"/>
      <c r="Q3" s="12"/>
      <c r="R3" s="12"/>
      <c r="T3" s="9"/>
      <c r="W3" s="912"/>
      <c r="Y3" s="11"/>
      <c r="Z3" s="11"/>
      <c r="AA3" s="12"/>
    </row>
    <row r="4" spans="1:27" ht="15">
      <c r="B4" s="442" t="str">
        <f>Assumptions!B11</f>
        <v>Program Name:</v>
      </c>
      <c r="C4" s="464" t="str">
        <f>Assumptions!C11</f>
        <v>Project to Improve Adherence to International Labor Standards in the Agricultural Sector in Ecuador</v>
      </c>
      <c r="D4" s="16"/>
      <c r="I4"/>
      <c r="S4" s="913"/>
      <c r="W4" s="912"/>
    </row>
    <row r="5" spans="1:27" ht="15">
      <c r="B5" s="442" t="str">
        <f>Assumptions!B12</f>
        <v>Grant Number:</v>
      </c>
      <c r="C5" s="464" t="str">
        <f>Assumptions!C12</f>
        <v>FOA-ILAB-23-28</v>
      </c>
      <c r="D5" s="16"/>
      <c r="S5" s="913"/>
      <c r="W5" s="912"/>
    </row>
    <row r="6" spans="1:27" ht="15">
      <c r="B6" s="442" t="str">
        <f>Assumptions!B13</f>
        <v>Period of Performance:</v>
      </c>
      <c r="C6" s="466" t="str">
        <f>Assumptions!C13</f>
        <v>48 months</v>
      </c>
      <c r="D6" s="467"/>
      <c r="E6" s="463">
        <f>Assumptions!G13</f>
        <v>0</v>
      </c>
      <c r="S6" s="913"/>
    </row>
    <row r="7" spans="1:27" ht="15">
      <c r="B7" s="315"/>
      <c r="C7" s="315"/>
      <c r="D7" s="16"/>
      <c r="S7" s="913"/>
    </row>
    <row r="8" spans="1:27" ht="20.100000000000001">
      <c r="B8" s="4" t="s">
        <v>411</v>
      </c>
      <c r="C8" s="315"/>
      <c r="D8" s="16"/>
      <c r="S8" s="913"/>
    </row>
    <row r="9" spans="1:27" ht="15" hidden="1">
      <c r="B9" s="315"/>
      <c r="C9" s="315"/>
      <c r="D9" s="16"/>
      <c r="H9" s="443"/>
      <c r="S9" s="913"/>
    </row>
    <row r="10" spans="1:27" ht="17.7">
      <c r="D10" s="429" t="s">
        <v>361</v>
      </c>
      <c r="E10" s="430" t="s">
        <v>362</v>
      </c>
      <c r="F10" s="425"/>
    </row>
    <row r="11" spans="1:27" ht="15.3" thickBot="1">
      <c r="D11" s="16"/>
      <c r="H11" s="173"/>
      <c r="W11" s="8"/>
    </row>
    <row r="12" spans="1:27" s="440" customFormat="1" ht="30.3" thickBot="1">
      <c r="A12" s="445" t="s">
        <v>363</v>
      </c>
      <c r="B12" s="411" t="s">
        <v>364</v>
      </c>
      <c r="C12" s="438" t="s">
        <v>365</v>
      </c>
      <c r="D12" s="446" t="s">
        <v>366</v>
      </c>
      <c r="E12" s="438" t="s">
        <v>365</v>
      </c>
      <c r="F12" s="437"/>
      <c r="G12" s="437"/>
      <c r="H12" s="449" t="s">
        <v>412</v>
      </c>
      <c r="I12" s="418" t="e">
        <f>#REF!</f>
        <v>#REF!</v>
      </c>
      <c r="J12" s="437"/>
      <c r="K12" s="437"/>
      <c r="L12" s="418" t="e">
        <f>#REF!</f>
        <v>#REF!</v>
      </c>
      <c r="M12" s="437"/>
      <c r="N12" s="437"/>
      <c r="O12" s="418" t="e">
        <f>#REF!</f>
        <v>#REF!</v>
      </c>
      <c r="P12" s="437"/>
      <c r="Q12" s="437"/>
      <c r="R12" s="418" t="e">
        <f>#REF!</f>
        <v>#REF!</v>
      </c>
      <c r="S12" s="437"/>
      <c r="T12" s="437"/>
      <c r="U12" s="418" t="e">
        <f>#REF!</f>
        <v>#REF!</v>
      </c>
      <c r="V12" s="418"/>
      <c r="W12" s="438"/>
    </row>
    <row r="13" spans="1:27" s="30" customFormat="1" ht="15">
      <c r="A13" s="31"/>
      <c r="B13" s="373"/>
      <c r="C13" s="381"/>
      <c r="D13" s="361"/>
      <c r="E13" s="361"/>
      <c r="F13" s="361"/>
      <c r="G13" s="361"/>
      <c r="H13" s="361"/>
      <c r="I13" s="370"/>
      <c r="J13" s="361"/>
      <c r="K13" s="361"/>
      <c r="L13" s="370"/>
      <c r="M13" s="361"/>
      <c r="N13" s="361"/>
      <c r="O13" s="370"/>
      <c r="P13" s="361"/>
      <c r="Q13" s="361"/>
      <c r="R13" s="370"/>
      <c r="S13" s="361"/>
      <c r="T13" s="361"/>
      <c r="U13" s="370"/>
      <c r="V13" s="370"/>
      <c r="W13" s="371"/>
    </row>
    <row r="14" spans="1:27" s="30" customFormat="1" ht="15">
      <c r="A14" s="410" t="s">
        <v>23</v>
      </c>
      <c r="B14" s="380" t="s">
        <v>367</v>
      </c>
      <c r="C14" s="329" t="s">
        <v>368</v>
      </c>
      <c r="D14" s="384" t="s">
        <v>413</v>
      </c>
      <c r="E14" s="329" t="s">
        <v>414</v>
      </c>
      <c r="F14" s="329"/>
      <c r="G14" s="329"/>
      <c r="H14" s="448" t="e">
        <f>SUM(I14,L14,O14,R14,U14)</f>
        <v>#REF!</v>
      </c>
      <c r="I14" s="451" t="e">
        <f>SUMIF(#REF!,$B$14,#REF!)</f>
        <v>#REF!</v>
      </c>
      <c r="J14" s="452"/>
      <c r="K14" s="452"/>
      <c r="L14" s="451" t="e">
        <f>SUMIF(#REF!,$B$14,#REF!)</f>
        <v>#REF!</v>
      </c>
      <c r="M14" s="452"/>
      <c r="N14" s="452"/>
      <c r="O14" s="451" t="e">
        <f>SUMIF(#REF!,$B$14,#REF!)</f>
        <v>#REF!</v>
      </c>
      <c r="P14" s="452"/>
      <c r="Q14" s="452"/>
      <c r="R14" s="451" t="e">
        <f>SUMIF(#REF!,$B$14,#REF!)</f>
        <v>#REF!</v>
      </c>
      <c r="S14" s="452"/>
      <c r="T14" s="452"/>
      <c r="U14" s="451" t="e">
        <f>SUMIF(#REF!,$B$14,#REF!)</f>
        <v>#REF!</v>
      </c>
      <c r="V14" s="451"/>
      <c r="W14" s="453"/>
    </row>
    <row r="15" spans="1:27" s="30" customFormat="1" ht="15">
      <c r="A15" s="410"/>
      <c r="B15" s="380" t="s">
        <v>369</v>
      </c>
      <c r="C15" s="329" t="s">
        <v>370</v>
      </c>
      <c r="D15" s="384" t="s">
        <v>415</v>
      </c>
      <c r="E15" s="329" t="s">
        <v>416</v>
      </c>
      <c r="F15" s="329"/>
      <c r="G15" s="329"/>
      <c r="H15" s="448" t="e">
        <f t="shared" ref="H15:H16" si="0">SUM(I15,L15,O15,R15,U15)</f>
        <v>#REF!</v>
      </c>
      <c r="I15" s="451" t="e">
        <f>SUMIF(#REF!,$B$15,#REF!)</f>
        <v>#REF!</v>
      </c>
      <c r="J15" s="452"/>
      <c r="K15" s="452"/>
      <c r="L15" s="451" t="e">
        <f>SUMIF(#REF!,$B$15,#REF!)</f>
        <v>#REF!</v>
      </c>
      <c r="M15" s="452"/>
      <c r="N15" s="452"/>
      <c r="O15" s="451" t="e">
        <f>SUMIF(#REF!,$B$15,#REF!)</f>
        <v>#REF!</v>
      </c>
      <c r="P15" s="452"/>
      <c r="Q15" s="452"/>
      <c r="R15" s="451" t="e">
        <f>SUMIF(#REF!,$B$15,#REF!)</f>
        <v>#REF!</v>
      </c>
      <c r="S15" s="452"/>
      <c r="T15" s="452"/>
      <c r="U15" s="451" t="e">
        <f>SUMIF(#REF!,$B$15,#REF!)</f>
        <v>#REF!</v>
      </c>
      <c r="V15" s="451"/>
      <c r="W15" s="453"/>
    </row>
    <row r="16" spans="1:27" s="30" customFormat="1" ht="15">
      <c r="A16" s="410" t="s">
        <v>52</v>
      </c>
      <c r="B16" s="380" t="s">
        <v>371</v>
      </c>
      <c r="C16" s="329" t="s">
        <v>52</v>
      </c>
      <c r="D16" s="384" t="s">
        <v>417</v>
      </c>
      <c r="E16" s="329" t="s">
        <v>418</v>
      </c>
      <c r="F16" s="329"/>
      <c r="G16" s="329"/>
      <c r="H16" s="448" t="e">
        <f t="shared" si="0"/>
        <v>#REF!</v>
      </c>
      <c r="I16" s="451" t="e">
        <f>SUMIF(#REF!,$B$16,#REF!)</f>
        <v>#REF!</v>
      </c>
      <c r="J16" s="452"/>
      <c r="K16" s="452"/>
      <c r="L16" s="451" t="e">
        <f>SUMIF(#REF!,$B$16,#REF!)</f>
        <v>#REF!</v>
      </c>
      <c r="M16" s="452"/>
      <c r="N16" s="452"/>
      <c r="O16" s="451" t="e">
        <f>SUMIF(#REF!,$B$16,#REF!)</f>
        <v>#REF!</v>
      </c>
      <c r="P16" s="452"/>
      <c r="Q16" s="452"/>
      <c r="R16" s="451" t="e">
        <f>SUMIF(#REF!,$B$16,#REF!)</f>
        <v>#REF!</v>
      </c>
      <c r="S16" s="452"/>
      <c r="T16" s="452"/>
      <c r="U16" s="451" t="e">
        <f>SUMIF(#REF!,$B$16,#REF!)</f>
        <v>#REF!</v>
      </c>
      <c r="V16" s="451"/>
      <c r="W16" s="453"/>
    </row>
    <row r="17" spans="1:23" s="30" customFormat="1" ht="15">
      <c r="A17" s="410"/>
      <c r="B17" s="380"/>
      <c r="C17" s="329"/>
      <c r="D17" s="384" t="s">
        <v>419</v>
      </c>
      <c r="E17" s="329" t="s">
        <v>420</v>
      </c>
      <c r="F17" s="329"/>
      <c r="G17" s="329"/>
      <c r="H17" s="448"/>
      <c r="I17" s="451"/>
      <c r="J17" s="452"/>
      <c r="K17" s="452"/>
      <c r="L17" s="451"/>
      <c r="M17" s="452"/>
      <c r="N17" s="452"/>
      <c r="O17" s="451"/>
      <c r="P17" s="452"/>
      <c r="Q17" s="452"/>
      <c r="R17" s="451"/>
      <c r="S17" s="452"/>
      <c r="T17" s="452"/>
      <c r="U17" s="451"/>
      <c r="V17" s="451"/>
      <c r="W17" s="453"/>
    </row>
    <row r="18" spans="1:23" s="30" customFormat="1" ht="15">
      <c r="A18" s="410" t="s">
        <v>58</v>
      </c>
      <c r="B18" s="380" t="s">
        <v>372</v>
      </c>
      <c r="C18" s="329" t="s">
        <v>373</v>
      </c>
      <c r="D18" s="329"/>
      <c r="E18" s="329"/>
      <c r="F18" s="329"/>
      <c r="G18" s="329"/>
      <c r="H18" s="448" t="e">
        <f t="shared" ref="H18:H19" si="1">SUM(I18,L18,O18,R18,U18)</f>
        <v>#REF!</v>
      </c>
      <c r="I18" s="451" t="e">
        <f>SUMIF(#REF!,$B$18,#REF!)</f>
        <v>#REF!</v>
      </c>
      <c r="J18" s="452"/>
      <c r="K18" s="452"/>
      <c r="L18" s="451" t="e">
        <f>SUMIF(#REF!,$B$18,#REF!)</f>
        <v>#REF!</v>
      </c>
      <c r="M18" s="452"/>
      <c r="N18" s="452"/>
      <c r="O18" s="451" t="e">
        <f>SUMIF(#REF!,$B$18,#REF!)</f>
        <v>#REF!</v>
      </c>
      <c r="P18" s="452"/>
      <c r="Q18" s="452"/>
      <c r="R18" s="451" t="e">
        <f>SUMIF(#REF!,$B$18,#REF!)</f>
        <v>#REF!</v>
      </c>
      <c r="S18" s="452"/>
      <c r="T18" s="452"/>
      <c r="U18" s="451" t="e">
        <f>SUMIF(#REF!,$B$18,#REF!)</f>
        <v>#REF!</v>
      </c>
      <c r="V18" s="451"/>
      <c r="W18" s="453"/>
    </row>
    <row r="19" spans="1:23" s="30" customFormat="1" ht="15">
      <c r="A19" s="410"/>
      <c r="B19" s="380" t="s">
        <v>374</v>
      </c>
      <c r="C19" s="329" t="s">
        <v>375</v>
      </c>
      <c r="D19" s="329"/>
      <c r="E19" s="329"/>
      <c r="F19" s="329"/>
      <c r="G19" s="329"/>
      <c r="H19" s="448" t="e">
        <f t="shared" si="1"/>
        <v>#REF!</v>
      </c>
      <c r="I19" s="451" t="e">
        <f>SUMIF(#REF!,$B$19,#REF!)</f>
        <v>#REF!</v>
      </c>
      <c r="J19" s="452"/>
      <c r="K19" s="452"/>
      <c r="L19" s="451" t="e">
        <f>SUMIF(#REF!,$B$19,#REF!)</f>
        <v>#REF!</v>
      </c>
      <c r="M19" s="452"/>
      <c r="N19" s="452"/>
      <c r="O19" s="451" t="e">
        <f>SUMIF(#REF!,$B$19,#REF!)</f>
        <v>#REF!</v>
      </c>
      <c r="P19" s="452"/>
      <c r="Q19" s="452"/>
      <c r="R19" s="451" t="e">
        <f>SUMIF(#REF!,$B$19,#REF!)</f>
        <v>#REF!</v>
      </c>
      <c r="S19" s="452"/>
      <c r="T19" s="452"/>
      <c r="U19" s="451" t="e">
        <f>SUMIF(#REF!,$B$19,#REF!)</f>
        <v>#REF!</v>
      </c>
      <c r="V19" s="451"/>
      <c r="W19" s="453"/>
    </row>
    <row r="20" spans="1:23" s="30" customFormat="1" ht="15">
      <c r="A20" s="410"/>
      <c r="B20" s="380"/>
      <c r="C20" s="329"/>
      <c r="D20" s="384"/>
      <c r="E20" s="329"/>
      <c r="F20" s="329"/>
      <c r="G20" s="329"/>
      <c r="H20" s="448"/>
      <c r="I20" s="451"/>
      <c r="J20" s="452"/>
      <c r="K20" s="452"/>
      <c r="L20" s="451"/>
      <c r="M20" s="452"/>
      <c r="N20" s="452"/>
      <c r="O20" s="451"/>
      <c r="P20" s="452"/>
      <c r="Q20" s="452"/>
      <c r="R20" s="451"/>
      <c r="S20" s="452"/>
      <c r="T20" s="452"/>
      <c r="U20" s="451"/>
      <c r="V20" s="451"/>
      <c r="W20" s="453"/>
    </row>
    <row r="21" spans="1:23" s="30" customFormat="1" ht="15">
      <c r="A21" s="410" t="s">
        <v>94</v>
      </c>
      <c r="B21" s="380" t="s">
        <v>376</v>
      </c>
      <c r="C21" s="329" t="s">
        <v>377</v>
      </c>
      <c r="D21" s="384" t="s">
        <v>421</v>
      </c>
      <c r="E21" s="329" t="s">
        <v>422</v>
      </c>
      <c r="F21" s="329"/>
      <c r="G21" s="329"/>
      <c r="H21" s="448" t="e">
        <f t="shared" ref="H21:H22" si="2">SUM(I21,L21,O21,R21,U21)</f>
        <v>#REF!</v>
      </c>
      <c r="I21" s="451" t="e">
        <f>SUMIF(#REF!,$B$21,#REF!)</f>
        <v>#REF!</v>
      </c>
      <c r="J21" s="452"/>
      <c r="K21" s="452"/>
      <c r="L21" s="451" t="e">
        <f>SUMIF(#REF!,$B$21,#REF!)</f>
        <v>#REF!</v>
      </c>
      <c r="M21" s="452"/>
      <c r="N21" s="452"/>
      <c r="O21" s="451" t="e">
        <f>SUMIF(#REF!,$B$21,#REF!)</f>
        <v>#REF!</v>
      </c>
      <c r="P21" s="452"/>
      <c r="Q21" s="452"/>
      <c r="R21" s="451" t="e">
        <f>SUMIF(#REF!,$B$21,#REF!)</f>
        <v>#REF!</v>
      </c>
      <c r="S21" s="452"/>
      <c r="T21" s="452"/>
      <c r="U21" s="451" t="e">
        <f>SUMIF(#REF!,$B$21,#REF!)</f>
        <v>#REF!</v>
      </c>
      <c r="V21" s="451"/>
      <c r="W21" s="453"/>
    </row>
    <row r="22" spans="1:23" s="30" customFormat="1" ht="15">
      <c r="A22" s="410"/>
      <c r="B22" s="380"/>
      <c r="C22" s="329"/>
      <c r="D22" s="384" t="s">
        <v>423</v>
      </c>
      <c r="E22" s="329" t="s">
        <v>424</v>
      </c>
      <c r="F22" s="329"/>
      <c r="G22" s="329"/>
      <c r="H22" s="448" t="e">
        <f t="shared" si="2"/>
        <v>#REF!</v>
      </c>
      <c r="I22" s="451" t="e">
        <f>SUMIF(#REF!,$B$21,#REF!)</f>
        <v>#REF!</v>
      </c>
      <c r="J22" s="452"/>
      <c r="K22" s="452"/>
      <c r="L22" s="451" t="e">
        <f>SUMIF(#REF!,$B$21,#REF!)</f>
        <v>#REF!</v>
      </c>
      <c r="M22" s="452"/>
      <c r="N22" s="452"/>
      <c r="O22" s="451" t="e">
        <f>SUMIF(#REF!,$B$21,#REF!)</f>
        <v>#REF!</v>
      </c>
      <c r="P22" s="452"/>
      <c r="Q22" s="452"/>
      <c r="R22" s="451" t="e">
        <f>SUMIF(#REF!,$B$21,#REF!)</f>
        <v>#REF!</v>
      </c>
      <c r="S22" s="452"/>
      <c r="T22" s="452"/>
      <c r="U22" s="451" t="e">
        <f>SUMIF(#REF!,$B$21,#REF!)</f>
        <v>#REF!</v>
      </c>
      <c r="V22" s="451"/>
      <c r="W22" s="453"/>
    </row>
    <row r="23" spans="1:23" s="30" customFormat="1" ht="15" hidden="1">
      <c r="A23" s="410"/>
      <c r="B23" s="380"/>
      <c r="C23" s="329"/>
      <c r="D23" s="384" t="s">
        <v>378</v>
      </c>
      <c r="E23" s="329" t="s">
        <v>379</v>
      </c>
      <c r="F23" s="329"/>
      <c r="G23" s="329"/>
      <c r="H23" s="448" t="e">
        <f>SUM(I23,L23,O23,R23,U23,#REF!,#REF!,#REF!,#REF!,#REF!)</f>
        <v>#REF!</v>
      </c>
      <c r="I23" s="451"/>
      <c r="J23" s="452"/>
      <c r="K23" s="452"/>
      <c r="L23" s="451"/>
      <c r="M23" s="452"/>
      <c r="N23" s="452"/>
      <c r="O23" s="451"/>
      <c r="P23" s="452"/>
      <c r="Q23" s="452"/>
      <c r="R23" s="451"/>
      <c r="S23" s="452"/>
      <c r="T23" s="452"/>
      <c r="U23" s="451"/>
      <c r="V23" s="451"/>
      <c r="W23" s="453"/>
    </row>
    <row r="24" spans="1:23" s="30" customFormat="1" ht="15" hidden="1">
      <c r="A24" s="410"/>
      <c r="B24" s="380"/>
      <c r="C24" s="329"/>
      <c r="D24" s="384" t="s">
        <v>380</v>
      </c>
      <c r="E24" s="329" t="s">
        <v>381</v>
      </c>
      <c r="F24" s="329"/>
      <c r="G24" s="329"/>
      <c r="H24" s="448" t="e">
        <f>SUM(I24,L24,O24,R24,U24,#REF!,#REF!,#REF!,#REF!,#REF!)</f>
        <v>#REF!</v>
      </c>
      <c r="I24" s="451"/>
      <c r="J24" s="452"/>
      <c r="K24" s="452"/>
      <c r="L24" s="451"/>
      <c r="M24" s="452"/>
      <c r="N24" s="452"/>
      <c r="O24" s="451"/>
      <c r="P24" s="452"/>
      <c r="Q24" s="452"/>
      <c r="R24" s="451"/>
      <c r="S24" s="452"/>
      <c r="T24" s="452"/>
      <c r="U24" s="451"/>
      <c r="V24" s="451"/>
      <c r="W24" s="453"/>
    </row>
    <row r="25" spans="1:23" s="30" customFormat="1" ht="15" hidden="1">
      <c r="A25" s="410"/>
      <c r="B25" s="380"/>
      <c r="C25" s="329"/>
      <c r="D25" s="384" t="s">
        <v>382</v>
      </c>
      <c r="E25" s="329" t="s">
        <v>383</v>
      </c>
      <c r="F25" s="329"/>
      <c r="G25" s="329"/>
      <c r="H25" s="448" t="e">
        <f>SUM(I25,L25,O25,R25,U25,#REF!,#REF!,#REF!,#REF!,#REF!)</f>
        <v>#REF!</v>
      </c>
      <c r="I25" s="451"/>
      <c r="J25" s="452"/>
      <c r="K25" s="452"/>
      <c r="L25" s="451"/>
      <c r="M25" s="452"/>
      <c r="N25" s="452"/>
      <c r="O25" s="451"/>
      <c r="P25" s="452"/>
      <c r="Q25" s="452"/>
      <c r="R25" s="451"/>
      <c r="S25" s="452"/>
      <c r="T25" s="452"/>
      <c r="U25" s="451"/>
      <c r="V25" s="451"/>
      <c r="W25" s="453"/>
    </row>
    <row r="26" spans="1:23" s="30" customFormat="1" ht="15" hidden="1">
      <c r="A26" s="410"/>
      <c r="B26" s="380"/>
      <c r="C26" s="329"/>
      <c r="D26" s="384" t="s">
        <v>384</v>
      </c>
      <c r="E26" s="329" t="s">
        <v>385</v>
      </c>
      <c r="F26" s="329"/>
      <c r="G26" s="329"/>
      <c r="H26" s="448" t="e">
        <f>SUM(I26,L26,O26,R26,U26,#REF!,#REF!,#REF!,#REF!,#REF!)</f>
        <v>#REF!</v>
      </c>
      <c r="I26" s="451"/>
      <c r="J26" s="452"/>
      <c r="K26" s="452"/>
      <c r="L26" s="451"/>
      <c r="M26" s="452"/>
      <c r="N26" s="452"/>
      <c r="O26" s="451"/>
      <c r="P26" s="452"/>
      <c r="Q26" s="452"/>
      <c r="R26" s="451"/>
      <c r="S26" s="452"/>
      <c r="T26" s="452"/>
      <c r="U26" s="451"/>
      <c r="V26" s="451"/>
      <c r="W26" s="453"/>
    </row>
    <row r="27" spans="1:23" s="30" customFormat="1" ht="15" hidden="1">
      <c r="A27" s="410"/>
      <c r="B27" s="380"/>
      <c r="C27" s="329"/>
      <c r="D27" s="384" t="s">
        <v>386</v>
      </c>
      <c r="E27" s="329" t="s">
        <v>387</v>
      </c>
      <c r="F27" s="329"/>
      <c r="G27" s="329"/>
      <c r="H27" s="448" t="e">
        <f>SUM(I27,L27,O27,R27,U27,#REF!,#REF!,#REF!,#REF!,#REF!)</f>
        <v>#REF!</v>
      </c>
      <c r="I27" s="451"/>
      <c r="J27" s="452"/>
      <c r="K27" s="452"/>
      <c r="L27" s="451"/>
      <c r="M27" s="452"/>
      <c r="N27" s="452"/>
      <c r="O27" s="451"/>
      <c r="P27" s="452"/>
      <c r="Q27" s="452"/>
      <c r="R27" s="451"/>
      <c r="S27" s="452"/>
      <c r="T27" s="452"/>
      <c r="U27" s="451"/>
      <c r="V27" s="451"/>
      <c r="W27" s="453"/>
    </row>
    <row r="28" spans="1:23" s="30" customFormat="1" ht="15">
      <c r="A28" s="410"/>
      <c r="B28" s="380"/>
      <c r="C28" s="329"/>
      <c r="D28" s="384"/>
      <c r="E28" s="329"/>
      <c r="F28" s="329"/>
      <c r="G28" s="329"/>
      <c r="H28" s="448"/>
      <c r="I28" s="451"/>
      <c r="J28" s="452"/>
      <c r="K28" s="452"/>
      <c r="L28" s="451"/>
      <c r="M28" s="452"/>
      <c r="N28" s="452"/>
      <c r="O28" s="451"/>
      <c r="P28" s="452"/>
      <c r="Q28" s="452"/>
      <c r="R28" s="451"/>
      <c r="S28" s="452"/>
      <c r="T28" s="452"/>
      <c r="U28" s="451"/>
      <c r="V28" s="451"/>
      <c r="W28" s="453"/>
    </row>
    <row r="29" spans="1:23" s="30" customFormat="1" ht="15">
      <c r="A29" s="410" t="s">
        <v>90</v>
      </c>
      <c r="B29" s="380" t="s">
        <v>388</v>
      </c>
      <c r="C29" s="329" t="s">
        <v>90</v>
      </c>
      <c r="D29" s="329"/>
      <c r="E29" s="329"/>
      <c r="F29" s="329"/>
      <c r="G29" s="329"/>
      <c r="H29" s="448" t="e">
        <f>SUM(I29,L29,O29,R29,U29)</f>
        <v>#REF!</v>
      </c>
      <c r="I29" s="451" t="e">
        <f>SUMIF(#REF!,$B$29,#REF!)</f>
        <v>#REF!</v>
      </c>
      <c r="J29" s="452"/>
      <c r="K29" s="452"/>
      <c r="L29" s="451" t="e">
        <f>SUMIF(#REF!,$B$29,#REF!)</f>
        <v>#REF!</v>
      </c>
      <c r="M29" s="452"/>
      <c r="N29" s="452"/>
      <c r="O29" s="451" t="e">
        <f>SUMIF(#REF!,$B$29,#REF!)</f>
        <v>#REF!</v>
      </c>
      <c r="P29" s="452"/>
      <c r="Q29" s="452"/>
      <c r="R29" s="451" t="e">
        <f>SUMIF(#REF!,$B$29,#REF!)</f>
        <v>#REF!</v>
      </c>
      <c r="S29" s="452"/>
      <c r="T29" s="452"/>
      <c r="U29" s="451" t="e">
        <f>SUMIF(#REF!,$B$29,#REF!)</f>
        <v>#REF!</v>
      </c>
      <c r="V29" s="451"/>
      <c r="W29" s="453"/>
    </row>
    <row r="30" spans="1:23" s="30" customFormat="1" ht="15">
      <c r="A30" s="410"/>
      <c r="B30" s="380"/>
      <c r="C30" s="329"/>
      <c r="D30" s="384"/>
      <c r="E30" s="329"/>
      <c r="F30" s="329"/>
      <c r="G30" s="329"/>
      <c r="H30" s="448"/>
      <c r="I30" s="451"/>
      <c r="J30" s="452"/>
      <c r="K30" s="452"/>
      <c r="L30" s="451"/>
      <c r="M30" s="452"/>
      <c r="N30" s="452"/>
      <c r="O30" s="451"/>
      <c r="P30" s="452"/>
      <c r="Q30" s="452"/>
      <c r="R30" s="451"/>
      <c r="S30" s="452"/>
      <c r="T30" s="452"/>
      <c r="U30" s="451"/>
      <c r="V30" s="451"/>
      <c r="W30" s="453"/>
    </row>
    <row r="31" spans="1:23" s="30" customFormat="1" ht="15">
      <c r="A31" s="410" t="s">
        <v>103</v>
      </c>
      <c r="B31" s="380" t="s">
        <v>389</v>
      </c>
      <c r="C31" s="329" t="s">
        <v>390</v>
      </c>
      <c r="D31" s="329"/>
      <c r="E31" s="329"/>
      <c r="F31" s="329"/>
      <c r="G31" s="329"/>
      <c r="H31" s="448" t="e">
        <f t="shared" ref="H31:H34" si="3">SUM(I31,L31,O31,R31,U31)</f>
        <v>#REF!</v>
      </c>
      <c r="I31" s="451" t="e">
        <f>SUMIF(#REF!,$B$31,#REF!)</f>
        <v>#REF!</v>
      </c>
      <c r="J31" s="452"/>
      <c r="K31" s="452"/>
      <c r="L31" s="451" t="e">
        <f>SUMIF(#REF!,$B$31,#REF!)</f>
        <v>#REF!</v>
      </c>
      <c r="M31" s="452"/>
      <c r="N31" s="452"/>
      <c r="O31" s="451" t="e">
        <f>SUMIF(#REF!,$B$31,#REF!)</f>
        <v>#REF!</v>
      </c>
      <c r="P31" s="452"/>
      <c r="Q31" s="452"/>
      <c r="R31" s="451" t="e">
        <f>SUMIF(#REF!,$B$31,#REF!)</f>
        <v>#REF!</v>
      </c>
      <c r="S31" s="452"/>
      <c r="T31" s="452"/>
      <c r="U31" s="451" t="e">
        <f>SUMIF(#REF!,$B$31,#REF!)</f>
        <v>#REF!</v>
      </c>
      <c r="V31" s="451"/>
      <c r="W31" s="453"/>
    </row>
    <row r="32" spans="1:23" s="30" customFormat="1" ht="15">
      <c r="A32" s="410"/>
      <c r="B32" s="380" t="s">
        <v>391</v>
      </c>
      <c r="C32" s="329" t="s">
        <v>392</v>
      </c>
      <c r="D32" s="329"/>
      <c r="E32" s="329"/>
      <c r="F32" s="329"/>
      <c r="G32" s="329"/>
      <c r="H32" s="448" t="e">
        <f t="shared" si="3"/>
        <v>#REF!</v>
      </c>
      <c r="I32" s="451" t="e">
        <f>SUMIF(#REF!,$B$32,#REF!)</f>
        <v>#REF!</v>
      </c>
      <c r="J32" s="452"/>
      <c r="K32" s="452"/>
      <c r="L32" s="451" t="e">
        <f>SUMIF(#REF!,$B$32,#REF!)</f>
        <v>#REF!</v>
      </c>
      <c r="M32" s="452"/>
      <c r="N32" s="452"/>
      <c r="O32" s="451" t="e">
        <f>SUMIF(#REF!,$B$32,#REF!)</f>
        <v>#REF!</v>
      </c>
      <c r="P32" s="452"/>
      <c r="Q32" s="452"/>
      <c r="R32" s="451" t="e">
        <f>SUMIF(#REF!,$B$32,#REF!)</f>
        <v>#REF!</v>
      </c>
      <c r="S32" s="452"/>
      <c r="T32" s="452"/>
      <c r="U32" s="451" t="e">
        <f>SUMIF(#REF!,$B$32,#REF!)</f>
        <v>#REF!</v>
      </c>
      <c r="V32" s="451"/>
      <c r="W32" s="453"/>
    </row>
    <row r="33" spans="1:33" s="30" customFormat="1" ht="15">
      <c r="A33" s="410"/>
      <c r="B33" s="380" t="s">
        <v>393</v>
      </c>
      <c r="C33" s="329" t="s">
        <v>394</v>
      </c>
      <c r="D33" s="329"/>
      <c r="E33" s="329"/>
      <c r="F33" s="329"/>
      <c r="G33" s="329"/>
      <c r="H33" s="448" t="e">
        <f t="shared" si="3"/>
        <v>#REF!</v>
      </c>
      <c r="I33" s="451" t="e">
        <f>SUMIF(#REF!,$B$33,#REF!)</f>
        <v>#REF!</v>
      </c>
      <c r="J33" s="452"/>
      <c r="K33" s="452"/>
      <c r="L33" s="451" t="e">
        <f>SUMIF(#REF!,$B$33,#REF!)</f>
        <v>#REF!</v>
      </c>
      <c r="M33" s="452"/>
      <c r="N33" s="452"/>
      <c r="O33" s="451" t="e">
        <f>SUMIF(#REF!,$B$33,#REF!)</f>
        <v>#REF!</v>
      </c>
      <c r="P33" s="452"/>
      <c r="Q33" s="452"/>
      <c r="R33" s="451" t="e">
        <f>SUMIF(#REF!,$B$33,#REF!)</f>
        <v>#REF!</v>
      </c>
      <c r="S33" s="452"/>
      <c r="T33" s="452"/>
      <c r="U33" s="451" t="e">
        <f>SUMIF(#REF!,$B$33,#REF!)</f>
        <v>#REF!</v>
      </c>
      <c r="V33" s="451"/>
      <c r="W33" s="453"/>
    </row>
    <row r="34" spans="1:33" s="30" customFormat="1" ht="15">
      <c r="A34" s="31"/>
      <c r="B34" s="380" t="s">
        <v>395</v>
      </c>
      <c r="C34" s="329" t="s">
        <v>396</v>
      </c>
      <c r="D34" s="329"/>
      <c r="E34" s="329"/>
      <c r="F34" s="329"/>
      <c r="G34" s="329"/>
      <c r="H34" s="448" t="e">
        <f t="shared" si="3"/>
        <v>#REF!</v>
      </c>
      <c r="I34" s="451" t="e">
        <f>SUMIF(#REF!,$B$34,#REF!)</f>
        <v>#REF!</v>
      </c>
      <c r="J34" s="452"/>
      <c r="K34" s="452"/>
      <c r="L34" s="451" t="e">
        <f>SUMIF(#REF!,$B$34,#REF!)</f>
        <v>#REF!</v>
      </c>
      <c r="M34" s="452"/>
      <c r="N34" s="452"/>
      <c r="O34" s="451" t="e">
        <f>SUMIF(#REF!,$B$34,#REF!)</f>
        <v>#REF!</v>
      </c>
      <c r="P34" s="452"/>
      <c r="Q34" s="452"/>
      <c r="R34" s="451" t="e">
        <f>SUMIF(#REF!,$B$34,#REF!)</f>
        <v>#REF!</v>
      </c>
      <c r="S34" s="452"/>
      <c r="T34" s="452"/>
      <c r="U34" s="451" t="e">
        <f>SUMIF(#REF!,$B$34,#REF!)</f>
        <v>#REF!</v>
      </c>
      <c r="V34" s="451"/>
      <c r="W34" s="453"/>
    </row>
    <row r="35" spans="1:33" s="30" customFormat="1" ht="15">
      <c r="A35" s="410"/>
      <c r="B35" s="380"/>
      <c r="C35" s="329"/>
      <c r="D35" s="384"/>
      <c r="E35" s="329"/>
      <c r="F35" s="329"/>
      <c r="G35" s="329"/>
      <c r="H35" s="448"/>
      <c r="I35" s="451"/>
      <c r="J35" s="452"/>
      <c r="K35" s="452"/>
      <c r="L35" s="451"/>
      <c r="M35" s="452"/>
      <c r="N35" s="452"/>
      <c r="O35" s="451"/>
      <c r="P35" s="452"/>
      <c r="Q35" s="452"/>
      <c r="R35" s="451"/>
      <c r="S35" s="452"/>
      <c r="T35" s="452"/>
      <c r="U35" s="451"/>
      <c r="V35" s="451"/>
      <c r="W35" s="453"/>
    </row>
    <row r="36" spans="1:33" s="30" customFormat="1" ht="15">
      <c r="A36" s="410" t="s">
        <v>397</v>
      </c>
      <c r="B36" s="380" t="s">
        <v>398</v>
      </c>
      <c r="C36" s="329" t="s">
        <v>399</v>
      </c>
      <c r="D36" s="329"/>
      <c r="E36" s="329"/>
      <c r="F36" s="329"/>
      <c r="G36" s="329"/>
      <c r="H36" s="448" t="e">
        <f t="shared" ref="H36:H39" si="4">SUM(I36,L36,O36,R36,U36)</f>
        <v>#REF!</v>
      </c>
      <c r="I36" s="451" t="e">
        <f>SUMIF(#REF!,$B$36,#REF!)</f>
        <v>#REF!</v>
      </c>
      <c r="J36" s="452"/>
      <c r="K36" s="452"/>
      <c r="L36" s="451" t="e">
        <f>SUMIF(#REF!,$B$36,#REF!)</f>
        <v>#REF!</v>
      </c>
      <c r="M36" s="452"/>
      <c r="N36" s="452"/>
      <c r="O36" s="451" t="e">
        <f>SUMIF(#REF!,$B$36,#REF!)</f>
        <v>#REF!</v>
      </c>
      <c r="P36" s="452"/>
      <c r="Q36" s="452"/>
      <c r="R36" s="451" t="e">
        <f>SUMIF(#REF!,$B$36,#REF!)</f>
        <v>#REF!</v>
      </c>
      <c r="S36" s="452"/>
      <c r="T36" s="452"/>
      <c r="U36" s="451" t="e">
        <f>SUMIF(#REF!,$B$36,#REF!)</f>
        <v>#REF!</v>
      </c>
      <c r="V36" s="451"/>
      <c r="W36" s="453"/>
    </row>
    <row r="37" spans="1:33" s="30" customFormat="1" ht="15">
      <c r="A37" s="31"/>
      <c r="B37" s="380" t="s">
        <v>400</v>
      </c>
      <c r="C37" s="329" t="s">
        <v>401</v>
      </c>
      <c r="D37" s="329"/>
      <c r="E37" s="329"/>
      <c r="F37" s="329"/>
      <c r="G37" s="329"/>
      <c r="H37" s="448" t="e">
        <f t="shared" si="4"/>
        <v>#REF!</v>
      </c>
      <c r="I37" s="451" t="e">
        <f>SUMIF(#REF!,$B$37,#REF!)</f>
        <v>#REF!</v>
      </c>
      <c r="J37" s="452"/>
      <c r="K37" s="452"/>
      <c r="L37" s="451" t="e">
        <f>SUMIF(#REF!,$B$37,#REF!)</f>
        <v>#REF!</v>
      </c>
      <c r="M37" s="452"/>
      <c r="N37" s="452"/>
      <c r="O37" s="451" t="e">
        <f>SUMIF(#REF!,$B$37,#REF!)</f>
        <v>#REF!</v>
      </c>
      <c r="P37" s="452"/>
      <c r="Q37" s="452"/>
      <c r="R37" s="451" t="e">
        <f>SUMIF(#REF!,$B$37,#REF!)</f>
        <v>#REF!</v>
      </c>
      <c r="S37" s="452"/>
      <c r="T37" s="452"/>
      <c r="U37" s="451" t="e">
        <f>SUMIF(#REF!,$B$37,#REF!)</f>
        <v>#REF!</v>
      </c>
      <c r="V37" s="451"/>
      <c r="W37" s="453"/>
    </row>
    <row r="38" spans="1:33" s="30" customFormat="1" ht="15">
      <c r="A38" s="31"/>
      <c r="B38" s="380" t="s">
        <v>402</v>
      </c>
      <c r="C38" s="329" t="s">
        <v>403</v>
      </c>
      <c r="D38" s="329"/>
      <c r="E38" s="329"/>
      <c r="F38" s="329"/>
      <c r="G38" s="329"/>
      <c r="H38" s="448" t="e">
        <f t="shared" si="4"/>
        <v>#REF!</v>
      </c>
      <c r="I38" s="451" t="e">
        <f>SUMIF(#REF!,$B$38,#REF!)</f>
        <v>#REF!</v>
      </c>
      <c r="J38" s="452"/>
      <c r="K38" s="452"/>
      <c r="L38" s="451" t="e">
        <f>SUMIF(#REF!,$B$38,#REF!)</f>
        <v>#REF!</v>
      </c>
      <c r="M38" s="452"/>
      <c r="N38" s="452"/>
      <c r="O38" s="451" t="e">
        <f>SUMIF(#REF!,$B$38,#REF!)</f>
        <v>#REF!</v>
      </c>
      <c r="P38" s="452"/>
      <c r="Q38" s="452"/>
      <c r="R38" s="451" t="e">
        <f>SUMIF(#REF!,$B$38,#REF!)</f>
        <v>#REF!</v>
      </c>
      <c r="S38" s="452"/>
      <c r="T38" s="452"/>
      <c r="U38" s="451" t="e">
        <f>SUMIF(#REF!,$B$38,#REF!)</f>
        <v>#REF!</v>
      </c>
      <c r="V38" s="451"/>
      <c r="W38" s="453"/>
    </row>
    <row r="39" spans="1:33" s="30" customFormat="1" ht="15">
      <c r="A39" s="31"/>
      <c r="B39" s="380" t="s">
        <v>404</v>
      </c>
      <c r="C39" s="329" t="s">
        <v>405</v>
      </c>
      <c r="D39" s="329"/>
      <c r="E39" s="329"/>
      <c r="F39" s="329"/>
      <c r="G39" s="329"/>
      <c r="H39" s="448" t="e">
        <f t="shared" si="4"/>
        <v>#REF!</v>
      </c>
      <c r="I39" s="451" t="e">
        <f>SUMIF(#REF!,$B$39,#REF!)</f>
        <v>#REF!</v>
      </c>
      <c r="J39" s="452"/>
      <c r="K39" s="452"/>
      <c r="L39" s="451" t="e">
        <f>SUMIF(#REF!,$B$39,#REF!)</f>
        <v>#REF!</v>
      </c>
      <c r="M39" s="452"/>
      <c r="N39" s="452"/>
      <c r="O39" s="451" t="e">
        <f>SUMIF(#REF!,$B$39,#REF!)</f>
        <v>#REF!</v>
      </c>
      <c r="P39" s="452"/>
      <c r="Q39" s="452"/>
      <c r="R39" s="451" t="e">
        <f>SUMIF(#REF!,$B$39,#REF!)</f>
        <v>#REF!</v>
      </c>
      <c r="S39" s="452"/>
      <c r="T39" s="452"/>
      <c r="U39" s="451" t="e">
        <f>SUMIF(#REF!,$B$39,#REF!)</f>
        <v>#REF!</v>
      </c>
      <c r="V39" s="451"/>
      <c r="W39" s="453"/>
    </row>
    <row r="40" spans="1:33" s="30" customFormat="1" ht="15">
      <c r="A40" s="31"/>
      <c r="B40" s="380"/>
      <c r="C40" s="329"/>
      <c r="D40" s="329"/>
      <c r="E40" s="329"/>
      <c r="F40" s="329"/>
      <c r="G40" s="329"/>
      <c r="H40" s="448"/>
      <c r="I40" s="451"/>
      <c r="J40" s="452"/>
      <c r="K40" s="452"/>
      <c r="L40" s="451"/>
      <c r="M40" s="452"/>
      <c r="N40" s="452"/>
      <c r="O40" s="451"/>
      <c r="P40" s="452"/>
      <c r="Q40" s="452"/>
      <c r="R40" s="451"/>
      <c r="S40" s="452"/>
      <c r="T40" s="452"/>
      <c r="U40" s="451"/>
      <c r="V40" s="451"/>
      <c r="W40" s="453"/>
    </row>
    <row r="41" spans="1:33" s="30" customFormat="1" ht="15">
      <c r="A41" s="31"/>
      <c r="B41" s="368" t="s">
        <v>312</v>
      </c>
      <c r="C41" s="329"/>
      <c r="D41" s="329"/>
      <c r="E41" s="329"/>
      <c r="F41" s="329"/>
      <c r="G41" s="329"/>
      <c r="H41" s="448" t="e">
        <f>SUM(I41,L41,O41,R41,U41)</f>
        <v>#REF!</v>
      </c>
      <c r="I41" s="451" t="e">
        <f>SUM(L13:L40)</f>
        <v>#REF!</v>
      </c>
      <c r="J41" s="452"/>
      <c r="K41" s="452"/>
      <c r="L41" s="451" t="e">
        <f>SUM(O13:O40)</f>
        <v>#REF!</v>
      </c>
      <c r="M41" s="452"/>
      <c r="N41" s="452"/>
      <c r="O41" s="451" t="e">
        <f>SUM(R13:R40)</f>
        <v>#REF!</v>
      </c>
      <c r="P41" s="452"/>
      <c r="Q41" s="452"/>
      <c r="R41" s="451" t="e">
        <f>SUM(U13:U40)</f>
        <v>#REF!</v>
      </c>
      <c r="S41" s="452"/>
      <c r="T41" s="452"/>
      <c r="U41" s="451">
        <f>SUM(X13:X40)</f>
        <v>0</v>
      </c>
      <c r="V41" s="451"/>
      <c r="W41" s="453"/>
    </row>
    <row r="42" spans="1:33" s="30" customFormat="1" ht="15">
      <c r="A42" s="31"/>
      <c r="B42" s="367"/>
      <c r="C42" s="329"/>
      <c r="D42" s="329"/>
      <c r="E42" s="329"/>
      <c r="F42" s="329"/>
      <c r="G42" s="329"/>
      <c r="H42" s="448"/>
      <c r="I42" s="451"/>
      <c r="J42" s="452"/>
      <c r="K42" s="452"/>
      <c r="L42" s="451"/>
      <c r="M42" s="452"/>
      <c r="N42" s="452"/>
      <c r="O42" s="451"/>
      <c r="P42" s="452"/>
      <c r="Q42" s="452"/>
      <c r="R42" s="451"/>
      <c r="S42" s="452"/>
      <c r="T42" s="452"/>
      <c r="U42" s="451"/>
      <c r="V42" s="451"/>
      <c r="W42" s="453"/>
    </row>
    <row r="43" spans="1:33" s="30" customFormat="1" ht="15">
      <c r="A43" s="31"/>
      <c r="B43" s="380" t="s">
        <v>406</v>
      </c>
      <c r="C43" s="329" t="s">
        <v>407</v>
      </c>
      <c r="D43" s="329"/>
      <c r="E43" s="329"/>
      <c r="F43" s="329"/>
      <c r="G43" s="329"/>
      <c r="H43" s="448" t="e">
        <f>SUM(I43,L43,O43,R43,U43)</f>
        <v>#REF!</v>
      </c>
      <c r="I43" s="451" t="e">
        <f>SUMIF(#REF!,$B$43,#REF!)</f>
        <v>#REF!</v>
      </c>
      <c r="J43" s="452"/>
      <c r="K43" s="452"/>
      <c r="L43" s="451" t="e">
        <f>SUMIF(#REF!,$B$43,#REF!)</f>
        <v>#REF!</v>
      </c>
      <c r="M43" s="452"/>
      <c r="N43" s="452"/>
      <c r="O43" s="451" t="e">
        <f>SUMIF(#REF!,$B$43,#REF!)</f>
        <v>#REF!</v>
      </c>
      <c r="P43" s="452"/>
      <c r="Q43" s="452"/>
      <c r="R43" s="451" t="e">
        <f>SUMIF(#REF!,$B$43,#REF!)</f>
        <v>#REF!</v>
      </c>
      <c r="S43" s="452"/>
      <c r="T43" s="452"/>
      <c r="U43" s="451" t="e">
        <f>SUMIF(#REF!,$B$43,#REF!)</f>
        <v>#REF!</v>
      </c>
      <c r="V43" s="451"/>
      <c r="W43" s="453"/>
    </row>
    <row r="44" spans="1:33" s="30" customFormat="1" ht="15">
      <c r="A44" s="31"/>
      <c r="B44" s="367"/>
      <c r="C44" s="382"/>
      <c r="D44" s="329"/>
      <c r="E44" s="329"/>
      <c r="F44" s="329"/>
      <c r="G44" s="329"/>
      <c r="H44" s="448"/>
      <c r="I44" s="451"/>
      <c r="J44" s="452"/>
      <c r="K44" s="452"/>
      <c r="L44" s="451"/>
      <c r="M44" s="452"/>
      <c r="N44" s="452"/>
      <c r="O44" s="451"/>
      <c r="P44" s="452"/>
      <c r="Q44" s="452"/>
      <c r="R44" s="451"/>
      <c r="S44" s="452"/>
      <c r="T44" s="452"/>
      <c r="U44" s="451"/>
      <c r="V44" s="451"/>
      <c r="W44" s="453"/>
    </row>
    <row r="45" spans="1:33" s="30" customFormat="1" ht="15">
      <c r="A45" s="31"/>
      <c r="B45" s="380" t="s">
        <v>408</v>
      </c>
      <c r="C45" s="329" t="s">
        <v>409</v>
      </c>
      <c r="D45" s="329"/>
      <c r="E45" s="329"/>
      <c r="F45" s="329"/>
      <c r="G45" s="329"/>
      <c r="H45" s="448" t="e">
        <f>SUM(I45,L45,O45,R45,U45)</f>
        <v>#REF!</v>
      </c>
      <c r="I45" s="451" t="e">
        <f>SUMIF(#REF!,$B$45,#REF!)</f>
        <v>#REF!</v>
      </c>
      <c r="J45" s="452"/>
      <c r="K45" s="452"/>
      <c r="L45" s="451" t="e">
        <f>SUMIF(#REF!,$B$45,#REF!)</f>
        <v>#REF!</v>
      </c>
      <c r="M45" s="452"/>
      <c r="N45" s="452"/>
      <c r="O45" s="451" t="e">
        <f>SUMIF(#REF!,$B$45,#REF!)</f>
        <v>#REF!</v>
      </c>
      <c r="P45" s="452"/>
      <c r="Q45" s="452"/>
      <c r="R45" s="451" t="e">
        <f>SUMIF(#REF!,$B$45,#REF!)</f>
        <v>#REF!</v>
      </c>
      <c r="S45" s="452"/>
      <c r="T45" s="452"/>
      <c r="U45" s="451" t="e">
        <f>SUMIF(#REF!,$B$45,#REF!)</f>
        <v>#REF!</v>
      </c>
      <c r="V45" s="451"/>
      <c r="W45" s="453"/>
    </row>
    <row r="46" spans="1:33" s="30" customFormat="1" ht="15.3" thickBot="1">
      <c r="A46" s="31"/>
      <c r="B46" s="369"/>
      <c r="C46" s="383"/>
      <c r="D46" s="331"/>
      <c r="E46" s="331"/>
      <c r="F46" s="331"/>
      <c r="G46" s="331"/>
      <c r="H46" s="448"/>
      <c r="I46" s="365"/>
      <c r="J46" s="331"/>
      <c r="K46" s="331"/>
      <c r="L46" s="365"/>
      <c r="M46" s="331"/>
      <c r="N46" s="331"/>
      <c r="O46" s="365"/>
      <c r="P46" s="331"/>
      <c r="Q46" s="331"/>
      <c r="R46" s="365"/>
      <c r="S46" s="331"/>
      <c r="T46" s="331"/>
      <c r="U46" s="365"/>
      <c r="V46" s="365"/>
      <c r="W46" s="332"/>
    </row>
    <row r="47" spans="1:33" s="30" customFormat="1" ht="15.3" thickBot="1">
      <c r="A47" s="31"/>
      <c r="B47" s="413" t="s">
        <v>307</v>
      </c>
      <c r="C47" s="414"/>
      <c r="D47" s="327"/>
      <c r="E47" s="327"/>
      <c r="F47" s="327"/>
      <c r="G47" s="327"/>
      <c r="H47" s="412" t="e">
        <f>SUM(H41:H46)</f>
        <v>#REF!</v>
      </c>
      <c r="I47" s="412" t="e">
        <f>SUM(I41:I46)</f>
        <v>#REF!</v>
      </c>
      <c r="J47" s="327"/>
      <c r="K47" s="327"/>
      <c r="L47" s="412" t="e">
        <f>SUM(L41:L46)</f>
        <v>#REF!</v>
      </c>
      <c r="M47" s="327"/>
      <c r="N47" s="327"/>
      <c r="O47" s="412" t="e">
        <f>SUM(O41:O46)</f>
        <v>#REF!</v>
      </c>
      <c r="P47" s="327"/>
      <c r="Q47" s="327"/>
      <c r="R47" s="412" t="e">
        <f>SUM(R41:R46)</f>
        <v>#REF!</v>
      </c>
      <c r="S47" s="327"/>
      <c r="T47" s="327"/>
      <c r="U47" s="412" t="e">
        <f>SUM(U41:U46)</f>
        <v>#REF!</v>
      </c>
      <c r="V47" s="412"/>
      <c r="W47" s="328"/>
    </row>
    <row r="48" spans="1:33" s="14" customFormat="1">
      <c r="A48" s="29"/>
      <c r="B48" s="9"/>
      <c r="C48" s="9"/>
      <c r="D48" s="30"/>
      <c r="E48" s="9"/>
      <c r="F48" s="9"/>
      <c r="G48" s="9"/>
      <c r="H48" s="9"/>
      <c r="I48" s="9"/>
      <c r="J48" s="9"/>
      <c r="K48" s="9"/>
      <c r="L48" s="9"/>
      <c r="M48" s="9"/>
      <c r="N48" s="9"/>
      <c r="O48" s="9"/>
      <c r="P48" s="9"/>
      <c r="Q48" s="9"/>
      <c r="R48" s="9"/>
      <c r="S48" s="9"/>
      <c r="T48" s="9"/>
      <c r="U48" s="9"/>
      <c r="V48" s="9"/>
      <c r="W48" s="9"/>
      <c r="X48" s="9"/>
      <c r="Y48" s="9"/>
      <c r="AA48" s="5"/>
      <c r="AB48" s="9"/>
      <c r="AC48" s="9"/>
      <c r="AD48" s="9"/>
      <c r="AE48" s="9"/>
      <c r="AF48" s="9"/>
      <c r="AG48" s="9"/>
    </row>
    <row r="49" spans="1:33" s="14" customFormat="1">
      <c r="A49" s="31"/>
      <c r="B49" s="9" t="s">
        <v>410</v>
      </c>
      <c r="C49" s="9"/>
      <c r="D49" s="30"/>
      <c r="E49" s="9"/>
      <c r="F49" s="9"/>
      <c r="G49" s="9"/>
      <c r="H49" s="9"/>
      <c r="I49" s="174" t="e">
        <f>SUM(#REF!,#REF!,#REF!)</f>
        <v>#REF!</v>
      </c>
      <c r="J49" s="9"/>
      <c r="K49" s="9"/>
      <c r="L49" s="174" t="e">
        <f>SUM(#REF!,#REF!,#REF!)</f>
        <v>#REF!</v>
      </c>
      <c r="M49" s="9"/>
      <c r="N49" s="9"/>
      <c r="O49" s="174" t="e">
        <f>SUM(#REF!,#REF!,#REF!)</f>
        <v>#REF!</v>
      </c>
      <c r="P49" s="9"/>
      <c r="Q49" s="9"/>
      <c r="R49" s="174" t="e">
        <f>SUM(#REF!,#REF!,#REF!)</f>
        <v>#REF!</v>
      </c>
      <c r="S49" s="9"/>
      <c r="T49" s="9"/>
      <c r="U49" s="174" t="e">
        <f>SUM(#REF!,#REF!,#REF!)</f>
        <v>#REF!</v>
      </c>
      <c r="V49" s="174"/>
      <c r="W49" s="9"/>
      <c r="X49" s="9"/>
      <c r="Y49" s="9"/>
      <c r="AA49" s="5"/>
      <c r="AB49" s="9"/>
      <c r="AC49" s="9"/>
      <c r="AD49" s="9"/>
      <c r="AE49" s="9"/>
      <c r="AF49" s="9"/>
      <c r="AG49" s="9"/>
    </row>
    <row r="50" spans="1:33" s="14" customFormat="1">
      <c r="A50" s="29"/>
      <c r="B50" s="9"/>
      <c r="C50" s="9"/>
      <c r="D50" s="30"/>
      <c r="E50" s="9"/>
      <c r="F50" s="9"/>
      <c r="G50" s="9"/>
      <c r="H50" s="9"/>
      <c r="I50" s="9"/>
      <c r="J50" s="9"/>
      <c r="K50" s="9"/>
      <c r="L50" s="9"/>
      <c r="M50" s="9"/>
      <c r="N50" s="9"/>
      <c r="O50" s="9"/>
      <c r="P50" s="9"/>
      <c r="Q50" s="9"/>
      <c r="R50" s="9"/>
      <c r="S50" s="9"/>
      <c r="T50" s="9"/>
      <c r="U50" s="9"/>
      <c r="V50" s="9"/>
      <c r="W50" s="9"/>
      <c r="X50" s="9"/>
      <c r="Y50" s="9"/>
      <c r="AA50" s="5"/>
      <c r="AB50" s="9"/>
      <c r="AC50" s="9"/>
      <c r="AD50" s="9"/>
      <c r="AE50" s="9"/>
      <c r="AF50" s="9"/>
      <c r="AG50" s="9"/>
    </row>
    <row r="51" spans="1:33" s="14" customFormat="1">
      <c r="A51" s="29"/>
      <c r="B51" s="9"/>
      <c r="C51" s="9"/>
      <c r="D51" s="30"/>
      <c r="E51" s="9"/>
      <c r="F51" s="9"/>
      <c r="G51" s="9"/>
      <c r="H51" s="9"/>
      <c r="I51" s="9"/>
      <c r="J51" s="9"/>
      <c r="K51" s="9"/>
      <c r="L51" s="9"/>
      <c r="M51" s="9"/>
      <c r="N51" s="9"/>
      <c r="O51" s="9"/>
      <c r="P51" s="9"/>
      <c r="Q51" s="9"/>
      <c r="R51" s="9"/>
      <c r="S51" s="9"/>
      <c r="T51" s="9"/>
      <c r="U51" s="9"/>
      <c r="V51" s="9"/>
      <c r="W51" s="9"/>
      <c r="X51" s="9"/>
      <c r="Y51" s="9"/>
      <c r="AA51" s="5"/>
      <c r="AB51" s="9"/>
      <c r="AC51" s="9"/>
      <c r="AD51" s="9"/>
      <c r="AE51" s="9"/>
      <c r="AF51" s="9"/>
      <c r="AG51" s="9"/>
    </row>
    <row r="52" spans="1:33" s="14" customFormat="1">
      <c r="A52" s="29"/>
      <c r="B52" s="9"/>
      <c r="C52" s="9"/>
      <c r="D52" s="30"/>
      <c r="E52" s="9"/>
      <c r="F52" s="9"/>
      <c r="G52" s="9"/>
      <c r="H52" s="9"/>
      <c r="I52" s="9"/>
      <c r="J52" s="9"/>
      <c r="K52" s="9"/>
      <c r="L52" s="9"/>
      <c r="M52" s="9"/>
      <c r="N52" s="9"/>
      <c r="O52" s="9"/>
      <c r="P52" s="9"/>
      <c r="Q52" s="9"/>
      <c r="R52" s="9"/>
      <c r="S52" s="9"/>
      <c r="T52" s="9"/>
      <c r="U52" s="9"/>
      <c r="V52" s="9"/>
      <c r="W52" s="9"/>
      <c r="X52" s="9"/>
      <c r="Y52" s="9"/>
      <c r="AA52" s="5"/>
      <c r="AB52" s="9"/>
      <c r="AC52" s="9"/>
      <c r="AD52" s="9"/>
      <c r="AE52" s="9"/>
      <c r="AF52" s="9"/>
      <c r="AG52" s="9"/>
    </row>
    <row r="53" spans="1:33" s="14" customFormat="1">
      <c r="A53" s="29"/>
      <c r="B53" s="9"/>
      <c r="C53" s="9"/>
      <c r="D53" s="30"/>
      <c r="E53" s="9"/>
      <c r="F53" s="9"/>
      <c r="G53" s="9"/>
      <c r="H53" s="9"/>
      <c r="I53" s="9"/>
      <c r="J53" s="9"/>
      <c r="K53" s="9"/>
      <c r="L53" s="9"/>
      <c r="M53" s="9"/>
      <c r="N53" s="9"/>
      <c r="O53" s="9"/>
      <c r="P53" s="9"/>
      <c r="Q53" s="9"/>
      <c r="R53" s="9"/>
      <c r="S53" s="9"/>
      <c r="T53" s="9"/>
      <c r="U53" s="9"/>
      <c r="V53" s="9"/>
      <c r="W53" s="9"/>
      <c r="X53" s="9"/>
      <c r="Y53" s="9"/>
      <c r="AA53" s="5"/>
      <c r="AB53" s="9"/>
      <c r="AC53" s="9"/>
      <c r="AD53" s="9"/>
      <c r="AE53" s="9"/>
      <c r="AF53" s="9"/>
      <c r="AG53" s="9"/>
    </row>
    <row r="54" spans="1:33" s="14" customFormat="1">
      <c r="A54" s="29"/>
      <c r="B54" s="9"/>
      <c r="C54" s="9"/>
      <c r="D54" s="30"/>
      <c r="E54" s="9"/>
      <c r="F54" s="9"/>
      <c r="G54" s="9"/>
      <c r="H54" s="9"/>
      <c r="I54" s="9"/>
      <c r="J54" s="9"/>
      <c r="K54" s="9"/>
      <c r="L54" s="9"/>
      <c r="M54" s="9"/>
      <c r="N54" s="9"/>
      <c r="O54" s="9"/>
      <c r="P54" s="9"/>
      <c r="Q54" s="9"/>
      <c r="R54" s="9"/>
      <c r="S54" s="9"/>
      <c r="T54" s="9"/>
      <c r="U54" s="9"/>
      <c r="V54" s="9"/>
      <c r="W54" s="9"/>
      <c r="X54" s="9"/>
      <c r="Y54" s="9"/>
      <c r="AA54" s="5"/>
      <c r="AB54" s="9"/>
      <c r="AC54" s="9"/>
      <c r="AD54" s="9"/>
      <c r="AE54" s="9"/>
      <c r="AF54" s="9"/>
      <c r="AG54" s="9"/>
    </row>
    <row r="55" spans="1:33" s="14" customFormat="1">
      <c r="A55" s="29"/>
      <c r="B55" s="9"/>
      <c r="C55" s="9"/>
      <c r="D55" s="30"/>
      <c r="E55" s="9"/>
      <c r="F55" s="9"/>
      <c r="G55" s="9"/>
      <c r="H55" s="9"/>
      <c r="I55" s="9"/>
      <c r="J55" s="9"/>
      <c r="K55" s="9"/>
      <c r="L55" s="9"/>
      <c r="M55" s="9"/>
      <c r="N55" s="9"/>
      <c r="O55" s="9"/>
      <c r="P55" s="9"/>
      <c r="Q55" s="9"/>
      <c r="R55" s="9"/>
      <c r="S55" s="9"/>
      <c r="T55" s="9"/>
      <c r="U55" s="9"/>
      <c r="V55" s="9"/>
      <c r="W55" s="9"/>
      <c r="X55" s="9"/>
      <c r="Y55" s="9"/>
      <c r="AA55" s="5"/>
      <c r="AB55" s="9"/>
      <c r="AC55" s="9"/>
      <c r="AD55" s="9"/>
      <c r="AE55" s="9"/>
      <c r="AF55" s="9"/>
      <c r="AG55" s="9"/>
    </row>
    <row r="56" spans="1:33" s="14" customFormat="1">
      <c r="A56" s="29"/>
      <c r="B56" s="9"/>
      <c r="C56" s="9"/>
      <c r="D56" s="30"/>
      <c r="E56" s="9"/>
      <c r="F56" s="9"/>
      <c r="G56" s="9"/>
      <c r="H56" s="9"/>
      <c r="I56" s="9"/>
      <c r="J56" s="9"/>
      <c r="K56" s="9"/>
      <c r="L56" s="9"/>
      <c r="M56" s="9"/>
      <c r="N56" s="9"/>
      <c r="O56" s="9"/>
      <c r="P56" s="9"/>
      <c r="Q56" s="9"/>
      <c r="R56" s="9"/>
      <c r="S56" s="9"/>
      <c r="T56" s="9"/>
      <c r="U56" s="9"/>
      <c r="V56" s="9"/>
      <c r="W56" s="9"/>
      <c r="X56" s="9"/>
      <c r="Y56" s="9"/>
      <c r="AA56" s="5"/>
      <c r="AB56" s="9"/>
      <c r="AC56" s="9"/>
      <c r="AD56" s="9"/>
      <c r="AE56" s="9"/>
      <c r="AF56" s="9"/>
      <c r="AG56" s="9"/>
    </row>
    <row r="57" spans="1:33" s="14" customFormat="1">
      <c r="A57" s="29"/>
      <c r="B57" s="9"/>
      <c r="C57" s="9"/>
      <c r="D57" s="30"/>
      <c r="E57" s="9"/>
      <c r="F57" s="9"/>
      <c r="G57" s="9"/>
      <c r="H57" s="9"/>
      <c r="I57" s="9"/>
      <c r="J57" s="9"/>
      <c r="K57" s="9"/>
      <c r="L57" s="9"/>
      <c r="M57" s="9"/>
      <c r="N57" s="9"/>
      <c r="O57" s="9"/>
      <c r="P57" s="9"/>
      <c r="Q57" s="9"/>
      <c r="R57" s="9"/>
      <c r="S57" s="9"/>
      <c r="T57" s="9"/>
      <c r="U57" s="9"/>
      <c r="V57" s="9"/>
      <c r="W57" s="9"/>
      <c r="X57" s="9"/>
      <c r="Y57" s="9"/>
      <c r="AA57" s="5"/>
      <c r="AB57" s="9"/>
      <c r="AC57" s="9"/>
      <c r="AD57" s="9"/>
      <c r="AE57" s="9"/>
      <c r="AF57" s="9"/>
      <c r="AG57" s="9"/>
    </row>
    <row r="58" spans="1:33" s="14" customFormat="1">
      <c r="A58" s="29"/>
      <c r="B58" s="9"/>
      <c r="C58" s="9"/>
      <c r="D58" s="30"/>
      <c r="E58" s="9"/>
      <c r="F58" s="9"/>
      <c r="G58" s="9"/>
      <c r="H58" s="9"/>
      <c r="I58" s="9"/>
      <c r="J58" s="9"/>
      <c r="K58" s="9"/>
      <c r="L58" s="9"/>
      <c r="M58" s="9"/>
      <c r="N58" s="9"/>
      <c r="O58" s="9"/>
      <c r="P58" s="9"/>
      <c r="Q58" s="9"/>
      <c r="R58" s="9"/>
      <c r="S58" s="9"/>
      <c r="T58" s="9"/>
      <c r="U58" s="9"/>
      <c r="V58" s="9"/>
      <c r="W58" s="9"/>
      <c r="X58" s="9"/>
      <c r="Y58" s="9"/>
      <c r="AA58" s="5"/>
      <c r="AB58" s="9"/>
      <c r="AC58" s="9"/>
      <c r="AD58" s="9"/>
      <c r="AE58" s="9"/>
      <c r="AF58" s="9"/>
      <c r="AG58" s="9"/>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c r="C60" s="9"/>
      <c r="D60" s="30"/>
      <c r="E60" s="9"/>
      <c r="F60" s="9"/>
      <c r="G60" s="9"/>
      <c r="H60" s="9"/>
      <c r="I60" s="9"/>
      <c r="J60" s="9"/>
      <c r="K60" s="9"/>
      <c r="L60" s="9"/>
      <c r="M60" s="9"/>
      <c r="N60" s="9"/>
      <c r="O60" s="9"/>
      <c r="P60" s="9"/>
      <c r="Q60" s="9"/>
      <c r="R60" s="9"/>
      <c r="S60" s="9"/>
      <c r="T60" s="9"/>
      <c r="U60" s="9"/>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16"/>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16"/>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16"/>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16"/>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16"/>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16"/>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16"/>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16"/>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16"/>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16"/>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16"/>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2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2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2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2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c r="A139" s="29"/>
      <c r="D139" s="16"/>
    </row>
    <row r="140" spans="1:33">
      <c r="A140" s="29"/>
      <c r="D140" s="16"/>
    </row>
  </sheetData>
  <sheetProtection formatColumns="0" formatRows="0" insertRows="0" autoFilter="0"/>
  <pageMargins left="0.5" right="0.5" top="0.5" bottom="0.5" header="0" footer="0.25"/>
  <pageSetup scale="47"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499984740745262"/>
    <pageSetUpPr fitToPage="1"/>
  </sheetPr>
  <dimension ref="A1:AG149"/>
  <sheetViews>
    <sheetView zoomScale="60" zoomScaleNormal="60" zoomScaleSheetLayoutView="70" workbookViewId="0">
      <pane xSplit="7" ySplit="13" topLeftCell="H14" activePane="bottomRight" state="frozen"/>
      <selection pane="topRight" activeCell="B43" sqref="B43"/>
      <selection pane="bottomLeft" activeCell="B43" sqref="B43"/>
      <selection pane="bottomRight" activeCell="B43" sqref="B43"/>
    </sheetView>
  </sheetViews>
  <sheetFormatPr defaultColWidth="9.71875" defaultRowHeight="12.3"/>
  <cols>
    <col min="1" max="1" width="15.44140625" style="19" bestFit="1" customWidth="1"/>
    <col min="2" max="2" width="15.5546875" style="9" customWidth="1"/>
    <col min="3" max="3" width="29" style="9" customWidth="1"/>
    <col min="4" max="4" width="12.27734375" style="13" customWidth="1"/>
    <col min="5" max="5" width="49.27734375" style="9" bestFit="1" customWidth="1"/>
    <col min="6" max="6" width="10.5546875" style="9" hidden="1" customWidth="1"/>
    <col min="7" max="7" width="9.27734375" style="9" hidden="1" customWidth="1"/>
    <col min="8" max="9" width="20.71875" style="9" customWidth="1"/>
    <col min="10" max="11" width="20.71875" style="9" hidden="1" customWidth="1"/>
    <col min="12" max="12" width="20.71875" style="9" customWidth="1"/>
    <col min="13" max="14" width="20.71875" style="9" hidden="1" customWidth="1"/>
    <col min="15" max="15" width="20.71875" style="9" customWidth="1"/>
    <col min="16" max="17" width="20.71875" style="9" hidden="1" customWidth="1"/>
    <col min="18" max="18" width="20.71875" style="9" customWidth="1"/>
    <col min="19" max="20" width="20.71875" style="9" hidden="1" customWidth="1"/>
    <col min="21" max="21" width="20.71875" style="9" customWidth="1"/>
    <col min="22" max="23" width="20.71875" style="9" hidden="1" customWidth="1"/>
    <col min="24" max="24" width="16" style="9" customWidth="1"/>
    <col min="25" max="25" width="15.5546875" style="14" customWidth="1"/>
    <col min="26" max="26" width="13.71875" style="14" customWidth="1"/>
    <col min="27" max="27" width="12.44140625" style="5" bestFit="1" customWidth="1"/>
    <col min="28" max="16384" width="9.71875" style="9"/>
  </cols>
  <sheetData>
    <row r="1" spans="1:27" s="8" customFormat="1" ht="20.100000000000001">
      <c r="A1" s="19"/>
      <c r="C1" s="4"/>
      <c r="D1" s="441" t="s">
        <v>347</v>
      </c>
      <c r="M1" s="9"/>
      <c r="N1" s="10"/>
      <c r="P1" s="24"/>
      <c r="Q1" s="25"/>
      <c r="R1" s="25"/>
      <c r="T1" s="25"/>
      <c r="U1" s="25"/>
      <c r="V1" s="25"/>
      <c r="W1" s="24"/>
      <c r="Z1" s="11"/>
    </row>
    <row r="2" spans="1:27" s="8" customFormat="1" ht="15">
      <c r="A2" s="19"/>
      <c r="C2" s="315"/>
      <c r="D2" s="442" t="str">
        <f>Assumptions!B9</f>
        <v>DONOR:</v>
      </c>
      <c r="E2" s="315" t="str">
        <f>Assumptions!C9</f>
        <v>USDOL</v>
      </c>
      <c r="M2" s="9"/>
      <c r="N2" s="9"/>
      <c r="O2" s="9"/>
      <c r="P2" s="27"/>
      <c r="Q2" s="12"/>
      <c r="R2" s="12"/>
      <c r="T2" s="9"/>
      <c r="V2" s="9"/>
      <c r="Y2" s="11"/>
      <c r="Z2" s="11"/>
      <c r="AA2" s="12"/>
    </row>
    <row r="3" spans="1:27" s="8" customFormat="1" ht="15">
      <c r="A3" s="19"/>
      <c r="C3" s="315"/>
      <c r="D3" s="442" t="str">
        <f>Assumptions!B10</f>
        <v>Country:</v>
      </c>
      <c r="E3" s="315" t="str">
        <f>Assumptions!C10</f>
        <v>Ecuador</v>
      </c>
      <c r="M3" s="9"/>
      <c r="N3" s="9"/>
      <c r="O3" s="9"/>
      <c r="P3" s="27"/>
      <c r="Q3" s="12"/>
      <c r="R3" s="12"/>
      <c r="T3" s="9"/>
      <c r="V3" s="9"/>
      <c r="W3" s="912"/>
      <c r="Y3" s="11"/>
      <c r="Z3" s="11"/>
      <c r="AA3" s="12"/>
    </row>
    <row r="4" spans="1:27" ht="15">
      <c r="C4" s="315"/>
      <c r="D4" s="442" t="str">
        <f>Assumptions!B11</f>
        <v>Program Name:</v>
      </c>
      <c r="E4" s="315" t="str">
        <f>Assumptions!C11</f>
        <v>Project to Improve Adherence to International Labor Standards in the Agricultural Sector in Ecuador</v>
      </c>
      <c r="F4" s="8"/>
      <c r="S4" s="913"/>
      <c r="W4" s="912"/>
    </row>
    <row r="5" spans="1:27" ht="15">
      <c r="C5" s="315"/>
      <c r="D5" s="442" t="str">
        <f>Assumptions!B12</f>
        <v>Grant Number:</v>
      </c>
      <c r="E5" s="315" t="str">
        <f>Assumptions!C12</f>
        <v>FOA-ILAB-23-28</v>
      </c>
      <c r="I5"/>
      <c r="S5" s="913"/>
      <c r="W5" s="912"/>
    </row>
    <row r="6" spans="1:27" ht="15">
      <c r="C6" s="315"/>
      <c r="D6" s="442" t="str">
        <f>Assumptions!B13</f>
        <v>Period of Performance:</v>
      </c>
      <c r="E6" s="463" t="str">
        <f>Assumptions!C13</f>
        <v>48 months</v>
      </c>
      <c r="H6" s="462">
        <f>Assumptions!G13</f>
        <v>0</v>
      </c>
      <c r="S6" s="913"/>
    </row>
    <row r="7" spans="1:27" ht="15">
      <c r="C7" s="315"/>
      <c r="D7" s="315"/>
      <c r="T7" s="5"/>
      <c r="V7" s="5"/>
      <c r="Y7" s="9"/>
      <c r="Z7" s="9"/>
      <c r="AA7" s="9"/>
    </row>
    <row r="8" spans="1:27" ht="20.100000000000001">
      <c r="C8" s="315"/>
      <c r="D8" s="4" t="s">
        <v>425</v>
      </c>
      <c r="T8" s="5"/>
      <c r="V8" s="5"/>
      <c r="Y8" s="9"/>
      <c r="Z8" s="9"/>
      <c r="AA8" s="9"/>
    </row>
    <row r="9" spans="1:27" ht="15">
      <c r="C9" s="315"/>
      <c r="D9" s="315" t="s">
        <v>306</v>
      </c>
      <c r="T9" s="5"/>
      <c r="V9" s="5"/>
      <c r="Y9" s="9"/>
      <c r="Z9" s="9"/>
      <c r="AA9" s="9"/>
    </row>
    <row r="10" spans="1:27" s="105" customFormat="1" ht="20.100000000000001">
      <c r="A10" s="19"/>
      <c r="C10" s="4"/>
      <c r="D10" s="409" t="s">
        <v>426</v>
      </c>
      <c r="E10" s="443"/>
      <c r="F10" s="443"/>
      <c r="G10" s="443"/>
      <c r="H10" s="443"/>
      <c r="I10" s="9"/>
      <c r="J10" s="9"/>
      <c r="K10" s="9"/>
      <c r="L10" s="9"/>
      <c r="M10" s="9"/>
      <c r="N10" s="9"/>
      <c r="O10" s="9"/>
      <c r="P10" s="9"/>
      <c r="Q10" s="9"/>
      <c r="R10" s="9"/>
      <c r="S10" s="9"/>
    </row>
    <row r="11" spans="1:27" s="105" customFormat="1" ht="20.100000000000001">
      <c r="A11" s="19"/>
      <c r="C11" s="4"/>
      <c r="D11" s="443"/>
      <c r="E11" s="429" t="s">
        <v>427</v>
      </c>
      <c r="F11" s="444"/>
      <c r="G11" s="444"/>
      <c r="H11" s="9"/>
      <c r="I11" s="450" t="s">
        <v>428</v>
      </c>
      <c r="J11" s="447"/>
      <c r="K11" s="447"/>
      <c r="L11" s="450" t="s">
        <v>429</v>
      </c>
      <c r="M11" s="447"/>
      <c r="N11" s="447"/>
      <c r="O11" s="450" t="s">
        <v>430</v>
      </c>
      <c r="P11" s="447"/>
      <c r="Q11" s="447"/>
      <c r="R11" s="450" t="s">
        <v>431</v>
      </c>
      <c r="S11" s="447"/>
      <c r="T11" s="447"/>
      <c r="U11" s="450" t="s">
        <v>432</v>
      </c>
      <c r="V11" s="447"/>
      <c r="W11" s="447"/>
    </row>
    <row r="12" spans="1:27" s="30" customFormat="1" ht="15.3" thickBot="1">
      <c r="A12" s="19"/>
      <c r="B12" s="947"/>
      <c r="C12" s="947"/>
      <c r="D12" s="173"/>
      <c r="E12" s="173"/>
      <c r="F12" s="173"/>
      <c r="G12" s="173"/>
      <c r="H12" s="173"/>
      <c r="I12" s="173"/>
      <c r="J12" s="173"/>
      <c r="K12" s="173"/>
      <c r="L12" s="173"/>
      <c r="M12" s="173"/>
      <c r="N12" s="173"/>
      <c r="O12" s="173"/>
      <c r="P12" s="173"/>
      <c r="Q12" s="173"/>
      <c r="R12" s="173"/>
      <c r="S12" s="173"/>
      <c r="T12" s="173"/>
      <c r="U12" s="173"/>
      <c r="V12" s="173"/>
      <c r="W12" s="173"/>
      <c r="X12" s="31"/>
      <c r="Y12" s="31"/>
    </row>
    <row r="13" spans="1:27" s="440" customFormat="1" ht="30.3" thickBot="1">
      <c r="A13" s="445" t="s">
        <v>363</v>
      </c>
      <c r="B13" s="411" t="s">
        <v>364</v>
      </c>
      <c r="C13" s="438" t="s">
        <v>365</v>
      </c>
      <c r="D13" s="446" t="s">
        <v>366</v>
      </c>
      <c r="E13" s="438" t="s">
        <v>365</v>
      </c>
      <c r="F13" s="437"/>
      <c r="G13" s="437"/>
      <c r="H13" s="449" t="s">
        <v>412</v>
      </c>
      <c r="I13" s="418" t="e">
        <f>#REF!</f>
        <v>#REF!</v>
      </c>
      <c r="J13" s="437"/>
      <c r="K13" s="437"/>
      <c r="L13" s="418" t="e">
        <f>#REF!</f>
        <v>#REF!</v>
      </c>
      <c r="M13" s="437"/>
      <c r="N13" s="437"/>
      <c r="O13" s="418" t="e">
        <f>#REF!</f>
        <v>#REF!</v>
      </c>
      <c r="P13" s="437"/>
      <c r="Q13" s="437"/>
      <c r="R13" s="418" t="e">
        <f>#REF!</f>
        <v>#REF!</v>
      </c>
      <c r="S13" s="437"/>
      <c r="T13" s="437"/>
      <c r="U13" s="418" t="e">
        <f>#REF!</f>
        <v>#REF!</v>
      </c>
      <c r="V13" s="437"/>
      <c r="W13" s="438"/>
    </row>
    <row r="14" spans="1:27" s="30" customFormat="1" ht="15">
      <c r="A14" s="31"/>
      <c r="B14" s="373"/>
      <c r="C14" s="371"/>
      <c r="D14" s="371"/>
      <c r="E14" s="361"/>
      <c r="F14" s="361"/>
      <c r="G14" s="361"/>
      <c r="H14" s="361"/>
      <c r="I14" s="370"/>
      <c r="J14" s="370"/>
      <c r="K14" s="370"/>
      <c r="L14" s="370"/>
      <c r="M14" s="370"/>
      <c r="N14" s="370"/>
      <c r="O14" s="370"/>
      <c r="P14" s="370"/>
      <c r="Q14" s="370"/>
      <c r="R14" s="370"/>
      <c r="S14" s="370"/>
      <c r="T14" s="370"/>
      <c r="U14" s="370"/>
      <c r="V14" s="370"/>
      <c r="W14" s="370"/>
    </row>
    <row r="15" spans="1:27" s="30" customFormat="1" ht="15">
      <c r="A15" s="410" t="s">
        <v>23</v>
      </c>
      <c r="B15" s="380" t="s">
        <v>367</v>
      </c>
      <c r="C15" s="384" t="s">
        <v>433</v>
      </c>
      <c r="D15" s="384" t="s">
        <v>434</v>
      </c>
      <c r="E15" s="329" t="s">
        <v>435</v>
      </c>
      <c r="F15" s="329"/>
      <c r="G15" s="329"/>
      <c r="H15" s="448" t="e">
        <f>SUM(I15,L15,O15,R15,U15)</f>
        <v>#REF!</v>
      </c>
      <c r="I15" s="451" t="e">
        <f>SUMIF(#REF!,$D$15,#REF!)</f>
        <v>#REF!</v>
      </c>
      <c r="J15" s="452"/>
      <c r="K15" s="452"/>
      <c r="L15" s="451" t="e">
        <f>SUMIF(#REF!,$D$15,#REF!)</f>
        <v>#REF!</v>
      </c>
      <c r="M15" s="452"/>
      <c r="N15" s="452"/>
      <c r="O15" s="451" t="e">
        <f>SUMIF(#REF!,$D$15,#REF!)</f>
        <v>#REF!</v>
      </c>
      <c r="P15" s="452"/>
      <c r="Q15" s="452"/>
      <c r="R15" s="451" t="e">
        <f>SUMIF(#REF!,$D$15,#REF!)</f>
        <v>#REF!</v>
      </c>
      <c r="S15" s="452"/>
      <c r="T15" s="452"/>
      <c r="U15" s="451" t="e">
        <f>SUMIF(#REF!,$D$15,#REF!)</f>
        <v>#REF!</v>
      </c>
      <c r="V15" s="452"/>
      <c r="W15" s="453"/>
    </row>
    <row r="16" spans="1:27" s="30" customFormat="1" ht="15">
      <c r="A16" s="410" t="s">
        <v>52</v>
      </c>
      <c r="B16" s="380" t="s">
        <v>371</v>
      </c>
      <c r="C16" s="384" t="s">
        <v>52</v>
      </c>
      <c r="D16" s="384" t="s">
        <v>436</v>
      </c>
      <c r="E16" s="329" t="s">
        <v>437</v>
      </c>
      <c r="F16" s="329"/>
      <c r="G16" s="329"/>
      <c r="H16" s="448" t="e">
        <f t="shared" ref="H16:H56" si="0">SUM(I16,L16,O16,R16,U16)</f>
        <v>#REF!</v>
      </c>
      <c r="I16" s="451" t="e">
        <f>SUMIF(#REF!,$D$16,#REF!)</f>
        <v>#REF!</v>
      </c>
      <c r="J16" s="452"/>
      <c r="K16" s="452"/>
      <c r="L16" s="451" t="e">
        <f>SUMIF(#REF!,$D$16,#REF!)</f>
        <v>#REF!</v>
      </c>
      <c r="M16" s="452"/>
      <c r="N16" s="452"/>
      <c r="O16" s="451" t="e">
        <f>SUMIF(#REF!,$D$16,#REF!)</f>
        <v>#REF!</v>
      </c>
      <c r="P16" s="452"/>
      <c r="Q16" s="452"/>
      <c r="R16" s="451" t="e">
        <f>SUMIF(#REF!,$D$16,#REF!)</f>
        <v>#REF!</v>
      </c>
      <c r="S16" s="452"/>
      <c r="T16" s="452"/>
      <c r="U16" s="451" t="e">
        <f>SUMIF(#REF!,$D$16,#REF!)</f>
        <v>#REF!</v>
      </c>
      <c r="V16" s="452"/>
      <c r="W16" s="453"/>
    </row>
    <row r="17" spans="1:23" s="30" customFormat="1" ht="15">
      <c r="A17" s="410" t="s">
        <v>58</v>
      </c>
      <c r="B17" s="380" t="s">
        <v>372</v>
      </c>
      <c r="C17" s="329" t="s">
        <v>373</v>
      </c>
      <c r="D17" s="384" t="s">
        <v>438</v>
      </c>
      <c r="E17" s="329" t="s">
        <v>439</v>
      </c>
      <c r="F17" s="329"/>
      <c r="G17" s="329"/>
      <c r="H17" s="448" t="e">
        <f t="shared" si="0"/>
        <v>#REF!</v>
      </c>
      <c r="I17" s="451" t="e">
        <f>SUMIF(#REF!,$D$17,#REF!)</f>
        <v>#REF!</v>
      </c>
      <c r="J17" s="452"/>
      <c r="K17" s="452"/>
      <c r="L17" s="451" t="e">
        <f>SUMIF(#REF!,$D$17,#REF!)</f>
        <v>#REF!</v>
      </c>
      <c r="M17" s="452"/>
      <c r="N17" s="452"/>
      <c r="O17" s="451" t="e">
        <f>SUMIF(#REF!,$D$17,#REF!)</f>
        <v>#REF!</v>
      </c>
      <c r="P17" s="452"/>
      <c r="Q17" s="452"/>
      <c r="R17" s="451" t="e">
        <f>SUMIF(#REF!,$D$17,#REF!)</f>
        <v>#REF!</v>
      </c>
      <c r="S17" s="452"/>
      <c r="T17" s="452"/>
      <c r="U17" s="451" t="e">
        <f>SUMIF(#REF!,$D$17,#REF!)</f>
        <v>#REF!</v>
      </c>
      <c r="V17" s="452"/>
      <c r="W17" s="453"/>
    </row>
    <row r="18" spans="1:23" s="30" customFormat="1" ht="15">
      <c r="A18" s="29"/>
      <c r="B18" s="380" t="s">
        <v>374</v>
      </c>
      <c r="C18" s="329" t="s">
        <v>375</v>
      </c>
      <c r="D18" s="384" t="s">
        <v>440</v>
      </c>
      <c r="E18" s="329" t="s">
        <v>375</v>
      </c>
      <c r="F18" s="329"/>
      <c r="G18" s="329"/>
      <c r="H18" s="448" t="e">
        <f t="shared" si="0"/>
        <v>#REF!</v>
      </c>
      <c r="I18" s="451" t="e">
        <f>SUMIF(#REF!,$D$18,#REF!)</f>
        <v>#REF!</v>
      </c>
      <c r="J18" s="452"/>
      <c r="K18" s="452"/>
      <c r="L18" s="451" t="e">
        <f>SUMIF(#REF!,$D$18,#REF!)</f>
        <v>#REF!</v>
      </c>
      <c r="M18" s="452"/>
      <c r="N18" s="452"/>
      <c r="O18" s="451" t="e">
        <f>SUMIF(#REF!,$D$18,#REF!)</f>
        <v>#REF!</v>
      </c>
      <c r="P18" s="452"/>
      <c r="Q18" s="452"/>
      <c r="R18" s="451" t="e">
        <f>SUMIF(#REF!,$D$18,#REF!)</f>
        <v>#REF!</v>
      </c>
      <c r="S18" s="452"/>
      <c r="T18" s="452"/>
      <c r="U18" s="451" t="e">
        <f>SUMIF(#REF!,$D$18,#REF!)</f>
        <v>#REF!</v>
      </c>
      <c r="V18" s="452"/>
      <c r="W18" s="453"/>
    </row>
    <row r="19" spans="1:23" s="30" customFormat="1" ht="15">
      <c r="A19" s="29"/>
      <c r="B19" s="367"/>
      <c r="C19" s="329"/>
      <c r="D19" s="384" t="s">
        <v>441</v>
      </c>
      <c r="E19" s="329" t="s">
        <v>442</v>
      </c>
      <c r="F19" s="329"/>
      <c r="G19" s="329"/>
      <c r="H19" s="448" t="e">
        <f t="shared" si="0"/>
        <v>#REF!</v>
      </c>
      <c r="I19" s="451" t="e">
        <f>SUMIF(#REF!,$D$19,#REF!)</f>
        <v>#REF!</v>
      </c>
      <c r="J19" s="452"/>
      <c r="K19" s="452"/>
      <c r="L19" s="451" t="e">
        <f>SUMIF(#REF!,$D$19,#REF!)</f>
        <v>#REF!</v>
      </c>
      <c r="M19" s="452"/>
      <c r="N19" s="452"/>
      <c r="O19" s="451" t="e">
        <f>SUMIF(#REF!,$D$19,#REF!)</f>
        <v>#REF!</v>
      </c>
      <c r="P19" s="452"/>
      <c r="Q19" s="452"/>
      <c r="R19" s="451" t="e">
        <f>SUMIF(#REF!,$D$19,#REF!)</f>
        <v>#REF!</v>
      </c>
      <c r="S19" s="452"/>
      <c r="T19" s="452"/>
      <c r="U19" s="451" t="e">
        <f>SUMIF(#REF!,$D$19,#REF!)</f>
        <v>#REF!</v>
      </c>
      <c r="V19" s="452"/>
      <c r="W19" s="453"/>
    </row>
    <row r="20" spans="1:23" s="30" customFormat="1" ht="15">
      <c r="A20" s="410" t="s">
        <v>94</v>
      </c>
      <c r="B20" s="380" t="s">
        <v>376</v>
      </c>
      <c r="C20" s="384" t="s">
        <v>377</v>
      </c>
      <c r="D20" s="384" t="s">
        <v>421</v>
      </c>
      <c r="E20" s="329" t="s">
        <v>422</v>
      </c>
      <c r="F20" s="329"/>
      <c r="G20" s="329"/>
      <c r="H20" s="448" t="e">
        <f t="shared" si="0"/>
        <v>#REF!</v>
      </c>
      <c r="I20" s="451" t="e">
        <f>SUMIF(#REF!,$D$20,#REF!)</f>
        <v>#REF!</v>
      </c>
      <c r="J20" s="452"/>
      <c r="K20" s="452"/>
      <c r="L20" s="451" t="e">
        <f>SUMIF(#REF!,$D$20,#REF!)</f>
        <v>#REF!</v>
      </c>
      <c r="M20" s="452"/>
      <c r="N20" s="452"/>
      <c r="O20" s="451" t="e">
        <f>SUMIF(#REF!,$D$20,#REF!)</f>
        <v>#REF!</v>
      </c>
      <c r="P20" s="452"/>
      <c r="Q20" s="452"/>
      <c r="R20" s="451" t="e">
        <f>SUMIF(#REF!,$D$20,#REF!)</f>
        <v>#REF!</v>
      </c>
      <c r="S20" s="452"/>
      <c r="T20" s="452"/>
      <c r="U20" s="451" t="e">
        <f>SUMIF(#REF!,$D$20,#REF!)</f>
        <v>#REF!</v>
      </c>
      <c r="V20" s="452"/>
      <c r="W20" s="453"/>
    </row>
    <row r="21" spans="1:23" s="30" customFormat="1" ht="15">
      <c r="A21" s="410"/>
      <c r="B21" s="380" t="s">
        <v>376</v>
      </c>
      <c r="C21" s="384" t="s">
        <v>377</v>
      </c>
      <c r="D21" s="384" t="s">
        <v>423</v>
      </c>
      <c r="E21" s="329" t="s">
        <v>424</v>
      </c>
      <c r="F21" s="329"/>
      <c r="G21" s="329"/>
      <c r="H21" s="448" t="e">
        <f t="shared" si="0"/>
        <v>#REF!</v>
      </c>
      <c r="I21" s="451" t="e">
        <f>SUMIF(#REF!,$D$21,#REF!)</f>
        <v>#REF!</v>
      </c>
      <c r="J21" s="452"/>
      <c r="K21" s="452"/>
      <c r="L21" s="451" t="e">
        <f>SUMIF(#REF!,$D$21,#REF!)</f>
        <v>#REF!</v>
      </c>
      <c r="M21" s="452"/>
      <c r="N21" s="452"/>
      <c r="O21" s="451" t="e">
        <f>SUMIF(#REF!,$D$21,#REF!)</f>
        <v>#REF!</v>
      </c>
      <c r="P21" s="452"/>
      <c r="Q21" s="452"/>
      <c r="R21" s="451" t="e">
        <f>SUMIF(#REF!,$D$21,#REF!)</f>
        <v>#REF!</v>
      </c>
      <c r="S21" s="452"/>
      <c r="T21" s="452"/>
      <c r="U21" s="451" t="e">
        <f>SUMIF(#REF!,$D$21,#REF!)</f>
        <v>#REF!</v>
      </c>
      <c r="V21" s="452"/>
      <c r="W21" s="453"/>
    </row>
    <row r="22" spans="1:23" s="30" customFormat="1" ht="15">
      <c r="A22" s="31"/>
      <c r="B22" s="380" t="s">
        <v>376</v>
      </c>
      <c r="C22" s="384" t="s">
        <v>377</v>
      </c>
      <c r="D22" s="384">
        <v>633027</v>
      </c>
      <c r="E22" s="329" t="s">
        <v>443</v>
      </c>
      <c r="F22" s="329"/>
      <c r="G22" s="329"/>
      <c r="H22" s="448" t="e">
        <f t="shared" si="0"/>
        <v>#REF!</v>
      </c>
      <c r="I22" s="451" t="e">
        <f>SUMIF(#REF!,$D$22,#REF!)</f>
        <v>#REF!</v>
      </c>
      <c r="J22" s="451" t="e">
        <f>SUMIF(#REF!,$D$22,#REF!)</f>
        <v>#REF!</v>
      </c>
      <c r="K22" s="451" t="e">
        <f>SUMIF(#REF!,$D$22,#REF!)</f>
        <v>#REF!</v>
      </c>
      <c r="L22" s="451" t="e">
        <f>SUMIF(#REF!,$D$22,#REF!)</f>
        <v>#REF!</v>
      </c>
      <c r="M22" s="451" t="e">
        <f>SUMIF(#REF!,$D$22,#REF!)</f>
        <v>#REF!</v>
      </c>
      <c r="N22" s="451" t="e">
        <f>SUMIF(#REF!,$D$22,#REF!)</f>
        <v>#REF!</v>
      </c>
      <c r="O22" s="451" t="e">
        <f>SUMIF(#REF!,$D$22,#REF!)</f>
        <v>#REF!</v>
      </c>
      <c r="P22" s="451" t="e">
        <f>SUMIF(#REF!,$D$22,#REF!)</f>
        <v>#REF!</v>
      </c>
      <c r="Q22" s="451" t="e">
        <f>SUMIF(#REF!,$D$22,#REF!)</f>
        <v>#REF!</v>
      </c>
      <c r="R22" s="451" t="e">
        <f>SUMIF(#REF!,$D$22,#REF!)</f>
        <v>#REF!</v>
      </c>
      <c r="S22" s="451" t="e">
        <f>SUMIF(#REF!,$D$22,#REF!)</f>
        <v>#REF!</v>
      </c>
      <c r="T22" s="451" t="e">
        <f>SUMIF(#REF!,$D$22,#REF!)</f>
        <v>#REF!</v>
      </c>
      <c r="U22" s="451" t="e">
        <f>SUMIF(#REF!,$D$22,#REF!)</f>
        <v>#REF!</v>
      </c>
      <c r="V22" s="451" t="e">
        <f>SUMIF(#REF!,$D$22,#REF!)</f>
        <v>#REF!</v>
      </c>
      <c r="W22" s="451" t="e">
        <f>SUMIF(#REF!,$D$22,#REF!)</f>
        <v>#REF!</v>
      </c>
    </row>
    <row r="23" spans="1:23" s="30" customFormat="1" ht="15">
      <c r="B23" s="380" t="s">
        <v>376</v>
      </c>
      <c r="C23" s="384" t="s">
        <v>377</v>
      </c>
      <c r="D23" s="384" t="s">
        <v>378</v>
      </c>
      <c r="E23" s="329" t="s">
        <v>379</v>
      </c>
      <c r="F23" s="329"/>
      <c r="G23" s="329"/>
      <c r="H23" s="448" t="e">
        <f t="shared" si="0"/>
        <v>#REF!</v>
      </c>
      <c r="I23" s="451" t="e">
        <f>SUMIF(#REF!,$D$23,#REF!)</f>
        <v>#REF!</v>
      </c>
      <c r="J23" s="452"/>
      <c r="K23" s="452"/>
      <c r="L23" s="451" t="e">
        <f>SUMIF(#REF!,$D$23,#REF!)</f>
        <v>#REF!</v>
      </c>
      <c r="M23" s="452"/>
      <c r="N23" s="452"/>
      <c r="O23" s="451" t="e">
        <f>SUMIF(#REF!,$D$23,#REF!)</f>
        <v>#REF!</v>
      </c>
      <c r="P23" s="452"/>
      <c r="Q23" s="452"/>
      <c r="R23" s="451" t="e">
        <f>SUMIF(#REF!,$D$23,#REF!)</f>
        <v>#REF!</v>
      </c>
      <c r="S23" s="452"/>
      <c r="T23" s="452"/>
      <c r="U23" s="451" t="e">
        <f>SUMIF(#REF!,$D$23,#REF!)</f>
        <v>#REF!</v>
      </c>
      <c r="V23" s="452"/>
      <c r="W23" s="453"/>
    </row>
    <row r="24" spans="1:23" s="30" customFormat="1" ht="15">
      <c r="B24" s="380" t="s">
        <v>376</v>
      </c>
      <c r="C24" s="384" t="s">
        <v>377</v>
      </c>
      <c r="D24" s="384">
        <v>630064</v>
      </c>
      <c r="E24" s="329" t="s">
        <v>444</v>
      </c>
      <c r="F24" s="329"/>
      <c r="G24" s="329"/>
      <c r="H24" s="448" t="e">
        <f t="shared" si="0"/>
        <v>#REF!</v>
      </c>
      <c r="I24" s="451">
        <v>0</v>
      </c>
      <c r="J24" s="452"/>
      <c r="K24" s="452"/>
      <c r="L24" s="451" t="e">
        <f>SUMIF(#REF!,$D$23,#REF!)</f>
        <v>#REF!</v>
      </c>
      <c r="M24" s="452"/>
      <c r="N24" s="452"/>
      <c r="O24" s="451" t="e">
        <f>SUMIF(#REF!,$D$23,#REF!)</f>
        <v>#REF!</v>
      </c>
      <c r="P24" s="452"/>
      <c r="Q24" s="452"/>
      <c r="R24" s="451" t="e">
        <f>SUMIF(#REF!,$D$23,#REF!)</f>
        <v>#REF!</v>
      </c>
      <c r="S24" s="452"/>
      <c r="T24" s="452"/>
      <c r="U24" s="451" t="e">
        <f>SUMIF(#REF!,$D$23,#REF!)</f>
        <v>#REF!</v>
      </c>
      <c r="V24" s="452"/>
      <c r="W24" s="453"/>
    </row>
    <row r="25" spans="1:23" s="30" customFormat="1" ht="15">
      <c r="B25" s="380" t="s">
        <v>376</v>
      </c>
      <c r="C25" s="384" t="s">
        <v>377</v>
      </c>
      <c r="D25" s="384">
        <v>633002</v>
      </c>
      <c r="E25" s="329" t="s">
        <v>445</v>
      </c>
      <c r="F25" s="329"/>
      <c r="G25" s="329"/>
      <c r="H25" s="448" t="e">
        <f t="shared" si="0"/>
        <v>#REF!</v>
      </c>
      <c r="I25" s="451">
        <v>0</v>
      </c>
      <c r="J25" s="452"/>
      <c r="K25" s="452"/>
      <c r="L25" s="451" t="e">
        <f>SUMIF(#REF!,$D$23,#REF!)</f>
        <v>#REF!</v>
      </c>
      <c r="M25" s="452"/>
      <c r="N25" s="452"/>
      <c r="O25" s="451" t="e">
        <f>SUMIF(#REF!,$D$23,#REF!)</f>
        <v>#REF!</v>
      </c>
      <c r="P25" s="452"/>
      <c r="Q25" s="452"/>
      <c r="R25" s="451" t="e">
        <f>SUMIF(#REF!,$D$23,#REF!)</f>
        <v>#REF!</v>
      </c>
      <c r="S25" s="452"/>
      <c r="T25" s="452"/>
      <c r="U25" s="451" t="e">
        <f>SUMIF(#REF!,$D$23,#REF!)</f>
        <v>#REF!</v>
      </c>
      <c r="V25" s="452"/>
      <c r="W25" s="453"/>
    </row>
    <row r="26" spans="1:23" s="30" customFormat="1" ht="15">
      <c r="A26" s="410"/>
      <c r="B26" s="380" t="s">
        <v>376</v>
      </c>
      <c r="C26" s="384" t="s">
        <v>377</v>
      </c>
      <c r="D26" s="384" t="s">
        <v>380</v>
      </c>
      <c r="E26" s="329" t="s">
        <v>381</v>
      </c>
      <c r="F26" s="329"/>
      <c r="G26" s="329"/>
      <c r="H26" s="448" t="e">
        <f t="shared" si="0"/>
        <v>#REF!</v>
      </c>
      <c r="I26" s="451" t="e">
        <f>SUMIF(#REF!,$D$26,#REF!)</f>
        <v>#REF!</v>
      </c>
      <c r="J26" s="452"/>
      <c r="K26" s="452"/>
      <c r="L26" s="451" t="e">
        <f>SUMIF(#REF!,$D$26,#REF!)</f>
        <v>#REF!</v>
      </c>
      <c r="M26" s="452"/>
      <c r="N26" s="452"/>
      <c r="O26" s="451" t="e">
        <f>SUMIF(#REF!,$D$26,#REF!)</f>
        <v>#REF!</v>
      </c>
      <c r="P26" s="452"/>
      <c r="Q26" s="452"/>
      <c r="R26" s="451" t="e">
        <f>SUMIF(#REF!,$D$26,#REF!)</f>
        <v>#REF!</v>
      </c>
      <c r="S26" s="452"/>
      <c r="T26" s="452"/>
      <c r="U26" s="451" t="e">
        <f>SUMIF(#REF!,$D$26,#REF!)</f>
        <v>#REF!</v>
      </c>
      <c r="V26" s="452"/>
      <c r="W26" s="453"/>
    </row>
    <row r="27" spans="1:23" s="30" customFormat="1" ht="15">
      <c r="B27" s="380" t="s">
        <v>376</v>
      </c>
      <c r="C27" s="384" t="s">
        <v>377</v>
      </c>
      <c r="D27" s="384" t="s">
        <v>382</v>
      </c>
      <c r="E27" s="329" t="s">
        <v>383</v>
      </c>
      <c r="F27" s="329"/>
      <c r="G27" s="329"/>
      <c r="H27" s="448" t="e">
        <f t="shared" si="0"/>
        <v>#REF!</v>
      </c>
      <c r="I27" s="451" t="e">
        <f>SUMIF(#REF!,$D$27,#REF!)</f>
        <v>#REF!</v>
      </c>
      <c r="J27" s="452"/>
      <c r="K27" s="452"/>
      <c r="L27" s="451" t="e">
        <f>SUMIF(#REF!,$D$27,#REF!)</f>
        <v>#REF!</v>
      </c>
      <c r="M27" s="452"/>
      <c r="N27" s="452"/>
      <c r="O27" s="451" t="e">
        <f>SUMIF(#REF!,$D$27,#REF!)</f>
        <v>#REF!</v>
      </c>
      <c r="P27" s="452"/>
      <c r="Q27" s="452"/>
      <c r="R27" s="451" t="e">
        <f>SUMIF(#REF!,$D$27,#REF!)</f>
        <v>#REF!</v>
      </c>
      <c r="S27" s="452"/>
      <c r="T27" s="452"/>
      <c r="U27" s="451" t="e">
        <f>SUMIF(#REF!,$D$27,#REF!)</f>
        <v>#REF!</v>
      </c>
      <c r="V27" s="452"/>
      <c r="W27" s="453"/>
    </row>
    <row r="28" spans="1:23" s="30" customFormat="1" ht="15">
      <c r="A28" s="410"/>
      <c r="B28" s="380" t="s">
        <v>376</v>
      </c>
      <c r="C28" s="384" t="s">
        <v>377</v>
      </c>
      <c r="D28" s="384" t="s">
        <v>384</v>
      </c>
      <c r="E28" s="329" t="s">
        <v>385</v>
      </c>
      <c r="F28" s="329"/>
      <c r="G28" s="329"/>
      <c r="H28" s="448" t="e">
        <f t="shared" si="0"/>
        <v>#REF!</v>
      </c>
      <c r="I28" s="451" t="e">
        <f>SUMIF(#REF!,$D$28,#REF!)</f>
        <v>#REF!</v>
      </c>
      <c r="J28" s="452"/>
      <c r="K28" s="452"/>
      <c r="L28" s="451" t="e">
        <f>SUMIF(#REF!,$D$28,#REF!)</f>
        <v>#REF!</v>
      </c>
      <c r="M28" s="452"/>
      <c r="N28" s="452"/>
      <c r="O28" s="451" t="e">
        <f>SUMIF(#REF!,$D$28,#REF!)</f>
        <v>#REF!</v>
      </c>
      <c r="P28" s="452"/>
      <c r="Q28" s="452"/>
      <c r="R28" s="451" t="e">
        <f>SUMIF(#REF!,$D$28,#REF!)</f>
        <v>#REF!</v>
      </c>
      <c r="S28" s="452"/>
      <c r="T28" s="452"/>
      <c r="U28" s="451" t="e">
        <f>SUMIF(#REF!,$D$28,#REF!)</f>
        <v>#REF!</v>
      </c>
      <c r="V28" s="452"/>
      <c r="W28" s="453"/>
    </row>
    <row r="29" spans="1:23" s="30" customFormat="1" ht="15">
      <c r="A29" s="410"/>
      <c r="B29" s="380" t="s">
        <v>376</v>
      </c>
      <c r="C29" s="384" t="s">
        <v>377</v>
      </c>
      <c r="D29" s="384" t="s">
        <v>386</v>
      </c>
      <c r="E29" s="329" t="s">
        <v>387</v>
      </c>
      <c r="F29" s="329"/>
      <c r="G29" s="329"/>
      <c r="H29" s="448" t="e">
        <f t="shared" si="0"/>
        <v>#REF!</v>
      </c>
      <c r="I29" s="451" t="e">
        <f>SUMIF(#REF!,$D$29,#REF!)</f>
        <v>#REF!</v>
      </c>
      <c r="J29" s="452"/>
      <c r="K29" s="452"/>
      <c r="L29" s="451" t="e">
        <f>SUMIF(#REF!,$D$29,#REF!)</f>
        <v>#REF!</v>
      </c>
      <c r="M29" s="452"/>
      <c r="N29" s="452"/>
      <c r="O29" s="451" t="e">
        <f>SUMIF(#REF!,$D$29,#REF!)</f>
        <v>#REF!</v>
      </c>
      <c r="P29" s="452"/>
      <c r="Q29" s="452"/>
      <c r="R29" s="451" t="e">
        <f>SUMIF(#REF!,$D$29,#REF!)</f>
        <v>#REF!</v>
      </c>
      <c r="S29" s="452"/>
      <c r="T29" s="452"/>
      <c r="U29" s="451" t="e">
        <f>SUMIF(#REF!,$D$29,#REF!)</f>
        <v>#REF!</v>
      </c>
      <c r="V29" s="452"/>
      <c r="W29" s="453"/>
    </row>
    <row r="30" spans="1:23" s="30" customFormat="1" ht="15">
      <c r="A30" s="410" t="s">
        <v>90</v>
      </c>
      <c r="B30" s="380" t="s">
        <v>388</v>
      </c>
      <c r="C30" s="329" t="s">
        <v>90</v>
      </c>
      <c r="D30" s="384" t="s">
        <v>446</v>
      </c>
      <c r="E30" s="329" t="s">
        <v>447</v>
      </c>
      <c r="F30" s="329"/>
      <c r="G30" s="329"/>
      <c r="H30" s="448" t="e">
        <f t="shared" si="0"/>
        <v>#REF!</v>
      </c>
      <c r="I30" s="451" t="e">
        <f>SUMIF(#REF!,$D$30,#REF!)</f>
        <v>#REF!</v>
      </c>
      <c r="J30" s="452"/>
      <c r="K30" s="452"/>
      <c r="L30" s="451" t="e">
        <f>SUMIF(#REF!,$D$30,#REF!)</f>
        <v>#REF!</v>
      </c>
      <c r="M30" s="452"/>
      <c r="N30" s="452"/>
      <c r="O30" s="451" t="e">
        <f>SUMIF(#REF!,$D$30,#REF!)</f>
        <v>#REF!</v>
      </c>
      <c r="P30" s="452"/>
      <c r="Q30" s="452"/>
      <c r="R30" s="451" t="e">
        <f>SUMIF(#REF!,$D$30,#REF!)</f>
        <v>#REF!</v>
      </c>
      <c r="S30" s="452"/>
      <c r="T30" s="452"/>
      <c r="U30" s="451" t="e">
        <f>SUMIF(#REF!,$D$30,#REF!)</f>
        <v>#REF!</v>
      </c>
      <c r="V30" s="452"/>
      <c r="W30" s="453"/>
    </row>
    <row r="31" spans="1:23" s="30" customFormat="1" ht="15">
      <c r="A31" s="410" t="s">
        <v>103</v>
      </c>
      <c r="B31" s="380" t="s">
        <v>395</v>
      </c>
      <c r="C31" s="384" t="s">
        <v>396</v>
      </c>
      <c r="D31" s="384" t="s">
        <v>448</v>
      </c>
      <c r="E31" s="329" t="s">
        <v>449</v>
      </c>
      <c r="F31" s="329"/>
      <c r="G31" s="329"/>
      <c r="H31" s="448" t="e">
        <f t="shared" si="0"/>
        <v>#REF!</v>
      </c>
      <c r="I31" s="451" t="e">
        <f>SUMIF(#REF!,$D$31,#REF!)</f>
        <v>#REF!</v>
      </c>
      <c r="J31" s="452"/>
      <c r="K31" s="452"/>
      <c r="L31" s="451" t="e">
        <f>SUMIF(#REF!,$D$31,#REF!)</f>
        <v>#REF!</v>
      </c>
      <c r="M31" s="452"/>
      <c r="N31" s="452"/>
      <c r="O31" s="451" t="e">
        <f>SUMIF(#REF!,$D$31,#REF!)</f>
        <v>#REF!</v>
      </c>
      <c r="P31" s="452"/>
      <c r="Q31" s="452"/>
      <c r="R31" s="451" t="e">
        <f>SUMIF(#REF!,$D$31,#REF!)</f>
        <v>#REF!</v>
      </c>
      <c r="S31" s="452"/>
      <c r="T31" s="452"/>
      <c r="U31" s="451" t="e">
        <f>SUMIF(#REF!,$D$31,#REF!)</f>
        <v>#REF!</v>
      </c>
      <c r="V31" s="452"/>
      <c r="W31" s="453"/>
    </row>
    <row r="32" spans="1:23" s="30" customFormat="1" ht="15">
      <c r="B32" s="380" t="s">
        <v>389</v>
      </c>
      <c r="C32" s="384" t="s">
        <v>390</v>
      </c>
      <c r="D32" s="384" t="s">
        <v>450</v>
      </c>
      <c r="E32" s="329" t="s">
        <v>451</v>
      </c>
      <c r="F32" s="329"/>
      <c r="G32" s="329"/>
      <c r="H32" s="448" t="e">
        <f t="shared" si="0"/>
        <v>#REF!</v>
      </c>
      <c r="I32" s="451" t="e">
        <f>SUMIF(#REF!,$D$32,#REF!)</f>
        <v>#REF!</v>
      </c>
      <c r="J32" s="452"/>
      <c r="K32" s="452"/>
      <c r="L32" s="451" t="e">
        <f>SUMIF(#REF!,$D$32,#REF!)</f>
        <v>#REF!</v>
      </c>
      <c r="M32" s="452"/>
      <c r="N32" s="452"/>
      <c r="O32" s="451" t="e">
        <f>SUMIF(#REF!,$D$32,#REF!)</f>
        <v>#REF!</v>
      </c>
      <c r="P32" s="452"/>
      <c r="Q32" s="452"/>
      <c r="R32" s="451" t="e">
        <f>SUMIF(#REF!,$D$32,#REF!)</f>
        <v>#REF!</v>
      </c>
      <c r="S32" s="452"/>
      <c r="T32" s="452"/>
      <c r="U32" s="451" t="e">
        <f>SUMIF(#REF!,$D$32,#REF!)</f>
        <v>#REF!</v>
      </c>
      <c r="V32" s="452"/>
      <c r="W32" s="453"/>
    </row>
    <row r="33" spans="1:23" s="30" customFormat="1" ht="15">
      <c r="A33" s="410"/>
      <c r="B33" s="380" t="s">
        <v>389</v>
      </c>
      <c r="C33" s="384" t="s">
        <v>390</v>
      </c>
      <c r="D33" s="384" t="s">
        <v>452</v>
      </c>
      <c r="E33" s="329" t="s">
        <v>453</v>
      </c>
      <c r="F33" s="329"/>
      <c r="G33" s="329"/>
      <c r="H33" s="448" t="e">
        <f t="shared" si="0"/>
        <v>#REF!</v>
      </c>
      <c r="I33" s="451" t="e">
        <f>SUMIF(#REF!,$D$33,#REF!)</f>
        <v>#REF!</v>
      </c>
      <c r="J33" s="452"/>
      <c r="K33" s="452"/>
      <c r="L33" s="451" t="e">
        <f>SUMIF(#REF!,$D$33,#REF!)</f>
        <v>#REF!</v>
      </c>
      <c r="M33" s="452"/>
      <c r="N33" s="452"/>
      <c r="O33" s="451" t="e">
        <f>SUMIF(#REF!,$D$33,#REF!)</f>
        <v>#REF!</v>
      </c>
      <c r="P33" s="452"/>
      <c r="Q33" s="452"/>
      <c r="R33" s="451" t="e">
        <f>SUMIF(#REF!,$D$33,#REF!)</f>
        <v>#REF!</v>
      </c>
      <c r="S33" s="452"/>
      <c r="T33" s="452"/>
      <c r="U33" s="451" t="e">
        <f>SUMIF(#REF!,$D$33,#REF!)</f>
        <v>#REF!</v>
      </c>
      <c r="V33" s="452"/>
      <c r="W33" s="453"/>
    </row>
    <row r="34" spans="1:23" s="30" customFormat="1" ht="15">
      <c r="B34" s="380" t="s">
        <v>389</v>
      </c>
      <c r="C34" s="384" t="s">
        <v>390</v>
      </c>
      <c r="D34" s="384" t="s">
        <v>454</v>
      </c>
      <c r="E34" s="329" t="s">
        <v>455</v>
      </c>
      <c r="F34" s="329"/>
      <c r="G34" s="329"/>
      <c r="H34" s="448" t="e">
        <f t="shared" si="0"/>
        <v>#REF!</v>
      </c>
      <c r="I34" s="451" t="e">
        <f>SUMIF(#REF!,$D$34,#REF!)</f>
        <v>#REF!</v>
      </c>
      <c r="J34" s="452"/>
      <c r="K34" s="452"/>
      <c r="L34" s="451" t="e">
        <f>SUMIF(#REF!,$D$34,#REF!)</f>
        <v>#REF!</v>
      </c>
      <c r="M34" s="452"/>
      <c r="N34" s="452"/>
      <c r="O34" s="451" t="e">
        <f>SUMIF(#REF!,$D$34,#REF!)</f>
        <v>#REF!</v>
      </c>
      <c r="P34" s="452"/>
      <c r="Q34" s="452"/>
      <c r="R34" s="451" t="e">
        <f>SUMIF(#REF!,$D$34,#REF!)</f>
        <v>#REF!</v>
      </c>
      <c r="S34" s="452"/>
      <c r="T34" s="452"/>
      <c r="U34" s="451" t="e">
        <f>SUMIF(#REF!,$D$34,#REF!)</f>
        <v>#REF!</v>
      </c>
      <c r="V34" s="452"/>
      <c r="W34" s="453"/>
    </row>
    <row r="35" spans="1:23" s="30" customFormat="1" ht="15">
      <c r="B35" s="380" t="s">
        <v>389</v>
      </c>
      <c r="C35" s="384" t="s">
        <v>390</v>
      </c>
      <c r="D35" s="384" t="s">
        <v>456</v>
      </c>
      <c r="E35" s="329" t="s">
        <v>457</v>
      </c>
      <c r="F35" s="329"/>
      <c r="G35" s="329"/>
      <c r="H35" s="448" t="e">
        <f t="shared" si="0"/>
        <v>#REF!</v>
      </c>
      <c r="I35" s="451" t="e">
        <f>SUMIF(#REF!,$D$35,#REF!)</f>
        <v>#REF!</v>
      </c>
      <c r="J35" s="452"/>
      <c r="K35" s="452"/>
      <c r="L35" s="451" t="e">
        <f>SUMIF(#REF!,$D$35,#REF!)</f>
        <v>#REF!</v>
      </c>
      <c r="M35" s="452"/>
      <c r="N35" s="452"/>
      <c r="O35" s="451" t="e">
        <f>SUMIF(#REF!,$D$35,#REF!)</f>
        <v>#REF!</v>
      </c>
      <c r="P35" s="452"/>
      <c r="Q35" s="452"/>
      <c r="R35" s="451" t="e">
        <f>SUMIF(#REF!,$D$35,#REF!)</f>
        <v>#REF!</v>
      </c>
      <c r="S35" s="452"/>
      <c r="T35" s="452"/>
      <c r="U35" s="451" t="e">
        <f>SUMIF(#REF!,$D$35,#REF!)</f>
        <v>#REF!</v>
      </c>
      <c r="V35" s="452"/>
      <c r="W35" s="453"/>
    </row>
    <row r="36" spans="1:23" s="30" customFormat="1" ht="15">
      <c r="A36" s="410"/>
      <c r="B36" s="380" t="s">
        <v>389</v>
      </c>
      <c r="C36" s="384" t="s">
        <v>390</v>
      </c>
      <c r="D36" s="384" t="s">
        <v>458</v>
      </c>
      <c r="E36" s="329" t="s">
        <v>459</v>
      </c>
      <c r="F36" s="329"/>
      <c r="G36" s="329"/>
      <c r="H36" s="448" t="e">
        <f t="shared" si="0"/>
        <v>#REF!</v>
      </c>
      <c r="I36" s="451" t="e">
        <f>SUMIF(#REF!,$D$36,#REF!)</f>
        <v>#REF!</v>
      </c>
      <c r="J36" s="452"/>
      <c r="K36" s="452"/>
      <c r="L36" s="451" t="e">
        <f>SUMIF(#REF!,$D$36,#REF!)</f>
        <v>#REF!</v>
      </c>
      <c r="M36" s="452"/>
      <c r="N36" s="452"/>
      <c r="O36" s="451" t="e">
        <f>SUMIF(#REF!,$D$36,#REF!)</f>
        <v>#REF!</v>
      </c>
      <c r="P36" s="452"/>
      <c r="Q36" s="452"/>
      <c r="R36" s="451" t="e">
        <f>SUMIF(#REF!,$D$36,#REF!)</f>
        <v>#REF!</v>
      </c>
      <c r="S36" s="452"/>
      <c r="T36" s="452"/>
      <c r="U36" s="451" t="e">
        <f>SUMIF(#REF!,$D$36,#REF!)</f>
        <v>#REF!</v>
      </c>
      <c r="V36" s="452"/>
      <c r="W36" s="453"/>
    </row>
    <row r="37" spans="1:23" s="30" customFormat="1" ht="15">
      <c r="A37" s="410"/>
      <c r="B37" s="380" t="s">
        <v>389</v>
      </c>
      <c r="C37" s="384" t="s">
        <v>390</v>
      </c>
      <c r="D37" s="384" t="s">
        <v>460</v>
      </c>
      <c r="E37" s="329" t="s">
        <v>461</v>
      </c>
      <c r="F37" s="329"/>
      <c r="G37" s="329"/>
      <c r="H37" s="448" t="e">
        <f t="shared" si="0"/>
        <v>#REF!</v>
      </c>
      <c r="I37" s="451" t="e">
        <f>SUMIF(#REF!,$D$37,#REF!)</f>
        <v>#REF!</v>
      </c>
      <c r="J37" s="452"/>
      <c r="K37" s="452"/>
      <c r="L37" s="451" t="e">
        <f>SUMIF(#REF!,$D$37,#REF!)</f>
        <v>#REF!</v>
      </c>
      <c r="M37" s="452"/>
      <c r="N37" s="452"/>
      <c r="O37" s="451" t="e">
        <f>SUMIF(#REF!,$D$37,#REF!)</f>
        <v>#REF!</v>
      </c>
      <c r="P37" s="452"/>
      <c r="Q37" s="452"/>
      <c r="R37" s="451" t="e">
        <f>SUMIF(#REF!,$D$37,#REF!)</f>
        <v>#REF!</v>
      </c>
      <c r="S37" s="452"/>
      <c r="T37" s="452"/>
      <c r="U37" s="451" t="e">
        <f>SUMIF(#REF!,$D$37,#REF!)</f>
        <v>#REF!</v>
      </c>
      <c r="V37" s="452"/>
      <c r="W37" s="453"/>
    </row>
    <row r="38" spans="1:23" s="30" customFormat="1" ht="15">
      <c r="B38" s="380" t="s">
        <v>389</v>
      </c>
      <c r="C38" s="384" t="s">
        <v>390</v>
      </c>
      <c r="D38" s="384" t="s">
        <v>462</v>
      </c>
      <c r="E38" s="329" t="s">
        <v>463</v>
      </c>
      <c r="F38" s="329"/>
      <c r="G38" s="329"/>
      <c r="H38" s="448" t="e">
        <f t="shared" si="0"/>
        <v>#REF!</v>
      </c>
      <c r="I38" s="451" t="e">
        <f>SUMIF(#REF!,$D$38,#REF!)</f>
        <v>#REF!</v>
      </c>
      <c r="J38" s="452"/>
      <c r="K38" s="452"/>
      <c r="L38" s="451" t="e">
        <f>SUMIF(#REF!,$D$38,#REF!)</f>
        <v>#REF!</v>
      </c>
      <c r="M38" s="452"/>
      <c r="N38" s="452"/>
      <c r="O38" s="451" t="e">
        <f>SUMIF(#REF!,$D$38,#REF!)</f>
        <v>#REF!</v>
      </c>
      <c r="P38" s="452"/>
      <c r="Q38" s="452"/>
      <c r="R38" s="451" t="e">
        <f>SUMIF(#REF!,$D$38,#REF!)</f>
        <v>#REF!</v>
      </c>
      <c r="S38" s="452"/>
      <c r="T38" s="452"/>
      <c r="U38" s="451" t="e">
        <f>SUMIF(#REF!,$D$38,#REF!)</f>
        <v>#REF!</v>
      </c>
      <c r="V38" s="452"/>
      <c r="W38" s="453"/>
    </row>
    <row r="39" spans="1:23" s="30" customFormat="1" ht="15">
      <c r="A39" s="31"/>
      <c r="B39" s="380" t="s">
        <v>389</v>
      </c>
      <c r="C39" s="384" t="s">
        <v>390</v>
      </c>
      <c r="D39" s="384" t="s">
        <v>464</v>
      </c>
      <c r="E39" s="329" t="s">
        <v>465</v>
      </c>
      <c r="F39" s="329"/>
      <c r="G39" s="329"/>
      <c r="H39" s="448" t="e">
        <f t="shared" si="0"/>
        <v>#REF!</v>
      </c>
      <c r="I39" s="451" t="e">
        <f>SUMIF(#REF!,$D$39,#REF!)</f>
        <v>#REF!</v>
      </c>
      <c r="J39" s="452"/>
      <c r="K39" s="452"/>
      <c r="L39" s="451" t="e">
        <f>SUMIF(#REF!,$D$39,#REF!)</f>
        <v>#REF!</v>
      </c>
      <c r="M39" s="452"/>
      <c r="N39" s="452"/>
      <c r="O39" s="451" t="e">
        <f>SUMIF(#REF!,$D$39,#REF!)</f>
        <v>#REF!</v>
      </c>
      <c r="P39" s="452"/>
      <c r="Q39" s="452"/>
      <c r="R39" s="451" t="e">
        <f>SUMIF(#REF!,$D$39,#REF!)</f>
        <v>#REF!</v>
      </c>
      <c r="S39" s="452"/>
      <c r="T39" s="452"/>
      <c r="U39" s="451" t="e">
        <f>SUMIF(#REF!,$D$39,#REF!)</f>
        <v>#REF!</v>
      </c>
      <c r="V39" s="452"/>
      <c r="W39" s="453"/>
    </row>
    <row r="40" spans="1:23" s="30" customFormat="1" ht="15">
      <c r="A40" s="31"/>
      <c r="B40" s="380" t="s">
        <v>389</v>
      </c>
      <c r="C40" s="384" t="s">
        <v>390</v>
      </c>
      <c r="D40" s="384" t="s">
        <v>466</v>
      </c>
      <c r="E40" s="329" t="s">
        <v>467</v>
      </c>
      <c r="F40" s="329"/>
      <c r="G40" s="329"/>
      <c r="H40" s="448" t="e">
        <f t="shared" si="0"/>
        <v>#REF!</v>
      </c>
      <c r="I40" s="451" t="e">
        <f>SUMIF(#REF!,$D$40,#REF!)</f>
        <v>#REF!</v>
      </c>
      <c r="J40" s="452"/>
      <c r="K40" s="452"/>
      <c r="L40" s="451" t="e">
        <f>SUMIF(#REF!,$D$40,#REF!)</f>
        <v>#REF!</v>
      </c>
      <c r="M40" s="452"/>
      <c r="N40" s="452"/>
      <c r="O40" s="451" t="e">
        <f>SUMIF(#REF!,$D$40,#REF!)</f>
        <v>#REF!</v>
      </c>
      <c r="P40" s="452"/>
      <c r="Q40" s="452"/>
      <c r="R40" s="451" t="e">
        <f>SUMIF(#REF!,$D$40,#REF!)</f>
        <v>#REF!</v>
      </c>
      <c r="S40" s="452"/>
      <c r="T40" s="452"/>
      <c r="U40" s="451" t="e">
        <f>SUMIF(#REF!,$D$40,#REF!)</f>
        <v>#REF!</v>
      </c>
      <c r="V40" s="452"/>
      <c r="W40" s="453"/>
    </row>
    <row r="41" spans="1:23" s="30" customFormat="1" ht="15">
      <c r="A41" s="31"/>
      <c r="B41" s="380" t="s">
        <v>389</v>
      </c>
      <c r="C41" s="384" t="s">
        <v>390</v>
      </c>
      <c r="D41" s="384" t="s">
        <v>468</v>
      </c>
      <c r="E41" s="329" t="s">
        <v>469</v>
      </c>
      <c r="F41" s="329"/>
      <c r="G41" s="329"/>
      <c r="H41" s="448" t="e">
        <f t="shared" si="0"/>
        <v>#REF!</v>
      </c>
      <c r="I41" s="451" t="e">
        <f>SUMIF(#REF!,$D$41,#REF!)</f>
        <v>#REF!</v>
      </c>
      <c r="J41" s="452"/>
      <c r="K41" s="452"/>
      <c r="L41" s="451" t="e">
        <f>SUMIF(#REF!,$D$41,#REF!)</f>
        <v>#REF!</v>
      </c>
      <c r="M41" s="452"/>
      <c r="N41" s="452"/>
      <c r="O41" s="451" t="e">
        <f>SUMIF(#REF!,$D$41,#REF!)</f>
        <v>#REF!</v>
      </c>
      <c r="P41" s="452"/>
      <c r="Q41" s="452"/>
      <c r="R41" s="451" t="e">
        <f>SUMIF(#REF!,$D$41,#REF!)</f>
        <v>#REF!</v>
      </c>
      <c r="S41" s="452"/>
      <c r="T41" s="452"/>
      <c r="U41" s="451" t="e">
        <f>SUMIF(#REF!,$D$41,#REF!)</f>
        <v>#REF!</v>
      </c>
      <c r="V41" s="452"/>
      <c r="W41" s="453"/>
    </row>
    <row r="42" spans="1:23" s="30" customFormat="1" ht="15">
      <c r="A42" s="31"/>
      <c r="B42" s="380" t="s">
        <v>389</v>
      </c>
      <c r="C42" s="384" t="s">
        <v>390</v>
      </c>
      <c r="D42" s="384" t="s">
        <v>470</v>
      </c>
      <c r="E42" s="329" t="s">
        <v>471</v>
      </c>
      <c r="F42" s="329"/>
      <c r="G42" s="329"/>
      <c r="H42" s="448" t="e">
        <f t="shared" si="0"/>
        <v>#REF!</v>
      </c>
      <c r="I42" s="451" t="e">
        <f>SUMIF(#REF!,$D$42,#REF!)</f>
        <v>#REF!</v>
      </c>
      <c r="J42" s="452"/>
      <c r="K42" s="452"/>
      <c r="L42" s="451" t="e">
        <f>SUMIF(#REF!,$D$42,#REF!)</f>
        <v>#REF!</v>
      </c>
      <c r="M42" s="452"/>
      <c r="N42" s="452"/>
      <c r="O42" s="451" t="e">
        <f>SUMIF(#REF!,$D$42,#REF!)</f>
        <v>#REF!</v>
      </c>
      <c r="P42" s="452"/>
      <c r="Q42" s="452"/>
      <c r="R42" s="451" t="e">
        <f>SUMIF(#REF!,$D$42,#REF!)</f>
        <v>#REF!</v>
      </c>
      <c r="S42" s="452"/>
      <c r="T42" s="452"/>
      <c r="U42" s="451" t="e">
        <f>SUMIF(#REF!,$D$42,#REF!)</f>
        <v>#REF!</v>
      </c>
      <c r="V42" s="452"/>
      <c r="W42" s="453"/>
    </row>
    <row r="43" spans="1:23" s="30" customFormat="1" ht="15">
      <c r="A43" s="31"/>
      <c r="B43" s="380" t="s">
        <v>389</v>
      </c>
      <c r="C43" s="384" t="s">
        <v>390</v>
      </c>
      <c r="D43" s="384" t="s">
        <v>472</v>
      </c>
      <c r="E43" s="329" t="s">
        <v>473</v>
      </c>
      <c r="F43" s="329"/>
      <c r="G43" s="329"/>
      <c r="H43" s="448" t="e">
        <f t="shared" si="0"/>
        <v>#REF!</v>
      </c>
      <c r="I43" s="451" t="e">
        <f>SUMIF(#REF!,$D$43,#REF!)</f>
        <v>#REF!</v>
      </c>
      <c r="J43" s="452"/>
      <c r="K43" s="452"/>
      <c r="L43" s="451" t="e">
        <f>SUMIF(#REF!,$D$43,#REF!)</f>
        <v>#REF!</v>
      </c>
      <c r="M43" s="452"/>
      <c r="N43" s="452"/>
      <c r="O43" s="451" t="e">
        <f>SUMIF(#REF!,$D$43,#REF!)</f>
        <v>#REF!</v>
      </c>
      <c r="P43" s="452"/>
      <c r="Q43" s="452"/>
      <c r="R43" s="451" t="e">
        <f>SUMIF(#REF!,$D$43,#REF!)</f>
        <v>#REF!</v>
      </c>
      <c r="S43" s="452"/>
      <c r="T43" s="452"/>
      <c r="U43" s="451" t="e">
        <f>SUMIF(#REF!,$D$43,#REF!)</f>
        <v>#REF!</v>
      </c>
      <c r="V43" s="452"/>
      <c r="W43" s="453"/>
    </row>
    <row r="44" spans="1:23" s="30" customFormat="1" ht="15">
      <c r="A44" s="31"/>
      <c r="B44" s="380" t="s">
        <v>389</v>
      </c>
      <c r="C44" s="384" t="s">
        <v>390</v>
      </c>
      <c r="D44" s="384" t="s">
        <v>474</v>
      </c>
      <c r="E44" s="329" t="s">
        <v>475</v>
      </c>
      <c r="F44" s="329"/>
      <c r="G44" s="329"/>
      <c r="H44" s="448" t="e">
        <f t="shared" si="0"/>
        <v>#REF!</v>
      </c>
      <c r="I44" s="451" t="e">
        <f>SUMIF(#REF!,$D$44,#REF!)</f>
        <v>#REF!</v>
      </c>
      <c r="J44" s="452"/>
      <c r="K44" s="452"/>
      <c r="L44" s="451" t="e">
        <f>SUMIF(#REF!,$D$44,#REF!)</f>
        <v>#REF!</v>
      </c>
      <c r="M44" s="452"/>
      <c r="N44" s="452"/>
      <c r="O44" s="451" t="e">
        <f>SUMIF(#REF!,$D$44,#REF!)</f>
        <v>#REF!</v>
      </c>
      <c r="P44" s="452"/>
      <c r="Q44" s="452"/>
      <c r="R44" s="451" t="e">
        <f>SUMIF(#REF!,$D$44,#REF!)</f>
        <v>#REF!</v>
      </c>
      <c r="S44" s="452"/>
      <c r="T44" s="452"/>
      <c r="U44" s="451" t="e">
        <f>SUMIF(#REF!,$D$44,#REF!)</f>
        <v>#REF!</v>
      </c>
      <c r="V44" s="452"/>
      <c r="W44" s="453"/>
    </row>
    <row r="45" spans="1:23" s="30" customFormat="1" ht="15">
      <c r="A45" s="31"/>
      <c r="B45" s="380" t="s">
        <v>391</v>
      </c>
      <c r="C45" s="384" t="s">
        <v>390</v>
      </c>
      <c r="D45" s="384" t="s">
        <v>476</v>
      </c>
      <c r="E45" s="329" t="s">
        <v>477</v>
      </c>
      <c r="F45" s="329"/>
      <c r="G45" s="329"/>
      <c r="H45" s="448" t="e">
        <f t="shared" si="0"/>
        <v>#REF!</v>
      </c>
      <c r="I45" s="451" t="e">
        <f>SUMIF(#REF!,$D$45,#REF!)</f>
        <v>#REF!</v>
      </c>
      <c r="J45" s="452"/>
      <c r="K45" s="452"/>
      <c r="L45" s="451" t="e">
        <f>SUMIF(#REF!,$D$45,#REF!)</f>
        <v>#REF!</v>
      </c>
      <c r="M45" s="452"/>
      <c r="N45" s="452"/>
      <c r="O45" s="451" t="e">
        <f>SUMIF(#REF!,$D$45,#REF!)</f>
        <v>#REF!</v>
      </c>
      <c r="P45" s="452"/>
      <c r="Q45" s="452"/>
      <c r="R45" s="451" t="e">
        <f>SUMIF(#REF!,$D$45,#REF!)</f>
        <v>#REF!</v>
      </c>
      <c r="S45" s="452"/>
      <c r="T45" s="452"/>
      <c r="U45" s="451" t="e">
        <f>SUMIF(#REF!,$D$45,#REF!)</f>
        <v>#REF!</v>
      </c>
      <c r="V45" s="452"/>
      <c r="W45" s="453"/>
    </row>
    <row r="46" spans="1:23" s="30" customFormat="1" ht="15">
      <c r="A46" s="31"/>
      <c r="B46" s="380" t="s">
        <v>393</v>
      </c>
      <c r="C46" s="329" t="s">
        <v>394</v>
      </c>
      <c r="D46" s="384" t="s">
        <v>478</v>
      </c>
      <c r="E46" s="329" t="s">
        <v>479</v>
      </c>
      <c r="F46" s="329"/>
      <c r="G46" s="329"/>
      <c r="H46" s="448" t="e">
        <f t="shared" si="0"/>
        <v>#REF!</v>
      </c>
      <c r="I46" s="451" t="e">
        <f>SUMIF(#REF!,$D$46,#REF!)</f>
        <v>#REF!</v>
      </c>
      <c r="J46" s="452"/>
      <c r="K46" s="452"/>
      <c r="L46" s="451" t="e">
        <f>SUMIF(#REF!,$D$46,#REF!)</f>
        <v>#REF!</v>
      </c>
      <c r="M46" s="452"/>
      <c r="N46" s="452"/>
      <c r="O46" s="451" t="e">
        <f>SUMIF(#REF!,$D$46,#REF!)</f>
        <v>#REF!</v>
      </c>
      <c r="P46" s="452"/>
      <c r="Q46" s="452"/>
      <c r="R46" s="451" t="e">
        <f>SUMIF(#REF!,$D$46,#REF!)</f>
        <v>#REF!</v>
      </c>
      <c r="S46" s="452"/>
      <c r="T46" s="452"/>
      <c r="U46" s="451" t="e">
        <f>SUMIF(#REF!,$D$46,#REF!)</f>
        <v>#REF!</v>
      </c>
      <c r="V46" s="452"/>
      <c r="W46" s="453"/>
    </row>
    <row r="47" spans="1:23" s="30" customFormat="1" ht="15">
      <c r="A47" s="410" t="s">
        <v>397</v>
      </c>
      <c r="B47" s="380" t="s">
        <v>398</v>
      </c>
      <c r="C47" s="384" t="s">
        <v>399</v>
      </c>
      <c r="D47" s="384" t="s">
        <v>398</v>
      </c>
      <c r="E47" s="329" t="s">
        <v>399</v>
      </c>
      <c r="F47" s="329"/>
      <c r="G47" s="329"/>
      <c r="H47" s="448" t="e">
        <f t="shared" si="0"/>
        <v>#REF!</v>
      </c>
      <c r="I47" s="451" t="e">
        <f>SUMIF(#REF!,$D$47,#REF!)</f>
        <v>#REF!</v>
      </c>
      <c r="J47" s="452"/>
      <c r="K47" s="452"/>
      <c r="L47" s="451" t="e">
        <f>SUMIF(#REF!,$D$47,#REF!)</f>
        <v>#REF!</v>
      </c>
      <c r="M47" s="452"/>
      <c r="N47" s="452"/>
      <c r="O47" s="451" t="e">
        <f>SUMIF(#REF!,$D$47,#REF!)</f>
        <v>#REF!</v>
      </c>
      <c r="P47" s="452"/>
      <c r="Q47" s="452"/>
      <c r="R47" s="451" t="e">
        <f>SUMIF(#REF!,$D$47,#REF!)</f>
        <v>#REF!</v>
      </c>
      <c r="S47" s="452"/>
      <c r="T47" s="452"/>
      <c r="U47" s="451" t="e">
        <f>SUMIF(#REF!,$D$47,#REF!)</f>
        <v>#REF!</v>
      </c>
      <c r="V47" s="452"/>
      <c r="W47" s="453"/>
    </row>
    <row r="48" spans="1:23" s="30" customFormat="1" ht="15">
      <c r="B48" s="380" t="s">
        <v>400</v>
      </c>
      <c r="C48" s="329" t="s">
        <v>401</v>
      </c>
      <c r="D48" s="384" t="s">
        <v>480</v>
      </c>
      <c r="E48" s="329" t="s">
        <v>481</v>
      </c>
      <c r="F48" s="329"/>
      <c r="G48" s="329"/>
      <c r="H48" s="448" t="e">
        <f t="shared" si="0"/>
        <v>#REF!</v>
      </c>
      <c r="I48" s="451" t="e">
        <f>SUMIF(#REF!,$D$48,#REF!)</f>
        <v>#REF!</v>
      </c>
      <c r="J48" s="452"/>
      <c r="K48" s="452"/>
      <c r="L48" s="451" t="e">
        <f>SUMIF(#REF!,$D$48,#REF!)</f>
        <v>#REF!</v>
      </c>
      <c r="M48" s="452"/>
      <c r="N48" s="452"/>
      <c r="O48" s="451" t="e">
        <f>SUMIF(#REF!,$D$48,#REF!)</f>
        <v>#REF!</v>
      </c>
      <c r="P48" s="452"/>
      <c r="Q48" s="452"/>
      <c r="R48" s="451" t="e">
        <f>SUMIF(#REF!,$D$48,#REF!)</f>
        <v>#REF!</v>
      </c>
      <c r="S48" s="452"/>
      <c r="T48" s="452"/>
      <c r="U48" s="451" t="e">
        <f>SUMIF(#REF!,$D$48,#REF!)</f>
        <v>#REF!</v>
      </c>
      <c r="V48" s="452"/>
      <c r="W48" s="453"/>
    </row>
    <row r="49" spans="1:33" s="30" customFormat="1" ht="15">
      <c r="A49" s="31"/>
      <c r="B49" s="380" t="s">
        <v>402</v>
      </c>
      <c r="C49" s="329" t="s">
        <v>403</v>
      </c>
      <c r="D49" s="384" t="s">
        <v>482</v>
      </c>
      <c r="E49" s="329" t="s">
        <v>483</v>
      </c>
      <c r="F49" s="329"/>
      <c r="G49" s="329"/>
      <c r="H49" s="448" t="e">
        <f t="shared" si="0"/>
        <v>#REF!</v>
      </c>
      <c r="I49" s="451" t="e">
        <f>SUMIF(#REF!,$D$49,#REF!)</f>
        <v>#REF!</v>
      </c>
      <c r="J49" s="452"/>
      <c r="K49" s="452"/>
      <c r="L49" s="451" t="e">
        <f>SUMIF(#REF!,$D$49,#REF!)</f>
        <v>#REF!</v>
      </c>
      <c r="M49" s="452"/>
      <c r="N49" s="452"/>
      <c r="O49" s="451" t="e">
        <f>SUMIF(#REF!,$D$49,#REF!)</f>
        <v>#REF!</v>
      </c>
      <c r="P49" s="452"/>
      <c r="Q49" s="452"/>
      <c r="R49" s="451" t="e">
        <f>SUMIF(#REF!,$D$49,#REF!)</f>
        <v>#REF!</v>
      </c>
      <c r="S49" s="452"/>
      <c r="T49" s="452"/>
      <c r="U49" s="451" t="e">
        <f>SUMIF(#REF!,$D$49,#REF!)</f>
        <v>#REF!</v>
      </c>
      <c r="V49" s="452"/>
      <c r="W49" s="453"/>
    </row>
    <row r="50" spans="1:33" s="30" customFormat="1" ht="15">
      <c r="A50" s="31"/>
      <c r="B50" s="380" t="s">
        <v>402</v>
      </c>
      <c r="C50" s="329" t="s">
        <v>403</v>
      </c>
      <c r="D50" s="384" t="s">
        <v>484</v>
      </c>
      <c r="E50" s="329" t="s">
        <v>485</v>
      </c>
      <c r="F50" s="329"/>
      <c r="G50" s="329"/>
      <c r="H50" s="448" t="e">
        <f t="shared" si="0"/>
        <v>#REF!</v>
      </c>
      <c r="I50" s="451" t="e">
        <f>SUMIF(#REF!,$D$50,#REF!)</f>
        <v>#REF!</v>
      </c>
      <c r="J50" s="452"/>
      <c r="K50" s="452"/>
      <c r="L50" s="451" t="e">
        <f>SUMIF(#REF!,$D$50,#REF!)</f>
        <v>#REF!</v>
      </c>
      <c r="M50" s="452"/>
      <c r="N50" s="452"/>
      <c r="O50" s="451" t="e">
        <f>SUMIF(#REF!,$D$50,#REF!)</f>
        <v>#REF!</v>
      </c>
      <c r="P50" s="452"/>
      <c r="Q50" s="452"/>
      <c r="R50" s="451" t="e">
        <f>SUMIF(#REF!,$D$50,#REF!)</f>
        <v>#REF!</v>
      </c>
      <c r="S50" s="452"/>
      <c r="T50" s="452"/>
      <c r="U50" s="451" t="e">
        <f>SUMIF(#REF!,$D$50,#REF!)</f>
        <v>#REF!</v>
      </c>
      <c r="V50" s="452"/>
      <c r="W50" s="453"/>
    </row>
    <row r="51" spans="1:33" s="30" customFormat="1" ht="15">
      <c r="A51" s="31"/>
      <c r="B51" s="380" t="s">
        <v>402</v>
      </c>
      <c r="C51" s="329" t="s">
        <v>403</v>
      </c>
      <c r="D51" s="384" t="s">
        <v>486</v>
      </c>
      <c r="E51" s="329" t="s">
        <v>487</v>
      </c>
      <c r="F51" s="329"/>
      <c r="G51" s="329"/>
      <c r="H51" s="448" t="e">
        <f t="shared" si="0"/>
        <v>#REF!</v>
      </c>
      <c r="I51" s="451" t="e">
        <f>SUMIF(#REF!,$D$51,#REF!)</f>
        <v>#REF!</v>
      </c>
      <c r="J51" s="452"/>
      <c r="K51" s="452"/>
      <c r="L51" s="451" t="e">
        <f>SUMIF(#REF!,$D$51,#REF!)</f>
        <v>#REF!</v>
      </c>
      <c r="M51" s="452"/>
      <c r="N51" s="452"/>
      <c r="O51" s="451" t="e">
        <f>SUMIF(#REF!,$D$51,#REF!)</f>
        <v>#REF!</v>
      </c>
      <c r="P51" s="452"/>
      <c r="Q51" s="452"/>
      <c r="R51" s="451" t="e">
        <f>SUMIF(#REF!,$D$51,#REF!)</f>
        <v>#REF!</v>
      </c>
      <c r="S51" s="452"/>
      <c r="T51" s="452"/>
      <c r="U51" s="451" t="e">
        <f>SUMIF(#REF!,$D$51,#REF!)</f>
        <v>#REF!</v>
      </c>
      <c r="V51" s="452"/>
      <c r="W51" s="453"/>
    </row>
    <row r="52" spans="1:33" s="30" customFormat="1" ht="15">
      <c r="A52" s="31"/>
      <c r="B52" s="380" t="s">
        <v>402</v>
      </c>
      <c r="C52" s="329" t="s">
        <v>403</v>
      </c>
      <c r="D52" s="384" t="s">
        <v>488</v>
      </c>
      <c r="E52" s="329" t="s">
        <v>489</v>
      </c>
      <c r="F52" s="329"/>
      <c r="G52" s="329"/>
      <c r="H52" s="448" t="e">
        <f t="shared" si="0"/>
        <v>#REF!</v>
      </c>
      <c r="I52" s="451" t="e">
        <f>SUMIF(#REF!,$D$52,#REF!)</f>
        <v>#REF!</v>
      </c>
      <c r="J52" s="452"/>
      <c r="K52" s="452"/>
      <c r="L52" s="451" t="e">
        <f>SUMIF(#REF!,$D$52,#REF!)</f>
        <v>#REF!</v>
      </c>
      <c r="M52" s="452"/>
      <c r="N52" s="452"/>
      <c r="O52" s="451" t="e">
        <f>SUMIF(#REF!,$D$52,#REF!)</f>
        <v>#REF!</v>
      </c>
      <c r="P52" s="452"/>
      <c r="Q52" s="452"/>
      <c r="R52" s="451" t="e">
        <f>SUMIF(#REF!,$D$52,#REF!)</f>
        <v>#REF!</v>
      </c>
      <c r="S52" s="452"/>
      <c r="T52" s="452"/>
      <c r="U52" s="451" t="e">
        <f>SUMIF(#REF!,$D$52,#REF!)</f>
        <v>#REF!</v>
      </c>
      <c r="V52" s="452"/>
      <c r="W52" s="453"/>
    </row>
    <row r="53" spans="1:33" s="30" customFormat="1" ht="15">
      <c r="A53" s="31"/>
      <c r="B53" s="380" t="s">
        <v>402</v>
      </c>
      <c r="C53" s="329" t="s">
        <v>403</v>
      </c>
      <c r="D53" s="384" t="s">
        <v>490</v>
      </c>
      <c r="E53" s="329" t="s">
        <v>491</v>
      </c>
      <c r="F53" s="329"/>
      <c r="G53" s="329"/>
      <c r="H53" s="448" t="e">
        <f t="shared" si="0"/>
        <v>#REF!</v>
      </c>
      <c r="I53" s="451" t="e">
        <f>SUMIF(#REF!,$D$53,#REF!)</f>
        <v>#REF!</v>
      </c>
      <c r="J53" s="452"/>
      <c r="K53" s="452"/>
      <c r="L53" s="451" t="e">
        <f>SUMIF(#REF!,$D$53,#REF!)</f>
        <v>#REF!</v>
      </c>
      <c r="M53" s="452"/>
      <c r="N53" s="452"/>
      <c r="O53" s="451" t="e">
        <f>SUMIF(#REF!,$D$53,#REF!)</f>
        <v>#REF!</v>
      </c>
      <c r="P53" s="452"/>
      <c r="Q53" s="452"/>
      <c r="R53" s="451" t="e">
        <f>SUMIF(#REF!,$D$53,#REF!)</f>
        <v>#REF!</v>
      </c>
      <c r="S53" s="452"/>
      <c r="T53" s="452"/>
      <c r="U53" s="451" t="e">
        <f>SUMIF(#REF!,$D$53,#REF!)</f>
        <v>#REF!</v>
      </c>
      <c r="V53" s="452"/>
      <c r="W53" s="453"/>
    </row>
    <row r="54" spans="1:33" s="30" customFormat="1" ht="15">
      <c r="A54" s="29"/>
      <c r="B54" s="380" t="s">
        <v>402</v>
      </c>
      <c r="C54" s="329" t="s">
        <v>403</v>
      </c>
      <c r="D54" s="384" t="s">
        <v>492</v>
      </c>
      <c r="E54" s="329" t="s">
        <v>493</v>
      </c>
      <c r="F54" s="329"/>
      <c r="G54" s="329"/>
      <c r="H54" s="448" t="e">
        <f t="shared" si="0"/>
        <v>#REF!</v>
      </c>
      <c r="I54" s="451" t="e">
        <f>SUMIF(#REF!,$D$54,#REF!)</f>
        <v>#REF!</v>
      </c>
      <c r="J54" s="452"/>
      <c r="K54" s="452"/>
      <c r="L54" s="451" t="e">
        <f>SUMIF(#REF!,$D$54,#REF!)</f>
        <v>#REF!</v>
      </c>
      <c r="M54" s="452"/>
      <c r="N54" s="452"/>
      <c r="O54" s="451" t="e">
        <f>SUMIF(#REF!,$D$54,#REF!)</f>
        <v>#REF!</v>
      </c>
      <c r="P54" s="452"/>
      <c r="Q54" s="452"/>
      <c r="R54" s="451" t="e">
        <f>SUMIF(#REF!,$D$54,#REF!)</f>
        <v>#REF!</v>
      </c>
      <c r="S54" s="452"/>
      <c r="T54" s="452"/>
      <c r="U54" s="451" t="e">
        <f>SUMIF(#REF!,$D$54,#REF!)</f>
        <v>#REF!</v>
      </c>
      <c r="V54" s="452"/>
      <c r="W54" s="453"/>
    </row>
    <row r="55" spans="1:33" s="30" customFormat="1" ht="15">
      <c r="A55" s="29"/>
      <c r="B55" s="380" t="s">
        <v>404</v>
      </c>
      <c r="C55" s="329" t="s">
        <v>494</v>
      </c>
      <c r="D55" s="384" t="s">
        <v>495</v>
      </c>
      <c r="E55" s="329" t="s">
        <v>496</v>
      </c>
      <c r="F55" s="329"/>
      <c r="G55" s="329"/>
      <c r="H55" s="448" t="e">
        <f t="shared" si="0"/>
        <v>#REF!</v>
      </c>
      <c r="I55" s="451" t="e">
        <f>SUMIF(#REF!,$D$55,#REF!)</f>
        <v>#REF!</v>
      </c>
      <c r="J55" s="452"/>
      <c r="K55" s="452"/>
      <c r="L55" s="451" t="e">
        <f>SUMIF(#REF!,$D$55,#REF!)</f>
        <v>#REF!</v>
      </c>
      <c r="M55" s="452"/>
      <c r="N55" s="452"/>
      <c r="O55" s="451" t="e">
        <f>SUMIF(#REF!,$D$55,#REF!)</f>
        <v>#REF!</v>
      </c>
      <c r="P55" s="452"/>
      <c r="Q55" s="452"/>
      <c r="R55" s="451" t="e">
        <f>SUMIF(#REF!,$D$55,#REF!)</f>
        <v>#REF!</v>
      </c>
      <c r="S55" s="452"/>
      <c r="T55" s="452"/>
      <c r="U55" s="451" t="e">
        <f>SUMIF(#REF!,$D$55,#REF!)</f>
        <v>#REF!</v>
      </c>
      <c r="V55" s="452"/>
      <c r="W55" s="453"/>
    </row>
    <row r="56" spans="1:33" s="30" customFormat="1" ht="15">
      <c r="A56" s="29"/>
      <c r="B56" s="380" t="s">
        <v>404</v>
      </c>
      <c r="C56" s="329" t="s">
        <v>494</v>
      </c>
      <c r="D56" s="384" t="s">
        <v>497</v>
      </c>
      <c r="E56" s="329" t="s">
        <v>498</v>
      </c>
      <c r="F56" s="329"/>
      <c r="G56" s="329"/>
      <c r="H56" s="448" t="e">
        <f t="shared" si="0"/>
        <v>#REF!</v>
      </c>
      <c r="I56" s="451" t="e">
        <f>SUMIF(#REF!,$D$56,#REF!)</f>
        <v>#REF!</v>
      </c>
      <c r="J56" s="452"/>
      <c r="K56" s="452"/>
      <c r="L56" s="451" t="e">
        <f>SUMIF(#REF!,$D$56,#REF!)</f>
        <v>#REF!</v>
      </c>
      <c r="M56" s="452"/>
      <c r="N56" s="452"/>
      <c r="O56" s="451" t="e">
        <f>SUMIF(#REF!,$D$56,#REF!)</f>
        <v>#REF!</v>
      </c>
      <c r="P56" s="452"/>
      <c r="Q56" s="452"/>
      <c r="R56" s="451" t="e">
        <f>SUMIF(#REF!,$D$56,#REF!)</f>
        <v>#REF!</v>
      </c>
      <c r="S56" s="452"/>
      <c r="T56" s="452"/>
      <c r="U56" s="451" t="e">
        <f>SUMIF(#REF!,$D$56,#REF!)</f>
        <v>#REF!</v>
      </c>
      <c r="V56" s="452"/>
      <c r="W56" s="453"/>
    </row>
    <row r="57" spans="1:33" s="30" customFormat="1" ht="15.3" thickBot="1">
      <c r="A57" s="29"/>
      <c r="B57" s="369"/>
      <c r="C57" s="383"/>
      <c r="D57" s="331"/>
      <c r="E57" s="331"/>
      <c r="F57" s="331"/>
      <c r="G57" s="331"/>
      <c r="H57" s="331"/>
      <c r="I57" s="365"/>
      <c r="J57" s="331"/>
      <c r="K57" s="331"/>
      <c r="L57" s="365"/>
      <c r="M57" s="331"/>
      <c r="N57" s="331"/>
      <c r="O57" s="365"/>
      <c r="P57" s="331"/>
      <c r="Q57" s="331"/>
      <c r="R57" s="365"/>
      <c r="S57" s="331"/>
      <c r="T57" s="331"/>
      <c r="U57" s="365"/>
      <c r="V57" s="331"/>
      <c r="W57" s="332"/>
    </row>
    <row r="58" spans="1:33" s="30" customFormat="1" ht="15.3" thickBot="1">
      <c r="A58" s="29"/>
      <c r="B58" s="413" t="s">
        <v>307</v>
      </c>
      <c r="C58" s="414"/>
      <c r="D58" s="413" t="s">
        <v>307</v>
      </c>
      <c r="E58" s="327"/>
      <c r="F58" s="327"/>
      <c r="G58" s="327"/>
      <c r="H58" s="412" t="e">
        <f>SUM(I58,L58,O58,R58,U58)</f>
        <v>#REF!</v>
      </c>
      <c r="I58" s="412" t="e">
        <f>SUM(I14:I57)</f>
        <v>#REF!</v>
      </c>
      <c r="J58" s="327"/>
      <c r="K58" s="327"/>
      <c r="L58" s="412" t="e">
        <f>SUM(L14:L57)</f>
        <v>#REF!</v>
      </c>
      <c r="M58" s="327"/>
      <c r="N58" s="327"/>
      <c r="O58" s="412" t="e">
        <f>SUM(O14:O57)</f>
        <v>#REF!</v>
      </c>
      <c r="P58" s="327"/>
      <c r="Q58" s="327"/>
      <c r="R58" s="412" t="e">
        <f>SUM(R14:R57)</f>
        <v>#REF!</v>
      </c>
      <c r="S58" s="327"/>
      <c r="T58" s="327"/>
      <c r="U58" s="412" t="e">
        <f>SUM(U14:U57)</f>
        <v>#REF!</v>
      </c>
      <c r="V58" s="327"/>
      <c r="W58" s="328"/>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t="s">
        <v>410</v>
      </c>
      <c r="C60" s="9"/>
      <c r="D60" s="30"/>
      <c r="E60" s="9"/>
      <c r="F60" s="9"/>
      <c r="G60" s="9"/>
      <c r="H60" s="9"/>
      <c r="I60" s="174"/>
      <c r="J60" s="9"/>
      <c r="K60" s="9"/>
      <c r="L60" s="174"/>
      <c r="M60" s="9"/>
      <c r="N60" s="9"/>
      <c r="O60" s="174"/>
      <c r="P60" s="9"/>
      <c r="Q60" s="9"/>
      <c r="R60" s="174"/>
      <c r="S60" s="9"/>
      <c r="T60" s="9"/>
      <c r="U60" s="174"/>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30"/>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30"/>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30"/>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30"/>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30"/>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30"/>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30"/>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30"/>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30"/>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30"/>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30"/>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2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2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2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1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s="14" customFormat="1">
      <c r="A139" s="19"/>
      <c r="B139" s="9"/>
      <c r="C139" s="9"/>
      <c r="D139" s="16"/>
      <c r="E139" s="9"/>
      <c r="F139" s="9"/>
      <c r="G139" s="9"/>
      <c r="H139" s="9"/>
      <c r="I139" s="9"/>
      <c r="J139" s="9"/>
      <c r="K139" s="9"/>
      <c r="L139" s="9"/>
      <c r="M139" s="9"/>
      <c r="N139" s="9"/>
      <c r="O139" s="9"/>
      <c r="P139" s="9"/>
      <c r="Q139" s="9"/>
      <c r="R139" s="9"/>
      <c r="S139" s="9"/>
      <c r="T139" s="9"/>
      <c r="U139" s="9"/>
      <c r="V139" s="9"/>
      <c r="W139" s="9"/>
      <c r="X139" s="9"/>
      <c r="Y139" s="9"/>
      <c r="AA139" s="5"/>
      <c r="AB139" s="9"/>
      <c r="AC139" s="9"/>
      <c r="AD139" s="9"/>
      <c r="AE139" s="9"/>
      <c r="AF139" s="9"/>
      <c r="AG139" s="9"/>
    </row>
    <row r="140" spans="1:33" s="14" customFormat="1">
      <c r="A140" s="19"/>
      <c r="B140" s="9"/>
      <c r="C140" s="9"/>
      <c r="D140" s="16"/>
      <c r="E140" s="9"/>
      <c r="F140" s="9"/>
      <c r="G140" s="9"/>
      <c r="H140" s="9"/>
      <c r="I140" s="9"/>
      <c r="J140" s="9"/>
      <c r="K140" s="9"/>
      <c r="L140" s="9"/>
      <c r="M140" s="9"/>
      <c r="N140" s="9"/>
      <c r="O140" s="9"/>
      <c r="P140" s="9"/>
      <c r="Q140" s="9"/>
      <c r="R140" s="9"/>
      <c r="S140" s="9"/>
      <c r="T140" s="9"/>
      <c r="U140" s="9"/>
      <c r="V140" s="9"/>
      <c r="W140" s="9"/>
      <c r="X140" s="9"/>
      <c r="Y140" s="9"/>
      <c r="AA140" s="5"/>
      <c r="AB140" s="9"/>
      <c r="AC140" s="9"/>
      <c r="AD140" s="9"/>
      <c r="AE140" s="9"/>
      <c r="AF140" s="9"/>
      <c r="AG140" s="9"/>
    </row>
    <row r="141" spans="1:33" s="14" customFormat="1">
      <c r="A141" s="19"/>
      <c r="B141" s="9"/>
      <c r="C141" s="9"/>
      <c r="D141" s="16"/>
      <c r="E141" s="9"/>
      <c r="F141" s="9"/>
      <c r="G141" s="9"/>
      <c r="H141" s="9"/>
      <c r="I141" s="9"/>
      <c r="J141" s="9"/>
      <c r="K141" s="9"/>
      <c r="L141" s="9"/>
      <c r="M141" s="9"/>
      <c r="N141" s="9"/>
      <c r="O141" s="9"/>
      <c r="P141" s="9"/>
      <c r="Q141" s="9"/>
      <c r="R141" s="9"/>
      <c r="S141" s="9"/>
      <c r="T141" s="9"/>
      <c r="U141" s="9"/>
      <c r="V141" s="9"/>
      <c r="W141" s="9"/>
      <c r="X141" s="9"/>
      <c r="Y141" s="9"/>
      <c r="AA141" s="5"/>
      <c r="AB141" s="9"/>
      <c r="AC141" s="9"/>
      <c r="AD141" s="9"/>
      <c r="AE141" s="9"/>
      <c r="AF141" s="9"/>
      <c r="AG141" s="9"/>
    </row>
    <row r="142" spans="1:33" s="14" customFormat="1">
      <c r="A142" s="19"/>
      <c r="B142" s="9"/>
      <c r="C142" s="9"/>
      <c r="D142" s="16"/>
      <c r="E142" s="9"/>
      <c r="F142" s="9"/>
      <c r="G142" s="9"/>
      <c r="H142" s="9"/>
      <c r="I142" s="9"/>
      <c r="J142" s="9"/>
      <c r="K142" s="9"/>
      <c r="L142" s="9"/>
      <c r="M142" s="9"/>
      <c r="N142" s="9"/>
      <c r="O142" s="9"/>
      <c r="P142" s="9"/>
      <c r="Q142" s="9"/>
      <c r="R142" s="9"/>
      <c r="S142" s="9"/>
      <c r="T142" s="9"/>
      <c r="U142" s="9"/>
      <c r="V142" s="9"/>
      <c r="W142" s="9"/>
      <c r="X142" s="9"/>
      <c r="Y142" s="9"/>
      <c r="AA142" s="5"/>
      <c r="AB142" s="9"/>
      <c r="AC142" s="9"/>
      <c r="AD142" s="9"/>
      <c r="AE142" s="9"/>
      <c r="AF142" s="9"/>
      <c r="AG142" s="9"/>
    </row>
    <row r="143" spans="1:33" s="14" customFormat="1">
      <c r="A143" s="19"/>
      <c r="B143" s="9"/>
      <c r="C143" s="9"/>
      <c r="D143" s="16"/>
      <c r="E143" s="9"/>
      <c r="F143" s="9"/>
      <c r="G143" s="9"/>
      <c r="H143" s="9"/>
      <c r="I143" s="9"/>
      <c r="J143" s="9"/>
      <c r="K143" s="9"/>
      <c r="L143" s="9"/>
      <c r="M143" s="9"/>
      <c r="N143" s="9"/>
      <c r="O143" s="9"/>
      <c r="P143" s="9"/>
      <c r="Q143" s="9"/>
      <c r="R143" s="9"/>
      <c r="S143" s="9"/>
      <c r="T143" s="9"/>
      <c r="U143" s="9"/>
      <c r="V143" s="9"/>
      <c r="W143" s="9"/>
      <c r="X143" s="9"/>
      <c r="Y143" s="9"/>
      <c r="AA143" s="5"/>
      <c r="AB143" s="9"/>
      <c r="AC143" s="9"/>
      <c r="AD143" s="9"/>
      <c r="AE143" s="9"/>
      <c r="AF143" s="9"/>
      <c r="AG143" s="9"/>
    </row>
    <row r="144" spans="1:33" s="14" customFormat="1">
      <c r="A144" s="19"/>
      <c r="B144" s="9"/>
      <c r="C144" s="9"/>
      <c r="D144" s="16"/>
      <c r="E144" s="9"/>
      <c r="F144" s="9"/>
      <c r="G144" s="9"/>
      <c r="H144" s="9"/>
      <c r="I144" s="9"/>
      <c r="J144" s="9"/>
      <c r="K144" s="9"/>
      <c r="L144" s="9"/>
      <c r="M144" s="9"/>
      <c r="N144" s="9"/>
      <c r="O144" s="9"/>
      <c r="P144" s="9"/>
      <c r="Q144" s="9"/>
      <c r="R144" s="9"/>
      <c r="S144" s="9"/>
      <c r="T144" s="9"/>
      <c r="U144" s="9"/>
      <c r="V144" s="9"/>
      <c r="W144" s="9"/>
      <c r="X144" s="9"/>
      <c r="Y144" s="9"/>
      <c r="AA144" s="5"/>
      <c r="AB144" s="9"/>
      <c r="AC144" s="9"/>
      <c r="AD144" s="9"/>
      <c r="AE144" s="9"/>
      <c r="AF144" s="9"/>
      <c r="AG144" s="9"/>
    </row>
    <row r="145" spans="1:33" s="14" customFormat="1">
      <c r="A145" s="19"/>
      <c r="B145" s="9"/>
      <c r="C145" s="9"/>
      <c r="D145" s="16"/>
      <c r="E145" s="9"/>
      <c r="F145" s="9"/>
      <c r="G145" s="9"/>
      <c r="H145" s="9"/>
      <c r="I145" s="9"/>
      <c r="J145" s="9"/>
      <c r="K145" s="9"/>
      <c r="L145" s="9"/>
      <c r="M145" s="9"/>
      <c r="N145" s="9"/>
      <c r="O145" s="9"/>
      <c r="P145" s="9"/>
      <c r="Q145" s="9"/>
      <c r="R145" s="9"/>
      <c r="S145" s="9"/>
      <c r="T145" s="9"/>
      <c r="U145" s="9"/>
      <c r="V145" s="9"/>
      <c r="W145" s="9"/>
      <c r="X145" s="9"/>
      <c r="Y145" s="9"/>
      <c r="AA145" s="5"/>
      <c r="AB145" s="9"/>
      <c r="AC145" s="9"/>
      <c r="AD145" s="9"/>
      <c r="AE145" s="9"/>
      <c r="AF145" s="9"/>
      <c r="AG145" s="9"/>
    </row>
    <row r="146" spans="1:33" s="14" customFormat="1">
      <c r="A146" s="19"/>
      <c r="B146" s="9"/>
      <c r="C146" s="9"/>
      <c r="D146" s="16"/>
      <c r="E146" s="9"/>
      <c r="F146" s="9"/>
      <c r="G146" s="9"/>
      <c r="H146" s="9"/>
      <c r="I146" s="9"/>
      <c r="J146" s="9"/>
      <c r="K146" s="9"/>
      <c r="L146" s="9"/>
      <c r="M146" s="9"/>
      <c r="N146" s="9"/>
      <c r="O146" s="9"/>
      <c r="P146" s="9"/>
      <c r="Q146" s="9"/>
      <c r="R146" s="9"/>
      <c r="S146" s="9"/>
      <c r="T146" s="9"/>
      <c r="U146" s="9"/>
      <c r="V146" s="9"/>
      <c r="W146" s="9"/>
      <c r="X146" s="9"/>
      <c r="Y146" s="9"/>
      <c r="AA146" s="5"/>
      <c r="AB146" s="9"/>
      <c r="AC146" s="9"/>
      <c r="AD146" s="9"/>
      <c r="AE146" s="9"/>
      <c r="AF146" s="9"/>
      <c r="AG146" s="9"/>
    </row>
    <row r="147" spans="1:33" s="14" customFormat="1">
      <c r="A147" s="19"/>
      <c r="B147" s="9"/>
      <c r="C147" s="9"/>
      <c r="D147" s="16"/>
      <c r="E147" s="9"/>
      <c r="F147" s="9"/>
      <c r="G147" s="9"/>
      <c r="H147" s="9"/>
      <c r="I147" s="9"/>
      <c r="J147" s="9"/>
      <c r="K147" s="9"/>
      <c r="L147" s="9"/>
      <c r="M147" s="9"/>
      <c r="N147" s="9"/>
      <c r="O147" s="9"/>
      <c r="P147" s="9"/>
      <c r="Q147" s="9"/>
      <c r="R147" s="9"/>
      <c r="S147" s="9"/>
      <c r="T147" s="9"/>
      <c r="U147" s="9"/>
      <c r="V147" s="9"/>
      <c r="W147" s="9"/>
      <c r="X147" s="9"/>
      <c r="Y147" s="9"/>
      <c r="AA147" s="5"/>
      <c r="AB147" s="9"/>
      <c r="AC147" s="9"/>
      <c r="AD147" s="9"/>
      <c r="AE147" s="9"/>
      <c r="AF147" s="9"/>
      <c r="AG147" s="9"/>
    </row>
    <row r="148" spans="1:33" s="14" customFormat="1">
      <c r="A148" s="19"/>
      <c r="B148" s="9"/>
      <c r="C148" s="9"/>
      <c r="D148" s="16"/>
      <c r="E148" s="9"/>
      <c r="F148" s="9"/>
      <c r="G148" s="9"/>
      <c r="H148" s="9"/>
      <c r="I148" s="9"/>
      <c r="J148" s="9"/>
      <c r="K148" s="9"/>
      <c r="L148" s="9"/>
      <c r="M148" s="9"/>
      <c r="N148" s="9"/>
      <c r="O148" s="9"/>
      <c r="P148" s="9"/>
      <c r="Q148" s="9"/>
      <c r="R148" s="9"/>
      <c r="S148" s="9"/>
      <c r="T148" s="9"/>
      <c r="U148" s="9"/>
      <c r="V148" s="9"/>
      <c r="W148" s="9"/>
      <c r="X148" s="9"/>
      <c r="Y148" s="9"/>
      <c r="AA148" s="5"/>
      <c r="AB148" s="9"/>
      <c r="AC148" s="9"/>
      <c r="AD148" s="9"/>
      <c r="AE148" s="9"/>
      <c r="AF148" s="9"/>
      <c r="AG148" s="9"/>
    </row>
    <row r="149" spans="1:33" s="14" customFormat="1">
      <c r="A149" s="19"/>
      <c r="B149" s="9"/>
      <c r="C149" s="9"/>
      <c r="D149" s="16"/>
      <c r="E149" s="9"/>
      <c r="F149" s="9"/>
      <c r="G149" s="9"/>
      <c r="H149" s="9"/>
      <c r="I149" s="9"/>
      <c r="J149" s="9"/>
      <c r="K149" s="9"/>
      <c r="L149" s="9"/>
      <c r="M149" s="9"/>
      <c r="N149" s="9"/>
      <c r="O149" s="9"/>
      <c r="P149" s="9"/>
      <c r="Q149" s="9"/>
      <c r="R149" s="9"/>
      <c r="S149" s="9"/>
      <c r="T149" s="9"/>
      <c r="U149" s="9"/>
      <c r="V149" s="9"/>
      <c r="W149" s="9"/>
      <c r="X149" s="9"/>
      <c r="Y149" s="9"/>
      <c r="AA149" s="5"/>
      <c r="AB149" s="9"/>
      <c r="AC149" s="9"/>
      <c r="AD149" s="9"/>
      <c r="AE149" s="9"/>
      <c r="AF149" s="9"/>
      <c r="AG149" s="9"/>
    </row>
  </sheetData>
  <sheetProtection formatColumns="0" formatRows="0" insertRows="0" autoFilter="0"/>
  <dataValidations count="1">
    <dataValidation type="list" allowBlank="1" showInputMessage="1" showErrorMessage="1" prompt="Select US Costs or Incountry Costs as appropriate" sqref="B12:C12" xr:uid="{00000000-0002-0000-0800-000000000000}">
      <formula1>#REF!</formula1>
    </dataValidation>
  </dataValidations>
  <pageMargins left="0.5" right="0.5" top="0.5" bottom="0.5" header="0" footer="0.25"/>
  <pageSetup scale="45"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499984740745262"/>
    <pageSetUpPr fitToPage="1"/>
  </sheetPr>
  <dimension ref="A1:AG146"/>
  <sheetViews>
    <sheetView zoomScale="70" zoomScaleNormal="70" zoomScaleSheetLayoutView="70" workbookViewId="0">
      <pane xSplit="7" ySplit="13" topLeftCell="H14" activePane="bottomRight" state="frozen"/>
      <selection pane="topRight" activeCell="B43" sqref="B43"/>
      <selection pane="bottomLeft" activeCell="B43" sqref="B43"/>
      <selection pane="bottomRight" activeCell="B43" sqref="B43"/>
    </sheetView>
  </sheetViews>
  <sheetFormatPr defaultColWidth="9.71875" defaultRowHeight="12.3"/>
  <cols>
    <col min="1" max="1" width="15.44140625" style="19" bestFit="1" customWidth="1"/>
    <col min="2" max="2" width="15.5546875" style="9" customWidth="1"/>
    <col min="3" max="3" width="29" style="9" customWidth="1"/>
    <col min="4" max="4" width="12.27734375" style="13" customWidth="1"/>
    <col min="5" max="5" width="49.27734375" style="9" bestFit="1" customWidth="1"/>
    <col min="6" max="6" width="10.5546875" style="9" hidden="1" customWidth="1"/>
    <col min="7" max="7" width="9.27734375" style="9" hidden="1" customWidth="1"/>
    <col min="8" max="9" width="20.71875" style="9" customWidth="1"/>
    <col min="10" max="11" width="20.71875" style="9" hidden="1" customWidth="1"/>
    <col min="12" max="12" width="20.71875" style="9" customWidth="1"/>
    <col min="13" max="14" width="20.71875" style="9" hidden="1" customWidth="1"/>
    <col min="15" max="15" width="20.71875" style="9" customWidth="1"/>
    <col min="16" max="17" width="20.71875" style="9" hidden="1" customWidth="1"/>
    <col min="18" max="18" width="20.71875" style="9" customWidth="1"/>
    <col min="19" max="20" width="20.71875" style="9" hidden="1" customWidth="1"/>
    <col min="21" max="21" width="20.71875" style="9" customWidth="1"/>
    <col min="22" max="23" width="20.71875" style="9" hidden="1" customWidth="1"/>
    <col min="24" max="24" width="16" style="9" customWidth="1"/>
    <col min="25" max="25" width="15.5546875" style="14" customWidth="1"/>
    <col min="26" max="26" width="13.71875" style="14" customWidth="1"/>
    <col min="27" max="27" width="12.44140625" style="5" bestFit="1" customWidth="1"/>
    <col min="28" max="16384" width="9.71875" style="9"/>
  </cols>
  <sheetData>
    <row r="1" spans="1:27" s="8" customFormat="1" ht="20.100000000000001">
      <c r="A1" s="19"/>
      <c r="C1" s="4"/>
      <c r="D1" s="441" t="s">
        <v>347</v>
      </c>
      <c r="M1" s="9"/>
      <c r="N1" s="10"/>
      <c r="P1" s="24"/>
      <c r="Q1" s="25"/>
      <c r="R1" s="25"/>
      <c r="T1" s="25"/>
      <c r="U1" s="25"/>
      <c r="V1" s="25"/>
      <c r="W1" s="24"/>
      <c r="Z1" s="11"/>
    </row>
    <row r="2" spans="1:27" s="8" customFormat="1" ht="15">
      <c r="A2" s="19"/>
      <c r="C2" s="315"/>
      <c r="D2" s="442" t="str">
        <f>Assumptions!B9</f>
        <v>DONOR:</v>
      </c>
      <c r="E2" s="315" t="str">
        <f>'Incountry Costs by GL USD'!E2</f>
        <v>USDOL</v>
      </c>
      <c r="M2" s="9"/>
      <c r="N2" s="9"/>
      <c r="O2" s="9"/>
      <c r="P2" s="27"/>
      <c r="Q2" s="12"/>
      <c r="R2" s="12"/>
      <c r="T2" s="9"/>
      <c r="V2" s="9"/>
      <c r="Y2" s="11"/>
      <c r="Z2" s="11"/>
      <c r="AA2" s="12"/>
    </row>
    <row r="3" spans="1:27" s="8" customFormat="1" ht="15">
      <c r="A3" s="19"/>
      <c r="C3" s="315"/>
      <c r="D3" s="442" t="str">
        <f>Assumptions!B10</f>
        <v>Country:</v>
      </c>
      <c r="E3" s="315" t="str">
        <f>'Incountry Costs by GL USD'!E3</f>
        <v>Ecuador</v>
      </c>
      <c r="M3" s="9"/>
      <c r="N3" s="9"/>
      <c r="O3" s="9"/>
      <c r="P3" s="27"/>
      <c r="Q3" s="12"/>
      <c r="R3" s="12"/>
      <c r="T3" s="9"/>
      <c r="V3" s="9"/>
      <c r="W3" s="912"/>
      <c r="Y3" s="11"/>
      <c r="Z3" s="11"/>
      <c r="AA3" s="12"/>
    </row>
    <row r="4" spans="1:27" ht="15">
      <c r="C4" s="315"/>
      <c r="D4" s="442" t="str">
        <f>Assumptions!B11</f>
        <v>Program Name:</v>
      </c>
      <c r="E4" s="315" t="str">
        <f>'Incountry Costs by GL USD'!E4</f>
        <v>Project to Improve Adherence to International Labor Standards in the Agricultural Sector in Ecuador</v>
      </c>
      <c r="F4" s="8"/>
      <c r="S4" s="913"/>
      <c r="W4" s="912"/>
    </row>
    <row r="5" spans="1:27" ht="15">
      <c r="C5" s="315"/>
      <c r="D5" s="442" t="str">
        <f>Assumptions!B12</f>
        <v>Grant Number:</v>
      </c>
      <c r="E5" s="315" t="str">
        <f>'Incountry Costs by GL USD'!E5</f>
        <v>FOA-ILAB-23-28</v>
      </c>
      <c r="I5"/>
      <c r="S5" s="913"/>
      <c r="W5" s="912"/>
    </row>
    <row r="6" spans="1:27" ht="15">
      <c r="C6" s="315"/>
      <c r="D6" s="442" t="str">
        <f>Assumptions!B13</f>
        <v>Period of Performance:</v>
      </c>
      <c r="E6" s="462" t="str">
        <f>'Incountry Costs by GL USD'!E6</f>
        <v>48 months</v>
      </c>
      <c r="H6" s="462">
        <f>'Incountry Costs by GL USD'!H6</f>
        <v>0</v>
      </c>
      <c r="S6" s="913"/>
    </row>
    <row r="7" spans="1:27" ht="15">
      <c r="C7" s="315"/>
      <c r="D7" s="315"/>
      <c r="T7" s="5"/>
      <c r="V7" s="5"/>
      <c r="Y7" s="9"/>
      <c r="Z7" s="9"/>
      <c r="AA7" s="9"/>
    </row>
    <row r="8" spans="1:27" ht="20.100000000000001">
      <c r="C8" s="315"/>
      <c r="D8" s="4" t="s">
        <v>425</v>
      </c>
      <c r="T8" s="5"/>
      <c r="V8" s="5"/>
      <c r="Y8" s="9"/>
      <c r="Z8" s="9"/>
      <c r="AA8" s="9"/>
    </row>
    <row r="9" spans="1:27" ht="15">
      <c r="C9" s="315"/>
      <c r="D9" s="315" t="s">
        <v>306</v>
      </c>
      <c r="T9" s="5"/>
      <c r="V9" s="5"/>
      <c r="Y9" s="9"/>
      <c r="Z9" s="9"/>
      <c r="AA9" s="9"/>
    </row>
    <row r="10" spans="1:27" s="30" customFormat="1" ht="20.100000000000001">
      <c r="A10" s="19"/>
      <c r="C10" s="4"/>
      <c r="D10" s="409" t="s">
        <v>499</v>
      </c>
      <c r="E10" s="173"/>
      <c r="F10" s="173"/>
      <c r="G10" s="173"/>
      <c r="I10" s="415" t="s">
        <v>500</v>
      </c>
      <c r="J10" s="416"/>
      <c r="K10" s="416"/>
      <c r="L10" s="417">
        <f>er</f>
        <v>0</v>
      </c>
      <c r="M10" s="173"/>
      <c r="N10" s="173"/>
      <c r="O10" s="173" t="s">
        <v>501</v>
      </c>
      <c r="P10" s="173"/>
      <c r="Q10" s="173"/>
      <c r="R10" s="173"/>
      <c r="S10" s="173"/>
      <c r="T10" s="173"/>
      <c r="U10" s="173"/>
      <c r="V10" s="415" t="s">
        <v>500</v>
      </c>
      <c r="W10" s="416"/>
      <c r="X10" s="31"/>
    </row>
    <row r="11" spans="1:27" s="105" customFormat="1" ht="20.100000000000001">
      <c r="A11" s="19"/>
      <c r="C11" s="4"/>
      <c r="D11" s="443"/>
      <c r="E11" s="429" t="s">
        <v>427</v>
      </c>
      <c r="F11" s="444"/>
      <c r="G11" s="444"/>
      <c r="H11" s="9"/>
      <c r="I11" s="468" t="str">
        <f>'Incountry Costs by GL USD'!I11</f>
        <v>21 - 987654321</v>
      </c>
      <c r="J11" s="468"/>
      <c r="K11" s="468"/>
      <c r="L11" s="468" t="str">
        <f>'Incountry Costs by GL USD'!L11</f>
        <v>22 - 987654322</v>
      </c>
      <c r="M11" s="468"/>
      <c r="N11" s="468"/>
      <c r="O11" s="468" t="str">
        <f>'Incountry Costs by GL USD'!O11</f>
        <v>23 - 987654323</v>
      </c>
      <c r="P11" s="468"/>
      <c r="Q11" s="468"/>
      <c r="R11" s="468" t="str">
        <f>'Incountry Costs by GL USD'!R11</f>
        <v>24 - 987654324</v>
      </c>
      <c r="S11" s="468"/>
      <c r="T11" s="468"/>
      <c r="U11" s="468" t="str">
        <f>'Incountry Costs by GL USD'!U11</f>
        <v>25 - 987654325</v>
      </c>
      <c r="V11" s="468"/>
      <c r="W11" s="468"/>
    </row>
    <row r="12" spans="1:27" s="30" customFormat="1" ht="15.3" thickBot="1">
      <c r="A12" s="19"/>
      <c r="B12" s="947"/>
      <c r="C12" s="947"/>
      <c r="D12" s="173"/>
      <c r="E12" s="173"/>
      <c r="F12" s="173"/>
      <c r="G12" s="173"/>
      <c r="H12" s="173"/>
      <c r="I12" s="173"/>
      <c r="J12" s="173"/>
      <c r="K12" s="173"/>
      <c r="L12" s="173"/>
      <c r="M12" s="173"/>
      <c r="N12" s="173"/>
      <c r="O12" s="173"/>
      <c r="P12" s="173"/>
      <c r="Q12" s="173"/>
      <c r="R12" s="173"/>
      <c r="S12" s="173"/>
      <c r="T12" s="173"/>
      <c r="U12" s="173"/>
      <c r="V12" s="173"/>
      <c r="W12" s="173"/>
      <c r="X12" s="31"/>
      <c r="Y12" s="31"/>
    </row>
    <row r="13" spans="1:27" s="440" customFormat="1" ht="30.3" thickBot="1">
      <c r="A13" s="445" t="s">
        <v>363</v>
      </c>
      <c r="B13" s="411" t="s">
        <v>364</v>
      </c>
      <c r="C13" s="438" t="s">
        <v>365</v>
      </c>
      <c r="D13" s="446" t="s">
        <v>366</v>
      </c>
      <c r="E13" s="438" t="s">
        <v>365</v>
      </c>
      <c r="F13" s="437"/>
      <c r="G13" s="437"/>
      <c r="H13" s="449" t="s">
        <v>412</v>
      </c>
      <c r="I13" s="418" t="e">
        <f>#REF!</f>
        <v>#REF!</v>
      </c>
      <c r="J13" s="437"/>
      <c r="K13" s="437"/>
      <c r="L13" s="418" t="e">
        <f>#REF!</f>
        <v>#REF!</v>
      </c>
      <c r="M13" s="437"/>
      <c r="N13" s="437"/>
      <c r="O13" s="418" t="e">
        <f>#REF!</f>
        <v>#REF!</v>
      </c>
      <c r="P13" s="437"/>
      <c r="Q13" s="437"/>
      <c r="R13" s="418" t="e">
        <f>#REF!</f>
        <v>#REF!</v>
      </c>
      <c r="S13" s="437"/>
      <c r="T13" s="437"/>
      <c r="U13" s="418" t="e">
        <f>#REF!</f>
        <v>#REF!</v>
      </c>
      <c r="V13" s="437"/>
      <c r="W13" s="438"/>
    </row>
    <row r="14" spans="1:27" s="30" customFormat="1" ht="15">
      <c r="A14" s="31"/>
      <c r="B14" s="373"/>
      <c r="C14" s="371"/>
      <c r="D14" s="371"/>
      <c r="E14" s="361"/>
      <c r="F14" s="361"/>
      <c r="G14" s="361"/>
      <c r="H14" s="361"/>
      <c r="I14" s="370"/>
      <c r="J14" s="370"/>
      <c r="K14" s="370"/>
      <c r="L14" s="370"/>
      <c r="M14" s="370"/>
      <c r="N14" s="370"/>
      <c r="O14" s="370"/>
      <c r="P14" s="370"/>
      <c r="Q14" s="370"/>
      <c r="R14" s="370"/>
      <c r="S14" s="370"/>
      <c r="T14" s="370"/>
      <c r="U14" s="370"/>
      <c r="V14" s="370"/>
      <c r="W14" s="370"/>
    </row>
    <row r="15" spans="1:27" s="30" customFormat="1" ht="15">
      <c r="A15" s="410" t="s">
        <v>23</v>
      </c>
      <c r="B15" s="380" t="s">
        <v>367</v>
      </c>
      <c r="C15" s="384" t="s">
        <v>433</v>
      </c>
      <c r="D15" s="384" t="s">
        <v>434</v>
      </c>
      <c r="E15" s="329" t="s">
        <v>435</v>
      </c>
      <c r="F15" s="329"/>
      <c r="G15" s="329"/>
      <c r="H15" s="448" t="e">
        <f>'Incountry Costs by GL USD'!H15*$L$10</f>
        <v>#REF!</v>
      </c>
      <c r="I15" s="451" t="e">
        <f>'Incountry Costs by GL USD'!I15*$L$10</f>
        <v>#REF!</v>
      </c>
      <c r="J15" s="452"/>
      <c r="K15" s="452"/>
      <c r="L15" s="451" t="e">
        <f>'Incountry Costs by GL USD'!L15*$L$10</f>
        <v>#REF!</v>
      </c>
      <c r="M15" s="452"/>
      <c r="N15" s="452"/>
      <c r="O15" s="451" t="e">
        <f>'Incountry Costs by GL USD'!O15*$L$10</f>
        <v>#REF!</v>
      </c>
      <c r="P15" s="452"/>
      <c r="Q15" s="452"/>
      <c r="R15" s="451" t="e">
        <f>'Incountry Costs by GL USD'!R15*$L$10</f>
        <v>#REF!</v>
      </c>
      <c r="S15" s="452"/>
      <c r="T15" s="452"/>
      <c r="U15" s="451" t="e">
        <f>'Incountry Costs by GL USD'!U15*$L$10</f>
        <v>#REF!</v>
      </c>
      <c r="V15" s="452"/>
      <c r="W15" s="453"/>
    </row>
    <row r="16" spans="1:27" s="30" customFormat="1" ht="15">
      <c r="A16" s="410" t="s">
        <v>52</v>
      </c>
      <c r="B16" s="380" t="s">
        <v>371</v>
      </c>
      <c r="C16" s="384" t="s">
        <v>52</v>
      </c>
      <c r="D16" s="384" t="s">
        <v>436</v>
      </c>
      <c r="E16" s="329" t="s">
        <v>437</v>
      </c>
      <c r="F16" s="329"/>
      <c r="G16" s="329"/>
      <c r="H16" s="448" t="e">
        <f>'Incountry Costs by GL USD'!H16*$L$10</f>
        <v>#REF!</v>
      </c>
      <c r="I16" s="451" t="e">
        <f>'Incountry Costs by GL USD'!I16*$L$10</f>
        <v>#REF!</v>
      </c>
      <c r="J16" s="452"/>
      <c r="K16" s="452"/>
      <c r="L16" s="451" t="e">
        <f>'Incountry Costs by GL USD'!L16*$L$10</f>
        <v>#REF!</v>
      </c>
      <c r="M16" s="452"/>
      <c r="N16" s="452"/>
      <c r="O16" s="451" t="e">
        <f>'Incountry Costs by GL USD'!O16*$L$10</f>
        <v>#REF!</v>
      </c>
      <c r="P16" s="452"/>
      <c r="Q16" s="452"/>
      <c r="R16" s="451" t="e">
        <f>'Incountry Costs by GL USD'!R16*$L$10</f>
        <v>#REF!</v>
      </c>
      <c r="S16" s="452"/>
      <c r="T16" s="452"/>
      <c r="U16" s="451" t="e">
        <f>'Incountry Costs by GL USD'!U16*$L$10</f>
        <v>#REF!</v>
      </c>
      <c r="V16" s="452"/>
      <c r="W16" s="453"/>
    </row>
    <row r="17" spans="1:23" s="30" customFormat="1" ht="15">
      <c r="A17" s="410" t="s">
        <v>58</v>
      </c>
      <c r="B17" s="380" t="s">
        <v>372</v>
      </c>
      <c r="C17" s="329" t="s">
        <v>373</v>
      </c>
      <c r="D17" s="384" t="s">
        <v>438</v>
      </c>
      <c r="E17" s="329" t="s">
        <v>439</v>
      </c>
      <c r="F17" s="329"/>
      <c r="G17" s="329"/>
      <c r="H17" s="448" t="e">
        <f>'Incountry Costs by GL USD'!H17*$L$10</f>
        <v>#REF!</v>
      </c>
      <c r="I17" s="451" t="e">
        <f>'Incountry Costs by GL USD'!I17*$L$10</f>
        <v>#REF!</v>
      </c>
      <c r="J17" s="452"/>
      <c r="K17" s="452"/>
      <c r="L17" s="451" t="e">
        <f>'Incountry Costs by GL USD'!L17*$L$10</f>
        <v>#REF!</v>
      </c>
      <c r="M17" s="452"/>
      <c r="N17" s="452"/>
      <c r="O17" s="451" t="e">
        <f>'Incountry Costs by GL USD'!O17*$L$10</f>
        <v>#REF!</v>
      </c>
      <c r="P17" s="452"/>
      <c r="Q17" s="452"/>
      <c r="R17" s="451" t="e">
        <f>'Incountry Costs by GL USD'!R17*$L$10</f>
        <v>#REF!</v>
      </c>
      <c r="S17" s="452"/>
      <c r="T17" s="452"/>
      <c r="U17" s="451" t="e">
        <f>'Incountry Costs by GL USD'!U17*$L$10</f>
        <v>#REF!</v>
      </c>
      <c r="V17" s="452"/>
      <c r="W17" s="453"/>
    </row>
    <row r="18" spans="1:23" s="30" customFormat="1" ht="15">
      <c r="A18" s="29"/>
      <c r="B18" s="380" t="s">
        <v>374</v>
      </c>
      <c r="C18" s="329" t="s">
        <v>375</v>
      </c>
      <c r="D18" s="384" t="s">
        <v>440</v>
      </c>
      <c r="E18" s="329" t="s">
        <v>375</v>
      </c>
      <c r="F18" s="329"/>
      <c r="G18" s="329"/>
      <c r="H18" s="448" t="e">
        <f>'Incountry Costs by GL USD'!H18*$L$10</f>
        <v>#REF!</v>
      </c>
      <c r="I18" s="451" t="e">
        <f>'Incountry Costs by GL USD'!I18*$L$10</f>
        <v>#REF!</v>
      </c>
      <c r="J18" s="452"/>
      <c r="K18" s="452"/>
      <c r="L18" s="451" t="e">
        <f>'Incountry Costs by GL USD'!L18*$L$10</f>
        <v>#REF!</v>
      </c>
      <c r="M18" s="452"/>
      <c r="N18" s="452"/>
      <c r="O18" s="451" t="e">
        <f>'Incountry Costs by GL USD'!O18*$L$10</f>
        <v>#REF!</v>
      </c>
      <c r="P18" s="452"/>
      <c r="Q18" s="452"/>
      <c r="R18" s="451" t="e">
        <f>'Incountry Costs by GL USD'!R18*$L$10</f>
        <v>#REF!</v>
      </c>
      <c r="S18" s="452"/>
      <c r="T18" s="452"/>
      <c r="U18" s="451" t="e">
        <f>'Incountry Costs by GL USD'!U18*$L$10</f>
        <v>#REF!</v>
      </c>
      <c r="V18" s="452"/>
      <c r="W18" s="453"/>
    </row>
    <row r="19" spans="1:23" s="30" customFormat="1" ht="15">
      <c r="A19" s="29"/>
      <c r="B19" s="367"/>
      <c r="C19" s="329"/>
      <c r="D19" s="384" t="s">
        <v>441</v>
      </c>
      <c r="E19" s="329" t="s">
        <v>442</v>
      </c>
      <c r="F19" s="329"/>
      <c r="G19" s="329"/>
      <c r="H19" s="448" t="e">
        <f>'Incountry Costs by GL USD'!H19*$L$10</f>
        <v>#REF!</v>
      </c>
      <c r="I19" s="451" t="e">
        <f>'Incountry Costs by GL USD'!I19*$L$10</f>
        <v>#REF!</v>
      </c>
      <c r="J19" s="452"/>
      <c r="K19" s="452"/>
      <c r="L19" s="451" t="e">
        <f>'Incountry Costs by GL USD'!L19*$L$10</f>
        <v>#REF!</v>
      </c>
      <c r="M19" s="452"/>
      <c r="N19" s="452"/>
      <c r="O19" s="451" t="e">
        <f>'Incountry Costs by GL USD'!O19*$L$10</f>
        <v>#REF!</v>
      </c>
      <c r="P19" s="452"/>
      <c r="Q19" s="452"/>
      <c r="R19" s="451" t="e">
        <f>'Incountry Costs by GL USD'!R19*$L$10</f>
        <v>#REF!</v>
      </c>
      <c r="S19" s="452"/>
      <c r="T19" s="452"/>
      <c r="U19" s="451" t="e">
        <f>'Incountry Costs by GL USD'!U19*$L$10</f>
        <v>#REF!</v>
      </c>
      <c r="V19" s="452"/>
      <c r="W19" s="453"/>
    </row>
    <row r="20" spans="1:23" s="30" customFormat="1" ht="15">
      <c r="A20" s="410" t="s">
        <v>94</v>
      </c>
      <c r="B20" s="380" t="s">
        <v>376</v>
      </c>
      <c r="C20" s="384" t="s">
        <v>377</v>
      </c>
      <c r="D20" s="384" t="s">
        <v>421</v>
      </c>
      <c r="E20" s="329" t="s">
        <v>422</v>
      </c>
      <c r="F20" s="329"/>
      <c r="G20" s="329"/>
      <c r="H20" s="448" t="e">
        <f>'Incountry Costs by GL USD'!H20*$L$10</f>
        <v>#REF!</v>
      </c>
      <c r="I20" s="451" t="e">
        <f>'Incountry Costs by GL USD'!I20*$L$10</f>
        <v>#REF!</v>
      </c>
      <c r="J20" s="452"/>
      <c r="K20" s="452"/>
      <c r="L20" s="451" t="e">
        <f>'Incountry Costs by GL USD'!L20*$L$10</f>
        <v>#REF!</v>
      </c>
      <c r="M20" s="452"/>
      <c r="N20" s="452"/>
      <c r="O20" s="451" t="e">
        <f>'Incountry Costs by GL USD'!O20*$L$10</f>
        <v>#REF!</v>
      </c>
      <c r="P20" s="452"/>
      <c r="Q20" s="452"/>
      <c r="R20" s="451" t="e">
        <f>'Incountry Costs by GL USD'!R20*$L$10</f>
        <v>#REF!</v>
      </c>
      <c r="S20" s="452"/>
      <c r="T20" s="452"/>
      <c r="U20" s="451" t="e">
        <f>'Incountry Costs by GL USD'!U20*$L$10</f>
        <v>#REF!</v>
      </c>
      <c r="V20" s="452"/>
      <c r="W20" s="453"/>
    </row>
    <row r="21" spans="1:23" s="30" customFormat="1" ht="15">
      <c r="A21" s="410"/>
      <c r="B21" s="380" t="s">
        <v>376</v>
      </c>
      <c r="C21" s="384" t="s">
        <v>377</v>
      </c>
      <c r="D21" s="384" t="s">
        <v>423</v>
      </c>
      <c r="E21" s="329" t="s">
        <v>424</v>
      </c>
      <c r="F21" s="329"/>
      <c r="G21" s="329"/>
      <c r="H21" s="448" t="e">
        <f>'Incountry Costs by GL USD'!H21*$L$10</f>
        <v>#REF!</v>
      </c>
      <c r="I21" s="451" t="e">
        <f>'Incountry Costs by GL USD'!I21*$L$10</f>
        <v>#REF!</v>
      </c>
      <c r="J21" s="452"/>
      <c r="K21" s="452"/>
      <c r="L21" s="451" t="e">
        <f>'Incountry Costs by GL USD'!L21*$L$10</f>
        <v>#REF!</v>
      </c>
      <c r="M21" s="452"/>
      <c r="N21" s="452"/>
      <c r="O21" s="451" t="e">
        <f>'Incountry Costs by GL USD'!O21*$L$10</f>
        <v>#REF!</v>
      </c>
      <c r="P21" s="452"/>
      <c r="Q21" s="452"/>
      <c r="R21" s="451" t="e">
        <f>'Incountry Costs by GL USD'!R21*$L$10</f>
        <v>#REF!</v>
      </c>
      <c r="S21" s="452"/>
      <c r="T21" s="452"/>
      <c r="U21" s="451" t="e">
        <f>'Incountry Costs by GL USD'!U21*$L$10</f>
        <v>#REF!</v>
      </c>
      <c r="V21" s="452"/>
      <c r="W21" s="453"/>
    </row>
    <row r="22" spans="1:23" s="30" customFormat="1" ht="15">
      <c r="B22" s="380" t="s">
        <v>376</v>
      </c>
      <c r="C22" s="384" t="s">
        <v>377</v>
      </c>
      <c r="D22" s="384" t="s">
        <v>378</v>
      </c>
      <c r="E22" s="329" t="s">
        <v>379</v>
      </c>
      <c r="F22" s="329"/>
      <c r="G22" s="329"/>
      <c r="H22" s="448" t="e">
        <f>'Incountry Costs by GL USD'!H23*$L$10</f>
        <v>#REF!</v>
      </c>
      <c r="I22" s="451" t="e">
        <f>'Incountry Costs by GL USD'!I23*$L$10</f>
        <v>#REF!</v>
      </c>
      <c r="J22" s="452"/>
      <c r="K22" s="452"/>
      <c r="L22" s="451" t="e">
        <f>'Incountry Costs by GL USD'!L23*$L$10</f>
        <v>#REF!</v>
      </c>
      <c r="M22" s="452"/>
      <c r="N22" s="452"/>
      <c r="O22" s="451" t="e">
        <f>'Incountry Costs by GL USD'!O23*$L$10</f>
        <v>#REF!</v>
      </c>
      <c r="P22" s="452"/>
      <c r="Q22" s="452"/>
      <c r="R22" s="451" t="e">
        <f>'Incountry Costs by GL USD'!R23*$L$10</f>
        <v>#REF!</v>
      </c>
      <c r="S22" s="452"/>
      <c r="T22" s="452"/>
      <c r="U22" s="451" t="e">
        <f>'Incountry Costs by GL USD'!U23*$L$10</f>
        <v>#REF!</v>
      </c>
      <c r="V22" s="452"/>
      <c r="W22" s="453"/>
    </row>
    <row r="23" spans="1:23" s="30" customFormat="1" ht="15">
      <c r="A23" s="410"/>
      <c r="B23" s="380" t="s">
        <v>376</v>
      </c>
      <c r="C23" s="384" t="s">
        <v>377</v>
      </c>
      <c r="D23" s="384" t="s">
        <v>380</v>
      </c>
      <c r="E23" s="329" t="s">
        <v>381</v>
      </c>
      <c r="F23" s="329"/>
      <c r="G23" s="329"/>
      <c r="H23" s="448" t="e">
        <f>'Incountry Costs by GL USD'!H26*$L$10</f>
        <v>#REF!</v>
      </c>
      <c r="I23" s="451" t="e">
        <f>'Incountry Costs by GL USD'!I26*$L$10</f>
        <v>#REF!</v>
      </c>
      <c r="J23" s="452"/>
      <c r="K23" s="452"/>
      <c r="L23" s="451" t="e">
        <f>'Incountry Costs by GL USD'!L26*$L$10</f>
        <v>#REF!</v>
      </c>
      <c r="M23" s="452"/>
      <c r="N23" s="452"/>
      <c r="O23" s="451" t="e">
        <f>'Incountry Costs by GL USD'!O26*$L$10</f>
        <v>#REF!</v>
      </c>
      <c r="P23" s="452"/>
      <c r="Q23" s="452"/>
      <c r="R23" s="451" t="e">
        <f>'Incountry Costs by GL USD'!R26*$L$10</f>
        <v>#REF!</v>
      </c>
      <c r="S23" s="452"/>
      <c r="T23" s="452"/>
      <c r="U23" s="451" t="e">
        <f>'Incountry Costs by GL USD'!U26*$L$10</f>
        <v>#REF!</v>
      </c>
      <c r="V23" s="452"/>
      <c r="W23" s="453"/>
    </row>
    <row r="24" spans="1:23" s="30" customFormat="1" ht="15">
      <c r="B24" s="380" t="s">
        <v>376</v>
      </c>
      <c r="C24" s="384" t="s">
        <v>377</v>
      </c>
      <c r="D24" s="384" t="s">
        <v>382</v>
      </c>
      <c r="E24" s="329" t="s">
        <v>383</v>
      </c>
      <c r="F24" s="329"/>
      <c r="G24" s="329"/>
      <c r="H24" s="448" t="e">
        <f>'Incountry Costs by GL USD'!H27*$L$10</f>
        <v>#REF!</v>
      </c>
      <c r="I24" s="451" t="e">
        <f>'Incountry Costs by GL USD'!I27*$L$10</f>
        <v>#REF!</v>
      </c>
      <c r="J24" s="452"/>
      <c r="K24" s="452"/>
      <c r="L24" s="451" t="e">
        <f>'Incountry Costs by GL USD'!L27*$L$10</f>
        <v>#REF!</v>
      </c>
      <c r="M24" s="452"/>
      <c r="N24" s="452"/>
      <c r="O24" s="451" t="e">
        <f>'Incountry Costs by GL USD'!O27*$L$10</f>
        <v>#REF!</v>
      </c>
      <c r="P24" s="452"/>
      <c r="Q24" s="452"/>
      <c r="R24" s="451" t="e">
        <f>'Incountry Costs by GL USD'!R27*$L$10</f>
        <v>#REF!</v>
      </c>
      <c r="S24" s="452"/>
      <c r="T24" s="452"/>
      <c r="U24" s="451" t="e">
        <f>'Incountry Costs by GL USD'!U27*$L$10</f>
        <v>#REF!</v>
      </c>
      <c r="V24" s="452"/>
      <c r="W24" s="453"/>
    </row>
    <row r="25" spans="1:23" s="30" customFormat="1" ht="15">
      <c r="A25" s="410"/>
      <c r="B25" s="380" t="s">
        <v>376</v>
      </c>
      <c r="C25" s="384" t="s">
        <v>377</v>
      </c>
      <c r="D25" s="384" t="s">
        <v>384</v>
      </c>
      <c r="E25" s="329" t="s">
        <v>385</v>
      </c>
      <c r="F25" s="329"/>
      <c r="G25" s="329"/>
      <c r="H25" s="448" t="e">
        <f>'Incountry Costs by GL USD'!H28*$L$10</f>
        <v>#REF!</v>
      </c>
      <c r="I25" s="451" t="e">
        <f>'Incountry Costs by GL USD'!I28*$L$10</f>
        <v>#REF!</v>
      </c>
      <c r="J25" s="452"/>
      <c r="K25" s="452"/>
      <c r="L25" s="451" t="e">
        <f>'Incountry Costs by GL USD'!L28*$L$10</f>
        <v>#REF!</v>
      </c>
      <c r="M25" s="452"/>
      <c r="N25" s="452"/>
      <c r="O25" s="451" t="e">
        <f>'Incountry Costs by GL USD'!O28*$L$10</f>
        <v>#REF!</v>
      </c>
      <c r="P25" s="452"/>
      <c r="Q25" s="452"/>
      <c r="R25" s="451" t="e">
        <f>'Incountry Costs by GL USD'!R28*$L$10</f>
        <v>#REF!</v>
      </c>
      <c r="S25" s="452"/>
      <c r="T25" s="452"/>
      <c r="U25" s="451" t="e">
        <f>'Incountry Costs by GL USD'!U28*$L$10</f>
        <v>#REF!</v>
      </c>
      <c r="V25" s="452"/>
      <c r="W25" s="453"/>
    </row>
    <row r="26" spans="1:23" s="30" customFormat="1" ht="15">
      <c r="A26" s="410"/>
      <c r="B26" s="380" t="s">
        <v>376</v>
      </c>
      <c r="C26" s="384" t="s">
        <v>377</v>
      </c>
      <c r="D26" s="384" t="s">
        <v>386</v>
      </c>
      <c r="E26" s="329" t="s">
        <v>387</v>
      </c>
      <c r="F26" s="329"/>
      <c r="G26" s="329"/>
      <c r="H26" s="448" t="e">
        <f>'Incountry Costs by GL USD'!H29*$L$10</f>
        <v>#REF!</v>
      </c>
      <c r="I26" s="451" t="e">
        <f>'Incountry Costs by GL USD'!I29*$L$10</f>
        <v>#REF!</v>
      </c>
      <c r="J26" s="452"/>
      <c r="K26" s="452"/>
      <c r="L26" s="451" t="e">
        <f>'Incountry Costs by GL USD'!L29*$L$10</f>
        <v>#REF!</v>
      </c>
      <c r="M26" s="452"/>
      <c r="N26" s="452"/>
      <c r="O26" s="451" t="e">
        <f>'Incountry Costs by GL USD'!O29*$L$10</f>
        <v>#REF!</v>
      </c>
      <c r="P26" s="452"/>
      <c r="Q26" s="452"/>
      <c r="R26" s="451" t="e">
        <f>'Incountry Costs by GL USD'!R29*$L$10</f>
        <v>#REF!</v>
      </c>
      <c r="S26" s="452"/>
      <c r="T26" s="452"/>
      <c r="U26" s="451" t="e">
        <f>'Incountry Costs by GL USD'!U29*$L$10</f>
        <v>#REF!</v>
      </c>
      <c r="V26" s="452"/>
      <c r="W26" s="453"/>
    </row>
    <row r="27" spans="1:23" s="30" customFormat="1" ht="15">
      <c r="A27" s="410" t="s">
        <v>90</v>
      </c>
      <c r="B27" s="380" t="s">
        <v>388</v>
      </c>
      <c r="C27" s="329" t="s">
        <v>90</v>
      </c>
      <c r="D27" s="384" t="s">
        <v>446</v>
      </c>
      <c r="E27" s="329" t="s">
        <v>447</v>
      </c>
      <c r="F27" s="329"/>
      <c r="G27" s="329"/>
      <c r="H27" s="448" t="e">
        <f>'Incountry Costs by GL USD'!H30*$L$10</f>
        <v>#REF!</v>
      </c>
      <c r="I27" s="451" t="e">
        <f>'Incountry Costs by GL USD'!I30*$L$10</f>
        <v>#REF!</v>
      </c>
      <c r="J27" s="452"/>
      <c r="K27" s="452"/>
      <c r="L27" s="451" t="e">
        <f>'Incountry Costs by GL USD'!L30*$L$10</f>
        <v>#REF!</v>
      </c>
      <c r="M27" s="452"/>
      <c r="N27" s="452"/>
      <c r="O27" s="451" t="e">
        <f>'Incountry Costs by GL USD'!O30*$L$10</f>
        <v>#REF!</v>
      </c>
      <c r="P27" s="452"/>
      <c r="Q27" s="452"/>
      <c r="R27" s="451" t="e">
        <f>'Incountry Costs by GL USD'!R30*$L$10</f>
        <v>#REF!</v>
      </c>
      <c r="S27" s="452"/>
      <c r="T27" s="452"/>
      <c r="U27" s="451" t="e">
        <f>'Incountry Costs by GL USD'!U30*$L$10</f>
        <v>#REF!</v>
      </c>
      <c r="V27" s="452"/>
      <c r="W27" s="453"/>
    </row>
    <row r="28" spans="1:23" s="30" customFormat="1" ht="15">
      <c r="A28" s="410" t="s">
        <v>103</v>
      </c>
      <c r="B28" s="380" t="s">
        <v>395</v>
      </c>
      <c r="C28" s="384" t="s">
        <v>396</v>
      </c>
      <c r="D28" s="384" t="s">
        <v>448</v>
      </c>
      <c r="E28" s="329" t="s">
        <v>449</v>
      </c>
      <c r="F28" s="329"/>
      <c r="G28" s="329"/>
      <c r="H28" s="448" t="e">
        <f>'Incountry Costs by GL USD'!H31*$L$10</f>
        <v>#REF!</v>
      </c>
      <c r="I28" s="451" t="e">
        <f>'Incountry Costs by GL USD'!I31*$L$10</f>
        <v>#REF!</v>
      </c>
      <c r="J28" s="452"/>
      <c r="K28" s="452"/>
      <c r="L28" s="451" t="e">
        <f>'Incountry Costs by GL USD'!L31*$L$10</f>
        <v>#REF!</v>
      </c>
      <c r="M28" s="452"/>
      <c r="N28" s="452"/>
      <c r="O28" s="451" t="e">
        <f>'Incountry Costs by GL USD'!O31*$L$10</f>
        <v>#REF!</v>
      </c>
      <c r="P28" s="452"/>
      <c r="Q28" s="452"/>
      <c r="R28" s="451" t="e">
        <f>'Incountry Costs by GL USD'!R31*$L$10</f>
        <v>#REF!</v>
      </c>
      <c r="S28" s="452"/>
      <c r="T28" s="452"/>
      <c r="U28" s="451" t="e">
        <f>'Incountry Costs by GL USD'!U31*$L$10</f>
        <v>#REF!</v>
      </c>
      <c r="V28" s="452"/>
      <c r="W28" s="453"/>
    </row>
    <row r="29" spans="1:23" s="30" customFormat="1" ht="15">
      <c r="B29" s="380" t="s">
        <v>389</v>
      </c>
      <c r="C29" s="384" t="s">
        <v>390</v>
      </c>
      <c r="D29" s="384" t="s">
        <v>450</v>
      </c>
      <c r="E29" s="329" t="s">
        <v>451</v>
      </c>
      <c r="F29" s="329"/>
      <c r="G29" s="329"/>
      <c r="H29" s="448" t="e">
        <f>'Incountry Costs by GL USD'!H32*$L$10</f>
        <v>#REF!</v>
      </c>
      <c r="I29" s="451" t="e">
        <f>'Incountry Costs by GL USD'!I32*$L$10</f>
        <v>#REF!</v>
      </c>
      <c r="J29" s="452"/>
      <c r="K29" s="452"/>
      <c r="L29" s="451" t="e">
        <f>'Incountry Costs by GL USD'!L32*$L$10</f>
        <v>#REF!</v>
      </c>
      <c r="M29" s="452"/>
      <c r="N29" s="452"/>
      <c r="O29" s="451" t="e">
        <f>'Incountry Costs by GL USD'!O32*$L$10</f>
        <v>#REF!</v>
      </c>
      <c r="P29" s="452"/>
      <c r="Q29" s="452"/>
      <c r="R29" s="451" t="e">
        <f>'Incountry Costs by GL USD'!R32*$L$10</f>
        <v>#REF!</v>
      </c>
      <c r="S29" s="452"/>
      <c r="T29" s="452"/>
      <c r="U29" s="451" t="e">
        <f>'Incountry Costs by GL USD'!U32*$L$10</f>
        <v>#REF!</v>
      </c>
      <c r="V29" s="452"/>
      <c r="W29" s="453"/>
    </row>
    <row r="30" spans="1:23" s="30" customFormat="1" ht="15">
      <c r="A30" s="410"/>
      <c r="B30" s="380" t="s">
        <v>389</v>
      </c>
      <c r="C30" s="384" t="s">
        <v>390</v>
      </c>
      <c r="D30" s="384" t="s">
        <v>452</v>
      </c>
      <c r="E30" s="329" t="s">
        <v>453</v>
      </c>
      <c r="F30" s="329"/>
      <c r="G30" s="329"/>
      <c r="H30" s="448" t="e">
        <f>'Incountry Costs by GL USD'!H33*$L$10</f>
        <v>#REF!</v>
      </c>
      <c r="I30" s="451" t="e">
        <f>'Incountry Costs by GL USD'!I33*$L$10</f>
        <v>#REF!</v>
      </c>
      <c r="J30" s="452"/>
      <c r="K30" s="452"/>
      <c r="L30" s="451" t="e">
        <f>'Incountry Costs by GL USD'!L33*$L$10</f>
        <v>#REF!</v>
      </c>
      <c r="M30" s="452"/>
      <c r="N30" s="452"/>
      <c r="O30" s="451" t="e">
        <f>'Incountry Costs by GL USD'!O33*$L$10</f>
        <v>#REF!</v>
      </c>
      <c r="P30" s="452"/>
      <c r="Q30" s="452"/>
      <c r="R30" s="451" t="e">
        <f>'Incountry Costs by GL USD'!R33*$L$10</f>
        <v>#REF!</v>
      </c>
      <c r="S30" s="452"/>
      <c r="T30" s="452"/>
      <c r="U30" s="451" t="e">
        <f>'Incountry Costs by GL USD'!U33*$L$10</f>
        <v>#REF!</v>
      </c>
      <c r="V30" s="452"/>
      <c r="W30" s="453"/>
    </row>
    <row r="31" spans="1:23" s="30" customFormat="1" ht="15">
      <c r="B31" s="380" t="s">
        <v>389</v>
      </c>
      <c r="C31" s="384" t="s">
        <v>390</v>
      </c>
      <c r="D31" s="384" t="s">
        <v>454</v>
      </c>
      <c r="E31" s="329" t="s">
        <v>455</v>
      </c>
      <c r="F31" s="329"/>
      <c r="G31" s="329"/>
      <c r="H31" s="448" t="e">
        <f>'Incountry Costs by GL USD'!H34*$L$10</f>
        <v>#REF!</v>
      </c>
      <c r="I31" s="451" t="e">
        <f>'Incountry Costs by GL USD'!I34*$L$10</f>
        <v>#REF!</v>
      </c>
      <c r="J31" s="452"/>
      <c r="K31" s="452"/>
      <c r="L31" s="451" t="e">
        <f>'Incountry Costs by GL USD'!L34*$L$10</f>
        <v>#REF!</v>
      </c>
      <c r="M31" s="452"/>
      <c r="N31" s="452"/>
      <c r="O31" s="451" t="e">
        <f>'Incountry Costs by GL USD'!O34*$L$10</f>
        <v>#REF!</v>
      </c>
      <c r="P31" s="452"/>
      <c r="Q31" s="452"/>
      <c r="R31" s="451" t="e">
        <f>'Incountry Costs by GL USD'!R34*$L$10</f>
        <v>#REF!</v>
      </c>
      <c r="S31" s="452"/>
      <c r="T31" s="452"/>
      <c r="U31" s="451" t="e">
        <f>'Incountry Costs by GL USD'!U34*$L$10</f>
        <v>#REF!</v>
      </c>
      <c r="V31" s="452"/>
      <c r="W31" s="453"/>
    </row>
    <row r="32" spans="1:23" s="30" customFormat="1" ht="15">
      <c r="B32" s="380" t="s">
        <v>389</v>
      </c>
      <c r="C32" s="384" t="s">
        <v>390</v>
      </c>
      <c r="D32" s="384" t="s">
        <v>456</v>
      </c>
      <c r="E32" s="329" t="s">
        <v>457</v>
      </c>
      <c r="F32" s="329"/>
      <c r="G32" s="329"/>
      <c r="H32" s="448" t="e">
        <f>'Incountry Costs by GL USD'!H35*$L$10</f>
        <v>#REF!</v>
      </c>
      <c r="I32" s="451" t="e">
        <f>'Incountry Costs by GL USD'!I35*$L$10</f>
        <v>#REF!</v>
      </c>
      <c r="J32" s="452"/>
      <c r="K32" s="452"/>
      <c r="L32" s="451" t="e">
        <f>'Incountry Costs by GL USD'!L35*$L$10</f>
        <v>#REF!</v>
      </c>
      <c r="M32" s="452"/>
      <c r="N32" s="452"/>
      <c r="O32" s="451" t="e">
        <f>'Incountry Costs by GL USD'!O35*$L$10</f>
        <v>#REF!</v>
      </c>
      <c r="P32" s="452"/>
      <c r="Q32" s="452"/>
      <c r="R32" s="451" t="e">
        <f>'Incountry Costs by GL USD'!R35*$L$10</f>
        <v>#REF!</v>
      </c>
      <c r="S32" s="452"/>
      <c r="T32" s="452"/>
      <c r="U32" s="451" t="e">
        <f>'Incountry Costs by GL USD'!U35*$L$10</f>
        <v>#REF!</v>
      </c>
      <c r="V32" s="452"/>
      <c r="W32" s="453"/>
    </row>
    <row r="33" spans="1:23" s="30" customFormat="1" ht="15">
      <c r="A33" s="410"/>
      <c r="B33" s="380" t="s">
        <v>389</v>
      </c>
      <c r="C33" s="384" t="s">
        <v>390</v>
      </c>
      <c r="D33" s="384" t="s">
        <v>458</v>
      </c>
      <c r="E33" s="329" t="s">
        <v>459</v>
      </c>
      <c r="F33" s="329"/>
      <c r="G33" s="329"/>
      <c r="H33" s="448" t="e">
        <f>'Incountry Costs by GL USD'!H36*$L$10</f>
        <v>#REF!</v>
      </c>
      <c r="I33" s="451" t="e">
        <f>'Incountry Costs by GL USD'!I36*$L$10</f>
        <v>#REF!</v>
      </c>
      <c r="J33" s="452"/>
      <c r="K33" s="452"/>
      <c r="L33" s="451" t="e">
        <f>'Incountry Costs by GL USD'!L36*$L$10</f>
        <v>#REF!</v>
      </c>
      <c r="M33" s="452"/>
      <c r="N33" s="452"/>
      <c r="O33" s="451" t="e">
        <f>'Incountry Costs by GL USD'!O36*$L$10</f>
        <v>#REF!</v>
      </c>
      <c r="P33" s="452"/>
      <c r="Q33" s="452"/>
      <c r="R33" s="451" t="e">
        <f>'Incountry Costs by GL USD'!R36*$L$10</f>
        <v>#REF!</v>
      </c>
      <c r="S33" s="452"/>
      <c r="T33" s="452"/>
      <c r="U33" s="451" t="e">
        <f>'Incountry Costs by GL USD'!U36*$L$10</f>
        <v>#REF!</v>
      </c>
      <c r="V33" s="452"/>
      <c r="W33" s="453"/>
    </row>
    <row r="34" spans="1:23" s="30" customFormat="1" ht="15">
      <c r="A34" s="410"/>
      <c r="B34" s="380" t="s">
        <v>389</v>
      </c>
      <c r="C34" s="384" t="s">
        <v>390</v>
      </c>
      <c r="D34" s="384" t="s">
        <v>460</v>
      </c>
      <c r="E34" s="329" t="s">
        <v>461</v>
      </c>
      <c r="F34" s="329"/>
      <c r="G34" s="329"/>
      <c r="H34" s="448" t="e">
        <f>'Incountry Costs by GL USD'!H37*$L$10</f>
        <v>#REF!</v>
      </c>
      <c r="I34" s="451" t="e">
        <f>'Incountry Costs by GL USD'!I37*$L$10</f>
        <v>#REF!</v>
      </c>
      <c r="J34" s="452"/>
      <c r="K34" s="452"/>
      <c r="L34" s="451" t="e">
        <f>'Incountry Costs by GL USD'!L37*$L$10</f>
        <v>#REF!</v>
      </c>
      <c r="M34" s="452"/>
      <c r="N34" s="452"/>
      <c r="O34" s="451" t="e">
        <f>'Incountry Costs by GL USD'!O37*$L$10</f>
        <v>#REF!</v>
      </c>
      <c r="P34" s="452"/>
      <c r="Q34" s="452"/>
      <c r="R34" s="451" t="e">
        <f>'Incountry Costs by GL USD'!R37*$L$10</f>
        <v>#REF!</v>
      </c>
      <c r="S34" s="452"/>
      <c r="T34" s="452"/>
      <c r="U34" s="451" t="e">
        <f>'Incountry Costs by GL USD'!U37*$L$10</f>
        <v>#REF!</v>
      </c>
      <c r="V34" s="452"/>
      <c r="W34" s="453"/>
    </row>
    <row r="35" spans="1:23" s="30" customFormat="1" ht="15">
      <c r="B35" s="380" t="s">
        <v>389</v>
      </c>
      <c r="C35" s="384" t="s">
        <v>390</v>
      </c>
      <c r="D35" s="384" t="s">
        <v>462</v>
      </c>
      <c r="E35" s="329" t="s">
        <v>463</v>
      </c>
      <c r="F35" s="329"/>
      <c r="G35" s="329"/>
      <c r="H35" s="448" t="e">
        <f>'Incountry Costs by GL USD'!H38*$L$10</f>
        <v>#REF!</v>
      </c>
      <c r="I35" s="451" t="e">
        <f>'Incountry Costs by GL USD'!I38*$L$10</f>
        <v>#REF!</v>
      </c>
      <c r="J35" s="452"/>
      <c r="K35" s="452"/>
      <c r="L35" s="451" t="e">
        <f>'Incountry Costs by GL USD'!L38*$L$10</f>
        <v>#REF!</v>
      </c>
      <c r="M35" s="452"/>
      <c r="N35" s="452"/>
      <c r="O35" s="451" t="e">
        <f>'Incountry Costs by GL USD'!O38*$L$10</f>
        <v>#REF!</v>
      </c>
      <c r="P35" s="452"/>
      <c r="Q35" s="452"/>
      <c r="R35" s="451" t="e">
        <f>'Incountry Costs by GL USD'!R38*$L$10</f>
        <v>#REF!</v>
      </c>
      <c r="S35" s="452"/>
      <c r="T35" s="452"/>
      <c r="U35" s="451" t="e">
        <f>'Incountry Costs by GL USD'!U38*$L$10</f>
        <v>#REF!</v>
      </c>
      <c r="V35" s="452"/>
      <c r="W35" s="453"/>
    </row>
    <row r="36" spans="1:23" s="30" customFormat="1" ht="15">
      <c r="A36" s="31"/>
      <c r="B36" s="380" t="s">
        <v>389</v>
      </c>
      <c r="C36" s="384" t="s">
        <v>390</v>
      </c>
      <c r="D36" s="384" t="s">
        <v>464</v>
      </c>
      <c r="E36" s="329" t="s">
        <v>465</v>
      </c>
      <c r="F36" s="329"/>
      <c r="G36" s="329"/>
      <c r="H36" s="448" t="e">
        <f>'Incountry Costs by GL USD'!H39*$L$10</f>
        <v>#REF!</v>
      </c>
      <c r="I36" s="451" t="e">
        <f>'Incountry Costs by GL USD'!I39*$L$10</f>
        <v>#REF!</v>
      </c>
      <c r="J36" s="452"/>
      <c r="K36" s="452"/>
      <c r="L36" s="451" t="e">
        <f>'Incountry Costs by GL USD'!L39*$L$10</f>
        <v>#REF!</v>
      </c>
      <c r="M36" s="452"/>
      <c r="N36" s="452"/>
      <c r="O36" s="451" t="e">
        <f>'Incountry Costs by GL USD'!O39*$L$10</f>
        <v>#REF!</v>
      </c>
      <c r="P36" s="452"/>
      <c r="Q36" s="452"/>
      <c r="R36" s="451" t="e">
        <f>'Incountry Costs by GL USD'!R39*$L$10</f>
        <v>#REF!</v>
      </c>
      <c r="S36" s="452"/>
      <c r="T36" s="452"/>
      <c r="U36" s="451" t="e">
        <f>'Incountry Costs by GL USD'!U39*$L$10</f>
        <v>#REF!</v>
      </c>
      <c r="V36" s="452"/>
      <c r="W36" s="453"/>
    </row>
    <row r="37" spans="1:23" s="30" customFormat="1" ht="15">
      <c r="A37" s="31"/>
      <c r="B37" s="380" t="s">
        <v>389</v>
      </c>
      <c r="C37" s="384" t="s">
        <v>390</v>
      </c>
      <c r="D37" s="384" t="s">
        <v>466</v>
      </c>
      <c r="E37" s="329" t="s">
        <v>467</v>
      </c>
      <c r="F37" s="329"/>
      <c r="G37" s="329"/>
      <c r="H37" s="448" t="e">
        <f>'Incountry Costs by GL USD'!H40*$L$10</f>
        <v>#REF!</v>
      </c>
      <c r="I37" s="451" t="e">
        <f>'Incountry Costs by GL USD'!I40*$L$10</f>
        <v>#REF!</v>
      </c>
      <c r="J37" s="452"/>
      <c r="K37" s="452"/>
      <c r="L37" s="451" t="e">
        <f>'Incountry Costs by GL USD'!L40*$L$10</f>
        <v>#REF!</v>
      </c>
      <c r="M37" s="452"/>
      <c r="N37" s="452"/>
      <c r="O37" s="451" t="e">
        <f>'Incountry Costs by GL USD'!O40*$L$10</f>
        <v>#REF!</v>
      </c>
      <c r="P37" s="452"/>
      <c r="Q37" s="452"/>
      <c r="R37" s="451" t="e">
        <f>'Incountry Costs by GL USD'!R40*$L$10</f>
        <v>#REF!</v>
      </c>
      <c r="S37" s="452"/>
      <c r="T37" s="452"/>
      <c r="U37" s="451" t="e">
        <f>'Incountry Costs by GL USD'!U40*$L$10</f>
        <v>#REF!</v>
      </c>
      <c r="V37" s="452"/>
      <c r="W37" s="453"/>
    </row>
    <row r="38" spans="1:23" s="30" customFormat="1" ht="15">
      <c r="A38" s="31"/>
      <c r="B38" s="380" t="s">
        <v>389</v>
      </c>
      <c r="C38" s="384" t="s">
        <v>390</v>
      </c>
      <c r="D38" s="384" t="s">
        <v>468</v>
      </c>
      <c r="E38" s="329" t="s">
        <v>469</v>
      </c>
      <c r="F38" s="329"/>
      <c r="G38" s="329"/>
      <c r="H38" s="448" t="e">
        <f>'Incountry Costs by GL USD'!H41*$L$10</f>
        <v>#REF!</v>
      </c>
      <c r="I38" s="451" t="e">
        <f>'Incountry Costs by GL USD'!I41*$L$10</f>
        <v>#REF!</v>
      </c>
      <c r="J38" s="452"/>
      <c r="K38" s="452"/>
      <c r="L38" s="451" t="e">
        <f>'Incountry Costs by GL USD'!L41*$L$10</f>
        <v>#REF!</v>
      </c>
      <c r="M38" s="452"/>
      <c r="N38" s="452"/>
      <c r="O38" s="451" t="e">
        <f>'Incountry Costs by GL USD'!O41*$L$10</f>
        <v>#REF!</v>
      </c>
      <c r="P38" s="452"/>
      <c r="Q38" s="452"/>
      <c r="R38" s="451" t="e">
        <f>'Incountry Costs by GL USD'!R41*$L$10</f>
        <v>#REF!</v>
      </c>
      <c r="S38" s="452"/>
      <c r="T38" s="452"/>
      <c r="U38" s="451" t="e">
        <f>'Incountry Costs by GL USD'!U41*$L$10</f>
        <v>#REF!</v>
      </c>
      <c r="V38" s="452"/>
      <c r="W38" s="453"/>
    </row>
    <row r="39" spans="1:23" s="30" customFormat="1" ht="15">
      <c r="A39" s="31"/>
      <c r="B39" s="380" t="s">
        <v>389</v>
      </c>
      <c r="C39" s="384" t="s">
        <v>390</v>
      </c>
      <c r="D39" s="384" t="s">
        <v>470</v>
      </c>
      <c r="E39" s="329" t="s">
        <v>471</v>
      </c>
      <c r="F39" s="329"/>
      <c r="G39" s="329"/>
      <c r="H39" s="448" t="e">
        <f>'Incountry Costs by GL USD'!H42*$L$10</f>
        <v>#REF!</v>
      </c>
      <c r="I39" s="451" t="e">
        <f>'Incountry Costs by GL USD'!I42*$L$10</f>
        <v>#REF!</v>
      </c>
      <c r="J39" s="452"/>
      <c r="K39" s="452"/>
      <c r="L39" s="451" t="e">
        <f>'Incountry Costs by GL USD'!L42*$L$10</f>
        <v>#REF!</v>
      </c>
      <c r="M39" s="452"/>
      <c r="N39" s="452"/>
      <c r="O39" s="451" t="e">
        <f>'Incountry Costs by GL USD'!O42*$L$10</f>
        <v>#REF!</v>
      </c>
      <c r="P39" s="452"/>
      <c r="Q39" s="452"/>
      <c r="R39" s="451" t="e">
        <f>'Incountry Costs by GL USD'!R42*$L$10</f>
        <v>#REF!</v>
      </c>
      <c r="S39" s="452"/>
      <c r="T39" s="452"/>
      <c r="U39" s="451" t="e">
        <f>'Incountry Costs by GL USD'!U42*$L$10</f>
        <v>#REF!</v>
      </c>
      <c r="V39" s="452"/>
      <c r="W39" s="453"/>
    </row>
    <row r="40" spans="1:23" s="30" customFormat="1" ht="15">
      <c r="A40" s="31"/>
      <c r="B40" s="380" t="s">
        <v>389</v>
      </c>
      <c r="C40" s="384" t="s">
        <v>390</v>
      </c>
      <c r="D40" s="384" t="s">
        <v>472</v>
      </c>
      <c r="E40" s="329" t="s">
        <v>473</v>
      </c>
      <c r="F40" s="329"/>
      <c r="G40" s="329"/>
      <c r="H40" s="448" t="e">
        <f>'Incountry Costs by GL USD'!H43*$L$10</f>
        <v>#REF!</v>
      </c>
      <c r="I40" s="451" t="e">
        <f>'Incountry Costs by GL USD'!I43*$L$10</f>
        <v>#REF!</v>
      </c>
      <c r="J40" s="452"/>
      <c r="K40" s="452"/>
      <c r="L40" s="451" t="e">
        <f>'Incountry Costs by GL USD'!L43*$L$10</f>
        <v>#REF!</v>
      </c>
      <c r="M40" s="452"/>
      <c r="N40" s="452"/>
      <c r="O40" s="451" t="e">
        <f>'Incountry Costs by GL USD'!O43*$L$10</f>
        <v>#REF!</v>
      </c>
      <c r="P40" s="452"/>
      <c r="Q40" s="452"/>
      <c r="R40" s="451" t="e">
        <f>'Incountry Costs by GL USD'!R43*$L$10</f>
        <v>#REF!</v>
      </c>
      <c r="S40" s="452"/>
      <c r="T40" s="452"/>
      <c r="U40" s="451" t="e">
        <f>'Incountry Costs by GL USD'!U43*$L$10</f>
        <v>#REF!</v>
      </c>
      <c r="V40" s="452"/>
      <c r="W40" s="453"/>
    </row>
    <row r="41" spans="1:23" s="30" customFormat="1" ht="15">
      <c r="A41" s="31"/>
      <c r="B41" s="380" t="s">
        <v>389</v>
      </c>
      <c r="C41" s="384" t="s">
        <v>390</v>
      </c>
      <c r="D41" s="384" t="s">
        <v>476</v>
      </c>
      <c r="E41" s="329" t="s">
        <v>477</v>
      </c>
      <c r="F41" s="329"/>
      <c r="G41" s="329"/>
      <c r="H41" s="448" t="e">
        <f>'Incountry Costs by GL USD'!H45*$L$10</f>
        <v>#REF!</v>
      </c>
      <c r="I41" s="451" t="e">
        <f>'Incountry Costs by GL USD'!I45*$L$10</f>
        <v>#REF!</v>
      </c>
      <c r="J41" s="452"/>
      <c r="K41" s="452"/>
      <c r="L41" s="451" t="e">
        <f>'Incountry Costs by GL USD'!L45*$L$10</f>
        <v>#REF!</v>
      </c>
      <c r="M41" s="452"/>
      <c r="N41" s="452"/>
      <c r="O41" s="451" t="e">
        <f>'Incountry Costs by GL USD'!O45*$L$10</f>
        <v>#REF!</v>
      </c>
      <c r="P41" s="452"/>
      <c r="Q41" s="452"/>
      <c r="R41" s="451" t="e">
        <f>'Incountry Costs by GL USD'!R45*$L$10</f>
        <v>#REF!</v>
      </c>
      <c r="S41" s="452"/>
      <c r="T41" s="452"/>
      <c r="U41" s="451" t="e">
        <f>'Incountry Costs by GL USD'!U45*$L$10</f>
        <v>#REF!</v>
      </c>
      <c r="V41" s="452"/>
      <c r="W41" s="453"/>
    </row>
    <row r="42" spans="1:23" s="30" customFormat="1" ht="15">
      <c r="A42" s="31"/>
      <c r="B42" s="380" t="s">
        <v>389</v>
      </c>
      <c r="C42" s="384" t="s">
        <v>390</v>
      </c>
      <c r="D42" s="384" t="s">
        <v>474</v>
      </c>
      <c r="E42" s="329" t="s">
        <v>475</v>
      </c>
      <c r="F42" s="329"/>
      <c r="G42" s="329"/>
      <c r="H42" s="448" t="e">
        <f>'Incountry Costs by GL USD'!H44*$L$10</f>
        <v>#REF!</v>
      </c>
      <c r="I42" s="451" t="e">
        <f>'Incountry Costs by GL USD'!I44*$L$10</f>
        <v>#REF!</v>
      </c>
      <c r="J42" s="452"/>
      <c r="K42" s="452"/>
      <c r="L42" s="451" t="e">
        <f>'Incountry Costs by GL USD'!L44*$L$10</f>
        <v>#REF!</v>
      </c>
      <c r="M42" s="452"/>
      <c r="N42" s="452"/>
      <c r="O42" s="451" t="e">
        <f>'Incountry Costs by GL USD'!O44*$L$10</f>
        <v>#REF!</v>
      </c>
      <c r="P42" s="452"/>
      <c r="Q42" s="452"/>
      <c r="R42" s="451" t="e">
        <f>'Incountry Costs by GL USD'!R44*$L$10</f>
        <v>#REF!</v>
      </c>
      <c r="S42" s="452"/>
      <c r="T42" s="452"/>
      <c r="U42" s="451" t="e">
        <f>'Incountry Costs by GL USD'!U44*$L$10</f>
        <v>#REF!</v>
      </c>
      <c r="V42" s="452"/>
      <c r="W42" s="453"/>
    </row>
    <row r="43" spans="1:23" s="30" customFormat="1" ht="15">
      <c r="A43" s="31"/>
      <c r="B43" s="380" t="s">
        <v>393</v>
      </c>
      <c r="C43" s="329" t="s">
        <v>394</v>
      </c>
      <c r="D43" s="384" t="s">
        <v>478</v>
      </c>
      <c r="E43" s="329" t="s">
        <v>479</v>
      </c>
      <c r="F43" s="329"/>
      <c r="G43" s="329"/>
      <c r="H43" s="448" t="e">
        <f>'Incountry Costs by GL USD'!H46*$L$10</f>
        <v>#REF!</v>
      </c>
      <c r="I43" s="451" t="e">
        <f>'Incountry Costs by GL USD'!I46*$L$10</f>
        <v>#REF!</v>
      </c>
      <c r="J43" s="452"/>
      <c r="K43" s="452"/>
      <c r="L43" s="451" t="e">
        <f>'Incountry Costs by GL USD'!L46*$L$10</f>
        <v>#REF!</v>
      </c>
      <c r="M43" s="452"/>
      <c r="N43" s="452"/>
      <c r="O43" s="451" t="e">
        <f>'Incountry Costs by GL USD'!O46*$L$10</f>
        <v>#REF!</v>
      </c>
      <c r="P43" s="452"/>
      <c r="Q43" s="452"/>
      <c r="R43" s="451" t="e">
        <f>'Incountry Costs by GL USD'!R46*$L$10</f>
        <v>#REF!</v>
      </c>
      <c r="S43" s="452"/>
      <c r="T43" s="452"/>
      <c r="U43" s="451" t="e">
        <f>'Incountry Costs by GL USD'!U46*$L$10</f>
        <v>#REF!</v>
      </c>
      <c r="V43" s="452"/>
      <c r="W43" s="453"/>
    </row>
    <row r="44" spans="1:23" s="30" customFormat="1" ht="15">
      <c r="A44" s="410" t="s">
        <v>397</v>
      </c>
      <c r="B44" s="380" t="s">
        <v>398</v>
      </c>
      <c r="C44" s="384" t="s">
        <v>399</v>
      </c>
      <c r="D44" s="384" t="s">
        <v>398</v>
      </c>
      <c r="E44" s="329" t="s">
        <v>399</v>
      </c>
      <c r="F44" s="329"/>
      <c r="G44" s="329"/>
      <c r="H44" s="448" t="e">
        <f>'Incountry Costs by GL USD'!H47*$L$10</f>
        <v>#REF!</v>
      </c>
      <c r="I44" s="451" t="e">
        <f>'Incountry Costs by GL USD'!I47*$L$10</f>
        <v>#REF!</v>
      </c>
      <c r="J44" s="452"/>
      <c r="K44" s="452"/>
      <c r="L44" s="451" t="e">
        <f>'Incountry Costs by GL USD'!L47*$L$10</f>
        <v>#REF!</v>
      </c>
      <c r="M44" s="452"/>
      <c r="N44" s="452"/>
      <c r="O44" s="451" t="e">
        <f>'Incountry Costs by GL USD'!O47*$L$10</f>
        <v>#REF!</v>
      </c>
      <c r="P44" s="452"/>
      <c r="Q44" s="452"/>
      <c r="R44" s="451" t="e">
        <f>'Incountry Costs by GL USD'!R47*$L$10</f>
        <v>#REF!</v>
      </c>
      <c r="S44" s="452"/>
      <c r="T44" s="452"/>
      <c r="U44" s="451" t="e">
        <f>'Incountry Costs by GL USD'!U47*$L$10</f>
        <v>#REF!</v>
      </c>
      <c r="V44" s="452"/>
      <c r="W44" s="453"/>
    </row>
    <row r="45" spans="1:23" s="30" customFormat="1" ht="15">
      <c r="B45" s="380" t="s">
        <v>400</v>
      </c>
      <c r="C45" s="329" t="s">
        <v>401</v>
      </c>
      <c r="D45" s="384" t="s">
        <v>480</v>
      </c>
      <c r="E45" s="329" t="s">
        <v>481</v>
      </c>
      <c r="F45" s="329"/>
      <c r="G45" s="329"/>
      <c r="H45" s="448" t="e">
        <f>'Incountry Costs by GL USD'!H48*$L$10</f>
        <v>#REF!</v>
      </c>
      <c r="I45" s="451" t="e">
        <f>'Incountry Costs by GL USD'!I48*$L$10</f>
        <v>#REF!</v>
      </c>
      <c r="J45" s="452"/>
      <c r="K45" s="452"/>
      <c r="L45" s="451" t="e">
        <f>'Incountry Costs by GL USD'!L48*$L$10</f>
        <v>#REF!</v>
      </c>
      <c r="M45" s="452"/>
      <c r="N45" s="452"/>
      <c r="O45" s="451" t="e">
        <f>'Incountry Costs by GL USD'!O48*$L$10</f>
        <v>#REF!</v>
      </c>
      <c r="P45" s="452"/>
      <c r="Q45" s="452"/>
      <c r="R45" s="451" t="e">
        <f>'Incountry Costs by GL USD'!R48*$L$10</f>
        <v>#REF!</v>
      </c>
      <c r="S45" s="452"/>
      <c r="T45" s="452"/>
      <c r="U45" s="451" t="e">
        <f>'Incountry Costs by GL USD'!U48*$L$10</f>
        <v>#REF!</v>
      </c>
      <c r="V45" s="452"/>
      <c r="W45" s="453"/>
    </row>
    <row r="46" spans="1:23" s="30" customFormat="1" ht="15">
      <c r="A46" s="31"/>
      <c r="B46" s="380" t="s">
        <v>402</v>
      </c>
      <c r="C46" s="329" t="s">
        <v>403</v>
      </c>
      <c r="D46" s="384" t="s">
        <v>482</v>
      </c>
      <c r="E46" s="329" t="s">
        <v>483</v>
      </c>
      <c r="F46" s="329"/>
      <c r="G46" s="329"/>
      <c r="H46" s="448" t="e">
        <f>'Incountry Costs by GL USD'!H49*$L$10</f>
        <v>#REF!</v>
      </c>
      <c r="I46" s="451" t="e">
        <f>'Incountry Costs by GL USD'!I49*$L$10</f>
        <v>#REF!</v>
      </c>
      <c r="J46" s="452"/>
      <c r="K46" s="452"/>
      <c r="L46" s="451" t="e">
        <f>'Incountry Costs by GL USD'!L49*$L$10</f>
        <v>#REF!</v>
      </c>
      <c r="M46" s="452"/>
      <c r="N46" s="452"/>
      <c r="O46" s="451" t="e">
        <f>'Incountry Costs by GL USD'!O49*$L$10</f>
        <v>#REF!</v>
      </c>
      <c r="P46" s="452"/>
      <c r="Q46" s="452"/>
      <c r="R46" s="451" t="e">
        <f>'Incountry Costs by GL USD'!R49*$L$10</f>
        <v>#REF!</v>
      </c>
      <c r="S46" s="452"/>
      <c r="T46" s="452"/>
      <c r="U46" s="451" t="e">
        <f>'Incountry Costs by GL USD'!U49*$L$10</f>
        <v>#REF!</v>
      </c>
      <c r="V46" s="452"/>
      <c r="W46" s="453"/>
    </row>
    <row r="47" spans="1:23" s="30" customFormat="1" ht="15">
      <c r="A47" s="31"/>
      <c r="B47" s="380" t="s">
        <v>402</v>
      </c>
      <c r="C47" s="329" t="s">
        <v>403</v>
      </c>
      <c r="D47" s="384" t="s">
        <v>484</v>
      </c>
      <c r="E47" s="329" t="s">
        <v>485</v>
      </c>
      <c r="F47" s="329"/>
      <c r="G47" s="329"/>
      <c r="H47" s="448" t="e">
        <f>'Incountry Costs by GL USD'!H50*$L$10</f>
        <v>#REF!</v>
      </c>
      <c r="I47" s="451" t="e">
        <f>'Incountry Costs by GL USD'!I50*$L$10</f>
        <v>#REF!</v>
      </c>
      <c r="J47" s="452"/>
      <c r="K47" s="452"/>
      <c r="L47" s="451" t="e">
        <f>'Incountry Costs by GL USD'!L50*$L$10</f>
        <v>#REF!</v>
      </c>
      <c r="M47" s="452"/>
      <c r="N47" s="452"/>
      <c r="O47" s="451" t="e">
        <f>'Incountry Costs by GL USD'!O50*$L$10</f>
        <v>#REF!</v>
      </c>
      <c r="P47" s="452"/>
      <c r="Q47" s="452"/>
      <c r="R47" s="451" t="e">
        <f>'Incountry Costs by GL USD'!R50*$L$10</f>
        <v>#REF!</v>
      </c>
      <c r="S47" s="452"/>
      <c r="T47" s="452"/>
      <c r="U47" s="451" t="e">
        <f>'Incountry Costs by GL USD'!U50*$L$10</f>
        <v>#REF!</v>
      </c>
      <c r="V47" s="452"/>
      <c r="W47" s="453"/>
    </row>
    <row r="48" spans="1:23" s="30" customFormat="1" ht="15">
      <c r="A48" s="31"/>
      <c r="B48" s="380" t="s">
        <v>402</v>
      </c>
      <c r="C48" s="329" t="s">
        <v>403</v>
      </c>
      <c r="D48" s="384" t="s">
        <v>486</v>
      </c>
      <c r="E48" s="329" t="s">
        <v>487</v>
      </c>
      <c r="F48" s="329"/>
      <c r="G48" s="329"/>
      <c r="H48" s="448" t="e">
        <f>'Incountry Costs by GL USD'!H51*$L$10</f>
        <v>#REF!</v>
      </c>
      <c r="I48" s="451" t="e">
        <f>'Incountry Costs by GL USD'!I51*$L$10</f>
        <v>#REF!</v>
      </c>
      <c r="J48" s="452"/>
      <c r="K48" s="452"/>
      <c r="L48" s="451" t="e">
        <f>'Incountry Costs by GL USD'!L51*$L$10</f>
        <v>#REF!</v>
      </c>
      <c r="M48" s="452"/>
      <c r="N48" s="452"/>
      <c r="O48" s="451" t="e">
        <f>'Incountry Costs by GL USD'!O51*$L$10</f>
        <v>#REF!</v>
      </c>
      <c r="P48" s="452"/>
      <c r="Q48" s="452"/>
      <c r="R48" s="451" t="e">
        <f>'Incountry Costs by GL USD'!R51*$L$10</f>
        <v>#REF!</v>
      </c>
      <c r="S48" s="452"/>
      <c r="T48" s="452"/>
      <c r="U48" s="451" t="e">
        <f>'Incountry Costs by GL USD'!U51*$L$10</f>
        <v>#REF!</v>
      </c>
      <c r="V48" s="452"/>
      <c r="W48" s="453"/>
    </row>
    <row r="49" spans="1:33" s="30" customFormat="1" ht="15">
      <c r="A49" s="31"/>
      <c r="B49" s="380" t="s">
        <v>402</v>
      </c>
      <c r="C49" s="329" t="s">
        <v>403</v>
      </c>
      <c r="D49" s="384" t="s">
        <v>488</v>
      </c>
      <c r="E49" s="329" t="s">
        <v>489</v>
      </c>
      <c r="F49" s="329"/>
      <c r="G49" s="329"/>
      <c r="H49" s="448" t="e">
        <f>'Incountry Costs by GL USD'!H52*$L$10</f>
        <v>#REF!</v>
      </c>
      <c r="I49" s="451" t="e">
        <f>'Incountry Costs by GL USD'!I52*$L$10</f>
        <v>#REF!</v>
      </c>
      <c r="J49" s="452"/>
      <c r="K49" s="452"/>
      <c r="L49" s="451" t="e">
        <f>'Incountry Costs by GL USD'!L52*$L$10</f>
        <v>#REF!</v>
      </c>
      <c r="M49" s="452"/>
      <c r="N49" s="452"/>
      <c r="O49" s="451" t="e">
        <f>'Incountry Costs by GL USD'!O52*$L$10</f>
        <v>#REF!</v>
      </c>
      <c r="P49" s="452"/>
      <c r="Q49" s="452"/>
      <c r="R49" s="451" t="e">
        <f>'Incountry Costs by GL USD'!R52*$L$10</f>
        <v>#REF!</v>
      </c>
      <c r="S49" s="452"/>
      <c r="T49" s="452"/>
      <c r="U49" s="451" t="e">
        <f>'Incountry Costs by GL USD'!U52*$L$10</f>
        <v>#REF!</v>
      </c>
      <c r="V49" s="452"/>
      <c r="W49" s="453"/>
    </row>
    <row r="50" spans="1:33" s="30" customFormat="1" ht="15">
      <c r="A50" s="31"/>
      <c r="B50" s="380" t="s">
        <v>402</v>
      </c>
      <c r="C50" s="329" t="s">
        <v>403</v>
      </c>
      <c r="D50" s="384" t="s">
        <v>490</v>
      </c>
      <c r="E50" s="329" t="s">
        <v>491</v>
      </c>
      <c r="F50" s="329"/>
      <c r="G50" s="329"/>
      <c r="H50" s="448" t="e">
        <f>'Incountry Costs by GL USD'!H53*$L$10</f>
        <v>#REF!</v>
      </c>
      <c r="I50" s="451" t="e">
        <f>'Incountry Costs by GL USD'!I53*$L$10</f>
        <v>#REF!</v>
      </c>
      <c r="J50" s="452"/>
      <c r="K50" s="452"/>
      <c r="L50" s="451" t="e">
        <f>'Incountry Costs by GL USD'!L53*$L$10</f>
        <v>#REF!</v>
      </c>
      <c r="M50" s="452"/>
      <c r="N50" s="452"/>
      <c r="O50" s="451" t="e">
        <f>'Incountry Costs by GL USD'!O53*$L$10</f>
        <v>#REF!</v>
      </c>
      <c r="P50" s="452"/>
      <c r="Q50" s="452"/>
      <c r="R50" s="451" t="e">
        <f>'Incountry Costs by GL USD'!R53*$L$10</f>
        <v>#REF!</v>
      </c>
      <c r="S50" s="452"/>
      <c r="T50" s="452"/>
      <c r="U50" s="451" t="e">
        <f>'Incountry Costs by GL USD'!U53*$L$10</f>
        <v>#REF!</v>
      </c>
      <c r="V50" s="452"/>
      <c r="W50" s="453"/>
    </row>
    <row r="51" spans="1:33" s="30" customFormat="1" ht="15">
      <c r="A51" s="29"/>
      <c r="B51" s="380" t="s">
        <v>402</v>
      </c>
      <c r="C51" s="329" t="s">
        <v>403</v>
      </c>
      <c r="D51" s="384" t="s">
        <v>492</v>
      </c>
      <c r="E51" s="329" t="s">
        <v>493</v>
      </c>
      <c r="F51" s="329"/>
      <c r="G51" s="329"/>
      <c r="H51" s="448" t="e">
        <f>'Incountry Costs by GL USD'!H54*$L$10</f>
        <v>#REF!</v>
      </c>
      <c r="I51" s="451" t="e">
        <f>'Incountry Costs by GL USD'!I54*$L$10</f>
        <v>#REF!</v>
      </c>
      <c r="J51" s="452"/>
      <c r="K51" s="452"/>
      <c r="L51" s="451" t="e">
        <f>'Incountry Costs by GL USD'!L54*$L$10</f>
        <v>#REF!</v>
      </c>
      <c r="M51" s="452"/>
      <c r="N51" s="452"/>
      <c r="O51" s="451" t="e">
        <f>'Incountry Costs by GL USD'!O54*$L$10</f>
        <v>#REF!</v>
      </c>
      <c r="P51" s="452"/>
      <c r="Q51" s="452"/>
      <c r="R51" s="451" t="e">
        <f>'Incountry Costs by GL USD'!R54*$L$10</f>
        <v>#REF!</v>
      </c>
      <c r="S51" s="452"/>
      <c r="T51" s="452"/>
      <c r="U51" s="451" t="e">
        <f>'Incountry Costs by GL USD'!U54*$L$10</f>
        <v>#REF!</v>
      </c>
      <c r="V51" s="452"/>
      <c r="W51" s="453"/>
    </row>
    <row r="52" spans="1:33" s="30" customFormat="1" ht="15">
      <c r="A52" s="29"/>
      <c r="B52" s="380" t="s">
        <v>404</v>
      </c>
      <c r="C52" s="329" t="s">
        <v>494</v>
      </c>
      <c r="D52" s="384" t="s">
        <v>495</v>
      </c>
      <c r="E52" s="329" t="s">
        <v>496</v>
      </c>
      <c r="F52" s="329"/>
      <c r="G52" s="329"/>
      <c r="H52" s="448" t="e">
        <f>'Incountry Costs by GL USD'!H55*$L$10</f>
        <v>#REF!</v>
      </c>
      <c r="I52" s="451" t="e">
        <f>'Incountry Costs by GL USD'!I55*$L$10</f>
        <v>#REF!</v>
      </c>
      <c r="J52" s="452"/>
      <c r="K52" s="452"/>
      <c r="L52" s="451" t="e">
        <f>'Incountry Costs by GL USD'!L55*$L$10</f>
        <v>#REF!</v>
      </c>
      <c r="M52" s="452"/>
      <c r="N52" s="452"/>
      <c r="O52" s="451" t="e">
        <f>'Incountry Costs by GL USD'!O55*$L$10</f>
        <v>#REF!</v>
      </c>
      <c r="P52" s="452"/>
      <c r="Q52" s="452"/>
      <c r="R52" s="451" t="e">
        <f>'Incountry Costs by GL USD'!R55*$L$10</f>
        <v>#REF!</v>
      </c>
      <c r="S52" s="452"/>
      <c r="T52" s="452"/>
      <c r="U52" s="451" t="e">
        <f>'Incountry Costs by GL USD'!U55*$L$10</f>
        <v>#REF!</v>
      </c>
      <c r="V52" s="452"/>
      <c r="W52" s="453"/>
    </row>
    <row r="53" spans="1:33" s="30" customFormat="1" ht="15">
      <c r="A53" s="29"/>
      <c r="B53" s="380" t="s">
        <v>404</v>
      </c>
      <c r="C53" s="329" t="s">
        <v>494</v>
      </c>
      <c r="D53" s="384" t="s">
        <v>497</v>
      </c>
      <c r="E53" s="329" t="s">
        <v>498</v>
      </c>
      <c r="F53" s="329"/>
      <c r="G53" s="329"/>
      <c r="H53" s="448" t="e">
        <f>'Incountry Costs by GL USD'!H56*$L$10</f>
        <v>#REF!</v>
      </c>
      <c r="I53" s="451" t="e">
        <f>'Incountry Costs by GL USD'!I56*$L$10</f>
        <v>#REF!</v>
      </c>
      <c r="J53" s="452"/>
      <c r="K53" s="452"/>
      <c r="L53" s="451" t="e">
        <f>'Incountry Costs by GL USD'!L56*$L$10</f>
        <v>#REF!</v>
      </c>
      <c r="M53" s="452"/>
      <c r="N53" s="452"/>
      <c r="O53" s="451" t="e">
        <f>'Incountry Costs by GL USD'!O56*$L$10</f>
        <v>#REF!</v>
      </c>
      <c r="P53" s="452"/>
      <c r="Q53" s="452"/>
      <c r="R53" s="451" t="e">
        <f>'Incountry Costs by GL USD'!R56*$L$10</f>
        <v>#REF!</v>
      </c>
      <c r="S53" s="452"/>
      <c r="T53" s="452"/>
      <c r="U53" s="451" t="e">
        <f>'Incountry Costs by GL USD'!U56*$L$10</f>
        <v>#REF!</v>
      </c>
      <c r="V53" s="452"/>
      <c r="W53" s="453"/>
    </row>
    <row r="54" spans="1:33" s="30" customFormat="1" ht="15.3" thickBot="1">
      <c r="A54" s="29"/>
      <c r="B54" s="369"/>
      <c r="C54" s="383"/>
      <c r="D54" s="331"/>
      <c r="E54" s="331"/>
      <c r="F54" s="331"/>
      <c r="G54" s="331"/>
      <c r="H54" s="331"/>
      <c r="I54" s="365"/>
      <c r="J54" s="331"/>
      <c r="K54" s="331"/>
      <c r="L54" s="365"/>
      <c r="M54" s="331"/>
      <c r="N54" s="331"/>
      <c r="O54" s="365"/>
      <c r="P54" s="331"/>
      <c r="Q54" s="331"/>
      <c r="R54" s="365"/>
      <c r="S54" s="331"/>
      <c r="T54" s="331"/>
      <c r="U54" s="365"/>
      <c r="V54" s="331"/>
      <c r="W54" s="332"/>
    </row>
    <row r="55" spans="1:33" s="30" customFormat="1" ht="15.3" thickBot="1">
      <c r="A55" s="29"/>
      <c r="B55" s="413" t="s">
        <v>307</v>
      </c>
      <c r="C55" s="414"/>
      <c r="D55" s="413" t="s">
        <v>307</v>
      </c>
      <c r="E55" s="327"/>
      <c r="F55" s="327"/>
      <c r="G55" s="327"/>
      <c r="H55" s="412" t="e">
        <f>SUM(I55,L55,O55,R55,U55,#REF!,#REF!,#REF!,#REF!,#REF!)</f>
        <v>#REF!</v>
      </c>
      <c r="I55" s="412" t="e">
        <f>SUM(I14:I54)</f>
        <v>#REF!</v>
      </c>
      <c r="J55" s="327"/>
      <c r="K55" s="327"/>
      <c r="L55" s="412" t="e">
        <f>SUM(L14:L54)</f>
        <v>#REF!</v>
      </c>
      <c r="M55" s="327"/>
      <c r="N55" s="327"/>
      <c r="O55" s="412" t="e">
        <f>SUM(O14:O54)</f>
        <v>#REF!</v>
      </c>
      <c r="P55" s="327"/>
      <c r="Q55" s="327"/>
      <c r="R55" s="412" t="e">
        <f>SUM(R14:R54)</f>
        <v>#REF!</v>
      </c>
      <c r="S55" s="327"/>
      <c r="T55" s="327"/>
      <c r="U55" s="412" t="e">
        <f>SUM(U14:U54)</f>
        <v>#REF!</v>
      </c>
      <c r="V55" s="327"/>
      <c r="W55" s="328"/>
    </row>
    <row r="56" spans="1:33" s="14" customFormat="1">
      <c r="A56" s="29"/>
      <c r="B56" s="9"/>
      <c r="C56" s="9"/>
      <c r="D56" s="30"/>
      <c r="E56" s="9"/>
      <c r="F56" s="9"/>
      <c r="G56" s="9"/>
      <c r="H56" s="9"/>
      <c r="I56" s="9"/>
      <c r="J56" s="9"/>
      <c r="K56" s="9"/>
      <c r="L56" s="9"/>
      <c r="M56" s="9"/>
      <c r="N56" s="9"/>
      <c r="O56" s="9"/>
      <c r="P56" s="9"/>
      <c r="Q56" s="9"/>
      <c r="R56" s="9"/>
      <c r="S56" s="9"/>
      <c r="T56" s="9"/>
      <c r="U56" s="9"/>
      <c r="V56" s="9"/>
      <c r="W56" s="9"/>
      <c r="X56" s="9"/>
      <c r="Y56" s="9"/>
      <c r="AA56" s="5"/>
      <c r="AB56" s="9"/>
      <c r="AC56" s="9"/>
      <c r="AD56" s="9"/>
      <c r="AE56" s="9"/>
      <c r="AF56" s="9"/>
      <c r="AG56" s="9"/>
    </row>
    <row r="57" spans="1:33" s="14" customFormat="1">
      <c r="A57" s="29"/>
      <c r="B57" s="9" t="s">
        <v>410</v>
      </c>
      <c r="C57" s="9"/>
      <c r="D57" s="30"/>
      <c r="E57" s="9"/>
      <c r="F57" s="9"/>
      <c r="G57" s="9"/>
      <c r="H57" s="9"/>
      <c r="I57" s="174" t="e">
        <f>#REF!</f>
        <v>#REF!</v>
      </c>
      <c r="J57" s="9"/>
      <c r="K57" s="9"/>
      <c r="L57" s="174" t="e">
        <f>#REF!</f>
        <v>#REF!</v>
      </c>
      <c r="M57" s="9"/>
      <c r="N57" s="9"/>
      <c r="O57" s="174" t="e">
        <f>#REF!</f>
        <v>#REF!</v>
      </c>
      <c r="P57" s="9"/>
      <c r="Q57" s="9"/>
      <c r="R57" s="174" t="e">
        <f>#REF!</f>
        <v>#REF!</v>
      </c>
      <c r="S57" s="9"/>
      <c r="T57" s="9"/>
      <c r="U57" s="174" t="e">
        <f>#REF!</f>
        <v>#REF!</v>
      </c>
      <c r="V57" s="9"/>
      <c r="W57" s="9"/>
      <c r="X57" s="9"/>
      <c r="Y57" s="9"/>
      <c r="AA57" s="5"/>
      <c r="AB57" s="9"/>
      <c r="AC57" s="9"/>
      <c r="AD57" s="9"/>
      <c r="AE57" s="9"/>
      <c r="AF57" s="9"/>
      <c r="AG57" s="9"/>
    </row>
    <row r="58" spans="1:33" s="14" customFormat="1">
      <c r="A58" s="29"/>
      <c r="B58" s="9"/>
      <c r="C58" s="9"/>
      <c r="D58" s="30"/>
      <c r="E58" s="9"/>
      <c r="F58" s="9"/>
      <c r="G58" s="9"/>
      <c r="H58" s="9"/>
      <c r="I58" s="9"/>
      <c r="J58" s="9"/>
      <c r="K58" s="9"/>
      <c r="L58" s="9"/>
      <c r="M58" s="9"/>
      <c r="N58" s="9"/>
      <c r="O58" s="9"/>
      <c r="P58" s="9"/>
      <c r="Q58" s="9"/>
      <c r="R58" s="9"/>
      <c r="S58" s="9"/>
      <c r="T58" s="9"/>
      <c r="U58" s="9"/>
      <c r="V58" s="9"/>
      <c r="W58" s="9"/>
      <c r="X58" s="9"/>
      <c r="Y58" s="9"/>
      <c r="AA58" s="5"/>
      <c r="AB58" s="9"/>
      <c r="AC58" s="9"/>
      <c r="AD58" s="9"/>
      <c r="AE58" s="9"/>
      <c r="AF58" s="9"/>
      <c r="AG58" s="9"/>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c r="C60" s="9"/>
      <c r="D60" s="30"/>
      <c r="E60" s="9"/>
      <c r="F60" s="9"/>
      <c r="G60" s="9"/>
      <c r="H60" s="9"/>
      <c r="I60" s="9"/>
      <c r="J60" s="9"/>
      <c r="K60" s="9"/>
      <c r="L60" s="9"/>
      <c r="M60" s="9"/>
      <c r="N60" s="9"/>
      <c r="O60" s="9"/>
      <c r="P60" s="9"/>
      <c r="Q60" s="9"/>
      <c r="R60" s="9"/>
      <c r="S60" s="9"/>
      <c r="T60" s="9"/>
      <c r="U60" s="9"/>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30"/>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30"/>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30"/>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30"/>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30"/>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30"/>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30"/>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30"/>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16"/>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16"/>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16"/>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1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1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1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1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s="14" customFormat="1">
      <c r="A139" s="19"/>
      <c r="B139" s="9"/>
      <c r="C139" s="9"/>
      <c r="D139" s="16"/>
      <c r="E139" s="9"/>
      <c r="F139" s="9"/>
      <c r="G139" s="9"/>
      <c r="H139" s="9"/>
      <c r="I139" s="9"/>
      <c r="J139" s="9"/>
      <c r="K139" s="9"/>
      <c r="L139" s="9"/>
      <c r="M139" s="9"/>
      <c r="N139" s="9"/>
      <c r="O139" s="9"/>
      <c r="P139" s="9"/>
      <c r="Q139" s="9"/>
      <c r="R139" s="9"/>
      <c r="S139" s="9"/>
      <c r="T139" s="9"/>
      <c r="U139" s="9"/>
      <c r="V139" s="9"/>
      <c r="W139" s="9"/>
      <c r="X139" s="9"/>
      <c r="Y139" s="9"/>
      <c r="AA139" s="5"/>
      <c r="AB139" s="9"/>
      <c r="AC139" s="9"/>
      <c r="AD139" s="9"/>
      <c r="AE139" s="9"/>
      <c r="AF139" s="9"/>
      <c r="AG139" s="9"/>
    </row>
    <row r="140" spans="1:33" s="14" customFormat="1">
      <c r="A140" s="19"/>
      <c r="B140" s="9"/>
      <c r="C140" s="9"/>
      <c r="D140" s="16"/>
      <c r="E140" s="9"/>
      <c r="F140" s="9"/>
      <c r="G140" s="9"/>
      <c r="H140" s="9"/>
      <c r="I140" s="9"/>
      <c r="J140" s="9"/>
      <c r="K140" s="9"/>
      <c r="L140" s="9"/>
      <c r="M140" s="9"/>
      <c r="N140" s="9"/>
      <c r="O140" s="9"/>
      <c r="P140" s="9"/>
      <c r="Q140" s="9"/>
      <c r="R140" s="9"/>
      <c r="S140" s="9"/>
      <c r="T140" s="9"/>
      <c r="U140" s="9"/>
      <c r="V140" s="9"/>
      <c r="W140" s="9"/>
      <c r="X140" s="9"/>
      <c r="Y140" s="9"/>
      <c r="AA140" s="5"/>
      <c r="AB140" s="9"/>
      <c r="AC140" s="9"/>
      <c r="AD140" s="9"/>
      <c r="AE140" s="9"/>
      <c r="AF140" s="9"/>
      <c r="AG140" s="9"/>
    </row>
    <row r="141" spans="1:33" s="14" customFormat="1">
      <c r="A141" s="19"/>
      <c r="B141" s="9"/>
      <c r="C141" s="9"/>
      <c r="D141" s="16"/>
      <c r="E141" s="9"/>
      <c r="F141" s="9"/>
      <c r="G141" s="9"/>
      <c r="H141" s="9"/>
      <c r="I141" s="9"/>
      <c r="J141" s="9"/>
      <c r="K141" s="9"/>
      <c r="L141" s="9"/>
      <c r="M141" s="9"/>
      <c r="N141" s="9"/>
      <c r="O141" s="9"/>
      <c r="P141" s="9"/>
      <c r="Q141" s="9"/>
      <c r="R141" s="9"/>
      <c r="S141" s="9"/>
      <c r="T141" s="9"/>
      <c r="U141" s="9"/>
      <c r="V141" s="9"/>
      <c r="W141" s="9"/>
      <c r="X141" s="9"/>
      <c r="Y141" s="9"/>
      <c r="AA141" s="5"/>
      <c r="AB141" s="9"/>
      <c r="AC141" s="9"/>
      <c r="AD141" s="9"/>
      <c r="AE141" s="9"/>
      <c r="AF141" s="9"/>
      <c r="AG141" s="9"/>
    </row>
    <row r="142" spans="1:33" s="14" customFormat="1">
      <c r="A142" s="19"/>
      <c r="B142" s="9"/>
      <c r="C142" s="9"/>
      <c r="D142" s="16"/>
      <c r="E142" s="9"/>
      <c r="F142" s="9"/>
      <c r="G142" s="9"/>
      <c r="H142" s="9"/>
      <c r="I142" s="9"/>
      <c r="J142" s="9"/>
      <c r="K142" s="9"/>
      <c r="L142" s="9"/>
      <c r="M142" s="9"/>
      <c r="N142" s="9"/>
      <c r="O142" s="9"/>
      <c r="P142" s="9"/>
      <c r="Q142" s="9"/>
      <c r="R142" s="9"/>
      <c r="S142" s="9"/>
      <c r="T142" s="9"/>
      <c r="U142" s="9"/>
      <c r="V142" s="9"/>
      <c r="W142" s="9"/>
      <c r="X142" s="9"/>
      <c r="Y142" s="9"/>
      <c r="AA142" s="5"/>
      <c r="AB142" s="9"/>
      <c r="AC142" s="9"/>
      <c r="AD142" s="9"/>
      <c r="AE142" s="9"/>
      <c r="AF142" s="9"/>
      <c r="AG142" s="9"/>
    </row>
    <row r="143" spans="1:33" s="14" customFormat="1">
      <c r="A143" s="19"/>
      <c r="B143" s="9"/>
      <c r="C143" s="9"/>
      <c r="D143" s="16"/>
      <c r="E143" s="9"/>
      <c r="F143" s="9"/>
      <c r="G143" s="9"/>
      <c r="H143" s="9"/>
      <c r="I143" s="9"/>
      <c r="J143" s="9"/>
      <c r="K143" s="9"/>
      <c r="L143" s="9"/>
      <c r="M143" s="9"/>
      <c r="N143" s="9"/>
      <c r="O143" s="9"/>
      <c r="P143" s="9"/>
      <c r="Q143" s="9"/>
      <c r="R143" s="9"/>
      <c r="S143" s="9"/>
      <c r="T143" s="9"/>
      <c r="U143" s="9"/>
      <c r="V143" s="9"/>
      <c r="W143" s="9"/>
      <c r="X143" s="9"/>
      <c r="Y143" s="9"/>
      <c r="AA143" s="5"/>
      <c r="AB143" s="9"/>
      <c r="AC143" s="9"/>
      <c r="AD143" s="9"/>
      <c r="AE143" s="9"/>
      <c r="AF143" s="9"/>
      <c r="AG143" s="9"/>
    </row>
    <row r="144" spans="1:33" s="14" customFormat="1">
      <c r="A144" s="19"/>
      <c r="B144" s="9"/>
      <c r="C144" s="9"/>
      <c r="D144" s="16"/>
      <c r="E144" s="9"/>
      <c r="F144" s="9"/>
      <c r="G144" s="9"/>
      <c r="H144" s="9"/>
      <c r="I144" s="9"/>
      <c r="J144" s="9"/>
      <c r="K144" s="9"/>
      <c r="L144" s="9"/>
      <c r="M144" s="9"/>
      <c r="N144" s="9"/>
      <c r="O144" s="9"/>
      <c r="P144" s="9"/>
      <c r="Q144" s="9"/>
      <c r="R144" s="9"/>
      <c r="S144" s="9"/>
      <c r="T144" s="9"/>
      <c r="U144" s="9"/>
      <c r="V144" s="9"/>
      <c r="W144" s="9"/>
      <c r="X144" s="9"/>
      <c r="Y144" s="9"/>
      <c r="AA144" s="5"/>
      <c r="AB144" s="9"/>
      <c r="AC144" s="9"/>
      <c r="AD144" s="9"/>
      <c r="AE144" s="9"/>
      <c r="AF144" s="9"/>
      <c r="AG144" s="9"/>
    </row>
    <row r="145" spans="1:33" s="14" customFormat="1">
      <c r="A145" s="19"/>
      <c r="B145" s="9"/>
      <c r="C145" s="9"/>
      <c r="D145" s="16"/>
      <c r="E145" s="9"/>
      <c r="F145" s="9"/>
      <c r="G145" s="9"/>
      <c r="H145" s="9"/>
      <c r="I145" s="9"/>
      <c r="J145" s="9"/>
      <c r="K145" s="9"/>
      <c r="L145" s="9"/>
      <c r="M145" s="9"/>
      <c r="N145" s="9"/>
      <c r="O145" s="9"/>
      <c r="P145" s="9"/>
      <c r="Q145" s="9"/>
      <c r="R145" s="9"/>
      <c r="S145" s="9"/>
      <c r="T145" s="9"/>
      <c r="U145" s="9"/>
      <c r="V145" s="9"/>
      <c r="W145" s="9"/>
      <c r="X145" s="9"/>
      <c r="Y145" s="9"/>
      <c r="AA145" s="5"/>
      <c r="AB145" s="9"/>
      <c r="AC145" s="9"/>
      <c r="AD145" s="9"/>
      <c r="AE145" s="9"/>
      <c r="AF145" s="9"/>
      <c r="AG145" s="9"/>
    </row>
    <row r="146" spans="1:33" s="14" customFormat="1">
      <c r="A146" s="19"/>
      <c r="B146" s="9"/>
      <c r="C146" s="9"/>
      <c r="D146" s="16"/>
      <c r="E146" s="9"/>
      <c r="F146" s="9"/>
      <c r="G146" s="9"/>
      <c r="H146" s="9"/>
      <c r="I146" s="9"/>
      <c r="J146" s="9"/>
      <c r="K146" s="9"/>
      <c r="L146" s="9"/>
      <c r="M146" s="9"/>
      <c r="N146" s="9"/>
      <c r="O146" s="9"/>
      <c r="P146" s="9"/>
      <c r="Q146" s="9"/>
      <c r="R146" s="9"/>
      <c r="S146" s="9"/>
      <c r="T146" s="9"/>
      <c r="U146" s="9"/>
      <c r="V146" s="9"/>
      <c r="W146" s="9"/>
      <c r="X146" s="9"/>
      <c r="Y146" s="9"/>
      <c r="AA146" s="5"/>
      <c r="AB146" s="9"/>
      <c r="AC146" s="9"/>
      <c r="AD146" s="9"/>
      <c r="AE146" s="9"/>
      <c r="AF146" s="9"/>
      <c r="AG146" s="9"/>
    </row>
  </sheetData>
  <sheetProtection formatColumns="0" formatRows="0" insertRows="0" autoFilter="0"/>
  <dataValidations count="1">
    <dataValidation type="list" allowBlank="1" showInputMessage="1" showErrorMessage="1" prompt="Select US Costs or Incountry Costs as appropriate" sqref="B12:C12" xr:uid="{00000000-0002-0000-0900-000000000000}">
      <formula1>#REF!</formula1>
    </dataValidation>
  </dataValidations>
  <pageMargins left="0.5" right="0.5" top="0.5" bottom="0.5" header="0" footer="0.25"/>
  <pageSetup scale="45" fitToHeight="0" orientation="landscape" r:id="rId1"/>
  <headerFooter scaleWithDoc="0" alignWithMargins="0">
    <oddFooter>&amp;LUse or disclosure of data contained on this sheet is subject to the restriction on the proprietary statement of this proposal.&amp;RJhpiego, Page &amp;P of &amp;N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A1:X50"/>
  <sheetViews>
    <sheetView workbookViewId="0"/>
  </sheetViews>
  <sheetFormatPr defaultColWidth="8.71875" defaultRowHeight="12.3"/>
  <cols>
    <col min="1" max="1" width="13.5546875" bestFit="1" customWidth="1"/>
    <col min="2" max="2" width="27.44140625" bestFit="1" customWidth="1"/>
    <col min="3" max="3" width="7" bestFit="1" customWidth="1"/>
    <col min="4" max="4" width="38.71875" bestFit="1" customWidth="1"/>
    <col min="5" max="5" width="13.27734375" customWidth="1"/>
    <col min="8" max="8" width="6" bestFit="1" customWidth="1"/>
    <col min="9" max="9" width="6.71875" bestFit="1" customWidth="1"/>
  </cols>
  <sheetData>
    <row r="1" spans="1:24" s="105" customFormat="1" ht="20.100000000000001">
      <c r="A1" s="4" t="str">
        <f>Assumptions!$B$8</f>
        <v>Partners of America</v>
      </c>
      <c r="K1" s="396"/>
      <c r="L1" s="106"/>
      <c r="W1" s="106"/>
      <c r="X1" s="106"/>
    </row>
    <row r="2" spans="1:24" s="105" customFormat="1" ht="15">
      <c r="A2" s="315" t="str">
        <f>CONCATENATE(Assumptions!$B9," ",Assumptions!$C9)</f>
        <v>DONOR: USDOL</v>
      </c>
      <c r="K2" s="396"/>
      <c r="L2" s="106"/>
      <c r="W2" s="106"/>
      <c r="X2" s="106"/>
    </row>
    <row r="3" spans="1:24" s="105" customFormat="1" ht="15">
      <c r="A3" s="315" t="str">
        <f>CONCATENATE(Assumptions!$B10," ",Assumptions!$C10)</f>
        <v>Country: Ecuador</v>
      </c>
      <c r="W3" s="106"/>
      <c r="X3" s="106"/>
    </row>
    <row r="4" spans="1:24" s="105" customFormat="1" ht="15">
      <c r="A4" s="315" t="str">
        <f>CONCATENATE(Assumptions!$B11," ",Assumptions!$C11)</f>
        <v>Program Name: Project to Improve Adherence to International Labor Standards in the Agricultural Sector in Ecuador</v>
      </c>
      <c r="G4" s="426" t="s">
        <v>502</v>
      </c>
      <c r="H4" s="406"/>
      <c r="I4" s="407"/>
      <c r="J4" s="407"/>
      <c r="K4" s="406"/>
      <c r="L4" s="406"/>
      <c r="M4" s="406"/>
      <c r="N4" s="406"/>
      <c r="O4" s="406"/>
      <c r="P4" s="107"/>
      <c r="S4" s="107"/>
      <c r="V4" s="107"/>
      <c r="W4" s="107"/>
      <c r="X4" s="107"/>
    </row>
    <row r="5" spans="1:24" ht="15">
      <c r="A5" s="315" t="str">
        <f>CONCATENATE(Assumptions!$B12," ",Assumptions!$C12)</f>
        <v>Grant Number: FOA-ILAB-23-28</v>
      </c>
      <c r="G5" s="405" t="s">
        <v>503</v>
      </c>
      <c r="H5" s="408"/>
      <c r="I5" s="408"/>
      <c r="J5" s="408"/>
      <c r="K5" s="408"/>
      <c r="L5" s="408"/>
      <c r="M5" s="408"/>
      <c r="N5" s="408"/>
      <c r="O5" s="408"/>
    </row>
    <row r="6" spans="1:24">
      <c r="G6" s="428" t="s">
        <v>504</v>
      </c>
      <c r="H6" s="408"/>
      <c r="I6" s="408"/>
      <c r="J6" s="408"/>
    </row>
    <row r="7" spans="1:24" ht="20.100000000000001">
      <c r="A7" s="2" t="s">
        <v>505</v>
      </c>
    </row>
    <row r="8" spans="1:24" s="1" customFormat="1">
      <c r="A8" s="76"/>
    </row>
    <row r="10" spans="1:24" s="395" customFormat="1" ht="36.9">
      <c r="A10" s="130" t="s">
        <v>363</v>
      </c>
      <c r="B10" s="130" t="s">
        <v>364</v>
      </c>
      <c r="C10" s="130" t="s">
        <v>506</v>
      </c>
      <c r="D10" s="130" t="s">
        <v>365</v>
      </c>
      <c r="E10" s="130" t="s">
        <v>507</v>
      </c>
      <c r="G10" s="399" t="s">
        <v>507</v>
      </c>
      <c r="H10" s="400"/>
      <c r="I10" s="399" t="s">
        <v>508</v>
      </c>
      <c r="J10" s="400"/>
      <c r="K10" s="399" t="s">
        <v>509</v>
      </c>
      <c r="L10" s="400"/>
      <c r="O10" s="427"/>
    </row>
    <row r="11" spans="1:24" s="395" customFormat="1" ht="24.6">
      <c r="A11" s="387" t="s">
        <v>510</v>
      </c>
      <c r="B11" s="387"/>
      <c r="C11" s="387"/>
      <c r="D11" s="387"/>
      <c r="E11" s="387" t="s">
        <v>511</v>
      </c>
      <c r="F11" s="394"/>
      <c r="G11" s="397" t="s">
        <v>512</v>
      </c>
      <c r="H11" s="398"/>
      <c r="I11" s="401" t="s">
        <v>355</v>
      </c>
      <c r="J11" s="398"/>
      <c r="K11" s="397" t="s">
        <v>512</v>
      </c>
      <c r="L11" s="398"/>
    </row>
    <row r="12" spans="1:24" s="386" customFormat="1" ht="10.199999999999999"/>
    <row r="13" spans="1:24" s="390" customFormat="1" ht="10.5">
      <c r="A13" s="388"/>
      <c r="B13" s="388"/>
      <c r="C13" s="388"/>
      <c r="D13" s="388"/>
      <c r="E13" s="389" t="s">
        <v>513</v>
      </c>
      <c r="F13" s="389" t="s">
        <v>500</v>
      </c>
      <c r="G13" s="404">
        <v>1</v>
      </c>
      <c r="I13" s="390" t="s">
        <v>514</v>
      </c>
      <c r="J13" s="402">
        <v>1</v>
      </c>
      <c r="K13" s="389" t="s">
        <v>515</v>
      </c>
      <c r="L13" s="403">
        <v>12</v>
      </c>
    </row>
    <row r="14" spans="1:24">
      <c r="A14" s="76"/>
      <c r="B14" s="76"/>
      <c r="C14" s="76"/>
      <c r="D14" s="76"/>
    </row>
    <row r="15" spans="1:24" s="386" customFormat="1" ht="10.5">
      <c r="A15" s="385"/>
      <c r="B15" s="385"/>
      <c r="C15" s="385"/>
      <c r="D15" s="385"/>
      <c r="E15" s="385"/>
    </row>
    <row r="16" spans="1:24">
      <c r="A16" s="1" t="s">
        <v>23</v>
      </c>
      <c r="B16" s="1" t="s">
        <v>433</v>
      </c>
      <c r="C16">
        <v>616112</v>
      </c>
      <c r="D16" s="1" t="s">
        <v>516</v>
      </c>
      <c r="E16" s="391"/>
      <c r="F16" s="9" t="s">
        <v>517</v>
      </c>
      <c r="G16" s="423">
        <f>E16/$G$13</f>
        <v>0</v>
      </c>
      <c r="H16" s="9" t="s">
        <v>517</v>
      </c>
      <c r="K16" s="423">
        <f t="shared" ref="K16:K49" si="0">G16/$L$13</f>
        <v>0</v>
      </c>
      <c r="L16" s="392" t="s">
        <v>518</v>
      </c>
    </row>
    <row r="17" spans="1:12">
      <c r="A17" s="1" t="s">
        <v>52</v>
      </c>
      <c r="B17" s="1" t="s">
        <v>52</v>
      </c>
      <c r="C17">
        <v>620112</v>
      </c>
      <c r="D17" s="1" t="s">
        <v>519</v>
      </c>
      <c r="E17" s="391"/>
      <c r="F17" s="9" t="s">
        <v>517</v>
      </c>
      <c r="G17" s="423">
        <f t="shared" ref="G17:G49" si="1">E17/$G$13</f>
        <v>0</v>
      </c>
      <c r="H17" s="9" t="s">
        <v>517</v>
      </c>
      <c r="K17" s="423">
        <f t="shared" si="0"/>
        <v>0</v>
      </c>
      <c r="L17" s="392" t="s">
        <v>518</v>
      </c>
    </row>
    <row r="18" spans="1:12">
      <c r="A18" s="1" t="s">
        <v>58</v>
      </c>
      <c r="B18" s="1" t="s">
        <v>520</v>
      </c>
      <c r="C18">
        <v>652102</v>
      </c>
      <c r="D18" s="393" t="s">
        <v>521</v>
      </c>
      <c r="E18" s="391"/>
      <c r="F18" s="9" t="s">
        <v>517</v>
      </c>
      <c r="G18" s="423">
        <f t="shared" si="1"/>
        <v>0</v>
      </c>
      <c r="H18" s="9" t="s">
        <v>517</v>
      </c>
      <c r="K18" s="423">
        <f t="shared" si="0"/>
        <v>0</v>
      </c>
      <c r="L18" s="392" t="s">
        <v>518</v>
      </c>
    </row>
    <row r="19" spans="1:12">
      <c r="A19" s="1" t="s">
        <v>94</v>
      </c>
      <c r="B19" s="1" t="s">
        <v>377</v>
      </c>
      <c r="C19">
        <v>635001</v>
      </c>
      <c r="D19" s="393" t="s">
        <v>522</v>
      </c>
      <c r="E19" s="391"/>
      <c r="F19" s="9" t="s">
        <v>517</v>
      </c>
      <c r="G19" s="423">
        <f t="shared" si="1"/>
        <v>0</v>
      </c>
      <c r="H19" s="9" t="s">
        <v>517</v>
      </c>
      <c r="K19" s="423">
        <f t="shared" si="0"/>
        <v>0</v>
      </c>
      <c r="L19" s="392" t="s">
        <v>518</v>
      </c>
    </row>
    <row r="20" spans="1:12">
      <c r="B20" s="1" t="s">
        <v>377</v>
      </c>
      <c r="C20">
        <v>635010</v>
      </c>
      <c r="D20" s="393" t="s">
        <v>385</v>
      </c>
      <c r="E20" s="391"/>
      <c r="F20" s="9" t="s">
        <v>517</v>
      </c>
      <c r="G20" s="423">
        <f t="shared" si="1"/>
        <v>0</v>
      </c>
      <c r="H20" s="9" t="s">
        <v>517</v>
      </c>
      <c r="K20" s="423">
        <f t="shared" si="0"/>
        <v>0</v>
      </c>
      <c r="L20" s="392" t="s">
        <v>518</v>
      </c>
    </row>
    <row r="21" spans="1:12">
      <c r="B21" s="1" t="s">
        <v>377</v>
      </c>
      <c r="C21">
        <v>633032</v>
      </c>
      <c r="D21" s="393" t="s">
        <v>523</v>
      </c>
      <c r="E21" s="391"/>
      <c r="F21" s="9" t="s">
        <v>517</v>
      </c>
      <c r="G21" s="423">
        <f t="shared" si="1"/>
        <v>0</v>
      </c>
      <c r="H21" s="9" t="s">
        <v>517</v>
      </c>
      <c r="K21" s="423">
        <f t="shared" si="0"/>
        <v>0</v>
      </c>
      <c r="L21" s="392" t="s">
        <v>518</v>
      </c>
    </row>
    <row r="22" spans="1:12">
      <c r="B22" s="1" t="s">
        <v>377</v>
      </c>
      <c r="C22">
        <v>640282</v>
      </c>
      <c r="D22" s="393" t="s">
        <v>524</v>
      </c>
      <c r="E22" s="391"/>
      <c r="F22" s="9" t="s">
        <v>517</v>
      </c>
      <c r="G22" s="423">
        <f t="shared" si="1"/>
        <v>0</v>
      </c>
      <c r="H22" s="9" t="s">
        <v>517</v>
      </c>
      <c r="K22" s="423">
        <f t="shared" si="0"/>
        <v>0</v>
      </c>
      <c r="L22" s="392" t="s">
        <v>518</v>
      </c>
    </row>
    <row r="23" spans="1:12">
      <c r="A23" s="1" t="s">
        <v>90</v>
      </c>
      <c r="B23" s="1" t="s">
        <v>90</v>
      </c>
      <c r="C23">
        <v>653400</v>
      </c>
      <c r="D23" s="393" t="s">
        <v>447</v>
      </c>
      <c r="E23" s="391"/>
      <c r="F23" s="9" t="s">
        <v>517</v>
      </c>
      <c r="G23" s="423">
        <f t="shared" si="1"/>
        <v>0</v>
      </c>
      <c r="H23" s="9" t="s">
        <v>517</v>
      </c>
      <c r="K23" s="423">
        <f t="shared" si="0"/>
        <v>0</v>
      </c>
      <c r="L23" s="392" t="s">
        <v>518</v>
      </c>
    </row>
    <row r="24" spans="1:12">
      <c r="A24" s="1" t="s">
        <v>103</v>
      </c>
      <c r="B24" s="1" t="s">
        <v>390</v>
      </c>
      <c r="C24">
        <v>640341</v>
      </c>
      <c r="D24" s="393" t="s">
        <v>525</v>
      </c>
      <c r="E24" s="391"/>
      <c r="F24" s="9" t="s">
        <v>517</v>
      </c>
      <c r="G24" s="423">
        <f t="shared" si="1"/>
        <v>0</v>
      </c>
      <c r="H24" s="9" t="s">
        <v>517</v>
      </c>
      <c r="K24" s="423">
        <f t="shared" si="0"/>
        <v>0</v>
      </c>
      <c r="L24" s="392" t="s">
        <v>518</v>
      </c>
    </row>
    <row r="25" spans="1:12">
      <c r="B25" s="1" t="s">
        <v>390</v>
      </c>
      <c r="C25">
        <v>640318</v>
      </c>
      <c r="D25" s="393" t="s">
        <v>526</v>
      </c>
      <c r="E25" s="391"/>
      <c r="F25" s="9" t="s">
        <v>517</v>
      </c>
      <c r="G25" s="423">
        <f t="shared" si="1"/>
        <v>0</v>
      </c>
      <c r="H25" s="9" t="s">
        <v>517</v>
      </c>
      <c r="K25" s="423">
        <f t="shared" si="0"/>
        <v>0</v>
      </c>
      <c r="L25" s="392" t="s">
        <v>518</v>
      </c>
    </row>
    <row r="26" spans="1:12">
      <c r="B26" s="1" t="s">
        <v>390</v>
      </c>
      <c r="C26">
        <v>640361</v>
      </c>
      <c r="D26" s="393" t="s">
        <v>527</v>
      </c>
      <c r="E26" s="391"/>
      <c r="F26" s="9" t="s">
        <v>517</v>
      </c>
      <c r="G26" s="423">
        <f t="shared" si="1"/>
        <v>0</v>
      </c>
      <c r="H26" s="9" t="s">
        <v>517</v>
      </c>
      <c r="K26" s="423">
        <f t="shared" si="0"/>
        <v>0</v>
      </c>
      <c r="L26" s="392" t="s">
        <v>518</v>
      </c>
    </row>
    <row r="27" spans="1:12">
      <c r="B27" s="1" t="s">
        <v>390</v>
      </c>
      <c r="C27">
        <v>640351</v>
      </c>
      <c r="D27" s="393" t="s">
        <v>528</v>
      </c>
      <c r="E27" s="391"/>
      <c r="F27" s="9" t="s">
        <v>517</v>
      </c>
      <c r="G27" s="423">
        <f t="shared" si="1"/>
        <v>0</v>
      </c>
      <c r="H27" s="9" t="s">
        <v>517</v>
      </c>
      <c r="K27" s="423">
        <f t="shared" si="0"/>
        <v>0</v>
      </c>
      <c r="L27" s="392" t="s">
        <v>518</v>
      </c>
    </row>
    <row r="28" spans="1:12">
      <c r="B28" s="1" t="s">
        <v>390</v>
      </c>
      <c r="C28">
        <v>640205</v>
      </c>
      <c r="D28" s="393" t="s">
        <v>529</v>
      </c>
      <c r="E28" s="391"/>
      <c r="F28" s="9" t="s">
        <v>517</v>
      </c>
      <c r="G28" s="423">
        <f t="shared" si="1"/>
        <v>0</v>
      </c>
      <c r="H28" s="9" t="s">
        <v>517</v>
      </c>
      <c r="K28" s="423">
        <f t="shared" si="0"/>
        <v>0</v>
      </c>
      <c r="L28" s="392" t="s">
        <v>518</v>
      </c>
    </row>
    <row r="29" spans="1:12">
      <c r="B29" s="1" t="s">
        <v>390</v>
      </c>
      <c r="C29">
        <v>642501</v>
      </c>
      <c r="D29" s="393" t="s">
        <v>530</v>
      </c>
      <c r="E29" s="391"/>
      <c r="F29" s="9" t="s">
        <v>517</v>
      </c>
      <c r="G29" s="423">
        <f t="shared" si="1"/>
        <v>0</v>
      </c>
      <c r="H29" s="9" t="s">
        <v>517</v>
      </c>
      <c r="K29" s="423">
        <f t="shared" si="0"/>
        <v>0</v>
      </c>
      <c r="L29" s="392" t="s">
        <v>518</v>
      </c>
    </row>
    <row r="30" spans="1:12">
      <c r="B30" s="1" t="s">
        <v>390</v>
      </c>
      <c r="C30">
        <v>642501</v>
      </c>
      <c r="D30" s="393" t="s">
        <v>531</v>
      </c>
      <c r="E30" s="391"/>
      <c r="F30" s="9" t="s">
        <v>517</v>
      </c>
      <c r="G30" s="423">
        <f t="shared" si="1"/>
        <v>0</v>
      </c>
      <c r="H30" s="9" t="s">
        <v>517</v>
      </c>
      <c r="K30" s="423">
        <f t="shared" si="0"/>
        <v>0</v>
      </c>
      <c r="L30" s="392" t="s">
        <v>518</v>
      </c>
    </row>
    <row r="31" spans="1:12">
      <c r="B31" s="1" t="s">
        <v>390</v>
      </c>
      <c r="C31">
        <v>640318</v>
      </c>
      <c r="D31" s="393" t="s">
        <v>532</v>
      </c>
      <c r="E31" s="391"/>
      <c r="F31" s="9" t="s">
        <v>517</v>
      </c>
      <c r="G31" s="423">
        <f t="shared" si="1"/>
        <v>0</v>
      </c>
      <c r="H31" s="9" t="s">
        <v>517</v>
      </c>
      <c r="K31" s="423">
        <f t="shared" si="0"/>
        <v>0</v>
      </c>
      <c r="L31" s="392" t="s">
        <v>518</v>
      </c>
    </row>
    <row r="32" spans="1:12">
      <c r="B32" s="1" t="s">
        <v>390</v>
      </c>
      <c r="C32">
        <v>640301</v>
      </c>
      <c r="D32" s="393" t="s">
        <v>533</v>
      </c>
      <c r="E32" s="391"/>
      <c r="F32" s="9" t="s">
        <v>517</v>
      </c>
      <c r="G32" s="423">
        <f t="shared" si="1"/>
        <v>0</v>
      </c>
      <c r="H32" s="9" t="s">
        <v>517</v>
      </c>
      <c r="K32" s="423">
        <f t="shared" si="0"/>
        <v>0</v>
      </c>
      <c r="L32" s="392" t="s">
        <v>518</v>
      </c>
    </row>
    <row r="33" spans="1:12">
      <c r="B33" s="1" t="s">
        <v>390</v>
      </c>
      <c r="C33">
        <v>640301</v>
      </c>
      <c r="D33" s="393" t="s">
        <v>534</v>
      </c>
      <c r="E33" s="391"/>
      <c r="F33" s="9" t="s">
        <v>517</v>
      </c>
      <c r="G33" s="423">
        <f t="shared" si="1"/>
        <v>0</v>
      </c>
      <c r="H33" s="9" t="s">
        <v>517</v>
      </c>
      <c r="K33" s="423">
        <f t="shared" si="0"/>
        <v>0</v>
      </c>
      <c r="L33" s="392" t="s">
        <v>518</v>
      </c>
    </row>
    <row r="34" spans="1:12">
      <c r="B34" s="1" t="s">
        <v>390</v>
      </c>
      <c r="C34">
        <v>640321</v>
      </c>
      <c r="D34" s="393" t="s">
        <v>535</v>
      </c>
      <c r="E34" s="391"/>
      <c r="F34" s="9" t="s">
        <v>517</v>
      </c>
      <c r="G34" s="423">
        <f t="shared" si="1"/>
        <v>0</v>
      </c>
      <c r="H34" s="9" t="s">
        <v>517</v>
      </c>
      <c r="K34" s="423">
        <f t="shared" si="0"/>
        <v>0</v>
      </c>
      <c r="L34" s="392" t="s">
        <v>518</v>
      </c>
    </row>
    <row r="35" spans="1:12">
      <c r="B35" s="1" t="s">
        <v>390</v>
      </c>
      <c r="C35">
        <v>642501</v>
      </c>
      <c r="D35" s="393" t="s">
        <v>536</v>
      </c>
      <c r="E35" s="391"/>
      <c r="F35" s="9" t="s">
        <v>517</v>
      </c>
      <c r="G35" s="423">
        <f t="shared" si="1"/>
        <v>0</v>
      </c>
      <c r="H35" s="9" t="s">
        <v>517</v>
      </c>
      <c r="K35" s="423">
        <f t="shared" si="0"/>
        <v>0</v>
      </c>
      <c r="L35" s="392" t="s">
        <v>518</v>
      </c>
    </row>
    <row r="36" spans="1:12">
      <c r="B36" s="1" t="s">
        <v>390</v>
      </c>
      <c r="C36">
        <v>640301</v>
      </c>
      <c r="D36" s="393" t="s">
        <v>537</v>
      </c>
      <c r="E36" s="391"/>
      <c r="F36" s="9" t="s">
        <v>517</v>
      </c>
      <c r="G36" s="423">
        <f t="shared" si="1"/>
        <v>0</v>
      </c>
      <c r="H36" s="9" t="s">
        <v>517</v>
      </c>
      <c r="K36" s="423">
        <f t="shared" si="0"/>
        <v>0</v>
      </c>
      <c r="L36" s="392" t="s">
        <v>518</v>
      </c>
    </row>
    <row r="37" spans="1:12">
      <c r="B37" s="1" t="s">
        <v>390</v>
      </c>
      <c r="C37">
        <v>640455</v>
      </c>
      <c r="D37" s="393" t="s">
        <v>538</v>
      </c>
      <c r="E37" s="391"/>
      <c r="F37" s="9" t="s">
        <v>517</v>
      </c>
      <c r="G37" s="423">
        <f t="shared" si="1"/>
        <v>0</v>
      </c>
      <c r="H37" s="9" t="s">
        <v>517</v>
      </c>
      <c r="K37" s="423">
        <f t="shared" si="0"/>
        <v>0</v>
      </c>
      <c r="L37" s="392" t="s">
        <v>518</v>
      </c>
    </row>
    <row r="38" spans="1:12">
      <c r="A38" s="1" t="s">
        <v>397</v>
      </c>
      <c r="B38" s="1" t="s">
        <v>399</v>
      </c>
      <c r="C38">
        <v>640102</v>
      </c>
      <c r="D38" s="393" t="s">
        <v>539</v>
      </c>
      <c r="E38" s="391"/>
      <c r="F38" s="9" t="s">
        <v>517</v>
      </c>
      <c r="G38" s="423">
        <f t="shared" si="1"/>
        <v>0</v>
      </c>
      <c r="H38" s="9" t="s">
        <v>517</v>
      </c>
      <c r="K38" s="423">
        <f t="shared" si="0"/>
        <v>0</v>
      </c>
      <c r="L38" s="392" t="s">
        <v>518</v>
      </c>
    </row>
    <row r="39" spans="1:12">
      <c r="B39" s="1" t="s">
        <v>399</v>
      </c>
      <c r="C39">
        <v>640102</v>
      </c>
      <c r="D39" s="393" t="s">
        <v>540</v>
      </c>
      <c r="E39" s="391"/>
      <c r="F39" s="9" t="s">
        <v>517</v>
      </c>
      <c r="G39" s="423">
        <f t="shared" si="1"/>
        <v>0</v>
      </c>
      <c r="H39" s="9" t="s">
        <v>517</v>
      </c>
      <c r="K39" s="423">
        <f t="shared" si="0"/>
        <v>0</v>
      </c>
      <c r="L39" s="392" t="s">
        <v>518</v>
      </c>
    </row>
    <row r="40" spans="1:12">
      <c r="B40" s="1" t="s">
        <v>403</v>
      </c>
      <c r="C40">
        <v>651851</v>
      </c>
      <c r="D40" s="393" t="s">
        <v>541</v>
      </c>
      <c r="E40" s="391"/>
      <c r="F40" s="9" t="s">
        <v>517</v>
      </c>
      <c r="G40" s="423">
        <f t="shared" si="1"/>
        <v>0</v>
      </c>
      <c r="H40" s="9" t="s">
        <v>517</v>
      </c>
      <c r="K40" s="423">
        <f t="shared" si="0"/>
        <v>0</v>
      </c>
      <c r="L40" s="392" t="s">
        <v>518</v>
      </c>
    </row>
    <row r="41" spans="1:12">
      <c r="B41" s="1" t="s">
        <v>403</v>
      </c>
      <c r="C41">
        <v>642211</v>
      </c>
      <c r="D41" s="393" t="s">
        <v>542</v>
      </c>
      <c r="E41" s="391"/>
      <c r="F41" s="9" t="s">
        <v>517</v>
      </c>
      <c r="G41" s="423">
        <f t="shared" si="1"/>
        <v>0</v>
      </c>
      <c r="H41" s="9" t="s">
        <v>517</v>
      </c>
      <c r="K41" s="423">
        <f t="shared" si="0"/>
        <v>0</v>
      </c>
      <c r="L41" s="392" t="s">
        <v>518</v>
      </c>
    </row>
    <row r="42" spans="1:12">
      <c r="B42" s="1" t="s">
        <v>403</v>
      </c>
      <c r="C42">
        <v>642002</v>
      </c>
      <c r="D42" s="393" t="s">
        <v>543</v>
      </c>
      <c r="E42" s="391"/>
      <c r="F42" s="9" t="s">
        <v>517</v>
      </c>
      <c r="G42" s="423">
        <f t="shared" si="1"/>
        <v>0</v>
      </c>
      <c r="H42" s="9" t="s">
        <v>517</v>
      </c>
      <c r="K42" s="423">
        <f t="shared" si="0"/>
        <v>0</v>
      </c>
      <c r="L42" s="392" t="s">
        <v>518</v>
      </c>
    </row>
    <row r="43" spans="1:12">
      <c r="B43" s="1" t="s">
        <v>403</v>
      </c>
      <c r="C43">
        <v>640403</v>
      </c>
      <c r="D43" s="393" t="s">
        <v>544</v>
      </c>
      <c r="E43" s="391"/>
      <c r="F43" s="9" t="s">
        <v>517</v>
      </c>
      <c r="G43" s="423">
        <f t="shared" si="1"/>
        <v>0</v>
      </c>
      <c r="H43" s="9" t="s">
        <v>517</v>
      </c>
      <c r="K43" s="423">
        <f t="shared" si="0"/>
        <v>0</v>
      </c>
      <c r="L43" s="392" t="s">
        <v>518</v>
      </c>
    </row>
    <row r="44" spans="1:12">
      <c r="B44" s="1" t="s">
        <v>403</v>
      </c>
      <c r="C44">
        <v>642002</v>
      </c>
      <c r="D44" s="393" t="s">
        <v>545</v>
      </c>
      <c r="E44" s="391"/>
      <c r="F44" s="9" t="s">
        <v>517</v>
      </c>
      <c r="G44" s="423">
        <f t="shared" si="1"/>
        <v>0</v>
      </c>
      <c r="H44" s="9" t="s">
        <v>517</v>
      </c>
      <c r="K44" s="423">
        <f t="shared" si="0"/>
        <v>0</v>
      </c>
      <c r="L44" s="392" t="s">
        <v>518</v>
      </c>
    </row>
    <row r="45" spans="1:12">
      <c r="B45" s="1" t="s">
        <v>401</v>
      </c>
      <c r="C45">
        <v>641402</v>
      </c>
      <c r="D45" s="393" t="s">
        <v>546</v>
      </c>
      <c r="E45" s="391"/>
      <c r="F45" s="9" t="s">
        <v>517</v>
      </c>
      <c r="G45" s="423">
        <f t="shared" si="1"/>
        <v>0</v>
      </c>
      <c r="H45" s="9" t="s">
        <v>517</v>
      </c>
      <c r="K45" s="423">
        <f t="shared" si="0"/>
        <v>0</v>
      </c>
      <c r="L45" s="392" t="s">
        <v>518</v>
      </c>
    </row>
    <row r="46" spans="1:12">
      <c r="B46" s="1" t="s">
        <v>401</v>
      </c>
      <c r="C46">
        <v>641402</v>
      </c>
      <c r="D46" s="393" t="s">
        <v>547</v>
      </c>
      <c r="E46" s="391"/>
      <c r="F46" s="9" t="s">
        <v>517</v>
      </c>
      <c r="G46" s="423">
        <f t="shared" si="1"/>
        <v>0</v>
      </c>
      <c r="H46" s="9" t="s">
        <v>517</v>
      </c>
      <c r="K46" s="423">
        <f t="shared" si="0"/>
        <v>0</v>
      </c>
      <c r="L46" s="392" t="s">
        <v>518</v>
      </c>
    </row>
    <row r="47" spans="1:12">
      <c r="B47" s="1" t="s">
        <v>401</v>
      </c>
      <c r="C47">
        <v>641402</v>
      </c>
      <c r="D47" s="393" t="s">
        <v>548</v>
      </c>
      <c r="E47" s="391"/>
      <c r="F47" s="9" t="s">
        <v>517</v>
      </c>
      <c r="G47" s="423">
        <f t="shared" si="1"/>
        <v>0</v>
      </c>
      <c r="H47" s="9" t="s">
        <v>517</v>
      </c>
      <c r="K47" s="423">
        <f t="shared" si="0"/>
        <v>0</v>
      </c>
      <c r="L47" s="392" t="s">
        <v>518</v>
      </c>
    </row>
    <row r="48" spans="1:12">
      <c r="D48" s="393" t="s">
        <v>549</v>
      </c>
      <c r="E48" s="391"/>
      <c r="F48" s="9" t="s">
        <v>517</v>
      </c>
      <c r="G48" s="423">
        <f t="shared" si="1"/>
        <v>0</v>
      </c>
      <c r="H48" s="9" t="s">
        <v>517</v>
      </c>
      <c r="K48" s="423">
        <f t="shared" si="0"/>
        <v>0</v>
      </c>
      <c r="L48" s="392" t="s">
        <v>518</v>
      </c>
    </row>
    <row r="49" spans="4:12">
      <c r="D49" s="393" t="s">
        <v>549</v>
      </c>
      <c r="E49" s="391"/>
      <c r="F49" s="9" t="s">
        <v>517</v>
      </c>
      <c r="G49" s="423">
        <f t="shared" si="1"/>
        <v>0</v>
      </c>
      <c r="H49" s="9" t="s">
        <v>517</v>
      </c>
      <c r="K49" s="423">
        <f t="shared" si="0"/>
        <v>0</v>
      </c>
      <c r="L49" s="392" t="s">
        <v>518</v>
      </c>
    </row>
    <row r="50" spans="4:12">
      <c r="D50" s="419" t="s">
        <v>240</v>
      </c>
      <c r="E50" s="420">
        <f>SUM(E16:E49)</f>
        <v>0</v>
      </c>
      <c r="F50" s="421" t="s">
        <v>517</v>
      </c>
      <c r="G50" s="424">
        <f>SUM(G16:G49)</f>
        <v>0</v>
      </c>
      <c r="H50" s="421" t="s">
        <v>517</v>
      </c>
      <c r="I50" s="420"/>
      <c r="J50" s="420"/>
      <c r="K50" s="424">
        <f>SUM(K16:K49)</f>
        <v>0</v>
      </c>
      <c r="L50" s="422" t="s">
        <v>550</v>
      </c>
    </row>
  </sheetData>
  <pageMargins left="0.5" right="0.5" top="0.5" bottom="0.5" header="0.25" footer="0.25"/>
  <pageSetup scale="66"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theme="8" tint="0.59999389629810485"/>
  </sheetPr>
  <dimension ref="A5:AL104"/>
  <sheetViews>
    <sheetView zoomScaleNormal="100" zoomScaleSheetLayoutView="85" workbookViewId="0">
      <selection activeCell="A7" sqref="A7:F7"/>
    </sheetView>
  </sheetViews>
  <sheetFormatPr defaultColWidth="7.71875" defaultRowHeight="15.3" outlineLevelRow="1"/>
  <cols>
    <col min="1" max="1" width="3.71875" style="469" customWidth="1"/>
    <col min="2" max="2" width="31" style="469" customWidth="1"/>
    <col min="3" max="3" width="10.71875" style="469" customWidth="1"/>
    <col min="4" max="4" width="13" style="469" customWidth="1"/>
    <col min="5" max="5" width="10.71875" style="469" customWidth="1"/>
    <col min="6" max="6" width="15.44140625" style="469" customWidth="1"/>
    <col min="7" max="7" width="12.27734375" style="469" bestFit="1" customWidth="1"/>
    <col min="8" max="9" width="9.27734375" style="469" hidden="1" customWidth="1"/>
    <col min="10" max="10" width="10.44140625" style="469" customWidth="1"/>
    <col min="11" max="12" width="9.27734375" style="469" hidden="1" customWidth="1"/>
    <col min="13" max="13" width="10.27734375" style="469" customWidth="1"/>
    <col min="14" max="15" width="9.27734375" style="469" hidden="1" customWidth="1"/>
    <col min="16" max="16" width="10.71875" style="469" customWidth="1"/>
    <col min="17" max="18" width="9.27734375" style="469" hidden="1" customWidth="1"/>
    <col min="19" max="19" width="11.27734375" style="469" customWidth="1"/>
    <col min="20" max="21" width="9.27734375" style="469" hidden="1" customWidth="1"/>
    <col min="22" max="22" width="10.71875" style="469" bestFit="1" customWidth="1"/>
    <col min="23" max="24" width="9.27734375" style="469" hidden="1" customWidth="1"/>
    <col min="25" max="25" width="10.44140625" style="469" customWidth="1"/>
    <col min="26" max="27" width="9.27734375" style="469" hidden="1" customWidth="1"/>
    <col min="28" max="28" width="10.27734375" style="469" customWidth="1"/>
    <col min="29" max="30" width="9.27734375" style="469" hidden="1" customWidth="1"/>
    <col min="31" max="31" width="10.71875" style="469" customWidth="1"/>
    <col min="32" max="33" width="9.27734375" style="469" hidden="1" customWidth="1"/>
    <col min="34" max="34" width="11.27734375" style="469" customWidth="1"/>
    <col min="35" max="35" width="10.71875" style="469" customWidth="1"/>
    <col min="36" max="36" width="19.27734375" style="469" bestFit="1" customWidth="1"/>
    <col min="37" max="37" width="8.71875" style="469" bestFit="1" customWidth="1"/>
    <col min="38" max="38" width="9.27734375" style="469" bestFit="1" customWidth="1"/>
    <col min="39" max="39" width="8.71875" style="469" bestFit="1" customWidth="1"/>
    <col min="40" max="43" width="9.27734375" style="469" customWidth="1"/>
    <col min="44" max="44" width="8.5546875" style="469" bestFit="1" customWidth="1"/>
    <col min="45" max="16384" width="7.71875" style="469"/>
  </cols>
  <sheetData>
    <row r="5" spans="1:38">
      <c r="A5" s="471" t="s">
        <v>551</v>
      </c>
      <c r="AL5" s="473"/>
    </row>
    <row r="7" spans="1:38">
      <c r="A7" s="474" t="s">
        <v>552</v>
      </c>
      <c r="B7" s="470"/>
      <c r="C7" s="470"/>
      <c r="D7" s="470"/>
      <c r="AI7" s="470"/>
      <c r="AJ7" s="470"/>
    </row>
    <row r="8" spans="1:38">
      <c r="A8" s="474"/>
      <c r="B8" s="1373" t="s">
        <v>553</v>
      </c>
      <c r="AI8" s="470"/>
      <c r="AJ8" s="470"/>
    </row>
    <row r="9" spans="1:38">
      <c r="A9" s="474"/>
      <c r="B9" s="1373" t="s">
        <v>230</v>
      </c>
      <c r="C9" s="1373" t="s">
        <v>554</v>
      </c>
      <c r="AI9" s="470"/>
      <c r="AJ9" s="470"/>
    </row>
    <row r="10" spans="1:38">
      <c r="A10" s="474"/>
      <c r="B10" s="1373" t="s">
        <v>231</v>
      </c>
      <c r="C10" s="1373" t="s">
        <v>555</v>
      </c>
      <c r="AI10" s="470"/>
      <c r="AJ10" s="470"/>
    </row>
    <row r="11" spans="1:38">
      <c r="A11" s="474"/>
      <c r="B11" s="1373" t="s">
        <v>232</v>
      </c>
      <c r="C11" s="1373" t="s">
        <v>556</v>
      </c>
      <c r="AI11" s="470"/>
      <c r="AJ11" s="470"/>
    </row>
    <row r="12" spans="1:38">
      <c r="A12" s="474"/>
      <c r="B12" s="1373" t="s">
        <v>233</v>
      </c>
      <c r="C12" s="1373" t="s">
        <v>557</v>
      </c>
      <c r="AI12" s="470"/>
      <c r="AJ12" s="470"/>
    </row>
    <row r="13" spans="1:38">
      <c r="A13" s="474"/>
      <c r="B13" s="1373" t="s">
        <v>234</v>
      </c>
      <c r="C13" s="1378" t="s">
        <v>558</v>
      </c>
      <c r="F13" s="1374" t="s">
        <v>559</v>
      </c>
      <c r="G13" s="565"/>
      <c r="AI13" s="470"/>
      <c r="AJ13" s="470"/>
    </row>
    <row r="14" spans="1:38">
      <c r="B14" s="470"/>
      <c r="D14" s="470"/>
      <c r="AI14" s="470"/>
      <c r="AJ14" s="470"/>
    </row>
    <row r="15" spans="1:38">
      <c r="A15" s="474" t="s">
        <v>560</v>
      </c>
    </row>
    <row r="16" spans="1:38">
      <c r="B16" s="1379">
        <v>0.2828</v>
      </c>
      <c r="C16" s="469" t="s">
        <v>561</v>
      </c>
      <c r="AJ16" s="898"/>
      <c r="AK16" s="899"/>
    </row>
    <row r="17" spans="1:37">
      <c r="B17" s="1380">
        <v>0</v>
      </c>
      <c r="C17" s="470" t="s">
        <v>562</v>
      </c>
      <c r="D17" s="470"/>
      <c r="AI17" s="470"/>
      <c r="AJ17" s="900"/>
      <c r="AK17" s="897"/>
    </row>
    <row r="18" spans="1:37" ht="30">
      <c r="B18" s="1381" t="s">
        <v>5</v>
      </c>
      <c r="C18" s="470">
        <v>1.03</v>
      </c>
      <c r="D18" s="470"/>
      <c r="AI18" s="470"/>
      <c r="AJ18" s="900"/>
      <c r="AK18" s="897"/>
    </row>
    <row r="19" spans="1:37" ht="30">
      <c r="B19" s="1381" t="s">
        <v>6</v>
      </c>
      <c r="C19" s="470">
        <v>1.04</v>
      </c>
      <c r="D19" s="470"/>
      <c r="AI19" s="470"/>
      <c r="AJ19" s="900"/>
      <c r="AK19" s="897"/>
    </row>
    <row r="20" spans="1:37" ht="30">
      <c r="B20" s="1381" t="s">
        <v>7</v>
      </c>
      <c r="C20" s="470">
        <v>1.05</v>
      </c>
      <c r="D20" s="470"/>
      <c r="AI20" s="470"/>
      <c r="AJ20" s="900"/>
      <c r="AK20" s="897"/>
    </row>
    <row r="21" spans="1:37">
      <c r="B21" s="1380"/>
      <c r="C21" s="470"/>
      <c r="D21" s="470"/>
      <c r="AI21" s="470"/>
      <c r="AJ21" s="900"/>
      <c r="AK21" s="897"/>
    </row>
    <row r="22" spans="1:37">
      <c r="AI22" s="470"/>
      <c r="AJ22" s="900"/>
      <c r="AK22" s="897"/>
    </row>
    <row r="23" spans="1:37" hidden="1" outlineLevel="1">
      <c r="A23" s="474" t="s">
        <v>563</v>
      </c>
      <c r="T23" s="475"/>
      <c r="U23" s="476"/>
      <c r="AI23" s="476"/>
      <c r="AJ23" s="900"/>
      <c r="AK23" s="897"/>
    </row>
    <row r="24" spans="1:37" hidden="1" outlineLevel="1">
      <c r="B24" s="469" t="s">
        <v>564</v>
      </c>
      <c r="D24" s="1382">
        <v>0.03</v>
      </c>
      <c r="G24" s="1383" t="s">
        <v>16</v>
      </c>
      <c r="H24" s="477" t="s">
        <v>17</v>
      </c>
      <c r="I24" s="477" t="s">
        <v>18</v>
      </c>
      <c r="J24" s="477" t="s">
        <v>17</v>
      </c>
      <c r="K24" s="478"/>
      <c r="L24" s="478"/>
      <c r="M24" s="477" t="s">
        <v>18</v>
      </c>
      <c r="N24" s="477" t="s">
        <v>17</v>
      </c>
      <c r="O24" s="477" t="s">
        <v>17</v>
      </c>
      <c r="P24" s="477" t="s">
        <v>19</v>
      </c>
      <c r="Q24" s="477" t="s">
        <v>17</v>
      </c>
      <c r="R24" s="477" t="s">
        <v>17</v>
      </c>
      <c r="S24" s="477" t="s">
        <v>565</v>
      </c>
      <c r="T24" s="477" t="s">
        <v>17</v>
      </c>
      <c r="U24" s="477" t="s">
        <v>17</v>
      </c>
      <c r="V24" s="477" t="s">
        <v>566</v>
      </c>
      <c r="W24" s="477" t="s">
        <v>17</v>
      </c>
      <c r="X24" s="477" t="s">
        <v>17</v>
      </c>
      <c r="Y24" s="477" t="s">
        <v>567</v>
      </c>
      <c r="Z24" s="477" t="s">
        <v>17</v>
      </c>
      <c r="AA24" s="477" t="s">
        <v>17</v>
      </c>
      <c r="AB24" s="477" t="s">
        <v>568</v>
      </c>
      <c r="AC24" s="477" t="s">
        <v>17</v>
      </c>
      <c r="AD24" s="477" t="s">
        <v>17</v>
      </c>
      <c r="AE24" s="477" t="s">
        <v>569</v>
      </c>
      <c r="AF24" s="477" t="s">
        <v>17</v>
      </c>
      <c r="AG24" s="477" t="s">
        <v>17</v>
      </c>
      <c r="AH24" s="477" t="s">
        <v>570</v>
      </c>
      <c r="AI24" s="479"/>
      <c r="AJ24" s="900"/>
      <c r="AK24" s="897"/>
    </row>
    <row r="25" spans="1:37" hidden="1" outlineLevel="1">
      <c r="D25" s="1384"/>
      <c r="G25" s="1385">
        <v>45292</v>
      </c>
      <c r="H25" s="480"/>
      <c r="I25" s="480"/>
      <c r="J25" s="481"/>
      <c r="K25" s="481"/>
      <c r="L25" s="481"/>
      <c r="M25" s="481"/>
      <c r="N25" s="481"/>
      <c r="O25" s="481"/>
      <c r="P25" s="481"/>
      <c r="Q25" s="481"/>
      <c r="R25" s="481"/>
      <c r="S25" s="481"/>
      <c r="T25" s="481"/>
      <c r="U25" s="481"/>
      <c r="V25" s="481"/>
      <c r="W25" s="480"/>
      <c r="X25" s="480"/>
      <c r="Y25" s="481"/>
      <c r="Z25" s="481"/>
      <c r="AA25" s="481"/>
      <c r="AB25" s="481"/>
      <c r="AC25" s="481"/>
      <c r="AD25" s="481"/>
      <c r="AE25" s="481"/>
      <c r="AF25" s="481"/>
      <c r="AG25" s="481"/>
      <c r="AH25" s="481"/>
      <c r="AI25" s="482"/>
      <c r="AJ25" s="900"/>
      <c r="AK25" s="897"/>
    </row>
    <row r="26" spans="1:37" hidden="1" outlineLevel="1">
      <c r="C26" s="483"/>
      <c r="G26" s="1386">
        <v>45657</v>
      </c>
      <c r="H26" s="484"/>
      <c r="I26" s="484"/>
      <c r="J26" s="485"/>
      <c r="K26" s="486"/>
      <c r="L26" s="486"/>
      <c r="M26" s="485"/>
      <c r="N26" s="486"/>
      <c r="O26" s="486"/>
      <c r="P26" s="486"/>
      <c r="Q26" s="485"/>
      <c r="R26" s="485"/>
      <c r="S26" s="485"/>
      <c r="T26" s="485"/>
      <c r="U26" s="485"/>
      <c r="V26" s="485"/>
      <c r="W26" s="484"/>
      <c r="X26" s="484"/>
      <c r="Y26" s="485"/>
      <c r="Z26" s="486"/>
      <c r="AA26" s="486"/>
      <c r="AB26" s="485"/>
      <c r="AC26" s="486"/>
      <c r="AD26" s="486"/>
      <c r="AE26" s="486"/>
      <c r="AF26" s="485"/>
      <c r="AG26" s="485"/>
      <c r="AH26" s="485"/>
      <c r="AI26" s="487"/>
      <c r="AJ26" s="900"/>
      <c r="AK26" s="897"/>
    </row>
    <row r="27" spans="1:37" hidden="1" outlineLevel="1">
      <c r="G27" s="1387">
        <v>1</v>
      </c>
      <c r="H27" s="488"/>
      <c r="I27" s="488"/>
      <c r="J27" s="489">
        <f>G27*SUM(1+$D$24)</f>
        <v>1.03</v>
      </c>
      <c r="K27" s="490"/>
      <c r="L27" s="490"/>
      <c r="M27" s="489">
        <f>J27*SUM(1+$D$24)</f>
        <v>1.0609</v>
      </c>
      <c r="N27" s="489"/>
      <c r="O27" s="489"/>
      <c r="P27" s="489">
        <f>M27*SUM(1+$D$24)</f>
        <v>1.092727</v>
      </c>
      <c r="Q27" s="489"/>
      <c r="R27" s="489"/>
      <c r="S27" s="489">
        <f>P27*SUM(1+$D$24)</f>
        <v>1.1255088100000001</v>
      </c>
      <c r="T27" s="489"/>
      <c r="U27" s="489"/>
      <c r="V27" s="489">
        <f>S27*SUM(1+$D$24)</f>
        <v>1.1592740743000001</v>
      </c>
      <c r="W27" s="489"/>
      <c r="X27" s="489"/>
      <c r="Y27" s="489">
        <f>V27*SUM(1+$D$24)</f>
        <v>1.1940522965290001</v>
      </c>
      <c r="Z27" s="489"/>
      <c r="AA27" s="489"/>
      <c r="AB27" s="489">
        <f>Y27*SUM(1+$D$24)</f>
        <v>1.2298738654248702</v>
      </c>
      <c r="AC27" s="489"/>
      <c r="AD27" s="489"/>
      <c r="AE27" s="489">
        <f>AB27*SUM(1+$D$24)</f>
        <v>1.2667700813876164</v>
      </c>
      <c r="AF27" s="489"/>
      <c r="AG27" s="489"/>
      <c r="AH27" s="489">
        <f>AE27*SUM(1+$D$24)</f>
        <v>1.3047731838292449</v>
      </c>
      <c r="AJ27" s="900"/>
      <c r="AK27" s="897"/>
    </row>
    <row r="28" spans="1:37" hidden="1" outlineLevel="1">
      <c r="E28" s="474"/>
      <c r="M28" s="489"/>
      <c r="N28" s="489"/>
      <c r="O28" s="489"/>
      <c r="P28" s="489"/>
      <c r="Q28" s="489"/>
      <c r="R28" s="489"/>
      <c r="S28" s="489"/>
      <c r="T28" s="489"/>
      <c r="U28" s="489"/>
      <c r="V28" s="489"/>
      <c r="W28" s="489"/>
      <c r="X28" s="489"/>
      <c r="Y28" s="489"/>
      <c r="Z28" s="489"/>
      <c r="AA28" s="489"/>
      <c r="AB28" s="489"/>
      <c r="AC28" s="489"/>
      <c r="AD28" s="489"/>
      <c r="AE28" s="489"/>
      <c r="AF28" s="489"/>
      <c r="AG28" s="489"/>
      <c r="AH28" s="489"/>
      <c r="AJ28" s="900"/>
      <c r="AK28" s="897"/>
    </row>
    <row r="29" spans="1:37" hidden="1" outlineLevel="1">
      <c r="E29" s="474"/>
      <c r="F29" s="1388"/>
      <c r="G29" s="491"/>
      <c r="J29" s="491"/>
      <c r="M29" s="491"/>
      <c r="P29" s="491"/>
      <c r="S29" s="491"/>
      <c r="V29" s="491"/>
      <c r="Y29" s="491"/>
      <c r="AB29" s="491"/>
      <c r="AE29" s="491"/>
      <c r="AH29" s="491"/>
      <c r="AJ29" s="900"/>
      <c r="AK29" s="897"/>
    </row>
    <row r="30" spans="1:37" hidden="1" outlineLevel="1">
      <c r="A30" s="474" t="s">
        <v>571</v>
      </c>
      <c r="E30" s="474"/>
      <c r="F30" s="1388"/>
      <c r="G30" s="491"/>
      <c r="J30" s="491"/>
      <c r="M30" s="491"/>
      <c r="P30" s="491"/>
      <c r="S30" s="491"/>
      <c r="V30" s="491"/>
      <c r="Y30" s="491"/>
      <c r="AB30" s="491"/>
      <c r="AE30" s="491"/>
      <c r="AH30" s="491"/>
      <c r="AJ30" s="900"/>
      <c r="AK30" s="897"/>
    </row>
    <row r="31" spans="1:37" hidden="1" outlineLevel="1">
      <c r="A31" s="474"/>
      <c r="E31" s="474"/>
      <c r="F31" s="1388"/>
      <c r="G31" s="491"/>
      <c r="J31" s="491"/>
      <c r="M31" s="491"/>
      <c r="P31" s="491"/>
      <c r="S31" s="491"/>
      <c r="V31" s="491"/>
      <c r="Y31" s="491"/>
      <c r="AB31" s="491"/>
      <c r="AE31" s="491"/>
      <c r="AH31" s="491"/>
      <c r="AJ31" s="900"/>
      <c r="AK31" s="897"/>
    </row>
    <row r="32" spans="1:37" hidden="1" outlineLevel="1">
      <c r="A32" s="474" t="s">
        <v>572</v>
      </c>
      <c r="D32" s="1389">
        <v>0.04</v>
      </c>
      <c r="E32" s="474"/>
      <c r="F32" s="1388"/>
      <c r="G32" s="491"/>
      <c r="J32" s="491"/>
      <c r="M32" s="491"/>
      <c r="P32" s="491"/>
      <c r="S32" s="491"/>
      <c r="V32" s="491"/>
      <c r="Y32" s="491"/>
      <c r="AB32" s="491"/>
      <c r="AE32" s="491"/>
      <c r="AH32" s="491"/>
      <c r="AJ32" s="900"/>
      <c r="AK32" s="897"/>
    </row>
    <row r="33" spans="1:37" hidden="1" outlineLevel="1">
      <c r="A33" s="474" t="s">
        <v>573</v>
      </c>
      <c r="D33" s="1390">
        <v>45566</v>
      </c>
      <c r="T33" s="492"/>
      <c r="U33" s="492"/>
      <c r="AI33" s="470"/>
      <c r="AJ33" s="900"/>
      <c r="AK33" s="900"/>
    </row>
    <row r="34" spans="1:37" ht="30" hidden="1" outlineLevel="1">
      <c r="J34" s="493"/>
      <c r="K34" s="494"/>
      <c r="L34" s="494"/>
      <c r="M34" s="495" t="s">
        <v>574</v>
      </c>
      <c r="N34" s="494"/>
      <c r="O34" s="494"/>
      <c r="P34" s="494"/>
      <c r="Q34" s="494"/>
      <c r="R34" s="494"/>
      <c r="S34" s="496" t="s">
        <v>575</v>
      </c>
      <c r="T34" s="492"/>
      <c r="U34" s="492"/>
      <c r="Y34" s="493"/>
      <c r="Z34" s="494"/>
      <c r="AA34" s="494"/>
      <c r="AB34" s="495" t="s">
        <v>574</v>
      </c>
      <c r="AC34" s="494"/>
      <c r="AD34" s="494"/>
      <c r="AE34" s="494"/>
      <c r="AF34" s="494"/>
      <c r="AG34" s="494"/>
      <c r="AH34" s="496" t="s">
        <v>575</v>
      </c>
      <c r="AI34" s="470"/>
      <c r="AJ34" s="900"/>
      <c r="AK34" s="900"/>
    </row>
    <row r="35" spans="1:37" hidden="1" outlineLevel="1">
      <c r="B35" s="494"/>
      <c r="C35" s="497"/>
      <c r="D35" s="497"/>
      <c r="E35" s="498"/>
      <c r="F35" s="498"/>
      <c r="G35" s="498"/>
      <c r="H35" s="498"/>
      <c r="I35" s="498"/>
      <c r="J35" s="497"/>
      <c r="K35" s="497"/>
      <c r="L35" s="497"/>
      <c r="M35" s="499"/>
      <c r="N35" s="497"/>
      <c r="O35" s="497"/>
      <c r="P35" s="497"/>
      <c r="Q35" s="497"/>
      <c r="R35" s="497"/>
      <c r="S35" s="500"/>
      <c r="T35" s="492"/>
      <c r="U35" s="492"/>
      <c r="V35" s="498"/>
      <c r="W35" s="498"/>
      <c r="X35" s="498"/>
      <c r="Y35" s="497"/>
      <c r="Z35" s="497"/>
      <c r="AA35" s="497"/>
      <c r="AB35" s="499"/>
      <c r="AC35" s="497"/>
      <c r="AD35" s="497"/>
      <c r="AE35" s="497"/>
      <c r="AF35" s="497"/>
      <c r="AG35" s="497"/>
      <c r="AH35" s="500"/>
      <c r="AI35" s="470"/>
      <c r="AJ35" s="900"/>
      <c r="AK35" s="900"/>
    </row>
    <row r="36" spans="1:37" hidden="1" outlineLevel="1">
      <c r="B36" s="501" t="s">
        <v>16</v>
      </c>
      <c r="C36" s="502">
        <f>G25</f>
        <v>45292</v>
      </c>
      <c r="D36" s="502">
        <f>D33</f>
        <v>45566</v>
      </c>
      <c r="E36" s="503">
        <f>ROUND((D36-C36)/30,0)</f>
        <v>9</v>
      </c>
      <c r="F36" s="503" t="s">
        <v>576</v>
      </c>
      <c r="G36" s="504">
        <v>12</v>
      </c>
      <c r="H36" s="505"/>
      <c r="I36" s="505"/>
      <c r="J36" s="506" t="s">
        <v>577</v>
      </c>
      <c r="K36" s="506"/>
      <c r="L36" s="506"/>
      <c r="M36" s="507">
        <v>0</v>
      </c>
      <c r="N36" s="507"/>
      <c r="O36" s="507"/>
      <c r="P36" s="508">
        <f>E36/G36*M36</f>
        <v>0</v>
      </c>
      <c r="Q36" s="508"/>
      <c r="R36" s="508"/>
      <c r="S36" s="509"/>
      <c r="T36" s="510"/>
      <c r="U36" s="510"/>
      <c r="V36" s="504">
        <v>12</v>
      </c>
      <c r="W36" s="505"/>
      <c r="X36" s="505"/>
      <c r="Y36" s="506" t="s">
        <v>577</v>
      </c>
      <c r="Z36" s="506"/>
      <c r="AA36" s="506"/>
      <c r="AB36" s="507">
        <v>0</v>
      </c>
      <c r="AC36" s="507"/>
      <c r="AD36" s="507"/>
      <c r="AE36" s="508">
        <f>T36/V36*AB36</f>
        <v>0</v>
      </c>
      <c r="AF36" s="508"/>
      <c r="AG36" s="508"/>
      <c r="AH36" s="509"/>
      <c r="AJ36" s="900"/>
      <c r="AK36" s="900"/>
    </row>
    <row r="37" spans="1:37" hidden="1" outlineLevel="1">
      <c r="B37" s="511"/>
      <c r="C37" s="512"/>
      <c r="D37" s="512"/>
      <c r="E37" s="513">
        <f>12-E36</f>
        <v>3</v>
      </c>
      <c r="F37" s="513" t="s">
        <v>576</v>
      </c>
      <c r="G37" s="514">
        <v>12</v>
      </c>
      <c r="H37" s="515"/>
      <c r="I37" s="515"/>
      <c r="J37" s="516" t="s">
        <v>577</v>
      </c>
      <c r="K37" s="516"/>
      <c r="L37" s="516"/>
      <c r="M37" s="517">
        <f>IF(M36=0,D32,SUM(M36+1)*SUM(1+D32)-1)</f>
        <v>0.04</v>
      </c>
      <c r="N37" s="517"/>
      <c r="O37" s="517"/>
      <c r="P37" s="517">
        <f>E37/G37*M37</f>
        <v>0.01</v>
      </c>
      <c r="Q37" s="517"/>
      <c r="R37" s="517"/>
      <c r="S37" s="518">
        <f>SUM(1+SUM(P36:P37))</f>
        <v>1.01</v>
      </c>
      <c r="T37" s="510"/>
      <c r="U37" s="510"/>
      <c r="V37" s="514">
        <v>12</v>
      </c>
      <c r="W37" s="515"/>
      <c r="X37" s="515"/>
      <c r="Y37" s="516" t="s">
        <v>577</v>
      </c>
      <c r="Z37" s="516"/>
      <c r="AA37" s="516"/>
      <c r="AB37" s="517">
        <f>IF(AB36=0,S32,SUM(AB36+1)*SUM(1+S32)-1)</f>
        <v>0</v>
      </c>
      <c r="AC37" s="517"/>
      <c r="AD37" s="517"/>
      <c r="AE37" s="517">
        <f>T37/V37*AB37</f>
        <v>0</v>
      </c>
      <c r="AF37" s="517"/>
      <c r="AG37" s="517"/>
      <c r="AH37" s="518">
        <f>SUM(1+SUM(AE36:AE37))</f>
        <v>1</v>
      </c>
      <c r="AJ37" s="900"/>
      <c r="AK37" s="900"/>
    </row>
    <row r="38" spans="1:37" hidden="1" outlineLevel="1">
      <c r="G38" s="470"/>
      <c r="H38" s="470"/>
      <c r="I38" s="470"/>
      <c r="T38" s="491"/>
      <c r="U38" s="491"/>
      <c r="V38" s="470"/>
      <c r="W38" s="470"/>
      <c r="X38" s="470"/>
      <c r="AJ38" s="900"/>
      <c r="AK38" s="900"/>
    </row>
    <row r="39" spans="1:37" hidden="1" outlineLevel="1">
      <c r="A39" s="474" t="s">
        <v>578</v>
      </c>
      <c r="E39" s="474"/>
      <c r="G39" s="1391"/>
      <c r="H39" s="476"/>
      <c r="I39" s="476"/>
      <c r="J39" s="475"/>
      <c r="K39" s="476"/>
      <c r="L39" s="476"/>
      <c r="M39" s="475"/>
      <c r="N39" s="475"/>
      <c r="O39" s="476"/>
      <c r="P39" s="475"/>
      <c r="Q39" s="475"/>
      <c r="R39" s="476"/>
      <c r="S39" s="475"/>
      <c r="V39" s="475"/>
      <c r="W39" s="476"/>
      <c r="X39" s="476"/>
      <c r="Y39" s="475"/>
      <c r="Z39" s="476"/>
      <c r="AA39" s="476"/>
      <c r="AB39" s="475"/>
      <c r="AC39" s="475"/>
      <c r="AD39" s="476"/>
      <c r="AE39" s="475"/>
      <c r="AF39" s="475"/>
      <c r="AG39" s="476"/>
      <c r="AH39" s="475"/>
      <c r="AJ39" s="900"/>
      <c r="AK39" s="900"/>
    </row>
    <row r="40" spans="1:37" hidden="1" outlineLevel="1">
      <c r="E40" s="474"/>
      <c r="F40" s="1388"/>
      <c r="G40" s="491"/>
      <c r="J40" s="491"/>
      <c r="M40" s="491"/>
      <c r="P40" s="491"/>
      <c r="S40" s="491"/>
      <c r="V40" s="491"/>
      <c r="Y40" s="491"/>
      <c r="AB40" s="491"/>
      <c r="AE40" s="491"/>
      <c r="AH40" s="491"/>
      <c r="AJ40" s="900"/>
      <c r="AK40" s="900"/>
    </row>
    <row r="41" spans="1:37" hidden="1" outlineLevel="1">
      <c r="A41" s="474" t="s">
        <v>572</v>
      </c>
      <c r="D41" s="1389">
        <v>0.05</v>
      </c>
      <c r="E41" s="474"/>
      <c r="F41" s="1388"/>
      <c r="G41" s="491"/>
      <c r="J41" s="491"/>
      <c r="M41" s="491"/>
      <c r="P41" s="491"/>
      <c r="S41" s="491"/>
      <c r="V41" s="491"/>
      <c r="Y41" s="491"/>
      <c r="AB41" s="491"/>
      <c r="AE41" s="491"/>
      <c r="AH41" s="491"/>
      <c r="AJ41" s="900"/>
      <c r="AK41" s="900"/>
    </row>
    <row r="42" spans="1:37" hidden="1" outlineLevel="1">
      <c r="A42" s="474" t="s">
        <v>573</v>
      </c>
      <c r="D42" s="1390">
        <v>45474</v>
      </c>
      <c r="T42" s="492"/>
      <c r="U42" s="492"/>
      <c r="AI42" s="470"/>
      <c r="AJ42" s="900"/>
      <c r="AK42" s="900"/>
    </row>
    <row r="43" spans="1:37" ht="30" hidden="1" outlineLevel="1">
      <c r="J43" s="493"/>
      <c r="K43" s="494"/>
      <c r="L43" s="494"/>
      <c r="M43" s="495" t="s">
        <v>574</v>
      </c>
      <c r="N43" s="494"/>
      <c r="O43" s="494"/>
      <c r="P43" s="494"/>
      <c r="Q43" s="494"/>
      <c r="R43" s="494"/>
      <c r="S43" s="496" t="s">
        <v>575</v>
      </c>
      <c r="T43" s="492"/>
      <c r="U43" s="492"/>
      <c r="Y43" s="493"/>
      <c r="Z43" s="494"/>
      <c r="AA43" s="494"/>
      <c r="AB43" s="495" t="s">
        <v>574</v>
      </c>
      <c r="AC43" s="494"/>
      <c r="AD43" s="494"/>
      <c r="AE43" s="494"/>
      <c r="AF43" s="494"/>
      <c r="AG43" s="494"/>
      <c r="AH43" s="496" t="s">
        <v>575</v>
      </c>
      <c r="AI43" s="470"/>
      <c r="AJ43" s="900"/>
      <c r="AK43" s="900"/>
    </row>
    <row r="44" spans="1:37" hidden="1" outlineLevel="1">
      <c r="B44" s="494"/>
      <c r="C44" s="494"/>
      <c r="D44" s="494"/>
      <c r="E44" s="519"/>
      <c r="F44" s="519"/>
      <c r="G44" s="519"/>
      <c r="H44" s="519"/>
      <c r="I44" s="519"/>
      <c r="J44" s="494"/>
      <c r="K44" s="494"/>
      <c r="L44" s="494"/>
      <c r="M44" s="495"/>
      <c r="N44" s="494"/>
      <c r="O44" s="494"/>
      <c r="P44" s="494"/>
      <c r="Q44" s="494"/>
      <c r="R44" s="494"/>
      <c r="S44" s="496"/>
      <c r="T44" s="492"/>
      <c r="U44" s="492"/>
      <c r="V44" s="519"/>
      <c r="W44" s="519"/>
      <c r="X44" s="519"/>
      <c r="Y44" s="494"/>
      <c r="Z44" s="494"/>
      <c r="AA44" s="494"/>
      <c r="AB44" s="495"/>
      <c r="AC44" s="494"/>
      <c r="AD44" s="494"/>
      <c r="AE44" s="494"/>
      <c r="AF44" s="494"/>
      <c r="AG44" s="494"/>
      <c r="AH44" s="496"/>
      <c r="AI44" s="470"/>
      <c r="AJ44" s="900"/>
      <c r="AK44" s="900"/>
    </row>
    <row r="45" spans="1:37" hidden="1" outlineLevel="1">
      <c r="B45" s="501" t="s">
        <v>16</v>
      </c>
      <c r="C45" s="520">
        <f>G25</f>
        <v>45292</v>
      </c>
      <c r="D45" s="502">
        <f>D42</f>
        <v>45474</v>
      </c>
      <c r="E45" s="503">
        <f>ROUND((D45-C45)/30,0)</f>
        <v>6</v>
      </c>
      <c r="F45" s="503" t="s">
        <v>576</v>
      </c>
      <c r="G45" s="504">
        <v>12</v>
      </c>
      <c r="H45" s="505"/>
      <c r="I45" s="505"/>
      <c r="J45" s="506" t="s">
        <v>577</v>
      </c>
      <c r="K45" s="506"/>
      <c r="L45" s="506"/>
      <c r="M45" s="507">
        <v>0</v>
      </c>
      <c r="N45" s="507"/>
      <c r="O45" s="507"/>
      <c r="P45" s="508">
        <f>E45/G45*M45</f>
        <v>0</v>
      </c>
      <c r="Q45" s="508"/>
      <c r="R45" s="508"/>
      <c r="S45" s="509"/>
      <c r="T45" s="510"/>
      <c r="U45" s="510"/>
      <c r="V45" s="504">
        <v>12</v>
      </c>
      <c r="W45" s="505"/>
      <c r="X45" s="505"/>
      <c r="Y45" s="506" t="s">
        <v>577</v>
      </c>
      <c r="Z45" s="506"/>
      <c r="AA45" s="506"/>
      <c r="AB45" s="507">
        <v>0</v>
      </c>
      <c r="AC45" s="507"/>
      <c r="AD45" s="507"/>
      <c r="AE45" s="508">
        <f>T45/V45*AB45</f>
        <v>0</v>
      </c>
      <c r="AF45" s="508"/>
      <c r="AG45" s="508"/>
      <c r="AH45" s="509"/>
      <c r="AJ45" s="900"/>
      <c r="AK45" s="900"/>
    </row>
    <row r="46" spans="1:37" hidden="1" outlineLevel="1">
      <c r="B46" s="511"/>
      <c r="C46" s="521"/>
      <c r="D46" s="512"/>
      <c r="E46" s="513">
        <f>12-E45</f>
        <v>6</v>
      </c>
      <c r="F46" s="513" t="s">
        <v>576</v>
      </c>
      <c r="G46" s="514">
        <v>12</v>
      </c>
      <c r="H46" s="515"/>
      <c r="I46" s="515"/>
      <c r="J46" s="516" t="s">
        <v>577</v>
      </c>
      <c r="K46" s="516"/>
      <c r="L46" s="516"/>
      <c r="M46" s="517">
        <f>IF(M45=0,D41,SUM(M45+1)*SUM(1+D42)-1)</f>
        <v>0.05</v>
      </c>
      <c r="N46" s="517"/>
      <c r="O46" s="517"/>
      <c r="P46" s="517">
        <f>E46/G46*M46</f>
        <v>2.5000000000000001E-2</v>
      </c>
      <c r="Q46" s="517"/>
      <c r="R46" s="517"/>
      <c r="S46" s="518">
        <f>SUM(1+SUM(P45:P46))</f>
        <v>1.0249999999999999</v>
      </c>
      <c r="T46" s="510"/>
      <c r="U46" s="510"/>
      <c r="V46" s="514">
        <v>12</v>
      </c>
      <c r="W46" s="515"/>
      <c r="X46" s="515"/>
      <c r="Y46" s="516" t="s">
        <v>577</v>
      </c>
      <c r="Z46" s="516"/>
      <c r="AA46" s="516"/>
      <c r="AB46" s="517">
        <f>IF(AB45=0,S41,SUM(AB45+1)*SUM(1+S42)-1)</f>
        <v>0</v>
      </c>
      <c r="AC46" s="517"/>
      <c r="AD46" s="517"/>
      <c r="AE46" s="517">
        <f>T46/V46*AB46</f>
        <v>0</v>
      </c>
      <c r="AF46" s="517"/>
      <c r="AG46" s="517"/>
      <c r="AH46" s="518">
        <f>SUM(1+SUM(AE45:AE46))</f>
        <v>1</v>
      </c>
      <c r="AJ46" s="900"/>
      <c r="AK46" s="900"/>
    </row>
    <row r="47" spans="1:37" hidden="1" outlineLevel="1">
      <c r="G47" s="470"/>
      <c r="H47" s="470"/>
      <c r="I47" s="470"/>
      <c r="T47" s="491"/>
      <c r="U47" s="491"/>
      <c r="V47" s="470"/>
      <c r="W47" s="470"/>
      <c r="X47" s="470"/>
      <c r="AJ47" s="900"/>
      <c r="AK47" s="900"/>
    </row>
    <row r="48" spans="1:37" collapsed="1">
      <c r="A48" s="472"/>
      <c r="C48" s="522"/>
      <c r="D48" s="522"/>
      <c r="J48" s="483"/>
      <c r="K48" s="483"/>
      <c r="L48" s="483"/>
      <c r="M48" s="470"/>
      <c r="N48" s="470"/>
      <c r="O48" s="470"/>
      <c r="P48" s="470"/>
      <c r="Q48" s="470"/>
      <c r="R48" s="470"/>
      <c r="S48" s="510"/>
      <c r="T48" s="510"/>
      <c r="U48" s="510"/>
      <c r="Y48" s="483"/>
      <c r="Z48" s="483"/>
      <c r="AA48" s="483"/>
      <c r="AB48" s="470"/>
      <c r="AC48" s="470"/>
      <c r="AD48" s="470"/>
      <c r="AE48" s="470"/>
      <c r="AF48" s="470"/>
      <c r="AG48" s="470"/>
      <c r="AH48" s="510"/>
      <c r="AJ48" s="901"/>
      <c r="AK48" s="900"/>
    </row>
    <row r="50" spans="2:34">
      <c r="B50" s="523" t="s">
        <v>329</v>
      </c>
      <c r="C50" s="524" t="s">
        <v>579</v>
      </c>
      <c r="D50" s="524" t="s">
        <v>580</v>
      </c>
      <c r="E50" s="524" t="s">
        <v>238</v>
      </c>
      <c r="F50" s="534"/>
      <c r="G50" s="526"/>
      <c r="H50" s="526"/>
      <c r="I50" s="526"/>
      <c r="J50" s="526"/>
      <c r="K50" s="526"/>
      <c r="L50" s="526"/>
      <c r="V50" s="526"/>
      <c r="W50" s="526"/>
      <c r="X50" s="526"/>
      <c r="Y50" s="526"/>
      <c r="Z50" s="526"/>
      <c r="AA50" s="526"/>
    </row>
    <row r="51" spans="2:34">
      <c r="B51" s="1392" t="s">
        <v>581</v>
      </c>
      <c r="C51" s="535"/>
      <c r="D51" s="526"/>
      <c r="F51" s="493"/>
      <c r="H51" s="526"/>
      <c r="I51" s="526"/>
      <c r="J51" s="526"/>
      <c r="K51" s="526"/>
      <c r="L51" s="526"/>
      <c r="W51" s="526"/>
      <c r="X51" s="526"/>
      <c r="Y51" s="526"/>
      <c r="Z51" s="526"/>
      <c r="AA51" s="526"/>
    </row>
    <row r="52" spans="2:34">
      <c r="B52" s="528" t="s">
        <v>582</v>
      </c>
      <c r="C52" s="536" t="s">
        <v>583</v>
      </c>
      <c r="D52" s="1393"/>
      <c r="E52" s="526" t="s">
        <v>584</v>
      </c>
      <c r="F52" s="537"/>
      <c r="K52" s="526"/>
      <c r="L52" s="526"/>
      <c r="Z52" s="526"/>
      <c r="AA52" s="526"/>
    </row>
    <row r="53" spans="2:34">
      <c r="B53" s="528" t="s">
        <v>264</v>
      </c>
      <c r="C53" s="536" t="s">
        <v>585</v>
      </c>
      <c r="D53" s="1394">
        <v>200</v>
      </c>
      <c r="E53" s="526" t="s">
        <v>586</v>
      </c>
      <c r="F53" s="537"/>
      <c r="K53" s="526"/>
      <c r="L53" s="526"/>
      <c r="Z53" s="526"/>
      <c r="AA53" s="526"/>
    </row>
    <row r="54" spans="2:34">
      <c r="B54" s="528" t="s">
        <v>587</v>
      </c>
      <c r="C54" s="536" t="s">
        <v>588</v>
      </c>
      <c r="D54" s="1394">
        <v>119</v>
      </c>
      <c r="E54" s="526" t="s">
        <v>589</v>
      </c>
      <c r="F54" s="537"/>
      <c r="K54" s="526"/>
      <c r="L54" s="526"/>
      <c r="Z54" s="526"/>
      <c r="AA54" s="526"/>
    </row>
    <row r="55" spans="2:34">
      <c r="B55" s="528" t="s">
        <v>590</v>
      </c>
      <c r="C55" s="536" t="s">
        <v>591</v>
      </c>
      <c r="D55" s="1394"/>
      <c r="E55" s="526" t="s">
        <v>592</v>
      </c>
      <c r="F55" s="537"/>
      <c r="K55" s="526"/>
      <c r="L55" s="526"/>
      <c r="Z55" s="526"/>
      <c r="AA55" s="526"/>
    </row>
    <row r="56" spans="2:34">
      <c r="B56" s="528" t="s">
        <v>593</v>
      </c>
      <c r="C56" s="536" t="s">
        <v>594</v>
      </c>
      <c r="D56" s="1394">
        <v>150</v>
      </c>
      <c r="E56" s="526"/>
      <c r="F56" s="537"/>
      <c r="K56" s="526"/>
      <c r="L56" s="526"/>
      <c r="Z56" s="526"/>
      <c r="AA56" s="526"/>
    </row>
    <row r="57" spans="2:34">
      <c r="B57" s="528" t="s">
        <v>595</v>
      </c>
      <c r="C57" s="536" t="s">
        <v>596</v>
      </c>
      <c r="D57" s="1394">
        <v>150</v>
      </c>
      <c r="E57" s="526"/>
      <c r="F57" s="537"/>
      <c r="K57" s="526"/>
      <c r="L57" s="526"/>
      <c r="Z57" s="526"/>
      <c r="AA57" s="526"/>
    </row>
    <row r="58" spans="2:34">
      <c r="B58" s="528" t="s">
        <v>597</v>
      </c>
      <c r="C58" s="536" t="s">
        <v>598</v>
      </c>
      <c r="D58" s="1394"/>
      <c r="E58" s="526"/>
      <c r="F58" s="537"/>
      <c r="K58" s="526"/>
      <c r="L58" s="526"/>
      <c r="Z58" s="526"/>
      <c r="AA58" s="526"/>
    </row>
    <row r="59" spans="2:34">
      <c r="B59" s="528" t="s">
        <v>599</v>
      </c>
      <c r="C59" s="536" t="s">
        <v>600</v>
      </c>
      <c r="D59" s="1394"/>
      <c r="E59" s="526" t="s">
        <v>601</v>
      </c>
      <c r="F59" s="537"/>
      <c r="K59" s="526"/>
      <c r="L59" s="526"/>
      <c r="Z59" s="526"/>
      <c r="AA59" s="526"/>
    </row>
    <row r="60" spans="2:34">
      <c r="B60" s="530" t="s">
        <v>602</v>
      </c>
      <c r="C60" s="538" t="s">
        <v>603</v>
      </c>
      <c r="D60" s="1394"/>
      <c r="E60" s="539"/>
      <c r="F60" s="540"/>
      <c r="K60" s="526"/>
      <c r="L60" s="526"/>
      <c r="M60" s="526"/>
      <c r="Z60" s="526"/>
      <c r="AA60" s="526"/>
      <c r="AB60" s="526"/>
    </row>
    <row r="61" spans="2:34">
      <c r="B61" s="526"/>
      <c r="C61" s="526"/>
      <c r="D61" s="526"/>
      <c r="E61" s="526"/>
      <c r="F61" s="526"/>
      <c r="G61" s="526"/>
      <c r="H61" s="526"/>
      <c r="I61" s="526"/>
      <c r="J61" s="526"/>
      <c r="K61" s="526"/>
      <c r="L61" s="526"/>
      <c r="V61" s="526"/>
      <c r="W61" s="526"/>
      <c r="X61" s="526"/>
      <c r="Y61" s="526"/>
      <c r="Z61" s="526"/>
      <c r="AA61" s="526"/>
    </row>
    <row r="63" spans="2:34">
      <c r="B63" s="523" t="s">
        <v>604</v>
      </c>
      <c r="C63" s="543"/>
      <c r="D63" s="543"/>
      <c r="E63" s="543"/>
      <c r="F63" s="525"/>
      <c r="G63" s="526"/>
      <c r="H63" s="526"/>
      <c r="I63" s="526"/>
      <c r="J63" s="526"/>
      <c r="K63" s="526"/>
      <c r="L63" s="526"/>
      <c r="M63" s="510"/>
      <c r="N63" s="510"/>
      <c r="O63" s="510"/>
      <c r="P63" s="510"/>
      <c r="Q63" s="510"/>
      <c r="R63" s="510"/>
      <c r="S63" s="533"/>
      <c r="T63" s="533"/>
      <c r="U63" s="533"/>
      <c r="V63" s="526"/>
      <c r="W63" s="526"/>
      <c r="X63" s="526"/>
      <c r="Y63" s="526"/>
      <c r="Z63" s="526"/>
      <c r="AA63" s="526"/>
      <c r="AB63" s="510"/>
      <c r="AC63" s="510"/>
      <c r="AD63" s="510"/>
      <c r="AE63" s="510"/>
      <c r="AF63" s="510"/>
      <c r="AG63" s="510"/>
      <c r="AH63" s="533"/>
    </row>
    <row r="64" spans="2:34">
      <c r="B64" s="541"/>
      <c r="C64" s="543"/>
      <c r="D64" s="543"/>
      <c r="E64" s="543"/>
      <c r="F64" s="543"/>
      <c r="G64" s="526"/>
      <c r="H64" s="526"/>
      <c r="I64" s="526"/>
      <c r="J64" s="526"/>
      <c r="K64" s="526"/>
      <c r="L64" s="526"/>
      <c r="M64" s="510"/>
      <c r="N64" s="510"/>
      <c r="O64" s="510"/>
      <c r="P64" s="510"/>
      <c r="Q64" s="510"/>
      <c r="R64" s="510"/>
      <c r="S64" s="533"/>
      <c r="T64" s="533"/>
      <c r="U64" s="533"/>
      <c r="V64" s="526"/>
      <c r="W64" s="526"/>
      <c r="X64" s="526"/>
      <c r="Y64" s="526"/>
      <c r="Z64" s="526"/>
      <c r="AA64" s="526"/>
      <c r="AB64" s="510"/>
      <c r="AC64" s="510"/>
      <c r="AD64" s="510"/>
      <c r="AE64" s="510"/>
      <c r="AF64" s="510"/>
      <c r="AG64" s="510"/>
      <c r="AH64" s="533"/>
    </row>
    <row r="65" spans="2:34">
      <c r="B65" s="544" t="s">
        <v>337</v>
      </c>
      <c r="C65" s="524"/>
      <c r="D65" s="524" t="s">
        <v>264</v>
      </c>
      <c r="E65" s="524" t="s">
        <v>265</v>
      </c>
      <c r="F65" s="524" t="s">
        <v>240</v>
      </c>
      <c r="G65" s="526"/>
      <c r="H65" s="526"/>
      <c r="I65" s="526"/>
      <c r="J65" s="526"/>
      <c r="K65" s="526"/>
      <c r="L65" s="526"/>
      <c r="M65" s="510"/>
      <c r="N65" s="510"/>
      <c r="O65" s="510"/>
      <c r="P65" s="510"/>
      <c r="Q65" s="510"/>
      <c r="R65" s="510"/>
      <c r="S65" s="533"/>
      <c r="T65" s="533"/>
      <c r="U65" s="533"/>
      <c r="V65" s="526"/>
      <c r="W65" s="526"/>
      <c r="X65" s="526"/>
      <c r="Y65" s="526"/>
      <c r="Z65" s="526"/>
      <c r="AA65" s="526"/>
      <c r="AB65" s="510"/>
      <c r="AC65" s="510"/>
      <c r="AD65" s="510"/>
      <c r="AE65" s="510"/>
      <c r="AF65" s="510"/>
      <c r="AG65" s="510"/>
      <c r="AH65" s="533"/>
    </row>
    <row r="66" spans="2:34">
      <c r="B66" s="545" t="s">
        <v>581</v>
      </c>
      <c r="C66" s="546"/>
      <c r="D66" s="1375">
        <f>190*50%</f>
        <v>95</v>
      </c>
      <c r="E66" s="1375">
        <f>105*50%</f>
        <v>52.5</v>
      </c>
      <c r="F66" s="547">
        <f>SUM(D66:E66)</f>
        <v>147.5</v>
      </c>
      <c r="H66" s="526"/>
      <c r="I66" s="526"/>
      <c r="J66" s="526"/>
      <c r="K66" s="526"/>
      <c r="L66" s="526"/>
      <c r="W66" s="526"/>
      <c r="X66" s="526"/>
      <c r="Y66" s="526"/>
      <c r="Z66" s="526"/>
      <c r="AA66" s="526"/>
    </row>
    <row r="67" spans="2:34">
      <c r="B67" s="548" t="s">
        <v>605</v>
      </c>
      <c r="C67" s="549"/>
      <c r="D67" s="553">
        <f>122*50%</f>
        <v>61</v>
      </c>
      <c r="E67" s="553">
        <f>94*50%</f>
        <v>47</v>
      </c>
      <c r="F67" s="547">
        <f>SUM(D67:E67)</f>
        <v>108</v>
      </c>
      <c r="H67" s="526"/>
      <c r="I67" s="526"/>
      <c r="J67" s="526"/>
      <c r="K67" s="526"/>
      <c r="L67" s="526"/>
      <c r="M67" s="550"/>
      <c r="N67" s="550"/>
      <c r="O67" s="550"/>
      <c r="P67" s="550"/>
      <c r="W67" s="526"/>
      <c r="X67" s="526"/>
      <c r="Y67" s="526"/>
      <c r="Z67" s="526"/>
      <c r="AA67" s="526"/>
      <c r="AB67" s="550"/>
      <c r="AC67" s="550"/>
      <c r="AD67" s="550"/>
      <c r="AE67" s="550"/>
    </row>
    <row r="68" spans="2:34">
      <c r="B68" s="548" t="s">
        <v>606</v>
      </c>
      <c r="C68" s="549"/>
      <c r="D68" s="553">
        <v>122</v>
      </c>
      <c r="E68" s="553">
        <f>94*50%</f>
        <v>47</v>
      </c>
      <c r="F68" s="547">
        <f>SUM(D68:E68)</f>
        <v>169</v>
      </c>
      <c r="H68" s="526"/>
      <c r="I68" s="526"/>
      <c r="J68" s="526"/>
      <c r="K68" s="526"/>
      <c r="L68" s="526"/>
      <c r="M68" s="551"/>
      <c r="N68" s="550"/>
      <c r="O68" s="550"/>
      <c r="P68" s="550"/>
      <c r="Q68" s="552">
        <v>39114</v>
      </c>
      <c r="W68" s="526"/>
      <c r="X68" s="526"/>
      <c r="Y68" s="526"/>
      <c r="Z68" s="526"/>
      <c r="AA68" s="526"/>
      <c r="AB68" s="551"/>
      <c r="AC68" s="550"/>
      <c r="AD68" s="550"/>
      <c r="AE68" s="550"/>
      <c r="AF68" s="552">
        <v>39114</v>
      </c>
    </row>
    <row r="69" spans="2:34">
      <c r="B69" s="548" t="s">
        <v>607</v>
      </c>
      <c r="C69" s="549"/>
      <c r="D69" s="553">
        <f>AVERAGE(D66:D68)</f>
        <v>92.666666666666671</v>
      </c>
      <c r="E69" s="553">
        <f>AVERAGE(E66:E68)</f>
        <v>48.833333333333336</v>
      </c>
      <c r="F69" s="547">
        <f>SUM(D69:E69)</f>
        <v>141.5</v>
      </c>
      <c r="H69" s="526"/>
      <c r="I69" s="526"/>
      <c r="J69" s="526"/>
      <c r="K69" s="526"/>
      <c r="L69" s="526"/>
      <c r="M69" s="551"/>
      <c r="N69" s="550"/>
      <c r="O69" s="550"/>
      <c r="P69" s="550"/>
      <c r="Q69" s="552">
        <v>39114</v>
      </c>
      <c r="W69" s="526"/>
      <c r="X69" s="526"/>
      <c r="Y69" s="526"/>
      <c r="Z69" s="526"/>
      <c r="AA69" s="526"/>
      <c r="AB69" s="551"/>
      <c r="AC69" s="550"/>
      <c r="AD69" s="550"/>
      <c r="AE69" s="550"/>
      <c r="AF69" s="552">
        <v>39114</v>
      </c>
    </row>
    <row r="70" spans="2:34">
      <c r="B70" s="554" t="s">
        <v>608</v>
      </c>
      <c r="C70" s="555" t="s">
        <v>609</v>
      </c>
      <c r="D70" s="553">
        <v>122</v>
      </c>
      <c r="E70" s="556" t="s">
        <v>589</v>
      </c>
      <c r="F70" s="547"/>
      <c r="H70" s="526"/>
      <c r="I70" s="526"/>
      <c r="J70" s="526"/>
      <c r="K70" s="526"/>
      <c r="L70" s="526"/>
      <c r="M70" s="551"/>
      <c r="N70" s="550"/>
      <c r="O70" s="550"/>
      <c r="P70" s="550"/>
      <c r="Q70" s="552">
        <v>39114</v>
      </c>
      <c r="W70" s="526"/>
      <c r="X70" s="526"/>
      <c r="Y70" s="526"/>
      <c r="Z70" s="526"/>
      <c r="AA70" s="526"/>
      <c r="AB70" s="551"/>
      <c r="AC70" s="550"/>
      <c r="AD70" s="550"/>
      <c r="AE70" s="550"/>
      <c r="AF70" s="552">
        <v>39114</v>
      </c>
    </row>
    <row r="71" spans="2:34">
      <c r="B71" s="554" t="s">
        <v>610</v>
      </c>
      <c r="C71" s="555" t="s">
        <v>611</v>
      </c>
      <c r="D71" s="553">
        <v>47</v>
      </c>
      <c r="E71" s="556" t="s">
        <v>589</v>
      </c>
      <c r="F71" s="547"/>
      <c r="H71" s="526"/>
      <c r="I71" s="526"/>
      <c r="J71" s="526"/>
      <c r="K71" s="526"/>
      <c r="L71" s="526"/>
      <c r="M71" s="551"/>
      <c r="N71" s="550"/>
      <c r="O71" s="550"/>
      <c r="P71" s="550"/>
      <c r="Q71" s="552">
        <v>39114</v>
      </c>
      <c r="W71" s="526"/>
      <c r="X71" s="526"/>
      <c r="Y71" s="526"/>
      <c r="Z71" s="526"/>
      <c r="AA71" s="526"/>
      <c r="AB71" s="551"/>
      <c r="AC71" s="550"/>
      <c r="AD71" s="550"/>
      <c r="AE71" s="550"/>
      <c r="AF71" s="552">
        <v>39114</v>
      </c>
    </row>
    <row r="72" spans="2:34">
      <c r="B72" s="554" t="s">
        <v>612</v>
      </c>
      <c r="C72" s="555" t="s">
        <v>613</v>
      </c>
      <c r="D72" s="553">
        <v>0</v>
      </c>
      <c r="E72" s="556" t="s">
        <v>614</v>
      </c>
      <c r="F72" s="547"/>
      <c r="H72" s="526"/>
      <c r="I72" s="526"/>
      <c r="J72" s="526"/>
      <c r="K72" s="526"/>
      <c r="L72" s="526"/>
      <c r="M72" s="551"/>
      <c r="N72" s="550"/>
      <c r="O72" s="550"/>
      <c r="P72" s="550"/>
      <c r="Q72" s="552">
        <v>39114</v>
      </c>
      <c r="W72" s="526"/>
      <c r="X72" s="526"/>
      <c r="Y72" s="526"/>
      <c r="Z72" s="526"/>
      <c r="AA72" s="526"/>
      <c r="AB72" s="551"/>
      <c r="AC72" s="550"/>
      <c r="AD72" s="550"/>
      <c r="AE72" s="550"/>
      <c r="AF72" s="552">
        <v>39114</v>
      </c>
    </row>
    <row r="73" spans="2:34">
      <c r="B73" s="554" t="s">
        <v>582</v>
      </c>
      <c r="C73" s="542" t="s">
        <v>615</v>
      </c>
      <c r="D73" s="1376">
        <v>195</v>
      </c>
      <c r="E73" s="543" t="s">
        <v>584</v>
      </c>
      <c r="F73" s="525"/>
      <c r="H73" s="526"/>
      <c r="I73" s="526"/>
      <c r="J73" s="526"/>
      <c r="K73" s="526"/>
      <c r="L73" s="526"/>
      <c r="W73" s="526"/>
      <c r="X73" s="526"/>
      <c r="Y73" s="526"/>
      <c r="Z73" s="526"/>
      <c r="AA73" s="526"/>
    </row>
    <row r="74" spans="2:34">
      <c r="F74" s="557"/>
      <c r="H74" s="526"/>
      <c r="I74" s="526"/>
      <c r="J74" s="526"/>
      <c r="K74" s="526"/>
      <c r="L74" s="526"/>
      <c r="W74" s="526"/>
      <c r="X74" s="526"/>
      <c r="Y74" s="526"/>
      <c r="Z74" s="526"/>
      <c r="AA74" s="526"/>
    </row>
    <row r="75" spans="2:34">
      <c r="B75" s="544" t="s">
        <v>491</v>
      </c>
      <c r="C75" s="524" t="s">
        <v>579</v>
      </c>
      <c r="D75" s="524" t="s">
        <v>580</v>
      </c>
      <c r="E75" s="524" t="s">
        <v>238</v>
      </c>
      <c r="F75" s="524"/>
      <c r="H75" s="558"/>
      <c r="I75" s="526"/>
      <c r="W75" s="558"/>
      <c r="X75" s="526"/>
    </row>
    <row r="76" spans="2:34">
      <c r="B76" s="559" t="s">
        <v>616</v>
      </c>
      <c r="C76" s="560"/>
      <c r="D76" s="1377"/>
      <c r="E76" s="560"/>
      <c r="F76" s="561"/>
      <c r="H76" s="558"/>
      <c r="I76" s="526"/>
      <c r="W76" s="558"/>
      <c r="X76" s="526"/>
    </row>
    <row r="77" spans="2:34">
      <c r="B77" s="562" t="s">
        <v>617</v>
      </c>
      <c r="C77" s="529" t="s">
        <v>618</v>
      </c>
      <c r="D77" s="532">
        <v>0</v>
      </c>
      <c r="E77" s="526" t="s">
        <v>619</v>
      </c>
      <c r="F77" s="537"/>
      <c r="G77" s="526"/>
      <c r="H77" s="526"/>
      <c r="I77" s="526"/>
      <c r="V77" s="526"/>
      <c r="W77" s="526"/>
      <c r="X77" s="526"/>
    </row>
    <row r="78" spans="2:34">
      <c r="B78" s="562" t="s">
        <v>620</v>
      </c>
      <c r="C78" s="529" t="s">
        <v>621</v>
      </c>
      <c r="D78" s="532">
        <v>0</v>
      </c>
      <c r="E78" s="526" t="s">
        <v>619</v>
      </c>
      <c r="F78" s="537"/>
      <c r="G78" s="526"/>
      <c r="H78" s="526"/>
      <c r="I78" s="526"/>
      <c r="V78" s="526"/>
      <c r="W78" s="526"/>
      <c r="X78" s="526"/>
    </row>
    <row r="79" spans="2:34">
      <c r="B79" s="562" t="s">
        <v>622</v>
      </c>
      <c r="C79" s="529" t="s">
        <v>623</v>
      </c>
      <c r="D79" s="532">
        <v>300</v>
      </c>
      <c r="E79" s="526" t="s">
        <v>619</v>
      </c>
      <c r="F79" s="537"/>
      <c r="G79" s="526"/>
      <c r="H79" s="526"/>
      <c r="I79" s="526"/>
      <c r="V79" s="526"/>
      <c r="W79" s="526"/>
      <c r="X79" s="526"/>
    </row>
    <row r="80" spans="2:34">
      <c r="B80" s="562" t="s">
        <v>624</v>
      </c>
      <c r="C80" s="529" t="s">
        <v>625</v>
      </c>
      <c r="D80" s="532">
        <v>0</v>
      </c>
      <c r="E80" s="526" t="s">
        <v>614</v>
      </c>
      <c r="F80" s="537"/>
      <c r="G80" s="526"/>
      <c r="H80" s="526"/>
      <c r="I80" s="526"/>
      <c r="V80" s="526"/>
      <c r="W80" s="526"/>
      <c r="X80" s="526"/>
    </row>
    <row r="81" spans="2:27">
      <c r="B81" s="562" t="s">
        <v>626</v>
      </c>
      <c r="C81" s="529" t="s">
        <v>627</v>
      </c>
      <c r="D81" s="532">
        <v>0</v>
      </c>
      <c r="E81" s="526" t="s">
        <v>614</v>
      </c>
      <c r="F81" s="537"/>
      <c r="G81" s="526"/>
      <c r="H81" s="526"/>
      <c r="I81" s="526"/>
      <c r="V81" s="526"/>
      <c r="W81" s="526"/>
      <c r="X81" s="526"/>
    </row>
    <row r="82" spans="2:27">
      <c r="B82" s="562" t="s">
        <v>264</v>
      </c>
      <c r="C82" s="529" t="s">
        <v>628</v>
      </c>
      <c r="D82" s="532">
        <v>0</v>
      </c>
      <c r="E82" s="526" t="s">
        <v>586</v>
      </c>
      <c r="F82" s="537"/>
      <c r="G82" s="526"/>
      <c r="H82" s="526"/>
      <c r="I82" s="526"/>
      <c r="V82" s="526"/>
      <c r="W82" s="526"/>
      <c r="X82" s="526"/>
    </row>
    <row r="83" spans="2:27">
      <c r="B83" s="562" t="s">
        <v>587</v>
      </c>
      <c r="C83" s="529" t="s">
        <v>629</v>
      </c>
      <c r="D83" s="532">
        <v>0</v>
      </c>
      <c r="E83" s="526" t="s">
        <v>589</v>
      </c>
      <c r="F83" s="537"/>
      <c r="G83" s="526"/>
      <c r="H83" s="526"/>
      <c r="I83" s="526"/>
      <c r="V83" s="526"/>
      <c r="W83" s="526"/>
      <c r="X83" s="526"/>
    </row>
    <row r="84" spans="2:27">
      <c r="B84" s="548" t="s">
        <v>630</v>
      </c>
      <c r="C84" s="531" t="s">
        <v>631</v>
      </c>
      <c r="D84" s="543">
        <v>0</v>
      </c>
      <c r="E84" s="532" t="s">
        <v>614</v>
      </c>
      <c r="F84" s="540"/>
      <c r="G84" s="526"/>
      <c r="H84" s="526"/>
      <c r="I84" s="526"/>
      <c r="V84" s="526"/>
      <c r="W84" s="526"/>
      <c r="X84" s="526"/>
    </row>
    <row r="85" spans="2:27">
      <c r="B85" s="562" t="s">
        <v>632</v>
      </c>
      <c r="C85" s="529" t="s">
        <v>633</v>
      </c>
      <c r="D85" s="543">
        <v>9</v>
      </c>
      <c r="E85" s="526" t="s">
        <v>634</v>
      </c>
      <c r="F85" s="537"/>
      <c r="G85" s="526"/>
      <c r="H85" s="526"/>
      <c r="I85" s="526"/>
      <c r="V85" s="526"/>
      <c r="W85" s="526"/>
      <c r="X85" s="526"/>
    </row>
    <row r="86" spans="2:27">
      <c r="B86" s="559" t="s">
        <v>635</v>
      </c>
      <c r="C86" s="560"/>
      <c r="D86" s="1377"/>
      <c r="E86" s="527"/>
      <c r="F86" s="563"/>
      <c r="G86" s="526"/>
      <c r="H86" s="526"/>
      <c r="I86" s="526"/>
      <c r="V86" s="526"/>
      <c r="W86" s="526"/>
      <c r="X86" s="526"/>
    </row>
    <row r="87" spans="2:27">
      <c r="B87" s="562" t="s">
        <v>636</v>
      </c>
      <c r="C87" s="526" t="s">
        <v>637</v>
      </c>
      <c r="D87" s="1395">
        <v>4</v>
      </c>
      <c r="E87" s="526" t="s">
        <v>638</v>
      </c>
      <c r="F87" s="537"/>
      <c r="G87" s="526"/>
      <c r="H87" s="526"/>
      <c r="I87" s="526"/>
      <c r="J87" s="526"/>
      <c r="K87" s="526"/>
      <c r="L87" s="526"/>
      <c r="V87" s="526"/>
      <c r="W87" s="526"/>
      <c r="X87" s="526"/>
      <c r="Y87" s="526"/>
      <c r="Z87" s="526"/>
      <c r="AA87" s="526"/>
    </row>
    <row r="88" spans="2:27">
      <c r="B88" s="562" t="s">
        <v>582</v>
      </c>
      <c r="C88" s="526" t="s">
        <v>639</v>
      </c>
      <c r="D88" s="1396">
        <v>195</v>
      </c>
      <c r="E88" s="526" t="s">
        <v>614</v>
      </c>
      <c r="F88" s="537"/>
      <c r="G88" s="526"/>
      <c r="H88" s="526"/>
      <c r="I88" s="526"/>
      <c r="V88" s="526"/>
      <c r="W88" s="526"/>
      <c r="X88" s="526"/>
    </row>
    <row r="89" spans="2:27">
      <c r="B89" s="562" t="s">
        <v>640</v>
      </c>
      <c r="C89" s="526" t="s">
        <v>641</v>
      </c>
      <c r="D89" s="1395">
        <v>9</v>
      </c>
      <c r="E89" s="526" t="s">
        <v>614</v>
      </c>
      <c r="F89" s="537"/>
      <c r="G89" s="526"/>
      <c r="H89" s="526"/>
      <c r="I89" s="526"/>
      <c r="V89" s="526"/>
      <c r="W89" s="526"/>
      <c r="X89" s="526"/>
    </row>
    <row r="90" spans="2:27">
      <c r="B90" s="562" t="s">
        <v>264</v>
      </c>
      <c r="C90" s="526" t="s">
        <v>642</v>
      </c>
      <c r="D90" s="1396">
        <v>60</v>
      </c>
      <c r="E90" s="526" t="s">
        <v>586</v>
      </c>
      <c r="F90" s="537"/>
      <c r="G90" s="526"/>
      <c r="H90" s="526"/>
      <c r="I90" s="526"/>
      <c r="V90" s="526"/>
      <c r="W90" s="526"/>
      <c r="X90" s="526"/>
    </row>
    <row r="91" spans="2:27">
      <c r="B91" s="562" t="s">
        <v>587</v>
      </c>
      <c r="C91" s="526" t="s">
        <v>643</v>
      </c>
      <c r="D91" s="1395">
        <f>E68</f>
        <v>47</v>
      </c>
      <c r="E91" s="526" t="s">
        <v>589</v>
      </c>
      <c r="F91" s="537"/>
      <c r="G91" s="526"/>
      <c r="H91" s="526"/>
      <c r="I91" s="526"/>
      <c r="V91" s="526"/>
      <c r="W91" s="526"/>
      <c r="X91" s="526"/>
    </row>
    <row r="92" spans="2:27">
      <c r="B92" s="562" t="s">
        <v>644</v>
      </c>
      <c r="C92" s="526" t="s">
        <v>645</v>
      </c>
      <c r="D92" s="1395">
        <v>12</v>
      </c>
      <c r="E92" s="526" t="s">
        <v>589</v>
      </c>
      <c r="F92" s="537"/>
      <c r="G92" s="526"/>
      <c r="H92" s="526"/>
      <c r="I92" s="526"/>
      <c r="V92" s="526"/>
      <c r="W92" s="526"/>
      <c r="X92" s="526"/>
    </row>
    <row r="93" spans="2:27">
      <c r="B93" s="548" t="s">
        <v>630</v>
      </c>
      <c r="C93" s="532" t="s">
        <v>646</v>
      </c>
      <c r="D93" s="1395">
        <v>0</v>
      </c>
      <c r="E93" s="532" t="s">
        <v>614</v>
      </c>
      <c r="F93" s="540"/>
      <c r="G93" s="526"/>
      <c r="H93" s="526"/>
      <c r="I93" s="526"/>
      <c r="V93" s="526"/>
      <c r="W93" s="526"/>
      <c r="X93" s="526"/>
    </row>
    <row r="94" spans="2:27">
      <c r="B94" s="559" t="s">
        <v>647</v>
      </c>
      <c r="C94" s="560"/>
      <c r="D94" s="1377"/>
      <c r="E94" s="527"/>
      <c r="F94" s="563"/>
      <c r="G94" s="526"/>
      <c r="H94" s="526"/>
      <c r="I94" s="526"/>
      <c r="V94" s="526"/>
      <c r="W94" s="526"/>
      <c r="X94" s="526"/>
    </row>
    <row r="95" spans="2:27">
      <c r="B95" s="562" t="s">
        <v>648</v>
      </c>
      <c r="C95" s="526" t="s">
        <v>649</v>
      </c>
      <c r="D95" s="1396">
        <v>4</v>
      </c>
      <c r="E95" s="526" t="s">
        <v>650</v>
      </c>
      <c r="F95" s="537"/>
      <c r="G95" s="526"/>
      <c r="H95" s="526"/>
      <c r="I95" s="526"/>
      <c r="V95" s="526"/>
      <c r="W95" s="526"/>
      <c r="X95" s="526"/>
    </row>
    <row r="96" spans="2:27">
      <c r="B96" s="562" t="s">
        <v>651</v>
      </c>
      <c r="C96" s="526" t="s">
        <v>652</v>
      </c>
      <c r="D96" s="1396">
        <v>12</v>
      </c>
      <c r="E96" s="526" t="s">
        <v>650</v>
      </c>
      <c r="F96" s="537"/>
      <c r="G96" s="526"/>
      <c r="H96" s="526"/>
      <c r="I96" s="526"/>
      <c r="V96" s="526"/>
      <c r="W96" s="526"/>
      <c r="X96" s="526"/>
    </row>
    <row r="97" spans="2:27">
      <c r="B97" s="562" t="s">
        <v>653</v>
      </c>
      <c r="C97" s="526" t="s">
        <v>654</v>
      </c>
      <c r="D97" s="1396">
        <v>0</v>
      </c>
      <c r="E97" s="526" t="s">
        <v>589</v>
      </c>
      <c r="F97" s="537"/>
      <c r="G97" s="526"/>
      <c r="H97" s="526"/>
      <c r="I97" s="526"/>
      <c r="V97" s="526"/>
      <c r="W97" s="526"/>
      <c r="X97" s="526"/>
    </row>
    <row r="98" spans="2:27">
      <c r="B98" s="562" t="s">
        <v>655</v>
      </c>
      <c r="C98" s="526" t="s">
        <v>656</v>
      </c>
      <c r="D98" s="1396">
        <v>0</v>
      </c>
      <c r="E98" s="526" t="s">
        <v>589</v>
      </c>
      <c r="F98" s="537"/>
      <c r="G98" s="526"/>
      <c r="H98" s="526"/>
      <c r="I98" s="526"/>
      <c r="V98" s="526"/>
      <c r="W98" s="526"/>
      <c r="X98" s="526"/>
    </row>
    <row r="99" spans="2:27">
      <c r="B99" s="562" t="s">
        <v>253</v>
      </c>
      <c r="C99" s="526" t="s">
        <v>657</v>
      </c>
      <c r="D99" s="1396">
        <v>3</v>
      </c>
      <c r="E99" s="526" t="s">
        <v>658</v>
      </c>
      <c r="F99" s="537"/>
      <c r="G99" s="526"/>
      <c r="H99" s="526"/>
      <c r="I99" s="526"/>
      <c r="J99" s="526"/>
      <c r="K99" s="526"/>
      <c r="L99" s="526"/>
      <c r="V99" s="526"/>
      <c r="W99" s="526"/>
      <c r="X99" s="526"/>
      <c r="Y99" s="526"/>
      <c r="Z99" s="526"/>
      <c r="AA99" s="526"/>
    </row>
    <row r="100" spans="2:27">
      <c r="B100" s="562" t="s">
        <v>253</v>
      </c>
      <c r="C100" s="526" t="s">
        <v>659</v>
      </c>
      <c r="D100" s="1396">
        <v>1</v>
      </c>
      <c r="E100" s="526" t="s">
        <v>658</v>
      </c>
      <c r="F100" s="537"/>
      <c r="G100" s="526"/>
      <c r="H100" s="526"/>
      <c r="I100" s="526"/>
      <c r="J100" s="526"/>
      <c r="K100" s="526"/>
      <c r="L100" s="526"/>
      <c r="V100" s="526"/>
      <c r="W100" s="526"/>
      <c r="X100" s="526"/>
      <c r="Y100" s="526"/>
      <c r="Z100" s="526"/>
      <c r="AA100" s="526"/>
    </row>
    <row r="101" spans="2:27">
      <c r="B101" s="562" t="s">
        <v>660</v>
      </c>
      <c r="C101" s="526" t="s">
        <v>661</v>
      </c>
      <c r="D101" s="1395">
        <v>50</v>
      </c>
      <c r="E101" s="526" t="s">
        <v>658</v>
      </c>
      <c r="F101" s="537"/>
      <c r="G101" s="526"/>
      <c r="H101" s="526"/>
      <c r="I101" s="526"/>
      <c r="J101" s="526"/>
      <c r="K101" s="526"/>
      <c r="L101" s="526"/>
      <c r="V101" s="526"/>
      <c r="W101" s="526"/>
      <c r="X101" s="526"/>
      <c r="Y101" s="526"/>
      <c r="Z101" s="526"/>
      <c r="AA101" s="526"/>
    </row>
    <row r="102" spans="2:27">
      <c r="B102" s="562" t="s">
        <v>660</v>
      </c>
      <c r="C102" s="526" t="s">
        <v>662</v>
      </c>
      <c r="D102" s="1395">
        <v>3</v>
      </c>
      <c r="E102" s="526" t="s">
        <v>658</v>
      </c>
      <c r="F102" s="537"/>
    </row>
    <row r="103" spans="2:27">
      <c r="B103" s="562" t="s">
        <v>663</v>
      </c>
      <c r="C103" s="526" t="s">
        <v>664</v>
      </c>
      <c r="D103" s="1396">
        <v>200</v>
      </c>
      <c r="E103" s="526" t="s">
        <v>665</v>
      </c>
      <c r="F103" s="537"/>
    </row>
    <row r="104" spans="2:27">
      <c r="B104" s="564" t="s">
        <v>666</v>
      </c>
      <c r="C104" s="532" t="s">
        <v>254</v>
      </c>
      <c r="D104" s="532">
        <v>600</v>
      </c>
      <c r="E104" s="532" t="s">
        <v>658</v>
      </c>
      <c r="F104" s="540"/>
    </row>
  </sheetData>
  <sheetProtection formatCells="0" formatColumns="0" formatRows="0" insertRows="0"/>
  <phoneticPr fontId="0" type="noConversion"/>
  <dataValidations xWindow="431" yWindow="459" count="8">
    <dataValidation type="date" operator="greaterThan" allowBlank="1" showInputMessage="1" showErrorMessage="1" errorTitle="Start Date" error="Start Date has to be greater than today's date_x000a_" promptTitle="Start Date" prompt="Please enter estimated program start date" sqref="G25" xr:uid="{00000000-0002-0000-0B00-000000000000}">
      <formula1>AL5</formula1>
    </dataValidation>
    <dataValidation type="date" operator="greaterThan" allowBlank="1" showInputMessage="1" showErrorMessage="1" promptTitle="Local Staff - Salary increase" prompt="Enter the estimated date of annual salary increase for local staff for the first year" sqref="D41" xr:uid="{00000000-0002-0000-0B00-000001000000}">
      <formula1>C41</formula1>
    </dataValidation>
    <dataValidation type="date" operator="greaterThan" allowBlank="1" showInputMessage="1" showErrorMessage="1" promptTitle="US Staff - salary increase" prompt="Enter the estimated date of annual increase for the first year for  Home Office Staff" sqref="D32:D33 D42" xr:uid="{00000000-0002-0000-0B00-000002000000}">
      <formula1>C32</formula1>
    </dataValidation>
    <dataValidation allowBlank="1" showInputMessage="1" showErrorMessage="1" promptTitle="End date" prompt="Please enter the estimated program year 1 end date" sqref="G26" xr:uid="{00000000-0002-0000-0B00-000003000000}"/>
    <dataValidation allowBlank="1" showInputMessage="1" showErrorMessage="1" promptTitle="Domestic Travel" prompt="If the country has a per/city per diem, write the name of the cities and the applicable per diem rates" sqref="B66" xr:uid="{00000000-0002-0000-0B00-000004000000}"/>
    <dataValidation showInputMessage="1" errorTitle="Less than 0" sqref="E36" xr:uid="{00000000-0002-0000-0B00-000005000000}"/>
    <dataValidation type="decimal" operator="lessThanOrEqual" allowBlank="1" showInputMessage="1" showErrorMessage="1" sqref="S37 AH37" xr:uid="{00000000-0002-0000-0B00-000006000000}">
      <formula1>2</formula1>
    </dataValidation>
    <dataValidation type="date" operator="equal" allowBlank="1" showInputMessage="1" showErrorMessage="1" sqref="D45 D36" xr:uid="{00000000-0002-0000-0B00-000007000000}">
      <formula1>D33</formula1>
    </dataValidation>
  </dataValidations>
  <pageMargins left="0.5" right="0.5" top="0.5" bottom="0.5" header="0" footer="0.25"/>
  <pageSetup scale="84" orientation="landscape" r:id="rId1"/>
  <headerFooter scaleWithDoc="0" alignWithMargins="0">
    <oddFooter>&amp;LUse or disclosure of data contained on this sheet is subject to the restriction on the proprietary statement of this proposal.&amp;R, 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pageSetUpPr fitToPage="1"/>
  </sheetPr>
  <dimension ref="A3:F22"/>
  <sheetViews>
    <sheetView zoomScaleNormal="100" workbookViewId="0">
      <selection activeCell="A7" sqref="A7:F7"/>
    </sheetView>
  </sheetViews>
  <sheetFormatPr defaultColWidth="8.71875" defaultRowHeight="12.6"/>
  <cols>
    <col min="1" max="1" width="41" style="646" bestFit="1" customWidth="1"/>
    <col min="2" max="4" width="12.71875" style="646" bestFit="1" customWidth="1"/>
    <col min="5" max="5" width="13.5546875" style="646" bestFit="1" customWidth="1"/>
    <col min="6" max="6" width="24.44140625" style="646" customWidth="1"/>
    <col min="7" max="16384" width="8.71875" style="646"/>
  </cols>
  <sheetData>
    <row r="3" spans="1:6" ht="15">
      <c r="A3" s="1397" t="s">
        <v>667</v>
      </c>
      <c r="B3" s="1397"/>
      <c r="C3" s="1397"/>
      <c r="D3" s="1397"/>
      <c r="E3" s="1397"/>
      <c r="F3" s="1397"/>
    </row>
    <row r="4" spans="1:6" ht="15.3">
      <c r="A4" s="1398" t="s">
        <v>1</v>
      </c>
      <c r="B4" s="1398"/>
      <c r="C4" s="1398"/>
      <c r="D4" s="1398"/>
      <c r="E4" s="1398"/>
      <c r="F4" s="1398"/>
    </row>
    <row r="5" spans="1:6" ht="32.25" customHeight="1">
      <c r="A5" s="1399" t="str">
        <f>'AgroJusto Budget'!C3</f>
        <v xml:space="preserve"> Project to Improve Adherence to International Labor Standards in the Agricultural Sector in Ecuador
Improve Adherence to International Labor Standards in the Agricultural Sector in Ecuador</v>
      </c>
      <c r="B5" s="1399"/>
      <c r="C5" s="1399"/>
      <c r="D5" s="1399"/>
      <c r="E5" s="1399"/>
      <c r="F5" s="1399"/>
    </row>
    <row r="6" spans="1:6" ht="15.3">
      <c r="A6" s="1398" t="s">
        <v>3</v>
      </c>
      <c r="B6" s="1398"/>
      <c r="C6" s="1398"/>
      <c r="D6" s="1398"/>
      <c r="E6" s="1398"/>
      <c r="F6" s="1398"/>
    </row>
    <row r="7" spans="1:6" ht="12.9" thickBot="1">
      <c r="A7" s="700"/>
      <c r="B7" s="700"/>
      <c r="C7" s="700"/>
      <c r="D7" s="700"/>
      <c r="E7" s="701"/>
    </row>
    <row r="8" spans="1:6" ht="30.3" thickBot="1">
      <c r="A8" s="702" t="s">
        <v>668</v>
      </c>
      <c r="B8" s="703" t="s">
        <v>669</v>
      </c>
      <c r="C8" s="703" t="s">
        <v>670</v>
      </c>
      <c r="D8" s="703" t="s">
        <v>671</v>
      </c>
      <c r="E8" s="703" t="s">
        <v>672</v>
      </c>
      <c r="F8" s="855" t="s">
        <v>673</v>
      </c>
    </row>
    <row r="9" spans="1:6" ht="15">
      <c r="A9" s="704"/>
      <c r="B9" s="705"/>
      <c r="C9" s="705"/>
      <c r="D9" s="706"/>
      <c r="E9" s="706"/>
      <c r="F9" s="707"/>
    </row>
    <row r="10" spans="1:6" ht="15.3">
      <c r="A10" s="708" t="s">
        <v>674</v>
      </c>
      <c r="B10" s="882">
        <f>'AgroJusto Budget'!I26</f>
        <v>263031.3666666667</v>
      </c>
      <c r="C10" s="882">
        <f>'AgroJusto Budget'!K26</f>
        <v>364757.81999999995</v>
      </c>
      <c r="D10" s="882">
        <f>'AgroJusto Budget'!M26</f>
        <v>382995.71100000001</v>
      </c>
      <c r="E10" s="882">
        <f>'AgroJusto Budget'!O26</f>
        <v>351321.12855000002</v>
      </c>
      <c r="F10" s="883">
        <f>SUM(B10:E10)</f>
        <v>1362106.0262166667</v>
      </c>
    </row>
    <row r="11" spans="1:6" ht="15.3">
      <c r="A11" s="708" t="s">
        <v>675</v>
      </c>
      <c r="B11" s="882">
        <f>'AgroJusto Budget'!I33</f>
        <v>102524.84255666668</v>
      </c>
      <c r="C11" s="882">
        <f>'AgroJusto Budget'!K33</f>
        <v>144937.94771399998</v>
      </c>
      <c r="D11" s="882">
        <f>'AgroJusto Budget'!M33</f>
        <v>152184.8450997</v>
      </c>
      <c r="E11" s="882">
        <f>'AgroJusto Budget'!O33</f>
        <v>137771.888700285</v>
      </c>
      <c r="F11" s="883">
        <f t="shared" ref="F11:F17" si="0">SUM(B11:E11)</f>
        <v>537419.52407065162</v>
      </c>
    </row>
    <row r="12" spans="1:6" ht="15.3">
      <c r="A12" s="708" t="s">
        <v>676</v>
      </c>
      <c r="B12" s="882">
        <f>'AgroJusto Budget'!I51</f>
        <v>12386.5</v>
      </c>
      <c r="C12" s="882">
        <f>'AgroJusto Budget'!K51</f>
        <v>65618.279999999984</v>
      </c>
      <c r="D12" s="882">
        <f>'AgroJusto Budget'!M51</f>
        <v>44200.124800000012</v>
      </c>
      <c r="E12" s="882">
        <f>'AgroJusto Budget'!O51</f>
        <v>64333.784320000028</v>
      </c>
      <c r="F12" s="883">
        <f t="shared" si="0"/>
        <v>186538.68912000002</v>
      </c>
    </row>
    <row r="13" spans="1:6" ht="15.3">
      <c r="A13" s="708" t="s">
        <v>677</v>
      </c>
      <c r="B13" s="882">
        <f>'AgroJusto Budget'!I55</f>
        <v>0</v>
      </c>
      <c r="C13" s="882">
        <f>'AgroJusto Budget'!K55</f>
        <v>0</v>
      </c>
      <c r="D13" s="882">
        <f>'AgroJusto Budget'!M55</f>
        <v>0</v>
      </c>
      <c r="E13" s="882">
        <f>'AgroJusto Budget'!O55</f>
        <v>0</v>
      </c>
      <c r="F13" s="883">
        <f>SUM(B13:E13)</f>
        <v>0</v>
      </c>
    </row>
    <row r="14" spans="1:6" ht="15.3">
      <c r="A14" s="708" t="s">
        <v>678</v>
      </c>
      <c r="B14" s="882">
        <f>'AgroJusto Budget'!I60</f>
        <v>9907.1999999999989</v>
      </c>
      <c r="C14" s="882">
        <f>'AgroJusto Budget'!K60</f>
        <v>1560</v>
      </c>
      <c r="D14" s="882">
        <f>'AgroJusto Budget'!M60</f>
        <v>1622.4</v>
      </c>
      <c r="E14" s="882">
        <f>'AgroJusto Budget'!O60</f>
        <v>1687.296</v>
      </c>
      <c r="F14" s="883">
        <f>SUM(B14:E14)</f>
        <v>14776.895999999999</v>
      </c>
    </row>
    <row r="15" spans="1:6" ht="15.3">
      <c r="A15" s="708" t="s">
        <v>679</v>
      </c>
      <c r="B15" s="882">
        <f>'AgroJusto Budget'!I70</f>
        <v>108556</v>
      </c>
      <c r="C15" s="882">
        <f>'AgroJusto Budget'!K70</f>
        <v>323812</v>
      </c>
      <c r="D15" s="882">
        <f>'AgroJusto Budget'!M70</f>
        <v>337247</v>
      </c>
      <c r="E15" s="882">
        <f>'AgroJusto Budget'!O70</f>
        <v>224135</v>
      </c>
      <c r="F15" s="883">
        <f>SUM(B15:E15)</f>
        <v>993750</v>
      </c>
    </row>
    <row r="16" spans="1:6" ht="15.3">
      <c r="A16" s="708" t="s">
        <v>680</v>
      </c>
      <c r="B16" s="882">
        <v>0</v>
      </c>
      <c r="C16" s="882">
        <v>0</v>
      </c>
      <c r="D16" s="882">
        <v>0</v>
      </c>
      <c r="E16" s="882">
        <v>0</v>
      </c>
      <c r="F16" s="883">
        <f>SUM(B16:E16)</f>
        <v>0</v>
      </c>
    </row>
    <row r="17" spans="1:6" ht="15.3">
      <c r="A17" s="708" t="s">
        <v>681</v>
      </c>
      <c r="B17" s="882">
        <f>'AgroJusto Budget'!I140</f>
        <v>109804.36</v>
      </c>
      <c r="C17" s="882">
        <f>'AgroJusto Budget'!K140</f>
        <v>212305.47999999998</v>
      </c>
      <c r="D17" s="882">
        <f>'AgroJusto Budget'!M140</f>
        <v>120960.80320000001</v>
      </c>
      <c r="E17" s="882">
        <f>'AgroJusto Budget'!O140</f>
        <v>157379.99795200001</v>
      </c>
      <c r="F17" s="883">
        <f t="shared" si="0"/>
        <v>600450.64115200005</v>
      </c>
    </row>
    <row r="18" spans="1:6" ht="15.6" thickBot="1">
      <c r="A18" s="708"/>
      <c r="B18" s="882"/>
      <c r="C18" s="882"/>
      <c r="D18" s="882"/>
      <c r="E18" s="882"/>
      <c r="F18" s="884"/>
    </row>
    <row r="19" spans="1:6" ht="15.3" thickBot="1">
      <c r="A19" s="709" t="s">
        <v>682</v>
      </c>
      <c r="B19" s="885">
        <f>SUM(B10:B17)</f>
        <v>606210.26922333345</v>
      </c>
      <c r="C19" s="885">
        <f>SUM(C10:C17)</f>
        <v>1112991.5277140001</v>
      </c>
      <c r="D19" s="885">
        <f>SUM(D10:D17)</f>
        <v>1039210.8840997</v>
      </c>
      <c r="E19" s="885">
        <f>SUM(E10:E17)</f>
        <v>936629.09552228497</v>
      </c>
      <c r="F19" s="886">
        <f>SUM(F10:F17)</f>
        <v>3695041.7765593184</v>
      </c>
    </row>
    <row r="20" spans="1:6" ht="15.6" thickBot="1">
      <c r="A20" s="708" t="s">
        <v>683</v>
      </c>
      <c r="B20" s="882">
        <f>'AgroJusto Budget'!I144</f>
        <v>171436.26413635866</v>
      </c>
      <c r="C20" s="882">
        <f>'AgroJusto Budget'!K144</f>
        <v>314754.00403751922</v>
      </c>
      <c r="D20" s="882">
        <f>'AgroJusto Budget'!M144</f>
        <v>293888.83802339516</v>
      </c>
      <c r="E20" s="882">
        <f>'AgroJusto Budget'!O144</f>
        <v>264878.70821370219</v>
      </c>
      <c r="F20" s="884">
        <f>SUM(B20:E20)</f>
        <v>1044957.8144109752</v>
      </c>
    </row>
    <row r="21" spans="1:6" ht="15.3" thickBot="1">
      <c r="A21" s="710" t="s">
        <v>684</v>
      </c>
      <c r="B21" s="887">
        <f>SUM(B19:B20)</f>
        <v>777646.53335969208</v>
      </c>
      <c r="C21" s="887">
        <f>SUM(C19:C20)</f>
        <v>1427745.5317515193</v>
      </c>
      <c r="D21" s="887">
        <f>SUM(D19:D20)</f>
        <v>1333099.7221230953</v>
      </c>
      <c r="E21" s="887">
        <f>SUM(E19:E20)</f>
        <v>1201507.8037359873</v>
      </c>
      <c r="F21" s="888">
        <f>SUM(F19:F20)</f>
        <v>4739999.5909702936</v>
      </c>
    </row>
    <row r="22" spans="1:6">
      <c r="B22" s="711"/>
    </row>
  </sheetData>
  <mergeCells count="4">
    <mergeCell ref="A3:F3"/>
    <mergeCell ref="A4:F4"/>
    <mergeCell ref="A5:F5"/>
    <mergeCell ref="A6:F6"/>
  </mergeCells>
  <pageMargins left="0.7" right="0.7" top="0.75" bottom="0.75" header="0.3" footer="0.3"/>
  <pageSetup paperSize="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661C7-A5CF-44F7-B592-3F0F60018A43}">
  <sheetPr>
    <tabColor theme="5" tint="0.39997558519241921"/>
  </sheetPr>
  <dimension ref="A5:P23"/>
  <sheetViews>
    <sheetView topLeftCell="B7" workbookViewId="0">
      <selection activeCell="A7" sqref="A7:F7"/>
    </sheetView>
  </sheetViews>
  <sheetFormatPr defaultColWidth="8.71875" defaultRowHeight="12.6"/>
  <cols>
    <col min="1" max="1" width="51" style="646" customWidth="1"/>
    <col min="2" max="4" width="12.83203125" style="646" bestFit="1" customWidth="1"/>
    <col min="5" max="5" width="13.5546875" style="646" bestFit="1" customWidth="1"/>
    <col min="6" max="6" width="24.44140625" style="646" customWidth="1"/>
    <col min="7" max="7" width="15.71875" style="646" bestFit="1" customWidth="1"/>
    <col min="8" max="8" width="9.1640625" style="646"/>
    <col min="9" max="9" width="11.27734375" style="1172" bestFit="1" customWidth="1"/>
    <col min="10" max="10" width="11" style="1172" bestFit="1" customWidth="1"/>
    <col min="11" max="11" width="13.27734375" style="1172" customWidth="1"/>
    <col min="12" max="12" width="13.83203125" style="1172" customWidth="1"/>
    <col min="13" max="13" width="12.71875" style="1172" customWidth="1"/>
    <col min="14" max="14" width="11.5546875" style="1172" customWidth="1"/>
    <col min="15" max="16" width="9.1640625" style="1172"/>
    <col min="17" max="44" width="9.1640625" style="646"/>
    <col min="45" max="16384" width="8.71875" style="646"/>
  </cols>
  <sheetData>
    <row r="5" spans="1:14" ht="15">
      <c r="A5" s="1397" t="s">
        <v>685</v>
      </c>
      <c r="B5" s="1397"/>
      <c r="C5" s="1397"/>
      <c r="D5" s="1397"/>
      <c r="E5" s="1397"/>
      <c r="F5" s="1397"/>
    </row>
    <row r="6" spans="1:14" ht="15.3">
      <c r="A6" s="1398" t="s">
        <v>686</v>
      </c>
      <c r="B6" s="1398"/>
      <c r="C6" s="1398"/>
      <c r="D6" s="1398"/>
      <c r="E6" s="1398"/>
      <c r="F6" s="1398"/>
      <c r="J6" s="1173"/>
      <c r="K6" s="1174"/>
      <c r="L6" s="1175"/>
      <c r="M6" s="1176"/>
      <c r="N6" s="1177"/>
    </row>
    <row r="7" spans="1:14" ht="15.3">
      <c r="A7" s="1398" t="s">
        <v>3</v>
      </c>
      <c r="B7" s="1398"/>
      <c r="C7" s="1398"/>
      <c r="D7" s="1398"/>
      <c r="E7" s="1398"/>
      <c r="F7" s="1398"/>
    </row>
    <row r="8" spans="1:14">
      <c r="A8" s="700"/>
      <c r="B8" s="700"/>
      <c r="C8" s="700"/>
      <c r="D8" s="700"/>
      <c r="E8" s="701"/>
      <c r="K8" s="1174"/>
      <c r="N8" s="1178"/>
    </row>
    <row r="9" spans="1:14" ht="30">
      <c r="A9" s="1179" t="s">
        <v>687</v>
      </c>
      <c r="B9" s="1180" t="s">
        <v>688</v>
      </c>
      <c r="C9" s="1180" t="s">
        <v>689</v>
      </c>
      <c r="D9" s="1180" t="s">
        <v>671</v>
      </c>
      <c r="E9" s="1180" t="s">
        <v>690</v>
      </c>
      <c r="F9" s="855" t="s">
        <v>673</v>
      </c>
    </row>
    <row r="10" spans="1:14" ht="15">
      <c r="A10" s="704"/>
      <c r="B10" s="705"/>
      <c r="C10" s="705"/>
      <c r="D10" s="706"/>
      <c r="E10" s="706"/>
      <c r="F10" s="707"/>
    </row>
    <row r="11" spans="1:14" ht="15.3">
      <c r="A11" s="708" t="s">
        <v>691</v>
      </c>
      <c r="B11" s="882">
        <f>'[1]INDES Sub Line-Item Budget'!G23</f>
        <v>47950</v>
      </c>
      <c r="C11" s="882">
        <f>'[1]INDES Sub Line-Item Budget'!I23</f>
        <v>85200</v>
      </c>
      <c r="D11" s="882">
        <f>'[1]INDES Sub Line-Item Budget'!K23</f>
        <v>85200</v>
      </c>
      <c r="E11" s="882">
        <f>'[1]INDES Sub Line-Item Budget'!M23</f>
        <v>43000</v>
      </c>
      <c r="F11" s="883">
        <f t="shared" ref="F11:F18" si="0">SUM(B11:E11)</f>
        <v>261350</v>
      </c>
      <c r="G11" s="1181"/>
    </row>
    <row r="12" spans="1:14" ht="15.3">
      <c r="A12" s="1182" t="s">
        <v>692</v>
      </c>
      <c r="B12" s="882">
        <f>+'[1]INDES Sub Line-Item Budget'!G30</f>
        <v>23700.319800000001</v>
      </c>
      <c r="C12" s="882">
        <f>+'[1]INDES Sub Line-Item Budget'!I30</f>
        <v>41723.508800000003</v>
      </c>
      <c r="D12" s="882">
        <f>+'[1]INDES Sub Line-Item Budget'!K30</f>
        <v>41723.508800000003</v>
      </c>
      <c r="E12" s="882">
        <f>+'[1]INDES Sub Line-Item Budget'!M30</f>
        <v>20805.292000000001</v>
      </c>
      <c r="F12" s="883">
        <f t="shared" si="0"/>
        <v>127952.62940000002</v>
      </c>
    </row>
    <row r="13" spans="1:14" ht="15.3">
      <c r="A13" s="708" t="s">
        <v>676</v>
      </c>
      <c r="B13" s="882">
        <f>'[1]INDES Sub Line-Item Budget'!G34</f>
        <v>1948</v>
      </c>
      <c r="C13" s="882">
        <f>'[1]INDES Sub Line-Item Budget'!I34</f>
        <v>34625.4</v>
      </c>
      <c r="D13" s="882">
        <f>'[1]INDES Sub Line-Item Budget'!K34</f>
        <v>37775.961600000002</v>
      </c>
      <c r="E13" s="882">
        <f>'[1]INDES Sub Line-Item Budget'!M34</f>
        <v>23734.630399999998</v>
      </c>
      <c r="F13" s="883">
        <f t="shared" si="0"/>
        <v>98083.991999999998</v>
      </c>
    </row>
    <row r="14" spans="1:14" ht="15.3">
      <c r="A14" s="708" t="s">
        <v>693</v>
      </c>
      <c r="B14" s="882">
        <f>'[1]INDES Sub Line-Item Budget'!G36</f>
        <v>0</v>
      </c>
      <c r="C14" s="882">
        <v>0</v>
      </c>
      <c r="D14" s="882">
        <v>0</v>
      </c>
      <c r="E14" s="882">
        <v>0</v>
      </c>
      <c r="F14" s="883">
        <f t="shared" si="0"/>
        <v>0</v>
      </c>
    </row>
    <row r="15" spans="1:14" ht="15.3">
      <c r="A15" s="1192" t="s">
        <v>694</v>
      </c>
      <c r="B15" s="882">
        <f>+'[1]INDES Sub Line-Item Budget'!G51</f>
        <v>10389.882352941177</v>
      </c>
      <c r="C15" s="882">
        <f>+'[1]INDES Sub Line-Item Budget'!I51</f>
        <v>5669.6470588235297</v>
      </c>
      <c r="D15" s="882">
        <f>+'[1]INDES Sub Line-Item Budget'!K51</f>
        <v>5669.6470588235297</v>
      </c>
      <c r="E15" s="882">
        <f>+'[1]INDES Sub Line-Item Budget'!M51</f>
        <v>2789.8235294117649</v>
      </c>
      <c r="F15" s="883">
        <f t="shared" si="0"/>
        <v>24519.000000000004</v>
      </c>
    </row>
    <row r="16" spans="1:14" ht="15.3">
      <c r="A16" s="708" t="s">
        <v>695</v>
      </c>
      <c r="B16" s="882">
        <v>0</v>
      </c>
      <c r="C16" s="882">
        <v>0</v>
      </c>
      <c r="D16" s="882">
        <v>0</v>
      </c>
      <c r="E16" s="882">
        <v>0</v>
      </c>
      <c r="F16" s="883">
        <f t="shared" si="0"/>
        <v>0</v>
      </c>
    </row>
    <row r="17" spans="1:16" ht="15.3">
      <c r="A17" s="708" t="s">
        <v>680</v>
      </c>
      <c r="B17" s="882">
        <v>0</v>
      </c>
      <c r="C17" s="882">
        <v>0</v>
      </c>
      <c r="D17" s="882">
        <v>0</v>
      </c>
      <c r="E17" s="882">
        <v>0</v>
      </c>
      <c r="F17" s="883">
        <f t="shared" si="0"/>
        <v>0</v>
      </c>
    </row>
    <row r="18" spans="1:16" ht="15.3">
      <c r="A18" s="1182" t="s">
        <v>681</v>
      </c>
      <c r="B18" s="882">
        <f>'[1]INDES Sub Line-Item Budget'!G86</f>
        <v>5608</v>
      </c>
      <c r="C18" s="882">
        <f>'[1]INDES Sub Line-Item Budget'!I86</f>
        <v>72147.975999999995</v>
      </c>
      <c r="D18" s="882">
        <f>'[1]INDES Sub Line-Item Budget'!K86</f>
        <v>70385.456000000006</v>
      </c>
      <c r="E18" s="882">
        <f>'[1]INDES Sub Line-Item Budget'!M86</f>
        <v>52453.143872000008</v>
      </c>
      <c r="F18" s="883">
        <f t="shared" si="0"/>
        <v>200594.57587200002</v>
      </c>
      <c r="H18" s="1181"/>
    </row>
    <row r="19" spans="1:16" ht="15.3">
      <c r="A19" s="708"/>
      <c r="B19" s="882"/>
      <c r="C19" s="882"/>
      <c r="D19" s="882"/>
      <c r="E19" s="882"/>
      <c r="F19" s="884"/>
    </row>
    <row r="20" spans="1:16" ht="15">
      <c r="A20" s="1193" t="s">
        <v>696</v>
      </c>
      <c r="B20" s="1183">
        <f>SUM(B11:B18)</f>
        <v>89596.202152941172</v>
      </c>
      <c r="C20" s="1183">
        <f>SUM(C11:C18)</f>
        <v>239366.53185882352</v>
      </c>
      <c r="D20" s="1183">
        <f>SUM(D11:D18)</f>
        <v>240754.57345882355</v>
      </c>
      <c r="E20" s="1183">
        <f>SUM(E11:E18)</f>
        <v>142782.88980141177</v>
      </c>
      <c r="F20" s="1184">
        <f>SUM(F11:F18)</f>
        <v>712500.19727200014</v>
      </c>
    </row>
    <row r="21" spans="1:16" ht="15.3">
      <c r="A21" s="1192" t="s">
        <v>697</v>
      </c>
      <c r="B21" s="882">
        <f>+B20*0.1</f>
        <v>8959.6202152941169</v>
      </c>
      <c r="C21" s="882">
        <f t="shared" ref="C21:E21" si="1">+C20*0.1</f>
        <v>23936.653185882355</v>
      </c>
      <c r="D21" s="882">
        <f t="shared" si="1"/>
        <v>24075.457345882358</v>
      </c>
      <c r="E21" s="882">
        <f t="shared" si="1"/>
        <v>14278.288980141178</v>
      </c>
      <c r="F21" s="884">
        <f>SUM(B21:E21)</f>
        <v>71250.019727200008</v>
      </c>
      <c r="G21" s="1185"/>
      <c r="H21" s="1186"/>
    </row>
    <row r="22" spans="1:16" s="1190" customFormat="1" ht="15.75" customHeight="1">
      <c r="A22" s="1194" t="s">
        <v>698</v>
      </c>
      <c r="B22" s="1187">
        <f>SUM(B20:B21)</f>
        <v>98555.822368235284</v>
      </c>
      <c r="C22" s="1187">
        <f>SUM(C20:C21)</f>
        <v>263303.18504470587</v>
      </c>
      <c r="D22" s="1187">
        <f>SUM(D20:D21)</f>
        <v>264830.03080470592</v>
      </c>
      <c r="E22" s="1187">
        <f>SUM(E20:E21)</f>
        <v>157061.17878155294</v>
      </c>
      <c r="F22" s="1188">
        <f>SUM(F20:F21)</f>
        <v>783750.21699920017</v>
      </c>
      <c r="G22" s="1189"/>
      <c r="I22" s="1191"/>
      <c r="J22" s="1191"/>
      <c r="K22" s="1191"/>
      <c r="L22" s="1191"/>
      <c r="M22" s="1191"/>
      <c r="N22" s="1191"/>
      <c r="O22" s="1191"/>
      <c r="P22" s="1191"/>
    </row>
    <row r="23" spans="1:16">
      <c r="B23" s="711"/>
      <c r="G23" s="1186"/>
    </row>
  </sheetData>
  <mergeCells count="3">
    <mergeCell ref="A5:F5"/>
    <mergeCell ref="A6:F6"/>
    <mergeCell ref="A7:F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083FF-712D-4ABE-BBD8-FAD9B2D59089}">
  <sheetPr>
    <tabColor theme="5" tint="0.39997558519241921"/>
  </sheetPr>
  <dimension ref="A1:V96"/>
  <sheetViews>
    <sheetView tabSelected="1" topLeftCell="A33" zoomScale="60" zoomScaleNormal="60" workbookViewId="0">
      <selection activeCell="G70" sqref="G70"/>
    </sheetView>
  </sheetViews>
  <sheetFormatPr defaultColWidth="11.44140625" defaultRowHeight="23.25" customHeight="1"/>
  <cols>
    <col min="1" max="1" width="20.1640625" style="1204" bestFit="1" customWidth="1"/>
    <col min="2" max="3" width="11.44140625" style="1204"/>
    <col min="4" max="4" width="18.27734375" style="1204" customWidth="1"/>
    <col min="5" max="5" width="54" style="1204" customWidth="1"/>
    <col min="6" max="6" width="16.5546875" style="1204" customWidth="1"/>
    <col min="7" max="7" width="16.44140625" style="1204" customWidth="1"/>
    <col min="8" max="8" width="11.44140625" style="1204" customWidth="1"/>
    <col min="9" max="9" width="12.71875" style="1204" customWidth="1"/>
    <col min="10" max="10" width="19.71875" style="1205" customWidth="1"/>
    <col min="11" max="11" width="12.44140625" style="1206" customWidth="1"/>
    <col min="12" max="12" width="12.71875" style="1206" customWidth="1"/>
    <col min="13" max="13" width="12.44140625" style="1206" customWidth="1"/>
    <col min="14" max="14" width="12.71875" style="1206" customWidth="1"/>
    <col min="15" max="15" width="16.27734375" style="1206" customWidth="1"/>
    <col min="16" max="16" width="12.83203125" style="1206" customWidth="1"/>
    <col min="17" max="17" width="12.44140625" style="1206" customWidth="1"/>
    <col min="18" max="18" width="19.71875" style="1227" customWidth="1"/>
    <col min="19" max="19" width="23.83203125" style="1206" customWidth="1"/>
    <col min="20" max="20" width="11.27734375" style="1227" customWidth="1"/>
    <col min="21" max="21" width="9.1640625" style="1203"/>
    <col min="22" max="22" width="14.27734375" style="1203" bestFit="1" customWidth="1"/>
    <col min="23" max="16384" width="11.44140625" style="1203"/>
  </cols>
  <sheetData>
    <row r="1" spans="1:21" ht="15.75" customHeight="1">
      <c r="A1" s="1203"/>
      <c r="B1" s="1203"/>
      <c r="C1" s="1203"/>
      <c r="D1" s="1203"/>
      <c r="E1" s="1397" t="s">
        <v>699</v>
      </c>
      <c r="F1" s="1397"/>
      <c r="G1" s="1397"/>
      <c r="H1" s="1397"/>
      <c r="I1" s="1397"/>
      <c r="J1" s="1397"/>
      <c r="K1" s="1397"/>
      <c r="L1" s="1397"/>
      <c r="M1" s="1397"/>
      <c r="N1" s="1397"/>
      <c r="O1" s="1397"/>
      <c r="P1" s="1397"/>
      <c r="Q1" s="1397"/>
      <c r="R1" s="1397"/>
      <c r="S1" s="1397"/>
      <c r="T1" s="1397"/>
      <c r="U1" s="712"/>
    </row>
    <row r="2" spans="1:21" ht="15.75" customHeight="1">
      <c r="A2" s="1203"/>
      <c r="B2" s="1203"/>
      <c r="C2" s="1203"/>
      <c r="D2" s="1203"/>
      <c r="E2" s="1398" t="s">
        <v>111</v>
      </c>
      <c r="F2" s="1398"/>
      <c r="G2" s="1398"/>
      <c r="H2" s="1398"/>
      <c r="I2" s="1398"/>
      <c r="J2" s="1398"/>
      <c r="K2" s="1398"/>
      <c r="L2" s="1398"/>
      <c r="M2" s="1398"/>
      <c r="N2" s="1398"/>
      <c r="O2" s="1398"/>
      <c r="P2" s="1398"/>
      <c r="Q2" s="1398"/>
      <c r="R2" s="1398"/>
      <c r="S2" s="1398"/>
      <c r="T2" s="1398"/>
      <c r="U2" s="712"/>
    </row>
    <row r="3" spans="1:21" ht="15.75" customHeight="1">
      <c r="A3" s="1203"/>
      <c r="B3" s="1203"/>
      <c r="C3" s="1203"/>
      <c r="D3" s="1203"/>
      <c r="E3" s="1398" t="s">
        <v>700</v>
      </c>
      <c r="F3" s="1398"/>
      <c r="G3" s="1398"/>
      <c r="H3" s="1398"/>
      <c r="I3" s="1398"/>
      <c r="J3" s="1398"/>
      <c r="K3" s="1398"/>
      <c r="L3" s="1398"/>
      <c r="M3" s="1398"/>
      <c r="N3" s="1398"/>
      <c r="O3" s="1398"/>
      <c r="P3" s="1398"/>
      <c r="Q3" s="1398"/>
      <c r="R3" s="1398"/>
      <c r="S3" s="1398"/>
      <c r="T3" s="1398"/>
      <c r="U3" s="712"/>
    </row>
    <row r="4" spans="1:21" ht="15.75" customHeight="1" thickBot="1">
      <c r="A4" s="866"/>
      <c r="B4" s="866"/>
      <c r="C4" s="866"/>
      <c r="D4" s="866"/>
      <c r="E4" s="1437" t="s">
        <v>701</v>
      </c>
      <c r="F4" s="1437"/>
      <c r="G4" s="866"/>
      <c r="H4" s="866"/>
      <c r="I4" s="866"/>
      <c r="J4" s="866"/>
      <c r="K4" s="866"/>
      <c r="L4" s="866"/>
      <c r="M4" s="866"/>
      <c r="N4" s="866"/>
      <c r="O4" s="866"/>
      <c r="P4" s="866"/>
      <c r="Q4" s="866"/>
      <c r="R4" s="866"/>
      <c r="S4" s="866"/>
      <c r="T4" s="866"/>
      <c r="U4" s="712"/>
    </row>
    <row r="5" spans="1:21" ht="15.75" customHeight="1">
      <c r="A5" s="1625" t="s">
        <v>1171</v>
      </c>
      <c r="B5" s="1626" t="s">
        <v>1172</v>
      </c>
      <c r="C5" s="1298"/>
      <c r="D5" s="1298"/>
      <c r="E5" s="853" t="s">
        <v>5</v>
      </c>
      <c r="F5" s="854">
        <v>1.03</v>
      </c>
      <c r="G5" s="866"/>
      <c r="H5" s="1298"/>
      <c r="I5" s="866"/>
      <c r="J5" s="866"/>
      <c r="K5" s="866"/>
      <c r="L5" s="866"/>
      <c r="M5" s="866"/>
      <c r="N5" s="866"/>
      <c r="O5" s="866"/>
      <c r="P5" s="866"/>
      <c r="Q5" s="866"/>
      <c r="R5" s="866"/>
      <c r="S5" s="866"/>
      <c r="T5" s="866"/>
      <c r="U5" s="712"/>
    </row>
    <row r="6" spans="1:21" ht="15.75" customHeight="1">
      <c r="A6" s="1627" t="s">
        <v>1173</v>
      </c>
      <c r="B6" s="1628">
        <v>20200</v>
      </c>
      <c r="C6" s="867"/>
      <c r="D6" s="867"/>
      <c r="E6" s="853" t="s">
        <v>702</v>
      </c>
      <c r="F6" s="854">
        <v>1.04</v>
      </c>
      <c r="G6" s="866"/>
      <c r="H6" s="867"/>
      <c r="I6" s="866"/>
      <c r="J6" s="866"/>
      <c r="K6" s="866"/>
      <c r="L6" s="866"/>
      <c r="M6" s="866"/>
      <c r="N6" s="866"/>
      <c r="O6" s="866"/>
      <c r="P6" s="866"/>
      <c r="Q6" s="866"/>
      <c r="R6" s="866"/>
      <c r="S6" s="866"/>
      <c r="T6" s="866"/>
      <c r="U6" s="712"/>
    </row>
    <row r="7" spans="1:21" ht="15.75" customHeight="1" thickBot="1">
      <c r="A7" s="1629" t="s">
        <v>1174</v>
      </c>
      <c r="B7" s="1630" t="s">
        <v>1175</v>
      </c>
      <c r="C7" s="868"/>
      <c r="D7" s="868"/>
      <c r="E7" s="853" t="s">
        <v>703</v>
      </c>
      <c r="F7" s="854">
        <v>1.05</v>
      </c>
      <c r="G7" s="866"/>
      <c r="H7" s="868"/>
      <c r="I7" s="866"/>
      <c r="J7" s="866"/>
      <c r="K7" s="866"/>
      <c r="L7" s="866"/>
      <c r="M7" s="866"/>
      <c r="N7" s="866"/>
      <c r="O7" s="866"/>
      <c r="P7" s="866"/>
      <c r="Q7" s="866"/>
      <c r="R7" s="866"/>
      <c r="S7" s="866"/>
      <c r="T7" s="866"/>
      <c r="U7" s="712"/>
    </row>
    <row r="8" spans="1:21" ht="15.75" customHeight="1" thickBot="1">
      <c r="A8" s="868"/>
      <c r="B8" s="868"/>
      <c r="C8" s="868"/>
      <c r="D8" s="868"/>
      <c r="E8" s="713"/>
      <c r="F8" s="1299"/>
      <c r="G8" s="714"/>
      <c r="H8" s="868"/>
      <c r="I8" s="713"/>
      <c r="J8" s="715"/>
      <c r="K8" s="716"/>
      <c r="L8" s="717"/>
      <c r="M8" s="716"/>
      <c r="N8" s="716"/>
      <c r="O8" s="717"/>
      <c r="P8" s="716"/>
      <c r="Q8" s="716"/>
      <c r="R8" s="716"/>
      <c r="S8" s="717"/>
      <c r="T8" s="716"/>
      <c r="U8" s="1300"/>
    </row>
    <row r="9" spans="1:21" ht="45.6" thickBot="1">
      <c r="A9" s="902" t="s">
        <v>8</v>
      </c>
      <c r="B9" s="902" t="s">
        <v>9</v>
      </c>
      <c r="C9" s="902" t="s">
        <v>1170</v>
      </c>
      <c r="D9" s="902" t="s">
        <v>1170</v>
      </c>
      <c r="E9" s="1207" t="s">
        <v>704</v>
      </c>
      <c r="F9" s="1208" t="s">
        <v>11</v>
      </c>
      <c r="G9" s="1301" t="s">
        <v>705</v>
      </c>
      <c r="H9" s="1209" t="s">
        <v>706</v>
      </c>
      <c r="I9" s="1302" t="s">
        <v>707</v>
      </c>
      <c r="J9" s="1303" t="s">
        <v>708</v>
      </c>
      <c r="K9" s="1304" t="s">
        <v>709</v>
      </c>
      <c r="L9" s="1305" t="s">
        <v>14</v>
      </c>
      <c r="M9" s="1306" t="s">
        <v>710</v>
      </c>
      <c r="N9" s="1307" t="s">
        <v>14</v>
      </c>
      <c r="O9" s="1210" t="s">
        <v>711</v>
      </c>
      <c r="P9" s="1307" t="s">
        <v>14</v>
      </c>
      <c r="Q9" s="1306" t="s">
        <v>19</v>
      </c>
      <c r="R9" s="1308" t="s">
        <v>712</v>
      </c>
      <c r="S9" s="1303" t="s">
        <v>713</v>
      </c>
      <c r="T9" s="1309" t="s">
        <v>22</v>
      </c>
      <c r="U9" s="712"/>
    </row>
    <row r="10" spans="1:21" ht="15.75" customHeight="1">
      <c r="A10" s="719"/>
      <c r="B10" s="719"/>
      <c r="C10" s="719"/>
      <c r="D10" s="719"/>
      <c r="E10" s="1310" t="s">
        <v>23</v>
      </c>
      <c r="F10" s="718"/>
      <c r="G10" s="718"/>
      <c r="H10" s="719"/>
      <c r="I10" s="720"/>
      <c r="J10" s="721"/>
      <c r="K10" s="722"/>
      <c r="L10" s="723"/>
      <c r="M10" s="723"/>
      <c r="N10" s="724"/>
      <c r="O10" s="723"/>
      <c r="P10" s="724"/>
      <c r="Q10" s="723"/>
      <c r="R10" s="725"/>
      <c r="S10" s="723"/>
      <c r="T10" s="726"/>
      <c r="U10" s="712"/>
    </row>
    <row r="11" spans="1:21" ht="15.75" customHeight="1">
      <c r="A11" s="1312"/>
      <c r="B11" s="1312"/>
      <c r="C11" s="1312"/>
      <c r="D11" s="1312"/>
      <c r="E11" s="1311"/>
      <c r="F11" s="713"/>
      <c r="G11" s="734"/>
      <c r="H11" s="1312"/>
      <c r="I11" s="1313"/>
      <c r="J11" s="1314"/>
      <c r="K11" s="1315"/>
      <c r="L11" s="1314"/>
      <c r="M11" s="1314"/>
      <c r="N11" s="1313"/>
      <c r="O11" s="1314"/>
      <c r="P11" s="1313"/>
      <c r="Q11" s="1314"/>
      <c r="R11" s="1316"/>
      <c r="S11" s="1314"/>
      <c r="T11" s="1317"/>
      <c r="U11" s="712"/>
    </row>
    <row r="12" spans="1:21" ht="15.75" customHeight="1">
      <c r="A12" s="740"/>
      <c r="B12" s="740"/>
      <c r="C12" s="740"/>
      <c r="D12" s="740"/>
      <c r="E12" s="1211" t="s">
        <v>714</v>
      </c>
      <c r="F12" s="798"/>
      <c r="G12" s="727"/>
      <c r="H12" s="740"/>
      <c r="I12" s="1313"/>
      <c r="J12" s="1318"/>
      <c r="K12" s="1315"/>
      <c r="L12" s="1314"/>
      <c r="M12" s="1314"/>
      <c r="N12" s="1313"/>
      <c r="O12" s="1314"/>
      <c r="P12" s="1313"/>
      <c r="Q12" s="1314"/>
      <c r="R12" s="1316"/>
      <c r="S12" s="1314"/>
      <c r="T12" s="1317"/>
      <c r="U12" s="712"/>
    </row>
    <row r="13" spans="1:21" ht="15.75" customHeight="1">
      <c r="A13" s="1312" t="s">
        <v>110</v>
      </c>
      <c r="B13" s="1312">
        <v>89050</v>
      </c>
      <c r="C13" s="1312" t="s">
        <v>1176</v>
      </c>
      <c r="D13" s="1312" t="s">
        <v>1178</v>
      </c>
      <c r="E13" s="1311" t="s">
        <v>715</v>
      </c>
      <c r="F13" s="713" t="s">
        <v>27</v>
      </c>
      <c r="G13" s="1319">
        <v>0.5</v>
      </c>
      <c r="H13" s="1312" t="s">
        <v>28</v>
      </c>
      <c r="I13" s="1313">
        <v>11</v>
      </c>
      <c r="J13" s="1320">
        <v>2000</v>
      </c>
      <c r="K13" s="1315">
        <f>I13*J13</f>
        <v>22000</v>
      </c>
      <c r="L13" s="1314">
        <v>12</v>
      </c>
      <c r="M13" s="1314">
        <f>(2000)*L13</f>
        <v>24000</v>
      </c>
      <c r="N13" s="1313">
        <v>12</v>
      </c>
      <c r="O13" s="1314">
        <f>(2000)*N13</f>
        <v>24000</v>
      </c>
      <c r="P13" s="1313">
        <v>7</v>
      </c>
      <c r="Q13" s="1314">
        <f>(2000)*P13</f>
        <v>14000</v>
      </c>
      <c r="R13" s="1316">
        <f t="shared" ref="R13:R19" si="0">SUM(K13+M13+O13+Q13)</f>
        <v>84000</v>
      </c>
      <c r="S13" s="1314">
        <v>0</v>
      </c>
      <c r="T13" s="1317">
        <f t="shared" ref="T13:T19" si="1">SUM(R13:S13)</f>
        <v>84000</v>
      </c>
      <c r="U13" s="712"/>
    </row>
    <row r="14" spans="1:21" ht="15.75" customHeight="1">
      <c r="A14" s="1312" t="s">
        <v>110</v>
      </c>
      <c r="B14" s="1312">
        <v>89050</v>
      </c>
      <c r="C14" s="1312" t="s">
        <v>1176</v>
      </c>
      <c r="D14" s="1312" t="s">
        <v>1180</v>
      </c>
      <c r="E14" s="1212" t="s">
        <v>716</v>
      </c>
      <c r="F14" s="713" t="s">
        <v>27</v>
      </c>
      <c r="G14" s="1319">
        <v>0.5</v>
      </c>
      <c r="H14" s="1312" t="s">
        <v>28</v>
      </c>
      <c r="I14" s="1313">
        <v>11</v>
      </c>
      <c r="J14" s="1320">
        <v>1100</v>
      </c>
      <c r="K14" s="1315">
        <f t="shared" ref="K14" si="2">I14*J14</f>
        <v>12100</v>
      </c>
      <c r="L14" s="1314">
        <v>12</v>
      </c>
      <c r="M14" s="1314">
        <f>(1100)*L14</f>
        <v>13200</v>
      </c>
      <c r="N14" s="1313">
        <v>12</v>
      </c>
      <c r="O14" s="1314">
        <f>(1100)*N14</f>
        <v>13200</v>
      </c>
      <c r="P14" s="1313">
        <v>5</v>
      </c>
      <c r="Q14" s="1314">
        <f>(1100)*P14</f>
        <v>5500</v>
      </c>
      <c r="R14" s="1316">
        <f t="shared" si="0"/>
        <v>44000</v>
      </c>
      <c r="S14" s="1314">
        <v>0</v>
      </c>
      <c r="T14" s="1317">
        <f t="shared" si="1"/>
        <v>44000</v>
      </c>
      <c r="U14" s="712"/>
    </row>
    <row r="15" spans="1:21" ht="15.75" customHeight="1">
      <c r="A15" s="1312" t="s">
        <v>110</v>
      </c>
      <c r="B15" s="1312">
        <v>89050</v>
      </c>
      <c r="C15" s="1312" t="s">
        <v>1176</v>
      </c>
      <c r="D15" s="1312" t="s">
        <v>1181</v>
      </c>
      <c r="E15" s="1212" t="s">
        <v>717</v>
      </c>
      <c r="F15" s="713" t="s">
        <v>27</v>
      </c>
      <c r="G15" s="1321">
        <v>0.5</v>
      </c>
      <c r="H15" s="1312" t="s">
        <v>28</v>
      </c>
      <c r="I15" s="1313">
        <v>11</v>
      </c>
      <c r="J15" s="1320">
        <v>750</v>
      </c>
      <c r="K15" s="1315">
        <f>I15*J15</f>
        <v>8250</v>
      </c>
      <c r="L15" s="1314">
        <v>12</v>
      </c>
      <c r="M15" s="1314">
        <f>L15*J15</f>
        <v>9000</v>
      </c>
      <c r="N15" s="1313">
        <v>12</v>
      </c>
      <c r="O15" s="1314">
        <f>(N15*J15)</f>
        <v>9000</v>
      </c>
      <c r="P15" s="1313">
        <v>7</v>
      </c>
      <c r="Q15" s="1314">
        <f>P15*J15</f>
        <v>5250</v>
      </c>
      <c r="R15" s="1316">
        <f>SUM(K15+M15+O15+Q15)</f>
        <v>31500</v>
      </c>
      <c r="S15" s="1314">
        <v>0</v>
      </c>
      <c r="T15" s="1317">
        <f>SUM(R15:S15)</f>
        <v>31500</v>
      </c>
      <c r="U15" s="712"/>
    </row>
    <row r="16" spans="1:21" ht="15.75" customHeight="1">
      <c r="A16" s="1312" t="s">
        <v>110</v>
      </c>
      <c r="B16" s="1312">
        <v>89050</v>
      </c>
      <c r="C16" s="1312" t="s">
        <v>1176</v>
      </c>
      <c r="D16" s="1312" t="s">
        <v>1182</v>
      </c>
      <c r="E16" s="1311" t="s">
        <v>718</v>
      </c>
      <c r="F16" s="713" t="s">
        <v>27</v>
      </c>
      <c r="G16" s="1321">
        <v>0.5</v>
      </c>
      <c r="H16" s="1312" t="s">
        <v>28</v>
      </c>
      <c r="I16" s="1313">
        <v>4</v>
      </c>
      <c r="J16" s="1320">
        <v>800</v>
      </c>
      <c r="K16" s="1315">
        <f>I16*J16</f>
        <v>3200</v>
      </c>
      <c r="L16" s="1314">
        <v>12</v>
      </c>
      <c r="M16" s="1314">
        <f>L16*J16</f>
        <v>9600</v>
      </c>
      <c r="N16" s="1313">
        <v>12</v>
      </c>
      <c r="O16" s="1314">
        <f>(N16*J16)</f>
        <v>9600</v>
      </c>
      <c r="P16" s="1313">
        <v>5</v>
      </c>
      <c r="Q16" s="1314">
        <f>P16*J16</f>
        <v>4000</v>
      </c>
      <c r="R16" s="1316">
        <f t="shared" ref="R16:R17" si="3">SUM(K16+M16+O16+Q16)</f>
        <v>26400</v>
      </c>
      <c r="S16" s="1314">
        <v>0</v>
      </c>
      <c r="T16" s="1317">
        <f t="shared" ref="T16" si="4">SUM(R16:S16)</f>
        <v>26400</v>
      </c>
      <c r="U16" s="712"/>
    </row>
    <row r="17" spans="1:22" ht="15.75" customHeight="1">
      <c r="A17" s="1312" t="s">
        <v>110</v>
      </c>
      <c r="B17" s="1312">
        <v>89050</v>
      </c>
      <c r="C17" s="1312" t="s">
        <v>1176</v>
      </c>
      <c r="D17" s="1312" t="s">
        <v>1183</v>
      </c>
      <c r="E17" s="1212" t="s">
        <v>719</v>
      </c>
      <c r="F17" s="713" t="s">
        <v>27</v>
      </c>
      <c r="G17" s="1321">
        <v>0.5</v>
      </c>
      <c r="H17" s="1312" t="s">
        <v>28</v>
      </c>
      <c r="I17" s="1313">
        <v>4</v>
      </c>
      <c r="J17" s="1320">
        <v>600</v>
      </c>
      <c r="K17" s="1315">
        <f>I17*J17</f>
        <v>2400</v>
      </c>
      <c r="L17" s="1314">
        <v>12</v>
      </c>
      <c r="M17" s="1314">
        <f>(600)*L17</f>
        <v>7200</v>
      </c>
      <c r="N17" s="1313">
        <v>12</v>
      </c>
      <c r="O17" s="1314">
        <f>(600)*N17</f>
        <v>7200</v>
      </c>
      <c r="P17" s="1313">
        <v>5</v>
      </c>
      <c r="Q17" s="1314">
        <f>(600)*P17</f>
        <v>3000</v>
      </c>
      <c r="R17" s="1316">
        <f t="shared" si="3"/>
        <v>19800</v>
      </c>
      <c r="S17" s="1314">
        <v>0</v>
      </c>
      <c r="T17" s="1317">
        <f>SUM(R17:S17)</f>
        <v>19800</v>
      </c>
      <c r="U17" s="712"/>
      <c r="V17" s="712"/>
    </row>
    <row r="18" spans="1:22" ht="15.75" customHeight="1">
      <c r="A18" s="1312" t="s">
        <v>110</v>
      </c>
      <c r="B18" s="1312">
        <v>89050</v>
      </c>
      <c r="C18" s="1312" t="s">
        <v>1176</v>
      </c>
      <c r="D18" s="1312" t="s">
        <v>1179</v>
      </c>
      <c r="E18" s="1212" t="s">
        <v>720</v>
      </c>
      <c r="F18" s="713" t="s">
        <v>27</v>
      </c>
      <c r="G18" s="1321">
        <v>1</v>
      </c>
      <c r="H18" s="1312" t="s">
        <v>28</v>
      </c>
      <c r="I18" s="1313">
        <v>0</v>
      </c>
      <c r="J18" s="1320">
        <v>1000</v>
      </c>
      <c r="K18" s="1315">
        <f>I18*J18</f>
        <v>0</v>
      </c>
      <c r="L18" s="1314">
        <v>12</v>
      </c>
      <c r="M18" s="1314">
        <f>(1000)*L18</f>
        <v>12000</v>
      </c>
      <c r="N18" s="1313">
        <v>12</v>
      </c>
      <c r="O18" s="1314">
        <f>(1000)*N18</f>
        <v>12000</v>
      </c>
      <c r="P18" s="1313">
        <v>7</v>
      </c>
      <c r="Q18" s="1314">
        <f>(1000)*P18</f>
        <v>7000</v>
      </c>
      <c r="R18" s="1316">
        <f>SUM(K18+M18+O18+Q18)</f>
        <v>31000</v>
      </c>
      <c r="S18" s="1314">
        <v>0</v>
      </c>
      <c r="T18" s="1317">
        <f>SUM(R18:S18)</f>
        <v>31000</v>
      </c>
      <c r="U18" s="712"/>
      <c r="V18" s="712"/>
    </row>
    <row r="19" spans="1:22" ht="15.75" customHeight="1">
      <c r="A19" s="1312" t="s">
        <v>110</v>
      </c>
      <c r="B19" s="1312">
        <v>89050</v>
      </c>
      <c r="C19" s="1312" t="s">
        <v>1176</v>
      </c>
      <c r="D19" s="1312" t="s">
        <v>1184</v>
      </c>
      <c r="E19" s="1212" t="s">
        <v>721</v>
      </c>
      <c r="F19" s="713" t="s">
        <v>27</v>
      </c>
      <c r="G19" s="1321">
        <v>1</v>
      </c>
      <c r="H19" s="1312" t="s">
        <v>28</v>
      </c>
      <c r="I19" s="1313">
        <v>0</v>
      </c>
      <c r="J19" s="1320">
        <v>850</v>
      </c>
      <c r="K19" s="1315">
        <f>I19*J19*G19</f>
        <v>0</v>
      </c>
      <c r="L19" s="1314">
        <v>12</v>
      </c>
      <c r="M19" s="1314">
        <f>(850)*L19</f>
        <v>10200</v>
      </c>
      <c r="N19" s="1313">
        <v>12</v>
      </c>
      <c r="O19" s="1314">
        <f>(850)*N19</f>
        <v>10200</v>
      </c>
      <c r="P19" s="1313">
        <v>5</v>
      </c>
      <c r="Q19" s="1314">
        <f>(850)*P19</f>
        <v>4250</v>
      </c>
      <c r="R19" s="1316">
        <f t="shared" si="0"/>
        <v>24650</v>
      </c>
      <c r="S19" s="1314">
        <v>0</v>
      </c>
      <c r="T19" s="1317">
        <f t="shared" si="1"/>
        <v>24650</v>
      </c>
      <c r="U19" s="712"/>
      <c r="V19" s="712"/>
    </row>
    <row r="20" spans="1:22" ht="15.75" customHeight="1">
      <c r="A20" s="1312"/>
      <c r="B20" s="1312"/>
      <c r="C20" s="1312"/>
      <c r="D20" s="1312"/>
      <c r="E20" s="1311"/>
      <c r="F20" s="713"/>
      <c r="G20" s="1321"/>
      <c r="H20" s="1312"/>
      <c r="I20" s="1313"/>
      <c r="J20" s="1320"/>
      <c r="K20" s="1315"/>
      <c r="L20" s="1314"/>
      <c r="M20" s="1314"/>
      <c r="N20" s="1313"/>
      <c r="O20" s="1314"/>
      <c r="P20" s="1313"/>
      <c r="Q20" s="1314"/>
      <c r="R20" s="1316"/>
      <c r="S20" s="1314"/>
      <c r="T20" s="1317"/>
      <c r="U20" s="712"/>
      <c r="V20" s="712"/>
    </row>
    <row r="21" spans="1:22" ht="15.75" customHeight="1">
      <c r="A21" s="1312"/>
      <c r="B21" s="1312"/>
      <c r="C21" s="1312"/>
      <c r="D21" s="1312"/>
      <c r="E21" s="1311"/>
      <c r="F21" s="713"/>
      <c r="G21" s="734"/>
      <c r="H21" s="1312"/>
      <c r="I21" s="1313"/>
      <c r="J21" s="1314"/>
      <c r="K21" s="1315"/>
      <c r="L21" s="1314"/>
      <c r="M21" s="1314"/>
      <c r="N21" s="1313"/>
      <c r="O21" s="1314"/>
      <c r="P21" s="1313"/>
      <c r="Q21" s="1314"/>
      <c r="R21" s="1316"/>
      <c r="S21" s="1314"/>
      <c r="T21" s="1317"/>
      <c r="U21" s="712"/>
      <c r="V21" s="712"/>
    </row>
    <row r="22" spans="1:22" ht="46.5" customHeight="1">
      <c r="A22" s="728"/>
      <c r="B22" s="728"/>
      <c r="C22" s="728"/>
      <c r="D22" s="728"/>
      <c r="E22" s="1213" t="s">
        <v>722</v>
      </c>
      <c r="F22" s="798"/>
      <c r="G22" s="727"/>
      <c r="H22" s="728"/>
      <c r="I22" s="1313"/>
      <c r="J22" s="1314"/>
      <c r="K22" s="1315">
        <f>SUM(K11:K20)</f>
        <v>47950</v>
      </c>
      <c r="L22" s="1314"/>
      <c r="M22" s="1315">
        <f>SUM(M11:M20)</f>
        <v>85200</v>
      </c>
      <c r="N22" s="1313"/>
      <c r="O22" s="1314">
        <f>SUM(O11:O20)</f>
        <v>85200</v>
      </c>
      <c r="P22" s="1313"/>
      <c r="Q22" s="1314">
        <f>SUM(Q11:Q20)</f>
        <v>43000</v>
      </c>
      <c r="R22" s="753">
        <f>SUM(R11:R20)</f>
        <v>261350</v>
      </c>
      <c r="S22" s="1314">
        <f>SUM(S11:S19)</f>
        <v>0</v>
      </c>
      <c r="T22" s="1317">
        <f>SUM(R22:S22)</f>
        <v>261350</v>
      </c>
      <c r="U22" s="712"/>
      <c r="V22" s="712"/>
    </row>
    <row r="23" spans="1:22" ht="15.75" customHeight="1">
      <c r="A23" s="719"/>
      <c r="B23" s="719"/>
      <c r="C23" s="719"/>
      <c r="D23" s="719"/>
      <c r="E23" s="1214" t="s">
        <v>723</v>
      </c>
      <c r="F23" s="718"/>
      <c r="G23" s="718"/>
      <c r="H23" s="719"/>
      <c r="I23" s="1322"/>
      <c r="J23" s="1323"/>
      <c r="K23" s="1324"/>
      <c r="L23" s="1087"/>
      <c r="M23" s="1087"/>
      <c r="N23" s="1325"/>
      <c r="O23" s="1087"/>
      <c r="P23" s="1325"/>
      <c r="Q23" s="1087"/>
      <c r="R23" s="1326"/>
      <c r="S23" s="1087"/>
      <c r="T23" s="1327"/>
      <c r="U23" s="712"/>
      <c r="V23" s="712"/>
    </row>
    <row r="24" spans="1:22" ht="15.75" customHeight="1">
      <c r="A24" s="749"/>
      <c r="B24" s="749"/>
      <c r="C24" s="749"/>
      <c r="D24" s="749"/>
      <c r="E24" s="1328"/>
      <c r="F24" s="1329"/>
      <c r="G24" s="748"/>
      <c r="H24" s="749"/>
      <c r="I24" s="1313"/>
      <c r="J24" s="1314"/>
      <c r="K24" s="1315"/>
      <c r="L24" s="1314"/>
      <c r="M24" s="1314"/>
      <c r="N24" s="1313"/>
      <c r="O24" s="1314"/>
      <c r="P24" s="1313"/>
      <c r="Q24" s="1314"/>
      <c r="R24" s="1316"/>
      <c r="S24" s="1314"/>
      <c r="T24" s="1317"/>
      <c r="U24" s="712"/>
      <c r="V24" s="712"/>
    </row>
    <row r="25" spans="1:22" ht="15.75" customHeight="1">
      <c r="A25" s="749"/>
      <c r="B25" s="749"/>
      <c r="C25" s="749"/>
      <c r="D25" s="749"/>
      <c r="E25" s="1215" t="s">
        <v>52</v>
      </c>
      <c r="F25" s="1329"/>
      <c r="G25" s="748"/>
      <c r="H25" s="749"/>
      <c r="I25" s="1313"/>
      <c r="J25" s="1314"/>
      <c r="K25" s="1315"/>
      <c r="L25" s="1314"/>
      <c r="M25" s="1314"/>
      <c r="N25" s="1313"/>
      <c r="O25" s="1314"/>
      <c r="P25" s="1313"/>
      <c r="Q25" s="1314"/>
      <c r="R25" s="1316"/>
      <c r="S25" s="1314"/>
      <c r="T25" s="1317"/>
      <c r="U25" s="712"/>
      <c r="V25" s="1063"/>
    </row>
    <row r="26" spans="1:22" ht="15.75" customHeight="1">
      <c r="A26" s="1312" t="s">
        <v>110</v>
      </c>
      <c r="B26" s="1312">
        <v>89050</v>
      </c>
      <c r="C26" s="1312" t="s">
        <v>1176</v>
      </c>
      <c r="D26" s="1312" t="s">
        <v>1185</v>
      </c>
      <c r="E26" s="1212" t="s">
        <v>724</v>
      </c>
      <c r="F26" s="713" t="s">
        <v>52</v>
      </c>
      <c r="G26" s="734"/>
      <c r="H26" s="1312" t="s">
        <v>28</v>
      </c>
      <c r="I26" s="1313"/>
      <c r="J26" s="1330">
        <v>0.483844</v>
      </c>
      <c r="K26" s="1331">
        <f>K22*J26</f>
        <v>23200.319800000001</v>
      </c>
      <c r="L26" s="1314"/>
      <c r="M26" s="1332">
        <f>M22*J26</f>
        <v>41223.508800000003</v>
      </c>
      <c r="N26" s="1313"/>
      <c r="O26" s="1332">
        <f>O22*J26</f>
        <v>41223.508800000003</v>
      </c>
      <c r="P26" s="1313"/>
      <c r="Q26" s="1332">
        <f>J26*Q22</f>
        <v>20805.292000000001</v>
      </c>
      <c r="R26" s="753">
        <f>SUM(K26+M26+O26+Q26)</f>
        <v>126452.62940000002</v>
      </c>
      <c r="S26" s="1314">
        <v>0</v>
      </c>
      <c r="T26" s="1317">
        <f>SUM(R26:S26)</f>
        <v>126452.62940000002</v>
      </c>
      <c r="U26" s="712"/>
      <c r="V26" s="712"/>
    </row>
    <row r="27" spans="1:22" ht="15.75" customHeight="1">
      <c r="A27" s="1312" t="s">
        <v>110</v>
      </c>
      <c r="B27" s="1312">
        <v>89050</v>
      </c>
      <c r="C27" s="1312" t="s">
        <v>1176</v>
      </c>
      <c r="D27" s="1312" t="s">
        <v>1186</v>
      </c>
      <c r="E27" s="1212" t="s">
        <v>725</v>
      </c>
      <c r="F27" s="713" t="s">
        <v>52</v>
      </c>
      <c r="G27" s="734"/>
      <c r="H27" s="1312" t="s">
        <v>726</v>
      </c>
      <c r="I27" s="1313"/>
      <c r="J27" s="1330"/>
      <c r="K27" s="1331">
        <v>500</v>
      </c>
      <c r="L27" s="1314"/>
      <c r="M27" s="1332">
        <v>500</v>
      </c>
      <c r="N27" s="1313"/>
      <c r="O27" s="1332">
        <v>500</v>
      </c>
      <c r="P27" s="1313"/>
      <c r="Q27" s="1332"/>
      <c r="R27" s="753">
        <f>SUM(K27+M27+O27+Q27)</f>
        <v>1500</v>
      </c>
      <c r="S27" s="1314"/>
      <c r="T27" s="1317">
        <f>SUM(R27:S27)</f>
        <v>1500</v>
      </c>
      <c r="U27" s="712"/>
      <c r="V27" s="712"/>
    </row>
    <row r="28" spans="1:22" ht="15.75" customHeight="1">
      <c r="A28" s="756"/>
      <c r="B28" s="756"/>
      <c r="C28" s="756"/>
      <c r="D28" s="756"/>
      <c r="E28" s="755"/>
      <c r="F28" s="713"/>
      <c r="G28" s="713"/>
      <c r="H28" s="756"/>
      <c r="I28" s="1141"/>
      <c r="J28" s="1142"/>
      <c r="K28" s="1333"/>
      <c r="L28" s="1142"/>
      <c r="M28" s="1142"/>
      <c r="N28" s="1334"/>
      <c r="O28" s="1142"/>
      <c r="P28" s="1334"/>
      <c r="Q28" s="1142"/>
      <c r="R28" s="1326"/>
      <c r="S28" s="1314"/>
      <c r="T28" s="1327"/>
      <c r="U28" s="712"/>
      <c r="V28" s="712"/>
    </row>
    <row r="29" spans="1:22" ht="15.75" customHeight="1" thickBot="1">
      <c r="A29" s="765"/>
      <c r="B29" s="765"/>
      <c r="C29" s="765"/>
      <c r="D29" s="765"/>
      <c r="E29" s="763" t="s">
        <v>727</v>
      </c>
      <c r="F29" s="764"/>
      <c r="G29" s="764"/>
      <c r="H29" s="765"/>
      <c r="I29" s="1156"/>
      <c r="J29" s="1157"/>
      <c r="K29" s="1158">
        <f>SUM(K26:K28)</f>
        <v>23700.319800000001</v>
      </c>
      <c r="L29" s="1159"/>
      <c r="M29" s="1159">
        <f>SUM(M26:M28)</f>
        <v>41723.508800000003</v>
      </c>
      <c r="N29" s="1160"/>
      <c r="O29" s="1159">
        <f>SUM(O26:O28)</f>
        <v>41723.508800000003</v>
      </c>
      <c r="P29" s="1160"/>
      <c r="Q29" s="1159">
        <f>SUM(Q26:Q28)</f>
        <v>20805.292000000001</v>
      </c>
      <c r="R29" s="1161">
        <f>SUM(R26:R28)</f>
        <v>127952.62940000002</v>
      </c>
      <c r="S29" s="1159">
        <f>SUM(S26:S28)</f>
        <v>0</v>
      </c>
      <c r="T29" s="1335">
        <f>SUM(T26:T28)</f>
        <v>127952.62940000002</v>
      </c>
      <c r="U29" s="712"/>
      <c r="V29" s="712"/>
    </row>
    <row r="30" spans="1:22" ht="15.75" customHeight="1">
      <c r="A30" s="774"/>
      <c r="B30" s="774"/>
      <c r="C30" s="774"/>
      <c r="D30" s="774"/>
      <c r="E30" s="1336" t="s">
        <v>58</v>
      </c>
      <c r="F30" s="773"/>
      <c r="G30" s="773"/>
      <c r="H30" s="774"/>
      <c r="I30" s="1141"/>
      <c r="J30" s="1142"/>
      <c r="K30" s="1143"/>
      <c r="L30" s="1144"/>
      <c r="M30" s="1144"/>
      <c r="N30" s="1145"/>
      <c r="O30" s="1144"/>
      <c r="P30" s="1145"/>
      <c r="Q30" s="1144"/>
      <c r="R30" s="1146"/>
      <c r="S30" s="1144"/>
      <c r="T30" s="1147"/>
      <c r="U30" s="712"/>
      <c r="V30" s="712"/>
    </row>
    <row r="31" spans="1:22" ht="44.25" customHeight="1">
      <c r="A31" s="1312" t="s">
        <v>110</v>
      </c>
      <c r="B31" s="1312">
        <v>89050</v>
      </c>
      <c r="C31" s="1312" t="s">
        <v>1176</v>
      </c>
      <c r="D31" s="1312" t="s">
        <v>1187</v>
      </c>
      <c r="E31" s="1216" t="s">
        <v>728</v>
      </c>
      <c r="F31" s="1631" t="s">
        <v>605</v>
      </c>
      <c r="G31" s="1631"/>
      <c r="H31" s="1632"/>
      <c r="I31" s="1313"/>
      <c r="J31" s="1314"/>
      <c r="K31" s="1337">
        <f>+'[1]INDES Sub Activities Detail'!J728</f>
        <v>1308</v>
      </c>
      <c r="L31" s="1314"/>
      <c r="M31" s="1338">
        <f>+'[1]INDES Sub Activities Detail'!M728</f>
        <v>16055.519999999997</v>
      </c>
      <c r="N31" s="1313"/>
      <c r="O31" s="1338">
        <f>+'[1]INDES Sub Activities Detail'!P728</f>
        <v>18276.876800000002</v>
      </c>
      <c r="P31" s="1313"/>
      <c r="Q31" s="1338">
        <f>+'[1]INDES Sub Activities Detail'!S728</f>
        <v>9734.5730559999956</v>
      </c>
      <c r="R31" s="1316">
        <f>SUM(K31+M31+O31+Q31)</f>
        <v>45374.969855999996</v>
      </c>
      <c r="S31" s="1314"/>
      <c r="T31" s="1317">
        <f>SUM(R31:S31)</f>
        <v>45374.969855999996</v>
      </c>
      <c r="U31" s="712"/>
      <c r="V31" s="712"/>
    </row>
    <row r="32" spans="1:22" ht="15.75" customHeight="1">
      <c r="A32" s="1312" t="s">
        <v>110</v>
      </c>
      <c r="B32" s="1312">
        <v>89050</v>
      </c>
      <c r="C32" s="1312" t="s">
        <v>1176</v>
      </c>
      <c r="D32" s="1312" t="s">
        <v>1188</v>
      </c>
      <c r="E32" s="818" t="s">
        <v>729</v>
      </c>
      <c r="F32" s="1631" t="s">
        <v>606</v>
      </c>
      <c r="G32" s="1631"/>
      <c r="H32" s="1632"/>
      <c r="I32" s="1313"/>
      <c r="J32" s="1314"/>
      <c r="K32" s="1337">
        <f>+'[1]INDES Sub Activities Detail'!J729</f>
        <v>640</v>
      </c>
      <c r="L32" s="1314"/>
      <c r="M32" s="1338">
        <f>+'[1]INDES Sub Activities Detail'!M729</f>
        <v>18569.880000000005</v>
      </c>
      <c r="N32" s="1313"/>
      <c r="O32" s="1338">
        <f>+'[1]INDES Sub Activities Detail'!P729</f>
        <v>19499.084800000001</v>
      </c>
      <c r="P32" s="1313"/>
      <c r="Q32" s="1338">
        <f>+'[1]INDES Sub Activities Detail'!S729</f>
        <v>14000.057344000003</v>
      </c>
      <c r="R32" s="1316">
        <f>SUM(K32+M32+O32+Q32)</f>
        <v>52709.022144000002</v>
      </c>
      <c r="S32" s="1314"/>
      <c r="T32" s="1317">
        <f>SUM(R32:S32)</f>
        <v>52709.022144000002</v>
      </c>
      <c r="U32" s="712"/>
      <c r="V32" s="712"/>
    </row>
    <row r="33" spans="1:20" ht="30.75" customHeight="1" thickBot="1">
      <c r="A33" s="765"/>
      <c r="B33" s="765"/>
      <c r="C33" s="765"/>
      <c r="D33" s="765"/>
      <c r="E33" s="1217" t="s">
        <v>730</v>
      </c>
      <c r="F33" s="764"/>
      <c r="G33" s="764"/>
      <c r="H33" s="765"/>
      <c r="I33" s="1156"/>
      <c r="J33" s="1157"/>
      <c r="K33" s="1158">
        <f>SUM(K31:K32)</f>
        <v>1948</v>
      </c>
      <c r="L33" s="1159"/>
      <c r="M33" s="1159">
        <f>SUM(M31:M32)</f>
        <v>34625.4</v>
      </c>
      <c r="N33" s="1160"/>
      <c r="O33" s="1159">
        <f>SUM(O31:O32)</f>
        <v>37775.961600000002</v>
      </c>
      <c r="P33" s="1160"/>
      <c r="Q33" s="1159">
        <f>SUM(Q31:Q32)</f>
        <v>23734.630399999998</v>
      </c>
      <c r="R33" s="1159">
        <f>SUM(R31:R32)</f>
        <v>98083.991999999998</v>
      </c>
      <c r="S33" s="1159">
        <f>SUM(S31:S31)</f>
        <v>0</v>
      </c>
      <c r="T33" s="1162">
        <f>SUM(R33:S33)</f>
        <v>98083.991999999998</v>
      </c>
    </row>
    <row r="34" spans="1:20" ht="15.75" customHeight="1">
      <c r="A34" s="719"/>
      <c r="B34" s="719"/>
      <c r="C34" s="719"/>
      <c r="D34" s="719"/>
      <c r="E34" s="1339" t="s">
        <v>731</v>
      </c>
      <c r="F34" s="719"/>
      <c r="G34" s="719"/>
      <c r="H34" s="719"/>
      <c r="I34" s="1322"/>
      <c r="J34" s="1323"/>
      <c r="K34" s="1324"/>
      <c r="L34" s="1087"/>
      <c r="M34" s="1087"/>
      <c r="N34" s="1325"/>
      <c r="O34" s="1087"/>
      <c r="P34" s="1325"/>
      <c r="Q34" s="1087"/>
      <c r="R34" s="1326"/>
      <c r="S34" s="1087"/>
      <c r="T34" s="1327"/>
    </row>
    <row r="35" spans="1:20" ht="15.75" hidden="1" customHeight="1">
      <c r="A35" s="713"/>
      <c r="B35" s="713"/>
      <c r="C35" s="713"/>
      <c r="D35" s="713"/>
      <c r="E35" s="755" t="s">
        <v>731</v>
      </c>
      <c r="F35" s="713" t="s">
        <v>731</v>
      </c>
      <c r="G35" s="734"/>
      <c r="H35" s="713" t="s">
        <v>732</v>
      </c>
      <c r="I35" s="1313">
        <v>0</v>
      </c>
      <c r="J35" s="1314">
        <v>0</v>
      </c>
      <c r="K35" s="1315">
        <f>I35*J35</f>
        <v>0</v>
      </c>
      <c r="L35" s="1314">
        <v>0</v>
      </c>
      <c r="M35" s="1314">
        <f>L35*J35*[1]Assumptions!$C$19</f>
        <v>0</v>
      </c>
      <c r="N35" s="1313">
        <v>0</v>
      </c>
      <c r="O35" s="1314">
        <f>N35*J35*[1]Assumptions!$C$19*[1]Assumptions!$C$19</f>
        <v>0</v>
      </c>
      <c r="P35" s="1313">
        <v>0</v>
      </c>
      <c r="Q35" s="1314">
        <f>P35*J35*[1]Assumptions!$C$19*[1]Assumptions!$C$19*[1]Assumptions!$C$19</f>
        <v>0</v>
      </c>
      <c r="R35" s="1316">
        <f>SUM(K35+M35+O35+Q35)</f>
        <v>0</v>
      </c>
      <c r="S35" s="1314">
        <v>0</v>
      </c>
      <c r="T35" s="1317">
        <f>SUM(R35:S35)</f>
        <v>0</v>
      </c>
    </row>
    <row r="36" spans="1:20" ht="15.75" hidden="1" customHeight="1">
      <c r="A36" s="713"/>
      <c r="B36" s="713"/>
      <c r="C36" s="713"/>
      <c r="D36" s="713"/>
      <c r="E36" s="755"/>
      <c r="F36" s="713"/>
      <c r="G36" s="734"/>
      <c r="H36" s="713"/>
      <c r="I36" s="1313"/>
      <c r="J36" s="1314"/>
      <c r="K36" s="1315"/>
      <c r="L36" s="1314"/>
      <c r="M36" s="1314"/>
      <c r="N36" s="1313"/>
      <c r="O36" s="1314"/>
      <c r="P36" s="1313"/>
      <c r="Q36" s="1314"/>
      <c r="R36" s="1316"/>
      <c r="S36" s="1314"/>
      <c r="T36" s="1317"/>
    </row>
    <row r="37" spans="1:20" ht="15.75" customHeight="1" thickBot="1">
      <c r="A37" s="765"/>
      <c r="B37" s="765"/>
      <c r="C37" s="765"/>
      <c r="D37" s="765"/>
      <c r="E37" s="763" t="s">
        <v>733</v>
      </c>
      <c r="F37" s="764"/>
      <c r="G37" s="764"/>
      <c r="H37" s="765"/>
      <c r="I37" s="1156"/>
      <c r="J37" s="1157"/>
      <c r="K37" s="1158">
        <f>SUM(K35)</f>
        <v>0</v>
      </c>
      <c r="L37" s="1159"/>
      <c r="M37" s="1159">
        <f>SUM(M35)</f>
        <v>0</v>
      </c>
      <c r="N37" s="1160"/>
      <c r="O37" s="1159">
        <f>SUM(O35)</f>
        <v>0</v>
      </c>
      <c r="P37" s="1160"/>
      <c r="Q37" s="1159">
        <f>SUM(Q35)</f>
        <v>0</v>
      </c>
      <c r="R37" s="1161">
        <f>SUM(R35)</f>
        <v>0</v>
      </c>
      <c r="S37" s="1159">
        <f>SUM(S35)</f>
        <v>0</v>
      </c>
      <c r="T37" s="1162">
        <f>SUM(R37:S37)</f>
        <v>0</v>
      </c>
    </row>
    <row r="38" spans="1:20" ht="15.75" customHeight="1">
      <c r="A38" s="719"/>
      <c r="B38" s="719"/>
      <c r="C38" s="719"/>
      <c r="D38" s="719"/>
      <c r="E38" s="1339" t="s">
        <v>94</v>
      </c>
      <c r="F38" s="719"/>
      <c r="G38" s="719"/>
      <c r="H38" s="719"/>
      <c r="I38" s="1322"/>
      <c r="J38" s="1323"/>
      <c r="K38" s="1324"/>
      <c r="L38" s="1087"/>
      <c r="M38" s="1087"/>
      <c r="N38" s="1325"/>
      <c r="O38" s="1087"/>
      <c r="P38" s="1325"/>
      <c r="Q38" s="1087"/>
      <c r="R38" s="1326"/>
      <c r="S38" s="1087"/>
      <c r="T38" s="1327"/>
    </row>
    <row r="39" spans="1:20" ht="15.75" customHeight="1">
      <c r="A39" s="1312" t="s">
        <v>110</v>
      </c>
      <c r="B39" s="1312">
        <v>89050</v>
      </c>
      <c r="C39" s="1312" t="s">
        <v>1176</v>
      </c>
      <c r="D39" s="782" t="s">
        <v>1191</v>
      </c>
      <c r="E39" s="1311" t="s">
        <v>734</v>
      </c>
      <c r="F39" s="713" t="s">
        <v>735</v>
      </c>
      <c r="G39" s="734"/>
      <c r="H39" s="782" t="s">
        <v>28</v>
      </c>
      <c r="I39" s="1313">
        <v>4</v>
      </c>
      <c r="J39" s="1314">
        <v>130</v>
      </c>
      <c r="K39" s="1315">
        <f>J39*I39</f>
        <v>520</v>
      </c>
      <c r="L39" s="1314">
        <v>12</v>
      </c>
      <c r="M39" s="1314">
        <f>L39*J39</f>
        <v>1560</v>
      </c>
      <c r="N39" s="1313">
        <v>12</v>
      </c>
      <c r="O39" s="1314">
        <f>N39*J39</f>
        <v>1560</v>
      </c>
      <c r="P39" s="1313">
        <v>8</v>
      </c>
      <c r="Q39" s="1314">
        <f>P39*J39</f>
        <v>1040</v>
      </c>
      <c r="R39" s="1316">
        <f>SUM(K39+M39+O39+Q39)</f>
        <v>4680</v>
      </c>
      <c r="S39" s="1314">
        <v>0</v>
      </c>
      <c r="T39" s="1317">
        <f>SUM(R39:S39)</f>
        <v>4680</v>
      </c>
    </row>
    <row r="40" spans="1:20" ht="15.75" customHeight="1">
      <c r="A40" s="1312" t="s">
        <v>110</v>
      </c>
      <c r="B40" s="1312">
        <v>89050</v>
      </c>
      <c r="C40" s="1312" t="s">
        <v>1176</v>
      </c>
      <c r="D40" s="782" t="s">
        <v>1189</v>
      </c>
      <c r="E40" s="1311" t="s">
        <v>736</v>
      </c>
      <c r="F40" s="713" t="s">
        <v>735</v>
      </c>
      <c r="G40" s="734"/>
      <c r="H40" s="782" t="s">
        <v>28</v>
      </c>
      <c r="I40" s="1313">
        <v>5</v>
      </c>
      <c r="J40" s="1314">
        <v>1000</v>
      </c>
      <c r="K40" s="1315">
        <f t="shared" ref="K40:K49" si="5">J40*I40</f>
        <v>5000</v>
      </c>
      <c r="L40" s="1314">
        <v>0</v>
      </c>
      <c r="M40" s="1314">
        <f t="shared" ref="M40:M49" si="6">L40*J40</f>
        <v>0</v>
      </c>
      <c r="N40" s="1313">
        <v>0</v>
      </c>
      <c r="O40" s="1314">
        <f t="shared" ref="O40:O49" si="7">N40*J40</f>
        <v>0</v>
      </c>
      <c r="P40" s="1313">
        <v>0</v>
      </c>
      <c r="Q40" s="1314">
        <f t="shared" ref="Q40:Q49" si="8">P40*J40</f>
        <v>0</v>
      </c>
      <c r="R40" s="1316">
        <f t="shared" ref="R40:R49" si="9">SUM(K40+M40+O40+Q40)</f>
        <v>5000</v>
      </c>
      <c r="S40" s="1314"/>
      <c r="T40" s="1317">
        <f t="shared" ref="T40:T49" si="10">SUM(R40:S40)</f>
        <v>5000</v>
      </c>
    </row>
    <row r="41" spans="1:20" ht="15.75" customHeight="1">
      <c r="A41" s="1312" t="s">
        <v>110</v>
      </c>
      <c r="B41" s="1312">
        <v>89050</v>
      </c>
      <c r="C41" s="1312" t="s">
        <v>1176</v>
      </c>
      <c r="D41" s="782" t="s">
        <v>1190</v>
      </c>
      <c r="E41" s="1311" t="s">
        <v>737</v>
      </c>
      <c r="F41" s="713" t="s">
        <v>735</v>
      </c>
      <c r="G41" s="734"/>
      <c r="H41" s="782" t="s">
        <v>28</v>
      </c>
      <c r="I41" s="1313">
        <v>5</v>
      </c>
      <c r="J41" s="1314">
        <v>150</v>
      </c>
      <c r="K41" s="1315">
        <f t="shared" si="5"/>
        <v>750</v>
      </c>
      <c r="L41" s="1314">
        <v>5</v>
      </c>
      <c r="M41" s="1314">
        <f t="shared" si="6"/>
        <v>750</v>
      </c>
      <c r="N41" s="1313">
        <v>5</v>
      </c>
      <c r="O41" s="1314">
        <f t="shared" si="7"/>
        <v>750</v>
      </c>
      <c r="P41" s="1313">
        <v>0</v>
      </c>
      <c r="Q41" s="1314">
        <f t="shared" si="8"/>
        <v>0</v>
      </c>
      <c r="R41" s="1316">
        <f t="shared" si="9"/>
        <v>2250</v>
      </c>
      <c r="S41" s="1314"/>
      <c r="T41" s="1317">
        <f t="shared" si="10"/>
        <v>2250</v>
      </c>
    </row>
    <row r="42" spans="1:20" ht="15.75" customHeight="1">
      <c r="A42" s="1312" t="s">
        <v>110</v>
      </c>
      <c r="B42" s="1312">
        <v>89050</v>
      </c>
      <c r="C42" s="1312" t="s">
        <v>1176</v>
      </c>
      <c r="D42" s="782" t="s">
        <v>1192</v>
      </c>
      <c r="E42" s="1311" t="s">
        <v>738</v>
      </c>
      <c r="F42" s="713" t="s">
        <v>735</v>
      </c>
      <c r="G42" s="734"/>
      <c r="H42" s="782" t="s">
        <v>28</v>
      </c>
      <c r="I42" s="1313">
        <v>5</v>
      </c>
      <c r="J42" s="1314">
        <v>80</v>
      </c>
      <c r="K42" s="1315">
        <f t="shared" si="5"/>
        <v>400</v>
      </c>
      <c r="L42" s="1314">
        <v>5</v>
      </c>
      <c r="M42" s="1314">
        <f t="shared" si="6"/>
        <v>400</v>
      </c>
      <c r="N42" s="1313">
        <v>5</v>
      </c>
      <c r="O42" s="1314">
        <f t="shared" si="7"/>
        <v>400</v>
      </c>
      <c r="P42" s="1313">
        <v>0</v>
      </c>
      <c r="Q42" s="1314">
        <f t="shared" si="8"/>
        <v>0</v>
      </c>
      <c r="R42" s="1316">
        <f t="shared" si="9"/>
        <v>1200</v>
      </c>
      <c r="S42" s="1314"/>
      <c r="T42" s="1317">
        <f t="shared" si="10"/>
        <v>1200</v>
      </c>
    </row>
    <row r="43" spans="1:20" ht="15.75" customHeight="1">
      <c r="A43" s="1312" t="s">
        <v>110</v>
      </c>
      <c r="B43" s="1312">
        <v>89050</v>
      </c>
      <c r="C43" s="1312" t="s">
        <v>1176</v>
      </c>
      <c r="D43" s="782" t="s">
        <v>1193</v>
      </c>
      <c r="E43" s="1311" t="s">
        <v>739</v>
      </c>
      <c r="F43" s="713" t="s">
        <v>735</v>
      </c>
      <c r="G43" s="734"/>
      <c r="H43" s="782" t="s">
        <v>28</v>
      </c>
      <c r="I43" s="1313">
        <v>1</v>
      </c>
      <c r="J43" s="1314">
        <v>1800</v>
      </c>
      <c r="K43" s="1315">
        <f t="shared" si="5"/>
        <v>1800</v>
      </c>
      <c r="L43" s="1314"/>
      <c r="M43" s="1314">
        <f t="shared" si="6"/>
        <v>0</v>
      </c>
      <c r="N43" s="1313"/>
      <c r="O43" s="1314">
        <f t="shared" si="7"/>
        <v>0</v>
      </c>
      <c r="P43" s="1313"/>
      <c r="Q43" s="1314">
        <f t="shared" si="8"/>
        <v>0</v>
      </c>
      <c r="R43" s="1316">
        <f t="shared" si="9"/>
        <v>1800</v>
      </c>
      <c r="S43" s="1314"/>
      <c r="T43" s="1317">
        <f t="shared" si="10"/>
        <v>1800</v>
      </c>
    </row>
    <row r="44" spans="1:20" ht="15.75" customHeight="1">
      <c r="A44" s="1312" t="s">
        <v>110</v>
      </c>
      <c r="B44" s="1312">
        <v>89050</v>
      </c>
      <c r="C44" s="1312" t="s">
        <v>1176</v>
      </c>
      <c r="D44" s="782" t="s">
        <v>1194</v>
      </c>
      <c r="E44" s="1311" t="s">
        <v>740</v>
      </c>
      <c r="F44" s="713" t="s">
        <v>94</v>
      </c>
      <c r="G44" s="734"/>
      <c r="H44" s="782" t="s">
        <v>28</v>
      </c>
      <c r="I44" s="1313">
        <v>0</v>
      </c>
      <c r="J44" s="1314">
        <v>40</v>
      </c>
      <c r="K44" s="1315">
        <f t="shared" si="5"/>
        <v>0</v>
      </c>
      <c r="L44" s="1314">
        <v>5</v>
      </c>
      <c r="M44" s="1314">
        <f>L44*J44</f>
        <v>200</v>
      </c>
      <c r="N44" s="1313">
        <v>5</v>
      </c>
      <c r="O44" s="1314">
        <f t="shared" si="7"/>
        <v>200</v>
      </c>
      <c r="P44" s="1313"/>
      <c r="Q44" s="1314">
        <f t="shared" si="8"/>
        <v>0</v>
      </c>
      <c r="R44" s="1316">
        <f t="shared" si="9"/>
        <v>400</v>
      </c>
      <c r="S44" s="1314"/>
      <c r="T44" s="1317">
        <f t="shared" si="10"/>
        <v>400</v>
      </c>
    </row>
    <row r="45" spans="1:20" ht="15.75" customHeight="1">
      <c r="A45" s="1312" t="s">
        <v>110</v>
      </c>
      <c r="B45" s="1312">
        <v>89050</v>
      </c>
      <c r="C45" s="1312" t="s">
        <v>1176</v>
      </c>
      <c r="D45" s="782" t="s">
        <v>1195</v>
      </c>
      <c r="E45" s="1311" t="s">
        <v>741</v>
      </c>
      <c r="F45" s="713" t="s">
        <v>735</v>
      </c>
      <c r="G45" s="734"/>
      <c r="H45" s="782" t="s">
        <v>28</v>
      </c>
      <c r="I45" s="1313">
        <v>4</v>
      </c>
      <c r="J45" s="1314">
        <v>25</v>
      </c>
      <c r="K45" s="1315">
        <f t="shared" si="5"/>
        <v>100</v>
      </c>
      <c r="L45" s="1314">
        <v>12</v>
      </c>
      <c r="M45" s="1314">
        <f t="shared" si="6"/>
        <v>300</v>
      </c>
      <c r="N45" s="1313">
        <v>12</v>
      </c>
      <c r="O45" s="1314">
        <f t="shared" si="7"/>
        <v>300</v>
      </c>
      <c r="P45" s="1313">
        <v>8</v>
      </c>
      <c r="Q45" s="1314">
        <f t="shared" si="8"/>
        <v>200</v>
      </c>
      <c r="R45" s="1316">
        <f t="shared" si="9"/>
        <v>900</v>
      </c>
      <c r="S45" s="1314"/>
      <c r="T45" s="1317">
        <f t="shared" si="10"/>
        <v>900</v>
      </c>
    </row>
    <row r="46" spans="1:20" ht="15.75" customHeight="1">
      <c r="A46" s="1312" t="s">
        <v>110</v>
      </c>
      <c r="B46" s="1312">
        <v>89050</v>
      </c>
      <c r="C46" s="1312" t="s">
        <v>1176</v>
      </c>
      <c r="D46" s="782" t="s">
        <v>1196</v>
      </c>
      <c r="E46" s="1311" t="s">
        <v>742</v>
      </c>
      <c r="F46" s="713" t="s">
        <v>735</v>
      </c>
      <c r="G46" s="734"/>
      <c r="H46" s="782" t="s">
        <v>28</v>
      </c>
      <c r="I46" s="1313">
        <v>4</v>
      </c>
      <c r="J46" s="1314">
        <v>100</v>
      </c>
      <c r="K46" s="1315">
        <f t="shared" si="5"/>
        <v>400</v>
      </c>
      <c r="L46" s="1314">
        <v>12</v>
      </c>
      <c r="M46" s="1314">
        <f t="shared" si="6"/>
        <v>1200</v>
      </c>
      <c r="N46" s="1313">
        <v>12</v>
      </c>
      <c r="O46" s="1314">
        <f t="shared" si="7"/>
        <v>1200</v>
      </c>
      <c r="P46" s="1313">
        <v>8</v>
      </c>
      <c r="Q46" s="1314">
        <f t="shared" si="8"/>
        <v>800</v>
      </c>
      <c r="R46" s="1316">
        <f t="shared" si="9"/>
        <v>3600</v>
      </c>
      <c r="S46" s="1314"/>
      <c r="T46" s="1317">
        <f t="shared" si="10"/>
        <v>3600</v>
      </c>
    </row>
    <row r="47" spans="1:20" ht="15.75" customHeight="1">
      <c r="A47" s="1312" t="s">
        <v>110</v>
      </c>
      <c r="B47" s="1312">
        <v>89050</v>
      </c>
      <c r="C47" s="1312" t="s">
        <v>1176</v>
      </c>
      <c r="D47" s="782" t="s">
        <v>1197</v>
      </c>
      <c r="E47" s="1311" t="s">
        <v>743</v>
      </c>
      <c r="F47" s="713" t="s">
        <v>94</v>
      </c>
      <c r="G47" s="734"/>
      <c r="H47" s="782" t="s">
        <v>28</v>
      </c>
      <c r="I47" s="1313">
        <v>4</v>
      </c>
      <c r="J47" s="1314">
        <v>44.970588235294116</v>
      </c>
      <c r="K47" s="1315">
        <f t="shared" si="5"/>
        <v>179.88235294117646</v>
      </c>
      <c r="L47" s="1314">
        <v>12</v>
      </c>
      <c r="M47" s="1314">
        <f t="shared" si="6"/>
        <v>539.64705882352939</v>
      </c>
      <c r="N47" s="1313">
        <v>12</v>
      </c>
      <c r="O47" s="1314">
        <f t="shared" si="7"/>
        <v>539.64705882352939</v>
      </c>
      <c r="P47" s="1313">
        <v>6</v>
      </c>
      <c r="Q47" s="1314">
        <f t="shared" si="8"/>
        <v>269.8235294117647</v>
      </c>
      <c r="R47" s="1316">
        <f t="shared" si="9"/>
        <v>1528.9999999999998</v>
      </c>
      <c r="S47" s="1314"/>
      <c r="T47" s="1317">
        <f t="shared" si="10"/>
        <v>1528.9999999999998</v>
      </c>
    </row>
    <row r="48" spans="1:20" ht="15.75" customHeight="1">
      <c r="A48" s="1312" t="s">
        <v>110</v>
      </c>
      <c r="B48" s="1312">
        <v>89050</v>
      </c>
      <c r="C48" s="1312" t="s">
        <v>1176</v>
      </c>
      <c r="D48" s="782" t="s">
        <v>1198</v>
      </c>
      <c r="E48" s="1311" t="s">
        <v>132</v>
      </c>
      <c r="F48" s="713" t="s">
        <v>735</v>
      </c>
      <c r="G48" s="734"/>
      <c r="H48" s="782" t="s">
        <v>28</v>
      </c>
      <c r="I48" s="1313">
        <v>1</v>
      </c>
      <c r="J48" s="1314">
        <v>1000</v>
      </c>
      <c r="K48" s="1315">
        <f t="shared" si="5"/>
        <v>1000</v>
      </c>
      <c r="L48" s="1314"/>
      <c r="M48" s="1314">
        <f t="shared" si="6"/>
        <v>0</v>
      </c>
      <c r="N48" s="1313"/>
      <c r="O48" s="1314">
        <f t="shared" si="7"/>
        <v>0</v>
      </c>
      <c r="P48" s="1313"/>
      <c r="Q48" s="1314">
        <f t="shared" si="8"/>
        <v>0</v>
      </c>
      <c r="R48" s="1316">
        <f t="shared" si="9"/>
        <v>1000</v>
      </c>
      <c r="S48" s="1314"/>
      <c r="T48" s="1317">
        <f t="shared" si="10"/>
        <v>1000</v>
      </c>
    </row>
    <row r="49" spans="1:20" ht="15.75" customHeight="1">
      <c r="A49" s="1312" t="s">
        <v>110</v>
      </c>
      <c r="B49" s="1312">
        <v>89050</v>
      </c>
      <c r="C49" s="1312" t="s">
        <v>1176</v>
      </c>
      <c r="D49" s="782" t="s">
        <v>1199</v>
      </c>
      <c r="E49" s="1311" t="s">
        <v>744</v>
      </c>
      <c r="F49" s="713" t="s">
        <v>735</v>
      </c>
      <c r="G49" s="734"/>
      <c r="H49" s="782" t="s">
        <v>28</v>
      </c>
      <c r="I49" s="1313">
        <v>4</v>
      </c>
      <c r="J49" s="1314">
        <v>60</v>
      </c>
      <c r="K49" s="1315">
        <f t="shared" si="5"/>
        <v>240</v>
      </c>
      <c r="L49" s="1314">
        <v>12</v>
      </c>
      <c r="M49" s="1314">
        <f t="shared" si="6"/>
        <v>720</v>
      </c>
      <c r="N49" s="1313">
        <v>12</v>
      </c>
      <c r="O49" s="1314">
        <f t="shared" si="7"/>
        <v>720</v>
      </c>
      <c r="P49" s="1313">
        <v>8</v>
      </c>
      <c r="Q49" s="1314">
        <f t="shared" si="8"/>
        <v>480</v>
      </c>
      <c r="R49" s="1316">
        <f t="shared" si="9"/>
        <v>2160</v>
      </c>
      <c r="S49" s="1314"/>
      <c r="T49" s="1317">
        <f t="shared" si="10"/>
        <v>2160</v>
      </c>
    </row>
    <row r="50" spans="1:20" ht="15.75" customHeight="1" thickBot="1">
      <c r="A50" s="764"/>
      <c r="B50" s="764"/>
      <c r="C50" s="764"/>
      <c r="D50" s="764"/>
      <c r="E50" s="1340" t="s">
        <v>99</v>
      </c>
      <c r="F50" s="764"/>
      <c r="G50" s="785"/>
      <c r="H50" s="764"/>
      <c r="I50" s="1341"/>
      <c r="J50" s="1342"/>
      <c r="K50" s="1343">
        <f>SUM(K39:K49)</f>
        <v>10389.882352941177</v>
      </c>
      <c r="L50" s="1344"/>
      <c r="M50" s="1343">
        <f>SUM(M39:M49)</f>
        <v>5669.6470588235297</v>
      </c>
      <c r="N50" s="1345"/>
      <c r="O50" s="1343">
        <f>SUM(O39:O49)</f>
        <v>5669.6470588235297</v>
      </c>
      <c r="P50" s="1345"/>
      <c r="Q50" s="1343">
        <f>SUM(Q39:Q49)</f>
        <v>2789.8235294117649</v>
      </c>
      <c r="R50" s="1343">
        <f>SUM(R39:R49)</f>
        <v>24519</v>
      </c>
      <c r="S50" s="1344">
        <f>SUM(S39:S39)</f>
        <v>0</v>
      </c>
      <c r="T50" s="1343">
        <f>SUM(T39:T49)</f>
        <v>24519</v>
      </c>
    </row>
    <row r="51" spans="1:20" ht="15.75" customHeight="1">
      <c r="A51" s="792"/>
      <c r="B51" s="792"/>
      <c r="C51" s="792"/>
      <c r="D51" s="792"/>
      <c r="E51" s="1346" t="s">
        <v>100</v>
      </c>
      <c r="F51" s="792"/>
      <c r="G51" s="792"/>
      <c r="H51" s="792"/>
      <c r="I51" s="1347"/>
      <c r="J51" s="1348"/>
      <c r="K51" s="1349"/>
      <c r="L51" s="1348"/>
      <c r="M51" s="1348"/>
      <c r="N51" s="1347"/>
      <c r="O51" s="1348"/>
      <c r="P51" s="1347"/>
      <c r="Q51" s="1348"/>
      <c r="R51" s="1350"/>
      <c r="S51" s="1348"/>
      <c r="T51" s="1351"/>
    </row>
    <row r="52" spans="1:20" ht="15.75" customHeight="1">
      <c r="A52" s="782"/>
      <c r="B52" s="782"/>
      <c r="C52" s="782"/>
      <c r="D52" s="782"/>
      <c r="E52" s="1311"/>
      <c r="F52" s="713"/>
      <c r="G52" s="734"/>
      <c r="H52" s="782"/>
      <c r="I52" s="1313"/>
      <c r="J52" s="1314"/>
      <c r="K52" s="1315"/>
      <c r="L52" s="1314"/>
      <c r="M52" s="1314"/>
      <c r="N52" s="1313"/>
      <c r="O52" s="1314"/>
      <c r="P52" s="1313"/>
      <c r="Q52" s="1314"/>
      <c r="R52" s="1316"/>
      <c r="S52" s="1314"/>
      <c r="T52" s="1317"/>
    </row>
    <row r="53" spans="1:20" ht="15.75" customHeight="1" thickBot="1">
      <c r="A53" s="764"/>
      <c r="B53" s="764"/>
      <c r="C53" s="764"/>
      <c r="D53" s="764"/>
      <c r="E53" s="1340" t="s">
        <v>113</v>
      </c>
      <c r="F53" s="764"/>
      <c r="G53" s="785"/>
      <c r="H53" s="764"/>
      <c r="I53" s="1341"/>
      <c r="J53" s="1342"/>
      <c r="K53" s="1343">
        <f>SUM(K52:K52)</f>
        <v>0</v>
      </c>
      <c r="L53" s="1344"/>
      <c r="M53" s="1344">
        <f>SUM(M52:M52)</f>
        <v>0</v>
      </c>
      <c r="N53" s="1345"/>
      <c r="O53" s="1344">
        <f>SUM(O52:O52)</f>
        <v>0</v>
      </c>
      <c r="P53" s="1345"/>
      <c r="Q53" s="1344">
        <f>SUM(Q52:Q52)</f>
        <v>0</v>
      </c>
      <c r="R53" s="1352">
        <f>SUM(R52:R52)</f>
        <v>0</v>
      </c>
      <c r="S53" s="1352">
        <f>SUM(S52:S52)</f>
        <v>0</v>
      </c>
      <c r="T53" s="1353">
        <f>SUM(T52:T52)</f>
        <v>0</v>
      </c>
    </row>
    <row r="54" spans="1:20" ht="15.75" customHeight="1">
      <c r="A54" s="792"/>
      <c r="B54" s="792"/>
      <c r="C54" s="792"/>
      <c r="D54" s="792"/>
      <c r="E54" s="1346" t="s">
        <v>745</v>
      </c>
      <c r="F54" s="792"/>
      <c r="G54" s="792"/>
      <c r="H54" s="792"/>
      <c r="I54" s="1347"/>
      <c r="J54" s="1348"/>
      <c r="K54" s="1349"/>
      <c r="L54" s="1348"/>
      <c r="M54" s="1348"/>
      <c r="N54" s="1347"/>
      <c r="O54" s="1348"/>
      <c r="P54" s="1347"/>
      <c r="Q54" s="1348"/>
      <c r="R54" s="1350"/>
      <c r="S54" s="1348"/>
      <c r="T54" s="1351"/>
    </row>
    <row r="55" spans="1:20" ht="15.75" customHeight="1">
      <c r="A55" s="798"/>
      <c r="B55" s="798"/>
      <c r="C55" s="798"/>
      <c r="D55" s="798"/>
      <c r="E55" s="1354" t="s">
        <v>115</v>
      </c>
      <c r="F55" s="798"/>
      <c r="G55" s="798"/>
      <c r="H55" s="798"/>
      <c r="I55" s="1322"/>
      <c r="J55" s="1323"/>
      <c r="K55" s="1324"/>
      <c r="L55" s="1087"/>
      <c r="M55" s="1087"/>
      <c r="N55" s="1325"/>
      <c r="O55" s="1087"/>
      <c r="P55" s="1325"/>
      <c r="Q55" s="1087"/>
      <c r="R55" s="1326"/>
      <c r="S55" s="1087"/>
      <c r="T55" s="1327"/>
    </row>
    <row r="56" spans="1:20" ht="15.75" customHeight="1">
      <c r="A56" s="1312" t="s">
        <v>110</v>
      </c>
      <c r="B56" s="1312">
        <v>89050</v>
      </c>
      <c r="C56" s="1312" t="s">
        <v>1176</v>
      </c>
      <c r="D56" s="782" t="s">
        <v>1201</v>
      </c>
      <c r="E56" s="1355" t="s">
        <v>746</v>
      </c>
      <c r="F56" s="713" t="s">
        <v>747</v>
      </c>
      <c r="G56" s="734"/>
      <c r="H56" s="782" t="s">
        <v>28</v>
      </c>
      <c r="I56" s="1313">
        <v>4</v>
      </c>
      <c r="J56" s="1314">
        <v>600</v>
      </c>
      <c r="K56" s="1315">
        <f>I56*J56</f>
        <v>2400</v>
      </c>
      <c r="L56" s="1314">
        <v>12</v>
      </c>
      <c r="M56" s="1314">
        <f>+J56*L56</f>
        <v>7200</v>
      </c>
      <c r="N56" s="1313">
        <v>12</v>
      </c>
      <c r="O56" s="1314">
        <f>+J56*N56</f>
        <v>7200</v>
      </c>
      <c r="P56" s="1313">
        <v>8</v>
      </c>
      <c r="Q56" s="1314">
        <f>+J56*P56</f>
        <v>4800</v>
      </c>
      <c r="R56" s="1316">
        <f>SUM(K56+M56+O56+Q56)</f>
        <v>21600</v>
      </c>
      <c r="S56" s="1314">
        <v>0</v>
      </c>
      <c r="T56" s="1317">
        <f>SUM(R56:S56)</f>
        <v>21600</v>
      </c>
    </row>
    <row r="57" spans="1:20" ht="15.75" customHeight="1">
      <c r="A57" s="877"/>
      <c r="B57" s="877"/>
      <c r="C57" s="877"/>
      <c r="D57" s="877"/>
      <c r="E57" s="1356" t="s">
        <v>748</v>
      </c>
      <c r="F57" s="1357"/>
      <c r="G57" s="876"/>
      <c r="H57" s="877"/>
      <c r="I57" s="1313"/>
      <c r="J57" s="1314"/>
      <c r="K57" s="1315"/>
      <c r="L57" s="1314"/>
      <c r="M57" s="1314"/>
      <c r="N57" s="1313"/>
      <c r="O57" s="1314"/>
      <c r="P57" s="1313"/>
      <c r="Q57" s="1087"/>
      <c r="R57" s="1326"/>
      <c r="S57" s="1314"/>
      <c r="T57" s="1317"/>
    </row>
    <row r="58" spans="1:20" ht="42" hidden="1" customHeight="1">
      <c r="A58" s="712"/>
      <c r="B58" s="712"/>
      <c r="C58" s="712"/>
      <c r="D58" s="712"/>
      <c r="E58" s="1311" t="s">
        <v>1177</v>
      </c>
      <c r="F58" s="712" t="s">
        <v>144</v>
      </c>
      <c r="G58" s="712"/>
      <c r="H58" s="712"/>
      <c r="I58" s="1313"/>
      <c r="J58" s="1314"/>
      <c r="K58" s="1315">
        <f>'[1]INDES Sub Activities Detail'!J20+'[1]INDES Sub Activities Detail'!J34</f>
        <v>0</v>
      </c>
      <c r="L58" s="1314"/>
      <c r="M58" s="1315">
        <f>'[1]INDES Sub Activities Detail'!M20+'[1]INDES Sub Activities Detail'!M34</f>
        <v>0</v>
      </c>
      <c r="N58" s="1313"/>
      <c r="O58" s="1315">
        <f>'[1]INDES Sub Activities Detail'!P20+'[1]INDES Sub Activities Detail'!P34</f>
        <v>0</v>
      </c>
      <c r="P58" s="1313"/>
      <c r="Q58" s="1315">
        <f>+'[1]INDES Sub Activities Detail'!S20+'[1]INDES Sub Activities Detail'!S34</f>
        <v>0</v>
      </c>
      <c r="R58" s="1316">
        <f>SUM(K58+M58+O58+Q58)</f>
        <v>0</v>
      </c>
      <c r="S58" s="1314"/>
      <c r="T58" s="1317"/>
    </row>
    <row r="59" spans="1:20" ht="48" hidden="1" customHeight="1">
      <c r="A59" s="712"/>
      <c r="B59" s="712"/>
      <c r="C59" s="712"/>
      <c r="D59" s="712"/>
      <c r="E59" s="1311" t="s">
        <v>147</v>
      </c>
      <c r="F59" s="712" t="s">
        <v>144</v>
      </c>
      <c r="G59" s="712"/>
      <c r="H59" s="712"/>
      <c r="I59" s="1313"/>
      <c r="J59" s="1314"/>
      <c r="K59" s="1315">
        <f>'[1]INDES Sub Activities Detail'!J50+'[1]INDES Sub Activities Detail'!J64</f>
        <v>0</v>
      </c>
      <c r="L59" s="1314"/>
      <c r="M59" s="1314">
        <f>+'[1]INDES Sub Activities Detail'!M50+'[1]INDES Sub Activities Detail'!M64</f>
        <v>0</v>
      </c>
      <c r="N59" s="1313"/>
      <c r="O59" s="1315">
        <f>'[1]INDES Sub Activities Detail'!P50+'[1]INDES Sub Activities Detail'!P64</f>
        <v>0</v>
      </c>
      <c r="P59" s="1313"/>
      <c r="Q59" s="1315">
        <f>'[1]INDES Sub Activities Detail'!S50+'[1]INDES Sub Activities Detail'!S64</f>
        <v>0</v>
      </c>
      <c r="R59" s="1316">
        <f>SUM(K59+M59+O59+Q59)</f>
        <v>0</v>
      </c>
      <c r="S59" s="1314"/>
      <c r="T59" s="1317"/>
    </row>
    <row r="60" spans="1:20" ht="42" customHeight="1">
      <c r="A60" s="1312" t="s">
        <v>110</v>
      </c>
      <c r="B60" s="1312">
        <v>89050</v>
      </c>
      <c r="C60" s="1312" t="s">
        <v>1176</v>
      </c>
      <c r="D60" s="712" t="s">
        <v>1202</v>
      </c>
      <c r="E60" s="1311" t="s">
        <v>148</v>
      </c>
      <c r="F60" s="712" t="s">
        <v>144</v>
      </c>
      <c r="G60" s="712"/>
      <c r="H60" s="712"/>
      <c r="I60" s="1313"/>
      <c r="J60" s="1314"/>
      <c r="K60" s="1315">
        <f>+'[1]INDES Sub Activities Detail'!J79+'[1]INDES Sub Activities Detail'!J104</f>
        <v>0</v>
      </c>
      <c r="L60" s="1314"/>
      <c r="M60" s="1315">
        <f>+'[1]INDES Sub Activities Detail'!M79+'[1]INDES Sub Activities Detail'!M104</f>
        <v>4944.5760000000009</v>
      </c>
      <c r="N60" s="1313"/>
      <c r="O60" s="1315">
        <f>'[1]INDES Sub Activities Detail'!P79+'[1]INDES Sub Activities Detail'!P104</f>
        <v>0</v>
      </c>
      <c r="P60" s="1313"/>
      <c r="Q60" s="1315">
        <f>'[1]INDES Sub Activities Detail'!S79+'[1]INDES Sub Activities Detail'!S104</f>
        <v>0</v>
      </c>
      <c r="R60" s="1316">
        <f t="shared" ref="R60" si="11">SUM(K60+M60+O60+Q60)</f>
        <v>4944.5760000000009</v>
      </c>
      <c r="S60" s="1314"/>
      <c r="T60" s="1317">
        <f>SUM(R60:S60)</f>
        <v>4944.5760000000009</v>
      </c>
    </row>
    <row r="61" spans="1:20" ht="38.25" customHeight="1">
      <c r="A61" s="1312" t="s">
        <v>110</v>
      </c>
      <c r="B61" s="1312">
        <v>89050</v>
      </c>
      <c r="C61" s="1312" t="s">
        <v>1176</v>
      </c>
      <c r="D61" s="712" t="s">
        <v>1203</v>
      </c>
      <c r="E61" s="1311" t="s">
        <v>149</v>
      </c>
      <c r="F61" s="712" t="s">
        <v>146</v>
      </c>
      <c r="G61" s="712"/>
      <c r="H61" s="712"/>
      <c r="I61" s="1313"/>
      <c r="J61" s="1314"/>
      <c r="K61" s="1315">
        <f>'[1]INDES Sub Activities Detail'!J118+'[1]INDES Sub Activities Detail'!J133</f>
        <v>450</v>
      </c>
      <c r="L61" s="1314"/>
      <c r="M61" s="1315">
        <f>'[1]INDES Sub Activities Detail'!M118+'[1]INDES Sub Activities Detail'!M133</f>
        <v>2808</v>
      </c>
      <c r="N61" s="1313"/>
      <c r="O61" s="1315">
        <f>'[1]INDES Sub Activities Detail'!P118+'[1]INDES Sub Activities Detail'!P133</f>
        <v>2920.32</v>
      </c>
      <c r="P61" s="1313"/>
      <c r="Q61" s="1315">
        <f>'[1]INDES Sub Activities Detail'!S118+'[1]INDES Sub Activities Detail'!S133</f>
        <v>1518.5664000000002</v>
      </c>
      <c r="R61" s="1316">
        <f>SUM(K61+M61+O61+Q61)</f>
        <v>7696.8863999999994</v>
      </c>
      <c r="S61" s="1314"/>
      <c r="T61" s="1317">
        <f>SUM(R61:S61)</f>
        <v>7696.8863999999994</v>
      </c>
    </row>
    <row r="62" spans="1:20" ht="42.75" hidden="1" customHeight="1">
      <c r="A62" s="712"/>
      <c r="B62" s="712"/>
      <c r="C62" s="712"/>
      <c r="D62" s="712"/>
      <c r="E62" s="1311" t="s">
        <v>150</v>
      </c>
      <c r="F62" s="712" t="s">
        <v>144</v>
      </c>
      <c r="G62" s="712"/>
      <c r="H62" s="712"/>
      <c r="I62" s="1313"/>
      <c r="J62" s="1314"/>
      <c r="K62" s="1315">
        <f>'[1]INDES Sub Activities Detail'!J148+'[1]INDES Sub Activities Detail'!J164</f>
        <v>0</v>
      </c>
      <c r="L62" s="1314"/>
      <c r="M62" s="1315">
        <f>'[1]INDES Sub Activities Detail'!M148+'[1]INDES Sub Activities Detail'!M164</f>
        <v>0</v>
      </c>
      <c r="N62" s="1313"/>
      <c r="O62" s="1315">
        <f>'[1]INDES Sub Activities Detail'!P148+'[1]INDES Sub Activities Detail'!P164</f>
        <v>0</v>
      </c>
      <c r="P62" s="1313"/>
      <c r="Q62" s="1315">
        <f>'[1]INDES Sub Activities Detail'!S148+'[1]INDES Sub Activities Detail'!S164</f>
        <v>0</v>
      </c>
      <c r="R62" s="1316">
        <f t="shared" ref="R62:R64" si="12">SUM(K62+M62+O62+Q62)</f>
        <v>0</v>
      </c>
      <c r="S62" s="1314"/>
      <c r="T62" s="1317"/>
    </row>
    <row r="63" spans="1:20" s="1218" customFormat="1" ht="71.25" customHeight="1">
      <c r="A63" s="1312" t="s">
        <v>110</v>
      </c>
      <c r="B63" s="1312">
        <v>89050</v>
      </c>
      <c r="C63" s="1312" t="s">
        <v>1176</v>
      </c>
      <c r="D63" s="712" t="s">
        <v>1204</v>
      </c>
      <c r="E63" s="1311" t="s">
        <v>151</v>
      </c>
      <c r="F63" s="712" t="s">
        <v>146</v>
      </c>
      <c r="G63" s="712"/>
      <c r="H63" s="712"/>
      <c r="I63" s="1313"/>
      <c r="J63" s="1314"/>
      <c r="K63" s="1315">
        <f>'[1]INDES Sub Activities Detail'!J178+'[1]INDES Sub Activities Detail'!J194</f>
        <v>315</v>
      </c>
      <c r="L63" s="1314"/>
      <c r="M63" s="1315">
        <f>+'[1]INDES Sub Activities Detail'!M178+'[1]INDES Sub Activities Detail'!M194</f>
        <v>2948.4</v>
      </c>
      <c r="N63" s="1313"/>
      <c r="O63" s="1315">
        <f>'[1]INDES Sub Activities Detail'!P178+'[1]INDES Sub Activities Detail'!P194</f>
        <v>3066.3360000000007</v>
      </c>
      <c r="P63" s="1313"/>
      <c r="Q63" s="1315">
        <f>'[1]INDES Sub Activities Detail'!S178+'[1]INDES Sub Activities Detail'!S194</f>
        <v>1771.6608000000001</v>
      </c>
      <c r="R63" s="1316">
        <f t="shared" si="12"/>
        <v>8101.3968000000004</v>
      </c>
      <c r="S63" s="1314"/>
      <c r="T63" s="1317">
        <f>SUM(R63:S63)</f>
        <v>8101.3968000000004</v>
      </c>
    </row>
    <row r="64" spans="1:20" s="1219" customFormat="1" ht="33" hidden="1" customHeight="1">
      <c r="A64" s="712"/>
      <c r="B64" s="712"/>
      <c r="C64" s="712"/>
      <c r="D64" s="712"/>
      <c r="E64" s="1311" t="s">
        <v>152</v>
      </c>
      <c r="F64" s="712" t="s">
        <v>146</v>
      </c>
      <c r="G64" s="712"/>
      <c r="H64" s="712"/>
      <c r="I64" s="1313"/>
      <c r="J64" s="1314"/>
      <c r="K64" s="1315">
        <f>'[1]INDES Sub Activities Detail'!J208+'[1]INDES Sub Activities Detail'!J222</f>
        <v>0</v>
      </c>
      <c r="L64" s="1314"/>
      <c r="M64" s="1315">
        <f>'[1]INDES Sub Activities Detail'!M208+'[1]INDES Sub Activities Detail'!M222</f>
        <v>0</v>
      </c>
      <c r="N64" s="1313"/>
      <c r="O64" s="1315">
        <f>'[1]INDES Sub Activities Detail'!P208+'[1]INDES Sub Activities Detail'!P222</f>
        <v>0</v>
      </c>
      <c r="P64" s="1313"/>
      <c r="Q64" s="1315">
        <f>'[1]INDES Sub Activities Detail'!S208+'[1]INDES Sub Activities Detail'!S222</f>
        <v>0</v>
      </c>
      <c r="R64" s="1316">
        <f t="shared" si="12"/>
        <v>0</v>
      </c>
      <c r="S64" s="1314"/>
      <c r="T64" s="1317">
        <f>SUM(R64:S64)</f>
        <v>0</v>
      </c>
    </row>
    <row r="65" spans="1:20" s="1219" customFormat="1" ht="15.75" hidden="1" customHeight="1">
      <c r="A65" s="712"/>
      <c r="B65" s="712"/>
      <c r="C65" s="712"/>
      <c r="D65" s="712"/>
      <c r="E65" s="1220"/>
      <c r="F65" s="1221"/>
      <c r="G65" s="712"/>
      <c r="H65" s="712"/>
      <c r="I65" s="1313"/>
      <c r="J65" s="1314"/>
      <c r="K65" s="1315"/>
      <c r="L65" s="1314"/>
      <c r="M65" s="1314"/>
      <c r="N65" s="1313"/>
      <c r="O65" s="1314"/>
      <c r="P65" s="1313"/>
      <c r="Q65" s="1314"/>
      <c r="R65" s="1316"/>
      <c r="S65" s="1314"/>
      <c r="T65" s="1317"/>
    </row>
    <row r="66" spans="1:20" s="1219" customFormat="1" ht="15.75" customHeight="1">
      <c r="A66" s="875"/>
      <c r="B66" s="875"/>
      <c r="C66" s="875"/>
      <c r="D66" s="875"/>
      <c r="E66" s="1356" t="s">
        <v>751</v>
      </c>
      <c r="F66" s="875"/>
      <c r="G66" s="875"/>
      <c r="H66" s="875"/>
      <c r="I66" s="1313"/>
      <c r="J66" s="1314"/>
      <c r="K66" s="1315"/>
      <c r="L66" s="1314"/>
      <c r="M66" s="1314"/>
      <c r="N66" s="1313"/>
      <c r="O66" s="1314"/>
      <c r="P66" s="1313"/>
      <c r="Q66" s="1314"/>
      <c r="R66" s="1316"/>
      <c r="S66" s="1314"/>
      <c r="T66" s="1317"/>
    </row>
    <row r="67" spans="1:20" s="1218" customFormat="1" ht="38.25" hidden="1" customHeight="1">
      <c r="A67" s="712"/>
      <c r="B67" s="712"/>
      <c r="C67" s="712"/>
      <c r="D67" s="712"/>
      <c r="E67" s="1355" t="s">
        <v>155</v>
      </c>
      <c r="F67" s="712" t="s">
        <v>156</v>
      </c>
      <c r="G67" s="712"/>
      <c r="H67" s="712"/>
      <c r="I67" s="1313"/>
      <c r="J67" s="1314"/>
      <c r="K67" s="1315">
        <f>+'[1]INDES Sub Activities Detail'!J233+'[1]INDES Sub Activities Detail'!J248</f>
        <v>0</v>
      </c>
      <c r="L67" s="1314"/>
      <c r="M67" s="1315">
        <f>+'[1]INDES Sub Activities Detail'!M233+'[1]INDES Sub Activities Detail'!M248</f>
        <v>0</v>
      </c>
      <c r="N67" s="1313"/>
      <c r="O67" s="1315">
        <f>+'[1]INDES Sub Activities Detail'!P233+'[1]INDES Sub Activities Detail'!P248</f>
        <v>0</v>
      </c>
      <c r="P67" s="1313"/>
      <c r="Q67" s="1315">
        <f>+'[1]INDES Sub Activities Detail'!S233+'[1]INDES Sub Activities Detail'!S248</f>
        <v>0</v>
      </c>
      <c r="R67" s="1316">
        <f>SUM(K67+M67+O67+Q67)</f>
        <v>0</v>
      </c>
      <c r="S67" s="1314"/>
      <c r="T67" s="1317">
        <f t="shared" ref="T67:T81" si="13">SUM(R67:S67)</f>
        <v>0</v>
      </c>
    </row>
    <row r="68" spans="1:20" s="1218" customFormat="1" ht="45.9">
      <c r="A68" s="1312" t="s">
        <v>110</v>
      </c>
      <c r="B68" s="1312">
        <v>89050</v>
      </c>
      <c r="C68" s="1312" t="s">
        <v>1176</v>
      </c>
      <c r="D68" s="712" t="s">
        <v>1205</v>
      </c>
      <c r="E68" s="1311" t="s">
        <v>157</v>
      </c>
      <c r="F68" s="1035" t="s">
        <v>156</v>
      </c>
      <c r="G68" s="712"/>
      <c r="H68" s="712"/>
      <c r="I68" s="1313"/>
      <c r="J68" s="1314"/>
      <c r="K68" s="1315">
        <f>+'[1]INDES Sub Activities Detail'!J262+'[1]INDES Sub Activities Detail'!J277</f>
        <v>1620</v>
      </c>
      <c r="L68" s="1314"/>
      <c r="M68" s="1315">
        <f>+'[1]INDES Sub Activities Detail'!M262+'[1]INDES Sub Activities Detail'!M277</f>
        <v>9620</v>
      </c>
      <c r="N68" s="1313"/>
      <c r="O68" s="1315">
        <f>+'[1]INDES Sub Activities Detail'!P262+'[1]INDES Sub Activities Detail'!P277</f>
        <v>11032.320000000002</v>
      </c>
      <c r="P68" s="1313"/>
      <c r="Q68" s="1315">
        <f>+'[1]INDES Sub Activities Detail'!S262+'[1]INDES Sub Activities Detail'!S277</f>
        <v>7835.8026240000017</v>
      </c>
      <c r="R68" s="1316">
        <f>SUM(K68+M68+O68+Q68)</f>
        <v>30108.122624000003</v>
      </c>
      <c r="S68" s="1314"/>
      <c r="T68" s="1317">
        <f t="shared" si="13"/>
        <v>30108.122624000003</v>
      </c>
    </row>
    <row r="69" spans="1:20" ht="30.6">
      <c r="A69" s="1312" t="s">
        <v>110</v>
      </c>
      <c r="B69" s="1312">
        <v>89050</v>
      </c>
      <c r="C69" s="1312" t="s">
        <v>1176</v>
      </c>
      <c r="D69" s="712" t="s">
        <v>1206</v>
      </c>
      <c r="E69" s="755" t="s">
        <v>158</v>
      </c>
      <c r="F69" s="712" t="s">
        <v>156</v>
      </c>
      <c r="G69" s="713"/>
      <c r="H69" s="713"/>
      <c r="I69" s="1313"/>
      <c r="J69" s="1314"/>
      <c r="K69" s="1315">
        <f>+'[1]INDES Sub Activities Detail'!J292+'[1]INDES Sub Activities Detail'!J306</f>
        <v>0</v>
      </c>
      <c r="L69" s="1314"/>
      <c r="M69" s="1315">
        <f>+'[1]INDES Sub Activities Detail'!M292+'[1]INDES Sub Activities Detail'!M306</f>
        <v>5460</v>
      </c>
      <c r="N69" s="1313"/>
      <c r="O69" s="1315">
        <f>+'[1]INDES Sub Activities Detail'!P292+'[1]INDES Sub Activities Detail'!P306</f>
        <v>5678.4000000000005</v>
      </c>
      <c r="P69" s="1313"/>
      <c r="Q69" s="1315">
        <f>+'[1]INDES Sub Activities Detail'!S292+'[1]INDES Sub Activities Detail'!S306</f>
        <v>5061.8880000000008</v>
      </c>
      <c r="R69" s="1316">
        <f t="shared" ref="R69:R74" si="14">SUM(K69+M69+O69+Q69)</f>
        <v>16200.288000000002</v>
      </c>
      <c r="S69" s="1314"/>
      <c r="T69" s="1317">
        <f t="shared" si="13"/>
        <v>16200.288000000002</v>
      </c>
    </row>
    <row r="70" spans="1:20" s="1218" customFormat="1" ht="30.6">
      <c r="A70" s="1312" t="s">
        <v>110</v>
      </c>
      <c r="B70" s="1312">
        <v>89050</v>
      </c>
      <c r="C70" s="1312" t="s">
        <v>1176</v>
      </c>
      <c r="D70" s="712" t="s">
        <v>1207</v>
      </c>
      <c r="E70" s="1355" t="s">
        <v>159</v>
      </c>
      <c r="F70" s="712" t="s">
        <v>156</v>
      </c>
      <c r="G70" s="712"/>
      <c r="H70" s="712"/>
      <c r="I70" s="1313"/>
      <c r="J70" s="1314"/>
      <c r="K70" s="1315">
        <f>+'[1]INDES Sub Activities Detail'!J319+'[1]INDES Sub Activities Detail'!J333</f>
        <v>0</v>
      </c>
      <c r="L70" s="1314"/>
      <c r="M70" s="1315">
        <f>+'[1]INDES Sub Activities Detail'!M319+'[1]INDES Sub Activities Detail'!M333</f>
        <v>4680</v>
      </c>
      <c r="N70" s="1313"/>
      <c r="O70" s="1315">
        <f>+'[1]INDES Sub Activities Detail'!P319+'[1]INDES Sub Activities Detail'!P333</f>
        <v>4867.2000000000007</v>
      </c>
      <c r="P70" s="1313"/>
      <c r="Q70" s="1315">
        <f>+'[1]INDES Sub Activities Detail'!S319+'[1]INDES Sub Activities Detail'!S333</f>
        <v>3374.5920000000001</v>
      </c>
      <c r="R70" s="1316">
        <f t="shared" si="14"/>
        <v>12921.792000000001</v>
      </c>
      <c r="S70" s="1314"/>
      <c r="T70" s="1317">
        <f t="shared" si="13"/>
        <v>12921.792000000001</v>
      </c>
    </row>
    <row r="71" spans="1:20" ht="54" customHeight="1">
      <c r="A71" s="1312" t="s">
        <v>110</v>
      </c>
      <c r="B71" s="1312">
        <v>89050</v>
      </c>
      <c r="C71" s="1312" t="s">
        <v>1176</v>
      </c>
      <c r="D71" s="712" t="s">
        <v>1208</v>
      </c>
      <c r="E71" s="1358" t="s">
        <v>160</v>
      </c>
      <c r="F71" s="712" t="s">
        <v>156</v>
      </c>
      <c r="G71" s="713"/>
      <c r="H71" s="713"/>
      <c r="I71" s="1313"/>
      <c r="J71" s="1314"/>
      <c r="K71" s="1315">
        <f>+'[1]INDES Sub Activities Detail'!J345+'[1]INDES Sub Activities Detail'!J359</f>
        <v>0</v>
      </c>
      <c r="L71" s="1314"/>
      <c r="M71" s="1315">
        <f>+'[1]INDES Sub Activities Detail'!M345+'[1]INDES Sub Activities Detail'!M359</f>
        <v>5616</v>
      </c>
      <c r="N71" s="1313"/>
      <c r="O71" s="1315">
        <f>+'[1]INDES Sub Activities Detail'!P345+'[1]INDES Sub Activities Detail'!P359</f>
        <v>5840.64</v>
      </c>
      <c r="P71" s="1313"/>
      <c r="Q71" s="1315">
        <f>+'[1]INDES Sub Activities Detail'!S345+'[1]INDES Sub Activities Detail'!S359</f>
        <v>4049.5104000000006</v>
      </c>
      <c r="R71" s="1316">
        <f t="shared" si="14"/>
        <v>15506.1504</v>
      </c>
      <c r="S71" s="1314"/>
      <c r="T71" s="1317">
        <f t="shared" si="13"/>
        <v>15506.1504</v>
      </c>
    </row>
    <row r="72" spans="1:20" ht="47.25" customHeight="1">
      <c r="A72" s="1312" t="s">
        <v>110</v>
      </c>
      <c r="B72" s="1312">
        <v>89050</v>
      </c>
      <c r="C72" s="1312" t="s">
        <v>1176</v>
      </c>
      <c r="D72" s="712" t="s">
        <v>1209</v>
      </c>
      <c r="E72" s="1358" t="s">
        <v>161</v>
      </c>
      <c r="F72" s="712" t="s">
        <v>154</v>
      </c>
      <c r="G72" s="713"/>
      <c r="H72" s="713"/>
      <c r="I72" s="1313"/>
      <c r="J72" s="1314"/>
      <c r="K72" s="1315"/>
      <c r="L72" s="751"/>
      <c r="M72" s="752">
        <f>+'[1]INDES Sub Activities Detail'!M372+'[1]INDES Sub Activities Detail'!M386</f>
        <v>1872</v>
      </c>
      <c r="N72" s="750"/>
      <c r="O72" s="752">
        <f>+'[1]INDES Sub Activities Detail'!P372+'[1]INDES Sub Activities Detail'!P386</f>
        <v>1946.88</v>
      </c>
      <c r="P72" s="750"/>
      <c r="Q72" s="1061">
        <f>+'[1]INDES Sub Activities Detail'!S372</f>
        <v>2335.2176640000007</v>
      </c>
      <c r="R72" s="753">
        <f>K72+M72+O72+Q72</f>
        <v>6154.0976640000008</v>
      </c>
      <c r="S72" s="751"/>
      <c r="T72" s="754">
        <f>SUM(R72:S72)</f>
        <v>6154.0976640000008</v>
      </c>
    </row>
    <row r="73" spans="1:20" ht="60.75" customHeight="1">
      <c r="A73" s="1312" t="s">
        <v>110</v>
      </c>
      <c r="B73" s="1312">
        <v>89050</v>
      </c>
      <c r="C73" s="1312" t="s">
        <v>1176</v>
      </c>
      <c r="D73" s="712" t="s">
        <v>1210</v>
      </c>
      <c r="E73" s="1358" t="s">
        <v>162</v>
      </c>
      <c r="F73" s="712" t="s">
        <v>156</v>
      </c>
      <c r="G73" s="712"/>
      <c r="H73" s="712"/>
      <c r="I73" s="1313"/>
      <c r="J73" s="1314"/>
      <c r="K73" s="1315">
        <f>+'[1]INDES Sub Activities Detail'!J399+'[1]INDES Sub Activities Detail'!J414</f>
        <v>0</v>
      </c>
      <c r="L73" s="1314"/>
      <c r="M73" s="1315">
        <f>+'[1]INDES Sub Activities Detail'!M399+'[1]INDES Sub Activities Detail'!M414</f>
        <v>936</v>
      </c>
      <c r="N73" s="1313"/>
      <c r="O73" s="1315">
        <f>+'[1]INDES Sub Activities Detail'!P399+'[1]INDES Sub Activities Detail'!P414</f>
        <v>973.44</v>
      </c>
      <c r="P73" s="1313"/>
      <c r="Q73" s="1315">
        <f>+'[1]INDES Sub Activities Detail'!S399+'[1]INDES Sub Activities Detail'!S414</f>
        <v>506.18880000000007</v>
      </c>
      <c r="R73" s="1316">
        <f t="shared" si="14"/>
        <v>2415.6288</v>
      </c>
      <c r="S73" s="1314"/>
      <c r="T73" s="1317">
        <f t="shared" si="13"/>
        <v>2415.6288</v>
      </c>
    </row>
    <row r="74" spans="1:20" s="1218" customFormat="1" ht="74.25" hidden="1" customHeight="1">
      <c r="A74" s="712"/>
      <c r="B74" s="712"/>
      <c r="C74" s="712"/>
      <c r="D74" s="712"/>
      <c r="E74" s="1355" t="s">
        <v>163</v>
      </c>
      <c r="F74" s="712" t="s">
        <v>156</v>
      </c>
      <c r="G74" s="712"/>
      <c r="H74" s="712"/>
      <c r="I74" s="1313"/>
      <c r="J74" s="1314"/>
      <c r="K74" s="1315">
        <f>+'[1]INDES Sub Activities Detail'!J428+'[1]INDES Sub Activities Detail'!J442</f>
        <v>0</v>
      </c>
      <c r="L74" s="1314"/>
      <c r="M74" s="1315">
        <f>+'[1]INDES Sub Activities Detail'!M428+'[1]INDES Sub Activities Detail'!M442</f>
        <v>0</v>
      </c>
      <c r="N74" s="1313"/>
      <c r="O74" s="1315">
        <f>+'[1]INDES Sub Activities Detail'!P428+'[1]INDES Sub Activities Detail'!P442</f>
        <v>0</v>
      </c>
      <c r="P74" s="1313"/>
      <c r="Q74" s="1315">
        <f>+'[1]INDES Sub Activities Detail'!S428+'[1]INDES Sub Activities Detail'!S442</f>
        <v>0</v>
      </c>
      <c r="R74" s="1316">
        <f t="shared" si="14"/>
        <v>0</v>
      </c>
      <c r="S74" s="1314"/>
      <c r="T74" s="1317">
        <f t="shared" si="13"/>
        <v>0</v>
      </c>
    </row>
    <row r="75" spans="1:20" s="1218" customFormat="1" ht="33.75" customHeight="1">
      <c r="A75" s="869"/>
      <c r="B75" s="869"/>
      <c r="C75" s="869"/>
      <c r="D75" s="869"/>
      <c r="E75" s="1222" t="s">
        <v>753</v>
      </c>
      <c r="F75" s="869"/>
      <c r="G75" s="869"/>
      <c r="H75" s="869"/>
      <c r="I75" s="1313"/>
      <c r="J75" s="1314"/>
      <c r="K75" s="1315"/>
      <c r="L75" s="1314"/>
      <c r="M75" s="1314"/>
      <c r="N75" s="1313"/>
      <c r="O75" s="1314"/>
      <c r="P75" s="1313"/>
      <c r="Q75" s="1314"/>
      <c r="R75" s="1316"/>
      <c r="S75" s="1314"/>
      <c r="T75" s="1317">
        <f t="shared" si="13"/>
        <v>0</v>
      </c>
    </row>
    <row r="76" spans="1:20" s="1219" customFormat="1" ht="56.25" hidden="1" customHeight="1">
      <c r="A76" s="712"/>
      <c r="B76" s="712"/>
      <c r="C76" s="712"/>
      <c r="D76" s="712"/>
      <c r="E76" s="1355" t="s">
        <v>754</v>
      </c>
      <c r="F76" s="712" t="s">
        <v>167</v>
      </c>
      <c r="G76" s="712"/>
      <c r="H76" s="712"/>
      <c r="I76" s="1313"/>
      <c r="J76" s="1314"/>
      <c r="K76" s="1315">
        <f>+'[1]INDES Sub Activities Detail'!J456+'[1]INDES Sub Activities Detail'!J468</f>
        <v>0</v>
      </c>
      <c r="L76" s="1314"/>
      <c r="M76" s="1315">
        <f>+'[1]INDES Sub Activities Detail'!M456+'[1]INDES Sub Activities Detail'!M468</f>
        <v>0</v>
      </c>
      <c r="N76" s="1313"/>
      <c r="O76" s="1315">
        <f>+'[1]INDES Sub Activities Detail'!P456+'[1]INDES Sub Activities Detail'!P468</f>
        <v>0</v>
      </c>
      <c r="P76" s="1313"/>
      <c r="Q76" s="1315">
        <f>+'[1]INDES Sub Activities Detail'!S456+'[1]INDES Sub Activities Detail'!S468</f>
        <v>0</v>
      </c>
      <c r="R76" s="1316">
        <f>SUM(K76+M76+O76+Q76)</f>
        <v>0</v>
      </c>
      <c r="S76" s="1314"/>
      <c r="T76" s="1317">
        <f t="shared" si="13"/>
        <v>0</v>
      </c>
    </row>
    <row r="77" spans="1:20" s="1218" customFormat="1" ht="45.75" hidden="1" customHeight="1">
      <c r="A77" s="712"/>
      <c r="B77" s="712"/>
      <c r="C77" s="712"/>
      <c r="D77" s="712"/>
      <c r="E77" s="1355" t="s">
        <v>168</v>
      </c>
      <c r="F77" s="712" t="s">
        <v>167</v>
      </c>
      <c r="G77" s="712"/>
      <c r="H77" s="712"/>
      <c r="I77" s="1313"/>
      <c r="J77" s="1314"/>
      <c r="K77" s="1315">
        <f>+'[1]INDES Sub Activities Detail'!J482+'[1]INDES Sub Activities Detail'!J497</f>
        <v>0</v>
      </c>
      <c r="L77" s="1314"/>
      <c r="M77" s="1315">
        <f>+'[1]INDES Sub Activities Detail'!M482+'[1]INDES Sub Activities Detail'!M497</f>
        <v>0</v>
      </c>
      <c r="N77" s="1313"/>
      <c r="O77" s="1315">
        <f>+'[1]INDES Sub Activities Detail'!P482+'[1]INDES Sub Activities Detail'!P497</f>
        <v>0</v>
      </c>
      <c r="P77" s="1313"/>
      <c r="Q77" s="1315">
        <f>+'[1]INDES Sub Activities Detail'!S482+'[1]INDES Sub Activities Detail'!S497</f>
        <v>0</v>
      </c>
      <c r="R77" s="1316">
        <f t="shared" ref="R77:R81" si="15">SUM(K77+M77+O77+Q77)</f>
        <v>0</v>
      </c>
      <c r="S77" s="1314"/>
      <c r="T77" s="1317">
        <f t="shared" si="13"/>
        <v>0</v>
      </c>
    </row>
    <row r="78" spans="1:20" ht="45.75" customHeight="1">
      <c r="A78" s="1312" t="s">
        <v>110</v>
      </c>
      <c r="B78" s="1312">
        <v>89050</v>
      </c>
      <c r="C78" s="1312" t="s">
        <v>1176</v>
      </c>
      <c r="D78" s="712" t="s">
        <v>1211</v>
      </c>
      <c r="E78" s="1358" t="s">
        <v>755</v>
      </c>
      <c r="F78" s="712" t="s">
        <v>167</v>
      </c>
      <c r="G78" s="713"/>
      <c r="H78" s="713"/>
      <c r="I78" s="1313"/>
      <c r="J78" s="1314"/>
      <c r="K78" s="1315">
        <f>+'[1]INDES Sub Activities Detail'!J512+'[1]INDES Sub Activities Detail'!J525</f>
        <v>0</v>
      </c>
      <c r="L78" s="1314"/>
      <c r="M78" s="1315">
        <f>+'[1]INDES Sub Activities Detail'!M512+'[1]INDES Sub Activities Detail'!M525</f>
        <v>1248</v>
      </c>
      <c r="N78" s="1313"/>
      <c r="O78" s="1315">
        <f>+'[1]INDES Sub Activities Detail'!P512+'[1]INDES Sub Activities Detail'!P525</f>
        <v>1297.92</v>
      </c>
      <c r="P78" s="1313"/>
      <c r="Q78" s="1315">
        <f>+'[1]INDES Sub Activities Detail'!S512+'[1]INDES Sub Activities Detail'!S525</f>
        <v>0</v>
      </c>
      <c r="R78" s="1316">
        <f t="shared" si="15"/>
        <v>2545.92</v>
      </c>
      <c r="S78" s="1314"/>
      <c r="T78" s="1317">
        <f t="shared" si="13"/>
        <v>2545.92</v>
      </c>
    </row>
    <row r="79" spans="1:20" s="1218" customFormat="1" ht="53.25" hidden="1" customHeight="1">
      <c r="A79" s="712"/>
      <c r="B79" s="712"/>
      <c r="C79" s="712"/>
      <c r="D79" s="712"/>
      <c r="E79" s="1355" t="s">
        <v>756</v>
      </c>
      <c r="F79" s="712" t="s">
        <v>167</v>
      </c>
      <c r="G79" s="712"/>
      <c r="H79" s="712"/>
      <c r="I79" s="1313"/>
      <c r="J79" s="1314"/>
      <c r="K79" s="1315">
        <f>+'[1]INDES Sub Activities Detail'!J539+'[1]INDES Sub Activities Detail'!J553</f>
        <v>0</v>
      </c>
      <c r="L79" s="1314"/>
      <c r="M79" s="1315">
        <f>+'[1]INDES Sub Activities Detail'!M539+'[1]INDES Sub Activities Detail'!M553</f>
        <v>0</v>
      </c>
      <c r="N79" s="1313"/>
      <c r="O79" s="1315">
        <f>+'[1]INDES Sub Activities Detail'!P539+'[1]INDES Sub Activities Detail'!P553</f>
        <v>0</v>
      </c>
      <c r="P79" s="1313"/>
      <c r="Q79" s="1315">
        <f>+'[1]INDES Sub Activities Detail'!S539+'[1]INDES Sub Activities Detail'!S553</f>
        <v>0</v>
      </c>
      <c r="R79" s="1316">
        <f t="shared" si="15"/>
        <v>0</v>
      </c>
      <c r="S79" s="1314"/>
      <c r="T79" s="1317">
        <f t="shared" si="13"/>
        <v>0</v>
      </c>
    </row>
    <row r="80" spans="1:20" ht="41.25" hidden="1" customHeight="1">
      <c r="A80" s="713"/>
      <c r="B80" s="713"/>
      <c r="C80" s="713"/>
      <c r="D80" s="713"/>
      <c r="E80" s="1358" t="s">
        <v>757</v>
      </c>
      <c r="F80" s="712" t="s">
        <v>167</v>
      </c>
      <c r="G80" s="713"/>
      <c r="H80" s="713"/>
      <c r="I80" s="1313"/>
      <c r="J80" s="1314"/>
      <c r="K80" s="1315">
        <f>+'[1]INDES Sub Activities Detail'!J567+'[1]INDES Sub Activities Detail'!J581</f>
        <v>0</v>
      </c>
      <c r="L80" s="1314"/>
      <c r="M80" s="1315">
        <f>'[1]INDES Sub Activities Detail'!M567+'[1]INDES Sub Activities Detail'!M581</f>
        <v>0</v>
      </c>
      <c r="N80" s="1313"/>
      <c r="O80" s="1315">
        <f>+'[1]INDES Sub Activities Detail'!P567+'[1]INDES Sub Activities Detail'!P581</f>
        <v>0</v>
      </c>
      <c r="P80" s="1313"/>
      <c r="Q80" s="1315">
        <f>+'[1]INDES Sub Activities Detail'!S567+'[1]INDES Sub Activities Detail'!S581</f>
        <v>0</v>
      </c>
      <c r="R80" s="1316">
        <f t="shared" si="15"/>
        <v>0</v>
      </c>
      <c r="S80" s="1314"/>
      <c r="T80" s="1317">
        <f t="shared" si="13"/>
        <v>0</v>
      </c>
    </row>
    <row r="81" spans="1:22" ht="48.75" customHeight="1">
      <c r="A81" s="1312" t="s">
        <v>110</v>
      </c>
      <c r="B81" s="1312">
        <v>89050</v>
      </c>
      <c r="C81" s="1312" t="s">
        <v>1176</v>
      </c>
      <c r="D81" s="712" t="s">
        <v>1212</v>
      </c>
      <c r="E81" s="1358" t="s">
        <v>758</v>
      </c>
      <c r="F81" s="712" t="s">
        <v>165</v>
      </c>
      <c r="G81" s="713"/>
      <c r="H81" s="713"/>
      <c r="I81" s="1313"/>
      <c r="J81" s="1314"/>
      <c r="K81" s="1315">
        <f>+'[1]INDES Sub Activities Detail'!J689+'[1]INDES Sub Activities Detail'!J703</f>
        <v>0</v>
      </c>
      <c r="L81" s="1314"/>
      <c r="M81" s="1315">
        <f>+'[1]INDES Sub Activities Detail'!M689+'[1]INDES Sub Activities Detail'!M703</f>
        <v>7800.0000000000009</v>
      </c>
      <c r="N81" s="1314"/>
      <c r="O81" s="1315">
        <f>+'[1]INDES Sub Activities Detail'!P689+'[1]INDES Sub Activities Detail'!P703</f>
        <v>6760</v>
      </c>
      <c r="P81" s="1314"/>
      <c r="Q81" s="1315">
        <f>+'[1]INDES Sub Activities Detail'!S689+'[1]INDES Sub Activities Detail'!S703</f>
        <v>6474.7171840000019</v>
      </c>
      <c r="R81" s="1316">
        <f t="shared" si="15"/>
        <v>21034.717184000001</v>
      </c>
      <c r="S81" s="1314"/>
      <c r="T81" s="1317">
        <f t="shared" si="13"/>
        <v>21034.717184000001</v>
      </c>
      <c r="U81" s="712"/>
      <c r="V81" s="712"/>
    </row>
    <row r="82" spans="1:22" ht="15.75" customHeight="1">
      <c r="A82" s="713"/>
      <c r="B82" s="713"/>
      <c r="C82" s="713"/>
      <c r="D82" s="713"/>
      <c r="E82" s="1195" t="s">
        <v>174</v>
      </c>
      <c r="F82" s="712"/>
      <c r="G82" s="713"/>
      <c r="H82" s="713"/>
      <c r="I82" s="1313"/>
      <c r="J82" s="1314"/>
      <c r="K82" s="1315"/>
      <c r="L82" s="1314"/>
      <c r="M82" s="1315"/>
      <c r="N82" s="1314"/>
      <c r="O82" s="1315"/>
      <c r="P82" s="1314"/>
      <c r="Q82" s="1315"/>
      <c r="R82" s="1315"/>
      <c r="S82" s="1314"/>
      <c r="T82" s="1317"/>
      <c r="U82" s="712"/>
      <c r="V82" s="712"/>
    </row>
    <row r="83" spans="1:22" ht="15.75" customHeight="1">
      <c r="A83" s="1312" t="s">
        <v>110</v>
      </c>
      <c r="B83" s="1312">
        <v>89050</v>
      </c>
      <c r="C83" s="1312" t="s">
        <v>1176</v>
      </c>
      <c r="D83" s="713" t="s">
        <v>1213</v>
      </c>
      <c r="E83" s="755" t="s">
        <v>759</v>
      </c>
      <c r="F83" s="712"/>
      <c r="G83" s="713"/>
      <c r="H83" s="713"/>
      <c r="I83" s="1313"/>
      <c r="J83" s="1314"/>
      <c r="K83" s="1315">
        <v>338</v>
      </c>
      <c r="L83" s="1314"/>
      <c r="M83" s="1315">
        <v>7012</v>
      </c>
      <c r="N83" s="1314"/>
      <c r="O83" s="1315">
        <v>7697</v>
      </c>
      <c r="P83" s="1314"/>
      <c r="Q83" s="1315">
        <v>6281</v>
      </c>
      <c r="R83" s="1316">
        <f t="shared" ref="R83" si="16">SUM(K83+M83+O83+Q83)</f>
        <v>21328</v>
      </c>
      <c r="S83" s="1314"/>
      <c r="T83" s="1317">
        <f>SUM(R83:S83)</f>
        <v>21328</v>
      </c>
      <c r="U83" s="712"/>
      <c r="V83" s="712"/>
    </row>
    <row r="84" spans="1:22" ht="15.75" customHeight="1">
      <c r="A84" s="1312" t="s">
        <v>110</v>
      </c>
      <c r="B84" s="1312">
        <v>89050</v>
      </c>
      <c r="C84" s="1312" t="s">
        <v>1176</v>
      </c>
      <c r="D84" s="713" t="s">
        <v>1214</v>
      </c>
      <c r="E84" s="755" t="s">
        <v>760</v>
      </c>
      <c r="F84" s="712"/>
      <c r="G84" s="713"/>
      <c r="H84" s="713"/>
      <c r="I84" s="1313"/>
      <c r="J84" s="1314"/>
      <c r="K84" s="1315">
        <v>485</v>
      </c>
      <c r="L84" s="1314"/>
      <c r="M84" s="1315">
        <v>10003</v>
      </c>
      <c r="N84" s="1314"/>
      <c r="O84" s="1315">
        <v>11105</v>
      </c>
      <c r="P84" s="1314"/>
      <c r="Q84" s="1315">
        <v>8444</v>
      </c>
      <c r="R84" s="1316">
        <f>SUM(K84+M84+O84+Q84)</f>
        <v>30037</v>
      </c>
      <c r="S84" s="1314"/>
      <c r="T84" s="1317">
        <f>SUM(R84:S84)</f>
        <v>30037</v>
      </c>
      <c r="U84" s="712"/>
      <c r="V84" s="712"/>
    </row>
    <row r="85" spans="1:22" ht="15.75" customHeight="1" thickBot="1">
      <c r="A85" s="764"/>
      <c r="B85" s="764"/>
      <c r="C85" s="764"/>
      <c r="D85" s="764"/>
      <c r="E85" s="1223" t="s">
        <v>761</v>
      </c>
      <c r="F85" s="764"/>
      <c r="G85" s="764"/>
      <c r="H85" s="764"/>
      <c r="I85" s="1359"/>
      <c r="J85" s="1360"/>
      <c r="K85" s="1361">
        <f>SUM(K56:K84)</f>
        <v>5608</v>
      </c>
      <c r="L85" s="1361"/>
      <c r="M85" s="1361">
        <f>SUM(M56:M84)</f>
        <v>72147.975999999995</v>
      </c>
      <c r="N85" s="1361"/>
      <c r="O85" s="1361">
        <f>SUM(O56:O84)</f>
        <v>70385.456000000006</v>
      </c>
      <c r="P85" s="1361"/>
      <c r="Q85" s="1361">
        <f>SUM(Q56:Q84)</f>
        <v>52453.143872000008</v>
      </c>
      <c r="R85" s="1361">
        <f>SUM(R56:R84)</f>
        <v>200594.57587200002</v>
      </c>
      <c r="S85" s="1362">
        <f>SUM(S63:S67)</f>
        <v>0</v>
      </c>
      <c r="T85" s="1361">
        <f>SUM(T56:T84)</f>
        <v>200594.57587200002</v>
      </c>
      <c r="U85" s="712"/>
      <c r="V85" s="1363"/>
    </row>
    <row r="86" spans="1:22" ht="15.75" customHeight="1">
      <c r="A86" s="713"/>
      <c r="B86" s="713"/>
      <c r="C86" s="713"/>
      <c r="D86" s="713"/>
      <c r="E86" s="1364"/>
      <c r="F86" s="1329"/>
      <c r="G86" s="1329"/>
      <c r="H86" s="713"/>
      <c r="I86" s="1322"/>
      <c r="J86" s="1142"/>
      <c r="K86" s="1333"/>
      <c r="L86" s="1142"/>
      <c r="M86" s="1142"/>
      <c r="N86" s="1334"/>
      <c r="O86" s="1142"/>
      <c r="P86" s="1334"/>
      <c r="Q86" s="1142"/>
      <c r="R86" s="1326"/>
      <c r="S86" s="1314"/>
      <c r="T86" s="1327"/>
      <c r="U86" s="712"/>
      <c r="V86" s="712"/>
    </row>
    <row r="87" spans="1:22" ht="15.75" customHeight="1" thickBot="1">
      <c r="A87" s="811"/>
      <c r="B87" s="811"/>
      <c r="C87" s="811"/>
      <c r="D87" s="811"/>
      <c r="E87" s="1224" t="s">
        <v>762</v>
      </c>
      <c r="F87" s="811"/>
      <c r="G87" s="811"/>
      <c r="H87" s="811"/>
      <c r="I87" s="1341"/>
      <c r="J87" s="1157"/>
      <c r="K87" s="1158">
        <f>SUM(K22+K29+K33+K50++K85+K53+K37)</f>
        <v>89596.202152941172</v>
      </c>
      <c r="L87" s="1159"/>
      <c r="M87" s="1159">
        <f>SUM(M22+M29+M33+M50++M85+M53+M37)</f>
        <v>239366.53185882352</v>
      </c>
      <c r="N87" s="1160"/>
      <c r="O87" s="1159">
        <f>SUM(O22+O29+O33+O50++O85+O53+O37)</f>
        <v>240754.57345882355</v>
      </c>
      <c r="P87" s="1160"/>
      <c r="Q87" s="1159">
        <f>SUM(Q22+Q29+Q33+Q50++Q85+Q53+Q37)</f>
        <v>142782.88980141177</v>
      </c>
      <c r="R87" s="1161">
        <f>SUM(R22+R29+R33+R50++R85+R53+R37)</f>
        <v>712500.19727200014</v>
      </c>
      <c r="S87" s="1159">
        <f>SUM(S22+S29+S33+S50++S85+S53+S37)</f>
        <v>0</v>
      </c>
      <c r="T87" s="1335">
        <f>SUM(T22+T29+T33+T50++T85+T53+T37)</f>
        <v>712500.19727200014</v>
      </c>
      <c r="U87" s="839"/>
      <c r="V87" s="839"/>
    </row>
    <row r="88" spans="1:22" ht="15.75" customHeight="1">
      <c r="A88" s="713"/>
      <c r="B88" s="713"/>
      <c r="C88" s="713"/>
      <c r="D88" s="713"/>
      <c r="E88" s="818"/>
      <c r="F88" s="819"/>
      <c r="G88" s="819"/>
      <c r="H88" s="713"/>
      <c r="I88" s="1322"/>
      <c r="J88" s="1142"/>
      <c r="K88" s="1365"/>
      <c r="L88" s="1366"/>
      <c r="M88" s="1366"/>
      <c r="N88" s="1367"/>
      <c r="O88" s="1366"/>
      <c r="P88" s="1367"/>
      <c r="Q88" s="1366"/>
      <c r="R88" s="1368"/>
      <c r="S88" s="1366"/>
      <c r="T88" s="1147"/>
      <c r="U88" s="712"/>
      <c r="V88" s="712"/>
    </row>
    <row r="89" spans="1:22" ht="30.75" customHeight="1">
      <c r="A89" s="1312" t="s">
        <v>110</v>
      </c>
      <c r="B89" s="1312">
        <v>89050</v>
      </c>
      <c r="C89" s="1312" t="s">
        <v>1176</v>
      </c>
      <c r="D89" s="1329" t="s">
        <v>1200</v>
      </c>
      <c r="E89" s="1225" t="s">
        <v>763</v>
      </c>
      <c r="F89" s="1226" t="s">
        <v>764</v>
      </c>
      <c r="G89" s="713"/>
      <c r="H89" s="1329"/>
      <c r="I89" s="1322"/>
      <c r="J89" s="1369">
        <v>0.1</v>
      </c>
      <c r="K89" s="1365">
        <f>(K87)*J89</f>
        <v>8959.6202152941169</v>
      </c>
      <c r="L89" s="1366"/>
      <c r="M89" s="1366">
        <f>(M87)*J89</f>
        <v>23936.653185882355</v>
      </c>
      <c r="N89" s="1367"/>
      <c r="O89" s="1366">
        <f>(O87)*J89</f>
        <v>24075.457345882358</v>
      </c>
      <c r="P89" s="1325"/>
      <c r="Q89" s="1366">
        <f>(Q87)*J89</f>
        <v>14278.288980141178</v>
      </c>
      <c r="R89" s="1368">
        <f>SUM(K89+M89+O89+Q89)</f>
        <v>71250.019727200008</v>
      </c>
      <c r="S89" s="1366">
        <v>0</v>
      </c>
      <c r="T89" s="1147">
        <f>SUM(R89:S89)</f>
        <v>71250.019727200008</v>
      </c>
      <c r="U89" s="712"/>
      <c r="V89" s="712"/>
    </row>
    <row r="90" spans="1:22" ht="15.75" customHeight="1">
      <c r="A90" s="826"/>
      <c r="B90" s="826"/>
      <c r="C90" s="826"/>
      <c r="D90" s="826"/>
      <c r="E90" s="825"/>
      <c r="F90" s="804"/>
      <c r="G90" s="804"/>
      <c r="H90" s="826"/>
      <c r="I90" s="1370"/>
      <c r="J90" s="1142"/>
      <c r="K90" s="1143"/>
      <c r="L90" s="1144"/>
      <c r="M90" s="1144"/>
      <c r="N90" s="1145"/>
      <c r="O90" s="1144"/>
      <c r="P90" s="1145"/>
      <c r="Q90" s="1144"/>
      <c r="R90" s="1146"/>
      <c r="S90" s="1144"/>
      <c r="T90" s="1371"/>
      <c r="U90" s="712"/>
      <c r="V90" s="712"/>
    </row>
    <row r="91" spans="1:22" ht="15.75" customHeight="1" thickBot="1">
      <c r="A91" s="811"/>
      <c r="B91" s="811"/>
      <c r="C91" s="811"/>
      <c r="D91" s="811"/>
      <c r="E91" s="1224" t="s">
        <v>765</v>
      </c>
      <c r="F91" s="811"/>
      <c r="G91" s="811"/>
      <c r="H91" s="811"/>
      <c r="I91" s="1341"/>
      <c r="J91" s="1157"/>
      <c r="K91" s="1343">
        <f>K87+K89</f>
        <v>98555.822368235284</v>
      </c>
      <c r="L91" s="1344"/>
      <c r="M91" s="1344">
        <f>M87+M89</f>
        <v>263303.18504470587</v>
      </c>
      <c r="N91" s="1345"/>
      <c r="O91" s="1344">
        <f>O87+O89</f>
        <v>264830.03080470592</v>
      </c>
      <c r="P91" s="1345"/>
      <c r="Q91" s="1344">
        <f>Q87+Q89</f>
        <v>157061.17878155294</v>
      </c>
      <c r="R91" s="1352">
        <f>R87+R89</f>
        <v>783750.21699920017</v>
      </c>
      <c r="S91" s="1344">
        <f>S87+S89</f>
        <v>0</v>
      </c>
      <c r="T91" s="1353">
        <f>SUM(R91:S91)</f>
        <v>783750.21699920017</v>
      </c>
      <c r="U91" s="712"/>
      <c r="V91" s="712"/>
    </row>
    <row r="93" spans="1:22" ht="15.75" customHeight="1">
      <c r="A93" s="713"/>
      <c r="B93" s="713"/>
      <c r="C93" s="713"/>
      <c r="D93" s="713"/>
      <c r="E93" s="713"/>
      <c r="F93" s="713"/>
      <c r="G93" s="713"/>
      <c r="H93" s="713"/>
      <c r="I93" s="713"/>
      <c r="J93" s="715"/>
      <c r="K93" s="716"/>
      <c r="L93" s="716"/>
      <c r="M93" s="716"/>
      <c r="N93" s="716"/>
      <c r="O93" s="716"/>
      <c r="P93" s="716"/>
      <c r="Q93" s="716"/>
      <c r="R93" s="758"/>
      <c r="S93" s="716"/>
      <c r="T93" s="839"/>
      <c r="U93" s="712"/>
      <c r="V93" s="712"/>
    </row>
    <row r="95" spans="1:22" ht="15.75" customHeight="1">
      <c r="A95" s="841"/>
      <c r="B95" s="841"/>
      <c r="C95" s="841"/>
      <c r="D95" s="841"/>
      <c r="E95" s="840"/>
      <c r="F95" s="840"/>
      <c r="G95" s="840"/>
      <c r="H95" s="841"/>
      <c r="I95" s="713"/>
      <c r="J95" s="715"/>
      <c r="K95" s="716"/>
      <c r="L95" s="716"/>
      <c r="M95" s="716"/>
      <c r="N95" s="716"/>
      <c r="O95" s="716"/>
      <c r="P95" s="716"/>
      <c r="Q95" s="716"/>
      <c r="R95" s="758"/>
      <c r="S95" s="716"/>
      <c r="T95" s="758"/>
      <c r="U95" s="712"/>
      <c r="V95" s="712"/>
    </row>
    <row r="96" spans="1:22" ht="15.75" customHeight="1">
      <c r="A96" s="842"/>
      <c r="B96" s="842"/>
      <c r="C96" s="842"/>
      <c r="D96" s="842"/>
      <c r="E96" s="840"/>
      <c r="F96" s="840"/>
      <c r="G96" s="840"/>
      <c r="H96" s="842"/>
      <c r="I96" s="713"/>
      <c r="J96" s="715"/>
      <c r="K96" s="716"/>
      <c r="L96" s="716"/>
      <c r="M96" s="716"/>
      <c r="N96" s="716"/>
      <c r="O96" s="716"/>
      <c r="P96" s="716"/>
      <c r="Q96" s="716"/>
      <c r="R96" s="758"/>
      <c r="S96" s="716"/>
      <c r="T96" s="758"/>
      <c r="U96" s="712"/>
      <c r="V96" s="712"/>
    </row>
  </sheetData>
  <mergeCells count="4">
    <mergeCell ref="E1:T1"/>
    <mergeCell ref="E2:T2"/>
    <mergeCell ref="E3:T3"/>
    <mergeCell ref="E4:F4"/>
  </mergeCells>
  <phoneticPr fontId="125"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2263D-7864-40A5-890C-1191D07A9420}">
  <sheetPr>
    <tabColor theme="5" tint="0.39997558519241921"/>
  </sheetPr>
  <dimension ref="A2:W746"/>
  <sheetViews>
    <sheetView topLeftCell="A51" zoomScale="72" workbookViewId="0">
      <selection activeCell="K497" sqref="K497:L497"/>
    </sheetView>
  </sheetViews>
  <sheetFormatPr defaultColWidth="8.71875" defaultRowHeight="15.3"/>
  <cols>
    <col min="1" max="1" width="47.83203125" style="1196" customWidth="1"/>
    <col min="2" max="2" width="13.44140625" style="1196" customWidth="1"/>
    <col min="3" max="3" width="20.1640625" style="1196" customWidth="1"/>
    <col min="4" max="4" width="15.27734375" style="1196" customWidth="1"/>
    <col min="5" max="5" width="12.44140625" style="1196" customWidth="1"/>
    <col min="6" max="6" width="24.83203125" style="1196" customWidth="1"/>
    <col min="7" max="7" width="9.44140625" style="1196" bestFit="1" customWidth="1"/>
    <col min="8" max="8" width="6.5546875" style="1196" customWidth="1"/>
    <col min="9" max="9" width="7.83203125" style="1196" customWidth="1"/>
    <col min="10" max="10" width="10.44140625" style="1196" customWidth="1"/>
    <col min="11" max="11" width="6.5546875" style="1196" customWidth="1"/>
    <col min="12" max="12" width="11" style="1196" bestFit="1" customWidth="1"/>
    <col min="13" max="13" width="13.27734375" style="1196" customWidth="1"/>
    <col min="14" max="14" width="6.5546875" style="1196" customWidth="1"/>
    <col min="15" max="15" width="9.44140625" style="1196" bestFit="1" customWidth="1"/>
    <col min="16" max="16" width="11.5546875" style="1196" customWidth="1"/>
    <col min="17" max="17" width="6.5546875" style="1196" customWidth="1"/>
    <col min="18" max="18" width="8.5546875" style="1196" customWidth="1"/>
    <col min="19" max="19" width="10.27734375" style="1196" bestFit="1" customWidth="1"/>
    <col min="20" max="20" width="12.5546875" style="1197" customWidth="1"/>
    <col min="21" max="16384" width="8.71875" style="1196"/>
  </cols>
  <sheetData>
    <row r="2" spans="1:22">
      <c r="A2" s="571"/>
      <c r="B2"/>
      <c r="C2" s="571"/>
      <c r="D2" s="571"/>
      <c r="E2" s="571"/>
      <c r="F2" s="571"/>
      <c r="G2" s="571"/>
      <c r="H2" s="571"/>
      <c r="I2" s="571"/>
      <c r="J2" s="571"/>
      <c r="K2" s="571"/>
      <c r="L2" s="571"/>
      <c r="M2" s="571"/>
      <c r="N2" s="571"/>
      <c r="O2" s="571"/>
      <c r="P2" s="571"/>
      <c r="Q2" s="571"/>
      <c r="R2" s="571"/>
      <c r="S2" s="571"/>
      <c r="T2" s="572"/>
      <c r="U2" s="571"/>
      <c r="V2" s="571"/>
    </row>
    <row r="3" spans="1:22">
      <c r="A3" s="571"/>
      <c r="B3"/>
      <c r="C3" s="571"/>
      <c r="D3" s="571"/>
      <c r="E3" s="571"/>
      <c r="F3" s="571"/>
      <c r="G3" s="571"/>
      <c r="H3" s="571"/>
      <c r="I3" s="571"/>
      <c r="J3" s="571"/>
      <c r="K3" s="571"/>
      <c r="L3" s="571"/>
      <c r="M3" s="571"/>
      <c r="N3" s="571"/>
      <c r="O3" s="571"/>
      <c r="P3" s="571"/>
      <c r="Q3" s="571"/>
      <c r="R3" s="571"/>
      <c r="S3" s="571"/>
      <c r="T3" s="572"/>
      <c r="U3" s="571"/>
      <c r="V3" s="571"/>
    </row>
    <row r="5" spans="1:22">
      <c r="A5" s="474" t="str">
        <f>'[1]INDES Sub Line-Item Budget'!A2:P2</f>
        <v>INDES Sub-Recipient / Sub-receptor INDES</v>
      </c>
      <c r="B5" s="474"/>
      <c r="C5" s="571"/>
      <c r="D5" s="571"/>
      <c r="E5" s="571"/>
      <c r="F5" s="571"/>
      <c r="G5" s="571"/>
      <c r="H5" s="571"/>
      <c r="I5" s="571"/>
      <c r="J5" s="571"/>
      <c r="K5" s="571"/>
      <c r="L5" s="571"/>
      <c r="M5" s="571"/>
      <c r="N5" s="571"/>
      <c r="O5" s="571"/>
      <c r="P5" s="571"/>
      <c r="Q5" s="571"/>
      <c r="R5" s="571"/>
      <c r="S5" s="571"/>
      <c r="T5" s="572"/>
      <c r="U5" s="571"/>
      <c r="V5" s="571"/>
    </row>
    <row r="6" spans="1:22">
      <c r="A6" s="474" t="s">
        <v>766</v>
      </c>
      <c r="B6" s="474" t="str">
        <f>[1]Assumptions!C9</f>
        <v>USDOL</v>
      </c>
      <c r="C6" s="571"/>
      <c r="D6" s="571"/>
      <c r="E6" s="571"/>
      <c r="F6" s="571"/>
      <c r="G6" s="571"/>
      <c r="H6" s="571"/>
      <c r="I6" s="571"/>
      <c r="J6" s="571"/>
      <c r="K6" s="571"/>
      <c r="L6" s="571"/>
      <c r="M6" s="571"/>
      <c r="N6" s="571"/>
      <c r="O6" s="571"/>
      <c r="P6" s="571"/>
      <c r="Q6" s="571"/>
      <c r="R6" s="571"/>
      <c r="S6" s="571"/>
      <c r="T6" s="571"/>
      <c r="U6" s="571"/>
      <c r="V6" s="571"/>
    </row>
    <row r="7" spans="1:22">
      <c r="A7" s="474" t="s">
        <v>767</v>
      </c>
      <c r="B7" s="474" t="str">
        <f>[1]Assumptions!C10</f>
        <v>Ecuador</v>
      </c>
      <c r="C7" s="571"/>
      <c r="D7" s="571"/>
      <c r="E7" s="571"/>
      <c r="F7" s="571"/>
      <c r="G7" s="571"/>
      <c r="H7" s="571"/>
      <c r="I7" s="571"/>
      <c r="J7" s="571"/>
      <c r="K7" s="571"/>
      <c r="L7" s="571"/>
      <c r="M7" s="571"/>
      <c r="N7" s="571"/>
      <c r="O7" s="571"/>
      <c r="P7" s="571"/>
      <c r="Q7" s="571"/>
      <c r="R7" s="571"/>
      <c r="S7" s="571"/>
      <c r="T7" s="571"/>
      <c r="U7" s="571"/>
      <c r="V7" s="571"/>
    </row>
    <row r="8" spans="1:22">
      <c r="A8" s="1228" t="s">
        <v>768</v>
      </c>
      <c r="B8" s="474" t="str">
        <f>[1]Assumptions!C11</f>
        <v>Project to Improve Adherence to International Labor Standards in the Agricultural Sector in Ecuador</v>
      </c>
      <c r="C8" s="571"/>
      <c r="D8" s="571"/>
      <c r="E8" s="571"/>
      <c r="F8" s="645"/>
      <c r="G8" s="571"/>
      <c r="H8" s="571"/>
      <c r="I8" s="571"/>
      <c r="J8" s="571"/>
      <c r="K8" s="571"/>
      <c r="L8" s="571"/>
      <c r="M8" s="571"/>
      <c r="N8" s="571"/>
      <c r="O8" s="571"/>
      <c r="P8" s="571"/>
      <c r="Q8" s="571"/>
      <c r="R8" s="571"/>
      <c r="S8" s="571"/>
      <c r="T8" s="571"/>
      <c r="U8" s="571"/>
      <c r="V8" s="571"/>
    </row>
    <row r="9" spans="1:22">
      <c r="A9" s="1228" t="s">
        <v>769</v>
      </c>
      <c r="B9" s="474" t="str">
        <f>[1]Assumptions!C12</f>
        <v>FOA-ILAB-23-28</v>
      </c>
      <c r="C9" s="571"/>
      <c r="D9" s="571"/>
      <c r="E9" s="571"/>
      <c r="F9" s="889"/>
      <c r="G9" s="571"/>
      <c r="H9" s="571"/>
      <c r="I9" s="1198"/>
      <c r="J9" s="571"/>
      <c r="K9" s="571"/>
      <c r="L9" s="1198"/>
      <c r="M9" s="571"/>
      <c r="N9" s="571"/>
      <c r="O9" s="1198"/>
      <c r="P9" s="571"/>
      <c r="Q9" s="571"/>
      <c r="R9" s="1198"/>
      <c r="S9" s="571"/>
      <c r="T9" s="571"/>
      <c r="U9" s="571"/>
      <c r="V9" s="571"/>
    </row>
    <row r="10" spans="1:22">
      <c r="A10" s="1228" t="s">
        <v>770</v>
      </c>
      <c r="B10" s="474" t="str">
        <f>[1]Assumptions!C13</f>
        <v xml:space="preserve">48 months </v>
      </c>
      <c r="C10" s="566"/>
      <c r="D10" s="565"/>
      <c r="E10" s="571"/>
      <c r="F10" s="889"/>
      <c r="G10" s="571"/>
      <c r="H10" s="571"/>
      <c r="I10" s="1198"/>
      <c r="J10" s="571"/>
      <c r="K10" s="571"/>
      <c r="L10" s="1198"/>
      <c r="M10" s="571"/>
      <c r="N10" s="571"/>
      <c r="O10" s="1198"/>
      <c r="P10" s="571"/>
      <c r="Q10" s="571"/>
      <c r="R10" s="1198"/>
      <c r="S10" s="571"/>
      <c r="T10" s="571"/>
      <c r="U10" s="571"/>
      <c r="V10" s="571"/>
    </row>
    <row r="11" spans="1:22">
      <c r="A11" s="474"/>
      <c r="B11" s="571"/>
      <c r="C11" s="645"/>
      <c r="D11" s="571"/>
      <c r="E11" s="571"/>
      <c r="F11" s="571"/>
      <c r="G11" s="571"/>
      <c r="H11" s="571"/>
      <c r="I11" s="571"/>
      <c r="J11" s="1198"/>
      <c r="K11" s="571"/>
      <c r="L11" s="571"/>
      <c r="M11" s="1198"/>
      <c r="N11" s="571"/>
      <c r="O11" s="571"/>
      <c r="P11" s="1198"/>
      <c r="Q11" s="571"/>
      <c r="R11" s="571"/>
      <c r="S11" s="1198"/>
      <c r="T11" s="1198"/>
      <c r="U11" s="571"/>
      <c r="V11" s="571"/>
    </row>
    <row r="12" spans="1:22">
      <c r="A12" s="474"/>
      <c r="B12" s="571"/>
      <c r="C12" s="571"/>
      <c r="D12" s="571"/>
      <c r="E12" s="571"/>
      <c r="F12" s="571"/>
      <c r="G12" s="571"/>
      <c r="H12" s="571"/>
      <c r="I12" s="571"/>
      <c r="J12" s="1198"/>
      <c r="K12" s="571"/>
      <c r="L12" s="571"/>
      <c r="M12" s="1198"/>
      <c r="N12" s="571"/>
      <c r="O12" s="571"/>
      <c r="P12" s="1198"/>
      <c r="Q12" s="571"/>
      <c r="R12" s="571"/>
      <c r="S12" s="1198"/>
      <c r="T12" s="1198"/>
      <c r="U12" s="571"/>
      <c r="V12" s="571"/>
    </row>
    <row r="13" spans="1:22">
      <c r="A13" s="572"/>
      <c r="B13" s="571"/>
      <c r="C13" s="571"/>
      <c r="D13" s="571"/>
      <c r="E13" s="571"/>
      <c r="F13" s="571"/>
      <c r="G13" s="571"/>
      <c r="H13" s="571"/>
      <c r="I13" s="571"/>
      <c r="J13" s="571"/>
      <c r="K13" s="571"/>
      <c r="L13" s="571"/>
      <c r="M13" s="571"/>
      <c r="N13" s="571"/>
      <c r="O13" s="571"/>
      <c r="P13" s="571"/>
      <c r="Q13" s="571"/>
      <c r="R13" s="571"/>
      <c r="S13" s="571"/>
      <c r="T13" s="572"/>
      <c r="U13" s="571"/>
      <c r="V13" s="573"/>
    </row>
    <row r="14" spans="1:22" s="1197" customFormat="1">
      <c r="A14" s="1229" t="s">
        <v>771</v>
      </c>
      <c r="B14" s="1230" t="s">
        <v>772</v>
      </c>
      <c r="C14" s="575"/>
      <c r="D14" s="1230" t="s">
        <v>237</v>
      </c>
      <c r="E14" s="575" t="s">
        <v>238</v>
      </c>
      <c r="F14" s="1230" t="s">
        <v>773</v>
      </c>
      <c r="G14" s="1231"/>
      <c r="H14" s="1424" t="str">
        <f>'[1]INDES Sub Line-Item Budget'!G10</f>
        <v>Year 1 / Año 1</v>
      </c>
      <c r="I14" s="1424"/>
      <c r="J14" s="1424"/>
      <c r="K14" s="1424" t="str">
        <f>'[1]INDES Sub Line-Item Budget'!I10</f>
        <v>Year 2 / Año 2</v>
      </c>
      <c r="L14" s="1424"/>
      <c r="M14" s="1424"/>
      <c r="N14" s="1424" t="str">
        <f>'[1]INDES Sub Line-Item Budget'!K10</f>
        <v>Year 3 / Año 3</v>
      </c>
      <c r="O14" s="1424"/>
      <c r="P14" s="1424"/>
      <c r="Q14" s="1424" t="str">
        <f>'[1]INDES Sub Line-Item Budget'!M10</f>
        <v>Year 4 / Año 4</v>
      </c>
      <c r="R14" s="1424"/>
      <c r="S14" s="1424"/>
      <c r="T14" s="577" t="s">
        <v>240</v>
      </c>
      <c r="U14" s="572"/>
      <c r="V14" s="573"/>
    </row>
    <row r="15" spans="1:22" s="1197" customFormat="1">
      <c r="A15" s="578"/>
      <c r="B15" s="579"/>
      <c r="C15" s="579"/>
      <c r="D15" s="579"/>
      <c r="E15" s="579"/>
      <c r="F15" s="579"/>
      <c r="G15" s="579"/>
      <c r="H15" s="1443" t="s">
        <v>774</v>
      </c>
      <c r="I15" s="1443"/>
      <c r="J15" s="1232" t="s">
        <v>242</v>
      </c>
      <c r="K15" s="1443" t="s">
        <v>241</v>
      </c>
      <c r="L15" s="1443"/>
      <c r="M15" s="1232" t="s">
        <v>242</v>
      </c>
      <c r="N15" s="1443" t="s">
        <v>774</v>
      </c>
      <c r="O15" s="1443"/>
      <c r="P15" s="1232" t="s">
        <v>242</v>
      </c>
      <c r="Q15" s="1443" t="s">
        <v>241</v>
      </c>
      <c r="R15" s="1443"/>
      <c r="S15" s="1232" t="s">
        <v>242</v>
      </c>
      <c r="T15" s="582"/>
      <c r="U15" s="572"/>
      <c r="V15" s="573"/>
    </row>
    <row r="16" spans="1:22" s="1197" customFormat="1">
      <c r="A16" s="1233" t="s">
        <v>775</v>
      </c>
      <c r="B16" s="1234">
        <v>0.04</v>
      </c>
      <c r="C16" s="1235"/>
      <c r="D16" s="1235"/>
      <c r="E16" s="1235"/>
      <c r="F16" s="1235"/>
      <c r="G16" s="1235"/>
      <c r="H16" s="1236"/>
      <c r="I16" s="1236"/>
      <c r="J16" s="1237">
        <v>1</v>
      </c>
      <c r="K16" s="1236"/>
      <c r="L16" s="1236"/>
      <c r="M16" s="1237">
        <f>$J$16*SUM(1+$B$16)</f>
        <v>1.04</v>
      </c>
      <c r="N16" s="1236"/>
      <c r="O16" s="1236"/>
      <c r="P16" s="1237">
        <f>$M$16*SUM(1+$B$16)</f>
        <v>1.0816000000000001</v>
      </c>
      <c r="Q16" s="1236"/>
      <c r="R16" s="1236"/>
      <c r="S16" s="1237">
        <f>$P$16*SUM(1+$B$16)</f>
        <v>1.1248640000000001</v>
      </c>
      <c r="T16" s="589"/>
      <c r="U16" s="572"/>
      <c r="V16" s="573"/>
    </row>
    <row r="17" spans="1:22">
      <c r="A17" s="567" t="s">
        <v>244</v>
      </c>
      <c r="B17" s="590"/>
      <c r="C17" s="590"/>
      <c r="D17" s="590"/>
      <c r="E17" s="590"/>
      <c r="F17" s="590"/>
      <c r="G17" s="590"/>
      <c r="H17" s="590"/>
      <c r="I17" s="590"/>
      <c r="J17" s="590"/>
      <c r="K17" s="590"/>
      <c r="L17" s="590"/>
      <c r="M17" s="590"/>
      <c r="N17" s="590"/>
      <c r="O17" s="590"/>
      <c r="P17" s="590"/>
      <c r="Q17" s="590"/>
      <c r="R17" s="590"/>
      <c r="S17" s="590"/>
      <c r="T17" s="591"/>
      <c r="U17" s="571"/>
      <c r="V17" s="573"/>
    </row>
    <row r="18" spans="1:22">
      <c r="A18" s="568"/>
      <c r="B18" s="592"/>
      <c r="C18" s="592"/>
      <c r="D18" s="592"/>
      <c r="E18" s="592"/>
      <c r="F18" s="592"/>
      <c r="G18" s="592"/>
      <c r="H18" s="592"/>
      <c r="I18" s="592"/>
      <c r="J18" s="592"/>
      <c r="K18" s="592"/>
      <c r="L18" s="592"/>
      <c r="M18" s="592"/>
      <c r="N18" s="592"/>
      <c r="O18" s="592"/>
      <c r="P18" s="592"/>
      <c r="Q18" s="592"/>
      <c r="R18" s="592"/>
      <c r="S18" s="592"/>
      <c r="T18" s="593"/>
      <c r="U18" s="571"/>
      <c r="V18" s="573"/>
    </row>
    <row r="19" spans="1:22">
      <c r="A19" s="569"/>
      <c r="B19" s="627"/>
      <c r="C19" s="627"/>
      <c r="D19" s="627"/>
      <c r="E19" s="627"/>
      <c r="F19" s="627"/>
      <c r="G19" s="592"/>
      <c r="H19" s="592"/>
      <c r="I19" s="592"/>
      <c r="J19" s="592"/>
      <c r="K19" s="592"/>
      <c r="L19" s="592"/>
      <c r="M19" s="592"/>
      <c r="N19" s="592"/>
      <c r="O19" s="592"/>
      <c r="P19" s="592"/>
      <c r="Q19" s="592"/>
      <c r="R19" s="592"/>
      <c r="S19" s="592"/>
      <c r="T19" s="593"/>
      <c r="U19" s="571"/>
      <c r="V19" s="573"/>
    </row>
    <row r="20" spans="1:22">
      <c r="A20" s="1421" t="s">
        <v>776</v>
      </c>
      <c r="B20" s="1422"/>
      <c r="C20" s="1422"/>
      <c r="D20" s="1422"/>
      <c r="E20" s="1422"/>
      <c r="F20" s="595"/>
      <c r="G20" s="595"/>
      <c r="H20" s="1438"/>
      <c r="I20" s="1439"/>
      <c r="J20" s="1278">
        <f>SUM(I23:I25)</f>
        <v>0</v>
      </c>
      <c r="K20" s="1438"/>
      <c r="L20" s="1439"/>
      <c r="M20" s="1279">
        <f>SUM(L23:L25)</f>
        <v>0</v>
      </c>
      <c r="N20" s="1438"/>
      <c r="O20" s="1439"/>
      <c r="P20" s="1279">
        <f>SUM(O23:O25)</f>
        <v>0</v>
      </c>
      <c r="Q20" s="1438"/>
      <c r="R20" s="1440"/>
      <c r="S20" s="597">
        <f>SUM(R23:R25)</f>
        <v>0</v>
      </c>
      <c r="T20" s="1066">
        <f>SUM(J20,M20,P20,S20,)</f>
        <v>0</v>
      </c>
      <c r="U20" s="571"/>
      <c r="V20" s="573"/>
    </row>
    <row r="21" spans="1:22">
      <c r="A21" s="1238" t="s">
        <v>777</v>
      </c>
      <c r="B21" s="1239"/>
      <c r="C21" s="1239"/>
      <c r="D21" s="1239"/>
      <c r="E21" s="1239"/>
      <c r="F21" s="1239"/>
      <c r="G21" s="1239"/>
      <c r="H21" s="1240"/>
      <c r="I21" s="1239"/>
      <c r="J21" s="1239"/>
      <c r="K21" s="1240"/>
      <c r="L21" s="1239"/>
      <c r="M21" s="1241"/>
      <c r="N21" s="1240"/>
      <c r="O21" s="1239"/>
      <c r="P21" s="1241"/>
      <c r="Q21" s="1240"/>
      <c r="R21" s="1239"/>
      <c r="S21" s="1241"/>
      <c r="T21" s="1242"/>
      <c r="U21" s="1199"/>
      <c r="V21" s="573"/>
    </row>
    <row r="22" spans="1:22">
      <c r="A22" s="599" t="s">
        <v>778</v>
      </c>
      <c r="B22" s="1239"/>
      <c r="C22" s="1239"/>
      <c r="D22" s="1239"/>
      <c r="E22" s="1239"/>
      <c r="F22" s="1239"/>
      <c r="G22" s="1239"/>
      <c r="H22" s="1240"/>
      <c r="I22" s="1239"/>
      <c r="J22" s="1239"/>
      <c r="K22" s="1240"/>
      <c r="L22" s="1239"/>
      <c r="M22" s="1241"/>
      <c r="N22" s="1240"/>
      <c r="O22" s="1239"/>
      <c r="P22" s="1241"/>
      <c r="Q22" s="1240"/>
      <c r="R22" s="1239"/>
      <c r="S22" s="1241"/>
      <c r="T22" s="1242"/>
      <c r="U22" s="571"/>
      <c r="V22" s="573"/>
    </row>
    <row r="23" spans="1:22">
      <c r="A23" s="1243" t="s">
        <v>779</v>
      </c>
      <c r="B23" s="1280">
        <v>0</v>
      </c>
      <c r="C23" s="1280" t="s">
        <v>248</v>
      </c>
      <c r="D23" s="1280">
        <f>parttransp</f>
        <v>4</v>
      </c>
      <c r="E23" s="1069" t="s">
        <v>249</v>
      </c>
      <c r="F23" s="1069">
        <f>IF(B23=0,0,F20)</f>
        <v>0</v>
      </c>
      <c r="G23" s="1069">
        <f>B23*D23*F23</f>
        <v>0</v>
      </c>
      <c r="H23" s="1068"/>
      <c r="I23" s="1069">
        <f>$G23*H20*J$16</f>
        <v>0</v>
      </c>
      <c r="J23" s="571"/>
      <c r="K23" s="1068"/>
      <c r="L23" s="1069">
        <f>$G23*K20*M$16</f>
        <v>0</v>
      </c>
      <c r="M23" s="1067"/>
      <c r="N23" s="1068"/>
      <c r="O23" s="1069">
        <f>$G23*N20*P$16</f>
        <v>0</v>
      </c>
      <c r="P23" s="1067"/>
      <c r="Q23" s="1068"/>
      <c r="R23" s="1069">
        <f>$G23*Q20*S$16</f>
        <v>0</v>
      </c>
      <c r="S23" s="1067"/>
      <c r="T23" s="1244"/>
      <c r="U23" s="571"/>
      <c r="V23" s="573"/>
    </row>
    <row r="24" spans="1:22">
      <c r="A24" s="1243" t="s">
        <v>780</v>
      </c>
      <c r="B24" s="1280">
        <v>0</v>
      </c>
      <c r="C24" s="1280" t="s">
        <v>248</v>
      </c>
      <c r="D24" s="1280">
        <f>coffee+lunch</f>
        <v>16</v>
      </c>
      <c r="E24" s="1069" t="s">
        <v>249</v>
      </c>
      <c r="F24" s="1069">
        <f>IF(B24=0,0,F20)</f>
        <v>0</v>
      </c>
      <c r="G24" s="1069">
        <f>B24*D24*F24</f>
        <v>0</v>
      </c>
      <c r="H24" s="1068"/>
      <c r="I24" s="1069">
        <f>$G24*H20*J$16</f>
        <v>0</v>
      </c>
      <c r="J24" s="571"/>
      <c r="K24" s="1068"/>
      <c r="L24" s="1069">
        <f>$G24*K20*M$16</f>
        <v>0</v>
      </c>
      <c r="M24" s="1067"/>
      <c r="N24" s="1068"/>
      <c r="O24" s="1069">
        <f>$G24*N20*P$16</f>
        <v>0</v>
      </c>
      <c r="P24" s="1067"/>
      <c r="Q24" s="1068"/>
      <c r="R24" s="1069">
        <f>$G24*Q20*S$16</f>
        <v>0</v>
      </c>
      <c r="S24" s="1067"/>
      <c r="T24" s="1244"/>
      <c r="U24" s="571"/>
      <c r="V24" s="573"/>
    </row>
    <row r="25" spans="1:22">
      <c r="A25" s="1243" t="s">
        <v>781</v>
      </c>
      <c r="B25" s="1280">
        <v>0</v>
      </c>
      <c r="C25" s="1280" t="s">
        <v>277</v>
      </c>
      <c r="D25" s="1280">
        <f>print</f>
        <v>50</v>
      </c>
      <c r="E25" s="1069" t="str">
        <f>C25</f>
        <v>activity</v>
      </c>
      <c r="F25" s="1069">
        <f>IF(B25=0,0,1)</f>
        <v>0</v>
      </c>
      <c r="G25" s="1069">
        <f>B25*D25*F25</f>
        <v>0</v>
      </c>
      <c r="H25" s="1068"/>
      <c r="I25" s="1069">
        <f>$G25*H20*J$16</f>
        <v>0</v>
      </c>
      <c r="J25" s="571"/>
      <c r="K25" s="1068"/>
      <c r="L25" s="1069">
        <f>$G25*K20*M$16</f>
        <v>0</v>
      </c>
      <c r="M25" s="1067"/>
      <c r="N25" s="1068"/>
      <c r="O25" s="1069">
        <f>$G25*N20*P$16</f>
        <v>0</v>
      </c>
      <c r="P25" s="1067"/>
      <c r="Q25" s="1068"/>
      <c r="R25" s="1069">
        <f>$G25*Q20*S$16</f>
        <v>0</v>
      </c>
      <c r="S25" s="1067"/>
      <c r="T25" s="1244"/>
      <c r="U25" s="571"/>
      <c r="V25" s="573"/>
    </row>
    <row r="26" spans="1:22">
      <c r="A26" s="605"/>
      <c r="B26" s="1280"/>
      <c r="C26" s="1280"/>
      <c r="D26" s="1280"/>
      <c r="E26" s="1069"/>
      <c r="F26" s="1069"/>
      <c r="G26" s="1069"/>
      <c r="H26" s="1068"/>
      <c r="I26" s="1069"/>
      <c r="J26" s="571"/>
      <c r="K26" s="1068"/>
      <c r="L26" s="1069"/>
      <c r="M26" s="1067"/>
      <c r="N26" s="1068"/>
      <c r="O26" s="1069"/>
      <c r="P26" s="1067"/>
      <c r="Q26" s="1068"/>
      <c r="R26" s="1069"/>
      <c r="S26" s="1067"/>
      <c r="T26" s="1244"/>
      <c r="U26" s="571"/>
      <c r="V26" s="573"/>
    </row>
    <row r="27" spans="1:22">
      <c r="A27" s="613" t="s">
        <v>782</v>
      </c>
      <c r="B27" s="1280"/>
      <c r="C27" s="1280"/>
      <c r="D27" s="1280"/>
      <c r="E27" s="1069"/>
      <c r="F27" s="1069"/>
      <c r="G27" s="1069">
        <f t="shared" ref="G27:G32" si="0">B27*D27*F27</f>
        <v>0</v>
      </c>
      <c r="H27" s="1068"/>
      <c r="I27" s="1069"/>
      <c r="J27" s="571"/>
      <c r="K27" s="1068"/>
      <c r="L27" s="1069"/>
      <c r="M27" s="1067"/>
      <c r="N27" s="1068"/>
      <c r="O27" s="1069"/>
      <c r="P27" s="1067"/>
      <c r="Q27" s="1068"/>
      <c r="R27" s="1069"/>
      <c r="S27" s="1067"/>
      <c r="T27" s="1244"/>
      <c r="U27" s="571"/>
      <c r="V27" s="573"/>
    </row>
    <row r="28" spans="1:22">
      <c r="A28" s="605" t="s">
        <v>266</v>
      </c>
      <c r="B28" s="1280"/>
      <c r="C28" s="1280" t="s">
        <v>248</v>
      </c>
      <c r="D28" s="1280">
        <f>partground</f>
        <v>9</v>
      </c>
      <c r="E28" s="1069" t="s">
        <v>262</v>
      </c>
      <c r="F28" s="1069">
        <v>3</v>
      </c>
      <c r="G28" s="1069">
        <f t="shared" si="0"/>
        <v>0</v>
      </c>
      <c r="H28" s="1068"/>
      <c r="I28" s="1069">
        <f>$G28*$H$20*J$16</f>
        <v>0</v>
      </c>
      <c r="J28" s="571"/>
      <c r="K28" s="1068"/>
      <c r="L28" s="1069">
        <f>$G28*$K$20*M$16</f>
        <v>0</v>
      </c>
      <c r="M28" s="1067"/>
      <c r="N28" s="1068"/>
      <c r="O28" s="1069">
        <f>$G28*$N$20*P$16</f>
        <v>0</v>
      </c>
      <c r="P28" s="1067"/>
      <c r="Q28" s="1068"/>
      <c r="R28" s="1069">
        <f>$G28*$Q$20*S$16</f>
        <v>0</v>
      </c>
      <c r="S28" s="1067"/>
      <c r="T28" s="1244"/>
      <c r="U28" s="571"/>
      <c r="V28" s="573"/>
    </row>
    <row r="29" spans="1:22">
      <c r="A29" s="1243" t="s">
        <v>267</v>
      </c>
      <c r="B29" s="1280"/>
      <c r="C29" s="1280" t="s">
        <v>248</v>
      </c>
      <c r="D29" s="1280">
        <f>partground</f>
        <v>9</v>
      </c>
      <c r="E29" s="1069" t="s">
        <v>249</v>
      </c>
      <c r="F29" s="1069">
        <v>3</v>
      </c>
      <c r="G29" s="1069">
        <f t="shared" si="0"/>
        <v>0</v>
      </c>
      <c r="H29" s="1068"/>
      <c r="I29" s="1069">
        <f>$G29*$H$20*J$16</f>
        <v>0</v>
      </c>
      <c r="J29" s="571"/>
      <c r="K29" s="1068"/>
      <c r="L29" s="1069">
        <f>$G29*$K$20*M$16</f>
        <v>0</v>
      </c>
      <c r="M29" s="1067"/>
      <c r="N29" s="1068"/>
      <c r="O29" s="1069">
        <f>$G29*$N$20*P$16</f>
        <v>0</v>
      </c>
      <c r="P29" s="1067"/>
      <c r="Q29" s="1068"/>
      <c r="R29" s="1069">
        <f>$G29*$Q$20*S$16</f>
        <v>0</v>
      </c>
      <c r="S29" s="1067"/>
      <c r="T29" s="1244"/>
      <c r="U29" s="571"/>
      <c r="V29" s="573"/>
    </row>
    <row r="30" spans="1:22">
      <c r="A30" s="605" t="s">
        <v>264</v>
      </c>
      <c r="B30" s="1280"/>
      <c r="C30" s="1280" t="s">
        <v>248</v>
      </c>
      <c r="D30" s="1280">
        <f>partlodg</f>
        <v>35</v>
      </c>
      <c r="E30" s="1280" t="s">
        <v>249</v>
      </c>
      <c r="F30" s="1280">
        <v>3</v>
      </c>
      <c r="G30" s="1280">
        <f t="shared" si="0"/>
        <v>0</v>
      </c>
      <c r="H30" s="1281"/>
      <c r="I30" s="1280">
        <f>$G30*$H$20*J$16</f>
        <v>0</v>
      </c>
      <c r="J30" s="571"/>
      <c r="K30" s="1281"/>
      <c r="L30" s="1280">
        <f>$G30*$K$20*M$16</f>
        <v>0</v>
      </c>
      <c r="M30" s="1282"/>
      <c r="N30" s="1281"/>
      <c r="O30" s="1280">
        <f>$G30*$N$20*P$16</f>
        <v>0</v>
      </c>
      <c r="P30" s="1282"/>
      <c r="Q30" s="1281"/>
      <c r="R30" s="1280">
        <f>$G30*$Q$20*S$16</f>
        <v>0</v>
      </c>
      <c r="S30" s="1282"/>
      <c r="T30" s="1244"/>
      <c r="U30" s="571"/>
      <c r="V30" s="573"/>
    </row>
    <row r="31" spans="1:22">
      <c r="A31" s="1243" t="s">
        <v>783</v>
      </c>
      <c r="B31" s="1280"/>
      <c r="C31" s="1280" t="s">
        <v>248</v>
      </c>
      <c r="D31" s="1280">
        <f>partmeals</f>
        <v>47</v>
      </c>
      <c r="E31" s="1280" t="s">
        <v>249</v>
      </c>
      <c r="F31" s="1280">
        <v>3</v>
      </c>
      <c r="G31" s="1280">
        <f t="shared" si="0"/>
        <v>0</v>
      </c>
      <c r="H31" s="1281"/>
      <c r="I31" s="1280">
        <f>$G31*$H$20*J$16</f>
        <v>0</v>
      </c>
      <c r="J31" s="571"/>
      <c r="K31" s="1281"/>
      <c r="L31" s="1280">
        <f>$G31*$K$20*M$16</f>
        <v>0</v>
      </c>
      <c r="M31" s="1282"/>
      <c r="N31" s="1281"/>
      <c r="O31" s="1280">
        <f>$G31*$N$20*P$16</f>
        <v>0</v>
      </c>
      <c r="P31" s="1282"/>
      <c r="Q31" s="1281"/>
      <c r="R31" s="1280">
        <f>$G31*$Q$20*S$16</f>
        <v>0</v>
      </c>
      <c r="S31" s="1282"/>
      <c r="T31" s="1244"/>
      <c r="U31" s="571"/>
      <c r="V31" s="573"/>
    </row>
    <row r="32" spans="1:22">
      <c r="A32" s="1243" t="s">
        <v>644</v>
      </c>
      <c r="B32" s="1280"/>
      <c r="C32" s="1280" t="s">
        <v>248</v>
      </c>
      <c r="D32" s="1280">
        <f>parttransp</f>
        <v>4</v>
      </c>
      <c r="E32" s="1280" t="s">
        <v>262</v>
      </c>
      <c r="F32" s="1280">
        <v>3</v>
      </c>
      <c r="G32" s="1280">
        <f t="shared" si="0"/>
        <v>0</v>
      </c>
      <c r="H32" s="1281"/>
      <c r="I32" s="1280">
        <f>$G32*$H$20*J$16</f>
        <v>0</v>
      </c>
      <c r="J32" s="571"/>
      <c r="K32" s="1281"/>
      <c r="L32" s="1280">
        <f>$G32*$K$20*M$16</f>
        <v>0</v>
      </c>
      <c r="M32" s="1282"/>
      <c r="N32" s="1281"/>
      <c r="O32" s="1280">
        <f>$G32*$N$20*P$16</f>
        <v>0</v>
      </c>
      <c r="P32" s="1282"/>
      <c r="Q32" s="1281"/>
      <c r="R32" s="1280">
        <f>$G32*$Q$20*S$16</f>
        <v>0</v>
      </c>
      <c r="S32" s="1282"/>
      <c r="T32" s="1244"/>
      <c r="U32" s="571"/>
      <c r="V32" s="573"/>
    </row>
    <row r="33" spans="1:22">
      <c r="A33" s="1245" t="s">
        <v>269</v>
      </c>
      <c r="B33" s="622"/>
      <c r="C33" s="622"/>
      <c r="D33" s="1283"/>
      <c r="E33" s="1441">
        <f>SUM(G28:G32)</f>
        <v>0</v>
      </c>
      <c r="F33" s="1442"/>
      <c r="G33" s="624"/>
      <c r="H33" s="625"/>
      <c r="I33" s="625"/>
      <c r="J33" s="1284"/>
      <c r="K33" s="625"/>
      <c r="L33" s="625"/>
      <c r="M33" s="1284"/>
      <c r="N33" s="625"/>
      <c r="O33" s="625"/>
      <c r="P33" s="1284"/>
      <c r="Q33" s="625"/>
      <c r="R33" s="625"/>
      <c r="S33" s="1284"/>
      <c r="T33" s="1249"/>
      <c r="U33" s="571"/>
      <c r="V33" s="573"/>
    </row>
    <row r="34" spans="1:22">
      <c r="A34" s="1238" t="s">
        <v>784</v>
      </c>
      <c r="B34" s="1284"/>
      <c r="C34" s="1284"/>
      <c r="D34" s="1284"/>
      <c r="E34" s="1284"/>
      <c r="F34" s="595"/>
      <c r="G34" s="1284"/>
      <c r="H34" s="1438"/>
      <c r="I34" s="1438"/>
      <c r="J34" s="1278">
        <f>SUM(I37:I39)</f>
        <v>0</v>
      </c>
      <c r="K34" s="1444"/>
      <c r="L34" s="1444"/>
      <c r="M34" s="1279">
        <f>SUM(L37:L39)</f>
        <v>0</v>
      </c>
      <c r="N34" s="1444"/>
      <c r="O34" s="1444"/>
      <c r="P34" s="1279">
        <f>SUM(O37:O39)</f>
        <v>0</v>
      </c>
      <c r="Q34" s="1445"/>
      <c r="R34" s="1445"/>
      <c r="S34" s="1279">
        <f>SUM(R37:R39)</f>
        <v>0</v>
      </c>
      <c r="T34" s="1066">
        <f>SUM(J34,M34,P34,S34,)</f>
        <v>0</v>
      </c>
      <c r="U34" s="1199"/>
      <c r="V34" s="573"/>
    </row>
    <row r="35" spans="1:22">
      <c r="A35" s="599" t="s">
        <v>778</v>
      </c>
      <c r="B35" s="1284"/>
      <c r="C35" s="1284"/>
      <c r="D35" s="1284"/>
      <c r="E35" s="1284"/>
      <c r="F35" s="1284"/>
      <c r="G35" s="1284"/>
      <c r="H35" s="1285"/>
      <c r="I35" s="1284"/>
      <c r="J35" s="1284"/>
      <c r="K35" s="1285"/>
      <c r="L35" s="1284"/>
      <c r="M35" s="1286"/>
      <c r="N35" s="1285"/>
      <c r="O35" s="1284"/>
      <c r="P35" s="1286"/>
      <c r="Q35" s="1285"/>
      <c r="R35" s="1284"/>
      <c r="S35" s="1286"/>
      <c r="T35" s="1242"/>
      <c r="U35" s="571"/>
      <c r="V35" s="573"/>
    </row>
    <row r="36" spans="1:22">
      <c r="A36" s="1243" t="s">
        <v>785</v>
      </c>
      <c r="B36" s="1280"/>
      <c r="C36" s="1280" t="s">
        <v>248</v>
      </c>
      <c r="D36" s="1280">
        <f>parttransp</f>
        <v>4</v>
      </c>
      <c r="E36" s="1280" t="s">
        <v>249</v>
      </c>
      <c r="F36" s="1280">
        <f>IF(B36=0,0,F32)</f>
        <v>0</v>
      </c>
      <c r="G36" s="1280">
        <f>B36*D36*F36</f>
        <v>0</v>
      </c>
      <c r="H36" s="1281"/>
      <c r="I36" s="1280">
        <f>$G36*H32*J$16</f>
        <v>0</v>
      </c>
      <c r="J36" s="571"/>
      <c r="K36" s="1281"/>
      <c r="L36" s="1280">
        <f>$G36*K32*M$16</f>
        <v>0</v>
      </c>
      <c r="M36" s="1282"/>
      <c r="N36" s="1281"/>
      <c r="O36" s="1280">
        <f>$G36*N32*P$16</f>
        <v>0</v>
      </c>
      <c r="P36" s="1282"/>
      <c r="Q36" s="1281"/>
      <c r="R36" s="1280">
        <f>$G36*Q32*S$16</f>
        <v>0</v>
      </c>
      <c r="S36" s="1282"/>
      <c r="T36" s="1244"/>
      <c r="U36" s="571"/>
      <c r="V36" s="573"/>
    </row>
    <row r="37" spans="1:22">
      <c r="A37" s="1243" t="s">
        <v>251</v>
      </c>
      <c r="B37" s="1280"/>
      <c r="C37" s="1280" t="s">
        <v>248</v>
      </c>
      <c r="D37" s="1280">
        <f>coffee+lunch</f>
        <v>16</v>
      </c>
      <c r="E37" s="1280" t="s">
        <v>249</v>
      </c>
      <c r="F37" s="1280">
        <f>IF(B37=0,0,F32)</f>
        <v>0</v>
      </c>
      <c r="G37" s="1280">
        <f>B37*D37*F37</f>
        <v>0</v>
      </c>
      <c r="H37" s="1281"/>
      <c r="I37" s="1280">
        <f>$G37*H32*J$16</f>
        <v>0</v>
      </c>
      <c r="J37" s="571"/>
      <c r="K37" s="1281"/>
      <c r="L37" s="1280">
        <f>$G37*K32*M$16</f>
        <v>0</v>
      </c>
      <c r="M37" s="1282"/>
      <c r="N37" s="1281"/>
      <c r="O37" s="1280">
        <f>$G37*N32*P$16</f>
        <v>0</v>
      </c>
      <c r="P37" s="1282"/>
      <c r="Q37" s="1281"/>
      <c r="R37" s="1280">
        <f>$G37*Q32*S$16</f>
        <v>0</v>
      </c>
      <c r="S37" s="1282"/>
      <c r="T37" s="1244"/>
      <c r="U37" s="571"/>
      <c r="V37" s="573"/>
    </row>
    <row r="38" spans="1:22">
      <c r="A38" s="1243" t="s">
        <v>276</v>
      </c>
      <c r="B38" s="1280"/>
      <c r="C38" s="1280" t="s">
        <v>277</v>
      </c>
      <c r="D38" s="1280">
        <f>print</f>
        <v>50</v>
      </c>
      <c r="E38" s="1280" t="str">
        <f>C38</f>
        <v>activity</v>
      </c>
      <c r="F38" s="1280">
        <f>IF(B38=0,0,1)</f>
        <v>0</v>
      </c>
      <c r="G38" s="1280">
        <f>B38*D38*F38</f>
        <v>0</v>
      </c>
      <c r="H38" s="1281"/>
      <c r="I38" s="1280">
        <f>$G38*H32*J$16</f>
        <v>0</v>
      </c>
      <c r="J38" s="571"/>
      <c r="K38" s="1281"/>
      <c r="L38" s="1280">
        <f>$G38*K32*M$16</f>
        <v>0</v>
      </c>
      <c r="M38" s="1282"/>
      <c r="N38" s="1281"/>
      <c r="O38" s="1280">
        <f>$G38*N32*P$16</f>
        <v>0</v>
      </c>
      <c r="P38" s="1282"/>
      <c r="Q38" s="1281"/>
      <c r="R38" s="1280">
        <f>$G38*Q32*S$16</f>
        <v>0</v>
      </c>
      <c r="S38" s="1282"/>
      <c r="T38" s="1244"/>
      <c r="U38" s="571"/>
      <c r="V38" s="573"/>
    </row>
    <row r="39" spans="1:22">
      <c r="A39" s="605"/>
      <c r="B39" s="1280"/>
      <c r="C39" s="1280"/>
      <c r="D39" s="1280"/>
      <c r="E39" s="1280"/>
      <c r="F39" s="1280"/>
      <c r="G39" s="1280"/>
      <c r="H39" s="1281"/>
      <c r="I39" s="1280"/>
      <c r="J39" s="571"/>
      <c r="K39" s="1281"/>
      <c r="L39" s="1280"/>
      <c r="M39" s="1282"/>
      <c r="N39" s="1281"/>
      <c r="O39" s="1280"/>
      <c r="P39" s="1282"/>
      <c r="Q39" s="1281"/>
      <c r="R39" s="1280"/>
      <c r="S39" s="1282"/>
      <c r="T39" s="1244"/>
      <c r="U39" s="571"/>
      <c r="V39" s="573"/>
    </row>
    <row r="40" spans="1:22">
      <c r="A40" s="613" t="s">
        <v>278</v>
      </c>
      <c r="B40" s="1280"/>
      <c r="C40" s="1280"/>
      <c r="D40" s="1280"/>
      <c r="E40" s="1280"/>
      <c r="F40" s="1280"/>
      <c r="G40" s="1280">
        <f t="shared" ref="G40:G45" si="1">B40*D40*F40</f>
        <v>0</v>
      </c>
      <c r="H40" s="1281"/>
      <c r="I40" s="1280"/>
      <c r="J40" s="571"/>
      <c r="K40" s="1281"/>
      <c r="L40" s="1280"/>
      <c r="M40" s="1282"/>
      <c r="N40" s="1281"/>
      <c r="O40" s="1280"/>
      <c r="P40" s="1282"/>
      <c r="Q40" s="1281"/>
      <c r="R40" s="1280"/>
      <c r="S40" s="1282"/>
      <c r="T40" s="1244"/>
      <c r="U40" s="571"/>
      <c r="V40" s="573"/>
    </row>
    <row r="41" spans="1:22">
      <c r="A41" s="605" t="s">
        <v>261</v>
      </c>
      <c r="B41" s="1280">
        <v>1</v>
      </c>
      <c r="C41" s="1280" t="s">
        <v>248</v>
      </c>
      <c r="D41" s="1280">
        <f>partground</f>
        <v>9</v>
      </c>
      <c r="E41" s="1280" t="s">
        <v>262</v>
      </c>
      <c r="F41" s="1280">
        <v>3</v>
      </c>
      <c r="G41" s="1280">
        <f t="shared" si="1"/>
        <v>27</v>
      </c>
      <c r="H41" s="1281"/>
      <c r="I41" s="1280">
        <f>$G41*J$16*$H$34</f>
        <v>0</v>
      </c>
      <c r="J41" s="571"/>
      <c r="K41" s="1281"/>
      <c r="L41" s="1280">
        <f>$G41*$K$34*M$16</f>
        <v>0</v>
      </c>
      <c r="M41" s="1282"/>
      <c r="N41" s="1281"/>
      <c r="O41" s="1280">
        <f>$G41*$N$34*P$16</f>
        <v>0</v>
      </c>
      <c r="P41" s="1282"/>
      <c r="Q41" s="1281"/>
      <c r="R41" s="1280">
        <f>$G41*$Q$34*S$16</f>
        <v>0</v>
      </c>
      <c r="S41" s="1282"/>
      <c r="T41" s="1244"/>
      <c r="U41" s="571"/>
      <c r="V41" s="573"/>
    </row>
    <row r="42" spans="1:22">
      <c r="A42" s="1243" t="s">
        <v>786</v>
      </c>
      <c r="B42" s="1280">
        <v>1</v>
      </c>
      <c r="C42" s="1280" t="s">
        <v>248</v>
      </c>
      <c r="D42" s="1280">
        <f>+[1]Assumptions!D101</f>
        <v>25</v>
      </c>
      <c r="E42" s="1280" t="s">
        <v>249</v>
      </c>
      <c r="F42" s="1280">
        <v>3</v>
      </c>
      <c r="G42" s="1280">
        <f t="shared" si="1"/>
        <v>75</v>
      </c>
      <c r="H42" s="1281"/>
      <c r="I42" s="1280">
        <f>$G42*J$16*$H$34</f>
        <v>0</v>
      </c>
      <c r="J42" s="571"/>
      <c r="K42" s="1281"/>
      <c r="L42" s="1280">
        <f>$G42*$K$34*M$16</f>
        <v>0</v>
      </c>
      <c r="M42" s="1282"/>
      <c r="N42" s="1281"/>
      <c r="O42" s="1280">
        <f>$G42*$N$34*P$16</f>
        <v>0</v>
      </c>
      <c r="P42" s="1282"/>
      <c r="Q42" s="1281"/>
      <c r="R42" s="1280">
        <f>$G42*$Q$34*S$16</f>
        <v>0</v>
      </c>
      <c r="S42" s="1282"/>
      <c r="T42" s="1244"/>
      <c r="U42" s="571"/>
      <c r="V42" s="573"/>
    </row>
    <row r="43" spans="1:22">
      <c r="A43" s="605" t="s">
        <v>264</v>
      </c>
      <c r="B43" s="1280">
        <v>1</v>
      </c>
      <c r="C43" s="1280" t="s">
        <v>248</v>
      </c>
      <c r="D43" s="1280">
        <f>+[1]Assumptions!D103</f>
        <v>90</v>
      </c>
      <c r="E43" s="1280" t="s">
        <v>249</v>
      </c>
      <c r="F43" s="1280">
        <v>3</v>
      </c>
      <c r="G43" s="1280">
        <f t="shared" si="1"/>
        <v>270</v>
      </c>
      <c r="H43" s="1281"/>
      <c r="I43" s="1280">
        <f>$G43*J$16*$H$34</f>
        <v>0</v>
      </c>
      <c r="J43" s="571"/>
      <c r="K43" s="1281"/>
      <c r="L43" s="1280">
        <f>$G43*$K$34*M$16</f>
        <v>0</v>
      </c>
      <c r="M43" s="1282"/>
      <c r="N43" s="1281"/>
      <c r="O43" s="1280">
        <f>$G43*$N$34*P$16</f>
        <v>0</v>
      </c>
      <c r="P43" s="1282"/>
      <c r="Q43" s="1281"/>
      <c r="R43" s="1280">
        <f>$G43*$Q$34*S$16</f>
        <v>0</v>
      </c>
      <c r="S43" s="1282"/>
      <c r="T43" s="1244"/>
      <c r="U43" s="571"/>
      <c r="V43" s="573"/>
    </row>
    <row r="44" spans="1:22">
      <c r="A44" s="1243" t="s">
        <v>787</v>
      </c>
      <c r="B44" s="1280">
        <v>1</v>
      </c>
      <c r="C44" s="1280" t="s">
        <v>248</v>
      </c>
      <c r="D44" s="1280">
        <f>partmeals</f>
        <v>47</v>
      </c>
      <c r="E44" s="1280" t="s">
        <v>249</v>
      </c>
      <c r="F44" s="1280">
        <v>3</v>
      </c>
      <c r="G44" s="1280">
        <f t="shared" si="1"/>
        <v>141</v>
      </c>
      <c r="H44" s="1281"/>
      <c r="I44" s="1280">
        <f>$G44*J$16*$H$34</f>
        <v>0</v>
      </c>
      <c r="J44" s="571"/>
      <c r="K44" s="1281"/>
      <c r="L44" s="1280">
        <f>$G44*$K$34*M$16</f>
        <v>0</v>
      </c>
      <c r="M44" s="1282"/>
      <c r="N44" s="1281"/>
      <c r="O44" s="1280">
        <f>$G44*$N$34*P$16</f>
        <v>0</v>
      </c>
      <c r="P44" s="1282"/>
      <c r="Q44" s="1281"/>
      <c r="R44" s="1280">
        <f>$G44*$Q$34*S$16</f>
        <v>0</v>
      </c>
      <c r="S44" s="1282"/>
      <c r="T44" s="1244"/>
      <c r="U44" s="571"/>
      <c r="V44" s="573"/>
    </row>
    <row r="45" spans="1:22">
      <c r="A45" s="1243" t="s">
        <v>582</v>
      </c>
      <c r="B45" s="1280">
        <v>1</v>
      </c>
      <c r="C45" s="1280" t="s">
        <v>248</v>
      </c>
      <c r="D45" s="1280">
        <f>partairfare</f>
        <v>200</v>
      </c>
      <c r="E45" s="1280" t="s">
        <v>262</v>
      </c>
      <c r="F45" s="1280">
        <v>1</v>
      </c>
      <c r="G45" s="1280">
        <f t="shared" si="1"/>
        <v>200</v>
      </c>
      <c r="H45" s="1281"/>
      <c r="I45" s="1280">
        <f>$G45*J$16*$H$34</f>
        <v>0</v>
      </c>
      <c r="J45" s="571"/>
      <c r="K45" s="1281"/>
      <c r="L45" s="1280">
        <f>$G45*$K$34*M$16</f>
        <v>0</v>
      </c>
      <c r="M45" s="1282"/>
      <c r="N45" s="1281"/>
      <c r="O45" s="1280">
        <f>$G45*$N$34*P$16</f>
        <v>0</v>
      </c>
      <c r="P45" s="1282"/>
      <c r="Q45" s="1281"/>
      <c r="R45" s="1280">
        <f>$G45*$Q$34*S$16</f>
        <v>0</v>
      </c>
      <c r="S45" s="1282"/>
      <c r="T45" s="1244"/>
      <c r="U45" s="571"/>
      <c r="V45" s="573"/>
    </row>
    <row r="46" spans="1:22">
      <c r="A46" s="1245" t="s">
        <v>788</v>
      </c>
      <c r="B46" s="622"/>
      <c r="C46" s="622"/>
      <c r="D46" s="1283"/>
      <c r="E46" s="1446"/>
      <c r="F46" s="1446"/>
      <c r="G46" s="624"/>
      <c r="H46" s="625"/>
      <c r="I46" s="625"/>
      <c r="J46" s="1284"/>
      <c r="K46" s="625"/>
      <c r="L46" s="625"/>
      <c r="M46" s="1284"/>
      <c r="N46" s="625"/>
      <c r="O46" s="625"/>
      <c r="P46" s="1284"/>
      <c r="Q46" s="625"/>
      <c r="R46" s="625"/>
      <c r="S46" s="1284"/>
      <c r="T46" s="1249"/>
      <c r="U46" s="571"/>
      <c r="V46" s="573"/>
    </row>
    <row r="47" spans="1:22">
      <c r="A47" s="569"/>
      <c r="B47" s="627"/>
      <c r="C47" s="627"/>
      <c r="D47" s="627"/>
      <c r="E47" s="627"/>
      <c r="F47" s="627"/>
      <c r="G47" s="592"/>
      <c r="H47" s="592"/>
      <c r="I47" s="592"/>
      <c r="J47" s="592"/>
      <c r="K47" s="592"/>
      <c r="L47" s="592"/>
      <c r="M47" s="592"/>
      <c r="N47" s="592"/>
      <c r="O47" s="592"/>
      <c r="P47" s="592"/>
      <c r="Q47" s="592"/>
      <c r="R47" s="592"/>
      <c r="S47" s="592"/>
      <c r="T47" s="593"/>
      <c r="U47" s="571"/>
      <c r="V47" s="573"/>
    </row>
    <row r="48" spans="1:22">
      <c r="A48" s="567"/>
      <c r="B48" s="590"/>
      <c r="C48" s="590"/>
      <c r="D48" s="590"/>
      <c r="E48" s="590"/>
      <c r="F48" s="590"/>
      <c r="G48" s="590"/>
      <c r="H48" s="590"/>
      <c r="I48" s="590"/>
      <c r="J48" s="590"/>
      <c r="K48" s="590"/>
      <c r="L48" s="590"/>
      <c r="M48" s="590"/>
      <c r="N48" s="590"/>
      <c r="O48" s="590"/>
      <c r="P48" s="590"/>
      <c r="Q48" s="590"/>
      <c r="R48" s="590"/>
      <c r="S48" s="590"/>
      <c r="T48" s="591"/>
      <c r="U48" s="571"/>
      <c r="V48" s="573"/>
    </row>
    <row r="49" spans="1:22">
      <c r="A49" s="569"/>
      <c r="B49" s="627"/>
      <c r="C49" s="627"/>
      <c r="D49" s="627"/>
      <c r="E49" s="627"/>
      <c r="F49" s="627"/>
      <c r="G49" s="592"/>
      <c r="H49" s="592"/>
      <c r="I49" s="592"/>
      <c r="J49" s="592"/>
      <c r="K49" s="592"/>
      <c r="L49" s="592"/>
      <c r="M49" s="592"/>
      <c r="N49" s="592"/>
      <c r="O49" s="592"/>
      <c r="P49" s="592"/>
      <c r="Q49" s="592"/>
      <c r="R49" s="592"/>
      <c r="S49" s="592"/>
      <c r="T49" s="593"/>
      <c r="U49" s="571"/>
      <c r="V49" s="573"/>
    </row>
    <row r="50" spans="1:22" ht="28.5" customHeight="1">
      <c r="A50" s="1447" t="s">
        <v>749</v>
      </c>
      <c r="B50" s="1447"/>
      <c r="C50" s="1447"/>
      <c r="D50" s="1447"/>
      <c r="E50" s="1447"/>
      <c r="F50" s="595"/>
      <c r="G50" s="595"/>
      <c r="H50" s="1438"/>
      <c r="I50" s="1438"/>
      <c r="J50" s="1278">
        <f>SUM(I53:I55)</f>
        <v>0</v>
      </c>
      <c r="K50" s="1444"/>
      <c r="L50" s="1444"/>
      <c r="M50" s="1278">
        <f>SUM(L53:L55)</f>
        <v>0</v>
      </c>
      <c r="N50" s="1444"/>
      <c r="O50" s="1444"/>
      <c r="P50" s="1278">
        <f>SUM(O53:O55)</f>
        <v>0</v>
      </c>
      <c r="Q50" s="1445"/>
      <c r="R50" s="1445"/>
      <c r="S50" s="596">
        <f>SUM(R53:R55)</f>
        <v>0</v>
      </c>
      <c r="T50" s="1066">
        <f>SUM(J50,M50,P50,S50,)</f>
        <v>0</v>
      </c>
      <c r="U50" s="571"/>
      <c r="V50" s="573"/>
    </row>
    <row r="51" spans="1:22">
      <c r="A51" s="1238" t="s">
        <v>777</v>
      </c>
      <c r="B51" s="1239"/>
      <c r="C51" s="1239"/>
      <c r="D51" s="1239"/>
      <c r="E51" s="1239"/>
      <c r="F51" s="1239"/>
      <c r="G51" s="1239"/>
      <c r="H51" s="1240"/>
      <c r="I51" s="1239"/>
      <c r="J51" s="1239"/>
      <c r="K51" s="1240"/>
      <c r="L51" s="1239"/>
      <c r="M51" s="1241"/>
      <c r="N51" s="1240"/>
      <c r="O51" s="1239"/>
      <c r="P51" s="1241"/>
      <c r="Q51" s="1240"/>
      <c r="R51" s="1239"/>
      <c r="S51" s="1241"/>
      <c r="T51" s="1242"/>
      <c r="U51" s="1199"/>
      <c r="V51" s="573"/>
    </row>
    <row r="52" spans="1:22">
      <c r="A52" s="599" t="s">
        <v>778</v>
      </c>
      <c r="B52" s="1239"/>
      <c r="C52" s="1239"/>
      <c r="D52" s="1239"/>
      <c r="E52" s="1239"/>
      <c r="F52" s="1239"/>
      <c r="G52" s="1239"/>
      <c r="H52" s="1240"/>
      <c r="I52" s="1239"/>
      <c r="J52" s="1239"/>
      <c r="K52" s="1240"/>
      <c r="L52" s="1239"/>
      <c r="M52" s="1241"/>
      <c r="N52" s="1240"/>
      <c r="O52" s="1239"/>
      <c r="P52" s="1241"/>
      <c r="Q52" s="1240"/>
      <c r="R52" s="1239"/>
      <c r="S52" s="1241"/>
      <c r="T52" s="1242"/>
      <c r="U52" s="571"/>
      <c r="V52" s="573"/>
    </row>
    <row r="53" spans="1:22">
      <c r="A53" s="1243" t="s">
        <v>779</v>
      </c>
      <c r="B53" s="1280">
        <v>0</v>
      </c>
      <c r="C53" s="1280" t="s">
        <v>248</v>
      </c>
      <c r="D53" s="1280">
        <f>parttransp</f>
        <v>4</v>
      </c>
      <c r="E53" s="1280" t="s">
        <v>249</v>
      </c>
      <c r="F53" s="1280">
        <f>IF(B53=0,0,F50)</f>
        <v>0</v>
      </c>
      <c r="G53" s="1069">
        <f>B53*D53*F53</f>
        <v>0</v>
      </c>
      <c r="H53" s="1068"/>
      <c r="I53" s="1069">
        <f>$G53*H50*J$16</f>
        <v>0</v>
      </c>
      <c r="J53" s="571"/>
      <c r="K53" s="1068"/>
      <c r="L53" s="1069">
        <f>$G53*K50*M$16</f>
        <v>0</v>
      </c>
      <c r="M53" s="1067"/>
      <c r="N53" s="1068"/>
      <c r="O53" s="1069">
        <f>$G53*N50*P$16</f>
        <v>0</v>
      </c>
      <c r="P53" s="1067"/>
      <c r="Q53" s="1068"/>
      <c r="R53" s="1069">
        <f>$G53*Q50*S$16</f>
        <v>0</v>
      </c>
      <c r="S53" s="1067"/>
      <c r="T53" s="1244"/>
      <c r="U53" s="571"/>
      <c r="V53" s="573"/>
    </row>
    <row r="54" spans="1:22">
      <c r="A54" s="1243" t="s">
        <v>251</v>
      </c>
      <c r="B54" s="1280">
        <v>0</v>
      </c>
      <c r="C54" s="1280" t="s">
        <v>248</v>
      </c>
      <c r="D54" s="1280">
        <f>coffee+lunch</f>
        <v>16</v>
      </c>
      <c r="E54" s="1280" t="s">
        <v>249</v>
      </c>
      <c r="F54" s="1280">
        <f>IF(B54=0,0,F50)</f>
        <v>0</v>
      </c>
      <c r="G54" s="1069">
        <f>B54*D54*F54</f>
        <v>0</v>
      </c>
      <c r="H54" s="1068"/>
      <c r="I54" s="1069">
        <f>$G54*H50*J$16</f>
        <v>0</v>
      </c>
      <c r="J54" s="571"/>
      <c r="K54" s="1068"/>
      <c r="L54" s="1069">
        <f>$G54*K50*M$16</f>
        <v>0</v>
      </c>
      <c r="M54" s="1067"/>
      <c r="N54" s="1068"/>
      <c r="O54" s="1069">
        <f>$G54*N50*P$16</f>
        <v>0</v>
      </c>
      <c r="P54" s="1067"/>
      <c r="Q54" s="1068"/>
      <c r="R54" s="1069">
        <f>$G54*Q50*S$16</f>
        <v>0</v>
      </c>
      <c r="S54" s="1067"/>
      <c r="T54" s="1244"/>
      <c r="U54" s="571"/>
      <c r="V54" s="573"/>
    </row>
    <row r="55" spans="1:22">
      <c r="A55" s="1243" t="s">
        <v>781</v>
      </c>
      <c r="B55" s="1280">
        <v>0</v>
      </c>
      <c r="C55" s="1280" t="s">
        <v>277</v>
      </c>
      <c r="D55" s="1280">
        <f>print</f>
        <v>50</v>
      </c>
      <c r="E55" s="1280" t="str">
        <f>C55</f>
        <v>activity</v>
      </c>
      <c r="F55" s="1280">
        <f>IF(B55=0,0,1)</f>
        <v>0</v>
      </c>
      <c r="G55" s="1069">
        <f>B55*D55*F55</f>
        <v>0</v>
      </c>
      <c r="H55" s="1068"/>
      <c r="I55" s="1069">
        <f>$G55*H50*J$16</f>
        <v>0</v>
      </c>
      <c r="J55" s="571"/>
      <c r="K55" s="1068"/>
      <c r="L55" s="1069">
        <f>$G55*K50*M$16</f>
        <v>0</v>
      </c>
      <c r="M55" s="1067"/>
      <c r="N55" s="1068"/>
      <c r="O55" s="1069">
        <f>$G55*N50*P$16</f>
        <v>0</v>
      </c>
      <c r="P55" s="1067"/>
      <c r="Q55" s="1068"/>
      <c r="R55" s="1069">
        <f>$G55*Q50*S$16</f>
        <v>0</v>
      </c>
      <c r="S55" s="1067"/>
      <c r="T55" s="1244"/>
      <c r="U55" s="571"/>
      <c r="V55" s="573"/>
    </row>
    <row r="56" spans="1:22">
      <c r="A56" s="605"/>
      <c r="B56" s="1280"/>
      <c r="C56" s="1280"/>
      <c r="D56" s="1280"/>
      <c r="E56" s="1280"/>
      <c r="F56" s="1280"/>
      <c r="G56" s="1069"/>
      <c r="H56" s="1068"/>
      <c r="I56" s="1069"/>
      <c r="J56" s="571"/>
      <c r="K56" s="1068"/>
      <c r="L56" s="1069"/>
      <c r="M56" s="1067"/>
      <c r="N56" s="1068"/>
      <c r="O56" s="1069"/>
      <c r="P56" s="1067"/>
      <c r="Q56" s="1068"/>
      <c r="R56" s="1069"/>
      <c r="S56" s="1067"/>
      <c r="T56" s="1244"/>
      <c r="U56" s="571"/>
      <c r="V56" s="573"/>
    </row>
    <row r="57" spans="1:22">
      <c r="A57" s="613" t="s">
        <v>260</v>
      </c>
      <c r="B57" s="1280"/>
      <c r="C57" s="1280"/>
      <c r="D57" s="1280"/>
      <c r="E57" s="1280"/>
      <c r="F57" s="1280"/>
      <c r="G57" s="1069">
        <f t="shared" ref="G57:G62" si="2">B57*D57*F57</f>
        <v>0</v>
      </c>
      <c r="H57" s="1068"/>
      <c r="I57" s="1069"/>
      <c r="J57" s="571"/>
      <c r="K57" s="1068"/>
      <c r="L57" s="1069"/>
      <c r="M57" s="1067"/>
      <c r="N57" s="1068"/>
      <c r="O57" s="1069"/>
      <c r="P57" s="1067"/>
      <c r="Q57" s="1068"/>
      <c r="R57" s="1069"/>
      <c r="S57" s="1067"/>
      <c r="T57" s="1244"/>
      <c r="U57" s="571"/>
      <c r="V57" s="573"/>
    </row>
    <row r="58" spans="1:22">
      <c r="A58" s="605" t="s">
        <v>266</v>
      </c>
      <c r="B58" s="1280"/>
      <c r="C58" s="1280" t="s">
        <v>248</v>
      </c>
      <c r="D58" s="1280">
        <f>partground</f>
        <v>9</v>
      </c>
      <c r="E58" s="1280" t="s">
        <v>262</v>
      </c>
      <c r="F58" s="1280">
        <v>1</v>
      </c>
      <c r="G58" s="1069">
        <f t="shared" si="2"/>
        <v>0</v>
      </c>
      <c r="H58" s="1068"/>
      <c r="I58" s="1069">
        <f>$G58*$H$50*J$16</f>
        <v>0</v>
      </c>
      <c r="J58" s="571"/>
      <c r="K58" s="1068"/>
      <c r="L58" s="1069">
        <f>$G58*$K$50*M$16</f>
        <v>0</v>
      </c>
      <c r="M58" s="1067"/>
      <c r="N58" s="1068"/>
      <c r="O58" s="1069">
        <f>$G58*$N$20*P$16</f>
        <v>0</v>
      </c>
      <c r="P58" s="1067"/>
      <c r="Q58" s="1068"/>
      <c r="R58" s="1069">
        <f>$G58*$Q$20*S$16</f>
        <v>0</v>
      </c>
      <c r="S58" s="1067"/>
      <c r="T58" s="1244"/>
      <c r="U58" s="571"/>
      <c r="V58" s="573"/>
    </row>
    <row r="59" spans="1:22">
      <c r="A59" s="1243" t="s">
        <v>789</v>
      </c>
      <c r="B59" s="1280"/>
      <c r="C59" s="1280" t="s">
        <v>248</v>
      </c>
      <c r="D59" s="1280">
        <f>partground</f>
        <v>9</v>
      </c>
      <c r="E59" s="1280" t="s">
        <v>249</v>
      </c>
      <c r="F59" s="1280">
        <v>1</v>
      </c>
      <c r="G59" s="1069">
        <f t="shared" si="2"/>
        <v>0</v>
      </c>
      <c r="H59" s="1068"/>
      <c r="I59" s="1069">
        <f>$G59*$H$50*J$16</f>
        <v>0</v>
      </c>
      <c r="J59" s="571"/>
      <c r="K59" s="1068"/>
      <c r="L59" s="1069">
        <f>$G59*$K$50*M$16</f>
        <v>0</v>
      </c>
      <c r="M59" s="1067"/>
      <c r="N59" s="1068"/>
      <c r="O59" s="1069">
        <f>$G59*$N$20*P$16</f>
        <v>0</v>
      </c>
      <c r="P59" s="1067"/>
      <c r="Q59" s="1068"/>
      <c r="R59" s="1069">
        <f>$G59*$Q$20*S$16</f>
        <v>0</v>
      </c>
      <c r="S59" s="1067"/>
      <c r="T59" s="1244"/>
      <c r="U59" s="571"/>
      <c r="V59" s="573"/>
    </row>
    <row r="60" spans="1:22">
      <c r="A60" s="605" t="s">
        <v>790</v>
      </c>
      <c r="B60" s="1280"/>
      <c r="C60" s="1280" t="s">
        <v>248</v>
      </c>
      <c r="D60" s="1280">
        <f>partlodg</f>
        <v>35</v>
      </c>
      <c r="E60" s="1280" t="s">
        <v>249</v>
      </c>
      <c r="F60" s="1280">
        <v>1</v>
      </c>
      <c r="G60" s="1069">
        <f t="shared" si="2"/>
        <v>0</v>
      </c>
      <c r="H60" s="1068"/>
      <c r="I60" s="1069">
        <f>$G60*$H$50*J$16</f>
        <v>0</v>
      </c>
      <c r="J60" s="571"/>
      <c r="K60" s="1068"/>
      <c r="L60" s="1069">
        <f>$G60*$K$50*M$16</f>
        <v>0</v>
      </c>
      <c r="M60" s="1067"/>
      <c r="N60" s="1068"/>
      <c r="O60" s="1069">
        <f>$G60*$N$20*P$16</f>
        <v>0</v>
      </c>
      <c r="P60" s="1067"/>
      <c r="Q60" s="1068"/>
      <c r="R60" s="1069">
        <f>$G60*$Q$20*S$16</f>
        <v>0</v>
      </c>
      <c r="S60" s="1067"/>
      <c r="T60" s="1244"/>
      <c r="U60" s="571"/>
      <c r="V60" s="573"/>
    </row>
    <row r="61" spans="1:22">
      <c r="A61" s="1243" t="s">
        <v>783</v>
      </c>
      <c r="B61" s="1280"/>
      <c r="C61" s="1280" t="s">
        <v>248</v>
      </c>
      <c r="D61" s="1280">
        <f>partmeals</f>
        <v>47</v>
      </c>
      <c r="E61" s="1280" t="s">
        <v>249</v>
      </c>
      <c r="F61" s="1280">
        <v>1</v>
      </c>
      <c r="G61" s="1069">
        <f t="shared" si="2"/>
        <v>0</v>
      </c>
      <c r="H61" s="1068"/>
      <c r="I61" s="1069">
        <f>$G61*$H$50*J$16</f>
        <v>0</v>
      </c>
      <c r="J61" s="571"/>
      <c r="K61" s="1068"/>
      <c r="L61" s="1069">
        <f>$G61*$K$50*M$16</f>
        <v>0</v>
      </c>
      <c r="M61" s="1067"/>
      <c r="N61" s="1068"/>
      <c r="O61" s="1069">
        <f>$G61*$N$20*P$16</f>
        <v>0</v>
      </c>
      <c r="P61" s="1067"/>
      <c r="Q61" s="1068"/>
      <c r="R61" s="1069">
        <f>$G61*$Q$20*S$16</f>
        <v>0</v>
      </c>
      <c r="S61" s="1067"/>
      <c r="T61" s="1244"/>
      <c r="U61" s="571"/>
      <c r="V61" s="573"/>
    </row>
    <row r="62" spans="1:22">
      <c r="A62" s="1243" t="s">
        <v>644</v>
      </c>
      <c r="B62" s="1280"/>
      <c r="C62" s="1280" t="s">
        <v>248</v>
      </c>
      <c r="D62" s="1280">
        <f>parttransp</f>
        <v>4</v>
      </c>
      <c r="E62" s="1280" t="s">
        <v>262</v>
      </c>
      <c r="F62" s="1280">
        <v>1</v>
      </c>
      <c r="G62" s="1069">
        <f t="shared" si="2"/>
        <v>0</v>
      </c>
      <c r="H62" s="1068"/>
      <c r="I62" s="1069">
        <f>$G62*$H$50*J$16</f>
        <v>0</v>
      </c>
      <c r="J62" s="571"/>
      <c r="K62" s="1068"/>
      <c r="L62" s="1069">
        <f>$G62*$K$20*M$16</f>
        <v>0</v>
      </c>
      <c r="M62" s="1067"/>
      <c r="N62" s="1068"/>
      <c r="O62" s="1069">
        <f>$G62*$N$20*P$16</f>
        <v>0</v>
      </c>
      <c r="P62" s="1067"/>
      <c r="Q62" s="1068"/>
      <c r="R62" s="1069">
        <f>$G62*$Q$20*S$16</f>
        <v>0</v>
      </c>
      <c r="S62" s="1067"/>
      <c r="T62" s="1244"/>
      <c r="U62" s="571"/>
      <c r="V62" s="573"/>
    </row>
    <row r="63" spans="1:22">
      <c r="A63" s="1245" t="s">
        <v>269</v>
      </c>
      <c r="B63" s="622"/>
      <c r="C63" s="622"/>
      <c r="D63" s="1246"/>
      <c r="E63" s="1410">
        <f>SUM(G58:G62)</f>
        <v>0</v>
      </c>
      <c r="F63" s="1410"/>
      <c r="G63" s="1247"/>
      <c r="H63" s="1248"/>
      <c r="I63" s="1248"/>
      <c r="J63" s="1239"/>
      <c r="K63" s="1248"/>
      <c r="L63" s="1248"/>
      <c r="M63" s="1239"/>
      <c r="N63" s="1248"/>
      <c r="O63" s="1248"/>
      <c r="P63" s="1239"/>
      <c r="Q63" s="1248"/>
      <c r="R63" s="1248"/>
      <c r="S63" s="1239"/>
      <c r="T63" s="1249"/>
      <c r="U63" s="571"/>
      <c r="V63" s="573"/>
    </row>
    <row r="64" spans="1:22">
      <c r="A64" s="1238" t="s">
        <v>784</v>
      </c>
      <c r="B64" s="1284"/>
      <c r="C64" s="1284"/>
      <c r="D64" s="1284"/>
      <c r="E64" s="1284"/>
      <c r="F64" s="595"/>
      <c r="G64" s="1284"/>
      <c r="H64" s="1438"/>
      <c r="I64" s="1438"/>
      <c r="J64" s="1278">
        <f>SUM(I67:I69)</f>
        <v>0</v>
      </c>
      <c r="K64" s="1444"/>
      <c r="L64" s="1444"/>
      <c r="M64" s="1279">
        <f>SUM(L67:L69)</f>
        <v>0</v>
      </c>
      <c r="N64" s="1444"/>
      <c r="O64" s="1444"/>
      <c r="P64" s="1279">
        <f>SUM(O67:O69)</f>
        <v>0</v>
      </c>
      <c r="Q64" s="1445"/>
      <c r="R64" s="1445"/>
      <c r="S64" s="597">
        <f>SUM(R67:R69)</f>
        <v>0</v>
      </c>
      <c r="T64" s="1066">
        <f>SUM(J64,M64,P64,S64,)</f>
        <v>0</v>
      </c>
      <c r="U64" s="1199"/>
      <c r="V64" s="573"/>
    </row>
    <row r="65" spans="1:22">
      <c r="A65" s="599" t="s">
        <v>283</v>
      </c>
      <c r="B65" s="1284"/>
      <c r="C65" s="1284"/>
      <c r="D65" s="1284"/>
      <c r="E65" s="1284"/>
      <c r="F65" s="1284"/>
      <c r="G65" s="1284"/>
      <c r="H65" s="1285"/>
      <c r="I65" s="1284"/>
      <c r="J65" s="1284"/>
      <c r="K65" s="1285"/>
      <c r="L65" s="1284"/>
      <c r="M65" s="1286"/>
      <c r="N65" s="1285"/>
      <c r="O65" s="1284"/>
      <c r="P65" s="1286"/>
      <c r="Q65" s="1285"/>
      <c r="R65" s="1284"/>
      <c r="S65" s="1241"/>
      <c r="T65" s="1242"/>
      <c r="U65" s="571"/>
      <c r="V65" s="573"/>
    </row>
    <row r="66" spans="1:22">
      <c r="A66" s="1243" t="s">
        <v>791</v>
      </c>
      <c r="B66" s="1280"/>
      <c r="C66" s="1280" t="s">
        <v>248</v>
      </c>
      <c r="D66" s="1280">
        <f>parttransp</f>
        <v>4</v>
      </c>
      <c r="E66" s="1280" t="s">
        <v>249</v>
      </c>
      <c r="F66" s="1280">
        <f>IF(B66=0,0,F62)</f>
        <v>0</v>
      </c>
      <c r="G66" s="1280">
        <f>B66*D66*F66</f>
        <v>0</v>
      </c>
      <c r="H66" s="1281"/>
      <c r="I66" s="1280">
        <f>$G66*H62*J$16</f>
        <v>0</v>
      </c>
      <c r="J66" s="571"/>
      <c r="K66" s="1281"/>
      <c r="L66" s="1280">
        <f>$G66*K62*M$16</f>
        <v>0</v>
      </c>
      <c r="M66" s="1282"/>
      <c r="N66" s="1281"/>
      <c r="O66" s="1280">
        <f>$G66*N62*P$16</f>
        <v>0</v>
      </c>
      <c r="P66" s="1282"/>
      <c r="Q66" s="1281"/>
      <c r="R66" s="1280">
        <f>$G66*Q62*S$16</f>
        <v>0</v>
      </c>
      <c r="S66" s="1067"/>
      <c r="T66" s="1244"/>
      <c r="U66" s="571"/>
      <c r="V66" s="573"/>
    </row>
    <row r="67" spans="1:22">
      <c r="A67" s="1243" t="s">
        <v>792</v>
      </c>
      <c r="B67" s="1280"/>
      <c r="C67" s="1280" t="s">
        <v>248</v>
      </c>
      <c r="D67" s="1280">
        <f>coffee+lunch</f>
        <v>16</v>
      </c>
      <c r="E67" s="1280" t="s">
        <v>249</v>
      </c>
      <c r="F67" s="1280">
        <f>IF(B67=0,0,F62)</f>
        <v>0</v>
      </c>
      <c r="G67" s="1280">
        <f>B67*D67*F67</f>
        <v>0</v>
      </c>
      <c r="H67" s="1281"/>
      <c r="I67" s="1280">
        <f>$G67*H62*J$16</f>
        <v>0</v>
      </c>
      <c r="J67" s="571"/>
      <c r="K67" s="1281"/>
      <c r="L67" s="1280">
        <f>$G67*K62*M$16</f>
        <v>0</v>
      </c>
      <c r="M67" s="1282"/>
      <c r="N67" s="1281"/>
      <c r="O67" s="1280">
        <f>$G67*N62*P$16</f>
        <v>0</v>
      </c>
      <c r="P67" s="1282"/>
      <c r="Q67" s="1281"/>
      <c r="R67" s="1280">
        <f>$G67*Q62*S$16</f>
        <v>0</v>
      </c>
      <c r="S67" s="1067"/>
      <c r="T67" s="1244"/>
      <c r="U67" s="571"/>
      <c r="V67" s="573"/>
    </row>
    <row r="68" spans="1:22">
      <c r="A68" s="1243" t="s">
        <v>781</v>
      </c>
      <c r="B68" s="1280"/>
      <c r="C68" s="1280" t="s">
        <v>277</v>
      </c>
      <c r="D68" s="1280">
        <f>print</f>
        <v>50</v>
      </c>
      <c r="E68" s="1280" t="str">
        <f>C68</f>
        <v>activity</v>
      </c>
      <c r="F68" s="1280">
        <f>IF(B68=0,0,1)</f>
        <v>0</v>
      </c>
      <c r="G68" s="1280">
        <f>B68*D68*F68</f>
        <v>0</v>
      </c>
      <c r="H68" s="1281"/>
      <c r="I68" s="1280">
        <f>$G68*H62*J$16</f>
        <v>0</v>
      </c>
      <c r="J68" s="571"/>
      <c r="K68" s="1281"/>
      <c r="L68" s="1280">
        <f>$G68*K62*M$16</f>
        <v>0</v>
      </c>
      <c r="M68" s="1282"/>
      <c r="N68" s="1281"/>
      <c r="O68" s="1280">
        <f>$G68*N62*P$16</f>
        <v>0</v>
      </c>
      <c r="P68" s="1282"/>
      <c r="Q68" s="1281"/>
      <c r="R68" s="1280">
        <f>$G68*Q62*S$16</f>
        <v>0</v>
      </c>
      <c r="S68" s="1067"/>
      <c r="T68" s="1244"/>
      <c r="U68" s="571"/>
      <c r="V68" s="573"/>
    </row>
    <row r="69" spans="1:22">
      <c r="A69" s="605"/>
      <c r="B69" s="1280"/>
      <c r="C69" s="1280"/>
      <c r="D69" s="1280"/>
      <c r="E69" s="1280"/>
      <c r="F69" s="1280"/>
      <c r="G69" s="1280"/>
      <c r="H69" s="1281"/>
      <c r="I69" s="1280"/>
      <c r="J69" s="571"/>
      <c r="K69" s="1281"/>
      <c r="L69" s="1280"/>
      <c r="M69" s="1282"/>
      <c r="N69" s="1281"/>
      <c r="O69" s="1280"/>
      <c r="P69" s="1282"/>
      <c r="Q69" s="1281"/>
      <c r="R69" s="1280"/>
      <c r="S69" s="1067"/>
      <c r="T69" s="1244"/>
      <c r="U69" s="571"/>
      <c r="V69" s="573"/>
    </row>
    <row r="70" spans="1:22">
      <c r="A70" s="613" t="s">
        <v>278</v>
      </c>
      <c r="B70" s="1280"/>
      <c r="C70" s="1280"/>
      <c r="D70" s="1280"/>
      <c r="E70" s="1280"/>
      <c r="F70" s="1280"/>
      <c r="G70" s="1280">
        <f t="shared" ref="G70:G75" si="3">B70*D70*F70</f>
        <v>0</v>
      </c>
      <c r="H70" s="1281"/>
      <c r="I70" s="1280"/>
      <c r="J70" s="571"/>
      <c r="K70" s="1281"/>
      <c r="L70" s="1280"/>
      <c r="M70" s="1282"/>
      <c r="N70" s="1281"/>
      <c r="O70" s="1280"/>
      <c r="P70" s="1282"/>
      <c r="Q70" s="1281"/>
      <c r="R70" s="1280"/>
      <c r="S70" s="1067"/>
      <c r="T70" s="1244"/>
      <c r="U70" s="571"/>
      <c r="V70" s="573"/>
    </row>
    <row r="71" spans="1:22">
      <c r="A71" s="605" t="s">
        <v>261</v>
      </c>
      <c r="B71" s="1280">
        <v>1</v>
      </c>
      <c r="C71" s="1280" t="s">
        <v>248</v>
      </c>
      <c r="D71" s="1280">
        <f>partground</f>
        <v>9</v>
      </c>
      <c r="E71" s="1280" t="s">
        <v>262</v>
      </c>
      <c r="F71" s="1280">
        <v>2</v>
      </c>
      <c r="G71" s="1280">
        <f t="shared" si="3"/>
        <v>18</v>
      </c>
      <c r="H71" s="1281"/>
      <c r="I71" s="1280">
        <f>$G71*J$16*$H$64</f>
        <v>0</v>
      </c>
      <c r="J71" s="571"/>
      <c r="K71" s="1281"/>
      <c r="L71" s="1280">
        <f>$G71*$K$64*M$16</f>
        <v>0</v>
      </c>
      <c r="M71" s="1282"/>
      <c r="N71" s="1281"/>
      <c r="O71" s="1280">
        <f>$G71*$N$34*P$16</f>
        <v>0</v>
      </c>
      <c r="P71" s="1282"/>
      <c r="Q71" s="1281"/>
      <c r="R71" s="1280">
        <f>$G71*$Q$34*S$16</f>
        <v>0</v>
      </c>
      <c r="S71" s="1067"/>
      <c r="T71" s="1244"/>
      <c r="U71" s="571"/>
      <c r="V71" s="573"/>
    </row>
    <row r="72" spans="1:22">
      <c r="A72" s="1243" t="s">
        <v>263</v>
      </c>
      <c r="B72" s="1280">
        <v>1</v>
      </c>
      <c r="C72" s="1280" t="s">
        <v>248</v>
      </c>
      <c r="D72" s="1280">
        <f>+[1]Assumptions!D101</f>
        <v>25</v>
      </c>
      <c r="E72" s="1280" t="s">
        <v>249</v>
      </c>
      <c r="F72" s="1280">
        <v>2</v>
      </c>
      <c r="G72" s="1280">
        <f t="shared" si="3"/>
        <v>50</v>
      </c>
      <c r="H72" s="1281"/>
      <c r="I72" s="1280">
        <f>$G72*J$16*$H$64</f>
        <v>0</v>
      </c>
      <c r="J72" s="571"/>
      <c r="K72" s="1281"/>
      <c r="L72" s="1280">
        <f>$G72*$K$64*M$16</f>
        <v>0</v>
      </c>
      <c r="M72" s="1282"/>
      <c r="N72" s="1281"/>
      <c r="O72" s="1280">
        <f>$G72*$N$34*P$16</f>
        <v>0</v>
      </c>
      <c r="P72" s="1282"/>
      <c r="Q72" s="1281"/>
      <c r="R72" s="1280">
        <f>$G72*$Q$34*S$16</f>
        <v>0</v>
      </c>
      <c r="S72" s="1067"/>
      <c r="T72" s="1244"/>
      <c r="U72" s="571"/>
      <c r="V72" s="573"/>
    </row>
    <row r="73" spans="1:22">
      <c r="A73" s="605" t="s">
        <v>790</v>
      </c>
      <c r="B73" s="1280">
        <v>1</v>
      </c>
      <c r="C73" s="1280" t="s">
        <v>248</v>
      </c>
      <c r="D73" s="1280">
        <f>+[1]Assumptions!D103</f>
        <v>90</v>
      </c>
      <c r="E73" s="1280" t="s">
        <v>249</v>
      </c>
      <c r="F73" s="1280">
        <v>2</v>
      </c>
      <c r="G73" s="1280">
        <f t="shared" si="3"/>
        <v>180</v>
      </c>
      <c r="H73" s="1281"/>
      <c r="I73" s="1280">
        <f>$G73*J$16*$H$64</f>
        <v>0</v>
      </c>
      <c r="J73" s="571"/>
      <c r="K73" s="1281"/>
      <c r="L73" s="1280">
        <f>$G73*$K$64*M$16</f>
        <v>0</v>
      </c>
      <c r="M73" s="1282"/>
      <c r="N73" s="1281"/>
      <c r="O73" s="1280">
        <f>$G73*$N$34*P$16</f>
        <v>0</v>
      </c>
      <c r="P73" s="1282"/>
      <c r="Q73" s="1281"/>
      <c r="R73" s="1280">
        <f>$G73*$Q$34*S$16</f>
        <v>0</v>
      </c>
      <c r="S73" s="1067"/>
      <c r="T73" s="1244"/>
      <c r="U73" s="571"/>
      <c r="V73" s="573"/>
    </row>
    <row r="74" spans="1:22">
      <c r="A74" s="1243" t="s">
        <v>783</v>
      </c>
      <c r="B74" s="1280">
        <v>1</v>
      </c>
      <c r="C74" s="1280" t="s">
        <v>248</v>
      </c>
      <c r="D74" s="1280">
        <f>partmeals</f>
        <v>47</v>
      </c>
      <c r="E74" s="1280" t="s">
        <v>249</v>
      </c>
      <c r="F74" s="1280">
        <v>2</v>
      </c>
      <c r="G74" s="1280">
        <f t="shared" si="3"/>
        <v>94</v>
      </c>
      <c r="H74" s="1281"/>
      <c r="I74" s="1280">
        <f>$G74*J$16*$H$64</f>
        <v>0</v>
      </c>
      <c r="J74" s="571"/>
      <c r="K74" s="1281"/>
      <c r="L74" s="1280">
        <f>$G74*$K$64*M$16</f>
        <v>0</v>
      </c>
      <c r="M74" s="1282"/>
      <c r="N74" s="1281"/>
      <c r="O74" s="1280">
        <f>$G74*$N$34*P$16</f>
        <v>0</v>
      </c>
      <c r="P74" s="1282"/>
      <c r="Q74" s="1281"/>
      <c r="R74" s="1280">
        <f>$G74*$Q$34*S$16</f>
        <v>0</v>
      </c>
      <c r="S74" s="1067"/>
      <c r="T74" s="1244"/>
      <c r="U74" s="571"/>
      <c r="V74" s="573"/>
    </row>
    <row r="75" spans="1:22">
      <c r="A75" s="1243" t="s">
        <v>582</v>
      </c>
      <c r="B75" s="1280">
        <v>1</v>
      </c>
      <c r="C75" s="1280" t="s">
        <v>248</v>
      </c>
      <c r="D75" s="1280">
        <f>partairfare</f>
        <v>200</v>
      </c>
      <c r="E75" s="1280" t="s">
        <v>262</v>
      </c>
      <c r="F75" s="1280">
        <v>1</v>
      </c>
      <c r="G75" s="1280">
        <f t="shared" si="3"/>
        <v>200</v>
      </c>
      <c r="H75" s="1281"/>
      <c r="I75" s="1280">
        <f>$G75*J$16*$H$64</f>
        <v>0</v>
      </c>
      <c r="J75" s="571"/>
      <c r="K75" s="1281"/>
      <c r="L75" s="1280">
        <f>$G75*$K$64*M$16</f>
        <v>0</v>
      </c>
      <c r="M75" s="1282"/>
      <c r="N75" s="1281"/>
      <c r="O75" s="1280">
        <f>$G75*$N$34*P$16</f>
        <v>0</v>
      </c>
      <c r="P75" s="1282"/>
      <c r="Q75" s="1281"/>
      <c r="R75" s="1280">
        <f>$G75*$Q$34*S$16</f>
        <v>0</v>
      </c>
      <c r="S75" s="1067"/>
      <c r="T75" s="1244"/>
      <c r="U75" s="571"/>
      <c r="V75" s="573"/>
    </row>
    <row r="76" spans="1:22">
      <c r="A76" s="1245" t="s">
        <v>788</v>
      </c>
      <c r="B76" s="622"/>
      <c r="C76" s="622"/>
      <c r="D76" s="1246"/>
      <c r="E76" s="1410">
        <f>SUM(G71:G75)</f>
        <v>542</v>
      </c>
      <c r="F76" s="1410"/>
      <c r="G76" s="1247"/>
      <c r="H76" s="1248"/>
      <c r="I76" s="1248"/>
      <c r="J76" s="1239"/>
      <c r="K76" s="1248"/>
      <c r="L76" s="1248"/>
      <c r="M76" s="1239"/>
      <c r="N76" s="1248"/>
      <c r="O76" s="1248"/>
      <c r="P76" s="1239"/>
      <c r="Q76" s="1248"/>
      <c r="R76" s="1248"/>
      <c r="S76" s="1239"/>
      <c r="T76" s="1249"/>
      <c r="U76" s="571"/>
      <c r="V76" s="573"/>
    </row>
    <row r="77" spans="1:22">
      <c r="A77" s="569"/>
      <c r="B77" s="627"/>
      <c r="C77" s="627"/>
      <c r="D77" s="627"/>
      <c r="E77" s="627"/>
      <c r="F77" s="627"/>
      <c r="G77" s="592"/>
      <c r="H77" s="592"/>
      <c r="I77" s="592"/>
      <c r="J77" s="592"/>
      <c r="K77" s="592"/>
      <c r="L77" s="592"/>
      <c r="M77" s="592"/>
      <c r="N77" s="592"/>
      <c r="O77" s="592"/>
      <c r="P77" s="592"/>
      <c r="Q77" s="592"/>
      <c r="R77" s="592"/>
      <c r="S77" s="592"/>
      <c r="T77" s="593"/>
      <c r="U77" s="571"/>
      <c r="V77" s="573"/>
    </row>
    <row r="78" spans="1:22">
      <c r="A78" s="567"/>
      <c r="B78" s="590"/>
      <c r="C78" s="590"/>
      <c r="D78" s="590"/>
      <c r="E78" s="590"/>
      <c r="F78" s="590"/>
      <c r="G78" s="590"/>
      <c r="H78" s="590"/>
      <c r="I78" s="590"/>
      <c r="J78" s="590"/>
      <c r="K78" s="590"/>
      <c r="L78" s="590"/>
      <c r="M78" s="590"/>
      <c r="N78" s="590"/>
      <c r="O78" s="590"/>
      <c r="P78" s="590"/>
      <c r="Q78" s="590"/>
      <c r="R78" s="590"/>
      <c r="S78" s="590"/>
      <c r="T78" s="591"/>
      <c r="U78" s="571"/>
      <c r="V78" s="573"/>
    </row>
    <row r="79" spans="1:22" ht="15.75" customHeight="1">
      <c r="A79" s="1447" t="s">
        <v>793</v>
      </c>
      <c r="B79" s="1447"/>
      <c r="C79" s="1447"/>
      <c r="D79" s="1447"/>
      <c r="E79" s="1447"/>
      <c r="F79" s="595"/>
      <c r="G79" s="595"/>
      <c r="H79" s="1438"/>
      <c r="I79" s="1438"/>
      <c r="J79" s="1278">
        <f>SUM(I82:I84)</f>
        <v>0</v>
      </c>
      <c r="K79" s="1444">
        <v>1</v>
      </c>
      <c r="L79" s="1444"/>
      <c r="M79" s="1279">
        <f>SUM(L94:L96)</f>
        <v>4944.5760000000009</v>
      </c>
      <c r="N79" s="1444"/>
      <c r="O79" s="1444"/>
      <c r="P79" s="1279">
        <f>SUM(O82:O84)</f>
        <v>0</v>
      </c>
      <c r="Q79" s="1445"/>
      <c r="R79" s="1445"/>
      <c r="S79" s="597">
        <f>SUM(R82:R84)</f>
        <v>0</v>
      </c>
      <c r="T79" s="1066">
        <f>SUM(J79,M79,P79,S79,)</f>
        <v>4944.5760000000009</v>
      </c>
      <c r="U79" s="571"/>
      <c r="V79" s="573"/>
    </row>
    <row r="80" spans="1:22">
      <c r="A80" s="1250" t="s">
        <v>777</v>
      </c>
      <c r="B80" s="1239"/>
      <c r="C80" s="1239"/>
      <c r="D80" s="1239"/>
      <c r="E80" s="1239"/>
      <c r="F80" s="1239"/>
      <c r="G80" s="1239"/>
      <c r="H80" s="1240"/>
      <c r="I80" s="1239"/>
      <c r="J80" s="1239"/>
      <c r="K80" s="1240"/>
      <c r="L80" s="1239"/>
      <c r="M80" s="1241"/>
      <c r="N80" s="1240"/>
      <c r="O80" s="1239"/>
      <c r="P80" s="1241"/>
      <c r="Q80" s="1240"/>
      <c r="R80" s="1239"/>
      <c r="S80" s="1241"/>
      <c r="T80" s="1242"/>
      <c r="U80" s="1199"/>
      <c r="V80" s="573"/>
    </row>
    <row r="81" spans="1:22">
      <c r="A81" s="599" t="s">
        <v>794</v>
      </c>
      <c r="B81" s="1239"/>
      <c r="C81" s="1239"/>
      <c r="D81" s="1239"/>
      <c r="E81" s="1239"/>
      <c r="F81" s="1239"/>
      <c r="G81" s="1239"/>
      <c r="H81" s="1240"/>
      <c r="I81" s="1239"/>
      <c r="J81" s="1239"/>
      <c r="K81" s="1240"/>
      <c r="L81" s="1239"/>
      <c r="M81" s="1241"/>
      <c r="N81" s="1240"/>
      <c r="O81" s="1239"/>
      <c r="P81" s="1241"/>
      <c r="Q81" s="1240"/>
      <c r="R81" s="1239"/>
      <c r="S81" s="1241"/>
      <c r="T81" s="1242"/>
      <c r="U81" s="571"/>
      <c r="V81" s="573"/>
    </row>
    <row r="82" spans="1:22">
      <c r="A82" s="1243" t="s">
        <v>795</v>
      </c>
      <c r="B82" s="1280">
        <v>0</v>
      </c>
      <c r="C82" s="1280" t="s">
        <v>248</v>
      </c>
      <c r="D82" s="1280">
        <f>parttransp</f>
        <v>4</v>
      </c>
      <c r="E82" s="1280" t="s">
        <v>249</v>
      </c>
      <c r="F82" s="1280">
        <f>IF(B82=0,0,F79)</f>
        <v>0</v>
      </c>
      <c r="G82" s="1280">
        <f>B82*D82*F82</f>
        <v>0</v>
      </c>
      <c r="H82" s="1068"/>
      <c r="I82" s="1069">
        <f>$G82*H79*J$16</f>
        <v>0</v>
      </c>
      <c r="J82" s="571"/>
      <c r="K82" s="1068"/>
      <c r="L82" s="1069">
        <f>$G82*K79*M$16</f>
        <v>0</v>
      </c>
      <c r="M82" s="1067"/>
      <c r="N82" s="1068"/>
      <c r="O82" s="1069">
        <f>$G82*N79*P$16</f>
        <v>0</v>
      </c>
      <c r="P82" s="1067"/>
      <c r="Q82" s="1068"/>
      <c r="R82" s="1069">
        <f>$G82*Q79*S$16</f>
        <v>0</v>
      </c>
      <c r="S82" s="1067"/>
      <c r="T82" s="1244"/>
      <c r="U82" s="571"/>
      <c r="V82" s="573"/>
    </row>
    <row r="83" spans="1:22">
      <c r="A83" s="1243" t="s">
        <v>251</v>
      </c>
      <c r="B83" s="1280">
        <v>0</v>
      </c>
      <c r="C83" s="1280" t="s">
        <v>248</v>
      </c>
      <c r="D83" s="1280">
        <f>coffee+lunch</f>
        <v>16</v>
      </c>
      <c r="E83" s="1280" t="s">
        <v>249</v>
      </c>
      <c r="F83" s="1280">
        <f>IF(B83=0,0,F79)</f>
        <v>0</v>
      </c>
      <c r="G83" s="1280">
        <f>B83*D83*F83</f>
        <v>0</v>
      </c>
      <c r="H83" s="1068"/>
      <c r="I83" s="1069">
        <f>$G83*H79*J$16</f>
        <v>0</v>
      </c>
      <c r="J83" s="571"/>
      <c r="K83" s="1068"/>
      <c r="L83" s="1069">
        <f>$G83*K79*M$16</f>
        <v>0</v>
      </c>
      <c r="M83" s="1067"/>
      <c r="N83" s="1068"/>
      <c r="O83" s="1069">
        <f>$G83*N79*P$16</f>
        <v>0</v>
      </c>
      <c r="P83" s="1067"/>
      <c r="Q83" s="1068"/>
      <c r="R83" s="1069">
        <f>$G83*Q79*S$16</f>
        <v>0</v>
      </c>
      <c r="S83" s="1067"/>
      <c r="T83" s="1244"/>
      <c r="U83" s="571"/>
      <c r="V83" s="573"/>
    </row>
    <row r="84" spans="1:22">
      <c r="A84" s="1243" t="s">
        <v>781</v>
      </c>
      <c r="B84" s="1280">
        <v>0</v>
      </c>
      <c r="C84" s="1280" t="s">
        <v>277</v>
      </c>
      <c r="D84" s="1280">
        <f>print</f>
        <v>50</v>
      </c>
      <c r="E84" s="1280" t="str">
        <f>C84</f>
        <v>activity</v>
      </c>
      <c r="F84" s="1280">
        <f>IF(B84=0,0,1)</f>
        <v>0</v>
      </c>
      <c r="G84" s="1280">
        <f>B84*D84*F84</f>
        <v>0</v>
      </c>
      <c r="H84" s="1068"/>
      <c r="I84" s="1069">
        <f>$G84*H79*J$16</f>
        <v>0</v>
      </c>
      <c r="J84" s="571"/>
      <c r="K84" s="1068"/>
      <c r="L84" s="1069">
        <f>$G84*K79*M$16</f>
        <v>0</v>
      </c>
      <c r="M84" s="1067"/>
      <c r="N84" s="1068"/>
      <c r="O84" s="1069">
        <f>$G84*N79*P$16</f>
        <v>0</v>
      </c>
      <c r="P84" s="1067"/>
      <c r="Q84" s="1068"/>
      <c r="R84" s="1069">
        <f>$G84*Q79*S$16</f>
        <v>0</v>
      </c>
      <c r="S84" s="1067"/>
      <c r="T84" s="1244"/>
      <c r="U84" s="571"/>
      <c r="V84" s="573"/>
    </row>
    <row r="85" spans="1:22">
      <c r="A85" s="605"/>
      <c r="B85" s="1280"/>
      <c r="C85" s="1280"/>
      <c r="D85" s="1280"/>
      <c r="E85" s="1280"/>
      <c r="F85" s="1280"/>
      <c r="G85" s="1280"/>
      <c r="H85" s="1068"/>
      <c r="I85" s="1069"/>
      <c r="J85" s="571"/>
      <c r="K85" s="1068"/>
      <c r="L85" s="1069"/>
      <c r="M85" s="1067"/>
      <c r="N85" s="1068"/>
      <c r="O85" s="1069"/>
      <c r="P85" s="1067"/>
      <c r="Q85" s="1068"/>
      <c r="R85" s="1069"/>
      <c r="S85" s="1067"/>
      <c r="T85" s="1244"/>
      <c r="U85" s="571"/>
      <c r="V85" s="573"/>
    </row>
    <row r="86" spans="1:22">
      <c r="A86" s="613" t="s">
        <v>796</v>
      </c>
      <c r="B86" s="1280"/>
      <c r="C86" s="1280"/>
      <c r="D86" s="1280"/>
      <c r="E86" s="1280"/>
      <c r="F86" s="1280"/>
      <c r="G86" s="1280">
        <f t="shared" ref="G86:G91" si="4">B86*D86*F86</f>
        <v>0</v>
      </c>
      <c r="H86" s="1068"/>
      <c r="I86" s="1069"/>
      <c r="J86" s="571"/>
      <c r="K86" s="1068"/>
      <c r="L86" s="1069"/>
      <c r="M86" s="1067"/>
      <c r="N86" s="1068"/>
      <c r="O86" s="1069"/>
      <c r="P86" s="1067"/>
      <c r="Q86" s="1068"/>
      <c r="R86" s="1069"/>
      <c r="S86" s="1067"/>
      <c r="T86" s="1244"/>
      <c r="U86" s="571"/>
      <c r="V86" s="573"/>
    </row>
    <row r="87" spans="1:22">
      <c r="A87" s="605" t="s">
        <v>266</v>
      </c>
      <c r="B87" s="1280"/>
      <c r="C87" s="1280" t="s">
        <v>248</v>
      </c>
      <c r="D87" s="1280">
        <f>partground</f>
        <v>9</v>
      </c>
      <c r="E87" s="1280" t="s">
        <v>262</v>
      </c>
      <c r="F87" s="1280">
        <v>3</v>
      </c>
      <c r="G87" s="1280">
        <f t="shared" si="4"/>
        <v>0</v>
      </c>
      <c r="H87" s="1068"/>
      <c r="I87" s="1069">
        <f>$G87*$H$79*$J$16</f>
        <v>0</v>
      </c>
      <c r="J87" s="571"/>
      <c r="K87" s="1068"/>
      <c r="L87" s="1069">
        <f>$G87*$K$79*M$16</f>
        <v>0</v>
      </c>
      <c r="M87" s="1067"/>
      <c r="N87" s="1068"/>
      <c r="O87" s="1069">
        <f>$G87*$N$79*P$16</f>
        <v>0</v>
      </c>
      <c r="P87" s="1067"/>
      <c r="Q87" s="1068"/>
      <c r="R87" s="1069">
        <f>$G87*$Q$79*S$16</f>
        <v>0</v>
      </c>
      <c r="S87" s="1067"/>
      <c r="T87" s="1244"/>
      <c r="U87" s="571"/>
      <c r="V87" s="573"/>
    </row>
    <row r="88" spans="1:22">
      <c r="A88" s="1243" t="s">
        <v>267</v>
      </c>
      <c r="B88" s="1280"/>
      <c r="C88" s="1280" t="s">
        <v>248</v>
      </c>
      <c r="D88" s="1280">
        <f>partground</f>
        <v>9</v>
      </c>
      <c r="E88" s="1280" t="s">
        <v>249</v>
      </c>
      <c r="F88" s="1280">
        <v>3</v>
      </c>
      <c r="G88" s="1280">
        <f t="shared" si="4"/>
        <v>0</v>
      </c>
      <c r="H88" s="1068"/>
      <c r="I88" s="1069">
        <f>$G88*$H$79*$J$16</f>
        <v>0</v>
      </c>
      <c r="J88" s="571"/>
      <c r="K88" s="1068"/>
      <c r="L88" s="1069">
        <f>$G88*$K$79*M$16</f>
        <v>0</v>
      </c>
      <c r="M88" s="1067"/>
      <c r="N88" s="1068"/>
      <c r="O88" s="1069">
        <f>$G88*$N$79*P$16</f>
        <v>0</v>
      </c>
      <c r="P88" s="1067"/>
      <c r="Q88" s="1068"/>
      <c r="R88" s="1069">
        <f>$G88*$Q$79*S$16</f>
        <v>0</v>
      </c>
      <c r="S88" s="1067"/>
      <c r="T88" s="1244"/>
      <c r="U88" s="571"/>
      <c r="V88" s="573"/>
    </row>
    <row r="89" spans="1:22">
      <c r="A89" s="605" t="s">
        <v>797</v>
      </c>
      <c r="B89" s="1280"/>
      <c r="C89" s="1280" t="s">
        <v>248</v>
      </c>
      <c r="D89" s="1280">
        <f>partlodg</f>
        <v>35</v>
      </c>
      <c r="E89" s="1280" t="s">
        <v>249</v>
      </c>
      <c r="F89" s="1280">
        <v>1</v>
      </c>
      <c r="G89" s="1280">
        <f t="shared" si="4"/>
        <v>0</v>
      </c>
      <c r="H89" s="1068"/>
      <c r="I89" s="1069">
        <f>$G89*$H$79*$J$16</f>
        <v>0</v>
      </c>
      <c r="J89" s="571"/>
      <c r="K89" s="1068"/>
      <c r="L89" s="1069">
        <f>$G89*$K$79*M$16</f>
        <v>0</v>
      </c>
      <c r="M89" s="1067"/>
      <c r="N89" s="1068"/>
      <c r="O89" s="1069">
        <f>$G89*$N$79*P$16</f>
        <v>0</v>
      </c>
      <c r="P89" s="1067"/>
      <c r="Q89" s="1068"/>
      <c r="R89" s="1069">
        <f>$G89*$Q$79*S$16</f>
        <v>0</v>
      </c>
      <c r="S89" s="1067"/>
      <c r="T89" s="1244"/>
      <c r="U89" s="571"/>
      <c r="V89" s="573"/>
    </row>
    <row r="90" spans="1:22">
      <c r="A90" s="1243" t="s">
        <v>787</v>
      </c>
      <c r="B90" s="1280"/>
      <c r="C90" s="1280" t="s">
        <v>248</v>
      </c>
      <c r="D90" s="1280">
        <f>partmeals</f>
        <v>47</v>
      </c>
      <c r="E90" s="1280" t="s">
        <v>249</v>
      </c>
      <c r="F90" s="1280">
        <v>1</v>
      </c>
      <c r="G90" s="1280">
        <f t="shared" si="4"/>
        <v>0</v>
      </c>
      <c r="H90" s="1068"/>
      <c r="I90" s="1069">
        <f>$G90*$H$79*$J$16</f>
        <v>0</v>
      </c>
      <c r="J90" s="571"/>
      <c r="K90" s="1068"/>
      <c r="L90" s="1069">
        <f>$G90*$K$79*M$16</f>
        <v>0</v>
      </c>
      <c r="M90" s="1067"/>
      <c r="N90" s="1068"/>
      <c r="O90" s="1069">
        <f>$G90*$N$79*P$16</f>
        <v>0</v>
      </c>
      <c r="P90" s="1067"/>
      <c r="Q90" s="1068"/>
      <c r="R90" s="1069">
        <f>$G90*$Q$79*S$16</f>
        <v>0</v>
      </c>
      <c r="S90" s="1067"/>
      <c r="T90" s="1244"/>
      <c r="U90" s="571"/>
      <c r="V90" s="573"/>
    </row>
    <row r="91" spans="1:22">
      <c r="A91" s="1243" t="s">
        <v>798</v>
      </c>
      <c r="B91" s="1280"/>
      <c r="C91" s="1280" t="s">
        <v>248</v>
      </c>
      <c r="D91" s="1280">
        <f>parttransp</f>
        <v>4</v>
      </c>
      <c r="E91" s="1280" t="s">
        <v>262</v>
      </c>
      <c r="F91" s="1280">
        <v>1</v>
      </c>
      <c r="G91" s="1280">
        <f t="shared" si="4"/>
        <v>0</v>
      </c>
      <c r="H91" s="1068"/>
      <c r="I91" s="1069">
        <f>$G91*$H$79*$J$16</f>
        <v>0</v>
      </c>
      <c r="J91" s="571"/>
      <c r="K91" s="1068"/>
      <c r="L91" s="1069">
        <f>$G91*$K$79*M$16</f>
        <v>0</v>
      </c>
      <c r="M91" s="1067"/>
      <c r="N91" s="1068"/>
      <c r="O91" s="1069">
        <f>$G91*$N$79*P$16</f>
        <v>0</v>
      </c>
      <c r="P91" s="1067"/>
      <c r="Q91" s="1068"/>
      <c r="R91" s="1069">
        <f>$G91*$Q$79*S$16</f>
        <v>0</v>
      </c>
      <c r="S91" s="1067"/>
      <c r="T91" s="1244"/>
      <c r="U91" s="571"/>
      <c r="V91" s="573"/>
    </row>
    <row r="92" spans="1:22">
      <c r="A92" s="1245" t="s">
        <v>788</v>
      </c>
      <c r="B92" s="622"/>
      <c r="C92" s="622"/>
      <c r="D92" s="1283"/>
      <c r="E92" s="1446">
        <f>SUM(G81:G91)</f>
        <v>0</v>
      </c>
      <c r="F92" s="1446"/>
      <c r="G92" s="624"/>
      <c r="H92" s="1248"/>
      <c r="I92" s="1069"/>
      <c r="J92" s="571"/>
      <c r="K92" s="1068"/>
      <c r="L92" s="1069"/>
      <c r="M92" s="1067"/>
      <c r="N92" s="1068"/>
      <c r="O92" s="1069"/>
      <c r="P92" s="1067"/>
      <c r="Q92" s="1068"/>
      <c r="R92" s="1069"/>
      <c r="S92" s="1067"/>
      <c r="T92" s="1249"/>
      <c r="U92" s="571"/>
      <c r="V92" s="573"/>
    </row>
    <row r="93" spans="1:22">
      <c r="A93" s="1251" t="s">
        <v>270</v>
      </c>
      <c r="B93" s="498" t="s">
        <v>799</v>
      </c>
      <c r="C93" s="498" t="s">
        <v>799</v>
      </c>
      <c r="D93" s="498" t="s">
        <v>799</v>
      </c>
      <c r="E93" s="498" t="s">
        <v>799</v>
      </c>
      <c r="F93" s="498" t="s">
        <v>799</v>
      </c>
      <c r="G93" s="1280"/>
      <c r="H93" s="1068"/>
      <c r="I93" s="1069"/>
      <c r="J93" s="571"/>
      <c r="K93" s="1068"/>
      <c r="L93" s="1069"/>
      <c r="M93" s="1067"/>
      <c r="N93" s="1068"/>
      <c r="O93" s="1069"/>
      <c r="P93" s="1067"/>
      <c r="Q93" s="1068"/>
      <c r="R93" s="1069"/>
      <c r="S93" s="1067"/>
      <c r="T93" s="1244"/>
      <c r="U93" s="571"/>
      <c r="V93" s="573"/>
    </row>
    <row r="94" spans="1:22">
      <c r="A94" s="1252" t="s">
        <v>247</v>
      </c>
      <c r="B94" s="573"/>
      <c r="C94" s="573" t="s">
        <v>800</v>
      </c>
      <c r="D94" s="573">
        <v>4</v>
      </c>
      <c r="E94" s="573" t="s">
        <v>801</v>
      </c>
      <c r="F94" s="625"/>
      <c r="G94" s="1287"/>
      <c r="H94" s="1253"/>
      <c r="I94" s="1069"/>
      <c r="J94" s="571"/>
      <c r="K94" s="1068"/>
      <c r="L94" s="1069"/>
      <c r="M94" s="1067"/>
      <c r="N94" s="1068"/>
      <c r="O94" s="1069"/>
      <c r="P94" s="1067"/>
      <c r="Q94" s="1068"/>
      <c r="R94" s="1069"/>
      <c r="S94" s="1067"/>
      <c r="T94" s="1254"/>
      <c r="U94" s="571"/>
      <c r="V94" s="573"/>
    </row>
    <row r="95" spans="1:22">
      <c r="A95" s="1255" t="s">
        <v>802</v>
      </c>
      <c r="B95" s="573"/>
      <c r="C95" s="573" t="s">
        <v>803</v>
      </c>
      <c r="D95" s="573">
        <v>20</v>
      </c>
      <c r="E95" s="573" t="s">
        <v>803</v>
      </c>
      <c r="F95" s="1280">
        <v>1</v>
      </c>
      <c r="G95" s="1280">
        <f>B95*D95*F95</f>
        <v>0</v>
      </c>
      <c r="H95" s="1253"/>
      <c r="I95" s="1069"/>
      <c r="J95" s="571"/>
      <c r="K95" s="1068"/>
      <c r="L95" s="1069">
        <f>$G95*$K$79*M$16</f>
        <v>0</v>
      </c>
      <c r="M95" s="1067"/>
      <c r="N95" s="1068"/>
      <c r="O95" s="1069"/>
      <c r="P95" s="1067"/>
      <c r="Q95" s="1068"/>
      <c r="R95" s="1069"/>
      <c r="S95" s="1067"/>
      <c r="T95" s="1254"/>
      <c r="U95" s="571"/>
      <c r="V95" s="573"/>
    </row>
    <row r="96" spans="1:22">
      <c r="A96" s="1255" t="s">
        <v>804</v>
      </c>
      <c r="B96" s="573">
        <v>1</v>
      </c>
      <c r="C96" s="573" t="s">
        <v>800</v>
      </c>
      <c r="D96" s="1288">
        <v>339.6</v>
      </c>
      <c r="E96" s="573" t="s">
        <v>801</v>
      </c>
      <c r="F96" s="1280">
        <v>14</v>
      </c>
      <c r="G96" s="1280">
        <f>B96*D96*F96</f>
        <v>4754.4000000000005</v>
      </c>
      <c r="H96" s="1253"/>
      <c r="I96" s="1069"/>
      <c r="J96" s="571"/>
      <c r="K96" s="1068"/>
      <c r="L96" s="1069">
        <f>$G96*$K$79*M$16</f>
        <v>4944.5760000000009</v>
      </c>
      <c r="M96" s="1067"/>
      <c r="N96" s="1068"/>
      <c r="O96" s="1069"/>
      <c r="P96" s="1067"/>
      <c r="Q96" s="1068"/>
      <c r="R96" s="1069"/>
      <c r="S96" s="1067"/>
      <c r="T96" s="1254"/>
      <c r="U96" s="571"/>
      <c r="V96" s="573"/>
    </row>
    <row r="97" spans="1:22">
      <c r="A97" s="1256" t="s">
        <v>260</v>
      </c>
      <c r="B97" s="1280"/>
      <c r="C97" s="1280"/>
      <c r="D97" s="1280"/>
      <c r="E97" s="1280"/>
      <c r="F97" s="1280"/>
      <c r="G97" s="1280"/>
      <c r="H97" s="1253"/>
      <c r="I97" s="1069"/>
      <c r="J97" s="571"/>
      <c r="K97" s="1068"/>
      <c r="L97" s="1069"/>
      <c r="M97" s="1067"/>
      <c r="N97" s="1068"/>
      <c r="O97" s="1069"/>
      <c r="P97" s="1067"/>
      <c r="Q97" s="1068"/>
      <c r="R97" s="1069"/>
      <c r="S97" s="1067"/>
      <c r="T97" s="1254"/>
      <c r="U97" s="571"/>
      <c r="V97" s="573"/>
    </row>
    <row r="98" spans="1:22">
      <c r="A98" s="1255" t="s">
        <v>266</v>
      </c>
      <c r="B98" s="1280">
        <v>1</v>
      </c>
      <c r="C98" s="1280" t="s">
        <v>248</v>
      </c>
      <c r="D98" s="1280">
        <f>partground</f>
        <v>9</v>
      </c>
      <c r="E98" s="1280" t="s">
        <v>262</v>
      </c>
      <c r="F98" s="1280">
        <v>11</v>
      </c>
      <c r="G98" s="1280">
        <f>B98*D98*F98</f>
        <v>99</v>
      </c>
      <c r="H98" s="1253"/>
      <c r="I98" s="1069"/>
      <c r="J98" s="571"/>
      <c r="K98" s="1068"/>
      <c r="L98" s="1257">
        <f>$G98*$K$79*M$16</f>
        <v>102.96000000000001</v>
      </c>
      <c r="M98" s="1067"/>
      <c r="N98" s="1068"/>
      <c r="O98" s="1069"/>
      <c r="P98" s="1067"/>
      <c r="Q98" s="1068"/>
      <c r="R98" s="1069"/>
      <c r="S98" s="1067"/>
      <c r="T98" s="1254"/>
      <c r="U98" s="571"/>
      <c r="V98" s="573"/>
    </row>
    <row r="99" spans="1:22">
      <c r="A99" s="1255" t="s">
        <v>267</v>
      </c>
      <c r="B99" s="1280">
        <v>1</v>
      </c>
      <c r="C99" s="1280" t="s">
        <v>248</v>
      </c>
      <c r="D99" s="1280">
        <v>6</v>
      </c>
      <c r="E99" s="1280" t="s">
        <v>249</v>
      </c>
      <c r="F99" s="1280">
        <v>10</v>
      </c>
      <c r="G99" s="1280">
        <f>B99*D99*F99</f>
        <v>60</v>
      </c>
      <c r="H99" s="1253"/>
      <c r="I99" s="1069"/>
      <c r="J99" s="571"/>
      <c r="K99" s="1068"/>
      <c r="L99" s="1257">
        <f>$G99*$K$79*M$16-1.4</f>
        <v>61.000000000000007</v>
      </c>
      <c r="M99" s="1067"/>
      <c r="N99" s="1068"/>
      <c r="O99" s="1069"/>
      <c r="P99" s="1067"/>
      <c r="Q99" s="1068"/>
      <c r="R99" s="1069"/>
      <c r="S99" s="1067"/>
      <c r="T99" s="1254"/>
      <c r="U99" s="571"/>
      <c r="V99" s="573"/>
    </row>
    <row r="100" spans="1:22">
      <c r="A100" s="1255" t="s">
        <v>264</v>
      </c>
      <c r="B100" s="1280"/>
      <c r="C100" s="1280" t="s">
        <v>248</v>
      </c>
      <c r="D100" s="1280">
        <f>partlodg</f>
        <v>35</v>
      </c>
      <c r="E100" s="1280" t="s">
        <v>249</v>
      </c>
      <c r="F100" s="1280">
        <v>6</v>
      </c>
      <c r="G100" s="1280">
        <f>B100*D100*F100</f>
        <v>0</v>
      </c>
      <c r="H100" s="1253"/>
      <c r="I100" s="1069"/>
      <c r="J100" s="571"/>
      <c r="K100" s="1068"/>
      <c r="L100" s="1257">
        <f>$G100*$K$79*M$16</f>
        <v>0</v>
      </c>
      <c r="M100" s="1067"/>
      <c r="N100" s="1068"/>
      <c r="O100" s="1069"/>
      <c r="P100" s="1067"/>
      <c r="Q100" s="1068"/>
      <c r="R100" s="1069"/>
      <c r="S100" s="1067"/>
      <c r="T100" s="1254"/>
      <c r="U100" s="571"/>
      <c r="V100" s="573"/>
    </row>
    <row r="101" spans="1:22">
      <c r="A101" s="1255" t="s">
        <v>265</v>
      </c>
      <c r="B101" s="1280"/>
      <c r="C101" s="1280" t="s">
        <v>248</v>
      </c>
      <c r="D101" s="1280">
        <f>partmeals</f>
        <v>47</v>
      </c>
      <c r="E101" s="1280" t="s">
        <v>249</v>
      </c>
      <c r="F101" s="1280">
        <v>6</v>
      </c>
      <c r="G101" s="1280">
        <f>B101*D101*F101</f>
        <v>0</v>
      </c>
      <c r="H101" s="1253"/>
      <c r="I101" s="1069"/>
      <c r="J101" s="571"/>
      <c r="K101" s="1068"/>
      <c r="L101" s="1257">
        <f>$G101*$K$79*M$16</f>
        <v>0</v>
      </c>
      <c r="M101" s="1067"/>
      <c r="N101" s="1068"/>
      <c r="O101" s="1069"/>
      <c r="P101" s="1067"/>
      <c r="Q101" s="1068"/>
      <c r="R101" s="1069"/>
      <c r="S101" s="1067"/>
      <c r="T101" s="1254"/>
      <c r="U101" s="571"/>
      <c r="V101" s="573"/>
    </row>
    <row r="102" spans="1:22">
      <c r="A102" s="1245" t="s">
        <v>269</v>
      </c>
      <c r="B102" s="622"/>
      <c r="C102" s="622"/>
      <c r="D102" s="1246"/>
      <c r="E102" s="1410"/>
      <c r="F102" s="1410"/>
      <c r="G102" s="1247"/>
      <c r="H102" s="1248"/>
      <c r="I102" s="1069"/>
      <c r="J102" s="571"/>
      <c r="K102" s="1068"/>
      <c r="L102" s="1069"/>
      <c r="M102" s="1067"/>
      <c r="N102" s="1068"/>
      <c r="O102" s="1069"/>
      <c r="P102" s="1067"/>
      <c r="Q102" s="1068"/>
      <c r="R102" s="1069"/>
      <c r="S102" s="1067"/>
      <c r="T102" s="1249"/>
      <c r="U102" s="571"/>
      <c r="V102" s="573"/>
    </row>
    <row r="103" spans="1:22">
      <c r="A103" s="569"/>
      <c r="B103" s="627"/>
      <c r="C103" s="627"/>
      <c r="D103" s="627"/>
      <c r="E103" s="627"/>
      <c r="F103" s="627"/>
      <c r="G103" s="592"/>
      <c r="H103" s="592"/>
      <c r="I103" s="1069"/>
      <c r="J103" s="571"/>
      <c r="K103" s="1068"/>
      <c r="L103" s="1069"/>
      <c r="M103" s="1067"/>
      <c r="N103" s="1068"/>
      <c r="O103" s="1069"/>
      <c r="P103" s="1067"/>
      <c r="Q103" s="1068"/>
      <c r="R103" s="1069"/>
      <c r="S103" s="1067"/>
      <c r="T103" s="593"/>
      <c r="U103" s="571"/>
      <c r="V103" s="573"/>
    </row>
    <row r="104" spans="1:22">
      <c r="A104" s="1238" t="s">
        <v>784</v>
      </c>
      <c r="B104" s="1284"/>
      <c r="C104" s="1284"/>
      <c r="D104" s="1284"/>
      <c r="E104" s="1284"/>
      <c r="F104" s="1284"/>
      <c r="G104" s="1284"/>
      <c r="H104" s="1438"/>
      <c r="I104" s="1438"/>
      <c r="J104" s="1278">
        <f>SUM(I107:I109)</f>
        <v>0</v>
      </c>
      <c r="K104" s="1444"/>
      <c r="L104" s="1444"/>
      <c r="M104" s="1279">
        <f>SUM(L107:L109)</f>
        <v>0</v>
      </c>
      <c r="N104" s="1444"/>
      <c r="O104" s="1444"/>
      <c r="P104" s="1279">
        <f>SUM(O107:O109)</f>
        <v>0</v>
      </c>
      <c r="Q104" s="1445"/>
      <c r="R104" s="1445"/>
      <c r="S104" s="597">
        <f>SUM(R107:R109)</f>
        <v>0</v>
      </c>
      <c r="T104" s="1066">
        <f>SUM(J104,M104,P104,S104,)</f>
        <v>0</v>
      </c>
      <c r="U104" s="1199"/>
      <c r="V104" s="573"/>
    </row>
    <row r="105" spans="1:22">
      <c r="A105" s="599" t="s">
        <v>778</v>
      </c>
      <c r="B105" s="1284"/>
      <c r="C105" s="1284"/>
      <c r="D105" s="1284"/>
      <c r="E105" s="1284"/>
      <c r="F105" s="1284"/>
      <c r="G105" s="1284"/>
      <c r="H105" s="1285"/>
      <c r="I105" s="1284"/>
      <c r="J105" s="1284"/>
      <c r="K105" s="1285"/>
      <c r="L105" s="1284"/>
      <c r="M105" s="1286"/>
      <c r="N105" s="1285"/>
      <c r="O105" s="1284"/>
      <c r="P105" s="1286"/>
      <c r="Q105" s="1285"/>
      <c r="R105" s="1284"/>
      <c r="S105" s="1241"/>
      <c r="T105" s="1242"/>
      <c r="U105" s="571"/>
      <c r="V105" s="573"/>
    </row>
    <row r="106" spans="1:22">
      <c r="A106" s="1243" t="s">
        <v>791</v>
      </c>
      <c r="B106" s="1280"/>
      <c r="C106" s="1280" t="s">
        <v>248</v>
      </c>
      <c r="D106" s="1280">
        <f>parttransp</f>
        <v>4</v>
      </c>
      <c r="E106" s="1280" t="s">
        <v>249</v>
      </c>
      <c r="F106" s="1280">
        <f>IF(B106=0,0,F92)</f>
        <v>0</v>
      </c>
      <c r="G106" s="1280">
        <f>B106*D106*F106</f>
        <v>0</v>
      </c>
      <c r="H106" s="1281"/>
      <c r="I106" s="1280">
        <f>$G106*H92*J$16</f>
        <v>0</v>
      </c>
      <c r="J106" s="571"/>
      <c r="K106" s="1281"/>
      <c r="L106" s="1280">
        <f>$G106*K92*M$16</f>
        <v>0</v>
      </c>
      <c r="M106" s="1282"/>
      <c r="N106" s="1281"/>
      <c r="O106" s="1280">
        <f>$G106*N92*P$16</f>
        <v>0</v>
      </c>
      <c r="P106" s="1282"/>
      <c r="Q106" s="1281"/>
      <c r="R106" s="1280">
        <f>$G106*Q92*S$16</f>
        <v>0</v>
      </c>
      <c r="S106" s="1067"/>
      <c r="T106" s="1244"/>
      <c r="U106" s="571"/>
      <c r="V106" s="573"/>
    </row>
    <row r="107" spans="1:22">
      <c r="A107" s="1243" t="s">
        <v>780</v>
      </c>
      <c r="B107" s="1280"/>
      <c r="C107" s="1280" t="s">
        <v>248</v>
      </c>
      <c r="D107" s="1280">
        <f>coffee+lunch</f>
        <v>16</v>
      </c>
      <c r="E107" s="1280" t="s">
        <v>249</v>
      </c>
      <c r="F107" s="1280">
        <f>IF(B107=0,0,F92)</f>
        <v>0</v>
      </c>
      <c r="G107" s="1280">
        <f>B107*D107*F107</f>
        <v>0</v>
      </c>
      <c r="H107" s="1281"/>
      <c r="I107" s="1280">
        <f>$G107*H92*J$16</f>
        <v>0</v>
      </c>
      <c r="J107" s="571"/>
      <c r="K107" s="1281"/>
      <c r="L107" s="1280">
        <f>$G107*K92*M$16</f>
        <v>0</v>
      </c>
      <c r="M107" s="1282"/>
      <c r="N107" s="1281"/>
      <c r="O107" s="1280">
        <f>$G107*N92*P$16</f>
        <v>0</v>
      </c>
      <c r="P107" s="1282"/>
      <c r="Q107" s="1281"/>
      <c r="R107" s="1280">
        <f>$G107*Q92*S$16</f>
        <v>0</v>
      </c>
      <c r="S107" s="1067"/>
      <c r="T107" s="1244"/>
      <c r="U107" s="571"/>
      <c r="V107" s="573"/>
    </row>
    <row r="108" spans="1:22">
      <c r="A108" s="1243" t="s">
        <v>805</v>
      </c>
      <c r="B108" s="1280"/>
      <c r="C108" s="1280" t="s">
        <v>277</v>
      </c>
      <c r="D108" s="1280">
        <f>print</f>
        <v>50</v>
      </c>
      <c r="E108" s="1280" t="str">
        <f>C108</f>
        <v>activity</v>
      </c>
      <c r="F108" s="1280">
        <f>IF(B108=0,0,1)</f>
        <v>0</v>
      </c>
      <c r="G108" s="1280">
        <f>B108*D108*F108</f>
        <v>0</v>
      </c>
      <c r="H108" s="1281"/>
      <c r="I108" s="1280">
        <f>$G108*H92*J$16</f>
        <v>0</v>
      </c>
      <c r="J108" s="571"/>
      <c r="K108" s="1281"/>
      <c r="L108" s="1280">
        <f>$G108*K92*M$16</f>
        <v>0</v>
      </c>
      <c r="M108" s="1282"/>
      <c r="N108" s="1281"/>
      <c r="O108" s="1280">
        <f>$G108*N92*P$16</f>
        <v>0</v>
      </c>
      <c r="P108" s="1282"/>
      <c r="Q108" s="1281"/>
      <c r="R108" s="1280">
        <f>$G108*Q92*S$16</f>
        <v>0</v>
      </c>
      <c r="S108" s="1067"/>
      <c r="T108" s="1244"/>
      <c r="U108" s="571"/>
      <c r="V108" s="573"/>
    </row>
    <row r="109" spans="1:22">
      <c r="A109" s="605"/>
      <c r="B109" s="1280"/>
      <c r="C109" s="1280"/>
      <c r="D109" s="1280"/>
      <c r="E109" s="1280"/>
      <c r="F109" s="1280"/>
      <c r="G109" s="1280"/>
      <c r="H109" s="1281"/>
      <c r="I109" s="1280"/>
      <c r="J109" s="571"/>
      <c r="K109" s="1281"/>
      <c r="L109" s="1280"/>
      <c r="M109" s="1282"/>
      <c r="N109" s="1281"/>
      <c r="O109" s="1280"/>
      <c r="P109" s="1282"/>
      <c r="Q109" s="1281"/>
      <c r="R109" s="1280"/>
      <c r="S109" s="1067"/>
      <c r="T109" s="1244"/>
      <c r="U109" s="571"/>
      <c r="V109" s="573"/>
    </row>
    <row r="110" spans="1:22">
      <c r="A110" s="613" t="s">
        <v>806</v>
      </c>
      <c r="B110" s="1280"/>
      <c r="C110" s="1280"/>
      <c r="D110" s="1280"/>
      <c r="E110" s="1280"/>
      <c r="F110" s="1280"/>
      <c r="G110" s="1280">
        <f t="shared" ref="G110:G115" si="5">B110*D110*F110</f>
        <v>0</v>
      </c>
      <c r="H110" s="1281"/>
      <c r="I110" s="1280"/>
      <c r="J110" s="571"/>
      <c r="K110" s="1281"/>
      <c r="L110" s="1280"/>
      <c r="M110" s="1282"/>
      <c r="N110" s="1281"/>
      <c r="O110" s="1280"/>
      <c r="P110" s="1282"/>
      <c r="Q110" s="1281"/>
      <c r="R110" s="1280"/>
      <c r="S110" s="1067"/>
      <c r="T110" s="1244"/>
      <c r="U110" s="571"/>
      <c r="V110" s="573"/>
    </row>
    <row r="111" spans="1:22">
      <c r="A111" s="605" t="s">
        <v>261</v>
      </c>
      <c r="B111" s="1280">
        <v>0</v>
      </c>
      <c r="C111" s="1280" t="s">
        <v>248</v>
      </c>
      <c r="D111" s="1280">
        <f>partground</f>
        <v>9</v>
      </c>
      <c r="E111" s="1280" t="s">
        <v>262</v>
      </c>
      <c r="F111" s="1280">
        <v>1</v>
      </c>
      <c r="G111" s="1280">
        <f t="shared" si="5"/>
        <v>0</v>
      </c>
      <c r="H111" s="1281"/>
      <c r="I111" s="1280">
        <f>$G111*J$16*$H$64</f>
        <v>0</v>
      </c>
      <c r="J111" s="571"/>
      <c r="K111" s="1281"/>
      <c r="L111" s="1280">
        <f>$G111*$K$64*M$16</f>
        <v>0</v>
      </c>
      <c r="M111" s="1282"/>
      <c r="N111" s="1281"/>
      <c r="O111" s="1280">
        <f>$G111*$N$34*P$16</f>
        <v>0</v>
      </c>
      <c r="P111" s="1282"/>
      <c r="Q111" s="1281"/>
      <c r="R111" s="1280">
        <f>$G111*$Q$34*S$16</f>
        <v>0</v>
      </c>
      <c r="S111" s="1067"/>
      <c r="T111" s="1244"/>
      <c r="U111" s="571"/>
      <c r="V111" s="573"/>
    </row>
    <row r="112" spans="1:22">
      <c r="A112" s="1243" t="s">
        <v>263</v>
      </c>
      <c r="B112" s="1280">
        <v>0</v>
      </c>
      <c r="C112" s="1280" t="s">
        <v>248</v>
      </c>
      <c r="D112" s="1280">
        <f>+[1]Assumptions!D101</f>
        <v>25</v>
      </c>
      <c r="E112" s="1280" t="s">
        <v>249</v>
      </c>
      <c r="F112" s="1280">
        <v>1</v>
      </c>
      <c r="G112" s="1280">
        <f t="shared" si="5"/>
        <v>0</v>
      </c>
      <c r="H112" s="1281"/>
      <c r="I112" s="1280">
        <f>$G112*J$16*$H$64</f>
        <v>0</v>
      </c>
      <c r="J112" s="571"/>
      <c r="K112" s="1281"/>
      <c r="L112" s="1280">
        <f>$G112*$K$64*M$16</f>
        <v>0</v>
      </c>
      <c r="M112" s="1282"/>
      <c r="N112" s="1281"/>
      <c r="O112" s="1280">
        <f>$G112*$N$34*P$16</f>
        <v>0</v>
      </c>
      <c r="P112" s="1282"/>
      <c r="Q112" s="1281"/>
      <c r="R112" s="1280">
        <f>$G112*$Q$34*S$16</f>
        <v>0</v>
      </c>
      <c r="S112" s="1067"/>
      <c r="T112" s="1244"/>
      <c r="U112" s="571"/>
      <c r="V112" s="573"/>
    </row>
    <row r="113" spans="1:22">
      <c r="A113" s="605" t="s">
        <v>790</v>
      </c>
      <c r="B113" s="1280">
        <v>0</v>
      </c>
      <c r="C113" s="1280" t="s">
        <v>248</v>
      </c>
      <c r="D113" s="1280">
        <f>+[1]Assumptions!D103</f>
        <v>90</v>
      </c>
      <c r="E113" s="1280" t="s">
        <v>249</v>
      </c>
      <c r="F113" s="1280">
        <v>1</v>
      </c>
      <c r="G113" s="1280">
        <f t="shared" si="5"/>
        <v>0</v>
      </c>
      <c r="H113" s="1281"/>
      <c r="I113" s="1280">
        <f>$G113*J$16*$H$64</f>
        <v>0</v>
      </c>
      <c r="J113" s="571"/>
      <c r="K113" s="1281"/>
      <c r="L113" s="1280">
        <f>$G113*$K$64*M$16</f>
        <v>0</v>
      </c>
      <c r="M113" s="1282"/>
      <c r="N113" s="1281"/>
      <c r="O113" s="1280">
        <f>$G113*$N$34*P$16</f>
        <v>0</v>
      </c>
      <c r="P113" s="1282"/>
      <c r="Q113" s="1281"/>
      <c r="R113" s="1280">
        <f>$G113*$Q$34*S$16</f>
        <v>0</v>
      </c>
      <c r="S113" s="1067"/>
      <c r="T113" s="1244"/>
      <c r="U113" s="571"/>
      <c r="V113" s="573"/>
    </row>
    <row r="114" spans="1:22">
      <c r="A114" s="1243" t="s">
        <v>787</v>
      </c>
      <c r="B114" s="1280">
        <v>0</v>
      </c>
      <c r="C114" s="1280" t="s">
        <v>248</v>
      </c>
      <c r="D114" s="1280">
        <f>partmeals</f>
        <v>47</v>
      </c>
      <c r="E114" s="1280" t="s">
        <v>249</v>
      </c>
      <c r="F114" s="1280">
        <v>1</v>
      </c>
      <c r="G114" s="1280">
        <f t="shared" si="5"/>
        <v>0</v>
      </c>
      <c r="H114" s="1281"/>
      <c r="I114" s="1280">
        <f>$G114*J$16*$H$64</f>
        <v>0</v>
      </c>
      <c r="J114" s="571"/>
      <c r="K114" s="1281"/>
      <c r="L114" s="1280">
        <f>$G114*$K$64*M$16</f>
        <v>0</v>
      </c>
      <c r="M114" s="1282"/>
      <c r="N114" s="1281"/>
      <c r="O114" s="1280">
        <f>$G114*$N$34*P$16</f>
        <v>0</v>
      </c>
      <c r="P114" s="1282"/>
      <c r="Q114" s="1281"/>
      <c r="R114" s="1280">
        <f>$G114*$Q$34*S$16</f>
        <v>0</v>
      </c>
      <c r="S114" s="1067"/>
      <c r="T114" s="1244"/>
      <c r="U114" s="571"/>
      <c r="V114" s="573"/>
    </row>
    <row r="115" spans="1:22">
      <c r="A115" s="1243" t="s">
        <v>807</v>
      </c>
      <c r="B115" s="1280">
        <v>0</v>
      </c>
      <c r="C115" s="1280" t="s">
        <v>248</v>
      </c>
      <c r="D115" s="1280">
        <f>partairfare</f>
        <v>200</v>
      </c>
      <c r="E115" s="1280" t="s">
        <v>262</v>
      </c>
      <c r="F115" s="1280">
        <v>1</v>
      </c>
      <c r="G115" s="1280">
        <f t="shared" si="5"/>
        <v>0</v>
      </c>
      <c r="H115" s="1281"/>
      <c r="I115" s="1280">
        <f>$G115*J$16*$H$64</f>
        <v>0</v>
      </c>
      <c r="J115" s="571"/>
      <c r="K115" s="1281"/>
      <c r="L115" s="1280">
        <f>$G115*$K$64*M$16</f>
        <v>0</v>
      </c>
      <c r="M115" s="1282"/>
      <c r="N115" s="1281"/>
      <c r="O115" s="1280">
        <f>$G115*$N$34*P$16</f>
        <v>0</v>
      </c>
      <c r="P115" s="1282"/>
      <c r="Q115" s="1281"/>
      <c r="R115" s="1280">
        <f>$G115*$Q$34*S$16</f>
        <v>0</v>
      </c>
      <c r="S115" s="1067"/>
      <c r="T115" s="1244"/>
      <c r="U115" s="571"/>
      <c r="V115" s="573"/>
    </row>
    <row r="116" spans="1:22">
      <c r="A116" s="1245" t="s">
        <v>788</v>
      </c>
      <c r="B116" s="622"/>
      <c r="C116" s="622"/>
      <c r="D116" s="1246"/>
      <c r="E116" s="1410">
        <f>SUM(G111:G115)</f>
        <v>0</v>
      </c>
      <c r="F116" s="1410"/>
      <c r="G116" s="1247"/>
      <c r="H116" s="1248"/>
      <c r="I116" s="1248"/>
      <c r="J116" s="1239"/>
      <c r="K116" s="1248"/>
      <c r="L116" s="1248"/>
      <c r="M116" s="1239"/>
      <c r="N116" s="1248"/>
      <c r="O116" s="1248"/>
      <c r="P116" s="1239"/>
      <c r="Q116" s="1248"/>
      <c r="R116" s="1248"/>
      <c r="S116" s="1239"/>
      <c r="T116" s="1249"/>
      <c r="U116" s="571"/>
      <c r="V116" s="573"/>
    </row>
    <row r="117" spans="1:22">
      <c r="A117" s="569"/>
      <c r="B117" s="627"/>
      <c r="C117" s="627"/>
      <c r="D117" s="627"/>
      <c r="E117" s="627"/>
      <c r="F117" s="627"/>
      <c r="G117" s="592"/>
      <c r="H117" s="592"/>
      <c r="I117" s="592"/>
      <c r="J117" s="592"/>
      <c r="K117" s="592"/>
      <c r="L117" s="592"/>
      <c r="M117" s="592"/>
      <c r="N117" s="592"/>
      <c r="O117" s="592"/>
      <c r="P117" s="592"/>
      <c r="Q117" s="592"/>
      <c r="R117" s="592"/>
      <c r="S117" s="592"/>
      <c r="T117" s="593"/>
      <c r="U117" s="571"/>
      <c r="V117" s="573"/>
    </row>
    <row r="118" spans="1:22">
      <c r="A118" s="1421" t="s">
        <v>808</v>
      </c>
      <c r="B118" s="1421"/>
      <c r="C118" s="1421"/>
      <c r="D118" s="1421"/>
      <c r="E118" s="1421"/>
      <c r="F118" s="595">
        <v>1</v>
      </c>
      <c r="G118" s="595"/>
      <c r="H118" s="1438">
        <v>1</v>
      </c>
      <c r="I118" s="1438"/>
      <c r="J118" s="1278">
        <f>SUM(I121:I123)</f>
        <v>450</v>
      </c>
      <c r="K118" s="1444">
        <v>6</v>
      </c>
      <c r="L118" s="1444"/>
      <c r="M118" s="1279">
        <f>SUM(L121:L123)</f>
        <v>2808</v>
      </c>
      <c r="N118" s="1444">
        <v>6</v>
      </c>
      <c r="O118" s="1444"/>
      <c r="P118" s="1279">
        <f>SUM(O121:O123)</f>
        <v>2920.32</v>
      </c>
      <c r="Q118" s="1445">
        <v>3</v>
      </c>
      <c r="R118" s="1445"/>
      <c r="S118" s="597">
        <f>SUM(R121:R123)</f>
        <v>1518.5664000000002</v>
      </c>
      <c r="T118" s="1066">
        <f>SUM(J118,M118,P118,S118,)</f>
        <v>7696.8863999999994</v>
      </c>
      <c r="U118" s="571"/>
      <c r="V118" s="573"/>
    </row>
    <row r="119" spans="1:22">
      <c r="A119" s="1250" t="s">
        <v>777</v>
      </c>
      <c r="B119" s="1239"/>
      <c r="C119" s="1239"/>
      <c r="D119" s="1239"/>
      <c r="E119" s="1239"/>
      <c r="F119" s="1239"/>
      <c r="G119" s="1239"/>
      <c r="H119" s="1240"/>
      <c r="I119" s="1239"/>
      <c r="J119" s="1239"/>
      <c r="K119" s="1240"/>
      <c r="L119" s="1239"/>
      <c r="M119" s="1241"/>
      <c r="N119" s="1240"/>
      <c r="O119" s="1239"/>
      <c r="P119" s="1241"/>
      <c r="Q119" s="1240"/>
      <c r="R119" s="1239"/>
      <c r="S119" s="1241"/>
      <c r="T119" s="1242"/>
      <c r="U119" s="1199"/>
      <c r="V119" s="573"/>
    </row>
    <row r="120" spans="1:22">
      <c r="A120" s="599" t="s">
        <v>809</v>
      </c>
      <c r="B120" s="1284"/>
      <c r="C120" s="1284"/>
      <c r="D120" s="1284"/>
      <c r="E120" s="1284"/>
      <c r="F120" s="1284"/>
      <c r="G120" s="1284"/>
      <c r="H120" s="1285"/>
      <c r="I120" s="1284"/>
      <c r="J120" s="1284"/>
      <c r="K120" s="1285"/>
      <c r="L120" s="1284"/>
      <c r="M120" s="1286"/>
      <c r="N120" s="1285"/>
      <c r="O120" s="1284"/>
      <c r="P120" s="1286"/>
      <c r="Q120" s="1285"/>
      <c r="R120" s="1284"/>
      <c r="S120" s="1241"/>
      <c r="T120" s="1242"/>
      <c r="U120" s="571"/>
      <c r="V120" s="573"/>
    </row>
    <row r="121" spans="1:22">
      <c r="A121" s="1243" t="s">
        <v>795</v>
      </c>
      <c r="B121" s="1280">
        <v>20</v>
      </c>
      <c r="C121" s="1280" t="s">
        <v>248</v>
      </c>
      <c r="D121" s="1280">
        <f>parttransp</f>
        <v>4</v>
      </c>
      <c r="E121" s="1280" t="s">
        <v>249</v>
      </c>
      <c r="F121" s="1280">
        <f>IF(B121=0,0,F118)</f>
        <v>1</v>
      </c>
      <c r="G121" s="1280">
        <f>B121*D121*F121</f>
        <v>80</v>
      </c>
      <c r="H121" s="1281"/>
      <c r="I121" s="1280">
        <f>$G121*H118*J$16</f>
        <v>80</v>
      </c>
      <c r="J121" s="571"/>
      <c r="K121" s="1281"/>
      <c r="L121" s="1280">
        <f>$G121*K118*M$16</f>
        <v>499.20000000000005</v>
      </c>
      <c r="M121" s="1282"/>
      <c r="N121" s="1281"/>
      <c r="O121" s="1280">
        <f>$G121*N118*P$16</f>
        <v>519.16800000000001</v>
      </c>
      <c r="P121" s="1282"/>
      <c r="Q121" s="1281"/>
      <c r="R121" s="1280">
        <f>$G121*Q118*S$16</f>
        <v>269.96736000000004</v>
      </c>
      <c r="S121" s="1067"/>
      <c r="T121" s="1244"/>
      <c r="U121" s="571"/>
      <c r="V121" s="573"/>
    </row>
    <row r="122" spans="1:22">
      <c r="A122" s="1243" t="s">
        <v>792</v>
      </c>
      <c r="B122" s="1280">
        <v>20</v>
      </c>
      <c r="C122" s="1280" t="s">
        <v>248</v>
      </c>
      <c r="D122" s="1280">
        <f>coffee+lunch</f>
        <v>16</v>
      </c>
      <c r="E122" s="1280" t="s">
        <v>249</v>
      </c>
      <c r="F122" s="1280">
        <f>IF(B122=0,0,F118)</f>
        <v>1</v>
      </c>
      <c r="G122" s="1280">
        <f>B122*D122*F122</f>
        <v>320</v>
      </c>
      <c r="H122" s="1281"/>
      <c r="I122" s="1280">
        <f>$G122*H118*J$16</f>
        <v>320</v>
      </c>
      <c r="J122" s="571"/>
      <c r="K122" s="1281"/>
      <c r="L122" s="1280">
        <f>$G122*K118*M$16</f>
        <v>1996.8000000000002</v>
      </c>
      <c r="M122" s="1282"/>
      <c r="N122" s="1281"/>
      <c r="O122" s="1280">
        <f>$G122*N118*P$16</f>
        <v>2076.672</v>
      </c>
      <c r="P122" s="1282"/>
      <c r="Q122" s="1281"/>
      <c r="R122" s="1280">
        <f>$G122*Q118*S$16</f>
        <v>1079.8694400000002</v>
      </c>
      <c r="S122" s="1067"/>
      <c r="T122" s="1244"/>
      <c r="U122" s="571"/>
      <c r="V122" s="573"/>
    </row>
    <row r="123" spans="1:22">
      <c r="A123" s="1243" t="s">
        <v>810</v>
      </c>
      <c r="B123" s="1280">
        <v>1</v>
      </c>
      <c r="C123" s="1280" t="s">
        <v>277</v>
      </c>
      <c r="D123" s="1280">
        <f>print</f>
        <v>50</v>
      </c>
      <c r="E123" s="1280" t="str">
        <f>C123</f>
        <v>activity</v>
      </c>
      <c r="F123" s="1280">
        <f>IF(B123=0,0,1)</f>
        <v>1</v>
      </c>
      <c r="G123" s="1280">
        <f>B123*D123*F123</f>
        <v>50</v>
      </c>
      <c r="H123" s="1281"/>
      <c r="I123" s="1280">
        <f>$G123*H118*J$16</f>
        <v>50</v>
      </c>
      <c r="J123" s="571"/>
      <c r="K123" s="1281"/>
      <c r="L123" s="1280">
        <f>$G123*K118*M$16</f>
        <v>312</v>
      </c>
      <c r="M123" s="1282"/>
      <c r="N123" s="1281"/>
      <c r="O123" s="1280">
        <f>$G123*N118*P$16</f>
        <v>324.48</v>
      </c>
      <c r="P123" s="1282"/>
      <c r="Q123" s="1281"/>
      <c r="R123" s="1280">
        <f>$G123*Q118*S$16</f>
        <v>168.7296</v>
      </c>
      <c r="S123" s="1067"/>
      <c r="T123" s="1244"/>
      <c r="U123" s="571"/>
      <c r="V123" s="573"/>
    </row>
    <row r="124" spans="1:22">
      <c r="A124" s="605"/>
      <c r="B124" s="1280"/>
      <c r="C124" s="1280"/>
      <c r="D124" s="1280"/>
      <c r="E124" s="1280"/>
      <c r="F124" s="1280"/>
      <c r="G124" s="1280"/>
      <c r="H124" s="1281"/>
      <c r="I124" s="1280"/>
      <c r="J124" s="571"/>
      <c r="K124" s="1281"/>
      <c r="L124" s="1280"/>
      <c r="M124" s="1282"/>
      <c r="N124" s="1281"/>
      <c r="O124" s="1280"/>
      <c r="P124" s="1282"/>
      <c r="Q124" s="1281"/>
      <c r="R124" s="1280"/>
      <c r="S124" s="1067"/>
      <c r="T124" s="1244"/>
      <c r="U124" s="571"/>
      <c r="V124" s="573"/>
    </row>
    <row r="125" spans="1:22">
      <c r="A125" s="613" t="s">
        <v>278</v>
      </c>
      <c r="B125" s="1280"/>
      <c r="C125" s="1280"/>
      <c r="D125" s="1280"/>
      <c r="E125" s="1280"/>
      <c r="F125" s="1280"/>
      <c r="G125" s="1280">
        <f t="shared" ref="G125:G130" si="6">B125*D125*F125</f>
        <v>0</v>
      </c>
      <c r="H125" s="1281"/>
      <c r="I125" s="1280"/>
      <c r="J125" s="571"/>
      <c r="K125" s="1281"/>
      <c r="L125" s="1280"/>
      <c r="M125" s="1282"/>
      <c r="N125" s="1281"/>
      <c r="O125" s="1280"/>
      <c r="P125" s="1282"/>
      <c r="Q125" s="1281"/>
      <c r="R125" s="1280"/>
      <c r="S125" s="1067"/>
      <c r="T125" s="1244"/>
      <c r="U125" s="571"/>
      <c r="V125" s="573"/>
    </row>
    <row r="126" spans="1:22">
      <c r="A126" s="605" t="s">
        <v>266</v>
      </c>
      <c r="B126" s="1280">
        <v>2</v>
      </c>
      <c r="C126" s="1280" t="s">
        <v>248</v>
      </c>
      <c r="D126" s="1280">
        <f>partground</f>
        <v>9</v>
      </c>
      <c r="E126" s="1280" t="s">
        <v>262</v>
      </c>
      <c r="F126" s="1280">
        <f>IF(B126=0,0,1)</f>
        <v>1</v>
      </c>
      <c r="G126" s="1280">
        <f t="shared" si="6"/>
        <v>18</v>
      </c>
      <c r="H126" s="1281"/>
      <c r="I126" s="1280">
        <f>$G126*H118*J$16</f>
        <v>18</v>
      </c>
      <c r="J126" s="571"/>
      <c r="K126" s="1281"/>
      <c r="L126" s="1280">
        <f>$G126*$K$118*M$16</f>
        <v>112.32000000000001</v>
      </c>
      <c r="M126" s="1282"/>
      <c r="N126" s="1281"/>
      <c r="O126" s="1280">
        <f>$G126*$N$118*P$16</f>
        <v>116.81280000000001</v>
      </c>
      <c r="P126" s="1282"/>
      <c r="Q126" s="1281"/>
      <c r="R126" s="1280">
        <f>$G126*$Q$118*S$16</f>
        <v>60.742656000000004</v>
      </c>
      <c r="S126" s="1067"/>
      <c r="T126" s="1244"/>
      <c r="U126" s="571"/>
      <c r="V126" s="573"/>
    </row>
    <row r="127" spans="1:22">
      <c r="A127" s="1243" t="s">
        <v>811</v>
      </c>
      <c r="B127" s="1280">
        <v>2</v>
      </c>
      <c r="C127" s="1280" t="s">
        <v>248</v>
      </c>
      <c r="D127" s="1280">
        <f>partground</f>
        <v>9</v>
      </c>
      <c r="E127" s="1280" t="s">
        <v>249</v>
      </c>
      <c r="F127" s="1280">
        <f>IF(B127=0,0,1)</f>
        <v>1</v>
      </c>
      <c r="G127" s="1280">
        <f t="shared" si="6"/>
        <v>18</v>
      </c>
      <c r="H127" s="1281"/>
      <c r="I127" s="1280">
        <f>$G127*$H$118*J$16</f>
        <v>18</v>
      </c>
      <c r="J127" s="571"/>
      <c r="K127" s="1281"/>
      <c r="L127" s="1280">
        <f>$G127*$K$118*M$16</f>
        <v>112.32000000000001</v>
      </c>
      <c r="M127" s="1282"/>
      <c r="N127" s="1281"/>
      <c r="O127" s="1280">
        <f>$G127*$N$118*P$16</f>
        <v>116.81280000000001</v>
      </c>
      <c r="P127" s="1282"/>
      <c r="Q127" s="1281"/>
      <c r="R127" s="1280">
        <f>$G127*$Q$118*S$16</f>
        <v>60.742656000000004</v>
      </c>
      <c r="S127" s="1067"/>
      <c r="T127" s="1244"/>
      <c r="U127" s="571"/>
      <c r="V127" s="573"/>
    </row>
    <row r="128" spans="1:22">
      <c r="A128" s="605" t="s">
        <v>790</v>
      </c>
      <c r="B128" s="1280"/>
      <c r="C128" s="1280" t="s">
        <v>248</v>
      </c>
      <c r="D128" s="1280">
        <f>partlodg</f>
        <v>35</v>
      </c>
      <c r="E128" s="1280" t="s">
        <v>249</v>
      </c>
      <c r="F128" s="1280">
        <v>1</v>
      </c>
      <c r="G128" s="1280">
        <f t="shared" si="6"/>
        <v>0</v>
      </c>
      <c r="H128" s="1281"/>
      <c r="I128" s="1280">
        <f>$G128*$H$118*J$16</f>
        <v>0</v>
      </c>
      <c r="J128" s="571"/>
      <c r="K128" s="1281"/>
      <c r="L128" s="1280">
        <f>$G128*$K$118*M$16</f>
        <v>0</v>
      </c>
      <c r="M128" s="1282"/>
      <c r="N128" s="1281"/>
      <c r="O128" s="1280">
        <f>$G128*$N$118*P$16</f>
        <v>0</v>
      </c>
      <c r="P128" s="1282"/>
      <c r="Q128" s="1281"/>
      <c r="R128" s="1280">
        <f>$G128*$Q$118*S$16</f>
        <v>0</v>
      </c>
      <c r="S128" s="1067"/>
      <c r="T128" s="1244"/>
      <c r="U128" s="571"/>
      <c r="V128" s="573"/>
    </row>
    <row r="129" spans="1:23">
      <c r="A129" s="1243" t="s">
        <v>783</v>
      </c>
      <c r="B129" s="1280">
        <v>2</v>
      </c>
      <c r="C129" s="1280" t="s">
        <v>248</v>
      </c>
      <c r="D129" s="1280">
        <f>partmeals</f>
        <v>47</v>
      </c>
      <c r="E129" s="1280" t="s">
        <v>249</v>
      </c>
      <c r="F129" s="1280">
        <v>1</v>
      </c>
      <c r="G129" s="1280">
        <f t="shared" si="6"/>
        <v>94</v>
      </c>
      <c r="H129" s="1281"/>
      <c r="I129" s="1280">
        <f>$G129*$H$118*J$16</f>
        <v>94</v>
      </c>
      <c r="J129" s="571"/>
      <c r="K129" s="1281"/>
      <c r="L129" s="1280">
        <f>$G129*$K$118*M$16</f>
        <v>586.56000000000006</v>
      </c>
      <c r="M129" s="1282"/>
      <c r="N129" s="1281"/>
      <c r="O129" s="1280">
        <f>$G129*$N$118*P$16</f>
        <v>610.02240000000006</v>
      </c>
      <c r="P129" s="1282"/>
      <c r="Q129" s="1281"/>
      <c r="R129" s="1280">
        <f>$G129*$Q$118*S$16</f>
        <v>317.21164800000003</v>
      </c>
      <c r="S129" s="1067"/>
      <c r="T129" s="1244"/>
      <c r="U129" s="571"/>
      <c r="V129" s="573"/>
      <c r="W129" s="571"/>
    </row>
    <row r="130" spans="1:23">
      <c r="A130" s="1243" t="s">
        <v>798</v>
      </c>
      <c r="B130" s="1280">
        <v>2</v>
      </c>
      <c r="C130" s="1280" t="s">
        <v>248</v>
      </c>
      <c r="D130" s="1280">
        <f>parttransp</f>
        <v>4</v>
      </c>
      <c r="E130" s="1280" t="s">
        <v>262</v>
      </c>
      <c r="F130" s="1280">
        <v>1</v>
      </c>
      <c r="G130" s="1280">
        <f t="shared" si="6"/>
        <v>8</v>
      </c>
      <c r="H130" s="1281"/>
      <c r="I130" s="1280">
        <f>$G130*$H$118*J$16</f>
        <v>8</v>
      </c>
      <c r="J130" s="571"/>
      <c r="K130" s="1281"/>
      <c r="L130" s="1280">
        <f>$G130*$K$118*M$16</f>
        <v>49.92</v>
      </c>
      <c r="M130" s="1282"/>
      <c r="N130" s="1281"/>
      <c r="O130" s="1280">
        <f>$G130*$N$118*P$16</f>
        <v>51.916800000000009</v>
      </c>
      <c r="P130" s="1282"/>
      <c r="Q130" s="1281"/>
      <c r="R130" s="1280">
        <f>$G130*$Q$118*S$16</f>
        <v>26.996736000000002</v>
      </c>
      <c r="S130" s="1067"/>
      <c r="T130" s="1244"/>
      <c r="U130" s="571"/>
      <c r="V130" s="573"/>
      <c r="W130" s="571"/>
    </row>
    <row r="131" spans="1:23">
      <c r="A131" s="1245" t="s">
        <v>269</v>
      </c>
      <c r="B131" s="622"/>
      <c r="C131" s="622"/>
      <c r="D131" s="1246"/>
      <c r="E131" s="1410"/>
      <c r="F131" s="1410"/>
      <c r="G131" s="1247"/>
      <c r="H131" s="1248"/>
      <c r="I131" s="1248"/>
      <c r="J131" s="1239"/>
      <c r="K131" s="1248"/>
      <c r="L131" s="1248"/>
      <c r="M131" s="1239"/>
      <c r="N131" s="1248"/>
      <c r="O131" s="1248"/>
      <c r="P131" s="1239"/>
      <c r="Q131" s="1248"/>
      <c r="R131" s="1248"/>
      <c r="S131" s="1239"/>
      <c r="T131" s="1249"/>
      <c r="U131" s="1258"/>
      <c r="V131" s="1259"/>
      <c r="W131" s="1372"/>
    </row>
    <row r="132" spans="1:23">
      <c r="A132" s="569"/>
      <c r="B132" s="627"/>
      <c r="C132" s="627"/>
      <c r="D132" s="1260"/>
      <c r="E132" s="627"/>
      <c r="F132" s="627"/>
      <c r="G132" s="1261"/>
      <c r="H132" s="1262"/>
      <c r="I132" s="1262"/>
      <c r="J132" s="1262"/>
      <c r="K132" s="1262"/>
      <c r="L132" s="1262"/>
      <c r="M132" s="1262"/>
      <c r="N132" s="1262"/>
      <c r="O132" s="1262"/>
      <c r="P132" s="1262"/>
      <c r="Q132" s="1262"/>
      <c r="R132" s="1262"/>
      <c r="S132" s="1262"/>
      <c r="T132" s="1263"/>
      <c r="U132" s="1258"/>
      <c r="V132" s="1259"/>
      <c r="W132" s="1372"/>
    </row>
    <row r="133" spans="1:23">
      <c r="A133" s="1238" t="s">
        <v>784</v>
      </c>
      <c r="B133" s="1239"/>
      <c r="C133" s="1239"/>
      <c r="D133" s="1239"/>
      <c r="E133" s="1239"/>
      <c r="F133" s="1239"/>
      <c r="G133" s="1239"/>
      <c r="H133" s="1438"/>
      <c r="I133" s="1438"/>
      <c r="J133" s="1278">
        <f>SUM(I136:I138)</f>
        <v>0</v>
      </c>
      <c r="K133" s="1444">
        <v>1</v>
      </c>
      <c r="L133" s="1444"/>
      <c r="M133" s="1279">
        <f>SUM(L136:L138)</f>
        <v>0</v>
      </c>
      <c r="N133" s="1444">
        <v>1</v>
      </c>
      <c r="O133" s="1444"/>
      <c r="P133" s="1279">
        <f>SUM(O136:O138)</f>
        <v>0</v>
      </c>
      <c r="Q133" s="1445">
        <v>1</v>
      </c>
      <c r="R133" s="1445"/>
      <c r="S133" s="597">
        <f>SUM(R136:R138)</f>
        <v>0</v>
      </c>
      <c r="T133" s="1066">
        <f>SUM(J133,M133,P133,S133,)</f>
        <v>0</v>
      </c>
      <c r="U133" s="1199"/>
      <c r="V133" s="573"/>
      <c r="W133" s="571"/>
    </row>
    <row r="134" spans="1:23">
      <c r="A134" s="599" t="s">
        <v>283</v>
      </c>
      <c r="B134" s="1284"/>
      <c r="C134" s="1284"/>
      <c r="D134" s="1284"/>
      <c r="E134" s="1284"/>
      <c r="F134" s="1239"/>
      <c r="G134" s="1239"/>
      <c r="H134" s="1285"/>
      <c r="I134" s="1284"/>
      <c r="J134" s="1284"/>
      <c r="K134" s="1285"/>
      <c r="L134" s="1284"/>
      <c r="M134" s="1286"/>
      <c r="N134" s="1285"/>
      <c r="O134" s="1284"/>
      <c r="P134" s="1286"/>
      <c r="Q134" s="1285"/>
      <c r="R134" s="1284"/>
      <c r="S134" s="1241"/>
      <c r="T134" s="1242"/>
      <c r="U134" s="571"/>
      <c r="V134" s="573"/>
      <c r="W134" s="571"/>
    </row>
    <row r="135" spans="1:23">
      <c r="A135" s="1243" t="s">
        <v>812</v>
      </c>
      <c r="B135" s="1280"/>
      <c r="C135" s="1280" t="s">
        <v>248</v>
      </c>
      <c r="D135" s="1280">
        <f>parttransp</f>
        <v>4</v>
      </c>
      <c r="E135" s="1280" t="s">
        <v>249</v>
      </c>
      <c r="F135" s="1069">
        <f>IF(B135=0,0,F131)</f>
        <v>0</v>
      </c>
      <c r="G135" s="1069">
        <f>B135*D135*F135</f>
        <v>0</v>
      </c>
      <c r="H135" s="1281"/>
      <c r="I135" s="1280">
        <f>$G135*H131*J$16</f>
        <v>0</v>
      </c>
      <c r="J135" s="571"/>
      <c r="K135" s="1281"/>
      <c r="L135" s="1280">
        <f>$G135*K131*M$16</f>
        <v>0</v>
      </c>
      <c r="M135" s="1282"/>
      <c r="N135" s="1281"/>
      <c r="O135" s="1280">
        <f>$G135*N131*P$16</f>
        <v>0</v>
      </c>
      <c r="P135" s="1282"/>
      <c r="Q135" s="1281"/>
      <c r="R135" s="1280">
        <f>$G135*Q131*S$16</f>
        <v>0</v>
      </c>
      <c r="S135" s="1067"/>
      <c r="T135" s="1244"/>
      <c r="U135" s="571"/>
      <c r="V135" s="573"/>
      <c r="W135" s="571"/>
    </row>
    <row r="136" spans="1:23">
      <c r="A136" s="1243" t="s">
        <v>792</v>
      </c>
      <c r="B136" s="1280"/>
      <c r="C136" s="1280" t="s">
        <v>248</v>
      </c>
      <c r="D136" s="1280">
        <f>coffee+lunch</f>
        <v>16</v>
      </c>
      <c r="E136" s="1280" t="s">
        <v>249</v>
      </c>
      <c r="F136" s="1069">
        <f>IF(B136=0,0,F131)</f>
        <v>0</v>
      </c>
      <c r="G136" s="1069">
        <f>B136*D136*F136</f>
        <v>0</v>
      </c>
      <c r="H136" s="1281"/>
      <c r="I136" s="1280">
        <f>$G136*H131*J$16</f>
        <v>0</v>
      </c>
      <c r="J136" s="571"/>
      <c r="K136" s="1281"/>
      <c r="L136" s="1280">
        <f>$G136*K131*M$16</f>
        <v>0</v>
      </c>
      <c r="M136" s="1282"/>
      <c r="N136" s="1281"/>
      <c r="O136" s="1280">
        <f>$G136*N131*P$16</f>
        <v>0</v>
      </c>
      <c r="P136" s="1282"/>
      <c r="Q136" s="1281"/>
      <c r="R136" s="1280">
        <f>$G136*Q131*S$16</f>
        <v>0</v>
      </c>
      <c r="S136" s="1067"/>
      <c r="T136" s="1244"/>
      <c r="U136" s="571"/>
      <c r="V136" s="573"/>
      <c r="W136" s="571"/>
    </row>
    <row r="137" spans="1:23">
      <c r="A137" s="1243" t="s">
        <v>805</v>
      </c>
      <c r="B137" s="1280"/>
      <c r="C137" s="1280" t="s">
        <v>277</v>
      </c>
      <c r="D137" s="1280">
        <f>print</f>
        <v>50</v>
      </c>
      <c r="E137" s="1280" t="str">
        <f>C137</f>
        <v>activity</v>
      </c>
      <c r="F137" s="1069">
        <f>IF(B137=0,0,1)</f>
        <v>0</v>
      </c>
      <c r="G137" s="1069">
        <f>B137*D137*F137</f>
        <v>0</v>
      </c>
      <c r="H137" s="1068"/>
      <c r="I137" s="1069">
        <f>$G137*H131*J$16</f>
        <v>0</v>
      </c>
      <c r="J137" s="571"/>
      <c r="K137" s="1068"/>
      <c r="L137" s="1069">
        <f>$G137*K131*M$16</f>
        <v>0</v>
      </c>
      <c r="M137" s="1067"/>
      <c r="N137" s="1068"/>
      <c r="O137" s="1069">
        <f>$G137*N131*P$16</f>
        <v>0</v>
      </c>
      <c r="P137" s="1067"/>
      <c r="Q137" s="1068"/>
      <c r="R137" s="1069">
        <f>$G137*Q131*S$16</f>
        <v>0</v>
      </c>
      <c r="S137" s="1067"/>
      <c r="T137" s="1244"/>
      <c r="U137" s="571"/>
      <c r="V137" s="573"/>
      <c r="W137" s="571"/>
    </row>
    <row r="138" spans="1:23">
      <c r="A138" s="605"/>
      <c r="B138" s="1280"/>
      <c r="C138" s="1280"/>
      <c r="D138" s="1280"/>
      <c r="E138" s="1280"/>
      <c r="F138" s="1069"/>
      <c r="G138" s="1069"/>
      <c r="H138" s="1068"/>
      <c r="I138" s="1069"/>
      <c r="J138" s="571"/>
      <c r="K138" s="1068"/>
      <c r="L138" s="1069"/>
      <c r="M138" s="1067"/>
      <c r="N138" s="1068"/>
      <c r="O138" s="1069"/>
      <c r="P138" s="1067"/>
      <c r="Q138" s="1068"/>
      <c r="R138" s="1069"/>
      <c r="S138" s="1067"/>
      <c r="T138" s="1244"/>
      <c r="U138" s="571"/>
      <c r="V138" s="573"/>
      <c r="W138" s="571"/>
    </row>
    <row r="139" spans="1:23">
      <c r="A139" s="613" t="s">
        <v>806</v>
      </c>
      <c r="B139" s="1280"/>
      <c r="C139" s="1280"/>
      <c r="D139" s="1280"/>
      <c r="E139" s="1280"/>
      <c r="F139" s="1069"/>
      <c r="G139" s="1069">
        <f t="shared" ref="G139:G144" si="7">B139*D139*F139</f>
        <v>0</v>
      </c>
      <c r="H139" s="1068"/>
      <c r="I139" s="1069"/>
      <c r="J139" s="571"/>
      <c r="K139" s="1068"/>
      <c r="L139" s="1069"/>
      <c r="M139" s="1067"/>
      <c r="N139" s="1068"/>
      <c r="O139" s="1069"/>
      <c r="P139" s="1067"/>
      <c r="Q139" s="1068"/>
      <c r="R139" s="1069"/>
      <c r="S139" s="1067"/>
      <c r="T139" s="1244"/>
      <c r="U139" s="571"/>
      <c r="V139" s="573"/>
      <c r="W139" s="571"/>
    </row>
    <row r="140" spans="1:23">
      <c r="A140" s="605" t="s">
        <v>261</v>
      </c>
      <c r="B140" s="1280"/>
      <c r="C140" s="1280" t="s">
        <v>248</v>
      </c>
      <c r="D140" s="1280">
        <f>partground</f>
        <v>9</v>
      </c>
      <c r="E140" s="1280" t="s">
        <v>262</v>
      </c>
      <c r="F140" s="1069">
        <v>2</v>
      </c>
      <c r="G140" s="1069">
        <f t="shared" si="7"/>
        <v>0</v>
      </c>
      <c r="H140" s="1068"/>
      <c r="I140" s="1069">
        <f>$G140*J$16*$H$64</f>
        <v>0</v>
      </c>
      <c r="J140" s="571"/>
      <c r="K140" s="1068"/>
      <c r="L140" s="1069">
        <f>$G140*$K$133*M$16</f>
        <v>0</v>
      </c>
      <c r="M140" s="1067"/>
      <c r="N140" s="1068"/>
      <c r="O140" s="1069">
        <f>$G140*$N$133*P$16</f>
        <v>0</v>
      </c>
      <c r="P140" s="1067"/>
      <c r="Q140" s="1068"/>
      <c r="R140" s="1069">
        <f>$G140*$Q$133*S$16</f>
        <v>0</v>
      </c>
      <c r="S140" s="1067"/>
      <c r="T140" s="1244"/>
      <c r="U140" s="571"/>
      <c r="V140" s="573"/>
      <c r="W140" s="571"/>
    </row>
    <row r="141" spans="1:23">
      <c r="A141" s="1243" t="s">
        <v>813</v>
      </c>
      <c r="B141" s="1280"/>
      <c r="C141" s="1280" t="s">
        <v>248</v>
      </c>
      <c r="D141" s="1280">
        <f>+[1]Assumptions!D101</f>
        <v>25</v>
      </c>
      <c r="E141" s="1280" t="s">
        <v>249</v>
      </c>
      <c r="F141" s="1069">
        <v>2</v>
      </c>
      <c r="G141" s="1069">
        <f t="shared" si="7"/>
        <v>0</v>
      </c>
      <c r="H141" s="1068"/>
      <c r="I141" s="1069">
        <f>$G141*J$16*$H$64</f>
        <v>0</v>
      </c>
      <c r="J141" s="571"/>
      <c r="K141" s="1068"/>
      <c r="L141" s="1069">
        <f>$G141*$K$133*M$16</f>
        <v>0</v>
      </c>
      <c r="M141" s="1067"/>
      <c r="N141" s="1068"/>
      <c r="O141" s="1069">
        <f>$G141*$N$133*P$16</f>
        <v>0</v>
      </c>
      <c r="P141" s="1067"/>
      <c r="Q141" s="1068"/>
      <c r="R141" s="1069">
        <f>$G141*$Q$133*S$16</f>
        <v>0</v>
      </c>
      <c r="S141" s="1067"/>
      <c r="T141" s="1244"/>
      <c r="U141" s="571"/>
      <c r="V141" s="573"/>
      <c r="W141" s="571"/>
    </row>
    <row r="142" spans="1:23">
      <c r="A142" s="605" t="s">
        <v>264</v>
      </c>
      <c r="B142" s="1280"/>
      <c r="C142" s="1280" t="s">
        <v>248</v>
      </c>
      <c r="D142" s="1280">
        <f>+[1]Assumptions!D103</f>
        <v>90</v>
      </c>
      <c r="E142" s="1280" t="s">
        <v>249</v>
      </c>
      <c r="F142" s="1069">
        <v>2</v>
      </c>
      <c r="G142" s="1069">
        <f t="shared" si="7"/>
        <v>0</v>
      </c>
      <c r="H142" s="1068"/>
      <c r="I142" s="1069">
        <f>$G142*J$16*$H$64</f>
        <v>0</v>
      </c>
      <c r="J142" s="571"/>
      <c r="K142" s="1068"/>
      <c r="L142" s="1069">
        <f>$G142*$K$133*M$16</f>
        <v>0</v>
      </c>
      <c r="M142" s="1067"/>
      <c r="N142" s="1068"/>
      <c r="O142" s="1069">
        <f>$G142*$N$133*P$16</f>
        <v>0</v>
      </c>
      <c r="P142" s="1067"/>
      <c r="Q142" s="1068"/>
      <c r="R142" s="1069">
        <f>$G142*$Q$133*S$16</f>
        <v>0</v>
      </c>
      <c r="S142" s="1067"/>
      <c r="T142" s="1244"/>
      <c r="U142" s="571"/>
      <c r="V142" s="573"/>
      <c r="W142" s="571"/>
    </row>
    <row r="143" spans="1:23">
      <c r="A143" s="1243" t="s">
        <v>787</v>
      </c>
      <c r="B143" s="1280"/>
      <c r="C143" s="1280" t="s">
        <v>248</v>
      </c>
      <c r="D143" s="1280">
        <f>partmeals</f>
        <v>47</v>
      </c>
      <c r="E143" s="1280" t="s">
        <v>249</v>
      </c>
      <c r="F143" s="1069">
        <v>2</v>
      </c>
      <c r="G143" s="1069">
        <f t="shared" si="7"/>
        <v>0</v>
      </c>
      <c r="H143" s="1068"/>
      <c r="I143" s="1069">
        <f>$G143*J$16*$H$64</f>
        <v>0</v>
      </c>
      <c r="J143" s="571"/>
      <c r="K143" s="1068"/>
      <c r="L143" s="1069">
        <f>$G143*$K$133*M$16</f>
        <v>0</v>
      </c>
      <c r="M143" s="1067"/>
      <c r="N143" s="1068"/>
      <c r="O143" s="1069">
        <f>$G143*$N$133*P$16</f>
        <v>0</v>
      </c>
      <c r="P143" s="1067"/>
      <c r="Q143" s="1068"/>
      <c r="R143" s="1069">
        <f>$G143*$Q$133*S$16</f>
        <v>0</v>
      </c>
      <c r="S143" s="1067"/>
      <c r="T143" s="1244"/>
      <c r="U143" s="571"/>
      <c r="V143" s="573"/>
      <c r="W143" s="571"/>
    </row>
    <row r="144" spans="1:23">
      <c r="A144" s="1243" t="s">
        <v>807</v>
      </c>
      <c r="B144" s="1280"/>
      <c r="C144" s="1280" t="s">
        <v>248</v>
      </c>
      <c r="D144" s="1280">
        <f>partairfare</f>
        <v>200</v>
      </c>
      <c r="E144" s="1280" t="s">
        <v>262</v>
      </c>
      <c r="F144" s="1069">
        <v>1</v>
      </c>
      <c r="G144" s="1069">
        <f t="shared" si="7"/>
        <v>0</v>
      </c>
      <c r="H144" s="1068"/>
      <c r="I144" s="1069">
        <f>$G144*J$16*$H$64</f>
        <v>0</v>
      </c>
      <c r="J144" s="571"/>
      <c r="K144" s="1068"/>
      <c r="L144" s="1069">
        <f>$G144*$K$133*M$16</f>
        <v>0</v>
      </c>
      <c r="M144" s="1067"/>
      <c r="N144" s="1068"/>
      <c r="O144" s="1069">
        <f>$G144*$N$133*P$16</f>
        <v>0</v>
      </c>
      <c r="P144" s="1067"/>
      <c r="Q144" s="1068"/>
      <c r="R144" s="1069">
        <f>$G144*$Q$133*S$16</f>
        <v>0</v>
      </c>
      <c r="S144" s="1067"/>
      <c r="T144" s="1244"/>
      <c r="U144" s="571"/>
      <c r="V144" s="573"/>
      <c r="W144" s="571"/>
    </row>
    <row r="145" spans="1:22">
      <c r="A145" s="1245" t="s">
        <v>269</v>
      </c>
      <c r="B145" s="622"/>
      <c r="C145" s="622"/>
      <c r="D145" s="1246"/>
      <c r="E145" s="1410">
        <f>SUM(G140:G144)</f>
        <v>0</v>
      </c>
      <c r="F145" s="1410"/>
      <c r="G145" s="1247"/>
      <c r="H145" s="1248"/>
      <c r="I145" s="1248"/>
      <c r="J145" s="1239"/>
      <c r="K145" s="1248"/>
      <c r="L145" s="1248"/>
      <c r="M145" s="1239"/>
      <c r="N145" s="1248"/>
      <c r="O145" s="1248"/>
      <c r="P145" s="1239"/>
      <c r="Q145" s="1248"/>
      <c r="R145" s="1248"/>
      <c r="S145" s="1239"/>
      <c r="T145" s="1249"/>
      <c r="U145" s="571"/>
      <c r="V145" s="573"/>
    </row>
    <row r="146" spans="1:22">
      <c r="A146" s="569"/>
      <c r="B146" s="627"/>
      <c r="C146" s="627"/>
      <c r="D146" s="627"/>
      <c r="E146" s="627"/>
      <c r="F146" s="627"/>
      <c r="G146" s="592"/>
      <c r="H146" s="592"/>
      <c r="I146" s="592"/>
      <c r="J146" s="592"/>
      <c r="K146" s="592"/>
      <c r="L146" s="592"/>
      <c r="M146" s="592"/>
      <c r="N146" s="592"/>
      <c r="O146" s="592"/>
      <c r="P146" s="592"/>
      <c r="Q146" s="592"/>
      <c r="R146" s="592"/>
      <c r="S146" s="592"/>
      <c r="T146" s="593"/>
      <c r="U146" s="571"/>
      <c r="V146" s="573"/>
    </row>
    <row r="147" spans="1:22">
      <c r="A147" s="569"/>
      <c r="B147" s="627"/>
      <c r="C147" s="627"/>
      <c r="D147" s="627"/>
      <c r="E147" s="627"/>
      <c r="F147" s="627"/>
      <c r="G147" s="592"/>
      <c r="H147" s="592"/>
      <c r="I147" s="592"/>
      <c r="J147" s="592"/>
      <c r="K147" s="592"/>
      <c r="L147" s="592"/>
      <c r="M147" s="592"/>
      <c r="N147" s="592"/>
      <c r="O147" s="592"/>
      <c r="P147" s="592"/>
      <c r="Q147" s="592"/>
      <c r="R147" s="592"/>
      <c r="S147" s="592"/>
      <c r="T147" s="593"/>
      <c r="U147" s="571"/>
      <c r="V147" s="573"/>
    </row>
    <row r="148" spans="1:22" ht="15.75" customHeight="1">
      <c r="A148" s="1447" t="s">
        <v>750</v>
      </c>
      <c r="B148" s="1415"/>
      <c r="C148" s="1415"/>
      <c r="D148" s="1415"/>
      <c r="E148" s="1415"/>
      <c r="F148" s="595"/>
      <c r="G148" s="595"/>
      <c r="H148" s="1438"/>
      <c r="I148" s="1438"/>
      <c r="J148" s="1278">
        <f>SUM(I151:I153)</f>
        <v>0</v>
      </c>
      <c r="K148" s="1444">
        <v>0</v>
      </c>
      <c r="L148" s="1444"/>
      <c r="M148" s="1279">
        <f>SUM(L151:L153)</f>
        <v>0</v>
      </c>
      <c r="N148" s="1444">
        <v>0</v>
      </c>
      <c r="O148" s="1444"/>
      <c r="P148" s="1279">
        <f>SUM(O151:O153)</f>
        <v>0</v>
      </c>
      <c r="Q148" s="1445">
        <v>0</v>
      </c>
      <c r="R148" s="1445"/>
      <c r="S148" s="597">
        <f>SUM(R151:R153)</f>
        <v>0</v>
      </c>
      <c r="T148" s="1066">
        <f>SUM(J148,M148,P148,S148,)</f>
        <v>0</v>
      </c>
      <c r="U148" s="571"/>
      <c r="V148" s="573"/>
    </row>
    <row r="149" spans="1:22">
      <c r="A149" s="1250" t="s">
        <v>777</v>
      </c>
      <c r="B149" s="1239"/>
      <c r="C149" s="1239"/>
      <c r="D149" s="1239"/>
      <c r="E149" s="1239"/>
      <c r="F149" s="1239"/>
      <c r="G149" s="1239"/>
      <c r="H149" s="1240"/>
      <c r="I149" s="1239"/>
      <c r="J149" s="1239"/>
      <c r="K149" s="1240"/>
      <c r="L149" s="1239"/>
      <c r="M149" s="1241"/>
      <c r="N149" s="1240"/>
      <c r="O149" s="1239"/>
      <c r="P149" s="1241"/>
      <c r="Q149" s="1240"/>
      <c r="R149" s="1239"/>
      <c r="S149" s="1241"/>
      <c r="T149" s="1242"/>
      <c r="U149" s="571"/>
      <c r="V149" s="573"/>
    </row>
    <row r="150" spans="1:22">
      <c r="A150" s="599" t="s">
        <v>814</v>
      </c>
      <c r="B150" s="1239"/>
      <c r="C150" s="1239"/>
      <c r="D150" s="1239"/>
      <c r="E150" s="1239"/>
      <c r="F150" s="1239"/>
      <c r="G150" s="1239"/>
      <c r="H150" s="1240"/>
      <c r="I150" s="1239"/>
      <c r="J150" s="1239"/>
      <c r="K150" s="1240"/>
      <c r="L150" s="1239"/>
      <c r="M150" s="1241"/>
      <c r="N150" s="1240"/>
      <c r="O150" s="1239"/>
      <c r="P150" s="1241"/>
      <c r="Q150" s="1240"/>
      <c r="R150" s="1239"/>
      <c r="S150" s="1241"/>
      <c r="T150" s="1242"/>
      <c r="U150" s="571"/>
      <c r="V150" s="573"/>
    </row>
    <row r="151" spans="1:22">
      <c r="A151" s="1243" t="s">
        <v>815</v>
      </c>
      <c r="B151" s="1280">
        <v>0</v>
      </c>
      <c r="C151" s="1280" t="s">
        <v>248</v>
      </c>
      <c r="D151" s="1280">
        <f>parttransp</f>
        <v>4</v>
      </c>
      <c r="E151" s="1280" t="s">
        <v>249</v>
      </c>
      <c r="F151" s="1280">
        <f>IF(B151=0,0,F148)</f>
        <v>0</v>
      </c>
      <c r="G151" s="1280">
        <f>B151*D151*F151</f>
        <v>0</v>
      </c>
      <c r="H151" s="1281"/>
      <c r="I151" s="1280">
        <f>$G151*H148*J$16</f>
        <v>0</v>
      </c>
      <c r="J151" s="571"/>
      <c r="K151" s="1068"/>
      <c r="L151" s="1069">
        <f>$G151*K148*M$16</f>
        <v>0</v>
      </c>
      <c r="M151" s="1067"/>
      <c r="N151" s="1068"/>
      <c r="O151" s="1069">
        <f>$G151*N148*P$16</f>
        <v>0</v>
      </c>
      <c r="P151" s="1067"/>
      <c r="Q151" s="1068"/>
      <c r="R151" s="1069">
        <f>$G151*Q148*S$16</f>
        <v>0</v>
      </c>
      <c r="S151" s="1067"/>
      <c r="T151" s="1244"/>
      <c r="U151" s="571"/>
      <c r="V151" s="573"/>
    </row>
    <row r="152" spans="1:22">
      <c r="A152" s="1243" t="s">
        <v>780</v>
      </c>
      <c r="B152" s="1280">
        <v>0</v>
      </c>
      <c r="C152" s="1280" t="s">
        <v>248</v>
      </c>
      <c r="D152" s="1280">
        <f>coffee+lunch</f>
        <v>16</v>
      </c>
      <c r="E152" s="1280" t="s">
        <v>249</v>
      </c>
      <c r="F152" s="1280">
        <f>IF(B152=0,0,F148)</f>
        <v>0</v>
      </c>
      <c r="G152" s="1280">
        <f>B152*D152*F152</f>
        <v>0</v>
      </c>
      <c r="H152" s="1281"/>
      <c r="I152" s="1280">
        <f>$G152*H148*J$16</f>
        <v>0</v>
      </c>
      <c r="J152" s="571"/>
      <c r="K152" s="1068"/>
      <c r="L152" s="1069">
        <f>$G152*K148*M$16</f>
        <v>0</v>
      </c>
      <c r="M152" s="1067"/>
      <c r="N152" s="1068"/>
      <c r="O152" s="1069">
        <f>$G152*N148*P$16</f>
        <v>0</v>
      </c>
      <c r="P152" s="1067"/>
      <c r="Q152" s="1068"/>
      <c r="R152" s="1069">
        <f>$G152*Q148*S$16</f>
        <v>0</v>
      </c>
      <c r="S152" s="1067"/>
      <c r="T152" s="1244"/>
      <c r="U152" s="571"/>
      <c r="V152" s="573"/>
    </row>
    <row r="153" spans="1:22">
      <c r="A153" s="1243" t="s">
        <v>276</v>
      </c>
      <c r="B153" s="1280">
        <v>0</v>
      </c>
      <c r="C153" s="1280" t="s">
        <v>277</v>
      </c>
      <c r="D153" s="1280">
        <v>15</v>
      </c>
      <c r="E153" s="1280" t="str">
        <f>C153</f>
        <v>activity</v>
      </c>
      <c r="F153" s="1280">
        <f>IF(B153=0,0,1)</f>
        <v>0</v>
      </c>
      <c r="G153" s="1280">
        <f>B153*D153*F153</f>
        <v>0</v>
      </c>
      <c r="H153" s="1281"/>
      <c r="I153" s="1280">
        <f>$G153*H148*J$16</f>
        <v>0</v>
      </c>
      <c r="J153" s="571"/>
      <c r="K153" s="1068"/>
      <c r="L153" s="1069">
        <f>$G153*K148*M$16</f>
        <v>0</v>
      </c>
      <c r="M153" s="1067"/>
      <c r="N153" s="1068"/>
      <c r="O153" s="1069">
        <f>$G153*N148*P$16</f>
        <v>0</v>
      </c>
      <c r="P153" s="1067"/>
      <c r="Q153" s="1068"/>
      <c r="R153" s="1069">
        <f>$G153*Q148*S$16</f>
        <v>0</v>
      </c>
      <c r="S153" s="1067"/>
      <c r="T153" s="1244"/>
      <c r="U153" s="571"/>
      <c r="V153" s="573"/>
    </row>
    <row r="154" spans="1:22">
      <c r="A154" s="605"/>
      <c r="B154" s="1280"/>
      <c r="C154" s="1280"/>
      <c r="D154" s="1280"/>
      <c r="E154" s="1280"/>
      <c r="F154" s="1280"/>
      <c r="G154" s="1280"/>
      <c r="H154" s="1281"/>
      <c r="I154" s="1280"/>
      <c r="J154" s="571"/>
      <c r="K154" s="1068"/>
      <c r="L154" s="1069"/>
      <c r="M154" s="1067"/>
      <c r="N154" s="1068"/>
      <c r="O154" s="1069"/>
      <c r="P154" s="1067"/>
      <c r="Q154" s="1068"/>
      <c r="R154" s="1069"/>
      <c r="S154" s="1067"/>
      <c r="T154" s="1244"/>
      <c r="U154" s="571"/>
      <c r="V154" s="573"/>
    </row>
    <row r="155" spans="1:22">
      <c r="A155" s="613" t="s">
        <v>278</v>
      </c>
      <c r="B155" s="1280"/>
      <c r="C155" s="1280"/>
      <c r="D155" s="1280"/>
      <c r="E155" s="1280"/>
      <c r="F155" s="1280"/>
      <c r="G155" s="1280"/>
      <c r="H155" s="1281"/>
      <c r="I155" s="1280"/>
      <c r="J155" s="571"/>
      <c r="K155" s="1068"/>
      <c r="L155" s="1069"/>
      <c r="M155" s="1067"/>
      <c r="N155" s="1068"/>
      <c r="O155" s="1069"/>
      <c r="P155" s="1067"/>
      <c r="Q155" s="1068"/>
      <c r="R155" s="1069"/>
      <c r="S155" s="1067"/>
      <c r="T155" s="1244"/>
      <c r="U155" s="571"/>
      <c r="V155" s="573"/>
    </row>
    <row r="156" spans="1:22">
      <c r="A156" s="605" t="s">
        <v>266</v>
      </c>
      <c r="B156" s="1280">
        <v>0</v>
      </c>
      <c r="C156" s="1280" t="s">
        <v>248</v>
      </c>
      <c r="D156" s="1280">
        <f>partground</f>
        <v>9</v>
      </c>
      <c r="E156" s="1280" t="s">
        <v>262</v>
      </c>
      <c r="F156" s="1280">
        <f>IF(B156=0,0,1)</f>
        <v>0</v>
      </c>
      <c r="G156" s="1280">
        <f>B156*D156*F156</f>
        <v>0</v>
      </c>
      <c r="H156" s="1281"/>
      <c r="I156" s="1280">
        <f>$G156*H148*J$16</f>
        <v>0</v>
      </c>
      <c r="J156" s="571"/>
      <c r="K156" s="1068"/>
      <c r="L156" s="1069">
        <f>$G156*K148*M$16</f>
        <v>0</v>
      </c>
      <c r="M156" s="1067"/>
      <c r="N156" s="1068"/>
      <c r="O156" s="1069">
        <f>$G156*N148*P$16</f>
        <v>0</v>
      </c>
      <c r="P156" s="1067"/>
      <c r="Q156" s="1068"/>
      <c r="R156" s="1069">
        <f>$G156*Q148*S$16</f>
        <v>0</v>
      </c>
      <c r="S156" s="1067"/>
      <c r="T156" s="1244"/>
      <c r="U156" s="571"/>
      <c r="V156" s="573"/>
    </row>
    <row r="157" spans="1:22">
      <c r="A157" s="1243" t="s">
        <v>267</v>
      </c>
      <c r="B157" s="1280">
        <v>0</v>
      </c>
      <c r="C157" s="1280" t="s">
        <v>248</v>
      </c>
      <c r="D157" s="1280">
        <f>partground</f>
        <v>9</v>
      </c>
      <c r="E157" s="1280" t="s">
        <v>249</v>
      </c>
      <c r="F157" s="1280">
        <f>IF(B157=0,0,1)</f>
        <v>0</v>
      </c>
      <c r="G157" s="1280">
        <f>B157*D157*F157</f>
        <v>0</v>
      </c>
      <c r="H157" s="1281"/>
      <c r="I157" s="1280">
        <f>$G157*H148*J$16</f>
        <v>0</v>
      </c>
      <c r="J157" s="571"/>
      <c r="K157" s="1068"/>
      <c r="L157" s="1069">
        <f>$G157*K148*M$16</f>
        <v>0</v>
      </c>
      <c r="M157" s="1067"/>
      <c r="N157" s="1068"/>
      <c r="O157" s="1069">
        <f>$G157*N148*P$16</f>
        <v>0</v>
      </c>
      <c r="P157" s="1067"/>
      <c r="Q157" s="1068"/>
      <c r="R157" s="1069">
        <f>$G157*Q148*S$16</f>
        <v>0</v>
      </c>
      <c r="S157" s="1067"/>
      <c r="T157" s="1244"/>
      <c r="U157" s="571"/>
      <c r="V157" s="573"/>
    </row>
    <row r="158" spans="1:22">
      <c r="A158" s="605" t="s">
        <v>264</v>
      </c>
      <c r="B158" s="1280">
        <v>0</v>
      </c>
      <c r="C158" s="1280" t="s">
        <v>248</v>
      </c>
      <c r="D158" s="1280">
        <f>partlodg</f>
        <v>35</v>
      </c>
      <c r="E158" s="1280" t="s">
        <v>249</v>
      </c>
      <c r="F158" s="1280">
        <f>IF(B158=0,0,F148)</f>
        <v>0</v>
      </c>
      <c r="G158" s="1280">
        <f>B158*D158*F158</f>
        <v>0</v>
      </c>
      <c r="H158" s="1281"/>
      <c r="I158" s="1280">
        <f>$G158*H148*J$16</f>
        <v>0</v>
      </c>
      <c r="J158" s="571"/>
      <c r="K158" s="1068"/>
      <c r="L158" s="1069">
        <f>$G158*K148*M$16</f>
        <v>0</v>
      </c>
      <c r="M158" s="1067"/>
      <c r="N158" s="1068"/>
      <c r="O158" s="1069">
        <f>$G158*N148*P$16</f>
        <v>0</v>
      </c>
      <c r="P158" s="1067"/>
      <c r="Q158" s="1068"/>
      <c r="R158" s="1069">
        <f>$G158*Q148*S$16</f>
        <v>0</v>
      </c>
      <c r="S158" s="1067"/>
      <c r="T158" s="1244"/>
      <c r="U158" s="571"/>
      <c r="V158" s="573"/>
    </row>
    <row r="159" spans="1:22">
      <c r="A159" s="1243" t="s">
        <v>787</v>
      </c>
      <c r="B159" s="1280">
        <v>0</v>
      </c>
      <c r="C159" s="1280" t="s">
        <v>248</v>
      </c>
      <c r="D159" s="1280">
        <f>partmeals</f>
        <v>47</v>
      </c>
      <c r="E159" s="1280" t="s">
        <v>249</v>
      </c>
      <c r="F159" s="1280">
        <f>IF(B159=0,0,F148)</f>
        <v>0</v>
      </c>
      <c r="G159" s="1280">
        <f>B159*D159*F159</f>
        <v>0</v>
      </c>
      <c r="H159" s="1281"/>
      <c r="I159" s="1280">
        <f>$G159*H148*J$16</f>
        <v>0</v>
      </c>
      <c r="J159" s="571"/>
      <c r="K159" s="1068"/>
      <c r="L159" s="1069">
        <f>$G159*K148*M$16</f>
        <v>0</v>
      </c>
      <c r="M159" s="1067"/>
      <c r="N159" s="1068"/>
      <c r="O159" s="1069">
        <f>$G159*N148*P$16</f>
        <v>0</v>
      </c>
      <c r="P159" s="1067"/>
      <c r="Q159" s="1068"/>
      <c r="R159" s="1069">
        <f>$G159*Q148*S$16</f>
        <v>0</v>
      </c>
      <c r="S159" s="1067"/>
      <c r="T159" s="1244"/>
      <c r="U159" s="571"/>
      <c r="V159" s="573"/>
    </row>
    <row r="160" spans="1:22">
      <c r="A160" s="1243" t="s">
        <v>798</v>
      </c>
      <c r="B160" s="1280">
        <v>0</v>
      </c>
      <c r="C160" s="1280" t="s">
        <v>248</v>
      </c>
      <c r="D160" s="1280">
        <f>parttransp</f>
        <v>4</v>
      </c>
      <c r="E160" s="1280" t="s">
        <v>262</v>
      </c>
      <c r="F160" s="1280"/>
      <c r="G160" s="1280">
        <f>B160*D160*F160</f>
        <v>0</v>
      </c>
      <c r="H160" s="1281"/>
      <c r="I160" s="1280">
        <f>$G160*H148*J$16</f>
        <v>0</v>
      </c>
      <c r="J160" s="571"/>
      <c r="K160" s="1068"/>
      <c r="L160" s="1069">
        <f>$G160*K148*M$16</f>
        <v>0</v>
      </c>
      <c r="M160" s="1067"/>
      <c r="N160" s="1068"/>
      <c r="O160" s="1069">
        <f>$G160*N148*P$16</f>
        <v>0</v>
      </c>
      <c r="P160" s="1067"/>
      <c r="Q160" s="1068"/>
      <c r="R160" s="1069">
        <f>$G160*Q148*S$16</f>
        <v>0</v>
      </c>
      <c r="S160" s="1067"/>
      <c r="T160" s="1244"/>
      <c r="U160" s="571"/>
      <c r="V160" s="573"/>
    </row>
    <row r="161" spans="1:22">
      <c r="A161" s="615"/>
      <c r="B161" s="1289"/>
      <c r="C161" s="1289"/>
      <c r="D161" s="1289">
        <v>0</v>
      </c>
      <c r="E161" s="1289"/>
      <c r="F161" s="1289"/>
      <c r="G161" s="1290">
        <f>B161*D161</f>
        <v>0</v>
      </c>
      <c r="H161" s="1291"/>
      <c r="I161" s="1289">
        <f>$G161*H148*J$16</f>
        <v>0</v>
      </c>
      <c r="J161" s="619"/>
      <c r="K161" s="1267"/>
      <c r="L161" s="1264">
        <f>$G161*K148*M$16</f>
        <v>0</v>
      </c>
      <c r="M161" s="1266"/>
      <c r="N161" s="1267"/>
      <c r="O161" s="1264">
        <f>$G161*N148*P$16</f>
        <v>0</v>
      </c>
      <c r="P161" s="1266"/>
      <c r="Q161" s="1267"/>
      <c r="R161" s="1264">
        <f>$G161*Q148*S$16</f>
        <v>0</v>
      </c>
      <c r="S161" s="1266"/>
      <c r="T161" s="1268"/>
      <c r="U161" s="571"/>
      <c r="V161" s="573"/>
    </row>
    <row r="162" spans="1:22">
      <c r="A162" s="1245" t="s">
        <v>788</v>
      </c>
      <c r="B162" s="622"/>
      <c r="C162" s="622"/>
      <c r="D162" s="1283"/>
      <c r="E162" s="1446">
        <f>SUM(G150:G161)</f>
        <v>0</v>
      </c>
      <c r="F162" s="1446"/>
      <c r="G162" s="624"/>
      <c r="H162" s="625"/>
      <c r="I162" s="625"/>
      <c r="J162" s="1239"/>
      <c r="K162" s="1248"/>
      <c r="L162" s="1248"/>
      <c r="M162" s="1239"/>
      <c r="N162" s="1248"/>
      <c r="O162" s="1248"/>
      <c r="P162" s="1239"/>
      <c r="Q162" s="1248"/>
      <c r="R162" s="1248"/>
      <c r="S162" s="1239"/>
      <c r="T162" s="1249"/>
      <c r="U162" s="571"/>
      <c r="V162" s="573"/>
    </row>
    <row r="163" spans="1:22">
      <c r="A163" s="1269"/>
      <c r="B163" s="1270"/>
      <c r="C163" s="1270"/>
      <c r="D163" s="1284"/>
      <c r="E163" s="625"/>
      <c r="F163" s="625"/>
      <c r="G163" s="1287"/>
      <c r="H163" s="1287"/>
      <c r="I163" s="1287"/>
      <c r="J163" s="1069"/>
      <c r="K163" s="1253"/>
      <c r="L163" s="1253"/>
      <c r="M163" s="1069"/>
      <c r="N163" s="1253"/>
      <c r="O163" s="1253"/>
      <c r="P163" s="1069"/>
      <c r="Q163" s="1253"/>
      <c r="R163" s="1253"/>
      <c r="S163" s="1069"/>
      <c r="T163" s="1254"/>
      <c r="U163" s="571"/>
      <c r="V163" s="573"/>
    </row>
    <row r="164" spans="1:22">
      <c r="A164" s="1238" t="s">
        <v>784</v>
      </c>
      <c r="B164" s="1239"/>
      <c r="C164" s="1239"/>
      <c r="D164" s="1239"/>
      <c r="E164" s="1239"/>
      <c r="F164" s="1239"/>
      <c r="G164" s="1239"/>
      <c r="H164" s="1438"/>
      <c r="I164" s="1438"/>
      <c r="J164" s="1278">
        <f>SUM(I167:I169)</f>
        <v>0</v>
      </c>
      <c r="K164" s="1444">
        <v>0</v>
      </c>
      <c r="L164" s="1444"/>
      <c r="M164" s="1279">
        <f>SUM(L167:L169)</f>
        <v>0</v>
      </c>
      <c r="N164" s="1444">
        <v>0</v>
      </c>
      <c r="O164" s="1444"/>
      <c r="P164" s="1279">
        <f>SUM(O167:O169)</f>
        <v>0</v>
      </c>
      <c r="Q164" s="1445">
        <v>0</v>
      </c>
      <c r="R164" s="1445"/>
      <c r="S164" s="597">
        <f>SUM(R167:R169)</f>
        <v>0</v>
      </c>
      <c r="T164" s="1066">
        <f>SUM(J164,M164,P164,S164,)</f>
        <v>0</v>
      </c>
      <c r="U164" s="571"/>
      <c r="V164" s="573"/>
    </row>
    <row r="165" spans="1:22">
      <c r="A165" s="599" t="s">
        <v>778</v>
      </c>
      <c r="B165" s="1239"/>
      <c r="C165" s="1239"/>
      <c r="D165" s="1239"/>
      <c r="E165" s="1239"/>
      <c r="F165" s="1239"/>
      <c r="G165" s="1239"/>
      <c r="H165" s="1285"/>
      <c r="I165" s="1284"/>
      <c r="J165" s="1284"/>
      <c r="K165" s="1285"/>
      <c r="L165" s="1284"/>
      <c r="M165" s="1286"/>
      <c r="N165" s="1285"/>
      <c r="O165" s="1284"/>
      <c r="P165" s="1286"/>
      <c r="Q165" s="1285"/>
      <c r="R165" s="1284"/>
      <c r="S165" s="1241"/>
      <c r="T165" s="1242"/>
      <c r="U165" s="571"/>
      <c r="V165" s="573"/>
    </row>
    <row r="166" spans="1:22">
      <c r="A166" s="1243" t="s">
        <v>791</v>
      </c>
      <c r="B166" s="1280"/>
      <c r="C166" s="1280" t="s">
        <v>248</v>
      </c>
      <c r="D166" s="1280">
        <f>parttransp</f>
        <v>4</v>
      </c>
      <c r="E166" s="1069" t="s">
        <v>249</v>
      </c>
      <c r="F166" s="1069">
        <f>IF(B166=0,0,F162)</f>
        <v>0</v>
      </c>
      <c r="G166" s="1069">
        <f>B166*D166*F166</f>
        <v>0</v>
      </c>
      <c r="H166" s="1281"/>
      <c r="I166" s="1280">
        <f>$G166*H162*J$16</f>
        <v>0</v>
      </c>
      <c r="J166" s="571"/>
      <c r="K166" s="1281"/>
      <c r="L166" s="1280">
        <f>$G166*K162*M$16</f>
        <v>0</v>
      </c>
      <c r="M166" s="1282"/>
      <c r="N166" s="1281"/>
      <c r="O166" s="1280">
        <f>$G166*N162*P$16</f>
        <v>0</v>
      </c>
      <c r="P166" s="1282"/>
      <c r="Q166" s="1281"/>
      <c r="R166" s="1280">
        <f>$G166*Q162*S$16</f>
        <v>0</v>
      </c>
      <c r="S166" s="1067"/>
      <c r="T166" s="1244"/>
      <c r="U166" s="571"/>
      <c r="V166" s="573"/>
    </row>
    <row r="167" spans="1:22">
      <c r="A167" s="1243" t="s">
        <v>780</v>
      </c>
      <c r="B167" s="1280"/>
      <c r="C167" s="1280" t="s">
        <v>248</v>
      </c>
      <c r="D167" s="1280">
        <f>coffee+lunch</f>
        <v>16</v>
      </c>
      <c r="E167" s="1069" t="s">
        <v>249</v>
      </c>
      <c r="F167" s="1069">
        <f>IF(B167=0,0,F162)</f>
        <v>0</v>
      </c>
      <c r="G167" s="1069">
        <f>B167*D167*F167</f>
        <v>0</v>
      </c>
      <c r="H167" s="1068"/>
      <c r="I167" s="1069">
        <f>$G167*H162*J$16</f>
        <v>0</v>
      </c>
      <c r="J167" s="571"/>
      <c r="K167" s="1068"/>
      <c r="L167" s="1069">
        <f>$G167*K162*M$16</f>
        <v>0</v>
      </c>
      <c r="M167" s="1067"/>
      <c r="N167" s="1068"/>
      <c r="O167" s="1069">
        <f>$G167*N162*P$16</f>
        <v>0</v>
      </c>
      <c r="P167" s="1067"/>
      <c r="Q167" s="1068"/>
      <c r="R167" s="1069">
        <f>$G167*Q162*S$16</f>
        <v>0</v>
      </c>
      <c r="S167" s="1067"/>
      <c r="T167" s="1244"/>
      <c r="U167" s="571"/>
      <c r="V167" s="573"/>
    </row>
    <row r="168" spans="1:22">
      <c r="A168" s="1243" t="s">
        <v>810</v>
      </c>
      <c r="B168" s="1280"/>
      <c r="C168" s="1280" t="s">
        <v>277</v>
      </c>
      <c r="D168" s="1280">
        <f>print</f>
        <v>50</v>
      </c>
      <c r="E168" s="1069" t="str">
        <f>C168</f>
        <v>activity</v>
      </c>
      <c r="F168" s="1069">
        <f>IF(B168=0,0,1)</f>
        <v>0</v>
      </c>
      <c r="G168" s="1069">
        <f>B168*D168*F168</f>
        <v>0</v>
      </c>
      <c r="H168" s="1068"/>
      <c r="I168" s="1069">
        <f>$G168*H162*J$16</f>
        <v>0</v>
      </c>
      <c r="J168" s="571"/>
      <c r="K168" s="1068"/>
      <c r="L168" s="1069">
        <f>$G168*K162*M$16</f>
        <v>0</v>
      </c>
      <c r="M168" s="1067"/>
      <c r="N168" s="1068"/>
      <c r="O168" s="1069">
        <f>$G168*N162*P$16</f>
        <v>0</v>
      </c>
      <c r="P168" s="1067"/>
      <c r="Q168" s="1068"/>
      <c r="R168" s="1069">
        <f>$G168*Q162*S$16</f>
        <v>0</v>
      </c>
      <c r="S168" s="1067"/>
      <c r="T168" s="1244"/>
      <c r="U168" s="571"/>
      <c r="V168" s="573"/>
    </row>
    <row r="169" spans="1:22">
      <c r="A169" s="605"/>
      <c r="B169" s="1280"/>
      <c r="C169" s="1280"/>
      <c r="D169" s="1280"/>
      <c r="E169" s="1069"/>
      <c r="F169" s="1069"/>
      <c r="G169" s="1069"/>
      <c r="H169" s="1068"/>
      <c r="I169" s="1069"/>
      <c r="J169" s="571"/>
      <c r="K169" s="1068"/>
      <c r="L169" s="1069"/>
      <c r="M169" s="1067"/>
      <c r="N169" s="1068"/>
      <c r="O169" s="1069"/>
      <c r="P169" s="1067"/>
      <c r="Q169" s="1068"/>
      <c r="R169" s="1069"/>
      <c r="S169" s="1067"/>
      <c r="T169" s="1244"/>
      <c r="U169" s="571"/>
      <c r="V169" s="573"/>
    </row>
    <row r="170" spans="1:22">
      <c r="A170" s="613" t="s">
        <v>806</v>
      </c>
      <c r="B170" s="1280"/>
      <c r="C170" s="1280"/>
      <c r="D170" s="1280"/>
      <c r="E170" s="1069"/>
      <c r="F170" s="1069"/>
      <c r="G170" s="1069">
        <f t="shared" ref="G170:G175" si="8">B170*D170*F170</f>
        <v>0</v>
      </c>
      <c r="H170" s="1068"/>
      <c r="I170" s="1069"/>
      <c r="J170" s="571"/>
      <c r="K170" s="1068"/>
      <c r="L170" s="1069"/>
      <c r="M170" s="1067"/>
      <c r="N170" s="1068"/>
      <c r="O170" s="1069"/>
      <c r="P170" s="1067"/>
      <c r="Q170" s="1068"/>
      <c r="R170" s="1069"/>
      <c r="S170" s="1067"/>
      <c r="T170" s="1244"/>
      <c r="U170" s="571"/>
      <c r="V170" s="573"/>
    </row>
    <row r="171" spans="1:22">
      <c r="A171" s="605" t="s">
        <v>261</v>
      </c>
      <c r="B171" s="1280">
        <v>0</v>
      </c>
      <c r="C171" s="1280" t="s">
        <v>248</v>
      </c>
      <c r="D171" s="1280">
        <f>partground</f>
        <v>9</v>
      </c>
      <c r="E171" s="1069" t="s">
        <v>262</v>
      </c>
      <c r="F171" s="1069">
        <v>2</v>
      </c>
      <c r="G171" s="1069">
        <f t="shared" si="8"/>
        <v>0</v>
      </c>
      <c r="H171" s="1068"/>
      <c r="I171" s="1069">
        <f>$G171*J$16*$H$64</f>
        <v>0</v>
      </c>
      <c r="J171" s="571"/>
      <c r="K171" s="1068"/>
      <c r="L171" s="1069">
        <f>$G171*$K$164*M$16</f>
        <v>0</v>
      </c>
      <c r="M171" s="1067"/>
      <c r="N171" s="1068"/>
      <c r="O171" s="1069">
        <f>$G171*$N$164*P$16</f>
        <v>0</v>
      </c>
      <c r="P171" s="1067"/>
      <c r="Q171" s="1068"/>
      <c r="R171" s="1069">
        <f>$G171*$Q$164*S$16</f>
        <v>0</v>
      </c>
      <c r="S171" s="1067"/>
      <c r="T171" s="1244"/>
      <c r="U171" s="571"/>
      <c r="V171" s="573"/>
    </row>
    <row r="172" spans="1:22">
      <c r="A172" s="1243" t="s">
        <v>263</v>
      </c>
      <c r="B172" s="1280">
        <v>0</v>
      </c>
      <c r="C172" s="1280" t="s">
        <v>248</v>
      </c>
      <c r="D172" s="1280">
        <f>+[1]Assumptions!D101</f>
        <v>25</v>
      </c>
      <c r="E172" s="1069" t="s">
        <v>249</v>
      </c>
      <c r="F172" s="1069">
        <v>2</v>
      </c>
      <c r="G172" s="1069">
        <f t="shared" si="8"/>
        <v>0</v>
      </c>
      <c r="H172" s="1068"/>
      <c r="I172" s="1069">
        <f>$G172*J$16*$H$64</f>
        <v>0</v>
      </c>
      <c r="J172" s="571"/>
      <c r="K172" s="1068"/>
      <c r="L172" s="1069">
        <f>$G172*$K$164*M$16</f>
        <v>0</v>
      </c>
      <c r="M172" s="1067"/>
      <c r="N172" s="1068"/>
      <c r="O172" s="1069">
        <f>$G172*$N$164*P$16</f>
        <v>0</v>
      </c>
      <c r="P172" s="1067"/>
      <c r="Q172" s="1068"/>
      <c r="R172" s="1069">
        <f>$G172*$Q$164*S$16</f>
        <v>0</v>
      </c>
      <c r="S172" s="1067"/>
      <c r="T172" s="1244"/>
      <c r="U172" s="571"/>
      <c r="V172" s="573"/>
    </row>
    <row r="173" spans="1:22">
      <c r="A173" s="605" t="s">
        <v>790</v>
      </c>
      <c r="B173" s="1280">
        <v>0</v>
      </c>
      <c r="C173" s="1280" t="s">
        <v>248</v>
      </c>
      <c r="D173" s="1280">
        <f>+[1]Assumptions!D103</f>
        <v>90</v>
      </c>
      <c r="E173" s="1069" t="s">
        <v>249</v>
      </c>
      <c r="F173" s="1069">
        <v>2</v>
      </c>
      <c r="G173" s="1069">
        <f t="shared" si="8"/>
        <v>0</v>
      </c>
      <c r="H173" s="1068"/>
      <c r="I173" s="1069">
        <f>$G173*J$16*$H$64</f>
        <v>0</v>
      </c>
      <c r="J173" s="571"/>
      <c r="K173" s="1068"/>
      <c r="L173" s="1069">
        <f>$G173*$K$164*M$16</f>
        <v>0</v>
      </c>
      <c r="M173" s="1067"/>
      <c r="N173" s="1068"/>
      <c r="O173" s="1069">
        <f>$G173*$N$164*P$16</f>
        <v>0</v>
      </c>
      <c r="P173" s="1067"/>
      <c r="Q173" s="1068"/>
      <c r="R173" s="1069">
        <f>$G173*$Q$164*S$16</f>
        <v>0</v>
      </c>
      <c r="S173" s="1067"/>
      <c r="T173" s="1244"/>
      <c r="U173" s="571"/>
      <c r="V173" s="573"/>
    </row>
    <row r="174" spans="1:22">
      <c r="A174" s="1243" t="s">
        <v>783</v>
      </c>
      <c r="B174" s="1280">
        <v>0</v>
      </c>
      <c r="C174" s="1280" t="s">
        <v>248</v>
      </c>
      <c r="D174" s="1280">
        <f>partmeals</f>
        <v>47</v>
      </c>
      <c r="E174" s="1069" t="s">
        <v>249</v>
      </c>
      <c r="F174" s="1069">
        <v>2</v>
      </c>
      <c r="G174" s="1069">
        <f t="shared" si="8"/>
        <v>0</v>
      </c>
      <c r="H174" s="1068"/>
      <c r="I174" s="1069">
        <f>$G174*J$16*$H$64</f>
        <v>0</v>
      </c>
      <c r="J174" s="571"/>
      <c r="K174" s="1068"/>
      <c r="L174" s="1069">
        <f>$G174*$K$164*M$16</f>
        <v>0</v>
      </c>
      <c r="M174" s="1067"/>
      <c r="N174" s="1068"/>
      <c r="O174" s="1069">
        <f>$G174*$N$164*P$16</f>
        <v>0</v>
      </c>
      <c r="P174" s="1067"/>
      <c r="Q174" s="1068"/>
      <c r="R174" s="1069">
        <f>$G174*$Q$164*S$16</f>
        <v>0</v>
      </c>
      <c r="S174" s="1067"/>
      <c r="T174" s="1244"/>
      <c r="U174" s="571"/>
      <c r="V174" s="573"/>
    </row>
    <row r="175" spans="1:22">
      <c r="A175" s="1243" t="s">
        <v>807</v>
      </c>
      <c r="B175" s="1280">
        <v>0</v>
      </c>
      <c r="C175" s="1280" t="s">
        <v>248</v>
      </c>
      <c r="D175" s="1280">
        <f>partairfare</f>
        <v>200</v>
      </c>
      <c r="E175" s="1069" t="s">
        <v>262</v>
      </c>
      <c r="F175" s="1069">
        <v>1</v>
      </c>
      <c r="G175" s="1069">
        <f t="shared" si="8"/>
        <v>0</v>
      </c>
      <c r="H175" s="1068"/>
      <c r="I175" s="1069">
        <f>$G175*J$16*$H$64</f>
        <v>0</v>
      </c>
      <c r="J175" s="571"/>
      <c r="K175" s="1068"/>
      <c r="L175" s="1069">
        <f>$G175*$K$164*M$16</f>
        <v>0</v>
      </c>
      <c r="M175" s="1067"/>
      <c r="N175" s="1068"/>
      <c r="O175" s="1069">
        <f>$G175*$N$164*P$16</f>
        <v>0</v>
      </c>
      <c r="P175" s="1067"/>
      <c r="Q175" s="1068"/>
      <c r="R175" s="1069">
        <f>$G175*$Q$164*S$16</f>
        <v>0</v>
      </c>
      <c r="S175" s="1067"/>
      <c r="T175" s="1244"/>
      <c r="U175" s="571"/>
      <c r="V175" s="573"/>
    </row>
    <row r="176" spans="1:22">
      <c r="A176" s="1245" t="s">
        <v>788</v>
      </c>
      <c r="B176" s="622"/>
      <c r="C176" s="622"/>
      <c r="D176" s="1246"/>
      <c r="E176" s="1410">
        <f>SUM(G171:G175)</f>
        <v>0</v>
      </c>
      <c r="F176" s="1410"/>
      <c r="G176" s="1247"/>
      <c r="H176" s="1248"/>
      <c r="I176" s="1248"/>
      <c r="J176" s="1239"/>
      <c r="K176" s="1248"/>
      <c r="L176" s="1248"/>
      <c r="M176" s="1239"/>
      <c r="N176" s="1248"/>
      <c r="O176" s="1248"/>
      <c r="P176" s="1239"/>
      <c r="Q176" s="1248"/>
      <c r="R176" s="1248"/>
      <c r="S176" s="1239"/>
      <c r="T176" s="1249"/>
      <c r="U176" s="571"/>
      <c r="V176" s="573"/>
    </row>
    <row r="177" spans="1:22">
      <c r="A177" s="569"/>
      <c r="B177" s="627"/>
      <c r="C177" s="627"/>
      <c r="D177" s="627"/>
      <c r="E177" s="627"/>
      <c r="F177" s="627"/>
      <c r="G177" s="592"/>
      <c r="H177" s="592"/>
      <c r="I177" s="592"/>
      <c r="J177" s="592"/>
      <c r="K177" s="592"/>
      <c r="L177" s="592"/>
      <c r="M177" s="592"/>
      <c r="N177" s="592"/>
      <c r="O177" s="592"/>
      <c r="P177" s="592"/>
      <c r="Q177" s="592"/>
      <c r="R177" s="592"/>
      <c r="S177" s="592"/>
      <c r="T177" s="593"/>
      <c r="U177" s="571"/>
      <c r="V177" s="573"/>
    </row>
    <row r="178" spans="1:22" ht="34.5" customHeight="1">
      <c r="A178" s="1421" t="s">
        <v>816</v>
      </c>
      <c r="B178" s="1421"/>
      <c r="C178" s="1421"/>
      <c r="D178" s="1421"/>
      <c r="E178" s="1421"/>
      <c r="F178" s="595">
        <v>1</v>
      </c>
      <c r="G178" s="595"/>
      <c r="H178" s="1438">
        <v>1</v>
      </c>
      <c r="I178" s="1438"/>
      <c r="J178" s="1278">
        <f>SUM(I181:I183)</f>
        <v>315</v>
      </c>
      <c r="K178" s="1444">
        <v>9</v>
      </c>
      <c r="L178" s="1444"/>
      <c r="M178" s="1279">
        <f>SUM(L181:L183)</f>
        <v>2948.4</v>
      </c>
      <c r="N178" s="1444">
        <v>9</v>
      </c>
      <c r="O178" s="1444"/>
      <c r="P178" s="1279">
        <f>SUM(O181:O183)</f>
        <v>3066.3360000000007</v>
      </c>
      <c r="Q178" s="1445">
        <v>5</v>
      </c>
      <c r="R178" s="1445"/>
      <c r="S178" s="597">
        <f>SUM(R181:R183)</f>
        <v>1771.6608000000001</v>
      </c>
      <c r="T178" s="1066">
        <f>SUM(J178,M178,P178,S178,)</f>
        <v>8101.3968000000004</v>
      </c>
      <c r="U178" s="571"/>
      <c r="V178" s="573"/>
    </row>
    <row r="179" spans="1:22">
      <c r="A179" s="1250" t="s">
        <v>777</v>
      </c>
      <c r="B179" s="1239"/>
      <c r="C179" s="1239"/>
      <c r="D179" s="1239"/>
      <c r="E179" s="1239"/>
      <c r="F179" s="1284"/>
      <c r="G179" s="1284"/>
      <c r="H179" s="1285"/>
      <c r="I179" s="1284"/>
      <c r="J179" s="1284"/>
      <c r="K179" s="1285"/>
      <c r="L179" s="1284"/>
      <c r="M179" s="1286"/>
      <c r="N179" s="1285"/>
      <c r="O179" s="1284"/>
      <c r="P179" s="1286"/>
      <c r="Q179" s="1285"/>
      <c r="R179" s="1284"/>
      <c r="S179" s="1241"/>
      <c r="T179" s="1242"/>
      <c r="U179" s="571"/>
      <c r="V179" s="573"/>
    </row>
    <row r="180" spans="1:22">
      <c r="A180" s="599" t="s">
        <v>809</v>
      </c>
      <c r="B180" s="1239"/>
      <c r="C180" s="1239"/>
      <c r="D180" s="1239"/>
      <c r="E180" s="1239"/>
      <c r="F180" s="1284"/>
      <c r="G180" s="1284"/>
      <c r="H180" s="1285"/>
      <c r="I180" s="1284"/>
      <c r="J180" s="1284"/>
      <c r="K180" s="1285"/>
      <c r="L180" s="1284"/>
      <c r="M180" s="1286"/>
      <c r="N180" s="1285"/>
      <c r="O180" s="1284"/>
      <c r="P180" s="1286"/>
      <c r="Q180" s="1285"/>
      <c r="R180" s="1284"/>
      <c r="S180" s="1241"/>
      <c r="T180" s="1242"/>
      <c r="U180" s="571"/>
      <c r="V180" s="573"/>
    </row>
    <row r="181" spans="1:22">
      <c r="A181" s="1243" t="s">
        <v>815</v>
      </c>
      <c r="B181" s="1280">
        <v>15</v>
      </c>
      <c r="C181" s="1280" t="s">
        <v>248</v>
      </c>
      <c r="D181" s="1280">
        <f>parttransp</f>
        <v>4</v>
      </c>
      <c r="E181" s="1280" t="s">
        <v>249</v>
      </c>
      <c r="F181" s="1280">
        <f>IF(B181=0,0,F178)</f>
        <v>1</v>
      </c>
      <c r="G181" s="1069">
        <f>B181*D181*F181</f>
        <v>60</v>
      </c>
      <c r="H181" s="1068"/>
      <c r="I181" s="1069">
        <f>$G181*H178*J$16</f>
        <v>60</v>
      </c>
      <c r="J181" s="571"/>
      <c r="K181" s="1068"/>
      <c r="L181" s="1069">
        <f>$G181*K178*M$16</f>
        <v>561.6</v>
      </c>
      <c r="M181" s="1067"/>
      <c r="N181" s="1068"/>
      <c r="O181" s="1069">
        <f>$G181*N178*P$16</f>
        <v>584.06400000000008</v>
      </c>
      <c r="P181" s="1067"/>
      <c r="Q181" s="1068"/>
      <c r="R181" s="1069">
        <f>$G181*Q178*S$16</f>
        <v>337.45920000000001</v>
      </c>
      <c r="S181" s="1067"/>
      <c r="T181" s="1244"/>
      <c r="U181" s="571"/>
      <c r="V181" s="573"/>
    </row>
    <row r="182" spans="1:22">
      <c r="A182" s="1243" t="s">
        <v>780</v>
      </c>
      <c r="B182" s="1280">
        <v>15</v>
      </c>
      <c r="C182" s="1280" t="s">
        <v>248</v>
      </c>
      <c r="D182" s="1280">
        <f>coffee+lunch</f>
        <v>16</v>
      </c>
      <c r="E182" s="1280" t="s">
        <v>249</v>
      </c>
      <c r="F182" s="1280">
        <f>IF(B182=0,0,F178)</f>
        <v>1</v>
      </c>
      <c r="G182" s="1069">
        <f>B182*D182*F182</f>
        <v>240</v>
      </c>
      <c r="H182" s="1068"/>
      <c r="I182" s="1069">
        <f>$G182*H178*J$16</f>
        <v>240</v>
      </c>
      <c r="J182" s="571"/>
      <c r="K182" s="1068"/>
      <c r="L182" s="1069">
        <f>$G182*K178*M$16</f>
        <v>2246.4</v>
      </c>
      <c r="M182" s="1067"/>
      <c r="N182" s="1068"/>
      <c r="O182" s="1069">
        <f>$G182*N178*P$16</f>
        <v>2336.2560000000003</v>
      </c>
      <c r="P182" s="1067"/>
      <c r="Q182" s="1068"/>
      <c r="R182" s="1069">
        <f>$G182*Q178*S$16</f>
        <v>1349.8368</v>
      </c>
      <c r="S182" s="1067"/>
      <c r="T182" s="1244"/>
      <c r="U182" s="571"/>
      <c r="V182" s="573"/>
    </row>
    <row r="183" spans="1:22">
      <c r="A183" s="1243" t="s">
        <v>781</v>
      </c>
      <c r="B183" s="1280">
        <v>1</v>
      </c>
      <c r="C183" s="1280" t="s">
        <v>277</v>
      </c>
      <c r="D183" s="1280">
        <v>15</v>
      </c>
      <c r="E183" s="1280" t="str">
        <f>C183</f>
        <v>activity</v>
      </c>
      <c r="F183" s="1280">
        <f>IF(B183=0,0,1)</f>
        <v>1</v>
      </c>
      <c r="G183" s="1069">
        <f>B183*D183*F183</f>
        <v>15</v>
      </c>
      <c r="H183" s="1068"/>
      <c r="I183" s="1069">
        <f>$G183*H178*J$16</f>
        <v>15</v>
      </c>
      <c r="J183" s="571"/>
      <c r="K183" s="1068"/>
      <c r="L183" s="1069">
        <f>$G183*K178*M$16</f>
        <v>140.4</v>
      </c>
      <c r="M183" s="1067"/>
      <c r="N183" s="1068"/>
      <c r="O183" s="1069">
        <f>$G183*N178*P$16</f>
        <v>146.01600000000002</v>
      </c>
      <c r="P183" s="1067"/>
      <c r="Q183" s="1068"/>
      <c r="R183" s="1069">
        <f>$G183*Q178*S$16</f>
        <v>84.364800000000002</v>
      </c>
      <c r="S183" s="1067"/>
      <c r="T183" s="1244"/>
      <c r="U183" s="571"/>
      <c r="V183" s="573"/>
    </row>
    <row r="184" spans="1:22">
      <c r="A184" s="605"/>
      <c r="B184" s="1280"/>
      <c r="C184" s="1280"/>
      <c r="D184" s="1280"/>
      <c r="E184" s="1280"/>
      <c r="F184" s="1280"/>
      <c r="G184" s="1069"/>
      <c r="H184" s="1068"/>
      <c r="I184" s="1069"/>
      <c r="J184" s="571"/>
      <c r="K184" s="1068"/>
      <c r="L184" s="1069"/>
      <c r="M184" s="1067"/>
      <c r="N184" s="1068"/>
      <c r="O184" s="1069"/>
      <c r="P184" s="1067"/>
      <c r="Q184" s="1068"/>
      <c r="R184" s="1069"/>
      <c r="S184" s="1067"/>
      <c r="T184" s="1244"/>
      <c r="U184" s="571"/>
      <c r="V184" s="573"/>
    </row>
    <row r="185" spans="1:22">
      <c r="A185" s="613" t="s">
        <v>817</v>
      </c>
      <c r="B185" s="1280"/>
      <c r="C185" s="1280"/>
      <c r="D185" s="1280"/>
      <c r="E185" s="1280"/>
      <c r="F185" s="1280"/>
      <c r="G185" s="1069"/>
      <c r="H185" s="1068"/>
      <c r="I185" s="1069"/>
      <c r="J185" s="571"/>
      <c r="K185" s="1068"/>
      <c r="L185" s="1069"/>
      <c r="M185" s="1067"/>
      <c r="N185" s="1068"/>
      <c r="O185" s="1069"/>
      <c r="P185" s="1067"/>
      <c r="Q185" s="1068"/>
      <c r="R185" s="1069"/>
      <c r="S185" s="1067"/>
      <c r="T185" s="1244"/>
      <c r="U185" s="571"/>
      <c r="V185" s="573"/>
    </row>
    <row r="186" spans="1:22">
      <c r="A186" s="605" t="s">
        <v>818</v>
      </c>
      <c r="B186" s="1280">
        <v>2</v>
      </c>
      <c r="C186" s="1280" t="s">
        <v>248</v>
      </c>
      <c r="D186" s="1280">
        <f>partground</f>
        <v>9</v>
      </c>
      <c r="E186" s="1280" t="s">
        <v>262</v>
      </c>
      <c r="F186" s="1280">
        <f>IF(B186=0,0,1)</f>
        <v>1</v>
      </c>
      <c r="G186" s="1069">
        <f>B186*D186*F186</f>
        <v>18</v>
      </c>
      <c r="H186" s="1068"/>
      <c r="I186" s="1069">
        <f>$G186*H178*J$16</f>
        <v>18</v>
      </c>
      <c r="J186" s="571"/>
      <c r="K186" s="1068"/>
      <c r="L186" s="1069">
        <f>$G186*K178*M$16</f>
        <v>168.48000000000002</v>
      </c>
      <c r="M186" s="1067"/>
      <c r="N186" s="1068"/>
      <c r="O186" s="1069">
        <f>$G186*N178*P$16</f>
        <v>175.21920000000003</v>
      </c>
      <c r="P186" s="1067"/>
      <c r="Q186" s="1068"/>
      <c r="R186" s="1069">
        <f>$G186*Q178*S$16</f>
        <v>101.23776000000001</v>
      </c>
      <c r="S186" s="1067"/>
      <c r="T186" s="1244"/>
      <c r="U186" s="571"/>
      <c r="V186" s="573"/>
    </row>
    <row r="187" spans="1:22">
      <c r="A187" s="1243" t="s">
        <v>267</v>
      </c>
      <c r="B187" s="1280">
        <v>2</v>
      </c>
      <c r="C187" s="1280" t="s">
        <v>248</v>
      </c>
      <c r="D187" s="1280">
        <f>partground</f>
        <v>9</v>
      </c>
      <c r="E187" s="1280" t="s">
        <v>249</v>
      </c>
      <c r="F187" s="1280">
        <f>IF(B187=0,0,1)</f>
        <v>1</v>
      </c>
      <c r="G187" s="1069">
        <f>B187*D187*F187</f>
        <v>18</v>
      </c>
      <c r="H187" s="1068"/>
      <c r="I187" s="1069">
        <f>$G187*H178*J$16</f>
        <v>18</v>
      </c>
      <c r="J187" s="571"/>
      <c r="K187" s="1068"/>
      <c r="L187" s="1069">
        <f>$G187*K178*M$16</f>
        <v>168.48000000000002</v>
      </c>
      <c r="M187" s="1067"/>
      <c r="N187" s="1068"/>
      <c r="O187" s="1069">
        <f>$G187*N178*P$16</f>
        <v>175.21920000000003</v>
      </c>
      <c r="P187" s="1067"/>
      <c r="Q187" s="1068"/>
      <c r="R187" s="1069">
        <f>$G187*Q178*S$16</f>
        <v>101.23776000000001</v>
      </c>
      <c r="S187" s="1067"/>
      <c r="T187" s="1244"/>
      <c r="U187" s="571"/>
      <c r="V187" s="573"/>
    </row>
    <row r="188" spans="1:22">
      <c r="A188" s="605" t="s">
        <v>790</v>
      </c>
      <c r="B188" s="1280"/>
      <c r="C188" s="1280" t="s">
        <v>248</v>
      </c>
      <c r="D188" s="1280">
        <f>partlodg</f>
        <v>35</v>
      </c>
      <c r="E188" s="1280" t="s">
        <v>249</v>
      </c>
      <c r="F188" s="1280">
        <f>IF(B188=0,0,F178)</f>
        <v>0</v>
      </c>
      <c r="G188" s="1069">
        <f>B188*D188*F188</f>
        <v>0</v>
      </c>
      <c r="H188" s="1068"/>
      <c r="I188" s="1069">
        <f>$G188*H178*J$16</f>
        <v>0</v>
      </c>
      <c r="J188" s="571"/>
      <c r="K188" s="1068"/>
      <c r="L188" s="1069">
        <f>$G188*K178*M$16</f>
        <v>0</v>
      </c>
      <c r="M188" s="1067"/>
      <c r="N188" s="1068"/>
      <c r="O188" s="1069">
        <f>$G188*N178*P$16</f>
        <v>0</v>
      </c>
      <c r="P188" s="1067"/>
      <c r="Q188" s="1068"/>
      <c r="R188" s="1069">
        <f>$G188*Q178*S$16</f>
        <v>0</v>
      </c>
      <c r="S188" s="1067"/>
      <c r="T188" s="1244"/>
      <c r="U188" s="571"/>
      <c r="V188" s="573"/>
    </row>
    <row r="189" spans="1:22">
      <c r="A189" s="1243" t="s">
        <v>783</v>
      </c>
      <c r="B189" s="1280">
        <v>2</v>
      </c>
      <c r="C189" s="1280" t="s">
        <v>248</v>
      </c>
      <c r="D189" s="1280">
        <f>partmeals</f>
        <v>47</v>
      </c>
      <c r="E189" s="1280" t="s">
        <v>249</v>
      </c>
      <c r="F189" s="1280">
        <f>IF(B189=0,0,F178)</f>
        <v>1</v>
      </c>
      <c r="G189" s="1069">
        <f>B189*D189*F189</f>
        <v>94</v>
      </c>
      <c r="H189" s="1068"/>
      <c r="I189" s="1069">
        <f>$G189*H178*J$16</f>
        <v>94</v>
      </c>
      <c r="J189" s="571"/>
      <c r="K189" s="1068"/>
      <c r="L189" s="1069">
        <f>$G189*K178*M$16</f>
        <v>879.84</v>
      </c>
      <c r="M189" s="1067"/>
      <c r="N189" s="1068"/>
      <c r="O189" s="1069">
        <f>$G189*N178*P$16</f>
        <v>915.03360000000009</v>
      </c>
      <c r="P189" s="1067"/>
      <c r="Q189" s="1068"/>
      <c r="R189" s="1069">
        <f>$G189*Q178*S$16</f>
        <v>528.68608000000006</v>
      </c>
      <c r="S189" s="1067"/>
      <c r="T189" s="1244"/>
      <c r="U189" s="571"/>
      <c r="V189" s="573"/>
    </row>
    <row r="190" spans="1:22">
      <c r="A190" s="1243" t="s">
        <v>798</v>
      </c>
      <c r="B190" s="1280">
        <v>2</v>
      </c>
      <c r="C190" s="1280" t="s">
        <v>248</v>
      </c>
      <c r="D190" s="1280">
        <f>parttransp</f>
        <v>4</v>
      </c>
      <c r="E190" s="1280" t="s">
        <v>262</v>
      </c>
      <c r="F190" s="1280">
        <v>1</v>
      </c>
      <c r="G190" s="1069">
        <f>B190*D190*F190</f>
        <v>8</v>
      </c>
      <c r="H190" s="1068"/>
      <c r="I190" s="1069">
        <f>$G190*H178*J$16</f>
        <v>8</v>
      </c>
      <c r="J190" s="571"/>
      <c r="K190" s="1068"/>
      <c r="L190" s="1069">
        <f>$G190*K178*M$16</f>
        <v>74.88</v>
      </c>
      <c r="M190" s="1067"/>
      <c r="N190" s="1068"/>
      <c r="O190" s="1069">
        <f>$G190*N178*P$16</f>
        <v>77.875200000000007</v>
      </c>
      <c r="P190" s="1067"/>
      <c r="Q190" s="1068"/>
      <c r="R190" s="1069">
        <f>$G190*Q178*S$16</f>
        <v>44.994560000000007</v>
      </c>
      <c r="S190" s="1067"/>
      <c r="T190" s="1244"/>
      <c r="U190" s="571"/>
      <c r="V190" s="573"/>
    </row>
    <row r="191" spans="1:22">
      <c r="A191" s="615"/>
      <c r="B191" s="1289"/>
      <c r="C191" s="1289"/>
      <c r="D191" s="1289">
        <v>0</v>
      </c>
      <c r="E191" s="1289"/>
      <c r="F191" s="1289"/>
      <c r="G191" s="1266">
        <f>B191*D191</f>
        <v>0</v>
      </c>
      <c r="H191" s="1267"/>
      <c r="I191" s="1264">
        <f>$G191*H178*J$16</f>
        <v>0</v>
      </c>
      <c r="J191" s="619"/>
      <c r="K191" s="1267"/>
      <c r="L191" s="1264">
        <f>$G191*K178*M$16</f>
        <v>0</v>
      </c>
      <c r="M191" s="1266"/>
      <c r="N191" s="1267"/>
      <c r="O191" s="1264">
        <f>$G191*N178*P$16</f>
        <v>0</v>
      </c>
      <c r="P191" s="1266"/>
      <c r="Q191" s="1267"/>
      <c r="R191" s="1264">
        <f>$G191*Q178*S$16</f>
        <v>0</v>
      </c>
      <c r="S191" s="1266"/>
      <c r="T191" s="1268"/>
      <c r="U191" s="571"/>
      <c r="V191" s="573"/>
    </row>
    <row r="192" spans="1:22">
      <c r="A192" s="1245" t="s">
        <v>269</v>
      </c>
      <c r="B192" s="622"/>
      <c r="C192" s="622"/>
      <c r="D192" s="1246"/>
      <c r="E192" s="1410"/>
      <c r="F192" s="1410"/>
      <c r="G192" s="1247"/>
      <c r="H192" s="1248"/>
      <c r="I192" s="1248"/>
      <c r="J192" s="1239"/>
      <c r="K192" s="1248"/>
      <c r="L192" s="1248"/>
      <c r="M192" s="1239"/>
      <c r="N192" s="1248"/>
      <c r="O192" s="1248"/>
      <c r="P192" s="1239"/>
      <c r="Q192" s="1248"/>
      <c r="R192" s="1248"/>
      <c r="S192" s="1239"/>
      <c r="T192" s="1249"/>
      <c r="U192" s="571"/>
      <c r="V192" s="573"/>
    </row>
    <row r="193" spans="1:22">
      <c r="A193" s="1269"/>
      <c r="B193" s="1270"/>
      <c r="C193" s="1270"/>
      <c r="D193" s="1239"/>
      <c r="E193" s="1248"/>
      <c r="F193" s="1248"/>
      <c r="G193" s="1253"/>
      <c r="H193" s="1253"/>
      <c r="I193" s="1253"/>
      <c r="J193" s="1069"/>
      <c r="K193" s="1253"/>
      <c r="L193" s="1253"/>
      <c r="M193" s="1069"/>
      <c r="N193" s="1253"/>
      <c r="O193" s="1253"/>
      <c r="P193" s="1069"/>
      <c r="Q193" s="1253"/>
      <c r="R193" s="1253"/>
      <c r="S193" s="1069"/>
      <c r="T193" s="1254"/>
      <c r="U193" s="571"/>
      <c r="V193" s="573"/>
    </row>
    <row r="194" spans="1:22">
      <c r="A194" s="1238" t="s">
        <v>784</v>
      </c>
      <c r="B194" s="1239"/>
      <c r="C194" s="1239"/>
      <c r="D194" s="1239"/>
      <c r="E194" s="1239"/>
      <c r="F194" s="1239"/>
      <c r="G194" s="1239"/>
      <c r="H194" s="1438"/>
      <c r="I194" s="1438"/>
      <c r="J194" s="1278">
        <f>SUM(I197:I199)</f>
        <v>0</v>
      </c>
      <c r="K194" s="1444">
        <v>1</v>
      </c>
      <c r="L194" s="1444"/>
      <c r="M194" s="1279">
        <f>SUM(L197:L199)</f>
        <v>0</v>
      </c>
      <c r="N194" s="1444">
        <v>1</v>
      </c>
      <c r="O194" s="1444"/>
      <c r="P194" s="1279">
        <f>SUM(O197:O199)</f>
        <v>0</v>
      </c>
      <c r="Q194" s="1445">
        <v>1</v>
      </c>
      <c r="R194" s="1445"/>
      <c r="S194" s="597">
        <f>SUM(R197:R199)</f>
        <v>0</v>
      </c>
      <c r="T194" s="1066">
        <f>SUM(J194,M194,P194,S194,)</f>
        <v>0</v>
      </c>
      <c r="U194" s="1200"/>
      <c r="V194" s="573"/>
    </row>
    <row r="195" spans="1:22">
      <c r="A195" s="599" t="s">
        <v>778</v>
      </c>
      <c r="B195" s="1239"/>
      <c r="C195" s="1239"/>
      <c r="D195" s="1239"/>
      <c r="E195" s="1239"/>
      <c r="F195" s="1239"/>
      <c r="G195" s="1239"/>
      <c r="H195" s="1285"/>
      <c r="I195" s="1284"/>
      <c r="J195" s="1284"/>
      <c r="K195" s="1285"/>
      <c r="L195" s="1284"/>
      <c r="M195" s="1286"/>
      <c r="N195" s="1285"/>
      <c r="O195" s="1284"/>
      <c r="P195" s="1286"/>
      <c r="Q195" s="1285"/>
      <c r="R195" s="1284"/>
      <c r="S195" s="1241"/>
      <c r="T195" s="1242"/>
      <c r="U195" s="571"/>
      <c r="V195" s="573"/>
    </row>
    <row r="196" spans="1:22">
      <c r="A196" s="1243" t="s">
        <v>791</v>
      </c>
      <c r="B196" s="1280"/>
      <c r="C196" s="1280" t="s">
        <v>248</v>
      </c>
      <c r="D196" s="1280">
        <f>parttransp</f>
        <v>4</v>
      </c>
      <c r="E196" s="1069" t="s">
        <v>249</v>
      </c>
      <c r="F196" s="1069">
        <f>IF(B196=0,0,F192)</f>
        <v>0</v>
      </c>
      <c r="G196" s="1069">
        <f>B196*D196*F196</f>
        <v>0</v>
      </c>
      <c r="H196" s="1068"/>
      <c r="I196" s="1069">
        <f>$G196*H192*J$16</f>
        <v>0</v>
      </c>
      <c r="J196" s="571"/>
      <c r="K196" s="1068"/>
      <c r="L196" s="1069">
        <f>$G196*K192*M$16</f>
        <v>0</v>
      </c>
      <c r="M196" s="1067"/>
      <c r="N196" s="1068"/>
      <c r="O196" s="1069">
        <f>$G196*N192*P$16</f>
        <v>0</v>
      </c>
      <c r="P196" s="1067"/>
      <c r="Q196" s="1068"/>
      <c r="R196" s="1069">
        <f>$G196*Q192*S$16</f>
        <v>0</v>
      </c>
      <c r="S196" s="1067"/>
      <c r="T196" s="1244"/>
      <c r="U196" s="571"/>
      <c r="V196" s="573"/>
    </row>
    <row r="197" spans="1:22">
      <c r="A197" s="1243" t="s">
        <v>819</v>
      </c>
      <c r="B197" s="1280"/>
      <c r="C197" s="1280" t="s">
        <v>248</v>
      </c>
      <c r="D197" s="1280">
        <f>coffee+lunch</f>
        <v>16</v>
      </c>
      <c r="E197" s="1069" t="s">
        <v>249</v>
      </c>
      <c r="F197" s="1069">
        <f>IF(B197=0,0,F192)</f>
        <v>0</v>
      </c>
      <c r="G197" s="1069">
        <f>B197*D197*F197</f>
        <v>0</v>
      </c>
      <c r="H197" s="1068"/>
      <c r="I197" s="1069">
        <f>$G197*H192*J$16</f>
        <v>0</v>
      </c>
      <c r="J197" s="571"/>
      <c r="K197" s="1068"/>
      <c r="L197" s="1069">
        <f>$G197*K192*M$16</f>
        <v>0</v>
      </c>
      <c r="M197" s="1067"/>
      <c r="N197" s="1068"/>
      <c r="O197" s="1069">
        <f>$G197*N192*P$16</f>
        <v>0</v>
      </c>
      <c r="P197" s="1067"/>
      <c r="Q197" s="1068"/>
      <c r="R197" s="1069">
        <f>$G197*Q192*S$16</f>
        <v>0</v>
      </c>
      <c r="S197" s="1067"/>
      <c r="T197" s="1244"/>
      <c r="U197" s="571"/>
      <c r="V197" s="573"/>
    </row>
    <row r="198" spans="1:22">
      <c r="A198" s="1243" t="s">
        <v>810</v>
      </c>
      <c r="B198" s="1280"/>
      <c r="C198" s="1280" t="s">
        <v>277</v>
      </c>
      <c r="D198" s="1280">
        <f>print</f>
        <v>50</v>
      </c>
      <c r="E198" s="1069" t="str">
        <f>C198</f>
        <v>activity</v>
      </c>
      <c r="F198" s="1069">
        <f>IF(B198=0,0,1)</f>
        <v>0</v>
      </c>
      <c r="G198" s="1069">
        <f>B198*D198*F198</f>
        <v>0</v>
      </c>
      <c r="H198" s="1068"/>
      <c r="I198" s="1069">
        <f>$G198*H192*J$16</f>
        <v>0</v>
      </c>
      <c r="J198" s="571"/>
      <c r="K198" s="1068"/>
      <c r="L198" s="1069">
        <f>$G198*K192*M$16</f>
        <v>0</v>
      </c>
      <c r="M198" s="1067"/>
      <c r="N198" s="1068"/>
      <c r="O198" s="1069">
        <f>$G198*N192*P$16</f>
        <v>0</v>
      </c>
      <c r="P198" s="1067"/>
      <c r="Q198" s="1068"/>
      <c r="R198" s="1069">
        <f>$G198*Q192*S$16</f>
        <v>0</v>
      </c>
      <c r="S198" s="1067"/>
      <c r="T198" s="1244"/>
      <c r="U198" s="571"/>
      <c r="V198" s="573"/>
    </row>
    <row r="199" spans="1:22">
      <c r="A199" s="605"/>
      <c r="B199" s="1280"/>
      <c r="C199" s="1280"/>
      <c r="D199" s="1280"/>
      <c r="E199" s="1069"/>
      <c r="F199" s="1069"/>
      <c r="G199" s="1069"/>
      <c r="H199" s="1068"/>
      <c r="I199" s="1069"/>
      <c r="J199" s="571"/>
      <c r="K199" s="1068"/>
      <c r="L199" s="1069"/>
      <c r="M199" s="1067"/>
      <c r="N199" s="1068"/>
      <c r="O199" s="1069"/>
      <c r="P199" s="1067"/>
      <c r="Q199" s="1068"/>
      <c r="R199" s="1069"/>
      <c r="S199" s="1067"/>
      <c r="T199" s="1244"/>
      <c r="U199" s="571"/>
      <c r="V199" s="573"/>
    </row>
    <row r="200" spans="1:22">
      <c r="A200" s="613" t="s">
        <v>817</v>
      </c>
      <c r="B200" s="1280"/>
      <c r="C200" s="1280"/>
      <c r="D200" s="1280"/>
      <c r="E200" s="1069"/>
      <c r="F200" s="1069"/>
      <c r="G200" s="1069">
        <f t="shared" ref="G200:G205" si="9">B200*D200*F200</f>
        <v>0</v>
      </c>
      <c r="H200" s="1068"/>
      <c r="I200" s="1069"/>
      <c r="J200" s="571"/>
      <c r="K200" s="1068"/>
      <c r="L200" s="1069"/>
      <c r="M200" s="1067"/>
      <c r="N200" s="1068"/>
      <c r="O200" s="1069"/>
      <c r="P200" s="1067"/>
      <c r="Q200" s="1068"/>
      <c r="R200" s="1069"/>
      <c r="S200" s="1067"/>
      <c r="T200" s="1244"/>
      <c r="U200" s="571"/>
      <c r="V200" s="573"/>
    </row>
    <row r="201" spans="1:22">
      <c r="A201" s="605" t="s">
        <v>261</v>
      </c>
      <c r="B201" s="1280"/>
      <c r="C201" s="1280" t="s">
        <v>248</v>
      </c>
      <c r="D201" s="1280">
        <f>partground</f>
        <v>9</v>
      </c>
      <c r="E201" s="1069" t="s">
        <v>262</v>
      </c>
      <c r="F201" s="1069">
        <v>2</v>
      </c>
      <c r="G201" s="1069">
        <f t="shared" si="9"/>
        <v>0</v>
      </c>
      <c r="H201" s="1068"/>
      <c r="I201" s="1069">
        <f>$G201*J$16*$H$64</f>
        <v>0</v>
      </c>
      <c r="J201" s="571"/>
      <c r="K201" s="1068"/>
      <c r="L201" s="1069">
        <f>$G201*$K$194*M$16</f>
        <v>0</v>
      </c>
      <c r="M201" s="1067"/>
      <c r="N201" s="1068"/>
      <c r="O201" s="1069">
        <f>$G201*$N$194*P$16</f>
        <v>0</v>
      </c>
      <c r="P201" s="1067"/>
      <c r="Q201" s="1068"/>
      <c r="R201" s="1069">
        <f>$G201*$Q$194*S$16</f>
        <v>0</v>
      </c>
      <c r="S201" s="1067"/>
      <c r="T201" s="1244"/>
      <c r="U201" s="571"/>
      <c r="V201" s="573"/>
    </row>
    <row r="202" spans="1:22">
      <c r="A202" s="1243" t="s">
        <v>263</v>
      </c>
      <c r="B202" s="1280"/>
      <c r="C202" s="1280" t="s">
        <v>248</v>
      </c>
      <c r="D202" s="1280">
        <f>+[1]Assumptions!D101</f>
        <v>25</v>
      </c>
      <c r="E202" s="1069" t="s">
        <v>249</v>
      </c>
      <c r="F202" s="1069">
        <v>2</v>
      </c>
      <c r="G202" s="1069">
        <f t="shared" si="9"/>
        <v>0</v>
      </c>
      <c r="H202" s="1068"/>
      <c r="I202" s="1069">
        <f>$G202*J$16*$H$64</f>
        <v>0</v>
      </c>
      <c r="J202" s="571"/>
      <c r="K202" s="1068"/>
      <c r="L202" s="1069">
        <f>$G202*$K$194*M$16</f>
        <v>0</v>
      </c>
      <c r="M202" s="1067"/>
      <c r="N202" s="1068"/>
      <c r="O202" s="1069">
        <f>$G202*$N$194*P$16</f>
        <v>0</v>
      </c>
      <c r="P202" s="1067"/>
      <c r="Q202" s="1068"/>
      <c r="R202" s="1069">
        <f>$G202*$Q$194*S$16</f>
        <v>0</v>
      </c>
      <c r="S202" s="1067"/>
      <c r="T202" s="1244"/>
      <c r="U202" s="571"/>
      <c r="V202" s="573"/>
    </row>
    <row r="203" spans="1:22">
      <c r="A203" s="605" t="s">
        <v>790</v>
      </c>
      <c r="B203" s="1280"/>
      <c r="C203" s="1280" t="s">
        <v>248</v>
      </c>
      <c r="D203" s="1280">
        <f>+[1]Assumptions!D103</f>
        <v>90</v>
      </c>
      <c r="E203" s="1069" t="s">
        <v>249</v>
      </c>
      <c r="F203" s="1069">
        <v>2</v>
      </c>
      <c r="G203" s="1069">
        <f t="shared" si="9"/>
        <v>0</v>
      </c>
      <c r="H203" s="1068"/>
      <c r="I203" s="1069">
        <f>$G203*J$16*$H$64</f>
        <v>0</v>
      </c>
      <c r="J203" s="571"/>
      <c r="K203" s="1068"/>
      <c r="L203" s="1069">
        <f>$G203*$K$194*M$16</f>
        <v>0</v>
      </c>
      <c r="M203" s="1067"/>
      <c r="N203" s="1068"/>
      <c r="O203" s="1069">
        <f>$G203*$N$194*P$16</f>
        <v>0</v>
      </c>
      <c r="P203" s="1067"/>
      <c r="Q203" s="1068"/>
      <c r="R203" s="1069">
        <f>$G203*$Q$194*S$16</f>
        <v>0</v>
      </c>
      <c r="S203" s="1067"/>
      <c r="T203" s="1244"/>
      <c r="U203" s="571"/>
      <c r="V203" s="573"/>
    </row>
    <row r="204" spans="1:22">
      <c r="A204" s="1243" t="s">
        <v>787</v>
      </c>
      <c r="B204" s="1280"/>
      <c r="C204" s="1280" t="s">
        <v>248</v>
      </c>
      <c r="D204" s="1280">
        <f>partmeals</f>
        <v>47</v>
      </c>
      <c r="E204" s="1069" t="s">
        <v>249</v>
      </c>
      <c r="F204" s="1069">
        <v>2</v>
      </c>
      <c r="G204" s="1069">
        <f t="shared" si="9"/>
        <v>0</v>
      </c>
      <c r="H204" s="1068"/>
      <c r="I204" s="1069">
        <f>$G204*J$16*$H$64</f>
        <v>0</v>
      </c>
      <c r="J204" s="571"/>
      <c r="K204" s="1068"/>
      <c r="L204" s="1069">
        <f>$G204*$K$194*M$16</f>
        <v>0</v>
      </c>
      <c r="M204" s="1067"/>
      <c r="N204" s="1068"/>
      <c r="O204" s="1069">
        <f>$G204*$N$194*P$16</f>
        <v>0</v>
      </c>
      <c r="P204" s="1067"/>
      <c r="Q204" s="1068"/>
      <c r="R204" s="1069">
        <f>$G204*$Q$194*S$16</f>
        <v>0</v>
      </c>
      <c r="S204" s="1067"/>
      <c r="T204" s="1244"/>
      <c r="U204" s="571"/>
      <c r="V204" s="573"/>
    </row>
    <row r="205" spans="1:22">
      <c r="A205" s="1243" t="s">
        <v>820</v>
      </c>
      <c r="B205" s="1280"/>
      <c r="C205" s="1280" t="s">
        <v>248</v>
      </c>
      <c r="D205" s="1280">
        <f>partairfare</f>
        <v>200</v>
      </c>
      <c r="E205" s="1069" t="s">
        <v>262</v>
      </c>
      <c r="F205" s="1069">
        <v>1</v>
      </c>
      <c r="G205" s="1069">
        <f t="shared" si="9"/>
        <v>0</v>
      </c>
      <c r="H205" s="1068"/>
      <c r="I205" s="1069">
        <f>$G205*J$16*$H$64</f>
        <v>0</v>
      </c>
      <c r="J205" s="571"/>
      <c r="K205" s="1068"/>
      <c r="L205" s="1069">
        <f>$G205*$K$194*M$16</f>
        <v>0</v>
      </c>
      <c r="M205" s="1067"/>
      <c r="N205" s="1068"/>
      <c r="O205" s="1069">
        <f>$G205*$N$194*P$16</f>
        <v>0</v>
      </c>
      <c r="P205" s="1067"/>
      <c r="Q205" s="1068"/>
      <c r="R205" s="1069">
        <f>$G205*$Q$194*S$16</f>
        <v>0</v>
      </c>
      <c r="S205" s="1067"/>
      <c r="T205" s="1244"/>
      <c r="U205" s="571"/>
      <c r="V205" s="573"/>
    </row>
    <row r="206" spans="1:22">
      <c r="A206" s="1245" t="s">
        <v>269</v>
      </c>
      <c r="B206" s="622"/>
      <c r="C206" s="622"/>
      <c r="D206" s="1246"/>
      <c r="E206" s="1410">
        <f>SUM(G201:G205)</f>
        <v>0</v>
      </c>
      <c r="F206" s="1410"/>
      <c r="G206" s="1247"/>
      <c r="H206" s="1248"/>
      <c r="I206" s="1248"/>
      <c r="J206" s="1239"/>
      <c r="K206" s="1248"/>
      <c r="L206" s="1248"/>
      <c r="M206" s="1239"/>
      <c r="N206" s="1248"/>
      <c r="O206" s="1248"/>
      <c r="P206" s="1239"/>
      <c r="Q206" s="1248"/>
      <c r="R206" s="1248"/>
      <c r="S206" s="1239"/>
      <c r="T206" s="1249"/>
      <c r="U206" s="571"/>
      <c r="V206" s="573"/>
    </row>
    <row r="207" spans="1:22">
      <c r="A207" s="569"/>
      <c r="B207" s="627"/>
      <c r="C207" s="627"/>
      <c r="D207" s="627"/>
      <c r="E207" s="627"/>
      <c r="F207" s="627"/>
      <c r="G207" s="592"/>
      <c r="H207" s="592"/>
      <c r="I207" s="592"/>
      <c r="J207" s="592"/>
      <c r="K207" s="592"/>
      <c r="L207" s="592"/>
      <c r="M207" s="592"/>
      <c r="N207" s="592"/>
      <c r="O207" s="592"/>
      <c r="P207" s="592"/>
      <c r="Q207" s="592"/>
      <c r="R207" s="592"/>
      <c r="S207" s="592"/>
      <c r="T207" s="593"/>
      <c r="U207" s="571"/>
      <c r="V207" s="573"/>
    </row>
    <row r="208" spans="1:22" ht="24" customHeight="1">
      <c r="A208" s="1402" t="s">
        <v>821</v>
      </c>
      <c r="B208" s="1402"/>
      <c r="C208" s="1402"/>
      <c r="D208" s="1402"/>
      <c r="E208" s="1402"/>
      <c r="F208" s="595">
        <v>1</v>
      </c>
      <c r="G208" s="595"/>
      <c r="H208" s="1438"/>
      <c r="I208" s="1438"/>
      <c r="J208" s="1278">
        <f>SUM(I211:I212)</f>
        <v>0</v>
      </c>
      <c r="K208" s="1438">
        <v>0</v>
      </c>
      <c r="L208" s="1438"/>
      <c r="M208" s="1279">
        <f>SUM(L211:L212)</f>
        <v>0</v>
      </c>
      <c r="N208" s="1438">
        <v>2</v>
      </c>
      <c r="O208" s="1438"/>
      <c r="P208" s="1279">
        <f>SUM(O211:O212)</f>
        <v>0</v>
      </c>
      <c r="Q208" s="1438">
        <v>2</v>
      </c>
      <c r="R208" s="1438"/>
      <c r="S208" s="597">
        <f>SUM(R211:R212)</f>
        <v>0</v>
      </c>
      <c r="T208" s="1066">
        <f>SUM(J208,M208,P208,S208,)</f>
        <v>0</v>
      </c>
      <c r="U208" s="571"/>
      <c r="V208" s="573"/>
    </row>
    <row r="209" spans="1:22">
      <c r="A209" s="1250" t="s">
        <v>777</v>
      </c>
      <c r="B209" s="1239"/>
      <c r="C209" s="1239"/>
      <c r="D209" s="1239"/>
      <c r="E209" s="1239"/>
      <c r="F209" s="1239"/>
      <c r="G209" s="1239"/>
      <c r="H209" s="1240"/>
      <c r="I209" s="1239"/>
      <c r="J209" s="1239"/>
      <c r="K209" s="1240"/>
      <c r="L209" s="1239"/>
      <c r="M209" s="1241"/>
      <c r="N209" s="1240"/>
      <c r="O209" s="1239"/>
      <c r="P209" s="1241"/>
      <c r="Q209" s="1240"/>
      <c r="R209" s="1239"/>
      <c r="S209" s="1241"/>
      <c r="T209" s="1242"/>
      <c r="U209" s="571"/>
      <c r="V209" s="573"/>
    </row>
    <row r="210" spans="1:22">
      <c r="A210" s="599" t="s">
        <v>778</v>
      </c>
      <c r="B210" s="1239"/>
      <c r="C210" s="1239"/>
      <c r="D210" s="1239"/>
      <c r="E210" s="1239"/>
      <c r="F210" s="1239"/>
      <c r="G210" s="1239"/>
      <c r="H210" s="1240"/>
      <c r="I210" s="1239"/>
      <c r="J210" s="1239"/>
      <c r="K210" s="1240"/>
      <c r="L210" s="1239"/>
      <c r="M210" s="1241"/>
      <c r="N210" s="1240"/>
      <c r="O210" s="1239"/>
      <c r="P210" s="1241"/>
      <c r="Q210" s="1240"/>
      <c r="R210" s="1069">
        <f>$G210*Q208*S$16</f>
        <v>0</v>
      </c>
      <c r="S210" s="1241"/>
      <c r="T210" s="1242"/>
      <c r="U210" s="571"/>
      <c r="V210" s="573"/>
    </row>
    <row r="211" spans="1:22">
      <c r="A211" s="1243" t="s">
        <v>247</v>
      </c>
      <c r="B211" s="1280">
        <v>0</v>
      </c>
      <c r="C211" s="1280" t="s">
        <v>248</v>
      </c>
      <c r="D211" s="1280">
        <f>parttransp</f>
        <v>4</v>
      </c>
      <c r="E211" s="1280" t="s">
        <v>249</v>
      </c>
      <c r="F211" s="1280">
        <f>IF(B211=0,0,F208)</f>
        <v>0</v>
      </c>
      <c r="G211" s="1069">
        <f>B211*D211*F211</f>
        <v>0</v>
      </c>
      <c r="H211" s="1068"/>
      <c r="I211" s="1069">
        <f>$G211*H208*J$16</f>
        <v>0</v>
      </c>
      <c r="J211" s="571"/>
      <c r="K211" s="1068"/>
      <c r="L211" s="1069">
        <f>$G211*K208*M$16</f>
        <v>0</v>
      </c>
      <c r="M211" s="1067"/>
      <c r="N211" s="1068"/>
      <c r="O211" s="1069">
        <f>$G211*N208*P$16</f>
        <v>0</v>
      </c>
      <c r="P211" s="1067"/>
      <c r="Q211" s="1068"/>
      <c r="R211" s="1069">
        <f>$G211*Q208*S$16</f>
        <v>0</v>
      </c>
      <c r="S211" s="1067"/>
      <c r="T211" s="1244"/>
      <c r="U211" s="571"/>
      <c r="V211" s="573"/>
    </row>
    <row r="212" spans="1:22">
      <c r="A212" s="1243" t="s">
        <v>251</v>
      </c>
      <c r="B212" s="1280">
        <v>0</v>
      </c>
      <c r="C212" s="1280" t="s">
        <v>248</v>
      </c>
      <c r="D212" s="1280">
        <f>coffee+lunch</f>
        <v>16</v>
      </c>
      <c r="E212" s="1280" t="s">
        <v>249</v>
      </c>
      <c r="F212" s="1280">
        <f>IF(B212=0,0,F208)</f>
        <v>0</v>
      </c>
      <c r="G212" s="1069">
        <f>B212*D212*F212</f>
        <v>0</v>
      </c>
      <c r="H212" s="1068"/>
      <c r="I212" s="1069">
        <f>$G212*H208*J$16</f>
        <v>0</v>
      </c>
      <c r="J212" s="571"/>
      <c r="K212" s="1068"/>
      <c r="L212" s="1069">
        <f>$G212*K208*M$16</f>
        <v>0</v>
      </c>
      <c r="M212" s="1067"/>
      <c r="N212" s="1068"/>
      <c r="O212" s="1069">
        <f>$G212*N208*P$16</f>
        <v>0</v>
      </c>
      <c r="P212" s="1067"/>
      <c r="Q212" s="1068"/>
      <c r="R212" s="1069">
        <f>$G212*Q208*S$16</f>
        <v>0</v>
      </c>
      <c r="S212" s="1067"/>
      <c r="T212" s="1244"/>
      <c r="U212" s="571"/>
      <c r="V212" s="573"/>
    </row>
    <row r="213" spans="1:22">
      <c r="A213" s="613" t="s">
        <v>278</v>
      </c>
      <c r="B213" s="1280"/>
      <c r="C213" s="1280"/>
      <c r="D213" s="1280"/>
      <c r="E213" s="1280"/>
      <c r="F213" s="1280"/>
      <c r="G213" s="1069"/>
      <c r="H213" s="1068"/>
      <c r="I213" s="1069"/>
      <c r="J213" s="571"/>
      <c r="K213" s="1068"/>
      <c r="L213" s="1069"/>
      <c r="M213" s="1067"/>
      <c r="N213" s="1068"/>
      <c r="O213" s="1069"/>
      <c r="P213" s="1067"/>
      <c r="Q213" s="1068"/>
      <c r="R213" s="1069"/>
      <c r="S213" s="1067"/>
      <c r="T213" s="1244"/>
      <c r="U213" s="571"/>
      <c r="V213" s="573"/>
    </row>
    <row r="214" spans="1:22">
      <c r="A214" s="605" t="s">
        <v>818</v>
      </c>
      <c r="B214" s="1280">
        <v>3</v>
      </c>
      <c r="C214" s="1280" t="s">
        <v>248</v>
      </c>
      <c r="D214" s="1280">
        <f>partground</f>
        <v>9</v>
      </c>
      <c r="E214" s="1280" t="s">
        <v>262</v>
      </c>
      <c r="F214" s="1280">
        <v>2</v>
      </c>
      <c r="G214" s="1069">
        <f>B214*D214*F214</f>
        <v>54</v>
      </c>
      <c r="H214" s="1068"/>
      <c r="I214" s="1069">
        <f>$G214*H206*J$16</f>
        <v>0</v>
      </c>
      <c r="J214" s="571"/>
      <c r="K214" s="1068"/>
      <c r="L214" s="1069">
        <f>$G214*K206*M$16</f>
        <v>0</v>
      </c>
      <c r="M214" s="1067"/>
      <c r="N214" s="1068"/>
      <c r="O214" s="1069">
        <f t="shared" ref="O214:O219" si="10">$G214*$N$208*P$16</f>
        <v>116.81280000000001</v>
      </c>
      <c r="P214" s="1067"/>
      <c r="Q214" s="1068"/>
      <c r="R214" s="1069">
        <f>$G214*Q208*S$16</f>
        <v>121.48531200000001</v>
      </c>
      <c r="S214" s="1067"/>
      <c r="T214" s="1244"/>
      <c r="U214" s="571"/>
      <c r="V214" s="573"/>
    </row>
    <row r="215" spans="1:22">
      <c r="A215" s="1243" t="s">
        <v>267</v>
      </c>
      <c r="B215" s="1280">
        <v>3</v>
      </c>
      <c r="C215" s="1280" t="s">
        <v>248</v>
      </c>
      <c r="D215" s="1280">
        <f>partground</f>
        <v>9</v>
      </c>
      <c r="E215" s="1280" t="s">
        <v>249</v>
      </c>
      <c r="F215" s="1280">
        <v>2</v>
      </c>
      <c r="G215" s="1069">
        <f>B215*D215*F215</f>
        <v>54</v>
      </c>
      <c r="H215" s="1068"/>
      <c r="I215" s="1069">
        <f>$G215*H206*J$16</f>
        <v>0</v>
      </c>
      <c r="J215" s="571"/>
      <c r="K215" s="1068"/>
      <c r="L215" s="1069">
        <f>$G215*K206*M$16</f>
        <v>0</v>
      </c>
      <c r="M215" s="1067"/>
      <c r="N215" s="1068"/>
      <c r="O215" s="1069">
        <f t="shared" si="10"/>
        <v>116.81280000000001</v>
      </c>
      <c r="P215" s="1067"/>
      <c r="Q215" s="1068"/>
      <c r="R215" s="1069">
        <f>$G215*Q208*S$16</f>
        <v>121.48531200000001</v>
      </c>
      <c r="S215" s="1067"/>
      <c r="T215" s="1244"/>
      <c r="U215" s="571"/>
      <c r="V215" s="573"/>
    </row>
    <row r="216" spans="1:22">
      <c r="A216" s="605" t="s">
        <v>790</v>
      </c>
      <c r="B216" s="1280">
        <v>3</v>
      </c>
      <c r="C216" s="1280" t="s">
        <v>248</v>
      </c>
      <c r="D216" s="1280">
        <f>partlodg</f>
        <v>35</v>
      </c>
      <c r="E216" s="1280" t="s">
        <v>249</v>
      </c>
      <c r="F216" s="1280">
        <v>2</v>
      </c>
      <c r="G216" s="1069">
        <f>B216*D216*F216</f>
        <v>210</v>
      </c>
      <c r="H216" s="1068"/>
      <c r="I216" s="1069">
        <f>$G216*H206*J$16</f>
        <v>0</v>
      </c>
      <c r="J216" s="571"/>
      <c r="K216" s="1068"/>
      <c r="L216" s="1069">
        <f>$G216*K206*M$16</f>
        <v>0</v>
      </c>
      <c r="M216" s="1067"/>
      <c r="N216" s="1068"/>
      <c r="O216" s="1069">
        <f t="shared" si="10"/>
        <v>454.27200000000005</v>
      </c>
      <c r="P216" s="1067"/>
      <c r="Q216" s="1068"/>
      <c r="R216" s="1069">
        <f>$G216*Q208*S$16</f>
        <v>472.44288000000006</v>
      </c>
      <c r="S216" s="1067"/>
      <c r="T216" s="1244"/>
      <c r="U216" s="571"/>
      <c r="V216" s="573"/>
    </row>
    <row r="217" spans="1:22">
      <c r="A217" s="1243" t="s">
        <v>783</v>
      </c>
      <c r="B217" s="1280">
        <v>3</v>
      </c>
      <c r="C217" s="1280" t="s">
        <v>248</v>
      </c>
      <c r="D217" s="1280">
        <f>partmeals</f>
        <v>47</v>
      </c>
      <c r="E217" s="1280" t="s">
        <v>249</v>
      </c>
      <c r="F217" s="1280">
        <v>2</v>
      </c>
      <c r="G217" s="1069">
        <f>B217*D217*F217</f>
        <v>282</v>
      </c>
      <c r="H217" s="1068"/>
      <c r="I217" s="1069">
        <f>$G217*H206*J$16</f>
        <v>0</v>
      </c>
      <c r="J217" s="571"/>
      <c r="K217" s="1068"/>
      <c r="L217" s="1069">
        <f>$G217*K206*M$16</f>
        <v>0</v>
      </c>
      <c r="M217" s="1067"/>
      <c r="N217" s="1068"/>
      <c r="O217" s="1069">
        <f t="shared" si="10"/>
        <v>610.02240000000006</v>
      </c>
      <c r="P217" s="1067"/>
      <c r="Q217" s="1068"/>
      <c r="R217" s="1069">
        <f>$G217*Q208*S$16</f>
        <v>634.42329600000005</v>
      </c>
      <c r="S217" s="1067"/>
      <c r="T217" s="1244"/>
      <c r="U217" s="571"/>
      <c r="V217" s="573"/>
    </row>
    <row r="218" spans="1:22">
      <c r="A218" s="1243" t="s">
        <v>644</v>
      </c>
      <c r="B218" s="1280">
        <v>3</v>
      </c>
      <c r="C218" s="1280" t="s">
        <v>248</v>
      </c>
      <c r="D218" s="1280">
        <f>parttransp</f>
        <v>4</v>
      </c>
      <c r="E218" s="1280" t="s">
        <v>262</v>
      </c>
      <c r="F218" s="1280">
        <v>2</v>
      </c>
      <c r="G218" s="1069">
        <f>B218*D218*F218</f>
        <v>24</v>
      </c>
      <c r="H218" s="1068"/>
      <c r="I218" s="1069">
        <f>$G218*H206*J$16</f>
        <v>0</v>
      </c>
      <c r="J218" s="571"/>
      <c r="K218" s="1068"/>
      <c r="L218" s="1069">
        <f>$G218*K206*M$16</f>
        <v>0</v>
      </c>
      <c r="M218" s="1067"/>
      <c r="N218" s="1068"/>
      <c r="O218" s="1069">
        <f t="shared" si="10"/>
        <v>51.916800000000009</v>
      </c>
      <c r="P218" s="1067"/>
      <c r="Q218" s="1068"/>
      <c r="R218" s="1069">
        <f>$G218*Q208*S$16</f>
        <v>53.993472000000004</v>
      </c>
      <c r="S218" s="1067"/>
      <c r="T218" s="1244"/>
      <c r="U218" s="571"/>
      <c r="V218" s="573"/>
    </row>
    <row r="219" spans="1:22">
      <c r="A219" s="615"/>
      <c r="B219" s="1289"/>
      <c r="C219" s="1289"/>
      <c r="D219" s="1289">
        <v>0</v>
      </c>
      <c r="E219" s="1289"/>
      <c r="F219" s="1289"/>
      <c r="G219" s="1266">
        <f>B219*D219</f>
        <v>0</v>
      </c>
      <c r="H219" s="1267"/>
      <c r="I219" s="1264">
        <f>$G219*H206*J$16</f>
        <v>0</v>
      </c>
      <c r="J219" s="619"/>
      <c r="K219" s="1267"/>
      <c r="L219" s="1264">
        <f>$G219*K206*M$16</f>
        <v>0</v>
      </c>
      <c r="M219" s="1266"/>
      <c r="N219" s="1267"/>
      <c r="O219" s="1069">
        <f t="shared" si="10"/>
        <v>0</v>
      </c>
      <c r="P219" s="1266"/>
      <c r="Q219" s="1267"/>
      <c r="R219" s="1069">
        <f>$G219*Q208*S$16</f>
        <v>0</v>
      </c>
      <c r="S219" s="1266"/>
      <c r="T219" s="1268"/>
      <c r="U219" s="571"/>
      <c r="V219" s="573"/>
    </row>
    <row r="220" spans="1:22">
      <c r="A220" s="1245" t="s">
        <v>788</v>
      </c>
      <c r="B220" s="622"/>
      <c r="C220" s="622"/>
      <c r="D220" s="1246"/>
      <c r="E220" s="1410"/>
      <c r="F220" s="1411"/>
      <c r="G220" s="1247"/>
      <c r="H220" s="1248"/>
      <c r="I220" s="1248"/>
      <c r="J220" s="1239"/>
      <c r="K220" s="1248"/>
      <c r="L220" s="1248"/>
      <c r="M220" s="1239"/>
      <c r="N220" s="1248"/>
      <c r="O220" s="1248"/>
      <c r="P220" s="1239"/>
      <c r="Q220" s="1248"/>
      <c r="R220" s="1248"/>
      <c r="S220" s="1239"/>
      <c r="T220" s="1249"/>
      <c r="U220" s="571"/>
      <c r="V220" s="573"/>
    </row>
    <row r="221" spans="1:22">
      <c r="A221" s="1269"/>
      <c r="B221" s="1270"/>
      <c r="C221" s="1270"/>
      <c r="D221" s="1239"/>
      <c r="E221" s="1248"/>
      <c r="F221" s="1248"/>
      <c r="G221" s="1253"/>
      <c r="H221" s="1253"/>
      <c r="I221" s="1253"/>
      <c r="J221" s="1069"/>
      <c r="K221" s="1253"/>
      <c r="L221" s="1253"/>
      <c r="M221" s="1069"/>
      <c r="N221" s="1253"/>
      <c r="O221" s="1253"/>
      <c r="P221" s="1069"/>
      <c r="Q221" s="1253"/>
      <c r="R221" s="1253"/>
      <c r="S221" s="1069"/>
      <c r="T221" s="1254"/>
      <c r="U221" s="571"/>
      <c r="V221" s="573"/>
    </row>
    <row r="222" spans="1:22">
      <c r="A222" s="1238" t="s">
        <v>784</v>
      </c>
      <c r="B222" s="1284"/>
      <c r="C222" s="1284"/>
      <c r="D222" s="1284"/>
      <c r="E222" s="1284"/>
      <c r="F222" s="1284"/>
      <c r="G222" s="1284"/>
      <c r="H222" s="1438"/>
      <c r="I222" s="1438"/>
      <c r="J222" s="1278"/>
      <c r="K222" s="1444">
        <v>0</v>
      </c>
      <c r="L222" s="1444"/>
      <c r="M222" s="1279">
        <f>SUM(L225:L225)</f>
        <v>0</v>
      </c>
      <c r="N222" s="1444">
        <v>1</v>
      </c>
      <c r="O222" s="1444"/>
      <c r="P222" s="1279">
        <f>SUM(O225:O225)</f>
        <v>0</v>
      </c>
      <c r="Q222" s="1445">
        <v>1</v>
      </c>
      <c r="R222" s="1445"/>
      <c r="S222" s="597">
        <f>SUM(R225:R225)</f>
        <v>0</v>
      </c>
      <c r="T222" s="1066">
        <f>SUM(J222,M222,P222,S222,)</f>
        <v>0</v>
      </c>
      <c r="U222" s="571"/>
      <c r="V222" s="573"/>
    </row>
    <row r="223" spans="1:22">
      <c r="A223" s="599" t="s">
        <v>778</v>
      </c>
      <c r="B223" s="1284"/>
      <c r="C223" s="1284"/>
      <c r="D223" s="1284"/>
      <c r="E223" s="1284"/>
      <c r="F223" s="1284"/>
      <c r="G223" s="1284"/>
      <c r="H223" s="1285"/>
      <c r="I223" s="1284"/>
      <c r="J223" s="1284"/>
      <c r="K223" s="1285"/>
      <c r="L223" s="1280">
        <f>$G223*$K$222*M$16</f>
        <v>0</v>
      </c>
      <c r="M223" s="1286"/>
      <c r="N223" s="1285"/>
      <c r="O223" s="1280">
        <f>$G223*$N$222*P$16</f>
        <v>0</v>
      </c>
      <c r="P223" s="1286"/>
      <c r="Q223" s="1285"/>
      <c r="R223" s="1280">
        <f>$G223*$Q$222*S$16</f>
        <v>0</v>
      </c>
      <c r="S223" s="1241"/>
      <c r="T223" s="1242"/>
      <c r="U223" s="571"/>
      <c r="V223" s="573"/>
    </row>
    <row r="224" spans="1:22">
      <c r="A224" s="1243" t="s">
        <v>791</v>
      </c>
      <c r="B224" s="1280"/>
      <c r="C224" s="1280" t="s">
        <v>248</v>
      </c>
      <c r="D224" s="1280">
        <f>parttransp</f>
        <v>4</v>
      </c>
      <c r="E224" s="1280" t="s">
        <v>249</v>
      </c>
      <c r="F224" s="1280">
        <f>IF(B224=0,0,#REF!)</f>
        <v>0</v>
      </c>
      <c r="G224" s="1280">
        <f>B224*D224*F224</f>
        <v>0</v>
      </c>
      <c r="H224" s="1281"/>
      <c r="I224" s="1280">
        <f>$G224*I222*J$16</f>
        <v>0</v>
      </c>
      <c r="J224" s="571"/>
      <c r="K224" s="1281"/>
      <c r="L224" s="1280">
        <f>$G224*$K$222*M$16</f>
        <v>0</v>
      </c>
      <c r="M224" s="1282"/>
      <c r="N224" s="1281"/>
      <c r="O224" s="1280">
        <f>$G224*$N$222*P$16</f>
        <v>0</v>
      </c>
      <c r="P224" s="1282"/>
      <c r="Q224" s="1281"/>
      <c r="R224" s="1280">
        <f>$G224*$Q$222*S$16</f>
        <v>0</v>
      </c>
      <c r="S224" s="1067"/>
      <c r="T224" s="1244"/>
      <c r="U224" s="571"/>
      <c r="V224" s="573"/>
    </row>
    <row r="225" spans="1:22">
      <c r="A225" s="1243" t="s">
        <v>792</v>
      </c>
      <c r="B225" s="1280"/>
      <c r="C225" s="1280" t="s">
        <v>248</v>
      </c>
      <c r="D225" s="1280">
        <f>coffee+lunch</f>
        <v>16</v>
      </c>
      <c r="E225" s="1280" t="s">
        <v>249</v>
      </c>
      <c r="F225" s="1280">
        <f>IF(B225=0,0,#REF!)</f>
        <v>0</v>
      </c>
      <c r="G225" s="1280">
        <f>B225*D225*F225</f>
        <v>0</v>
      </c>
      <c r="H225" s="1281"/>
      <c r="I225" s="1280">
        <f>$G225*I223*J$16</f>
        <v>0</v>
      </c>
      <c r="J225" s="571"/>
      <c r="K225" s="1281"/>
      <c r="L225" s="1280">
        <f>$G225*$K$222*M$16</f>
        <v>0</v>
      </c>
      <c r="M225" s="1282"/>
      <c r="N225" s="1281"/>
      <c r="O225" s="1280">
        <f>$G225*$N$222*P$16</f>
        <v>0</v>
      </c>
      <c r="P225" s="1282"/>
      <c r="Q225" s="1281"/>
      <c r="R225" s="1280">
        <f>$G225*$Q$222*S$16</f>
        <v>0</v>
      </c>
      <c r="S225" s="1067"/>
      <c r="T225" s="1244"/>
      <c r="U225" s="571"/>
      <c r="V225" s="573"/>
    </row>
    <row r="226" spans="1:22">
      <c r="A226" s="613" t="s">
        <v>260</v>
      </c>
      <c r="B226" s="1280"/>
      <c r="C226" s="1280"/>
      <c r="D226" s="1280"/>
      <c r="E226" s="1280"/>
      <c r="F226" s="1280"/>
      <c r="G226" s="1280"/>
      <c r="H226" s="1281"/>
      <c r="I226" s="1280"/>
      <c r="J226" s="571"/>
      <c r="K226" s="1281"/>
      <c r="L226" s="1280"/>
      <c r="M226" s="1282"/>
      <c r="N226" s="1281"/>
      <c r="O226" s="1280"/>
      <c r="P226" s="1282"/>
      <c r="Q226" s="1281"/>
      <c r="R226" s="1280"/>
      <c r="S226" s="1067"/>
      <c r="T226" s="1244"/>
      <c r="U226" s="571"/>
      <c r="V226" s="573"/>
    </row>
    <row r="227" spans="1:22">
      <c r="A227" s="605" t="s">
        <v>261</v>
      </c>
      <c r="B227" s="1280">
        <v>1</v>
      </c>
      <c r="C227" s="1280" t="s">
        <v>248</v>
      </c>
      <c r="D227" s="1280">
        <f>partground</f>
        <v>9</v>
      </c>
      <c r="E227" s="1280" t="s">
        <v>262</v>
      </c>
      <c r="F227" s="1280">
        <v>3</v>
      </c>
      <c r="G227" s="1280">
        <f>B227*D227*F227</f>
        <v>27</v>
      </c>
      <c r="H227" s="1281"/>
      <c r="I227" s="1280">
        <f>$G227*I225*J$16</f>
        <v>0</v>
      </c>
      <c r="J227" s="571"/>
      <c r="K227" s="1281"/>
      <c r="L227" s="1280">
        <f>$G227*$K$222*M$16</f>
        <v>0</v>
      </c>
      <c r="M227" s="1282"/>
      <c r="N227" s="1281"/>
      <c r="O227" s="1280">
        <f>$G227*$N$222*P$16</f>
        <v>29.203200000000002</v>
      </c>
      <c r="P227" s="1282"/>
      <c r="Q227" s="1281"/>
      <c r="R227" s="1280">
        <f>$G227*$Q$222*S$16</f>
        <v>30.371328000000002</v>
      </c>
      <c r="S227" s="1067"/>
      <c r="T227" s="1244"/>
      <c r="U227" s="571"/>
      <c r="V227" s="573"/>
    </row>
    <row r="228" spans="1:22">
      <c r="A228" s="1243" t="s">
        <v>263</v>
      </c>
      <c r="B228" s="1280">
        <v>1</v>
      </c>
      <c r="C228" s="1280" t="s">
        <v>248</v>
      </c>
      <c r="D228" s="1280">
        <f>+[1]Assumptions!D101</f>
        <v>25</v>
      </c>
      <c r="E228" s="1280" t="s">
        <v>249</v>
      </c>
      <c r="F228" s="1280">
        <v>3</v>
      </c>
      <c r="G228" s="1280">
        <f>B228*D228*F228</f>
        <v>75</v>
      </c>
      <c r="H228" s="1281"/>
      <c r="I228" s="1280">
        <f>$G228*I226*J$16</f>
        <v>0</v>
      </c>
      <c r="J228" s="571"/>
      <c r="K228" s="1281"/>
      <c r="L228" s="1280">
        <f>$G228*$K$222*M$16</f>
        <v>0</v>
      </c>
      <c r="M228" s="1282"/>
      <c r="N228" s="1281"/>
      <c r="O228" s="1280">
        <f>$G228*$N$222*P$16</f>
        <v>81.12</v>
      </c>
      <c r="P228" s="1282"/>
      <c r="Q228" s="1281"/>
      <c r="R228" s="1280">
        <f>$G228*$Q$222*S$16</f>
        <v>84.364800000000002</v>
      </c>
      <c r="S228" s="1067"/>
      <c r="T228" s="1244"/>
      <c r="U228" s="571"/>
      <c r="V228" s="573"/>
    </row>
    <row r="229" spans="1:22">
      <c r="A229" s="605" t="s">
        <v>790</v>
      </c>
      <c r="B229" s="1280">
        <v>1</v>
      </c>
      <c r="C229" s="1280" t="s">
        <v>248</v>
      </c>
      <c r="D229" s="1280">
        <f>+[1]Assumptions!D103</f>
        <v>90</v>
      </c>
      <c r="E229" s="1280" t="s">
        <v>249</v>
      </c>
      <c r="F229" s="1280">
        <v>3</v>
      </c>
      <c r="G229" s="1280">
        <f>B229*D229*F229</f>
        <v>270</v>
      </c>
      <c r="H229" s="1281"/>
      <c r="I229" s="1280">
        <f>$G229*I227*J$16</f>
        <v>0</v>
      </c>
      <c r="J229" s="571"/>
      <c r="K229" s="1281"/>
      <c r="L229" s="1280">
        <f>$G229*$K$222*M$16</f>
        <v>0</v>
      </c>
      <c r="M229" s="1282"/>
      <c r="N229" s="1281"/>
      <c r="O229" s="1280">
        <f>$G229*$N$222*P$16</f>
        <v>292.03200000000004</v>
      </c>
      <c r="P229" s="1282"/>
      <c r="Q229" s="1281"/>
      <c r="R229" s="1280">
        <f>$G229*$Q$222*S$16</f>
        <v>303.71328</v>
      </c>
      <c r="S229" s="1067"/>
      <c r="T229" s="1244"/>
      <c r="U229" s="571"/>
      <c r="V229" s="573"/>
    </row>
    <row r="230" spans="1:22">
      <c r="A230" s="1243" t="s">
        <v>783</v>
      </c>
      <c r="B230" s="1280">
        <v>1</v>
      </c>
      <c r="C230" s="1280" t="s">
        <v>248</v>
      </c>
      <c r="D230" s="1280">
        <f>partmeals</f>
        <v>47</v>
      </c>
      <c r="E230" s="1280" t="s">
        <v>249</v>
      </c>
      <c r="F230" s="1280">
        <v>3</v>
      </c>
      <c r="G230" s="1280">
        <f>B230*D230*F230</f>
        <v>141</v>
      </c>
      <c r="H230" s="1281"/>
      <c r="I230" s="1280">
        <f>$G230*I228*J$16</f>
        <v>0</v>
      </c>
      <c r="J230" s="571"/>
      <c r="K230" s="1281"/>
      <c r="L230" s="1280">
        <f>$G230*$K$222*M$16</f>
        <v>0</v>
      </c>
      <c r="M230" s="1282"/>
      <c r="N230" s="1281"/>
      <c r="O230" s="1280">
        <f>$G230*$N$222*P$16</f>
        <v>152.50560000000002</v>
      </c>
      <c r="P230" s="1282"/>
      <c r="Q230" s="1281"/>
      <c r="R230" s="1280">
        <f>$G230*$Q$222*S$16</f>
        <v>158.60582400000001</v>
      </c>
      <c r="S230" s="1067"/>
      <c r="T230" s="1244"/>
      <c r="U230" s="571"/>
      <c r="V230" s="573"/>
    </row>
    <row r="231" spans="1:22">
      <c r="A231" s="1243" t="s">
        <v>582</v>
      </c>
      <c r="B231" s="1280">
        <v>1</v>
      </c>
      <c r="C231" s="1280" t="s">
        <v>248</v>
      </c>
      <c r="D231" s="1280">
        <f>partairfare</f>
        <v>200</v>
      </c>
      <c r="E231" s="1280" t="s">
        <v>262</v>
      </c>
      <c r="F231" s="1280">
        <v>1</v>
      </c>
      <c r="G231" s="1280">
        <f>B231*D231*F231</f>
        <v>200</v>
      </c>
      <c r="H231" s="1281"/>
      <c r="I231" s="1280">
        <f>$G231*I229*J$16</f>
        <v>0</v>
      </c>
      <c r="J231" s="571"/>
      <c r="K231" s="1281"/>
      <c r="L231" s="1280">
        <f>$G231*$K$222*M$16</f>
        <v>0</v>
      </c>
      <c r="M231" s="1282"/>
      <c r="N231" s="1281"/>
      <c r="O231" s="1280">
        <f>$G231*$N$222*P$16</f>
        <v>216.32000000000002</v>
      </c>
      <c r="P231" s="1282"/>
      <c r="Q231" s="1281"/>
      <c r="R231" s="1280">
        <f>$G231*$Q$222*S$16</f>
        <v>224.97280000000001</v>
      </c>
      <c r="S231" s="1067"/>
      <c r="T231" s="1244"/>
      <c r="U231" s="571"/>
      <c r="V231" s="573"/>
    </row>
    <row r="232" spans="1:22">
      <c r="A232" s="1245" t="s">
        <v>822</v>
      </c>
      <c r="B232" s="622"/>
      <c r="C232" s="622"/>
      <c r="D232" s="1246"/>
      <c r="E232" s="1410"/>
      <c r="F232" s="1411"/>
      <c r="G232" s="1247"/>
      <c r="H232" s="1248"/>
      <c r="I232" s="1248"/>
      <c r="J232" s="1239">
        <f>J178+J118</f>
        <v>765</v>
      </c>
      <c r="K232" s="1248"/>
      <c r="L232" s="1248"/>
      <c r="M232" s="1239">
        <f>M178+M118+M79</f>
        <v>10700.976000000001</v>
      </c>
      <c r="N232" s="1248"/>
      <c r="O232" s="1248"/>
      <c r="P232" s="1239">
        <f>P178+P118</f>
        <v>5986.6560000000009</v>
      </c>
      <c r="Q232" s="1248"/>
      <c r="R232" s="1248"/>
      <c r="S232" s="1239">
        <f>S178+S118</f>
        <v>3290.2272000000003</v>
      </c>
      <c r="T232" s="1249">
        <f>T178+T118+T79</f>
        <v>20742.859199999999</v>
      </c>
      <c r="U232" s="571"/>
      <c r="V232" s="573"/>
    </row>
    <row r="233" spans="1:22" s="1201" customFormat="1" ht="15.75" customHeight="1">
      <c r="A233" s="1447" t="s">
        <v>823</v>
      </c>
      <c r="B233" s="1447"/>
      <c r="C233" s="1447"/>
      <c r="D233" s="1447"/>
      <c r="E233" s="1447"/>
      <c r="F233" s="1292">
        <v>3</v>
      </c>
      <c r="G233" s="1292"/>
      <c r="H233" s="1448">
        <v>2</v>
      </c>
      <c r="I233" s="1448"/>
      <c r="J233" s="1293">
        <f>SUM(I236:I239)</f>
        <v>0</v>
      </c>
      <c r="K233" s="1448">
        <v>4</v>
      </c>
      <c r="L233" s="1448"/>
      <c r="M233" s="1294">
        <f>SUM(L236:L239)</f>
        <v>0</v>
      </c>
      <c r="N233" s="1448">
        <v>0</v>
      </c>
      <c r="O233" s="1448"/>
      <c r="P233" s="1294">
        <f>SUM(O236:O239)</f>
        <v>0</v>
      </c>
      <c r="Q233" s="1448">
        <v>0</v>
      </c>
      <c r="R233" s="1448"/>
      <c r="S233" s="1271">
        <f>SUM(R236:R245)</f>
        <v>0</v>
      </c>
      <c r="T233" s="1272">
        <f>SUM(J233,M233,P233,S233,)</f>
        <v>0</v>
      </c>
      <c r="U233" s="1273"/>
      <c r="V233" s="1274"/>
    </row>
    <row r="234" spans="1:22" s="1201" customFormat="1">
      <c r="A234" s="1250" t="s">
        <v>777</v>
      </c>
      <c r="B234" s="1239"/>
      <c r="C234" s="1239"/>
      <c r="D234" s="1239"/>
      <c r="E234" s="1239"/>
      <c r="F234" s="1284"/>
      <c r="G234" s="1284"/>
      <c r="H234" s="1285"/>
      <c r="I234" s="1284"/>
      <c r="J234" s="1284"/>
      <c r="K234" s="1285"/>
      <c r="L234" s="1284"/>
      <c r="M234" s="1286"/>
      <c r="N234" s="1285"/>
      <c r="O234" s="1284"/>
      <c r="P234" s="1286"/>
      <c r="Q234" s="1285"/>
      <c r="R234" s="1284"/>
      <c r="S234" s="1241"/>
      <c r="T234" s="1242"/>
      <c r="U234" s="1273"/>
      <c r="V234" s="1274"/>
    </row>
    <row r="235" spans="1:22">
      <c r="A235" s="599" t="s">
        <v>778</v>
      </c>
      <c r="B235" s="1239"/>
      <c r="C235" s="1239"/>
      <c r="D235" s="1239"/>
      <c r="E235" s="1239"/>
      <c r="F235" s="1239"/>
      <c r="G235" s="1239"/>
      <c r="H235" s="1240"/>
      <c r="I235" s="1239"/>
      <c r="J235" s="1239"/>
      <c r="K235" s="1240"/>
      <c r="L235" s="1239"/>
      <c r="M235" s="1241"/>
      <c r="N235" s="1240"/>
      <c r="O235" s="1239"/>
      <c r="P235" s="1241"/>
      <c r="Q235" s="1240"/>
      <c r="R235" s="1239"/>
      <c r="S235" s="1241"/>
      <c r="T235" s="1242"/>
      <c r="U235" s="571"/>
      <c r="V235" s="573"/>
    </row>
    <row r="236" spans="1:22">
      <c r="A236" s="1243" t="s">
        <v>247</v>
      </c>
      <c r="B236" s="1280">
        <v>0</v>
      </c>
      <c r="C236" s="1280" t="s">
        <v>248</v>
      </c>
      <c r="D236" s="1280">
        <f>parttransp</f>
        <v>4</v>
      </c>
      <c r="E236" s="1280" t="s">
        <v>249</v>
      </c>
      <c r="F236" s="1280">
        <f>IF(B236=0,0,F233)</f>
        <v>0</v>
      </c>
      <c r="G236" s="1069">
        <f>B236*D236*F236</f>
        <v>0</v>
      </c>
      <c r="H236" s="1068"/>
      <c r="I236" s="1069">
        <f>$G236*H233*J$16</f>
        <v>0</v>
      </c>
      <c r="J236" s="571"/>
      <c r="K236" s="1068"/>
      <c r="L236" s="1069">
        <f>$G236*K233*M$16</f>
        <v>0</v>
      </c>
      <c r="M236" s="1067"/>
      <c r="N236" s="1068"/>
      <c r="O236" s="1069">
        <f>$G236*N233*P$16</f>
        <v>0</v>
      </c>
      <c r="P236" s="1067"/>
      <c r="Q236" s="1068"/>
      <c r="R236" s="1069">
        <f>$G236*Q233*S$16</f>
        <v>0</v>
      </c>
      <c r="S236" s="1067"/>
      <c r="T236" s="1244"/>
      <c r="U236" s="571"/>
      <c r="V236" s="573"/>
    </row>
    <row r="237" spans="1:22">
      <c r="A237" s="1243" t="s">
        <v>780</v>
      </c>
      <c r="B237" s="1280">
        <v>0</v>
      </c>
      <c r="C237" s="1280" t="s">
        <v>248</v>
      </c>
      <c r="D237" s="1280">
        <f>coffee+lunch</f>
        <v>16</v>
      </c>
      <c r="E237" s="1280" t="s">
        <v>249</v>
      </c>
      <c r="F237" s="1280">
        <f>IF(B237=0,0,F233)</f>
        <v>0</v>
      </c>
      <c r="G237" s="1069">
        <f>B237*D237*F237</f>
        <v>0</v>
      </c>
      <c r="H237" s="1068"/>
      <c r="I237" s="1069">
        <f>$G237*H233*J$16</f>
        <v>0</v>
      </c>
      <c r="J237" s="571"/>
      <c r="K237" s="1068"/>
      <c r="L237" s="1069">
        <f>$G237*K233*M$16</f>
        <v>0</v>
      </c>
      <c r="M237" s="1067"/>
      <c r="N237" s="1068"/>
      <c r="O237" s="1069">
        <f>$G237*N233*P$16</f>
        <v>0</v>
      </c>
      <c r="P237" s="1067"/>
      <c r="Q237" s="1068"/>
      <c r="R237" s="1069">
        <f>$G237*Q233*S$16</f>
        <v>0</v>
      </c>
      <c r="S237" s="1067"/>
      <c r="T237" s="1244"/>
      <c r="U237" s="571"/>
      <c r="V237" s="573"/>
    </row>
    <row r="238" spans="1:22" ht="30.6">
      <c r="A238" s="1243" t="s">
        <v>824</v>
      </c>
      <c r="B238" s="1280">
        <v>0</v>
      </c>
      <c r="C238" s="1280" t="s">
        <v>825</v>
      </c>
      <c r="D238" s="1280">
        <v>1500</v>
      </c>
      <c r="E238" s="1280" t="str">
        <f>C238</f>
        <v>campaign</v>
      </c>
      <c r="F238" s="1280">
        <f>IF(B238=0,0,1)</f>
        <v>0</v>
      </c>
      <c r="G238" s="1069">
        <f>B238*D238*F238</f>
        <v>0</v>
      </c>
      <c r="H238" s="1068"/>
      <c r="I238" s="1069">
        <f>$G238*H233*J$16</f>
        <v>0</v>
      </c>
      <c r="J238" s="571"/>
      <c r="K238" s="1068"/>
      <c r="L238" s="1069">
        <f>$G238*K233*M$16</f>
        <v>0</v>
      </c>
      <c r="M238" s="1067"/>
      <c r="N238" s="1068"/>
      <c r="O238" s="1069">
        <f>$G238*N233*P$16</f>
        <v>0</v>
      </c>
      <c r="P238" s="1067"/>
      <c r="Q238" s="1068"/>
      <c r="R238" s="1069">
        <f>$G238*Q233*S$16</f>
        <v>0</v>
      </c>
      <c r="S238" s="1067"/>
      <c r="T238" s="1244"/>
      <c r="U238" s="571"/>
      <c r="V238" s="573"/>
    </row>
    <row r="239" spans="1:22">
      <c r="A239" s="1243" t="s">
        <v>781</v>
      </c>
      <c r="B239" s="1280">
        <v>0</v>
      </c>
      <c r="C239" s="1280" t="s">
        <v>277</v>
      </c>
      <c r="D239" s="1280">
        <f>print</f>
        <v>50</v>
      </c>
      <c r="E239" s="1280" t="str">
        <f>C239</f>
        <v>activity</v>
      </c>
      <c r="F239" s="1280">
        <f>IF(B239=0,0,1)</f>
        <v>0</v>
      </c>
      <c r="G239" s="1069">
        <f>B239*D239*F239</f>
        <v>0</v>
      </c>
      <c r="H239" s="1068"/>
      <c r="I239" s="1069">
        <f>$G239*H233*J$16</f>
        <v>0</v>
      </c>
      <c r="J239" s="571"/>
      <c r="K239" s="1068"/>
      <c r="L239" s="1069">
        <f>$G239*K233*M$16</f>
        <v>0</v>
      </c>
      <c r="M239" s="1067"/>
      <c r="N239" s="1068"/>
      <c r="O239" s="1069">
        <f>$G239*N233*P$16</f>
        <v>0</v>
      </c>
      <c r="P239" s="1067"/>
      <c r="Q239" s="1068"/>
      <c r="R239" s="1069">
        <f>$G239*Q233*S$16</f>
        <v>0</v>
      </c>
      <c r="S239" s="1067"/>
      <c r="T239" s="1244"/>
      <c r="U239" s="571"/>
      <c r="V239" s="573"/>
    </row>
    <row r="240" spans="1:22">
      <c r="A240" s="613" t="s">
        <v>826</v>
      </c>
      <c r="B240" s="1280"/>
      <c r="C240" s="1280"/>
      <c r="D240" s="1280"/>
      <c r="E240" s="1280"/>
      <c r="F240" s="1280"/>
      <c r="G240" s="1069"/>
      <c r="H240" s="1068"/>
      <c r="I240" s="1069"/>
      <c r="J240" s="571"/>
      <c r="K240" s="1068"/>
      <c r="L240" s="1069"/>
      <c r="M240" s="1067"/>
      <c r="N240" s="1068"/>
      <c r="O240" s="1069"/>
      <c r="P240" s="1067"/>
      <c r="Q240" s="1068"/>
      <c r="R240" s="1069"/>
      <c r="S240" s="1067"/>
      <c r="T240" s="1244"/>
      <c r="U240" s="571"/>
      <c r="V240" s="573"/>
    </row>
    <row r="241" spans="1:22">
      <c r="A241" s="605" t="s">
        <v>818</v>
      </c>
      <c r="B241" s="1280"/>
      <c r="C241" s="1280" t="s">
        <v>248</v>
      </c>
      <c r="D241" s="1280">
        <f>partground</f>
        <v>9</v>
      </c>
      <c r="E241" s="1280" t="s">
        <v>262</v>
      </c>
      <c r="F241" s="1280">
        <v>3</v>
      </c>
      <c r="G241" s="1069">
        <f>B241*D241*F241</f>
        <v>0</v>
      </c>
      <c r="H241" s="1068"/>
      <c r="I241" s="1069">
        <f>$G241*H233*J$16</f>
        <v>0</v>
      </c>
      <c r="J241" s="571"/>
      <c r="K241" s="1068"/>
      <c r="L241" s="1069">
        <f>$G241*K233*M$16</f>
        <v>0</v>
      </c>
      <c r="M241" s="1067"/>
      <c r="N241" s="1068"/>
      <c r="O241" s="1069">
        <f>$G241*N233*P$16</f>
        <v>0</v>
      </c>
      <c r="P241" s="1067"/>
      <c r="Q241" s="1068"/>
      <c r="R241" s="1069">
        <f>$G241*Q233*S$16</f>
        <v>0</v>
      </c>
      <c r="S241" s="1067"/>
      <c r="T241" s="1244"/>
      <c r="U241" s="571"/>
      <c r="V241" s="573"/>
    </row>
    <row r="242" spans="1:22">
      <c r="A242" s="1243" t="s">
        <v>267</v>
      </c>
      <c r="B242" s="1280"/>
      <c r="C242" s="1280" t="s">
        <v>248</v>
      </c>
      <c r="D242" s="1280">
        <f>partground</f>
        <v>9</v>
      </c>
      <c r="E242" s="1280" t="s">
        <v>249</v>
      </c>
      <c r="F242" s="1280">
        <v>3</v>
      </c>
      <c r="G242" s="1069">
        <f>B242*D242*F242</f>
        <v>0</v>
      </c>
      <c r="H242" s="1068"/>
      <c r="I242" s="1069">
        <f>$G242*H233*J$16</f>
        <v>0</v>
      </c>
      <c r="J242" s="571"/>
      <c r="K242" s="1068"/>
      <c r="L242" s="1069">
        <f>$G242*K233*M$16</f>
        <v>0</v>
      </c>
      <c r="M242" s="1067"/>
      <c r="N242" s="1068"/>
      <c r="O242" s="1069">
        <f>$G242*N233*P$16</f>
        <v>0</v>
      </c>
      <c r="P242" s="1067"/>
      <c r="Q242" s="1068"/>
      <c r="R242" s="1069">
        <f>$G242*Q233*S$16</f>
        <v>0</v>
      </c>
      <c r="S242" s="1067"/>
      <c r="T242" s="1244"/>
      <c r="U242" s="571"/>
      <c r="V242" s="573"/>
    </row>
    <row r="243" spans="1:22">
      <c r="A243" s="605" t="s">
        <v>264</v>
      </c>
      <c r="B243" s="1280"/>
      <c r="C243" s="1280" t="s">
        <v>248</v>
      </c>
      <c r="D243" s="1280">
        <f>partlodg</f>
        <v>35</v>
      </c>
      <c r="E243" s="1280" t="s">
        <v>249</v>
      </c>
      <c r="F243" s="1280">
        <f>IF(B243=0,0,F233)</f>
        <v>0</v>
      </c>
      <c r="G243" s="1069">
        <f>B243*D243*F243</f>
        <v>0</v>
      </c>
      <c r="H243" s="1068"/>
      <c r="I243" s="1069">
        <f>$G243*H233*J$16</f>
        <v>0</v>
      </c>
      <c r="J243" s="571"/>
      <c r="K243" s="1068"/>
      <c r="L243" s="1069">
        <f>$G243*K233*M$16</f>
        <v>0</v>
      </c>
      <c r="M243" s="1067"/>
      <c r="N243" s="1068"/>
      <c r="O243" s="1069">
        <f>$G243*N233*P$16</f>
        <v>0</v>
      </c>
      <c r="P243" s="1067"/>
      <c r="Q243" s="1068"/>
      <c r="R243" s="1069">
        <f>$G243*Q233*S$16</f>
        <v>0</v>
      </c>
      <c r="S243" s="1067"/>
      <c r="T243" s="1244"/>
      <c r="U243" s="571"/>
      <c r="V243" s="573"/>
    </row>
    <row r="244" spans="1:22">
      <c r="A244" s="1243" t="s">
        <v>787</v>
      </c>
      <c r="B244" s="1280"/>
      <c r="C244" s="1280" t="s">
        <v>248</v>
      </c>
      <c r="D244" s="1280">
        <f>partmeals</f>
        <v>47</v>
      </c>
      <c r="E244" s="1280" t="s">
        <v>249</v>
      </c>
      <c r="F244" s="1280">
        <f>IF(B244=0,0,F233)</f>
        <v>0</v>
      </c>
      <c r="G244" s="1069">
        <f>B244*D244*F244</f>
        <v>0</v>
      </c>
      <c r="H244" s="1068"/>
      <c r="I244" s="1069">
        <f>$G244*H233*J$16</f>
        <v>0</v>
      </c>
      <c r="J244" s="571"/>
      <c r="K244" s="1068"/>
      <c r="L244" s="1069">
        <f>$G244*K233*M$16</f>
        <v>0</v>
      </c>
      <c r="M244" s="1067"/>
      <c r="N244" s="1068"/>
      <c r="O244" s="1069">
        <f>$G244*N233*P$16</f>
        <v>0</v>
      </c>
      <c r="P244" s="1067"/>
      <c r="Q244" s="1068"/>
      <c r="R244" s="1069">
        <f>$G244*Q233*S$16</f>
        <v>0</v>
      </c>
      <c r="S244" s="1067"/>
      <c r="T244" s="1244"/>
      <c r="U244" s="571"/>
      <c r="V244" s="573"/>
    </row>
    <row r="245" spans="1:22">
      <c r="A245" s="1243" t="s">
        <v>798</v>
      </c>
      <c r="B245" s="1280"/>
      <c r="C245" s="1280" t="s">
        <v>248</v>
      </c>
      <c r="D245" s="1280">
        <f>parttransp</f>
        <v>4</v>
      </c>
      <c r="E245" s="1280" t="s">
        <v>262</v>
      </c>
      <c r="F245" s="1280">
        <v>1</v>
      </c>
      <c r="G245" s="1069">
        <f>B245*D245*F245</f>
        <v>0</v>
      </c>
      <c r="H245" s="1068"/>
      <c r="I245" s="1069">
        <f>$G245*H233*J$16</f>
        <v>0</v>
      </c>
      <c r="J245" s="571"/>
      <c r="K245" s="1068"/>
      <c r="L245" s="1069">
        <f>$G245*K233*M$16</f>
        <v>0</v>
      </c>
      <c r="M245" s="1067"/>
      <c r="N245" s="1068"/>
      <c r="O245" s="1069">
        <f>$G245*N233*P$16</f>
        <v>0</v>
      </c>
      <c r="P245" s="1067"/>
      <c r="Q245" s="1068"/>
      <c r="R245" s="1069">
        <f>$G245*Q233*S$16</f>
        <v>0</v>
      </c>
      <c r="S245" s="1067"/>
      <c r="T245" s="1244"/>
      <c r="U245" s="571"/>
      <c r="V245" s="573"/>
    </row>
    <row r="246" spans="1:22">
      <c r="A246" s="1245" t="s">
        <v>788</v>
      </c>
      <c r="B246" s="622"/>
      <c r="C246" s="622"/>
      <c r="D246" s="1246"/>
      <c r="E246" s="1410">
        <f>SUM(G235:G245)</f>
        <v>0</v>
      </c>
      <c r="F246" s="1410"/>
      <c r="G246" s="1247"/>
      <c r="H246" s="1248"/>
      <c r="I246" s="1248"/>
      <c r="J246" s="1239"/>
      <c r="K246" s="1248"/>
      <c r="L246" s="1248"/>
      <c r="M246" s="1239"/>
      <c r="N246" s="1248"/>
      <c r="O246" s="1248"/>
      <c r="P246" s="1239"/>
      <c r="Q246" s="1248"/>
      <c r="R246" s="1248"/>
      <c r="S246" s="1239"/>
      <c r="T246" s="1249"/>
      <c r="U246" s="571"/>
      <c r="V246" s="573"/>
    </row>
    <row r="247" spans="1:22">
      <c r="A247" s="1269"/>
      <c r="B247" s="1270"/>
      <c r="C247" s="1270"/>
      <c r="D247" s="1239"/>
      <c r="E247" s="1248"/>
      <c r="F247" s="1248"/>
      <c r="G247" s="1253"/>
      <c r="H247" s="1253"/>
      <c r="I247" s="1253"/>
      <c r="J247" s="1069"/>
      <c r="K247" s="1253"/>
      <c r="L247" s="1253"/>
      <c r="M247" s="1069"/>
      <c r="N247" s="1253"/>
      <c r="O247" s="1253"/>
      <c r="P247" s="1069"/>
      <c r="Q247" s="1253"/>
      <c r="R247" s="1253"/>
      <c r="S247" s="1069"/>
      <c r="T247" s="1254"/>
      <c r="U247" s="571"/>
      <c r="V247" s="573"/>
    </row>
    <row r="248" spans="1:22">
      <c r="A248" s="1238" t="s">
        <v>784</v>
      </c>
      <c r="B248" s="1284"/>
      <c r="C248" s="1284"/>
      <c r="D248" s="1284"/>
      <c r="E248" s="1284"/>
      <c r="F248" s="1284"/>
      <c r="G248" s="1284"/>
      <c r="H248" s="1438">
        <v>2</v>
      </c>
      <c r="I248" s="1438"/>
      <c r="J248" s="1278">
        <f>SUM(I251:I253)</f>
        <v>0</v>
      </c>
      <c r="K248" s="1444"/>
      <c r="L248" s="1444"/>
      <c r="M248" s="1279">
        <f>SUM(L251:L253)</f>
        <v>0</v>
      </c>
      <c r="N248" s="1444">
        <v>0</v>
      </c>
      <c r="O248" s="1444"/>
      <c r="P248" s="1279">
        <f>SUM(O251:O253)</f>
        <v>0</v>
      </c>
      <c r="Q248" s="1445">
        <v>0</v>
      </c>
      <c r="R248" s="1445"/>
      <c r="S248" s="597">
        <f>SUM(R251:R253)</f>
        <v>0</v>
      </c>
      <c r="T248" s="1066">
        <f>SUM(J248,M248,P248,S248,)</f>
        <v>0</v>
      </c>
      <c r="U248" s="571"/>
      <c r="V248" s="573"/>
    </row>
    <row r="249" spans="1:22">
      <c r="A249" s="599" t="s">
        <v>283</v>
      </c>
      <c r="B249" s="1284"/>
      <c r="C249" s="1284"/>
      <c r="D249" s="1284"/>
      <c r="E249" s="1284"/>
      <c r="F249" s="1284"/>
      <c r="G249" s="1284"/>
      <c r="H249" s="1285"/>
      <c r="I249" s="1284"/>
      <c r="J249" s="1284"/>
      <c r="K249" s="1285"/>
      <c r="L249" s="1284"/>
      <c r="M249" s="1286"/>
      <c r="N249" s="1285"/>
      <c r="O249" s="1284"/>
      <c r="P249" s="1286"/>
      <c r="Q249" s="1285"/>
      <c r="R249" s="1284"/>
      <c r="S249" s="1241"/>
      <c r="T249" s="1242"/>
      <c r="U249" s="571"/>
      <c r="V249" s="573"/>
    </row>
    <row r="250" spans="1:22">
      <c r="A250" s="1243" t="s">
        <v>791</v>
      </c>
      <c r="B250" s="1280"/>
      <c r="C250" s="1280" t="s">
        <v>248</v>
      </c>
      <c r="D250" s="1280">
        <f>parttransp</f>
        <v>4</v>
      </c>
      <c r="E250" s="1280" t="s">
        <v>249</v>
      </c>
      <c r="F250" s="1280">
        <f>IF(B250=0,0,F246)</f>
        <v>0</v>
      </c>
      <c r="G250" s="1280">
        <f>B250*D250*F250</f>
        <v>0</v>
      </c>
      <c r="H250" s="1281"/>
      <c r="I250" s="1280">
        <f>$G250*H246*J$16</f>
        <v>0</v>
      </c>
      <c r="J250" s="571"/>
      <c r="K250" s="1281"/>
      <c r="L250" s="1280">
        <f>$G250*K246*M$16</f>
        <v>0</v>
      </c>
      <c r="M250" s="1282"/>
      <c r="N250" s="1281"/>
      <c r="O250" s="1280">
        <f>$G250*N246*P$16</f>
        <v>0</v>
      </c>
      <c r="P250" s="1282"/>
      <c r="Q250" s="1281"/>
      <c r="R250" s="1280">
        <f>$G250*Q246*S$16</f>
        <v>0</v>
      </c>
      <c r="S250" s="1067"/>
      <c r="T250" s="1244"/>
      <c r="U250" s="571"/>
      <c r="V250" s="573"/>
    </row>
    <row r="251" spans="1:22">
      <c r="A251" s="1243" t="s">
        <v>792</v>
      </c>
      <c r="B251" s="1280"/>
      <c r="C251" s="1280" t="s">
        <v>248</v>
      </c>
      <c r="D251" s="1280">
        <f>coffee+lunch</f>
        <v>16</v>
      </c>
      <c r="E251" s="1280" t="s">
        <v>249</v>
      </c>
      <c r="F251" s="1280">
        <f>IF(B251=0,0,F246)</f>
        <v>0</v>
      </c>
      <c r="G251" s="1280">
        <f>B251*D251*F251</f>
        <v>0</v>
      </c>
      <c r="H251" s="1281"/>
      <c r="I251" s="1280">
        <f>$G251*H246*J$16</f>
        <v>0</v>
      </c>
      <c r="J251" s="571"/>
      <c r="K251" s="1281"/>
      <c r="L251" s="1280">
        <f>$G251*K246*M$16</f>
        <v>0</v>
      </c>
      <c r="M251" s="1282"/>
      <c r="N251" s="1281"/>
      <c r="O251" s="1280">
        <f>$G251*N246*P$16</f>
        <v>0</v>
      </c>
      <c r="P251" s="1282"/>
      <c r="Q251" s="1281"/>
      <c r="R251" s="1280">
        <f>$G251*Q246*S$16</f>
        <v>0</v>
      </c>
      <c r="S251" s="1067"/>
      <c r="T251" s="1244"/>
      <c r="U251" s="571"/>
      <c r="V251" s="573"/>
    </row>
    <row r="252" spans="1:22">
      <c r="A252" s="1243" t="s">
        <v>810</v>
      </c>
      <c r="B252" s="1280"/>
      <c r="C252" s="1280" t="s">
        <v>277</v>
      </c>
      <c r="D252" s="1280">
        <f>print</f>
        <v>50</v>
      </c>
      <c r="E252" s="1280" t="str">
        <f>C252</f>
        <v>activity</v>
      </c>
      <c r="F252" s="1280">
        <f>IF(B252=0,0,1)</f>
        <v>0</v>
      </c>
      <c r="G252" s="1280">
        <f>B252*D252*F252</f>
        <v>0</v>
      </c>
      <c r="H252" s="1281"/>
      <c r="I252" s="1280">
        <f>$G252*H246*J$16</f>
        <v>0</v>
      </c>
      <c r="J252" s="571"/>
      <c r="K252" s="1281"/>
      <c r="L252" s="1280">
        <f>$G252*K246*M$16</f>
        <v>0</v>
      </c>
      <c r="M252" s="1282"/>
      <c r="N252" s="1281"/>
      <c r="O252" s="1280">
        <f>$G252*N246*P$16</f>
        <v>0</v>
      </c>
      <c r="P252" s="1282"/>
      <c r="Q252" s="1281"/>
      <c r="R252" s="1280">
        <f>$G252*Q246*S$16</f>
        <v>0</v>
      </c>
      <c r="S252" s="1067"/>
      <c r="T252" s="1244"/>
      <c r="U252" s="571"/>
      <c r="V252" s="573"/>
    </row>
    <row r="253" spans="1:22">
      <c r="A253" s="605"/>
      <c r="B253" s="1280"/>
      <c r="C253" s="1280"/>
      <c r="D253" s="1280"/>
      <c r="E253" s="1280"/>
      <c r="F253" s="1280"/>
      <c r="G253" s="1280"/>
      <c r="H253" s="1281"/>
      <c r="I253" s="1280"/>
      <c r="J253" s="571"/>
      <c r="K253" s="1281"/>
      <c r="L253" s="1280"/>
      <c r="M253" s="1282"/>
      <c r="N253" s="1281"/>
      <c r="O253" s="1280"/>
      <c r="P253" s="1282"/>
      <c r="Q253" s="1281"/>
      <c r="R253" s="1280"/>
      <c r="S253" s="1067"/>
      <c r="T253" s="1244"/>
      <c r="U253" s="571"/>
      <c r="V253" s="573"/>
    </row>
    <row r="254" spans="1:22">
      <c r="A254" s="613" t="s">
        <v>806</v>
      </c>
      <c r="B254" s="1280"/>
      <c r="C254" s="1280"/>
      <c r="D254" s="1280"/>
      <c r="E254" s="1280"/>
      <c r="F254" s="1280"/>
      <c r="G254" s="1280">
        <f t="shared" ref="G254:G259" si="11">B254*D254*F254</f>
        <v>0</v>
      </c>
      <c r="H254" s="1281"/>
      <c r="I254" s="1280"/>
      <c r="J254" s="571"/>
      <c r="K254" s="1281"/>
      <c r="L254" s="1280"/>
      <c r="M254" s="1282"/>
      <c r="N254" s="1281"/>
      <c r="O254" s="1280"/>
      <c r="P254" s="1282"/>
      <c r="Q254" s="1281"/>
      <c r="R254" s="1280"/>
      <c r="S254" s="1067"/>
      <c r="T254" s="1244"/>
      <c r="U254" s="571"/>
      <c r="V254" s="573"/>
    </row>
    <row r="255" spans="1:22">
      <c r="A255" s="605" t="s">
        <v>261</v>
      </c>
      <c r="B255" s="1280"/>
      <c r="C255" s="1280" t="s">
        <v>248</v>
      </c>
      <c r="D255" s="1280">
        <f>partground</f>
        <v>9</v>
      </c>
      <c r="E255" s="1280" t="s">
        <v>262</v>
      </c>
      <c r="F255" s="1280">
        <v>3</v>
      </c>
      <c r="G255" s="1280">
        <f t="shared" si="11"/>
        <v>0</v>
      </c>
      <c r="H255" s="1281"/>
      <c r="I255" s="1280">
        <f>$G255*J$16*$H$248</f>
        <v>0</v>
      </c>
      <c r="J255" s="571"/>
      <c r="K255" s="1281"/>
      <c r="L255" s="1280">
        <f>$G255*$K$248*M$16</f>
        <v>0</v>
      </c>
      <c r="M255" s="1282"/>
      <c r="N255" s="1281"/>
      <c r="O255" s="1280">
        <f>$G255*$N$248*P$16</f>
        <v>0</v>
      </c>
      <c r="P255" s="1282"/>
      <c r="Q255" s="1281"/>
      <c r="R255" s="1280">
        <f>$G255*$Q$248*S$16</f>
        <v>0</v>
      </c>
      <c r="S255" s="1067"/>
      <c r="T255" s="1244"/>
      <c r="U255" s="571"/>
      <c r="V255" s="573"/>
    </row>
    <row r="256" spans="1:22">
      <c r="A256" s="1243" t="s">
        <v>263</v>
      </c>
      <c r="B256" s="1280"/>
      <c r="C256" s="1280" t="s">
        <v>248</v>
      </c>
      <c r="D256" s="1280">
        <f>+[1]Assumptions!D101</f>
        <v>25</v>
      </c>
      <c r="E256" s="1280" t="s">
        <v>249</v>
      </c>
      <c r="F256" s="1280">
        <v>3</v>
      </c>
      <c r="G256" s="1280">
        <f t="shared" si="11"/>
        <v>0</v>
      </c>
      <c r="H256" s="1281"/>
      <c r="I256" s="1280">
        <f>$G256*J$16*$H$248</f>
        <v>0</v>
      </c>
      <c r="J256" s="571"/>
      <c r="K256" s="1281"/>
      <c r="L256" s="1280">
        <f>$G256*$K$248*M$16</f>
        <v>0</v>
      </c>
      <c r="M256" s="1282"/>
      <c r="N256" s="1281"/>
      <c r="O256" s="1280">
        <f>$G256*$N$248*P$16</f>
        <v>0</v>
      </c>
      <c r="P256" s="1282"/>
      <c r="Q256" s="1281"/>
      <c r="R256" s="1280">
        <f>$G256*$Q$248*S$16</f>
        <v>0</v>
      </c>
      <c r="S256" s="1067"/>
      <c r="T256" s="1244"/>
      <c r="U256" s="571"/>
      <c r="V256" s="573"/>
    </row>
    <row r="257" spans="1:22">
      <c r="A257" s="605" t="s">
        <v>790</v>
      </c>
      <c r="B257" s="1280"/>
      <c r="C257" s="1280" t="s">
        <v>248</v>
      </c>
      <c r="D257" s="1280">
        <f>+[1]Assumptions!D103</f>
        <v>90</v>
      </c>
      <c r="E257" s="1280" t="s">
        <v>249</v>
      </c>
      <c r="F257" s="1280">
        <v>3</v>
      </c>
      <c r="G257" s="1280">
        <f t="shared" si="11"/>
        <v>0</v>
      </c>
      <c r="H257" s="1281"/>
      <c r="I257" s="1280">
        <f>$G257*J$16*$H$248</f>
        <v>0</v>
      </c>
      <c r="J257" s="571"/>
      <c r="K257" s="1281"/>
      <c r="L257" s="1280">
        <f>$G257*$K$248*M$16</f>
        <v>0</v>
      </c>
      <c r="M257" s="1282"/>
      <c r="N257" s="1281"/>
      <c r="O257" s="1280">
        <f>$G257*$N$248*P$16</f>
        <v>0</v>
      </c>
      <c r="P257" s="1282"/>
      <c r="Q257" s="1281"/>
      <c r="R257" s="1280">
        <f>$G257*$Q$248*S$16</f>
        <v>0</v>
      </c>
      <c r="S257" s="1067"/>
      <c r="T257" s="1244"/>
      <c r="U257" s="571"/>
      <c r="V257" s="573"/>
    </row>
    <row r="258" spans="1:22">
      <c r="A258" s="1243" t="s">
        <v>783</v>
      </c>
      <c r="B258" s="1280"/>
      <c r="C258" s="1280" t="s">
        <v>248</v>
      </c>
      <c r="D258" s="1280">
        <f>partmeals</f>
        <v>47</v>
      </c>
      <c r="E258" s="1280" t="s">
        <v>249</v>
      </c>
      <c r="F258" s="1280">
        <v>3</v>
      </c>
      <c r="G258" s="1280">
        <f t="shared" si="11"/>
        <v>0</v>
      </c>
      <c r="H258" s="1281"/>
      <c r="I258" s="1280">
        <f>$G258*J$16*$H$248</f>
        <v>0</v>
      </c>
      <c r="J258" s="571"/>
      <c r="K258" s="1281"/>
      <c r="L258" s="1280">
        <f>$G258*$K$248*M$16</f>
        <v>0</v>
      </c>
      <c r="M258" s="1282"/>
      <c r="N258" s="1281"/>
      <c r="O258" s="1280">
        <f>$G258*$N$248*P$16</f>
        <v>0</v>
      </c>
      <c r="P258" s="1282"/>
      <c r="Q258" s="1281"/>
      <c r="R258" s="1280">
        <f>$G258*$Q$248*S$16</f>
        <v>0</v>
      </c>
      <c r="S258" s="1067"/>
      <c r="T258" s="1244"/>
      <c r="U258" s="571"/>
      <c r="V258" s="573"/>
    </row>
    <row r="259" spans="1:22">
      <c r="A259" s="1243" t="s">
        <v>807</v>
      </c>
      <c r="B259" s="1280"/>
      <c r="C259" s="1280" t="s">
        <v>248</v>
      </c>
      <c r="D259" s="1280">
        <f>partairfare</f>
        <v>200</v>
      </c>
      <c r="E259" s="1280" t="s">
        <v>262</v>
      </c>
      <c r="F259" s="1280">
        <v>1</v>
      </c>
      <c r="G259" s="1280">
        <f t="shared" si="11"/>
        <v>0</v>
      </c>
      <c r="H259" s="1281"/>
      <c r="I259" s="1280">
        <f>$G259*J$16*$H$248</f>
        <v>0</v>
      </c>
      <c r="J259" s="571"/>
      <c r="K259" s="1281"/>
      <c r="L259" s="1280">
        <f>$G259*$K$248*M$16</f>
        <v>0</v>
      </c>
      <c r="M259" s="1282"/>
      <c r="N259" s="1281"/>
      <c r="O259" s="1280">
        <f>$G259*$N$248*P$16</f>
        <v>0</v>
      </c>
      <c r="P259" s="1282"/>
      <c r="Q259" s="1281"/>
      <c r="R259" s="1280">
        <f>$G259*$Q$248*S$16</f>
        <v>0</v>
      </c>
      <c r="S259" s="1067"/>
      <c r="T259" s="1244"/>
      <c r="U259" s="571"/>
      <c r="V259" s="573"/>
    </row>
    <row r="260" spans="1:22">
      <c r="A260" s="1245" t="s">
        <v>788</v>
      </c>
      <c r="B260" s="622"/>
      <c r="C260" s="622"/>
      <c r="D260" s="1246"/>
      <c r="E260" s="1410">
        <f>SUM(G255:G259)</f>
        <v>0</v>
      </c>
      <c r="F260" s="1410"/>
      <c r="G260" s="1247"/>
      <c r="H260" s="1248"/>
      <c r="I260" s="1248"/>
      <c r="J260" s="1239"/>
      <c r="K260" s="1248"/>
      <c r="L260" s="1248"/>
      <c r="M260" s="1239"/>
      <c r="N260" s="1248"/>
      <c r="O260" s="1248"/>
      <c r="P260" s="1239"/>
      <c r="Q260" s="1248"/>
      <c r="R260" s="1248"/>
      <c r="S260" s="1239"/>
      <c r="T260" s="1249"/>
      <c r="U260" s="571"/>
      <c r="V260" s="573"/>
    </row>
    <row r="261" spans="1:22">
      <c r="A261" s="1269"/>
      <c r="B261" s="1270"/>
      <c r="C261" s="1270"/>
      <c r="D261" s="1239"/>
      <c r="E261" s="1248"/>
      <c r="F261" s="1248"/>
      <c r="G261" s="1253"/>
      <c r="H261" s="1253"/>
      <c r="I261" s="1253"/>
      <c r="J261" s="1069"/>
      <c r="K261" s="1253"/>
      <c r="L261" s="1253"/>
      <c r="M261" s="1069"/>
      <c r="N261" s="1253"/>
      <c r="O261" s="1253"/>
      <c r="P261" s="1069"/>
      <c r="Q261" s="1253"/>
      <c r="R261" s="1253"/>
      <c r="S261" s="1069"/>
      <c r="T261" s="1254"/>
      <c r="U261" s="571"/>
      <c r="V261" s="573"/>
    </row>
    <row r="262" spans="1:22" ht="36" customHeight="1">
      <c r="A262" s="1421" t="s">
        <v>827</v>
      </c>
      <c r="B262" s="1421"/>
      <c r="C262" s="1421"/>
      <c r="D262" s="1421"/>
      <c r="E262" s="1421"/>
      <c r="F262" s="595">
        <v>3</v>
      </c>
      <c r="G262" s="595"/>
      <c r="H262" s="1438">
        <v>1</v>
      </c>
      <c r="I262" s="1438"/>
      <c r="J262" s="1278">
        <f>SUM(I265:I268)</f>
        <v>750</v>
      </c>
      <c r="K262" s="1444">
        <v>6</v>
      </c>
      <c r="L262" s="1444"/>
      <c r="M262" s="1279">
        <f>SUM(L265:L268)</f>
        <v>4680</v>
      </c>
      <c r="N262" s="1444">
        <v>6</v>
      </c>
      <c r="O262" s="1444"/>
      <c r="P262" s="1279">
        <f>SUM(O265:O268)</f>
        <v>4867.2000000000007</v>
      </c>
      <c r="Q262" s="1445">
        <v>3</v>
      </c>
      <c r="R262" s="1445"/>
      <c r="S262" s="597">
        <f>SUM(R265:R274)</f>
        <v>3921.275904000001</v>
      </c>
      <c r="T262" s="1066">
        <f>SUM(J262,M262,P262,S262,)</f>
        <v>14218.475904000003</v>
      </c>
      <c r="U262" s="571"/>
      <c r="V262" s="573"/>
    </row>
    <row r="263" spans="1:22">
      <c r="A263" s="1250" t="s">
        <v>777</v>
      </c>
      <c r="B263" s="1239"/>
      <c r="C263" s="1239"/>
      <c r="D263" s="1239"/>
      <c r="E263" s="1239"/>
      <c r="F263" s="1284"/>
      <c r="G263" s="1284"/>
      <c r="H263" s="1285"/>
      <c r="I263" s="1284"/>
      <c r="J263" s="1284"/>
      <c r="K263" s="1285"/>
      <c r="L263" s="1284"/>
      <c r="M263" s="1286"/>
      <c r="N263" s="1285"/>
      <c r="O263" s="1284"/>
      <c r="P263" s="1286"/>
      <c r="Q263" s="1285"/>
      <c r="R263" s="1284"/>
      <c r="S263" s="1241"/>
      <c r="T263" s="1242"/>
      <c r="U263" s="571"/>
      <c r="V263" s="573"/>
    </row>
    <row r="264" spans="1:22">
      <c r="A264" s="599" t="s">
        <v>283</v>
      </c>
      <c r="B264" s="1239"/>
      <c r="C264" s="1239"/>
      <c r="D264" s="1239"/>
      <c r="E264" s="1239"/>
      <c r="F264" s="1284"/>
      <c r="G264" s="1284"/>
      <c r="H264" s="1285"/>
      <c r="I264" s="1284"/>
      <c r="J264" s="1284"/>
      <c r="K264" s="1285"/>
      <c r="L264" s="1284"/>
      <c r="M264" s="1286"/>
      <c r="N264" s="1285"/>
      <c r="O264" s="1284"/>
      <c r="P264" s="1286"/>
      <c r="Q264" s="1285"/>
      <c r="R264" s="1284"/>
      <c r="S264" s="1241"/>
      <c r="T264" s="1242"/>
      <c r="U264" s="571"/>
      <c r="V264" s="573"/>
    </row>
    <row r="265" spans="1:22">
      <c r="A265" s="1243" t="s">
        <v>828</v>
      </c>
      <c r="B265" s="1280">
        <v>20</v>
      </c>
      <c r="C265" s="1280" t="s">
        <v>248</v>
      </c>
      <c r="D265" s="1280">
        <f>parttransp</f>
        <v>4</v>
      </c>
      <c r="E265" s="1280" t="s">
        <v>249</v>
      </c>
      <c r="F265" s="1280">
        <v>1</v>
      </c>
      <c r="G265" s="1280">
        <f>B265*D265*F265</f>
        <v>80</v>
      </c>
      <c r="H265" s="1281"/>
      <c r="I265" s="1280">
        <f>$G265*H262*J$16</f>
        <v>80</v>
      </c>
      <c r="J265" s="571"/>
      <c r="K265" s="1281"/>
      <c r="L265" s="1280">
        <f>$G265*K262*M$16</f>
        <v>499.20000000000005</v>
      </c>
      <c r="M265" s="1282"/>
      <c r="N265" s="1281"/>
      <c r="O265" s="1280">
        <f>$G265*N262*P$16</f>
        <v>519.16800000000001</v>
      </c>
      <c r="P265" s="1282"/>
      <c r="Q265" s="1281"/>
      <c r="R265" s="1280">
        <f>$G265*Q262*S$16</f>
        <v>269.96736000000004</v>
      </c>
      <c r="S265" s="1067"/>
      <c r="T265" s="1244"/>
      <c r="U265" s="571"/>
      <c r="V265" s="573"/>
    </row>
    <row r="266" spans="1:22">
      <c r="A266" s="1243" t="s">
        <v>251</v>
      </c>
      <c r="B266" s="1280">
        <v>20</v>
      </c>
      <c r="C266" s="1280" t="s">
        <v>248</v>
      </c>
      <c r="D266" s="1280">
        <f>coffee+lunch</f>
        <v>16</v>
      </c>
      <c r="E266" s="1280" t="s">
        <v>249</v>
      </c>
      <c r="F266" s="1280">
        <v>1</v>
      </c>
      <c r="G266" s="1280">
        <f>B266*D266*F266</f>
        <v>320</v>
      </c>
      <c r="H266" s="1281"/>
      <c r="I266" s="1280">
        <f>$G266*H262*J$16</f>
        <v>320</v>
      </c>
      <c r="J266" s="571"/>
      <c r="K266" s="1281"/>
      <c r="L266" s="1280">
        <f>$G266*$K$262*M$16</f>
        <v>1996.8000000000002</v>
      </c>
      <c r="M266" s="1282"/>
      <c r="N266" s="1281"/>
      <c r="O266" s="1280">
        <f>$G266*N262*P$16</f>
        <v>2076.672</v>
      </c>
      <c r="P266" s="1282"/>
      <c r="Q266" s="1281"/>
      <c r="R266" s="1280">
        <f>$G266*Q262*S$16</f>
        <v>1079.8694400000002</v>
      </c>
      <c r="S266" s="1067"/>
      <c r="T266" s="1244"/>
      <c r="U266" s="571"/>
      <c r="V266" s="573"/>
    </row>
    <row r="267" spans="1:22" ht="30.6">
      <c r="A267" s="1243" t="s">
        <v>824</v>
      </c>
      <c r="B267" s="1280">
        <v>1</v>
      </c>
      <c r="C267" s="1280" t="s">
        <v>825</v>
      </c>
      <c r="D267" s="1280">
        <v>300</v>
      </c>
      <c r="E267" s="1280" t="str">
        <f>C267</f>
        <v>campaign</v>
      </c>
      <c r="F267" s="1069">
        <v>1</v>
      </c>
      <c r="G267" s="1069">
        <f>B267*D267*F267</f>
        <v>300</v>
      </c>
      <c r="H267" s="1068"/>
      <c r="I267" s="1069">
        <f>$G267*$H$262*J$16</f>
        <v>300</v>
      </c>
      <c r="J267" s="571"/>
      <c r="K267" s="1068"/>
      <c r="L267" s="1069">
        <f>$G267*$K$262*M$16</f>
        <v>1872</v>
      </c>
      <c r="M267" s="1067"/>
      <c r="N267" s="1068"/>
      <c r="O267" s="1069">
        <f>$G267*N262*P$16</f>
        <v>1946.88</v>
      </c>
      <c r="P267" s="1067"/>
      <c r="Q267" s="1068"/>
      <c r="R267" s="1069">
        <f>$G267*Q262*S$16</f>
        <v>1012.3776</v>
      </c>
      <c r="S267" s="1067"/>
      <c r="T267" s="1244"/>
      <c r="U267" s="571"/>
      <c r="V267" s="573"/>
    </row>
    <row r="268" spans="1:22">
      <c r="A268" s="1243" t="s">
        <v>276</v>
      </c>
      <c r="B268" s="1280">
        <v>1</v>
      </c>
      <c r="C268" s="1280" t="s">
        <v>277</v>
      </c>
      <c r="D268" s="1280">
        <f>print</f>
        <v>50</v>
      </c>
      <c r="E268" s="1280" t="str">
        <f>C268</f>
        <v>activity</v>
      </c>
      <c r="F268" s="1069">
        <f>IF(B268=0,0,1)</f>
        <v>1</v>
      </c>
      <c r="G268" s="1069">
        <f>B268*D268*F268</f>
        <v>50</v>
      </c>
      <c r="H268" s="1068"/>
      <c r="I268" s="1069">
        <f>$G268*$H$262*J$16</f>
        <v>50</v>
      </c>
      <c r="J268" s="571"/>
      <c r="K268" s="1068"/>
      <c r="L268" s="1069">
        <f>$G268*$K$262*M$16</f>
        <v>312</v>
      </c>
      <c r="M268" s="1067"/>
      <c r="N268" s="1068"/>
      <c r="O268" s="1069">
        <f>$G268*N262*P$16</f>
        <v>324.48</v>
      </c>
      <c r="P268" s="1067"/>
      <c r="Q268" s="1068"/>
      <c r="R268" s="1069">
        <f>$G268*Q262*S$16</f>
        <v>168.7296</v>
      </c>
      <c r="S268" s="1067"/>
      <c r="T268" s="1244"/>
      <c r="U268" s="571"/>
      <c r="V268" s="573"/>
    </row>
    <row r="269" spans="1:22" hidden="1">
      <c r="A269" s="613" t="s">
        <v>829</v>
      </c>
      <c r="B269" s="1069"/>
      <c r="C269" s="1069"/>
      <c r="D269" s="1069"/>
      <c r="E269" s="1069"/>
      <c r="F269" s="1069"/>
      <c r="G269" s="1069"/>
      <c r="H269" s="1068"/>
      <c r="I269" s="1069"/>
      <c r="J269" s="571"/>
      <c r="K269" s="1068"/>
      <c r="L269" s="1069"/>
      <c r="M269" s="1067"/>
      <c r="N269" s="1068"/>
      <c r="O269" s="1069"/>
      <c r="P269" s="1067"/>
      <c r="Q269" s="1068"/>
      <c r="R269" s="1069"/>
      <c r="S269" s="1067"/>
      <c r="T269" s="1244"/>
      <c r="U269" s="571"/>
      <c r="V269" s="573"/>
    </row>
    <row r="270" spans="1:22" hidden="1">
      <c r="A270" s="605" t="s">
        <v>830</v>
      </c>
      <c r="B270" s="1070">
        <v>3</v>
      </c>
      <c r="C270" s="1069" t="s">
        <v>248</v>
      </c>
      <c r="D270" s="1070">
        <f>partground</f>
        <v>9</v>
      </c>
      <c r="E270" s="1069" t="s">
        <v>262</v>
      </c>
      <c r="F270" s="1069">
        <v>3</v>
      </c>
      <c r="G270" s="1069">
        <f>B270*D270*F270</f>
        <v>81</v>
      </c>
      <c r="H270" s="1068"/>
      <c r="I270" s="1069">
        <f>$G270*$H$262*J$16</f>
        <v>81</v>
      </c>
      <c r="J270" s="571"/>
      <c r="K270" s="1068"/>
      <c r="L270" s="1069">
        <f>$G270*$K$262*M$16</f>
        <v>505.44</v>
      </c>
      <c r="M270" s="1067"/>
      <c r="N270" s="1068"/>
      <c r="O270" s="1069">
        <f>$G270*N262*P$16</f>
        <v>525.6576</v>
      </c>
      <c r="P270" s="1067"/>
      <c r="Q270" s="1068"/>
      <c r="R270" s="1069">
        <f>$G270*Q262*S$16</f>
        <v>273.34195200000005</v>
      </c>
      <c r="S270" s="1067"/>
      <c r="T270" s="1244"/>
      <c r="U270" s="571"/>
      <c r="V270" s="573"/>
    </row>
    <row r="271" spans="1:22" ht="30.6" hidden="1">
      <c r="A271" s="1243" t="s">
        <v>831</v>
      </c>
      <c r="B271" s="1070">
        <v>3</v>
      </c>
      <c r="C271" s="1069" t="s">
        <v>248</v>
      </c>
      <c r="D271" s="1070">
        <f>partground</f>
        <v>9</v>
      </c>
      <c r="E271" s="1069" t="s">
        <v>249</v>
      </c>
      <c r="F271" s="1069">
        <v>3</v>
      </c>
      <c r="G271" s="1069">
        <f>B271*D271*F271</f>
        <v>81</v>
      </c>
      <c r="H271" s="1068"/>
      <c r="I271" s="1069">
        <f>$G271*$H$262*J$16</f>
        <v>81</v>
      </c>
      <c r="J271" s="571"/>
      <c r="K271" s="1068"/>
      <c r="L271" s="1069">
        <f>$G271*$K$262*M$16</f>
        <v>505.44</v>
      </c>
      <c r="M271" s="1067"/>
      <c r="N271" s="1068"/>
      <c r="O271" s="1069">
        <f>$G271*N262*P$16</f>
        <v>525.6576</v>
      </c>
      <c r="P271" s="1067"/>
      <c r="Q271" s="1068"/>
      <c r="R271" s="1069">
        <f>$G271*Q262*S$16</f>
        <v>273.34195200000005</v>
      </c>
      <c r="S271" s="1067"/>
      <c r="T271" s="1244"/>
      <c r="U271" s="571"/>
      <c r="V271" s="573"/>
    </row>
    <row r="272" spans="1:22" hidden="1">
      <c r="A272" s="605" t="s">
        <v>832</v>
      </c>
      <c r="B272" s="1069">
        <v>1</v>
      </c>
      <c r="C272" s="1069" t="s">
        <v>248</v>
      </c>
      <c r="D272" s="1070">
        <f>partlodg</f>
        <v>35</v>
      </c>
      <c r="E272" s="1069" t="s">
        <v>249</v>
      </c>
      <c r="F272" s="1069">
        <f>IF(B272=0,0,F262)</f>
        <v>3</v>
      </c>
      <c r="G272" s="1069">
        <f>B272*D272*F272</f>
        <v>105</v>
      </c>
      <c r="H272" s="1068"/>
      <c r="I272" s="1069">
        <f>$G272*$H$262*J$16</f>
        <v>105</v>
      </c>
      <c r="J272" s="571"/>
      <c r="K272" s="1068"/>
      <c r="L272" s="1069">
        <f>$G272*$K$262*M$16</f>
        <v>655.20000000000005</v>
      </c>
      <c r="M272" s="1067"/>
      <c r="N272" s="1068"/>
      <c r="O272" s="1069">
        <f>$G272*N262*P$16</f>
        <v>681.40800000000013</v>
      </c>
      <c r="P272" s="1067"/>
      <c r="Q272" s="1068"/>
      <c r="R272" s="1069">
        <f>$G272*Q262*S$16</f>
        <v>354.33216000000004</v>
      </c>
      <c r="S272" s="1067"/>
      <c r="T272" s="1244"/>
      <c r="U272" s="571"/>
      <c r="V272" s="573"/>
    </row>
    <row r="273" spans="1:22" ht="30.6" hidden="1">
      <c r="A273" s="1243" t="s">
        <v>833</v>
      </c>
      <c r="B273" s="1069">
        <v>1</v>
      </c>
      <c r="C273" s="1069" t="s">
        <v>248</v>
      </c>
      <c r="D273" s="1070">
        <f>partmeals</f>
        <v>47</v>
      </c>
      <c r="E273" s="1069" t="s">
        <v>249</v>
      </c>
      <c r="F273" s="1069">
        <f>IF(B273=0,0,F262)</f>
        <v>3</v>
      </c>
      <c r="G273" s="1069">
        <f>B273*D273*F273</f>
        <v>141</v>
      </c>
      <c r="H273" s="1068"/>
      <c r="I273" s="1069">
        <f>$G273*$H$262*J$16</f>
        <v>141</v>
      </c>
      <c r="J273" s="571"/>
      <c r="K273" s="1068"/>
      <c r="L273" s="1069">
        <f>$G273*$K$262*M$16</f>
        <v>879.84</v>
      </c>
      <c r="M273" s="1067"/>
      <c r="N273" s="1068"/>
      <c r="O273" s="1069">
        <f>$G273*N262*P$16</f>
        <v>915.03360000000009</v>
      </c>
      <c r="P273" s="1067"/>
      <c r="Q273" s="1068"/>
      <c r="R273" s="1069">
        <f>$G273*Q262*S$16</f>
        <v>475.81747200000001</v>
      </c>
      <c r="S273" s="1067"/>
      <c r="T273" s="1244"/>
      <c r="U273" s="571"/>
      <c r="V273" s="573"/>
    </row>
    <row r="274" spans="1:22" hidden="1">
      <c r="A274" s="1243" t="s">
        <v>834</v>
      </c>
      <c r="B274" s="1069">
        <v>1</v>
      </c>
      <c r="C274" s="1069" t="s">
        <v>248</v>
      </c>
      <c r="D274" s="1070">
        <f>parttransp</f>
        <v>4</v>
      </c>
      <c r="E274" s="1069" t="s">
        <v>262</v>
      </c>
      <c r="F274" s="1070">
        <v>1</v>
      </c>
      <c r="G274" s="1069">
        <f>B274*D274*F274</f>
        <v>4</v>
      </c>
      <c r="H274" s="1068"/>
      <c r="I274" s="1069">
        <f>$G274*$H$262*J$16</f>
        <v>4</v>
      </c>
      <c r="J274" s="571"/>
      <c r="K274" s="1068"/>
      <c r="L274" s="1069">
        <f>$G274*$K$262*M$16</f>
        <v>24.96</v>
      </c>
      <c r="M274" s="1067"/>
      <c r="N274" s="1068"/>
      <c r="O274" s="1069">
        <f>$G274*N262*P$16</f>
        <v>25.958400000000005</v>
      </c>
      <c r="P274" s="1067"/>
      <c r="Q274" s="1068"/>
      <c r="R274" s="1069">
        <f>$G274*Q262*S$16</f>
        <v>13.498368000000001</v>
      </c>
      <c r="S274" s="1067"/>
      <c r="T274" s="1244"/>
      <c r="U274" s="571"/>
      <c r="V274" s="573"/>
    </row>
    <row r="275" spans="1:22">
      <c r="A275" s="1245" t="s">
        <v>788</v>
      </c>
      <c r="B275" s="622"/>
      <c r="C275" s="622"/>
      <c r="D275" s="1246"/>
      <c r="E275" s="1410"/>
      <c r="F275" s="1410"/>
      <c r="G275" s="1247"/>
      <c r="H275" s="1248"/>
      <c r="I275" s="1248"/>
      <c r="J275" s="1239"/>
      <c r="K275" s="1248"/>
      <c r="L275" s="1248"/>
      <c r="M275" s="1239"/>
      <c r="N275" s="1248"/>
      <c r="O275" s="1248"/>
      <c r="P275" s="1239"/>
      <c r="Q275" s="1248"/>
      <c r="R275" s="1248"/>
      <c r="S275" s="1239"/>
      <c r="T275" s="1249"/>
      <c r="U275" s="571"/>
      <c r="V275" s="573"/>
    </row>
    <row r="276" spans="1:22">
      <c r="A276" s="1269"/>
      <c r="B276" s="1270"/>
      <c r="C276" s="1270"/>
      <c r="D276" s="1239"/>
      <c r="E276" s="1248"/>
      <c r="F276" s="1248"/>
      <c r="G276" s="1253"/>
      <c r="H276" s="1253"/>
      <c r="I276" s="1253"/>
      <c r="J276" s="1069"/>
      <c r="K276" s="1253"/>
      <c r="L276" s="1253"/>
      <c r="M276" s="1069"/>
      <c r="N276" s="1253"/>
      <c r="O276" s="1253"/>
      <c r="P276" s="1069"/>
      <c r="Q276" s="1253"/>
      <c r="R276" s="1253"/>
      <c r="S276" s="1069"/>
      <c r="T276" s="1254"/>
      <c r="U276" s="571"/>
      <c r="V276" s="573"/>
    </row>
    <row r="277" spans="1:22">
      <c r="A277" s="1238" t="s">
        <v>784</v>
      </c>
      <c r="B277" s="1239"/>
      <c r="C277" s="1239"/>
      <c r="D277" s="1239"/>
      <c r="E277" s="1239"/>
      <c r="F277" s="1239"/>
      <c r="G277" s="1239"/>
      <c r="H277" s="1438">
        <v>1</v>
      </c>
      <c r="I277" s="1438"/>
      <c r="J277" s="1278">
        <f>SUM(I280:I283)</f>
        <v>870</v>
      </c>
      <c r="K277" s="1444">
        <v>5</v>
      </c>
      <c r="L277" s="1444"/>
      <c r="M277" s="1279">
        <f>SUM(L279:L283)</f>
        <v>4940</v>
      </c>
      <c r="N277" s="1444">
        <v>6</v>
      </c>
      <c r="O277" s="1444"/>
      <c r="P277" s="1279">
        <f>SUM(O279:O283)</f>
        <v>6165.1200000000008</v>
      </c>
      <c r="Q277" s="1445">
        <v>4</v>
      </c>
      <c r="R277" s="1445"/>
      <c r="S277" s="597">
        <f>SUM(R280:R283)</f>
        <v>3914.5267200000003</v>
      </c>
      <c r="T277" s="1066">
        <f>SUM(J277,M277,P277,S277,)</f>
        <v>15889.646720000001</v>
      </c>
      <c r="U277" s="571"/>
      <c r="V277" s="573"/>
    </row>
    <row r="278" spans="1:22">
      <c r="A278" s="599" t="s">
        <v>283</v>
      </c>
      <c r="B278" s="1239"/>
      <c r="C278" s="1239"/>
      <c r="D278" s="1239"/>
      <c r="E278" s="1239"/>
      <c r="F278" s="1239"/>
      <c r="G278" s="1239"/>
      <c r="H278" s="1285"/>
      <c r="I278" s="1284"/>
      <c r="J278" s="1284"/>
      <c r="K278" s="1285"/>
      <c r="L278" s="1280">
        <f t="shared" ref="L278:L283" si="12">$G278*$K$277*M$16</f>
        <v>0</v>
      </c>
      <c r="M278" s="1286"/>
      <c r="N278" s="1285"/>
      <c r="O278" s="1280">
        <f t="shared" ref="O278:O283" si="13">$G278*$N$277*P$16</f>
        <v>0</v>
      </c>
      <c r="P278" s="1286"/>
      <c r="Q278" s="1285"/>
      <c r="R278" s="1280">
        <f t="shared" ref="R278:R283" si="14">$G278*$Q$277*S$16</f>
        <v>0</v>
      </c>
      <c r="S278" s="1241"/>
      <c r="T278" s="1242"/>
      <c r="U278" s="571"/>
      <c r="V278" s="573"/>
    </row>
    <row r="279" spans="1:22">
      <c r="A279" s="1243" t="s">
        <v>791</v>
      </c>
      <c r="B279" s="1280">
        <v>20</v>
      </c>
      <c r="C279" s="1280" t="s">
        <v>248</v>
      </c>
      <c r="D279" s="1280">
        <f>parttransp</f>
        <v>4</v>
      </c>
      <c r="E279" s="1280" t="s">
        <v>249</v>
      </c>
      <c r="F279" s="1069">
        <v>1</v>
      </c>
      <c r="G279" s="1069">
        <f>B279*D279*F279</f>
        <v>80</v>
      </c>
      <c r="H279" s="1281"/>
      <c r="I279" s="1280">
        <f>$G279*H277*J$16</f>
        <v>80</v>
      </c>
      <c r="J279" s="571"/>
      <c r="K279" s="1281"/>
      <c r="L279" s="1280">
        <f t="shared" si="12"/>
        <v>416</v>
      </c>
      <c r="M279" s="1282"/>
      <c r="N279" s="1281"/>
      <c r="O279" s="1280">
        <f t="shared" si="13"/>
        <v>519.16800000000001</v>
      </c>
      <c r="P279" s="1282"/>
      <c r="Q279" s="1281"/>
      <c r="R279" s="1280">
        <f t="shared" si="14"/>
        <v>359.95648000000006</v>
      </c>
      <c r="S279" s="1067"/>
      <c r="T279" s="1244"/>
      <c r="U279" s="571"/>
      <c r="V279" s="573"/>
    </row>
    <row r="280" spans="1:22">
      <c r="A280" s="1243" t="s">
        <v>251</v>
      </c>
      <c r="B280" s="1280">
        <v>20</v>
      </c>
      <c r="C280" s="1280" t="s">
        <v>248</v>
      </c>
      <c r="D280" s="1280">
        <f>coffee+lunch</f>
        <v>16</v>
      </c>
      <c r="E280" s="1280" t="s">
        <v>249</v>
      </c>
      <c r="F280" s="1069">
        <v>1</v>
      </c>
      <c r="G280" s="1069">
        <f>B280*D280*F280</f>
        <v>320</v>
      </c>
      <c r="H280" s="1281"/>
      <c r="I280" s="1280">
        <f>$G280*H277*J$16</f>
        <v>320</v>
      </c>
      <c r="J280" s="571"/>
      <c r="K280" s="1281"/>
      <c r="L280" s="1280">
        <f t="shared" si="12"/>
        <v>1664</v>
      </c>
      <c r="M280" s="1282"/>
      <c r="N280" s="1281"/>
      <c r="O280" s="1280">
        <f t="shared" si="13"/>
        <v>2076.672</v>
      </c>
      <c r="P280" s="1282"/>
      <c r="Q280" s="1281"/>
      <c r="R280" s="1280">
        <f t="shared" si="14"/>
        <v>1439.8259200000002</v>
      </c>
      <c r="S280" s="1067"/>
      <c r="T280" s="1244"/>
      <c r="U280" s="571"/>
      <c r="V280" s="573"/>
    </row>
    <row r="281" spans="1:22" ht="30.6">
      <c r="A281" s="1243" t="s">
        <v>824</v>
      </c>
      <c r="B281" s="1280">
        <v>1</v>
      </c>
      <c r="C281" s="1280" t="s">
        <v>825</v>
      </c>
      <c r="D281" s="1280">
        <v>500</v>
      </c>
      <c r="E281" s="1280" t="str">
        <f>C281</f>
        <v>campaign</v>
      </c>
      <c r="F281" s="1069">
        <f>IF(B281=0,0,1)</f>
        <v>1</v>
      </c>
      <c r="G281" s="1069">
        <f>B281*D281*F281</f>
        <v>500</v>
      </c>
      <c r="H281" s="1281"/>
      <c r="I281" s="1280">
        <f>$G281*H277*J$16</f>
        <v>500</v>
      </c>
      <c r="J281" s="571"/>
      <c r="K281" s="1281"/>
      <c r="L281" s="1280">
        <f t="shared" si="12"/>
        <v>2600</v>
      </c>
      <c r="M281" s="1282"/>
      <c r="N281" s="1281"/>
      <c r="O281" s="1280">
        <f t="shared" si="13"/>
        <v>3244.8</v>
      </c>
      <c r="P281" s="1282"/>
      <c r="Q281" s="1281"/>
      <c r="R281" s="1280">
        <f t="shared" si="14"/>
        <v>2249.7280000000001</v>
      </c>
      <c r="S281" s="1067"/>
      <c r="T281" s="1244"/>
      <c r="U281" s="571"/>
      <c r="V281" s="573"/>
    </row>
    <row r="282" spans="1:22">
      <c r="A282" s="1243" t="s">
        <v>781</v>
      </c>
      <c r="B282" s="1280">
        <v>1</v>
      </c>
      <c r="C282" s="1280" t="s">
        <v>277</v>
      </c>
      <c r="D282" s="1280">
        <f>print</f>
        <v>50</v>
      </c>
      <c r="E282" s="1280" t="str">
        <f>C282</f>
        <v>activity</v>
      </c>
      <c r="F282" s="1069">
        <f>IF(B282=0,0,1)</f>
        <v>1</v>
      </c>
      <c r="G282" s="1069">
        <f>B282*D282*F282</f>
        <v>50</v>
      </c>
      <c r="H282" s="1281"/>
      <c r="I282" s="1280">
        <f>$G282*H277*J$16</f>
        <v>50</v>
      </c>
      <c r="J282" s="571"/>
      <c r="K282" s="1281"/>
      <c r="L282" s="1280">
        <f t="shared" si="12"/>
        <v>260</v>
      </c>
      <c r="M282" s="1282"/>
      <c r="N282" s="1281"/>
      <c r="O282" s="1280">
        <f t="shared" si="13"/>
        <v>324.48</v>
      </c>
      <c r="P282" s="1282"/>
      <c r="Q282" s="1281"/>
      <c r="R282" s="1280">
        <f t="shared" si="14"/>
        <v>224.97280000000001</v>
      </c>
      <c r="S282" s="1067"/>
      <c r="T282" s="1244"/>
      <c r="U282" s="571"/>
      <c r="V282" s="573"/>
    </row>
    <row r="283" spans="1:22">
      <c r="A283" s="605"/>
      <c r="B283" s="1280"/>
      <c r="C283" s="1280"/>
      <c r="D283" s="1280"/>
      <c r="E283" s="1280"/>
      <c r="F283" s="1069"/>
      <c r="G283" s="1069"/>
      <c r="H283" s="1068"/>
      <c r="I283" s="1069"/>
      <c r="J283" s="571"/>
      <c r="K283" s="1068"/>
      <c r="L283" s="1069">
        <f t="shared" si="12"/>
        <v>0</v>
      </c>
      <c r="M283" s="1067"/>
      <c r="N283" s="1068"/>
      <c r="O283" s="1069">
        <f t="shared" si="13"/>
        <v>0</v>
      </c>
      <c r="P283" s="1067"/>
      <c r="Q283" s="1068"/>
      <c r="R283" s="1069">
        <f t="shared" si="14"/>
        <v>0</v>
      </c>
      <c r="S283" s="1067"/>
      <c r="T283" s="1244"/>
      <c r="U283" s="571"/>
      <c r="V283" s="573"/>
    </row>
    <row r="284" spans="1:22">
      <c r="A284" s="613" t="s">
        <v>260</v>
      </c>
      <c r="B284" s="1280"/>
      <c r="C284" s="1280"/>
      <c r="D284" s="1280"/>
      <c r="E284" s="1280"/>
      <c r="F284" s="1069"/>
      <c r="G284" s="1069"/>
      <c r="H284" s="1068"/>
      <c r="I284" s="1069"/>
      <c r="J284" s="571"/>
      <c r="K284" s="1068"/>
      <c r="L284" s="1069"/>
      <c r="M284" s="1067"/>
      <c r="N284" s="1068"/>
      <c r="O284" s="1069"/>
      <c r="P284" s="1067"/>
      <c r="Q284" s="1068"/>
      <c r="R284" s="1069"/>
      <c r="S284" s="1067"/>
      <c r="T284" s="1244"/>
      <c r="U284" s="571"/>
      <c r="V284" s="573"/>
    </row>
    <row r="285" spans="1:22">
      <c r="A285" s="605" t="s">
        <v>261</v>
      </c>
      <c r="B285" s="1280">
        <v>1</v>
      </c>
      <c r="C285" s="1280" t="s">
        <v>248</v>
      </c>
      <c r="D285" s="1280">
        <f>partground</f>
        <v>9</v>
      </c>
      <c r="E285" s="1280" t="s">
        <v>262</v>
      </c>
      <c r="F285" s="1069">
        <v>2</v>
      </c>
      <c r="G285" s="1069">
        <f>B285*D285*F285</f>
        <v>18</v>
      </c>
      <c r="H285" s="1068"/>
      <c r="I285" s="1069">
        <f>$G285*H$277*$J$16</f>
        <v>18</v>
      </c>
      <c r="J285" s="571"/>
      <c r="K285" s="1068"/>
      <c r="L285" s="1069">
        <f>$G285*$K$277*M$16</f>
        <v>93.600000000000009</v>
      </c>
      <c r="M285" s="1067"/>
      <c r="N285" s="1068"/>
      <c r="O285" s="1069">
        <f>$G285*$N$277*P$16</f>
        <v>116.81280000000001</v>
      </c>
      <c r="P285" s="1067"/>
      <c r="Q285" s="1068"/>
      <c r="R285" s="1069">
        <f>$G285*$Q$277*S$16</f>
        <v>80.99020800000001</v>
      </c>
      <c r="S285" s="1067"/>
      <c r="T285" s="1244"/>
      <c r="U285" s="571"/>
      <c r="V285" s="573"/>
    </row>
    <row r="286" spans="1:22">
      <c r="A286" s="1243" t="s">
        <v>263</v>
      </c>
      <c r="B286" s="1280">
        <v>1</v>
      </c>
      <c r="C286" s="1280" t="s">
        <v>248</v>
      </c>
      <c r="D286" s="1280">
        <f>+[1]Assumptions!D101</f>
        <v>25</v>
      </c>
      <c r="E286" s="1280" t="s">
        <v>249</v>
      </c>
      <c r="F286" s="1069">
        <v>2</v>
      </c>
      <c r="G286" s="1069">
        <f>B286*D286*F286</f>
        <v>50</v>
      </c>
      <c r="H286" s="1068"/>
      <c r="I286" s="1069">
        <f>$G286*H$277*$J$16</f>
        <v>50</v>
      </c>
      <c r="J286" s="571"/>
      <c r="K286" s="1068"/>
      <c r="L286" s="1069">
        <f>$G286*$K$277*M$16</f>
        <v>260</v>
      </c>
      <c r="M286" s="1067"/>
      <c r="N286" s="1068"/>
      <c r="O286" s="1069">
        <f>$G286*$N$277*P$16</f>
        <v>324.48</v>
      </c>
      <c r="P286" s="1067"/>
      <c r="Q286" s="1068"/>
      <c r="R286" s="1069">
        <f>$G286*$Q$277*S$16</f>
        <v>224.97280000000001</v>
      </c>
      <c r="S286" s="1067"/>
      <c r="T286" s="1244"/>
      <c r="U286" s="571"/>
      <c r="V286" s="573"/>
    </row>
    <row r="287" spans="1:22">
      <c r="A287" s="605" t="s">
        <v>264</v>
      </c>
      <c r="B287" s="1280">
        <v>1</v>
      </c>
      <c r="C287" s="1280" t="s">
        <v>248</v>
      </c>
      <c r="D287" s="1280">
        <f>+[1]Assumptions!D103</f>
        <v>90</v>
      </c>
      <c r="E287" s="1280" t="s">
        <v>249</v>
      </c>
      <c r="F287" s="1069">
        <v>1</v>
      </c>
      <c r="G287" s="1069">
        <f>B287*D287*F287</f>
        <v>90</v>
      </c>
      <c r="H287" s="1068"/>
      <c r="I287" s="1069">
        <f>$G287*H$277*$J$16</f>
        <v>90</v>
      </c>
      <c r="J287" s="571"/>
      <c r="K287" s="1068"/>
      <c r="L287" s="1069">
        <f>$G287*$K$277*M$16</f>
        <v>468</v>
      </c>
      <c r="M287" s="1067"/>
      <c r="N287" s="1068"/>
      <c r="O287" s="1069">
        <f>$G287*$N$277*P$16</f>
        <v>584.06400000000008</v>
      </c>
      <c r="P287" s="1067"/>
      <c r="Q287" s="1068"/>
      <c r="R287" s="1069">
        <f>$G287*$Q$277*S$16</f>
        <v>404.95104000000003</v>
      </c>
      <c r="S287" s="1067"/>
      <c r="T287" s="1244"/>
      <c r="U287" s="571"/>
      <c r="V287" s="573"/>
    </row>
    <row r="288" spans="1:22">
      <c r="A288" s="1243" t="s">
        <v>787</v>
      </c>
      <c r="B288" s="1280">
        <v>3</v>
      </c>
      <c r="C288" s="1280" t="s">
        <v>248</v>
      </c>
      <c r="D288" s="1280">
        <f>partmeals</f>
        <v>47</v>
      </c>
      <c r="E288" s="1280" t="s">
        <v>249</v>
      </c>
      <c r="F288" s="1069">
        <v>2</v>
      </c>
      <c r="G288" s="1069">
        <f>B288*D288*F288</f>
        <v>282</v>
      </c>
      <c r="H288" s="1068"/>
      <c r="I288" s="1069">
        <f>$G288*H$277*$J$16</f>
        <v>282</v>
      </c>
      <c r="J288" s="571"/>
      <c r="K288" s="1068"/>
      <c r="L288" s="1069">
        <f>$G288*$K$277*M$16</f>
        <v>1466.4</v>
      </c>
      <c r="M288" s="1067"/>
      <c r="N288" s="1068"/>
      <c r="O288" s="1069">
        <f>$G288*$N$277*P$16</f>
        <v>1830.0672000000002</v>
      </c>
      <c r="P288" s="1067"/>
      <c r="Q288" s="1068"/>
      <c r="R288" s="1069">
        <f>$G288*$Q$277*S$16</f>
        <v>1268.8465920000001</v>
      </c>
      <c r="S288" s="1067"/>
      <c r="T288" s="1244"/>
      <c r="U288" s="571"/>
      <c r="V288" s="573"/>
    </row>
    <row r="289" spans="1:22">
      <c r="A289" s="1243" t="s">
        <v>807</v>
      </c>
      <c r="B289" s="1280">
        <v>1</v>
      </c>
      <c r="C289" s="1280" t="s">
        <v>248</v>
      </c>
      <c r="D289" s="1280">
        <f>partairfare</f>
        <v>200</v>
      </c>
      <c r="E289" s="1280" t="s">
        <v>262</v>
      </c>
      <c r="F289" s="1069">
        <v>1</v>
      </c>
      <c r="G289" s="1069">
        <f>B289*D289*F289</f>
        <v>200</v>
      </c>
      <c r="H289" s="1068"/>
      <c r="I289" s="1069">
        <f>$G289*H$277*$J$16</f>
        <v>200</v>
      </c>
      <c r="J289" s="571"/>
      <c r="K289" s="1068"/>
      <c r="L289" s="1069">
        <f>$G289*$K$277*M$16</f>
        <v>1040</v>
      </c>
      <c r="M289" s="1067"/>
      <c r="N289" s="1068"/>
      <c r="O289" s="1069">
        <f>$G289*$N$277*P$16</f>
        <v>1297.92</v>
      </c>
      <c r="P289" s="1067"/>
      <c r="Q289" s="1068"/>
      <c r="R289" s="1069">
        <f>$G289*$Q$277*S$16</f>
        <v>899.89120000000003</v>
      </c>
      <c r="S289" s="1067"/>
      <c r="T289" s="1244"/>
      <c r="U289" s="571"/>
      <c r="V289" s="573"/>
    </row>
    <row r="290" spans="1:22">
      <c r="A290" s="1245" t="s">
        <v>269</v>
      </c>
      <c r="B290" s="622"/>
      <c r="C290" s="622"/>
      <c r="D290" s="1246"/>
      <c r="E290" s="1410"/>
      <c r="F290" s="1410"/>
      <c r="G290" s="1247"/>
      <c r="H290" s="1248"/>
      <c r="I290" s="1248"/>
      <c r="J290" s="1239">
        <f>J277+J262</f>
        <v>1620</v>
      </c>
      <c r="K290" s="1248"/>
      <c r="L290" s="1248"/>
      <c r="M290" s="1239">
        <f>M277+M262</f>
        <v>9620</v>
      </c>
      <c r="N290" s="1248"/>
      <c r="O290" s="1248"/>
      <c r="P290" s="1239">
        <f>P277+P262</f>
        <v>11032.320000000002</v>
      </c>
      <c r="Q290" s="1248"/>
      <c r="R290" s="1248"/>
      <c r="S290" s="1239">
        <f>S277+S262</f>
        <v>7835.8026240000017</v>
      </c>
      <c r="T290" s="1249">
        <f>T277+T262</f>
        <v>30108.122624000003</v>
      </c>
      <c r="U290" s="571"/>
      <c r="V290" s="573"/>
    </row>
    <row r="291" spans="1:22">
      <c r="A291" s="1269"/>
      <c r="B291" s="1270"/>
      <c r="C291" s="1270"/>
      <c r="D291" s="1239"/>
      <c r="E291" s="1248"/>
      <c r="F291" s="1248"/>
      <c r="G291" s="1253"/>
      <c r="H291" s="1253"/>
      <c r="I291" s="1253"/>
      <c r="J291" s="1069"/>
      <c r="K291" s="1253"/>
      <c r="L291" s="1253"/>
      <c r="M291" s="1069"/>
      <c r="N291" s="1253"/>
      <c r="O291" s="1253"/>
      <c r="P291" s="1069"/>
      <c r="Q291" s="1253"/>
      <c r="R291" s="1253"/>
      <c r="S291" s="1069"/>
      <c r="T291" s="1254"/>
      <c r="U291" s="571"/>
      <c r="V291" s="573"/>
    </row>
    <row r="292" spans="1:22" s="1201" customFormat="1">
      <c r="A292" s="1449" t="s">
        <v>835</v>
      </c>
      <c r="B292" s="1449"/>
      <c r="C292" s="1449"/>
      <c r="D292" s="1449"/>
      <c r="E292" s="1449"/>
      <c r="F292" s="1292">
        <v>1</v>
      </c>
      <c r="G292" s="1292"/>
      <c r="H292" s="1450">
        <v>0</v>
      </c>
      <c r="I292" s="1450"/>
      <c r="J292" s="1293">
        <f>SUM(I295:I297)</f>
        <v>0</v>
      </c>
      <c r="K292" s="1451">
        <v>4</v>
      </c>
      <c r="L292" s="1451"/>
      <c r="M292" s="1294">
        <f>SUM(L295:L297)</f>
        <v>3120</v>
      </c>
      <c r="N292" s="1451">
        <v>4</v>
      </c>
      <c r="O292" s="1451"/>
      <c r="P292" s="1294">
        <f>SUM(O295:O297)</f>
        <v>3244.8</v>
      </c>
      <c r="Q292" s="1452">
        <v>3</v>
      </c>
      <c r="R292" s="1452"/>
      <c r="S292" s="1271">
        <f>SUM(R295:R297)</f>
        <v>2530.9440000000004</v>
      </c>
      <c r="T292" s="1272">
        <f>SUM(J292,M292,P292,S292,)</f>
        <v>8895.7440000000006</v>
      </c>
      <c r="U292" s="1273"/>
      <c r="V292" s="1274"/>
    </row>
    <row r="293" spans="1:22">
      <c r="A293" s="1250" t="s">
        <v>777</v>
      </c>
      <c r="B293" s="1239"/>
      <c r="C293" s="1239"/>
      <c r="D293" s="1239"/>
      <c r="E293" s="1239"/>
      <c r="F293" s="1284"/>
      <c r="G293" s="1284"/>
      <c r="H293" s="1285"/>
      <c r="I293" s="1284"/>
      <c r="J293" s="1284"/>
      <c r="K293" s="1285"/>
      <c r="L293" s="1284"/>
      <c r="M293" s="1286"/>
      <c r="N293" s="1285"/>
      <c r="O293" s="1284"/>
      <c r="P293" s="1286"/>
      <c r="Q293" s="1285"/>
      <c r="R293" s="1284"/>
      <c r="S293" s="1241"/>
      <c r="T293" s="1242"/>
      <c r="U293" s="571"/>
      <c r="V293" s="573"/>
    </row>
    <row r="294" spans="1:22">
      <c r="A294" s="599" t="s">
        <v>836</v>
      </c>
      <c r="B294" s="1239"/>
      <c r="C294" s="1239"/>
      <c r="D294" s="1239"/>
      <c r="E294" s="1239"/>
      <c r="F294" s="1284"/>
      <c r="G294" s="1284"/>
      <c r="H294" s="1285"/>
      <c r="I294" s="1284"/>
      <c r="J294" s="1284"/>
      <c r="K294" s="1285"/>
      <c r="L294" s="1284"/>
      <c r="M294" s="1286"/>
      <c r="N294" s="1285"/>
      <c r="O294" s="1284"/>
      <c r="P294" s="1286"/>
      <c r="Q294" s="1285"/>
      <c r="R294" s="1284"/>
      <c r="S294" s="1241"/>
      <c r="T294" s="1242"/>
      <c r="U294" s="571"/>
      <c r="V294" s="573"/>
    </row>
    <row r="295" spans="1:22">
      <c r="A295" s="1243" t="s">
        <v>247</v>
      </c>
      <c r="B295" s="1280">
        <v>35</v>
      </c>
      <c r="C295" s="1280" t="s">
        <v>248</v>
      </c>
      <c r="D295" s="1280">
        <f>parttransp</f>
        <v>4</v>
      </c>
      <c r="E295" s="1280" t="s">
        <v>249</v>
      </c>
      <c r="F295" s="1280">
        <v>1</v>
      </c>
      <c r="G295" s="1280">
        <f>B295*D295*F295</f>
        <v>140</v>
      </c>
      <c r="H295" s="1281"/>
      <c r="I295" s="1280">
        <f>$G295*H292*J$16</f>
        <v>0</v>
      </c>
      <c r="J295" s="571"/>
      <c r="K295" s="1281"/>
      <c r="L295" s="1280">
        <f>$G295*K292*M$16</f>
        <v>582.4</v>
      </c>
      <c r="M295" s="1282"/>
      <c r="N295" s="1281"/>
      <c r="O295" s="1280">
        <f>$G295*N292*P$16</f>
        <v>605.69600000000003</v>
      </c>
      <c r="P295" s="1282"/>
      <c r="Q295" s="1281"/>
      <c r="R295" s="1280">
        <f>$G295*Q292*S$16</f>
        <v>472.44288000000006</v>
      </c>
      <c r="S295" s="1067"/>
      <c r="T295" s="1244"/>
      <c r="U295" s="571"/>
      <c r="V295" s="573"/>
    </row>
    <row r="296" spans="1:22">
      <c r="A296" s="1243" t="s">
        <v>251</v>
      </c>
      <c r="B296" s="1280">
        <v>35</v>
      </c>
      <c r="C296" s="1280" t="s">
        <v>248</v>
      </c>
      <c r="D296" s="1280">
        <f>coffee+lunch</f>
        <v>16</v>
      </c>
      <c r="E296" s="1280" t="s">
        <v>249</v>
      </c>
      <c r="F296" s="1280">
        <v>1</v>
      </c>
      <c r="G296" s="1280">
        <f>B296*D296*F296</f>
        <v>560</v>
      </c>
      <c r="H296" s="1281"/>
      <c r="I296" s="1280">
        <f>$G296*H292*J$16</f>
        <v>0</v>
      </c>
      <c r="J296" s="571"/>
      <c r="K296" s="1281"/>
      <c r="L296" s="1280">
        <f>$G296*K292*M$16</f>
        <v>2329.6</v>
      </c>
      <c r="M296" s="1282"/>
      <c r="N296" s="1281"/>
      <c r="O296" s="1280">
        <f>$G296*N292*P$16</f>
        <v>2422.7840000000001</v>
      </c>
      <c r="P296" s="1282"/>
      <c r="Q296" s="1281"/>
      <c r="R296" s="1280">
        <f>$G296*Q292*S$16</f>
        <v>1889.7715200000002</v>
      </c>
      <c r="S296" s="1067"/>
      <c r="T296" s="1244"/>
      <c r="U296" s="571"/>
      <c r="V296" s="573"/>
    </row>
    <row r="297" spans="1:22">
      <c r="A297" s="1243" t="s">
        <v>276</v>
      </c>
      <c r="B297" s="1280">
        <v>1</v>
      </c>
      <c r="C297" s="1280" t="s">
        <v>277</v>
      </c>
      <c r="D297" s="1280">
        <f>print</f>
        <v>50</v>
      </c>
      <c r="E297" s="1280" t="str">
        <f>C297</f>
        <v>activity</v>
      </c>
      <c r="F297" s="1280">
        <f>IF(B297=0,0,1)</f>
        <v>1</v>
      </c>
      <c r="G297" s="1069">
        <f>B297*D297*F297</f>
        <v>50</v>
      </c>
      <c r="H297" s="1068"/>
      <c r="I297" s="1069">
        <f>$G297*H292*J$16</f>
        <v>0</v>
      </c>
      <c r="J297" s="571"/>
      <c r="K297" s="1068"/>
      <c r="L297" s="1069">
        <f>$G297*K292*M$16</f>
        <v>208</v>
      </c>
      <c r="M297" s="1067"/>
      <c r="N297" s="1068"/>
      <c r="O297" s="1069">
        <f>$G297*N292*P$16</f>
        <v>216.32000000000002</v>
      </c>
      <c r="P297" s="1067"/>
      <c r="Q297" s="1068"/>
      <c r="R297" s="1069">
        <f>$G297*Q292*S$16</f>
        <v>168.7296</v>
      </c>
      <c r="S297" s="1067"/>
      <c r="T297" s="1244"/>
      <c r="U297" s="571"/>
      <c r="V297" s="573"/>
    </row>
    <row r="298" spans="1:22">
      <c r="A298" s="613" t="s">
        <v>806</v>
      </c>
      <c r="B298" s="1280"/>
      <c r="C298" s="1280"/>
      <c r="D298" s="1280"/>
      <c r="E298" s="1280"/>
      <c r="F298" s="1280"/>
      <c r="G298" s="1069"/>
      <c r="H298" s="1068"/>
      <c r="I298" s="1069"/>
      <c r="J298" s="571"/>
      <c r="K298" s="1068"/>
      <c r="L298" s="1069"/>
      <c r="M298" s="1067"/>
      <c r="N298" s="1068"/>
      <c r="O298" s="1069"/>
      <c r="P298" s="1067"/>
      <c r="Q298" s="1068"/>
      <c r="R298" s="1069"/>
      <c r="S298" s="1067"/>
      <c r="T298" s="1244"/>
      <c r="U298" s="571"/>
      <c r="V298" s="573"/>
    </row>
    <row r="299" spans="1:22">
      <c r="A299" s="605" t="s">
        <v>837</v>
      </c>
      <c r="B299" s="1280">
        <v>3</v>
      </c>
      <c r="C299" s="1280" t="s">
        <v>248</v>
      </c>
      <c r="D299" s="1280">
        <f>partground</f>
        <v>9</v>
      </c>
      <c r="E299" s="1280" t="s">
        <v>262</v>
      </c>
      <c r="F299" s="1280">
        <f>IF(B299=0,0,1)</f>
        <v>1</v>
      </c>
      <c r="G299" s="1069">
        <f>B299*D299*F299</f>
        <v>27</v>
      </c>
      <c r="H299" s="1068"/>
      <c r="I299" s="1069">
        <f>$G299*H291*J$16</f>
        <v>0</v>
      </c>
      <c r="J299" s="571"/>
      <c r="K299" s="1068"/>
      <c r="L299" s="1069">
        <f>$G299*$K$292*M$16</f>
        <v>112.32000000000001</v>
      </c>
      <c r="M299" s="1067"/>
      <c r="N299" s="1068"/>
      <c r="O299" s="1069">
        <f>$G299*$N$292*P$16</f>
        <v>116.81280000000001</v>
      </c>
      <c r="P299" s="1067"/>
      <c r="Q299" s="1068"/>
      <c r="R299" s="1069">
        <f>$G299*Q292*S$16</f>
        <v>91.113984000000002</v>
      </c>
      <c r="S299" s="1067"/>
      <c r="T299" s="1244"/>
      <c r="U299" s="571"/>
      <c r="V299" s="573"/>
    </row>
    <row r="300" spans="1:22">
      <c r="A300" s="1243" t="s">
        <v>811</v>
      </c>
      <c r="B300" s="1280">
        <v>3</v>
      </c>
      <c r="C300" s="1280" t="s">
        <v>248</v>
      </c>
      <c r="D300" s="1280">
        <f>partground</f>
        <v>9</v>
      </c>
      <c r="E300" s="1280" t="s">
        <v>249</v>
      </c>
      <c r="F300" s="1280">
        <f>IF(B300=0,0,1)</f>
        <v>1</v>
      </c>
      <c r="G300" s="1069">
        <f>B300*D300*F300</f>
        <v>27</v>
      </c>
      <c r="H300" s="1068"/>
      <c r="I300" s="1069">
        <f>$G300*H291*J$16</f>
        <v>0</v>
      </c>
      <c r="J300" s="571"/>
      <c r="K300" s="1068"/>
      <c r="L300" s="1069">
        <f>$G300*$K$292*M$16</f>
        <v>112.32000000000001</v>
      </c>
      <c r="M300" s="1067"/>
      <c r="N300" s="1068"/>
      <c r="O300" s="1069">
        <f>$G300*$N$292*P$16</f>
        <v>116.81280000000001</v>
      </c>
      <c r="P300" s="1067"/>
      <c r="Q300" s="1068"/>
      <c r="R300" s="1069">
        <f>$G300*Q292*S$16</f>
        <v>91.113984000000002</v>
      </c>
      <c r="S300" s="1067"/>
      <c r="T300" s="1244"/>
      <c r="U300" s="571"/>
      <c r="V300" s="573"/>
    </row>
    <row r="301" spans="1:22">
      <c r="A301" s="605" t="s">
        <v>264</v>
      </c>
      <c r="B301" s="1280">
        <v>1</v>
      </c>
      <c r="C301" s="1280" t="s">
        <v>248</v>
      </c>
      <c r="D301" s="1280">
        <f>partlodg</f>
        <v>35</v>
      </c>
      <c r="E301" s="1280" t="s">
        <v>249</v>
      </c>
      <c r="F301" s="1280">
        <v>1</v>
      </c>
      <c r="G301" s="1069">
        <f>B301*D301*F301</f>
        <v>35</v>
      </c>
      <c r="H301" s="1068"/>
      <c r="I301" s="1069">
        <f>$G301*H291*J$16</f>
        <v>0</v>
      </c>
      <c r="J301" s="571"/>
      <c r="K301" s="1068"/>
      <c r="L301" s="1069">
        <f>$G301*$K$292*M$16</f>
        <v>145.6</v>
      </c>
      <c r="M301" s="1067"/>
      <c r="N301" s="1068"/>
      <c r="O301" s="1069">
        <f>$G301*$N$292*P$16</f>
        <v>151.42400000000001</v>
      </c>
      <c r="P301" s="1067"/>
      <c r="Q301" s="1068"/>
      <c r="R301" s="1069">
        <f>$G301*Q292*S$16</f>
        <v>118.11072000000001</v>
      </c>
      <c r="S301" s="1067"/>
      <c r="T301" s="1244"/>
      <c r="U301" s="571"/>
      <c r="V301" s="573"/>
    </row>
    <row r="302" spans="1:22">
      <c r="A302" s="1243" t="s">
        <v>787</v>
      </c>
      <c r="B302" s="1280">
        <v>3</v>
      </c>
      <c r="C302" s="1280" t="s">
        <v>248</v>
      </c>
      <c r="D302" s="1280">
        <f>partmeals</f>
        <v>47</v>
      </c>
      <c r="E302" s="1280" t="s">
        <v>249</v>
      </c>
      <c r="F302" s="1280">
        <v>1</v>
      </c>
      <c r="G302" s="1069">
        <f>B302*D302*F302</f>
        <v>141</v>
      </c>
      <c r="H302" s="1068"/>
      <c r="I302" s="1069">
        <f>$G302*H291*J$16</f>
        <v>0</v>
      </c>
      <c r="J302" s="571"/>
      <c r="K302" s="1068"/>
      <c r="L302" s="1069">
        <f>$G302*$K$292*M$16</f>
        <v>586.56000000000006</v>
      </c>
      <c r="M302" s="1067"/>
      <c r="N302" s="1068"/>
      <c r="O302" s="1069">
        <f>$G302*$N$292*P$16</f>
        <v>610.02240000000006</v>
      </c>
      <c r="P302" s="1067"/>
      <c r="Q302" s="1068"/>
      <c r="R302" s="1069">
        <f>$G302*Q292*S$16</f>
        <v>475.81747200000001</v>
      </c>
      <c r="S302" s="1067"/>
      <c r="T302" s="1244"/>
      <c r="U302" s="571"/>
      <c r="V302" s="573"/>
    </row>
    <row r="303" spans="1:22">
      <c r="A303" s="1243" t="s">
        <v>798</v>
      </c>
      <c r="B303" s="1280">
        <v>3</v>
      </c>
      <c r="C303" s="1280" t="s">
        <v>248</v>
      </c>
      <c r="D303" s="1280">
        <f>parttransp</f>
        <v>4</v>
      </c>
      <c r="E303" s="1280" t="s">
        <v>262</v>
      </c>
      <c r="F303" s="1280">
        <v>1</v>
      </c>
      <c r="G303" s="1069">
        <f>B303*D303*F303</f>
        <v>12</v>
      </c>
      <c r="H303" s="1068"/>
      <c r="I303" s="1069">
        <f>$G303*H291*J$16</f>
        <v>0</v>
      </c>
      <c r="J303" s="571"/>
      <c r="K303" s="1068"/>
      <c r="L303" s="1069">
        <f>$G303*$K$292*M$16</f>
        <v>49.92</v>
      </c>
      <c r="M303" s="1067"/>
      <c r="N303" s="1068"/>
      <c r="O303" s="1069">
        <f>$G303*$N$292*P$16</f>
        <v>51.916800000000009</v>
      </c>
      <c r="P303" s="1067"/>
      <c r="Q303" s="1068"/>
      <c r="R303" s="1069">
        <f>$G303*Q292*S$16</f>
        <v>40.495104000000005</v>
      </c>
      <c r="S303" s="1067"/>
      <c r="T303" s="1244"/>
      <c r="U303" s="571"/>
      <c r="V303" s="573"/>
    </row>
    <row r="304" spans="1:22">
      <c r="A304" s="1245" t="s">
        <v>788</v>
      </c>
      <c r="B304" s="622"/>
      <c r="C304" s="622"/>
      <c r="D304" s="1246"/>
      <c r="E304" s="1410"/>
      <c r="F304" s="1411"/>
      <c r="G304" s="1247"/>
      <c r="H304" s="1248"/>
      <c r="I304" s="1248"/>
      <c r="J304" s="1239"/>
      <c r="K304" s="1248"/>
      <c r="L304" s="1248"/>
      <c r="M304" s="1239"/>
      <c r="N304" s="1248"/>
      <c r="O304" s="1248"/>
      <c r="P304" s="1239"/>
      <c r="Q304" s="1248"/>
      <c r="R304" s="1248"/>
      <c r="S304" s="1239"/>
      <c r="T304" s="1249"/>
      <c r="U304" s="571"/>
      <c r="V304" s="573"/>
    </row>
    <row r="305" spans="1:22">
      <c r="A305" s="1269"/>
      <c r="B305" s="1270"/>
      <c r="C305" s="1270"/>
      <c r="D305" s="1239"/>
      <c r="E305" s="1248"/>
      <c r="F305" s="1248"/>
      <c r="G305" s="1253"/>
      <c r="H305" s="1253"/>
      <c r="I305" s="1253"/>
      <c r="J305" s="1069"/>
      <c r="K305" s="1253"/>
      <c r="L305" s="1253"/>
      <c r="M305" s="1069"/>
      <c r="N305" s="1253"/>
      <c r="O305" s="1253"/>
      <c r="P305" s="1069"/>
      <c r="Q305" s="1253"/>
      <c r="R305" s="1253"/>
      <c r="S305" s="1069"/>
      <c r="T305" s="1254"/>
      <c r="U305" s="571"/>
      <c r="V305" s="573"/>
    </row>
    <row r="306" spans="1:22">
      <c r="A306" s="1238" t="s">
        <v>784</v>
      </c>
      <c r="B306" s="1239"/>
      <c r="C306" s="1239"/>
      <c r="D306" s="1239"/>
      <c r="E306" s="1239"/>
      <c r="F306" s="1239"/>
      <c r="G306" s="1239"/>
      <c r="H306" s="1438"/>
      <c r="I306" s="1438"/>
      <c r="J306" s="1278">
        <f>SUM(I309:I310)</f>
        <v>0</v>
      </c>
      <c r="K306" s="1444">
        <v>3</v>
      </c>
      <c r="L306" s="1444"/>
      <c r="M306" s="1279">
        <f>SUM(L308:L310)</f>
        <v>2340</v>
      </c>
      <c r="N306" s="1444">
        <v>3</v>
      </c>
      <c r="O306" s="1444"/>
      <c r="P306" s="1279">
        <f>SUM(O308:O310)</f>
        <v>2433.6000000000004</v>
      </c>
      <c r="Q306" s="1445">
        <v>3</v>
      </c>
      <c r="R306" s="1445"/>
      <c r="S306" s="597">
        <f>SUM(R308:R310)</f>
        <v>2530.9440000000004</v>
      </c>
      <c r="T306" s="1066">
        <f>SUM(J306,M306,P306,S306,)</f>
        <v>7304.5440000000008</v>
      </c>
      <c r="U306" s="571"/>
      <c r="V306" s="573"/>
    </row>
    <row r="307" spans="1:22">
      <c r="A307" s="599" t="s">
        <v>283</v>
      </c>
      <c r="B307" s="1239"/>
      <c r="C307" s="1239"/>
      <c r="D307" s="1239"/>
      <c r="E307" s="1239"/>
      <c r="F307" s="1239"/>
      <c r="G307" s="1239"/>
      <c r="H307" s="1240"/>
      <c r="I307" s="1239"/>
      <c r="J307" s="1239"/>
      <c r="K307" s="1240"/>
      <c r="L307" s="1069">
        <f t="shared" ref="L307:L316" si="15">$G307*$K$306*M$16</f>
        <v>0</v>
      </c>
      <c r="M307" s="1241"/>
      <c r="N307" s="1240"/>
      <c r="O307" s="1069">
        <f t="shared" ref="O307:O316" si="16">$G307*$N$306*P$16</f>
        <v>0</v>
      </c>
      <c r="P307" s="1241"/>
      <c r="Q307" s="1240"/>
      <c r="R307" s="1069">
        <f t="shared" ref="R307:R316" si="17">$G307*$Q$306*S$16</f>
        <v>0</v>
      </c>
      <c r="S307" s="1241"/>
      <c r="T307" s="1242"/>
      <c r="U307" s="571"/>
      <c r="V307" s="573"/>
    </row>
    <row r="308" spans="1:22">
      <c r="A308" s="1243" t="s">
        <v>838</v>
      </c>
      <c r="B308" s="1280">
        <v>35</v>
      </c>
      <c r="C308" s="1280" t="s">
        <v>248</v>
      </c>
      <c r="D308" s="1280">
        <f>parttransp</f>
        <v>4</v>
      </c>
      <c r="E308" s="1280" t="s">
        <v>249</v>
      </c>
      <c r="F308" s="1069">
        <v>1</v>
      </c>
      <c r="G308" s="1069">
        <f t="shared" ref="G308:G316" si="18">B308*D308*F308</f>
        <v>140</v>
      </c>
      <c r="H308" s="1068"/>
      <c r="I308" s="1069">
        <f>$G308*H304*J$16</f>
        <v>0</v>
      </c>
      <c r="J308" s="571"/>
      <c r="K308" s="1068"/>
      <c r="L308" s="1069">
        <f t="shared" si="15"/>
        <v>436.8</v>
      </c>
      <c r="M308" s="1067"/>
      <c r="N308" s="1068"/>
      <c r="O308" s="1069">
        <f t="shared" si="16"/>
        <v>454.27200000000005</v>
      </c>
      <c r="P308" s="1067"/>
      <c r="Q308" s="1068"/>
      <c r="R308" s="1069">
        <f t="shared" si="17"/>
        <v>472.44288000000006</v>
      </c>
      <c r="S308" s="1067"/>
      <c r="T308" s="1244"/>
      <c r="U308" s="571"/>
      <c r="V308" s="573"/>
    </row>
    <row r="309" spans="1:22">
      <c r="A309" s="1243" t="s">
        <v>780</v>
      </c>
      <c r="B309" s="1280">
        <v>35</v>
      </c>
      <c r="C309" s="1280" t="s">
        <v>248</v>
      </c>
      <c r="D309" s="1280">
        <f>coffee+lunch</f>
        <v>16</v>
      </c>
      <c r="E309" s="1280" t="s">
        <v>249</v>
      </c>
      <c r="F309" s="1069">
        <v>1</v>
      </c>
      <c r="G309" s="1069">
        <f t="shared" si="18"/>
        <v>560</v>
      </c>
      <c r="H309" s="1068"/>
      <c r="I309" s="1069">
        <f>$G309*H304*J$16</f>
        <v>0</v>
      </c>
      <c r="J309" s="571"/>
      <c r="K309" s="1068"/>
      <c r="L309" s="1069">
        <f t="shared" si="15"/>
        <v>1747.2</v>
      </c>
      <c r="M309" s="1067"/>
      <c r="N309" s="1068"/>
      <c r="O309" s="1069">
        <f t="shared" si="16"/>
        <v>1817.0880000000002</v>
      </c>
      <c r="P309" s="1067"/>
      <c r="Q309" s="1068"/>
      <c r="R309" s="1069">
        <f t="shared" si="17"/>
        <v>1889.7715200000002</v>
      </c>
      <c r="S309" s="1067"/>
      <c r="T309" s="1244"/>
      <c r="U309" s="571"/>
      <c r="V309" s="573"/>
    </row>
    <row r="310" spans="1:22">
      <c r="A310" s="1243" t="s">
        <v>276</v>
      </c>
      <c r="B310" s="1280">
        <v>1</v>
      </c>
      <c r="C310" s="1280" t="s">
        <v>277</v>
      </c>
      <c r="D310" s="1280">
        <f>print</f>
        <v>50</v>
      </c>
      <c r="E310" s="1280" t="str">
        <f>C310</f>
        <v>activity</v>
      </c>
      <c r="F310" s="1069">
        <f>IF(B310=0,0,1)</f>
        <v>1</v>
      </c>
      <c r="G310" s="1069">
        <f t="shared" si="18"/>
        <v>50</v>
      </c>
      <c r="H310" s="1068"/>
      <c r="I310" s="1069">
        <f>$G310*H304*J$16</f>
        <v>0</v>
      </c>
      <c r="J310" s="571"/>
      <c r="K310" s="1068"/>
      <c r="L310" s="1069">
        <f t="shared" si="15"/>
        <v>156</v>
      </c>
      <c r="M310" s="1067"/>
      <c r="N310" s="1068"/>
      <c r="O310" s="1069">
        <f t="shared" si="16"/>
        <v>162.24</v>
      </c>
      <c r="P310" s="1067"/>
      <c r="Q310" s="1068"/>
      <c r="R310" s="1069">
        <f t="shared" si="17"/>
        <v>168.7296</v>
      </c>
      <c r="S310" s="1067"/>
      <c r="T310" s="1244"/>
      <c r="U310" s="571"/>
      <c r="V310" s="573"/>
    </row>
    <row r="311" spans="1:22">
      <c r="A311" s="613" t="s">
        <v>278</v>
      </c>
      <c r="B311" s="1280"/>
      <c r="C311" s="1280"/>
      <c r="D311" s="1280"/>
      <c r="E311" s="1280"/>
      <c r="F311" s="1069"/>
      <c r="G311" s="1069">
        <f t="shared" si="18"/>
        <v>0</v>
      </c>
      <c r="H311" s="1068"/>
      <c r="I311" s="1069"/>
      <c r="J311" s="571"/>
      <c r="K311" s="1068"/>
      <c r="L311" s="1069">
        <f t="shared" si="15"/>
        <v>0</v>
      </c>
      <c r="M311" s="1067"/>
      <c r="N311" s="1068"/>
      <c r="O311" s="1069">
        <f t="shared" si="16"/>
        <v>0</v>
      </c>
      <c r="P311" s="1067"/>
      <c r="Q311" s="1068"/>
      <c r="R311" s="1069">
        <f t="shared" si="17"/>
        <v>0</v>
      </c>
      <c r="S311" s="1067"/>
      <c r="T311" s="1244"/>
      <c r="U311" s="571"/>
      <c r="V311" s="573"/>
    </row>
    <row r="312" spans="1:22">
      <c r="A312" s="605" t="s">
        <v>839</v>
      </c>
      <c r="B312" s="1280">
        <v>1</v>
      </c>
      <c r="C312" s="1280" t="s">
        <v>248</v>
      </c>
      <c r="D312" s="1280">
        <f>partground</f>
        <v>9</v>
      </c>
      <c r="E312" s="1280" t="s">
        <v>262</v>
      </c>
      <c r="F312" s="1069">
        <v>2</v>
      </c>
      <c r="G312" s="1069">
        <f t="shared" si="18"/>
        <v>18</v>
      </c>
      <c r="H312" s="1068"/>
      <c r="I312" s="1069">
        <f>$G312*J$277*$H$64</f>
        <v>0</v>
      </c>
      <c r="J312" s="571"/>
      <c r="K312" s="1068"/>
      <c r="L312" s="1069">
        <f t="shared" si="15"/>
        <v>56.160000000000004</v>
      </c>
      <c r="M312" s="1067"/>
      <c r="N312" s="1068"/>
      <c r="O312" s="1069">
        <f t="shared" si="16"/>
        <v>58.406400000000005</v>
      </c>
      <c r="P312" s="1067"/>
      <c r="Q312" s="1068"/>
      <c r="R312" s="1069">
        <f t="shared" si="17"/>
        <v>60.742656000000004</v>
      </c>
      <c r="S312" s="1067"/>
      <c r="T312" s="1244"/>
      <c r="U312" s="571"/>
      <c r="V312" s="573"/>
    </row>
    <row r="313" spans="1:22">
      <c r="A313" s="1243" t="s">
        <v>840</v>
      </c>
      <c r="B313" s="1280">
        <v>1</v>
      </c>
      <c r="C313" s="1280" t="s">
        <v>248</v>
      </c>
      <c r="D313" s="1280">
        <f>+[1]Assumptions!D101</f>
        <v>25</v>
      </c>
      <c r="E313" s="1280" t="s">
        <v>249</v>
      </c>
      <c r="F313" s="1069">
        <v>2</v>
      </c>
      <c r="G313" s="1069">
        <f t="shared" si="18"/>
        <v>50</v>
      </c>
      <c r="H313" s="1068"/>
      <c r="I313" s="1069">
        <f>$G313*J$277*$H$64</f>
        <v>0</v>
      </c>
      <c r="J313" s="571"/>
      <c r="K313" s="1068"/>
      <c r="L313" s="1069">
        <f t="shared" si="15"/>
        <v>156</v>
      </c>
      <c r="M313" s="1067"/>
      <c r="N313" s="1068"/>
      <c r="O313" s="1069">
        <f t="shared" si="16"/>
        <v>162.24</v>
      </c>
      <c r="P313" s="1067"/>
      <c r="Q313" s="1068"/>
      <c r="R313" s="1069">
        <f t="shared" si="17"/>
        <v>168.7296</v>
      </c>
      <c r="S313" s="1067"/>
      <c r="T313" s="1244"/>
      <c r="U313" s="571"/>
      <c r="V313" s="573"/>
    </row>
    <row r="314" spans="1:22">
      <c r="A314" s="605" t="s">
        <v>790</v>
      </c>
      <c r="B314" s="1280">
        <v>1</v>
      </c>
      <c r="C314" s="1280" t="s">
        <v>248</v>
      </c>
      <c r="D314" s="1280">
        <f>+[1]Assumptions!D103</f>
        <v>90</v>
      </c>
      <c r="E314" s="1280" t="s">
        <v>249</v>
      </c>
      <c r="F314" s="1069">
        <v>1</v>
      </c>
      <c r="G314" s="1069">
        <f t="shared" si="18"/>
        <v>90</v>
      </c>
      <c r="H314" s="1068"/>
      <c r="I314" s="1069">
        <f>$G314*J$277*$H$64</f>
        <v>0</v>
      </c>
      <c r="J314" s="571"/>
      <c r="K314" s="1068"/>
      <c r="L314" s="1069">
        <f t="shared" si="15"/>
        <v>280.8</v>
      </c>
      <c r="M314" s="1067"/>
      <c r="N314" s="1068"/>
      <c r="O314" s="1069">
        <f t="shared" si="16"/>
        <v>292.03200000000004</v>
      </c>
      <c r="P314" s="1067"/>
      <c r="Q314" s="1068"/>
      <c r="R314" s="1069">
        <f t="shared" si="17"/>
        <v>303.71328</v>
      </c>
      <c r="S314" s="1067"/>
      <c r="T314" s="1244"/>
      <c r="U314" s="571"/>
      <c r="V314" s="573"/>
    </row>
    <row r="315" spans="1:22">
      <c r="A315" s="1243" t="s">
        <v>787</v>
      </c>
      <c r="B315" s="1280">
        <v>1</v>
      </c>
      <c r="C315" s="1280" t="s">
        <v>248</v>
      </c>
      <c r="D315" s="1280">
        <f>partmeals</f>
        <v>47</v>
      </c>
      <c r="E315" s="1280" t="s">
        <v>249</v>
      </c>
      <c r="F315" s="1069">
        <v>2</v>
      </c>
      <c r="G315" s="1069">
        <f t="shared" si="18"/>
        <v>94</v>
      </c>
      <c r="H315" s="1068"/>
      <c r="I315" s="1069">
        <f>$G315*J$277*$H$64</f>
        <v>0</v>
      </c>
      <c r="J315" s="571"/>
      <c r="K315" s="1068"/>
      <c r="L315" s="1069">
        <f t="shared" si="15"/>
        <v>293.28000000000003</v>
      </c>
      <c r="M315" s="1067"/>
      <c r="N315" s="1068"/>
      <c r="O315" s="1069">
        <f t="shared" si="16"/>
        <v>305.01120000000003</v>
      </c>
      <c r="P315" s="1067"/>
      <c r="Q315" s="1068"/>
      <c r="R315" s="1069">
        <f t="shared" si="17"/>
        <v>317.21164800000003</v>
      </c>
      <c r="S315" s="1067"/>
      <c r="T315" s="1244"/>
      <c r="U315" s="571"/>
      <c r="V315" s="573"/>
    </row>
    <row r="316" spans="1:22">
      <c r="A316" s="1243" t="s">
        <v>807</v>
      </c>
      <c r="B316" s="1280">
        <v>1</v>
      </c>
      <c r="C316" s="1280" t="s">
        <v>248</v>
      </c>
      <c r="D316" s="1280">
        <f>partairfare</f>
        <v>200</v>
      </c>
      <c r="E316" s="1280" t="s">
        <v>262</v>
      </c>
      <c r="F316" s="1069">
        <v>1</v>
      </c>
      <c r="G316" s="1069">
        <f t="shared" si="18"/>
        <v>200</v>
      </c>
      <c r="H316" s="1068"/>
      <c r="I316" s="1069">
        <f>$G316*J$277*$H$64</f>
        <v>0</v>
      </c>
      <c r="J316" s="571"/>
      <c r="K316" s="1068"/>
      <c r="L316" s="1069">
        <f t="shared" si="15"/>
        <v>624</v>
      </c>
      <c r="M316" s="1067"/>
      <c r="N316" s="1068"/>
      <c r="O316" s="1069">
        <f t="shared" si="16"/>
        <v>648.96</v>
      </c>
      <c r="P316" s="1067"/>
      <c r="Q316" s="1068"/>
      <c r="R316" s="1069">
        <f t="shared" si="17"/>
        <v>674.91840000000002</v>
      </c>
      <c r="S316" s="1067"/>
      <c r="T316" s="1244"/>
      <c r="U316" s="571"/>
      <c r="V316" s="573"/>
    </row>
    <row r="317" spans="1:22">
      <c r="A317" s="1245" t="s">
        <v>788</v>
      </c>
      <c r="B317" s="622"/>
      <c r="C317" s="622"/>
      <c r="D317" s="1246"/>
      <c r="E317" s="1410"/>
      <c r="F317" s="1411"/>
      <c r="G317" s="1247"/>
      <c r="H317" s="1248"/>
      <c r="I317" s="1248"/>
      <c r="J317" s="1239">
        <f>J306+J292</f>
        <v>0</v>
      </c>
      <c r="K317" s="1248"/>
      <c r="L317" s="1248"/>
      <c r="M317" s="1239">
        <f>M306+M292</f>
        <v>5460</v>
      </c>
      <c r="N317" s="1248"/>
      <c r="O317" s="1248"/>
      <c r="P317" s="1239">
        <f>P306+P292</f>
        <v>5678.4000000000005</v>
      </c>
      <c r="Q317" s="1248"/>
      <c r="R317" s="1248"/>
      <c r="S317" s="1239">
        <f>S306+S292</f>
        <v>5061.8880000000008</v>
      </c>
      <c r="T317" s="1249">
        <f>T306+T292</f>
        <v>16200.288</v>
      </c>
      <c r="U317" s="571"/>
      <c r="V317" s="573"/>
    </row>
    <row r="318" spans="1:22">
      <c r="A318" s="569"/>
      <c r="B318" s="627"/>
      <c r="C318" s="627"/>
      <c r="D318" s="627"/>
      <c r="E318" s="627"/>
      <c r="F318" s="627"/>
      <c r="G318" s="592"/>
      <c r="H318" s="592"/>
      <c r="I318" s="592"/>
      <c r="J318" s="592"/>
      <c r="K318" s="592"/>
      <c r="L318" s="592"/>
      <c r="M318" s="592"/>
      <c r="N318" s="592"/>
      <c r="O318" s="592"/>
      <c r="P318" s="592"/>
      <c r="Q318" s="592"/>
      <c r="R318" s="592"/>
      <c r="S318" s="592"/>
      <c r="T318" s="593"/>
      <c r="U318" s="571"/>
      <c r="V318" s="573"/>
    </row>
    <row r="319" spans="1:22">
      <c r="A319" s="1421" t="s">
        <v>841</v>
      </c>
      <c r="B319" s="1421"/>
      <c r="C319" s="1421"/>
      <c r="D319" s="1421"/>
      <c r="E319" s="1421"/>
      <c r="F319" s="595">
        <v>1</v>
      </c>
      <c r="G319" s="595"/>
      <c r="H319" s="1453">
        <v>0</v>
      </c>
      <c r="I319" s="1453"/>
      <c r="J319" s="1278">
        <f>SUM(I322:I324)</f>
        <v>0</v>
      </c>
      <c r="K319" s="1444">
        <v>6</v>
      </c>
      <c r="L319" s="1444"/>
      <c r="M319" s="1279">
        <f>SUM(L322:L324)</f>
        <v>4680</v>
      </c>
      <c r="N319" s="1444">
        <v>6</v>
      </c>
      <c r="O319" s="1444"/>
      <c r="P319" s="1279">
        <f>SUM(O322:O324)</f>
        <v>4867.2000000000007</v>
      </c>
      <c r="Q319" s="1445">
        <v>4</v>
      </c>
      <c r="R319" s="1445"/>
      <c r="S319" s="597">
        <f>SUM(R322:R324)</f>
        <v>3374.5920000000001</v>
      </c>
      <c r="T319" s="1066">
        <f>SUM(J319,M319,P319,S319,)</f>
        <v>12921.792000000001</v>
      </c>
      <c r="U319" s="571"/>
      <c r="V319" s="573"/>
    </row>
    <row r="320" spans="1:22">
      <c r="A320" s="1250" t="s">
        <v>777</v>
      </c>
      <c r="B320" s="1239"/>
      <c r="C320" s="1239"/>
      <c r="D320" s="1239"/>
      <c r="E320" s="1239"/>
      <c r="F320" s="1284"/>
      <c r="G320" s="1284"/>
      <c r="H320" s="1285"/>
      <c r="I320" s="1284"/>
      <c r="J320" s="1284"/>
      <c r="K320" s="1285"/>
      <c r="L320" s="1284"/>
      <c r="M320" s="1286"/>
      <c r="N320" s="1285"/>
      <c r="O320" s="1284"/>
      <c r="P320" s="1286"/>
      <c r="Q320" s="1285"/>
      <c r="R320" s="1284"/>
      <c r="S320" s="1241"/>
      <c r="T320" s="1242"/>
      <c r="U320" s="571"/>
      <c r="V320" s="573"/>
    </row>
    <row r="321" spans="1:22">
      <c r="A321" s="599" t="s">
        <v>283</v>
      </c>
      <c r="B321" s="1239"/>
      <c r="C321" s="1239"/>
      <c r="D321" s="1239"/>
      <c r="E321" s="1239"/>
      <c r="F321" s="1284"/>
      <c r="G321" s="1284"/>
      <c r="H321" s="1285"/>
      <c r="I321" s="1284"/>
      <c r="J321" s="1284"/>
      <c r="K321" s="1285"/>
      <c r="L321" s="1284"/>
      <c r="M321" s="1286"/>
      <c r="N321" s="1285"/>
      <c r="O321" s="1284"/>
      <c r="P321" s="1286"/>
      <c r="Q321" s="1285"/>
      <c r="R321" s="1284"/>
      <c r="S321" s="1241"/>
      <c r="T321" s="1242"/>
      <c r="U321" s="571"/>
      <c r="V321" s="573"/>
    </row>
    <row r="322" spans="1:22" ht="15.75" customHeight="1">
      <c r="A322" s="1243" t="s">
        <v>247</v>
      </c>
      <c r="B322" s="1280">
        <v>35</v>
      </c>
      <c r="C322" s="1280" t="s">
        <v>248</v>
      </c>
      <c r="D322" s="1280">
        <f>parttransp</f>
        <v>4</v>
      </c>
      <c r="E322" s="1069" t="s">
        <v>249</v>
      </c>
      <c r="F322" s="1280">
        <f>IF(B322=0,0,F319)</f>
        <v>1</v>
      </c>
      <c r="G322" s="1280">
        <f>B322*D322*F322</f>
        <v>140</v>
      </c>
      <c r="H322" s="1281"/>
      <c r="I322" s="1280">
        <f>$G322*H319*J$16</f>
        <v>0</v>
      </c>
      <c r="J322" s="571"/>
      <c r="K322" s="1281"/>
      <c r="L322" s="1280">
        <f>$G322*K319*M$16</f>
        <v>873.6</v>
      </c>
      <c r="M322" s="1282"/>
      <c r="N322" s="1281"/>
      <c r="O322" s="1280">
        <f>$G322*N319*P$16</f>
        <v>908.5440000000001</v>
      </c>
      <c r="P322" s="1282"/>
      <c r="Q322" s="1281"/>
      <c r="R322" s="1280">
        <f>$G322*$Q$319*S$16</f>
        <v>629.92384000000004</v>
      </c>
      <c r="S322" s="1067"/>
      <c r="T322" s="1244"/>
      <c r="U322" s="571"/>
      <c r="V322" s="573"/>
    </row>
    <row r="323" spans="1:22">
      <c r="A323" s="1243" t="s">
        <v>842</v>
      </c>
      <c r="B323" s="1280">
        <v>35</v>
      </c>
      <c r="C323" s="1280" t="s">
        <v>248</v>
      </c>
      <c r="D323" s="1280">
        <f>coffee+lunch</f>
        <v>16</v>
      </c>
      <c r="E323" s="1069" t="s">
        <v>249</v>
      </c>
      <c r="F323" s="1280">
        <f>IF(B323=0,0,F319)</f>
        <v>1</v>
      </c>
      <c r="G323" s="1280">
        <f>B323*D323*F323</f>
        <v>560</v>
      </c>
      <c r="H323" s="1281"/>
      <c r="I323" s="1280">
        <f>$G323*H319*J$16</f>
        <v>0</v>
      </c>
      <c r="J323" s="571"/>
      <c r="K323" s="1281"/>
      <c r="L323" s="1280">
        <f>$G323*K319*M$16</f>
        <v>3494.4</v>
      </c>
      <c r="M323" s="1282"/>
      <c r="N323" s="1281"/>
      <c r="O323" s="1280">
        <f>$G323*N319*P$16</f>
        <v>3634.1760000000004</v>
      </c>
      <c r="P323" s="1282"/>
      <c r="Q323" s="1281"/>
      <c r="R323" s="1280">
        <f>$G323*$Q$319*S$16</f>
        <v>2519.6953600000002</v>
      </c>
      <c r="S323" s="1067"/>
      <c r="T323" s="1244"/>
      <c r="U323" s="571"/>
      <c r="V323" s="573"/>
    </row>
    <row r="324" spans="1:22">
      <c r="A324" s="1243" t="s">
        <v>781</v>
      </c>
      <c r="B324" s="1280">
        <v>1</v>
      </c>
      <c r="C324" s="1280" t="s">
        <v>277</v>
      </c>
      <c r="D324" s="1280">
        <f>print</f>
        <v>50</v>
      </c>
      <c r="E324" s="1069" t="str">
        <f>C324</f>
        <v>activity</v>
      </c>
      <c r="F324" s="1069">
        <f>IF(B324=0,0,1)</f>
        <v>1</v>
      </c>
      <c r="G324" s="1069">
        <f>B324*D324*F324</f>
        <v>50</v>
      </c>
      <c r="H324" s="1068"/>
      <c r="I324" s="1069">
        <f>$G324*H319*J$16</f>
        <v>0</v>
      </c>
      <c r="J324" s="571"/>
      <c r="K324" s="1068"/>
      <c r="L324" s="1069">
        <f>$G324*K319*M$16</f>
        <v>312</v>
      </c>
      <c r="M324" s="1067"/>
      <c r="N324" s="1068"/>
      <c r="O324" s="1069">
        <f>$G324*$N$319*P$16</f>
        <v>324.48</v>
      </c>
      <c r="P324" s="1067"/>
      <c r="Q324" s="1068"/>
      <c r="R324" s="1069">
        <f>$G324*$Q$319*S$16</f>
        <v>224.97280000000001</v>
      </c>
      <c r="S324" s="1067"/>
      <c r="T324" s="1244"/>
      <c r="U324" s="571"/>
      <c r="V324" s="573"/>
    </row>
    <row r="325" spans="1:22">
      <c r="A325" s="613" t="s">
        <v>260</v>
      </c>
      <c r="B325" s="1069"/>
      <c r="C325" s="1069"/>
      <c r="D325" s="1069"/>
      <c r="E325" s="1069"/>
      <c r="F325" s="1069"/>
      <c r="G325" s="1069"/>
      <c r="H325" s="1068"/>
      <c r="I325" s="1069"/>
      <c r="J325" s="571"/>
      <c r="K325" s="1068"/>
      <c r="L325" s="1069"/>
      <c r="M325" s="1067"/>
      <c r="N325" s="1068"/>
      <c r="O325" s="1069"/>
      <c r="P325" s="1067"/>
      <c r="Q325" s="1068"/>
      <c r="R325" s="1069"/>
      <c r="S325" s="1067"/>
      <c r="T325" s="1244"/>
      <c r="U325" s="571"/>
      <c r="V325" s="573"/>
    </row>
    <row r="326" spans="1:22">
      <c r="A326" s="605" t="s">
        <v>818</v>
      </c>
      <c r="B326" s="1280">
        <v>1</v>
      </c>
      <c r="C326" s="1069" t="s">
        <v>248</v>
      </c>
      <c r="D326" s="1280">
        <f>partground</f>
        <v>9</v>
      </c>
      <c r="E326" s="1069" t="s">
        <v>262</v>
      </c>
      <c r="F326" s="1069">
        <f>IF(B326=0,0,1)</f>
        <v>1</v>
      </c>
      <c r="G326" s="1069">
        <f>B326*D326*F326</f>
        <v>9</v>
      </c>
      <c r="H326" s="1068"/>
      <c r="I326" s="1069">
        <f>$G326*H318*J$16</f>
        <v>0</v>
      </c>
      <c r="J326" s="571"/>
      <c r="K326" s="1068"/>
      <c r="L326" s="1069">
        <f>$G326*K319*M$16</f>
        <v>56.160000000000004</v>
      </c>
      <c r="M326" s="1067"/>
      <c r="N326" s="1068"/>
      <c r="O326" s="1069">
        <f>$G326*$N$319*P$16</f>
        <v>58.406400000000005</v>
      </c>
      <c r="P326" s="1067"/>
      <c r="Q326" s="1068"/>
      <c r="R326" s="1069">
        <f>$G326*$Q$319*S$16</f>
        <v>40.495104000000005</v>
      </c>
      <c r="S326" s="1067"/>
      <c r="T326" s="1244"/>
      <c r="U326" s="571"/>
      <c r="V326" s="573"/>
    </row>
    <row r="327" spans="1:22">
      <c r="A327" s="1243" t="s">
        <v>843</v>
      </c>
      <c r="B327" s="1280">
        <v>1</v>
      </c>
      <c r="C327" s="1069" t="s">
        <v>248</v>
      </c>
      <c r="D327" s="1280">
        <f>partground</f>
        <v>9</v>
      </c>
      <c r="E327" s="1069" t="s">
        <v>249</v>
      </c>
      <c r="F327" s="1069">
        <f>IF(B327=0,0,1)</f>
        <v>1</v>
      </c>
      <c r="G327" s="1069">
        <f>B327*D327*F327</f>
        <v>9</v>
      </c>
      <c r="H327" s="1068"/>
      <c r="I327" s="1069">
        <f>$G327*H318*J$16</f>
        <v>0</v>
      </c>
      <c r="J327" s="571"/>
      <c r="K327" s="1068"/>
      <c r="L327" s="1069">
        <f>$G327*K319*M$16</f>
        <v>56.160000000000004</v>
      </c>
      <c r="M327" s="1067"/>
      <c r="N327" s="1068"/>
      <c r="O327" s="1069">
        <f>$G327*$N$319*P$16</f>
        <v>58.406400000000005</v>
      </c>
      <c r="P327" s="1067"/>
      <c r="Q327" s="1068"/>
      <c r="R327" s="1069">
        <f>$G327*$Q$319*S$16</f>
        <v>40.495104000000005</v>
      </c>
      <c r="S327" s="1067"/>
      <c r="T327" s="1244"/>
      <c r="U327" s="571"/>
      <c r="V327" s="573"/>
    </row>
    <row r="328" spans="1:22">
      <c r="A328" s="605" t="s">
        <v>264</v>
      </c>
      <c r="B328" s="1069"/>
      <c r="C328" s="1069" t="s">
        <v>248</v>
      </c>
      <c r="D328" s="1280">
        <f>partlodg</f>
        <v>35</v>
      </c>
      <c r="E328" s="1069" t="s">
        <v>249</v>
      </c>
      <c r="F328" s="1069">
        <f>IF(B328=0,0,F318)</f>
        <v>0</v>
      </c>
      <c r="G328" s="1069">
        <f>B328*D328*F328</f>
        <v>0</v>
      </c>
      <c r="H328" s="1068"/>
      <c r="I328" s="1069">
        <f>$G328*H318*J$16</f>
        <v>0</v>
      </c>
      <c r="J328" s="571"/>
      <c r="K328" s="1068"/>
      <c r="L328" s="1069">
        <f>$G328*K319*M$16</f>
        <v>0</v>
      </c>
      <c r="M328" s="1067"/>
      <c r="N328" s="1068"/>
      <c r="O328" s="1069">
        <f>$G328*$N$319*P$16</f>
        <v>0</v>
      </c>
      <c r="P328" s="1067"/>
      <c r="Q328" s="1068"/>
      <c r="R328" s="1069">
        <f>$G328*$Q$319*S$16</f>
        <v>0</v>
      </c>
      <c r="S328" s="1067"/>
      <c r="T328" s="1244"/>
      <c r="U328" s="571"/>
      <c r="V328" s="573"/>
    </row>
    <row r="329" spans="1:22">
      <c r="A329" s="1243" t="s">
        <v>783</v>
      </c>
      <c r="B329" s="1069">
        <v>3</v>
      </c>
      <c r="C329" s="1069" t="s">
        <v>248</v>
      </c>
      <c r="D329" s="1280">
        <f>partmeals</f>
        <v>47</v>
      </c>
      <c r="E329" s="1069" t="s">
        <v>249</v>
      </c>
      <c r="F329" s="1069">
        <v>1</v>
      </c>
      <c r="G329" s="1069">
        <f>B329*D329*F329</f>
        <v>141</v>
      </c>
      <c r="H329" s="1068"/>
      <c r="I329" s="1069">
        <f>$G329*H318*J$16</f>
        <v>0</v>
      </c>
      <c r="J329" s="571"/>
      <c r="K329" s="1068"/>
      <c r="L329" s="1069">
        <f>$G329*K319*M$16</f>
        <v>879.84</v>
      </c>
      <c r="M329" s="1067"/>
      <c r="N329" s="1068"/>
      <c r="O329" s="1069">
        <f>$G329*$N$319*P$16</f>
        <v>915.03360000000009</v>
      </c>
      <c r="P329" s="1067"/>
      <c r="Q329" s="1068"/>
      <c r="R329" s="1069">
        <f>$G329*$Q$319*S$16</f>
        <v>634.42329600000005</v>
      </c>
      <c r="S329" s="1067"/>
      <c r="T329" s="1244"/>
      <c r="U329" s="571"/>
      <c r="V329" s="573"/>
    </row>
    <row r="330" spans="1:22">
      <c r="A330" s="1243" t="s">
        <v>644</v>
      </c>
      <c r="B330" s="1069">
        <v>3</v>
      </c>
      <c r="C330" s="1069" t="s">
        <v>248</v>
      </c>
      <c r="D330" s="1280">
        <f>parttransp</f>
        <v>4</v>
      </c>
      <c r="E330" s="1069" t="s">
        <v>262</v>
      </c>
      <c r="F330" s="1280">
        <v>1</v>
      </c>
      <c r="G330" s="1069">
        <f>B330*D330*F330</f>
        <v>12</v>
      </c>
      <c r="H330" s="1068"/>
      <c r="I330" s="1069">
        <f>$G330*H318*J$16</f>
        <v>0</v>
      </c>
      <c r="J330" s="571"/>
      <c r="K330" s="1068"/>
      <c r="L330" s="1069">
        <f>$G330*K319*M$16</f>
        <v>74.88</v>
      </c>
      <c r="M330" s="1067"/>
      <c r="N330" s="1068"/>
      <c r="O330" s="1069">
        <f>$G330*$N$319*P$16</f>
        <v>77.875200000000007</v>
      </c>
      <c r="P330" s="1067"/>
      <c r="Q330" s="1068"/>
      <c r="R330" s="1069">
        <f>$G330*$Q$319*S$16</f>
        <v>53.993472000000004</v>
      </c>
      <c r="S330" s="1067"/>
      <c r="T330" s="1244"/>
      <c r="U330" s="571"/>
      <c r="V330" s="573"/>
    </row>
    <row r="331" spans="1:22">
      <c r="A331" s="1245" t="s">
        <v>788</v>
      </c>
      <c r="B331" s="622"/>
      <c r="C331" s="622"/>
      <c r="D331" s="1246"/>
      <c r="E331" s="1410"/>
      <c r="F331" s="1411"/>
      <c r="G331" s="1247"/>
      <c r="H331" s="1248"/>
      <c r="I331" s="1248"/>
      <c r="J331" s="1239"/>
      <c r="K331" s="1248"/>
      <c r="L331" s="1248"/>
      <c r="M331" s="1239"/>
      <c r="N331" s="1248"/>
      <c r="O331" s="1248"/>
      <c r="P331" s="1239"/>
      <c r="Q331" s="1248"/>
      <c r="R331" s="1248"/>
      <c r="S331" s="1239"/>
      <c r="T331" s="1249"/>
      <c r="U331" s="571"/>
      <c r="V331" s="573"/>
    </row>
    <row r="332" spans="1:22">
      <c r="A332" s="1269"/>
      <c r="B332" s="1270"/>
      <c r="C332" s="1270"/>
      <c r="D332" s="1239"/>
      <c r="E332" s="1248"/>
      <c r="F332" s="1248"/>
      <c r="G332" s="1253"/>
      <c r="H332" s="1253"/>
      <c r="I332" s="1253"/>
      <c r="J332" s="1069"/>
      <c r="K332" s="1253"/>
      <c r="L332" s="1253"/>
      <c r="M332" s="1069"/>
      <c r="N332" s="1253"/>
      <c r="O332" s="1253"/>
      <c r="P332" s="1069"/>
      <c r="Q332" s="1253"/>
      <c r="R332" s="1253"/>
      <c r="S332" s="1069"/>
      <c r="T332" s="1254"/>
      <c r="U332" s="571"/>
      <c r="V332" s="573"/>
    </row>
    <row r="333" spans="1:22">
      <c r="A333" s="1238" t="s">
        <v>784</v>
      </c>
      <c r="B333" s="1239"/>
      <c r="C333" s="1239"/>
      <c r="D333" s="1239"/>
      <c r="E333" s="1239"/>
      <c r="F333" s="1239"/>
      <c r="G333" s="1284"/>
      <c r="H333" s="1438"/>
      <c r="I333" s="1438"/>
      <c r="J333" s="1278">
        <f>SUM(I336:I337)</f>
        <v>0</v>
      </c>
      <c r="K333" s="1444">
        <v>0</v>
      </c>
      <c r="L333" s="1444"/>
      <c r="M333" s="1279">
        <f>SUM(L336:L337)</f>
        <v>0</v>
      </c>
      <c r="N333" s="1444">
        <v>0</v>
      </c>
      <c r="O333" s="1444"/>
      <c r="P333" s="1279">
        <f>SUM(O336:O337)</f>
        <v>0</v>
      </c>
      <c r="Q333" s="1445">
        <v>0</v>
      </c>
      <c r="R333" s="1445"/>
      <c r="S333" s="597">
        <f>SUM(R336:R337)</f>
        <v>0</v>
      </c>
      <c r="T333" s="1066">
        <f>SUM(J333,M333,P333,S333,)</f>
        <v>0</v>
      </c>
      <c r="U333" s="1202"/>
      <c r="V333" s="573"/>
    </row>
    <row r="334" spans="1:22">
      <c r="A334" s="599" t="s">
        <v>778</v>
      </c>
      <c r="B334" s="1239"/>
      <c r="C334" s="1239"/>
      <c r="D334" s="1239"/>
      <c r="E334" s="1239"/>
      <c r="F334" s="1239"/>
      <c r="G334" s="1284"/>
      <c r="H334" s="1285"/>
      <c r="I334" s="1284"/>
      <c r="J334" s="1284"/>
      <c r="K334" s="1285"/>
      <c r="L334" s="1280">
        <f t="shared" ref="L334:L343" si="19">$G334*$K$333*M$16</f>
        <v>0</v>
      </c>
      <c r="M334" s="1286"/>
      <c r="N334" s="1285"/>
      <c r="O334" s="1280">
        <f t="shared" ref="O334:O343" si="20">$G334*$N$333*P$16</f>
        <v>0</v>
      </c>
      <c r="P334" s="1286"/>
      <c r="Q334" s="1285"/>
      <c r="R334" s="1280">
        <f t="shared" ref="R334:R343" si="21">$G334*$Q$333*S$16</f>
        <v>0</v>
      </c>
      <c r="S334" s="1241"/>
      <c r="T334" s="1242"/>
      <c r="U334" s="571"/>
      <c r="V334" s="573"/>
    </row>
    <row r="335" spans="1:22">
      <c r="A335" s="1243" t="s">
        <v>844</v>
      </c>
      <c r="B335" s="1280">
        <v>0</v>
      </c>
      <c r="C335" s="1069" t="s">
        <v>248</v>
      </c>
      <c r="D335" s="1280">
        <f>parttransp</f>
        <v>4</v>
      </c>
      <c r="E335" s="1069" t="s">
        <v>249</v>
      </c>
      <c r="F335" s="1069">
        <v>1</v>
      </c>
      <c r="G335" s="1280">
        <f>B335*D335*F335</f>
        <v>0</v>
      </c>
      <c r="H335" s="1281"/>
      <c r="I335" s="1280">
        <f>$G335*$H$333*J$16</f>
        <v>0</v>
      </c>
      <c r="J335" s="571"/>
      <c r="K335" s="1281"/>
      <c r="L335" s="1280">
        <f t="shared" si="19"/>
        <v>0</v>
      </c>
      <c r="M335" s="1282"/>
      <c r="N335" s="1281"/>
      <c r="O335" s="1280">
        <f t="shared" si="20"/>
        <v>0</v>
      </c>
      <c r="P335" s="1282"/>
      <c r="Q335" s="1281"/>
      <c r="R335" s="1280">
        <f t="shared" si="21"/>
        <v>0</v>
      </c>
      <c r="S335" s="1067"/>
      <c r="T335" s="1244"/>
      <c r="U335" s="571"/>
      <c r="V335" s="573"/>
    </row>
    <row r="336" spans="1:22">
      <c r="A336" s="1243" t="s">
        <v>819</v>
      </c>
      <c r="B336" s="1280">
        <v>0</v>
      </c>
      <c r="C336" s="1069" t="s">
        <v>248</v>
      </c>
      <c r="D336" s="1280">
        <f>coffee+lunch</f>
        <v>16</v>
      </c>
      <c r="E336" s="1069" t="s">
        <v>249</v>
      </c>
      <c r="F336" s="1069">
        <v>1</v>
      </c>
      <c r="G336" s="1280">
        <f>B336*D336*F336</f>
        <v>0</v>
      </c>
      <c r="H336" s="1281"/>
      <c r="I336" s="1280">
        <f>$G336*$H$333*J$16</f>
        <v>0</v>
      </c>
      <c r="J336" s="571"/>
      <c r="K336" s="1281"/>
      <c r="L336" s="1280">
        <f t="shared" si="19"/>
        <v>0</v>
      </c>
      <c r="M336" s="1282"/>
      <c r="N336" s="1281"/>
      <c r="O336" s="1280">
        <f t="shared" si="20"/>
        <v>0</v>
      </c>
      <c r="P336" s="1282"/>
      <c r="Q336" s="1281"/>
      <c r="R336" s="1280">
        <f t="shared" si="21"/>
        <v>0</v>
      </c>
      <c r="S336" s="1067"/>
      <c r="T336" s="1244"/>
      <c r="U336" s="571"/>
      <c r="V336" s="573"/>
    </row>
    <row r="337" spans="1:22">
      <c r="A337" s="1243" t="s">
        <v>781</v>
      </c>
      <c r="B337" s="1280">
        <v>0</v>
      </c>
      <c r="C337" s="1069" t="s">
        <v>277</v>
      </c>
      <c r="D337" s="1280">
        <f>print</f>
        <v>50</v>
      </c>
      <c r="E337" s="1069" t="str">
        <f>C337</f>
        <v>activity</v>
      </c>
      <c r="F337" s="1069">
        <v>1</v>
      </c>
      <c r="G337" s="1280">
        <f>B337*D337*F337</f>
        <v>0</v>
      </c>
      <c r="H337" s="1281"/>
      <c r="I337" s="1280">
        <f>$G337*$H$333*J$16</f>
        <v>0</v>
      </c>
      <c r="J337" s="571"/>
      <c r="K337" s="1281"/>
      <c r="L337" s="1280">
        <f t="shared" si="19"/>
        <v>0</v>
      </c>
      <c r="M337" s="1282"/>
      <c r="N337" s="1281"/>
      <c r="O337" s="1280">
        <f t="shared" si="20"/>
        <v>0</v>
      </c>
      <c r="P337" s="1282"/>
      <c r="Q337" s="1281"/>
      <c r="R337" s="1280">
        <f t="shared" si="21"/>
        <v>0</v>
      </c>
      <c r="S337" s="1067"/>
      <c r="T337" s="1244"/>
      <c r="U337" s="571"/>
      <c r="V337" s="573"/>
    </row>
    <row r="338" spans="1:22">
      <c r="A338" s="613" t="s">
        <v>278</v>
      </c>
      <c r="B338" s="1069"/>
      <c r="C338" s="1069"/>
      <c r="D338" s="1069"/>
      <c r="E338" s="1069"/>
      <c r="F338" s="1069"/>
      <c r="G338" s="1069"/>
      <c r="H338" s="1068"/>
      <c r="I338" s="1069"/>
      <c r="J338" s="571"/>
      <c r="K338" s="1068"/>
      <c r="L338" s="1069">
        <f t="shared" si="19"/>
        <v>0</v>
      </c>
      <c r="M338" s="1067"/>
      <c r="N338" s="1068"/>
      <c r="O338" s="1069">
        <f t="shared" si="20"/>
        <v>0</v>
      </c>
      <c r="P338" s="1067"/>
      <c r="Q338" s="1068"/>
      <c r="R338" s="1069">
        <f t="shared" si="21"/>
        <v>0</v>
      </c>
      <c r="S338" s="1067"/>
      <c r="T338" s="1244"/>
      <c r="U338" s="571"/>
      <c r="V338" s="573"/>
    </row>
    <row r="339" spans="1:22">
      <c r="A339" s="605" t="s">
        <v>261</v>
      </c>
      <c r="B339" s="1280">
        <v>1</v>
      </c>
      <c r="C339" s="1069" t="s">
        <v>248</v>
      </c>
      <c r="D339" s="1280">
        <f>partground</f>
        <v>9</v>
      </c>
      <c r="E339" s="1069" t="s">
        <v>262</v>
      </c>
      <c r="F339" s="1069">
        <v>3</v>
      </c>
      <c r="G339" s="1069">
        <f>B339*D339*F339</f>
        <v>27</v>
      </c>
      <c r="H339" s="1068"/>
      <c r="I339" s="1069">
        <f>$G339*$H$333*J$16</f>
        <v>0</v>
      </c>
      <c r="J339" s="571"/>
      <c r="K339" s="1068"/>
      <c r="L339" s="1069">
        <f t="shared" si="19"/>
        <v>0</v>
      </c>
      <c r="M339" s="1067"/>
      <c r="N339" s="1068"/>
      <c r="O339" s="1069">
        <f t="shared" si="20"/>
        <v>0</v>
      </c>
      <c r="P339" s="1067"/>
      <c r="Q339" s="1068"/>
      <c r="R339" s="1069">
        <f t="shared" si="21"/>
        <v>0</v>
      </c>
      <c r="S339" s="1067"/>
      <c r="T339" s="1244"/>
      <c r="U339" s="571"/>
      <c r="V339" s="573"/>
    </row>
    <row r="340" spans="1:22">
      <c r="A340" s="1243" t="s">
        <v>845</v>
      </c>
      <c r="B340" s="1280">
        <v>1</v>
      </c>
      <c r="C340" s="1069" t="s">
        <v>248</v>
      </c>
      <c r="D340" s="1280">
        <f>+[1]Assumptions!D101</f>
        <v>25</v>
      </c>
      <c r="E340" s="1069" t="s">
        <v>249</v>
      </c>
      <c r="F340" s="1069">
        <v>3</v>
      </c>
      <c r="G340" s="1069">
        <f>B340*D340*F340</f>
        <v>75</v>
      </c>
      <c r="H340" s="1068"/>
      <c r="I340" s="1069">
        <f>$G340*$H$333*J$16</f>
        <v>0</v>
      </c>
      <c r="J340" s="571"/>
      <c r="K340" s="1068"/>
      <c r="L340" s="1069">
        <f t="shared" si="19"/>
        <v>0</v>
      </c>
      <c r="M340" s="1067"/>
      <c r="N340" s="1068"/>
      <c r="O340" s="1069">
        <f t="shared" si="20"/>
        <v>0</v>
      </c>
      <c r="P340" s="1067"/>
      <c r="Q340" s="1068"/>
      <c r="R340" s="1069">
        <f t="shared" si="21"/>
        <v>0</v>
      </c>
      <c r="S340" s="1067"/>
      <c r="T340" s="1244"/>
      <c r="U340" s="571"/>
      <c r="V340" s="573"/>
    </row>
    <row r="341" spans="1:22">
      <c r="A341" s="605" t="s">
        <v>790</v>
      </c>
      <c r="B341" s="1069">
        <v>1</v>
      </c>
      <c r="C341" s="1069" t="s">
        <v>248</v>
      </c>
      <c r="D341" s="1280">
        <f>+[1]Assumptions!D103</f>
        <v>90</v>
      </c>
      <c r="E341" s="1069" t="s">
        <v>249</v>
      </c>
      <c r="F341" s="1069">
        <v>2</v>
      </c>
      <c r="G341" s="1069">
        <f>B341*D341*F341</f>
        <v>180</v>
      </c>
      <c r="H341" s="1068"/>
      <c r="I341" s="1069">
        <f>$G341*$H$333*J$16</f>
        <v>0</v>
      </c>
      <c r="J341" s="571"/>
      <c r="K341" s="1068"/>
      <c r="L341" s="1069">
        <f t="shared" si="19"/>
        <v>0</v>
      </c>
      <c r="M341" s="1067"/>
      <c r="N341" s="1068"/>
      <c r="O341" s="1069">
        <f t="shared" si="20"/>
        <v>0</v>
      </c>
      <c r="P341" s="1067"/>
      <c r="Q341" s="1068"/>
      <c r="R341" s="1069">
        <f t="shared" si="21"/>
        <v>0</v>
      </c>
      <c r="S341" s="1067"/>
      <c r="T341" s="1244"/>
      <c r="U341" s="571"/>
      <c r="V341" s="573"/>
    </row>
    <row r="342" spans="1:22">
      <c r="A342" s="1243" t="s">
        <v>783</v>
      </c>
      <c r="B342" s="1069">
        <v>3</v>
      </c>
      <c r="C342" s="1069" t="s">
        <v>248</v>
      </c>
      <c r="D342" s="1280">
        <f>partmeals</f>
        <v>47</v>
      </c>
      <c r="E342" s="1069" t="s">
        <v>249</v>
      </c>
      <c r="F342" s="1069">
        <v>3</v>
      </c>
      <c r="G342" s="1069">
        <f>B342*D342*F342</f>
        <v>423</v>
      </c>
      <c r="H342" s="1068"/>
      <c r="I342" s="1069">
        <f>$G342*$H$333*J$16</f>
        <v>0</v>
      </c>
      <c r="J342" s="571"/>
      <c r="K342" s="1068"/>
      <c r="L342" s="1069">
        <f t="shared" si="19"/>
        <v>0</v>
      </c>
      <c r="M342" s="1067"/>
      <c r="N342" s="1068"/>
      <c r="O342" s="1069">
        <f t="shared" si="20"/>
        <v>0</v>
      </c>
      <c r="P342" s="1067"/>
      <c r="Q342" s="1068"/>
      <c r="R342" s="1069">
        <f t="shared" si="21"/>
        <v>0</v>
      </c>
      <c r="S342" s="1067"/>
      <c r="T342" s="1244"/>
      <c r="U342" s="571"/>
      <c r="V342" s="573"/>
    </row>
    <row r="343" spans="1:22">
      <c r="A343" s="1243" t="s">
        <v>582</v>
      </c>
      <c r="B343" s="1069">
        <v>1</v>
      </c>
      <c r="C343" s="1069" t="s">
        <v>248</v>
      </c>
      <c r="D343" s="1280">
        <f>partairfare</f>
        <v>200</v>
      </c>
      <c r="E343" s="1069" t="s">
        <v>262</v>
      </c>
      <c r="F343" s="1069">
        <v>1</v>
      </c>
      <c r="G343" s="1069">
        <f>B343*D343*F343</f>
        <v>200</v>
      </c>
      <c r="H343" s="1068"/>
      <c r="I343" s="1069">
        <f>$G343*$H$333*J$16</f>
        <v>0</v>
      </c>
      <c r="J343" s="571"/>
      <c r="K343" s="1068"/>
      <c r="L343" s="1069">
        <f t="shared" si="19"/>
        <v>0</v>
      </c>
      <c r="M343" s="1067"/>
      <c r="N343" s="1068"/>
      <c r="O343" s="1069">
        <f t="shared" si="20"/>
        <v>0</v>
      </c>
      <c r="P343" s="1067"/>
      <c r="Q343" s="1068"/>
      <c r="R343" s="1069">
        <f t="shared" si="21"/>
        <v>0</v>
      </c>
      <c r="S343" s="1067"/>
      <c r="T343" s="1244"/>
      <c r="U343" s="571"/>
      <c r="V343" s="573"/>
    </row>
    <row r="344" spans="1:22">
      <c r="A344" s="1245" t="s">
        <v>788</v>
      </c>
      <c r="B344" s="622"/>
      <c r="C344" s="622"/>
      <c r="D344" s="1246"/>
      <c r="E344" s="1410"/>
      <c r="F344" s="1411"/>
      <c r="G344" s="1247"/>
      <c r="H344" s="1248"/>
      <c r="I344" s="1248"/>
      <c r="J344" s="1239"/>
      <c r="K344" s="1248"/>
      <c r="L344" s="1248"/>
      <c r="M344" s="1239">
        <f>M319</f>
        <v>4680</v>
      </c>
      <c r="N344" s="1248"/>
      <c r="O344" s="1248"/>
      <c r="P344" s="1239">
        <f>P319</f>
        <v>4867.2000000000007</v>
      </c>
      <c r="Q344" s="1248"/>
      <c r="R344" s="1248"/>
      <c r="S344" s="1239">
        <f>S319</f>
        <v>3374.5920000000001</v>
      </c>
      <c r="T344" s="1249">
        <f>T319</f>
        <v>12921.792000000001</v>
      </c>
      <c r="U344" s="571"/>
      <c r="V344" s="573"/>
    </row>
    <row r="345" spans="1:22" ht="27.75" customHeight="1">
      <c r="A345" s="1415" t="s">
        <v>160</v>
      </c>
      <c r="B345" s="1415"/>
      <c r="C345" s="1415"/>
      <c r="D345" s="1415"/>
      <c r="E345" s="1415"/>
      <c r="F345" s="595">
        <v>2</v>
      </c>
      <c r="G345" s="595"/>
      <c r="H345" s="1453">
        <v>0</v>
      </c>
      <c r="I345" s="1453"/>
      <c r="J345" s="1278">
        <f>SUM(I348:I357)</f>
        <v>0</v>
      </c>
      <c r="K345" s="1444">
        <v>6</v>
      </c>
      <c r="L345" s="1444"/>
      <c r="M345" s="1279">
        <f>SUM(L348:L350)</f>
        <v>2808</v>
      </c>
      <c r="N345" s="1444">
        <v>6</v>
      </c>
      <c r="O345" s="1444"/>
      <c r="P345" s="1279">
        <f>SUM(O348:O350)</f>
        <v>2920.32</v>
      </c>
      <c r="Q345" s="1445">
        <v>4</v>
      </c>
      <c r="R345" s="1445"/>
      <c r="S345" s="1279">
        <f>SUM(R348:R350)</f>
        <v>2024.7552000000003</v>
      </c>
      <c r="T345" s="1066">
        <f>SUM(J345,M345,P345,S345,)</f>
        <v>7753.0752000000002</v>
      </c>
      <c r="U345" s="571"/>
      <c r="V345" s="573"/>
    </row>
    <row r="346" spans="1:22">
      <c r="A346" s="1250" t="s">
        <v>777</v>
      </c>
      <c r="B346" s="1239"/>
      <c r="C346" s="1239"/>
      <c r="D346" s="1239"/>
      <c r="E346" s="1239"/>
      <c r="F346" s="1239"/>
      <c r="G346" s="1239"/>
      <c r="H346" s="1240"/>
      <c r="I346" s="1239"/>
      <c r="J346" s="1239"/>
      <c r="K346" s="1240"/>
      <c r="L346" s="1239"/>
      <c r="M346" s="1241"/>
      <c r="N346" s="1240"/>
      <c r="O346" s="1239"/>
      <c r="P346" s="1241"/>
      <c r="Q346" s="1240"/>
      <c r="R346" s="1239"/>
      <c r="S346" s="1241"/>
      <c r="T346" s="1242"/>
      <c r="U346" s="571"/>
      <c r="V346" s="573"/>
    </row>
    <row r="347" spans="1:22">
      <c r="A347" s="599" t="s">
        <v>283</v>
      </c>
      <c r="B347" s="1239"/>
      <c r="C347" s="1239"/>
      <c r="D347" s="1239"/>
      <c r="E347" s="1239"/>
      <c r="F347" s="1239"/>
      <c r="G347" s="1239"/>
      <c r="H347" s="1240"/>
      <c r="I347" s="1239"/>
      <c r="J347" s="1239"/>
      <c r="K347" s="1240"/>
      <c r="L347" s="1239"/>
      <c r="M347" s="1241"/>
      <c r="N347" s="1240"/>
      <c r="O347" s="1239"/>
      <c r="P347" s="1241"/>
      <c r="Q347" s="1240"/>
      <c r="R347" s="1239"/>
      <c r="S347" s="1241"/>
      <c r="T347" s="1242"/>
      <c r="U347" s="571"/>
      <c r="V347" s="573"/>
    </row>
    <row r="348" spans="1:22">
      <c r="A348" s="1243" t="s">
        <v>247</v>
      </c>
      <c r="B348" s="1280">
        <v>20</v>
      </c>
      <c r="C348" s="1280" t="s">
        <v>248</v>
      </c>
      <c r="D348" s="1280">
        <f>parttransp</f>
        <v>4</v>
      </c>
      <c r="E348" s="1069" t="s">
        <v>249</v>
      </c>
      <c r="F348" s="1069">
        <v>1</v>
      </c>
      <c r="G348" s="1069">
        <f>B348*D348*F348</f>
        <v>80</v>
      </c>
      <c r="H348" s="1068"/>
      <c r="I348" s="1069">
        <f>$G348*H345*J$16</f>
        <v>0</v>
      </c>
      <c r="J348" s="571"/>
      <c r="K348" s="1068"/>
      <c r="L348" s="1069">
        <f>$G348*K$345*M$16</f>
        <v>499.20000000000005</v>
      </c>
      <c r="M348" s="1067"/>
      <c r="N348" s="1068"/>
      <c r="O348" s="1069">
        <f>$G348*N$345*P$16</f>
        <v>519.16800000000001</v>
      </c>
      <c r="P348" s="1067"/>
      <c r="Q348" s="1068"/>
      <c r="R348" s="1069">
        <f>$G348*Q$345*S$16</f>
        <v>359.95648000000006</v>
      </c>
      <c r="S348" s="1067"/>
      <c r="T348" s="1244"/>
      <c r="U348" s="571"/>
      <c r="V348" s="573"/>
    </row>
    <row r="349" spans="1:22">
      <c r="A349" s="1243" t="s">
        <v>846</v>
      </c>
      <c r="B349" s="1280">
        <v>20</v>
      </c>
      <c r="C349" s="1280" t="s">
        <v>248</v>
      </c>
      <c r="D349" s="1280">
        <f>coffee+lunch</f>
        <v>16</v>
      </c>
      <c r="E349" s="1069" t="s">
        <v>249</v>
      </c>
      <c r="F349" s="1069">
        <v>1</v>
      </c>
      <c r="G349" s="1069">
        <f>B349*D349*F349</f>
        <v>320</v>
      </c>
      <c r="H349" s="1068"/>
      <c r="I349" s="1069">
        <f>$G349*H345*J$16</f>
        <v>0</v>
      </c>
      <c r="J349" s="571"/>
      <c r="K349" s="1068"/>
      <c r="L349" s="1069">
        <f>$G349*K$345*M$16</f>
        <v>1996.8000000000002</v>
      </c>
      <c r="M349" s="1067"/>
      <c r="N349" s="1068"/>
      <c r="O349" s="1069">
        <f>$G349*N345*P$16</f>
        <v>2076.672</v>
      </c>
      <c r="P349" s="1067"/>
      <c r="Q349" s="1068"/>
      <c r="R349" s="1069">
        <f>$G349*Q$345*S$16</f>
        <v>1439.8259200000002</v>
      </c>
      <c r="S349" s="1067"/>
      <c r="T349" s="1244"/>
      <c r="U349" s="571"/>
      <c r="V349" s="573"/>
    </row>
    <row r="350" spans="1:22">
      <c r="A350" s="1243" t="s">
        <v>781</v>
      </c>
      <c r="B350" s="1280">
        <v>1</v>
      </c>
      <c r="C350" s="1280" t="s">
        <v>277</v>
      </c>
      <c r="D350" s="1280">
        <f>print</f>
        <v>50</v>
      </c>
      <c r="E350" s="1069" t="str">
        <f>C350</f>
        <v>activity</v>
      </c>
      <c r="F350" s="1069">
        <f>IF(B350=0,0,1)</f>
        <v>1</v>
      </c>
      <c r="G350" s="1069">
        <f>B350*D350*F350</f>
        <v>50</v>
      </c>
      <c r="H350" s="1068"/>
      <c r="I350" s="1069">
        <f>$G350*H345*J$16</f>
        <v>0</v>
      </c>
      <c r="J350" s="571"/>
      <c r="K350" s="1068"/>
      <c r="L350" s="1069">
        <f>$G350*K$345*M$16</f>
        <v>312</v>
      </c>
      <c r="M350" s="1067"/>
      <c r="N350" s="1068"/>
      <c r="O350" s="1069">
        <f>$G350*N$345*P$16</f>
        <v>324.48</v>
      </c>
      <c r="P350" s="1067"/>
      <c r="Q350" s="1068"/>
      <c r="R350" s="1069">
        <f>$G350*Q$345*S$16</f>
        <v>224.97280000000001</v>
      </c>
      <c r="S350" s="1067"/>
      <c r="T350" s="1244"/>
      <c r="U350" s="571"/>
      <c r="V350" s="573"/>
    </row>
    <row r="351" spans="1:22">
      <c r="A351" s="613" t="s">
        <v>260</v>
      </c>
      <c r="B351" s="1280"/>
      <c r="C351" s="1280"/>
      <c r="D351" s="1280"/>
      <c r="E351" s="1069"/>
      <c r="F351" s="1069"/>
      <c r="G351" s="1069"/>
      <c r="H351" s="1068"/>
      <c r="I351" s="1069"/>
      <c r="J351" s="571"/>
      <c r="K351" s="1068"/>
      <c r="L351" s="1069"/>
      <c r="M351" s="1067"/>
      <c r="N351" s="1068"/>
      <c r="O351" s="1069"/>
      <c r="P351" s="1067"/>
      <c r="Q351" s="1068"/>
      <c r="R351" s="1069"/>
      <c r="S351" s="1067"/>
      <c r="T351" s="1244"/>
      <c r="U351" s="571"/>
      <c r="V351" s="573"/>
    </row>
    <row r="352" spans="1:22">
      <c r="A352" s="605" t="s">
        <v>818</v>
      </c>
      <c r="B352" s="1280">
        <v>3</v>
      </c>
      <c r="C352" s="1280" t="s">
        <v>248</v>
      </c>
      <c r="D352" s="1280">
        <f>partground</f>
        <v>9</v>
      </c>
      <c r="E352" s="1069" t="s">
        <v>262</v>
      </c>
      <c r="F352" s="1069">
        <f>IF(B352=0,0,1)</f>
        <v>1</v>
      </c>
      <c r="G352" s="1069">
        <f>B352*D352*F352</f>
        <v>27</v>
      </c>
      <c r="H352" s="1068"/>
      <c r="I352" s="1069">
        <f>$G352*H344*J$16</f>
        <v>0</v>
      </c>
      <c r="J352" s="571"/>
      <c r="K352" s="1068"/>
      <c r="L352" s="1069">
        <f>$G352*K$345*M$16</f>
        <v>168.48000000000002</v>
      </c>
      <c r="M352" s="1067"/>
      <c r="N352" s="1068"/>
      <c r="O352" s="1069">
        <f>$G352*N$345*P$16</f>
        <v>175.21920000000003</v>
      </c>
      <c r="P352" s="1067"/>
      <c r="Q352" s="1068"/>
      <c r="R352" s="1069">
        <f>$G352*Q$345*S$16</f>
        <v>121.48531200000001</v>
      </c>
      <c r="S352" s="1067"/>
      <c r="T352" s="1244"/>
      <c r="U352" s="571"/>
      <c r="V352" s="573"/>
    </row>
    <row r="353" spans="1:22">
      <c r="A353" s="1243" t="s">
        <v>267</v>
      </c>
      <c r="B353" s="1280">
        <v>3</v>
      </c>
      <c r="C353" s="1280" t="s">
        <v>248</v>
      </c>
      <c r="D353" s="1280">
        <f>partground</f>
        <v>9</v>
      </c>
      <c r="E353" s="1069" t="s">
        <v>249</v>
      </c>
      <c r="F353" s="1069">
        <f>IF(B353=0,0,1)</f>
        <v>1</v>
      </c>
      <c r="G353" s="1069">
        <f>B353*D353*F353</f>
        <v>27</v>
      </c>
      <c r="H353" s="1068"/>
      <c r="I353" s="1069">
        <f>$G353*H344*J$16</f>
        <v>0</v>
      </c>
      <c r="J353" s="571"/>
      <c r="K353" s="1068"/>
      <c r="L353" s="1069">
        <f>$G353*K$345*M$16</f>
        <v>168.48000000000002</v>
      </c>
      <c r="M353" s="1067"/>
      <c r="N353" s="1068"/>
      <c r="O353" s="1069">
        <f>$G353*N$345*P$16</f>
        <v>175.21920000000003</v>
      </c>
      <c r="P353" s="1067"/>
      <c r="Q353" s="1068"/>
      <c r="R353" s="1069">
        <f>$G353*Q$345*S$16</f>
        <v>121.48531200000001</v>
      </c>
      <c r="S353" s="1067"/>
      <c r="T353" s="1244"/>
      <c r="U353" s="571"/>
      <c r="V353" s="573"/>
    </row>
    <row r="354" spans="1:22">
      <c r="A354" s="605" t="s">
        <v>847</v>
      </c>
      <c r="B354" s="1280">
        <v>1</v>
      </c>
      <c r="C354" s="1280" t="s">
        <v>248</v>
      </c>
      <c r="D354" s="1280">
        <f>partlodg</f>
        <v>35</v>
      </c>
      <c r="E354" s="1069" t="s">
        <v>249</v>
      </c>
      <c r="F354" s="1069">
        <f>IF(B354=0,0,F344)</f>
        <v>0</v>
      </c>
      <c r="G354" s="1069">
        <f>B354*D354*F354</f>
        <v>0</v>
      </c>
      <c r="H354" s="1068"/>
      <c r="I354" s="1069">
        <f>$G354*H344*J$16</f>
        <v>0</v>
      </c>
      <c r="J354" s="571"/>
      <c r="K354" s="1068"/>
      <c r="L354" s="1069">
        <f>$G354*K$345*M$16</f>
        <v>0</v>
      </c>
      <c r="M354" s="1067"/>
      <c r="N354" s="1068"/>
      <c r="O354" s="1069">
        <f>$G354*N$345*P$16</f>
        <v>0</v>
      </c>
      <c r="P354" s="1067"/>
      <c r="Q354" s="1068"/>
      <c r="R354" s="1069">
        <f>$G354*Q$345*S$16</f>
        <v>0</v>
      </c>
      <c r="S354" s="1067"/>
      <c r="T354" s="1244"/>
      <c r="U354" s="571"/>
      <c r="V354" s="573"/>
    </row>
    <row r="355" spans="1:22">
      <c r="A355" s="1243" t="s">
        <v>787</v>
      </c>
      <c r="B355" s="1280">
        <v>3</v>
      </c>
      <c r="C355" s="1280" t="s">
        <v>248</v>
      </c>
      <c r="D355" s="1280">
        <f>partmeals</f>
        <v>47</v>
      </c>
      <c r="E355" s="1069" t="s">
        <v>249</v>
      </c>
      <c r="F355" s="1069">
        <v>1</v>
      </c>
      <c r="G355" s="1069">
        <f>B355*D355*F355</f>
        <v>141</v>
      </c>
      <c r="H355" s="1068"/>
      <c r="I355" s="1069">
        <f>$G355*H344*J$16</f>
        <v>0</v>
      </c>
      <c r="J355" s="571"/>
      <c r="K355" s="1068"/>
      <c r="L355" s="1069">
        <f>$G355*K$345*M$16</f>
        <v>879.84</v>
      </c>
      <c r="M355" s="1067"/>
      <c r="N355" s="1068"/>
      <c r="O355" s="1069">
        <f>$G355*N$345*P$16</f>
        <v>915.03360000000009</v>
      </c>
      <c r="P355" s="1067"/>
      <c r="Q355" s="1068"/>
      <c r="R355" s="1069">
        <f>$G355*Q$345*S$16</f>
        <v>634.42329600000005</v>
      </c>
      <c r="S355" s="1067"/>
      <c r="T355" s="1244"/>
      <c r="U355" s="571"/>
      <c r="V355" s="573"/>
    </row>
    <row r="356" spans="1:22">
      <c r="A356" s="1243" t="s">
        <v>798</v>
      </c>
      <c r="B356" s="1280">
        <v>3</v>
      </c>
      <c r="C356" s="1280" t="s">
        <v>248</v>
      </c>
      <c r="D356" s="1280">
        <f>parttransp</f>
        <v>4</v>
      </c>
      <c r="E356" s="1069" t="s">
        <v>262</v>
      </c>
      <c r="F356" s="1280">
        <v>1</v>
      </c>
      <c r="G356" s="1069">
        <f>B356*D356*F356</f>
        <v>12</v>
      </c>
      <c r="H356" s="1068"/>
      <c r="I356" s="1069">
        <f>$G356*H344*J$16</f>
        <v>0</v>
      </c>
      <c r="J356" s="571"/>
      <c r="K356" s="1068"/>
      <c r="L356" s="1069">
        <f>$G356*K$345*M$16</f>
        <v>74.88</v>
      </c>
      <c r="M356" s="1067"/>
      <c r="N356" s="1068"/>
      <c r="O356" s="1069">
        <f>$G356*N$345*P$16</f>
        <v>77.875200000000007</v>
      </c>
      <c r="P356" s="1067"/>
      <c r="Q356" s="1068"/>
      <c r="R356" s="1069">
        <f>$G356*Q$345*S$16</f>
        <v>53.993472000000004</v>
      </c>
      <c r="S356" s="1067"/>
      <c r="T356" s="1244"/>
      <c r="U356" s="571"/>
      <c r="V356" s="573"/>
    </row>
    <row r="357" spans="1:22">
      <c r="A357" s="1245" t="s">
        <v>788</v>
      </c>
      <c r="B357" s="622"/>
      <c r="C357" s="622"/>
      <c r="D357" s="1246"/>
      <c r="E357" s="1410"/>
      <c r="F357" s="1411"/>
      <c r="G357" s="1247"/>
      <c r="H357" s="1248"/>
      <c r="I357" s="1248"/>
      <c r="J357" s="1239"/>
      <c r="K357" s="1248"/>
      <c r="L357" s="1248"/>
      <c r="M357" s="1239"/>
      <c r="N357" s="1248"/>
      <c r="O357" s="1248"/>
      <c r="P357" s="1239"/>
      <c r="Q357" s="1248"/>
      <c r="R357" s="1248"/>
      <c r="S357" s="1239"/>
      <c r="T357" s="1249"/>
      <c r="U357" s="571"/>
      <c r="V357" s="573"/>
    </row>
    <row r="358" spans="1:22">
      <c r="A358" s="1269"/>
      <c r="B358" s="1270"/>
      <c r="C358" s="1270"/>
      <c r="D358" s="1239"/>
      <c r="E358" s="1248"/>
      <c r="F358" s="1248"/>
      <c r="G358" s="1253"/>
      <c r="H358" s="1253"/>
      <c r="I358" s="1253"/>
      <c r="J358" s="1069"/>
      <c r="K358" s="1253"/>
      <c r="L358" s="1253"/>
      <c r="M358" s="1069"/>
      <c r="N358" s="1253"/>
      <c r="O358" s="1253"/>
      <c r="P358" s="1069"/>
      <c r="Q358" s="1253"/>
      <c r="R358" s="1253"/>
      <c r="S358" s="1069"/>
      <c r="T358" s="1254"/>
      <c r="U358" s="571"/>
      <c r="V358" s="573"/>
    </row>
    <row r="359" spans="1:22">
      <c r="A359" s="1238" t="s">
        <v>784</v>
      </c>
      <c r="B359" s="1239"/>
      <c r="C359" s="1239"/>
      <c r="D359" s="1239"/>
      <c r="E359" s="1239"/>
      <c r="F359" s="1239"/>
      <c r="G359" s="1284"/>
      <c r="H359" s="1438">
        <v>0</v>
      </c>
      <c r="I359" s="1438"/>
      <c r="J359" s="1278">
        <f>SUM(I362:I363)</f>
        <v>0</v>
      </c>
      <c r="K359" s="1444">
        <v>6</v>
      </c>
      <c r="L359" s="1444"/>
      <c r="M359" s="1279">
        <f>SUM(L361:L363)</f>
        <v>2808</v>
      </c>
      <c r="N359" s="1444">
        <v>6</v>
      </c>
      <c r="O359" s="1444"/>
      <c r="P359" s="1279">
        <f>SUM(O360:O363)</f>
        <v>2920.32</v>
      </c>
      <c r="Q359" s="1445">
        <v>4</v>
      </c>
      <c r="R359" s="1445"/>
      <c r="S359" s="597">
        <f>SUM(R360:R363)</f>
        <v>2024.7552000000003</v>
      </c>
      <c r="T359" s="1066">
        <f>SUM(J359,M359,P359,S359,)</f>
        <v>7753.0752000000002</v>
      </c>
      <c r="U359" s="571"/>
      <c r="V359" s="573"/>
    </row>
    <row r="360" spans="1:22">
      <c r="A360" s="599" t="s">
        <v>778</v>
      </c>
      <c r="B360" s="1239"/>
      <c r="C360" s="1239"/>
      <c r="D360" s="1239"/>
      <c r="E360" s="1239"/>
      <c r="F360" s="1239"/>
      <c r="G360" s="1284"/>
      <c r="H360" s="1285"/>
      <c r="I360" s="1284"/>
      <c r="J360" s="1284"/>
      <c r="K360" s="1285"/>
      <c r="L360" s="1280">
        <f t="shared" ref="L360:L369" si="22">$G360*$K$359*M$16</f>
        <v>0</v>
      </c>
      <c r="M360" s="1286"/>
      <c r="N360" s="1285"/>
      <c r="O360" s="1280">
        <f t="shared" ref="O360:O369" si="23">$G360*$N$359*P$16</f>
        <v>0</v>
      </c>
      <c r="P360" s="1286"/>
      <c r="Q360" s="1285"/>
      <c r="R360" s="1280">
        <f t="shared" ref="R360:R369" si="24">$G360*$Q$359*S$16</f>
        <v>0</v>
      </c>
      <c r="S360" s="1241"/>
      <c r="T360" s="1242"/>
      <c r="U360" s="571"/>
      <c r="V360" s="573"/>
    </row>
    <row r="361" spans="1:22">
      <c r="A361" s="1243" t="s">
        <v>838</v>
      </c>
      <c r="B361" s="1280">
        <v>20</v>
      </c>
      <c r="C361" s="1280" t="s">
        <v>248</v>
      </c>
      <c r="D361" s="1280">
        <f>parttransp</f>
        <v>4</v>
      </c>
      <c r="E361" s="1280" t="s">
        <v>249</v>
      </c>
      <c r="F361" s="1069">
        <v>1</v>
      </c>
      <c r="G361" s="1280">
        <f>B361*D361*F361</f>
        <v>80</v>
      </c>
      <c r="H361" s="1281"/>
      <c r="I361" s="1280">
        <f t="shared" ref="I361:I367" si="25">$G361*$H$359*J$16</f>
        <v>0</v>
      </c>
      <c r="J361" s="571"/>
      <c r="K361" s="1281"/>
      <c r="L361" s="1280">
        <f t="shared" si="22"/>
        <v>499.20000000000005</v>
      </c>
      <c r="M361" s="1282"/>
      <c r="N361" s="1281"/>
      <c r="O361" s="1280">
        <f t="shared" si="23"/>
        <v>519.16800000000001</v>
      </c>
      <c r="P361" s="1282"/>
      <c r="Q361" s="1281"/>
      <c r="R361" s="1280">
        <f t="shared" si="24"/>
        <v>359.95648000000006</v>
      </c>
      <c r="S361" s="1067"/>
      <c r="T361" s="1244"/>
      <c r="U361" s="571"/>
      <c r="V361" s="573"/>
    </row>
    <row r="362" spans="1:22">
      <c r="A362" s="1243" t="s">
        <v>780</v>
      </c>
      <c r="B362" s="1280">
        <v>20</v>
      </c>
      <c r="C362" s="1280" t="s">
        <v>248</v>
      </c>
      <c r="D362" s="1280">
        <f>coffee+lunch</f>
        <v>16</v>
      </c>
      <c r="E362" s="1280" t="s">
        <v>249</v>
      </c>
      <c r="F362" s="1069">
        <v>1</v>
      </c>
      <c r="G362" s="1280">
        <f>B362*D362*F362</f>
        <v>320</v>
      </c>
      <c r="H362" s="1281"/>
      <c r="I362" s="1280">
        <f t="shared" si="25"/>
        <v>0</v>
      </c>
      <c r="J362" s="571"/>
      <c r="K362" s="1281"/>
      <c r="L362" s="1280">
        <f t="shared" si="22"/>
        <v>1996.8000000000002</v>
      </c>
      <c r="M362" s="1282"/>
      <c r="N362" s="1281"/>
      <c r="O362" s="1280">
        <f t="shared" si="23"/>
        <v>2076.672</v>
      </c>
      <c r="P362" s="1282"/>
      <c r="Q362" s="1281"/>
      <c r="R362" s="1280">
        <f t="shared" si="24"/>
        <v>1439.8259200000002</v>
      </c>
      <c r="S362" s="1067"/>
      <c r="T362" s="1244"/>
      <c r="U362" s="571"/>
      <c r="V362" s="573"/>
    </row>
    <row r="363" spans="1:22">
      <c r="A363" s="1243" t="s">
        <v>276</v>
      </c>
      <c r="B363" s="1280">
        <v>1</v>
      </c>
      <c r="C363" s="1280" t="s">
        <v>277</v>
      </c>
      <c r="D363" s="1280">
        <f>print</f>
        <v>50</v>
      </c>
      <c r="E363" s="1280" t="str">
        <f>C363</f>
        <v>activity</v>
      </c>
      <c r="F363" s="1069">
        <f>IF(B363=0,0,1)</f>
        <v>1</v>
      </c>
      <c r="G363" s="1069">
        <f>B363*D363*F363</f>
        <v>50</v>
      </c>
      <c r="H363" s="1068"/>
      <c r="I363" s="1069">
        <f t="shared" si="25"/>
        <v>0</v>
      </c>
      <c r="J363" s="571"/>
      <c r="K363" s="1068"/>
      <c r="L363" s="1069">
        <f t="shared" si="22"/>
        <v>312</v>
      </c>
      <c r="M363" s="1067"/>
      <c r="N363" s="1068"/>
      <c r="O363" s="1069">
        <f t="shared" si="23"/>
        <v>324.48</v>
      </c>
      <c r="P363" s="1067"/>
      <c r="Q363" s="1068"/>
      <c r="R363" s="1069">
        <f t="shared" si="24"/>
        <v>224.97280000000001</v>
      </c>
      <c r="S363" s="1067"/>
      <c r="T363" s="1244"/>
      <c r="U363" s="571"/>
      <c r="V363" s="573"/>
    </row>
    <row r="364" spans="1:22">
      <c r="A364" s="613" t="s">
        <v>278</v>
      </c>
      <c r="B364" s="1280"/>
      <c r="C364" s="1280"/>
      <c r="D364" s="1280"/>
      <c r="E364" s="1280"/>
      <c r="F364" s="1069"/>
      <c r="G364" s="1069"/>
      <c r="H364" s="1068"/>
      <c r="I364" s="1069">
        <f t="shared" si="25"/>
        <v>0</v>
      </c>
      <c r="J364" s="571"/>
      <c r="K364" s="1068"/>
      <c r="L364" s="1069">
        <f t="shared" si="22"/>
        <v>0</v>
      </c>
      <c r="M364" s="1067"/>
      <c r="N364" s="1068"/>
      <c r="O364" s="1069">
        <f t="shared" si="23"/>
        <v>0</v>
      </c>
      <c r="P364" s="1067"/>
      <c r="Q364" s="1068"/>
      <c r="R364" s="1069">
        <f t="shared" si="24"/>
        <v>0</v>
      </c>
      <c r="S364" s="1067"/>
      <c r="T364" s="1244"/>
      <c r="U364" s="571"/>
      <c r="V364" s="573"/>
    </row>
    <row r="365" spans="1:22">
      <c r="A365" s="605" t="s">
        <v>839</v>
      </c>
      <c r="B365" s="1280">
        <v>1</v>
      </c>
      <c r="C365" s="1280" t="s">
        <v>248</v>
      </c>
      <c r="D365" s="1280">
        <f>partground</f>
        <v>9</v>
      </c>
      <c r="E365" s="1280" t="s">
        <v>262</v>
      </c>
      <c r="F365" s="1069">
        <v>3</v>
      </c>
      <c r="G365" s="1069">
        <f>B365*D365*F365</f>
        <v>27</v>
      </c>
      <c r="H365" s="1068"/>
      <c r="I365" s="1069">
        <f t="shared" si="25"/>
        <v>0</v>
      </c>
      <c r="J365" s="571"/>
      <c r="K365" s="1068"/>
      <c r="L365" s="1069">
        <f t="shared" si="22"/>
        <v>168.48000000000002</v>
      </c>
      <c r="M365" s="1067"/>
      <c r="N365" s="1068"/>
      <c r="O365" s="1069">
        <f t="shared" si="23"/>
        <v>175.21920000000003</v>
      </c>
      <c r="P365" s="1067"/>
      <c r="Q365" s="1068"/>
      <c r="R365" s="1069">
        <f t="shared" si="24"/>
        <v>121.48531200000001</v>
      </c>
      <c r="S365" s="1067"/>
      <c r="T365" s="1244"/>
      <c r="U365" s="571"/>
      <c r="V365" s="573"/>
    </row>
    <row r="366" spans="1:22">
      <c r="A366" s="1243" t="s">
        <v>263</v>
      </c>
      <c r="B366" s="1280">
        <v>1</v>
      </c>
      <c r="C366" s="1280" t="s">
        <v>248</v>
      </c>
      <c r="D366" s="1280">
        <f>+[1]Assumptions!D101</f>
        <v>25</v>
      </c>
      <c r="E366" s="1280" t="s">
        <v>249</v>
      </c>
      <c r="F366" s="1069">
        <v>3</v>
      </c>
      <c r="G366" s="1069">
        <f>B366*D366*F366</f>
        <v>75</v>
      </c>
      <c r="H366" s="1068"/>
      <c r="I366" s="1069">
        <f t="shared" si="25"/>
        <v>0</v>
      </c>
      <c r="J366" s="571"/>
      <c r="K366" s="1068"/>
      <c r="L366" s="1069">
        <f t="shared" si="22"/>
        <v>468</v>
      </c>
      <c r="M366" s="1067"/>
      <c r="N366" s="1068"/>
      <c r="O366" s="1069">
        <f t="shared" si="23"/>
        <v>486.72</v>
      </c>
      <c r="P366" s="1067"/>
      <c r="Q366" s="1068"/>
      <c r="R366" s="1069">
        <f t="shared" si="24"/>
        <v>337.45920000000001</v>
      </c>
      <c r="S366" s="1067"/>
      <c r="T366" s="1244"/>
      <c r="U366" s="571"/>
      <c r="V366" s="573"/>
    </row>
    <row r="367" spans="1:22">
      <c r="A367" s="605" t="s">
        <v>790</v>
      </c>
      <c r="B367" s="1280">
        <v>1</v>
      </c>
      <c r="C367" s="1280" t="s">
        <v>248</v>
      </c>
      <c r="D367" s="1280">
        <f>+[1]Assumptions!D103</f>
        <v>90</v>
      </c>
      <c r="E367" s="1280" t="s">
        <v>249</v>
      </c>
      <c r="F367" s="1069">
        <v>2</v>
      </c>
      <c r="G367" s="1069">
        <f>B367*D367*F367</f>
        <v>180</v>
      </c>
      <c r="H367" s="1068"/>
      <c r="I367" s="1069">
        <f t="shared" si="25"/>
        <v>0</v>
      </c>
      <c r="J367" s="571"/>
      <c r="K367" s="1068"/>
      <c r="L367" s="1069">
        <f t="shared" si="22"/>
        <v>1123.2</v>
      </c>
      <c r="M367" s="1067"/>
      <c r="N367" s="1068"/>
      <c r="O367" s="1069">
        <f t="shared" si="23"/>
        <v>1168.1280000000002</v>
      </c>
      <c r="P367" s="1067"/>
      <c r="Q367" s="1068"/>
      <c r="R367" s="1069">
        <f t="shared" si="24"/>
        <v>809.90208000000007</v>
      </c>
      <c r="S367" s="1067"/>
      <c r="T367" s="1244"/>
      <c r="U367" s="571"/>
      <c r="V367" s="573"/>
    </row>
    <row r="368" spans="1:22">
      <c r="A368" s="1243" t="s">
        <v>783</v>
      </c>
      <c r="B368" s="1280">
        <v>3</v>
      </c>
      <c r="C368" s="1280" t="s">
        <v>248</v>
      </c>
      <c r="D368" s="1280">
        <f>partmeals</f>
        <v>47</v>
      </c>
      <c r="E368" s="1280" t="s">
        <v>249</v>
      </c>
      <c r="F368" s="1069">
        <v>3</v>
      </c>
      <c r="G368" s="1069">
        <f>B368*D368*F368</f>
        <v>423</v>
      </c>
      <c r="H368" s="1068"/>
      <c r="I368" s="1069">
        <f>$G368*$H$333*J$16</f>
        <v>0</v>
      </c>
      <c r="J368" s="571"/>
      <c r="K368" s="1068"/>
      <c r="L368" s="1069">
        <f t="shared" si="22"/>
        <v>2639.52</v>
      </c>
      <c r="M368" s="1067"/>
      <c r="N368" s="1068"/>
      <c r="O368" s="1069">
        <f t="shared" si="23"/>
        <v>2745.1008000000002</v>
      </c>
      <c r="P368" s="1067"/>
      <c r="Q368" s="1068"/>
      <c r="R368" s="1069">
        <f t="shared" si="24"/>
        <v>1903.269888</v>
      </c>
      <c r="S368" s="1067"/>
      <c r="T368" s="1244"/>
      <c r="U368" s="571"/>
      <c r="V368" s="573"/>
    </row>
    <row r="369" spans="1:22">
      <c r="A369" s="1243" t="s">
        <v>582</v>
      </c>
      <c r="B369" s="1280">
        <v>1</v>
      </c>
      <c r="C369" s="1280" t="s">
        <v>248</v>
      </c>
      <c r="D369" s="1280">
        <f>partairfare</f>
        <v>200</v>
      </c>
      <c r="E369" s="1280" t="s">
        <v>262</v>
      </c>
      <c r="F369" s="1069">
        <v>1</v>
      </c>
      <c r="G369" s="1069">
        <f>B369*D369*F369</f>
        <v>200</v>
      </c>
      <c r="H369" s="1068"/>
      <c r="I369" s="1069">
        <f>$G369*$H$333*J$16</f>
        <v>0</v>
      </c>
      <c r="J369" s="571"/>
      <c r="K369" s="1068"/>
      <c r="L369" s="1069">
        <f t="shared" si="22"/>
        <v>1248</v>
      </c>
      <c r="M369" s="1067"/>
      <c r="N369" s="1068"/>
      <c r="O369" s="1069">
        <f t="shared" si="23"/>
        <v>1297.92</v>
      </c>
      <c r="P369" s="1067"/>
      <c r="Q369" s="1068"/>
      <c r="R369" s="1069">
        <f t="shared" si="24"/>
        <v>899.89120000000003</v>
      </c>
      <c r="S369" s="1067"/>
      <c r="T369" s="1244"/>
      <c r="U369" s="571"/>
      <c r="V369" s="573"/>
    </row>
    <row r="370" spans="1:22">
      <c r="A370" s="1245" t="s">
        <v>788</v>
      </c>
      <c r="B370" s="622"/>
      <c r="C370" s="622"/>
      <c r="D370" s="1246"/>
      <c r="E370" s="1410"/>
      <c r="F370" s="1411"/>
      <c r="G370" s="1247"/>
      <c r="H370" s="1248"/>
      <c r="I370" s="1248"/>
      <c r="J370" s="1239">
        <f>0</f>
        <v>0</v>
      </c>
      <c r="K370" s="1248"/>
      <c r="L370" s="1248"/>
      <c r="M370" s="1239">
        <f>M345+M359</f>
        <v>5616</v>
      </c>
      <c r="N370" s="1248"/>
      <c r="O370" s="1248"/>
      <c r="P370" s="1239">
        <f>P345+P359</f>
        <v>5840.64</v>
      </c>
      <c r="Q370" s="1248"/>
      <c r="R370" s="1248"/>
      <c r="S370" s="1239">
        <f>S345+S359</f>
        <v>4049.5104000000006</v>
      </c>
      <c r="T370" s="1249">
        <f>T345+T359</f>
        <v>15506.1504</v>
      </c>
      <c r="U370" s="571"/>
      <c r="V370" s="573"/>
    </row>
    <row r="371" spans="1:22">
      <c r="A371" s="1269"/>
      <c r="B371" s="1270"/>
      <c r="C371" s="1270"/>
      <c r="D371" s="1239"/>
      <c r="E371" s="1248"/>
      <c r="F371" s="1248"/>
      <c r="G371" s="1253"/>
      <c r="H371" s="1253"/>
      <c r="I371" s="1253"/>
      <c r="J371" s="1069"/>
      <c r="K371" s="1253"/>
      <c r="L371" s="1253"/>
      <c r="M371" s="1069"/>
      <c r="N371" s="1253"/>
      <c r="O371" s="1253"/>
      <c r="P371" s="1069"/>
      <c r="Q371" s="1253"/>
      <c r="R371" s="1253"/>
      <c r="S371" s="1069"/>
      <c r="T371" s="1254"/>
      <c r="U371" s="571"/>
      <c r="V371" s="573"/>
    </row>
    <row r="372" spans="1:22" ht="36.75" customHeight="1">
      <c r="A372" s="1415" t="s">
        <v>848</v>
      </c>
      <c r="B372" s="1416"/>
      <c r="C372" s="1416"/>
      <c r="D372" s="1416"/>
      <c r="E372" s="1417"/>
      <c r="F372" s="595">
        <v>2</v>
      </c>
      <c r="G372" s="595"/>
      <c r="H372" s="1453"/>
      <c r="I372" s="1454"/>
      <c r="J372" s="1278">
        <f>SUM(I375:I384)</f>
        <v>0</v>
      </c>
      <c r="K372" s="1444">
        <v>4</v>
      </c>
      <c r="L372" s="1455"/>
      <c r="M372" s="1279">
        <f>SUM(L375:L377)</f>
        <v>1872</v>
      </c>
      <c r="N372" s="1444">
        <v>4</v>
      </c>
      <c r="O372" s="1455"/>
      <c r="P372" s="1279">
        <f>SUM(O375:O377)</f>
        <v>1946.88</v>
      </c>
      <c r="Q372" s="1445">
        <v>3</v>
      </c>
      <c r="R372" s="1444"/>
      <c r="S372" s="1279">
        <f>SUM(R375:R384)</f>
        <v>2335.2176640000007</v>
      </c>
      <c r="T372" s="1066">
        <f>SUM(J372,M372,P372,S372,)</f>
        <v>6154.0976640000008</v>
      </c>
      <c r="U372" s="571"/>
      <c r="V372" s="573"/>
    </row>
    <row r="373" spans="1:22">
      <c r="A373" s="1250" t="s">
        <v>777</v>
      </c>
      <c r="B373" s="1239"/>
      <c r="C373" s="1239"/>
      <c r="D373" s="1239"/>
      <c r="E373" s="1239"/>
      <c r="F373" s="1239"/>
      <c r="G373" s="1239"/>
      <c r="H373" s="1240"/>
      <c r="I373" s="1239"/>
      <c r="J373" s="1239"/>
      <c r="K373" s="1240"/>
      <c r="L373" s="1246"/>
      <c r="M373" s="1241"/>
      <c r="N373" s="1240"/>
      <c r="O373" s="1239"/>
      <c r="P373" s="1241"/>
      <c r="Q373" s="1240"/>
      <c r="R373" s="1239"/>
      <c r="S373" s="1241"/>
      <c r="T373" s="1242"/>
      <c r="U373" s="571"/>
      <c r="V373" s="573"/>
    </row>
    <row r="374" spans="1:22">
      <c r="A374" s="599" t="s">
        <v>778</v>
      </c>
      <c r="B374" s="1239"/>
      <c r="C374" s="1239"/>
      <c r="D374" s="1239"/>
      <c r="E374" s="1239"/>
      <c r="F374" s="1239"/>
      <c r="G374" s="1239"/>
      <c r="H374" s="1240"/>
      <c r="I374" s="1239"/>
      <c r="J374" s="1239"/>
      <c r="K374" s="1240"/>
      <c r="L374" s="1069">
        <f>$G374*K$372*M$16</f>
        <v>0</v>
      </c>
      <c r="M374" s="1241"/>
      <c r="N374" s="1240"/>
      <c r="O374" s="1239"/>
      <c r="P374" s="1241"/>
      <c r="Q374" s="1240"/>
      <c r="R374" s="1069">
        <f>$G374*Q$372*S$16</f>
        <v>0</v>
      </c>
      <c r="S374" s="1241"/>
      <c r="T374" s="1242"/>
      <c r="U374" s="571"/>
      <c r="V374" s="573"/>
    </row>
    <row r="375" spans="1:22">
      <c r="A375" s="1243" t="s">
        <v>815</v>
      </c>
      <c r="B375" s="1280">
        <v>20</v>
      </c>
      <c r="C375" s="1280" t="s">
        <v>248</v>
      </c>
      <c r="D375" s="1280">
        <f>parttransp</f>
        <v>4</v>
      </c>
      <c r="E375" s="1280" t="s">
        <v>249</v>
      </c>
      <c r="F375" s="1280">
        <v>1</v>
      </c>
      <c r="G375" s="1069">
        <f>B375*D375*F375</f>
        <v>80</v>
      </c>
      <c r="H375" s="1068"/>
      <c r="I375" s="1069">
        <f>$G375*H372*J$16</f>
        <v>0</v>
      </c>
      <c r="J375" s="571"/>
      <c r="K375" s="1068"/>
      <c r="L375" s="1069">
        <f>$G375*K$372*M$16</f>
        <v>332.8</v>
      </c>
      <c r="M375" s="1067"/>
      <c r="N375" s="1068"/>
      <c r="O375" s="1069">
        <f>$G375*N$372*P$16</f>
        <v>346.11200000000002</v>
      </c>
      <c r="P375" s="1067"/>
      <c r="Q375" s="1068"/>
      <c r="R375" s="1069">
        <f>$G375*Q$372*S$16</f>
        <v>269.96736000000004</v>
      </c>
      <c r="S375" s="1067"/>
      <c r="T375" s="1244"/>
      <c r="U375" s="571"/>
      <c r="V375" s="573"/>
    </row>
    <row r="376" spans="1:22">
      <c r="A376" s="1243" t="s">
        <v>780</v>
      </c>
      <c r="B376" s="1280">
        <v>20</v>
      </c>
      <c r="C376" s="1280" t="s">
        <v>248</v>
      </c>
      <c r="D376" s="1280">
        <f>coffee+lunch</f>
        <v>16</v>
      </c>
      <c r="E376" s="1280" t="s">
        <v>249</v>
      </c>
      <c r="F376" s="1280">
        <v>1</v>
      </c>
      <c r="G376" s="1069">
        <f>B376*D376*F376</f>
        <v>320</v>
      </c>
      <c r="H376" s="1068"/>
      <c r="I376" s="1069">
        <f>$G376*H372*J$16</f>
        <v>0</v>
      </c>
      <c r="J376" s="571"/>
      <c r="K376" s="1068"/>
      <c r="L376" s="1069">
        <f>$G376*K$372*M$16</f>
        <v>1331.2</v>
      </c>
      <c r="M376" s="1067"/>
      <c r="N376" s="1068"/>
      <c r="O376" s="1069">
        <f>$G376*N$372*P$16</f>
        <v>1384.4480000000001</v>
      </c>
      <c r="P376" s="1067"/>
      <c r="Q376" s="1068"/>
      <c r="R376" s="1069">
        <f>$G376*Q$372*S$16</f>
        <v>1079.8694400000002</v>
      </c>
      <c r="S376" s="1067"/>
      <c r="T376" s="1244"/>
      <c r="U376" s="571"/>
      <c r="V376" s="573"/>
    </row>
    <row r="377" spans="1:22">
      <c r="A377" s="1243" t="s">
        <v>849</v>
      </c>
      <c r="B377" s="1280">
        <v>1</v>
      </c>
      <c r="C377" s="1280" t="s">
        <v>277</v>
      </c>
      <c r="D377" s="1280">
        <f>print</f>
        <v>50</v>
      </c>
      <c r="E377" s="1280" t="str">
        <f>C377</f>
        <v>activity</v>
      </c>
      <c r="F377" s="1280">
        <f>IF(B377=0,0,1)</f>
        <v>1</v>
      </c>
      <c r="G377" s="1069">
        <f>B377*D377*F377</f>
        <v>50</v>
      </c>
      <c r="H377" s="1068"/>
      <c r="I377" s="1069">
        <f>$G377*H372*J$16</f>
        <v>0</v>
      </c>
      <c r="J377" s="571"/>
      <c r="K377" s="1068"/>
      <c r="L377" s="1069">
        <f>$G377*K$372*M$16</f>
        <v>208</v>
      </c>
      <c r="M377" s="1067"/>
      <c r="N377" s="1068"/>
      <c r="O377" s="1069">
        <f>$G377*N$372*P$16</f>
        <v>216.32000000000002</v>
      </c>
      <c r="P377" s="1067"/>
      <c r="Q377" s="1068"/>
      <c r="R377" s="1069">
        <f>$G377*Q$372*S$16</f>
        <v>168.7296</v>
      </c>
      <c r="S377" s="1067"/>
      <c r="T377" s="1244"/>
      <c r="U377" s="571"/>
      <c r="V377" s="573"/>
    </row>
    <row r="378" spans="1:22">
      <c r="A378" s="613" t="s">
        <v>260</v>
      </c>
      <c r="B378" s="1280"/>
      <c r="C378" s="1280"/>
      <c r="D378" s="1280"/>
      <c r="E378" s="1280"/>
      <c r="F378" s="1280"/>
      <c r="G378" s="1069"/>
      <c r="H378" s="1068"/>
      <c r="I378" s="1069"/>
      <c r="J378" s="571"/>
      <c r="K378" s="1068"/>
      <c r="L378" s="1069"/>
      <c r="M378" s="1067"/>
      <c r="N378" s="1068"/>
      <c r="O378" s="1069"/>
      <c r="P378" s="1067"/>
      <c r="Q378" s="1068"/>
      <c r="R378" s="1069"/>
      <c r="S378" s="1067"/>
      <c r="T378" s="1244"/>
      <c r="U378" s="571"/>
      <c r="V378" s="573"/>
    </row>
    <row r="379" spans="1:22">
      <c r="A379" s="605" t="s">
        <v>850</v>
      </c>
      <c r="B379" s="1280">
        <v>3</v>
      </c>
      <c r="C379" s="1280" t="s">
        <v>248</v>
      </c>
      <c r="D379" s="1280">
        <f>partground</f>
        <v>9</v>
      </c>
      <c r="E379" s="1280" t="s">
        <v>262</v>
      </c>
      <c r="F379" s="1280">
        <f>IF(B379=0,0,1)</f>
        <v>1</v>
      </c>
      <c r="G379" s="1069">
        <f>B379*D379*F379</f>
        <v>27</v>
      </c>
      <c r="H379" s="1068"/>
      <c r="I379" s="1069">
        <f>$G379*H371*J$16</f>
        <v>0</v>
      </c>
      <c r="J379" s="571"/>
      <c r="K379" s="1068"/>
      <c r="L379" s="1069">
        <f>$G379*K$372*M$16</f>
        <v>112.32000000000001</v>
      </c>
      <c r="M379" s="1067"/>
      <c r="N379" s="1068"/>
      <c r="O379" s="1069">
        <f>$G379*N$372*P$16</f>
        <v>116.81280000000001</v>
      </c>
      <c r="P379" s="1067"/>
      <c r="Q379" s="1068"/>
      <c r="R379" s="1069">
        <f>$G379*Q$372*S$16</f>
        <v>91.113984000000002</v>
      </c>
      <c r="S379" s="1067"/>
      <c r="T379" s="1244"/>
      <c r="U379" s="571"/>
      <c r="V379" s="573"/>
    </row>
    <row r="380" spans="1:22">
      <c r="A380" s="1243" t="s">
        <v>267</v>
      </c>
      <c r="B380" s="1280">
        <v>3</v>
      </c>
      <c r="C380" s="1280" t="s">
        <v>248</v>
      </c>
      <c r="D380" s="1280">
        <f>partground</f>
        <v>9</v>
      </c>
      <c r="E380" s="1280" t="s">
        <v>249</v>
      </c>
      <c r="F380" s="1280">
        <f>IF(B380=0,0,1)</f>
        <v>1</v>
      </c>
      <c r="G380" s="1069">
        <f>B380*D380*F380</f>
        <v>27</v>
      </c>
      <c r="H380" s="1068"/>
      <c r="I380" s="1069">
        <f>$G380*H371*J$16</f>
        <v>0</v>
      </c>
      <c r="J380" s="571"/>
      <c r="K380" s="1068"/>
      <c r="L380" s="1069">
        <f>$G380*K$372*M$16</f>
        <v>112.32000000000001</v>
      </c>
      <c r="M380" s="1067"/>
      <c r="N380" s="1068"/>
      <c r="O380" s="1069">
        <f>$G380*N$372*P$16</f>
        <v>116.81280000000001</v>
      </c>
      <c r="P380" s="1067"/>
      <c r="Q380" s="1068"/>
      <c r="R380" s="1069">
        <f>$G380*Q$372*S$16</f>
        <v>91.113984000000002</v>
      </c>
      <c r="S380" s="1067"/>
      <c r="T380" s="1244"/>
      <c r="U380" s="571"/>
      <c r="V380" s="573"/>
    </row>
    <row r="381" spans="1:22">
      <c r="A381" s="605" t="s">
        <v>847</v>
      </c>
      <c r="B381" s="1280">
        <v>1</v>
      </c>
      <c r="C381" s="1280" t="s">
        <v>248</v>
      </c>
      <c r="D381" s="1280">
        <f>partlodg</f>
        <v>35</v>
      </c>
      <c r="E381" s="1280" t="s">
        <v>249</v>
      </c>
      <c r="F381" s="1280">
        <v>1</v>
      </c>
      <c r="G381" s="1069">
        <f>B381*D381*F381</f>
        <v>35</v>
      </c>
      <c r="H381" s="1068"/>
      <c r="I381" s="1069">
        <f>$G381*H371*J$16</f>
        <v>0</v>
      </c>
      <c r="J381" s="571"/>
      <c r="K381" s="1068"/>
      <c r="L381" s="1069">
        <f>$G381*K$372*M$16</f>
        <v>145.6</v>
      </c>
      <c r="M381" s="1067"/>
      <c r="N381" s="1068"/>
      <c r="O381" s="1069">
        <f>$G381*N$372*P$16</f>
        <v>151.42400000000001</v>
      </c>
      <c r="P381" s="1067"/>
      <c r="Q381" s="1068"/>
      <c r="R381" s="1069">
        <f>$G381*Q$372*S$16</f>
        <v>118.11072000000001</v>
      </c>
      <c r="S381" s="1067"/>
      <c r="T381" s="1244"/>
      <c r="U381" s="571"/>
      <c r="V381" s="573"/>
    </row>
    <row r="382" spans="1:22">
      <c r="A382" s="1243" t="s">
        <v>787</v>
      </c>
      <c r="B382" s="1280">
        <v>3</v>
      </c>
      <c r="C382" s="1280" t="s">
        <v>248</v>
      </c>
      <c r="D382" s="1280">
        <f>partmeals</f>
        <v>47</v>
      </c>
      <c r="E382" s="1280" t="s">
        <v>249</v>
      </c>
      <c r="F382" s="1280">
        <v>1</v>
      </c>
      <c r="G382" s="1069">
        <f>B382*D382*F382</f>
        <v>141</v>
      </c>
      <c r="H382" s="1068"/>
      <c r="I382" s="1069">
        <f>$G382*H371*J$16</f>
        <v>0</v>
      </c>
      <c r="J382" s="571"/>
      <c r="K382" s="1068"/>
      <c r="L382" s="1069">
        <f>$G382*K$372*M$16</f>
        <v>586.56000000000006</v>
      </c>
      <c r="M382" s="1067"/>
      <c r="N382" s="1068"/>
      <c r="O382" s="1069">
        <f>$G382*N$372*P$16</f>
        <v>610.02240000000006</v>
      </c>
      <c r="P382" s="1067"/>
      <c r="Q382" s="1068"/>
      <c r="R382" s="1069">
        <f>$G382*Q$372*S$16</f>
        <v>475.81747200000001</v>
      </c>
      <c r="S382" s="1067"/>
      <c r="T382" s="1244"/>
      <c r="U382" s="571"/>
      <c r="V382" s="573"/>
    </row>
    <row r="383" spans="1:22">
      <c r="A383" s="1243" t="s">
        <v>851</v>
      </c>
      <c r="B383" s="1280">
        <v>3</v>
      </c>
      <c r="C383" s="1280" t="s">
        <v>248</v>
      </c>
      <c r="D383" s="1280">
        <f>parttransp</f>
        <v>4</v>
      </c>
      <c r="E383" s="1280" t="s">
        <v>262</v>
      </c>
      <c r="F383" s="1280">
        <v>1</v>
      </c>
      <c r="G383" s="1069">
        <f>B383*D383*F383</f>
        <v>12</v>
      </c>
      <c r="H383" s="1068"/>
      <c r="I383" s="1069">
        <f>$G383*H371*J$16</f>
        <v>0</v>
      </c>
      <c r="J383" s="571"/>
      <c r="K383" s="1068"/>
      <c r="L383" s="1069">
        <f>$G383*K$372*M$16</f>
        <v>49.92</v>
      </c>
      <c r="M383" s="1067"/>
      <c r="N383" s="1068"/>
      <c r="O383" s="1069">
        <f>$G383*N$372*P$16</f>
        <v>51.916800000000009</v>
      </c>
      <c r="P383" s="1067"/>
      <c r="Q383" s="1068"/>
      <c r="R383" s="1069">
        <f>$G383*Q$372*S$16</f>
        <v>40.495104000000005</v>
      </c>
      <c r="S383" s="1067"/>
      <c r="T383" s="1244"/>
      <c r="U383" s="571"/>
      <c r="V383" s="573"/>
    </row>
    <row r="384" spans="1:22">
      <c r="A384" s="1245" t="s">
        <v>788</v>
      </c>
      <c r="B384" s="622"/>
      <c r="C384" s="622"/>
      <c r="D384" s="1246"/>
      <c r="E384" s="1410"/>
      <c r="F384" s="1411"/>
      <c r="G384" s="1247"/>
      <c r="H384" s="1248"/>
      <c r="I384" s="1248"/>
      <c r="J384" s="1239"/>
      <c r="K384" s="1248"/>
      <c r="L384" s="1248"/>
      <c r="M384" s="1239"/>
      <c r="N384" s="1248"/>
      <c r="O384" s="1248"/>
      <c r="P384" s="1239"/>
      <c r="Q384" s="1248"/>
      <c r="R384" s="1248"/>
      <c r="S384" s="1239"/>
      <c r="T384" s="1249"/>
      <c r="U384" s="571"/>
      <c r="V384" s="573"/>
    </row>
    <row r="385" spans="1:22">
      <c r="A385" s="1269"/>
      <c r="B385" s="1270"/>
      <c r="C385" s="1270"/>
      <c r="D385" s="1239"/>
      <c r="E385" s="1248"/>
      <c r="F385" s="1248"/>
      <c r="G385" s="1253"/>
      <c r="H385" s="1253"/>
      <c r="I385" s="1253"/>
      <c r="J385" s="1069"/>
      <c r="K385" s="1253"/>
      <c r="L385" s="1253"/>
      <c r="M385" s="1069"/>
      <c r="N385" s="1253"/>
      <c r="O385" s="1253"/>
      <c r="P385" s="1069"/>
      <c r="Q385" s="1253"/>
      <c r="R385" s="1253"/>
      <c r="S385" s="1069"/>
      <c r="T385" s="1254"/>
      <c r="U385" s="571"/>
      <c r="V385" s="573"/>
    </row>
    <row r="386" spans="1:22">
      <c r="A386" s="1238" t="s">
        <v>784</v>
      </c>
      <c r="B386" s="1239"/>
      <c r="C386" s="1239"/>
      <c r="D386" s="1239"/>
      <c r="E386" s="1239"/>
      <c r="F386" s="1239">
        <v>1</v>
      </c>
      <c r="G386" s="1239"/>
      <c r="H386" s="1438"/>
      <c r="I386" s="1439"/>
      <c r="J386" s="1278">
        <f>SUM(I389:I390)</f>
        <v>0</v>
      </c>
      <c r="K386" s="1444"/>
      <c r="L386" s="1455"/>
      <c r="M386" s="1279">
        <f>SUM(L388:L390)</f>
        <v>0</v>
      </c>
      <c r="N386" s="1444"/>
      <c r="O386" s="1455"/>
      <c r="P386" s="1279">
        <f>SUM(O387:O390)</f>
        <v>0</v>
      </c>
      <c r="Q386" s="1445"/>
      <c r="R386" s="1444"/>
      <c r="S386" s="597">
        <f>SUM(R389:R390)</f>
        <v>0</v>
      </c>
      <c r="T386" s="1066">
        <f>SUM(J386,M386,P386,S386,)</f>
        <v>0</v>
      </c>
      <c r="U386" s="571"/>
      <c r="V386" s="573"/>
    </row>
    <row r="387" spans="1:22">
      <c r="A387" s="599" t="s">
        <v>778</v>
      </c>
      <c r="B387" s="1239"/>
      <c r="C387" s="1239"/>
      <c r="D387" s="1239"/>
      <c r="E387" s="1239"/>
      <c r="F387" s="1239"/>
      <c r="G387" s="1239"/>
      <c r="H387" s="1240"/>
      <c r="I387" s="1239"/>
      <c r="J387" s="1239"/>
      <c r="K387" s="1240"/>
      <c r="L387" s="1069">
        <f>$G387*$K$386*M$16</f>
        <v>0</v>
      </c>
      <c r="M387" s="1241"/>
      <c r="N387" s="1240"/>
      <c r="O387" s="1069">
        <f>$G387*$N$386*P$16</f>
        <v>0</v>
      </c>
      <c r="P387" s="1241"/>
      <c r="Q387" s="1240"/>
      <c r="R387" s="1069">
        <f>$G387*$Q$386*S$16</f>
        <v>0</v>
      </c>
      <c r="S387" s="1241"/>
      <c r="T387" s="1242"/>
      <c r="U387" s="571"/>
      <c r="V387" s="573"/>
    </row>
    <row r="388" spans="1:22">
      <c r="A388" s="1243" t="s">
        <v>838</v>
      </c>
      <c r="B388" s="1280">
        <v>0</v>
      </c>
      <c r="C388" s="1280" t="s">
        <v>248</v>
      </c>
      <c r="D388" s="1280">
        <f>parttransp</f>
        <v>4</v>
      </c>
      <c r="E388" s="1069" t="s">
        <v>249</v>
      </c>
      <c r="F388" s="1069">
        <v>1</v>
      </c>
      <c r="G388" s="1069">
        <f>B388*D388*F388</f>
        <v>0</v>
      </c>
      <c r="H388" s="1068"/>
      <c r="I388" s="1069">
        <f>$G388*$H$359*J$16</f>
        <v>0</v>
      </c>
      <c r="J388" s="571"/>
      <c r="K388" s="1068"/>
      <c r="L388" s="1069">
        <f>$G388*$K$386*M$16</f>
        <v>0</v>
      </c>
      <c r="M388" s="1067"/>
      <c r="N388" s="1068"/>
      <c r="O388" s="1069">
        <f>$G388*$N$386*P$16</f>
        <v>0</v>
      </c>
      <c r="P388" s="1067"/>
      <c r="Q388" s="1068"/>
      <c r="R388" s="1069">
        <f>$G388*$Q$386*S$16</f>
        <v>0</v>
      </c>
      <c r="S388" s="1067"/>
      <c r="T388" s="1244"/>
      <c r="U388" s="571"/>
      <c r="V388" s="573"/>
    </row>
    <row r="389" spans="1:22">
      <c r="A389" s="1243" t="s">
        <v>780</v>
      </c>
      <c r="B389" s="1280">
        <v>0</v>
      </c>
      <c r="C389" s="1280" t="s">
        <v>248</v>
      </c>
      <c r="D389" s="1280">
        <f>coffee+lunch</f>
        <v>16</v>
      </c>
      <c r="E389" s="1069" t="s">
        <v>249</v>
      </c>
      <c r="F389" s="1069">
        <v>1</v>
      </c>
      <c r="G389" s="1069">
        <f>B389*D389*F389</f>
        <v>0</v>
      </c>
      <c r="H389" s="1068"/>
      <c r="I389" s="1069">
        <f>$G389*$H$359*J$16</f>
        <v>0</v>
      </c>
      <c r="J389" s="571"/>
      <c r="K389" s="1068"/>
      <c r="L389" s="1069">
        <f>$G389*$K$386*M$16</f>
        <v>0</v>
      </c>
      <c r="M389" s="1067"/>
      <c r="N389" s="1068"/>
      <c r="O389" s="1069">
        <f>$G389*$N$386*P$16</f>
        <v>0</v>
      </c>
      <c r="P389" s="1067"/>
      <c r="Q389" s="1068"/>
      <c r="R389" s="1069">
        <f>$G389*$Q$386*S$16</f>
        <v>0</v>
      </c>
      <c r="S389" s="1067"/>
      <c r="T389" s="1244"/>
      <c r="U389" s="571"/>
      <c r="V389" s="573"/>
    </row>
    <row r="390" spans="1:22">
      <c r="A390" s="1243" t="s">
        <v>781</v>
      </c>
      <c r="B390" s="1280">
        <v>0</v>
      </c>
      <c r="C390" s="1280" t="s">
        <v>277</v>
      </c>
      <c r="D390" s="1280">
        <f>print</f>
        <v>50</v>
      </c>
      <c r="E390" s="1069" t="str">
        <f>C390</f>
        <v>activity</v>
      </c>
      <c r="F390" s="1069">
        <f>IF(B390=0,0,1)</f>
        <v>0</v>
      </c>
      <c r="G390" s="1069">
        <f>B390*D390*F390</f>
        <v>0</v>
      </c>
      <c r="H390" s="1068"/>
      <c r="I390" s="1069">
        <f>$G390*$H$359*J$16</f>
        <v>0</v>
      </c>
      <c r="J390" s="571"/>
      <c r="K390" s="1068"/>
      <c r="L390" s="1069">
        <f>$G390*$K$386*M$16</f>
        <v>0</v>
      </c>
      <c r="M390" s="1067"/>
      <c r="N390" s="1068"/>
      <c r="O390" s="1069">
        <f>$G390*$N$386*P$16</f>
        <v>0</v>
      </c>
      <c r="P390" s="1067"/>
      <c r="Q390" s="1068"/>
      <c r="R390" s="1069">
        <f>$G390*$Q$386*S$16</f>
        <v>0</v>
      </c>
      <c r="S390" s="1067"/>
      <c r="T390" s="1244"/>
      <c r="U390" s="571"/>
      <c r="V390" s="573"/>
    </row>
    <row r="391" spans="1:22">
      <c r="A391" s="613" t="s">
        <v>278</v>
      </c>
      <c r="B391" s="1280"/>
      <c r="C391" s="1280"/>
      <c r="D391" s="1280"/>
      <c r="E391" s="1069"/>
      <c r="F391" s="1069"/>
      <c r="G391" s="1069"/>
      <c r="H391" s="1068"/>
      <c r="I391" s="1069"/>
      <c r="J391" s="571"/>
      <c r="K391" s="1068"/>
      <c r="L391" s="1069"/>
      <c r="M391" s="1067"/>
      <c r="N391" s="1068"/>
      <c r="O391" s="1069"/>
      <c r="P391" s="1067"/>
      <c r="Q391" s="1068"/>
      <c r="R391" s="1069"/>
      <c r="S391" s="1067"/>
      <c r="T391" s="1244"/>
      <c r="U391" s="571"/>
      <c r="V391" s="573"/>
    </row>
    <row r="392" spans="1:22">
      <c r="A392" s="605" t="s">
        <v>852</v>
      </c>
      <c r="B392" s="1280">
        <v>1</v>
      </c>
      <c r="C392" s="1280" t="s">
        <v>248</v>
      </c>
      <c r="D392" s="1280">
        <f>partground</f>
        <v>9</v>
      </c>
      <c r="E392" s="1069" t="s">
        <v>262</v>
      </c>
      <c r="F392" s="1069">
        <v>3</v>
      </c>
      <c r="G392" s="1069">
        <f>B392*D392*F392</f>
        <v>27</v>
      </c>
      <c r="H392" s="1068"/>
      <c r="I392" s="1069">
        <f>$G392*$H$359*J$16</f>
        <v>0</v>
      </c>
      <c r="J392" s="571"/>
      <c r="K392" s="1068"/>
      <c r="L392" s="1069">
        <f>$G392*$K$386*M$16</f>
        <v>0</v>
      </c>
      <c r="M392" s="1067"/>
      <c r="N392" s="1068"/>
      <c r="O392" s="1069">
        <f>$G392*$N$386*P$16</f>
        <v>0</v>
      </c>
      <c r="P392" s="1067"/>
      <c r="Q392" s="1068"/>
      <c r="R392" s="1069">
        <f>$G392*$Q$386*S$16</f>
        <v>0</v>
      </c>
      <c r="S392" s="1067"/>
      <c r="T392" s="1244"/>
      <c r="U392" s="571"/>
      <c r="V392" s="573"/>
    </row>
    <row r="393" spans="1:22">
      <c r="A393" s="1243" t="s">
        <v>840</v>
      </c>
      <c r="B393" s="1280">
        <v>1</v>
      </c>
      <c r="C393" s="1280" t="s">
        <v>248</v>
      </c>
      <c r="D393" s="1280">
        <f>+[1]Assumptions!D101</f>
        <v>25</v>
      </c>
      <c r="E393" s="1069" t="s">
        <v>249</v>
      </c>
      <c r="F393" s="1069">
        <v>3</v>
      </c>
      <c r="G393" s="1069">
        <f>B393*D393*F393</f>
        <v>75</v>
      </c>
      <c r="H393" s="1068"/>
      <c r="I393" s="1069">
        <f>$G393*$H$359*J$16</f>
        <v>0</v>
      </c>
      <c r="J393" s="571"/>
      <c r="K393" s="1068"/>
      <c r="L393" s="1069">
        <f>$G393*$K$386*M$16</f>
        <v>0</v>
      </c>
      <c r="M393" s="1067"/>
      <c r="N393" s="1068"/>
      <c r="O393" s="1069">
        <f>$G393*$N$386*P$16</f>
        <v>0</v>
      </c>
      <c r="P393" s="1067"/>
      <c r="Q393" s="1068"/>
      <c r="R393" s="1069">
        <f>$G393*$Q$386*S$16</f>
        <v>0</v>
      </c>
      <c r="S393" s="1067"/>
      <c r="T393" s="1244"/>
      <c r="U393" s="571"/>
      <c r="V393" s="573"/>
    </row>
    <row r="394" spans="1:22">
      <c r="A394" s="605" t="s">
        <v>790</v>
      </c>
      <c r="B394" s="1280">
        <v>1</v>
      </c>
      <c r="C394" s="1280" t="s">
        <v>248</v>
      </c>
      <c r="D394" s="1280">
        <f>+[1]Assumptions!D103</f>
        <v>90</v>
      </c>
      <c r="E394" s="1069" t="s">
        <v>249</v>
      </c>
      <c r="F394" s="1069">
        <v>2</v>
      </c>
      <c r="G394" s="1069">
        <f>B394*D394*F394</f>
        <v>180</v>
      </c>
      <c r="H394" s="1068"/>
      <c r="I394" s="1069">
        <f>$G394*$H$359*J$16</f>
        <v>0</v>
      </c>
      <c r="J394" s="571"/>
      <c r="K394" s="1068"/>
      <c r="L394" s="1069">
        <f>$G394*$K$386*M$16</f>
        <v>0</v>
      </c>
      <c r="M394" s="1067"/>
      <c r="N394" s="1068"/>
      <c r="O394" s="1069">
        <f>$G394*$N$386*P$16</f>
        <v>0</v>
      </c>
      <c r="P394" s="1067"/>
      <c r="Q394" s="1068"/>
      <c r="R394" s="1069">
        <f>$G394*$Q$386*S$16</f>
        <v>0</v>
      </c>
      <c r="S394" s="1067"/>
      <c r="T394" s="1244"/>
      <c r="U394" s="571"/>
      <c r="V394" s="573"/>
    </row>
    <row r="395" spans="1:22">
      <c r="A395" s="1243" t="s">
        <v>787</v>
      </c>
      <c r="B395" s="1280">
        <v>1</v>
      </c>
      <c r="C395" s="1280" t="s">
        <v>248</v>
      </c>
      <c r="D395" s="1280">
        <f>partmeals</f>
        <v>47</v>
      </c>
      <c r="E395" s="1069" t="s">
        <v>249</v>
      </c>
      <c r="F395" s="1069">
        <v>3</v>
      </c>
      <c r="G395" s="1069">
        <f>B395*D395*F395</f>
        <v>141</v>
      </c>
      <c r="H395" s="1068"/>
      <c r="I395" s="1069">
        <f>$G395*$H$333*J$16</f>
        <v>0</v>
      </c>
      <c r="J395" s="571"/>
      <c r="K395" s="1068"/>
      <c r="L395" s="1069">
        <f>$G395*$K$386*M$16</f>
        <v>0</v>
      </c>
      <c r="M395" s="1067"/>
      <c r="N395" s="1068"/>
      <c r="O395" s="1069">
        <f>$G395*$N$386*P$16</f>
        <v>0</v>
      </c>
      <c r="P395" s="1067"/>
      <c r="Q395" s="1068"/>
      <c r="R395" s="1069">
        <f>$G395*$Q$386*S$16</f>
        <v>0</v>
      </c>
      <c r="S395" s="1067"/>
      <c r="T395" s="1244"/>
      <c r="U395" s="571"/>
      <c r="V395" s="573"/>
    </row>
    <row r="396" spans="1:22">
      <c r="A396" s="1243" t="s">
        <v>853</v>
      </c>
      <c r="B396" s="1280">
        <v>1</v>
      </c>
      <c r="C396" s="1280" t="s">
        <v>248</v>
      </c>
      <c r="D396" s="1280">
        <f>partairfare</f>
        <v>200</v>
      </c>
      <c r="E396" s="1069" t="s">
        <v>262</v>
      </c>
      <c r="F396" s="1069">
        <v>1</v>
      </c>
      <c r="G396" s="1069">
        <f>B396*D396*F396</f>
        <v>200</v>
      </c>
      <c r="H396" s="1068"/>
      <c r="I396" s="1069">
        <f>$G396*$H$333*J$16</f>
        <v>0</v>
      </c>
      <c r="J396" s="571"/>
      <c r="K396" s="1068"/>
      <c r="L396" s="1069">
        <f>$G396*$K$386*M$16</f>
        <v>0</v>
      </c>
      <c r="M396" s="1067"/>
      <c r="N396" s="1068"/>
      <c r="O396" s="1069">
        <f>$G396*$N$386*P$16</f>
        <v>0</v>
      </c>
      <c r="P396" s="1067"/>
      <c r="Q396" s="1068"/>
      <c r="R396" s="1069">
        <f>$G396*$Q$386*S$16</f>
        <v>0</v>
      </c>
      <c r="S396" s="1067"/>
      <c r="T396" s="1244"/>
      <c r="U396" s="571"/>
      <c r="V396" s="573"/>
    </row>
    <row r="397" spans="1:22">
      <c r="A397" s="1245" t="s">
        <v>788</v>
      </c>
      <c r="B397" s="622"/>
      <c r="C397" s="622"/>
      <c r="D397" s="1246"/>
      <c r="E397" s="1410"/>
      <c r="F397" s="1411"/>
      <c r="G397" s="1247"/>
      <c r="H397" s="1248"/>
      <c r="I397" s="1248"/>
      <c r="J397" s="1239"/>
      <c r="K397" s="1248"/>
      <c r="L397" s="1248"/>
      <c r="M397" s="1239">
        <f>M372</f>
        <v>1872</v>
      </c>
      <c r="N397" s="1248"/>
      <c r="O397" s="1248"/>
      <c r="P397" s="1239">
        <f>P372</f>
        <v>1946.88</v>
      </c>
      <c r="Q397" s="1248"/>
      <c r="R397" s="1248"/>
      <c r="S397" s="1239">
        <f>S372</f>
        <v>2335.2176640000007</v>
      </c>
      <c r="T397" s="1249">
        <f>T372</f>
        <v>6154.0976640000008</v>
      </c>
      <c r="U397" s="571"/>
      <c r="V397" s="573"/>
    </row>
    <row r="398" spans="1:22">
      <c r="A398" s="1269"/>
      <c r="B398" s="1270"/>
      <c r="C398" s="1270"/>
      <c r="D398" s="1239"/>
      <c r="E398" s="1248"/>
      <c r="F398" s="1248"/>
      <c r="G398" s="1253"/>
      <c r="H398" s="1253"/>
      <c r="I398" s="1253"/>
      <c r="J398" s="1069"/>
      <c r="K398" s="1253"/>
      <c r="L398" s="1253"/>
      <c r="M398" s="1069"/>
      <c r="N398" s="1253"/>
      <c r="O398" s="1253"/>
      <c r="P398" s="1069"/>
      <c r="Q398" s="1253"/>
      <c r="R398" s="1253"/>
      <c r="S398" s="1069"/>
      <c r="T398" s="1254"/>
      <c r="U398" s="571"/>
      <c r="V398" s="573"/>
    </row>
    <row r="399" spans="1:22" ht="31.5" customHeight="1">
      <c r="A399" s="1415" t="s">
        <v>752</v>
      </c>
      <c r="B399" s="1416"/>
      <c r="C399" s="1416"/>
      <c r="D399" s="1416"/>
      <c r="E399" s="1417"/>
      <c r="F399" s="595">
        <v>1</v>
      </c>
      <c r="G399" s="595"/>
      <c r="H399" s="1453"/>
      <c r="I399" s="1454"/>
      <c r="J399" s="1278">
        <f>SUM(I402:I404)</f>
        <v>0</v>
      </c>
      <c r="K399" s="1444">
        <v>2</v>
      </c>
      <c r="L399" s="1455"/>
      <c r="M399" s="1279">
        <f>SUM(L402:L404)</f>
        <v>936</v>
      </c>
      <c r="N399" s="1444">
        <v>2</v>
      </c>
      <c r="O399" s="1455"/>
      <c r="P399" s="1279">
        <f>SUM(O402:O404)</f>
        <v>973.44</v>
      </c>
      <c r="Q399" s="1445">
        <v>1</v>
      </c>
      <c r="R399" s="1444"/>
      <c r="S399" s="597">
        <f>SUM(R402:R404)</f>
        <v>506.18880000000007</v>
      </c>
      <c r="T399" s="1066">
        <f>SUM(J399,M399,P399,S399,)</f>
        <v>2415.6288</v>
      </c>
      <c r="U399" s="571"/>
      <c r="V399" s="573"/>
    </row>
    <row r="400" spans="1:22">
      <c r="A400" s="1238" t="s">
        <v>777</v>
      </c>
      <c r="B400" s="1284"/>
      <c r="C400" s="1284"/>
      <c r="D400" s="1284"/>
      <c r="E400" s="1284"/>
      <c r="F400" s="1284"/>
      <c r="G400" s="1284"/>
      <c r="H400" s="1285"/>
      <c r="I400" s="1284"/>
      <c r="J400" s="1284"/>
      <c r="K400" s="1285"/>
      <c r="L400" s="1284"/>
      <c r="M400" s="1286"/>
      <c r="N400" s="1285"/>
      <c r="O400" s="1284"/>
      <c r="P400" s="1286"/>
      <c r="Q400" s="1285"/>
      <c r="R400" s="1284"/>
      <c r="S400" s="1241"/>
      <c r="T400" s="1242"/>
      <c r="U400" s="571"/>
      <c r="V400" s="573"/>
    </row>
    <row r="401" spans="1:22">
      <c r="A401" s="599" t="s">
        <v>283</v>
      </c>
      <c r="B401" s="1239"/>
      <c r="C401" s="1239"/>
      <c r="D401" s="1239"/>
      <c r="E401" s="1239"/>
      <c r="F401" s="1239"/>
      <c r="G401" s="1239"/>
      <c r="H401" s="1240"/>
      <c r="I401" s="1239"/>
      <c r="J401" s="1239"/>
      <c r="K401" s="1240"/>
      <c r="L401" s="1239"/>
      <c r="M401" s="1241"/>
      <c r="N401" s="1240"/>
      <c r="O401" s="1239"/>
      <c r="P401" s="1241"/>
      <c r="Q401" s="1240"/>
      <c r="R401" s="1239"/>
      <c r="S401" s="1241"/>
      <c r="T401" s="1242"/>
      <c r="U401" s="571"/>
      <c r="V401" s="573"/>
    </row>
    <row r="402" spans="1:22">
      <c r="A402" s="1243" t="s">
        <v>815</v>
      </c>
      <c r="B402" s="1280">
        <v>20</v>
      </c>
      <c r="C402" s="1280" t="s">
        <v>248</v>
      </c>
      <c r="D402" s="1280">
        <f>parttransp</f>
        <v>4</v>
      </c>
      <c r="E402" s="1280" t="s">
        <v>249</v>
      </c>
      <c r="F402" s="1280">
        <f>IF(B402=0,0,F399)</f>
        <v>1</v>
      </c>
      <c r="G402" s="1280">
        <f>B402*D402*F402</f>
        <v>80</v>
      </c>
      <c r="H402" s="1068"/>
      <c r="I402" s="1069">
        <f>$G402*H399*J$16</f>
        <v>0</v>
      </c>
      <c r="J402" s="571"/>
      <c r="K402" s="1068"/>
      <c r="L402" s="1069">
        <f>$G402*K399*M$16</f>
        <v>166.4</v>
      </c>
      <c r="M402" s="1067"/>
      <c r="N402" s="1068"/>
      <c r="O402" s="1069">
        <f>$G402*N399*P$16</f>
        <v>173.05600000000001</v>
      </c>
      <c r="P402" s="1067"/>
      <c r="Q402" s="1068"/>
      <c r="R402" s="1069">
        <f>$G402*Q399*S$16</f>
        <v>89.989120000000014</v>
      </c>
      <c r="S402" s="1067"/>
      <c r="T402" s="1244"/>
      <c r="U402" s="571"/>
      <c r="V402" s="573"/>
    </row>
    <row r="403" spans="1:22">
      <c r="A403" s="1243" t="s">
        <v>819</v>
      </c>
      <c r="B403" s="1280">
        <v>20</v>
      </c>
      <c r="C403" s="1280" t="s">
        <v>248</v>
      </c>
      <c r="D403" s="1280">
        <f>coffee+lunch</f>
        <v>16</v>
      </c>
      <c r="E403" s="1280" t="s">
        <v>249</v>
      </c>
      <c r="F403" s="1280">
        <f>IF(B403=0,0,F399)</f>
        <v>1</v>
      </c>
      <c r="G403" s="1280">
        <f>B403*D403*F403</f>
        <v>320</v>
      </c>
      <c r="H403" s="1068"/>
      <c r="I403" s="1069">
        <f>$G403*H399*J$16</f>
        <v>0</v>
      </c>
      <c r="J403" s="571"/>
      <c r="K403" s="1068"/>
      <c r="L403" s="1069">
        <f>$G403*K399*M$16</f>
        <v>665.6</v>
      </c>
      <c r="M403" s="1067"/>
      <c r="N403" s="1068"/>
      <c r="O403" s="1069">
        <f>$G403*N399*P$16</f>
        <v>692.22400000000005</v>
      </c>
      <c r="P403" s="1067"/>
      <c r="Q403" s="1068"/>
      <c r="R403" s="1069">
        <f>$G403*Q399*S$16</f>
        <v>359.95648000000006</v>
      </c>
      <c r="S403" s="1067"/>
      <c r="T403" s="1244"/>
      <c r="U403" s="571"/>
      <c r="V403" s="573"/>
    </row>
    <row r="404" spans="1:22">
      <c r="A404" s="1243" t="s">
        <v>276</v>
      </c>
      <c r="B404" s="1280">
        <v>1</v>
      </c>
      <c r="C404" s="1280" t="s">
        <v>277</v>
      </c>
      <c r="D404" s="1280">
        <f>print</f>
        <v>50</v>
      </c>
      <c r="E404" s="1280" t="str">
        <f>C404</f>
        <v>activity</v>
      </c>
      <c r="F404" s="1280">
        <f>IF(B404=0,0,1)</f>
        <v>1</v>
      </c>
      <c r="G404" s="1280">
        <f>B404*D404*F404</f>
        <v>50</v>
      </c>
      <c r="H404" s="1068"/>
      <c r="I404" s="1069">
        <f>$G404*H399*J$16</f>
        <v>0</v>
      </c>
      <c r="J404" s="571"/>
      <c r="K404" s="1068"/>
      <c r="L404" s="1069">
        <f>$G404*K399*M$16</f>
        <v>104</v>
      </c>
      <c r="M404" s="1067"/>
      <c r="N404" s="1068"/>
      <c r="O404" s="1069">
        <f>$G404*N399*P$16</f>
        <v>108.16000000000001</v>
      </c>
      <c r="P404" s="1067"/>
      <c r="Q404" s="1068"/>
      <c r="R404" s="1069">
        <f>$G404*Q399*S$16</f>
        <v>56.243200000000002</v>
      </c>
      <c r="S404" s="1067"/>
      <c r="T404" s="1244"/>
      <c r="U404" s="571"/>
      <c r="V404" s="573"/>
    </row>
    <row r="405" spans="1:22">
      <c r="A405" s="613" t="s">
        <v>260</v>
      </c>
      <c r="B405" s="1280"/>
      <c r="C405" s="1280"/>
      <c r="D405" s="1280"/>
      <c r="E405" s="1280"/>
      <c r="F405" s="1280"/>
      <c r="G405" s="1280"/>
      <c r="H405" s="1068"/>
      <c r="I405" s="1069"/>
      <c r="J405" s="571"/>
      <c r="K405" s="1068"/>
      <c r="L405" s="1069"/>
      <c r="M405" s="1067"/>
      <c r="N405" s="1068"/>
      <c r="O405" s="1069"/>
      <c r="P405" s="1067"/>
      <c r="Q405" s="1068"/>
      <c r="R405" s="1069"/>
      <c r="S405" s="1067"/>
      <c r="T405" s="1244"/>
      <c r="U405" s="571"/>
      <c r="V405" s="573"/>
    </row>
    <row r="406" spans="1:22">
      <c r="A406" s="605" t="s">
        <v>266</v>
      </c>
      <c r="B406" s="1280">
        <v>3</v>
      </c>
      <c r="C406" s="1280" t="s">
        <v>248</v>
      </c>
      <c r="D406" s="1280">
        <f>partground</f>
        <v>9</v>
      </c>
      <c r="E406" s="1280" t="s">
        <v>262</v>
      </c>
      <c r="F406" s="1280">
        <f>IF(B406=0,0,1)</f>
        <v>1</v>
      </c>
      <c r="G406" s="1280">
        <f>B406*D406*F406</f>
        <v>27</v>
      </c>
      <c r="H406" s="1068"/>
      <c r="I406" s="1069">
        <f>$G406*H399*J$16</f>
        <v>0</v>
      </c>
      <c r="J406" s="571"/>
      <c r="K406" s="1068"/>
      <c r="L406" s="1069">
        <f>$G406*K399*M$16</f>
        <v>56.160000000000004</v>
      </c>
      <c r="M406" s="1067"/>
      <c r="N406" s="1068"/>
      <c r="O406" s="1069">
        <f>$G406*$N$399*P$16</f>
        <v>58.406400000000005</v>
      </c>
      <c r="P406" s="1067"/>
      <c r="Q406" s="1068"/>
      <c r="R406" s="1069">
        <f>$G406*$Q$399*S$16</f>
        <v>30.371328000000002</v>
      </c>
      <c r="S406" s="1067"/>
      <c r="T406" s="1244"/>
      <c r="U406" s="571"/>
      <c r="V406" s="573"/>
    </row>
    <row r="407" spans="1:22">
      <c r="A407" s="1243" t="s">
        <v>267</v>
      </c>
      <c r="B407" s="1280">
        <v>3</v>
      </c>
      <c r="C407" s="1280" t="s">
        <v>248</v>
      </c>
      <c r="D407" s="1280">
        <f>partground</f>
        <v>9</v>
      </c>
      <c r="E407" s="1280" t="s">
        <v>249</v>
      </c>
      <c r="F407" s="1280">
        <f>IF(B407=0,0,1)</f>
        <v>1</v>
      </c>
      <c r="G407" s="1280">
        <f>B407*D407*F407</f>
        <v>27</v>
      </c>
      <c r="H407" s="1068"/>
      <c r="I407" s="1069">
        <f>$G407*H399*J$16</f>
        <v>0</v>
      </c>
      <c r="J407" s="571"/>
      <c r="K407" s="1068"/>
      <c r="L407" s="1069">
        <f>$G407*K399*M$16</f>
        <v>56.160000000000004</v>
      </c>
      <c r="M407" s="1067"/>
      <c r="N407" s="1068"/>
      <c r="O407" s="1069">
        <f>$G407*$N$399*P$16</f>
        <v>58.406400000000005</v>
      </c>
      <c r="P407" s="1067"/>
      <c r="Q407" s="1068"/>
      <c r="R407" s="1069">
        <f>$G407*$Q$399*S$16</f>
        <v>30.371328000000002</v>
      </c>
      <c r="S407" s="1067"/>
      <c r="T407" s="1244"/>
      <c r="U407" s="571"/>
      <c r="V407" s="573"/>
    </row>
    <row r="408" spans="1:22">
      <c r="A408" s="605" t="s">
        <v>790</v>
      </c>
      <c r="B408" s="1280">
        <v>1</v>
      </c>
      <c r="C408" s="1280" t="s">
        <v>248</v>
      </c>
      <c r="D408" s="1280">
        <f>partlodg</f>
        <v>35</v>
      </c>
      <c r="E408" s="1280" t="s">
        <v>249</v>
      </c>
      <c r="F408" s="1280">
        <f>IF(B408=0,0,F399)</f>
        <v>1</v>
      </c>
      <c r="G408" s="1280">
        <f>B408*D408*F408</f>
        <v>35</v>
      </c>
      <c r="H408" s="1068"/>
      <c r="I408" s="1069">
        <f>$G408*H399*J$16</f>
        <v>0</v>
      </c>
      <c r="J408" s="571"/>
      <c r="K408" s="1068"/>
      <c r="L408" s="1069">
        <f>$G408*K399*M$16</f>
        <v>72.8</v>
      </c>
      <c r="M408" s="1067"/>
      <c r="N408" s="1068"/>
      <c r="O408" s="1069">
        <f>$G408*$N$399*P$16</f>
        <v>75.712000000000003</v>
      </c>
      <c r="P408" s="1067"/>
      <c r="Q408" s="1068"/>
      <c r="R408" s="1069">
        <f>$G408*$Q$399*S$16</f>
        <v>39.370240000000003</v>
      </c>
      <c r="S408" s="1067"/>
      <c r="T408" s="1244"/>
      <c r="U408" s="571"/>
      <c r="V408" s="573"/>
    </row>
    <row r="409" spans="1:22">
      <c r="A409" s="1243" t="s">
        <v>787</v>
      </c>
      <c r="B409" s="1280">
        <v>3</v>
      </c>
      <c r="C409" s="1280" t="s">
        <v>248</v>
      </c>
      <c r="D409" s="1280">
        <f>partmeals</f>
        <v>47</v>
      </c>
      <c r="E409" s="1280" t="s">
        <v>249</v>
      </c>
      <c r="F409" s="1280">
        <f>IF(B409=0,0,F399)</f>
        <v>1</v>
      </c>
      <c r="G409" s="1280">
        <f>B409*D409*F409</f>
        <v>141</v>
      </c>
      <c r="H409" s="1068"/>
      <c r="I409" s="1069">
        <f>$G409*H399*J$16</f>
        <v>0</v>
      </c>
      <c r="J409" s="571"/>
      <c r="K409" s="1068"/>
      <c r="L409" s="1069">
        <f>$G409*K399*M$16</f>
        <v>293.28000000000003</v>
      </c>
      <c r="M409" s="1067"/>
      <c r="N409" s="1068"/>
      <c r="O409" s="1069">
        <f>$G409*$N$399*P$16</f>
        <v>305.01120000000003</v>
      </c>
      <c r="P409" s="1067"/>
      <c r="Q409" s="1068"/>
      <c r="R409" s="1069">
        <f>$G409*$Q$399*S$16</f>
        <v>158.60582400000001</v>
      </c>
      <c r="S409" s="1067"/>
      <c r="T409" s="1244"/>
      <c r="U409" s="571"/>
      <c r="V409" s="573"/>
    </row>
    <row r="410" spans="1:22">
      <c r="A410" s="1243" t="s">
        <v>798</v>
      </c>
      <c r="B410" s="1280">
        <v>3</v>
      </c>
      <c r="C410" s="1280" t="s">
        <v>248</v>
      </c>
      <c r="D410" s="1280">
        <f>parttransp</f>
        <v>4</v>
      </c>
      <c r="E410" s="1280" t="s">
        <v>262</v>
      </c>
      <c r="F410" s="1280">
        <v>1</v>
      </c>
      <c r="G410" s="1280">
        <f>B410*D410*F410</f>
        <v>12</v>
      </c>
      <c r="H410" s="1068"/>
      <c r="I410" s="1069">
        <f>$G410*H399*J$16</f>
        <v>0</v>
      </c>
      <c r="J410" s="571"/>
      <c r="K410" s="1068"/>
      <c r="L410" s="1069">
        <f>$G410*K399*M$16</f>
        <v>24.96</v>
      </c>
      <c r="M410" s="1067"/>
      <c r="N410" s="1068"/>
      <c r="O410" s="1069">
        <f>$G410*$N$399*P$16</f>
        <v>25.958400000000005</v>
      </c>
      <c r="P410" s="1067"/>
      <c r="Q410" s="1068"/>
      <c r="R410" s="1069">
        <f>$G410*$Q$399*S$16</f>
        <v>13.498368000000001</v>
      </c>
      <c r="S410" s="1067"/>
      <c r="T410" s="1244"/>
      <c r="U410" s="571"/>
      <c r="V410" s="573"/>
    </row>
    <row r="411" spans="1:22">
      <c r="A411" s="1245" t="s">
        <v>788</v>
      </c>
      <c r="B411" s="622"/>
      <c r="C411" s="622"/>
      <c r="D411" s="1246"/>
      <c r="E411" s="1410"/>
      <c r="F411" s="1411"/>
      <c r="G411" s="1247"/>
      <c r="H411" s="1248"/>
      <c r="I411" s="1248"/>
      <c r="J411" s="1239"/>
      <c r="K411" s="1248"/>
      <c r="L411" s="1248"/>
      <c r="M411" s="1239"/>
      <c r="N411" s="1248"/>
      <c r="O411" s="1248"/>
      <c r="P411" s="1239"/>
      <c r="Q411" s="1248"/>
      <c r="R411" s="1248"/>
      <c r="S411" s="1239"/>
      <c r="T411" s="1249"/>
      <c r="U411" s="571"/>
      <c r="V411" s="573"/>
    </row>
    <row r="412" spans="1:22">
      <c r="A412" s="569"/>
      <c r="B412" s="627"/>
      <c r="C412" s="627"/>
      <c r="D412" s="627"/>
      <c r="E412" s="627"/>
      <c r="F412" s="627"/>
      <c r="G412" s="592"/>
      <c r="H412" s="592"/>
      <c r="I412" s="592"/>
      <c r="J412" s="592"/>
      <c r="K412" s="592"/>
      <c r="L412" s="592"/>
      <c r="M412" s="592"/>
      <c r="N412" s="592"/>
      <c r="O412" s="592"/>
      <c r="P412" s="592"/>
      <c r="Q412" s="592"/>
      <c r="R412" s="592"/>
      <c r="S412" s="592"/>
      <c r="T412" s="593"/>
      <c r="U412" s="571"/>
      <c r="V412" s="573"/>
    </row>
    <row r="413" spans="1:22">
      <c r="A413" s="567"/>
      <c r="B413" s="590"/>
      <c r="C413" s="590"/>
      <c r="D413" s="590"/>
      <c r="E413" s="590"/>
      <c r="F413" s="590"/>
      <c r="G413" s="590"/>
      <c r="H413" s="590"/>
      <c r="I413" s="590"/>
      <c r="J413" s="590"/>
      <c r="K413" s="590"/>
      <c r="L413" s="590"/>
      <c r="M413" s="590"/>
      <c r="N413" s="590"/>
      <c r="O413" s="590"/>
      <c r="P413" s="590"/>
      <c r="Q413" s="590"/>
      <c r="R413" s="590"/>
      <c r="S413" s="590"/>
      <c r="T413" s="591"/>
      <c r="U413" s="571"/>
      <c r="V413" s="573"/>
    </row>
    <row r="414" spans="1:22">
      <c r="A414" s="1238" t="s">
        <v>784</v>
      </c>
      <c r="B414" s="1239"/>
      <c r="C414" s="1239"/>
      <c r="D414" s="1239"/>
      <c r="E414" s="1239"/>
      <c r="F414" s="1239"/>
      <c r="G414" s="1239"/>
      <c r="H414" s="1438"/>
      <c r="I414" s="1439"/>
      <c r="J414" s="1278">
        <f>SUM(I417:I419)</f>
        <v>0</v>
      </c>
      <c r="K414" s="1444">
        <v>1</v>
      </c>
      <c r="L414" s="1455"/>
      <c r="M414" s="1279">
        <f>SUM(L417:L419)</f>
        <v>0</v>
      </c>
      <c r="N414" s="1444">
        <v>1</v>
      </c>
      <c r="O414" s="1455"/>
      <c r="P414" s="1279">
        <f>SUM(O415:O419)</f>
        <v>0</v>
      </c>
      <c r="Q414" s="1445">
        <v>1</v>
      </c>
      <c r="R414" s="1444"/>
      <c r="S414" s="597">
        <f>SUM(R415:R419)</f>
        <v>0</v>
      </c>
      <c r="T414" s="1066">
        <f>SUM(J414,M414,P414,S414,)</f>
        <v>0</v>
      </c>
      <c r="U414" s="571"/>
      <c r="V414" s="573"/>
    </row>
    <row r="415" spans="1:22">
      <c r="A415" s="599" t="s">
        <v>778</v>
      </c>
      <c r="B415" s="1239"/>
      <c r="C415" s="1239"/>
      <c r="D415" s="1239"/>
      <c r="E415" s="1239"/>
      <c r="F415" s="1239"/>
      <c r="G415" s="1239"/>
      <c r="H415" s="1240"/>
      <c r="I415" s="1239"/>
      <c r="J415" s="1239"/>
      <c r="K415" s="1240"/>
      <c r="L415" s="1069">
        <f t="shared" ref="L415:L425" si="26">$G415*$K$414*M$16</f>
        <v>0</v>
      </c>
      <c r="M415" s="1241"/>
      <c r="N415" s="1240"/>
      <c r="O415" s="1069">
        <f t="shared" ref="O415:O425" si="27">$G415*$N$414*P$16</f>
        <v>0</v>
      </c>
      <c r="P415" s="1241"/>
      <c r="Q415" s="1240"/>
      <c r="R415" s="1069">
        <f t="shared" ref="R415:R425" si="28">$G415*$Q$414*S$16</f>
        <v>0</v>
      </c>
      <c r="S415" s="1241"/>
      <c r="T415" s="1242"/>
      <c r="U415" s="571"/>
      <c r="V415" s="573"/>
    </row>
    <row r="416" spans="1:22">
      <c r="A416" s="1243" t="s">
        <v>838</v>
      </c>
      <c r="B416" s="1280">
        <v>0</v>
      </c>
      <c r="C416" s="1280" t="s">
        <v>248</v>
      </c>
      <c r="D416" s="1280">
        <f>parttransp</f>
        <v>4</v>
      </c>
      <c r="E416" s="1069" t="s">
        <v>249</v>
      </c>
      <c r="F416" s="1069">
        <v>1</v>
      </c>
      <c r="G416" s="1069">
        <f>B416*D416*F416</f>
        <v>0</v>
      </c>
      <c r="H416" s="1068"/>
      <c r="I416" s="1069">
        <f>$G416*H412*J$16</f>
        <v>0</v>
      </c>
      <c r="J416" s="571"/>
      <c r="K416" s="1068"/>
      <c r="L416" s="1069">
        <f t="shared" si="26"/>
        <v>0</v>
      </c>
      <c r="M416" s="1067"/>
      <c r="N416" s="1068"/>
      <c r="O416" s="1069">
        <f t="shared" si="27"/>
        <v>0</v>
      </c>
      <c r="P416" s="1067"/>
      <c r="Q416" s="1068"/>
      <c r="R416" s="1069">
        <f t="shared" si="28"/>
        <v>0</v>
      </c>
      <c r="S416" s="1067"/>
      <c r="T416" s="1244"/>
      <c r="U416" s="571"/>
      <c r="V416" s="573"/>
    </row>
    <row r="417" spans="1:22">
      <c r="A417" s="1243" t="s">
        <v>819</v>
      </c>
      <c r="B417" s="1280">
        <v>0</v>
      </c>
      <c r="C417" s="1280" t="s">
        <v>248</v>
      </c>
      <c r="D417" s="1280">
        <f>coffee+lunch</f>
        <v>16</v>
      </c>
      <c r="E417" s="1069" t="s">
        <v>249</v>
      </c>
      <c r="F417" s="1069">
        <v>1</v>
      </c>
      <c r="G417" s="1069">
        <f>B417*D417*F417</f>
        <v>0</v>
      </c>
      <c r="H417" s="1068"/>
      <c r="I417" s="1069">
        <f>$G417*H412*J$16</f>
        <v>0</v>
      </c>
      <c r="J417" s="571"/>
      <c r="K417" s="1068"/>
      <c r="L417" s="1069">
        <f t="shared" si="26"/>
        <v>0</v>
      </c>
      <c r="M417" s="1067"/>
      <c r="N417" s="1068"/>
      <c r="O417" s="1069">
        <f t="shared" si="27"/>
        <v>0</v>
      </c>
      <c r="P417" s="1067"/>
      <c r="Q417" s="1068"/>
      <c r="R417" s="1069">
        <f t="shared" si="28"/>
        <v>0</v>
      </c>
      <c r="S417" s="1067"/>
      <c r="T417" s="1244"/>
      <c r="U417" s="571"/>
      <c r="V417" s="573"/>
    </row>
    <row r="418" spans="1:22">
      <c r="A418" s="1243" t="s">
        <v>781</v>
      </c>
      <c r="B418" s="1280">
        <v>0</v>
      </c>
      <c r="C418" s="1280" t="s">
        <v>277</v>
      </c>
      <c r="D418" s="1280">
        <f>print</f>
        <v>50</v>
      </c>
      <c r="E418" s="1069" t="str">
        <f>C418</f>
        <v>activity</v>
      </c>
      <c r="F418" s="1069">
        <f>IF(B418=0,0,1)</f>
        <v>0</v>
      </c>
      <c r="G418" s="1069">
        <f>B418*D418*F418</f>
        <v>0</v>
      </c>
      <c r="H418" s="1068"/>
      <c r="I418" s="1069">
        <f>$G418*H412*J$16</f>
        <v>0</v>
      </c>
      <c r="J418" s="571"/>
      <c r="K418" s="1068"/>
      <c r="L418" s="1069">
        <f t="shared" si="26"/>
        <v>0</v>
      </c>
      <c r="M418" s="1067"/>
      <c r="N418" s="1068"/>
      <c r="O418" s="1069">
        <f t="shared" si="27"/>
        <v>0</v>
      </c>
      <c r="P418" s="1067"/>
      <c r="Q418" s="1068"/>
      <c r="R418" s="1069">
        <f t="shared" si="28"/>
        <v>0</v>
      </c>
      <c r="S418" s="1067"/>
      <c r="T418" s="1244"/>
      <c r="U418" s="571"/>
      <c r="V418" s="573"/>
    </row>
    <row r="419" spans="1:22">
      <c r="A419" s="605"/>
      <c r="B419" s="1280"/>
      <c r="C419" s="1280"/>
      <c r="D419" s="1280"/>
      <c r="E419" s="1069"/>
      <c r="F419" s="1069"/>
      <c r="G419" s="1069"/>
      <c r="H419" s="1068"/>
      <c r="I419" s="1069"/>
      <c r="J419" s="571"/>
      <c r="K419" s="1068"/>
      <c r="L419" s="1069">
        <f t="shared" si="26"/>
        <v>0</v>
      </c>
      <c r="M419" s="1067"/>
      <c r="N419" s="1068"/>
      <c r="O419" s="1069">
        <f t="shared" si="27"/>
        <v>0</v>
      </c>
      <c r="P419" s="1067"/>
      <c r="Q419" s="1068"/>
      <c r="R419" s="1069">
        <f t="shared" si="28"/>
        <v>0</v>
      </c>
      <c r="S419" s="1067"/>
      <c r="T419" s="1244"/>
      <c r="U419" s="571"/>
      <c r="V419" s="573"/>
    </row>
    <row r="420" spans="1:22">
      <c r="A420" s="613" t="s">
        <v>278</v>
      </c>
      <c r="B420" s="1280"/>
      <c r="C420" s="1280"/>
      <c r="D420" s="1280"/>
      <c r="E420" s="1069"/>
      <c r="F420" s="1069"/>
      <c r="G420" s="1069">
        <f t="shared" ref="G420:G425" si="29">B420*D420*F420</f>
        <v>0</v>
      </c>
      <c r="H420" s="1068"/>
      <c r="I420" s="1069"/>
      <c r="J420" s="571"/>
      <c r="K420" s="1068"/>
      <c r="L420" s="1069">
        <f t="shared" si="26"/>
        <v>0</v>
      </c>
      <c r="M420" s="1067"/>
      <c r="N420" s="1068"/>
      <c r="O420" s="1069">
        <f t="shared" si="27"/>
        <v>0</v>
      </c>
      <c r="P420" s="1067"/>
      <c r="Q420" s="1068"/>
      <c r="R420" s="1069">
        <f t="shared" si="28"/>
        <v>0</v>
      </c>
      <c r="S420" s="1067"/>
      <c r="T420" s="1244"/>
      <c r="U420" s="571"/>
      <c r="V420" s="573"/>
    </row>
    <row r="421" spans="1:22">
      <c r="A421" s="605" t="s">
        <v>261</v>
      </c>
      <c r="B421" s="1280">
        <v>1</v>
      </c>
      <c r="C421" s="1280" t="s">
        <v>248</v>
      </c>
      <c r="D421" s="1280">
        <f>partground</f>
        <v>9</v>
      </c>
      <c r="E421" s="1069" t="s">
        <v>262</v>
      </c>
      <c r="F421" s="1069">
        <v>3</v>
      </c>
      <c r="G421" s="1069">
        <f t="shared" si="29"/>
        <v>27</v>
      </c>
      <c r="H421" s="1068"/>
      <c r="I421" s="1069">
        <f>$G421*J$16*$H$64</f>
        <v>0</v>
      </c>
      <c r="J421" s="571"/>
      <c r="K421" s="1068"/>
      <c r="L421" s="1069">
        <f t="shared" si="26"/>
        <v>28.080000000000002</v>
      </c>
      <c r="M421" s="1067"/>
      <c r="N421" s="1068"/>
      <c r="O421" s="1069">
        <f t="shared" si="27"/>
        <v>29.203200000000002</v>
      </c>
      <c r="P421" s="1067"/>
      <c r="Q421" s="1068"/>
      <c r="R421" s="1069">
        <f t="shared" si="28"/>
        <v>30.371328000000002</v>
      </c>
      <c r="S421" s="1067"/>
      <c r="T421" s="1244"/>
      <c r="U421" s="571"/>
      <c r="V421" s="573"/>
    </row>
    <row r="422" spans="1:22">
      <c r="A422" s="1243" t="s">
        <v>854</v>
      </c>
      <c r="B422" s="1280">
        <v>1</v>
      </c>
      <c r="C422" s="1280" t="s">
        <v>248</v>
      </c>
      <c r="D422" s="1280">
        <f>+[1]Assumptions!D101</f>
        <v>25</v>
      </c>
      <c r="E422" s="1069" t="s">
        <v>249</v>
      </c>
      <c r="F422" s="1069">
        <v>3</v>
      </c>
      <c r="G422" s="1069">
        <f t="shared" si="29"/>
        <v>75</v>
      </c>
      <c r="H422" s="1068"/>
      <c r="I422" s="1069">
        <f>$G422*J$16*$H$64</f>
        <v>0</v>
      </c>
      <c r="J422" s="571"/>
      <c r="K422" s="1068"/>
      <c r="L422" s="1069">
        <f t="shared" si="26"/>
        <v>78</v>
      </c>
      <c r="M422" s="1067"/>
      <c r="N422" s="1068"/>
      <c r="O422" s="1069">
        <f t="shared" si="27"/>
        <v>81.12</v>
      </c>
      <c r="P422" s="1067"/>
      <c r="Q422" s="1068"/>
      <c r="R422" s="1069">
        <f t="shared" si="28"/>
        <v>84.364800000000002</v>
      </c>
      <c r="S422" s="1067"/>
      <c r="T422" s="1244"/>
      <c r="U422" s="571"/>
      <c r="V422" s="573"/>
    </row>
    <row r="423" spans="1:22">
      <c r="A423" s="605" t="s">
        <v>790</v>
      </c>
      <c r="B423" s="1280">
        <v>1</v>
      </c>
      <c r="C423" s="1280" t="s">
        <v>248</v>
      </c>
      <c r="D423" s="1280">
        <f>+[1]Assumptions!D103</f>
        <v>90</v>
      </c>
      <c r="E423" s="1069" t="s">
        <v>249</v>
      </c>
      <c r="F423" s="1069">
        <v>2</v>
      </c>
      <c r="G423" s="1069">
        <f t="shared" si="29"/>
        <v>180</v>
      </c>
      <c r="H423" s="1068"/>
      <c r="I423" s="1069">
        <f>$G423*J$16*$H$64</f>
        <v>0</v>
      </c>
      <c r="J423" s="571"/>
      <c r="K423" s="1068"/>
      <c r="L423" s="1069">
        <f t="shared" si="26"/>
        <v>187.20000000000002</v>
      </c>
      <c r="M423" s="1067"/>
      <c r="N423" s="1068"/>
      <c r="O423" s="1069">
        <f t="shared" si="27"/>
        <v>194.68800000000002</v>
      </c>
      <c r="P423" s="1067"/>
      <c r="Q423" s="1068"/>
      <c r="R423" s="1069">
        <f t="shared" si="28"/>
        <v>202.47552000000002</v>
      </c>
      <c r="S423" s="1067"/>
      <c r="T423" s="1244"/>
      <c r="U423" s="571"/>
      <c r="V423" s="573"/>
    </row>
    <row r="424" spans="1:22">
      <c r="A424" s="1243" t="s">
        <v>787</v>
      </c>
      <c r="B424" s="1280">
        <v>1</v>
      </c>
      <c r="C424" s="1280">
        <v>0</v>
      </c>
      <c r="D424" s="1280">
        <f>partmeals</f>
        <v>47</v>
      </c>
      <c r="E424" s="1069" t="s">
        <v>249</v>
      </c>
      <c r="F424" s="1069">
        <v>3</v>
      </c>
      <c r="G424" s="1069">
        <f t="shared" si="29"/>
        <v>141</v>
      </c>
      <c r="H424" s="1068"/>
      <c r="I424" s="1069">
        <f>$G424*J$16*$H$64</f>
        <v>0</v>
      </c>
      <c r="J424" s="571"/>
      <c r="K424" s="1068"/>
      <c r="L424" s="1069">
        <f t="shared" si="26"/>
        <v>146.64000000000001</v>
      </c>
      <c r="M424" s="1067"/>
      <c r="N424" s="1068"/>
      <c r="O424" s="1069">
        <f t="shared" si="27"/>
        <v>152.50560000000002</v>
      </c>
      <c r="P424" s="1067"/>
      <c r="Q424" s="1068"/>
      <c r="R424" s="1069">
        <f t="shared" si="28"/>
        <v>158.60582400000001</v>
      </c>
      <c r="S424" s="1067"/>
      <c r="T424" s="1244"/>
      <c r="U424" s="571"/>
      <c r="V424" s="573"/>
    </row>
    <row r="425" spans="1:22">
      <c r="A425" s="1243" t="s">
        <v>807</v>
      </c>
      <c r="B425" s="1280">
        <v>1</v>
      </c>
      <c r="C425" s="1280" t="s">
        <v>248</v>
      </c>
      <c r="D425" s="1280">
        <f>partairfare</f>
        <v>200</v>
      </c>
      <c r="E425" s="1069" t="s">
        <v>262</v>
      </c>
      <c r="F425" s="1069">
        <v>1</v>
      </c>
      <c r="G425" s="1069">
        <f t="shared" si="29"/>
        <v>200</v>
      </c>
      <c r="H425" s="1068"/>
      <c r="I425" s="1069">
        <f>$G425*J$16*$H$64</f>
        <v>0</v>
      </c>
      <c r="J425" s="571"/>
      <c r="K425" s="1068"/>
      <c r="L425" s="1069">
        <f t="shared" si="26"/>
        <v>208</v>
      </c>
      <c r="M425" s="1067"/>
      <c r="N425" s="1068"/>
      <c r="O425" s="1069">
        <f t="shared" si="27"/>
        <v>216.32000000000002</v>
      </c>
      <c r="P425" s="1067"/>
      <c r="Q425" s="1068"/>
      <c r="R425" s="1069">
        <f t="shared" si="28"/>
        <v>224.97280000000001</v>
      </c>
      <c r="S425" s="1067"/>
      <c r="T425" s="1244"/>
      <c r="U425" s="571"/>
      <c r="V425" s="573"/>
    </row>
    <row r="426" spans="1:22">
      <c r="A426" s="1245" t="s">
        <v>788</v>
      </c>
      <c r="B426" s="622"/>
      <c r="C426" s="622"/>
      <c r="D426" s="1246"/>
      <c r="E426" s="1410"/>
      <c r="F426" s="1411"/>
      <c r="G426" s="1247"/>
      <c r="H426" s="1248"/>
      <c r="I426" s="1248"/>
      <c r="J426" s="1239"/>
      <c r="K426" s="1248"/>
      <c r="L426" s="1248"/>
      <c r="M426" s="1239">
        <f>M399</f>
        <v>936</v>
      </c>
      <c r="N426" s="1248"/>
      <c r="O426" s="1248"/>
      <c r="P426" s="1239">
        <f>P399</f>
        <v>973.44</v>
      </c>
      <c r="Q426" s="1248"/>
      <c r="R426" s="1248"/>
      <c r="S426" s="1239">
        <f>S399</f>
        <v>506.18880000000007</v>
      </c>
      <c r="T426" s="1249">
        <f>T399</f>
        <v>2415.6288</v>
      </c>
      <c r="U426" s="571"/>
      <c r="V426" s="573"/>
    </row>
    <row r="427" spans="1:22">
      <c r="A427" s="567"/>
      <c r="B427" s="590"/>
      <c r="C427" s="590"/>
      <c r="D427" s="590"/>
      <c r="E427" s="590"/>
      <c r="F427" s="590"/>
      <c r="G427" s="590"/>
      <c r="H427" s="590"/>
      <c r="I427" s="590"/>
      <c r="J427" s="590"/>
      <c r="K427" s="590"/>
      <c r="L427" s="590"/>
      <c r="M427" s="590"/>
      <c r="N427" s="590"/>
      <c r="O427" s="590"/>
      <c r="P427" s="590"/>
      <c r="Q427" s="590"/>
      <c r="R427" s="590"/>
      <c r="S427" s="590"/>
      <c r="T427" s="591"/>
      <c r="U427" s="571"/>
      <c r="V427" s="573"/>
    </row>
    <row r="428" spans="1:22" ht="30.75" customHeight="1">
      <c r="A428" s="1421" t="s">
        <v>855</v>
      </c>
      <c r="B428" s="1422"/>
      <c r="C428" s="1422"/>
      <c r="D428" s="1422"/>
      <c r="E428" s="1423"/>
      <c r="F428" s="595">
        <v>1</v>
      </c>
      <c r="G428" s="595"/>
      <c r="H428" s="1453"/>
      <c r="I428" s="1454"/>
      <c r="J428" s="1278">
        <f>SUM(I431:I433)</f>
        <v>0</v>
      </c>
      <c r="K428" s="1444">
        <v>3</v>
      </c>
      <c r="L428" s="1455"/>
      <c r="M428" s="1279">
        <f>SUM(L431:L433)</f>
        <v>0</v>
      </c>
      <c r="N428" s="1444">
        <v>3</v>
      </c>
      <c r="O428" s="1455"/>
      <c r="P428" s="1279">
        <f>SUM(O431:O433)</f>
        <v>0</v>
      </c>
      <c r="Q428" s="1445">
        <v>3</v>
      </c>
      <c r="R428" s="1444"/>
      <c r="S428" s="597">
        <f>SUM(R431:R433)</f>
        <v>0</v>
      </c>
      <c r="T428" s="1066">
        <f>SUM(J428,M428,P428,S428,)</f>
        <v>0</v>
      </c>
      <c r="U428" s="571"/>
      <c r="V428" s="573"/>
    </row>
    <row r="429" spans="1:22">
      <c r="A429" s="1250" t="s">
        <v>777</v>
      </c>
      <c r="B429" s="1239"/>
      <c r="C429" s="1239"/>
      <c r="D429" s="1239"/>
      <c r="E429" s="1239"/>
      <c r="F429" s="1284"/>
      <c r="G429" s="1284"/>
      <c r="H429" s="1285"/>
      <c r="I429" s="1284"/>
      <c r="J429" s="1284"/>
      <c r="K429" s="1285"/>
      <c r="L429" s="1284"/>
      <c r="M429" s="1286"/>
      <c r="N429" s="1285"/>
      <c r="O429" s="1284"/>
      <c r="P429" s="1286"/>
      <c r="Q429" s="1285"/>
      <c r="R429" s="1284"/>
      <c r="S429" s="1241"/>
      <c r="T429" s="1242"/>
      <c r="U429" s="571"/>
      <c r="V429" s="573"/>
    </row>
    <row r="430" spans="1:22">
      <c r="A430" s="599" t="s">
        <v>778</v>
      </c>
      <c r="B430" s="1239"/>
      <c r="C430" s="1239"/>
      <c r="D430" s="1239"/>
      <c r="E430" s="1239"/>
      <c r="F430" s="1284"/>
      <c r="G430" s="1284"/>
      <c r="H430" s="1285"/>
      <c r="I430" s="1284"/>
      <c r="J430" s="1284"/>
      <c r="K430" s="1285"/>
      <c r="L430" s="1284"/>
      <c r="M430" s="1286"/>
      <c r="N430" s="1285"/>
      <c r="O430" s="1284"/>
      <c r="P430" s="1286"/>
      <c r="Q430" s="1285"/>
      <c r="R430" s="1284"/>
      <c r="S430" s="1241"/>
      <c r="T430" s="1242"/>
      <c r="U430" s="571"/>
      <c r="V430" s="573"/>
    </row>
    <row r="431" spans="1:22">
      <c r="A431" s="1243" t="s">
        <v>815</v>
      </c>
      <c r="B431" s="1280">
        <v>0</v>
      </c>
      <c r="C431" s="1280" t="s">
        <v>248</v>
      </c>
      <c r="D431" s="1280">
        <f>parttransp</f>
        <v>4</v>
      </c>
      <c r="E431" s="1280" t="s">
        <v>249</v>
      </c>
      <c r="F431" s="1280">
        <f>IF(B431=0,0,F428)</f>
        <v>0</v>
      </c>
      <c r="G431" s="1069">
        <f>B431*D431*F431</f>
        <v>0</v>
      </c>
      <c r="H431" s="1068"/>
      <c r="I431" s="1069">
        <f>$G431*H428*J$16</f>
        <v>0</v>
      </c>
      <c r="J431" s="571"/>
      <c r="K431" s="1068"/>
      <c r="L431" s="1069">
        <f>$G431*K428*M$16</f>
        <v>0</v>
      </c>
      <c r="M431" s="1067"/>
      <c r="N431" s="1068"/>
      <c r="O431" s="1069">
        <f>$G431*N428*P$16</f>
        <v>0</v>
      </c>
      <c r="P431" s="1067"/>
      <c r="Q431" s="1068"/>
      <c r="R431" s="1069">
        <f>$G431*Q428*S$16</f>
        <v>0</v>
      </c>
      <c r="S431" s="1067"/>
      <c r="T431" s="1244"/>
      <c r="U431" s="571"/>
      <c r="V431" s="573"/>
    </row>
    <row r="432" spans="1:22">
      <c r="A432" s="1243" t="s">
        <v>780</v>
      </c>
      <c r="B432" s="1280">
        <v>0</v>
      </c>
      <c r="C432" s="1280" t="s">
        <v>248</v>
      </c>
      <c r="D432" s="1280">
        <f>coffee+lunch</f>
        <v>16</v>
      </c>
      <c r="E432" s="1280" t="s">
        <v>249</v>
      </c>
      <c r="F432" s="1280">
        <f>IF(B432=0,0,F428)</f>
        <v>0</v>
      </c>
      <c r="G432" s="1069">
        <f>B432*D432*F432</f>
        <v>0</v>
      </c>
      <c r="H432" s="1068"/>
      <c r="I432" s="1069">
        <f>$G432*H428*J$16</f>
        <v>0</v>
      </c>
      <c r="J432" s="571"/>
      <c r="K432" s="1068"/>
      <c r="L432" s="1069">
        <f>$G432*K428*M$16</f>
        <v>0</v>
      </c>
      <c r="M432" s="1067"/>
      <c r="N432" s="1068"/>
      <c r="O432" s="1069">
        <f>$G432*N428*P$16</f>
        <v>0</v>
      </c>
      <c r="P432" s="1067"/>
      <c r="Q432" s="1068"/>
      <c r="R432" s="1069">
        <f>$G432*Q428*S$16</f>
        <v>0</v>
      </c>
      <c r="S432" s="1067"/>
      <c r="T432" s="1244"/>
      <c r="U432" s="571"/>
      <c r="V432" s="573"/>
    </row>
    <row r="433" spans="1:22">
      <c r="A433" s="1243" t="s">
        <v>781</v>
      </c>
      <c r="B433" s="1280">
        <v>0</v>
      </c>
      <c r="C433" s="1280" t="s">
        <v>277</v>
      </c>
      <c r="D433" s="1280">
        <f>print</f>
        <v>50</v>
      </c>
      <c r="E433" s="1280" t="str">
        <f>C433</f>
        <v>activity</v>
      </c>
      <c r="F433" s="1280">
        <f>IF(B433=0,0,1)</f>
        <v>0</v>
      </c>
      <c r="G433" s="1069">
        <f>B433*D433*F433</f>
        <v>0</v>
      </c>
      <c r="H433" s="1068"/>
      <c r="I433" s="1069">
        <f>$G433*H428*J$16</f>
        <v>0</v>
      </c>
      <c r="J433" s="571"/>
      <c r="K433" s="1068"/>
      <c r="L433" s="1069">
        <f>$G433*K428*M$16</f>
        <v>0</v>
      </c>
      <c r="M433" s="1067"/>
      <c r="N433" s="1068"/>
      <c r="O433" s="1069">
        <f>$G433*N428*P$16</f>
        <v>0</v>
      </c>
      <c r="P433" s="1067"/>
      <c r="Q433" s="1068"/>
      <c r="R433" s="1069">
        <f>$G433*Q428*S$16</f>
        <v>0</v>
      </c>
      <c r="S433" s="1067"/>
      <c r="T433" s="1244"/>
      <c r="U433" s="571"/>
      <c r="V433" s="573"/>
    </row>
    <row r="434" spans="1:22">
      <c r="A434" s="613" t="s">
        <v>856</v>
      </c>
      <c r="B434" s="1280"/>
      <c r="C434" s="1280"/>
      <c r="D434" s="1280"/>
      <c r="E434" s="1280"/>
      <c r="F434" s="1280"/>
      <c r="G434" s="1069"/>
      <c r="H434" s="1068"/>
      <c r="I434" s="1069"/>
      <c r="J434" s="571"/>
      <c r="K434" s="1068"/>
      <c r="L434" s="1069"/>
      <c r="M434" s="1067"/>
      <c r="N434" s="1068"/>
      <c r="O434" s="1069"/>
      <c r="P434" s="1067"/>
      <c r="Q434" s="1068"/>
      <c r="R434" s="1069"/>
      <c r="S434" s="1067"/>
      <c r="T434" s="1244"/>
      <c r="U434" s="571"/>
      <c r="V434" s="573"/>
    </row>
    <row r="435" spans="1:22">
      <c r="A435" s="1243" t="s">
        <v>857</v>
      </c>
      <c r="B435" s="1280">
        <v>2</v>
      </c>
      <c r="C435" s="1280" t="s">
        <v>248</v>
      </c>
      <c r="D435" s="1280">
        <f>partground</f>
        <v>9</v>
      </c>
      <c r="E435" s="1280" t="s">
        <v>262</v>
      </c>
      <c r="F435" s="1280">
        <f>IF(B435=0,0,1)</f>
        <v>1</v>
      </c>
      <c r="G435" s="1069">
        <f>B435*D435*F435</f>
        <v>18</v>
      </c>
      <c r="H435" s="1068"/>
      <c r="I435" s="1069">
        <f>$G435*H428*J$16</f>
        <v>0</v>
      </c>
      <c r="J435" s="571"/>
      <c r="K435" s="1068"/>
      <c r="L435" s="1069">
        <f>$G435*K428*M$16</f>
        <v>56.160000000000004</v>
      </c>
      <c r="M435" s="1067"/>
      <c r="N435" s="1068"/>
      <c r="O435" s="1069">
        <f>$G435*$N$428*P$16</f>
        <v>58.406400000000005</v>
      </c>
      <c r="P435" s="1067"/>
      <c r="Q435" s="1068"/>
      <c r="R435" s="1069">
        <f>$G435*$Q$428*S$16</f>
        <v>60.742656000000004</v>
      </c>
      <c r="S435" s="1067"/>
      <c r="T435" s="1244"/>
      <c r="U435" s="571"/>
      <c r="V435" s="573"/>
    </row>
    <row r="436" spans="1:22">
      <c r="A436" s="1243" t="s">
        <v>858</v>
      </c>
      <c r="B436" s="1280">
        <v>2</v>
      </c>
      <c r="C436" s="1280" t="s">
        <v>248</v>
      </c>
      <c r="D436" s="1280">
        <f>partground</f>
        <v>9</v>
      </c>
      <c r="E436" s="1280" t="s">
        <v>249</v>
      </c>
      <c r="F436" s="1280">
        <f>IF(B436=0,0,1)</f>
        <v>1</v>
      </c>
      <c r="G436" s="1069">
        <f>B436*D436*F436</f>
        <v>18</v>
      </c>
      <c r="H436" s="1068"/>
      <c r="I436" s="1069">
        <f>$G436*H428*J$16</f>
        <v>0</v>
      </c>
      <c r="J436" s="571"/>
      <c r="K436" s="1068"/>
      <c r="L436" s="1069">
        <f>$G436*K428*M$16</f>
        <v>56.160000000000004</v>
      </c>
      <c r="M436" s="1067"/>
      <c r="N436" s="1068"/>
      <c r="O436" s="1069">
        <f>$G436*$N$428*P$16</f>
        <v>58.406400000000005</v>
      </c>
      <c r="P436" s="1067"/>
      <c r="Q436" s="1068"/>
      <c r="R436" s="1069">
        <f>$G436*$Q$428*S$16</f>
        <v>60.742656000000004</v>
      </c>
      <c r="S436" s="1067"/>
      <c r="T436" s="1244"/>
      <c r="U436" s="571"/>
      <c r="V436" s="573"/>
    </row>
    <row r="437" spans="1:22">
      <c r="A437" s="605" t="s">
        <v>790</v>
      </c>
      <c r="B437" s="1280">
        <v>2</v>
      </c>
      <c r="C437" s="1280" t="s">
        <v>248</v>
      </c>
      <c r="D437" s="1280">
        <f>partlodg</f>
        <v>35</v>
      </c>
      <c r="E437" s="1280" t="s">
        <v>249</v>
      </c>
      <c r="F437" s="1280">
        <f>IF(B437=0,0,F428)</f>
        <v>1</v>
      </c>
      <c r="G437" s="1069">
        <f>B437*D437*F437</f>
        <v>70</v>
      </c>
      <c r="H437" s="1068"/>
      <c r="I437" s="1069">
        <f>$G437*H428*J$16</f>
        <v>0</v>
      </c>
      <c r="J437" s="571"/>
      <c r="K437" s="1068"/>
      <c r="L437" s="1069">
        <f>$G437*K428*M$16</f>
        <v>218.4</v>
      </c>
      <c r="M437" s="1067"/>
      <c r="N437" s="1068"/>
      <c r="O437" s="1069">
        <f>$G437*$N$428*P$16</f>
        <v>227.13600000000002</v>
      </c>
      <c r="P437" s="1067"/>
      <c r="Q437" s="1068"/>
      <c r="R437" s="1069">
        <f>$G437*$Q$428*S$16</f>
        <v>236.22144000000003</v>
      </c>
      <c r="S437" s="1067"/>
      <c r="T437" s="1244"/>
      <c r="U437" s="571"/>
      <c r="V437" s="573"/>
    </row>
    <row r="438" spans="1:22">
      <c r="A438" s="1243" t="s">
        <v>787</v>
      </c>
      <c r="B438" s="1280">
        <v>2</v>
      </c>
      <c r="C438" s="1280" t="s">
        <v>248</v>
      </c>
      <c r="D438" s="1280">
        <f>partmeals</f>
        <v>47</v>
      </c>
      <c r="E438" s="1280" t="s">
        <v>249</v>
      </c>
      <c r="F438" s="1280">
        <f>IF(B438=0,0,F428)</f>
        <v>1</v>
      </c>
      <c r="G438" s="1069">
        <f>B438*D438*F438</f>
        <v>94</v>
      </c>
      <c r="H438" s="1068"/>
      <c r="I438" s="1069">
        <f>$G438*H428*J$16</f>
        <v>0</v>
      </c>
      <c r="J438" s="571"/>
      <c r="K438" s="1068"/>
      <c r="L438" s="1069">
        <f>$G438*K428*M$16</f>
        <v>293.28000000000003</v>
      </c>
      <c r="M438" s="1067"/>
      <c r="N438" s="1068"/>
      <c r="O438" s="1069">
        <f>$G438*$N$428*P$16</f>
        <v>305.01120000000003</v>
      </c>
      <c r="P438" s="1067"/>
      <c r="Q438" s="1068"/>
      <c r="R438" s="1069">
        <f>$G438*$Q$428*S$16</f>
        <v>317.21164800000003</v>
      </c>
      <c r="S438" s="1067"/>
      <c r="T438" s="1244"/>
      <c r="U438" s="571"/>
      <c r="V438" s="573"/>
    </row>
    <row r="439" spans="1:22">
      <c r="A439" s="1243" t="s">
        <v>798</v>
      </c>
      <c r="B439" s="1280">
        <v>2</v>
      </c>
      <c r="C439" s="1280" t="s">
        <v>248</v>
      </c>
      <c r="D439" s="1280">
        <f>parttransp</f>
        <v>4</v>
      </c>
      <c r="E439" s="1280" t="s">
        <v>262</v>
      </c>
      <c r="F439" s="1280">
        <v>1</v>
      </c>
      <c r="G439" s="1069">
        <f>B439*D439*F439</f>
        <v>8</v>
      </c>
      <c r="H439" s="1068"/>
      <c r="I439" s="1069">
        <f>$G439*H428*J$16</f>
        <v>0</v>
      </c>
      <c r="J439" s="571"/>
      <c r="K439" s="1068"/>
      <c r="L439" s="1069">
        <f>$G439*K428*M$16</f>
        <v>24.96</v>
      </c>
      <c r="M439" s="1067"/>
      <c r="N439" s="1068"/>
      <c r="O439" s="1069">
        <f>$G439*$N$428*P$16</f>
        <v>25.958400000000005</v>
      </c>
      <c r="P439" s="1067"/>
      <c r="Q439" s="1068"/>
      <c r="R439" s="1069">
        <f>$G439*$Q$428*S$16</f>
        <v>26.996736000000002</v>
      </c>
      <c r="S439" s="1067"/>
      <c r="T439" s="1244"/>
      <c r="U439" s="571"/>
      <c r="V439" s="573"/>
    </row>
    <row r="440" spans="1:22">
      <c r="A440" s="1245" t="s">
        <v>269</v>
      </c>
      <c r="B440" s="622"/>
      <c r="C440" s="622"/>
      <c r="D440" s="1246"/>
      <c r="E440" s="1410"/>
      <c r="F440" s="1411"/>
      <c r="G440" s="1247"/>
      <c r="H440" s="1248"/>
      <c r="I440" s="1248"/>
      <c r="J440" s="1239"/>
      <c r="K440" s="1248"/>
      <c r="L440" s="1248"/>
      <c r="M440" s="1239"/>
      <c r="N440" s="1248"/>
      <c r="O440" s="1248"/>
      <c r="P440" s="1239"/>
      <c r="Q440" s="1248"/>
      <c r="R440" s="1248"/>
      <c r="S440" s="1239"/>
      <c r="T440" s="1249"/>
      <c r="U440" s="571"/>
      <c r="V440" s="573"/>
    </row>
    <row r="441" spans="1:22">
      <c r="A441" s="1269"/>
      <c r="B441" s="1270"/>
      <c r="C441" s="1270"/>
      <c r="D441" s="1239"/>
      <c r="E441" s="1248"/>
      <c r="F441" s="1248"/>
      <c r="G441" s="1253"/>
      <c r="H441" s="1253"/>
      <c r="I441" s="1253"/>
      <c r="J441" s="1069"/>
      <c r="K441" s="1253"/>
      <c r="L441" s="1253"/>
      <c r="M441" s="1069"/>
      <c r="N441" s="1253"/>
      <c r="O441" s="1253"/>
      <c r="P441" s="1069"/>
      <c r="Q441" s="1253"/>
      <c r="R441" s="1253"/>
      <c r="S441" s="1069"/>
      <c r="T441" s="1254"/>
      <c r="U441" s="571"/>
      <c r="V441" s="573"/>
    </row>
    <row r="442" spans="1:22">
      <c r="A442" s="1238" t="s">
        <v>784</v>
      </c>
      <c r="B442" s="1239"/>
      <c r="C442" s="1239"/>
      <c r="D442" s="1239"/>
      <c r="E442" s="1239"/>
      <c r="F442" s="1239"/>
      <c r="G442" s="1239"/>
      <c r="H442" s="1438"/>
      <c r="I442" s="1439"/>
      <c r="J442" s="1278">
        <f>SUM(I445:I447)</f>
        <v>0</v>
      </c>
      <c r="K442" s="1444">
        <v>1</v>
      </c>
      <c r="L442" s="1455"/>
      <c r="M442" s="1279">
        <f>SUM(L445:L447)</f>
        <v>0</v>
      </c>
      <c r="N442" s="1444">
        <v>1</v>
      </c>
      <c r="O442" s="1455"/>
      <c r="P442" s="1279">
        <f>SUM(O445:O447)</f>
        <v>0</v>
      </c>
      <c r="Q442" s="1445">
        <v>1</v>
      </c>
      <c r="R442" s="1444"/>
      <c r="S442" s="597">
        <f>SUM(R445:R447)</f>
        <v>0</v>
      </c>
      <c r="T442" s="1066">
        <f>SUM(J442,M442,P442,S442,)</f>
        <v>0</v>
      </c>
      <c r="U442" s="571"/>
      <c r="V442" s="573"/>
    </row>
    <row r="443" spans="1:22">
      <c r="A443" s="599" t="s">
        <v>778</v>
      </c>
      <c r="B443" s="1239"/>
      <c r="C443" s="1239"/>
      <c r="D443" s="1239"/>
      <c r="E443" s="1239"/>
      <c r="F443" s="1239"/>
      <c r="G443" s="1239"/>
      <c r="H443" s="1240"/>
      <c r="I443" s="1239"/>
      <c r="J443" s="1239"/>
      <c r="K443" s="1240"/>
      <c r="L443" s="1069">
        <f t="shared" ref="L443:L453" si="30">$G443*$K$442*M$16</f>
        <v>0</v>
      </c>
      <c r="M443" s="1241"/>
      <c r="N443" s="1240"/>
      <c r="O443" s="1069">
        <f t="shared" ref="O443:O453" si="31">$G443*$N$442*P$16</f>
        <v>0</v>
      </c>
      <c r="P443" s="1241"/>
      <c r="Q443" s="1240"/>
      <c r="R443" s="1069">
        <f t="shared" ref="R443:R453" si="32">$G443*$Q$442*S$16</f>
        <v>0</v>
      </c>
      <c r="S443" s="1241"/>
      <c r="T443" s="1242"/>
      <c r="U443" s="571"/>
      <c r="V443" s="573"/>
    </row>
    <row r="444" spans="1:22">
      <c r="A444" s="1243" t="s">
        <v>791</v>
      </c>
      <c r="B444" s="1280">
        <v>0</v>
      </c>
      <c r="C444" s="1280" t="s">
        <v>248</v>
      </c>
      <c r="D444" s="1280">
        <f>parttransp</f>
        <v>4</v>
      </c>
      <c r="E444" s="1280" t="s">
        <v>249</v>
      </c>
      <c r="F444" s="1069">
        <f>IF(B444=0,0,F440)</f>
        <v>0</v>
      </c>
      <c r="G444" s="1069">
        <f>B444*D444*F444</f>
        <v>0</v>
      </c>
      <c r="H444" s="1068"/>
      <c r="I444" s="1069">
        <f>$G444*H440*J$16</f>
        <v>0</v>
      </c>
      <c r="J444" s="571"/>
      <c r="K444" s="1068"/>
      <c r="L444" s="1069">
        <f t="shared" si="30"/>
        <v>0</v>
      </c>
      <c r="M444" s="1067"/>
      <c r="N444" s="1068"/>
      <c r="O444" s="1069">
        <f t="shared" si="31"/>
        <v>0</v>
      </c>
      <c r="P444" s="1067"/>
      <c r="Q444" s="1068"/>
      <c r="R444" s="1069">
        <f t="shared" si="32"/>
        <v>0</v>
      </c>
      <c r="S444" s="1067"/>
      <c r="T444" s="1244"/>
      <c r="U444" s="571"/>
      <c r="V444" s="573"/>
    </row>
    <row r="445" spans="1:22">
      <c r="A445" s="1243" t="s">
        <v>780</v>
      </c>
      <c r="B445" s="1280">
        <v>0</v>
      </c>
      <c r="C445" s="1280" t="s">
        <v>248</v>
      </c>
      <c r="D445" s="1280">
        <f>coffee+lunch</f>
        <v>16</v>
      </c>
      <c r="E445" s="1280" t="s">
        <v>249</v>
      </c>
      <c r="F445" s="1069">
        <f>IF(B445=0,0,F440)</f>
        <v>0</v>
      </c>
      <c r="G445" s="1069">
        <f>B445*D445*F445</f>
        <v>0</v>
      </c>
      <c r="H445" s="1068"/>
      <c r="I445" s="1069">
        <f>$G445*H440*J$16</f>
        <v>0</v>
      </c>
      <c r="J445" s="571"/>
      <c r="K445" s="1068"/>
      <c r="L445" s="1069">
        <f t="shared" si="30"/>
        <v>0</v>
      </c>
      <c r="M445" s="1067"/>
      <c r="N445" s="1068"/>
      <c r="O445" s="1069">
        <f t="shared" si="31"/>
        <v>0</v>
      </c>
      <c r="P445" s="1067"/>
      <c r="Q445" s="1068"/>
      <c r="R445" s="1069">
        <f t="shared" si="32"/>
        <v>0</v>
      </c>
      <c r="S445" s="1067"/>
      <c r="T445" s="1244"/>
      <c r="U445" s="571"/>
      <c r="V445" s="573"/>
    </row>
    <row r="446" spans="1:22">
      <c r="A446" s="1243" t="s">
        <v>781</v>
      </c>
      <c r="B446" s="1280">
        <v>0</v>
      </c>
      <c r="C446" s="1280" t="s">
        <v>277</v>
      </c>
      <c r="D446" s="1280">
        <f>print</f>
        <v>50</v>
      </c>
      <c r="E446" s="1280" t="str">
        <f>C446</f>
        <v>activity</v>
      </c>
      <c r="F446" s="1069">
        <f>IF(B446=0,0,1)</f>
        <v>0</v>
      </c>
      <c r="G446" s="1069">
        <f>B446*D446*F446</f>
        <v>0</v>
      </c>
      <c r="H446" s="1068"/>
      <c r="I446" s="1069">
        <f>$G446*H440*J$16</f>
        <v>0</v>
      </c>
      <c r="J446" s="571"/>
      <c r="K446" s="1068"/>
      <c r="L446" s="1069">
        <f t="shared" si="30"/>
        <v>0</v>
      </c>
      <c r="M446" s="1067"/>
      <c r="N446" s="1068"/>
      <c r="O446" s="1069">
        <f t="shared" si="31"/>
        <v>0</v>
      </c>
      <c r="P446" s="1067"/>
      <c r="Q446" s="1068"/>
      <c r="R446" s="1069">
        <f t="shared" si="32"/>
        <v>0</v>
      </c>
      <c r="S446" s="1067"/>
      <c r="T446" s="1244"/>
      <c r="U446" s="571"/>
      <c r="V446" s="573"/>
    </row>
    <row r="447" spans="1:22">
      <c r="A447" s="605"/>
      <c r="B447" s="1280"/>
      <c r="C447" s="1280"/>
      <c r="D447" s="1280"/>
      <c r="E447" s="1280"/>
      <c r="F447" s="1069"/>
      <c r="G447" s="1069"/>
      <c r="H447" s="1068"/>
      <c r="I447" s="1069"/>
      <c r="J447" s="571"/>
      <c r="K447" s="1068"/>
      <c r="L447" s="1069">
        <f t="shared" si="30"/>
        <v>0</v>
      </c>
      <c r="M447" s="1067"/>
      <c r="N447" s="1068"/>
      <c r="O447" s="1069">
        <f t="shared" si="31"/>
        <v>0</v>
      </c>
      <c r="P447" s="1067"/>
      <c r="Q447" s="1068"/>
      <c r="R447" s="1069">
        <f t="shared" si="32"/>
        <v>0</v>
      </c>
      <c r="S447" s="1067"/>
      <c r="T447" s="1244"/>
      <c r="U447" s="571"/>
      <c r="V447" s="573"/>
    </row>
    <row r="448" spans="1:22">
      <c r="A448" s="613" t="s">
        <v>278</v>
      </c>
      <c r="B448" s="1280"/>
      <c r="C448" s="1280"/>
      <c r="D448" s="1280"/>
      <c r="E448" s="1280"/>
      <c r="F448" s="1069"/>
      <c r="G448" s="1069">
        <f t="shared" ref="G448:G453" si="33">B448*D448*F448</f>
        <v>0</v>
      </c>
      <c r="H448" s="1068"/>
      <c r="I448" s="1069"/>
      <c r="J448" s="571"/>
      <c r="K448" s="1068"/>
      <c r="L448" s="1069">
        <f t="shared" si="30"/>
        <v>0</v>
      </c>
      <c r="M448" s="1067"/>
      <c r="N448" s="1068"/>
      <c r="O448" s="1069">
        <f t="shared" si="31"/>
        <v>0</v>
      </c>
      <c r="P448" s="1067"/>
      <c r="Q448" s="1068"/>
      <c r="R448" s="1069">
        <f t="shared" si="32"/>
        <v>0</v>
      </c>
      <c r="S448" s="1067"/>
      <c r="T448" s="1244"/>
      <c r="U448" s="571"/>
      <c r="V448" s="573"/>
    </row>
    <row r="449" spans="1:22">
      <c r="A449" s="605" t="s">
        <v>839</v>
      </c>
      <c r="B449" s="1280">
        <v>2</v>
      </c>
      <c r="C449" s="1280" t="s">
        <v>248</v>
      </c>
      <c r="D449" s="1280">
        <f>partground</f>
        <v>9</v>
      </c>
      <c r="E449" s="1280" t="s">
        <v>262</v>
      </c>
      <c r="F449" s="1069">
        <v>3</v>
      </c>
      <c r="G449" s="1069">
        <f t="shared" si="33"/>
        <v>54</v>
      </c>
      <c r="H449" s="1068"/>
      <c r="I449" s="1069">
        <f>$G449*J$16*$H$64</f>
        <v>0</v>
      </c>
      <c r="J449" s="571"/>
      <c r="K449" s="1068"/>
      <c r="L449" s="1069">
        <f t="shared" si="30"/>
        <v>56.160000000000004</v>
      </c>
      <c r="M449" s="1067"/>
      <c r="N449" s="1068"/>
      <c r="O449" s="1069">
        <f t="shared" si="31"/>
        <v>58.406400000000005</v>
      </c>
      <c r="P449" s="1067"/>
      <c r="Q449" s="1068"/>
      <c r="R449" s="1069">
        <f t="shared" si="32"/>
        <v>60.742656000000004</v>
      </c>
      <c r="S449" s="1067"/>
      <c r="T449" s="1244"/>
      <c r="U449" s="571"/>
      <c r="V449" s="573"/>
    </row>
    <row r="450" spans="1:22">
      <c r="A450" s="1243" t="s">
        <v>840</v>
      </c>
      <c r="B450" s="1280">
        <v>2</v>
      </c>
      <c r="C450" s="1280" t="s">
        <v>248</v>
      </c>
      <c r="D450" s="1280">
        <f>+[1]Assumptions!D101</f>
        <v>25</v>
      </c>
      <c r="E450" s="1280" t="s">
        <v>249</v>
      </c>
      <c r="F450" s="1069">
        <v>3</v>
      </c>
      <c r="G450" s="1069">
        <f t="shared" si="33"/>
        <v>150</v>
      </c>
      <c r="H450" s="1068"/>
      <c r="I450" s="1069">
        <f>$G450*J$16*$H$64</f>
        <v>0</v>
      </c>
      <c r="J450" s="571"/>
      <c r="K450" s="1068"/>
      <c r="L450" s="1069">
        <f t="shared" si="30"/>
        <v>156</v>
      </c>
      <c r="M450" s="1067"/>
      <c r="N450" s="1068"/>
      <c r="O450" s="1069">
        <f t="shared" si="31"/>
        <v>162.24</v>
      </c>
      <c r="P450" s="1067"/>
      <c r="Q450" s="1068"/>
      <c r="R450" s="1069">
        <f t="shared" si="32"/>
        <v>168.7296</v>
      </c>
      <c r="S450" s="1067"/>
      <c r="T450" s="1244"/>
      <c r="U450" s="571"/>
      <c r="V450" s="573"/>
    </row>
    <row r="451" spans="1:22">
      <c r="A451" s="605" t="s">
        <v>790</v>
      </c>
      <c r="B451" s="1280">
        <v>2</v>
      </c>
      <c r="C451" s="1280" t="s">
        <v>248</v>
      </c>
      <c r="D451" s="1280">
        <f>+[1]Assumptions!D103</f>
        <v>90</v>
      </c>
      <c r="E451" s="1280" t="s">
        <v>249</v>
      </c>
      <c r="F451" s="1069">
        <v>2</v>
      </c>
      <c r="G451" s="1069">
        <f t="shared" si="33"/>
        <v>360</v>
      </c>
      <c r="H451" s="1068"/>
      <c r="I451" s="1069">
        <f>$G451*J$16*$H$64</f>
        <v>0</v>
      </c>
      <c r="J451" s="571"/>
      <c r="K451" s="1068"/>
      <c r="L451" s="1069">
        <f t="shared" si="30"/>
        <v>374.40000000000003</v>
      </c>
      <c r="M451" s="1067"/>
      <c r="N451" s="1068"/>
      <c r="O451" s="1069">
        <f t="shared" si="31"/>
        <v>389.37600000000003</v>
      </c>
      <c r="P451" s="1067"/>
      <c r="Q451" s="1068"/>
      <c r="R451" s="1069">
        <f t="shared" si="32"/>
        <v>404.95104000000003</v>
      </c>
      <c r="S451" s="1067"/>
      <c r="T451" s="1244"/>
      <c r="U451" s="571"/>
      <c r="V451" s="573"/>
    </row>
    <row r="452" spans="1:22">
      <c r="A452" s="1243" t="s">
        <v>787</v>
      </c>
      <c r="B452" s="1280">
        <v>4</v>
      </c>
      <c r="C452" s="1280" t="s">
        <v>248</v>
      </c>
      <c r="D452" s="1280">
        <f>partmeals</f>
        <v>47</v>
      </c>
      <c r="E452" s="1280" t="s">
        <v>249</v>
      </c>
      <c r="F452" s="1069">
        <v>3</v>
      </c>
      <c r="G452" s="1069">
        <f t="shared" si="33"/>
        <v>564</v>
      </c>
      <c r="H452" s="1068"/>
      <c r="I452" s="1069">
        <f>$G452*J$16*$H$64</f>
        <v>0</v>
      </c>
      <c r="J452" s="571"/>
      <c r="K452" s="1068"/>
      <c r="L452" s="1069">
        <f t="shared" si="30"/>
        <v>586.56000000000006</v>
      </c>
      <c r="M452" s="1067"/>
      <c r="N452" s="1068"/>
      <c r="O452" s="1069">
        <f t="shared" si="31"/>
        <v>610.02240000000006</v>
      </c>
      <c r="P452" s="1067"/>
      <c r="Q452" s="1068"/>
      <c r="R452" s="1069">
        <f t="shared" si="32"/>
        <v>634.42329600000005</v>
      </c>
      <c r="S452" s="1067"/>
      <c r="T452" s="1244"/>
      <c r="U452" s="571"/>
      <c r="V452" s="573"/>
    </row>
    <row r="453" spans="1:22">
      <c r="A453" s="1243" t="s">
        <v>807</v>
      </c>
      <c r="B453" s="1280">
        <v>2</v>
      </c>
      <c r="C453" s="1280" t="s">
        <v>248</v>
      </c>
      <c r="D453" s="1280">
        <f>partairfare</f>
        <v>200</v>
      </c>
      <c r="E453" s="1280" t="s">
        <v>262</v>
      </c>
      <c r="F453" s="1069">
        <v>1</v>
      </c>
      <c r="G453" s="1069">
        <f t="shared" si="33"/>
        <v>400</v>
      </c>
      <c r="H453" s="1068"/>
      <c r="I453" s="1069">
        <f>$G453*J$16*$H$64</f>
        <v>0</v>
      </c>
      <c r="J453" s="571"/>
      <c r="K453" s="1068"/>
      <c r="L453" s="1069">
        <f t="shared" si="30"/>
        <v>416</v>
      </c>
      <c r="M453" s="1067"/>
      <c r="N453" s="1068"/>
      <c r="O453" s="1069">
        <f t="shared" si="31"/>
        <v>432.64000000000004</v>
      </c>
      <c r="P453" s="1067"/>
      <c r="Q453" s="1068"/>
      <c r="R453" s="1069">
        <f t="shared" si="32"/>
        <v>449.94560000000001</v>
      </c>
      <c r="S453" s="1067"/>
      <c r="T453" s="1244"/>
      <c r="U453" s="571"/>
      <c r="V453" s="573"/>
    </row>
    <row r="454" spans="1:22">
      <c r="A454" s="1245" t="s">
        <v>859</v>
      </c>
      <c r="B454" s="622"/>
      <c r="C454" s="622"/>
      <c r="D454" s="1246"/>
      <c r="E454" s="1410"/>
      <c r="F454" s="1411"/>
      <c r="G454" s="1247"/>
      <c r="H454" s="1248"/>
      <c r="I454" s="1248"/>
      <c r="J454" s="1239">
        <f>J277+J262</f>
        <v>1620</v>
      </c>
      <c r="K454" s="1248"/>
      <c r="L454" s="1248"/>
      <c r="M454" s="1239">
        <f>M426+M397+M370+M344+M317+M290</f>
        <v>28184</v>
      </c>
      <c r="N454" s="1248"/>
      <c r="O454" s="1248"/>
      <c r="P454" s="1239">
        <f>P426+P397+P370+P344+P317+P290</f>
        <v>30338.880000000005</v>
      </c>
      <c r="Q454" s="1248"/>
      <c r="R454" s="1248"/>
      <c r="S454" s="1239">
        <f>S426+S397+S370+S344+S317+S290</f>
        <v>23163.199488000006</v>
      </c>
      <c r="T454" s="1249"/>
      <c r="U454" s="571"/>
      <c r="V454" s="573"/>
    </row>
    <row r="455" spans="1:22">
      <c r="A455" s="1269"/>
      <c r="B455" s="1270"/>
      <c r="C455" s="1270"/>
      <c r="D455" s="1239"/>
      <c r="E455" s="1248"/>
      <c r="F455" s="1248"/>
      <c r="G455" s="1253"/>
      <c r="H455" s="1253"/>
      <c r="I455" s="1253"/>
      <c r="J455" s="1069"/>
      <c r="K455" s="1253"/>
      <c r="L455" s="1253"/>
      <c r="M455" s="1069"/>
      <c r="N455" s="1253"/>
      <c r="O455" s="1253"/>
      <c r="P455" s="1069"/>
      <c r="Q455" s="1253"/>
      <c r="R455" s="1253"/>
      <c r="S455" s="1069"/>
      <c r="T455" s="1254"/>
      <c r="U455" s="571"/>
      <c r="V455" s="573"/>
    </row>
    <row r="456" spans="1:22">
      <c r="A456" s="1456" t="s">
        <v>860</v>
      </c>
      <c r="B456" s="1457"/>
      <c r="C456" s="1457"/>
      <c r="D456" s="1457"/>
      <c r="E456" s="1458"/>
      <c r="F456" s="595">
        <v>2</v>
      </c>
      <c r="G456" s="595"/>
      <c r="H456" s="1453"/>
      <c r="I456" s="1454"/>
      <c r="J456" s="1278">
        <f>SUM(I459:I465)</f>
        <v>0</v>
      </c>
      <c r="K456" s="1444">
        <v>0</v>
      </c>
      <c r="L456" s="1455"/>
      <c r="M456" s="1279">
        <f>+L459</f>
        <v>0</v>
      </c>
      <c r="N456" s="1444">
        <v>0</v>
      </c>
      <c r="O456" s="1455"/>
      <c r="P456" s="1279">
        <f>SUM(O459:O465)</f>
        <v>0</v>
      </c>
      <c r="Q456" s="1445">
        <v>0</v>
      </c>
      <c r="R456" s="1444"/>
      <c r="S456" s="597">
        <f>SUM(R459:R465)</f>
        <v>0</v>
      </c>
      <c r="T456" s="1066">
        <f>SUM(J456,M456,P456,S456,)</f>
        <v>0</v>
      </c>
      <c r="U456" s="571"/>
      <c r="V456" s="573"/>
    </row>
    <row r="457" spans="1:22">
      <c r="A457" s="1250" t="s">
        <v>777</v>
      </c>
      <c r="B457" s="1239"/>
      <c r="C457" s="1239"/>
      <c r="D457" s="1239"/>
      <c r="E457" s="1239"/>
      <c r="F457" s="1239"/>
      <c r="G457" s="1239"/>
      <c r="H457" s="1240"/>
      <c r="I457" s="1239"/>
      <c r="J457" s="1239"/>
      <c r="K457" s="1240"/>
      <c r="L457" s="1239"/>
      <c r="M457" s="1241"/>
      <c r="N457" s="1240"/>
      <c r="O457" s="1239"/>
      <c r="P457" s="1241"/>
      <c r="Q457" s="1240"/>
      <c r="R457" s="1239"/>
      <c r="S457" s="1241"/>
      <c r="T457" s="1242"/>
      <c r="U457" s="571"/>
      <c r="V457" s="573"/>
    </row>
    <row r="458" spans="1:22">
      <c r="A458" s="599" t="s">
        <v>778</v>
      </c>
      <c r="B458" s="1284"/>
      <c r="C458" s="1284"/>
      <c r="D458" s="1284"/>
      <c r="E458" s="1284"/>
      <c r="F458" s="1284"/>
      <c r="G458" s="1284"/>
      <c r="H458" s="1285"/>
      <c r="I458" s="1284"/>
      <c r="J458" s="1239"/>
      <c r="K458" s="1240"/>
      <c r="L458" s="1239"/>
      <c r="M458" s="1241"/>
      <c r="N458" s="1240"/>
      <c r="O458" s="1239"/>
      <c r="P458" s="1241"/>
      <c r="Q458" s="1240"/>
      <c r="R458" s="1239"/>
      <c r="S458" s="1241"/>
      <c r="T458" s="1242"/>
      <c r="U458" s="571"/>
      <c r="V458" s="573"/>
    </row>
    <row r="459" spans="1:22">
      <c r="A459" s="605"/>
      <c r="B459" s="1280"/>
      <c r="C459" s="1280"/>
      <c r="D459" s="1280"/>
      <c r="E459" s="1280"/>
      <c r="F459" s="1280"/>
      <c r="G459" s="1280"/>
      <c r="H459" s="1281"/>
      <c r="I459" s="1280"/>
      <c r="J459" s="571"/>
      <c r="K459" s="1068"/>
      <c r="L459" s="1069"/>
      <c r="M459" s="1067"/>
      <c r="N459" s="1068"/>
      <c r="O459" s="1069"/>
      <c r="P459" s="1067"/>
      <c r="Q459" s="1068"/>
      <c r="R459" s="1069"/>
      <c r="S459" s="1067"/>
      <c r="T459" s="1244"/>
      <c r="U459" s="571"/>
      <c r="V459" s="573"/>
    </row>
    <row r="460" spans="1:22">
      <c r="A460" s="613" t="s">
        <v>278</v>
      </c>
      <c r="B460" s="1280"/>
      <c r="C460" s="1280"/>
      <c r="D460" s="1280"/>
      <c r="E460" s="1280"/>
      <c r="F460" s="1280"/>
      <c r="G460" s="1280">
        <f t="shared" ref="G460:G465" si="34">B460*D460*F460</f>
        <v>0</v>
      </c>
      <c r="H460" s="1281"/>
      <c r="I460" s="1280">
        <f>$G460*H456*J$16</f>
        <v>0</v>
      </c>
      <c r="J460" s="571"/>
      <c r="K460" s="1068"/>
      <c r="L460" s="1069">
        <f>$G460*1*M$16</f>
        <v>0</v>
      </c>
      <c r="M460" s="1067"/>
      <c r="N460" s="1068"/>
      <c r="O460" s="1069">
        <f>$G460*N456*P$16</f>
        <v>0</v>
      </c>
      <c r="P460" s="1067"/>
      <c r="Q460" s="1068"/>
      <c r="R460" s="1069">
        <f>$G460*Q456*S$16</f>
        <v>0</v>
      </c>
      <c r="S460" s="1067"/>
      <c r="T460" s="1244"/>
      <c r="U460" s="571"/>
      <c r="V460" s="573"/>
    </row>
    <row r="461" spans="1:22">
      <c r="A461" s="605" t="s">
        <v>266</v>
      </c>
      <c r="B461" s="1280">
        <v>4</v>
      </c>
      <c r="C461" s="1280" t="s">
        <v>248</v>
      </c>
      <c r="D461" s="1280">
        <f>partground</f>
        <v>9</v>
      </c>
      <c r="E461" s="1280" t="s">
        <v>262</v>
      </c>
      <c r="F461" s="1280">
        <v>2</v>
      </c>
      <c r="G461" s="1280">
        <f t="shared" si="34"/>
        <v>72</v>
      </c>
      <c r="H461" s="1281"/>
      <c r="I461" s="1280">
        <f>$G461*H456*J$16</f>
        <v>0</v>
      </c>
      <c r="J461" s="571"/>
      <c r="K461" s="1068"/>
      <c r="L461" s="1069">
        <f>$G461*$K$456*M$16</f>
        <v>0</v>
      </c>
      <c r="M461" s="1067"/>
      <c r="N461" s="1068"/>
      <c r="O461" s="1069">
        <f>$G461*N456*P$16</f>
        <v>0</v>
      </c>
      <c r="P461" s="1067"/>
      <c r="Q461" s="1068"/>
      <c r="R461" s="1069">
        <f>$G461*Q456*S$16</f>
        <v>0</v>
      </c>
      <c r="S461" s="1067"/>
      <c r="T461" s="1244"/>
      <c r="U461" s="571"/>
      <c r="V461" s="573"/>
    </row>
    <row r="462" spans="1:22">
      <c r="A462" s="1243" t="s">
        <v>861</v>
      </c>
      <c r="B462" s="1280">
        <v>4</v>
      </c>
      <c r="C462" s="1280" t="s">
        <v>248</v>
      </c>
      <c r="D462" s="1280">
        <f>partground</f>
        <v>9</v>
      </c>
      <c r="E462" s="1280" t="s">
        <v>249</v>
      </c>
      <c r="F462" s="1280">
        <v>2</v>
      </c>
      <c r="G462" s="1280">
        <f t="shared" si="34"/>
        <v>72</v>
      </c>
      <c r="H462" s="1281"/>
      <c r="I462" s="1280">
        <f>$G462*H456*J$16</f>
        <v>0</v>
      </c>
      <c r="J462" s="571"/>
      <c r="K462" s="1068"/>
      <c r="L462" s="1069">
        <f>$G462*$K$456*M$16</f>
        <v>0</v>
      </c>
      <c r="M462" s="1067"/>
      <c r="N462" s="1068"/>
      <c r="O462" s="1069">
        <f>$G462*N456*P$16</f>
        <v>0</v>
      </c>
      <c r="P462" s="1067"/>
      <c r="Q462" s="1068"/>
      <c r="R462" s="1069">
        <f>$G462*Q456*S$16</f>
        <v>0</v>
      </c>
      <c r="S462" s="1067"/>
      <c r="T462" s="1244"/>
      <c r="U462" s="571"/>
      <c r="V462" s="573"/>
    </row>
    <row r="463" spans="1:22">
      <c r="A463" s="605" t="s">
        <v>790</v>
      </c>
      <c r="B463" s="1280">
        <v>2</v>
      </c>
      <c r="C463" s="1280" t="s">
        <v>248</v>
      </c>
      <c r="D463" s="1280">
        <f>partlodg</f>
        <v>35</v>
      </c>
      <c r="E463" s="1280" t="s">
        <v>249</v>
      </c>
      <c r="F463" s="1280">
        <f>IF(B463=0,0,F456)</f>
        <v>2</v>
      </c>
      <c r="G463" s="1280">
        <f t="shared" si="34"/>
        <v>140</v>
      </c>
      <c r="H463" s="1281"/>
      <c r="I463" s="1280">
        <f>$G463*H456*J$16</f>
        <v>0</v>
      </c>
      <c r="J463" s="571"/>
      <c r="K463" s="1068"/>
      <c r="L463" s="1069">
        <f>$G463*$K$456*M$16</f>
        <v>0</v>
      </c>
      <c r="M463" s="1067"/>
      <c r="N463" s="1068"/>
      <c r="O463" s="1069">
        <f>$G463*N456*P$16</f>
        <v>0</v>
      </c>
      <c r="P463" s="1067"/>
      <c r="Q463" s="1068"/>
      <c r="R463" s="1069">
        <f>$G463*Q456*S$16</f>
        <v>0</v>
      </c>
      <c r="S463" s="1067"/>
      <c r="T463" s="1244"/>
      <c r="U463" s="571"/>
      <c r="V463" s="573"/>
    </row>
    <row r="464" spans="1:22">
      <c r="A464" s="1243" t="s">
        <v>787</v>
      </c>
      <c r="B464" s="1280">
        <v>4</v>
      </c>
      <c r="C464" s="1280" t="s">
        <v>248</v>
      </c>
      <c r="D464" s="1280">
        <f>partmeals</f>
        <v>47</v>
      </c>
      <c r="E464" s="1280" t="s">
        <v>249</v>
      </c>
      <c r="F464" s="1280">
        <f>IF(B464=0,0,F456)</f>
        <v>2</v>
      </c>
      <c r="G464" s="1280">
        <f t="shared" si="34"/>
        <v>376</v>
      </c>
      <c r="H464" s="1281"/>
      <c r="I464" s="1280">
        <f>$G464*H456*J$16</f>
        <v>0</v>
      </c>
      <c r="J464" s="571"/>
      <c r="K464" s="1068"/>
      <c r="L464" s="1069">
        <f>$G464*$K$456*M$16</f>
        <v>0</v>
      </c>
      <c r="M464" s="1067"/>
      <c r="N464" s="1068"/>
      <c r="O464" s="1069">
        <f>$G464*N456*P$16</f>
        <v>0</v>
      </c>
      <c r="P464" s="1067"/>
      <c r="Q464" s="1068"/>
      <c r="R464" s="1069">
        <f>$G464*Q456*S$16</f>
        <v>0</v>
      </c>
      <c r="S464" s="1067"/>
      <c r="T464" s="1244"/>
      <c r="U464" s="571"/>
      <c r="V464" s="573"/>
    </row>
    <row r="465" spans="1:22">
      <c r="A465" s="1243" t="s">
        <v>798</v>
      </c>
      <c r="B465" s="1280">
        <v>4</v>
      </c>
      <c r="C465" s="1280" t="s">
        <v>248</v>
      </c>
      <c r="D465" s="1280">
        <f>parttransp</f>
        <v>4</v>
      </c>
      <c r="E465" s="1280" t="s">
        <v>262</v>
      </c>
      <c r="F465" s="1280">
        <v>2</v>
      </c>
      <c r="G465" s="1280">
        <f t="shared" si="34"/>
        <v>32</v>
      </c>
      <c r="H465" s="1281"/>
      <c r="I465" s="1280">
        <f>$G465*H456*J$16</f>
        <v>0</v>
      </c>
      <c r="J465" s="571"/>
      <c r="K465" s="1068"/>
      <c r="L465" s="1069">
        <f>$G465*$K$456*M$16</f>
        <v>0</v>
      </c>
      <c r="M465" s="1067"/>
      <c r="N465" s="1068"/>
      <c r="O465" s="1069">
        <f>$G465*N456*P$16</f>
        <v>0</v>
      </c>
      <c r="P465" s="1067"/>
      <c r="Q465" s="1068"/>
      <c r="R465" s="1069">
        <f>$G465*Q456*S$16</f>
        <v>0</v>
      </c>
      <c r="S465" s="1067"/>
      <c r="T465" s="1244"/>
      <c r="U465" s="571"/>
      <c r="V465" s="573"/>
    </row>
    <row r="466" spans="1:22">
      <c r="A466" s="1245" t="s">
        <v>788</v>
      </c>
      <c r="B466" s="622"/>
      <c r="C466" s="622"/>
      <c r="D466" s="1283"/>
      <c r="E466" s="1446"/>
      <c r="F466" s="1459"/>
      <c r="G466" s="624"/>
      <c r="H466" s="625"/>
      <c r="I466" s="625"/>
      <c r="J466" s="1239"/>
      <c r="K466" s="1248"/>
      <c r="L466" s="1248"/>
      <c r="M466" s="1239"/>
      <c r="N466" s="1248"/>
      <c r="O466" s="1248"/>
      <c r="P466" s="1239"/>
      <c r="Q466" s="1248"/>
      <c r="R466" s="1248"/>
      <c r="S466" s="1239"/>
      <c r="T466" s="1249"/>
      <c r="U466" s="571"/>
      <c r="V466" s="573"/>
    </row>
    <row r="467" spans="1:22">
      <c r="A467" s="1269"/>
      <c r="B467" s="1270"/>
      <c r="C467" s="1270"/>
      <c r="D467" s="1239"/>
      <c r="E467" s="1248"/>
      <c r="F467" s="1248"/>
      <c r="G467" s="1253"/>
      <c r="H467" s="1253"/>
      <c r="I467" s="1253"/>
      <c r="J467" s="1069"/>
      <c r="K467" s="1253"/>
      <c r="L467" s="1253"/>
      <c r="M467" s="1069"/>
      <c r="N467" s="1253"/>
      <c r="O467" s="1253"/>
      <c r="P467" s="1069"/>
      <c r="Q467" s="1253"/>
      <c r="R467" s="1253"/>
      <c r="S467" s="1069"/>
      <c r="T467" s="1254"/>
      <c r="U467" s="571"/>
      <c r="V467" s="573"/>
    </row>
    <row r="468" spans="1:22">
      <c r="A468" s="1238" t="s">
        <v>784</v>
      </c>
      <c r="B468" s="1239"/>
      <c r="C468" s="1239"/>
      <c r="D468" s="1239"/>
      <c r="E468" s="1239"/>
      <c r="F468" s="1239"/>
      <c r="G468" s="1239"/>
      <c r="H468" s="1438"/>
      <c r="I468" s="1439"/>
      <c r="J468" s="1278">
        <f>SUM(I471:I473)</f>
        <v>0</v>
      </c>
      <c r="K468" s="1444">
        <v>0</v>
      </c>
      <c r="L468" s="1455"/>
      <c r="M468" s="1279">
        <f>SUM(L471:L473)</f>
        <v>0</v>
      </c>
      <c r="N468" s="1444">
        <v>0</v>
      </c>
      <c r="O468" s="1455"/>
      <c r="P468" s="1279">
        <f>SUM(O471:O473)</f>
        <v>0</v>
      </c>
      <c r="Q468" s="1445">
        <v>0</v>
      </c>
      <c r="R468" s="1444"/>
      <c r="S468" s="597">
        <f>SUM(R471:R473)</f>
        <v>0</v>
      </c>
      <c r="T468" s="1066">
        <f>SUM(J468,M468,P468,S468,)</f>
        <v>0</v>
      </c>
      <c r="U468" s="571"/>
      <c r="V468" s="573"/>
    </row>
    <row r="469" spans="1:22">
      <c r="A469" s="599" t="s">
        <v>283</v>
      </c>
      <c r="B469" s="1239"/>
      <c r="C469" s="1239"/>
      <c r="D469" s="1239"/>
      <c r="E469" s="1239"/>
      <c r="F469" s="1239"/>
      <c r="G469" s="1239"/>
      <c r="H469" s="1285"/>
      <c r="I469" s="1284"/>
      <c r="J469" s="1284"/>
      <c r="K469" s="1285"/>
      <c r="L469" s="1280">
        <f t="shared" ref="L469:L479" si="35">$G469*$K$468*M$16</f>
        <v>0</v>
      </c>
      <c r="M469" s="1286"/>
      <c r="N469" s="1285"/>
      <c r="O469" s="1280">
        <f t="shared" ref="O469:O479" si="36">$G469*$N$468*P$16</f>
        <v>0</v>
      </c>
      <c r="P469" s="1286"/>
      <c r="Q469" s="1285"/>
      <c r="R469" s="1280">
        <f t="shared" ref="R469:R479" si="37">$G469*$Q$468*S$16</f>
        <v>0</v>
      </c>
      <c r="S469" s="1241"/>
      <c r="T469" s="1242"/>
      <c r="U469" s="571"/>
      <c r="V469" s="573"/>
    </row>
    <row r="470" spans="1:22">
      <c r="A470" s="1243" t="s">
        <v>838</v>
      </c>
      <c r="B470" s="1280"/>
      <c r="C470" s="1280" t="s">
        <v>248</v>
      </c>
      <c r="D470" s="1280">
        <f>parttransp</f>
        <v>4</v>
      </c>
      <c r="E470" s="1069" t="s">
        <v>249</v>
      </c>
      <c r="F470" s="1069">
        <f>IF(B470=0,0,F466)</f>
        <v>0</v>
      </c>
      <c r="G470" s="1069">
        <f>B470*D470*F470</f>
        <v>0</v>
      </c>
      <c r="H470" s="1281"/>
      <c r="I470" s="1280">
        <f>$G470*H466*J$16</f>
        <v>0</v>
      </c>
      <c r="J470" s="571"/>
      <c r="K470" s="1281"/>
      <c r="L470" s="1280">
        <f t="shared" si="35"/>
        <v>0</v>
      </c>
      <c r="M470" s="1282"/>
      <c r="N470" s="1281"/>
      <c r="O470" s="1280">
        <f t="shared" si="36"/>
        <v>0</v>
      </c>
      <c r="P470" s="1282"/>
      <c r="Q470" s="1281"/>
      <c r="R470" s="1280">
        <f t="shared" si="37"/>
        <v>0</v>
      </c>
      <c r="S470" s="1067"/>
      <c r="T470" s="1244"/>
      <c r="U470" s="571"/>
      <c r="V470" s="573"/>
    </row>
    <row r="471" spans="1:22">
      <c r="A471" s="1243" t="s">
        <v>780</v>
      </c>
      <c r="B471" s="1280"/>
      <c r="C471" s="1280" t="s">
        <v>248</v>
      </c>
      <c r="D471" s="1280">
        <f>coffee+lunch</f>
        <v>16</v>
      </c>
      <c r="E471" s="1069" t="s">
        <v>249</v>
      </c>
      <c r="F471" s="1069">
        <f>IF(B471=0,0,F466)</f>
        <v>0</v>
      </c>
      <c r="G471" s="1069">
        <f>B471*D471*F471</f>
        <v>0</v>
      </c>
      <c r="H471" s="1068"/>
      <c r="I471" s="1069">
        <f>$G471*H466*J$16</f>
        <v>0</v>
      </c>
      <c r="J471" s="571"/>
      <c r="K471" s="1068"/>
      <c r="L471" s="1069">
        <f t="shared" si="35"/>
        <v>0</v>
      </c>
      <c r="M471" s="1067"/>
      <c r="N471" s="1068"/>
      <c r="O471" s="1069">
        <f t="shared" si="36"/>
        <v>0</v>
      </c>
      <c r="P471" s="1067"/>
      <c r="Q471" s="1068"/>
      <c r="R471" s="1069">
        <f t="shared" si="37"/>
        <v>0</v>
      </c>
      <c r="S471" s="1067"/>
      <c r="T471" s="1244"/>
      <c r="U471" s="571"/>
      <c r="V471" s="573"/>
    </row>
    <row r="472" spans="1:22">
      <c r="A472" s="1243" t="s">
        <v>781</v>
      </c>
      <c r="B472" s="1280"/>
      <c r="C472" s="1280" t="s">
        <v>277</v>
      </c>
      <c r="D472" s="1280">
        <f>print</f>
        <v>50</v>
      </c>
      <c r="E472" s="1069" t="str">
        <f>C472</f>
        <v>activity</v>
      </c>
      <c r="F472" s="1069">
        <f>IF(B472=0,0,1)</f>
        <v>0</v>
      </c>
      <c r="G472" s="1069">
        <f>B472*D472*F472</f>
        <v>0</v>
      </c>
      <c r="H472" s="1068"/>
      <c r="I472" s="1069">
        <f>$G472*H466*J$16</f>
        <v>0</v>
      </c>
      <c r="J472" s="571"/>
      <c r="K472" s="1068"/>
      <c r="L472" s="1069">
        <f t="shared" si="35"/>
        <v>0</v>
      </c>
      <c r="M472" s="1067"/>
      <c r="N472" s="1068"/>
      <c r="O472" s="1069">
        <f t="shared" si="36"/>
        <v>0</v>
      </c>
      <c r="P472" s="1067"/>
      <c r="Q472" s="1068"/>
      <c r="R472" s="1069">
        <f t="shared" si="37"/>
        <v>0</v>
      </c>
      <c r="S472" s="1067"/>
      <c r="T472" s="1244"/>
      <c r="U472" s="571"/>
      <c r="V472" s="573"/>
    </row>
    <row r="473" spans="1:22">
      <c r="A473" s="605"/>
      <c r="B473" s="1280"/>
      <c r="C473" s="1280"/>
      <c r="D473" s="1280"/>
      <c r="E473" s="1069"/>
      <c r="F473" s="1069"/>
      <c r="G473" s="1069"/>
      <c r="H473" s="1068"/>
      <c r="I473" s="1069"/>
      <c r="J473" s="571"/>
      <c r="K473" s="1068"/>
      <c r="L473" s="1069">
        <f t="shared" si="35"/>
        <v>0</v>
      </c>
      <c r="M473" s="1067"/>
      <c r="N473" s="1068"/>
      <c r="O473" s="1069">
        <f t="shared" si="36"/>
        <v>0</v>
      </c>
      <c r="P473" s="1067"/>
      <c r="Q473" s="1068"/>
      <c r="R473" s="1069">
        <f t="shared" si="37"/>
        <v>0</v>
      </c>
      <c r="S473" s="1067"/>
      <c r="T473" s="1244"/>
      <c r="U473" s="571"/>
      <c r="V473" s="573"/>
    </row>
    <row r="474" spans="1:22">
      <c r="A474" s="613" t="s">
        <v>278</v>
      </c>
      <c r="B474" s="1280"/>
      <c r="C474" s="1280"/>
      <c r="D474" s="1280"/>
      <c r="E474" s="1069"/>
      <c r="F474" s="1069"/>
      <c r="G474" s="1069">
        <f t="shared" ref="G474:G479" si="38">B474*D474*F474</f>
        <v>0</v>
      </c>
      <c r="H474" s="1068"/>
      <c r="I474" s="1069"/>
      <c r="J474" s="571"/>
      <c r="K474" s="1068"/>
      <c r="L474" s="1069">
        <f t="shared" si="35"/>
        <v>0</v>
      </c>
      <c r="M474" s="1067"/>
      <c r="N474" s="1068"/>
      <c r="O474" s="1069">
        <f t="shared" si="36"/>
        <v>0</v>
      </c>
      <c r="P474" s="1067"/>
      <c r="Q474" s="1068"/>
      <c r="R474" s="1069">
        <f t="shared" si="37"/>
        <v>0</v>
      </c>
      <c r="S474" s="1067"/>
      <c r="T474" s="1244"/>
      <c r="U474" s="571"/>
      <c r="V474" s="573"/>
    </row>
    <row r="475" spans="1:22">
      <c r="A475" s="605" t="s">
        <v>261</v>
      </c>
      <c r="B475" s="1280">
        <v>1</v>
      </c>
      <c r="C475" s="1280" t="s">
        <v>248</v>
      </c>
      <c r="D475" s="1280">
        <f>partground</f>
        <v>9</v>
      </c>
      <c r="E475" s="1069" t="s">
        <v>262</v>
      </c>
      <c r="F475" s="1069">
        <v>3</v>
      </c>
      <c r="G475" s="1069">
        <f t="shared" si="38"/>
        <v>27</v>
      </c>
      <c r="H475" s="1068"/>
      <c r="I475" s="1069">
        <f>$G475*J$16*$H$64</f>
        <v>0</v>
      </c>
      <c r="J475" s="571"/>
      <c r="K475" s="1068"/>
      <c r="L475" s="1069">
        <f t="shared" si="35"/>
        <v>0</v>
      </c>
      <c r="M475" s="1067"/>
      <c r="N475" s="1068"/>
      <c r="O475" s="1069">
        <f t="shared" si="36"/>
        <v>0</v>
      </c>
      <c r="P475" s="1067"/>
      <c r="Q475" s="1068"/>
      <c r="R475" s="1069">
        <f t="shared" si="37"/>
        <v>0</v>
      </c>
      <c r="S475" s="1067"/>
      <c r="T475" s="1244"/>
      <c r="U475" s="571"/>
      <c r="V475" s="573"/>
    </row>
    <row r="476" spans="1:22">
      <c r="A476" s="1243" t="s">
        <v>813</v>
      </c>
      <c r="B476" s="1280">
        <v>1</v>
      </c>
      <c r="C476" s="1280" t="s">
        <v>248</v>
      </c>
      <c r="D476" s="1280">
        <f>+[1]Assumptions!D101</f>
        <v>25</v>
      </c>
      <c r="E476" s="1069" t="s">
        <v>249</v>
      </c>
      <c r="F476" s="1069">
        <v>3</v>
      </c>
      <c r="G476" s="1069">
        <f t="shared" si="38"/>
        <v>75</v>
      </c>
      <c r="H476" s="1068"/>
      <c r="I476" s="1069">
        <f>$G476*J$16*$H$64</f>
        <v>0</v>
      </c>
      <c r="J476" s="571"/>
      <c r="K476" s="1068"/>
      <c r="L476" s="1069">
        <f t="shared" si="35"/>
        <v>0</v>
      </c>
      <c r="M476" s="1067"/>
      <c r="N476" s="1068"/>
      <c r="O476" s="1069">
        <f t="shared" si="36"/>
        <v>0</v>
      </c>
      <c r="P476" s="1067"/>
      <c r="Q476" s="1068"/>
      <c r="R476" s="1069">
        <f t="shared" si="37"/>
        <v>0</v>
      </c>
      <c r="S476" s="1067"/>
      <c r="T476" s="1244"/>
      <c r="U476" s="571"/>
      <c r="V476" s="573"/>
    </row>
    <row r="477" spans="1:22">
      <c r="A477" s="605" t="s">
        <v>790</v>
      </c>
      <c r="B477" s="1280">
        <v>1</v>
      </c>
      <c r="C477" s="1280" t="s">
        <v>248</v>
      </c>
      <c r="D477" s="1280">
        <f>+[1]Assumptions!D103</f>
        <v>90</v>
      </c>
      <c r="E477" s="1069" t="s">
        <v>249</v>
      </c>
      <c r="F477" s="1069">
        <v>2</v>
      </c>
      <c r="G477" s="1069">
        <f t="shared" si="38"/>
        <v>180</v>
      </c>
      <c r="H477" s="1068"/>
      <c r="I477" s="1069">
        <f>$G477*J$16*$H$64</f>
        <v>0</v>
      </c>
      <c r="J477" s="571"/>
      <c r="K477" s="1068"/>
      <c r="L477" s="1069">
        <f t="shared" si="35"/>
        <v>0</v>
      </c>
      <c r="M477" s="1067"/>
      <c r="N477" s="1068"/>
      <c r="O477" s="1069">
        <f t="shared" si="36"/>
        <v>0</v>
      </c>
      <c r="P477" s="1067"/>
      <c r="Q477" s="1068"/>
      <c r="R477" s="1069">
        <f t="shared" si="37"/>
        <v>0</v>
      </c>
      <c r="S477" s="1067"/>
      <c r="T477" s="1244"/>
      <c r="U477" s="571"/>
      <c r="V477" s="573"/>
    </row>
    <row r="478" spans="1:22">
      <c r="A478" s="1243" t="s">
        <v>787</v>
      </c>
      <c r="B478" s="1280">
        <v>1</v>
      </c>
      <c r="C478" s="1280" t="s">
        <v>248</v>
      </c>
      <c r="D478" s="1280">
        <f>partmeals</f>
        <v>47</v>
      </c>
      <c r="E478" s="1069" t="s">
        <v>249</v>
      </c>
      <c r="F478" s="1069">
        <v>3</v>
      </c>
      <c r="G478" s="1069">
        <f t="shared" si="38"/>
        <v>141</v>
      </c>
      <c r="H478" s="1068"/>
      <c r="I478" s="1069">
        <f>$G478*J$16*$H$64</f>
        <v>0</v>
      </c>
      <c r="J478" s="571"/>
      <c r="K478" s="1068"/>
      <c r="L478" s="1069">
        <f t="shared" si="35"/>
        <v>0</v>
      </c>
      <c r="M478" s="1067"/>
      <c r="N478" s="1068"/>
      <c r="O478" s="1069">
        <f t="shared" si="36"/>
        <v>0</v>
      </c>
      <c r="P478" s="1067"/>
      <c r="Q478" s="1068"/>
      <c r="R478" s="1069">
        <f t="shared" si="37"/>
        <v>0</v>
      </c>
      <c r="S478" s="1067"/>
      <c r="T478" s="1244"/>
      <c r="U478" s="571"/>
      <c r="V478" s="573"/>
    </row>
    <row r="479" spans="1:22">
      <c r="A479" s="1243" t="s">
        <v>807</v>
      </c>
      <c r="B479" s="1280">
        <v>1</v>
      </c>
      <c r="C479" s="1280" t="s">
        <v>248</v>
      </c>
      <c r="D479" s="1280">
        <f>partairfare</f>
        <v>200</v>
      </c>
      <c r="E479" s="1069" t="s">
        <v>262</v>
      </c>
      <c r="F479" s="1069">
        <v>1</v>
      </c>
      <c r="G479" s="1069">
        <f t="shared" si="38"/>
        <v>200</v>
      </c>
      <c r="H479" s="1068"/>
      <c r="I479" s="1069">
        <f>$G479*J$16*$H$64</f>
        <v>0</v>
      </c>
      <c r="J479" s="571"/>
      <c r="K479" s="1068"/>
      <c r="L479" s="1069">
        <f t="shared" si="35"/>
        <v>0</v>
      </c>
      <c r="M479" s="1067"/>
      <c r="N479" s="1068"/>
      <c r="O479" s="1069">
        <f t="shared" si="36"/>
        <v>0</v>
      </c>
      <c r="P479" s="1067"/>
      <c r="Q479" s="1068"/>
      <c r="R479" s="1069">
        <f t="shared" si="37"/>
        <v>0</v>
      </c>
      <c r="S479" s="1067"/>
      <c r="T479" s="1244"/>
      <c r="U479" s="571"/>
      <c r="V479" s="573"/>
    </row>
    <row r="480" spans="1:22">
      <c r="A480" s="1245" t="s">
        <v>788</v>
      </c>
      <c r="B480" s="622"/>
      <c r="C480" s="622"/>
      <c r="D480" s="1246"/>
      <c r="E480" s="1410"/>
      <c r="F480" s="1411"/>
      <c r="G480" s="1247"/>
      <c r="H480" s="1248"/>
      <c r="I480" s="1248"/>
      <c r="J480" s="1239"/>
      <c r="K480" s="1248"/>
      <c r="L480" s="1248"/>
      <c r="M480" s="1239"/>
      <c r="N480" s="1248"/>
      <c r="O480" s="1248"/>
      <c r="P480" s="1239"/>
      <c r="Q480" s="1248"/>
      <c r="R480" s="1248"/>
      <c r="S480" s="1239"/>
      <c r="T480" s="1249"/>
      <c r="U480" s="571"/>
      <c r="V480" s="573"/>
    </row>
    <row r="481" spans="1:22">
      <c r="A481" s="1269"/>
      <c r="B481" s="1270"/>
      <c r="C481" s="1270"/>
      <c r="D481" s="1239"/>
      <c r="E481" s="1248"/>
      <c r="F481" s="1248"/>
      <c r="G481" s="1253"/>
      <c r="H481" s="1253"/>
      <c r="I481" s="1253"/>
      <c r="J481" s="1069"/>
      <c r="K481" s="1253"/>
      <c r="L481" s="1253"/>
      <c r="M481" s="1069"/>
      <c r="N481" s="1253"/>
      <c r="O481" s="1253"/>
      <c r="P481" s="1069"/>
      <c r="Q481" s="1253"/>
      <c r="R481" s="1253"/>
      <c r="S481" s="1069"/>
      <c r="T481" s="1254"/>
      <c r="U481" s="571"/>
      <c r="V481" s="573"/>
    </row>
    <row r="482" spans="1:22">
      <c r="A482" s="1421" t="s">
        <v>862</v>
      </c>
      <c r="B482" s="1422"/>
      <c r="C482" s="1422"/>
      <c r="D482" s="1422"/>
      <c r="E482" s="1423"/>
      <c r="F482" s="595">
        <v>1</v>
      </c>
      <c r="G482" s="595"/>
      <c r="H482" s="1460">
        <v>2</v>
      </c>
      <c r="I482" s="1461"/>
      <c r="J482" s="1278">
        <f>SUM(I485:I488)</f>
        <v>0</v>
      </c>
      <c r="K482" s="1444">
        <v>4</v>
      </c>
      <c r="L482" s="1455"/>
      <c r="M482" s="1279">
        <f>SUM(L485:L488)</f>
        <v>0</v>
      </c>
      <c r="N482" s="1444">
        <v>0</v>
      </c>
      <c r="O482" s="1455"/>
      <c r="P482" s="1279">
        <f>SUM(O485:O488)</f>
        <v>0</v>
      </c>
      <c r="Q482" s="1445">
        <v>0</v>
      </c>
      <c r="R482" s="1444"/>
      <c r="S482" s="597">
        <f>SUM(R485:R488)</f>
        <v>0</v>
      </c>
      <c r="T482" s="1066">
        <f>SUM(J482,M482,P482,S482,)</f>
        <v>0</v>
      </c>
      <c r="U482" s="571"/>
      <c r="V482" s="573"/>
    </row>
    <row r="483" spans="1:22">
      <c r="A483" s="1250" t="s">
        <v>777</v>
      </c>
      <c r="B483" s="1239"/>
      <c r="C483" s="1239"/>
      <c r="D483" s="1239"/>
      <c r="E483" s="1239"/>
      <c r="F483" s="1239"/>
      <c r="G483" s="1239"/>
      <c r="H483" s="1240"/>
      <c r="I483" s="1239"/>
      <c r="J483" s="1239"/>
      <c r="K483" s="1240"/>
      <c r="L483" s="1239"/>
      <c r="M483" s="1241"/>
      <c r="N483" s="1240"/>
      <c r="O483" s="1239"/>
      <c r="P483" s="1241"/>
      <c r="Q483" s="1240"/>
      <c r="R483" s="1239"/>
      <c r="S483" s="1241"/>
      <c r="T483" s="1242"/>
      <c r="U483" s="571"/>
      <c r="V483" s="573"/>
    </row>
    <row r="484" spans="1:22">
      <c r="A484" s="599" t="s">
        <v>809</v>
      </c>
      <c r="B484" s="1239"/>
      <c r="C484" s="1239"/>
      <c r="D484" s="1239"/>
      <c r="E484" s="1239"/>
      <c r="F484" s="1239"/>
      <c r="G484" s="1239"/>
      <c r="H484" s="1240"/>
      <c r="I484" s="1239"/>
      <c r="J484" s="1239"/>
      <c r="K484" s="1240"/>
      <c r="L484" s="1239"/>
      <c r="M484" s="1241"/>
      <c r="N484" s="1240"/>
      <c r="O484" s="1239"/>
      <c r="P484" s="1241"/>
      <c r="Q484" s="1240"/>
      <c r="R484" s="1239"/>
      <c r="S484" s="1241"/>
      <c r="T484" s="1242"/>
      <c r="U484" s="571"/>
      <c r="V484" s="573"/>
    </row>
    <row r="485" spans="1:22">
      <c r="A485" s="1243" t="s">
        <v>815</v>
      </c>
      <c r="B485" s="1280"/>
      <c r="C485" s="1280" t="s">
        <v>248</v>
      </c>
      <c r="D485" s="1280">
        <f>parttransp</f>
        <v>4</v>
      </c>
      <c r="E485" s="1280" t="s">
        <v>249</v>
      </c>
      <c r="F485" s="1280">
        <f>IF(B485=0,0,F482)</f>
        <v>0</v>
      </c>
      <c r="G485" s="1069">
        <f>B485*D485*F485</f>
        <v>0</v>
      </c>
      <c r="H485" s="1068"/>
      <c r="I485" s="1069">
        <f>$G485*H482*J$16</f>
        <v>0</v>
      </c>
      <c r="J485" s="571"/>
      <c r="K485" s="1068"/>
      <c r="L485" s="1069">
        <f>$G485*K482*M$16</f>
        <v>0</v>
      </c>
      <c r="M485" s="1067"/>
      <c r="N485" s="1068"/>
      <c r="O485" s="1069">
        <f>$G485*N482*P$16</f>
        <v>0</v>
      </c>
      <c r="P485" s="1067"/>
      <c r="Q485" s="1068"/>
      <c r="R485" s="1069">
        <f>$G485*Q482*S$16</f>
        <v>0</v>
      </c>
      <c r="S485" s="1067"/>
      <c r="T485" s="1244"/>
      <c r="U485" s="571"/>
      <c r="V485" s="573"/>
    </row>
    <row r="486" spans="1:22">
      <c r="A486" s="1243" t="s">
        <v>780</v>
      </c>
      <c r="B486" s="1280"/>
      <c r="C486" s="1280" t="s">
        <v>248</v>
      </c>
      <c r="D486" s="1280">
        <f>coffee+lunch</f>
        <v>16</v>
      </c>
      <c r="E486" s="1280" t="s">
        <v>249</v>
      </c>
      <c r="F486" s="1280">
        <f>IF(B486=0,0,F482)</f>
        <v>0</v>
      </c>
      <c r="G486" s="1069">
        <f>B486*D486*F486</f>
        <v>0</v>
      </c>
      <c r="H486" s="1068"/>
      <c r="I486" s="1069">
        <f>$G486*H482*J$16</f>
        <v>0</v>
      </c>
      <c r="J486" s="571"/>
      <c r="K486" s="1068"/>
      <c r="L486" s="1069">
        <f>$G486*K482*M$16</f>
        <v>0</v>
      </c>
      <c r="M486" s="1067"/>
      <c r="N486" s="1068"/>
      <c r="O486" s="1069">
        <f>$G486*N482*P$16</f>
        <v>0</v>
      </c>
      <c r="P486" s="1067"/>
      <c r="Q486" s="1068"/>
      <c r="R486" s="1069">
        <f>$G486*Q482*S$16</f>
        <v>0</v>
      </c>
      <c r="S486" s="1067"/>
      <c r="T486" s="1244"/>
      <c r="U486" s="571"/>
      <c r="V486" s="573"/>
    </row>
    <row r="487" spans="1:22">
      <c r="A487" s="1243" t="s">
        <v>781</v>
      </c>
      <c r="B487" s="1280"/>
      <c r="C487" s="1280" t="s">
        <v>277</v>
      </c>
      <c r="D487" s="1280">
        <f>print</f>
        <v>50</v>
      </c>
      <c r="E487" s="1280" t="str">
        <f>C487</f>
        <v>activity</v>
      </c>
      <c r="F487" s="1280">
        <f>IF(B487=0,0,1)</f>
        <v>0</v>
      </c>
      <c r="G487" s="1069">
        <f>B487*D487*F487</f>
        <v>0</v>
      </c>
      <c r="H487" s="1068"/>
      <c r="I487" s="1069">
        <f>$G487*H482*J$16</f>
        <v>0</v>
      </c>
      <c r="J487" s="571"/>
      <c r="K487" s="1068"/>
      <c r="L487" s="1069">
        <f>$G487*K482*M$16</f>
        <v>0</v>
      </c>
      <c r="M487" s="1067"/>
      <c r="N487" s="1068"/>
      <c r="O487" s="1069">
        <f>$G487*N482*P$16</f>
        <v>0</v>
      </c>
      <c r="P487" s="1067"/>
      <c r="Q487" s="1068"/>
      <c r="R487" s="1069">
        <f>$G487*Q482*S$16</f>
        <v>0</v>
      </c>
      <c r="S487" s="1067"/>
      <c r="T487" s="1244"/>
      <c r="U487" s="571"/>
      <c r="V487" s="573"/>
    </row>
    <row r="488" spans="1:22">
      <c r="A488" s="605"/>
      <c r="B488" s="1280"/>
      <c r="C488" s="1280"/>
      <c r="D488" s="1280"/>
      <c r="E488" s="1280"/>
      <c r="F488" s="1280"/>
      <c r="G488" s="1069"/>
      <c r="H488" s="1068"/>
      <c r="I488" s="1069"/>
      <c r="J488" s="571"/>
      <c r="K488" s="1068"/>
      <c r="L488" s="1069"/>
      <c r="M488" s="1067"/>
      <c r="N488" s="1068"/>
      <c r="O488" s="1069"/>
      <c r="P488" s="1067"/>
      <c r="Q488" s="1068"/>
      <c r="R488" s="1069"/>
      <c r="S488" s="1067"/>
      <c r="T488" s="1244"/>
      <c r="U488" s="571"/>
      <c r="V488" s="573"/>
    </row>
    <row r="489" spans="1:22">
      <c r="A489" s="613" t="s">
        <v>278</v>
      </c>
      <c r="B489" s="1280"/>
      <c r="C489" s="1280"/>
      <c r="D489" s="1280"/>
      <c r="E489" s="1280"/>
      <c r="F489" s="1280"/>
      <c r="G489" s="1069">
        <f t="shared" ref="G489:G494" si="39">B489*D489*F489</f>
        <v>0</v>
      </c>
      <c r="H489" s="1068"/>
      <c r="I489" s="1069">
        <f>$G489*H485*J$16</f>
        <v>0</v>
      </c>
      <c r="J489" s="571"/>
      <c r="K489" s="1068"/>
      <c r="L489" s="1069">
        <f>$G489*1*M$16</f>
        <v>0</v>
      </c>
      <c r="M489" s="1067"/>
      <c r="N489" s="1068"/>
      <c r="O489" s="1069">
        <f>$G489*N485*P$16</f>
        <v>0</v>
      </c>
      <c r="P489" s="1067"/>
      <c r="Q489" s="1068"/>
      <c r="R489" s="1069">
        <f>$G489*Q485*S$16</f>
        <v>0</v>
      </c>
      <c r="S489" s="1067"/>
      <c r="T489" s="1244"/>
      <c r="U489" s="571"/>
      <c r="V489" s="573"/>
    </row>
    <row r="490" spans="1:22">
      <c r="A490" s="605" t="s">
        <v>863</v>
      </c>
      <c r="B490" s="1280">
        <v>1</v>
      </c>
      <c r="C490" s="1280" t="s">
        <v>248</v>
      </c>
      <c r="D490" s="1280">
        <f>partground</f>
        <v>9</v>
      </c>
      <c r="E490" s="1280" t="s">
        <v>262</v>
      </c>
      <c r="F490" s="1280">
        <v>2</v>
      </c>
      <c r="G490" s="1069">
        <f t="shared" si="39"/>
        <v>18</v>
      </c>
      <c r="H490" s="1068"/>
      <c r="I490" s="1069">
        <f>$G490*H482*J$16</f>
        <v>36</v>
      </c>
      <c r="J490" s="571"/>
      <c r="K490" s="1068"/>
      <c r="L490" s="1069">
        <f>$G490*$K$482*M$16</f>
        <v>74.88</v>
      </c>
      <c r="M490" s="1067"/>
      <c r="N490" s="1068"/>
      <c r="O490" s="1069">
        <f>$G490*N485*P$16</f>
        <v>0</v>
      </c>
      <c r="P490" s="1067"/>
      <c r="Q490" s="1068"/>
      <c r="R490" s="1069">
        <f>$G490*Q485*S$16</f>
        <v>0</v>
      </c>
      <c r="S490" s="1067"/>
      <c r="T490" s="1244"/>
      <c r="U490" s="571"/>
      <c r="V490" s="573"/>
    </row>
    <row r="491" spans="1:22">
      <c r="A491" s="1243" t="s">
        <v>811</v>
      </c>
      <c r="B491" s="1280">
        <v>1</v>
      </c>
      <c r="C491" s="1280" t="s">
        <v>248</v>
      </c>
      <c r="D491" s="1280">
        <f>partground</f>
        <v>9</v>
      </c>
      <c r="E491" s="1280" t="s">
        <v>249</v>
      </c>
      <c r="F491" s="1280">
        <v>2</v>
      </c>
      <c r="G491" s="1069">
        <f t="shared" si="39"/>
        <v>18</v>
      </c>
      <c r="H491" s="1068"/>
      <c r="I491" s="1069">
        <f>$G491*H$482*J$16</f>
        <v>36</v>
      </c>
      <c r="J491" s="571"/>
      <c r="K491" s="1068"/>
      <c r="L491" s="1069">
        <f>$G491*$K$482*M$16</f>
        <v>74.88</v>
      </c>
      <c r="M491" s="1067"/>
      <c r="N491" s="1068"/>
      <c r="O491" s="1069">
        <f>$G491*N485*P$16</f>
        <v>0</v>
      </c>
      <c r="P491" s="1067"/>
      <c r="Q491" s="1068"/>
      <c r="R491" s="1069">
        <f>$G491*Q485*S$16</f>
        <v>0</v>
      </c>
      <c r="S491" s="1067"/>
      <c r="T491" s="1244"/>
      <c r="U491" s="571"/>
      <c r="V491" s="573"/>
    </row>
    <row r="492" spans="1:22">
      <c r="A492" s="605" t="s">
        <v>790</v>
      </c>
      <c r="B492" s="1280">
        <v>2</v>
      </c>
      <c r="C492" s="1280" t="s">
        <v>248</v>
      </c>
      <c r="D492" s="1280">
        <f>partlodg</f>
        <v>35</v>
      </c>
      <c r="E492" s="1280" t="s">
        <v>249</v>
      </c>
      <c r="F492" s="1280">
        <v>1</v>
      </c>
      <c r="G492" s="1069">
        <f t="shared" si="39"/>
        <v>70</v>
      </c>
      <c r="H492" s="1068"/>
      <c r="I492" s="1069">
        <f>$G492*H$482*J$16</f>
        <v>140</v>
      </c>
      <c r="J492" s="571"/>
      <c r="K492" s="1068"/>
      <c r="L492" s="1069">
        <f>$G492*$K$482*M$16</f>
        <v>291.2</v>
      </c>
      <c r="M492" s="1067"/>
      <c r="N492" s="1068"/>
      <c r="O492" s="1069">
        <f>$G492*N485*P$16</f>
        <v>0</v>
      </c>
      <c r="P492" s="1067"/>
      <c r="Q492" s="1068"/>
      <c r="R492" s="1069">
        <f>$G492*Q485*S$16</f>
        <v>0</v>
      </c>
      <c r="S492" s="1067"/>
      <c r="T492" s="1244"/>
      <c r="U492" s="571"/>
      <c r="V492" s="573"/>
    </row>
    <row r="493" spans="1:22">
      <c r="A493" s="1243" t="s">
        <v>787</v>
      </c>
      <c r="B493" s="1280">
        <v>2</v>
      </c>
      <c r="C493" s="1280" t="s">
        <v>248</v>
      </c>
      <c r="D493" s="1280">
        <f>partmeals</f>
        <v>47</v>
      </c>
      <c r="E493" s="1280" t="s">
        <v>249</v>
      </c>
      <c r="F493" s="1280">
        <v>2</v>
      </c>
      <c r="G493" s="1069">
        <f t="shared" si="39"/>
        <v>188</v>
      </c>
      <c r="H493" s="1068"/>
      <c r="I493" s="1069">
        <f>$G493*H$482*J$16</f>
        <v>376</v>
      </c>
      <c r="J493" s="571"/>
      <c r="K493" s="1068"/>
      <c r="L493" s="1069">
        <f>$G493*$K$482*M$16</f>
        <v>782.08</v>
      </c>
      <c r="M493" s="1067"/>
      <c r="N493" s="1068"/>
      <c r="O493" s="1069">
        <f>$G493*N485*P$16</f>
        <v>0</v>
      </c>
      <c r="P493" s="1067"/>
      <c r="Q493" s="1068"/>
      <c r="R493" s="1069">
        <f>$G493*Q485*S$16</f>
        <v>0</v>
      </c>
      <c r="S493" s="1067"/>
      <c r="T493" s="1244"/>
      <c r="U493" s="571"/>
      <c r="V493" s="573"/>
    </row>
    <row r="494" spans="1:22">
      <c r="A494" s="1243" t="s">
        <v>798</v>
      </c>
      <c r="B494" s="1280">
        <v>2</v>
      </c>
      <c r="C494" s="1280" t="s">
        <v>248</v>
      </c>
      <c r="D494" s="1280">
        <f>parttransp</f>
        <v>4</v>
      </c>
      <c r="E494" s="1280" t="s">
        <v>262</v>
      </c>
      <c r="F494" s="1280">
        <v>2</v>
      </c>
      <c r="G494" s="1069">
        <f t="shared" si="39"/>
        <v>16</v>
      </c>
      <c r="H494" s="1068"/>
      <c r="I494" s="1069">
        <f>$G494*H$482*J$16</f>
        <v>32</v>
      </c>
      <c r="J494" s="571"/>
      <c r="K494" s="1068"/>
      <c r="L494" s="1069">
        <f>$G494*$K$482*M$16</f>
        <v>66.56</v>
      </c>
      <c r="M494" s="1067"/>
      <c r="N494" s="1068"/>
      <c r="O494" s="1069">
        <f>$G494*N485*P$16</f>
        <v>0</v>
      </c>
      <c r="P494" s="1067"/>
      <c r="Q494" s="1068"/>
      <c r="R494" s="1069">
        <f>$G494*Q485*S$16</f>
        <v>0</v>
      </c>
      <c r="S494" s="1067"/>
      <c r="T494" s="1244"/>
      <c r="U494" s="571"/>
      <c r="V494" s="573"/>
    </row>
    <row r="495" spans="1:22">
      <c r="A495" s="1245" t="s">
        <v>788</v>
      </c>
      <c r="B495" s="622"/>
      <c r="C495" s="622"/>
      <c r="D495" s="1246"/>
      <c r="E495" s="1410"/>
      <c r="F495" s="1411"/>
      <c r="G495" s="1247"/>
      <c r="H495" s="1248"/>
      <c r="I495" s="1248"/>
      <c r="J495" s="1239"/>
      <c r="K495" s="1248"/>
      <c r="L495" s="1248"/>
      <c r="M495" s="1239"/>
      <c r="N495" s="1248"/>
      <c r="O495" s="1248"/>
      <c r="P495" s="1239"/>
      <c r="Q495" s="1248"/>
      <c r="R495" s="1248"/>
      <c r="S495" s="1239"/>
      <c r="T495" s="1249"/>
      <c r="U495" s="571"/>
      <c r="V495" s="573"/>
    </row>
    <row r="496" spans="1:22">
      <c r="A496" s="1269"/>
      <c r="B496" s="1270"/>
      <c r="C496" s="1270"/>
      <c r="D496" s="1239"/>
      <c r="E496" s="1248"/>
      <c r="F496" s="1248"/>
      <c r="G496" s="1253"/>
      <c r="H496" s="1253"/>
      <c r="I496" s="1253"/>
      <c r="J496" s="1069"/>
      <c r="K496" s="1253"/>
      <c r="L496" s="1253"/>
      <c r="M496" s="1069"/>
      <c r="N496" s="1253"/>
      <c r="O496" s="1253"/>
      <c r="P496" s="1069"/>
      <c r="Q496" s="1253"/>
      <c r="R496" s="1253"/>
      <c r="S496" s="1069"/>
      <c r="T496" s="1254"/>
      <c r="U496" s="571"/>
      <c r="V496" s="573"/>
    </row>
    <row r="497" spans="1:22">
      <c r="A497" s="1238" t="s">
        <v>784</v>
      </c>
      <c r="B497" s="1239"/>
      <c r="C497" s="1239"/>
      <c r="D497" s="1239"/>
      <c r="E497" s="1239"/>
      <c r="F497" s="1239"/>
      <c r="G497" s="1239"/>
      <c r="H497" s="1438"/>
      <c r="I497" s="1439"/>
      <c r="J497" s="1278">
        <f>SUM(I500:I501)</f>
        <v>0</v>
      </c>
      <c r="K497" s="1444">
        <v>1</v>
      </c>
      <c r="L497" s="1455"/>
      <c r="M497" s="1279">
        <f>SUM(L500:L501)</f>
        <v>0</v>
      </c>
      <c r="N497" s="1444">
        <v>0</v>
      </c>
      <c r="O497" s="1455"/>
      <c r="P497" s="1279">
        <f>SUM(O500:O501)</f>
        <v>0</v>
      </c>
      <c r="Q497" s="1445">
        <v>0</v>
      </c>
      <c r="R497" s="1444"/>
      <c r="S497" s="597">
        <f>SUM(R500:R501)</f>
        <v>0</v>
      </c>
      <c r="T497" s="1066">
        <f>SUM(J497,M497,P497,S497,)</f>
        <v>0</v>
      </c>
      <c r="U497" s="571"/>
      <c r="V497" s="573"/>
    </row>
    <row r="498" spans="1:22">
      <c r="A498" s="599" t="s">
        <v>778</v>
      </c>
      <c r="B498" s="1239"/>
      <c r="C498" s="1239"/>
      <c r="D498" s="1239"/>
      <c r="E498" s="1239"/>
      <c r="F498" s="1239"/>
      <c r="G498" s="1239"/>
      <c r="H498" s="1240"/>
      <c r="I498" s="1239"/>
      <c r="J498" s="1239"/>
      <c r="K498" s="1240"/>
      <c r="L498" s="1069">
        <f>$G498*$K$497*M$16</f>
        <v>0</v>
      </c>
      <c r="M498" s="1241"/>
      <c r="N498" s="1240"/>
      <c r="O498" s="1069">
        <f>$G498*$N$497*P$16</f>
        <v>0</v>
      </c>
      <c r="P498" s="1241"/>
      <c r="Q498" s="1240"/>
      <c r="R498" s="1069">
        <f>$G498*$Q$497*S$16</f>
        <v>0</v>
      </c>
      <c r="S498" s="1241"/>
      <c r="T498" s="1242"/>
      <c r="U498" s="571"/>
      <c r="V498" s="573"/>
    </row>
    <row r="499" spans="1:22">
      <c r="A499" s="1243" t="s">
        <v>838</v>
      </c>
      <c r="B499" s="1280"/>
      <c r="C499" s="1280" t="s">
        <v>248</v>
      </c>
      <c r="D499" s="1280">
        <f>parttransp</f>
        <v>4</v>
      </c>
      <c r="E499" s="1280" t="s">
        <v>249</v>
      </c>
      <c r="F499" s="1280">
        <f>IF(B499=0,0,F495)</f>
        <v>0</v>
      </c>
      <c r="G499" s="1069">
        <f>B499*D499*F499</f>
        <v>0</v>
      </c>
      <c r="H499" s="1068"/>
      <c r="I499" s="1069">
        <f>$G499*H495*J$16</f>
        <v>0</v>
      </c>
      <c r="J499" s="571"/>
      <c r="K499" s="1068"/>
      <c r="L499" s="1069">
        <f>$G499*$K$497*M$16</f>
        <v>0</v>
      </c>
      <c r="M499" s="1067"/>
      <c r="N499" s="1068"/>
      <c r="O499" s="1069">
        <f>$G499*$N$497*P$16</f>
        <v>0</v>
      </c>
      <c r="P499" s="1067"/>
      <c r="Q499" s="1068"/>
      <c r="R499" s="1069">
        <f>$G499*$Q$497*S$16</f>
        <v>0</v>
      </c>
      <c r="S499" s="1067"/>
      <c r="T499" s="1244"/>
      <c r="U499" s="571"/>
      <c r="V499" s="573"/>
    </row>
    <row r="500" spans="1:22">
      <c r="A500" s="1243" t="s">
        <v>780</v>
      </c>
      <c r="B500" s="1280"/>
      <c r="C500" s="1280" t="s">
        <v>248</v>
      </c>
      <c r="D500" s="1280">
        <f>coffee+lunch</f>
        <v>16</v>
      </c>
      <c r="E500" s="1280" t="s">
        <v>249</v>
      </c>
      <c r="F500" s="1280">
        <f>IF(B500=0,0,F495)</f>
        <v>0</v>
      </c>
      <c r="G500" s="1069">
        <f>B500*D500*F500</f>
        <v>0</v>
      </c>
      <c r="H500" s="1068"/>
      <c r="I500" s="1069">
        <f>$G500*H495*J$16</f>
        <v>0</v>
      </c>
      <c r="J500" s="571"/>
      <c r="K500" s="1068"/>
      <c r="L500" s="1069">
        <f>$G500*$K$497*M$16</f>
        <v>0</v>
      </c>
      <c r="M500" s="1067"/>
      <c r="N500" s="1068"/>
      <c r="O500" s="1069">
        <f>$G500*$N$497*P$16</f>
        <v>0</v>
      </c>
      <c r="P500" s="1067"/>
      <c r="Q500" s="1068"/>
      <c r="R500" s="1069">
        <f>$G500*$Q$497*S$16</f>
        <v>0</v>
      </c>
      <c r="S500" s="1067"/>
      <c r="T500" s="1244"/>
      <c r="U500" s="571"/>
      <c r="V500" s="573"/>
    </row>
    <row r="501" spans="1:22">
      <c r="A501" s="1243" t="s">
        <v>781</v>
      </c>
      <c r="B501" s="1280"/>
      <c r="C501" s="1280" t="s">
        <v>277</v>
      </c>
      <c r="D501" s="1280">
        <f>print</f>
        <v>50</v>
      </c>
      <c r="E501" s="1280" t="str">
        <f>C501</f>
        <v>activity</v>
      </c>
      <c r="F501" s="1280">
        <f>IF(B501=0,0,1)</f>
        <v>0</v>
      </c>
      <c r="G501" s="1069">
        <f>B501*D501*F501</f>
        <v>0</v>
      </c>
      <c r="H501" s="1068"/>
      <c r="I501" s="1069">
        <f>$G501*H495*J$16</f>
        <v>0</v>
      </c>
      <c r="J501" s="571"/>
      <c r="K501" s="1068"/>
      <c r="L501" s="1069">
        <f>$G501*$K$497*M$16</f>
        <v>0</v>
      </c>
      <c r="M501" s="1067"/>
      <c r="N501" s="1068"/>
      <c r="O501" s="1069">
        <f>$G501*$N$497*P$16</f>
        <v>0</v>
      </c>
      <c r="P501" s="1067"/>
      <c r="Q501" s="1068"/>
      <c r="R501" s="1069">
        <f>$G501*$Q$497*S$16</f>
        <v>0</v>
      </c>
      <c r="S501" s="1067"/>
      <c r="T501" s="1244"/>
      <c r="U501" s="571"/>
      <c r="V501" s="573"/>
    </row>
    <row r="502" spans="1:22">
      <c r="A502" s="1245" t="s">
        <v>788</v>
      </c>
      <c r="B502" s="622"/>
      <c r="C502" s="622"/>
      <c r="D502" s="1283"/>
      <c r="E502" s="1446">
        <f>SUM(G499:G501)</f>
        <v>0</v>
      </c>
      <c r="F502" s="1459"/>
      <c r="G502" s="1247"/>
      <c r="H502" s="1248"/>
      <c r="I502" s="1248"/>
      <c r="J502" s="1239"/>
      <c r="K502" s="1248"/>
      <c r="L502" s="1248"/>
      <c r="M502" s="1239"/>
      <c r="N502" s="1248"/>
      <c r="O502" s="1248"/>
      <c r="P502" s="1239"/>
      <c r="Q502" s="1248"/>
      <c r="R502" s="1248"/>
      <c r="S502" s="1239"/>
      <c r="T502" s="1249"/>
      <c r="U502" s="571"/>
      <c r="V502" s="573"/>
    </row>
    <row r="503" spans="1:22">
      <c r="A503" s="605"/>
      <c r="B503" s="1280"/>
      <c r="C503" s="1280"/>
      <c r="D503" s="1280"/>
      <c r="E503" s="1280"/>
      <c r="F503" s="1280"/>
      <c r="G503" s="1069"/>
      <c r="H503" s="1068"/>
      <c r="I503" s="1069"/>
      <c r="J503" s="571"/>
      <c r="K503" s="1068"/>
      <c r="L503" s="1069">
        <f t="shared" ref="L503:L509" si="40">$G503*$K$468*M$16</f>
        <v>0</v>
      </c>
      <c r="M503" s="1067"/>
      <c r="N503" s="1068"/>
      <c r="O503" s="1069">
        <f t="shared" ref="O503:O509" si="41">$G503*$N$468*P$16</f>
        <v>0</v>
      </c>
      <c r="P503" s="1067"/>
      <c r="Q503" s="1068"/>
      <c r="R503" s="1069">
        <f t="shared" ref="R503:R509" si="42">$G503*$Q$468*S$16</f>
        <v>0</v>
      </c>
      <c r="S503" s="1067"/>
      <c r="T503" s="1244"/>
      <c r="U503" s="571"/>
      <c r="V503" s="573"/>
    </row>
    <row r="504" spans="1:22">
      <c r="A504" s="613" t="s">
        <v>278</v>
      </c>
      <c r="B504" s="1280"/>
      <c r="C504" s="1280"/>
      <c r="D504" s="1280"/>
      <c r="E504" s="1280"/>
      <c r="F504" s="1280"/>
      <c r="G504" s="1069">
        <f t="shared" ref="G504:G509" si="43">B504*D504*F504</f>
        <v>0</v>
      </c>
      <c r="H504" s="1068"/>
      <c r="I504" s="1069"/>
      <c r="J504" s="571"/>
      <c r="K504" s="1068"/>
      <c r="L504" s="1069">
        <f t="shared" si="40"/>
        <v>0</v>
      </c>
      <c r="M504" s="1067"/>
      <c r="N504" s="1068"/>
      <c r="O504" s="1069">
        <f t="shared" si="41"/>
        <v>0</v>
      </c>
      <c r="P504" s="1067"/>
      <c r="Q504" s="1068"/>
      <c r="R504" s="1069">
        <f t="shared" si="42"/>
        <v>0</v>
      </c>
      <c r="S504" s="1067"/>
      <c r="T504" s="1244"/>
      <c r="U504" s="571"/>
      <c r="V504" s="573"/>
    </row>
    <row r="505" spans="1:22">
      <c r="A505" s="605" t="s">
        <v>839</v>
      </c>
      <c r="B505" s="1280">
        <v>1</v>
      </c>
      <c r="C505" s="1280" t="s">
        <v>248</v>
      </c>
      <c r="D505" s="1280">
        <f>partground</f>
        <v>9</v>
      </c>
      <c r="E505" s="1280" t="s">
        <v>262</v>
      </c>
      <c r="F505" s="1280">
        <v>3</v>
      </c>
      <c r="G505" s="1069">
        <f t="shared" si="43"/>
        <v>27</v>
      </c>
      <c r="H505" s="1068"/>
      <c r="I505" s="1069">
        <f>$G505*J$16*$H$64</f>
        <v>0</v>
      </c>
      <c r="J505" s="571"/>
      <c r="K505" s="1068"/>
      <c r="L505" s="1069">
        <f t="shared" si="40"/>
        <v>0</v>
      </c>
      <c r="M505" s="1067"/>
      <c r="N505" s="1068"/>
      <c r="O505" s="1069">
        <f t="shared" si="41"/>
        <v>0</v>
      </c>
      <c r="P505" s="1067"/>
      <c r="Q505" s="1068"/>
      <c r="R505" s="1069">
        <f t="shared" si="42"/>
        <v>0</v>
      </c>
      <c r="S505" s="1067"/>
      <c r="T505" s="1244"/>
      <c r="U505" s="571"/>
      <c r="V505" s="573"/>
    </row>
    <row r="506" spans="1:22">
      <c r="A506" s="1243" t="s">
        <v>840</v>
      </c>
      <c r="B506" s="1280">
        <v>1</v>
      </c>
      <c r="C506" s="1280" t="s">
        <v>248</v>
      </c>
      <c r="D506" s="1280">
        <f>+[1]Assumptions!D101</f>
        <v>25</v>
      </c>
      <c r="E506" s="1280" t="s">
        <v>249</v>
      </c>
      <c r="F506" s="1280">
        <v>3</v>
      </c>
      <c r="G506" s="1069">
        <f t="shared" si="43"/>
        <v>75</v>
      </c>
      <c r="H506" s="1068"/>
      <c r="I506" s="1069">
        <f>$G506*J$16*$H$64</f>
        <v>0</v>
      </c>
      <c r="J506" s="571"/>
      <c r="K506" s="1068"/>
      <c r="L506" s="1069">
        <f t="shared" si="40"/>
        <v>0</v>
      </c>
      <c r="M506" s="1067"/>
      <c r="N506" s="1068"/>
      <c r="O506" s="1069">
        <f t="shared" si="41"/>
        <v>0</v>
      </c>
      <c r="P506" s="1067"/>
      <c r="Q506" s="1068"/>
      <c r="R506" s="1069">
        <f t="shared" si="42"/>
        <v>0</v>
      </c>
      <c r="S506" s="1067"/>
      <c r="T506" s="1244"/>
      <c r="U506" s="571"/>
      <c r="V506" s="573"/>
    </row>
    <row r="507" spans="1:22">
      <c r="A507" s="605" t="s">
        <v>790</v>
      </c>
      <c r="B507" s="1280">
        <v>1</v>
      </c>
      <c r="C507" s="1280" t="s">
        <v>248</v>
      </c>
      <c r="D507" s="1280">
        <f>+[1]Assumptions!D103</f>
        <v>90</v>
      </c>
      <c r="E507" s="1280" t="s">
        <v>249</v>
      </c>
      <c r="F507" s="1280">
        <v>2</v>
      </c>
      <c r="G507" s="1069">
        <f t="shared" si="43"/>
        <v>180</v>
      </c>
      <c r="H507" s="1068"/>
      <c r="I507" s="1069">
        <f>$G507*J$16*$H$64</f>
        <v>0</v>
      </c>
      <c r="J507" s="571"/>
      <c r="K507" s="1068"/>
      <c r="L507" s="1069">
        <f t="shared" si="40"/>
        <v>0</v>
      </c>
      <c r="M507" s="1067"/>
      <c r="N507" s="1068"/>
      <c r="O507" s="1069">
        <f t="shared" si="41"/>
        <v>0</v>
      </c>
      <c r="P507" s="1067"/>
      <c r="Q507" s="1068"/>
      <c r="R507" s="1069">
        <f t="shared" si="42"/>
        <v>0</v>
      </c>
      <c r="S507" s="1067"/>
      <c r="T507" s="1244"/>
      <c r="U507" s="571"/>
      <c r="V507" s="573"/>
    </row>
    <row r="508" spans="1:22">
      <c r="A508" s="1243" t="s">
        <v>787</v>
      </c>
      <c r="B508" s="1280">
        <v>1</v>
      </c>
      <c r="C508" s="1280" t="s">
        <v>248</v>
      </c>
      <c r="D508" s="1280">
        <f>partmeals</f>
        <v>47</v>
      </c>
      <c r="E508" s="1280" t="s">
        <v>249</v>
      </c>
      <c r="F508" s="1280">
        <v>3</v>
      </c>
      <c r="G508" s="1069">
        <f t="shared" si="43"/>
        <v>141</v>
      </c>
      <c r="H508" s="1068"/>
      <c r="I508" s="1069">
        <f>$G508*J$16*$H$64</f>
        <v>0</v>
      </c>
      <c r="J508" s="571"/>
      <c r="K508" s="1068"/>
      <c r="L508" s="1069">
        <f t="shared" si="40"/>
        <v>0</v>
      </c>
      <c r="M508" s="1067"/>
      <c r="N508" s="1068"/>
      <c r="O508" s="1069">
        <f t="shared" si="41"/>
        <v>0</v>
      </c>
      <c r="P508" s="1067"/>
      <c r="Q508" s="1068"/>
      <c r="R508" s="1069">
        <f t="shared" si="42"/>
        <v>0</v>
      </c>
      <c r="S508" s="1067"/>
      <c r="T508" s="1244"/>
      <c r="U508" s="571"/>
      <c r="V508" s="573"/>
    </row>
    <row r="509" spans="1:22">
      <c r="A509" s="1243" t="s">
        <v>807</v>
      </c>
      <c r="B509" s="1280">
        <v>1</v>
      </c>
      <c r="C509" s="1280" t="s">
        <v>248</v>
      </c>
      <c r="D509" s="1280">
        <f>partairfare</f>
        <v>200</v>
      </c>
      <c r="E509" s="1280" t="s">
        <v>262</v>
      </c>
      <c r="F509" s="1280">
        <v>1</v>
      </c>
      <c r="G509" s="1069">
        <f t="shared" si="43"/>
        <v>200</v>
      </c>
      <c r="H509" s="1068"/>
      <c r="I509" s="1069">
        <f>$G509*J$16*$H$64</f>
        <v>0</v>
      </c>
      <c r="J509" s="571"/>
      <c r="K509" s="1068"/>
      <c r="L509" s="1069">
        <f t="shared" si="40"/>
        <v>0</v>
      </c>
      <c r="M509" s="1067"/>
      <c r="N509" s="1068"/>
      <c r="O509" s="1069">
        <f t="shared" si="41"/>
        <v>0</v>
      </c>
      <c r="P509" s="1067"/>
      <c r="Q509" s="1068"/>
      <c r="R509" s="1069">
        <f t="shared" si="42"/>
        <v>0</v>
      </c>
      <c r="S509" s="1067"/>
      <c r="T509" s="1244"/>
      <c r="U509" s="571"/>
      <c r="V509" s="573"/>
    </row>
    <row r="510" spans="1:22">
      <c r="A510" s="1245" t="s">
        <v>788</v>
      </c>
      <c r="B510" s="622"/>
      <c r="C510" s="622"/>
      <c r="D510" s="1246"/>
      <c r="E510" s="1410"/>
      <c r="F510" s="1411"/>
      <c r="G510" s="1247"/>
      <c r="H510" s="1248"/>
      <c r="I510" s="1248"/>
      <c r="J510" s="1239"/>
      <c r="K510" s="1248"/>
      <c r="L510" s="1248"/>
      <c r="M510" s="1239"/>
      <c r="N510" s="1248"/>
      <c r="O510" s="1248"/>
      <c r="P510" s="1239"/>
      <c r="Q510" s="1248"/>
      <c r="R510" s="1248"/>
      <c r="S510" s="1239"/>
      <c r="T510" s="1249"/>
      <c r="U510" s="571"/>
      <c r="V510" s="573"/>
    </row>
    <row r="511" spans="1:22">
      <c r="A511" s="1269"/>
      <c r="B511" s="1270"/>
      <c r="C511" s="1270"/>
      <c r="D511" s="1239"/>
      <c r="E511" s="1248"/>
      <c r="F511" s="1248"/>
      <c r="G511" s="1253"/>
      <c r="H511" s="1253"/>
      <c r="I511" s="1253"/>
      <c r="J511" s="1069"/>
      <c r="K511" s="1253"/>
      <c r="L511" s="1253"/>
      <c r="M511" s="1069"/>
      <c r="N511" s="1253"/>
      <c r="O511" s="1253"/>
      <c r="P511" s="1069"/>
      <c r="Q511" s="1253"/>
      <c r="R511" s="1253"/>
      <c r="S511" s="1069"/>
      <c r="T511" s="1254"/>
      <c r="U511" s="571"/>
      <c r="V511" s="573"/>
    </row>
    <row r="512" spans="1:22" ht="33.75" customHeight="1">
      <c r="A512" s="1462" t="s">
        <v>864</v>
      </c>
      <c r="B512" s="1416"/>
      <c r="C512" s="1416"/>
      <c r="D512" s="1416"/>
      <c r="E512" s="1417"/>
      <c r="F512" s="595">
        <v>3</v>
      </c>
      <c r="G512" s="595"/>
      <c r="H512" s="1438"/>
      <c r="I512" s="1439"/>
      <c r="J512" s="1278">
        <f>SUM(I515:I516)</f>
        <v>0</v>
      </c>
      <c r="K512" s="1444">
        <v>3</v>
      </c>
      <c r="L512" s="1455"/>
      <c r="M512" s="1279">
        <f>SUM(L515:L516)</f>
        <v>1248</v>
      </c>
      <c r="N512" s="1444">
        <v>3</v>
      </c>
      <c r="O512" s="1455"/>
      <c r="P512" s="1279">
        <f>SUM(O515:O516)</f>
        <v>1297.92</v>
      </c>
      <c r="Q512" s="1445">
        <v>0</v>
      </c>
      <c r="R512" s="1444"/>
      <c r="S512" s="597">
        <f>SUM(R515:R516)</f>
        <v>0</v>
      </c>
      <c r="T512" s="1066">
        <f>SUM(J512,M512,P512,S512,)</f>
        <v>2545.92</v>
      </c>
      <c r="U512" s="571"/>
      <c r="V512" s="573"/>
    </row>
    <row r="513" spans="1:22">
      <c r="A513" s="1250" t="s">
        <v>777</v>
      </c>
      <c r="B513" s="1239"/>
      <c r="C513" s="1239"/>
      <c r="D513" s="1239"/>
      <c r="E513" s="1239"/>
      <c r="F513" s="1239"/>
      <c r="G513" s="1239"/>
      <c r="H513" s="1240"/>
      <c r="I513" s="1239"/>
      <c r="J513" s="1239"/>
      <c r="K513" s="1240"/>
      <c r="L513" s="1239"/>
      <c r="M513" s="1241"/>
      <c r="N513" s="1240"/>
      <c r="O513" s="1239"/>
      <c r="P513" s="1241"/>
      <c r="Q513" s="1240"/>
      <c r="R513" s="1239"/>
      <c r="S513" s="1241"/>
      <c r="T513" s="1242"/>
      <c r="U513" s="571"/>
      <c r="V513" s="573"/>
    </row>
    <row r="514" spans="1:22">
      <c r="A514" s="599" t="s">
        <v>865</v>
      </c>
      <c r="B514" s="1284"/>
      <c r="C514" s="1284"/>
      <c r="D514" s="1284"/>
      <c r="E514" s="1284"/>
      <c r="F514" s="1284"/>
      <c r="G514" s="1239"/>
      <c r="H514" s="1240"/>
      <c r="I514" s="1239"/>
      <c r="J514" s="1239"/>
      <c r="K514" s="1240"/>
      <c r="L514" s="1239"/>
      <c r="M514" s="1241"/>
      <c r="N514" s="1240"/>
      <c r="O514" s="1239"/>
      <c r="P514" s="1241"/>
      <c r="Q514" s="1240"/>
      <c r="R514" s="1239"/>
      <c r="S514" s="1241"/>
      <c r="T514" s="1242"/>
      <c r="U514" s="571"/>
      <c r="V514" s="573"/>
    </row>
    <row r="515" spans="1:22">
      <c r="A515" s="1243" t="s">
        <v>866</v>
      </c>
      <c r="B515" s="1280">
        <v>2</v>
      </c>
      <c r="C515" s="1280" t="s">
        <v>867</v>
      </c>
      <c r="D515" s="1280">
        <v>50</v>
      </c>
      <c r="E515" s="1280" t="str">
        <f>C515</f>
        <v>pilot</v>
      </c>
      <c r="F515" s="1280">
        <f>IF(B515=0,0,1)</f>
        <v>1</v>
      </c>
      <c r="G515" s="1069">
        <f>B515*D515*F515</f>
        <v>100</v>
      </c>
      <c r="H515" s="1068"/>
      <c r="I515" s="1069">
        <f>$G515*H512*J$16</f>
        <v>0</v>
      </c>
      <c r="J515" s="571"/>
      <c r="K515" s="1068"/>
      <c r="L515" s="1069">
        <f>$G515*K512*M$16</f>
        <v>312</v>
      </c>
      <c r="M515" s="1067"/>
      <c r="N515" s="1068"/>
      <c r="O515" s="1069">
        <f>$G515*N512*P$16</f>
        <v>324.48</v>
      </c>
      <c r="P515" s="1067"/>
      <c r="Q515" s="1068"/>
      <c r="R515" s="1069">
        <f>$G515*Q512*S$16</f>
        <v>0</v>
      </c>
      <c r="S515" s="1067"/>
      <c r="T515" s="1244"/>
      <c r="U515" s="571"/>
      <c r="V515" s="573"/>
    </row>
    <row r="516" spans="1:22">
      <c r="A516" s="1243" t="s">
        <v>781</v>
      </c>
      <c r="B516" s="1280">
        <v>2</v>
      </c>
      <c r="C516" s="1280" t="s">
        <v>277</v>
      </c>
      <c r="D516" s="1280">
        <f>print</f>
        <v>50</v>
      </c>
      <c r="E516" s="1280" t="str">
        <f>C516</f>
        <v>activity</v>
      </c>
      <c r="F516" s="1280">
        <v>3</v>
      </c>
      <c r="G516" s="1069">
        <f>B516*D516*F516</f>
        <v>300</v>
      </c>
      <c r="H516" s="1068"/>
      <c r="I516" s="1069">
        <f>$G516*H512*J$16</f>
        <v>0</v>
      </c>
      <c r="J516" s="571"/>
      <c r="K516" s="1068"/>
      <c r="L516" s="1069">
        <f>$G516*K512*M$16</f>
        <v>936</v>
      </c>
      <c r="M516" s="1067"/>
      <c r="N516" s="1068"/>
      <c r="O516" s="1069">
        <f>$G516*N512*P$16</f>
        <v>973.44</v>
      </c>
      <c r="P516" s="1067"/>
      <c r="Q516" s="1068"/>
      <c r="R516" s="1069">
        <f>$G516*Q512*S$16</f>
        <v>0</v>
      </c>
      <c r="S516" s="1067"/>
      <c r="T516" s="1244"/>
      <c r="U516" s="571"/>
      <c r="V516" s="573"/>
    </row>
    <row r="517" spans="1:22">
      <c r="A517" s="613" t="s">
        <v>278</v>
      </c>
      <c r="B517" s="1280"/>
      <c r="C517" s="1280"/>
      <c r="D517" s="1280"/>
      <c r="E517" s="1280"/>
      <c r="F517" s="1280"/>
      <c r="G517" s="1069"/>
      <c r="H517" s="1068"/>
      <c r="I517" s="1069"/>
      <c r="J517" s="571"/>
      <c r="K517" s="1068"/>
      <c r="L517" s="1069"/>
      <c r="M517" s="1067"/>
      <c r="N517" s="1068"/>
      <c r="O517" s="1069"/>
      <c r="P517" s="1067"/>
      <c r="Q517" s="1068"/>
      <c r="R517" s="1069"/>
      <c r="S517" s="1067"/>
      <c r="T517" s="1244"/>
      <c r="U517" s="571"/>
      <c r="V517" s="573"/>
    </row>
    <row r="518" spans="1:22">
      <c r="A518" s="605" t="s">
        <v>868</v>
      </c>
      <c r="B518" s="1280">
        <v>4</v>
      </c>
      <c r="C518" s="1280" t="s">
        <v>248</v>
      </c>
      <c r="D518" s="1280">
        <f>partground</f>
        <v>9</v>
      </c>
      <c r="E518" s="1280" t="s">
        <v>262</v>
      </c>
      <c r="F518" s="1280">
        <v>3</v>
      </c>
      <c r="G518" s="1069">
        <f>B518*D518*F518</f>
        <v>108</v>
      </c>
      <c r="H518" s="1068"/>
      <c r="I518" s="1069">
        <f>$G518*H512*J$16</f>
        <v>0</v>
      </c>
      <c r="J518" s="571"/>
      <c r="K518" s="1068"/>
      <c r="L518" s="1069">
        <f>$G518*1*M$16</f>
        <v>112.32000000000001</v>
      </c>
      <c r="M518" s="1067"/>
      <c r="N518" s="1068"/>
      <c r="O518" s="1069">
        <f>$G518*1*P$16</f>
        <v>116.81280000000001</v>
      </c>
      <c r="P518" s="1067"/>
      <c r="Q518" s="1068"/>
      <c r="R518" s="1069">
        <f>$G518*Q512*S$16</f>
        <v>0</v>
      </c>
      <c r="S518" s="1067"/>
      <c r="T518" s="1244"/>
      <c r="U518" s="571"/>
      <c r="V518" s="573"/>
    </row>
    <row r="519" spans="1:22">
      <c r="A519" s="1243" t="s">
        <v>869</v>
      </c>
      <c r="B519" s="1280">
        <v>4</v>
      </c>
      <c r="C519" s="1280" t="s">
        <v>248</v>
      </c>
      <c r="D519" s="1280">
        <f>partground</f>
        <v>9</v>
      </c>
      <c r="E519" s="1280" t="s">
        <v>249</v>
      </c>
      <c r="F519" s="1280">
        <v>3</v>
      </c>
      <c r="G519" s="1069">
        <f>B519*D519*F519</f>
        <v>108</v>
      </c>
      <c r="H519" s="1068"/>
      <c r="I519" s="1069">
        <f>$G519*H512*J$16</f>
        <v>0</v>
      </c>
      <c r="J519" s="571"/>
      <c r="K519" s="1068"/>
      <c r="L519" s="1069">
        <f>$G519*1*M$16</f>
        <v>112.32000000000001</v>
      </c>
      <c r="M519" s="1067"/>
      <c r="N519" s="1068"/>
      <c r="O519" s="1069">
        <f>$G519*1*P$16</f>
        <v>116.81280000000001</v>
      </c>
      <c r="P519" s="1067"/>
      <c r="Q519" s="1068"/>
      <c r="R519" s="1069">
        <f>$G519*Q512*S$16</f>
        <v>0</v>
      </c>
      <c r="S519" s="1067"/>
      <c r="T519" s="1244"/>
      <c r="U519" s="571"/>
      <c r="V519" s="573"/>
    </row>
    <row r="520" spans="1:22">
      <c r="A520" s="605" t="s">
        <v>790</v>
      </c>
      <c r="B520" s="1280">
        <v>2</v>
      </c>
      <c r="C520" s="1280" t="s">
        <v>248</v>
      </c>
      <c r="D520" s="1280">
        <f>partlodg</f>
        <v>35</v>
      </c>
      <c r="E520" s="1280" t="s">
        <v>249</v>
      </c>
      <c r="F520" s="1280">
        <f>IF(B520=0,0,F512)</f>
        <v>3</v>
      </c>
      <c r="G520" s="1069">
        <f>B520*D520*F520</f>
        <v>210</v>
      </c>
      <c r="H520" s="1068"/>
      <c r="I520" s="1069">
        <f>$G520*H512*J$16</f>
        <v>0</v>
      </c>
      <c r="J520" s="571"/>
      <c r="K520" s="1068"/>
      <c r="L520" s="1069">
        <f>$G520*1*M$16</f>
        <v>218.4</v>
      </c>
      <c r="M520" s="1067"/>
      <c r="N520" s="1068"/>
      <c r="O520" s="1069">
        <f>$G520*1*P$16</f>
        <v>227.13600000000002</v>
      </c>
      <c r="P520" s="1067"/>
      <c r="Q520" s="1068"/>
      <c r="R520" s="1069">
        <f>$G520*Q512*S$16</f>
        <v>0</v>
      </c>
      <c r="S520" s="1067"/>
      <c r="T520" s="1244"/>
      <c r="U520" s="571"/>
      <c r="V520" s="573"/>
    </row>
    <row r="521" spans="1:22">
      <c r="A521" s="1243" t="s">
        <v>787</v>
      </c>
      <c r="B521" s="1280">
        <v>4</v>
      </c>
      <c r="C521" s="1280" t="s">
        <v>248</v>
      </c>
      <c r="D521" s="1280">
        <f>partmeals</f>
        <v>47</v>
      </c>
      <c r="E521" s="1280" t="s">
        <v>249</v>
      </c>
      <c r="F521" s="1280">
        <f>IF(B521=0,0,F512)</f>
        <v>3</v>
      </c>
      <c r="G521" s="1069">
        <f>B521*D521*F521</f>
        <v>564</v>
      </c>
      <c r="H521" s="1068"/>
      <c r="I521" s="1069">
        <f>$G521*H512*J$16</f>
        <v>0</v>
      </c>
      <c r="J521" s="571"/>
      <c r="K521" s="1068"/>
      <c r="L521" s="1069">
        <f>$G521*1*M$16</f>
        <v>586.56000000000006</v>
      </c>
      <c r="M521" s="1067"/>
      <c r="N521" s="1068"/>
      <c r="O521" s="1069">
        <f>$G521*1*P$16</f>
        <v>610.02240000000006</v>
      </c>
      <c r="P521" s="1067"/>
      <c r="Q521" s="1068"/>
      <c r="R521" s="1069">
        <f>$G521*Q512*S$16</f>
        <v>0</v>
      </c>
      <c r="S521" s="1067"/>
      <c r="T521" s="1244"/>
      <c r="U521" s="571"/>
      <c r="V521" s="573"/>
    </row>
    <row r="522" spans="1:22">
      <c r="A522" s="1243" t="s">
        <v>798</v>
      </c>
      <c r="B522" s="1280">
        <v>4</v>
      </c>
      <c r="C522" s="1280" t="s">
        <v>248</v>
      </c>
      <c r="D522" s="1280">
        <f>parttransp</f>
        <v>4</v>
      </c>
      <c r="E522" s="1280" t="s">
        <v>262</v>
      </c>
      <c r="F522" s="1280">
        <v>3</v>
      </c>
      <c r="G522" s="1069">
        <f>B522*D522*F522</f>
        <v>48</v>
      </c>
      <c r="H522" s="1068"/>
      <c r="I522" s="1069">
        <f>$G522*H512*J$16</f>
        <v>0</v>
      </c>
      <c r="J522" s="571"/>
      <c r="K522" s="1068"/>
      <c r="L522" s="1069">
        <f>$G522*1*M$16</f>
        <v>49.92</v>
      </c>
      <c r="M522" s="1067"/>
      <c r="N522" s="1068"/>
      <c r="O522" s="1069">
        <f>$G522*1*P$16</f>
        <v>51.916800000000009</v>
      </c>
      <c r="P522" s="1067"/>
      <c r="Q522" s="1068"/>
      <c r="R522" s="1069">
        <f>$G522*Q512*S$16</f>
        <v>0</v>
      </c>
      <c r="S522" s="1067"/>
      <c r="T522" s="1244"/>
      <c r="U522" s="571"/>
      <c r="V522" s="573"/>
    </row>
    <row r="523" spans="1:22">
      <c r="A523" s="1245" t="s">
        <v>870</v>
      </c>
      <c r="B523" s="622"/>
      <c r="C523" s="622"/>
      <c r="D523" s="1246"/>
      <c r="E523" s="1410"/>
      <c r="F523" s="1411"/>
      <c r="G523" s="1247"/>
      <c r="H523" s="1248"/>
      <c r="I523" s="1248"/>
      <c r="J523" s="1239"/>
      <c r="K523" s="1248"/>
      <c r="L523" s="1248"/>
      <c r="M523" s="1239">
        <f>M512</f>
        <v>1248</v>
      </c>
      <c r="N523" s="1248"/>
      <c r="O523" s="1248"/>
      <c r="P523" s="1239">
        <f>P512</f>
        <v>1297.92</v>
      </c>
      <c r="Q523" s="1248"/>
      <c r="R523" s="1248"/>
      <c r="S523" s="1239"/>
      <c r="T523" s="1249"/>
      <c r="U523" s="571"/>
      <c r="V523" s="573"/>
    </row>
    <row r="524" spans="1:22">
      <c r="A524" s="1269"/>
      <c r="B524" s="1270"/>
      <c r="C524" s="1270"/>
      <c r="D524" s="1239"/>
      <c r="E524" s="1248"/>
      <c r="F524" s="1248"/>
      <c r="G524" s="1253"/>
      <c r="H524" s="1253"/>
      <c r="I524" s="1253"/>
      <c r="J524" s="1069"/>
      <c r="K524" s="1253"/>
      <c r="L524" s="1253"/>
      <c r="M524" s="1069"/>
      <c r="N524" s="1253"/>
      <c r="O524" s="1253"/>
      <c r="P524" s="1069"/>
      <c r="Q524" s="1253"/>
      <c r="R524" s="1253"/>
      <c r="S524" s="1069"/>
      <c r="T524" s="1254"/>
      <c r="U524" s="571"/>
      <c r="V524" s="573"/>
    </row>
    <row r="525" spans="1:22">
      <c r="A525" s="1238" t="s">
        <v>784</v>
      </c>
      <c r="B525" s="1239"/>
      <c r="C525" s="1239"/>
      <c r="D525" s="1239"/>
      <c r="E525" s="1239"/>
      <c r="F525" s="595">
        <v>3</v>
      </c>
      <c r="G525" s="1284"/>
      <c r="H525" s="1438"/>
      <c r="I525" s="1439"/>
      <c r="J525" s="1278">
        <f>SUM(I530:I530)</f>
        <v>0</v>
      </c>
      <c r="K525" s="1444">
        <v>3</v>
      </c>
      <c r="L525" s="1455"/>
      <c r="M525" s="1279">
        <f>SUM(L528:L529)</f>
        <v>0</v>
      </c>
      <c r="N525" s="1444">
        <v>3</v>
      </c>
      <c r="O525" s="1455"/>
      <c r="P525" s="1279">
        <f>SUM(O528:O529)</f>
        <v>0</v>
      </c>
      <c r="Q525" s="1445">
        <v>0</v>
      </c>
      <c r="R525" s="1444"/>
      <c r="S525" s="597">
        <f>SUM(R530:R530)</f>
        <v>0</v>
      </c>
      <c r="T525" s="1066">
        <f>SUM(J525,M525,P525,S525,)</f>
        <v>0</v>
      </c>
      <c r="U525" s="571"/>
      <c r="V525" s="573"/>
    </row>
    <row r="526" spans="1:22">
      <c r="A526" s="599" t="s">
        <v>283</v>
      </c>
      <c r="B526" s="1239"/>
      <c r="C526" s="1239"/>
      <c r="D526" s="1239"/>
      <c r="E526" s="1239"/>
      <c r="F526" s="1239"/>
      <c r="G526" s="1239"/>
      <c r="H526" s="1240"/>
      <c r="I526" s="1239"/>
      <c r="J526" s="1239"/>
      <c r="K526" s="1240"/>
      <c r="L526" s="1069">
        <f>$G526*$K$525*M$16</f>
        <v>0</v>
      </c>
      <c r="M526" s="1241"/>
      <c r="N526" s="1240"/>
      <c r="O526" s="1069">
        <f>$G526*$N$525*P$16</f>
        <v>0</v>
      </c>
      <c r="P526" s="1241"/>
      <c r="Q526" s="1240"/>
      <c r="R526" s="1069">
        <f>$G526*$Q$525*S$16</f>
        <v>0</v>
      </c>
      <c r="S526" s="1241"/>
      <c r="T526" s="1242"/>
      <c r="U526" s="571"/>
      <c r="V526" s="573"/>
    </row>
    <row r="527" spans="1:22">
      <c r="A527" s="599" t="s">
        <v>865</v>
      </c>
      <c r="B527" s="1284"/>
      <c r="C527" s="1284"/>
      <c r="D527" s="1284"/>
      <c r="E527" s="1239"/>
      <c r="F527" s="1239"/>
      <c r="G527" s="1239"/>
      <c r="H527" s="1240"/>
      <c r="I527" s="1239"/>
      <c r="J527" s="1239"/>
      <c r="K527" s="1240"/>
      <c r="L527" s="1239"/>
      <c r="M527" s="1241"/>
      <c r="N527" s="1240"/>
      <c r="O527" s="1239"/>
      <c r="P527" s="1241"/>
      <c r="Q527" s="1240"/>
      <c r="R527" s="1239"/>
      <c r="S527" s="1241"/>
      <c r="T527" s="1242"/>
      <c r="U527" s="571"/>
      <c r="V527" s="573"/>
    </row>
    <row r="528" spans="1:22">
      <c r="A528" s="1243" t="s">
        <v>299</v>
      </c>
      <c r="B528" s="1280"/>
      <c r="C528" s="1280" t="s">
        <v>867</v>
      </c>
      <c r="D528" s="1280"/>
      <c r="E528" s="1069" t="str">
        <f>C528</f>
        <v>pilot</v>
      </c>
      <c r="F528" s="1069">
        <f>IF(B528=0,0,1)</f>
        <v>0</v>
      </c>
      <c r="G528" s="1069">
        <f>B528*D528*F528</f>
        <v>0</v>
      </c>
      <c r="H528" s="1068"/>
      <c r="I528" s="1069">
        <f>$G528*H525*J$16</f>
        <v>0</v>
      </c>
      <c r="J528" s="571"/>
      <c r="K528" s="1068"/>
      <c r="L528" s="1069">
        <f>$G528*K525*M$16</f>
        <v>0</v>
      </c>
      <c r="M528" s="1067"/>
      <c r="N528" s="1068"/>
      <c r="O528" s="1069">
        <f>$G528*N525*P$16</f>
        <v>0</v>
      </c>
      <c r="P528" s="1067"/>
      <c r="Q528" s="1068"/>
      <c r="R528" s="1069">
        <f>$G528*Q525*S$16</f>
        <v>0</v>
      </c>
      <c r="S528" s="1067"/>
      <c r="T528" s="1244"/>
      <c r="U528" s="571"/>
      <c r="V528" s="573"/>
    </row>
    <row r="529" spans="1:22">
      <c r="A529" s="1243" t="s">
        <v>781</v>
      </c>
      <c r="B529" s="1280"/>
      <c r="C529" s="1280" t="s">
        <v>277</v>
      </c>
      <c r="D529" s="1280">
        <f>print</f>
        <v>50</v>
      </c>
      <c r="E529" s="1069" t="str">
        <f>C529</f>
        <v>activity</v>
      </c>
      <c r="F529" s="1069">
        <v>1</v>
      </c>
      <c r="G529" s="1069">
        <f>B529*D529*F529</f>
        <v>0</v>
      </c>
      <c r="H529" s="1068"/>
      <c r="I529" s="1069">
        <f>$G529*H525*J$16</f>
        <v>0</v>
      </c>
      <c r="J529" s="571"/>
      <c r="K529" s="1068"/>
      <c r="L529" s="1069">
        <f>$G529*K525*M$16</f>
        <v>0</v>
      </c>
      <c r="M529" s="1067"/>
      <c r="N529" s="1068"/>
      <c r="O529" s="1069">
        <f>$G529*N525*P$16</f>
        <v>0</v>
      </c>
      <c r="P529" s="1067"/>
      <c r="Q529" s="1068"/>
      <c r="R529" s="1069">
        <f>$G529*Q525*S$16</f>
        <v>0</v>
      </c>
      <c r="S529" s="1067"/>
      <c r="T529" s="1244"/>
      <c r="U529" s="571"/>
      <c r="V529" s="573"/>
    </row>
    <row r="530" spans="1:22">
      <c r="A530" s="605"/>
      <c r="B530" s="1280"/>
      <c r="C530" s="1280"/>
      <c r="D530" s="1280"/>
      <c r="E530" s="1069"/>
      <c r="F530" s="1069"/>
      <c r="G530" s="1069"/>
      <c r="H530" s="1068"/>
      <c r="I530" s="1069"/>
      <c r="J530" s="571"/>
      <c r="K530" s="1068"/>
      <c r="L530" s="1069">
        <f t="shared" ref="L530:L536" si="44">$G530*$K$525*M$16</f>
        <v>0</v>
      </c>
      <c r="M530" s="1067"/>
      <c r="N530" s="1068"/>
      <c r="O530" s="1069">
        <f t="shared" ref="O530:O536" si="45">$G530*$N$525*P$16</f>
        <v>0</v>
      </c>
      <c r="P530" s="1067"/>
      <c r="Q530" s="1068"/>
      <c r="R530" s="1069">
        <f t="shared" ref="R530:R536" si="46">$G530*$Q$525*S$16</f>
        <v>0</v>
      </c>
      <c r="S530" s="1067"/>
      <c r="T530" s="1244"/>
      <c r="U530" s="571"/>
      <c r="V530" s="573"/>
    </row>
    <row r="531" spans="1:22">
      <c r="A531" s="613" t="s">
        <v>278</v>
      </c>
      <c r="B531" s="1280"/>
      <c r="C531" s="1280"/>
      <c r="D531" s="1280"/>
      <c r="E531" s="1069"/>
      <c r="F531" s="1069"/>
      <c r="G531" s="1069">
        <f t="shared" ref="G531:G536" si="47">B531*D531*F531</f>
        <v>0</v>
      </c>
      <c r="H531" s="1068"/>
      <c r="I531" s="1069"/>
      <c r="J531" s="571"/>
      <c r="K531" s="1068"/>
      <c r="L531" s="1069">
        <f t="shared" si="44"/>
        <v>0</v>
      </c>
      <c r="M531" s="1067"/>
      <c r="N531" s="1068"/>
      <c r="O531" s="1069">
        <f t="shared" si="45"/>
        <v>0</v>
      </c>
      <c r="P531" s="1067"/>
      <c r="Q531" s="1068"/>
      <c r="R531" s="1069">
        <f t="shared" si="46"/>
        <v>0</v>
      </c>
      <c r="S531" s="1067"/>
      <c r="T531" s="1244"/>
      <c r="U531" s="571"/>
      <c r="V531" s="573"/>
    </row>
    <row r="532" spans="1:22">
      <c r="A532" s="605" t="s">
        <v>261</v>
      </c>
      <c r="B532" s="1280">
        <v>1</v>
      </c>
      <c r="C532" s="1280" t="s">
        <v>248</v>
      </c>
      <c r="D532" s="1280">
        <f>partground</f>
        <v>9</v>
      </c>
      <c r="E532" s="1069" t="s">
        <v>262</v>
      </c>
      <c r="F532" s="1069">
        <v>3</v>
      </c>
      <c r="G532" s="1069">
        <f t="shared" si="47"/>
        <v>27</v>
      </c>
      <c r="H532" s="1068"/>
      <c r="I532" s="1069">
        <f>$G532*J$16*$H$64</f>
        <v>0</v>
      </c>
      <c r="J532" s="571"/>
      <c r="K532" s="1068"/>
      <c r="L532" s="1069">
        <f t="shared" si="44"/>
        <v>84.240000000000009</v>
      </c>
      <c r="M532" s="1067"/>
      <c r="N532" s="1068"/>
      <c r="O532" s="1069">
        <f t="shared" si="45"/>
        <v>87.609600000000015</v>
      </c>
      <c r="P532" s="1067"/>
      <c r="Q532" s="1068"/>
      <c r="R532" s="1069">
        <f t="shared" si="46"/>
        <v>0</v>
      </c>
      <c r="S532" s="1067"/>
      <c r="T532" s="1244"/>
      <c r="U532" s="571"/>
      <c r="V532" s="573"/>
    </row>
    <row r="533" spans="1:22">
      <c r="A533" s="1243" t="s">
        <v>840</v>
      </c>
      <c r="B533" s="1280">
        <v>1</v>
      </c>
      <c r="C533" s="1280" t="s">
        <v>248</v>
      </c>
      <c r="D533" s="1280">
        <f>+[1]Assumptions!D101</f>
        <v>25</v>
      </c>
      <c r="E533" s="1069" t="s">
        <v>249</v>
      </c>
      <c r="F533" s="1069">
        <v>3</v>
      </c>
      <c r="G533" s="1069">
        <f t="shared" si="47"/>
        <v>75</v>
      </c>
      <c r="H533" s="1068"/>
      <c r="I533" s="1069">
        <f>$G533*J$16*$H$64</f>
        <v>0</v>
      </c>
      <c r="J533" s="571"/>
      <c r="K533" s="1068"/>
      <c r="L533" s="1069">
        <f t="shared" si="44"/>
        <v>234</v>
      </c>
      <c r="M533" s="1067"/>
      <c r="N533" s="1068"/>
      <c r="O533" s="1069">
        <f t="shared" si="45"/>
        <v>243.36</v>
      </c>
      <c r="P533" s="1067"/>
      <c r="Q533" s="1068"/>
      <c r="R533" s="1069">
        <f t="shared" si="46"/>
        <v>0</v>
      </c>
      <c r="S533" s="1067"/>
      <c r="T533" s="1244"/>
      <c r="U533" s="571"/>
      <c r="V533" s="573"/>
    </row>
    <row r="534" spans="1:22">
      <c r="A534" s="605" t="s">
        <v>790</v>
      </c>
      <c r="B534" s="1280">
        <v>1</v>
      </c>
      <c r="C534" s="1280" t="s">
        <v>248</v>
      </c>
      <c r="D534" s="1280">
        <f>+[1]Assumptions!D103</f>
        <v>90</v>
      </c>
      <c r="E534" s="1069" t="s">
        <v>249</v>
      </c>
      <c r="F534" s="1069">
        <v>2</v>
      </c>
      <c r="G534" s="1069">
        <f t="shared" si="47"/>
        <v>180</v>
      </c>
      <c r="H534" s="1068"/>
      <c r="I534" s="1069">
        <f>$G534*J$16*$H$64</f>
        <v>0</v>
      </c>
      <c r="J534" s="571"/>
      <c r="K534" s="1068"/>
      <c r="L534" s="1069">
        <f t="shared" si="44"/>
        <v>561.6</v>
      </c>
      <c r="M534" s="1067"/>
      <c r="N534" s="1068"/>
      <c r="O534" s="1069">
        <f t="shared" si="45"/>
        <v>584.06400000000008</v>
      </c>
      <c r="P534" s="1067"/>
      <c r="Q534" s="1068"/>
      <c r="R534" s="1069">
        <f t="shared" si="46"/>
        <v>0</v>
      </c>
      <c r="S534" s="1067"/>
      <c r="T534" s="1244"/>
      <c r="U534" s="571"/>
      <c r="V534" s="573"/>
    </row>
    <row r="535" spans="1:22">
      <c r="A535" s="1243" t="s">
        <v>787</v>
      </c>
      <c r="B535" s="1280">
        <v>1</v>
      </c>
      <c r="C535" s="1280" t="s">
        <v>248</v>
      </c>
      <c r="D535" s="1280">
        <f>partmeals</f>
        <v>47</v>
      </c>
      <c r="E535" s="1069" t="s">
        <v>249</v>
      </c>
      <c r="F535" s="1069">
        <v>3</v>
      </c>
      <c r="G535" s="1069">
        <f t="shared" si="47"/>
        <v>141</v>
      </c>
      <c r="H535" s="1068"/>
      <c r="I535" s="1069">
        <f>$G535*J$16*$H$64</f>
        <v>0</v>
      </c>
      <c r="J535" s="571"/>
      <c r="K535" s="1068"/>
      <c r="L535" s="1069">
        <f t="shared" si="44"/>
        <v>439.92</v>
      </c>
      <c r="M535" s="1067"/>
      <c r="N535" s="1068"/>
      <c r="O535" s="1069">
        <f t="shared" si="45"/>
        <v>457.51680000000005</v>
      </c>
      <c r="P535" s="1067"/>
      <c r="Q535" s="1068"/>
      <c r="R535" s="1069">
        <f t="shared" si="46"/>
        <v>0</v>
      </c>
      <c r="S535" s="1067"/>
      <c r="T535" s="1244"/>
      <c r="U535" s="571"/>
      <c r="V535" s="573"/>
    </row>
    <row r="536" spans="1:22">
      <c r="A536" s="1243" t="s">
        <v>807</v>
      </c>
      <c r="B536" s="1280">
        <v>1</v>
      </c>
      <c r="C536" s="1280" t="s">
        <v>248</v>
      </c>
      <c r="D536" s="1280">
        <f>partairfare</f>
        <v>200</v>
      </c>
      <c r="E536" s="1069" t="s">
        <v>262</v>
      </c>
      <c r="F536" s="1069">
        <v>1</v>
      </c>
      <c r="G536" s="1069">
        <f t="shared" si="47"/>
        <v>200</v>
      </c>
      <c r="H536" s="1068"/>
      <c r="I536" s="1069">
        <f>$G536*J$16*$H$64</f>
        <v>0</v>
      </c>
      <c r="J536" s="571"/>
      <c r="K536" s="1068"/>
      <c r="L536" s="1069">
        <f t="shared" si="44"/>
        <v>624</v>
      </c>
      <c r="M536" s="1067"/>
      <c r="N536" s="1068"/>
      <c r="O536" s="1069">
        <f t="shared" si="45"/>
        <v>648.96</v>
      </c>
      <c r="P536" s="1067"/>
      <c r="Q536" s="1068"/>
      <c r="R536" s="1069">
        <f t="shared" si="46"/>
        <v>0</v>
      </c>
      <c r="S536" s="1067"/>
      <c r="T536" s="1244"/>
      <c r="U536" s="571"/>
      <c r="V536" s="573"/>
    </row>
    <row r="537" spans="1:22">
      <c r="A537" s="1245" t="s">
        <v>269</v>
      </c>
      <c r="B537" s="622"/>
      <c r="C537" s="622"/>
      <c r="D537" s="1246"/>
      <c r="E537" s="1410">
        <f>SUM(G532:G536)</f>
        <v>623</v>
      </c>
      <c r="F537" s="1411"/>
      <c r="G537" s="1247"/>
      <c r="H537" s="1248"/>
      <c r="I537" s="1248"/>
      <c r="J537" s="1239"/>
      <c r="K537" s="1248"/>
      <c r="L537" s="1248"/>
      <c r="M537" s="1239"/>
      <c r="N537" s="1248"/>
      <c r="O537" s="1248"/>
      <c r="P537" s="1239"/>
      <c r="Q537" s="1248"/>
      <c r="R537" s="1248"/>
      <c r="S537" s="1239"/>
      <c r="T537" s="1249"/>
      <c r="U537" s="571"/>
      <c r="V537" s="573"/>
    </row>
    <row r="538" spans="1:22">
      <c r="A538" s="569"/>
      <c r="B538" s="627"/>
      <c r="C538" s="627"/>
      <c r="D538" s="627"/>
      <c r="E538" s="627"/>
      <c r="F538" s="627"/>
      <c r="G538" s="592"/>
      <c r="H538" s="592"/>
      <c r="I538" s="592"/>
      <c r="J538" s="592"/>
      <c r="K538" s="592"/>
      <c r="L538" s="592"/>
      <c r="M538" s="592"/>
      <c r="N538" s="592"/>
      <c r="O538" s="592"/>
      <c r="P538" s="592"/>
      <c r="Q538" s="592"/>
      <c r="R538" s="592"/>
      <c r="S538" s="592"/>
      <c r="T538" s="593"/>
      <c r="U538" s="571"/>
      <c r="V538" s="573"/>
    </row>
    <row r="539" spans="1:22">
      <c r="A539" s="1415" t="s">
        <v>871</v>
      </c>
      <c r="B539" s="1416"/>
      <c r="C539" s="1416"/>
      <c r="D539" s="1416"/>
      <c r="E539" s="1417"/>
      <c r="F539" s="595">
        <v>3</v>
      </c>
      <c r="G539" s="595"/>
      <c r="H539" s="1438"/>
      <c r="I539" s="1439"/>
      <c r="J539" s="1278">
        <f>SUM(I542:I544)</f>
        <v>0</v>
      </c>
      <c r="K539" s="1444">
        <v>2</v>
      </c>
      <c r="L539" s="1455"/>
      <c r="M539" s="1279">
        <f>SUM(L542:L544)</f>
        <v>0</v>
      </c>
      <c r="N539" s="1444">
        <v>4</v>
      </c>
      <c r="O539" s="1455"/>
      <c r="P539" s="1279">
        <f>SUM(O542:O544)</f>
        <v>0</v>
      </c>
      <c r="Q539" s="1445">
        <v>0</v>
      </c>
      <c r="R539" s="1444"/>
      <c r="S539" s="597">
        <f>SUM(R542:R550)</f>
        <v>0</v>
      </c>
      <c r="T539" s="1066">
        <f>SUM(J539,M539,P539,S539,)</f>
        <v>0</v>
      </c>
      <c r="U539" s="571"/>
      <c r="V539" s="573"/>
    </row>
    <row r="540" spans="1:22">
      <c r="A540" s="1250" t="s">
        <v>777</v>
      </c>
      <c r="B540" s="1239"/>
      <c r="C540" s="1239"/>
      <c r="D540" s="1239"/>
      <c r="E540" s="1239"/>
      <c r="F540" s="1239"/>
      <c r="G540" s="1239"/>
      <c r="H540" s="1240"/>
      <c r="I540" s="1239"/>
      <c r="J540" s="1239"/>
      <c r="K540" s="1240"/>
      <c r="L540" s="1239"/>
      <c r="M540" s="1241"/>
      <c r="N540" s="1240"/>
      <c r="O540" s="1239"/>
      <c r="P540" s="1241"/>
      <c r="Q540" s="1240"/>
      <c r="R540" s="1239"/>
      <c r="S540" s="1241"/>
      <c r="T540" s="1242"/>
      <c r="U540" s="571"/>
      <c r="V540" s="573"/>
    </row>
    <row r="541" spans="1:22">
      <c r="A541" s="599" t="s">
        <v>778</v>
      </c>
      <c r="B541" s="1284"/>
      <c r="C541" s="1284"/>
      <c r="D541" s="1284"/>
      <c r="E541" s="1284"/>
      <c r="F541" s="1284"/>
      <c r="G541" s="1239"/>
      <c r="H541" s="1240"/>
      <c r="I541" s="1239"/>
      <c r="J541" s="1239"/>
      <c r="K541" s="1240"/>
      <c r="L541" s="1239"/>
      <c r="M541" s="1241"/>
      <c r="N541" s="1240"/>
      <c r="O541" s="1239"/>
      <c r="P541" s="1241"/>
      <c r="Q541" s="1240"/>
      <c r="R541" s="1239"/>
      <c r="S541" s="1241"/>
      <c r="T541" s="1242"/>
      <c r="U541" s="571"/>
      <c r="V541" s="573"/>
    </row>
    <row r="542" spans="1:22">
      <c r="A542" s="1243" t="s">
        <v>815</v>
      </c>
      <c r="B542" s="1280">
        <v>0</v>
      </c>
      <c r="C542" s="1280" t="s">
        <v>248</v>
      </c>
      <c r="D542" s="1280">
        <f>parttransp</f>
        <v>4</v>
      </c>
      <c r="E542" s="1280" t="s">
        <v>249</v>
      </c>
      <c r="F542" s="1280">
        <f>IF(B542=0,0,F539)</f>
        <v>0</v>
      </c>
      <c r="G542" s="1069">
        <f>B542*D542*F542</f>
        <v>0</v>
      </c>
      <c r="H542" s="1068"/>
      <c r="I542" s="1069">
        <f>$G542*H539*J$16</f>
        <v>0</v>
      </c>
      <c r="J542" s="571"/>
      <c r="K542" s="1068"/>
      <c r="L542" s="1069">
        <f>$G542*K539*M$16</f>
        <v>0</v>
      </c>
      <c r="M542" s="1067"/>
      <c r="N542" s="1068"/>
      <c r="O542" s="1069">
        <f>$G542*N539*P$16</f>
        <v>0</v>
      </c>
      <c r="P542" s="1067"/>
      <c r="Q542" s="1068"/>
      <c r="R542" s="1069">
        <f>$G542*Q539*S$16</f>
        <v>0</v>
      </c>
      <c r="S542" s="1067"/>
      <c r="T542" s="1244"/>
      <c r="U542" s="571"/>
      <c r="V542" s="573"/>
    </row>
    <row r="543" spans="1:22">
      <c r="A543" s="1243" t="s">
        <v>780</v>
      </c>
      <c r="B543" s="1280">
        <v>0</v>
      </c>
      <c r="C543" s="1280" t="s">
        <v>248</v>
      </c>
      <c r="D543" s="1280">
        <f>coffee+lunch</f>
        <v>16</v>
      </c>
      <c r="E543" s="1280" t="s">
        <v>249</v>
      </c>
      <c r="F543" s="1280">
        <f>IF(B543=0,0,F539)</f>
        <v>0</v>
      </c>
      <c r="G543" s="1069">
        <f>B543*D543*F543</f>
        <v>0</v>
      </c>
      <c r="H543" s="1068"/>
      <c r="I543" s="1069">
        <f>$G543*H539*J$16</f>
        <v>0</v>
      </c>
      <c r="J543" s="571"/>
      <c r="K543" s="1068"/>
      <c r="L543" s="1069">
        <f>$G543*K539*M$16</f>
        <v>0</v>
      </c>
      <c r="M543" s="1067"/>
      <c r="N543" s="1068"/>
      <c r="O543" s="1069">
        <f>$G543*N539*P$16</f>
        <v>0</v>
      </c>
      <c r="P543" s="1067"/>
      <c r="Q543" s="1068"/>
      <c r="R543" s="1069">
        <f>$G543*Q539*S$16</f>
        <v>0</v>
      </c>
      <c r="S543" s="1067"/>
      <c r="T543" s="1244"/>
      <c r="U543" s="571"/>
      <c r="V543" s="573"/>
    </row>
    <row r="544" spans="1:22">
      <c r="A544" s="1243" t="s">
        <v>849</v>
      </c>
      <c r="B544" s="1280">
        <v>0</v>
      </c>
      <c r="C544" s="1280" t="s">
        <v>277</v>
      </c>
      <c r="D544" s="1280">
        <f>print</f>
        <v>50</v>
      </c>
      <c r="E544" s="1280" t="str">
        <f>C544</f>
        <v>activity</v>
      </c>
      <c r="F544" s="1280">
        <f>IF(B544=0,0,1)</f>
        <v>0</v>
      </c>
      <c r="G544" s="1069">
        <f>B544*D544*F544</f>
        <v>0</v>
      </c>
      <c r="H544" s="1068"/>
      <c r="I544" s="1069">
        <f>$G544*H539*J$16</f>
        <v>0</v>
      </c>
      <c r="J544" s="571"/>
      <c r="K544" s="1068"/>
      <c r="L544" s="1069">
        <f>$G544*K539*M$16</f>
        <v>0</v>
      </c>
      <c r="M544" s="1067"/>
      <c r="N544" s="1068"/>
      <c r="O544" s="1069">
        <f>$G544*N539*P$16</f>
        <v>0</v>
      </c>
      <c r="P544" s="1067"/>
      <c r="Q544" s="1068"/>
      <c r="R544" s="1069">
        <f>$G544*Q539*S$16</f>
        <v>0</v>
      </c>
      <c r="S544" s="1067"/>
      <c r="T544" s="1244"/>
      <c r="U544" s="571"/>
      <c r="V544" s="573"/>
    </row>
    <row r="545" spans="1:22">
      <c r="A545" s="613" t="s">
        <v>278</v>
      </c>
      <c r="B545" s="1280"/>
      <c r="C545" s="1280"/>
      <c r="D545" s="1280"/>
      <c r="E545" s="1280"/>
      <c r="F545" s="1280"/>
      <c r="G545" s="1069"/>
      <c r="H545" s="1068"/>
      <c r="I545" s="1069"/>
      <c r="J545" s="571"/>
      <c r="K545" s="1068"/>
      <c r="L545" s="1069"/>
      <c r="M545" s="1067"/>
      <c r="N545" s="1068"/>
      <c r="O545" s="1069"/>
      <c r="P545" s="1067"/>
      <c r="Q545" s="1068"/>
      <c r="R545" s="1069"/>
      <c r="S545" s="1067"/>
      <c r="T545" s="1244"/>
      <c r="U545" s="571"/>
      <c r="V545" s="573"/>
    </row>
    <row r="546" spans="1:22">
      <c r="A546" s="605" t="s">
        <v>266</v>
      </c>
      <c r="B546" s="1280">
        <v>3</v>
      </c>
      <c r="C546" s="1280" t="s">
        <v>248</v>
      </c>
      <c r="D546" s="1280">
        <f>partground</f>
        <v>9</v>
      </c>
      <c r="E546" s="1280" t="s">
        <v>262</v>
      </c>
      <c r="F546" s="1280">
        <v>3</v>
      </c>
      <c r="G546" s="1069">
        <f>B546*D546*F546</f>
        <v>81</v>
      </c>
      <c r="H546" s="1068"/>
      <c r="I546" s="1069">
        <f>$G546*H539*J$16</f>
        <v>0</v>
      </c>
      <c r="J546" s="571"/>
      <c r="K546" s="1068"/>
      <c r="L546" s="1069">
        <f>$G546*$K$539*M$16</f>
        <v>168.48000000000002</v>
      </c>
      <c r="M546" s="1067"/>
      <c r="N546" s="1068"/>
      <c r="O546" s="1069">
        <f>$G546*$N$539*P$16</f>
        <v>350.43840000000006</v>
      </c>
      <c r="P546" s="1067"/>
      <c r="Q546" s="1068"/>
      <c r="R546" s="1069">
        <f>$G546*Q539*S$16</f>
        <v>0</v>
      </c>
      <c r="S546" s="1067"/>
      <c r="T546" s="1244"/>
      <c r="U546" s="571"/>
      <c r="V546" s="573"/>
    </row>
    <row r="547" spans="1:22">
      <c r="A547" s="1243" t="s">
        <v>267</v>
      </c>
      <c r="B547" s="1280">
        <v>3</v>
      </c>
      <c r="C547" s="1280" t="s">
        <v>248</v>
      </c>
      <c r="D547" s="1280">
        <f>partground</f>
        <v>9</v>
      </c>
      <c r="E547" s="1280" t="s">
        <v>249</v>
      </c>
      <c r="F547" s="1280">
        <v>3</v>
      </c>
      <c r="G547" s="1069">
        <f>B547*D547*F547</f>
        <v>81</v>
      </c>
      <c r="H547" s="1068"/>
      <c r="I547" s="1069">
        <f>$G547*H539*J$16</f>
        <v>0</v>
      </c>
      <c r="J547" s="571"/>
      <c r="K547" s="1068"/>
      <c r="L547" s="1069">
        <f>$G547*$K$539*M$16</f>
        <v>168.48000000000002</v>
      </c>
      <c r="M547" s="1067"/>
      <c r="N547" s="1068"/>
      <c r="O547" s="1069">
        <f>$G547*$N$539*P$16</f>
        <v>350.43840000000006</v>
      </c>
      <c r="P547" s="1067"/>
      <c r="Q547" s="1068"/>
      <c r="R547" s="1069">
        <f>$G547*Q539*S$16</f>
        <v>0</v>
      </c>
      <c r="S547" s="1067"/>
      <c r="T547" s="1244"/>
      <c r="U547" s="571"/>
      <c r="V547" s="573"/>
    </row>
    <row r="548" spans="1:22">
      <c r="A548" s="605" t="s">
        <v>847</v>
      </c>
      <c r="B548" s="1280">
        <v>1</v>
      </c>
      <c r="C548" s="1280" t="s">
        <v>248</v>
      </c>
      <c r="D548" s="1280">
        <f>partlodg</f>
        <v>35</v>
      </c>
      <c r="E548" s="1280" t="s">
        <v>249</v>
      </c>
      <c r="F548" s="1280">
        <v>3</v>
      </c>
      <c r="G548" s="1069">
        <f>B548*D548*F548</f>
        <v>105</v>
      </c>
      <c r="H548" s="1068"/>
      <c r="I548" s="1069">
        <f>$G548*H539*J$16</f>
        <v>0</v>
      </c>
      <c r="J548" s="571"/>
      <c r="K548" s="1068"/>
      <c r="L548" s="1069">
        <f>$G548*$K$539*M$16</f>
        <v>218.4</v>
      </c>
      <c r="M548" s="1067"/>
      <c r="N548" s="1068"/>
      <c r="O548" s="1069">
        <f>$G548*$N$539*P$16</f>
        <v>454.27200000000005</v>
      </c>
      <c r="P548" s="1067"/>
      <c r="Q548" s="1068"/>
      <c r="R548" s="1069">
        <f>$G548*Q539*S$16</f>
        <v>0</v>
      </c>
      <c r="S548" s="1067"/>
      <c r="T548" s="1244"/>
      <c r="U548" s="571"/>
      <c r="V548" s="573"/>
    </row>
    <row r="549" spans="1:22">
      <c r="A549" s="1243" t="s">
        <v>787</v>
      </c>
      <c r="B549" s="1280">
        <v>3</v>
      </c>
      <c r="C549" s="1280" t="s">
        <v>248</v>
      </c>
      <c r="D549" s="1280">
        <f>partmeals</f>
        <v>47</v>
      </c>
      <c r="E549" s="1280" t="s">
        <v>249</v>
      </c>
      <c r="F549" s="1280">
        <v>3</v>
      </c>
      <c r="G549" s="1069">
        <f>B549*D549*F549</f>
        <v>423</v>
      </c>
      <c r="H549" s="1068"/>
      <c r="I549" s="1069">
        <f>$G549*H539*J$16</f>
        <v>0</v>
      </c>
      <c r="J549" s="571"/>
      <c r="K549" s="1068"/>
      <c r="L549" s="1069">
        <f>$G549*$K$539*M$16</f>
        <v>879.84</v>
      </c>
      <c r="M549" s="1067"/>
      <c r="N549" s="1068"/>
      <c r="O549" s="1069">
        <f>$G549*$N$539*P$16</f>
        <v>1830.0672000000002</v>
      </c>
      <c r="P549" s="1067"/>
      <c r="Q549" s="1068"/>
      <c r="R549" s="1069">
        <f>$G549*Q539*S$16</f>
        <v>0</v>
      </c>
      <c r="S549" s="1067"/>
      <c r="T549" s="1244"/>
      <c r="U549" s="571"/>
      <c r="V549" s="573"/>
    </row>
    <row r="550" spans="1:22">
      <c r="A550" s="1243" t="s">
        <v>872</v>
      </c>
      <c r="B550" s="1280">
        <v>3</v>
      </c>
      <c r="C550" s="1280" t="s">
        <v>248</v>
      </c>
      <c r="D550" s="1280">
        <f>parttransp</f>
        <v>4</v>
      </c>
      <c r="E550" s="1280" t="s">
        <v>262</v>
      </c>
      <c r="F550" s="1280">
        <v>3</v>
      </c>
      <c r="G550" s="1069">
        <f>B550*D550*F550</f>
        <v>36</v>
      </c>
      <c r="H550" s="1068"/>
      <c r="I550" s="1069">
        <f>$G550*H539*J$16</f>
        <v>0</v>
      </c>
      <c r="J550" s="571"/>
      <c r="K550" s="1068"/>
      <c r="L550" s="1069">
        <f>$G550*$K$539*M$16</f>
        <v>74.88</v>
      </c>
      <c r="M550" s="1067"/>
      <c r="N550" s="1068"/>
      <c r="O550" s="1069">
        <f>$G550*$N$539*P$16</f>
        <v>155.75040000000001</v>
      </c>
      <c r="P550" s="1067"/>
      <c r="Q550" s="1068"/>
      <c r="R550" s="1069">
        <f>$G550*Q539*S$16</f>
        <v>0</v>
      </c>
      <c r="S550" s="1067"/>
      <c r="T550" s="1244"/>
      <c r="U550" s="571"/>
      <c r="V550" s="573"/>
    </row>
    <row r="551" spans="1:22">
      <c r="A551" s="1245" t="s">
        <v>870</v>
      </c>
      <c r="B551" s="622"/>
      <c r="C551" s="622"/>
      <c r="D551" s="1246"/>
      <c r="E551" s="1410"/>
      <c r="F551" s="1411"/>
      <c r="G551" s="1247"/>
      <c r="H551" s="1248"/>
      <c r="I551" s="1248"/>
      <c r="J551" s="1239"/>
      <c r="K551" s="1248"/>
      <c r="L551" s="1248"/>
      <c r="M551" s="1239"/>
      <c r="N551" s="1248"/>
      <c r="O551" s="1248"/>
      <c r="P551" s="1239"/>
      <c r="Q551" s="1248"/>
      <c r="R551" s="1248"/>
      <c r="S551" s="1239"/>
      <c r="T551" s="1249"/>
      <c r="U551" s="571"/>
      <c r="V551" s="573"/>
    </row>
    <row r="552" spans="1:22">
      <c r="A552" s="1269"/>
      <c r="B552" s="1270"/>
      <c r="C552" s="1270"/>
      <c r="D552" s="1239"/>
      <c r="E552" s="1248"/>
      <c r="F552" s="1248"/>
      <c r="G552" s="1253"/>
      <c r="H552" s="1253"/>
      <c r="I552" s="1253"/>
      <c r="J552" s="1069"/>
      <c r="K552" s="1253"/>
      <c r="L552" s="1253"/>
      <c r="M552" s="1069"/>
      <c r="N552" s="1253"/>
      <c r="O552" s="1253"/>
      <c r="P552" s="1069"/>
      <c r="Q552" s="1253"/>
      <c r="R552" s="1253"/>
      <c r="S552" s="1069"/>
      <c r="T552" s="1254"/>
      <c r="U552" s="571"/>
      <c r="V552" s="573"/>
    </row>
    <row r="553" spans="1:22">
      <c r="A553" s="1238" t="s">
        <v>784</v>
      </c>
      <c r="B553" s="1239"/>
      <c r="C553" s="1239"/>
      <c r="D553" s="1239"/>
      <c r="E553" s="1239"/>
      <c r="F553" s="1239"/>
      <c r="G553" s="1239"/>
      <c r="H553" s="1438"/>
      <c r="I553" s="1439"/>
      <c r="J553" s="1278">
        <f>SUM(I556:I558)</f>
        <v>0</v>
      </c>
      <c r="K553" s="1444">
        <v>1</v>
      </c>
      <c r="L553" s="1455"/>
      <c r="M553" s="1279">
        <f>SUM(L556:L558)</f>
        <v>0</v>
      </c>
      <c r="N553" s="1444">
        <v>1</v>
      </c>
      <c r="O553" s="1455"/>
      <c r="P553" s="1279">
        <f>SUM(O556:O558)</f>
        <v>0</v>
      </c>
      <c r="Q553" s="1445">
        <v>0</v>
      </c>
      <c r="R553" s="1444"/>
      <c r="S553" s="597">
        <f>SUM(R556:R558)</f>
        <v>0</v>
      </c>
      <c r="T553" s="1066">
        <f>SUM(J553,M553,P553,S553,)</f>
        <v>0</v>
      </c>
      <c r="U553" s="571"/>
      <c r="V553" s="573"/>
    </row>
    <row r="554" spans="1:22">
      <c r="A554" s="599" t="s">
        <v>778</v>
      </c>
      <c r="B554" s="1284"/>
      <c r="C554" s="1284"/>
      <c r="D554" s="1284"/>
      <c r="E554" s="1284"/>
      <c r="F554" s="1239"/>
      <c r="G554" s="1239"/>
      <c r="H554" s="1240"/>
      <c r="I554" s="1239"/>
      <c r="J554" s="1239"/>
      <c r="K554" s="1240"/>
      <c r="L554" s="1069">
        <f t="shared" ref="L554:L564" si="48">$G554*$K$553*M$16</f>
        <v>0</v>
      </c>
      <c r="M554" s="1241"/>
      <c r="N554" s="1240"/>
      <c r="O554" s="1069">
        <f t="shared" ref="O554:O564" si="49">$G554*$N$553*P$16</f>
        <v>0</v>
      </c>
      <c r="P554" s="1241"/>
      <c r="Q554" s="1240"/>
      <c r="R554" s="1069">
        <f t="shared" ref="R554:R564" si="50">$G554*$Q$553*S$16</f>
        <v>0</v>
      </c>
      <c r="S554" s="1241"/>
      <c r="T554" s="1242"/>
      <c r="U554" s="571"/>
      <c r="V554" s="573"/>
    </row>
    <row r="555" spans="1:22">
      <c r="A555" s="1243" t="s">
        <v>844</v>
      </c>
      <c r="B555" s="1280"/>
      <c r="C555" s="1280" t="s">
        <v>248</v>
      </c>
      <c r="D555" s="1280">
        <f>parttransp</f>
        <v>4</v>
      </c>
      <c r="E555" s="1280" t="s">
        <v>249</v>
      </c>
      <c r="F555" s="1069">
        <f>IF(B555=0,0,F551)</f>
        <v>0</v>
      </c>
      <c r="G555" s="1069">
        <f>B555*D555*F555</f>
        <v>0</v>
      </c>
      <c r="H555" s="1068"/>
      <c r="I555" s="1069">
        <f>$G555*H551*J$16</f>
        <v>0</v>
      </c>
      <c r="J555" s="571"/>
      <c r="K555" s="1068"/>
      <c r="L555" s="1069">
        <f t="shared" si="48"/>
        <v>0</v>
      </c>
      <c r="M555" s="1067"/>
      <c r="N555" s="1068"/>
      <c r="O555" s="1069">
        <f t="shared" si="49"/>
        <v>0</v>
      </c>
      <c r="P555" s="1067"/>
      <c r="Q555" s="1068"/>
      <c r="R555" s="1069">
        <f t="shared" si="50"/>
        <v>0</v>
      </c>
      <c r="S555" s="1067"/>
      <c r="T555" s="1244"/>
      <c r="U555" s="571"/>
      <c r="V555" s="573"/>
    </row>
    <row r="556" spans="1:22">
      <c r="A556" s="1243" t="s">
        <v>251</v>
      </c>
      <c r="B556" s="1280"/>
      <c r="C556" s="1280" t="s">
        <v>248</v>
      </c>
      <c r="D556" s="1280">
        <f>coffee+lunch</f>
        <v>16</v>
      </c>
      <c r="E556" s="1280" t="s">
        <v>249</v>
      </c>
      <c r="F556" s="1069">
        <f>IF(B556=0,0,F551)</f>
        <v>0</v>
      </c>
      <c r="G556" s="1069">
        <f>B556*D556*F556</f>
        <v>0</v>
      </c>
      <c r="H556" s="1068"/>
      <c r="I556" s="1069">
        <f>$G556*H551*J$16</f>
        <v>0</v>
      </c>
      <c r="J556" s="571"/>
      <c r="K556" s="1068"/>
      <c r="L556" s="1069">
        <f t="shared" si="48"/>
        <v>0</v>
      </c>
      <c r="M556" s="1067"/>
      <c r="N556" s="1068"/>
      <c r="O556" s="1069">
        <f t="shared" si="49"/>
        <v>0</v>
      </c>
      <c r="P556" s="1067"/>
      <c r="Q556" s="1068"/>
      <c r="R556" s="1069">
        <f t="shared" si="50"/>
        <v>0</v>
      </c>
      <c r="S556" s="1067"/>
      <c r="T556" s="1244"/>
      <c r="U556" s="571"/>
      <c r="V556" s="573"/>
    </row>
    <row r="557" spans="1:22">
      <c r="A557" s="1243" t="s">
        <v>849</v>
      </c>
      <c r="B557" s="1280"/>
      <c r="C557" s="1280" t="s">
        <v>277</v>
      </c>
      <c r="D557" s="1280">
        <f>print</f>
        <v>50</v>
      </c>
      <c r="E557" s="1280" t="str">
        <f>C557</f>
        <v>activity</v>
      </c>
      <c r="F557" s="1069">
        <f>IF(B557=0,0,1)</f>
        <v>0</v>
      </c>
      <c r="G557" s="1069">
        <f>B557*D557*F557</f>
        <v>0</v>
      </c>
      <c r="H557" s="1068"/>
      <c r="I557" s="1069">
        <f>$G557*H551*J$16</f>
        <v>0</v>
      </c>
      <c r="J557" s="571"/>
      <c r="K557" s="1068"/>
      <c r="L557" s="1069">
        <f t="shared" si="48"/>
        <v>0</v>
      </c>
      <c r="M557" s="1067"/>
      <c r="N557" s="1068"/>
      <c r="O557" s="1069">
        <f t="shared" si="49"/>
        <v>0</v>
      </c>
      <c r="P557" s="1067"/>
      <c r="Q557" s="1068"/>
      <c r="R557" s="1069">
        <f t="shared" si="50"/>
        <v>0</v>
      </c>
      <c r="S557" s="1067"/>
      <c r="T557" s="1244"/>
      <c r="U557" s="571"/>
      <c r="V557" s="573"/>
    </row>
    <row r="558" spans="1:22">
      <c r="A558" s="605"/>
      <c r="B558" s="1280"/>
      <c r="C558" s="1280"/>
      <c r="D558" s="1280"/>
      <c r="E558" s="1280"/>
      <c r="F558" s="1069"/>
      <c r="G558" s="1069"/>
      <c r="H558" s="1068"/>
      <c r="I558" s="1069"/>
      <c r="J558" s="571"/>
      <c r="K558" s="1068"/>
      <c r="L558" s="1069">
        <f t="shared" si="48"/>
        <v>0</v>
      </c>
      <c r="M558" s="1067"/>
      <c r="N558" s="1068"/>
      <c r="O558" s="1069">
        <f t="shared" si="49"/>
        <v>0</v>
      </c>
      <c r="P558" s="1067"/>
      <c r="Q558" s="1068"/>
      <c r="R558" s="1069">
        <f t="shared" si="50"/>
        <v>0</v>
      </c>
      <c r="S558" s="1067"/>
      <c r="T558" s="1244"/>
      <c r="U558" s="571"/>
      <c r="V558" s="573"/>
    </row>
    <row r="559" spans="1:22">
      <c r="A559" s="613" t="s">
        <v>278</v>
      </c>
      <c r="B559" s="1280"/>
      <c r="C559" s="1280"/>
      <c r="D559" s="1280"/>
      <c r="E559" s="1280"/>
      <c r="F559" s="1069"/>
      <c r="G559" s="1069">
        <f t="shared" ref="G559:G564" si="51">B559*D559*F559</f>
        <v>0</v>
      </c>
      <c r="H559" s="1068"/>
      <c r="I559" s="1069"/>
      <c r="J559" s="571"/>
      <c r="K559" s="1068"/>
      <c r="L559" s="1069">
        <f t="shared" si="48"/>
        <v>0</v>
      </c>
      <c r="M559" s="1067"/>
      <c r="N559" s="1068"/>
      <c r="O559" s="1069">
        <f t="shared" si="49"/>
        <v>0</v>
      </c>
      <c r="P559" s="1067"/>
      <c r="Q559" s="1068"/>
      <c r="R559" s="1069">
        <f t="shared" si="50"/>
        <v>0</v>
      </c>
      <c r="S559" s="1067"/>
      <c r="T559" s="1244"/>
      <c r="U559" s="571"/>
      <c r="V559" s="573"/>
    </row>
    <row r="560" spans="1:22">
      <c r="A560" s="605" t="s">
        <v>839</v>
      </c>
      <c r="B560" s="1280">
        <v>1</v>
      </c>
      <c r="C560" s="1280" t="s">
        <v>248</v>
      </c>
      <c r="D560" s="1280">
        <f>partground</f>
        <v>9</v>
      </c>
      <c r="E560" s="1280" t="s">
        <v>262</v>
      </c>
      <c r="F560" s="1069">
        <v>3</v>
      </c>
      <c r="G560" s="1069">
        <f t="shared" si="51"/>
        <v>27</v>
      </c>
      <c r="H560" s="1068"/>
      <c r="I560" s="1069">
        <f>$G560*J$16*$H$64</f>
        <v>0</v>
      </c>
      <c r="J560" s="571"/>
      <c r="K560" s="1068"/>
      <c r="L560" s="1069">
        <f t="shared" si="48"/>
        <v>28.080000000000002</v>
      </c>
      <c r="M560" s="1067"/>
      <c r="N560" s="1068"/>
      <c r="O560" s="1069">
        <f t="shared" si="49"/>
        <v>29.203200000000002</v>
      </c>
      <c r="P560" s="1067"/>
      <c r="Q560" s="1068"/>
      <c r="R560" s="1069">
        <f t="shared" si="50"/>
        <v>0</v>
      </c>
      <c r="S560" s="1067"/>
      <c r="T560" s="1244"/>
      <c r="U560" s="571"/>
      <c r="V560" s="573"/>
    </row>
    <row r="561" spans="1:22">
      <c r="A561" s="1243" t="s">
        <v>840</v>
      </c>
      <c r="B561" s="1280">
        <v>1</v>
      </c>
      <c r="C561" s="1280" t="s">
        <v>248</v>
      </c>
      <c r="D561" s="1280">
        <f>+[1]Assumptions!D101</f>
        <v>25</v>
      </c>
      <c r="E561" s="1280" t="s">
        <v>249</v>
      </c>
      <c r="F561" s="1069">
        <v>3</v>
      </c>
      <c r="G561" s="1069">
        <f t="shared" si="51"/>
        <v>75</v>
      </c>
      <c r="H561" s="1068"/>
      <c r="I561" s="1069">
        <f>$G561*J$16*$H$64</f>
        <v>0</v>
      </c>
      <c r="J561" s="571"/>
      <c r="K561" s="1068"/>
      <c r="L561" s="1069">
        <f t="shared" si="48"/>
        <v>78</v>
      </c>
      <c r="M561" s="1067"/>
      <c r="N561" s="1068"/>
      <c r="O561" s="1069">
        <f t="shared" si="49"/>
        <v>81.12</v>
      </c>
      <c r="P561" s="1067"/>
      <c r="Q561" s="1068"/>
      <c r="R561" s="1069">
        <f t="shared" si="50"/>
        <v>0</v>
      </c>
      <c r="S561" s="1067"/>
      <c r="T561" s="1244"/>
      <c r="U561" s="571"/>
      <c r="V561" s="573"/>
    </row>
    <row r="562" spans="1:22">
      <c r="A562" s="605" t="s">
        <v>790</v>
      </c>
      <c r="B562" s="1280">
        <v>1</v>
      </c>
      <c r="C562" s="1280" t="s">
        <v>248</v>
      </c>
      <c r="D562" s="1280">
        <f>+[1]Assumptions!D103</f>
        <v>90</v>
      </c>
      <c r="E562" s="1280" t="s">
        <v>249</v>
      </c>
      <c r="F562" s="1069">
        <v>2</v>
      </c>
      <c r="G562" s="1069">
        <f t="shared" si="51"/>
        <v>180</v>
      </c>
      <c r="H562" s="1068"/>
      <c r="I562" s="1069">
        <f>$G562*J$16*$H$64</f>
        <v>0</v>
      </c>
      <c r="J562" s="571"/>
      <c r="K562" s="1068"/>
      <c r="L562" s="1069">
        <f t="shared" si="48"/>
        <v>187.20000000000002</v>
      </c>
      <c r="M562" s="1067"/>
      <c r="N562" s="1068"/>
      <c r="O562" s="1069">
        <f t="shared" si="49"/>
        <v>194.68800000000002</v>
      </c>
      <c r="P562" s="1067"/>
      <c r="Q562" s="1068"/>
      <c r="R562" s="1069">
        <f t="shared" si="50"/>
        <v>0</v>
      </c>
      <c r="S562" s="1067"/>
      <c r="T562" s="1244"/>
      <c r="U562" s="571"/>
      <c r="V562" s="573"/>
    </row>
    <row r="563" spans="1:22">
      <c r="A563" s="1243" t="s">
        <v>787</v>
      </c>
      <c r="B563" s="1280">
        <v>1</v>
      </c>
      <c r="C563" s="1280" t="s">
        <v>248</v>
      </c>
      <c r="D563" s="1280">
        <f>partmeals</f>
        <v>47</v>
      </c>
      <c r="E563" s="1280" t="s">
        <v>249</v>
      </c>
      <c r="F563" s="1069">
        <v>3</v>
      </c>
      <c r="G563" s="1069">
        <f t="shared" si="51"/>
        <v>141</v>
      </c>
      <c r="H563" s="1068"/>
      <c r="I563" s="1069">
        <f>$G563*J$16*$H$64</f>
        <v>0</v>
      </c>
      <c r="J563" s="571"/>
      <c r="K563" s="1068"/>
      <c r="L563" s="1069">
        <f t="shared" si="48"/>
        <v>146.64000000000001</v>
      </c>
      <c r="M563" s="1067"/>
      <c r="N563" s="1068"/>
      <c r="O563" s="1069">
        <f t="shared" si="49"/>
        <v>152.50560000000002</v>
      </c>
      <c r="P563" s="1067"/>
      <c r="Q563" s="1068"/>
      <c r="R563" s="1069">
        <f t="shared" si="50"/>
        <v>0</v>
      </c>
      <c r="S563" s="1067"/>
      <c r="T563" s="1244"/>
      <c r="U563" s="571"/>
      <c r="V563" s="573"/>
    </row>
    <row r="564" spans="1:22">
      <c r="A564" s="1243" t="s">
        <v>807</v>
      </c>
      <c r="B564" s="1280">
        <v>1</v>
      </c>
      <c r="C564" s="1280" t="s">
        <v>248</v>
      </c>
      <c r="D564" s="1280">
        <f>partairfare</f>
        <v>200</v>
      </c>
      <c r="E564" s="1280" t="s">
        <v>262</v>
      </c>
      <c r="F564" s="1069">
        <v>1</v>
      </c>
      <c r="G564" s="1069">
        <f t="shared" si="51"/>
        <v>200</v>
      </c>
      <c r="H564" s="1068"/>
      <c r="I564" s="1069">
        <f>$G564*J$16*$H$64</f>
        <v>0</v>
      </c>
      <c r="J564" s="571"/>
      <c r="K564" s="1068"/>
      <c r="L564" s="1069">
        <f t="shared" si="48"/>
        <v>208</v>
      </c>
      <c r="M564" s="1067"/>
      <c r="N564" s="1068"/>
      <c r="O564" s="1069">
        <f t="shared" si="49"/>
        <v>216.32000000000002</v>
      </c>
      <c r="P564" s="1067"/>
      <c r="Q564" s="1068"/>
      <c r="R564" s="1069">
        <f t="shared" si="50"/>
        <v>0</v>
      </c>
      <c r="S564" s="1067"/>
      <c r="T564" s="1244"/>
      <c r="U564" s="571"/>
      <c r="V564" s="573"/>
    </row>
    <row r="565" spans="1:22">
      <c r="A565" s="1245" t="s">
        <v>788</v>
      </c>
      <c r="B565" s="622"/>
      <c r="C565" s="622"/>
      <c r="D565" s="1246"/>
      <c r="E565" s="1410"/>
      <c r="F565" s="1411"/>
      <c r="G565" s="1247"/>
      <c r="H565" s="1248"/>
      <c r="I565" s="1248"/>
      <c r="J565" s="1239"/>
      <c r="K565" s="1248"/>
      <c r="L565" s="1248"/>
      <c r="M565" s="1239"/>
      <c r="N565" s="1248"/>
      <c r="O565" s="1248"/>
      <c r="P565" s="1239"/>
      <c r="Q565" s="1248"/>
      <c r="R565" s="1248"/>
      <c r="S565" s="1239"/>
      <c r="T565" s="1249"/>
      <c r="U565" s="571"/>
      <c r="V565" s="573"/>
    </row>
    <row r="566" spans="1:22">
      <c r="A566" s="569"/>
      <c r="B566" s="627"/>
      <c r="C566" s="627"/>
      <c r="D566" s="627"/>
      <c r="E566" s="627"/>
      <c r="F566" s="627"/>
      <c r="G566" s="592"/>
      <c r="H566" s="592"/>
      <c r="I566" s="592"/>
      <c r="J566" s="592"/>
      <c r="K566" s="592"/>
      <c r="L566" s="592"/>
      <c r="M566" s="592"/>
      <c r="N566" s="592"/>
      <c r="O566" s="592"/>
      <c r="P566" s="592"/>
      <c r="Q566" s="592"/>
      <c r="R566" s="592"/>
      <c r="S566" s="592"/>
      <c r="T566" s="593"/>
      <c r="U566" s="571"/>
      <c r="V566" s="573"/>
    </row>
    <row r="567" spans="1:22">
      <c r="A567" s="1415" t="s">
        <v>873</v>
      </c>
      <c r="B567" s="1416"/>
      <c r="C567" s="1416"/>
      <c r="D567" s="1416"/>
      <c r="E567" s="1417"/>
      <c r="F567" s="595">
        <v>3</v>
      </c>
      <c r="G567" s="595"/>
      <c r="H567" s="1438"/>
      <c r="I567" s="1439"/>
      <c r="J567" s="1278">
        <f>SUM(I570:I572)</f>
        <v>0</v>
      </c>
      <c r="K567" s="1444">
        <v>2</v>
      </c>
      <c r="L567" s="1455"/>
      <c r="M567" s="1279">
        <f>SUM(L570:L572)</f>
        <v>0</v>
      </c>
      <c r="N567" s="1444">
        <v>4</v>
      </c>
      <c r="O567" s="1455"/>
      <c r="P567" s="1279">
        <f>SUM(O570:O572)</f>
        <v>0</v>
      </c>
      <c r="Q567" s="1445">
        <v>0</v>
      </c>
      <c r="R567" s="1444"/>
      <c r="S567" s="597">
        <f>SUM(R570:R578)</f>
        <v>0</v>
      </c>
      <c r="T567" s="1066">
        <f>SUM(J567,M567,P567,S567,)</f>
        <v>0</v>
      </c>
      <c r="U567" s="571"/>
      <c r="V567" s="573"/>
    </row>
    <row r="568" spans="1:22">
      <c r="A568" s="1250" t="s">
        <v>777</v>
      </c>
      <c r="B568" s="1239"/>
      <c r="C568" s="1239"/>
      <c r="D568" s="1239"/>
      <c r="E568" s="1239"/>
      <c r="F568" s="1239"/>
      <c r="G568" s="1239"/>
      <c r="H568" s="1240"/>
      <c r="I568" s="1239"/>
      <c r="J568" s="1239"/>
      <c r="K568" s="1240"/>
      <c r="L568" s="1239"/>
      <c r="M568" s="1241"/>
      <c r="N568" s="1240"/>
      <c r="O568" s="1239"/>
      <c r="P568" s="1241"/>
      <c r="Q568" s="1240"/>
      <c r="R568" s="1239"/>
      <c r="S568" s="1241"/>
      <c r="T568" s="1242"/>
      <c r="U568" s="571"/>
      <c r="V568" s="573"/>
    </row>
    <row r="569" spans="1:22">
      <c r="A569" s="599" t="s">
        <v>778</v>
      </c>
      <c r="B569" s="1284"/>
      <c r="C569" s="1284"/>
      <c r="D569" s="1284"/>
      <c r="E569" s="1284"/>
      <c r="F569" s="1284"/>
      <c r="G569" s="1239"/>
      <c r="H569" s="1240"/>
      <c r="I569" s="1239"/>
      <c r="J569" s="1239"/>
      <c r="K569" s="1240"/>
      <c r="L569" s="1239"/>
      <c r="M569" s="1241"/>
      <c r="N569" s="1240"/>
      <c r="O569" s="1239"/>
      <c r="P569" s="1241"/>
      <c r="Q569" s="1240"/>
      <c r="R569" s="1239"/>
      <c r="S569" s="1241"/>
      <c r="T569" s="1242"/>
      <c r="U569" s="571"/>
      <c r="V569" s="573"/>
    </row>
    <row r="570" spans="1:22">
      <c r="A570" s="1243" t="s">
        <v>247</v>
      </c>
      <c r="B570" s="1280">
        <v>0</v>
      </c>
      <c r="C570" s="1280" t="s">
        <v>248</v>
      </c>
      <c r="D570" s="1280">
        <f>parttransp</f>
        <v>4</v>
      </c>
      <c r="E570" s="1280" t="s">
        <v>249</v>
      </c>
      <c r="F570" s="1280">
        <f>IF(B570=0,0,F567)</f>
        <v>0</v>
      </c>
      <c r="G570" s="1069">
        <f>B570*D570*F570</f>
        <v>0</v>
      </c>
      <c r="H570" s="1068"/>
      <c r="I570" s="1069">
        <f>$G570*H567*J$16</f>
        <v>0</v>
      </c>
      <c r="J570" s="571"/>
      <c r="K570" s="1068"/>
      <c r="L570" s="1069">
        <f>$G570*K567*M$16</f>
        <v>0</v>
      </c>
      <c r="M570" s="1067"/>
      <c r="N570" s="1068"/>
      <c r="O570" s="1069">
        <f>$G570*N567*P$16</f>
        <v>0</v>
      </c>
      <c r="P570" s="1067"/>
      <c r="Q570" s="1068"/>
      <c r="R570" s="1069">
        <f>$G570*Q567*S$16</f>
        <v>0</v>
      </c>
      <c r="S570" s="1067"/>
      <c r="T570" s="1244"/>
      <c r="U570" s="571"/>
      <c r="V570" s="573"/>
    </row>
    <row r="571" spans="1:22">
      <c r="A571" s="1243" t="s">
        <v>780</v>
      </c>
      <c r="B571" s="1280">
        <v>0</v>
      </c>
      <c r="C571" s="1280" t="s">
        <v>248</v>
      </c>
      <c r="D571" s="1280">
        <f>coffee+lunch</f>
        <v>16</v>
      </c>
      <c r="E571" s="1280" t="s">
        <v>249</v>
      </c>
      <c r="F571" s="1280">
        <f>IF(B571=0,0,F567)</f>
        <v>0</v>
      </c>
      <c r="G571" s="1069">
        <f>B571*D571*F571</f>
        <v>0</v>
      </c>
      <c r="H571" s="1068"/>
      <c r="I571" s="1069">
        <f>$G571*H567*J$16</f>
        <v>0</v>
      </c>
      <c r="J571" s="571"/>
      <c r="K571" s="1068"/>
      <c r="L571" s="1069">
        <f>$G571*K567*M$16</f>
        <v>0</v>
      </c>
      <c r="M571" s="1067"/>
      <c r="N571" s="1068"/>
      <c r="O571" s="1069">
        <f>$G571*N567*P$16</f>
        <v>0</v>
      </c>
      <c r="P571" s="1067"/>
      <c r="Q571" s="1068"/>
      <c r="R571" s="1069">
        <f>$G571*Q567*S$16</f>
        <v>0</v>
      </c>
      <c r="S571" s="1067"/>
      <c r="T571" s="1244"/>
      <c r="U571" s="571"/>
      <c r="V571" s="573"/>
    </row>
    <row r="572" spans="1:22">
      <c r="A572" s="1243" t="s">
        <v>781</v>
      </c>
      <c r="B572" s="1280">
        <v>0</v>
      </c>
      <c r="C572" s="1280" t="s">
        <v>277</v>
      </c>
      <c r="D572" s="1280">
        <f>print</f>
        <v>50</v>
      </c>
      <c r="E572" s="1280" t="str">
        <f>C572</f>
        <v>activity</v>
      </c>
      <c r="F572" s="1280">
        <f>IF(B572=0,0,1)</f>
        <v>0</v>
      </c>
      <c r="G572" s="1069">
        <f>B572*D572*F572</f>
        <v>0</v>
      </c>
      <c r="H572" s="1068"/>
      <c r="I572" s="1069">
        <f>$G572*H567*J$16</f>
        <v>0</v>
      </c>
      <c r="J572" s="571"/>
      <c r="K572" s="1068"/>
      <c r="L572" s="1069">
        <f>$G572*K567*M$16</f>
        <v>0</v>
      </c>
      <c r="M572" s="1067"/>
      <c r="N572" s="1068"/>
      <c r="O572" s="1069">
        <f>$G572*N567*P$16</f>
        <v>0</v>
      </c>
      <c r="P572" s="1067"/>
      <c r="Q572" s="1068"/>
      <c r="R572" s="1069">
        <f>$G572*Q567*S$16</f>
        <v>0</v>
      </c>
      <c r="S572" s="1067"/>
      <c r="T572" s="1244"/>
      <c r="U572" s="571"/>
      <c r="V572" s="573"/>
    </row>
    <row r="573" spans="1:22">
      <c r="A573" s="613" t="s">
        <v>278</v>
      </c>
      <c r="B573" s="1280"/>
      <c r="C573" s="1280"/>
      <c r="D573" s="1280"/>
      <c r="E573" s="1280"/>
      <c r="F573" s="1280"/>
      <c r="G573" s="1069"/>
      <c r="H573" s="1068"/>
      <c r="I573" s="1069"/>
      <c r="J573" s="571"/>
      <c r="K573" s="1068"/>
      <c r="L573" s="1069"/>
      <c r="M573" s="1067"/>
      <c r="N573" s="1068"/>
      <c r="O573" s="1069"/>
      <c r="P573" s="1067"/>
      <c r="Q573" s="1068"/>
      <c r="R573" s="1069"/>
      <c r="S573" s="1067"/>
      <c r="T573" s="1244"/>
      <c r="U573" s="571"/>
      <c r="V573" s="573"/>
    </row>
    <row r="574" spans="1:22">
      <c r="A574" s="605" t="s">
        <v>874</v>
      </c>
      <c r="B574" s="1280"/>
      <c r="C574" s="1280" t="s">
        <v>248</v>
      </c>
      <c r="D574" s="1280">
        <f>partground</f>
        <v>9</v>
      </c>
      <c r="E574" s="1280" t="s">
        <v>262</v>
      </c>
      <c r="F574" s="1280">
        <v>3</v>
      </c>
      <c r="G574" s="1069">
        <f>B574*D574*F574</f>
        <v>0</v>
      </c>
      <c r="H574" s="1068"/>
      <c r="I574" s="1069">
        <f>$G574*H567*J$16</f>
        <v>0</v>
      </c>
      <c r="J574" s="571"/>
      <c r="K574" s="1068"/>
      <c r="L574" s="1069">
        <f>$G574*$K$567*M$16</f>
        <v>0</v>
      </c>
      <c r="M574" s="1067"/>
      <c r="N574" s="1068"/>
      <c r="O574" s="1069">
        <f>$G574*$N$567*P$16</f>
        <v>0</v>
      </c>
      <c r="P574" s="1067"/>
      <c r="Q574" s="1068"/>
      <c r="R574" s="1069">
        <f>$G574*Q567*S$16</f>
        <v>0</v>
      </c>
      <c r="S574" s="1067"/>
      <c r="T574" s="1244"/>
      <c r="U574" s="571"/>
      <c r="V574" s="573"/>
    </row>
    <row r="575" spans="1:22">
      <c r="A575" s="1243" t="s">
        <v>267</v>
      </c>
      <c r="B575" s="1280"/>
      <c r="C575" s="1280" t="s">
        <v>248</v>
      </c>
      <c r="D575" s="1280">
        <f>partground</f>
        <v>9</v>
      </c>
      <c r="E575" s="1280" t="s">
        <v>249</v>
      </c>
      <c r="F575" s="1280">
        <v>3</v>
      </c>
      <c r="G575" s="1069">
        <f>B575*D575*F575</f>
        <v>0</v>
      </c>
      <c r="H575" s="1068"/>
      <c r="I575" s="1069">
        <f>$G575*H567*J$16</f>
        <v>0</v>
      </c>
      <c r="J575" s="571"/>
      <c r="K575" s="1068"/>
      <c r="L575" s="1069">
        <f>$G575*$K$567*M$16</f>
        <v>0</v>
      </c>
      <c r="M575" s="1067"/>
      <c r="N575" s="1068"/>
      <c r="O575" s="1069">
        <f>$G575*$N$567*P$16</f>
        <v>0</v>
      </c>
      <c r="P575" s="1067"/>
      <c r="Q575" s="1068"/>
      <c r="R575" s="1069">
        <f>$G575*Q567*S$16</f>
        <v>0</v>
      </c>
      <c r="S575" s="1067"/>
      <c r="T575" s="1244"/>
      <c r="U575" s="571"/>
      <c r="V575" s="573"/>
    </row>
    <row r="576" spans="1:22">
      <c r="A576" s="605" t="s">
        <v>847</v>
      </c>
      <c r="B576" s="1280"/>
      <c r="C576" s="1280" t="s">
        <v>248</v>
      </c>
      <c r="D576" s="1280">
        <f>partlodg</f>
        <v>35</v>
      </c>
      <c r="E576" s="1280" t="s">
        <v>249</v>
      </c>
      <c r="F576" s="1280">
        <v>3</v>
      </c>
      <c r="G576" s="1069">
        <f>B576*D576*F576</f>
        <v>0</v>
      </c>
      <c r="H576" s="1068"/>
      <c r="I576" s="1069">
        <f>$G576*H567*J$16</f>
        <v>0</v>
      </c>
      <c r="J576" s="571"/>
      <c r="K576" s="1068"/>
      <c r="L576" s="1069">
        <f>$G576*$K$567*M$16</f>
        <v>0</v>
      </c>
      <c r="M576" s="1067"/>
      <c r="N576" s="1068"/>
      <c r="O576" s="1069">
        <f>$G576*$N$567*P$16</f>
        <v>0</v>
      </c>
      <c r="P576" s="1067"/>
      <c r="Q576" s="1068"/>
      <c r="R576" s="1069">
        <f>$G576*Q567*S$16</f>
        <v>0</v>
      </c>
      <c r="S576" s="1067"/>
      <c r="T576" s="1244"/>
      <c r="U576" s="571"/>
      <c r="V576" s="573"/>
    </row>
    <row r="577" spans="1:22">
      <c r="A577" s="1243" t="s">
        <v>787</v>
      </c>
      <c r="B577" s="1280"/>
      <c r="C577" s="1280" t="s">
        <v>248</v>
      </c>
      <c r="D577" s="1280">
        <f>partmeals</f>
        <v>47</v>
      </c>
      <c r="E577" s="1280" t="s">
        <v>249</v>
      </c>
      <c r="F577" s="1280">
        <v>3</v>
      </c>
      <c r="G577" s="1069">
        <f>B577*D577*F577</f>
        <v>0</v>
      </c>
      <c r="H577" s="1068"/>
      <c r="I577" s="1069">
        <f>$G577*H567*J$16</f>
        <v>0</v>
      </c>
      <c r="J577" s="571"/>
      <c r="K577" s="1068"/>
      <c r="L577" s="1069">
        <f>$G577*$K$567*M$16</f>
        <v>0</v>
      </c>
      <c r="M577" s="1067"/>
      <c r="N577" s="1068"/>
      <c r="O577" s="1069">
        <f>$G577*$N$567*P$16</f>
        <v>0</v>
      </c>
      <c r="P577" s="1067"/>
      <c r="Q577" s="1068"/>
      <c r="R577" s="1069">
        <f>$G577*Q567*S$16</f>
        <v>0</v>
      </c>
      <c r="S577" s="1067"/>
      <c r="T577" s="1244"/>
      <c r="U577" s="571"/>
      <c r="V577" s="573"/>
    </row>
    <row r="578" spans="1:22">
      <c r="A578" s="1243" t="s">
        <v>798</v>
      </c>
      <c r="B578" s="1280"/>
      <c r="C578" s="1280" t="s">
        <v>248</v>
      </c>
      <c r="D578" s="1280">
        <f>parttransp</f>
        <v>4</v>
      </c>
      <c r="E578" s="1280" t="s">
        <v>262</v>
      </c>
      <c r="F578" s="1280">
        <v>3</v>
      </c>
      <c r="G578" s="1069">
        <f>B578*D578*F578</f>
        <v>0</v>
      </c>
      <c r="H578" s="1068"/>
      <c r="I578" s="1069">
        <f>$G578*H567*J$16</f>
        <v>0</v>
      </c>
      <c r="J578" s="571"/>
      <c r="K578" s="1068"/>
      <c r="L578" s="1069">
        <f>$G578*$K$567*M$16</f>
        <v>0</v>
      </c>
      <c r="M578" s="1067"/>
      <c r="N578" s="1068"/>
      <c r="O578" s="1069">
        <f>$G578*$N$567*P$16</f>
        <v>0</v>
      </c>
      <c r="P578" s="1067"/>
      <c r="Q578" s="1068"/>
      <c r="R578" s="1069">
        <f>$G578*Q567*S$16</f>
        <v>0</v>
      </c>
      <c r="S578" s="1067"/>
      <c r="T578" s="1244"/>
      <c r="U578" s="571"/>
      <c r="V578" s="573"/>
    </row>
    <row r="579" spans="1:22">
      <c r="A579" s="1245" t="s">
        <v>870</v>
      </c>
      <c r="B579" s="622"/>
      <c r="C579" s="622"/>
      <c r="D579" s="1246"/>
      <c r="E579" s="1410">
        <f>SUM(G569:G578)</f>
        <v>0</v>
      </c>
      <c r="F579" s="1411"/>
      <c r="G579" s="1247"/>
      <c r="H579" s="1248"/>
      <c r="I579" s="1248"/>
      <c r="J579" s="1239"/>
      <c r="K579" s="1248"/>
      <c r="L579" s="1248"/>
      <c r="M579" s="1239"/>
      <c r="N579" s="1248"/>
      <c r="O579" s="1248"/>
      <c r="P579" s="1239"/>
      <c r="Q579" s="1248"/>
      <c r="R579" s="1248"/>
      <c r="S579" s="1239"/>
      <c r="T579" s="1249"/>
      <c r="U579" s="571"/>
      <c r="V579" s="573"/>
    </row>
    <row r="580" spans="1:22">
      <c r="A580" s="1269"/>
      <c r="B580" s="1270"/>
      <c r="C580" s="1270"/>
      <c r="D580" s="1239"/>
      <c r="E580" s="1248"/>
      <c r="F580" s="1248"/>
      <c r="G580" s="1253"/>
      <c r="H580" s="1253"/>
      <c r="I580" s="1253"/>
      <c r="J580" s="1069"/>
      <c r="K580" s="1253"/>
      <c r="L580" s="1253"/>
      <c r="M580" s="1069"/>
      <c r="N580" s="1253"/>
      <c r="O580" s="1253"/>
      <c r="P580" s="1069"/>
      <c r="Q580" s="1253"/>
      <c r="R580" s="1253"/>
      <c r="S580" s="1069"/>
      <c r="T580" s="1254"/>
      <c r="U580" s="571"/>
      <c r="V580" s="573"/>
    </row>
    <row r="581" spans="1:22">
      <c r="A581" s="1238" t="s">
        <v>784</v>
      </c>
      <c r="B581" s="1284"/>
      <c r="C581" s="1284"/>
      <c r="D581" s="1284"/>
      <c r="E581" s="1284"/>
      <c r="F581" s="595">
        <v>3</v>
      </c>
      <c r="G581" s="1239"/>
      <c r="H581" s="1438"/>
      <c r="I581" s="1439"/>
      <c r="J581" s="1278">
        <f>SUM(I584:I586)</f>
        <v>0</v>
      </c>
      <c r="K581" s="1444">
        <v>2</v>
      </c>
      <c r="L581" s="1455"/>
      <c r="M581" s="1279">
        <f>SUM(L584:L586)</f>
        <v>0</v>
      </c>
      <c r="N581" s="1444">
        <v>4</v>
      </c>
      <c r="O581" s="1455"/>
      <c r="P581" s="1279">
        <f>SUM(O584:O586)</f>
        <v>0</v>
      </c>
      <c r="Q581" s="1445">
        <v>0</v>
      </c>
      <c r="R581" s="1444"/>
      <c r="S581" s="597">
        <f>SUM(R584:R586)</f>
        <v>0</v>
      </c>
      <c r="T581" s="1066">
        <f>SUM(J581,M581,P581,S581,)</f>
        <v>0</v>
      </c>
      <c r="U581" s="571"/>
      <c r="V581" s="573"/>
    </row>
    <row r="582" spans="1:22">
      <c r="A582" s="599" t="s">
        <v>778</v>
      </c>
      <c r="B582" s="1284"/>
      <c r="C582" s="1284"/>
      <c r="D582" s="1284"/>
      <c r="E582" s="1284"/>
      <c r="F582" s="1284"/>
      <c r="G582" s="1239"/>
      <c r="H582" s="1285"/>
      <c r="I582" s="1284"/>
      <c r="J582" s="1284"/>
      <c r="K582" s="1285"/>
      <c r="L582" s="1280">
        <f t="shared" ref="L582:L592" si="52">$G582*$K$581*M$16</f>
        <v>0</v>
      </c>
      <c r="M582" s="1286"/>
      <c r="N582" s="1285"/>
      <c r="O582" s="1280">
        <f t="shared" ref="O582:O592" si="53">$G582*$N$581*P$16</f>
        <v>0</v>
      </c>
      <c r="P582" s="1286"/>
      <c r="Q582" s="1285"/>
      <c r="R582" s="1280">
        <f t="shared" ref="R582:R592" si="54">$G582*$Q$581*S$16</f>
        <v>0</v>
      </c>
      <c r="S582" s="1241"/>
      <c r="T582" s="1242"/>
      <c r="U582" s="571"/>
      <c r="V582" s="573"/>
    </row>
    <row r="583" spans="1:22">
      <c r="A583" s="1243" t="s">
        <v>875</v>
      </c>
      <c r="B583" s="1280"/>
      <c r="C583" s="1280" t="s">
        <v>248</v>
      </c>
      <c r="D583" s="1280">
        <f>parttransp</f>
        <v>4</v>
      </c>
      <c r="E583" s="1280" t="s">
        <v>249</v>
      </c>
      <c r="F583" s="1280">
        <f>IF(B583=0,0,F579)</f>
        <v>0</v>
      </c>
      <c r="G583" s="1069">
        <f>B583*D583*F583</f>
        <v>0</v>
      </c>
      <c r="H583" s="1068"/>
      <c r="I583" s="1069">
        <f>$G583*H579*J$16</f>
        <v>0</v>
      </c>
      <c r="J583" s="571"/>
      <c r="K583" s="1068"/>
      <c r="L583" s="1069">
        <f t="shared" si="52"/>
        <v>0</v>
      </c>
      <c r="M583" s="1067"/>
      <c r="N583" s="1068"/>
      <c r="O583" s="1069">
        <f t="shared" si="53"/>
        <v>0</v>
      </c>
      <c r="P583" s="1067"/>
      <c r="Q583" s="1068"/>
      <c r="R583" s="1069">
        <f t="shared" si="54"/>
        <v>0</v>
      </c>
      <c r="S583" s="1067"/>
      <c r="T583" s="1244"/>
      <c r="U583" s="571"/>
      <c r="V583" s="573"/>
    </row>
    <row r="584" spans="1:22">
      <c r="A584" s="1243" t="s">
        <v>780</v>
      </c>
      <c r="B584" s="1280"/>
      <c r="C584" s="1280" t="s">
        <v>248</v>
      </c>
      <c r="D584" s="1280">
        <f>coffee+lunch</f>
        <v>16</v>
      </c>
      <c r="E584" s="1280" t="s">
        <v>249</v>
      </c>
      <c r="F584" s="1280">
        <f>IF(B584=0,0,F579)</f>
        <v>0</v>
      </c>
      <c r="G584" s="1069">
        <f>B584*D584*F584</f>
        <v>0</v>
      </c>
      <c r="H584" s="1068"/>
      <c r="I584" s="1069">
        <f>$G584*H579*J$16</f>
        <v>0</v>
      </c>
      <c r="J584" s="571"/>
      <c r="K584" s="1068"/>
      <c r="L584" s="1069">
        <f t="shared" si="52"/>
        <v>0</v>
      </c>
      <c r="M584" s="1067"/>
      <c r="N584" s="1068"/>
      <c r="O584" s="1069">
        <f t="shared" si="53"/>
        <v>0</v>
      </c>
      <c r="P584" s="1067"/>
      <c r="Q584" s="1068"/>
      <c r="R584" s="1069">
        <f t="shared" si="54"/>
        <v>0</v>
      </c>
      <c r="S584" s="1067"/>
      <c r="T584" s="1244"/>
      <c r="U584" s="571"/>
      <c r="V584" s="573"/>
    </row>
    <row r="585" spans="1:22">
      <c r="A585" s="1243" t="s">
        <v>781</v>
      </c>
      <c r="B585" s="1280"/>
      <c r="C585" s="1280" t="s">
        <v>277</v>
      </c>
      <c r="D585" s="1280">
        <f>print</f>
        <v>50</v>
      </c>
      <c r="E585" s="1280" t="str">
        <f>C585</f>
        <v>activity</v>
      </c>
      <c r="F585" s="1280">
        <f>IF(B585=0,0,1)</f>
        <v>0</v>
      </c>
      <c r="G585" s="1069">
        <f>B585*D585*F585</f>
        <v>0</v>
      </c>
      <c r="H585" s="1068"/>
      <c r="I585" s="1069">
        <f>$G585*H579*J$16</f>
        <v>0</v>
      </c>
      <c r="J585" s="571"/>
      <c r="K585" s="1068"/>
      <c r="L585" s="1069">
        <f t="shared" si="52"/>
        <v>0</v>
      </c>
      <c r="M585" s="1067"/>
      <c r="N585" s="1068"/>
      <c r="O585" s="1069">
        <f t="shared" si="53"/>
        <v>0</v>
      </c>
      <c r="P585" s="1067"/>
      <c r="Q585" s="1068"/>
      <c r="R585" s="1069">
        <f t="shared" si="54"/>
        <v>0</v>
      </c>
      <c r="S585" s="1067"/>
      <c r="T585" s="1244"/>
      <c r="U585" s="571"/>
      <c r="V585" s="573"/>
    </row>
    <row r="586" spans="1:22">
      <c r="A586" s="605"/>
      <c r="B586" s="1280"/>
      <c r="C586" s="1280"/>
      <c r="D586" s="1280"/>
      <c r="E586" s="1280"/>
      <c r="F586" s="1280"/>
      <c r="G586" s="1069"/>
      <c r="H586" s="1068"/>
      <c r="I586" s="1069"/>
      <c r="J586" s="571"/>
      <c r="K586" s="1068"/>
      <c r="L586" s="1069">
        <f t="shared" si="52"/>
        <v>0</v>
      </c>
      <c r="M586" s="1067"/>
      <c r="N586" s="1068"/>
      <c r="O586" s="1069">
        <f t="shared" si="53"/>
        <v>0</v>
      </c>
      <c r="P586" s="1067"/>
      <c r="Q586" s="1068"/>
      <c r="R586" s="1069">
        <f t="shared" si="54"/>
        <v>0</v>
      </c>
      <c r="S586" s="1067"/>
      <c r="T586" s="1244"/>
      <c r="U586" s="571"/>
      <c r="V586" s="573"/>
    </row>
    <row r="587" spans="1:22">
      <c r="A587" s="613" t="s">
        <v>260</v>
      </c>
      <c r="B587" s="1280"/>
      <c r="C587" s="1280"/>
      <c r="D587" s="1280"/>
      <c r="E587" s="1280"/>
      <c r="F587" s="1280"/>
      <c r="G587" s="1069">
        <f t="shared" ref="G587:G592" si="55">B587*D587*F587</f>
        <v>0</v>
      </c>
      <c r="H587" s="1068"/>
      <c r="I587" s="1069"/>
      <c r="J587" s="571"/>
      <c r="K587" s="1068"/>
      <c r="L587" s="1069">
        <f t="shared" si="52"/>
        <v>0</v>
      </c>
      <c r="M587" s="1067"/>
      <c r="N587" s="1068"/>
      <c r="O587" s="1069">
        <f t="shared" si="53"/>
        <v>0</v>
      </c>
      <c r="P587" s="1067"/>
      <c r="Q587" s="1068"/>
      <c r="R587" s="1069">
        <f t="shared" si="54"/>
        <v>0</v>
      </c>
      <c r="S587" s="1067"/>
      <c r="T587" s="1244"/>
      <c r="U587" s="571"/>
      <c r="V587" s="573"/>
    </row>
    <row r="588" spans="1:22">
      <c r="A588" s="605" t="s">
        <v>839</v>
      </c>
      <c r="B588" s="1280"/>
      <c r="C588" s="1280" t="s">
        <v>248</v>
      </c>
      <c r="D588" s="1280">
        <f>partground</f>
        <v>9</v>
      </c>
      <c r="E588" s="1280" t="s">
        <v>262</v>
      </c>
      <c r="F588" s="1280">
        <v>3</v>
      </c>
      <c r="G588" s="1069">
        <f t="shared" si="55"/>
        <v>0</v>
      </c>
      <c r="H588" s="1068"/>
      <c r="I588" s="1069">
        <f>$G588*J$16*$H$64</f>
        <v>0</v>
      </c>
      <c r="J588" s="571"/>
      <c r="K588" s="1068"/>
      <c r="L588" s="1069">
        <f t="shared" si="52"/>
        <v>0</v>
      </c>
      <c r="M588" s="1067"/>
      <c r="N588" s="1068"/>
      <c r="O588" s="1069">
        <f t="shared" si="53"/>
        <v>0</v>
      </c>
      <c r="P588" s="1067"/>
      <c r="Q588" s="1068"/>
      <c r="R588" s="1069">
        <f t="shared" si="54"/>
        <v>0</v>
      </c>
      <c r="S588" s="1067"/>
      <c r="T588" s="1244"/>
      <c r="U588" s="571"/>
      <c r="V588" s="573"/>
    </row>
    <row r="589" spans="1:22">
      <c r="A589" s="1243" t="s">
        <v>840</v>
      </c>
      <c r="B589" s="1280"/>
      <c r="C589" s="1280" t="s">
        <v>248</v>
      </c>
      <c r="D589" s="1280">
        <f>+[1]Assumptions!D101</f>
        <v>25</v>
      </c>
      <c r="E589" s="1280" t="s">
        <v>249</v>
      </c>
      <c r="F589" s="1280">
        <v>3</v>
      </c>
      <c r="G589" s="1069">
        <f t="shared" si="55"/>
        <v>0</v>
      </c>
      <c r="H589" s="1068"/>
      <c r="I589" s="1069">
        <f>$G589*J$16*$H$64</f>
        <v>0</v>
      </c>
      <c r="J589" s="571"/>
      <c r="K589" s="1068"/>
      <c r="L589" s="1069">
        <f t="shared" si="52"/>
        <v>0</v>
      </c>
      <c r="M589" s="1067"/>
      <c r="N589" s="1068"/>
      <c r="O589" s="1069">
        <f t="shared" si="53"/>
        <v>0</v>
      </c>
      <c r="P589" s="1067"/>
      <c r="Q589" s="1068"/>
      <c r="R589" s="1069">
        <f t="shared" si="54"/>
        <v>0</v>
      </c>
      <c r="S589" s="1067"/>
      <c r="T589" s="1244"/>
      <c r="U589" s="571"/>
      <c r="V589" s="573"/>
    </row>
    <row r="590" spans="1:22">
      <c r="A590" s="605" t="s">
        <v>790</v>
      </c>
      <c r="B590" s="1280"/>
      <c r="C590" s="1280" t="s">
        <v>248</v>
      </c>
      <c r="D590" s="1280">
        <f>+[1]Assumptions!D103</f>
        <v>90</v>
      </c>
      <c r="E590" s="1280" t="s">
        <v>249</v>
      </c>
      <c r="F590" s="1280">
        <v>2</v>
      </c>
      <c r="G590" s="1069">
        <f t="shared" si="55"/>
        <v>0</v>
      </c>
      <c r="H590" s="1068"/>
      <c r="I590" s="1069">
        <f>$G590*J$16*$H$64</f>
        <v>0</v>
      </c>
      <c r="J590" s="571"/>
      <c r="K590" s="1068"/>
      <c r="L590" s="1069">
        <f t="shared" si="52"/>
        <v>0</v>
      </c>
      <c r="M590" s="1067"/>
      <c r="N590" s="1068"/>
      <c r="O590" s="1069">
        <f t="shared" si="53"/>
        <v>0</v>
      </c>
      <c r="P590" s="1067"/>
      <c r="Q590" s="1068"/>
      <c r="R590" s="1069">
        <f t="shared" si="54"/>
        <v>0</v>
      </c>
      <c r="S590" s="1067"/>
      <c r="T590" s="1244"/>
      <c r="U590" s="571"/>
      <c r="V590" s="573"/>
    </row>
    <row r="591" spans="1:22">
      <c r="A591" s="1243" t="s">
        <v>787</v>
      </c>
      <c r="B591" s="1280"/>
      <c r="C591" s="1280" t="s">
        <v>248</v>
      </c>
      <c r="D591" s="1280">
        <f>partmeals</f>
        <v>47</v>
      </c>
      <c r="E591" s="1280" t="s">
        <v>249</v>
      </c>
      <c r="F591" s="1280">
        <v>3</v>
      </c>
      <c r="G591" s="1069">
        <f t="shared" si="55"/>
        <v>0</v>
      </c>
      <c r="H591" s="1068"/>
      <c r="I591" s="1069">
        <f>$G591*J$16*$H$64</f>
        <v>0</v>
      </c>
      <c r="J591" s="571"/>
      <c r="K591" s="1068"/>
      <c r="L591" s="1069">
        <f t="shared" si="52"/>
        <v>0</v>
      </c>
      <c r="M591" s="1067"/>
      <c r="N591" s="1068"/>
      <c r="O591" s="1069">
        <f t="shared" si="53"/>
        <v>0</v>
      </c>
      <c r="P591" s="1067"/>
      <c r="Q591" s="1068"/>
      <c r="R591" s="1069">
        <f t="shared" si="54"/>
        <v>0</v>
      </c>
      <c r="S591" s="1067"/>
      <c r="T591" s="1244"/>
      <c r="U591" s="571"/>
      <c r="V591" s="573"/>
    </row>
    <row r="592" spans="1:22">
      <c r="A592" s="1243" t="s">
        <v>807</v>
      </c>
      <c r="B592" s="1280"/>
      <c r="C592" s="1280" t="s">
        <v>248</v>
      </c>
      <c r="D592" s="1280">
        <f>partairfare</f>
        <v>200</v>
      </c>
      <c r="E592" s="1280" t="s">
        <v>262</v>
      </c>
      <c r="F592" s="1280">
        <v>1</v>
      </c>
      <c r="G592" s="1069">
        <f t="shared" si="55"/>
        <v>0</v>
      </c>
      <c r="H592" s="1068"/>
      <c r="I592" s="1069">
        <f>$G592*J$16*$H$64</f>
        <v>0</v>
      </c>
      <c r="J592" s="571"/>
      <c r="K592" s="1068"/>
      <c r="L592" s="1069">
        <f t="shared" si="52"/>
        <v>0</v>
      </c>
      <c r="M592" s="1067"/>
      <c r="N592" s="1068"/>
      <c r="O592" s="1069">
        <f t="shared" si="53"/>
        <v>0</v>
      </c>
      <c r="P592" s="1067"/>
      <c r="Q592" s="1068"/>
      <c r="R592" s="1069">
        <f t="shared" si="54"/>
        <v>0</v>
      </c>
      <c r="S592" s="1067"/>
      <c r="T592" s="1244"/>
      <c r="U592" s="571"/>
      <c r="V592" s="573"/>
    </row>
    <row r="593" spans="1:22">
      <c r="A593" s="1245" t="s">
        <v>269</v>
      </c>
      <c r="B593" s="622"/>
      <c r="C593" s="622"/>
      <c r="D593" s="1283"/>
      <c r="E593" s="1446">
        <f>SUM(G588:G592)</f>
        <v>0</v>
      </c>
      <c r="F593" s="1459"/>
      <c r="G593" s="1247"/>
      <c r="H593" s="1248"/>
      <c r="I593" s="1248"/>
      <c r="J593" s="1239"/>
      <c r="K593" s="1248"/>
      <c r="L593" s="1248"/>
      <c r="M593" s="1239"/>
      <c r="N593" s="1248"/>
      <c r="O593" s="1248"/>
      <c r="P593" s="1239"/>
      <c r="Q593" s="1248"/>
      <c r="R593" s="1248"/>
      <c r="S593" s="1239"/>
      <c r="T593" s="1249"/>
      <c r="U593" s="571"/>
      <c r="V593" s="573"/>
    </row>
    <row r="594" spans="1:22">
      <c r="A594" s="1269"/>
      <c r="B594" s="1270"/>
      <c r="C594" s="1270"/>
      <c r="D594" s="1239"/>
      <c r="E594" s="1248"/>
      <c r="F594" s="1248"/>
      <c r="G594" s="1253"/>
      <c r="H594" s="1253"/>
      <c r="I594" s="1253"/>
      <c r="J594" s="1069"/>
      <c r="K594" s="1253"/>
      <c r="L594" s="1253"/>
      <c r="M594" s="1069"/>
      <c r="N594" s="1253"/>
      <c r="O594" s="1253"/>
      <c r="P594" s="1069"/>
      <c r="Q594" s="1253"/>
      <c r="R594" s="1253"/>
      <c r="S594" s="1069"/>
      <c r="T594" s="1254"/>
      <c r="U594" s="571"/>
      <c r="V594" s="573"/>
    </row>
    <row r="595" spans="1:22" hidden="1">
      <c r="A595" s="1402" t="s">
        <v>876</v>
      </c>
      <c r="B595" s="1403"/>
      <c r="C595" s="1403"/>
      <c r="D595" s="1403"/>
      <c r="E595" s="1404"/>
      <c r="F595" s="594"/>
      <c r="G595" s="595"/>
      <c r="H595" s="1405">
        <v>0</v>
      </c>
      <c r="I595" s="1406"/>
      <c r="J595" s="596">
        <f>SUM(I597:I611)</f>
        <v>0</v>
      </c>
      <c r="K595" s="1407">
        <v>0</v>
      </c>
      <c r="L595" s="1408"/>
      <c r="M595" s="597">
        <f>SUM(L597:L611)</f>
        <v>0</v>
      </c>
      <c r="N595" s="1407">
        <v>0</v>
      </c>
      <c r="O595" s="1408"/>
      <c r="P595" s="597">
        <f>SUM(O597:O611)</f>
        <v>0</v>
      </c>
      <c r="Q595" s="1409">
        <v>0</v>
      </c>
      <c r="R595" s="1407"/>
      <c r="S595" s="597">
        <f>SUM(R597:R611)</f>
        <v>0</v>
      </c>
      <c r="T595" s="1066">
        <f>SUM(J595,M595,P595,S595,)</f>
        <v>0</v>
      </c>
      <c r="U595" s="571"/>
      <c r="V595" s="573"/>
    </row>
    <row r="596" spans="1:22" hidden="1">
      <c r="A596" s="599" t="s">
        <v>283</v>
      </c>
      <c r="B596" s="1239"/>
      <c r="C596" s="1239"/>
      <c r="D596" s="1239"/>
      <c r="E596" s="1239"/>
      <c r="F596" s="1239"/>
      <c r="G596" s="1239"/>
      <c r="H596" s="1240"/>
      <c r="I596" s="1239"/>
      <c r="J596" s="1239"/>
      <c r="K596" s="1240"/>
      <c r="L596" s="1239"/>
      <c r="M596" s="1241"/>
      <c r="N596" s="1240"/>
      <c r="O596" s="1239"/>
      <c r="P596" s="1241"/>
      <c r="Q596" s="1240"/>
      <c r="R596" s="1239"/>
      <c r="S596" s="1241"/>
      <c r="T596" s="1242"/>
      <c r="U596" s="571"/>
      <c r="V596" s="573"/>
    </row>
    <row r="597" spans="1:22" hidden="1">
      <c r="A597" s="605" t="s">
        <v>247</v>
      </c>
      <c r="B597" s="1070">
        <v>0</v>
      </c>
      <c r="C597" s="1069" t="s">
        <v>248</v>
      </c>
      <c r="D597" s="1070">
        <f>parttransp</f>
        <v>4</v>
      </c>
      <c r="E597" s="1069" t="s">
        <v>249</v>
      </c>
      <c r="F597" s="1069">
        <f>IF(B597=0,0,F595)</f>
        <v>0</v>
      </c>
      <c r="G597" s="1069">
        <f t="shared" ref="G597:G603" si="56">B597*D597*F597</f>
        <v>0</v>
      </c>
      <c r="H597" s="1068"/>
      <c r="I597" s="1069">
        <f>$G597*H595*J$16</f>
        <v>0</v>
      </c>
      <c r="J597" s="571"/>
      <c r="K597" s="1068"/>
      <c r="L597" s="1069">
        <f>$G597*K595*M$16</f>
        <v>0</v>
      </c>
      <c r="M597" s="1067"/>
      <c r="N597" s="1068"/>
      <c r="O597" s="1069">
        <f>$G597*N595*P$16</f>
        <v>0</v>
      </c>
      <c r="P597" s="1067"/>
      <c r="Q597" s="1068"/>
      <c r="R597" s="1069">
        <f>$G597*Q595*S$16</f>
        <v>0</v>
      </c>
      <c r="S597" s="1067"/>
      <c r="T597" s="1244"/>
      <c r="U597" s="571"/>
      <c r="V597" s="573"/>
    </row>
    <row r="598" spans="1:22" hidden="1">
      <c r="A598" s="605" t="s">
        <v>251</v>
      </c>
      <c r="B598" s="1070">
        <v>0</v>
      </c>
      <c r="C598" s="1069" t="s">
        <v>248</v>
      </c>
      <c r="D598" s="1070">
        <f>coffee+lunch</f>
        <v>16</v>
      </c>
      <c r="E598" s="1069" t="s">
        <v>249</v>
      </c>
      <c r="F598" s="1069">
        <f>IF(B598=0,0,F595)</f>
        <v>0</v>
      </c>
      <c r="G598" s="1069">
        <f t="shared" si="56"/>
        <v>0</v>
      </c>
      <c r="H598" s="1068"/>
      <c r="I598" s="1069">
        <f>$G598*H595*J$16</f>
        <v>0</v>
      </c>
      <c r="J598" s="571"/>
      <c r="K598" s="1068"/>
      <c r="L598" s="1069">
        <f>$G598*K595*M$16</f>
        <v>0</v>
      </c>
      <c r="M598" s="1067"/>
      <c r="N598" s="1068"/>
      <c r="O598" s="1069">
        <f>$G598*N595*P$16</f>
        <v>0</v>
      </c>
      <c r="P598" s="1067"/>
      <c r="Q598" s="1068"/>
      <c r="R598" s="1069">
        <f>$G598*Q595*S$16</f>
        <v>0</v>
      </c>
      <c r="S598" s="1067"/>
      <c r="T598" s="1244"/>
      <c r="U598" s="571"/>
      <c r="V598" s="573"/>
    </row>
    <row r="599" spans="1:22" hidden="1">
      <c r="A599" s="605" t="s">
        <v>253</v>
      </c>
      <c r="B599" s="1070">
        <v>0</v>
      </c>
      <c r="C599" s="1069" t="s">
        <v>254</v>
      </c>
      <c r="D599" s="1070">
        <f>mats</f>
        <v>0</v>
      </c>
      <c r="E599" s="1069" t="str">
        <f>C599</f>
        <v>workshop</v>
      </c>
      <c r="F599" s="1069">
        <f>IF(B599=0,0,1)</f>
        <v>0</v>
      </c>
      <c r="G599" s="1069">
        <f t="shared" si="56"/>
        <v>0</v>
      </c>
      <c r="H599" s="1068"/>
      <c r="I599" s="1069">
        <f>$G599*H595*J$16</f>
        <v>0</v>
      </c>
      <c r="J599" s="571"/>
      <c r="K599" s="1068"/>
      <c r="L599" s="1069">
        <f>$G599*K595*M$16</f>
        <v>0</v>
      </c>
      <c r="M599" s="1067"/>
      <c r="N599" s="1068"/>
      <c r="O599" s="1069">
        <f>$G599*N595*P$16</f>
        <v>0</v>
      </c>
      <c r="P599" s="1067"/>
      <c r="Q599" s="1068"/>
      <c r="R599" s="1069">
        <f>$G599*Q595*S$16</f>
        <v>0</v>
      </c>
      <c r="S599" s="1067"/>
      <c r="T599" s="1244"/>
      <c r="U599" s="571"/>
      <c r="V599" s="573"/>
    </row>
    <row r="600" spans="1:22" hidden="1">
      <c r="A600" s="605" t="s">
        <v>276</v>
      </c>
      <c r="B600" s="1070">
        <v>0</v>
      </c>
      <c r="C600" s="1069" t="s">
        <v>277</v>
      </c>
      <c r="D600" s="1070">
        <f>print</f>
        <v>50</v>
      </c>
      <c r="E600" s="1069" t="str">
        <f>C600</f>
        <v>activity</v>
      </c>
      <c r="F600" s="1069">
        <f>IF(B600=0,0,1)</f>
        <v>0</v>
      </c>
      <c r="G600" s="1069">
        <f t="shared" si="56"/>
        <v>0</v>
      </c>
      <c r="H600" s="1068"/>
      <c r="I600" s="1069">
        <f>$G600*H595*J$16</f>
        <v>0</v>
      </c>
      <c r="J600" s="571"/>
      <c r="K600" s="1068"/>
      <c r="L600" s="1069">
        <f>$G600*K595*M$16</f>
        <v>0</v>
      </c>
      <c r="M600" s="1067"/>
      <c r="N600" s="1068"/>
      <c r="O600" s="1069">
        <f>$G600*N595*P$16</f>
        <v>0</v>
      </c>
      <c r="P600" s="1067"/>
      <c r="Q600" s="1068"/>
      <c r="R600" s="1069">
        <f>$G600*Q595*S$16</f>
        <v>0</v>
      </c>
      <c r="S600" s="1067"/>
      <c r="T600" s="1244"/>
      <c r="U600" s="571"/>
      <c r="V600" s="573"/>
    </row>
    <row r="601" spans="1:22" hidden="1">
      <c r="A601" s="605" t="s">
        <v>877</v>
      </c>
      <c r="B601" s="1070">
        <v>0</v>
      </c>
      <c r="C601" s="1069" t="s">
        <v>272</v>
      </c>
      <c r="D601" s="1070">
        <f>avrent</f>
        <v>0</v>
      </c>
      <c r="E601" s="1069" t="s">
        <v>249</v>
      </c>
      <c r="F601" s="1069">
        <f>IF(B601=0,0,F595)</f>
        <v>0</v>
      </c>
      <c r="G601" s="1069">
        <f t="shared" si="56"/>
        <v>0</v>
      </c>
      <c r="H601" s="1068"/>
      <c r="I601" s="1069">
        <f>$G601*H595*J$16</f>
        <v>0</v>
      </c>
      <c r="J601" s="571"/>
      <c r="K601" s="1068"/>
      <c r="L601" s="1069">
        <f>$G601*K595*M$16</f>
        <v>0</v>
      </c>
      <c r="M601" s="1067"/>
      <c r="N601" s="1068"/>
      <c r="O601" s="1069">
        <f>$G601*N595*P$16</f>
        <v>0</v>
      </c>
      <c r="P601" s="1067"/>
      <c r="Q601" s="1068"/>
      <c r="R601" s="1069">
        <f>$G601*Q595*S$16</f>
        <v>0</v>
      </c>
      <c r="S601" s="1067"/>
      <c r="T601" s="1244"/>
      <c r="U601" s="571"/>
      <c r="V601" s="573"/>
    </row>
    <row r="602" spans="1:22" hidden="1">
      <c r="A602" s="605" t="s">
        <v>878</v>
      </c>
      <c r="B602" s="1070">
        <v>0</v>
      </c>
      <c r="C602" s="1069" t="s">
        <v>879</v>
      </c>
      <c r="D602" s="1070">
        <f>roomrent</f>
        <v>0</v>
      </c>
      <c r="E602" s="1069" t="s">
        <v>249</v>
      </c>
      <c r="F602" s="1069">
        <f>IF(B602=0,0,F595)</f>
        <v>0</v>
      </c>
      <c r="G602" s="1069">
        <f t="shared" si="56"/>
        <v>0</v>
      </c>
      <c r="H602" s="1068"/>
      <c r="I602" s="1069">
        <f>$G602*H595*J$16</f>
        <v>0</v>
      </c>
      <c r="J602" s="571"/>
      <c r="K602" s="1068"/>
      <c r="L602" s="1069">
        <f>$G602*K595*M$16</f>
        <v>0</v>
      </c>
      <c r="M602" s="1067"/>
      <c r="N602" s="1068"/>
      <c r="O602" s="1069">
        <f>$G602*N595*P$16</f>
        <v>0</v>
      </c>
      <c r="P602" s="1067"/>
      <c r="Q602" s="1068"/>
      <c r="R602" s="1069">
        <f>$G602*Q595*S$16</f>
        <v>0</v>
      </c>
      <c r="S602" s="1067"/>
      <c r="T602" s="1244"/>
      <c r="U602" s="571"/>
      <c r="V602" s="573"/>
    </row>
    <row r="603" spans="1:22" hidden="1">
      <c r="A603" s="605" t="s">
        <v>630</v>
      </c>
      <c r="B603" s="1070">
        <v>0</v>
      </c>
      <c r="C603" s="1069" t="s">
        <v>248</v>
      </c>
      <c r="D603" s="1070">
        <f>partmisc</f>
        <v>0</v>
      </c>
      <c r="E603" s="1069" t="s">
        <v>249</v>
      </c>
      <c r="F603" s="1070">
        <v>5</v>
      </c>
      <c r="G603" s="1069">
        <f t="shared" si="56"/>
        <v>0</v>
      </c>
      <c r="H603" s="1068"/>
      <c r="I603" s="1069">
        <f>$G603*H595*J$16</f>
        <v>0</v>
      </c>
      <c r="J603" s="571"/>
      <c r="K603" s="1068"/>
      <c r="L603" s="1069">
        <f>$G603*K595*M$16</f>
        <v>0</v>
      </c>
      <c r="M603" s="1067"/>
      <c r="N603" s="1068"/>
      <c r="O603" s="1069">
        <f>$G603*N595*P$16</f>
        <v>0</v>
      </c>
      <c r="P603" s="1067"/>
      <c r="Q603" s="1068"/>
      <c r="R603" s="1069">
        <f>$G603*Q595*S$16</f>
        <v>0</v>
      </c>
      <c r="S603" s="1067"/>
      <c r="T603" s="1244"/>
      <c r="U603" s="571"/>
      <c r="V603" s="573"/>
    </row>
    <row r="604" spans="1:22" hidden="1">
      <c r="A604" s="605"/>
      <c r="B604" s="1069"/>
      <c r="C604" s="1069"/>
      <c r="D604" s="1069"/>
      <c r="E604" s="1069"/>
      <c r="F604" s="1069"/>
      <c r="G604" s="1069"/>
      <c r="H604" s="1068"/>
      <c r="I604" s="1069"/>
      <c r="J604" s="571"/>
      <c r="K604" s="1068"/>
      <c r="L604" s="1069"/>
      <c r="M604" s="1067"/>
      <c r="N604" s="1068"/>
      <c r="O604" s="1069"/>
      <c r="P604" s="1067"/>
      <c r="Q604" s="1068"/>
      <c r="R604" s="1069"/>
      <c r="S604" s="1067"/>
      <c r="T604" s="1244"/>
      <c r="U604" s="571"/>
      <c r="V604" s="573"/>
    </row>
    <row r="605" spans="1:22" hidden="1">
      <c r="A605" s="613" t="s">
        <v>880</v>
      </c>
      <c r="B605" s="1069"/>
      <c r="C605" s="1069"/>
      <c r="D605" s="1069"/>
      <c r="E605" s="1069"/>
      <c r="F605" s="1069"/>
      <c r="G605" s="1069">
        <f t="shared" ref="G605:G610" si="57">B605*D605*F605</f>
        <v>0</v>
      </c>
      <c r="H605" s="1068"/>
      <c r="I605" s="1069">
        <f>$G605*H595*J$16</f>
        <v>0</v>
      </c>
      <c r="J605" s="571"/>
      <c r="K605" s="1068"/>
      <c r="L605" s="1069">
        <f>$G605*K595*M$16</f>
        <v>0</v>
      </c>
      <c r="M605" s="1067"/>
      <c r="N605" s="1068"/>
      <c r="O605" s="1069">
        <f>$G605*N595*P$16</f>
        <v>0</v>
      </c>
      <c r="P605" s="1067"/>
      <c r="Q605" s="1068"/>
      <c r="R605" s="1069">
        <f>$G605*Q595*S$16</f>
        <v>0</v>
      </c>
      <c r="S605" s="1067"/>
      <c r="T605" s="1244"/>
      <c r="U605" s="571"/>
      <c r="V605" s="573"/>
    </row>
    <row r="606" spans="1:22" hidden="1">
      <c r="A606" s="605" t="s">
        <v>881</v>
      </c>
      <c r="B606" s="1070">
        <v>0</v>
      </c>
      <c r="C606" s="1069" t="s">
        <v>248</v>
      </c>
      <c r="D606" s="1070">
        <f>partground</f>
        <v>9</v>
      </c>
      <c r="E606" s="1069" t="s">
        <v>262</v>
      </c>
      <c r="F606" s="1069">
        <f>IF(B606=0,0,1)</f>
        <v>0</v>
      </c>
      <c r="G606" s="1069">
        <f t="shared" si="57"/>
        <v>0</v>
      </c>
      <c r="H606" s="1068"/>
      <c r="I606" s="1069">
        <f>$G606*H595*J$16</f>
        <v>0</v>
      </c>
      <c r="J606" s="571"/>
      <c r="K606" s="1068"/>
      <c r="L606" s="1069">
        <f>$G606*K595*M$16</f>
        <v>0</v>
      </c>
      <c r="M606" s="1067"/>
      <c r="N606" s="1068"/>
      <c r="O606" s="1069">
        <f>$G606*N595*P$16</f>
        <v>0</v>
      </c>
      <c r="P606" s="1067"/>
      <c r="Q606" s="1068"/>
      <c r="R606" s="1069">
        <f>$G606*Q595*S$16</f>
        <v>0</v>
      </c>
      <c r="S606" s="1067"/>
      <c r="T606" s="1244"/>
      <c r="U606" s="571"/>
      <c r="V606" s="573"/>
    </row>
    <row r="607" spans="1:22" hidden="1">
      <c r="A607" s="605" t="s">
        <v>882</v>
      </c>
      <c r="B607" s="1070">
        <v>0</v>
      </c>
      <c r="C607" s="1069" t="s">
        <v>248</v>
      </c>
      <c r="D607" s="1070">
        <f>partground</f>
        <v>9</v>
      </c>
      <c r="E607" s="1069" t="s">
        <v>249</v>
      </c>
      <c r="F607" s="1069">
        <f>IF(B607=0,0,1)</f>
        <v>0</v>
      </c>
      <c r="G607" s="1069">
        <f t="shared" si="57"/>
        <v>0</v>
      </c>
      <c r="H607" s="1068"/>
      <c r="I607" s="1069">
        <f>$G607*H595*J$16</f>
        <v>0</v>
      </c>
      <c r="J607" s="571"/>
      <c r="K607" s="1068"/>
      <c r="L607" s="1069">
        <f>$G607*K595*M$16</f>
        <v>0</v>
      </c>
      <c r="M607" s="1067"/>
      <c r="N607" s="1068"/>
      <c r="O607" s="1069">
        <f>$G607*N595*P$16</f>
        <v>0</v>
      </c>
      <c r="P607" s="1067"/>
      <c r="Q607" s="1068"/>
      <c r="R607" s="1069">
        <f>$G607*Q595*S$16</f>
        <v>0</v>
      </c>
      <c r="S607" s="1067"/>
      <c r="T607" s="1244"/>
      <c r="U607" s="571"/>
      <c r="V607" s="573"/>
    </row>
    <row r="608" spans="1:22" hidden="1">
      <c r="A608" s="605" t="s">
        <v>264</v>
      </c>
      <c r="B608" s="1069">
        <f>B606+B607</f>
        <v>0</v>
      </c>
      <c r="C608" s="1069" t="s">
        <v>248</v>
      </c>
      <c r="D608" s="1070">
        <f>partlodg</f>
        <v>35</v>
      </c>
      <c r="E608" s="1069" t="s">
        <v>249</v>
      </c>
      <c r="F608" s="1069">
        <f>IF(B608=0,0,F595)</f>
        <v>0</v>
      </c>
      <c r="G608" s="1069">
        <f t="shared" si="57"/>
        <v>0</v>
      </c>
      <c r="H608" s="1068"/>
      <c r="I608" s="1069">
        <f>$G608*H595*J$16</f>
        <v>0</v>
      </c>
      <c r="J608" s="571"/>
      <c r="K608" s="1068"/>
      <c r="L608" s="1069">
        <f>$G608*K595*M$16</f>
        <v>0</v>
      </c>
      <c r="M608" s="1067"/>
      <c r="N608" s="1068"/>
      <c r="O608" s="1069">
        <f>$G608*N595*P$16</f>
        <v>0</v>
      </c>
      <c r="P608" s="1067"/>
      <c r="Q608" s="1068"/>
      <c r="R608" s="1069">
        <f>$G608*Q595*S$16</f>
        <v>0</v>
      </c>
      <c r="S608" s="1067"/>
      <c r="T608" s="1244"/>
      <c r="U608" s="571"/>
      <c r="V608" s="573"/>
    </row>
    <row r="609" spans="1:22" hidden="1">
      <c r="A609" s="605" t="s">
        <v>783</v>
      </c>
      <c r="B609" s="1069">
        <f>B608</f>
        <v>0</v>
      </c>
      <c r="C609" s="1069" t="s">
        <v>248</v>
      </c>
      <c r="D609" s="1070">
        <f>partmeals</f>
        <v>47</v>
      </c>
      <c r="E609" s="1069" t="s">
        <v>249</v>
      </c>
      <c r="F609" s="1069">
        <f>IF(B609=0,0,F595)</f>
        <v>0</v>
      </c>
      <c r="G609" s="1069">
        <f t="shared" si="57"/>
        <v>0</v>
      </c>
      <c r="H609" s="1068"/>
      <c r="I609" s="1069">
        <f>$G609*H595*J$16</f>
        <v>0</v>
      </c>
      <c r="J609" s="571"/>
      <c r="K609" s="1068"/>
      <c r="L609" s="1069">
        <f>$G609*K595*M$16</f>
        <v>0</v>
      </c>
      <c r="M609" s="1067"/>
      <c r="N609" s="1068"/>
      <c r="O609" s="1069">
        <f>$G609*N595*P$16</f>
        <v>0</v>
      </c>
      <c r="P609" s="1067"/>
      <c r="Q609" s="1068"/>
      <c r="R609" s="1069">
        <f>$G609*Q595*S$16</f>
        <v>0</v>
      </c>
      <c r="S609" s="1067"/>
      <c r="T609" s="1244"/>
      <c r="U609" s="571"/>
      <c r="V609" s="573"/>
    </row>
    <row r="610" spans="1:22" hidden="1">
      <c r="A610" s="605" t="s">
        <v>644</v>
      </c>
      <c r="B610" s="1069">
        <f>B609</f>
        <v>0</v>
      </c>
      <c r="C610" s="1069" t="s">
        <v>248</v>
      </c>
      <c r="D610" s="1070">
        <f>parttransp</f>
        <v>4</v>
      </c>
      <c r="E610" s="1069" t="s">
        <v>262</v>
      </c>
      <c r="F610" s="1070">
        <v>0</v>
      </c>
      <c r="G610" s="1069">
        <f t="shared" si="57"/>
        <v>0</v>
      </c>
      <c r="H610" s="1068"/>
      <c r="I610" s="1069">
        <f>$G610*H595*J$16</f>
        <v>0</v>
      </c>
      <c r="J610" s="571"/>
      <c r="K610" s="1068"/>
      <c r="L610" s="1069">
        <f>$G610*K595*M$16</f>
        <v>0</v>
      </c>
      <c r="M610" s="1067"/>
      <c r="N610" s="1068"/>
      <c r="O610" s="1069">
        <f>$G610*N595*P$16</f>
        <v>0</v>
      </c>
      <c r="P610" s="1067"/>
      <c r="Q610" s="1068"/>
      <c r="R610" s="1069">
        <f>$G610*Q595*S$16</f>
        <v>0</v>
      </c>
      <c r="S610" s="1067"/>
      <c r="T610" s="1244"/>
      <c r="U610" s="571"/>
      <c r="V610" s="573"/>
    </row>
    <row r="611" spans="1:22" hidden="1">
      <c r="A611" s="615"/>
      <c r="B611" s="1264"/>
      <c r="C611" s="1264"/>
      <c r="D611" s="1265">
        <v>0</v>
      </c>
      <c r="E611" s="1264"/>
      <c r="F611" s="1265"/>
      <c r="G611" s="1266">
        <f>B611*D611</f>
        <v>0</v>
      </c>
      <c r="H611" s="1267"/>
      <c r="I611" s="1264">
        <f>$G611*H595*J$16</f>
        <v>0</v>
      </c>
      <c r="J611" s="619"/>
      <c r="K611" s="1267"/>
      <c r="L611" s="1264">
        <f>$G611*K595*M$16</f>
        <v>0</v>
      </c>
      <c r="M611" s="1266"/>
      <c r="N611" s="1267"/>
      <c r="O611" s="1264">
        <f>$G611*N595*P$16</f>
        <v>0</v>
      </c>
      <c r="P611" s="1266"/>
      <c r="Q611" s="1267"/>
      <c r="R611" s="1264">
        <f>$G611*Q595*S$16</f>
        <v>0</v>
      </c>
      <c r="S611" s="1266"/>
      <c r="T611" s="1268"/>
      <c r="U611" s="571"/>
      <c r="V611" s="573"/>
    </row>
    <row r="612" spans="1:22" hidden="1">
      <c r="A612" s="621" t="s">
        <v>269</v>
      </c>
      <c r="B612" s="622"/>
      <c r="C612" s="622"/>
      <c r="D612" s="1246"/>
      <c r="E612" s="1410">
        <f>SUM(G596:G611)</f>
        <v>0</v>
      </c>
      <c r="F612" s="1411"/>
      <c r="G612" s="1247"/>
      <c r="H612" s="1248"/>
      <c r="I612" s="1248"/>
      <c r="J612" s="1239"/>
      <c r="K612" s="1248"/>
      <c r="L612" s="1248"/>
      <c r="M612" s="1239"/>
      <c r="N612" s="1248"/>
      <c r="O612" s="1248"/>
      <c r="P612" s="1239"/>
      <c r="Q612" s="1248"/>
      <c r="R612" s="1248"/>
      <c r="S612" s="1239"/>
      <c r="T612" s="1249"/>
      <c r="U612" s="571"/>
      <c r="V612" s="573"/>
    </row>
    <row r="613" spans="1:22" hidden="1">
      <c r="A613" s="569"/>
      <c r="B613" s="627"/>
      <c r="C613" s="627"/>
      <c r="D613" s="627"/>
      <c r="E613" s="627"/>
      <c r="F613" s="627"/>
      <c r="G613" s="592"/>
      <c r="H613" s="592"/>
      <c r="I613" s="592"/>
      <c r="J613" s="592"/>
      <c r="K613" s="592"/>
      <c r="L613" s="592"/>
      <c r="M613" s="592"/>
      <c r="N613" s="592"/>
      <c r="O613" s="592"/>
      <c r="P613" s="592"/>
      <c r="Q613" s="592"/>
      <c r="R613" s="592"/>
      <c r="S613" s="592"/>
      <c r="T613" s="593"/>
      <c r="U613" s="571"/>
      <c r="V613" s="573"/>
    </row>
    <row r="614" spans="1:22" hidden="1">
      <c r="A614" s="1402" t="s">
        <v>876</v>
      </c>
      <c r="B614" s="1403"/>
      <c r="C614" s="1403"/>
      <c r="D614" s="1403"/>
      <c r="E614" s="1404"/>
      <c r="F614" s="594"/>
      <c r="G614" s="595"/>
      <c r="H614" s="1405">
        <v>0</v>
      </c>
      <c r="I614" s="1406"/>
      <c r="J614" s="596">
        <f>SUM(I616:I630)</f>
        <v>0</v>
      </c>
      <c r="K614" s="1407">
        <v>0</v>
      </c>
      <c r="L614" s="1408"/>
      <c r="M614" s="597">
        <f>SUM(L616:L630)</f>
        <v>0</v>
      </c>
      <c r="N614" s="1407">
        <v>0</v>
      </c>
      <c r="O614" s="1408"/>
      <c r="P614" s="597">
        <f>SUM(O616:O630)</f>
        <v>0</v>
      </c>
      <c r="Q614" s="1409">
        <v>0</v>
      </c>
      <c r="R614" s="1407"/>
      <c r="S614" s="597">
        <f>SUM(R616:R630)</f>
        <v>0</v>
      </c>
      <c r="T614" s="1066">
        <f>SUM(J614,M614,P614,S614,)</f>
        <v>0</v>
      </c>
      <c r="U614" s="571"/>
      <c r="V614" s="573"/>
    </row>
    <row r="615" spans="1:22" hidden="1">
      <c r="A615" s="599" t="s">
        <v>283</v>
      </c>
      <c r="B615" s="1239"/>
      <c r="C615" s="1239"/>
      <c r="D615" s="1239"/>
      <c r="E615" s="1239"/>
      <c r="F615" s="1239"/>
      <c r="G615" s="1239"/>
      <c r="H615" s="1240"/>
      <c r="I615" s="1239"/>
      <c r="J615" s="1239"/>
      <c r="K615" s="1240"/>
      <c r="L615" s="1239"/>
      <c r="M615" s="1241"/>
      <c r="N615" s="1240"/>
      <c r="O615" s="1239"/>
      <c r="P615" s="1241"/>
      <c r="Q615" s="1240"/>
      <c r="R615" s="1239"/>
      <c r="S615" s="1241"/>
      <c r="T615" s="1242"/>
      <c r="U615" s="571"/>
      <c r="V615" s="573"/>
    </row>
    <row r="616" spans="1:22" hidden="1">
      <c r="A616" s="605" t="s">
        <v>247</v>
      </c>
      <c r="B616" s="1070">
        <v>0</v>
      </c>
      <c r="C616" s="1069" t="s">
        <v>248</v>
      </c>
      <c r="D616" s="1070">
        <f>parttransp</f>
        <v>4</v>
      </c>
      <c r="E616" s="1069" t="s">
        <v>249</v>
      </c>
      <c r="F616" s="1069">
        <f>IF(B616=0,0,F614)</f>
        <v>0</v>
      </c>
      <c r="G616" s="1069">
        <f t="shared" ref="G616:G622" si="58">B616*D616*F616</f>
        <v>0</v>
      </c>
      <c r="H616" s="1068"/>
      <c r="I616" s="1069">
        <f>$G616*H614*J$16</f>
        <v>0</v>
      </c>
      <c r="J616" s="571"/>
      <c r="K616" s="1068"/>
      <c r="L616" s="1069">
        <f>$G616*K614*M$16</f>
        <v>0</v>
      </c>
      <c r="M616" s="1067"/>
      <c r="N616" s="1068"/>
      <c r="O616" s="1069">
        <f>$G616*N614*P$16</f>
        <v>0</v>
      </c>
      <c r="P616" s="1067"/>
      <c r="Q616" s="1068"/>
      <c r="R616" s="1069">
        <f>$G616*Q614*S$16</f>
        <v>0</v>
      </c>
      <c r="S616" s="1067"/>
      <c r="T616" s="1244"/>
      <c r="U616" s="571"/>
      <c r="V616" s="573"/>
    </row>
    <row r="617" spans="1:22" hidden="1">
      <c r="A617" s="605" t="s">
        <v>251</v>
      </c>
      <c r="B617" s="1070">
        <v>0</v>
      </c>
      <c r="C617" s="1069" t="s">
        <v>248</v>
      </c>
      <c r="D617" s="1070">
        <f>coffee+lunch</f>
        <v>16</v>
      </c>
      <c r="E617" s="1069" t="s">
        <v>249</v>
      </c>
      <c r="F617" s="1069">
        <f>IF(B617=0,0,F614)</f>
        <v>0</v>
      </c>
      <c r="G617" s="1069">
        <f t="shared" si="58"/>
        <v>0</v>
      </c>
      <c r="H617" s="1068"/>
      <c r="I617" s="1069">
        <f>$G617*H614*J$16</f>
        <v>0</v>
      </c>
      <c r="J617" s="571"/>
      <c r="K617" s="1068"/>
      <c r="L617" s="1069">
        <f>$G617*K614*M$16</f>
        <v>0</v>
      </c>
      <c r="M617" s="1067"/>
      <c r="N617" s="1068"/>
      <c r="O617" s="1069">
        <f>$G617*N614*P$16</f>
        <v>0</v>
      </c>
      <c r="P617" s="1067"/>
      <c r="Q617" s="1068"/>
      <c r="R617" s="1069">
        <f>$G617*Q614*S$16</f>
        <v>0</v>
      </c>
      <c r="S617" s="1067"/>
      <c r="T617" s="1244"/>
      <c r="U617" s="571"/>
      <c r="V617" s="573"/>
    </row>
    <row r="618" spans="1:22" hidden="1">
      <c r="A618" s="605" t="s">
        <v>253</v>
      </c>
      <c r="B618" s="1070">
        <v>0</v>
      </c>
      <c r="C618" s="1069" t="s">
        <v>254</v>
      </c>
      <c r="D618" s="1070">
        <f>mats</f>
        <v>0</v>
      </c>
      <c r="E618" s="1069" t="str">
        <f>C618</f>
        <v>workshop</v>
      </c>
      <c r="F618" s="1069">
        <f>IF(B618=0,0,1)</f>
        <v>0</v>
      </c>
      <c r="G618" s="1069">
        <f t="shared" si="58"/>
        <v>0</v>
      </c>
      <c r="H618" s="1068"/>
      <c r="I618" s="1069">
        <f>$G618*H614*J$16</f>
        <v>0</v>
      </c>
      <c r="J618" s="571"/>
      <c r="K618" s="1068"/>
      <c r="L618" s="1069">
        <f>$G618*K614*M$16</f>
        <v>0</v>
      </c>
      <c r="M618" s="1067"/>
      <c r="N618" s="1068"/>
      <c r="O618" s="1069">
        <f>$G618*N614*P$16</f>
        <v>0</v>
      </c>
      <c r="P618" s="1067"/>
      <c r="Q618" s="1068"/>
      <c r="R618" s="1069">
        <f>$G618*Q614*S$16</f>
        <v>0</v>
      </c>
      <c r="S618" s="1067"/>
      <c r="T618" s="1244"/>
      <c r="U618" s="571"/>
      <c r="V618" s="573"/>
    </row>
    <row r="619" spans="1:22" hidden="1">
      <c r="A619" s="605" t="s">
        <v>276</v>
      </c>
      <c r="B619" s="1070">
        <v>0</v>
      </c>
      <c r="C619" s="1069" t="s">
        <v>277</v>
      </c>
      <c r="D619" s="1070">
        <f>print</f>
        <v>50</v>
      </c>
      <c r="E619" s="1069" t="str">
        <f>C619</f>
        <v>activity</v>
      </c>
      <c r="F619" s="1069">
        <f>IF(B619=0,0,1)</f>
        <v>0</v>
      </c>
      <c r="G619" s="1069">
        <f t="shared" si="58"/>
        <v>0</v>
      </c>
      <c r="H619" s="1068"/>
      <c r="I619" s="1069">
        <f>$G619*H614*J$16</f>
        <v>0</v>
      </c>
      <c r="J619" s="571"/>
      <c r="K619" s="1068"/>
      <c r="L619" s="1069">
        <f>$G619*K614*M$16</f>
        <v>0</v>
      </c>
      <c r="M619" s="1067"/>
      <c r="N619" s="1068"/>
      <c r="O619" s="1069">
        <f>$G619*N614*P$16</f>
        <v>0</v>
      </c>
      <c r="P619" s="1067"/>
      <c r="Q619" s="1068"/>
      <c r="R619" s="1069">
        <f>$G619*Q614*S$16</f>
        <v>0</v>
      </c>
      <c r="S619" s="1067"/>
      <c r="T619" s="1244"/>
      <c r="U619" s="571"/>
      <c r="V619" s="573"/>
    </row>
    <row r="620" spans="1:22" hidden="1">
      <c r="A620" s="605" t="s">
        <v>877</v>
      </c>
      <c r="B620" s="1070">
        <v>0</v>
      </c>
      <c r="C620" s="1069" t="s">
        <v>272</v>
      </c>
      <c r="D620" s="1070">
        <f>avrent</f>
        <v>0</v>
      </c>
      <c r="E620" s="1069" t="s">
        <v>249</v>
      </c>
      <c r="F620" s="1069">
        <f>IF(B620=0,0,F614)</f>
        <v>0</v>
      </c>
      <c r="G620" s="1069">
        <f t="shared" si="58"/>
        <v>0</v>
      </c>
      <c r="H620" s="1068"/>
      <c r="I620" s="1069">
        <f>$G620*H614*J$16</f>
        <v>0</v>
      </c>
      <c r="J620" s="571"/>
      <c r="K620" s="1068"/>
      <c r="L620" s="1069">
        <f>$G620*K614*M$16</f>
        <v>0</v>
      </c>
      <c r="M620" s="1067"/>
      <c r="N620" s="1068"/>
      <c r="O620" s="1069">
        <f>$G620*N614*P$16</f>
        <v>0</v>
      </c>
      <c r="P620" s="1067"/>
      <c r="Q620" s="1068"/>
      <c r="R620" s="1069">
        <f>$G620*Q614*S$16</f>
        <v>0</v>
      </c>
      <c r="S620" s="1067"/>
      <c r="T620" s="1244"/>
      <c r="U620" s="571"/>
      <c r="V620" s="573"/>
    </row>
    <row r="621" spans="1:22" hidden="1">
      <c r="A621" s="605" t="s">
        <v>878</v>
      </c>
      <c r="B621" s="1070">
        <v>0</v>
      </c>
      <c r="C621" s="1069" t="s">
        <v>879</v>
      </c>
      <c r="D621" s="1070">
        <f>roomrent</f>
        <v>0</v>
      </c>
      <c r="E621" s="1069" t="s">
        <v>249</v>
      </c>
      <c r="F621" s="1069">
        <f>IF(B621=0,0,F614)</f>
        <v>0</v>
      </c>
      <c r="G621" s="1069">
        <f t="shared" si="58"/>
        <v>0</v>
      </c>
      <c r="H621" s="1068"/>
      <c r="I621" s="1069">
        <f>$G621*H614*J$16</f>
        <v>0</v>
      </c>
      <c r="J621" s="571"/>
      <c r="K621" s="1068"/>
      <c r="L621" s="1069">
        <f>$G621*K614*M$16</f>
        <v>0</v>
      </c>
      <c r="M621" s="1067"/>
      <c r="N621" s="1068"/>
      <c r="O621" s="1069">
        <f>$G621*N614*P$16</f>
        <v>0</v>
      </c>
      <c r="P621" s="1067"/>
      <c r="Q621" s="1068"/>
      <c r="R621" s="1069">
        <f>$G621*Q614*S$16</f>
        <v>0</v>
      </c>
      <c r="S621" s="1067"/>
      <c r="T621" s="1244"/>
      <c r="U621" s="571"/>
      <c r="V621" s="573"/>
    </row>
    <row r="622" spans="1:22" hidden="1">
      <c r="A622" s="605" t="s">
        <v>630</v>
      </c>
      <c r="B622" s="1070">
        <v>0</v>
      </c>
      <c r="C622" s="1069" t="s">
        <v>248</v>
      </c>
      <c r="D622" s="1070">
        <f>partmisc</f>
        <v>0</v>
      </c>
      <c r="E622" s="1069" t="s">
        <v>249</v>
      </c>
      <c r="F622" s="1070">
        <v>5</v>
      </c>
      <c r="G622" s="1069">
        <f t="shared" si="58"/>
        <v>0</v>
      </c>
      <c r="H622" s="1068"/>
      <c r="I622" s="1069">
        <f>$G622*H614*J$16</f>
        <v>0</v>
      </c>
      <c r="J622" s="571"/>
      <c r="K622" s="1068"/>
      <c r="L622" s="1069">
        <f>$G622*K614*M$16</f>
        <v>0</v>
      </c>
      <c r="M622" s="1067"/>
      <c r="N622" s="1068"/>
      <c r="O622" s="1069">
        <f>$G622*N614*P$16</f>
        <v>0</v>
      </c>
      <c r="P622" s="1067"/>
      <c r="Q622" s="1068"/>
      <c r="R622" s="1069">
        <f>$G622*Q614*S$16</f>
        <v>0</v>
      </c>
      <c r="S622" s="1067"/>
      <c r="T622" s="1244"/>
      <c r="U622" s="571"/>
      <c r="V622" s="573"/>
    </row>
    <row r="623" spans="1:22" hidden="1">
      <c r="A623" s="605"/>
      <c r="B623" s="1069"/>
      <c r="C623" s="1069"/>
      <c r="D623" s="1069"/>
      <c r="E623" s="1069"/>
      <c r="F623" s="1069"/>
      <c r="G623" s="1069"/>
      <c r="H623" s="1068"/>
      <c r="I623" s="1069"/>
      <c r="J623" s="571"/>
      <c r="K623" s="1068"/>
      <c r="L623" s="1069"/>
      <c r="M623" s="1067"/>
      <c r="N623" s="1068"/>
      <c r="O623" s="1069"/>
      <c r="P623" s="1067"/>
      <c r="Q623" s="1068"/>
      <c r="R623" s="1069"/>
      <c r="S623" s="1067"/>
      <c r="T623" s="1244"/>
      <c r="U623" s="571"/>
      <c r="V623" s="573"/>
    </row>
    <row r="624" spans="1:22" hidden="1">
      <c r="A624" s="613" t="s">
        <v>880</v>
      </c>
      <c r="B624" s="1069"/>
      <c r="C624" s="1069"/>
      <c r="D624" s="1069"/>
      <c r="E624" s="1069"/>
      <c r="F624" s="1069"/>
      <c r="G624" s="1069">
        <f t="shared" ref="G624:G629" si="59">B624*D624*F624</f>
        <v>0</v>
      </c>
      <c r="H624" s="1068"/>
      <c r="I624" s="1069">
        <f>$G624*H614*J$16</f>
        <v>0</v>
      </c>
      <c r="J624" s="571"/>
      <c r="K624" s="1068"/>
      <c r="L624" s="1069">
        <f>$G624*K614*M$16</f>
        <v>0</v>
      </c>
      <c r="M624" s="1067"/>
      <c r="N624" s="1068"/>
      <c r="O624" s="1069">
        <f>$G624*N614*P$16</f>
        <v>0</v>
      </c>
      <c r="P624" s="1067"/>
      <c r="Q624" s="1068"/>
      <c r="R624" s="1069">
        <f>$G624*Q614*S$16</f>
        <v>0</v>
      </c>
      <c r="S624" s="1067"/>
      <c r="T624" s="1244"/>
      <c r="U624" s="571"/>
      <c r="V624" s="573"/>
    </row>
    <row r="625" spans="1:22" hidden="1">
      <c r="A625" s="605" t="s">
        <v>881</v>
      </c>
      <c r="B625" s="1070">
        <v>0</v>
      </c>
      <c r="C625" s="1069" t="s">
        <v>248</v>
      </c>
      <c r="D625" s="1070">
        <f>partground</f>
        <v>9</v>
      </c>
      <c r="E625" s="1069" t="s">
        <v>262</v>
      </c>
      <c r="F625" s="1069">
        <f>IF(B625=0,0,1)</f>
        <v>0</v>
      </c>
      <c r="G625" s="1069">
        <f t="shared" si="59"/>
        <v>0</v>
      </c>
      <c r="H625" s="1068"/>
      <c r="I625" s="1069">
        <f>$G625*H614*J$16</f>
        <v>0</v>
      </c>
      <c r="J625" s="571"/>
      <c r="K625" s="1068"/>
      <c r="L625" s="1069">
        <f>$G625*K614*M$16</f>
        <v>0</v>
      </c>
      <c r="M625" s="1067"/>
      <c r="N625" s="1068"/>
      <c r="O625" s="1069">
        <f>$G625*N614*P$16</f>
        <v>0</v>
      </c>
      <c r="P625" s="1067"/>
      <c r="Q625" s="1068"/>
      <c r="R625" s="1069">
        <f>$G625*Q614*S$16</f>
        <v>0</v>
      </c>
      <c r="S625" s="1067"/>
      <c r="T625" s="1244"/>
      <c r="U625" s="571"/>
      <c r="V625" s="573"/>
    </row>
    <row r="626" spans="1:22" hidden="1">
      <c r="A626" s="605" t="s">
        <v>882</v>
      </c>
      <c r="B626" s="1070">
        <v>0</v>
      </c>
      <c r="C626" s="1069" t="s">
        <v>248</v>
      </c>
      <c r="D626" s="1070">
        <f>partground</f>
        <v>9</v>
      </c>
      <c r="E626" s="1069" t="s">
        <v>249</v>
      </c>
      <c r="F626" s="1069">
        <f>IF(B626=0,0,1)</f>
        <v>0</v>
      </c>
      <c r="G626" s="1069">
        <f t="shared" si="59"/>
        <v>0</v>
      </c>
      <c r="H626" s="1068"/>
      <c r="I626" s="1069">
        <f>$G626*H614*J$16</f>
        <v>0</v>
      </c>
      <c r="J626" s="571"/>
      <c r="K626" s="1068"/>
      <c r="L626" s="1069">
        <f>$G626*K614*M$16</f>
        <v>0</v>
      </c>
      <c r="M626" s="1067"/>
      <c r="N626" s="1068"/>
      <c r="O626" s="1069">
        <f>$G626*N614*P$16</f>
        <v>0</v>
      </c>
      <c r="P626" s="1067"/>
      <c r="Q626" s="1068"/>
      <c r="R626" s="1069">
        <f>$G626*Q614*S$16</f>
        <v>0</v>
      </c>
      <c r="S626" s="1067"/>
      <c r="T626" s="1244"/>
      <c r="U626" s="571"/>
      <c r="V626" s="573"/>
    </row>
    <row r="627" spans="1:22" hidden="1">
      <c r="A627" s="605" t="s">
        <v>264</v>
      </c>
      <c r="B627" s="1069">
        <f>B625+B626</f>
        <v>0</v>
      </c>
      <c r="C627" s="1069" t="s">
        <v>248</v>
      </c>
      <c r="D627" s="1070">
        <f>partlodg</f>
        <v>35</v>
      </c>
      <c r="E627" s="1069" t="s">
        <v>249</v>
      </c>
      <c r="F627" s="1069">
        <f>IF(B627=0,0,F614)</f>
        <v>0</v>
      </c>
      <c r="G627" s="1069">
        <f t="shared" si="59"/>
        <v>0</v>
      </c>
      <c r="H627" s="1068"/>
      <c r="I627" s="1069">
        <f>$G627*H614*J$16</f>
        <v>0</v>
      </c>
      <c r="J627" s="571"/>
      <c r="K627" s="1068"/>
      <c r="L627" s="1069">
        <f>$G627*K614*M$16</f>
        <v>0</v>
      </c>
      <c r="M627" s="1067"/>
      <c r="N627" s="1068"/>
      <c r="O627" s="1069">
        <f>$G627*N614*P$16</f>
        <v>0</v>
      </c>
      <c r="P627" s="1067"/>
      <c r="Q627" s="1068"/>
      <c r="R627" s="1069">
        <f>$G627*Q614*S$16</f>
        <v>0</v>
      </c>
      <c r="S627" s="1067"/>
      <c r="T627" s="1244"/>
      <c r="U627" s="571"/>
      <c r="V627" s="573"/>
    </row>
    <row r="628" spans="1:22" hidden="1">
      <c r="A628" s="605" t="s">
        <v>783</v>
      </c>
      <c r="B628" s="1069">
        <f>B627</f>
        <v>0</v>
      </c>
      <c r="C628" s="1069" t="s">
        <v>248</v>
      </c>
      <c r="D628" s="1070">
        <f>partmeals</f>
        <v>47</v>
      </c>
      <c r="E628" s="1069" t="s">
        <v>249</v>
      </c>
      <c r="F628" s="1069">
        <f>IF(B628=0,0,F614)</f>
        <v>0</v>
      </c>
      <c r="G628" s="1069">
        <f t="shared" si="59"/>
        <v>0</v>
      </c>
      <c r="H628" s="1068"/>
      <c r="I628" s="1069">
        <f>$G628*H614*J$16</f>
        <v>0</v>
      </c>
      <c r="J628" s="571"/>
      <c r="K628" s="1068"/>
      <c r="L628" s="1069">
        <f>$G628*K614*M$16</f>
        <v>0</v>
      </c>
      <c r="M628" s="1067"/>
      <c r="N628" s="1068"/>
      <c r="O628" s="1069">
        <f>$G628*N614*P$16</f>
        <v>0</v>
      </c>
      <c r="P628" s="1067"/>
      <c r="Q628" s="1068"/>
      <c r="R628" s="1069">
        <f>$G628*Q614*S$16</f>
        <v>0</v>
      </c>
      <c r="S628" s="1067"/>
      <c r="T628" s="1244"/>
      <c r="U628" s="571"/>
      <c r="V628" s="573"/>
    </row>
    <row r="629" spans="1:22" hidden="1">
      <c r="A629" s="605" t="s">
        <v>644</v>
      </c>
      <c r="B629" s="1069">
        <f>B628</f>
        <v>0</v>
      </c>
      <c r="C629" s="1069" t="s">
        <v>248</v>
      </c>
      <c r="D629" s="1070">
        <f>parttransp</f>
        <v>4</v>
      </c>
      <c r="E629" s="1069" t="s">
        <v>262</v>
      </c>
      <c r="F629" s="1070">
        <v>0</v>
      </c>
      <c r="G629" s="1069">
        <f t="shared" si="59"/>
        <v>0</v>
      </c>
      <c r="H629" s="1068"/>
      <c r="I629" s="1069">
        <f>$G629*H614*J$16</f>
        <v>0</v>
      </c>
      <c r="J629" s="571"/>
      <c r="K629" s="1068"/>
      <c r="L629" s="1069">
        <f>$G629*K614*M$16</f>
        <v>0</v>
      </c>
      <c r="M629" s="1067"/>
      <c r="N629" s="1068"/>
      <c r="O629" s="1069">
        <f>$G629*N614*P$16</f>
        <v>0</v>
      </c>
      <c r="P629" s="1067"/>
      <c r="Q629" s="1068"/>
      <c r="R629" s="1069">
        <f>$G629*Q614*S$16</f>
        <v>0</v>
      </c>
      <c r="S629" s="1067"/>
      <c r="T629" s="1244"/>
      <c r="U629" s="571"/>
      <c r="V629" s="573"/>
    </row>
    <row r="630" spans="1:22" hidden="1">
      <c r="A630" s="615"/>
      <c r="B630" s="1264"/>
      <c r="C630" s="1264"/>
      <c r="D630" s="1265">
        <v>0</v>
      </c>
      <c r="E630" s="1264"/>
      <c r="F630" s="1265"/>
      <c r="G630" s="1266">
        <f>B630*D630</f>
        <v>0</v>
      </c>
      <c r="H630" s="1267"/>
      <c r="I630" s="1264">
        <f>$G630*H614*J$16</f>
        <v>0</v>
      </c>
      <c r="J630" s="619"/>
      <c r="K630" s="1267"/>
      <c r="L630" s="1264">
        <f>$G630*K614*M$16</f>
        <v>0</v>
      </c>
      <c r="M630" s="1266"/>
      <c r="N630" s="1267"/>
      <c r="O630" s="1264">
        <f>$G630*N614*P$16</f>
        <v>0</v>
      </c>
      <c r="P630" s="1266"/>
      <c r="Q630" s="1267"/>
      <c r="R630" s="1264">
        <f>$G630*Q614*S$16</f>
        <v>0</v>
      </c>
      <c r="S630" s="1266"/>
      <c r="T630" s="1268"/>
      <c r="U630" s="571"/>
      <c r="V630" s="573"/>
    </row>
    <row r="631" spans="1:22" hidden="1">
      <c r="A631" s="621" t="s">
        <v>269</v>
      </c>
      <c r="B631" s="622"/>
      <c r="C631" s="622"/>
      <c r="D631" s="1246"/>
      <c r="E631" s="1410">
        <f>SUM(G615:G630)</f>
        <v>0</v>
      </c>
      <c r="F631" s="1411"/>
      <c r="G631" s="1247"/>
      <c r="H631" s="1248"/>
      <c r="I631" s="1248"/>
      <c r="J631" s="1239"/>
      <c r="K631" s="1248"/>
      <c r="L631" s="1248"/>
      <c r="M631" s="1239"/>
      <c r="N631" s="1248"/>
      <c r="O631" s="1248"/>
      <c r="P631" s="1239"/>
      <c r="Q631" s="1248"/>
      <c r="R631" s="1248"/>
      <c r="S631" s="1239"/>
      <c r="T631" s="1249"/>
      <c r="U631" s="571"/>
      <c r="V631" s="573"/>
    </row>
    <row r="632" spans="1:22" hidden="1">
      <c r="A632" s="569"/>
      <c r="B632" s="627"/>
      <c r="C632" s="627"/>
      <c r="D632" s="627"/>
      <c r="E632" s="627"/>
      <c r="F632" s="627"/>
      <c r="G632" s="592"/>
      <c r="H632" s="592"/>
      <c r="I632" s="592"/>
      <c r="J632" s="592"/>
      <c r="K632" s="592"/>
      <c r="L632" s="592"/>
      <c r="M632" s="592"/>
      <c r="N632" s="592"/>
      <c r="O632" s="592"/>
      <c r="P632" s="592"/>
      <c r="Q632" s="592"/>
      <c r="R632" s="592"/>
      <c r="S632" s="592"/>
      <c r="T632" s="593"/>
      <c r="U632" s="571"/>
      <c r="V632" s="573"/>
    </row>
    <row r="633" spans="1:22" hidden="1">
      <c r="A633" s="1402" t="s">
        <v>876</v>
      </c>
      <c r="B633" s="1403"/>
      <c r="C633" s="1403"/>
      <c r="D633" s="1403"/>
      <c r="E633" s="1404"/>
      <c r="F633" s="594"/>
      <c r="G633" s="595"/>
      <c r="H633" s="1405">
        <v>0</v>
      </c>
      <c r="I633" s="1406"/>
      <c r="J633" s="596">
        <f>SUM(I635:I649)</f>
        <v>0</v>
      </c>
      <c r="K633" s="1407">
        <v>0</v>
      </c>
      <c r="L633" s="1408"/>
      <c r="M633" s="597">
        <f>SUM(L635:L649)</f>
        <v>0</v>
      </c>
      <c r="N633" s="1407">
        <v>0</v>
      </c>
      <c r="O633" s="1408"/>
      <c r="P633" s="597">
        <f>SUM(O635:O649)</f>
        <v>0</v>
      </c>
      <c r="Q633" s="1409">
        <v>0</v>
      </c>
      <c r="R633" s="1407"/>
      <c r="S633" s="597">
        <f>SUM(R635:R649)</f>
        <v>0</v>
      </c>
      <c r="T633" s="1066">
        <f>SUM(J633,M633,P633,S633,)</f>
        <v>0</v>
      </c>
      <c r="U633" s="571"/>
      <c r="V633" s="573"/>
    </row>
    <row r="634" spans="1:22" hidden="1">
      <c r="A634" s="599" t="s">
        <v>283</v>
      </c>
      <c r="B634" s="1239"/>
      <c r="C634" s="1239"/>
      <c r="D634" s="1239"/>
      <c r="E634" s="1239"/>
      <c r="F634" s="1239"/>
      <c r="G634" s="1239"/>
      <c r="H634" s="1240"/>
      <c r="I634" s="1239"/>
      <c r="J634" s="1239"/>
      <c r="K634" s="1240"/>
      <c r="L634" s="1239"/>
      <c r="M634" s="1241"/>
      <c r="N634" s="1240"/>
      <c r="O634" s="1239"/>
      <c r="P634" s="1241"/>
      <c r="Q634" s="1240"/>
      <c r="R634" s="1239"/>
      <c r="S634" s="1241"/>
      <c r="T634" s="1242"/>
      <c r="U634" s="571"/>
      <c r="V634" s="573"/>
    </row>
    <row r="635" spans="1:22" hidden="1">
      <c r="A635" s="605" t="s">
        <v>247</v>
      </c>
      <c r="B635" s="1070">
        <v>0</v>
      </c>
      <c r="C635" s="1069" t="s">
        <v>248</v>
      </c>
      <c r="D635" s="1070">
        <f>parttransp</f>
        <v>4</v>
      </c>
      <c r="E635" s="1069" t="s">
        <v>249</v>
      </c>
      <c r="F635" s="1069">
        <f>IF(B635=0,0,F633)</f>
        <v>0</v>
      </c>
      <c r="G635" s="1069">
        <f t="shared" ref="G635:G641" si="60">B635*D635*F635</f>
        <v>0</v>
      </c>
      <c r="H635" s="1068"/>
      <c r="I635" s="1069">
        <f>$G635*H633*J$16</f>
        <v>0</v>
      </c>
      <c r="J635" s="571"/>
      <c r="K635" s="1068"/>
      <c r="L635" s="1069">
        <f>$G635*K633*M$16</f>
        <v>0</v>
      </c>
      <c r="M635" s="1067"/>
      <c r="N635" s="1068"/>
      <c r="O635" s="1069">
        <f>$G635*N633*P$16</f>
        <v>0</v>
      </c>
      <c r="P635" s="1067"/>
      <c r="Q635" s="1068"/>
      <c r="R635" s="1069">
        <f>$G635*Q633*S$16</f>
        <v>0</v>
      </c>
      <c r="S635" s="1067"/>
      <c r="T635" s="1244"/>
      <c r="U635" s="571"/>
      <c r="V635" s="573"/>
    </row>
    <row r="636" spans="1:22" hidden="1">
      <c r="A636" s="605" t="s">
        <v>251</v>
      </c>
      <c r="B636" s="1070">
        <v>0</v>
      </c>
      <c r="C636" s="1069" t="s">
        <v>248</v>
      </c>
      <c r="D636" s="1070">
        <f>coffee+lunch</f>
        <v>16</v>
      </c>
      <c r="E636" s="1069" t="s">
        <v>249</v>
      </c>
      <c r="F636" s="1069">
        <f>IF(B636=0,0,F633)</f>
        <v>0</v>
      </c>
      <c r="G636" s="1069">
        <f t="shared" si="60"/>
        <v>0</v>
      </c>
      <c r="H636" s="1068"/>
      <c r="I636" s="1069">
        <f>$G636*H633*J$16</f>
        <v>0</v>
      </c>
      <c r="J636" s="571"/>
      <c r="K636" s="1068"/>
      <c r="L636" s="1069">
        <f>$G636*K633*M$16</f>
        <v>0</v>
      </c>
      <c r="M636" s="1067"/>
      <c r="N636" s="1068"/>
      <c r="O636" s="1069">
        <f>$G636*N633*P$16</f>
        <v>0</v>
      </c>
      <c r="P636" s="1067"/>
      <c r="Q636" s="1068"/>
      <c r="R636" s="1069">
        <f>$G636*Q633*S$16</f>
        <v>0</v>
      </c>
      <c r="S636" s="1067"/>
      <c r="T636" s="1244"/>
      <c r="U636" s="571"/>
      <c r="V636" s="573"/>
    </row>
    <row r="637" spans="1:22" hidden="1">
      <c r="A637" s="605" t="s">
        <v>253</v>
      </c>
      <c r="B637" s="1070">
        <v>0</v>
      </c>
      <c r="C637" s="1069" t="s">
        <v>254</v>
      </c>
      <c r="D637" s="1070">
        <f>mats</f>
        <v>0</v>
      </c>
      <c r="E637" s="1069" t="str">
        <f>C637</f>
        <v>workshop</v>
      </c>
      <c r="F637" s="1069">
        <f>IF(B637=0,0,1)</f>
        <v>0</v>
      </c>
      <c r="G637" s="1069">
        <f t="shared" si="60"/>
        <v>0</v>
      </c>
      <c r="H637" s="1068"/>
      <c r="I637" s="1069">
        <f>$G637*H633*J$16</f>
        <v>0</v>
      </c>
      <c r="J637" s="571"/>
      <c r="K637" s="1068"/>
      <c r="L637" s="1069">
        <f>$G637*K633*M$16</f>
        <v>0</v>
      </c>
      <c r="M637" s="1067"/>
      <c r="N637" s="1068"/>
      <c r="O637" s="1069">
        <f>$G637*N633*P$16</f>
        <v>0</v>
      </c>
      <c r="P637" s="1067"/>
      <c r="Q637" s="1068"/>
      <c r="R637" s="1069">
        <f>$G637*Q633*S$16</f>
        <v>0</v>
      </c>
      <c r="S637" s="1067"/>
      <c r="T637" s="1244"/>
      <c r="U637" s="571"/>
      <c r="V637" s="573"/>
    </row>
    <row r="638" spans="1:22" hidden="1">
      <c r="A638" s="605" t="s">
        <v>276</v>
      </c>
      <c r="B638" s="1070">
        <v>0</v>
      </c>
      <c r="C638" s="1069" t="s">
        <v>277</v>
      </c>
      <c r="D638" s="1070">
        <f>print</f>
        <v>50</v>
      </c>
      <c r="E638" s="1069" t="str">
        <f>C638</f>
        <v>activity</v>
      </c>
      <c r="F638" s="1069">
        <f>IF(B638=0,0,1)</f>
        <v>0</v>
      </c>
      <c r="G638" s="1069">
        <f t="shared" si="60"/>
        <v>0</v>
      </c>
      <c r="H638" s="1068"/>
      <c r="I638" s="1069">
        <f>$G638*H633*J$16</f>
        <v>0</v>
      </c>
      <c r="J638" s="571"/>
      <c r="K638" s="1068"/>
      <c r="L638" s="1069">
        <f>$G638*K633*M$16</f>
        <v>0</v>
      </c>
      <c r="M638" s="1067"/>
      <c r="N638" s="1068"/>
      <c r="O638" s="1069">
        <f>$G638*N633*P$16</f>
        <v>0</v>
      </c>
      <c r="P638" s="1067"/>
      <c r="Q638" s="1068"/>
      <c r="R638" s="1069">
        <f>$G638*Q633*S$16</f>
        <v>0</v>
      </c>
      <c r="S638" s="1067"/>
      <c r="T638" s="1244"/>
      <c r="U638" s="571"/>
      <c r="V638" s="573"/>
    </row>
    <row r="639" spans="1:22" hidden="1">
      <c r="A639" s="605" t="s">
        <v>877</v>
      </c>
      <c r="B639" s="1070">
        <v>0</v>
      </c>
      <c r="C639" s="1069" t="s">
        <v>272</v>
      </c>
      <c r="D639" s="1070">
        <f>avrent</f>
        <v>0</v>
      </c>
      <c r="E639" s="1069" t="s">
        <v>249</v>
      </c>
      <c r="F639" s="1069">
        <f>IF(B639=0,0,F633)</f>
        <v>0</v>
      </c>
      <c r="G639" s="1069">
        <f t="shared" si="60"/>
        <v>0</v>
      </c>
      <c r="H639" s="1068"/>
      <c r="I639" s="1069">
        <f>$G639*H633*J$16</f>
        <v>0</v>
      </c>
      <c r="J639" s="571"/>
      <c r="K639" s="1068"/>
      <c r="L639" s="1069">
        <f>$G639*K633*M$16</f>
        <v>0</v>
      </c>
      <c r="M639" s="1067"/>
      <c r="N639" s="1068"/>
      <c r="O639" s="1069">
        <f>$G639*N633*P$16</f>
        <v>0</v>
      </c>
      <c r="P639" s="1067"/>
      <c r="Q639" s="1068"/>
      <c r="R639" s="1069">
        <f>$G639*Q633*S$16</f>
        <v>0</v>
      </c>
      <c r="S639" s="1067"/>
      <c r="T639" s="1244"/>
      <c r="U639" s="571"/>
      <c r="V639" s="573"/>
    </row>
    <row r="640" spans="1:22" hidden="1">
      <c r="A640" s="605" t="s">
        <v>878</v>
      </c>
      <c r="B640" s="1070">
        <v>0</v>
      </c>
      <c r="C640" s="1069" t="s">
        <v>879</v>
      </c>
      <c r="D640" s="1070">
        <f>roomrent</f>
        <v>0</v>
      </c>
      <c r="E640" s="1069" t="s">
        <v>249</v>
      </c>
      <c r="F640" s="1069">
        <f>IF(B640=0,0,F633)</f>
        <v>0</v>
      </c>
      <c r="G640" s="1069">
        <f t="shared" si="60"/>
        <v>0</v>
      </c>
      <c r="H640" s="1068"/>
      <c r="I640" s="1069">
        <f>$G640*H633*J$16</f>
        <v>0</v>
      </c>
      <c r="J640" s="571"/>
      <c r="K640" s="1068"/>
      <c r="L640" s="1069">
        <f>$G640*K633*M$16</f>
        <v>0</v>
      </c>
      <c r="M640" s="1067"/>
      <c r="N640" s="1068"/>
      <c r="O640" s="1069">
        <f>$G640*N633*P$16</f>
        <v>0</v>
      </c>
      <c r="P640" s="1067"/>
      <c r="Q640" s="1068"/>
      <c r="R640" s="1069">
        <f>$G640*Q633*S$16</f>
        <v>0</v>
      </c>
      <c r="S640" s="1067"/>
      <c r="T640" s="1244"/>
      <c r="U640" s="571"/>
      <c r="V640" s="573"/>
    </row>
    <row r="641" spans="1:22" hidden="1">
      <c r="A641" s="605" t="s">
        <v>630</v>
      </c>
      <c r="B641" s="1070">
        <v>0</v>
      </c>
      <c r="C641" s="1069" t="s">
        <v>248</v>
      </c>
      <c r="D641" s="1070">
        <f>partmisc</f>
        <v>0</v>
      </c>
      <c r="E641" s="1069" t="s">
        <v>249</v>
      </c>
      <c r="F641" s="1070">
        <v>5</v>
      </c>
      <c r="G641" s="1069">
        <f t="shared" si="60"/>
        <v>0</v>
      </c>
      <c r="H641" s="1068"/>
      <c r="I641" s="1069">
        <f>$G641*H633*J$16</f>
        <v>0</v>
      </c>
      <c r="J641" s="571"/>
      <c r="K641" s="1068"/>
      <c r="L641" s="1069">
        <f>$G641*K633*M$16</f>
        <v>0</v>
      </c>
      <c r="M641" s="1067"/>
      <c r="N641" s="1068"/>
      <c r="O641" s="1069">
        <f>$G641*N633*P$16</f>
        <v>0</v>
      </c>
      <c r="P641" s="1067"/>
      <c r="Q641" s="1068"/>
      <c r="R641" s="1069">
        <f>$G641*Q633*S$16</f>
        <v>0</v>
      </c>
      <c r="S641" s="1067"/>
      <c r="T641" s="1244"/>
      <c r="U641" s="571"/>
      <c r="V641" s="573"/>
    </row>
    <row r="642" spans="1:22" hidden="1">
      <c r="A642" s="605"/>
      <c r="B642" s="1069"/>
      <c r="C642" s="1069"/>
      <c r="D642" s="1069"/>
      <c r="E642" s="1069"/>
      <c r="F642" s="1069"/>
      <c r="G642" s="1069"/>
      <c r="H642" s="1068"/>
      <c r="I642" s="1069"/>
      <c r="J642" s="571"/>
      <c r="K642" s="1068"/>
      <c r="L642" s="1069"/>
      <c r="M642" s="1067"/>
      <c r="N642" s="1068"/>
      <c r="O642" s="1069"/>
      <c r="P642" s="1067"/>
      <c r="Q642" s="1068"/>
      <c r="R642" s="1069"/>
      <c r="S642" s="1067"/>
      <c r="T642" s="1244"/>
      <c r="U642" s="571"/>
      <c r="V642" s="573"/>
    </row>
    <row r="643" spans="1:22" hidden="1">
      <c r="A643" s="613" t="s">
        <v>880</v>
      </c>
      <c r="B643" s="1069"/>
      <c r="C643" s="1069"/>
      <c r="D643" s="1069"/>
      <c r="E643" s="1069"/>
      <c r="F643" s="1069"/>
      <c r="G643" s="1069">
        <f t="shared" ref="G643:G648" si="61">B643*D643*F643</f>
        <v>0</v>
      </c>
      <c r="H643" s="1068"/>
      <c r="I643" s="1069">
        <f>$G643*H633*J$16</f>
        <v>0</v>
      </c>
      <c r="J643" s="571"/>
      <c r="K643" s="1068"/>
      <c r="L643" s="1069">
        <f>$G643*K633*M$16</f>
        <v>0</v>
      </c>
      <c r="M643" s="1067"/>
      <c r="N643" s="1068"/>
      <c r="O643" s="1069">
        <f>$G643*N633*P$16</f>
        <v>0</v>
      </c>
      <c r="P643" s="1067"/>
      <c r="Q643" s="1068"/>
      <c r="R643" s="1069">
        <f>$G643*Q633*S$16</f>
        <v>0</v>
      </c>
      <c r="S643" s="1067"/>
      <c r="T643" s="1244"/>
      <c r="U643" s="571"/>
      <c r="V643" s="573"/>
    </row>
    <row r="644" spans="1:22" hidden="1">
      <c r="A644" s="605" t="s">
        <v>881</v>
      </c>
      <c r="B644" s="1070">
        <v>0</v>
      </c>
      <c r="C644" s="1069" t="s">
        <v>248</v>
      </c>
      <c r="D644" s="1070">
        <f>partground</f>
        <v>9</v>
      </c>
      <c r="E644" s="1069" t="s">
        <v>262</v>
      </c>
      <c r="F644" s="1069">
        <f>IF(B644=0,0,1)</f>
        <v>0</v>
      </c>
      <c r="G644" s="1069">
        <f t="shared" si="61"/>
        <v>0</v>
      </c>
      <c r="H644" s="1068"/>
      <c r="I644" s="1069">
        <f>$G644*H633*J$16</f>
        <v>0</v>
      </c>
      <c r="J644" s="571"/>
      <c r="K644" s="1068"/>
      <c r="L644" s="1069">
        <f>$G644*K633*M$16</f>
        <v>0</v>
      </c>
      <c r="M644" s="1067"/>
      <c r="N644" s="1068"/>
      <c r="O644" s="1069">
        <f>$G644*N633*P$16</f>
        <v>0</v>
      </c>
      <c r="P644" s="1067"/>
      <c r="Q644" s="1068"/>
      <c r="R644" s="1069">
        <f>$G644*Q633*S$16</f>
        <v>0</v>
      </c>
      <c r="S644" s="1067"/>
      <c r="T644" s="1244"/>
      <c r="U644" s="571"/>
      <c r="V644" s="573"/>
    </row>
    <row r="645" spans="1:22" hidden="1">
      <c r="A645" s="605" t="s">
        <v>882</v>
      </c>
      <c r="B645" s="1070">
        <v>0</v>
      </c>
      <c r="C645" s="1069" t="s">
        <v>248</v>
      </c>
      <c r="D645" s="1070">
        <f>partground</f>
        <v>9</v>
      </c>
      <c r="E645" s="1069" t="s">
        <v>249</v>
      </c>
      <c r="F645" s="1069">
        <f>IF(B645=0,0,1)</f>
        <v>0</v>
      </c>
      <c r="G645" s="1069">
        <f t="shared" si="61"/>
        <v>0</v>
      </c>
      <c r="H645" s="1068"/>
      <c r="I645" s="1069">
        <f>$G645*H633*J$16</f>
        <v>0</v>
      </c>
      <c r="J645" s="571"/>
      <c r="K645" s="1068"/>
      <c r="L645" s="1069">
        <f>$G645*K633*M$16</f>
        <v>0</v>
      </c>
      <c r="M645" s="1067"/>
      <c r="N645" s="1068"/>
      <c r="O645" s="1069">
        <f>$G645*N633*P$16</f>
        <v>0</v>
      </c>
      <c r="P645" s="1067"/>
      <c r="Q645" s="1068"/>
      <c r="R645" s="1069">
        <f>$G645*Q633*S$16</f>
        <v>0</v>
      </c>
      <c r="S645" s="1067"/>
      <c r="T645" s="1244"/>
      <c r="U645" s="571"/>
      <c r="V645" s="573"/>
    </row>
    <row r="646" spans="1:22" hidden="1">
      <c r="A646" s="605" t="s">
        <v>264</v>
      </c>
      <c r="B646" s="1069">
        <f>B644+B645</f>
        <v>0</v>
      </c>
      <c r="C646" s="1069" t="s">
        <v>248</v>
      </c>
      <c r="D646" s="1070">
        <f>partlodg</f>
        <v>35</v>
      </c>
      <c r="E646" s="1069" t="s">
        <v>249</v>
      </c>
      <c r="F646" s="1069">
        <f>IF(B646=0,0,F633)</f>
        <v>0</v>
      </c>
      <c r="G646" s="1069">
        <f t="shared" si="61"/>
        <v>0</v>
      </c>
      <c r="H646" s="1068"/>
      <c r="I646" s="1069">
        <f>$G646*H633*J$16</f>
        <v>0</v>
      </c>
      <c r="J646" s="571"/>
      <c r="K646" s="1068"/>
      <c r="L646" s="1069">
        <f>$G646*K633*M$16</f>
        <v>0</v>
      </c>
      <c r="M646" s="1067"/>
      <c r="N646" s="1068"/>
      <c r="O646" s="1069">
        <f>$G646*N633*P$16</f>
        <v>0</v>
      </c>
      <c r="P646" s="1067"/>
      <c r="Q646" s="1068"/>
      <c r="R646" s="1069">
        <f>$G646*Q633*S$16</f>
        <v>0</v>
      </c>
      <c r="S646" s="1067"/>
      <c r="T646" s="1244"/>
      <c r="U646" s="571"/>
      <c r="V646" s="573"/>
    </row>
    <row r="647" spans="1:22" hidden="1">
      <c r="A647" s="605" t="s">
        <v>783</v>
      </c>
      <c r="B647" s="1069">
        <f>B646</f>
        <v>0</v>
      </c>
      <c r="C647" s="1069" t="s">
        <v>248</v>
      </c>
      <c r="D647" s="1070">
        <f>partmeals</f>
        <v>47</v>
      </c>
      <c r="E647" s="1069" t="s">
        <v>249</v>
      </c>
      <c r="F647" s="1069">
        <f>IF(B647=0,0,F633)</f>
        <v>0</v>
      </c>
      <c r="G647" s="1069">
        <f t="shared" si="61"/>
        <v>0</v>
      </c>
      <c r="H647" s="1068"/>
      <c r="I647" s="1069">
        <f>$G647*H633*J$16</f>
        <v>0</v>
      </c>
      <c r="J647" s="571"/>
      <c r="K647" s="1068"/>
      <c r="L647" s="1069">
        <f>$G647*K633*M$16</f>
        <v>0</v>
      </c>
      <c r="M647" s="1067"/>
      <c r="N647" s="1068"/>
      <c r="O647" s="1069">
        <f>$G647*N633*P$16</f>
        <v>0</v>
      </c>
      <c r="P647" s="1067"/>
      <c r="Q647" s="1068"/>
      <c r="R647" s="1069">
        <f>$G647*Q633*S$16</f>
        <v>0</v>
      </c>
      <c r="S647" s="1067"/>
      <c r="T647" s="1244"/>
      <c r="U647" s="571"/>
      <c r="V647" s="573"/>
    </row>
    <row r="648" spans="1:22" hidden="1">
      <c r="A648" s="605" t="s">
        <v>644</v>
      </c>
      <c r="B648" s="1069">
        <f>B647</f>
        <v>0</v>
      </c>
      <c r="C648" s="1069" t="s">
        <v>248</v>
      </c>
      <c r="D648" s="1070">
        <f>parttransp</f>
        <v>4</v>
      </c>
      <c r="E648" s="1069" t="s">
        <v>262</v>
      </c>
      <c r="F648" s="1070">
        <v>0</v>
      </c>
      <c r="G648" s="1069">
        <f t="shared" si="61"/>
        <v>0</v>
      </c>
      <c r="H648" s="1068"/>
      <c r="I648" s="1069">
        <f>$G648*H633*J$16</f>
        <v>0</v>
      </c>
      <c r="J648" s="571"/>
      <c r="K648" s="1068"/>
      <c r="L648" s="1069">
        <f>$G648*K633*M$16</f>
        <v>0</v>
      </c>
      <c r="M648" s="1067"/>
      <c r="N648" s="1068"/>
      <c r="O648" s="1069">
        <f>$G648*N633*P$16</f>
        <v>0</v>
      </c>
      <c r="P648" s="1067"/>
      <c r="Q648" s="1068"/>
      <c r="R648" s="1069">
        <f>$G648*Q633*S$16</f>
        <v>0</v>
      </c>
      <c r="S648" s="1067"/>
      <c r="T648" s="1244"/>
      <c r="U648" s="571"/>
      <c r="V648" s="573"/>
    </row>
    <row r="649" spans="1:22" hidden="1">
      <c r="A649" s="615"/>
      <c r="B649" s="1264"/>
      <c r="C649" s="1264"/>
      <c r="D649" s="1265">
        <v>0</v>
      </c>
      <c r="E649" s="1264"/>
      <c r="F649" s="1265"/>
      <c r="G649" s="1266">
        <f>B649*D649</f>
        <v>0</v>
      </c>
      <c r="H649" s="1267"/>
      <c r="I649" s="1264">
        <f>$G649*H633*J$16</f>
        <v>0</v>
      </c>
      <c r="J649" s="619"/>
      <c r="K649" s="1267"/>
      <c r="L649" s="1264">
        <f>$G649*K633*M$16</f>
        <v>0</v>
      </c>
      <c r="M649" s="1266"/>
      <c r="N649" s="1267"/>
      <c r="O649" s="1264">
        <f>$G649*N633*P$16</f>
        <v>0</v>
      </c>
      <c r="P649" s="1266"/>
      <c r="Q649" s="1267"/>
      <c r="R649" s="1264">
        <f>$G649*Q633*S$16</f>
        <v>0</v>
      </c>
      <c r="S649" s="1266"/>
      <c r="T649" s="1268"/>
      <c r="U649" s="571"/>
      <c r="V649" s="573"/>
    </row>
    <row r="650" spans="1:22" hidden="1">
      <c r="A650" s="621" t="s">
        <v>269</v>
      </c>
      <c r="B650" s="622"/>
      <c r="C650" s="622"/>
      <c r="D650" s="1246"/>
      <c r="E650" s="1410">
        <f>SUM(G634:G649)</f>
        <v>0</v>
      </c>
      <c r="F650" s="1411"/>
      <c r="G650" s="1247"/>
      <c r="H650" s="1248"/>
      <c r="I650" s="1248"/>
      <c r="J650" s="1239"/>
      <c r="K650" s="1248"/>
      <c r="L650" s="1248"/>
      <c r="M650" s="1239"/>
      <c r="N650" s="1248"/>
      <c r="O650" s="1248"/>
      <c r="P650" s="1239"/>
      <c r="Q650" s="1248"/>
      <c r="R650" s="1248"/>
      <c r="S650" s="1239"/>
      <c r="T650" s="1249"/>
      <c r="U650" s="571"/>
      <c r="V650" s="573"/>
    </row>
    <row r="651" spans="1:22" hidden="1">
      <c r="A651" s="569"/>
      <c r="B651" s="627"/>
      <c r="C651" s="627"/>
      <c r="D651" s="627"/>
      <c r="E651" s="627"/>
      <c r="F651" s="627"/>
      <c r="G651" s="592"/>
      <c r="H651" s="592"/>
      <c r="I651" s="592"/>
      <c r="J651" s="592"/>
      <c r="K651" s="592"/>
      <c r="L651" s="592"/>
      <c r="M651" s="592"/>
      <c r="N651" s="592"/>
      <c r="O651" s="592"/>
      <c r="P651" s="592"/>
      <c r="Q651" s="592"/>
      <c r="R651" s="592"/>
      <c r="S651" s="592"/>
      <c r="T651" s="593"/>
      <c r="U651" s="571"/>
      <c r="V651" s="573"/>
    </row>
    <row r="652" spans="1:22" hidden="1">
      <c r="A652" s="1402" t="s">
        <v>876</v>
      </c>
      <c r="B652" s="1403"/>
      <c r="C652" s="1403"/>
      <c r="D652" s="1403"/>
      <c r="E652" s="1404"/>
      <c r="F652" s="594"/>
      <c r="G652" s="595"/>
      <c r="H652" s="1405">
        <v>0</v>
      </c>
      <c r="I652" s="1406"/>
      <c r="J652" s="596">
        <f>SUM(I654:I668)</f>
        <v>0</v>
      </c>
      <c r="K652" s="1407">
        <v>0</v>
      </c>
      <c r="L652" s="1408"/>
      <c r="M652" s="597">
        <f>SUM(L654:L668)</f>
        <v>0</v>
      </c>
      <c r="N652" s="1407">
        <v>0</v>
      </c>
      <c r="O652" s="1408"/>
      <c r="P652" s="597">
        <f>SUM(O654:O668)</f>
        <v>0</v>
      </c>
      <c r="Q652" s="1409">
        <v>0</v>
      </c>
      <c r="R652" s="1407"/>
      <c r="S652" s="597">
        <f>SUM(R654:R668)</f>
        <v>0</v>
      </c>
      <c r="T652" s="1066">
        <f>SUM(J652,M652,P652,S652,)</f>
        <v>0</v>
      </c>
      <c r="U652" s="571"/>
      <c r="V652" s="573"/>
    </row>
    <row r="653" spans="1:22" hidden="1">
      <c r="A653" s="599" t="s">
        <v>283</v>
      </c>
      <c r="B653" s="1239"/>
      <c r="C653" s="1239"/>
      <c r="D653" s="1239"/>
      <c r="E653" s="1239"/>
      <c r="F653" s="1239"/>
      <c r="G653" s="1239"/>
      <c r="H653" s="1240"/>
      <c r="I653" s="1239"/>
      <c r="J653" s="1239"/>
      <c r="K653" s="1240"/>
      <c r="L653" s="1239"/>
      <c r="M653" s="1241"/>
      <c r="N653" s="1240"/>
      <c r="O653" s="1239"/>
      <c r="P653" s="1241"/>
      <c r="Q653" s="1240"/>
      <c r="R653" s="1239"/>
      <c r="S653" s="1241"/>
      <c r="T653" s="1242"/>
      <c r="U653" s="571"/>
      <c r="V653" s="573"/>
    </row>
    <row r="654" spans="1:22" hidden="1">
      <c r="A654" s="605" t="s">
        <v>247</v>
      </c>
      <c r="B654" s="1070">
        <v>0</v>
      </c>
      <c r="C654" s="1069" t="s">
        <v>248</v>
      </c>
      <c r="D654" s="1070">
        <f>parttransp</f>
        <v>4</v>
      </c>
      <c r="E654" s="1069" t="s">
        <v>249</v>
      </c>
      <c r="F654" s="1069">
        <f>IF(B654=0,0,F652)</f>
        <v>0</v>
      </c>
      <c r="G654" s="1069">
        <f t="shared" ref="G654:G660" si="62">B654*D654*F654</f>
        <v>0</v>
      </c>
      <c r="H654" s="1068"/>
      <c r="I654" s="1069">
        <f>$G654*H652*J$16</f>
        <v>0</v>
      </c>
      <c r="J654" s="571"/>
      <c r="K654" s="1068"/>
      <c r="L654" s="1069">
        <f>$G654*K652*M$16</f>
        <v>0</v>
      </c>
      <c r="M654" s="1067"/>
      <c r="N654" s="1068"/>
      <c r="O654" s="1069">
        <f>$G654*N652*P$16</f>
        <v>0</v>
      </c>
      <c r="P654" s="1067"/>
      <c r="Q654" s="1068"/>
      <c r="R654" s="1069">
        <f>$G654*Q652*S$16</f>
        <v>0</v>
      </c>
      <c r="S654" s="1067"/>
      <c r="T654" s="1244"/>
      <c r="U654" s="571"/>
      <c r="V654" s="573"/>
    </row>
    <row r="655" spans="1:22" hidden="1">
      <c r="A655" s="605" t="s">
        <v>251</v>
      </c>
      <c r="B655" s="1070">
        <v>0</v>
      </c>
      <c r="C655" s="1069" t="s">
        <v>248</v>
      </c>
      <c r="D655" s="1070">
        <f>coffee+lunch</f>
        <v>16</v>
      </c>
      <c r="E655" s="1069" t="s">
        <v>249</v>
      </c>
      <c r="F655" s="1069">
        <f>IF(B655=0,0,F652)</f>
        <v>0</v>
      </c>
      <c r="G655" s="1069">
        <f t="shared" si="62"/>
        <v>0</v>
      </c>
      <c r="H655" s="1068"/>
      <c r="I655" s="1069">
        <f>$G655*H652*J$16</f>
        <v>0</v>
      </c>
      <c r="J655" s="571"/>
      <c r="K655" s="1068"/>
      <c r="L655" s="1069">
        <f>$G655*K652*M$16</f>
        <v>0</v>
      </c>
      <c r="M655" s="1067"/>
      <c r="N655" s="1068"/>
      <c r="O655" s="1069">
        <f>$G655*N652*P$16</f>
        <v>0</v>
      </c>
      <c r="P655" s="1067"/>
      <c r="Q655" s="1068"/>
      <c r="R655" s="1069">
        <f>$G655*Q652*S$16</f>
        <v>0</v>
      </c>
      <c r="S655" s="1067"/>
      <c r="T655" s="1244"/>
      <c r="U655" s="571"/>
      <c r="V655" s="573"/>
    </row>
    <row r="656" spans="1:22" hidden="1">
      <c r="A656" s="605" t="s">
        <v>253</v>
      </c>
      <c r="B656" s="1070">
        <v>0</v>
      </c>
      <c r="C656" s="1069" t="s">
        <v>254</v>
      </c>
      <c r="D656" s="1070">
        <f>mats</f>
        <v>0</v>
      </c>
      <c r="E656" s="1069" t="str">
        <f>C656</f>
        <v>workshop</v>
      </c>
      <c r="F656" s="1069">
        <f>IF(B656=0,0,1)</f>
        <v>0</v>
      </c>
      <c r="G656" s="1069">
        <f t="shared" si="62"/>
        <v>0</v>
      </c>
      <c r="H656" s="1068"/>
      <c r="I656" s="1069">
        <f>$G656*H652*J$16</f>
        <v>0</v>
      </c>
      <c r="J656" s="571"/>
      <c r="K656" s="1068"/>
      <c r="L656" s="1069">
        <f>$G656*K652*M$16</f>
        <v>0</v>
      </c>
      <c r="M656" s="1067"/>
      <c r="N656" s="1068"/>
      <c r="O656" s="1069">
        <f>$G656*N652*P$16</f>
        <v>0</v>
      </c>
      <c r="P656" s="1067"/>
      <c r="Q656" s="1068"/>
      <c r="R656" s="1069">
        <f>$G656*Q652*S$16</f>
        <v>0</v>
      </c>
      <c r="S656" s="1067"/>
      <c r="T656" s="1244"/>
      <c r="U656" s="571"/>
      <c r="V656" s="573"/>
    </row>
    <row r="657" spans="1:22" hidden="1">
      <c r="A657" s="605" t="s">
        <v>276</v>
      </c>
      <c r="B657" s="1070">
        <v>0</v>
      </c>
      <c r="C657" s="1069" t="s">
        <v>277</v>
      </c>
      <c r="D657" s="1070">
        <f>print</f>
        <v>50</v>
      </c>
      <c r="E657" s="1069" t="str">
        <f>C657</f>
        <v>activity</v>
      </c>
      <c r="F657" s="1069">
        <f>IF(B657=0,0,1)</f>
        <v>0</v>
      </c>
      <c r="G657" s="1069">
        <f t="shared" si="62"/>
        <v>0</v>
      </c>
      <c r="H657" s="1068"/>
      <c r="I657" s="1069">
        <f>$G657*H652*J$16</f>
        <v>0</v>
      </c>
      <c r="J657" s="571"/>
      <c r="K657" s="1068"/>
      <c r="L657" s="1069">
        <f>$G657*K652*M$16</f>
        <v>0</v>
      </c>
      <c r="M657" s="1067"/>
      <c r="N657" s="1068"/>
      <c r="O657" s="1069">
        <f>$G657*N652*P$16</f>
        <v>0</v>
      </c>
      <c r="P657" s="1067"/>
      <c r="Q657" s="1068"/>
      <c r="R657" s="1069">
        <f>$G657*Q652*S$16</f>
        <v>0</v>
      </c>
      <c r="S657" s="1067"/>
      <c r="T657" s="1244"/>
      <c r="U657" s="571"/>
      <c r="V657" s="573"/>
    </row>
    <row r="658" spans="1:22" hidden="1">
      <c r="A658" s="605" t="s">
        <v>877</v>
      </c>
      <c r="B658" s="1070">
        <v>0</v>
      </c>
      <c r="C658" s="1069" t="s">
        <v>272</v>
      </c>
      <c r="D658" s="1070">
        <f>avrent</f>
        <v>0</v>
      </c>
      <c r="E658" s="1069" t="s">
        <v>249</v>
      </c>
      <c r="F658" s="1069">
        <f>IF(B658=0,0,F652)</f>
        <v>0</v>
      </c>
      <c r="G658" s="1069">
        <f t="shared" si="62"/>
        <v>0</v>
      </c>
      <c r="H658" s="1068"/>
      <c r="I658" s="1069">
        <f>$G658*H652*J$16</f>
        <v>0</v>
      </c>
      <c r="J658" s="571"/>
      <c r="K658" s="1068"/>
      <c r="L658" s="1069">
        <f>$G658*K652*M$16</f>
        <v>0</v>
      </c>
      <c r="M658" s="1067"/>
      <c r="N658" s="1068"/>
      <c r="O658" s="1069">
        <f>$G658*N652*P$16</f>
        <v>0</v>
      </c>
      <c r="P658" s="1067"/>
      <c r="Q658" s="1068"/>
      <c r="R658" s="1069">
        <f>$G658*Q652*S$16</f>
        <v>0</v>
      </c>
      <c r="S658" s="1067"/>
      <c r="T658" s="1244"/>
      <c r="U658" s="571"/>
      <c r="V658" s="573"/>
    </row>
    <row r="659" spans="1:22" hidden="1">
      <c r="A659" s="605" t="s">
        <v>878</v>
      </c>
      <c r="B659" s="1070">
        <v>0</v>
      </c>
      <c r="C659" s="1069" t="s">
        <v>879</v>
      </c>
      <c r="D659" s="1070">
        <f>roomrent</f>
        <v>0</v>
      </c>
      <c r="E659" s="1069" t="s">
        <v>249</v>
      </c>
      <c r="F659" s="1069">
        <f>IF(B659=0,0,F652)</f>
        <v>0</v>
      </c>
      <c r="G659" s="1069">
        <f t="shared" si="62"/>
        <v>0</v>
      </c>
      <c r="H659" s="1068"/>
      <c r="I659" s="1069">
        <f>$G659*H652*J$16</f>
        <v>0</v>
      </c>
      <c r="J659" s="571"/>
      <c r="K659" s="1068"/>
      <c r="L659" s="1069">
        <f>$G659*K652*M$16</f>
        <v>0</v>
      </c>
      <c r="M659" s="1067"/>
      <c r="N659" s="1068"/>
      <c r="O659" s="1069">
        <f>$G659*N652*P$16</f>
        <v>0</v>
      </c>
      <c r="P659" s="1067"/>
      <c r="Q659" s="1068"/>
      <c r="R659" s="1069">
        <f>$G659*Q652*S$16</f>
        <v>0</v>
      </c>
      <c r="S659" s="1067"/>
      <c r="T659" s="1244"/>
      <c r="U659" s="571"/>
      <c r="V659" s="573"/>
    </row>
    <row r="660" spans="1:22" hidden="1">
      <c r="A660" s="605" t="s">
        <v>630</v>
      </c>
      <c r="B660" s="1070">
        <v>0</v>
      </c>
      <c r="C660" s="1069" t="s">
        <v>248</v>
      </c>
      <c r="D660" s="1070">
        <f>partmisc</f>
        <v>0</v>
      </c>
      <c r="E660" s="1069" t="s">
        <v>249</v>
      </c>
      <c r="F660" s="1070">
        <v>5</v>
      </c>
      <c r="G660" s="1069">
        <f t="shared" si="62"/>
        <v>0</v>
      </c>
      <c r="H660" s="1068"/>
      <c r="I660" s="1069">
        <f>$G660*H652*J$16</f>
        <v>0</v>
      </c>
      <c r="J660" s="571"/>
      <c r="K660" s="1068"/>
      <c r="L660" s="1069">
        <f>$G660*K652*M$16</f>
        <v>0</v>
      </c>
      <c r="M660" s="1067"/>
      <c r="N660" s="1068"/>
      <c r="O660" s="1069">
        <f>$G660*N652*P$16</f>
        <v>0</v>
      </c>
      <c r="P660" s="1067"/>
      <c r="Q660" s="1068"/>
      <c r="R660" s="1069">
        <f>$G660*Q652*S$16</f>
        <v>0</v>
      </c>
      <c r="S660" s="1067"/>
      <c r="T660" s="1244"/>
      <c r="U660" s="571"/>
      <c r="V660" s="573"/>
    </row>
    <row r="661" spans="1:22" hidden="1">
      <c r="A661" s="605"/>
      <c r="B661" s="1069"/>
      <c r="C661" s="1069"/>
      <c r="D661" s="1069"/>
      <c r="E661" s="1069"/>
      <c r="F661" s="1069"/>
      <c r="G661" s="1069"/>
      <c r="H661" s="1068"/>
      <c r="I661" s="1069"/>
      <c r="J661" s="571"/>
      <c r="K661" s="1068"/>
      <c r="L661" s="1069"/>
      <c r="M661" s="1067"/>
      <c r="N661" s="1068"/>
      <c r="O661" s="1069"/>
      <c r="P661" s="1067"/>
      <c r="Q661" s="1068"/>
      <c r="R661" s="1069"/>
      <c r="S661" s="1067"/>
      <c r="T661" s="1244"/>
      <c r="U661" s="571"/>
      <c r="V661" s="573"/>
    </row>
    <row r="662" spans="1:22" hidden="1">
      <c r="A662" s="613" t="s">
        <v>880</v>
      </c>
      <c r="B662" s="1069"/>
      <c r="C662" s="1069"/>
      <c r="D662" s="1069"/>
      <c r="E662" s="1069"/>
      <c r="F662" s="1069"/>
      <c r="G662" s="1069">
        <f t="shared" ref="G662:G667" si="63">B662*D662*F662</f>
        <v>0</v>
      </c>
      <c r="H662" s="1068"/>
      <c r="I662" s="1069">
        <f>$G662*H652*J$16</f>
        <v>0</v>
      </c>
      <c r="J662" s="571"/>
      <c r="K662" s="1068"/>
      <c r="L662" s="1069">
        <f>$G662*K652*M$16</f>
        <v>0</v>
      </c>
      <c r="M662" s="1067"/>
      <c r="N662" s="1068"/>
      <c r="O662" s="1069">
        <f>$G662*N652*P$16</f>
        <v>0</v>
      </c>
      <c r="P662" s="1067"/>
      <c r="Q662" s="1068"/>
      <c r="R662" s="1069">
        <f>$G662*Q652*S$16</f>
        <v>0</v>
      </c>
      <c r="S662" s="1067"/>
      <c r="T662" s="1244"/>
      <c r="U662" s="571"/>
      <c r="V662" s="573"/>
    </row>
    <row r="663" spans="1:22" hidden="1">
      <c r="A663" s="605" t="s">
        <v>881</v>
      </c>
      <c r="B663" s="1070">
        <v>0</v>
      </c>
      <c r="C663" s="1069" t="s">
        <v>248</v>
      </c>
      <c r="D663" s="1070">
        <f>partground</f>
        <v>9</v>
      </c>
      <c r="E663" s="1069" t="s">
        <v>262</v>
      </c>
      <c r="F663" s="1069">
        <f>IF(B663=0,0,1)</f>
        <v>0</v>
      </c>
      <c r="G663" s="1069">
        <f t="shared" si="63"/>
        <v>0</v>
      </c>
      <c r="H663" s="1068"/>
      <c r="I663" s="1069">
        <f>$G663*H652*J$16</f>
        <v>0</v>
      </c>
      <c r="J663" s="571"/>
      <c r="K663" s="1068"/>
      <c r="L663" s="1069">
        <f>$G663*K652*M$16</f>
        <v>0</v>
      </c>
      <c r="M663" s="1067"/>
      <c r="N663" s="1068"/>
      <c r="O663" s="1069">
        <f>$G663*N652*P$16</f>
        <v>0</v>
      </c>
      <c r="P663" s="1067"/>
      <c r="Q663" s="1068"/>
      <c r="R663" s="1069">
        <f>$G663*Q652*S$16</f>
        <v>0</v>
      </c>
      <c r="S663" s="1067"/>
      <c r="T663" s="1244"/>
      <c r="U663" s="571"/>
      <c r="V663" s="573"/>
    </row>
    <row r="664" spans="1:22" hidden="1">
      <c r="A664" s="605" t="s">
        <v>882</v>
      </c>
      <c r="B664" s="1070">
        <v>0</v>
      </c>
      <c r="C664" s="1069" t="s">
        <v>248</v>
      </c>
      <c r="D664" s="1070">
        <f>partground</f>
        <v>9</v>
      </c>
      <c r="E664" s="1069" t="s">
        <v>249</v>
      </c>
      <c r="F664" s="1069">
        <f>IF(B664=0,0,1)</f>
        <v>0</v>
      </c>
      <c r="G664" s="1069">
        <f t="shared" si="63"/>
        <v>0</v>
      </c>
      <c r="H664" s="1068"/>
      <c r="I664" s="1069">
        <f>$G664*H652*J$16</f>
        <v>0</v>
      </c>
      <c r="J664" s="571"/>
      <c r="K664" s="1068"/>
      <c r="L664" s="1069">
        <f>$G664*K652*M$16</f>
        <v>0</v>
      </c>
      <c r="M664" s="1067"/>
      <c r="N664" s="1068"/>
      <c r="O664" s="1069">
        <f>$G664*N652*P$16</f>
        <v>0</v>
      </c>
      <c r="P664" s="1067"/>
      <c r="Q664" s="1068"/>
      <c r="R664" s="1069">
        <f>$G664*Q652*S$16</f>
        <v>0</v>
      </c>
      <c r="S664" s="1067"/>
      <c r="T664" s="1244"/>
      <c r="U664" s="571"/>
      <c r="V664" s="573"/>
    </row>
    <row r="665" spans="1:22" hidden="1">
      <c r="A665" s="605" t="s">
        <v>264</v>
      </c>
      <c r="B665" s="1069">
        <f>B663+B664</f>
        <v>0</v>
      </c>
      <c r="C665" s="1069" t="s">
        <v>248</v>
      </c>
      <c r="D665" s="1070">
        <f>partlodg</f>
        <v>35</v>
      </c>
      <c r="E665" s="1069" t="s">
        <v>249</v>
      </c>
      <c r="F665" s="1069">
        <f>IF(B665=0,0,F652)</f>
        <v>0</v>
      </c>
      <c r="G665" s="1069">
        <f t="shared" si="63"/>
        <v>0</v>
      </c>
      <c r="H665" s="1068"/>
      <c r="I665" s="1069">
        <f>$G665*H652*J$16</f>
        <v>0</v>
      </c>
      <c r="J665" s="571"/>
      <c r="K665" s="1068"/>
      <c r="L665" s="1069">
        <f>$G665*K652*M$16</f>
        <v>0</v>
      </c>
      <c r="M665" s="1067"/>
      <c r="N665" s="1068"/>
      <c r="O665" s="1069">
        <f>$G665*N652*P$16</f>
        <v>0</v>
      </c>
      <c r="P665" s="1067"/>
      <c r="Q665" s="1068"/>
      <c r="R665" s="1069">
        <f>$G665*Q652*S$16</f>
        <v>0</v>
      </c>
      <c r="S665" s="1067"/>
      <c r="T665" s="1244"/>
      <c r="U665" s="571"/>
      <c r="V665" s="573"/>
    </row>
    <row r="666" spans="1:22" hidden="1">
      <c r="A666" s="605" t="s">
        <v>783</v>
      </c>
      <c r="B666" s="1069">
        <f>B665</f>
        <v>0</v>
      </c>
      <c r="C666" s="1069" t="s">
        <v>248</v>
      </c>
      <c r="D666" s="1070">
        <f>partmeals</f>
        <v>47</v>
      </c>
      <c r="E666" s="1069" t="s">
        <v>249</v>
      </c>
      <c r="F666" s="1069">
        <f>IF(B666=0,0,F652)</f>
        <v>0</v>
      </c>
      <c r="G666" s="1069">
        <f t="shared" si="63"/>
        <v>0</v>
      </c>
      <c r="H666" s="1068"/>
      <c r="I666" s="1069">
        <f>$G666*H652*J$16</f>
        <v>0</v>
      </c>
      <c r="J666" s="571"/>
      <c r="K666" s="1068"/>
      <c r="L666" s="1069">
        <f>$G666*K652*M$16</f>
        <v>0</v>
      </c>
      <c r="M666" s="1067"/>
      <c r="N666" s="1068"/>
      <c r="O666" s="1069">
        <f>$G666*N652*P$16</f>
        <v>0</v>
      </c>
      <c r="P666" s="1067"/>
      <c r="Q666" s="1068"/>
      <c r="R666" s="1069">
        <f>$G666*Q652*S$16</f>
        <v>0</v>
      </c>
      <c r="S666" s="1067"/>
      <c r="T666" s="1244"/>
      <c r="U666" s="571"/>
      <c r="V666" s="573"/>
    </row>
    <row r="667" spans="1:22" hidden="1">
      <c r="A667" s="605" t="s">
        <v>644</v>
      </c>
      <c r="B667" s="1069">
        <f>B666</f>
        <v>0</v>
      </c>
      <c r="C667" s="1069" t="s">
        <v>248</v>
      </c>
      <c r="D667" s="1070">
        <f>parttransp</f>
        <v>4</v>
      </c>
      <c r="E667" s="1069" t="s">
        <v>262</v>
      </c>
      <c r="F667" s="1070">
        <v>0</v>
      </c>
      <c r="G667" s="1069">
        <f t="shared" si="63"/>
        <v>0</v>
      </c>
      <c r="H667" s="1068"/>
      <c r="I667" s="1069">
        <f>$G667*H652*J$16</f>
        <v>0</v>
      </c>
      <c r="J667" s="571"/>
      <c r="K667" s="1068"/>
      <c r="L667" s="1069">
        <f>$G667*K652*M$16</f>
        <v>0</v>
      </c>
      <c r="M667" s="1067"/>
      <c r="N667" s="1068"/>
      <c r="O667" s="1069">
        <f>$G667*N652*P$16</f>
        <v>0</v>
      </c>
      <c r="P667" s="1067"/>
      <c r="Q667" s="1068"/>
      <c r="R667" s="1069">
        <f>$G667*Q652*S$16</f>
        <v>0</v>
      </c>
      <c r="S667" s="1067"/>
      <c r="T667" s="1244"/>
      <c r="U667" s="571"/>
      <c r="V667" s="573"/>
    </row>
    <row r="668" spans="1:22" hidden="1">
      <c r="A668" s="615"/>
      <c r="B668" s="1264"/>
      <c r="C668" s="1264"/>
      <c r="D668" s="1070">
        <f>parttransp</f>
        <v>4</v>
      </c>
      <c r="E668" s="1264"/>
      <c r="F668" s="1265"/>
      <c r="G668" s="1266">
        <f>B668*D668</f>
        <v>0</v>
      </c>
      <c r="H668" s="1267"/>
      <c r="I668" s="1264">
        <f>$G668*H652*J$16</f>
        <v>0</v>
      </c>
      <c r="J668" s="619"/>
      <c r="K668" s="1267"/>
      <c r="L668" s="1264">
        <f>$G668*K652*M$16</f>
        <v>0</v>
      </c>
      <c r="M668" s="1266"/>
      <c r="N668" s="1267"/>
      <c r="O668" s="1264">
        <f>$G668*N652*P$16</f>
        <v>0</v>
      </c>
      <c r="P668" s="1266"/>
      <c r="Q668" s="1267"/>
      <c r="R668" s="1264">
        <f>$G668*Q652*S$16</f>
        <v>0</v>
      </c>
      <c r="S668" s="1266"/>
      <c r="T668" s="1268"/>
      <c r="U668" s="571"/>
      <c r="V668" s="573"/>
    </row>
    <row r="669" spans="1:22" hidden="1">
      <c r="A669" s="621" t="s">
        <v>269</v>
      </c>
      <c r="B669" s="622"/>
      <c r="C669" s="622"/>
      <c r="D669" s="1246"/>
      <c r="E669" s="1410">
        <f>SUM(G653:G668)</f>
        <v>0</v>
      </c>
      <c r="F669" s="1411"/>
      <c r="G669" s="1247"/>
      <c r="H669" s="1248"/>
      <c r="I669" s="1248"/>
      <c r="J669" s="1239"/>
      <c r="K669" s="1248"/>
      <c r="L669" s="1248"/>
      <c r="M669" s="1239"/>
      <c r="N669" s="1248"/>
      <c r="O669" s="1248"/>
      <c r="P669" s="1239"/>
      <c r="Q669" s="1248"/>
      <c r="R669" s="1248"/>
      <c r="S669" s="1239"/>
      <c r="T669" s="1249"/>
      <c r="U669" s="571"/>
      <c r="V669" s="573"/>
    </row>
    <row r="670" spans="1:22" hidden="1">
      <c r="A670" s="569"/>
      <c r="B670" s="627"/>
      <c r="C670" s="627"/>
      <c r="D670" s="627"/>
      <c r="E670" s="627"/>
      <c r="F670" s="627"/>
      <c r="G670" s="592"/>
      <c r="H670" s="592"/>
      <c r="I670" s="592"/>
      <c r="J670" s="592"/>
      <c r="K670" s="592"/>
      <c r="L670" s="592"/>
      <c r="M670" s="592"/>
      <c r="N670" s="592"/>
      <c r="O670" s="592"/>
      <c r="P670" s="592"/>
      <c r="Q670" s="592"/>
      <c r="R670" s="592"/>
      <c r="S670" s="592"/>
      <c r="T670" s="593"/>
      <c r="U670" s="571"/>
      <c r="V670" s="573"/>
    </row>
    <row r="671" spans="1:22" hidden="1">
      <c r="A671" s="1402" t="s">
        <v>876</v>
      </c>
      <c r="B671" s="1403"/>
      <c r="C671" s="1403"/>
      <c r="D671" s="1403"/>
      <c r="E671" s="1404"/>
      <c r="F671" s="594"/>
      <c r="G671" s="595"/>
      <c r="H671" s="1405">
        <v>0</v>
      </c>
      <c r="I671" s="1406"/>
      <c r="J671" s="596">
        <f>SUM(I673:I687)</f>
        <v>0</v>
      </c>
      <c r="K671" s="1407">
        <v>0</v>
      </c>
      <c r="L671" s="1408"/>
      <c r="M671" s="597">
        <f>SUM(L673:L687)</f>
        <v>0</v>
      </c>
      <c r="N671" s="1407">
        <v>0</v>
      </c>
      <c r="O671" s="1408"/>
      <c r="P671" s="597">
        <f>SUM(O673:O687)</f>
        <v>0</v>
      </c>
      <c r="Q671" s="1409">
        <v>0</v>
      </c>
      <c r="R671" s="1407"/>
      <c r="S671" s="597">
        <f>SUM(R673:R687)</f>
        <v>0</v>
      </c>
      <c r="T671" s="1066">
        <f>SUM(J671,M671,P671,S671,)</f>
        <v>0</v>
      </c>
      <c r="U671" s="571"/>
      <c r="V671" s="573"/>
    </row>
    <row r="672" spans="1:22" hidden="1">
      <c r="A672" s="599" t="s">
        <v>283</v>
      </c>
      <c r="B672" s="1239"/>
      <c r="C672" s="1239"/>
      <c r="D672" s="1239"/>
      <c r="E672" s="1239"/>
      <c r="F672" s="1239"/>
      <c r="G672" s="1239"/>
      <c r="H672" s="1240"/>
      <c r="I672" s="1239"/>
      <c r="J672" s="1239"/>
      <c r="K672" s="1240"/>
      <c r="L672" s="1239"/>
      <c r="M672" s="1241"/>
      <c r="N672" s="1240"/>
      <c r="O672" s="1239"/>
      <c r="P672" s="1241"/>
      <c r="Q672" s="1240"/>
      <c r="R672" s="1239"/>
      <c r="S672" s="1241"/>
      <c r="T672" s="1242"/>
      <c r="U672" s="571"/>
      <c r="V672" s="573"/>
    </row>
    <row r="673" spans="1:22" hidden="1">
      <c r="A673" s="605" t="s">
        <v>247</v>
      </c>
      <c r="B673" s="1070">
        <v>0</v>
      </c>
      <c r="C673" s="1069" t="s">
        <v>248</v>
      </c>
      <c r="D673" s="1070">
        <f>parttransp</f>
        <v>4</v>
      </c>
      <c r="E673" s="1069" t="s">
        <v>249</v>
      </c>
      <c r="F673" s="1069">
        <f>IF(B673=0,0,F671)</f>
        <v>0</v>
      </c>
      <c r="G673" s="1069">
        <f t="shared" ref="G673:G679" si="64">B673*D673*F673</f>
        <v>0</v>
      </c>
      <c r="H673" s="1068"/>
      <c r="I673" s="1069">
        <f>$G673*H671*J$16</f>
        <v>0</v>
      </c>
      <c r="J673" s="571"/>
      <c r="K673" s="1068"/>
      <c r="L673" s="1069">
        <f>$G673*K671*M$16</f>
        <v>0</v>
      </c>
      <c r="M673" s="1067"/>
      <c r="N673" s="1068"/>
      <c r="O673" s="1069">
        <f>$G673*N671*P$16</f>
        <v>0</v>
      </c>
      <c r="P673" s="1067"/>
      <c r="Q673" s="1068"/>
      <c r="R673" s="1069">
        <f>$G673*Q671*S$16</f>
        <v>0</v>
      </c>
      <c r="S673" s="1067"/>
      <c r="T673" s="1244"/>
      <c r="U673" s="571"/>
      <c r="V673" s="573"/>
    </row>
    <row r="674" spans="1:22" hidden="1">
      <c r="A674" s="605" t="s">
        <v>251</v>
      </c>
      <c r="B674" s="1070">
        <v>0</v>
      </c>
      <c r="C674" s="1069" t="s">
        <v>248</v>
      </c>
      <c r="D674" s="1070">
        <f>coffee+lunch</f>
        <v>16</v>
      </c>
      <c r="E674" s="1069" t="s">
        <v>249</v>
      </c>
      <c r="F674" s="1069">
        <f>IF(B674=0,0,F671)</f>
        <v>0</v>
      </c>
      <c r="G674" s="1069">
        <f t="shared" si="64"/>
        <v>0</v>
      </c>
      <c r="H674" s="1068"/>
      <c r="I674" s="1069">
        <f>$G674*H671*J$16</f>
        <v>0</v>
      </c>
      <c r="J674" s="571"/>
      <c r="K674" s="1068"/>
      <c r="L674" s="1069">
        <f>$G674*K671*M$16</f>
        <v>0</v>
      </c>
      <c r="M674" s="1067"/>
      <c r="N674" s="1068"/>
      <c r="O674" s="1069">
        <f>$G674*N671*P$16</f>
        <v>0</v>
      </c>
      <c r="P674" s="1067"/>
      <c r="Q674" s="1068"/>
      <c r="R674" s="1069">
        <f>$G674*Q671*S$16</f>
        <v>0</v>
      </c>
      <c r="S674" s="1067"/>
      <c r="T674" s="1244"/>
      <c r="U674" s="571"/>
      <c r="V674" s="573"/>
    </row>
    <row r="675" spans="1:22" hidden="1">
      <c r="A675" s="605" t="s">
        <v>253</v>
      </c>
      <c r="B675" s="1070">
        <v>0</v>
      </c>
      <c r="C675" s="1069" t="s">
        <v>254</v>
      </c>
      <c r="D675" s="1070">
        <f>mats</f>
        <v>0</v>
      </c>
      <c r="E675" s="1069" t="str">
        <f>C675</f>
        <v>workshop</v>
      </c>
      <c r="F675" s="1069">
        <f>IF(B675=0,0,1)</f>
        <v>0</v>
      </c>
      <c r="G675" s="1069">
        <f t="shared" si="64"/>
        <v>0</v>
      </c>
      <c r="H675" s="1068"/>
      <c r="I675" s="1069">
        <f>$G675*H671*J$16</f>
        <v>0</v>
      </c>
      <c r="J675" s="571"/>
      <c r="K675" s="1068"/>
      <c r="L675" s="1069">
        <f>$G675*K671*M$16</f>
        <v>0</v>
      </c>
      <c r="M675" s="1067"/>
      <c r="N675" s="1068"/>
      <c r="O675" s="1069">
        <f>$G675*N671*P$16</f>
        <v>0</v>
      </c>
      <c r="P675" s="1067"/>
      <c r="Q675" s="1068"/>
      <c r="R675" s="1069">
        <f>$G675*Q671*S$16</f>
        <v>0</v>
      </c>
      <c r="S675" s="1067"/>
      <c r="T675" s="1244"/>
      <c r="U675" s="571"/>
      <c r="V675" s="573"/>
    </row>
    <row r="676" spans="1:22" hidden="1">
      <c r="A676" s="605" t="s">
        <v>276</v>
      </c>
      <c r="B676" s="1070">
        <v>0</v>
      </c>
      <c r="C676" s="1069" t="s">
        <v>277</v>
      </c>
      <c r="D676" s="1070">
        <f>print</f>
        <v>50</v>
      </c>
      <c r="E676" s="1069" t="str">
        <f>C676</f>
        <v>activity</v>
      </c>
      <c r="F676" s="1069">
        <f>IF(B676=0,0,1)</f>
        <v>0</v>
      </c>
      <c r="G676" s="1069">
        <f t="shared" si="64"/>
        <v>0</v>
      </c>
      <c r="H676" s="1068"/>
      <c r="I676" s="1069">
        <f>$G676*H671*J$16</f>
        <v>0</v>
      </c>
      <c r="J676" s="571"/>
      <c r="K676" s="1068"/>
      <c r="L676" s="1069">
        <f>$G676*K671*M$16</f>
        <v>0</v>
      </c>
      <c r="M676" s="1067"/>
      <c r="N676" s="1068"/>
      <c r="O676" s="1069">
        <f>$G676*N671*P$16</f>
        <v>0</v>
      </c>
      <c r="P676" s="1067"/>
      <c r="Q676" s="1068"/>
      <c r="R676" s="1069">
        <f>$G676*Q671*S$16</f>
        <v>0</v>
      </c>
      <c r="S676" s="1067"/>
      <c r="T676" s="1244"/>
      <c r="U676" s="571"/>
      <c r="V676" s="573"/>
    </row>
    <row r="677" spans="1:22" hidden="1">
      <c r="A677" s="605" t="s">
        <v>877</v>
      </c>
      <c r="B677" s="1070">
        <v>0</v>
      </c>
      <c r="C677" s="1069" t="s">
        <v>272</v>
      </c>
      <c r="D677" s="1070">
        <f>avrent</f>
        <v>0</v>
      </c>
      <c r="E677" s="1069" t="s">
        <v>249</v>
      </c>
      <c r="F677" s="1069">
        <f>IF(B677=0,0,F671)</f>
        <v>0</v>
      </c>
      <c r="G677" s="1069">
        <f t="shared" si="64"/>
        <v>0</v>
      </c>
      <c r="H677" s="1068"/>
      <c r="I677" s="1069">
        <f>$G677*H671*J$16</f>
        <v>0</v>
      </c>
      <c r="J677" s="571"/>
      <c r="K677" s="1068"/>
      <c r="L677" s="1069">
        <f>$G677*K671*M$16</f>
        <v>0</v>
      </c>
      <c r="M677" s="1067"/>
      <c r="N677" s="1068"/>
      <c r="O677" s="1069">
        <f>$G677*N671*P$16</f>
        <v>0</v>
      </c>
      <c r="P677" s="1067"/>
      <c r="Q677" s="1068"/>
      <c r="R677" s="1069">
        <f>$G677*Q671*S$16</f>
        <v>0</v>
      </c>
      <c r="S677" s="1067"/>
      <c r="T677" s="1244"/>
      <c r="U677" s="571"/>
      <c r="V677" s="573"/>
    </row>
    <row r="678" spans="1:22" hidden="1">
      <c r="A678" s="605" t="s">
        <v>878</v>
      </c>
      <c r="B678" s="1070">
        <v>0</v>
      </c>
      <c r="C678" s="1069" t="s">
        <v>879</v>
      </c>
      <c r="D678" s="1070">
        <f>roomrent</f>
        <v>0</v>
      </c>
      <c r="E678" s="1069" t="s">
        <v>249</v>
      </c>
      <c r="F678" s="1069">
        <f>IF(B678=0,0,F671)</f>
        <v>0</v>
      </c>
      <c r="G678" s="1069">
        <f t="shared" si="64"/>
        <v>0</v>
      </c>
      <c r="H678" s="1068"/>
      <c r="I678" s="1069">
        <f>$G678*H671*J$16</f>
        <v>0</v>
      </c>
      <c r="J678" s="571"/>
      <c r="K678" s="1068"/>
      <c r="L678" s="1069">
        <f>$G678*K671*M$16</f>
        <v>0</v>
      </c>
      <c r="M678" s="1067"/>
      <c r="N678" s="1068"/>
      <c r="O678" s="1069">
        <f>$G678*N671*P$16</f>
        <v>0</v>
      </c>
      <c r="P678" s="1067"/>
      <c r="Q678" s="1068"/>
      <c r="R678" s="1069">
        <f>$G678*Q671*S$16</f>
        <v>0</v>
      </c>
      <c r="S678" s="1067"/>
      <c r="T678" s="1244"/>
      <c r="U678" s="571"/>
      <c r="V678" s="573"/>
    </row>
    <row r="679" spans="1:22" hidden="1">
      <c r="A679" s="605" t="s">
        <v>630</v>
      </c>
      <c r="B679" s="1070">
        <v>0</v>
      </c>
      <c r="C679" s="1069" t="s">
        <v>248</v>
      </c>
      <c r="D679" s="1070">
        <f>partmisc</f>
        <v>0</v>
      </c>
      <c r="E679" s="1069" t="s">
        <v>249</v>
      </c>
      <c r="F679" s="1070">
        <v>5</v>
      </c>
      <c r="G679" s="1069">
        <f t="shared" si="64"/>
        <v>0</v>
      </c>
      <c r="H679" s="1068"/>
      <c r="I679" s="1069">
        <f>$G679*H671*J$16</f>
        <v>0</v>
      </c>
      <c r="J679" s="571"/>
      <c r="K679" s="1068"/>
      <c r="L679" s="1069">
        <f>$G679*K671*M$16</f>
        <v>0</v>
      </c>
      <c r="M679" s="1067"/>
      <c r="N679" s="1068"/>
      <c r="O679" s="1069">
        <f>$G679*N671*P$16</f>
        <v>0</v>
      </c>
      <c r="P679" s="1067"/>
      <c r="Q679" s="1068"/>
      <c r="R679" s="1069">
        <f>$G679*Q671*S$16</f>
        <v>0</v>
      </c>
      <c r="S679" s="1067"/>
      <c r="T679" s="1244"/>
      <c r="U679" s="571"/>
      <c r="V679" s="573"/>
    </row>
    <row r="680" spans="1:22" hidden="1">
      <c r="A680" s="605"/>
      <c r="B680" s="1069"/>
      <c r="C680" s="1069"/>
      <c r="D680" s="1069"/>
      <c r="E680" s="1069"/>
      <c r="F680" s="1069"/>
      <c r="G680" s="1069"/>
      <c r="H680" s="1068"/>
      <c r="I680" s="1069"/>
      <c r="J680" s="571"/>
      <c r="K680" s="1068"/>
      <c r="L680" s="1069"/>
      <c r="M680" s="1067"/>
      <c r="N680" s="1068"/>
      <c r="O680" s="1069"/>
      <c r="P680" s="1067"/>
      <c r="Q680" s="1068"/>
      <c r="R680" s="1069"/>
      <c r="S680" s="1067"/>
      <c r="T680" s="1244"/>
      <c r="U680" s="571"/>
      <c r="V680" s="573"/>
    </row>
    <row r="681" spans="1:22" hidden="1">
      <c r="A681" s="613" t="s">
        <v>880</v>
      </c>
      <c r="B681" s="1069"/>
      <c r="C681" s="1069"/>
      <c r="D681" s="1069"/>
      <c r="E681" s="1069"/>
      <c r="F681" s="1069"/>
      <c r="G681" s="1069">
        <f t="shared" ref="G681:G686" si="65">B681*D681*F681</f>
        <v>0</v>
      </c>
      <c r="H681" s="1068"/>
      <c r="I681" s="1069">
        <f>$G681*H671*J$16</f>
        <v>0</v>
      </c>
      <c r="J681" s="571"/>
      <c r="K681" s="1068"/>
      <c r="L681" s="1069">
        <f>$G681*K671*M$16</f>
        <v>0</v>
      </c>
      <c r="M681" s="1067"/>
      <c r="N681" s="1068"/>
      <c r="O681" s="1069">
        <f>$G681*N671*P$16</f>
        <v>0</v>
      </c>
      <c r="P681" s="1067"/>
      <c r="Q681" s="1068"/>
      <c r="R681" s="1069">
        <f>$G681*Q671*S$16</f>
        <v>0</v>
      </c>
      <c r="S681" s="1067"/>
      <c r="T681" s="1244"/>
      <c r="U681" s="571"/>
      <c r="V681" s="573"/>
    </row>
    <row r="682" spans="1:22" hidden="1">
      <c r="A682" s="605" t="s">
        <v>881</v>
      </c>
      <c r="B682" s="1070">
        <v>0</v>
      </c>
      <c r="C682" s="1069" t="s">
        <v>248</v>
      </c>
      <c r="D682" s="1070">
        <f>partground</f>
        <v>9</v>
      </c>
      <c r="E682" s="1069" t="s">
        <v>262</v>
      </c>
      <c r="F682" s="1069">
        <f>IF(B682=0,0,1)</f>
        <v>0</v>
      </c>
      <c r="G682" s="1069">
        <f t="shared" si="65"/>
        <v>0</v>
      </c>
      <c r="H682" s="1068"/>
      <c r="I682" s="1069">
        <f>$G682*H671*J$16</f>
        <v>0</v>
      </c>
      <c r="J682" s="571"/>
      <c r="K682" s="1068"/>
      <c r="L682" s="1069">
        <f>$G682*K671*M$16</f>
        <v>0</v>
      </c>
      <c r="M682" s="1067"/>
      <c r="N682" s="1068"/>
      <c r="O682" s="1069">
        <f>$G682*N671*P$16</f>
        <v>0</v>
      </c>
      <c r="P682" s="1067"/>
      <c r="Q682" s="1068"/>
      <c r="R682" s="1069">
        <f>$G682*Q671*S$16</f>
        <v>0</v>
      </c>
      <c r="S682" s="1067"/>
      <c r="T682" s="1244"/>
      <c r="U682" s="571"/>
      <c r="V682" s="573"/>
    </row>
    <row r="683" spans="1:22" hidden="1">
      <c r="A683" s="605" t="s">
        <v>882</v>
      </c>
      <c r="B683" s="1070">
        <v>0</v>
      </c>
      <c r="C683" s="1069" t="s">
        <v>248</v>
      </c>
      <c r="D683" s="1070">
        <f>partground</f>
        <v>9</v>
      </c>
      <c r="E683" s="1069" t="s">
        <v>249</v>
      </c>
      <c r="F683" s="1069">
        <f>IF(B683=0,0,1)</f>
        <v>0</v>
      </c>
      <c r="G683" s="1069">
        <f t="shared" si="65"/>
        <v>0</v>
      </c>
      <c r="H683" s="1068"/>
      <c r="I683" s="1069">
        <f>$G683*H671*J$16</f>
        <v>0</v>
      </c>
      <c r="J683" s="571"/>
      <c r="K683" s="1068"/>
      <c r="L683" s="1069">
        <f>$G683*K671*M$16</f>
        <v>0</v>
      </c>
      <c r="M683" s="1067"/>
      <c r="N683" s="1068"/>
      <c r="O683" s="1069">
        <f>$G683*N671*P$16</f>
        <v>0</v>
      </c>
      <c r="P683" s="1067"/>
      <c r="Q683" s="1068"/>
      <c r="R683" s="1069">
        <f>$G683*Q671*S$16</f>
        <v>0</v>
      </c>
      <c r="S683" s="1067"/>
      <c r="T683" s="1244"/>
      <c r="U683" s="571"/>
      <c r="V683" s="573"/>
    </row>
    <row r="684" spans="1:22" hidden="1">
      <c r="A684" s="605" t="s">
        <v>264</v>
      </c>
      <c r="B684" s="1069">
        <f>B682+B683</f>
        <v>0</v>
      </c>
      <c r="C684" s="1069" t="s">
        <v>248</v>
      </c>
      <c r="D684" s="1070">
        <f>partlodg</f>
        <v>35</v>
      </c>
      <c r="E684" s="1069" t="s">
        <v>249</v>
      </c>
      <c r="F684" s="1069">
        <f>IF(B684=0,0,F671)</f>
        <v>0</v>
      </c>
      <c r="G684" s="1069">
        <f t="shared" si="65"/>
        <v>0</v>
      </c>
      <c r="H684" s="1068"/>
      <c r="I684" s="1069">
        <f>$G684*H671*J$16</f>
        <v>0</v>
      </c>
      <c r="J684" s="571"/>
      <c r="K684" s="1068"/>
      <c r="L684" s="1069">
        <f>$G684*K671*M$16</f>
        <v>0</v>
      </c>
      <c r="M684" s="1067"/>
      <c r="N684" s="1068"/>
      <c r="O684" s="1069">
        <f>$G684*N671*P$16</f>
        <v>0</v>
      </c>
      <c r="P684" s="1067"/>
      <c r="Q684" s="1068"/>
      <c r="R684" s="1069">
        <f>$G684*Q671*S$16</f>
        <v>0</v>
      </c>
      <c r="S684" s="1067"/>
      <c r="T684" s="1244"/>
      <c r="U684" s="571"/>
      <c r="V684" s="573"/>
    </row>
    <row r="685" spans="1:22" hidden="1">
      <c r="A685" s="605" t="s">
        <v>783</v>
      </c>
      <c r="B685" s="1069">
        <f>B684</f>
        <v>0</v>
      </c>
      <c r="C685" s="1069" t="s">
        <v>248</v>
      </c>
      <c r="D685" s="1070">
        <f>partmeals</f>
        <v>47</v>
      </c>
      <c r="E685" s="1069" t="s">
        <v>249</v>
      </c>
      <c r="F685" s="1069">
        <f>IF(B685=0,0,F671)</f>
        <v>0</v>
      </c>
      <c r="G685" s="1069">
        <f t="shared" si="65"/>
        <v>0</v>
      </c>
      <c r="H685" s="1068"/>
      <c r="I685" s="1069">
        <f>$G685*H671*J$16</f>
        <v>0</v>
      </c>
      <c r="J685" s="571"/>
      <c r="K685" s="1068"/>
      <c r="L685" s="1069">
        <f>$G685*K671*M$16</f>
        <v>0</v>
      </c>
      <c r="M685" s="1067"/>
      <c r="N685" s="1068"/>
      <c r="O685" s="1069">
        <f>$G685*N671*P$16</f>
        <v>0</v>
      </c>
      <c r="P685" s="1067"/>
      <c r="Q685" s="1068"/>
      <c r="R685" s="1069">
        <f>$G685*Q671*S$16</f>
        <v>0</v>
      </c>
      <c r="S685" s="1067"/>
      <c r="T685" s="1244"/>
      <c r="U685" s="571"/>
      <c r="V685" s="573"/>
    </row>
    <row r="686" spans="1:22" hidden="1">
      <c r="A686" s="605" t="s">
        <v>644</v>
      </c>
      <c r="B686" s="1069">
        <f>B685</f>
        <v>0</v>
      </c>
      <c r="C686" s="1069" t="s">
        <v>248</v>
      </c>
      <c r="D686" s="1070">
        <f>parttransp</f>
        <v>4</v>
      </c>
      <c r="E686" s="1069" t="s">
        <v>262</v>
      </c>
      <c r="F686" s="1070">
        <v>0</v>
      </c>
      <c r="G686" s="1069">
        <f t="shared" si="65"/>
        <v>0</v>
      </c>
      <c r="H686" s="1068"/>
      <c r="I686" s="1069">
        <f>$G686*H671*J$16</f>
        <v>0</v>
      </c>
      <c r="J686" s="571"/>
      <c r="K686" s="1068"/>
      <c r="L686" s="1069">
        <f>$G686*K671*M$16</f>
        <v>0</v>
      </c>
      <c r="M686" s="1067"/>
      <c r="N686" s="1068"/>
      <c r="O686" s="1069">
        <f>$G686*N671*P$16</f>
        <v>0</v>
      </c>
      <c r="P686" s="1067"/>
      <c r="Q686" s="1068"/>
      <c r="R686" s="1069">
        <f>$G686*Q671*S$16</f>
        <v>0</v>
      </c>
      <c r="S686" s="1067"/>
      <c r="T686" s="1244"/>
      <c r="U686" s="571"/>
      <c r="V686" s="573"/>
    </row>
    <row r="687" spans="1:22" hidden="1">
      <c r="A687" s="615"/>
      <c r="B687" s="1264"/>
      <c r="C687" s="1264"/>
      <c r="D687" s="1070">
        <f>parttransp</f>
        <v>4</v>
      </c>
      <c r="E687" s="1264"/>
      <c r="F687" s="1265"/>
      <c r="G687" s="1266">
        <f>B687*D687</f>
        <v>0</v>
      </c>
      <c r="H687" s="1267"/>
      <c r="I687" s="1264">
        <f>$G687*H671*J$16</f>
        <v>0</v>
      </c>
      <c r="J687" s="619"/>
      <c r="K687" s="1267"/>
      <c r="L687" s="1264">
        <f>$G687*K671*M$16</f>
        <v>0</v>
      </c>
      <c r="M687" s="1266"/>
      <c r="N687" s="1267"/>
      <c r="O687" s="1264">
        <f>$G687*N671*P$16</f>
        <v>0</v>
      </c>
      <c r="P687" s="1266"/>
      <c r="Q687" s="1267"/>
      <c r="R687" s="1264">
        <f>$G687*Q671*S$16</f>
        <v>0</v>
      </c>
      <c r="S687" s="1266"/>
      <c r="T687" s="1268"/>
      <c r="U687" s="571"/>
      <c r="V687" s="573"/>
    </row>
    <row r="688" spans="1:22" hidden="1">
      <c r="A688" s="621" t="s">
        <v>269</v>
      </c>
      <c r="B688" s="622"/>
      <c r="C688" s="622"/>
      <c r="D688" s="1246"/>
      <c r="E688" s="1410">
        <f>SUM(G672:G687)</f>
        <v>0</v>
      </c>
      <c r="F688" s="1411"/>
      <c r="G688" s="1247"/>
      <c r="H688" s="1248"/>
      <c r="I688" s="1248"/>
      <c r="J688" s="1239"/>
      <c r="K688" s="1248"/>
      <c r="L688" s="1248"/>
      <c r="M688" s="1239"/>
      <c r="N688" s="1248"/>
      <c r="O688" s="1248"/>
      <c r="P688" s="1239"/>
      <c r="Q688" s="1248"/>
      <c r="R688" s="1248"/>
      <c r="S688" s="1239"/>
      <c r="T688" s="1249"/>
      <c r="U688" s="571"/>
      <c r="V688" s="573"/>
    </row>
    <row r="689" spans="1:22" ht="30.75" customHeight="1">
      <c r="A689" s="1415" t="s">
        <v>883</v>
      </c>
      <c r="B689" s="1416"/>
      <c r="C689" s="1416"/>
      <c r="D689" s="1416"/>
      <c r="E689" s="1417"/>
      <c r="F689" s="595">
        <v>3</v>
      </c>
      <c r="G689" s="595"/>
      <c r="H689" s="1438"/>
      <c r="I689" s="1439"/>
      <c r="J689" s="1278">
        <f>SUM(I692:I694)</f>
        <v>0</v>
      </c>
      <c r="K689" s="1444">
        <v>3</v>
      </c>
      <c r="L689" s="1455"/>
      <c r="M689" s="1279">
        <f>SUM(L692:L694)</f>
        <v>3900.0000000000005</v>
      </c>
      <c r="N689" s="1444">
        <v>3</v>
      </c>
      <c r="O689" s="1455"/>
      <c r="P689" s="1279">
        <f>SUM(O692:O694)</f>
        <v>4056</v>
      </c>
      <c r="Q689" s="1445">
        <v>2</v>
      </c>
      <c r="R689" s="1444"/>
      <c r="S689" s="597">
        <f>SUM(R692:R700)</f>
        <v>4202.4919040000013</v>
      </c>
      <c r="T689" s="1066">
        <f>SUM(J689,M689,P689,S689,)</f>
        <v>12158.491904000002</v>
      </c>
      <c r="U689" s="571"/>
      <c r="V689" s="573"/>
    </row>
    <row r="690" spans="1:22">
      <c r="A690" s="1250" t="s">
        <v>777</v>
      </c>
      <c r="B690" s="1239"/>
      <c r="C690" s="1239"/>
      <c r="D690" s="1239"/>
      <c r="E690" s="1239"/>
      <c r="F690" s="1239"/>
      <c r="G690" s="1239"/>
      <c r="H690" s="1240"/>
      <c r="I690" s="1239"/>
      <c r="J690" s="1239"/>
      <c r="K690" s="1240"/>
      <c r="L690" s="1239"/>
      <c r="M690" s="1241"/>
      <c r="N690" s="1240"/>
      <c r="O690" s="1239"/>
      <c r="P690" s="1241"/>
      <c r="Q690" s="1240"/>
      <c r="R690" s="1239"/>
      <c r="S690" s="1241"/>
      <c r="T690" s="1242"/>
      <c r="U690" s="571"/>
      <c r="V690" s="573"/>
    </row>
    <row r="691" spans="1:22">
      <c r="A691" s="599" t="s">
        <v>283</v>
      </c>
      <c r="B691" s="1239"/>
      <c r="C691" s="1239"/>
      <c r="D691" s="1239"/>
      <c r="E691" s="1239"/>
      <c r="F691" s="1239"/>
      <c r="G691" s="1239"/>
      <c r="H691" s="1240"/>
      <c r="I691" s="1239"/>
      <c r="J691" s="1239"/>
      <c r="K691" s="1240"/>
      <c r="L691" s="1239"/>
      <c r="M691" s="1241"/>
      <c r="N691" s="1240"/>
      <c r="O691" s="1239"/>
      <c r="P691" s="1241"/>
      <c r="Q691" s="1240"/>
      <c r="R691" s="1239"/>
      <c r="S691" s="1241"/>
      <c r="T691" s="1242"/>
      <c r="U691" s="571"/>
      <c r="V691" s="573"/>
    </row>
    <row r="692" spans="1:22">
      <c r="A692" s="1243" t="s">
        <v>815</v>
      </c>
      <c r="B692" s="1280">
        <v>20</v>
      </c>
      <c r="C692" s="1280" t="s">
        <v>248</v>
      </c>
      <c r="D692" s="1280">
        <f>parttransp</f>
        <v>4</v>
      </c>
      <c r="E692" s="1280" t="s">
        <v>249</v>
      </c>
      <c r="F692" s="1280">
        <f>IF(B692=0,0,F689)</f>
        <v>3</v>
      </c>
      <c r="G692" s="1069">
        <f>B692*D692*F692</f>
        <v>240</v>
      </c>
      <c r="H692" s="1068"/>
      <c r="I692" s="1069">
        <f>$G692*H689*J$16</f>
        <v>0</v>
      </c>
      <c r="J692" s="571"/>
      <c r="K692" s="1068"/>
      <c r="L692" s="1069">
        <f>$G692*$K$689*M$16</f>
        <v>748.80000000000007</v>
      </c>
      <c r="M692" s="1067"/>
      <c r="N692" s="1068"/>
      <c r="O692" s="1069">
        <f>$G692*N689*P$16</f>
        <v>778.75200000000007</v>
      </c>
      <c r="P692" s="1067"/>
      <c r="Q692" s="1068"/>
      <c r="R692" s="1069">
        <f>$G692*Q689*S$16</f>
        <v>539.93472000000008</v>
      </c>
      <c r="S692" s="1067"/>
      <c r="T692" s="1244"/>
      <c r="U692" s="571"/>
      <c r="V692" s="573"/>
    </row>
    <row r="693" spans="1:22">
      <c r="A693" s="1243" t="s">
        <v>251</v>
      </c>
      <c r="B693" s="1280">
        <v>20</v>
      </c>
      <c r="C693" s="1280" t="s">
        <v>248</v>
      </c>
      <c r="D693" s="1280">
        <f>coffee+lunch</f>
        <v>16</v>
      </c>
      <c r="E693" s="1280" t="s">
        <v>249</v>
      </c>
      <c r="F693" s="1280">
        <f>IF(B693=0,0,F689)</f>
        <v>3</v>
      </c>
      <c r="G693" s="1069">
        <f>B693*D693*F693</f>
        <v>960</v>
      </c>
      <c r="H693" s="1068"/>
      <c r="I693" s="1069">
        <f>$G693*H689*J$16</f>
        <v>0</v>
      </c>
      <c r="J693" s="571"/>
      <c r="K693" s="1068"/>
      <c r="L693" s="1069">
        <f>$G693*$K$689*M$16</f>
        <v>2995.2000000000003</v>
      </c>
      <c r="M693" s="1067"/>
      <c r="N693" s="1068"/>
      <c r="O693" s="1069">
        <f>$G693*N689*P$16</f>
        <v>3115.0080000000003</v>
      </c>
      <c r="P693" s="1067"/>
      <c r="Q693" s="1068"/>
      <c r="R693" s="1069">
        <f>$G693*Q689*S$16</f>
        <v>2159.7388800000003</v>
      </c>
      <c r="S693" s="1067"/>
      <c r="T693" s="1244"/>
      <c r="U693" s="571"/>
      <c r="V693" s="573"/>
    </row>
    <row r="694" spans="1:22">
      <c r="A694" s="1243" t="s">
        <v>276</v>
      </c>
      <c r="B694" s="1280">
        <v>1</v>
      </c>
      <c r="C694" s="1280" t="s">
        <v>277</v>
      </c>
      <c r="D694" s="1280">
        <f>print</f>
        <v>50</v>
      </c>
      <c r="E694" s="1280" t="str">
        <f>C694</f>
        <v>activity</v>
      </c>
      <c r="F694" s="1280">
        <f>IF(B694=0,0,1)</f>
        <v>1</v>
      </c>
      <c r="G694" s="1069">
        <f>B694*D694*F694</f>
        <v>50</v>
      </c>
      <c r="H694" s="1068"/>
      <c r="I694" s="1069">
        <f>$G694*H689*J$16</f>
        <v>0</v>
      </c>
      <c r="J694" s="571"/>
      <c r="K694" s="1068"/>
      <c r="L694" s="1069">
        <f>$G694*$K$689*M$16</f>
        <v>156</v>
      </c>
      <c r="M694" s="1067"/>
      <c r="N694" s="1068"/>
      <c r="O694" s="1069">
        <f>$G694*N689*P$16</f>
        <v>162.24</v>
      </c>
      <c r="P694" s="1067"/>
      <c r="Q694" s="1068"/>
      <c r="R694" s="1069">
        <f>$G694*Q689*S$16</f>
        <v>112.4864</v>
      </c>
      <c r="S694" s="1067"/>
      <c r="T694" s="1244"/>
      <c r="U694" s="571"/>
      <c r="V694" s="573"/>
    </row>
    <row r="695" spans="1:22">
      <c r="A695" s="613" t="s">
        <v>278</v>
      </c>
      <c r="B695" s="1280"/>
      <c r="C695" s="1280"/>
      <c r="D695" s="1280"/>
      <c r="E695" s="1280"/>
      <c r="F695" s="1280"/>
      <c r="G695" s="1069"/>
      <c r="H695" s="1068"/>
      <c r="I695" s="1069"/>
      <c r="J695" s="571"/>
      <c r="K695" s="1068"/>
      <c r="L695" s="1069"/>
      <c r="M695" s="1067"/>
      <c r="N695" s="1068"/>
      <c r="O695" s="1069"/>
      <c r="P695" s="1067"/>
      <c r="Q695" s="1068"/>
      <c r="R695" s="1069"/>
      <c r="S695" s="1067"/>
      <c r="T695" s="1244"/>
      <c r="U695" s="571"/>
      <c r="V695" s="573"/>
    </row>
    <row r="696" spans="1:22">
      <c r="A696" s="605" t="s">
        <v>818</v>
      </c>
      <c r="B696" s="1280">
        <v>1</v>
      </c>
      <c r="C696" s="1280" t="s">
        <v>248</v>
      </c>
      <c r="D696" s="1280">
        <f>partground</f>
        <v>9</v>
      </c>
      <c r="E696" s="1280" t="s">
        <v>262</v>
      </c>
      <c r="F696" s="1280">
        <v>3</v>
      </c>
      <c r="G696" s="1069">
        <f>B696*D696*F696</f>
        <v>27</v>
      </c>
      <c r="H696" s="1068"/>
      <c r="I696" s="1069">
        <f>$G696*H689*J$16</f>
        <v>0</v>
      </c>
      <c r="J696" s="571"/>
      <c r="K696" s="1068"/>
      <c r="L696" s="1069">
        <f>$G696*3*M$16</f>
        <v>84.240000000000009</v>
      </c>
      <c r="M696" s="1067"/>
      <c r="N696" s="1068"/>
      <c r="O696" s="1069">
        <f>$G696*3*P$16</f>
        <v>87.609600000000015</v>
      </c>
      <c r="P696" s="1067"/>
      <c r="Q696" s="1068"/>
      <c r="R696" s="1069">
        <f>$G696*Q689*S$16</f>
        <v>60.742656000000004</v>
      </c>
      <c r="S696" s="1067"/>
      <c r="T696" s="1244"/>
      <c r="U696" s="571"/>
      <c r="V696" s="573"/>
    </row>
    <row r="697" spans="1:22">
      <c r="A697" s="1243" t="s">
        <v>884</v>
      </c>
      <c r="B697" s="1280">
        <v>1</v>
      </c>
      <c r="C697" s="1280" t="s">
        <v>248</v>
      </c>
      <c r="D697" s="1280">
        <f>partground</f>
        <v>9</v>
      </c>
      <c r="E697" s="1280" t="s">
        <v>249</v>
      </c>
      <c r="F697" s="1280">
        <v>3</v>
      </c>
      <c r="G697" s="1069">
        <f>B697*D697*F697</f>
        <v>27</v>
      </c>
      <c r="H697" s="1068"/>
      <c r="I697" s="1069">
        <f>$G697*H689*J$16</f>
        <v>0</v>
      </c>
      <c r="J697" s="571"/>
      <c r="K697" s="1068"/>
      <c r="L697" s="1069">
        <f>$G697*3*M$16</f>
        <v>84.240000000000009</v>
      </c>
      <c r="M697" s="1067"/>
      <c r="N697" s="1068"/>
      <c r="O697" s="1069">
        <f>$G697*3*P$16</f>
        <v>87.609600000000015</v>
      </c>
      <c r="P697" s="1067"/>
      <c r="Q697" s="1068"/>
      <c r="R697" s="1069">
        <f>$G697*Q689*S$16</f>
        <v>60.742656000000004</v>
      </c>
      <c r="S697" s="1067"/>
      <c r="T697" s="1244"/>
      <c r="U697" s="571"/>
      <c r="V697" s="573"/>
    </row>
    <row r="698" spans="1:22">
      <c r="A698" s="605" t="s">
        <v>847</v>
      </c>
      <c r="B698" s="1280">
        <v>1</v>
      </c>
      <c r="C698" s="1280" t="s">
        <v>248</v>
      </c>
      <c r="D698" s="1280">
        <f>partlodg</f>
        <v>35</v>
      </c>
      <c r="E698" s="1280" t="s">
        <v>249</v>
      </c>
      <c r="F698" s="1280">
        <v>3</v>
      </c>
      <c r="G698" s="1069">
        <f>B698*D698*F698</f>
        <v>105</v>
      </c>
      <c r="H698" s="1068"/>
      <c r="I698" s="1069">
        <f>$G698*H689*J$16</f>
        <v>0</v>
      </c>
      <c r="J698" s="571"/>
      <c r="K698" s="1068"/>
      <c r="L698" s="1069">
        <f>$G698*3*M$16</f>
        <v>327.60000000000002</v>
      </c>
      <c r="M698" s="1067"/>
      <c r="N698" s="1068"/>
      <c r="O698" s="1069">
        <f>$G698*3*P$16</f>
        <v>340.70400000000006</v>
      </c>
      <c r="P698" s="1067"/>
      <c r="Q698" s="1068"/>
      <c r="R698" s="1069">
        <f>$G698*Q689*S$16</f>
        <v>236.22144000000003</v>
      </c>
      <c r="S698" s="1067"/>
      <c r="T698" s="1244"/>
      <c r="U698" s="571"/>
      <c r="V698" s="573"/>
    </row>
    <row r="699" spans="1:22">
      <c r="A699" s="1243" t="s">
        <v>787</v>
      </c>
      <c r="B699" s="1280">
        <v>3</v>
      </c>
      <c r="C699" s="1280" t="s">
        <v>248</v>
      </c>
      <c r="D699" s="1280">
        <f>partmeals</f>
        <v>47</v>
      </c>
      <c r="E699" s="1280" t="s">
        <v>249</v>
      </c>
      <c r="F699" s="1280">
        <v>3</v>
      </c>
      <c r="G699" s="1069">
        <f>B699*D699*F699</f>
        <v>423</v>
      </c>
      <c r="H699" s="1068"/>
      <c r="I699" s="1069">
        <f>$G699*H689*J$16</f>
        <v>0</v>
      </c>
      <c r="J699" s="571"/>
      <c r="K699" s="1068"/>
      <c r="L699" s="1069">
        <f>$G699*3*M$16</f>
        <v>1319.76</v>
      </c>
      <c r="M699" s="1067"/>
      <c r="N699" s="1068"/>
      <c r="O699" s="1069">
        <f>$G699*3*P$16</f>
        <v>1372.5504000000001</v>
      </c>
      <c r="P699" s="1067"/>
      <c r="Q699" s="1068"/>
      <c r="R699" s="1069">
        <f>$G699*Q689*S$16</f>
        <v>951.63494400000002</v>
      </c>
      <c r="S699" s="1067"/>
      <c r="T699" s="1244"/>
      <c r="U699" s="571"/>
      <c r="V699" s="573"/>
    </row>
    <row r="700" spans="1:22">
      <c r="A700" s="1243" t="s">
        <v>798</v>
      </c>
      <c r="B700" s="1280">
        <v>3</v>
      </c>
      <c r="C700" s="1280" t="s">
        <v>248</v>
      </c>
      <c r="D700" s="1280">
        <f>parttransp</f>
        <v>4</v>
      </c>
      <c r="E700" s="1280" t="s">
        <v>262</v>
      </c>
      <c r="F700" s="1280">
        <v>3</v>
      </c>
      <c r="G700" s="1069">
        <f>B700*D700*F700</f>
        <v>36</v>
      </c>
      <c r="H700" s="1068"/>
      <c r="I700" s="1069">
        <f>$G700*H689*J$16</f>
        <v>0</v>
      </c>
      <c r="J700" s="571"/>
      <c r="K700" s="1068"/>
      <c r="L700" s="1069">
        <f>$G700*3*M$16</f>
        <v>112.32000000000001</v>
      </c>
      <c r="M700" s="1067"/>
      <c r="N700" s="1068"/>
      <c r="O700" s="1069">
        <f>$G700*3*P$16</f>
        <v>116.81280000000001</v>
      </c>
      <c r="P700" s="1067"/>
      <c r="Q700" s="1068"/>
      <c r="R700" s="1069">
        <f>$G700*Q689*S$16</f>
        <v>80.99020800000001</v>
      </c>
      <c r="S700" s="1067"/>
      <c r="T700" s="1244"/>
      <c r="U700" s="571"/>
      <c r="V700" s="573"/>
    </row>
    <row r="701" spans="1:22">
      <c r="A701" s="1245" t="s">
        <v>870</v>
      </c>
      <c r="B701" s="622"/>
      <c r="C701" s="622"/>
      <c r="D701" s="1246"/>
      <c r="E701" s="1410"/>
      <c r="F701" s="1411"/>
      <c r="G701" s="1247"/>
      <c r="H701" s="1248"/>
      <c r="I701" s="1248"/>
      <c r="J701" s="1239"/>
      <c r="K701" s="1248"/>
      <c r="L701" s="1248"/>
      <c r="M701" s="1239"/>
      <c r="N701" s="1248"/>
      <c r="O701" s="1248"/>
      <c r="P701" s="1239"/>
      <c r="Q701" s="1248"/>
      <c r="R701" s="1248"/>
      <c r="S701" s="1239"/>
      <c r="T701" s="1249"/>
      <c r="U701" s="571"/>
      <c r="V701" s="573"/>
    </row>
    <row r="702" spans="1:22">
      <c r="A702" s="1269"/>
      <c r="B702" s="1270"/>
      <c r="C702" s="1270"/>
      <c r="D702" s="1239"/>
      <c r="E702" s="1248"/>
      <c r="F702" s="1248"/>
      <c r="G702" s="1253"/>
      <c r="H702" s="1253"/>
      <c r="I702" s="1253"/>
      <c r="J702" s="1069"/>
      <c r="K702" s="1253"/>
      <c r="L702" s="1253"/>
      <c r="M702" s="1069"/>
      <c r="N702" s="1253"/>
      <c r="O702" s="1253"/>
      <c r="P702" s="1069"/>
      <c r="Q702" s="1253"/>
      <c r="R702" s="1253"/>
      <c r="S702" s="1069"/>
      <c r="T702" s="1254"/>
      <c r="U702" s="571"/>
      <c r="V702" s="573"/>
    </row>
    <row r="703" spans="1:22">
      <c r="A703" s="1238" t="s">
        <v>784</v>
      </c>
      <c r="B703" s="1239"/>
      <c r="C703" s="1239"/>
      <c r="D703" s="1239"/>
      <c r="E703" s="1239"/>
      <c r="F703" s="595">
        <v>3</v>
      </c>
      <c r="G703" s="1239"/>
      <c r="H703" s="1438"/>
      <c r="I703" s="1439"/>
      <c r="J703" s="1278">
        <f>SUM(I706:I708)</f>
        <v>0</v>
      </c>
      <c r="K703" s="1444">
        <v>3</v>
      </c>
      <c r="L703" s="1455"/>
      <c r="M703" s="597">
        <f>SUM(L705:L708)</f>
        <v>3900.0000000000005</v>
      </c>
      <c r="N703" s="1444">
        <v>2</v>
      </c>
      <c r="O703" s="1455"/>
      <c r="P703" s="1279">
        <f>SUM(O705:O708)</f>
        <v>2704</v>
      </c>
      <c r="Q703" s="1445">
        <v>2</v>
      </c>
      <c r="R703" s="1444"/>
      <c r="S703" s="597">
        <f>SUM(R706:R708)</f>
        <v>2272.2252800000006</v>
      </c>
      <c r="T703" s="1066">
        <f>SUM(J703,M703,P703,S703,)</f>
        <v>8876.2252800000006</v>
      </c>
      <c r="U703" s="571"/>
      <c r="V703" s="573"/>
    </row>
    <row r="704" spans="1:22">
      <c r="A704" s="599" t="s">
        <v>778</v>
      </c>
      <c r="B704" s="1284"/>
      <c r="C704" s="1284"/>
      <c r="D704" s="1284"/>
      <c r="E704" s="1239"/>
      <c r="F704" s="1239"/>
      <c r="G704" s="1239"/>
      <c r="H704" s="1240"/>
      <c r="I704" s="1239"/>
      <c r="J704" s="1239"/>
      <c r="K704" s="1240"/>
      <c r="L704" s="1069">
        <f t="shared" ref="L704:L714" si="66">$G704*$K$703*M$16</f>
        <v>0</v>
      </c>
      <c r="M704" s="1241"/>
      <c r="N704" s="1240"/>
      <c r="O704" s="1069">
        <f t="shared" ref="O704:O714" si="67">$G704*$N$703*P$16</f>
        <v>0</v>
      </c>
      <c r="P704" s="1241"/>
      <c r="Q704" s="1240"/>
      <c r="R704" s="1069">
        <f t="shared" ref="R704:R714" si="68">$G704*$Q$703*S$16</f>
        <v>0</v>
      </c>
      <c r="S704" s="1241"/>
      <c r="T704" s="1242"/>
      <c r="U704" s="571"/>
      <c r="V704" s="573"/>
    </row>
    <row r="705" spans="1:23">
      <c r="A705" s="1243" t="s">
        <v>838</v>
      </c>
      <c r="B705" s="1280">
        <v>20</v>
      </c>
      <c r="C705" s="1280" t="s">
        <v>248</v>
      </c>
      <c r="D705" s="1280">
        <f>parttransp</f>
        <v>4</v>
      </c>
      <c r="E705" s="1069" t="s">
        <v>249</v>
      </c>
      <c r="F705" s="1069">
        <v>3</v>
      </c>
      <c r="G705" s="1069">
        <f>B705*D705*F705</f>
        <v>240</v>
      </c>
      <c r="H705" s="1068"/>
      <c r="I705" s="1069">
        <f>$G705*H701*J$16</f>
        <v>0</v>
      </c>
      <c r="J705" s="571"/>
      <c r="K705" s="1068"/>
      <c r="L705" s="1069">
        <f t="shared" si="66"/>
        <v>748.80000000000007</v>
      </c>
      <c r="M705" s="1067"/>
      <c r="N705" s="1068"/>
      <c r="O705" s="1069">
        <f t="shared" si="67"/>
        <v>519.16800000000001</v>
      </c>
      <c r="P705" s="1067"/>
      <c r="Q705" s="1068"/>
      <c r="R705" s="1069">
        <f t="shared" si="68"/>
        <v>539.93472000000008</v>
      </c>
      <c r="S705" s="1067"/>
      <c r="T705" s="1244"/>
      <c r="U705" s="571"/>
      <c r="V705" s="573"/>
      <c r="W705" s="571"/>
    </row>
    <row r="706" spans="1:23">
      <c r="A706" s="1243" t="s">
        <v>780</v>
      </c>
      <c r="B706" s="1280">
        <v>20</v>
      </c>
      <c r="C706" s="1280" t="s">
        <v>248</v>
      </c>
      <c r="D706" s="1280">
        <f>coffee+lunch</f>
        <v>16</v>
      </c>
      <c r="E706" s="1069" t="s">
        <v>249</v>
      </c>
      <c r="F706" s="1069">
        <v>3</v>
      </c>
      <c r="G706" s="1069">
        <f>B706*D706*F706</f>
        <v>960</v>
      </c>
      <c r="H706" s="1068"/>
      <c r="I706" s="1069">
        <f>$G706*H701*J$16</f>
        <v>0</v>
      </c>
      <c r="J706" s="571"/>
      <c r="K706" s="1068"/>
      <c r="L706" s="1069">
        <f t="shared" si="66"/>
        <v>2995.2000000000003</v>
      </c>
      <c r="M706" s="1067"/>
      <c r="N706" s="1068"/>
      <c r="O706" s="1069">
        <f t="shared" si="67"/>
        <v>2076.672</v>
      </c>
      <c r="P706" s="1067"/>
      <c r="Q706" s="1068"/>
      <c r="R706" s="1069">
        <f t="shared" si="68"/>
        <v>2159.7388800000003</v>
      </c>
      <c r="S706" s="1067"/>
      <c r="T706" s="1244"/>
      <c r="U706" s="571"/>
      <c r="V706" s="573"/>
      <c r="W706" s="571"/>
    </row>
    <row r="707" spans="1:23">
      <c r="A707" s="1243" t="s">
        <v>781</v>
      </c>
      <c r="B707" s="1280">
        <v>1</v>
      </c>
      <c r="C707" s="1280" t="s">
        <v>277</v>
      </c>
      <c r="D707" s="1280">
        <f>print</f>
        <v>50</v>
      </c>
      <c r="E707" s="1069" t="str">
        <f>C707</f>
        <v>activity</v>
      </c>
      <c r="F707" s="1069">
        <f>IF(B707=0,0,1)</f>
        <v>1</v>
      </c>
      <c r="G707" s="1069">
        <f>B707*D707*F707</f>
        <v>50</v>
      </c>
      <c r="H707" s="1068"/>
      <c r="I707" s="1069">
        <f>$G707*H701*J$16</f>
        <v>0</v>
      </c>
      <c r="J707" s="571"/>
      <c r="K707" s="1068"/>
      <c r="L707" s="1069">
        <f t="shared" si="66"/>
        <v>156</v>
      </c>
      <c r="M707" s="1067"/>
      <c r="N707" s="1068"/>
      <c r="O707" s="1069">
        <f t="shared" si="67"/>
        <v>108.16000000000001</v>
      </c>
      <c r="P707" s="1067"/>
      <c r="Q707" s="1068"/>
      <c r="R707" s="1069">
        <f t="shared" si="68"/>
        <v>112.4864</v>
      </c>
      <c r="S707" s="1067"/>
      <c r="T707" s="1244"/>
      <c r="U707" s="571"/>
      <c r="V707" s="573"/>
      <c r="W707" s="571"/>
    </row>
    <row r="708" spans="1:23">
      <c r="A708" s="605"/>
      <c r="B708" s="1280"/>
      <c r="C708" s="1280"/>
      <c r="D708" s="1280"/>
      <c r="E708" s="1069"/>
      <c r="F708" s="1069"/>
      <c r="G708" s="1069"/>
      <c r="H708" s="1068"/>
      <c r="I708" s="1069"/>
      <c r="J708" s="571"/>
      <c r="K708" s="1068"/>
      <c r="L708" s="1069">
        <f t="shared" si="66"/>
        <v>0</v>
      </c>
      <c r="M708" s="1067"/>
      <c r="N708" s="1068"/>
      <c r="O708" s="1069">
        <f t="shared" si="67"/>
        <v>0</v>
      </c>
      <c r="P708" s="1067"/>
      <c r="Q708" s="1068"/>
      <c r="R708" s="1069">
        <f t="shared" si="68"/>
        <v>0</v>
      </c>
      <c r="S708" s="1067"/>
      <c r="T708" s="1244"/>
      <c r="U708" s="571"/>
      <c r="V708" s="573"/>
      <c r="W708" s="571"/>
    </row>
    <row r="709" spans="1:23">
      <c r="A709" s="613" t="s">
        <v>278</v>
      </c>
      <c r="B709" s="1280"/>
      <c r="C709" s="1280"/>
      <c r="D709" s="1280"/>
      <c r="E709" s="1069"/>
      <c r="F709" s="1069"/>
      <c r="G709" s="1069">
        <f t="shared" ref="G709:G714" si="69">B709*D709*F709</f>
        <v>0</v>
      </c>
      <c r="H709" s="1068"/>
      <c r="I709" s="1069"/>
      <c r="J709" s="571"/>
      <c r="K709" s="1068"/>
      <c r="L709" s="1069">
        <f t="shared" si="66"/>
        <v>0</v>
      </c>
      <c r="M709" s="1067"/>
      <c r="N709" s="1068"/>
      <c r="O709" s="1069">
        <f t="shared" si="67"/>
        <v>0</v>
      </c>
      <c r="P709" s="1067"/>
      <c r="Q709" s="1068"/>
      <c r="R709" s="1069">
        <f t="shared" si="68"/>
        <v>0</v>
      </c>
      <c r="S709" s="1067"/>
      <c r="T709" s="1244"/>
      <c r="U709" s="571"/>
      <c r="V709" s="573"/>
      <c r="W709" s="571"/>
    </row>
    <row r="710" spans="1:23">
      <c r="A710" s="605" t="s">
        <v>261</v>
      </c>
      <c r="B710" s="1280">
        <v>1</v>
      </c>
      <c r="C710" s="1280" t="s">
        <v>248</v>
      </c>
      <c r="D710" s="1280">
        <f>partground</f>
        <v>9</v>
      </c>
      <c r="E710" s="1069" t="s">
        <v>262</v>
      </c>
      <c r="F710" s="1069">
        <v>3</v>
      </c>
      <c r="G710" s="1069">
        <f t="shared" si="69"/>
        <v>27</v>
      </c>
      <c r="H710" s="1068"/>
      <c r="I710" s="1069">
        <f>$G710*J$16*$H$64</f>
        <v>0</v>
      </c>
      <c r="J710" s="571"/>
      <c r="K710" s="1068"/>
      <c r="L710" s="1069">
        <f t="shared" si="66"/>
        <v>84.240000000000009</v>
      </c>
      <c r="M710" s="1067"/>
      <c r="N710" s="1068"/>
      <c r="O710" s="1069">
        <f t="shared" si="67"/>
        <v>58.406400000000005</v>
      </c>
      <c r="P710" s="1067"/>
      <c r="Q710" s="1068"/>
      <c r="R710" s="1069">
        <f t="shared" si="68"/>
        <v>60.742656000000004</v>
      </c>
      <c r="S710" s="1067"/>
      <c r="T710" s="1244"/>
      <c r="U710" s="571"/>
      <c r="V710" s="573"/>
      <c r="W710" s="571"/>
    </row>
    <row r="711" spans="1:23">
      <c r="A711" s="1243" t="s">
        <v>840</v>
      </c>
      <c r="B711" s="1280">
        <v>1</v>
      </c>
      <c r="C711" s="1280" t="s">
        <v>248</v>
      </c>
      <c r="D711" s="1280">
        <f>+[1]Assumptions!D101</f>
        <v>25</v>
      </c>
      <c r="E711" s="1069" t="s">
        <v>249</v>
      </c>
      <c r="F711" s="1069">
        <v>3</v>
      </c>
      <c r="G711" s="1069">
        <f t="shared" si="69"/>
        <v>75</v>
      </c>
      <c r="H711" s="1068"/>
      <c r="I711" s="1069">
        <f>$G711*J$16*$H$64</f>
        <v>0</v>
      </c>
      <c r="J711" s="571"/>
      <c r="K711" s="1068"/>
      <c r="L711" s="1069">
        <f t="shared" si="66"/>
        <v>234</v>
      </c>
      <c r="M711" s="1067"/>
      <c r="N711" s="1068"/>
      <c r="O711" s="1069">
        <f t="shared" si="67"/>
        <v>162.24</v>
      </c>
      <c r="P711" s="1067"/>
      <c r="Q711" s="1068"/>
      <c r="R711" s="1069">
        <f t="shared" si="68"/>
        <v>168.7296</v>
      </c>
      <c r="S711" s="1067"/>
      <c r="T711" s="1244"/>
      <c r="U711" s="571"/>
      <c r="V711" s="573"/>
      <c r="W711" s="571"/>
    </row>
    <row r="712" spans="1:23">
      <c r="A712" s="605" t="s">
        <v>790</v>
      </c>
      <c r="B712" s="1280">
        <v>1</v>
      </c>
      <c r="C712" s="1280" t="s">
        <v>248</v>
      </c>
      <c r="D712" s="1280">
        <f>+[1]Assumptions!D103</f>
        <v>90</v>
      </c>
      <c r="E712" s="1069" t="s">
        <v>249</v>
      </c>
      <c r="F712" s="1069">
        <v>2</v>
      </c>
      <c r="G712" s="1069">
        <f t="shared" si="69"/>
        <v>180</v>
      </c>
      <c r="H712" s="1068"/>
      <c r="I712" s="1069">
        <f>$G712*J$16*$H$64</f>
        <v>0</v>
      </c>
      <c r="J712" s="571"/>
      <c r="K712" s="1068"/>
      <c r="L712" s="1069">
        <f t="shared" si="66"/>
        <v>561.6</v>
      </c>
      <c r="M712" s="1067"/>
      <c r="N712" s="1068"/>
      <c r="O712" s="1069">
        <f t="shared" si="67"/>
        <v>389.37600000000003</v>
      </c>
      <c r="P712" s="1067"/>
      <c r="Q712" s="1068"/>
      <c r="R712" s="1069">
        <f t="shared" si="68"/>
        <v>404.95104000000003</v>
      </c>
      <c r="S712" s="1067"/>
      <c r="T712" s="1244"/>
      <c r="U712" s="571"/>
      <c r="V712" s="573"/>
      <c r="W712" s="571"/>
    </row>
    <row r="713" spans="1:23">
      <c r="A713" s="1243" t="s">
        <v>787</v>
      </c>
      <c r="B713" s="1280">
        <v>1</v>
      </c>
      <c r="C713" s="1280" t="s">
        <v>248</v>
      </c>
      <c r="D713" s="1280">
        <f>partmeals</f>
        <v>47</v>
      </c>
      <c r="E713" s="1069" t="s">
        <v>249</v>
      </c>
      <c r="F713" s="1069">
        <v>3</v>
      </c>
      <c r="G713" s="1069">
        <f t="shared" si="69"/>
        <v>141</v>
      </c>
      <c r="H713" s="1068"/>
      <c r="I713" s="1069">
        <f>$G713*J$16*$H$64</f>
        <v>0</v>
      </c>
      <c r="J713" s="571"/>
      <c r="K713" s="1068"/>
      <c r="L713" s="1069">
        <f t="shared" si="66"/>
        <v>439.92</v>
      </c>
      <c r="M713" s="1067"/>
      <c r="N713" s="1068"/>
      <c r="O713" s="1069">
        <f t="shared" si="67"/>
        <v>305.01120000000003</v>
      </c>
      <c r="P713" s="1067"/>
      <c r="Q713" s="1068"/>
      <c r="R713" s="1069">
        <f t="shared" si="68"/>
        <v>317.21164800000003</v>
      </c>
      <c r="S713" s="1067"/>
      <c r="T713" s="1244"/>
      <c r="U713" s="571"/>
      <c r="V713" s="573"/>
      <c r="W713" s="571"/>
    </row>
    <row r="714" spans="1:23">
      <c r="A714" s="1243" t="s">
        <v>807</v>
      </c>
      <c r="B714" s="1280">
        <v>1</v>
      </c>
      <c r="C714" s="1280" t="s">
        <v>248</v>
      </c>
      <c r="D714" s="1280">
        <f>partairfare</f>
        <v>200</v>
      </c>
      <c r="E714" s="1069" t="s">
        <v>262</v>
      </c>
      <c r="F714" s="1069">
        <v>3</v>
      </c>
      <c r="G714" s="1069">
        <f t="shared" si="69"/>
        <v>600</v>
      </c>
      <c r="H714" s="1068"/>
      <c r="I714" s="1069">
        <f>$G714*J$16*$H$64</f>
        <v>0</v>
      </c>
      <c r="J714" s="571"/>
      <c r="K714" s="1068"/>
      <c r="L714" s="1069">
        <f t="shared" si="66"/>
        <v>1872</v>
      </c>
      <c r="M714" s="1067"/>
      <c r="N714" s="1068"/>
      <c r="O714" s="1069">
        <f t="shared" si="67"/>
        <v>1297.92</v>
      </c>
      <c r="P714" s="1067"/>
      <c r="Q714" s="1068"/>
      <c r="R714" s="1069">
        <f t="shared" si="68"/>
        <v>1349.8368</v>
      </c>
      <c r="S714" s="1067"/>
      <c r="T714" s="1244"/>
      <c r="U714" s="571"/>
      <c r="V714" s="573"/>
      <c r="W714" s="571"/>
    </row>
    <row r="715" spans="1:23">
      <c r="A715" s="1245" t="s">
        <v>788</v>
      </c>
      <c r="B715" s="622"/>
      <c r="C715" s="622"/>
      <c r="D715" s="1246"/>
      <c r="E715" s="1410"/>
      <c r="F715" s="1411"/>
      <c r="G715" s="1247"/>
      <c r="H715" s="1248"/>
      <c r="I715" s="1248"/>
      <c r="J715" s="1239">
        <v>0</v>
      </c>
      <c r="K715" s="1248"/>
      <c r="L715" s="1248"/>
      <c r="M715" s="1239">
        <f>M703+M689</f>
        <v>7800.0000000000009</v>
      </c>
      <c r="N715" s="1248"/>
      <c r="O715" s="1248"/>
      <c r="P715" s="1239">
        <f>P703+P689</f>
        <v>6760</v>
      </c>
      <c r="Q715" s="1248"/>
      <c r="R715" s="1248"/>
      <c r="S715" s="1239">
        <f>S703+S689</f>
        <v>6474.7171840000019</v>
      </c>
      <c r="T715" s="1249">
        <f>T703+T689</f>
        <v>21034.717184000001</v>
      </c>
      <c r="U715" s="571"/>
      <c r="V715" s="573"/>
      <c r="W715" s="571"/>
    </row>
    <row r="716" spans="1:23">
      <c r="A716" s="1295" t="s">
        <v>885</v>
      </c>
      <c r="B716" s="627"/>
      <c r="C716" s="627"/>
      <c r="D716" s="627"/>
      <c r="E716" s="627"/>
      <c r="F716" s="627"/>
      <c r="G716" s="592"/>
      <c r="H716" s="592"/>
      <c r="I716" s="592"/>
      <c r="J716" s="592"/>
      <c r="K716" s="592"/>
      <c r="L716" s="592"/>
      <c r="M716" s="1297">
        <f>M715+M523</f>
        <v>9048</v>
      </c>
      <c r="N716" s="592"/>
      <c r="O716" s="592"/>
      <c r="P716" s="1297">
        <f>P715+P523</f>
        <v>8057.92</v>
      </c>
      <c r="Q716" s="592"/>
      <c r="R716" s="592"/>
      <c r="S716" s="1297">
        <f>S715</f>
        <v>6474.7171840000019</v>
      </c>
      <c r="T716" s="1296">
        <f>T715+T512</f>
        <v>23580.637183999999</v>
      </c>
      <c r="U716" s="571"/>
      <c r="V716" s="573"/>
      <c r="W716" s="571"/>
    </row>
    <row r="717" spans="1:23">
      <c r="A717" s="570"/>
      <c r="B717" s="628"/>
      <c r="C717" s="628"/>
      <c r="D717" s="628"/>
      <c r="E717" s="628"/>
      <c r="F717" s="628"/>
      <c r="G717" s="629"/>
      <c r="H717" s="629"/>
      <c r="I717" s="629"/>
      <c r="J717" s="629"/>
      <c r="K717" s="629"/>
      <c r="L717" s="629"/>
      <c r="M717" s="629"/>
      <c r="N717" s="629"/>
      <c r="O717" s="629"/>
      <c r="P717" s="629"/>
      <c r="Q717" s="629"/>
      <c r="R717" s="629"/>
      <c r="S717" s="629"/>
      <c r="T717" s="630"/>
      <c r="U717" s="571"/>
      <c r="V717" s="573"/>
      <c r="W717" s="571"/>
    </row>
    <row r="718" spans="1:23">
      <c r="A718" s="631"/>
      <c r="B718" s="1275"/>
      <c r="C718" s="1275"/>
      <c r="D718" s="1275"/>
      <c r="E718" s="1275"/>
      <c r="F718" s="1275"/>
      <c r="G718" s="1276"/>
      <c r="H718" s="1276"/>
      <c r="I718" s="1276"/>
      <c r="J718" s="1276"/>
      <c r="K718" s="1276"/>
      <c r="L718" s="1276"/>
      <c r="M718" s="1276"/>
      <c r="N718" s="1276"/>
      <c r="O718" s="1276"/>
      <c r="P718" s="1276"/>
      <c r="Q718" s="1276"/>
      <c r="R718" s="1276"/>
      <c r="S718" s="1276"/>
      <c r="T718" s="1277"/>
      <c r="U718" s="571"/>
      <c r="V718" s="571"/>
      <c r="W718" s="571"/>
    </row>
    <row r="719" spans="1:23">
      <c r="A719" s="643"/>
      <c r="B719" s="643"/>
      <c r="C719" s="643"/>
      <c r="D719" s="643"/>
      <c r="E719" s="643"/>
      <c r="F719" s="643"/>
      <c r="G719" s="643"/>
      <c r="H719" s="643"/>
      <c r="I719" s="643"/>
      <c r="J719" s="643"/>
      <c r="K719" s="643"/>
      <c r="L719" s="643"/>
      <c r="M719" s="643"/>
      <c r="N719" s="643"/>
      <c r="O719" s="643"/>
      <c r="P719" s="643"/>
      <c r="Q719" s="643"/>
      <c r="R719" s="643"/>
      <c r="S719" s="643"/>
      <c r="T719" s="644"/>
      <c r="U719" s="571"/>
      <c r="V719" s="571"/>
      <c r="W719" s="571"/>
    </row>
    <row r="720" spans="1:23">
      <c r="A720" s="571"/>
      <c r="B720" s="571"/>
      <c r="C720" s="571"/>
      <c r="D720" s="571"/>
      <c r="E720" s="571"/>
      <c r="F720" s="571"/>
      <c r="G720" s="571"/>
      <c r="H720" s="571"/>
      <c r="I720" s="571"/>
      <c r="J720" s="571"/>
      <c r="K720" s="571"/>
      <c r="L720" s="571"/>
      <c r="M720" s="571"/>
      <c r="N720" s="571"/>
      <c r="O720" s="571"/>
      <c r="P720" s="571"/>
      <c r="Q720" s="571"/>
      <c r="R720" s="571"/>
      <c r="S720" s="571"/>
      <c r="T720" s="572"/>
      <c r="U720" s="571"/>
      <c r="V720" s="571"/>
      <c r="W720" s="571"/>
    </row>
    <row r="721" spans="1:23">
      <c r="A721" s="571"/>
      <c r="B721" s="571"/>
      <c r="C721" s="571"/>
      <c r="D721" s="571"/>
      <c r="E721" s="571"/>
      <c r="F721" s="571"/>
      <c r="G721" s="571"/>
      <c r="H721" s="571"/>
      <c r="I721" s="571"/>
      <c r="J721" s="571"/>
      <c r="K721" s="571"/>
      <c r="L721" s="571"/>
      <c r="M721" s="571"/>
      <c r="N721" s="571"/>
      <c r="O721" s="571"/>
      <c r="P721" s="571"/>
      <c r="Q721" s="571"/>
      <c r="R721" s="571"/>
      <c r="S721" s="571"/>
      <c r="T721" s="572"/>
      <c r="U721" s="571"/>
      <c r="V721" s="571"/>
      <c r="W721" s="571"/>
    </row>
    <row r="722" spans="1:23">
      <c r="A722" s="571"/>
      <c r="B722" s="571"/>
      <c r="C722" s="571"/>
      <c r="D722" s="571"/>
      <c r="E722" s="571"/>
      <c r="F722" s="571"/>
      <c r="G722" s="571"/>
      <c r="H722" s="571"/>
      <c r="I722" s="571"/>
      <c r="J722" s="571"/>
      <c r="K722" s="571"/>
      <c r="L722" s="571"/>
      <c r="M722" s="571"/>
      <c r="N722" s="571"/>
      <c r="O722" s="571"/>
      <c r="P722" s="571"/>
      <c r="Q722" s="571"/>
      <c r="R722" s="571"/>
      <c r="S722" s="571"/>
      <c r="T722" s="572"/>
      <c r="U722" s="571"/>
      <c r="V722" s="571"/>
      <c r="W722" s="571"/>
    </row>
    <row r="723" spans="1:23">
      <c r="A723" s="571"/>
      <c r="B723" s="571"/>
      <c r="C723" s="571"/>
      <c r="D723" s="571"/>
      <c r="E723" s="571"/>
      <c r="F723" s="571"/>
      <c r="G723" s="571"/>
      <c r="H723" s="571"/>
      <c r="I723" s="571"/>
      <c r="J723" s="571"/>
      <c r="K723" s="571"/>
      <c r="L723" s="571"/>
      <c r="M723" s="571"/>
      <c r="N723" s="571"/>
      <c r="O723" s="571"/>
      <c r="P723" s="571"/>
      <c r="Q723" s="571"/>
      <c r="R723" s="571"/>
      <c r="S723" s="571"/>
      <c r="T723" s="572"/>
      <c r="U723" s="571"/>
      <c r="V723" s="573"/>
      <c r="W723" s="571"/>
    </row>
    <row r="724" spans="1:23">
      <c r="A724" s="571"/>
      <c r="B724" s="571"/>
      <c r="C724" s="571"/>
      <c r="D724" s="571"/>
      <c r="E724" s="571"/>
      <c r="F724" s="571"/>
      <c r="G724" s="571"/>
      <c r="H724" s="571"/>
      <c r="I724" s="571"/>
      <c r="J724" s="571"/>
      <c r="K724" s="571"/>
      <c r="L724" s="571"/>
      <c r="M724" s="571"/>
      <c r="N724" s="571"/>
      <c r="O724" s="571"/>
      <c r="P724" s="571"/>
      <c r="Q724" s="571"/>
      <c r="R724" s="571"/>
      <c r="S724" s="571"/>
      <c r="T724" s="572"/>
      <c r="U724" s="571"/>
      <c r="V724" s="573"/>
      <c r="W724" s="571"/>
    </row>
    <row r="725" spans="1:23">
      <c r="A725" s="571"/>
      <c r="B725" s="571"/>
      <c r="C725" s="571"/>
      <c r="D725" s="571"/>
      <c r="E725" s="571"/>
      <c r="F725" s="571"/>
      <c r="G725" s="571"/>
      <c r="H725" s="571"/>
      <c r="I725" s="571"/>
      <c r="J725" s="571"/>
      <c r="K725" s="571"/>
      <c r="L725" s="571"/>
      <c r="M725" s="571"/>
      <c r="N725" s="571"/>
      <c r="O725" s="571"/>
      <c r="P725" s="571"/>
      <c r="Q725" s="571"/>
      <c r="R725" s="571"/>
      <c r="S725" s="571"/>
      <c r="T725" s="572"/>
      <c r="U725" s="571"/>
      <c r="V725" s="573"/>
      <c r="W725" s="571"/>
    </row>
    <row r="726" spans="1:23">
      <c r="A726" s="571"/>
      <c r="B726" s="571"/>
      <c r="C726" s="571"/>
      <c r="D726" s="571"/>
      <c r="E726" s="571"/>
      <c r="F726" s="571"/>
      <c r="G726" s="571"/>
      <c r="H726" s="571"/>
      <c r="I726" s="571"/>
      <c r="J726" s="571"/>
      <c r="K726" s="571"/>
      <c r="L726" s="571"/>
      <c r="M726" s="571"/>
      <c r="N726" s="571"/>
      <c r="O726" s="571"/>
      <c r="P726" s="571"/>
      <c r="Q726" s="571"/>
      <c r="R726" s="571"/>
      <c r="S726" s="571"/>
      <c r="T726" s="572"/>
      <c r="U726" s="571"/>
      <c r="V726" s="573"/>
      <c r="W726" s="571"/>
    </row>
    <row r="727" spans="1:23">
      <c r="A727" s="571"/>
      <c r="B727" s="571"/>
      <c r="C727" s="571"/>
      <c r="D727" s="571"/>
      <c r="E727" s="571"/>
      <c r="F727" s="571"/>
      <c r="G727" s="571"/>
      <c r="H727" s="571"/>
      <c r="I727" s="571"/>
      <c r="J727" s="571"/>
      <c r="K727" s="571"/>
      <c r="L727" s="571"/>
      <c r="M727" s="571"/>
      <c r="N727" s="571"/>
      <c r="O727" s="571"/>
      <c r="P727" s="571"/>
      <c r="Q727" s="571"/>
      <c r="R727" s="571"/>
      <c r="S727" s="571"/>
      <c r="T727" s="572"/>
      <c r="U727" s="571"/>
      <c r="V727" s="573"/>
      <c r="W727" s="571"/>
    </row>
    <row r="728" spans="1:23">
      <c r="A728" s="571"/>
      <c r="B728" s="571"/>
      <c r="C728" s="571"/>
      <c r="D728" s="571"/>
      <c r="E728" s="571"/>
      <c r="F728" s="571"/>
      <c r="G728" s="571"/>
      <c r="H728" s="571"/>
      <c r="I728" s="571"/>
      <c r="J728" s="571"/>
      <c r="K728" s="571"/>
      <c r="L728" s="571"/>
      <c r="M728" s="571"/>
      <c r="N728" s="571"/>
      <c r="O728" s="571"/>
      <c r="P728" s="571"/>
      <c r="Q728" s="571"/>
      <c r="R728" s="571"/>
      <c r="S728" s="571"/>
      <c r="T728" s="572"/>
      <c r="U728" s="571"/>
      <c r="V728" s="573"/>
      <c r="W728" s="571"/>
    </row>
    <row r="729" spans="1:23">
      <c r="A729" s="571"/>
      <c r="B729" s="571"/>
      <c r="C729" s="571"/>
      <c r="D729" s="571"/>
      <c r="E729" s="571"/>
      <c r="F729" s="571"/>
      <c r="G729" s="571"/>
      <c r="H729" s="571"/>
      <c r="I729" s="571"/>
      <c r="J729" s="571"/>
      <c r="K729" s="571"/>
      <c r="L729" s="571"/>
      <c r="M729" s="571"/>
      <c r="N729" s="571"/>
      <c r="O729" s="571"/>
      <c r="P729" s="571"/>
      <c r="Q729" s="571"/>
      <c r="R729" s="571"/>
      <c r="S729" s="571"/>
      <c r="T729" s="572"/>
      <c r="U729" s="571"/>
      <c r="V729" s="573"/>
      <c r="W729" s="571"/>
    </row>
    <row r="730" spans="1:23">
      <c r="A730" s="571"/>
      <c r="B730" s="571"/>
      <c r="C730" s="571"/>
      <c r="D730" s="571"/>
      <c r="E730" s="571"/>
      <c r="F730" s="571"/>
      <c r="G730" s="571"/>
      <c r="H730" s="571"/>
      <c r="I730" s="571"/>
      <c r="J730" s="571"/>
      <c r="K730" s="571"/>
      <c r="L730" s="571"/>
      <c r="M730" s="571"/>
      <c r="N730" s="571"/>
      <c r="O730" s="571"/>
      <c r="P730" s="571"/>
      <c r="Q730" s="571"/>
      <c r="R730" s="571"/>
      <c r="S730" s="571"/>
      <c r="T730" s="572"/>
      <c r="U730" s="571"/>
      <c r="V730" s="573"/>
      <c r="W730" s="571"/>
    </row>
    <row r="731" spans="1:23">
      <c r="A731" s="571"/>
      <c r="B731" s="571"/>
      <c r="C731" s="571"/>
      <c r="D731" s="571"/>
      <c r="E731" s="571"/>
      <c r="F731" s="571"/>
      <c r="G731" s="571"/>
      <c r="H731" s="571"/>
      <c r="I731" s="571"/>
      <c r="J731" s="571"/>
      <c r="K731" s="571"/>
      <c r="L731" s="571"/>
      <c r="M731" s="571"/>
      <c r="N731" s="571"/>
      <c r="O731" s="571"/>
      <c r="P731" s="571"/>
      <c r="Q731" s="571"/>
      <c r="R731" s="571"/>
      <c r="S731" s="571"/>
      <c r="T731" s="572"/>
      <c r="U731" s="571"/>
      <c r="V731" s="573"/>
      <c r="W731" s="571"/>
    </row>
    <row r="732" spans="1:23">
      <c r="A732" s="571"/>
      <c r="B732" s="571"/>
      <c r="C732" s="571"/>
      <c r="D732" s="571"/>
      <c r="E732" s="571"/>
      <c r="F732" s="571"/>
      <c r="G732" s="571"/>
      <c r="H732" s="571"/>
      <c r="I732" s="571"/>
      <c r="J732" s="571"/>
      <c r="K732" s="571"/>
      <c r="L732" s="571"/>
      <c r="M732" s="571"/>
      <c r="N732" s="571"/>
      <c r="O732" s="571"/>
      <c r="P732" s="571"/>
      <c r="Q732" s="571"/>
      <c r="R732" s="571"/>
      <c r="S732" s="571"/>
      <c r="T732" s="572"/>
      <c r="U732" s="571"/>
      <c r="V732" s="573"/>
      <c r="W732" s="571"/>
    </row>
    <row r="733" spans="1:23">
      <c r="A733" s="571"/>
      <c r="B733" s="571"/>
      <c r="C733" s="571"/>
      <c r="D733" s="571"/>
      <c r="E733" s="571"/>
      <c r="F733" s="571"/>
      <c r="G733" s="571"/>
      <c r="H733" s="571"/>
      <c r="I733" s="571"/>
      <c r="J733" s="571"/>
      <c r="K733" s="571"/>
      <c r="L733" s="571"/>
      <c r="M733" s="571"/>
      <c r="N733" s="571"/>
      <c r="O733" s="571"/>
      <c r="P733" s="571"/>
      <c r="Q733" s="571"/>
      <c r="R733" s="571"/>
      <c r="S733" s="571"/>
      <c r="T733" s="572"/>
      <c r="U733" s="571"/>
      <c r="V733" s="573"/>
      <c r="W733" s="571"/>
    </row>
    <row r="734" spans="1:23">
      <c r="A734" s="571"/>
      <c r="B734" s="571"/>
      <c r="C734" s="571"/>
      <c r="D734" s="571"/>
      <c r="E734" s="571"/>
      <c r="F734" s="571"/>
      <c r="G734" s="571"/>
      <c r="H734" s="571"/>
      <c r="I734" s="571"/>
      <c r="J734" s="571"/>
      <c r="K734" s="571"/>
      <c r="L734" s="571"/>
      <c r="M734" s="571"/>
      <c r="N734" s="571"/>
      <c r="O734" s="571"/>
      <c r="P734" s="571"/>
      <c r="Q734" s="571"/>
      <c r="R734" s="571"/>
      <c r="S734" s="571"/>
      <c r="T734" s="572"/>
      <c r="U734" s="571"/>
      <c r="V734" s="573"/>
      <c r="W734" s="571"/>
    </row>
    <row r="735" spans="1:23">
      <c r="A735" s="571"/>
      <c r="B735" s="571"/>
      <c r="C735" s="571"/>
      <c r="D735" s="571"/>
      <c r="E735" s="571"/>
      <c r="F735" s="571"/>
      <c r="G735" s="571"/>
      <c r="H735" s="571"/>
      <c r="I735" s="571"/>
      <c r="J735" s="571"/>
      <c r="K735" s="571"/>
      <c r="L735" s="571"/>
      <c r="M735" s="571"/>
      <c r="N735" s="571"/>
      <c r="O735" s="571"/>
      <c r="P735" s="571"/>
      <c r="Q735" s="571"/>
      <c r="R735" s="571"/>
      <c r="S735" s="571"/>
      <c r="T735" s="572"/>
      <c r="U735" s="571"/>
      <c r="V735" s="573"/>
      <c r="W735" s="571"/>
    </row>
    <row r="736" spans="1:23">
      <c r="A736" s="571"/>
      <c r="B736" s="571"/>
      <c r="C736" s="571"/>
      <c r="D736" s="571"/>
      <c r="E736" s="571"/>
      <c r="F736" s="571"/>
      <c r="G736" s="571"/>
      <c r="H736" s="571"/>
      <c r="I736" s="571"/>
      <c r="J736" s="571"/>
      <c r="K736" s="571"/>
      <c r="L736" s="571"/>
      <c r="M736" s="571"/>
      <c r="N736" s="571"/>
      <c r="O736" s="571"/>
      <c r="P736" s="571"/>
      <c r="Q736" s="571"/>
      <c r="R736" s="571"/>
      <c r="S736" s="571"/>
      <c r="T736" s="572"/>
      <c r="U736" s="571"/>
      <c r="V736" s="573"/>
      <c r="W736" s="571"/>
    </row>
    <row r="737" spans="1:23">
      <c r="A737" s="571"/>
      <c r="B737" s="571"/>
      <c r="C737" s="571"/>
      <c r="D737" s="571"/>
      <c r="E737" s="571"/>
      <c r="F737" s="571"/>
      <c r="G737" s="571"/>
      <c r="H737" s="571"/>
      <c r="I737" s="571"/>
      <c r="J737" s="571"/>
      <c r="K737" s="571"/>
      <c r="L737" s="571"/>
      <c r="M737" s="571"/>
      <c r="N737" s="571"/>
      <c r="O737" s="571"/>
      <c r="P737" s="571"/>
      <c r="Q737" s="571"/>
      <c r="R737" s="571"/>
      <c r="S737" s="571"/>
      <c r="T737" s="572"/>
      <c r="U737" s="571"/>
      <c r="V737" s="573"/>
      <c r="W737" s="571"/>
    </row>
    <row r="738" spans="1:23">
      <c r="A738" s="571"/>
      <c r="B738" s="571"/>
      <c r="C738" s="571"/>
      <c r="D738" s="571"/>
      <c r="E738" s="571"/>
      <c r="F738" s="571"/>
      <c r="G738" s="571"/>
      <c r="H738" s="571"/>
      <c r="I738" s="571"/>
      <c r="J738" s="571"/>
      <c r="K738" s="571"/>
      <c r="L738" s="571"/>
      <c r="M738" s="571"/>
      <c r="N738" s="571"/>
      <c r="O738" s="571"/>
      <c r="P738" s="571"/>
      <c r="Q738" s="571"/>
      <c r="R738" s="571"/>
      <c r="S738" s="571"/>
      <c r="T738" s="572"/>
      <c r="U738" s="571"/>
      <c r="V738" s="573"/>
      <c r="W738" s="571"/>
    </row>
    <row r="739" spans="1:23">
      <c r="A739" s="571"/>
      <c r="B739" s="571"/>
      <c r="C739" s="571"/>
      <c r="D739" s="571"/>
      <c r="E739" s="571"/>
      <c r="F739" s="571"/>
      <c r="G739" s="571"/>
      <c r="H739" s="571"/>
      <c r="I739" s="571"/>
      <c r="J739" s="571"/>
      <c r="K739" s="571"/>
      <c r="L739" s="571"/>
      <c r="M739" s="571"/>
      <c r="N739" s="571"/>
      <c r="O739" s="571"/>
      <c r="P739" s="571"/>
      <c r="Q739" s="571"/>
      <c r="R739" s="571"/>
      <c r="S739" s="571"/>
      <c r="T739" s="572"/>
      <c r="U739" s="571"/>
      <c r="V739" s="571"/>
      <c r="W739" s="571"/>
    </row>
    <row r="740" spans="1:23">
      <c r="A740" s="571"/>
      <c r="B740" s="571"/>
      <c r="C740" s="571"/>
      <c r="D740" s="571"/>
      <c r="E740" s="571"/>
      <c r="F740" s="571"/>
      <c r="G740" s="571"/>
      <c r="H740" s="571"/>
      <c r="I740" s="571"/>
      <c r="J740" s="571"/>
      <c r="K740" s="571"/>
      <c r="L740" s="571"/>
      <c r="M740" s="571"/>
      <c r="N740" s="571"/>
      <c r="O740" s="571"/>
      <c r="P740" s="571"/>
      <c r="Q740" s="571"/>
      <c r="R740" s="571"/>
      <c r="S740" s="571"/>
      <c r="T740" s="572"/>
      <c r="U740" s="571"/>
      <c r="V740" s="571"/>
      <c r="W740" s="571"/>
    </row>
    <row r="741" spans="1:23">
      <c r="A741" s="571"/>
      <c r="B741" s="571"/>
      <c r="C741" s="571"/>
      <c r="D741" s="571"/>
      <c r="E741" s="571"/>
      <c r="F741" s="571"/>
      <c r="G741" s="571"/>
      <c r="H741" s="571"/>
      <c r="I741" s="571"/>
      <c r="J741" s="571"/>
      <c r="K741" s="571"/>
      <c r="L741" s="571"/>
      <c r="M741" s="571"/>
      <c r="N741" s="571"/>
      <c r="O741" s="571"/>
      <c r="P741" s="571"/>
      <c r="Q741" s="571"/>
      <c r="R741" s="571"/>
      <c r="S741" s="571"/>
      <c r="T741" s="572"/>
      <c r="U741" s="571"/>
      <c r="V741" s="571"/>
      <c r="W741" s="571"/>
    </row>
    <row r="742" spans="1:23">
      <c r="A742" s="571"/>
      <c r="B742" s="571"/>
      <c r="C742" s="571"/>
      <c r="D742" s="571"/>
      <c r="E742" s="571"/>
      <c r="F742" s="571"/>
      <c r="G742" s="571"/>
      <c r="H742" s="571"/>
      <c r="I742" s="571"/>
      <c r="J742" s="571"/>
      <c r="K742" s="571"/>
      <c r="L742" s="571"/>
      <c r="M742" s="571"/>
      <c r="N742" s="571"/>
      <c r="O742" s="571"/>
      <c r="P742" s="571"/>
      <c r="Q742" s="571"/>
      <c r="R742" s="571"/>
      <c r="S742" s="571"/>
      <c r="T742" s="572"/>
      <c r="U742" s="571"/>
      <c r="V742" s="571"/>
      <c r="W742" s="571"/>
    </row>
    <row r="743" spans="1:23">
      <c r="A743" s="571"/>
      <c r="B743" s="571"/>
      <c r="C743" s="571"/>
      <c r="D743" s="571"/>
      <c r="E743" s="571"/>
      <c r="F743" s="571"/>
      <c r="G743" s="571"/>
      <c r="H743" s="571"/>
      <c r="I743" s="571"/>
      <c r="J743" s="571"/>
      <c r="K743" s="571"/>
      <c r="L743" s="571"/>
      <c r="M743" s="571"/>
      <c r="N743" s="571"/>
      <c r="O743" s="571"/>
      <c r="P743" s="571"/>
      <c r="Q743" s="571"/>
      <c r="R743" s="571"/>
      <c r="S743" s="571"/>
      <c r="T743" s="572"/>
      <c r="U743" s="571"/>
      <c r="V743" s="571"/>
      <c r="W743" s="571"/>
    </row>
    <row r="744" spans="1:23">
      <c r="A744" s="571"/>
      <c r="B744" s="571"/>
      <c r="C744" s="571"/>
      <c r="D744" s="571"/>
      <c r="E744" s="571"/>
      <c r="F744" s="571"/>
      <c r="G744" s="571"/>
      <c r="H744" s="571"/>
      <c r="I744" s="571"/>
      <c r="J744" s="571"/>
      <c r="K744" s="571"/>
      <c r="L744" s="571"/>
      <c r="M744" s="571"/>
      <c r="N744" s="571"/>
      <c r="O744" s="571"/>
      <c r="P744" s="571"/>
      <c r="Q744" s="571"/>
      <c r="R744" s="571"/>
      <c r="S744" s="571"/>
      <c r="T744" s="572"/>
      <c r="U744" s="571"/>
      <c r="V744" s="571"/>
      <c r="W744" s="571"/>
    </row>
    <row r="745" spans="1:23">
      <c r="A745" s="571"/>
      <c r="B745" s="571"/>
      <c r="C745" s="571"/>
      <c r="D745" s="571"/>
      <c r="E745" s="571"/>
      <c r="F745" s="571"/>
      <c r="G745" s="571"/>
      <c r="H745" s="571"/>
      <c r="I745" s="571"/>
      <c r="J745" s="571"/>
      <c r="K745" s="571"/>
      <c r="L745" s="571"/>
      <c r="M745" s="571"/>
      <c r="N745" s="571"/>
      <c r="O745" s="571"/>
      <c r="P745" s="571"/>
      <c r="Q745" s="571"/>
      <c r="R745" s="571"/>
      <c r="S745" s="571"/>
      <c r="T745" s="572"/>
      <c r="U745" s="571"/>
      <c r="V745" s="571"/>
      <c r="W745" s="571"/>
    </row>
    <row r="746" spans="1:23">
      <c r="A746" s="571"/>
      <c r="B746" s="571"/>
      <c r="C746" s="571"/>
      <c r="D746" s="571"/>
      <c r="E746" s="571"/>
      <c r="F746" s="571"/>
      <c r="G746" s="571"/>
      <c r="H746" s="571"/>
      <c r="I746" s="571"/>
      <c r="J746" s="571"/>
      <c r="K746" s="571"/>
      <c r="L746" s="571"/>
      <c r="M746" s="571"/>
      <c r="N746" s="571"/>
      <c r="O746" s="571"/>
      <c r="P746" s="571"/>
      <c r="Q746" s="571"/>
      <c r="R746" s="571"/>
      <c r="S746" s="571"/>
      <c r="T746" s="572"/>
      <c r="U746" s="571"/>
      <c r="V746" s="571"/>
      <c r="W746" s="571"/>
    </row>
  </sheetData>
  <mergeCells count="271">
    <mergeCell ref="H703:I703"/>
    <mergeCell ref="K703:L703"/>
    <mergeCell ref="N703:O703"/>
    <mergeCell ref="Q703:R703"/>
    <mergeCell ref="E715:F715"/>
    <mergeCell ref="A689:E689"/>
    <mergeCell ref="H689:I689"/>
    <mergeCell ref="K689:L689"/>
    <mergeCell ref="N689:O689"/>
    <mergeCell ref="Q689:R689"/>
    <mergeCell ref="E701:F701"/>
    <mergeCell ref="A671:E671"/>
    <mergeCell ref="H671:I671"/>
    <mergeCell ref="K671:L671"/>
    <mergeCell ref="N671:O671"/>
    <mergeCell ref="Q671:R671"/>
    <mergeCell ref="E688:F688"/>
    <mergeCell ref="A652:E652"/>
    <mergeCell ref="H652:I652"/>
    <mergeCell ref="K652:L652"/>
    <mergeCell ref="N652:O652"/>
    <mergeCell ref="Q652:R652"/>
    <mergeCell ref="E669:F669"/>
    <mergeCell ref="A633:E633"/>
    <mergeCell ref="H633:I633"/>
    <mergeCell ref="K633:L633"/>
    <mergeCell ref="N633:O633"/>
    <mergeCell ref="Q633:R633"/>
    <mergeCell ref="E650:F650"/>
    <mergeCell ref="A614:E614"/>
    <mergeCell ref="H614:I614"/>
    <mergeCell ref="K614:L614"/>
    <mergeCell ref="N614:O614"/>
    <mergeCell ref="Q614:R614"/>
    <mergeCell ref="E631:F631"/>
    <mergeCell ref="A595:E595"/>
    <mergeCell ref="H595:I595"/>
    <mergeCell ref="K595:L595"/>
    <mergeCell ref="N595:O595"/>
    <mergeCell ref="Q595:R595"/>
    <mergeCell ref="E612:F612"/>
    <mergeCell ref="E579:F579"/>
    <mergeCell ref="H581:I581"/>
    <mergeCell ref="K581:L581"/>
    <mergeCell ref="N581:O581"/>
    <mergeCell ref="Q581:R581"/>
    <mergeCell ref="E593:F593"/>
    <mergeCell ref="H553:I553"/>
    <mergeCell ref="K553:L553"/>
    <mergeCell ref="N553:O553"/>
    <mergeCell ref="Q553:R553"/>
    <mergeCell ref="E565:F565"/>
    <mergeCell ref="A567:E567"/>
    <mergeCell ref="H567:I567"/>
    <mergeCell ref="K567:L567"/>
    <mergeCell ref="N567:O567"/>
    <mergeCell ref="Q567:R567"/>
    <mergeCell ref="A539:E539"/>
    <mergeCell ref="H539:I539"/>
    <mergeCell ref="K539:L539"/>
    <mergeCell ref="N539:O539"/>
    <mergeCell ref="Q539:R539"/>
    <mergeCell ref="E551:F551"/>
    <mergeCell ref="E523:F523"/>
    <mergeCell ref="H525:I525"/>
    <mergeCell ref="K525:L525"/>
    <mergeCell ref="N525:O525"/>
    <mergeCell ref="Q525:R525"/>
    <mergeCell ref="E537:F537"/>
    <mergeCell ref="E510:F510"/>
    <mergeCell ref="A512:E512"/>
    <mergeCell ref="H512:I512"/>
    <mergeCell ref="K512:L512"/>
    <mergeCell ref="N512:O512"/>
    <mergeCell ref="Q512:R512"/>
    <mergeCell ref="E495:F495"/>
    <mergeCell ref="H497:I497"/>
    <mergeCell ref="K497:L497"/>
    <mergeCell ref="N497:O497"/>
    <mergeCell ref="Q497:R497"/>
    <mergeCell ref="E502:F502"/>
    <mergeCell ref="H468:I468"/>
    <mergeCell ref="K468:L468"/>
    <mergeCell ref="N468:O468"/>
    <mergeCell ref="Q468:R468"/>
    <mergeCell ref="E480:F480"/>
    <mergeCell ref="A482:E482"/>
    <mergeCell ref="H482:I482"/>
    <mergeCell ref="K482:L482"/>
    <mergeCell ref="N482:O482"/>
    <mergeCell ref="Q482:R482"/>
    <mergeCell ref="A456:E456"/>
    <mergeCell ref="H456:I456"/>
    <mergeCell ref="K456:L456"/>
    <mergeCell ref="N456:O456"/>
    <mergeCell ref="Q456:R456"/>
    <mergeCell ref="E466:F466"/>
    <mergeCell ref="E440:F440"/>
    <mergeCell ref="H442:I442"/>
    <mergeCell ref="K442:L442"/>
    <mergeCell ref="N442:O442"/>
    <mergeCell ref="Q442:R442"/>
    <mergeCell ref="E454:F454"/>
    <mergeCell ref="H414:I414"/>
    <mergeCell ref="K414:L414"/>
    <mergeCell ref="N414:O414"/>
    <mergeCell ref="Q414:R414"/>
    <mergeCell ref="E426:F426"/>
    <mergeCell ref="A428:E428"/>
    <mergeCell ref="H428:I428"/>
    <mergeCell ref="K428:L428"/>
    <mergeCell ref="N428:O428"/>
    <mergeCell ref="Q428:R428"/>
    <mergeCell ref="A399:E399"/>
    <mergeCell ref="H399:I399"/>
    <mergeCell ref="K399:L399"/>
    <mergeCell ref="N399:O399"/>
    <mergeCell ref="Q399:R399"/>
    <mergeCell ref="E411:F411"/>
    <mergeCell ref="E384:F384"/>
    <mergeCell ref="H386:I386"/>
    <mergeCell ref="K386:L386"/>
    <mergeCell ref="N386:O386"/>
    <mergeCell ref="Q386:R386"/>
    <mergeCell ref="E397:F397"/>
    <mergeCell ref="H359:I359"/>
    <mergeCell ref="K359:L359"/>
    <mergeCell ref="N359:O359"/>
    <mergeCell ref="Q359:R359"/>
    <mergeCell ref="E370:F370"/>
    <mergeCell ref="A372:E372"/>
    <mergeCell ref="H372:I372"/>
    <mergeCell ref="K372:L372"/>
    <mergeCell ref="N372:O372"/>
    <mergeCell ref="Q372:R372"/>
    <mergeCell ref="A345:E345"/>
    <mergeCell ref="H345:I345"/>
    <mergeCell ref="K345:L345"/>
    <mergeCell ref="N345:O345"/>
    <mergeCell ref="Q345:R345"/>
    <mergeCell ref="E357:F357"/>
    <mergeCell ref="E331:F331"/>
    <mergeCell ref="H333:I333"/>
    <mergeCell ref="K333:L333"/>
    <mergeCell ref="N333:O333"/>
    <mergeCell ref="Q333:R333"/>
    <mergeCell ref="E344:F344"/>
    <mergeCell ref="H306:I306"/>
    <mergeCell ref="K306:L306"/>
    <mergeCell ref="N306:O306"/>
    <mergeCell ref="Q306:R306"/>
    <mergeCell ref="E317:F317"/>
    <mergeCell ref="A319:E319"/>
    <mergeCell ref="H319:I319"/>
    <mergeCell ref="K319:L319"/>
    <mergeCell ref="N319:O319"/>
    <mergeCell ref="Q319:R319"/>
    <mergeCell ref="A292:E292"/>
    <mergeCell ref="H292:I292"/>
    <mergeCell ref="K292:L292"/>
    <mergeCell ref="N292:O292"/>
    <mergeCell ref="Q292:R292"/>
    <mergeCell ref="E304:F304"/>
    <mergeCell ref="E275:F275"/>
    <mergeCell ref="H277:I277"/>
    <mergeCell ref="K277:L277"/>
    <mergeCell ref="N277:O277"/>
    <mergeCell ref="Q277:R277"/>
    <mergeCell ref="E290:F290"/>
    <mergeCell ref="H248:I248"/>
    <mergeCell ref="K248:L248"/>
    <mergeCell ref="N248:O248"/>
    <mergeCell ref="Q248:R248"/>
    <mergeCell ref="E260:F260"/>
    <mergeCell ref="A262:E262"/>
    <mergeCell ref="H262:I262"/>
    <mergeCell ref="K262:L262"/>
    <mergeCell ref="N262:O262"/>
    <mergeCell ref="Q262:R262"/>
    <mergeCell ref="A233:E233"/>
    <mergeCell ref="H233:I233"/>
    <mergeCell ref="K233:L233"/>
    <mergeCell ref="N233:O233"/>
    <mergeCell ref="Q233:R233"/>
    <mergeCell ref="E246:F246"/>
    <mergeCell ref="E220:F220"/>
    <mergeCell ref="H222:I222"/>
    <mergeCell ref="K222:L222"/>
    <mergeCell ref="N222:O222"/>
    <mergeCell ref="Q222:R222"/>
    <mergeCell ref="E232:F232"/>
    <mergeCell ref="H194:I194"/>
    <mergeCell ref="K194:L194"/>
    <mergeCell ref="N194:O194"/>
    <mergeCell ref="Q194:R194"/>
    <mergeCell ref="E206:F206"/>
    <mergeCell ref="A208:E208"/>
    <mergeCell ref="H208:I208"/>
    <mergeCell ref="K208:L208"/>
    <mergeCell ref="N208:O208"/>
    <mergeCell ref="Q208:R208"/>
    <mergeCell ref="A178:E178"/>
    <mergeCell ref="H178:I178"/>
    <mergeCell ref="K178:L178"/>
    <mergeCell ref="N178:O178"/>
    <mergeCell ref="Q178:R178"/>
    <mergeCell ref="E192:F192"/>
    <mergeCell ref="E162:F162"/>
    <mergeCell ref="H164:I164"/>
    <mergeCell ref="K164:L164"/>
    <mergeCell ref="N164:O164"/>
    <mergeCell ref="Q164:R164"/>
    <mergeCell ref="E176:F176"/>
    <mergeCell ref="H133:I133"/>
    <mergeCell ref="K133:L133"/>
    <mergeCell ref="N133:O133"/>
    <mergeCell ref="Q133:R133"/>
    <mergeCell ref="E145:F145"/>
    <mergeCell ref="A148:E148"/>
    <mergeCell ref="H148:I148"/>
    <mergeCell ref="K148:L148"/>
    <mergeCell ref="N148:O148"/>
    <mergeCell ref="Q148:R148"/>
    <mergeCell ref="A118:E118"/>
    <mergeCell ref="H118:I118"/>
    <mergeCell ref="K118:L118"/>
    <mergeCell ref="N118:O118"/>
    <mergeCell ref="Q118:R118"/>
    <mergeCell ref="E131:F131"/>
    <mergeCell ref="E102:F102"/>
    <mergeCell ref="H104:I104"/>
    <mergeCell ref="K104:L104"/>
    <mergeCell ref="N104:O104"/>
    <mergeCell ref="Q104:R104"/>
    <mergeCell ref="E116:F116"/>
    <mergeCell ref="A79:E79"/>
    <mergeCell ref="H79:I79"/>
    <mergeCell ref="K79:L79"/>
    <mergeCell ref="N79:O79"/>
    <mergeCell ref="Q79:R79"/>
    <mergeCell ref="E92:F92"/>
    <mergeCell ref="E63:F63"/>
    <mergeCell ref="H64:I64"/>
    <mergeCell ref="K64:L64"/>
    <mergeCell ref="N64:O64"/>
    <mergeCell ref="Q64:R64"/>
    <mergeCell ref="E76:F76"/>
    <mergeCell ref="H34:I34"/>
    <mergeCell ref="K34:L34"/>
    <mergeCell ref="N34:O34"/>
    <mergeCell ref="Q34:R34"/>
    <mergeCell ref="E46:F46"/>
    <mergeCell ref="A50:E50"/>
    <mergeCell ref="H50:I50"/>
    <mergeCell ref="K50:L50"/>
    <mergeCell ref="N50:O50"/>
    <mergeCell ref="Q50:R50"/>
    <mergeCell ref="A20:E20"/>
    <mergeCell ref="H20:I20"/>
    <mergeCell ref="K20:L20"/>
    <mergeCell ref="N20:O20"/>
    <mergeCell ref="Q20:R20"/>
    <mergeCell ref="E33:F33"/>
    <mergeCell ref="H14:J14"/>
    <mergeCell ref="K14:M14"/>
    <mergeCell ref="N14:P14"/>
    <mergeCell ref="Q14:S14"/>
    <mergeCell ref="H15:I15"/>
    <mergeCell ref="K15:L15"/>
    <mergeCell ref="N15:O15"/>
    <mergeCell ref="Q15:R1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977"/>
  <sheetViews>
    <sheetView zoomScale="70" zoomScaleNormal="70" workbookViewId="0">
      <selection activeCell="C10" sqref="C10"/>
    </sheetView>
  </sheetViews>
  <sheetFormatPr defaultColWidth="14.71875" defaultRowHeight="15.3"/>
  <cols>
    <col min="1" max="1" width="40.5546875" style="648" customWidth="1"/>
    <col min="2" max="2" width="42.71875" style="648" bestFit="1" customWidth="1"/>
    <col min="3" max="3" width="31.27734375" style="648" customWidth="1"/>
    <col min="4" max="5" width="13.5546875" style="648" customWidth="1"/>
    <col min="6" max="6" width="13.71875" style="648" customWidth="1"/>
    <col min="7" max="7" width="12.44140625" style="648" customWidth="1"/>
    <col min="8" max="8" width="13.44140625" style="648" customWidth="1"/>
    <col min="9" max="9" width="10.27734375" style="648" bestFit="1" customWidth="1"/>
    <col min="10" max="10" width="12.71875" style="648" customWidth="1"/>
    <col min="11" max="11" width="10.5546875" style="648" customWidth="1"/>
    <col min="12" max="12" width="12.27734375" style="648" customWidth="1"/>
    <col min="13" max="13" width="9.71875" style="648" customWidth="1"/>
    <col min="14" max="14" width="19.27734375" style="648" customWidth="1"/>
    <col min="15" max="25" width="8.71875" style="648" customWidth="1"/>
    <col min="26" max="16384" width="14.71875" style="648"/>
  </cols>
  <sheetData>
    <row r="1" spans="1:26" ht="14.25" customHeight="1" thickBot="1">
      <c r="A1" s="1472" t="s">
        <v>886</v>
      </c>
      <c r="B1" s="1473"/>
      <c r="C1" s="1473"/>
      <c r="D1" s="1473"/>
      <c r="E1" s="1473"/>
      <c r="F1" s="1473"/>
      <c r="G1" s="1473"/>
      <c r="H1" s="1473"/>
      <c r="I1" s="1473"/>
      <c r="J1" s="1473"/>
      <c r="K1" s="1473"/>
      <c r="L1" s="1473"/>
      <c r="M1" s="1473"/>
      <c r="N1" s="1474"/>
      <c r="O1" s="647"/>
      <c r="P1" s="647"/>
      <c r="Q1" s="647"/>
      <c r="R1" s="647"/>
      <c r="S1" s="647"/>
      <c r="T1" s="647"/>
      <c r="U1" s="647"/>
      <c r="V1" s="647"/>
      <c r="W1" s="647"/>
      <c r="X1" s="647"/>
      <c r="Y1" s="647"/>
      <c r="Z1" s="647"/>
    </row>
    <row r="2" spans="1:26" ht="15.6" thickBot="1">
      <c r="A2" s="1466" t="s">
        <v>669</v>
      </c>
      <c r="B2" s="1467"/>
      <c r="C2" s="1467"/>
      <c r="D2" s="1467"/>
      <c r="E2" s="1467"/>
      <c r="F2" s="1467"/>
      <c r="G2" s="1467"/>
      <c r="H2" s="1467"/>
      <c r="I2" s="1467"/>
      <c r="J2" s="1467"/>
      <c r="K2" s="1467"/>
      <c r="L2" s="1467"/>
      <c r="M2" s="1467"/>
      <c r="N2" s="1468"/>
    </row>
    <row r="3" spans="1:26" ht="31.15" customHeight="1" thickBot="1">
      <c r="A3" s="649" t="s">
        <v>887</v>
      </c>
      <c r="B3" s="649" t="s">
        <v>888</v>
      </c>
      <c r="C3" s="649" t="s">
        <v>889</v>
      </c>
      <c r="D3" s="649" t="s">
        <v>890</v>
      </c>
      <c r="E3" s="649" t="s">
        <v>891</v>
      </c>
      <c r="F3" s="650" t="s">
        <v>892</v>
      </c>
      <c r="G3" s="649" t="s">
        <v>893</v>
      </c>
      <c r="H3" s="651" t="s">
        <v>894</v>
      </c>
      <c r="I3" s="649" t="s">
        <v>895</v>
      </c>
      <c r="J3" s="649" t="s">
        <v>896</v>
      </c>
      <c r="K3" s="649" t="s">
        <v>897</v>
      </c>
      <c r="L3" s="649" t="s">
        <v>898</v>
      </c>
      <c r="M3" s="649" t="s">
        <v>899</v>
      </c>
      <c r="N3" s="649" t="s">
        <v>900</v>
      </c>
    </row>
    <row r="4" spans="1:26" ht="15.6" thickBot="1">
      <c r="A4" s="1469" t="s">
        <v>329</v>
      </c>
      <c r="B4" s="1470"/>
      <c r="C4" s="1470"/>
      <c r="D4" s="1470"/>
      <c r="E4" s="1470"/>
      <c r="F4" s="1470"/>
      <c r="G4" s="1470"/>
      <c r="H4" s="1470"/>
      <c r="I4" s="1470"/>
      <c r="J4" s="1470"/>
      <c r="K4" s="1470"/>
      <c r="L4" s="1470"/>
      <c r="M4" s="1470"/>
      <c r="N4" s="1471"/>
    </row>
    <row r="5" spans="1:26" ht="14.25" customHeight="1">
      <c r="A5" s="652" t="s">
        <v>901</v>
      </c>
      <c r="B5" s="652" t="s">
        <v>902</v>
      </c>
      <c r="C5" s="652" t="s">
        <v>903</v>
      </c>
      <c r="D5" s="653">
        <v>1</v>
      </c>
      <c r="E5" s="654">
        <v>1200</v>
      </c>
      <c r="F5" s="655">
        <f>D5*E5</f>
        <v>1200</v>
      </c>
      <c r="G5" s="653">
        <v>5</v>
      </c>
      <c r="H5" s="656">
        <v>126</v>
      </c>
      <c r="I5" s="655">
        <f>G5*H5</f>
        <v>630</v>
      </c>
      <c r="J5" s="654">
        <v>147</v>
      </c>
      <c r="K5" s="655">
        <f>G5*J5</f>
        <v>735</v>
      </c>
      <c r="L5" s="657">
        <v>50</v>
      </c>
      <c r="M5" s="657">
        <v>30</v>
      </c>
      <c r="N5" s="658">
        <f>SUM(F5,I5,K5,L5,M5)</f>
        <v>2645</v>
      </c>
    </row>
    <row r="6" spans="1:26" ht="13.9" customHeight="1" thickBot="1">
      <c r="A6" s="659"/>
      <c r="B6" s="660"/>
      <c r="C6" s="660"/>
      <c r="D6" s="661"/>
      <c r="E6" s="662"/>
      <c r="F6" s="663">
        <f>D6*E6</f>
        <v>0</v>
      </c>
      <c r="G6" s="661"/>
      <c r="H6" s="664"/>
      <c r="I6" s="663">
        <f>G6*H6</f>
        <v>0</v>
      </c>
      <c r="J6" s="662"/>
      <c r="K6" s="665">
        <f>G6*J6</f>
        <v>0</v>
      </c>
      <c r="L6" s="666"/>
      <c r="M6" s="667"/>
      <c r="N6" s="668">
        <f>SUM(F6,I6,K6,L6,M6)</f>
        <v>0</v>
      </c>
    </row>
    <row r="7" spans="1:26" ht="13.9" customHeight="1" thickBot="1">
      <c r="A7" s="1463" t="s">
        <v>337</v>
      </c>
      <c r="B7" s="1464"/>
      <c r="C7" s="1464"/>
      <c r="D7" s="1464"/>
      <c r="E7" s="1464"/>
      <c r="F7" s="1464"/>
      <c r="G7" s="1464"/>
      <c r="H7" s="1464"/>
      <c r="I7" s="1464"/>
      <c r="J7" s="1464"/>
      <c r="K7" s="1464"/>
      <c r="L7" s="1464"/>
      <c r="M7" s="1464"/>
      <c r="N7" s="1465"/>
    </row>
    <row r="8" spans="1:26" ht="13.9" customHeight="1">
      <c r="A8" s="659" t="s">
        <v>901</v>
      </c>
      <c r="B8" s="660" t="s">
        <v>904</v>
      </c>
      <c r="C8" s="660"/>
      <c r="D8" s="661"/>
      <c r="E8" s="662"/>
      <c r="F8" s="663">
        <f>D8*E8</f>
        <v>0</v>
      </c>
      <c r="G8" s="661"/>
      <c r="H8" s="664"/>
      <c r="I8" s="663">
        <f>G8*H8</f>
        <v>0</v>
      </c>
      <c r="J8" s="662"/>
      <c r="K8" s="665">
        <f>G8*J8</f>
        <v>0</v>
      </c>
      <c r="L8" s="666"/>
      <c r="M8" s="666"/>
      <c r="N8" s="668">
        <f>SUM(F8,I8,K8,L8,M8)</f>
        <v>0</v>
      </c>
    </row>
    <row r="9" spans="1:26" ht="13.9" customHeight="1">
      <c r="A9" s="659" t="s">
        <v>905</v>
      </c>
      <c r="B9" s="660" t="s">
        <v>904</v>
      </c>
      <c r="C9" s="660"/>
      <c r="D9" s="661"/>
      <c r="E9" s="662"/>
      <c r="F9" s="663">
        <f>D9*E9</f>
        <v>0</v>
      </c>
      <c r="G9" s="661"/>
      <c r="H9" s="664"/>
      <c r="I9" s="663">
        <f>G9*H9</f>
        <v>0</v>
      </c>
      <c r="J9" s="662"/>
      <c r="K9" s="665">
        <f>G9*J9</f>
        <v>0</v>
      </c>
      <c r="L9" s="666"/>
      <c r="M9" s="666"/>
      <c r="N9" s="668">
        <f>SUM(F9,I9,K9,L9,M9)</f>
        <v>0</v>
      </c>
    </row>
    <row r="10" spans="1:26" ht="13.9" customHeight="1">
      <c r="A10" s="659" t="s">
        <v>901</v>
      </c>
      <c r="B10" s="660" t="s">
        <v>906</v>
      </c>
      <c r="C10" s="660"/>
      <c r="D10" s="661"/>
      <c r="E10" s="662"/>
      <c r="F10" s="663">
        <f>D10*E10</f>
        <v>0</v>
      </c>
      <c r="G10" s="661"/>
      <c r="H10" s="664"/>
      <c r="I10" s="663">
        <f>G10*H10</f>
        <v>0</v>
      </c>
      <c r="J10" s="662"/>
      <c r="K10" s="665">
        <f>G10*J10</f>
        <v>0</v>
      </c>
      <c r="L10" s="666"/>
      <c r="M10" s="666"/>
      <c r="N10" s="668">
        <f>SUM(F10,I10,K10,L10,M10)</f>
        <v>0</v>
      </c>
    </row>
    <row r="11" spans="1:26" ht="13.9" customHeight="1" thickBot="1">
      <c r="A11" s="659" t="s">
        <v>905</v>
      </c>
      <c r="B11" s="660" t="s">
        <v>906</v>
      </c>
      <c r="C11" s="660"/>
      <c r="D11" s="661"/>
      <c r="E11" s="662"/>
      <c r="F11" s="663">
        <f>D11*E11</f>
        <v>0</v>
      </c>
      <c r="G11" s="661"/>
      <c r="H11" s="664"/>
      <c r="I11" s="663">
        <f>G11*H11</f>
        <v>0</v>
      </c>
      <c r="J11" s="662"/>
      <c r="K11" s="665">
        <f>G11*J11</f>
        <v>0</v>
      </c>
      <c r="L11" s="666"/>
      <c r="M11" s="666"/>
      <c r="N11" s="668">
        <f>SUM(F11,I11,K11,L11,M11)</f>
        <v>0</v>
      </c>
    </row>
    <row r="12" spans="1:26" ht="14.25" customHeight="1" thickBot="1">
      <c r="A12" s="669" t="s">
        <v>907</v>
      </c>
      <c r="B12" s="670"/>
      <c r="C12" s="670"/>
      <c r="D12" s="671"/>
      <c r="E12" s="671"/>
      <c r="F12" s="672">
        <f>SUM(F5:F6,F8)</f>
        <v>1200</v>
      </c>
      <c r="G12" s="671"/>
      <c r="H12" s="671"/>
      <c r="I12" s="672">
        <f>SUM(I5:I6,I8)</f>
        <v>630</v>
      </c>
      <c r="J12" s="671"/>
      <c r="K12" s="672">
        <f>SUM(K5:K6,K8)</f>
        <v>735</v>
      </c>
      <c r="L12" s="673"/>
      <c r="M12" s="673"/>
      <c r="N12" s="672">
        <f>SUM(N5:N6,N8)</f>
        <v>2645</v>
      </c>
    </row>
    <row r="13" spans="1:26" ht="14.25" customHeight="1" thickBot="1">
      <c r="A13" s="1466" t="s">
        <v>670</v>
      </c>
      <c r="B13" s="1467"/>
      <c r="C13" s="1467"/>
      <c r="D13" s="1467"/>
      <c r="E13" s="1467"/>
      <c r="F13" s="1467"/>
      <c r="G13" s="1467"/>
      <c r="H13" s="1467"/>
      <c r="I13" s="1467"/>
      <c r="J13" s="1467"/>
      <c r="K13" s="1467"/>
      <c r="L13" s="1467"/>
      <c r="M13" s="1467"/>
      <c r="N13" s="1468"/>
    </row>
    <row r="14" spans="1:26" s="674" customFormat="1" ht="34.15" customHeight="1" thickBot="1">
      <c r="A14" s="649" t="s">
        <v>887</v>
      </c>
      <c r="B14" s="649" t="s">
        <v>908</v>
      </c>
      <c r="C14" s="649" t="s">
        <v>889</v>
      </c>
      <c r="D14" s="649" t="s">
        <v>890</v>
      </c>
      <c r="E14" s="649" t="s">
        <v>891</v>
      </c>
      <c r="F14" s="650" t="s">
        <v>909</v>
      </c>
      <c r="G14" s="649" t="s">
        <v>893</v>
      </c>
      <c r="H14" s="649" t="s">
        <v>894</v>
      </c>
      <c r="I14" s="649" t="s">
        <v>895</v>
      </c>
      <c r="J14" s="649" t="s">
        <v>896</v>
      </c>
      <c r="K14" s="649" t="s">
        <v>897</v>
      </c>
      <c r="L14" s="649" t="s">
        <v>898</v>
      </c>
      <c r="M14" s="649" t="s">
        <v>899</v>
      </c>
      <c r="N14" s="649" t="s">
        <v>900</v>
      </c>
    </row>
    <row r="15" spans="1:26" s="674" customFormat="1" ht="15.6" thickBot="1">
      <c r="A15" s="1469" t="s">
        <v>329</v>
      </c>
      <c r="B15" s="1470"/>
      <c r="C15" s="1470"/>
      <c r="D15" s="1470"/>
      <c r="E15" s="1470"/>
      <c r="F15" s="1470"/>
      <c r="G15" s="1470"/>
      <c r="H15" s="1470"/>
      <c r="I15" s="1470"/>
      <c r="J15" s="1470"/>
      <c r="K15" s="1470"/>
      <c r="L15" s="1470"/>
      <c r="M15" s="1470"/>
      <c r="N15" s="1471"/>
    </row>
    <row r="16" spans="1:26" ht="13.9" customHeight="1">
      <c r="A16" s="675"/>
      <c r="B16" s="676"/>
      <c r="C16" s="676"/>
      <c r="D16" s="677"/>
      <c r="E16" s="677"/>
      <c r="F16" s="678">
        <f>D16*E16</f>
        <v>0</v>
      </c>
      <c r="G16" s="677"/>
      <c r="H16" s="677"/>
      <c r="I16" s="679">
        <f>G16*H16</f>
        <v>0</v>
      </c>
      <c r="J16" s="677"/>
      <c r="K16" s="680">
        <f>G16*J16</f>
        <v>0</v>
      </c>
      <c r="L16" s="681"/>
      <c r="M16" s="681"/>
      <c r="N16" s="678">
        <f>SUM(F16,I16,K16,L16,M16)</f>
        <v>0</v>
      </c>
    </row>
    <row r="17" spans="1:14" ht="13.9" customHeight="1" thickBot="1">
      <c r="A17" s="659"/>
      <c r="B17" s="660"/>
      <c r="C17" s="660"/>
      <c r="D17" s="661"/>
      <c r="E17" s="661"/>
      <c r="F17" s="663">
        <f>D17*E17</f>
        <v>0</v>
      </c>
      <c r="G17" s="661"/>
      <c r="H17" s="661"/>
      <c r="I17" s="668">
        <f>G17*H17</f>
        <v>0</v>
      </c>
      <c r="J17" s="661"/>
      <c r="K17" s="665">
        <f>G17*J17</f>
        <v>0</v>
      </c>
      <c r="L17" s="682"/>
      <c r="M17" s="682"/>
      <c r="N17" s="663">
        <f>SUM(F17,I17,K17,L17,M17)</f>
        <v>0</v>
      </c>
    </row>
    <row r="18" spans="1:14" ht="13.9" customHeight="1" thickBot="1">
      <c r="A18" s="1463" t="s">
        <v>337</v>
      </c>
      <c r="B18" s="1464"/>
      <c r="C18" s="1464"/>
      <c r="D18" s="1464"/>
      <c r="E18" s="1464"/>
      <c r="F18" s="1464"/>
      <c r="G18" s="1464"/>
      <c r="H18" s="1464"/>
      <c r="I18" s="1464"/>
      <c r="J18" s="1464"/>
      <c r="K18" s="1464"/>
      <c r="L18" s="1464"/>
      <c r="M18" s="1464"/>
      <c r="N18" s="1465"/>
    </row>
    <row r="19" spans="1:14" ht="13.9" customHeight="1" thickBot="1">
      <c r="A19" s="659"/>
      <c r="B19" s="660"/>
      <c r="C19" s="660"/>
      <c r="D19" s="661"/>
      <c r="E19" s="662"/>
      <c r="F19" s="663">
        <f>D19*E19</f>
        <v>0</v>
      </c>
      <c r="G19" s="661"/>
      <c r="H19" s="664"/>
      <c r="I19" s="663">
        <f>G19*H19</f>
        <v>0</v>
      </c>
      <c r="J19" s="662"/>
      <c r="K19" s="665">
        <f>G19*J19</f>
        <v>0</v>
      </c>
      <c r="L19" s="667"/>
      <c r="M19" s="667"/>
      <c r="N19" s="668">
        <f>SUM(F19,I19,K19,L19,M19)</f>
        <v>0</v>
      </c>
    </row>
    <row r="20" spans="1:14" ht="15.6" thickBot="1">
      <c r="A20" s="669" t="s">
        <v>910</v>
      </c>
      <c r="B20" s="670"/>
      <c r="C20" s="670"/>
      <c r="D20" s="671"/>
      <c r="E20" s="671"/>
      <c r="F20" s="672">
        <f>SUM(F16:F17,F19)</f>
        <v>0</v>
      </c>
      <c r="G20" s="683"/>
      <c r="H20" s="683"/>
      <c r="I20" s="672">
        <f>SUM(I16:I17,I19)</f>
        <v>0</v>
      </c>
      <c r="J20" s="683"/>
      <c r="K20" s="672">
        <f>SUM(K16:K17,K19)</f>
        <v>0</v>
      </c>
      <c r="L20" s="673"/>
      <c r="M20" s="673"/>
      <c r="N20" s="672">
        <f>SUM(N16:N17,N19)</f>
        <v>0</v>
      </c>
    </row>
    <row r="21" spans="1:14" ht="14.25" customHeight="1" thickBot="1">
      <c r="A21" s="1466" t="s">
        <v>671</v>
      </c>
      <c r="B21" s="1467"/>
      <c r="C21" s="1467"/>
      <c r="D21" s="1467"/>
      <c r="E21" s="1467"/>
      <c r="F21" s="1467"/>
      <c r="G21" s="1467"/>
      <c r="H21" s="1467"/>
      <c r="I21" s="1467"/>
      <c r="J21" s="1467"/>
      <c r="K21" s="1467"/>
      <c r="L21" s="1467"/>
      <c r="M21" s="1467"/>
      <c r="N21" s="1468"/>
    </row>
    <row r="22" spans="1:14" ht="33.75" customHeight="1" thickBot="1">
      <c r="A22" s="649" t="s">
        <v>887</v>
      </c>
      <c r="B22" s="649" t="s">
        <v>908</v>
      </c>
      <c r="C22" s="649" t="s">
        <v>889</v>
      </c>
      <c r="D22" s="649" t="s">
        <v>890</v>
      </c>
      <c r="E22" s="649" t="s">
        <v>891</v>
      </c>
      <c r="F22" s="650" t="s">
        <v>909</v>
      </c>
      <c r="G22" s="649" t="s">
        <v>893</v>
      </c>
      <c r="H22" s="649" t="s">
        <v>894</v>
      </c>
      <c r="I22" s="649" t="s">
        <v>895</v>
      </c>
      <c r="J22" s="649" t="s">
        <v>896</v>
      </c>
      <c r="K22" s="649" t="s">
        <v>897</v>
      </c>
      <c r="L22" s="649" t="s">
        <v>898</v>
      </c>
      <c r="M22" s="649" t="s">
        <v>899</v>
      </c>
      <c r="N22" s="649" t="s">
        <v>900</v>
      </c>
    </row>
    <row r="23" spans="1:14" ht="15.6" thickBot="1">
      <c r="A23" s="1469" t="s">
        <v>329</v>
      </c>
      <c r="B23" s="1470"/>
      <c r="C23" s="1470"/>
      <c r="D23" s="1470"/>
      <c r="E23" s="1470"/>
      <c r="F23" s="1470"/>
      <c r="G23" s="1470"/>
      <c r="H23" s="1470"/>
      <c r="I23" s="1470"/>
      <c r="J23" s="1470"/>
      <c r="K23" s="1470"/>
      <c r="L23" s="1470"/>
      <c r="M23" s="1470"/>
      <c r="N23" s="1471"/>
    </row>
    <row r="24" spans="1:14" ht="14.25" customHeight="1">
      <c r="A24" s="676"/>
      <c r="B24" s="676"/>
      <c r="C24" s="676"/>
      <c r="D24" s="677"/>
      <c r="E24" s="677"/>
      <c r="F24" s="678">
        <f>D24*E24</f>
        <v>0</v>
      </c>
      <c r="G24" s="677"/>
      <c r="H24" s="677"/>
      <c r="I24" s="679">
        <f>G24*H24</f>
        <v>0</v>
      </c>
      <c r="J24" s="677"/>
      <c r="K24" s="680">
        <f>G24*J24</f>
        <v>0</v>
      </c>
      <c r="L24" s="684"/>
      <c r="M24" s="681"/>
      <c r="N24" s="678">
        <f>SUM(F24,I24,K24,L24,M24)</f>
        <v>0</v>
      </c>
    </row>
    <row r="25" spans="1:14" ht="14.25" customHeight="1" thickBot="1">
      <c r="A25" s="660"/>
      <c r="B25" s="660"/>
      <c r="C25" s="660"/>
      <c r="D25" s="661"/>
      <c r="E25" s="661"/>
      <c r="F25" s="678">
        <f>D25*E25</f>
        <v>0</v>
      </c>
      <c r="G25" s="677"/>
      <c r="H25" s="677"/>
      <c r="I25" s="679">
        <f>G25*H25</f>
        <v>0</v>
      </c>
      <c r="J25" s="677"/>
      <c r="K25" s="680">
        <f>G25*J25</f>
        <v>0</v>
      </c>
      <c r="L25" s="684"/>
      <c r="M25" s="681"/>
      <c r="N25" s="678">
        <f>SUM(F25,I25,K25,L25,M25)</f>
        <v>0</v>
      </c>
    </row>
    <row r="26" spans="1:14" ht="14.25" customHeight="1" thickBot="1">
      <c r="A26" s="1463" t="s">
        <v>337</v>
      </c>
      <c r="B26" s="1464"/>
      <c r="C26" s="1464"/>
      <c r="D26" s="1464"/>
      <c r="E26" s="1464"/>
      <c r="F26" s="1464"/>
      <c r="G26" s="1464"/>
      <c r="H26" s="1464"/>
      <c r="I26" s="1464"/>
      <c r="J26" s="1464"/>
      <c r="K26" s="1464"/>
      <c r="L26" s="1464"/>
      <c r="M26" s="1464"/>
      <c r="N26" s="1465"/>
    </row>
    <row r="27" spans="1:14" ht="14.25" customHeight="1" thickBot="1">
      <c r="A27" s="659"/>
      <c r="B27" s="660"/>
      <c r="C27" s="660"/>
      <c r="D27" s="661"/>
      <c r="E27" s="662"/>
      <c r="F27" s="663">
        <f>D27*E27</f>
        <v>0</v>
      </c>
      <c r="G27" s="661"/>
      <c r="H27" s="664"/>
      <c r="I27" s="663">
        <f>G27*H27</f>
        <v>0</v>
      </c>
      <c r="J27" s="662"/>
      <c r="K27" s="665">
        <f>G27*J27</f>
        <v>0</v>
      </c>
      <c r="L27" s="666"/>
      <c r="M27" s="667"/>
      <c r="N27" s="668">
        <f>SUM(F27,I27,K27,L27,M27)</f>
        <v>0</v>
      </c>
    </row>
    <row r="28" spans="1:14" ht="14.25" customHeight="1" thickBot="1">
      <c r="A28" s="669" t="s">
        <v>911</v>
      </c>
      <c r="B28" s="670"/>
      <c r="C28" s="670"/>
      <c r="D28" s="671"/>
      <c r="E28" s="671"/>
      <c r="F28" s="672">
        <f>SUM(F24:F25,F27)</f>
        <v>0</v>
      </c>
      <c r="G28" s="671"/>
      <c r="H28" s="671"/>
      <c r="I28" s="672">
        <f>SUM(I24:I25,I27)</f>
        <v>0</v>
      </c>
      <c r="J28" s="671"/>
      <c r="K28" s="672">
        <f>SUM(K24:K25,K27)</f>
        <v>0</v>
      </c>
      <c r="L28" s="673"/>
      <c r="M28" s="673"/>
      <c r="N28" s="672">
        <f>SUM(N24:N25,N27)</f>
        <v>0</v>
      </c>
    </row>
    <row r="29" spans="1:14" ht="15.6" thickBot="1">
      <c r="A29" s="1466" t="s">
        <v>672</v>
      </c>
      <c r="B29" s="1467"/>
      <c r="C29" s="1467"/>
      <c r="D29" s="1467"/>
      <c r="E29" s="1467"/>
      <c r="F29" s="1467"/>
      <c r="G29" s="1467"/>
      <c r="H29" s="1467"/>
      <c r="I29" s="1467"/>
      <c r="J29" s="1467"/>
      <c r="K29" s="1467"/>
      <c r="L29" s="1467"/>
      <c r="M29" s="1467"/>
      <c r="N29" s="1468"/>
    </row>
    <row r="30" spans="1:14" ht="34.9" customHeight="1" thickBot="1">
      <c r="A30" s="649" t="s">
        <v>887</v>
      </c>
      <c r="B30" s="649" t="s">
        <v>908</v>
      </c>
      <c r="C30" s="649" t="s">
        <v>889</v>
      </c>
      <c r="D30" s="649" t="s">
        <v>890</v>
      </c>
      <c r="E30" s="649" t="s">
        <v>891</v>
      </c>
      <c r="F30" s="650" t="s">
        <v>909</v>
      </c>
      <c r="G30" s="649" t="s">
        <v>893</v>
      </c>
      <c r="H30" s="649" t="s">
        <v>894</v>
      </c>
      <c r="I30" s="649" t="s">
        <v>895</v>
      </c>
      <c r="J30" s="649" t="s">
        <v>896</v>
      </c>
      <c r="K30" s="649" t="s">
        <v>897</v>
      </c>
      <c r="L30" s="649" t="s">
        <v>898</v>
      </c>
      <c r="M30" s="649" t="s">
        <v>899</v>
      </c>
      <c r="N30" s="649" t="s">
        <v>900</v>
      </c>
    </row>
    <row r="31" spans="1:14" ht="15.6" thickBot="1">
      <c r="A31" s="1469" t="s">
        <v>329</v>
      </c>
      <c r="B31" s="1470"/>
      <c r="C31" s="1470"/>
      <c r="D31" s="1470"/>
      <c r="E31" s="1470"/>
      <c r="F31" s="1470"/>
      <c r="G31" s="1470"/>
      <c r="H31" s="1470"/>
      <c r="I31" s="1470"/>
      <c r="J31" s="1470"/>
      <c r="K31" s="1470"/>
      <c r="L31" s="1470"/>
      <c r="M31" s="1470"/>
      <c r="N31" s="1471"/>
    </row>
    <row r="32" spans="1:14" ht="14.25" customHeight="1">
      <c r="A32" s="676"/>
      <c r="B32" s="676"/>
      <c r="C32" s="676"/>
      <c r="D32" s="685"/>
      <c r="E32" s="685"/>
      <c r="F32" s="686">
        <f>D32*E32</f>
        <v>0</v>
      </c>
      <c r="G32" s="685"/>
      <c r="H32" s="685"/>
      <c r="I32" s="686">
        <f>G32*H32</f>
        <v>0</v>
      </c>
      <c r="J32" s="685"/>
      <c r="K32" s="687">
        <f>G32*J32</f>
        <v>0</v>
      </c>
      <c r="L32" s="688"/>
      <c r="M32" s="688"/>
      <c r="N32" s="686">
        <f>SUM(F32,I32,K32,L32,M32)</f>
        <v>0</v>
      </c>
    </row>
    <row r="33" spans="1:14" ht="14.25" customHeight="1">
      <c r="A33" s="675"/>
      <c r="B33" s="675"/>
      <c r="C33" s="675"/>
      <c r="D33" s="689"/>
      <c r="E33" s="689"/>
      <c r="F33" s="686">
        <f>D33*E33</f>
        <v>0</v>
      </c>
      <c r="G33" s="689"/>
      <c r="H33" s="689"/>
      <c r="I33" s="686">
        <f>G33*H33</f>
        <v>0</v>
      </c>
      <c r="J33" s="689"/>
      <c r="K33" s="687">
        <f>G33*J33</f>
        <v>0</v>
      </c>
      <c r="L33" s="689"/>
      <c r="M33" s="689"/>
      <c r="N33" s="686">
        <f>SUM(F33,I33,K33,L33,M33)</f>
        <v>0</v>
      </c>
    </row>
    <row r="34" spans="1:14" ht="14.25" customHeight="1" thickBot="1">
      <c r="A34" s="659"/>
      <c r="B34" s="659"/>
      <c r="C34" s="659"/>
      <c r="D34" s="690"/>
      <c r="E34" s="690"/>
      <c r="F34" s="686">
        <f>D34*E34</f>
        <v>0</v>
      </c>
      <c r="G34" s="690"/>
      <c r="H34" s="690"/>
      <c r="I34" s="686">
        <f>G34*H34</f>
        <v>0</v>
      </c>
      <c r="J34" s="689"/>
      <c r="K34" s="687">
        <f>G34*J34</f>
        <v>0</v>
      </c>
      <c r="L34" s="689"/>
      <c r="M34" s="689"/>
      <c r="N34" s="686">
        <f>SUM(F34,I34,K34,L34,M34)</f>
        <v>0</v>
      </c>
    </row>
    <row r="35" spans="1:14" ht="14.25" customHeight="1" thickBot="1">
      <c r="A35" s="1463" t="s">
        <v>337</v>
      </c>
      <c r="B35" s="1464"/>
      <c r="C35" s="1464"/>
      <c r="D35" s="1464"/>
      <c r="E35" s="1464"/>
      <c r="F35" s="1464"/>
      <c r="G35" s="1464"/>
      <c r="H35" s="1464"/>
      <c r="I35" s="1464"/>
      <c r="J35" s="1464"/>
      <c r="K35" s="1464"/>
      <c r="L35" s="1464"/>
      <c r="M35" s="1464"/>
      <c r="N35" s="1465"/>
    </row>
    <row r="36" spans="1:14" ht="14.25" customHeight="1" thickBot="1">
      <c r="A36" s="659"/>
      <c r="B36" s="660"/>
      <c r="C36" s="660"/>
      <c r="D36" s="661"/>
      <c r="E36" s="662"/>
      <c r="F36" s="663">
        <f>D36*E36</f>
        <v>0</v>
      </c>
      <c r="G36" s="661"/>
      <c r="H36" s="664"/>
      <c r="I36" s="663">
        <f>G36*H36</f>
        <v>0</v>
      </c>
      <c r="J36" s="662"/>
      <c r="K36" s="665">
        <f>G36*J36</f>
        <v>0</v>
      </c>
      <c r="L36" s="667"/>
      <c r="M36" s="667"/>
      <c r="N36" s="668">
        <f>SUM(F36,I36,K36,L36,M36)</f>
        <v>0</v>
      </c>
    </row>
    <row r="37" spans="1:14" ht="15.6" thickBot="1">
      <c r="A37" s="691" t="s">
        <v>912</v>
      </c>
      <c r="B37" s="692"/>
      <c r="C37" s="692"/>
      <c r="D37" s="693"/>
      <c r="E37" s="693"/>
      <c r="F37" s="672">
        <f>SUM(F32:F34,F36)</f>
        <v>0</v>
      </c>
      <c r="G37" s="693"/>
      <c r="H37" s="693"/>
      <c r="I37" s="672">
        <f>SUM(I32:I34,I36)</f>
        <v>0</v>
      </c>
      <c r="J37" s="693"/>
      <c r="K37" s="672">
        <f>SUM(K32:K34,K36)</f>
        <v>0</v>
      </c>
      <c r="L37" s="694"/>
      <c r="M37" s="694"/>
      <c r="N37" s="672">
        <f>SUM(N32:N34,N36)</f>
        <v>0</v>
      </c>
    </row>
    <row r="38" spans="1:14" ht="15.6" thickBot="1">
      <c r="A38" s="669" t="s">
        <v>913</v>
      </c>
      <c r="B38" s="670"/>
      <c r="C38" s="670"/>
      <c r="D38" s="695"/>
      <c r="E38" s="695"/>
      <c r="F38" s="696">
        <f>SUM(F12,F20,F28,F37)</f>
        <v>1200</v>
      </c>
      <c r="G38" s="697"/>
      <c r="H38" s="697"/>
      <c r="I38" s="696">
        <f>SUM(I12,I20,I28,I37)</f>
        <v>630</v>
      </c>
      <c r="J38" s="697"/>
      <c r="K38" s="696">
        <f>SUM(K12,K20,K28,K37)</f>
        <v>735</v>
      </c>
      <c r="L38" s="696"/>
      <c r="M38" s="696"/>
      <c r="N38" s="696">
        <f>SUM(N12,N20,N28,N37)</f>
        <v>2645</v>
      </c>
    </row>
    <row r="39" spans="1:14" ht="14.25" customHeight="1">
      <c r="A39" s="698"/>
      <c r="B39" s="698"/>
      <c r="C39" s="698"/>
      <c r="D39" s="698"/>
      <c r="E39" s="698"/>
      <c r="F39" s="699"/>
      <c r="G39" s="698"/>
      <c r="H39" s="698"/>
      <c r="I39" s="699"/>
      <c r="J39" s="698"/>
      <c r="K39" s="699"/>
      <c r="L39" s="699"/>
      <c r="M39" s="699"/>
      <c r="N39" s="699"/>
    </row>
    <row r="40" spans="1:14" ht="14.25" customHeight="1"/>
    <row r="41" spans="1:14" ht="14.25" customHeight="1"/>
    <row r="42" spans="1:14" ht="14.25" customHeight="1"/>
    <row r="43" spans="1:14" ht="14.25" customHeight="1"/>
    <row r="44" spans="1:14" ht="14.25" customHeight="1"/>
    <row r="45" spans="1:14" ht="14.25" customHeight="1"/>
    <row r="46" spans="1:14" ht="14.25" customHeight="1"/>
    <row r="47" spans="1:14" ht="14.25" customHeight="1"/>
    <row r="48" spans="1: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sheetData>
  <mergeCells count="13">
    <mergeCell ref="A15:N15"/>
    <mergeCell ref="A1:N1"/>
    <mergeCell ref="A2:N2"/>
    <mergeCell ref="A4:N4"/>
    <mergeCell ref="A7:N7"/>
    <mergeCell ref="A13:N13"/>
    <mergeCell ref="A35:N35"/>
    <mergeCell ref="A18:N18"/>
    <mergeCell ref="A21:N21"/>
    <mergeCell ref="A23:N23"/>
    <mergeCell ref="A26:N26"/>
    <mergeCell ref="A29:N29"/>
    <mergeCell ref="A31:N31"/>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59999389629810485"/>
    <pageSetUpPr fitToPage="1"/>
  </sheetPr>
  <dimension ref="A1:AN51"/>
  <sheetViews>
    <sheetView zoomScale="85" workbookViewId="0">
      <pane xSplit="4" ySplit="11" topLeftCell="E12" activePane="bottomRight" state="frozen"/>
      <selection pane="topRight" activeCell="G20" sqref="G20"/>
      <selection pane="bottomLeft" activeCell="G20" sqref="G20"/>
      <selection pane="bottomRight" activeCell="G20" sqref="G20"/>
    </sheetView>
  </sheetViews>
  <sheetFormatPr defaultColWidth="8.71875" defaultRowHeight="12.3"/>
  <cols>
    <col min="1" max="2" width="25.71875" customWidth="1"/>
    <col min="3" max="3" width="12.71875" customWidth="1"/>
    <col min="4" max="4" width="10.71875" bestFit="1" customWidth="1"/>
    <col min="5" max="5" width="7" bestFit="1" customWidth="1"/>
    <col min="6" max="6" width="9.44140625" customWidth="1"/>
    <col min="7" max="7" width="10.44140625" bestFit="1" customWidth="1"/>
    <col min="8" max="8" width="7" customWidth="1"/>
    <col min="9" max="9" width="11.71875" customWidth="1"/>
    <col min="10" max="10" width="10.27734375" customWidth="1"/>
    <col min="11" max="11" width="8.27734375" bestFit="1" customWidth="1"/>
    <col min="14" max="14" width="7" customWidth="1"/>
    <col min="17" max="17" width="8.27734375" bestFit="1" customWidth="1"/>
    <col min="18" max="18" width="11" customWidth="1"/>
    <col min="20" max="20" width="7" bestFit="1" customWidth="1"/>
    <col min="21" max="21" width="9.44140625" customWidth="1"/>
    <col min="22" max="22" width="10.44140625" bestFit="1" customWidth="1"/>
    <col min="23" max="23" width="7" customWidth="1"/>
    <col min="24" max="24" width="11.71875" customWidth="1"/>
    <col min="25" max="25" width="10.27734375" customWidth="1"/>
    <col min="26" max="26" width="8.27734375" bestFit="1" customWidth="1"/>
    <col min="29" max="29" width="7" customWidth="1"/>
    <col min="32" max="32" width="8.27734375" bestFit="1" customWidth="1"/>
    <col min="33" max="33" width="11" customWidth="1"/>
    <col min="272" max="273" width="25.71875" customWidth="1"/>
    <col min="274" max="274" width="12.71875" customWidth="1"/>
    <col min="275" max="275" width="10.71875" bestFit="1" customWidth="1"/>
    <col min="276" max="276" width="7" bestFit="1" customWidth="1"/>
    <col min="277" max="277" width="9.44140625" customWidth="1"/>
    <col min="278" max="278" width="10.44140625" bestFit="1" customWidth="1"/>
    <col min="279" max="279" width="7" customWidth="1"/>
    <col min="280" max="280" width="11.71875" customWidth="1"/>
    <col min="281" max="281" width="10.27734375" customWidth="1"/>
    <col min="282" max="282" width="8.27734375" bestFit="1" customWidth="1"/>
    <col min="285" max="285" width="7" customWidth="1"/>
    <col min="288" max="288" width="8.27734375" bestFit="1" customWidth="1"/>
    <col min="289" max="289" width="11" customWidth="1"/>
    <col min="528" max="529" width="25.71875" customWidth="1"/>
    <col min="530" max="530" width="12.71875" customWidth="1"/>
    <col min="531" max="531" width="10.71875" bestFit="1" customWidth="1"/>
    <col min="532" max="532" width="7" bestFit="1" customWidth="1"/>
    <col min="533" max="533" width="9.44140625" customWidth="1"/>
    <col min="534" max="534" width="10.44140625" bestFit="1" customWidth="1"/>
    <col min="535" max="535" width="7" customWidth="1"/>
    <col min="536" max="536" width="11.71875" customWidth="1"/>
    <col min="537" max="537" width="10.27734375" customWidth="1"/>
    <col min="538" max="538" width="8.27734375" bestFit="1" customWidth="1"/>
    <col min="541" max="541" width="7" customWidth="1"/>
    <col min="544" max="544" width="8.27734375" bestFit="1" customWidth="1"/>
    <col min="545" max="545" width="11" customWidth="1"/>
    <col min="784" max="785" width="25.71875" customWidth="1"/>
    <col min="786" max="786" width="12.71875" customWidth="1"/>
    <col min="787" max="787" width="10.71875" bestFit="1" customWidth="1"/>
    <col min="788" max="788" width="7" bestFit="1" customWidth="1"/>
    <col min="789" max="789" width="9.44140625" customWidth="1"/>
    <col min="790" max="790" width="10.44140625" bestFit="1" customWidth="1"/>
    <col min="791" max="791" width="7" customWidth="1"/>
    <col min="792" max="792" width="11.71875" customWidth="1"/>
    <col min="793" max="793" width="10.27734375" customWidth="1"/>
    <col min="794" max="794" width="8.27734375" bestFit="1" customWidth="1"/>
    <col min="797" max="797" width="7" customWidth="1"/>
    <col min="800" max="800" width="8.27734375" bestFit="1" customWidth="1"/>
    <col min="801" max="801" width="11" customWidth="1"/>
    <col min="1040" max="1041" width="25.71875" customWidth="1"/>
    <col min="1042" max="1042" width="12.71875" customWidth="1"/>
    <col min="1043" max="1043" width="10.71875" bestFit="1" customWidth="1"/>
    <col min="1044" max="1044" width="7" bestFit="1" customWidth="1"/>
    <col min="1045" max="1045" width="9.44140625" customWidth="1"/>
    <col min="1046" max="1046" width="10.44140625" bestFit="1" customWidth="1"/>
    <col min="1047" max="1047" width="7" customWidth="1"/>
    <col min="1048" max="1048" width="11.71875" customWidth="1"/>
    <col min="1049" max="1049" width="10.27734375" customWidth="1"/>
    <col min="1050" max="1050" width="8.27734375" bestFit="1" customWidth="1"/>
    <col min="1053" max="1053" width="7" customWidth="1"/>
    <col min="1056" max="1056" width="8.27734375" bestFit="1" customWidth="1"/>
    <col min="1057" max="1057" width="11" customWidth="1"/>
    <col min="1296" max="1297" width="25.71875" customWidth="1"/>
    <col min="1298" max="1298" width="12.71875" customWidth="1"/>
    <col min="1299" max="1299" width="10.71875" bestFit="1" customWidth="1"/>
    <col min="1300" max="1300" width="7" bestFit="1" customWidth="1"/>
    <col min="1301" max="1301" width="9.44140625" customWidth="1"/>
    <col min="1302" max="1302" width="10.44140625" bestFit="1" customWidth="1"/>
    <col min="1303" max="1303" width="7" customWidth="1"/>
    <col min="1304" max="1304" width="11.71875" customWidth="1"/>
    <col min="1305" max="1305" width="10.27734375" customWidth="1"/>
    <col min="1306" max="1306" width="8.27734375" bestFit="1" customWidth="1"/>
    <col min="1309" max="1309" width="7" customWidth="1"/>
    <col min="1312" max="1312" width="8.27734375" bestFit="1" customWidth="1"/>
    <col min="1313" max="1313" width="11" customWidth="1"/>
    <col min="1552" max="1553" width="25.71875" customWidth="1"/>
    <col min="1554" max="1554" width="12.71875" customWidth="1"/>
    <col min="1555" max="1555" width="10.71875" bestFit="1" customWidth="1"/>
    <col min="1556" max="1556" width="7" bestFit="1" customWidth="1"/>
    <col min="1557" max="1557" width="9.44140625" customWidth="1"/>
    <col min="1558" max="1558" width="10.44140625" bestFit="1" customWidth="1"/>
    <col min="1559" max="1559" width="7" customWidth="1"/>
    <col min="1560" max="1560" width="11.71875" customWidth="1"/>
    <col min="1561" max="1561" width="10.27734375" customWidth="1"/>
    <col min="1562" max="1562" width="8.27734375" bestFit="1" customWidth="1"/>
    <col min="1565" max="1565" width="7" customWidth="1"/>
    <col min="1568" max="1568" width="8.27734375" bestFit="1" customWidth="1"/>
    <col min="1569" max="1569" width="11" customWidth="1"/>
    <col min="1808" max="1809" width="25.71875" customWidth="1"/>
    <col min="1810" max="1810" width="12.71875" customWidth="1"/>
    <col min="1811" max="1811" width="10.71875" bestFit="1" customWidth="1"/>
    <col min="1812" max="1812" width="7" bestFit="1" customWidth="1"/>
    <col min="1813" max="1813" width="9.44140625" customWidth="1"/>
    <col min="1814" max="1814" width="10.44140625" bestFit="1" customWidth="1"/>
    <col min="1815" max="1815" width="7" customWidth="1"/>
    <col min="1816" max="1816" width="11.71875" customWidth="1"/>
    <col min="1817" max="1817" width="10.27734375" customWidth="1"/>
    <col min="1818" max="1818" width="8.27734375" bestFit="1" customWidth="1"/>
    <col min="1821" max="1821" width="7" customWidth="1"/>
    <col min="1824" max="1824" width="8.27734375" bestFit="1" customWidth="1"/>
    <col min="1825" max="1825" width="11" customWidth="1"/>
    <col min="2064" max="2065" width="25.71875" customWidth="1"/>
    <col min="2066" max="2066" width="12.71875" customWidth="1"/>
    <col min="2067" max="2067" width="10.71875" bestFit="1" customWidth="1"/>
    <col min="2068" max="2068" width="7" bestFit="1" customWidth="1"/>
    <col min="2069" max="2069" width="9.44140625" customWidth="1"/>
    <col min="2070" max="2070" width="10.44140625" bestFit="1" customWidth="1"/>
    <col min="2071" max="2071" width="7" customWidth="1"/>
    <col min="2072" max="2072" width="11.71875" customWidth="1"/>
    <col min="2073" max="2073" width="10.27734375" customWidth="1"/>
    <col min="2074" max="2074" width="8.27734375" bestFit="1" customWidth="1"/>
    <col min="2077" max="2077" width="7" customWidth="1"/>
    <col min="2080" max="2080" width="8.27734375" bestFit="1" customWidth="1"/>
    <col min="2081" max="2081" width="11" customWidth="1"/>
    <col min="2320" max="2321" width="25.71875" customWidth="1"/>
    <col min="2322" max="2322" width="12.71875" customWidth="1"/>
    <col min="2323" max="2323" width="10.71875" bestFit="1" customWidth="1"/>
    <col min="2324" max="2324" width="7" bestFit="1" customWidth="1"/>
    <col min="2325" max="2325" width="9.44140625" customWidth="1"/>
    <col min="2326" max="2326" width="10.44140625" bestFit="1" customWidth="1"/>
    <col min="2327" max="2327" width="7" customWidth="1"/>
    <col min="2328" max="2328" width="11.71875" customWidth="1"/>
    <col min="2329" max="2329" width="10.27734375" customWidth="1"/>
    <col min="2330" max="2330" width="8.27734375" bestFit="1" customWidth="1"/>
    <col min="2333" max="2333" width="7" customWidth="1"/>
    <col min="2336" max="2336" width="8.27734375" bestFit="1" customWidth="1"/>
    <col min="2337" max="2337" width="11" customWidth="1"/>
    <col min="2576" max="2577" width="25.71875" customWidth="1"/>
    <col min="2578" max="2578" width="12.71875" customWidth="1"/>
    <col min="2579" max="2579" width="10.71875" bestFit="1" customWidth="1"/>
    <col min="2580" max="2580" width="7" bestFit="1" customWidth="1"/>
    <col min="2581" max="2581" width="9.44140625" customWidth="1"/>
    <col min="2582" max="2582" width="10.44140625" bestFit="1" customWidth="1"/>
    <col min="2583" max="2583" width="7" customWidth="1"/>
    <col min="2584" max="2584" width="11.71875" customWidth="1"/>
    <col min="2585" max="2585" width="10.27734375" customWidth="1"/>
    <col min="2586" max="2586" width="8.27734375" bestFit="1" customWidth="1"/>
    <col min="2589" max="2589" width="7" customWidth="1"/>
    <col min="2592" max="2592" width="8.27734375" bestFit="1" customWidth="1"/>
    <col min="2593" max="2593" width="11" customWidth="1"/>
    <col min="2832" max="2833" width="25.71875" customWidth="1"/>
    <col min="2834" max="2834" width="12.71875" customWidth="1"/>
    <col min="2835" max="2835" width="10.71875" bestFit="1" customWidth="1"/>
    <col min="2836" max="2836" width="7" bestFit="1" customWidth="1"/>
    <col min="2837" max="2837" width="9.44140625" customWidth="1"/>
    <col min="2838" max="2838" width="10.44140625" bestFit="1" customWidth="1"/>
    <col min="2839" max="2839" width="7" customWidth="1"/>
    <col min="2840" max="2840" width="11.71875" customWidth="1"/>
    <col min="2841" max="2841" width="10.27734375" customWidth="1"/>
    <col min="2842" max="2842" width="8.27734375" bestFit="1" customWidth="1"/>
    <col min="2845" max="2845" width="7" customWidth="1"/>
    <col min="2848" max="2848" width="8.27734375" bestFit="1" customWidth="1"/>
    <col min="2849" max="2849" width="11" customWidth="1"/>
    <col min="3088" max="3089" width="25.71875" customWidth="1"/>
    <col min="3090" max="3090" width="12.71875" customWidth="1"/>
    <col min="3091" max="3091" width="10.71875" bestFit="1" customWidth="1"/>
    <col min="3092" max="3092" width="7" bestFit="1" customWidth="1"/>
    <col min="3093" max="3093" width="9.44140625" customWidth="1"/>
    <col min="3094" max="3094" width="10.44140625" bestFit="1" customWidth="1"/>
    <col min="3095" max="3095" width="7" customWidth="1"/>
    <col min="3096" max="3096" width="11.71875" customWidth="1"/>
    <col min="3097" max="3097" width="10.27734375" customWidth="1"/>
    <col min="3098" max="3098" width="8.27734375" bestFit="1" customWidth="1"/>
    <col min="3101" max="3101" width="7" customWidth="1"/>
    <col min="3104" max="3104" width="8.27734375" bestFit="1" customWidth="1"/>
    <col min="3105" max="3105" width="11" customWidth="1"/>
    <col min="3344" max="3345" width="25.71875" customWidth="1"/>
    <col min="3346" max="3346" width="12.71875" customWidth="1"/>
    <col min="3347" max="3347" width="10.71875" bestFit="1" customWidth="1"/>
    <col min="3348" max="3348" width="7" bestFit="1" customWidth="1"/>
    <col min="3349" max="3349" width="9.44140625" customWidth="1"/>
    <col min="3350" max="3350" width="10.44140625" bestFit="1" customWidth="1"/>
    <col min="3351" max="3351" width="7" customWidth="1"/>
    <col min="3352" max="3352" width="11.71875" customWidth="1"/>
    <col min="3353" max="3353" width="10.27734375" customWidth="1"/>
    <col min="3354" max="3354" width="8.27734375" bestFit="1" customWidth="1"/>
    <col min="3357" max="3357" width="7" customWidth="1"/>
    <col min="3360" max="3360" width="8.27734375" bestFit="1" customWidth="1"/>
    <col min="3361" max="3361" width="11" customWidth="1"/>
    <col min="3600" max="3601" width="25.71875" customWidth="1"/>
    <col min="3602" max="3602" width="12.71875" customWidth="1"/>
    <col min="3603" max="3603" width="10.71875" bestFit="1" customWidth="1"/>
    <col min="3604" max="3604" width="7" bestFit="1" customWidth="1"/>
    <col min="3605" max="3605" width="9.44140625" customWidth="1"/>
    <col min="3606" max="3606" width="10.44140625" bestFit="1" customWidth="1"/>
    <col min="3607" max="3607" width="7" customWidth="1"/>
    <col min="3608" max="3608" width="11.71875" customWidth="1"/>
    <col min="3609" max="3609" width="10.27734375" customWidth="1"/>
    <col min="3610" max="3610" width="8.27734375" bestFit="1" customWidth="1"/>
    <col min="3613" max="3613" width="7" customWidth="1"/>
    <col min="3616" max="3616" width="8.27734375" bestFit="1" customWidth="1"/>
    <col min="3617" max="3617" width="11" customWidth="1"/>
    <col min="3856" max="3857" width="25.71875" customWidth="1"/>
    <col min="3858" max="3858" width="12.71875" customWidth="1"/>
    <col min="3859" max="3859" width="10.71875" bestFit="1" customWidth="1"/>
    <col min="3860" max="3860" width="7" bestFit="1" customWidth="1"/>
    <col min="3861" max="3861" width="9.44140625" customWidth="1"/>
    <col min="3862" max="3862" width="10.44140625" bestFit="1" customWidth="1"/>
    <col min="3863" max="3863" width="7" customWidth="1"/>
    <col min="3864" max="3864" width="11.71875" customWidth="1"/>
    <col min="3865" max="3865" width="10.27734375" customWidth="1"/>
    <col min="3866" max="3866" width="8.27734375" bestFit="1" customWidth="1"/>
    <col min="3869" max="3869" width="7" customWidth="1"/>
    <col min="3872" max="3872" width="8.27734375" bestFit="1" customWidth="1"/>
    <col min="3873" max="3873" width="11" customWidth="1"/>
    <col min="4112" max="4113" width="25.71875" customWidth="1"/>
    <col min="4114" max="4114" width="12.71875" customWidth="1"/>
    <col min="4115" max="4115" width="10.71875" bestFit="1" customWidth="1"/>
    <col min="4116" max="4116" width="7" bestFit="1" customWidth="1"/>
    <col min="4117" max="4117" width="9.44140625" customWidth="1"/>
    <col min="4118" max="4118" width="10.44140625" bestFit="1" customWidth="1"/>
    <col min="4119" max="4119" width="7" customWidth="1"/>
    <col min="4120" max="4120" width="11.71875" customWidth="1"/>
    <col min="4121" max="4121" width="10.27734375" customWidth="1"/>
    <col min="4122" max="4122" width="8.27734375" bestFit="1" customWidth="1"/>
    <col min="4125" max="4125" width="7" customWidth="1"/>
    <col min="4128" max="4128" width="8.27734375" bestFit="1" customWidth="1"/>
    <col min="4129" max="4129" width="11" customWidth="1"/>
    <col min="4368" max="4369" width="25.71875" customWidth="1"/>
    <col min="4370" max="4370" width="12.71875" customWidth="1"/>
    <col min="4371" max="4371" width="10.71875" bestFit="1" customWidth="1"/>
    <col min="4372" max="4372" width="7" bestFit="1" customWidth="1"/>
    <col min="4373" max="4373" width="9.44140625" customWidth="1"/>
    <col min="4374" max="4374" width="10.44140625" bestFit="1" customWidth="1"/>
    <col min="4375" max="4375" width="7" customWidth="1"/>
    <col min="4376" max="4376" width="11.71875" customWidth="1"/>
    <col min="4377" max="4377" width="10.27734375" customWidth="1"/>
    <col min="4378" max="4378" width="8.27734375" bestFit="1" customWidth="1"/>
    <col min="4381" max="4381" width="7" customWidth="1"/>
    <col min="4384" max="4384" width="8.27734375" bestFit="1" customWidth="1"/>
    <col min="4385" max="4385" width="11" customWidth="1"/>
    <col min="4624" max="4625" width="25.71875" customWidth="1"/>
    <col min="4626" max="4626" width="12.71875" customWidth="1"/>
    <col min="4627" max="4627" width="10.71875" bestFit="1" customWidth="1"/>
    <col min="4628" max="4628" width="7" bestFit="1" customWidth="1"/>
    <col min="4629" max="4629" width="9.44140625" customWidth="1"/>
    <col min="4630" max="4630" width="10.44140625" bestFit="1" customWidth="1"/>
    <col min="4631" max="4631" width="7" customWidth="1"/>
    <col min="4632" max="4632" width="11.71875" customWidth="1"/>
    <col min="4633" max="4633" width="10.27734375" customWidth="1"/>
    <col min="4634" max="4634" width="8.27734375" bestFit="1" customWidth="1"/>
    <col min="4637" max="4637" width="7" customWidth="1"/>
    <col min="4640" max="4640" width="8.27734375" bestFit="1" customWidth="1"/>
    <col min="4641" max="4641" width="11" customWidth="1"/>
    <col min="4880" max="4881" width="25.71875" customWidth="1"/>
    <col min="4882" max="4882" width="12.71875" customWidth="1"/>
    <col min="4883" max="4883" width="10.71875" bestFit="1" customWidth="1"/>
    <col min="4884" max="4884" width="7" bestFit="1" customWidth="1"/>
    <col min="4885" max="4885" width="9.44140625" customWidth="1"/>
    <col min="4886" max="4886" width="10.44140625" bestFit="1" customWidth="1"/>
    <col min="4887" max="4887" width="7" customWidth="1"/>
    <col min="4888" max="4888" width="11.71875" customWidth="1"/>
    <col min="4889" max="4889" width="10.27734375" customWidth="1"/>
    <col min="4890" max="4890" width="8.27734375" bestFit="1" customWidth="1"/>
    <col min="4893" max="4893" width="7" customWidth="1"/>
    <col min="4896" max="4896" width="8.27734375" bestFit="1" customWidth="1"/>
    <col min="4897" max="4897" width="11" customWidth="1"/>
    <col min="5136" max="5137" width="25.71875" customWidth="1"/>
    <col min="5138" max="5138" width="12.71875" customWidth="1"/>
    <col min="5139" max="5139" width="10.71875" bestFit="1" customWidth="1"/>
    <col min="5140" max="5140" width="7" bestFit="1" customWidth="1"/>
    <col min="5141" max="5141" width="9.44140625" customWidth="1"/>
    <col min="5142" max="5142" width="10.44140625" bestFit="1" customWidth="1"/>
    <col min="5143" max="5143" width="7" customWidth="1"/>
    <col min="5144" max="5144" width="11.71875" customWidth="1"/>
    <col min="5145" max="5145" width="10.27734375" customWidth="1"/>
    <col min="5146" max="5146" width="8.27734375" bestFit="1" customWidth="1"/>
    <col min="5149" max="5149" width="7" customWidth="1"/>
    <col min="5152" max="5152" width="8.27734375" bestFit="1" customWidth="1"/>
    <col min="5153" max="5153" width="11" customWidth="1"/>
    <col min="5392" max="5393" width="25.71875" customWidth="1"/>
    <col min="5394" max="5394" width="12.71875" customWidth="1"/>
    <col min="5395" max="5395" width="10.71875" bestFit="1" customWidth="1"/>
    <col min="5396" max="5396" width="7" bestFit="1" customWidth="1"/>
    <col min="5397" max="5397" width="9.44140625" customWidth="1"/>
    <col min="5398" max="5398" width="10.44140625" bestFit="1" customWidth="1"/>
    <col min="5399" max="5399" width="7" customWidth="1"/>
    <col min="5400" max="5400" width="11.71875" customWidth="1"/>
    <col min="5401" max="5401" width="10.27734375" customWidth="1"/>
    <col min="5402" max="5402" width="8.27734375" bestFit="1" customWidth="1"/>
    <col min="5405" max="5405" width="7" customWidth="1"/>
    <col min="5408" max="5408" width="8.27734375" bestFit="1" customWidth="1"/>
    <col min="5409" max="5409" width="11" customWidth="1"/>
    <col min="5648" max="5649" width="25.71875" customWidth="1"/>
    <col min="5650" max="5650" width="12.71875" customWidth="1"/>
    <col min="5651" max="5651" width="10.71875" bestFit="1" customWidth="1"/>
    <col min="5652" max="5652" width="7" bestFit="1" customWidth="1"/>
    <col min="5653" max="5653" width="9.44140625" customWidth="1"/>
    <col min="5654" max="5654" width="10.44140625" bestFit="1" customWidth="1"/>
    <col min="5655" max="5655" width="7" customWidth="1"/>
    <col min="5656" max="5656" width="11.71875" customWidth="1"/>
    <col min="5657" max="5657" width="10.27734375" customWidth="1"/>
    <col min="5658" max="5658" width="8.27734375" bestFit="1" customWidth="1"/>
    <col min="5661" max="5661" width="7" customWidth="1"/>
    <col min="5664" max="5664" width="8.27734375" bestFit="1" customWidth="1"/>
    <col min="5665" max="5665" width="11" customWidth="1"/>
    <col min="5904" max="5905" width="25.71875" customWidth="1"/>
    <col min="5906" max="5906" width="12.71875" customWidth="1"/>
    <col min="5907" max="5907" width="10.71875" bestFit="1" customWidth="1"/>
    <col min="5908" max="5908" width="7" bestFit="1" customWidth="1"/>
    <col min="5909" max="5909" width="9.44140625" customWidth="1"/>
    <col min="5910" max="5910" width="10.44140625" bestFit="1" customWidth="1"/>
    <col min="5911" max="5911" width="7" customWidth="1"/>
    <col min="5912" max="5912" width="11.71875" customWidth="1"/>
    <col min="5913" max="5913" width="10.27734375" customWidth="1"/>
    <col min="5914" max="5914" width="8.27734375" bestFit="1" customWidth="1"/>
    <col min="5917" max="5917" width="7" customWidth="1"/>
    <col min="5920" max="5920" width="8.27734375" bestFit="1" customWidth="1"/>
    <col min="5921" max="5921" width="11" customWidth="1"/>
    <col min="6160" max="6161" width="25.71875" customWidth="1"/>
    <col min="6162" max="6162" width="12.71875" customWidth="1"/>
    <col min="6163" max="6163" width="10.71875" bestFit="1" customWidth="1"/>
    <col min="6164" max="6164" width="7" bestFit="1" customWidth="1"/>
    <col min="6165" max="6165" width="9.44140625" customWidth="1"/>
    <col min="6166" max="6166" width="10.44140625" bestFit="1" customWidth="1"/>
    <col min="6167" max="6167" width="7" customWidth="1"/>
    <col min="6168" max="6168" width="11.71875" customWidth="1"/>
    <col min="6169" max="6169" width="10.27734375" customWidth="1"/>
    <col min="6170" max="6170" width="8.27734375" bestFit="1" customWidth="1"/>
    <col min="6173" max="6173" width="7" customWidth="1"/>
    <col min="6176" max="6176" width="8.27734375" bestFit="1" customWidth="1"/>
    <col min="6177" max="6177" width="11" customWidth="1"/>
    <col min="6416" max="6417" width="25.71875" customWidth="1"/>
    <col min="6418" max="6418" width="12.71875" customWidth="1"/>
    <col min="6419" max="6419" width="10.71875" bestFit="1" customWidth="1"/>
    <col min="6420" max="6420" width="7" bestFit="1" customWidth="1"/>
    <col min="6421" max="6421" width="9.44140625" customWidth="1"/>
    <col min="6422" max="6422" width="10.44140625" bestFit="1" customWidth="1"/>
    <col min="6423" max="6423" width="7" customWidth="1"/>
    <col min="6424" max="6424" width="11.71875" customWidth="1"/>
    <col min="6425" max="6425" width="10.27734375" customWidth="1"/>
    <col min="6426" max="6426" width="8.27734375" bestFit="1" customWidth="1"/>
    <col min="6429" max="6429" width="7" customWidth="1"/>
    <col min="6432" max="6432" width="8.27734375" bestFit="1" customWidth="1"/>
    <col min="6433" max="6433" width="11" customWidth="1"/>
    <col min="6672" max="6673" width="25.71875" customWidth="1"/>
    <col min="6674" max="6674" width="12.71875" customWidth="1"/>
    <col min="6675" max="6675" width="10.71875" bestFit="1" customWidth="1"/>
    <col min="6676" max="6676" width="7" bestFit="1" customWidth="1"/>
    <col min="6677" max="6677" width="9.44140625" customWidth="1"/>
    <col min="6678" max="6678" width="10.44140625" bestFit="1" customWidth="1"/>
    <col min="6679" max="6679" width="7" customWidth="1"/>
    <col min="6680" max="6680" width="11.71875" customWidth="1"/>
    <col min="6681" max="6681" width="10.27734375" customWidth="1"/>
    <col min="6682" max="6682" width="8.27734375" bestFit="1" customWidth="1"/>
    <col min="6685" max="6685" width="7" customWidth="1"/>
    <col min="6688" max="6688" width="8.27734375" bestFit="1" customWidth="1"/>
    <col min="6689" max="6689" width="11" customWidth="1"/>
    <col min="6928" max="6929" width="25.71875" customWidth="1"/>
    <col min="6930" max="6930" width="12.71875" customWidth="1"/>
    <col min="6931" max="6931" width="10.71875" bestFit="1" customWidth="1"/>
    <col min="6932" max="6932" width="7" bestFit="1" customWidth="1"/>
    <col min="6933" max="6933" width="9.44140625" customWidth="1"/>
    <col min="6934" max="6934" width="10.44140625" bestFit="1" customWidth="1"/>
    <col min="6935" max="6935" width="7" customWidth="1"/>
    <col min="6936" max="6936" width="11.71875" customWidth="1"/>
    <col min="6937" max="6937" width="10.27734375" customWidth="1"/>
    <col min="6938" max="6938" width="8.27734375" bestFit="1" customWidth="1"/>
    <col min="6941" max="6941" width="7" customWidth="1"/>
    <col min="6944" max="6944" width="8.27734375" bestFit="1" customWidth="1"/>
    <col min="6945" max="6945" width="11" customWidth="1"/>
    <col min="7184" max="7185" width="25.71875" customWidth="1"/>
    <col min="7186" max="7186" width="12.71875" customWidth="1"/>
    <col min="7187" max="7187" width="10.71875" bestFit="1" customWidth="1"/>
    <col min="7188" max="7188" width="7" bestFit="1" customWidth="1"/>
    <col min="7189" max="7189" width="9.44140625" customWidth="1"/>
    <col min="7190" max="7190" width="10.44140625" bestFit="1" customWidth="1"/>
    <col min="7191" max="7191" width="7" customWidth="1"/>
    <col min="7192" max="7192" width="11.71875" customWidth="1"/>
    <col min="7193" max="7193" width="10.27734375" customWidth="1"/>
    <col min="7194" max="7194" width="8.27734375" bestFit="1" customWidth="1"/>
    <col min="7197" max="7197" width="7" customWidth="1"/>
    <col min="7200" max="7200" width="8.27734375" bestFit="1" customWidth="1"/>
    <col min="7201" max="7201" width="11" customWidth="1"/>
    <col min="7440" max="7441" width="25.71875" customWidth="1"/>
    <col min="7442" max="7442" width="12.71875" customWidth="1"/>
    <col min="7443" max="7443" width="10.71875" bestFit="1" customWidth="1"/>
    <col min="7444" max="7444" width="7" bestFit="1" customWidth="1"/>
    <col min="7445" max="7445" width="9.44140625" customWidth="1"/>
    <col min="7446" max="7446" width="10.44140625" bestFit="1" customWidth="1"/>
    <col min="7447" max="7447" width="7" customWidth="1"/>
    <col min="7448" max="7448" width="11.71875" customWidth="1"/>
    <col min="7449" max="7449" width="10.27734375" customWidth="1"/>
    <col min="7450" max="7450" width="8.27734375" bestFit="1" customWidth="1"/>
    <col min="7453" max="7453" width="7" customWidth="1"/>
    <col min="7456" max="7456" width="8.27734375" bestFit="1" customWidth="1"/>
    <col min="7457" max="7457" width="11" customWidth="1"/>
    <col min="7696" max="7697" width="25.71875" customWidth="1"/>
    <col min="7698" max="7698" width="12.71875" customWidth="1"/>
    <col min="7699" max="7699" width="10.71875" bestFit="1" customWidth="1"/>
    <col min="7700" max="7700" width="7" bestFit="1" customWidth="1"/>
    <col min="7701" max="7701" width="9.44140625" customWidth="1"/>
    <col min="7702" max="7702" width="10.44140625" bestFit="1" customWidth="1"/>
    <col min="7703" max="7703" width="7" customWidth="1"/>
    <col min="7704" max="7704" width="11.71875" customWidth="1"/>
    <col min="7705" max="7705" width="10.27734375" customWidth="1"/>
    <col min="7706" max="7706" width="8.27734375" bestFit="1" customWidth="1"/>
    <col min="7709" max="7709" width="7" customWidth="1"/>
    <col min="7712" max="7712" width="8.27734375" bestFit="1" customWidth="1"/>
    <col min="7713" max="7713" width="11" customWidth="1"/>
    <col min="7952" max="7953" width="25.71875" customWidth="1"/>
    <col min="7954" max="7954" width="12.71875" customWidth="1"/>
    <col min="7955" max="7955" width="10.71875" bestFit="1" customWidth="1"/>
    <col min="7956" max="7956" width="7" bestFit="1" customWidth="1"/>
    <col min="7957" max="7957" width="9.44140625" customWidth="1"/>
    <col min="7958" max="7958" width="10.44140625" bestFit="1" customWidth="1"/>
    <col min="7959" max="7959" width="7" customWidth="1"/>
    <col min="7960" max="7960" width="11.71875" customWidth="1"/>
    <col min="7961" max="7961" width="10.27734375" customWidth="1"/>
    <col min="7962" max="7962" width="8.27734375" bestFit="1" customWidth="1"/>
    <col min="7965" max="7965" width="7" customWidth="1"/>
    <col min="7968" max="7968" width="8.27734375" bestFit="1" customWidth="1"/>
    <col min="7969" max="7969" width="11" customWidth="1"/>
    <col min="8208" max="8209" width="25.71875" customWidth="1"/>
    <col min="8210" max="8210" width="12.71875" customWidth="1"/>
    <col min="8211" max="8211" width="10.71875" bestFit="1" customWidth="1"/>
    <col min="8212" max="8212" width="7" bestFit="1" customWidth="1"/>
    <col min="8213" max="8213" width="9.44140625" customWidth="1"/>
    <col min="8214" max="8214" width="10.44140625" bestFit="1" customWidth="1"/>
    <col min="8215" max="8215" width="7" customWidth="1"/>
    <col min="8216" max="8216" width="11.71875" customWidth="1"/>
    <col min="8217" max="8217" width="10.27734375" customWidth="1"/>
    <col min="8218" max="8218" width="8.27734375" bestFit="1" customWidth="1"/>
    <col min="8221" max="8221" width="7" customWidth="1"/>
    <col min="8224" max="8224" width="8.27734375" bestFit="1" customWidth="1"/>
    <col min="8225" max="8225" width="11" customWidth="1"/>
    <col min="8464" max="8465" width="25.71875" customWidth="1"/>
    <col min="8466" max="8466" width="12.71875" customWidth="1"/>
    <col min="8467" max="8467" width="10.71875" bestFit="1" customWidth="1"/>
    <col min="8468" max="8468" width="7" bestFit="1" customWidth="1"/>
    <col min="8469" max="8469" width="9.44140625" customWidth="1"/>
    <col min="8470" max="8470" width="10.44140625" bestFit="1" customWidth="1"/>
    <col min="8471" max="8471" width="7" customWidth="1"/>
    <col min="8472" max="8472" width="11.71875" customWidth="1"/>
    <col min="8473" max="8473" width="10.27734375" customWidth="1"/>
    <col min="8474" max="8474" width="8.27734375" bestFit="1" customWidth="1"/>
    <col min="8477" max="8477" width="7" customWidth="1"/>
    <col min="8480" max="8480" width="8.27734375" bestFit="1" customWidth="1"/>
    <col min="8481" max="8481" width="11" customWidth="1"/>
    <col min="8720" max="8721" width="25.71875" customWidth="1"/>
    <col min="8722" max="8722" width="12.71875" customWidth="1"/>
    <col min="8723" max="8723" width="10.71875" bestFit="1" customWidth="1"/>
    <col min="8724" max="8724" width="7" bestFit="1" customWidth="1"/>
    <col min="8725" max="8725" width="9.44140625" customWidth="1"/>
    <col min="8726" max="8726" width="10.44140625" bestFit="1" customWidth="1"/>
    <col min="8727" max="8727" width="7" customWidth="1"/>
    <col min="8728" max="8728" width="11.71875" customWidth="1"/>
    <col min="8729" max="8729" width="10.27734375" customWidth="1"/>
    <col min="8730" max="8730" width="8.27734375" bestFit="1" customWidth="1"/>
    <col min="8733" max="8733" width="7" customWidth="1"/>
    <col min="8736" max="8736" width="8.27734375" bestFit="1" customWidth="1"/>
    <col min="8737" max="8737" width="11" customWidth="1"/>
    <col min="8976" max="8977" width="25.71875" customWidth="1"/>
    <col min="8978" max="8978" width="12.71875" customWidth="1"/>
    <col min="8979" max="8979" width="10.71875" bestFit="1" customWidth="1"/>
    <col min="8980" max="8980" width="7" bestFit="1" customWidth="1"/>
    <col min="8981" max="8981" width="9.44140625" customWidth="1"/>
    <col min="8982" max="8982" width="10.44140625" bestFit="1" customWidth="1"/>
    <col min="8983" max="8983" width="7" customWidth="1"/>
    <col min="8984" max="8984" width="11.71875" customWidth="1"/>
    <col min="8985" max="8985" width="10.27734375" customWidth="1"/>
    <col min="8986" max="8986" width="8.27734375" bestFit="1" customWidth="1"/>
    <col min="8989" max="8989" width="7" customWidth="1"/>
    <col min="8992" max="8992" width="8.27734375" bestFit="1" customWidth="1"/>
    <col min="8993" max="8993" width="11" customWidth="1"/>
    <col min="9232" max="9233" width="25.71875" customWidth="1"/>
    <col min="9234" max="9234" width="12.71875" customWidth="1"/>
    <col min="9235" max="9235" width="10.71875" bestFit="1" customWidth="1"/>
    <col min="9236" max="9236" width="7" bestFit="1" customWidth="1"/>
    <col min="9237" max="9237" width="9.44140625" customWidth="1"/>
    <col min="9238" max="9238" width="10.44140625" bestFit="1" customWidth="1"/>
    <col min="9239" max="9239" width="7" customWidth="1"/>
    <col min="9240" max="9240" width="11.71875" customWidth="1"/>
    <col min="9241" max="9241" width="10.27734375" customWidth="1"/>
    <col min="9242" max="9242" width="8.27734375" bestFit="1" customWidth="1"/>
    <col min="9245" max="9245" width="7" customWidth="1"/>
    <col min="9248" max="9248" width="8.27734375" bestFit="1" customWidth="1"/>
    <col min="9249" max="9249" width="11" customWidth="1"/>
    <col min="9488" max="9489" width="25.71875" customWidth="1"/>
    <col min="9490" max="9490" width="12.71875" customWidth="1"/>
    <col min="9491" max="9491" width="10.71875" bestFit="1" customWidth="1"/>
    <col min="9492" max="9492" width="7" bestFit="1" customWidth="1"/>
    <col min="9493" max="9493" width="9.44140625" customWidth="1"/>
    <col min="9494" max="9494" width="10.44140625" bestFit="1" customWidth="1"/>
    <col min="9495" max="9495" width="7" customWidth="1"/>
    <col min="9496" max="9496" width="11.71875" customWidth="1"/>
    <col min="9497" max="9497" width="10.27734375" customWidth="1"/>
    <col min="9498" max="9498" width="8.27734375" bestFit="1" customWidth="1"/>
    <col min="9501" max="9501" width="7" customWidth="1"/>
    <col min="9504" max="9504" width="8.27734375" bestFit="1" customWidth="1"/>
    <col min="9505" max="9505" width="11" customWidth="1"/>
    <col min="9744" max="9745" width="25.71875" customWidth="1"/>
    <col min="9746" max="9746" width="12.71875" customWidth="1"/>
    <col min="9747" max="9747" width="10.71875" bestFit="1" customWidth="1"/>
    <col min="9748" max="9748" width="7" bestFit="1" customWidth="1"/>
    <col min="9749" max="9749" width="9.44140625" customWidth="1"/>
    <col min="9750" max="9750" width="10.44140625" bestFit="1" customWidth="1"/>
    <col min="9751" max="9751" width="7" customWidth="1"/>
    <col min="9752" max="9752" width="11.71875" customWidth="1"/>
    <col min="9753" max="9753" width="10.27734375" customWidth="1"/>
    <col min="9754" max="9754" width="8.27734375" bestFit="1" customWidth="1"/>
    <col min="9757" max="9757" width="7" customWidth="1"/>
    <col min="9760" max="9760" width="8.27734375" bestFit="1" customWidth="1"/>
    <col min="9761" max="9761" width="11" customWidth="1"/>
    <col min="10000" max="10001" width="25.71875" customWidth="1"/>
    <col min="10002" max="10002" width="12.71875" customWidth="1"/>
    <col min="10003" max="10003" width="10.71875" bestFit="1" customWidth="1"/>
    <col min="10004" max="10004" width="7" bestFit="1" customWidth="1"/>
    <col min="10005" max="10005" width="9.44140625" customWidth="1"/>
    <col min="10006" max="10006" width="10.44140625" bestFit="1" customWidth="1"/>
    <col min="10007" max="10007" width="7" customWidth="1"/>
    <col min="10008" max="10008" width="11.71875" customWidth="1"/>
    <col min="10009" max="10009" width="10.27734375" customWidth="1"/>
    <col min="10010" max="10010" width="8.27734375" bestFit="1" customWidth="1"/>
    <col min="10013" max="10013" width="7" customWidth="1"/>
    <col min="10016" max="10016" width="8.27734375" bestFit="1" customWidth="1"/>
    <col min="10017" max="10017" width="11" customWidth="1"/>
    <col min="10256" max="10257" width="25.71875" customWidth="1"/>
    <col min="10258" max="10258" width="12.71875" customWidth="1"/>
    <col min="10259" max="10259" width="10.71875" bestFit="1" customWidth="1"/>
    <col min="10260" max="10260" width="7" bestFit="1" customWidth="1"/>
    <col min="10261" max="10261" width="9.44140625" customWidth="1"/>
    <col min="10262" max="10262" width="10.44140625" bestFit="1" customWidth="1"/>
    <col min="10263" max="10263" width="7" customWidth="1"/>
    <col min="10264" max="10264" width="11.71875" customWidth="1"/>
    <col min="10265" max="10265" width="10.27734375" customWidth="1"/>
    <col min="10266" max="10266" width="8.27734375" bestFit="1" customWidth="1"/>
    <col min="10269" max="10269" width="7" customWidth="1"/>
    <col min="10272" max="10272" width="8.27734375" bestFit="1" customWidth="1"/>
    <col min="10273" max="10273" width="11" customWidth="1"/>
    <col min="10512" max="10513" width="25.71875" customWidth="1"/>
    <col min="10514" max="10514" width="12.71875" customWidth="1"/>
    <col min="10515" max="10515" width="10.71875" bestFit="1" customWidth="1"/>
    <col min="10516" max="10516" width="7" bestFit="1" customWidth="1"/>
    <col min="10517" max="10517" width="9.44140625" customWidth="1"/>
    <col min="10518" max="10518" width="10.44140625" bestFit="1" customWidth="1"/>
    <col min="10519" max="10519" width="7" customWidth="1"/>
    <col min="10520" max="10520" width="11.71875" customWidth="1"/>
    <col min="10521" max="10521" width="10.27734375" customWidth="1"/>
    <col min="10522" max="10522" width="8.27734375" bestFit="1" customWidth="1"/>
    <col min="10525" max="10525" width="7" customWidth="1"/>
    <col min="10528" max="10528" width="8.27734375" bestFit="1" customWidth="1"/>
    <col min="10529" max="10529" width="11" customWidth="1"/>
    <col min="10768" max="10769" width="25.71875" customWidth="1"/>
    <col min="10770" max="10770" width="12.71875" customWidth="1"/>
    <col min="10771" max="10771" width="10.71875" bestFit="1" customWidth="1"/>
    <col min="10772" max="10772" width="7" bestFit="1" customWidth="1"/>
    <col min="10773" max="10773" width="9.44140625" customWidth="1"/>
    <col min="10774" max="10774" width="10.44140625" bestFit="1" customWidth="1"/>
    <col min="10775" max="10775" width="7" customWidth="1"/>
    <col min="10776" max="10776" width="11.71875" customWidth="1"/>
    <col min="10777" max="10777" width="10.27734375" customWidth="1"/>
    <col min="10778" max="10778" width="8.27734375" bestFit="1" customWidth="1"/>
    <col min="10781" max="10781" width="7" customWidth="1"/>
    <col min="10784" max="10784" width="8.27734375" bestFit="1" customWidth="1"/>
    <col min="10785" max="10785" width="11" customWidth="1"/>
    <col min="11024" max="11025" width="25.71875" customWidth="1"/>
    <col min="11026" max="11026" width="12.71875" customWidth="1"/>
    <col min="11027" max="11027" width="10.71875" bestFit="1" customWidth="1"/>
    <col min="11028" max="11028" width="7" bestFit="1" customWidth="1"/>
    <col min="11029" max="11029" width="9.44140625" customWidth="1"/>
    <col min="11030" max="11030" width="10.44140625" bestFit="1" customWidth="1"/>
    <col min="11031" max="11031" width="7" customWidth="1"/>
    <col min="11032" max="11032" width="11.71875" customWidth="1"/>
    <col min="11033" max="11033" width="10.27734375" customWidth="1"/>
    <col min="11034" max="11034" width="8.27734375" bestFit="1" customWidth="1"/>
    <col min="11037" max="11037" width="7" customWidth="1"/>
    <col min="11040" max="11040" width="8.27734375" bestFit="1" customWidth="1"/>
    <col min="11041" max="11041" width="11" customWidth="1"/>
    <col min="11280" max="11281" width="25.71875" customWidth="1"/>
    <col min="11282" max="11282" width="12.71875" customWidth="1"/>
    <col min="11283" max="11283" width="10.71875" bestFit="1" customWidth="1"/>
    <col min="11284" max="11284" width="7" bestFit="1" customWidth="1"/>
    <col min="11285" max="11285" width="9.44140625" customWidth="1"/>
    <col min="11286" max="11286" width="10.44140625" bestFit="1" customWidth="1"/>
    <col min="11287" max="11287" width="7" customWidth="1"/>
    <col min="11288" max="11288" width="11.71875" customWidth="1"/>
    <col min="11289" max="11289" width="10.27734375" customWidth="1"/>
    <col min="11290" max="11290" width="8.27734375" bestFit="1" customWidth="1"/>
    <col min="11293" max="11293" width="7" customWidth="1"/>
    <col min="11296" max="11296" width="8.27734375" bestFit="1" customWidth="1"/>
    <col min="11297" max="11297" width="11" customWidth="1"/>
    <col min="11536" max="11537" width="25.71875" customWidth="1"/>
    <col min="11538" max="11538" width="12.71875" customWidth="1"/>
    <col min="11539" max="11539" width="10.71875" bestFit="1" customWidth="1"/>
    <col min="11540" max="11540" width="7" bestFit="1" customWidth="1"/>
    <col min="11541" max="11541" width="9.44140625" customWidth="1"/>
    <col min="11542" max="11542" width="10.44140625" bestFit="1" customWidth="1"/>
    <col min="11543" max="11543" width="7" customWidth="1"/>
    <col min="11544" max="11544" width="11.71875" customWidth="1"/>
    <col min="11545" max="11545" width="10.27734375" customWidth="1"/>
    <col min="11546" max="11546" width="8.27734375" bestFit="1" customWidth="1"/>
    <col min="11549" max="11549" width="7" customWidth="1"/>
    <col min="11552" max="11552" width="8.27734375" bestFit="1" customWidth="1"/>
    <col min="11553" max="11553" width="11" customWidth="1"/>
    <col min="11792" max="11793" width="25.71875" customWidth="1"/>
    <col min="11794" max="11794" width="12.71875" customWidth="1"/>
    <col min="11795" max="11795" width="10.71875" bestFit="1" customWidth="1"/>
    <col min="11796" max="11796" width="7" bestFit="1" customWidth="1"/>
    <col min="11797" max="11797" width="9.44140625" customWidth="1"/>
    <col min="11798" max="11798" width="10.44140625" bestFit="1" customWidth="1"/>
    <col min="11799" max="11799" width="7" customWidth="1"/>
    <col min="11800" max="11800" width="11.71875" customWidth="1"/>
    <col min="11801" max="11801" width="10.27734375" customWidth="1"/>
    <col min="11802" max="11802" width="8.27734375" bestFit="1" customWidth="1"/>
    <col min="11805" max="11805" width="7" customWidth="1"/>
    <col min="11808" max="11808" width="8.27734375" bestFit="1" customWidth="1"/>
    <col min="11809" max="11809" width="11" customWidth="1"/>
    <col min="12048" max="12049" width="25.71875" customWidth="1"/>
    <col min="12050" max="12050" width="12.71875" customWidth="1"/>
    <col min="12051" max="12051" width="10.71875" bestFit="1" customWidth="1"/>
    <col min="12052" max="12052" width="7" bestFit="1" customWidth="1"/>
    <col min="12053" max="12053" width="9.44140625" customWidth="1"/>
    <col min="12054" max="12054" width="10.44140625" bestFit="1" customWidth="1"/>
    <col min="12055" max="12055" width="7" customWidth="1"/>
    <col min="12056" max="12056" width="11.71875" customWidth="1"/>
    <col min="12057" max="12057" width="10.27734375" customWidth="1"/>
    <col min="12058" max="12058" width="8.27734375" bestFit="1" customWidth="1"/>
    <col min="12061" max="12061" width="7" customWidth="1"/>
    <col min="12064" max="12064" width="8.27734375" bestFit="1" customWidth="1"/>
    <col min="12065" max="12065" width="11" customWidth="1"/>
    <col min="12304" max="12305" width="25.71875" customWidth="1"/>
    <col min="12306" max="12306" width="12.71875" customWidth="1"/>
    <col min="12307" max="12307" width="10.71875" bestFit="1" customWidth="1"/>
    <col min="12308" max="12308" width="7" bestFit="1" customWidth="1"/>
    <col min="12309" max="12309" width="9.44140625" customWidth="1"/>
    <col min="12310" max="12310" width="10.44140625" bestFit="1" customWidth="1"/>
    <col min="12311" max="12311" width="7" customWidth="1"/>
    <col min="12312" max="12312" width="11.71875" customWidth="1"/>
    <col min="12313" max="12313" width="10.27734375" customWidth="1"/>
    <col min="12314" max="12314" width="8.27734375" bestFit="1" customWidth="1"/>
    <col min="12317" max="12317" width="7" customWidth="1"/>
    <col min="12320" max="12320" width="8.27734375" bestFit="1" customWidth="1"/>
    <col min="12321" max="12321" width="11" customWidth="1"/>
    <col min="12560" max="12561" width="25.71875" customWidth="1"/>
    <col min="12562" max="12562" width="12.71875" customWidth="1"/>
    <col min="12563" max="12563" width="10.71875" bestFit="1" customWidth="1"/>
    <col min="12564" max="12564" width="7" bestFit="1" customWidth="1"/>
    <col min="12565" max="12565" width="9.44140625" customWidth="1"/>
    <col min="12566" max="12566" width="10.44140625" bestFit="1" customWidth="1"/>
    <col min="12567" max="12567" width="7" customWidth="1"/>
    <col min="12568" max="12568" width="11.71875" customWidth="1"/>
    <col min="12569" max="12569" width="10.27734375" customWidth="1"/>
    <col min="12570" max="12570" width="8.27734375" bestFit="1" customWidth="1"/>
    <col min="12573" max="12573" width="7" customWidth="1"/>
    <col min="12576" max="12576" width="8.27734375" bestFit="1" customWidth="1"/>
    <col min="12577" max="12577" width="11" customWidth="1"/>
    <col min="12816" max="12817" width="25.71875" customWidth="1"/>
    <col min="12818" max="12818" width="12.71875" customWidth="1"/>
    <col min="12819" max="12819" width="10.71875" bestFit="1" customWidth="1"/>
    <col min="12820" max="12820" width="7" bestFit="1" customWidth="1"/>
    <col min="12821" max="12821" width="9.44140625" customWidth="1"/>
    <col min="12822" max="12822" width="10.44140625" bestFit="1" customWidth="1"/>
    <col min="12823" max="12823" width="7" customWidth="1"/>
    <col min="12824" max="12824" width="11.71875" customWidth="1"/>
    <col min="12825" max="12825" width="10.27734375" customWidth="1"/>
    <col min="12826" max="12826" width="8.27734375" bestFit="1" customWidth="1"/>
    <col min="12829" max="12829" width="7" customWidth="1"/>
    <col min="12832" max="12832" width="8.27734375" bestFit="1" customWidth="1"/>
    <col min="12833" max="12833" width="11" customWidth="1"/>
    <col min="13072" max="13073" width="25.71875" customWidth="1"/>
    <col min="13074" max="13074" width="12.71875" customWidth="1"/>
    <col min="13075" max="13075" width="10.71875" bestFit="1" customWidth="1"/>
    <col min="13076" max="13076" width="7" bestFit="1" customWidth="1"/>
    <col min="13077" max="13077" width="9.44140625" customWidth="1"/>
    <col min="13078" max="13078" width="10.44140625" bestFit="1" customWidth="1"/>
    <col min="13079" max="13079" width="7" customWidth="1"/>
    <col min="13080" max="13080" width="11.71875" customWidth="1"/>
    <col min="13081" max="13081" width="10.27734375" customWidth="1"/>
    <col min="13082" max="13082" width="8.27734375" bestFit="1" customWidth="1"/>
    <col min="13085" max="13085" width="7" customWidth="1"/>
    <col min="13088" max="13088" width="8.27734375" bestFit="1" customWidth="1"/>
    <col min="13089" max="13089" width="11" customWidth="1"/>
    <col min="13328" max="13329" width="25.71875" customWidth="1"/>
    <col min="13330" max="13330" width="12.71875" customWidth="1"/>
    <col min="13331" max="13331" width="10.71875" bestFit="1" customWidth="1"/>
    <col min="13332" max="13332" width="7" bestFit="1" customWidth="1"/>
    <col min="13333" max="13333" width="9.44140625" customWidth="1"/>
    <col min="13334" max="13334" width="10.44140625" bestFit="1" customWidth="1"/>
    <col min="13335" max="13335" width="7" customWidth="1"/>
    <col min="13336" max="13336" width="11.71875" customWidth="1"/>
    <col min="13337" max="13337" width="10.27734375" customWidth="1"/>
    <col min="13338" max="13338" width="8.27734375" bestFit="1" customWidth="1"/>
    <col min="13341" max="13341" width="7" customWidth="1"/>
    <col min="13344" max="13344" width="8.27734375" bestFit="1" customWidth="1"/>
    <col min="13345" max="13345" width="11" customWidth="1"/>
    <col min="13584" max="13585" width="25.71875" customWidth="1"/>
    <col min="13586" max="13586" width="12.71875" customWidth="1"/>
    <col min="13587" max="13587" width="10.71875" bestFit="1" customWidth="1"/>
    <col min="13588" max="13588" width="7" bestFit="1" customWidth="1"/>
    <col min="13589" max="13589" width="9.44140625" customWidth="1"/>
    <col min="13590" max="13590" width="10.44140625" bestFit="1" customWidth="1"/>
    <col min="13591" max="13591" width="7" customWidth="1"/>
    <col min="13592" max="13592" width="11.71875" customWidth="1"/>
    <col min="13593" max="13593" width="10.27734375" customWidth="1"/>
    <col min="13594" max="13594" width="8.27734375" bestFit="1" customWidth="1"/>
    <col min="13597" max="13597" width="7" customWidth="1"/>
    <col min="13600" max="13600" width="8.27734375" bestFit="1" customWidth="1"/>
    <col min="13601" max="13601" width="11" customWidth="1"/>
    <col min="13840" max="13841" width="25.71875" customWidth="1"/>
    <col min="13842" max="13842" width="12.71875" customWidth="1"/>
    <col min="13843" max="13843" width="10.71875" bestFit="1" customWidth="1"/>
    <col min="13844" max="13844" width="7" bestFit="1" customWidth="1"/>
    <col min="13845" max="13845" width="9.44140625" customWidth="1"/>
    <col min="13846" max="13846" width="10.44140625" bestFit="1" customWidth="1"/>
    <col min="13847" max="13847" width="7" customWidth="1"/>
    <col min="13848" max="13848" width="11.71875" customWidth="1"/>
    <col min="13849" max="13849" width="10.27734375" customWidth="1"/>
    <col min="13850" max="13850" width="8.27734375" bestFit="1" customWidth="1"/>
    <col min="13853" max="13853" width="7" customWidth="1"/>
    <col min="13856" max="13856" width="8.27734375" bestFit="1" customWidth="1"/>
    <col min="13857" max="13857" width="11" customWidth="1"/>
    <col min="14096" max="14097" width="25.71875" customWidth="1"/>
    <col min="14098" max="14098" width="12.71875" customWidth="1"/>
    <col min="14099" max="14099" width="10.71875" bestFit="1" customWidth="1"/>
    <col min="14100" max="14100" width="7" bestFit="1" customWidth="1"/>
    <col min="14101" max="14101" width="9.44140625" customWidth="1"/>
    <col min="14102" max="14102" width="10.44140625" bestFit="1" customWidth="1"/>
    <col min="14103" max="14103" width="7" customWidth="1"/>
    <col min="14104" max="14104" width="11.71875" customWidth="1"/>
    <col min="14105" max="14105" width="10.27734375" customWidth="1"/>
    <col min="14106" max="14106" width="8.27734375" bestFit="1" customWidth="1"/>
    <col min="14109" max="14109" width="7" customWidth="1"/>
    <col min="14112" max="14112" width="8.27734375" bestFit="1" customWidth="1"/>
    <col min="14113" max="14113" width="11" customWidth="1"/>
    <col min="14352" max="14353" width="25.71875" customWidth="1"/>
    <col min="14354" max="14354" width="12.71875" customWidth="1"/>
    <col min="14355" max="14355" width="10.71875" bestFit="1" customWidth="1"/>
    <col min="14356" max="14356" width="7" bestFit="1" customWidth="1"/>
    <col min="14357" max="14357" width="9.44140625" customWidth="1"/>
    <col min="14358" max="14358" width="10.44140625" bestFit="1" customWidth="1"/>
    <col min="14359" max="14359" width="7" customWidth="1"/>
    <col min="14360" max="14360" width="11.71875" customWidth="1"/>
    <col min="14361" max="14361" width="10.27734375" customWidth="1"/>
    <col min="14362" max="14362" width="8.27734375" bestFit="1" customWidth="1"/>
    <col min="14365" max="14365" width="7" customWidth="1"/>
    <col min="14368" max="14368" width="8.27734375" bestFit="1" customWidth="1"/>
    <col min="14369" max="14369" width="11" customWidth="1"/>
    <col min="14608" max="14609" width="25.71875" customWidth="1"/>
    <col min="14610" max="14610" width="12.71875" customWidth="1"/>
    <col min="14611" max="14611" width="10.71875" bestFit="1" customWidth="1"/>
    <col min="14612" max="14612" width="7" bestFit="1" customWidth="1"/>
    <col min="14613" max="14613" width="9.44140625" customWidth="1"/>
    <col min="14614" max="14614" width="10.44140625" bestFit="1" customWidth="1"/>
    <col min="14615" max="14615" width="7" customWidth="1"/>
    <col min="14616" max="14616" width="11.71875" customWidth="1"/>
    <col min="14617" max="14617" width="10.27734375" customWidth="1"/>
    <col min="14618" max="14618" width="8.27734375" bestFit="1" customWidth="1"/>
    <col min="14621" max="14621" width="7" customWidth="1"/>
    <col min="14624" max="14624" width="8.27734375" bestFit="1" customWidth="1"/>
    <col min="14625" max="14625" width="11" customWidth="1"/>
    <col min="14864" max="14865" width="25.71875" customWidth="1"/>
    <col min="14866" max="14866" width="12.71875" customWidth="1"/>
    <col min="14867" max="14867" width="10.71875" bestFit="1" customWidth="1"/>
    <col min="14868" max="14868" width="7" bestFit="1" customWidth="1"/>
    <col min="14869" max="14869" width="9.44140625" customWidth="1"/>
    <col min="14870" max="14870" width="10.44140625" bestFit="1" customWidth="1"/>
    <col min="14871" max="14871" width="7" customWidth="1"/>
    <col min="14872" max="14872" width="11.71875" customWidth="1"/>
    <col min="14873" max="14873" width="10.27734375" customWidth="1"/>
    <col min="14874" max="14874" width="8.27734375" bestFit="1" customWidth="1"/>
    <col min="14877" max="14877" width="7" customWidth="1"/>
    <col min="14880" max="14880" width="8.27734375" bestFit="1" customWidth="1"/>
    <col min="14881" max="14881" width="11" customWidth="1"/>
    <col min="15120" max="15121" width="25.71875" customWidth="1"/>
    <col min="15122" max="15122" width="12.71875" customWidth="1"/>
    <col min="15123" max="15123" width="10.71875" bestFit="1" customWidth="1"/>
    <col min="15124" max="15124" width="7" bestFit="1" customWidth="1"/>
    <col min="15125" max="15125" width="9.44140625" customWidth="1"/>
    <col min="15126" max="15126" width="10.44140625" bestFit="1" customWidth="1"/>
    <col min="15127" max="15127" width="7" customWidth="1"/>
    <col min="15128" max="15128" width="11.71875" customWidth="1"/>
    <col min="15129" max="15129" width="10.27734375" customWidth="1"/>
    <col min="15130" max="15130" width="8.27734375" bestFit="1" customWidth="1"/>
    <col min="15133" max="15133" width="7" customWidth="1"/>
    <col min="15136" max="15136" width="8.27734375" bestFit="1" customWidth="1"/>
    <col min="15137" max="15137" width="11" customWidth="1"/>
    <col min="15376" max="15377" width="25.71875" customWidth="1"/>
    <col min="15378" max="15378" width="12.71875" customWidth="1"/>
    <col min="15379" max="15379" width="10.71875" bestFit="1" customWidth="1"/>
    <col min="15380" max="15380" width="7" bestFit="1" customWidth="1"/>
    <col min="15381" max="15381" width="9.44140625" customWidth="1"/>
    <col min="15382" max="15382" width="10.44140625" bestFit="1" customWidth="1"/>
    <col min="15383" max="15383" width="7" customWidth="1"/>
    <col min="15384" max="15384" width="11.71875" customWidth="1"/>
    <col min="15385" max="15385" width="10.27734375" customWidth="1"/>
    <col min="15386" max="15386" width="8.27734375" bestFit="1" customWidth="1"/>
    <col min="15389" max="15389" width="7" customWidth="1"/>
    <col min="15392" max="15392" width="8.27734375" bestFit="1" customWidth="1"/>
    <col min="15393" max="15393" width="11" customWidth="1"/>
    <col min="15632" max="15633" width="25.71875" customWidth="1"/>
    <col min="15634" max="15634" width="12.71875" customWidth="1"/>
    <col min="15635" max="15635" width="10.71875" bestFit="1" customWidth="1"/>
    <col min="15636" max="15636" width="7" bestFit="1" customWidth="1"/>
    <col min="15637" max="15637" width="9.44140625" customWidth="1"/>
    <col min="15638" max="15638" width="10.44140625" bestFit="1" customWidth="1"/>
    <col min="15639" max="15639" width="7" customWidth="1"/>
    <col min="15640" max="15640" width="11.71875" customWidth="1"/>
    <col min="15641" max="15641" width="10.27734375" customWidth="1"/>
    <col min="15642" max="15642" width="8.27734375" bestFit="1" customWidth="1"/>
    <col min="15645" max="15645" width="7" customWidth="1"/>
    <col min="15648" max="15648" width="8.27734375" bestFit="1" customWidth="1"/>
    <col min="15649" max="15649" width="11" customWidth="1"/>
    <col min="15888" max="15889" width="25.71875" customWidth="1"/>
    <col min="15890" max="15890" width="12.71875" customWidth="1"/>
    <col min="15891" max="15891" width="10.71875" bestFit="1" customWidth="1"/>
    <col min="15892" max="15892" width="7" bestFit="1" customWidth="1"/>
    <col min="15893" max="15893" width="9.44140625" customWidth="1"/>
    <col min="15894" max="15894" width="10.44140625" bestFit="1" customWidth="1"/>
    <col min="15895" max="15895" width="7" customWidth="1"/>
    <col min="15896" max="15896" width="11.71875" customWidth="1"/>
    <col min="15897" max="15897" width="10.27734375" customWidth="1"/>
    <col min="15898" max="15898" width="8.27734375" bestFit="1" customWidth="1"/>
    <col min="15901" max="15901" width="7" customWidth="1"/>
    <col min="15904" max="15904" width="8.27734375" bestFit="1" customWidth="1"/>
    <col min="15905" max="15905" width="11" customWidth="1"/>
    <col min="16144" max="16145" width="25.71875" customWidth="1"/>
    <col min="16146" max="16146" width="12.71875" customWidth="1"/>
    <col min="16147" max="16147" width="10.71875" bestFit="1" customWidth="1"/>
    <col min="16148" max="16148" width="7" bestFit="1" customWidth="1"/>
    <col min="16149" max="16149" width="9.44140625" customWidth="1"/>
    <col min="16150" max="16150" width="10.44140625" bestFit="1" customWidth="1"/>
    <col min="16151" max="16151" width="7" customWidth="1"/>
    <col min="16152" max="16152" width="11.71875" customWidth="1"/>
    <col min="16153" max="16153" width="10.27734375" customWidth="1"/>
    <col min="16154" max="16154" width="8.27734375" bestFit="1" customWidth="1"/>
    <col min="16157" max="16157" width="7" customWidth="1"/>
    <col min="16160" max="16160" width="8.27734375" bestFit="1" customWidth="1"/>
    <col min="16161" max="16161" width="11" customWidth="1"/>
  </cols>
  <sheetData>
    <row r="1" spans="1:40" s="105" customFormat="1" ht="20.100000000000001">
      <c r="A1" s="4" t="str">
        <f>Assumptions!$B$8</f>
        <v>Partners of America</v>
      </c>
      <c r="AM1" s="106"/>
      <c r="AN1" s="106"/>
    </row>
    <row r="2" spans="1:40" s="105" customFormat="1" ht="15">
      <c r="A2" s="315" t="str">
        <f>CONCATENATE(Assumptions!$B9," ",Assumptions!$C9)</f>
        <v>DONOR: USDOL</v>
      </c>
      <c r="AM2" s="106"/>
      <c r="AN2" s="106"/>
    </row>
    <row r="3" spans="1:40" s="105" customFormat="1" ht="15">
      <c r="A3" s="315" t="str">
        <f>CONCATENATE(Assumptions!$B10," ",Assumptions!$C10)</f>
        <v>Country: Ecuador</v>
      </c>
      <c r="AM3" s="106"/>
      <c r="AN3" s="106"/>
    </row>
    <row r="4" spans="1:40" s="105" customFormat="1" ht="15">
      <c r="A4" s="315" t="str">
        <f>CONCATENATE(Assumptions!$B11," ",Assumptions!$C11)</f>
        <v>Program Name: Project to Improve Adherence to International Labor Standards in the Agricultural Sector in Ecuador</v>
      </c>
      <c r="K4" s="107"/>
      <c r="N4" s="107"/>
      <c r="Q4" s="107"/>
      <c r="Z4" s="107"/>
      <c r="AC4" s="107"/>
      <c r="AF4" s="107"/>
      <c r="AI4" s="107"/>
      <c r="AL4" s="107"/>
      <c r="AM4" s="107"/>
      <c r="AN4" s="107"/>
    </row>
    <row r="5" spans="1:40" ht="15">
      <c r="A5" s="315" t="str">
        <f>CONCATENATE(Assumptions!$B12," ",Assumptions!$C12)</f>
        <v>Grant Number: FOA-ILAB-23-28</v>
      </c>
    </row>
    <row r="7" spans="1:40" ht="20.100000000000001">
      <c r="A7" s="2" t="s">
        <v>914</v>
      </c>
    </row>
    <row r="8" spans="1:40" s="1" customFormat="1" ht="12.6" thickBot="1">
      <c r="A8" s="76"/>
    </row>
    <row r="9" spans="1:40" ht="12.6" thickBot="1">
      <c r="A9" s="1482" t="s">
        <v>915</v>
      </c>
      <c r="B9" s="1484" t="s">
        <v>916</v>
      </c>
      <c r="C9" s="1486" t="s">
        <v>917</v>
      </c>
      <c r="D9" s="1486" t="s">
        <v>918</v>
      </c>
      <c r="E9" s="1475" t="e">
        <f>#REF!</f>
        <v>#REF!</v>
      </c>
      <c r="F9" s="1476"/>
      <c r="G9" s="1477"/>
      <c r="H9" s="1475" t="e">
        <f>#REF!</f>
        <v>#REF!</v>
      </c>
      <c r="I9" s="1476"/>
      <c r="J9" s="1477"/>
      <c r="K9" s="1475" t="e">
        <f>#REF!</f>
        <v>#REF!</v>
      </c>
      <c r="L9" s="1476"/>
      <c r="M9" s="1477"/>
      <c r="N9" s="1475" t="e">
        <f>#REF!</f>
        <v>#REF!</v>
      </c>
      <c r="O9" s="1476"/>
      <c r="P9" s="1477"/>
      <c r="Q9" s="1475" t="e">
        <f>#REF!</f>
        <v>#REF!</v>
      </c>
      <c r="R9" s="1476"/>
      <c r="S9" s="1477"/>
      <c r="T9" s="1475" t="e">
        <f>#REF!</f>
        <v>#REF!</v>
      </c>
      <c r="U9" s="1476"/>
      <c r="V9" s="1477"/>
      <c r="W9" s="1475" t="e">
        <f>#REF!</f>
        <v>#REF!</v>
      </c>
      <c r="X9" s="1476"/>
      <c r="Y9" s="1477"/>
      <c r="Z9" s="1475" t="e">
        <f>#REF!</f>
        <v>#REF!</v>
      </c>
      <c r="AA9" s="1476"/>
      <c r="AB9" s="1477"/>
      <c r="AC9" s="1475" t="e">
        <f>#REF!</f>
        <v>#REF!</v>
      </c>
      <c r="AD9" s="1476"/>
      <c r="AE9" s="1477"/>
      <c r="AF9" s="1475" t="e">
        <f>#REF!</f>
        <v>#REF!</v>
      </c>
      <c r="AG9" s="1476"/>
      <c r="AH9" s="1477"/>
      <c r="AI9" s="1475" t="s">
        <v>240</v>
      </c>
      <c r="AJ9" s="1476"/>
      <c r="AK9" s="1477"/>
    </row>
    <row r="10" spans="1:40" ht="24.9" thickBot="1">
      <c r="A10" s="1483"/>
      <c r="B10" s="1485"/>
      <c r="C10" s="1487"/>
      <c r="D10" s="1487"/>
      <c r="E10" s="108" t="s">
        <v>919</v>
      </c>
      <c r="F10" s="109" t="s">
        <v>242</v>
      </c>
      <c r="G10" s="110" t="s">
        <v>920</v>
      </c>
      <c r="H10" s="108" t="s">
        <v>919</v>
      </c>
      <c r="I10" s="109" t="s">
        <v>242</v>
      </c>
      <c r="J10" s="110" t="s">
        <v>920</v>
      </c>
      <c r="K10" s="108" t="s">
        <v>919</v>
      </c>
      <c r="L10" s="109" t="s">
        <v>242</v>
      </c>
      <c r="M10" s="110" t="s">
        <v>920</v>
      </c>
      <c r="N10" s="108" t="s">
        <v>919</v>
      </c>
      <c r="O10" s="109" t="s">
        <v>242</v>
      </c>
      <c r="P10" s="110" t="s">
        <v>920</v>
      </c>
      <c r="Q10" s="108" t="s">
        <v>919</v>
      </c>
      <c r="R10" s="109" t="s">
        <v>242</v>
      </c>
      <c r="S10" s="110" t="s">
        <v>920</v>
      </c>
      <c r="T10" s="108" t="s">
        <v>919</v>
      </c>
      <c r="U10" s="109" t="s">
        <v>242</v>
      </c>
      <c r="V10" s="110" t="s">
        <v>920</v>
      </c>
      <c r="W10" s="108" t="s">
        <v>919</v>
      </c>
      <c r="X10" s="109" t="s">
        <v>242</v>
      </c>
      <c r="Y10" s="110" t="s">
        <v>920</v>
      </c>
      <c r="Z10" s="108" t="s">
        <v>919</v>
      </c>
      <c r="AA10" s="109" t="s">
        <v>242</v>
      </c>
      <c r="AB10" s="110" t="s">
        <v>920</v>
      </c>
      <c r="AC10" s="108" t="s">
        <v>919</v>
      </c>
      <c r="AD10" s="109" t="s">
        <v>242</v>
      </c>
      <c r="AE10" s="110" t="s">
        <v>920</v>
      </c>
      <c r="AF10" s="108" t="s">
        <v>919</v>
      </c>
      <c r="AG10" s="109" t="s">
        <v>242</v>
      </c>
      <c r="AH10" s="110" t="s">
        <v>920</v>
      </c>
      <c r="AI10" s="108" t="s">
        <v>919</v>
      </c>
      <c r="AJ10" s="109" t="s">
        <v>242</v>
      </c>
      <c r="AK10" s="110" t="s">
        <v>920</v>
      </c>
    </row>
    <row r="11" spans="1:40" ht="15.6" thickTop="1" thickBot="1">
      <c r="A11" s="948"/>
      <c r="B11" s="111" t="s">
        <v>921</v>
      </c>
      <c r="C11" s="949"/>
      <c r="D11" s="169">
        <v>1.04</v>
      </c>
      <c r="E11" s="950"/>
      <c r="F11" s="113">
        <f>Assumptions!S37</f>
        <v>1.01</v>
      </c>
      <c r="G11" s="112"/>
      <c r="H11" s="950"/>
      <c r="I11" s="113" t="e">
        <f>F11*(1+#REF!)</f>
        <v>#REF!</v>
      </c>
      <c r="J11" s="112"/>
      <c r="K11" s="950"/>
      <c r="L11" s="113" t="e">
        <f>I11*(1+#REF!)</f>
        <v>#REF!</v>
      </c>
      <c r="M11" s="112"/>
      <c r="N11" s="950"/>
      <c r="O11" s="113" t="e">
        <f>L11*(1+#REF!)</f>
        <v>#REF!</v>
      </c>
      <c r="P11" s="112"/>
      <c r="Q11" s="950"/>
      <c r="R11" s="113" t="e">
        <f>O11*(1+#REF!)</f>
        <v>#REF!</v>
      </c>
      <c r="S11" s="112"/>
      <c r="T11" s="950"/>
      <c r="U11" s="113" t="e">
        <f>R11*(1+#REF!)</f>
        <v>#REF!</v>
      </c>
      <c r="V11" s="112"/>
      <c r="W11" s="950"/>
      <c r="X11" s="113" t="e">
        <f>U11*(1+#REF!)</f>
        <v>#REF!</v>
      </c>
      <c r="Y11" s="112"/>
      <c r="Z11" s="950"/>
      <c r="AA11" s="113" t="e">
        <f>X11*(1+#REF!)</f>
        <v>#REF!</v>
      </c>
      <c r="AB11" s="112"/>
      <c r="AC11" s="950"/>
      <c r="AD11" s="113" t="e">
        <f>AA11*(1+#REF!)</f>
        <v>#REF!</v>
      </c>
      <c r="AE11" s="112"/>
      <c r="AF11" s="950"/>
      <c r="AG11" s="113" t="e">
        <f>AD11*(1+#REF!)</f>
        <v>#REF!</v>
      </c>
      <c r="AH11" s="112"/>
      <c r="AI11" s="950"/>
      <c r="AJ11" s="114"/>
      <c r="AK11" s="112"/>
    </row>
    <row r="12" spans="1:40" ht="12.75" customHeight="1">
      <c r="A12" s="1478" t="s">
        <v>922</v>
      </c>
      <c r="B12" s="1479"/>
      <c r="C12" s="115"/>
      <c r="D12" s="115"/>
      <c r="E12" s="116"/>
      <c r="F12" s="117"/>
      <c r="G12" s="118"/>
      <c r="H12" s="116"/>
      <c r="I12" s="117"/>
      <c r="J12" s="118"/>
      <c r="K12" s="116"/>
      <c r="L12" s="117"/>
      <c r="M12" s="118"/>
      <c r="N12" s="116"/>
      <c r="O12" s="117"/>
      <c r="P12" s="118"/>
      <c r="Q12" s="116"/>
      <c r="R12" s="117"/>
      <c r="S12" s="118"/>
      <c r="T12" s="116"/>
      <c r="U12" s="117"/>
      <c r="V12" s="118"/>
      <c r="W12" s="116"/>
      <c r="X12" s="117"/>
      <c r="Y12" s="118"/>
      <c r="Z12" s="116"/>
      <c r="AA12" s="117"/>
      <c r="AB12" s="118"/>
      <c r="AC12" s="116"/>
      <c r="AD12" s="117"/>
      <c r="AE12" s="118"/>
      <c r="AF12" s="116"/>
      <c r="AG12" s="117"/>
      <c r="AH12" s="118"/>
      <c r="AI12" s="116"/>
      <c r="AJ12" s="117"/>
      <c r="AK12" s="118"/>
    </row>
    <row r="13" spans="1:40" ht="13.5" customHeight="1" thickBot="1">
      <c r="A13" s="1480"/>
      <c r="B13" s="1481"/>
      <c r="C13" s="119"/>
      <c r="D13" s="119"/>
      <c r="E13" s="120"/>
      <c r="F13" s="121"/>
      <c r="G13" s="122"/>
      <c r="H13" s="120"/>
      <c r="I13" s="121"/>
      <c r="J13" s="122"/>
      <c r="K13" s="120"/>
      <c r="L13" s="121"/>
      <c r="M13" s="122"/>
      <c r="N13" s="120"/>
      <c r="O13" s="121"/>
      <c r="P13" s="122"/>
      <c r="Q13" s="120"/>
      <c r="R13" s="121"/>
      <c r="S13" s="122"/>
      <c r="T13" s="120"/>
      <c r="U13" s="121"/>
      <c r="V13" s="122"/>
      <c r="W13" s="120"/>
      <c r="X13" s="121"/>
      <c r="Y13" s="122"/>
      <c r="Z13" s="120"/>
      <c r="AA13" s="121"/>
      <c r="AB13" s="122"/>
      <c r="AC13" s="120"/>
      <c r="AD13" s="121"/>
      <c r="AE13" s="122"/>
      <c r="AF13" s="120"/>
      <c r="AG13" s="121"/>
      <c r="AH13" s="122"/>
      <c r="AI13" s="120"/>
      <c r="AJ13" s="121"/>
      <c r="AK13" s="122"/>
    </row>
    <row r="14" spans="1:40" ht="37.5" hidden="1" thickTop="1" thickBot="1">
      <c r="A14" s="123" t="s">
        <v>915</v>
      </c>
      <c r="B14" s="124" t="s">
        <v>916</v>
      </c>
      <c r="C14" s="125" t="s">
        <v>923</v>
      </c>
      <c r="D14" s="125" t="s">
        <v>924</v>
      </c>
      <c r="E14" s="126" t="s">
        <v>925</v>
      </c>
      <c r="F14" s="127" t="s">
        <v>240</v>
      </c>
      <c r="G14" s="128" t="s">
        <v>920</v>
      </c>
      <c r="H14" s="126"/>
      <c r="I14" s="127"/>
      <c r="J14" s="128"/>
      <c r="K14" s="126"/>
      <c r="L14" s="127"/>
      <c r="M14" s="128"/>
      <c r="N14" s="126"/>
      <c r="O14" s="127"/>
      <c r="P14" s="128"/>
      <c r="Q14" s="126"/>
      <c r="R14" s="127"/>
      <c r="S14" s="128"/>
      <c r="T14" s="126" t="s">
        <v>925</v>
      </c>
      <c r="U14" s="127" t="s">
        <v>240</v>
      </c>
      <c r="V14" s="128" t="s">
        <v>920</v>
      </c>
      <c r="W14" s="126"/>
      <c r="X14" s="127"/>
      <c r="Y14" s="128"/>
      <c r="Z14" s="126"/>
      <c r="AA14" s="127"/>
      <c r="AB14" s="128"/>
      <c r="AC14" s="126"/>
      <c r="AD14" s="127"/>
      <c r="AE14" s="128"/>
      <c r="AF14" s="126"/>
      <c r="AG14" s="127"/>
      <c r="AH14" s="128"/>
      <c r="AI14" s="126"/>
      <c r="AJ14" s="127"/>
      <c r="AK14" s="128"/>
    </row>
    <row r="15" spans="1:40" ht="12.6" thickTop="1">
      <c r="A15" s="77"/>
      <c r="B15" s="129"/>
      <c r="C15" s="130"/>
      <c r="D15" s="130"/>
      <c r="E15" s="131"/>
      <c r="F15" s="132"/>
      <c r="G15" s="133"/>
      <c r="H15" s="131"/>
      <c r="I15" s="132"/>
      <c r="J15" s="133"/>
      <c r="K15" s="131"/>
      <c r="L15" s="132"/>
      <c r="M15" s="133"/>
      <c r="N15" s="131"/>
      <c r="O15" s="132"/>
      <c r="P15" s="133"/>
      <c r="Q15" s="131"/>
      <c r="R15" s="132"/>
      <c r="S15" s="133"/>
      <c r="T15" s="131"/>
      <c r="U15" s="132"/>
      <c r="V15" s="133"/>
      <c r="W15" s="131"/>
      <c r="X15" s="132"/>
      <c r="Y15" s="133"/>
      <c r="Z15" s="131"/>
      <c r="AA15" s="132"/>
      <c r="AB15" s="133"/>
      <c r="AC15" s="131"/>
      <c r="AD15" s="132"/>
      <c r="AE15" s="133"/>
      <c r="AF15" s="131"/>
      <c r="AG15" s="132"/>
      <c r="AH15" s="133"/>
      <c r="AI15" s="131"/>
      <c r="AJ15" s="132"/>
      <c r="AK15" s="133"/>
    </row>
    <row r="16" spans="1:40">
      <c r="A16" s="134" t="s">
        <v>926</v>
      </c>
      <c r="B16" s="88"/>
      <c r="C16" s="172"/>
      <c r="D16" s="172">
        <v>100000</v>
      </c>
      <c r="E16" s="170">
        <v>0.1</v>
      </c>
      <c r="F16" s="135">
        <f t="shared" ref="F16:F22" si="0">E16*D16*F$11</f>
        <v>10100</v>
      </c>
      <c r="G16" s="136">
        <f t="shared" ref="G16:G22" si="1">E16*260</f>
        <v>26</v>
      </c>
      <c r="H16" s="170">
        <v>0</v>
      </c>
      <c r="I16" s="135" t="e">
        <f>H16*$D16*I$11</f>
        <v>#REF!</v>
      </c>
      <c r="J16" s="136">
        <f t="shared" ref="J16:J22" si="2">H16*260</f>
        <v>0</v>
      </c>
      <c r="K16" s="170">
        <v>0</v>
      </c>
      <c r="L16" s="135" t="e">
        <f t="shared" ref="L16:L22" si="3">K16*$D16*L$11</f>
        <v>#REF!</v>
      </c>
      <c r="M16" s="136">
        <f t="shared" ref="M16:M22" si="4">K16*260</f>
        <v>0</v>
      </c>
      <c r="N16" s="170">
        <v>0</v>
      </c>
      <c r="O16" s="135" t="e">
        <f t="shared" ref="O16:O22" si="5">N16*$D16*O$11</f>
        <v>#REF!</v>
      </c>
      <c r="P16" s="136">
        <f t="shared" ref="P16:P22" si="6">N16*260</f>
        <v>0</v>
      </c>
      <c r="Q16" s="170">
        <v>0</v>
      </c>
      <c r="R16" s="135" t="e">
        <f t="shared" ref="R16:R22" si="7">Q16*$D16*R$11</f>
        <v>#REF!</v>
      </c>
      <c r="S16" s="136">
        <f t="shared" ref="S16:S22" si="8">Q16*260</f>
        <v>0</v>
      </c>
      <c r="T16" s="170">
        <v>0</v>
      </c>
      <c r="U16" s="135" t="e">
        <f t="shared" ref="U16:U22" si="9">T16*S16*U$11</f>
        <v>#REF!</v>
      </c>
      <c r="V16" s="136">
        <f t="shared" ref="V16:V22" si="10">T16*260</f>
        <v>0</v>
      </c>
      <c r="W16" s="170">
        <v>0</v>
      </c>
      <c r="X16" s="135" t="e">
        <f t="shared" ref="X16:X22" si="11">W16*$D16*X$11</f>
        <v>#REF!</v>
      </c>
      <c r="Y16" s="136">
        <f t="shared" ref="Y16:Y22" si="12">W16*260</f>
        <v>0</v>
      </c>
      <c r="Z16" s="170">
        <v>0</v>
      </c>
      <c r="AA16" s="135" t="e">
        <f t="shared" ref="AA16:AA22" si="13">Z16*$D16*AA$11</f>
        <v>#REF!</v>
      </c>
      <c r="AB16" s="136">
        <f t="shared" ref="AB16:AB22" si="14">Z16*260</f>
        <v>0</v>
      </c>
      <c r="AC16" s="170">
        <v>0.05</v>
      </c>
      <c r="AD16" s="135" t="e">
        <f t="shared" ref="AD16:AD22" si="15">AC16*$D16*AD$11</f>
        <v>#REF!</v>
      </c>
      <c r="AE16" s="136">
        <f t="shared" ref="AE16:AE22" si="16">AC16*260</f>
        <v>13</v>
      </c>
      <c r="AF16" s="170">
        <v>0</v>
      </c>
      <c r="AG16" s="135" t="e">
        <f t="shared" ref="AG16:AG22" si="17">AF16*$D16*AG$11</f>
        <v>#REF!</v>
      </c>
      <c r="AH16" s="136">
        <f t="shared" ref="AH16:AH22" si="18">AF16*260</f>
        <v>0</v>
      </c>
      <c r="AI16" s="198">
        <f>SUM(E16,H16,K16,N16,Q16,T16,W16,Z16,AC16,AF16)</f>
        <v>0.15000000000000002</v>
      </c>
      <c r="AJ16" s="199" t="e">
        <f>SUM(F16,I16,L16,O16,R16,U16,X16,AA16,AD16,AG16)</f>
        <v>#REF!</v>
      </c>
      <c r="AK16" s="136">
        <f>SUM(G16,J16,M16,P16,S16,V16,Y16,AB16,AE16,AH16)</f>
        <v>39</v>
      </c>
    </row>
    <row r="17" spans="1:37">
      <c r="A17" s="134" t="s">
        <v>927</v>
      </c>
      <c r="B17" s="88"/>
      <c r="C17" s="172"/>
      <c r="D17" s="172">
        <v>100000</v>
      </c>
      <c r="E17" s="170">
        <v>0.1</v>
      </c>
      <c r="F17" s="135">
        <f t="shared" si="0"/>
        <v>10100</v>
      </c>
      <c r="G17" s="136">
        <f t="shared" si="1"/>
        <v>26</v>
      </c>
      <c r="H17" s="170">
        <v>0</v>
      </c>
      <c r="I17" s="135" t="e">
        <f t="shared" ref="I17:I22" si="19">H17*$D17*I$11</f>
        <v>#REF!</v>
      </c>
      <c r="J17" s="136">
        <f t="shared" si="2"/>
        <v>0</v>
      </c>
      <c r="K17" s="170">
        <v>0</v>
      </c>
      <c r="L17" s="135" t="e">
        <f t="shared" si="3"/>
        <v>#REF!</v>
      </c>
      <c r="M17" s="136">
        <f t="shared" si="4"/>
        <v>0</v>
      </c>
      <c r="N17" s="170">
        <v>0</v>
      </c>
      <c r="O17" s="135" t="e">
        <f t="shared" si="5"/>
        <v>#REF!</v>
      </c>
      <c r="P17" s="136">
        <f t="shared" si="6"/>
        <v>0</v>
      </c>
      <c r="Q17" s="170">
        <v>0</v>
      </c>
      <c r="R17" s="135" t="e">
        <f t="shared" si="7"/>
        <v>#REF!</v>
      </c>
      <c r="S17" s="136">
        <f t="shared" si="8"/>
        <v>0</v>
      </c>
      <c r="T17" s="170">
        <v>0</v>
      </c>
      <c r="U17" s="135" t="e">
        <f t="shared" si="9"/>
        <v>#REF!</v>
      </c>
      <c r="V17" s="136">
        <f t="shared" si="10"/>
        <v>0</v>
      </c>
      <c r="W17" s="170">
        <v>0</v>
      </c>
      <c r="X17" s="135" t="e">
        <f t="shared" si="11"/>
        <v>#REF!</v>
      </c>
      <c r="Y17" s="136">
        <f t="shared" si="12"/>
        <v>0</v>
      </c>
      <c r="Z17" s="170">
        <v>0</v>
      </c>
      <c r="AA17" s="135" t="e">
        <f t="shared" si="13"/>
        <v>#REF!</v>
      </c>
      <c r="AB17" s="136">
        <f t="shared" si="14"/>
        <v>0</v>
      </c>
      <c r="AC17" s="170">
        <v>0</v>
      </c>
      <c r="AD17" s="135" t="e">
        <f t="shared" si="15"/>
        <v>#REF!</v>
      </c>
      <c r="AE17" s="136">
        <f t="shared" si="16"/>
        <v>0</v>
      </c>
      <c r="AF17" s="170">
        <v>0</v>
      </c>
      <c r="AG17" s="135" t="e">
        <f t="shared" si="17"/>
        <v>#REF!</v>
      </c>
      <c r="AH17" s="136">
        <f t="shared" si="18"/>
        <v>0</v>
      </c>
      <c r="AI17" s="198">
        <f t="shared" ref="AI17:AI22" si="20">SUM(E17,H17,K17,N17,Q17,T17,W17,Z17,AC17,AF17)</f>
        <v>0.1</v>
      </c>
      <c r="AJ17" s="199" t="e">
        <f t="shared" ref="AJ17:AJ22" si="21">SUM(F17,I17,L17,O17,R17,U17,X17,AA17,AD17,AG17)</f>
        <v>#REF!</v>
      </c>
      <c r="AK17" s="136">
        <f t="shared" ref="AK17:AK22" si="22">SUM(G17,J17,M17,P17,S17,V17,Y17,AB17,AE17,AH17)</f>
        <v>26</v>
      </c>
    </row>
    <row r="18" spans="1:37">
      <c r="A18" s="134" t="s">
        <v>928</v>
      </c>
      <c r="B18" s="88"/>
      <c r="C18" s="172"/>
      <c r="D18" s="172">
        <v>100000</v>
      </c>
      <c r="E18" s="170">
        <v>0.1</v>
      </c>
      <c r="F18" s="135">
        <f t="shared" si="0"/>
        <v>10100</v>
      </c>
      <c r="G18" s="136">
        <f t="shared" si="1"/>
        <v>26</v>
      </c>
      <c r="H18" s="170">
        <v>0</v>
      </c>
      <c r="I18" s="135" t="e">
        <f t="shared" si="19"/>
        <v>#REF!</v>
      </c>
      <c r="J18" s="136">
        <f t="shared" si="2"/>
        <v>0</v>
      </c>
      <c r="K18" s="170">
        <v>0</v>
      </c>
      <c r="L18" s="135" t="e">
        <f t="shared" si="3"/>
        <v>#REF!</v>
      </c>
      <c r="M18" s="136">
        <f t="shared" si="4"/>
        <v>0</v>
      </c>
      <c r="N18" s="170">
        <v>0</v>
      </c>
      <c r="O18" s="135" t="e">
        <f t="shared" si="5"/>
        <v>#REF!</v>
      </c>
      <c r="P18" s="136">
        <f t="shared" si="6"/>
        <v>0</v>
      </c>
      <c r="Q18" s="170">
        <v>0</v>
      </c>
      <c r="R18" s="135" t="e">
        <f t="shared" si="7"/>
        <v>#REF!</v>
      </c>
      <c r="S18" s="136">
        <f t="shared" si="8"/>
        <v>0</v>
      </c>
      <c r="T18" s="170">
        <v>0</v>
      </c>
      <c r="U18" s="135" t="e">
        <f t="shared" si="9"/>
        <v>#REF!</v>
      </c>
      <c r="V18" s="136">
        <f t="shared" si="10"/>
        <v>0</v>
      </c>
      <c r="W18" s="170">
        <v>0</v>
      </c>
      <c r="X18" s="135" t="e">
        <f t="shared" si="11"/>
        <v>#REF!</v>
      </c>
      <c r="Y18" s="136">
        <f t="shared" si="12"/>
        <v>0</v>
      </c>
      <c r="Z18" s="170">
        <v>0.05</v>
      </c>
      <c r="AA18" s="135" t="e">
        <f t="shared" si="13"/>
        <v>#REF!</v>
      </c>
      <c r="AB18" s="136">
        <f t="shared" si="14"/>
        <v>13</v>
      </c>
      <c r="AC18" s="170">
        <v>0</v>
      </c>
      <c r="AD18" s="135" t="e">
        <f t="shared" si="15"/>
        <v>#REF!</v>
      </c>
      <c r="AE18" s="136">
        <f t="shared" si="16"/>
        <v>0</v>
      </c>
      <c r="AF18" s="170">
        <v>0.05</v>
      </c>
      <c r="AG18" s="135" t="e">
        <f t="shared" si="17"/>
        <v>#REF!</v>
      </c>
      <c r="AH18" s="136">
        <f t="shared" si="18"/>
        <v>13</v>
      </c>
      <c r="AI18" s="198">
        <f t="shared" si="20"/>
        <v>0.2</v>
      </c>
      <c r="AJ18" s="199" t="e">
        <f t="shared" si="21"/>
        <v>#REF!</v>
      </c>
      <c r="AK18" s="136">
        <f t="shared" si="22"/>
        <v>52</v>
      </c>
    </row>
    <row r="19" spans="1:37">
      <c r="A19" s="134" t="s">
        <v>929</v>
      </c>
      <c r="B19" s="88"/>
      <c r="C19" s="172"/>
      <c r="D19" s="172">
        <v>100000</v>
      </c>
      <c r="E19" s="170">
        <v>0.1</v>
      </c>
      <c r="F19" s="135">
        <f t="shared" si="0"/>
        <v>10100</v>
      </c>
      <c r="G19" s="136">
        <f t="shared" si="1"/>
        <v>26</v>
      </c>
      <c r="H19" s="170">
        <v>0</v>
      </c>
      <c r="I19" s="135" t="e">
        <f t="shared" si="19"/>
        <v>#REF!</v>
      </c>
      <c r="J19" s="136">
        <f t="shared" si="2"/>
        <v>0</v>
      </c>
      <c r="K19" s="170">
        <v>0</v>
      </c>
      <c r="L19" s="135" t="e">
        <f t="shared" si="3"/>
        <v>#REF!</v>
      </c>
      <c r="M19" s="136">
        <f t="shared" si="4"/>
        <v>0</v>
      </c>
      <c r="N19" s="170">
        <v>0</v>
      </c>
      <c r="O19" s="135" t="e">
        <f t="shared" si="5"/>
        <v>#REF!</v>
      </c>
      <c r="P19" s="136">
        <f t="shared" si="6"/>
        <v>0</v>
      </c>
      <c r="Q19" s="170">
        <v>0</v>
      </c>
      <c r="R19" s="135" t="e">
        <f t="shared" si="7"/>
        <v>#REF!</v>
      </c>
      <c r="S19" s="136">
        <f t="shared" si="8"/>
        <v>0</v>
      </c>
      <c r="T19" s="170">
        <v>0</v>
      </c>
      <c r="U19" s="135" t="e">
        <f t="shared" si="9"/>
        <v>#REF!</v>
      </c>
      <c r="V19" s="136">
        <f t="shared" si="10"/>
        <v>0</v>
      </c>
      <c r="W19" s="170">
        <v>0</v>
      </c>
      <c r="X19" s="135" t="e">
        <f t="shared" si="11"/>
        <v>#REF!</v>
      </c>
      <c r="Y19" s="136">
        <f t="shared" si="12"/>
        <v>0</v>
      </c>
      <c r="Z19" s="170">
        <v>0</v>
      </c>
      <c r="AA19" s="135" t="e">
        <f t="shared" si="13"/>
        <v>#REF!</v>
      </c>
      <c r="AB19" s="136">
        <f t="shared" si="14"/>
        <v>0</v>
      </c>
      <c r="AC19" s="170">
        <v>0</v>
      </c>
      <c r="AD19" s="135" t="e">
        <f t="shared" si="15"/>
        <v>#REF!</v>
      </c>
      <c r="AE19" s="136">
        <f t="shared" si="16"/>
        <v>0</v>
      </c>
      <c r="AF19" s="170">
        <v>0</v>
      </c>
      <c r="AG19" s="135" t="e">
        <f t="shared" si="17"/>
        <v>#REF!</v>
      </c>
      <c r="AH19" s="136">
        <f t="shared" si="18"/>
        <v>0</v>
      </c>
      <c r="AI19" s="198">
        <f t="shared" si="20"/>
        <v>0.1</v>
      </c>
      <c r="AJ19" s="199" t="e">
        <f t="shared" si="21"/>
        <v>#REF!</v>
      </c>
      <c r="AK19" s="136">
        <f t="shared" si="22"/>
        <v>26</v>
      </c>
    </row>
    <row r="20" spans="1:37">
      <c r="A20" s="134" t="s">
        <v>930</v>
      </c>
      <c r="B20" s="88"/>
      <c r="C20" s="172"/>
      <c r="D20" s="172">
        <v>100000</v>
      </c>
      <c r="E20" s="170">
        <v>0.1</v>
      </c>
      <c r="F20" s="135">
        <f t="shared" si="0"/>
        <v>10100</v>
      </c>
      <c r="G20" s="136">
        <f t="shared" si="1"/>
        <v>26</v>
      </c>
      <c r="H20" s="170">
        <v>0</v>
      </c>
      <c r="I20" s="135" t="e">
        <f t="shared" si="19"/>
        <v>#REF!</v>
      </c>
      <c r="J20" s="136">
        <f t="shared" si="2"/>
        <v>0</v>
      </c>
      <c r="K20" s="170">
        <v>0</v>
      </c>
      <c r="L20" s="135" t="e">
        <f t="shared" si="3"/>
        <v>#REF!</v>
      </c>
      <c r="M20" s="136">
        <f t="shared" si="4"/>
        <v>0</v>
      </c>
      <c r="N20" s="170">
        <v>0</v>
      </c>
      <c r="O20" s="135" t="e">
        <f t="shared" si="5"/>
        <v>#REF!</v>
      </c>
      <c r="P20" s="136">
        <f t="shared" si="6"/>
        <v>0</v>
      </c>
      <c r="Q20" s="170">
        <v>0</v>
      </c>
      <c r="R20" s="135" t="e">
        <f t="shared" si="7"/>
        <v>#REF!</v>
      </c>
      <c r="S20" s="136">
        <f t="shared" si="8"/>
        <v>0</v>
      </c>
      <c r="T20" s="170">
        <v>0</v>
      </c>
      <c r="U20" s="135" t="e">
        <f t="shared" si="9"/>
        <v>#REF!</v>
      </c>
      <c r="V20" s="136">
        <f t="shared" si="10"/>
        <v>0</v>
      </c>
      <c r="W20" s="170">
        <v>0</v>
      </c>
      <c r="X20" s="135" t="e">
        <f t="shared" si="11"/>
        <v>#REF!</v>
      </c>
      <c r="Y20" s="136">
        <f t="shared" si="12"/>
        <v>0</v>
      </c>
      <c r="Z20" s="170">
        <v>0</v>
      </c>
      <c r="AA20" s="135" t="e">
        <f t="shared" si="13"/>
        <v>#REF!</v>
      </c>
      <c r="AB20" s="136">
        <f t="shared" si="14"/>
        <v>0</v>
      </c>
      <c r="AC20" s="170">
        <v>0</v>
      </c>
      <c r="AD20" s="135" t="e">
        <f t="shared" si="15"/>
        <v>#REF!</v>
      </c>
      <c r="AE20" s="136">
        <f t="shared" si="16"/>
        <v>0</v>
      </c>
      <c r="AF20" s="170">
        <v>0</v>
      </c>
      <c r="AG20" s="135" t="e">
        <f t="shared" si="17"/>
        <v>#REF!</v>
      </c>
      <c r="AH20" s="136">
        <f t="shared" si="18"/>
        <v>0</v>
      </c>
      <c r="AI20" s="198">
        <f t="shared" si="20"/>
        <v>0.1</v>
      </c>
      <c r="AJ20" s="199" t="e">
        <f t="shared" si="21"/>
        <v>#REF!</v>
      </c>
      <c r="AK20" s="136">
        <f t="shared" si="22"/>
        <v>26</v>
      </c>
    </row>
    <row r="21" spans="1:37">
      <c r="A21" s="134" t="s">
        <v>178</v>
      </c>
      <c r="B21" s="88"/>
      <c r="C21" s="172"/>
      <c r="D21" s="172">
        <v>100000</v>
      </c>
      <c r="E21" s="170">
        <v>0.1</v>
      </c>
      <c r="F21" s="135">
        <f t="shared" si="0"/>
        <v>10100</v>
      </c>
      <c r="G21" s="136">
        <f t="shared" si="1"/>
        <v>26</v>
      </c>
      <c r="H21" s="170">
        <v>0</v>
      </c>
      <c r="I21" s="135" t="e">
        <f t="shared" si="19"/>
        <v>#REF!</v>
      </c>
      <c r="J21" s="136">
        <f t="shared" si="2"/>
        <v>0</v>
      </c>
      <c r="K21" s="170">
        <v>0</v>
      </c>
      <c r="L21" s="135" t="e">
        <f t="shared" si="3"/>
        <v>#REF!</v>
      </c>
      <c r="M21" s="136">
        <f t="shared" si="4"/>
        <v>0</v>
      </c>
      <c r="N21" s="170">
        <v>0</v>
      </c>
      <c r="O21" s="135" t="e">
        <f t="shared" si="5"/>
        <v>#REF!</v>
      </c>
      <c r="P21" s="136">
        <f t="shared" si="6"/>
        <v>0</v>
      </c>
      <c r="Q21" s="170">
        <v>0</v>
      </c>
      <c r="R21" s="135" t="e">
        <f t="shared" si="7"/>
        <v>#REF!</v>
      </c>
      <c r="S21" s="136">
        <f t="shared" si="8"/>
        <v>0</v>
      </c>
      <c r="T21" s="170">
        <v>0</v>
      </c>
      <c r="U21" s="135" t="e">
        <f t="shared" si="9"/>
        <v>#REF!</v>
      </c>
      <c r="V21" s="136">
        <f t="shared" si="10"/>
        <v>0</v>
      </c>
      <c r="W21" s="170">
        <v>0</v>
      </c>
      <c r="X21" s="135" t="e">
        <f t="shared" si="11"/>
        <v>#REF!</v>
      </c>
      <c r="Y21" s="136">
        <f t="shared" si="12"/>
        <v>0</v>
      </c>
      <c r="Z21" s="170">
        <v>0</v>
      </c>
      <c r="AA21" s="135" t="e">
        <f t="shared" si="13"/>
        <v>#REF!</v>
      </c>
      <c r="AB21" s="136">
        <f t="shared" si="14"/>
        <v>0</v>
      </c>
      <c r="AC21" s="170">
        <v>0</v>
      </c>
      <c r="AD21" s="135" t="e">
        <f t="shared" si="15"/>
        <v>#REF!</v>
      </c>
      <c r="AE21" s="136">
        <f t="shared" si="16"/>
        <v>0</v>
      </c>
      <c r="AF21" s="170">
        <v>0</v>
      </c>
      <c r="AG21" s="135" t="e">
        <f t="shared" si="17"/>
        <v>#REF!</v>
      </c>
      <c r="AH21" s="136">
        <f t="shared" si="18"/>
        <v>0</v>
      </c>
      <c r="AI21" s="198">
        <f t="shared" si="20"/>
        <v>0.1</v>
      </c>
      <c r="AJ21" s="199" t="e">
        <f t="shared" si="21"/>
        <v>#REF!</v>
      </c>
      <c r="AK21" s="136">
        <f t="shared" si="22"/>
        <v>26</v>
      </c>
    </row>
    <row r="22" spans="1:37">
      <c r="A22" s="134" t="s">
        <v>178</v>
      </c>
      <c r="B22" s="88"/>
      <c r="C22" s="172"/>
      <c r="D22" s="172">
        <v>100000</v>
      </c>
      <c r="E22" s="170">
        <v>0.1</v>
      </c>
      <c r="F22" s="135">
        <f t="shared" si="0"/>
        <v>10100</v>
      </c>
      <c r="G22" s="136">
        <f t="shared" si="1"/>
        <v>26</v>
      </c>
      <c r="H22" s="170">
        <v>0</v>
      </c>
      <c r="I22" s="135" t="e">
        <f t="shared" si="19"/>
        <v>#REF!</v>
      </c>
      <c r="J22" s="136">
        <f t="shared" si="2"/>
        <v>0</v>
      </c>
      <c r="K22" s="170">
        <v>0</v>
      </c>
      <c r="L22" s="135" t="e">
        <f t="shared" si="3"/>
        <v>#REF!</v>
      </c>
      <c r="M22" s="136">
        <f t="shared" si="4"/>
        <v>0</v>
      </c>
      <c r="N22" s="170">
        <v>0</v>
      </c>
      <c r="O22" s="135" t="e">
        <f t="shared" si="5"/>
        <v>#REF!</v>
      </c>
      <c r="P22" s="136">
        <f t="shared" si="6"/>
        <v>0</v>
      </c>
      <c r="Q22" s="170">
        <v>0</v>
      </c>
      <c r="R22" s="135" t="e">
        <f t="shared" si="7"/>
        <v>#REF!</v>
      </c>
      <c r="S22" s="136">
        <f t="shared" si="8"/>
        <v>0</v>
      </c>
      <c r="T22" s="170">
        <v>0</v>
      </c>
      <c r="U22" s="135" t="e">
        <f t="shared" si="9"/>
        <v>#REF!</v>
      </c>
      <c r="V22" s="136">
        <f t="shared" si="10"/>
        <v>0</v>
      </c>
      <c r="W22" s="170">
        <v>0</v>
      </c>
      <c r="X22" s="135" t="e">
        <f t="shared" si="11"/>
        <v>#REF!</v>
      </c>
      <c r="Y22" s="136">
        <f t="shared" si="12"/>
        <v>0</v>
      </c>
      <c r="Z22" s="170">
        <v>0</v>
      </c>
      <c r="AA22" s="135" t="e">
        <f t="shared" si="13"/>
        <v>#REF!</v>
      </c>
      <c r="AB22" s="136">
        <f t="shared" si="14"/>
        <v>0</v>
      </c>
      <c r="AC22" s="170">
        <v>0</v>
      </c>
      <c r="AD22" s="135" t="e">
        <f t="shared" si="15"/>
        <v>#REF!</v>
      </c>
      <c r="AE22" s="136">
        <f t="shared" si="16"/>
        <v>0</v>
      </c>
      <c r="AF22" s="170">
        <v>0</v>
      </c>
      <c r="AG22" s="135" t="e">
        <f t="shared" si="17"/>
        <v>#REF!</v>
      </c>
      <c r="AH22" s="136">
        <f t="shared" si="18"/>
        <v>0</v>
      </c>
      <c r="AI22" s="198">
        <f t="shared" si="20"/>
        <v>0.1</v>
      </c>
      <c r="AJ22" s="199" t="e">
        <f t="shared" si="21"/>
        <v>#REF!</v>
      </c>
      <c r="AK22" s="136">
        <f t="shared" si="22"/>
        <v>26</v>
      </c>
    </row>
    <row r="23" spans="1:37">
      <c r="A23" s="20" t="s">
        <v>931</v>
      </c>
      <c r="B23" s="19"/>
      <c r="C23" s="9"/>
      <c r="D23" s="951"/>
      <c r="E23" s="200"/>
      <c r="F23" s="135"/>
      <c r="G23" s="136"/>
      <c r="H23" s="171"/>
      <c r="I23" s="135"/>
      <c r="J23" s="136"/>
      <c r="K23" s="171"/>
      <c r="L23" s="135"/>
      <c r="M23" s="136"/>
      <c r="N23" s="171"/>
      <c r="O23" s="135"/>
      <c r="P23" s="136"/>
      <c r="Q23" s="171"/>
      <c r="R23" s="135"/>
      <c r="S23" s="136"/>
      <c r="T23" s="171"/>
      <c r="U23" s="135"/>
      <c r="V23" s="136"/>
      <c r="W23" s="171"/>
      <c r="X23" s="135"/>
      <c r="Y23" s="136"/>
      <c r="Z23" s="171"/>
      <c r="AA23" s="135"/>
      <c r="AB23" s="136"/>
      <c r="AC23" s="171"/>
      <c r="AD23" s="135"/>
      <c r="AE23" s="136"/>
      <c r="AF23" s="171"/>
      <c r="AG23" s="135"/>
      <c r="AH23" s="136"/>
      <c r="AI23" s="200"/>
      <c r="AJ23" s="199"/>
      <c r="AK23" s="136"/>
    </row>
    <row r="24" spans="1:37">
      <c r="A24" s="134" t="s">
        <v>932</v>
      </c>
      <c r="B24" s="88"/>
      <c r="C24" s="172"/>
      <c r="D24" s="172">
        <v>100000</v>
      </c>
      <c r="E24" s="170">
        <v>0.1</v>
      </c>
      <c r="F24" s="135">
        <f>E24*D24*F$11</f>
        <v>10100</v>
      </c>
      <c r="G24" s="136">
        <f>E24*260</f>
        <v>26</v>
      </c>
      <c r="H24" s="170">
        <v>0</v>
      </c>
      <c r="I24" s="135" t="e">
        <f>H24*$D24*I$11</f>
        <v>#REF!</v>
      </c>
      <c r="J24" s="136">
        <f>H24*260</f>
        <v>0</v>
      </c>
      <c r="K24" s="170">
        <v>0</v>
      </c>
      <c r="L24" s="135" t="e">
        <f>K24*$D24*L$11</f>
        <v>#REF!</v>
      </c>
      <c r="M24" s="136">
        <f>K24*260</f>
        <v>0</v>
      </c>
      <c r="N24" s="170">
        <v>0</v>
      </c>
      <c r="O24" s="135" t="e">
        <f>N24*$D24*O$11</f>
        <v>#REF!</v>
      </c>
      <c r="P24" s="136">
        <f>N24*260</f>
        <v>0</v>
      </c>
      <c r="Q24" s="170">
        <v>0</v>
      </c>
      <c r="R24" s="135" t="e">
        <f>Q24*$D24*R$11</f>
        <v>#REF!</v>
      </c>
      <c r="S24" s="136">
        <f>Q24*260</f>
        <v>0</v>
      </c>
      <c r="T24" s="170">
        <v>0</v>
      </c>
      <c r="U24" s="135" t="e">
        <f>T24*S24*U$11</f>
        <v>#REF!</v>
      </c>
      <c r="V24" s="136">
        <f>T24*260</f>
        <v>0</v>
      </c>
      <c r="W24" s="170">
        <v>0.05</v>
      </c>
      <c r="X24" s="135" t="e">
        <f>W24*$D24*X$11</f>
        <v>#REF!</v>
      </c>
      <c r="Y24" s="136">
        <f>W24*260</f>
        <v>13</v>
      </c>
      <c r="Z24" s="170">
        <v>0</v>
      </c>
      <c r="AA24" s="135" t="e">
        <f>Z24*$D24*AA$11</f>
        <v>#REF!</v>
      </c>
      <c r="AB24" s="136">
        <f>Z24*260</f>
        <v>0</v>
      </c>
      <c r="AC24" s="170">
        <v>0</v>
      </c>
      <c r="AD24" s="135" t="e">
        <f>AC24*$D24*AD$11</f>
        <v>#REF!</v>
      </c>
      <c r="AE24" s="136">
        <f>AC24*260</f>
        <v>0</v>
      </c>
      <c r="AF24" s="170">
        <v>0</v>
      </c>
      <c r="AG24" s="135" t="e">
        <f>AF24*$D24*AG$11</f>
        <v>#REF!</v>
      </c>
      <c r="AH24" s="136">
        <f>AF24*260</f>
        <v>0</v>
      </c>
      <c r="AI24" s="198">
        <f t="shared" ref="AI24:AK27" si="23">SUM(E24,H24,K24,N24,Q24,T24,W24,Z24,AC24,AF24)</f>
        <v>0.15000000000000002</v>
      </c>
      <c r="AJ24" s="199" t="e">
        <f t="shared" si="23"/>
        <v>#REF!</v>
      </c>
      <c r="AK24" s="136">
        <f t="shared" si="23"/>
        <v>39</v>
      </c>
    </row>
    <row r="25" spans="1:37">
      <c r="A25" s="134" t="s">
        <v>933</v>
      </c>
      <c r="B25" s="88"/>
      <c r="C25" s="172"/>
      <c r="D25" s="172">
        <v>100000</v>
      </c>
      <c r="E25" s="170">
        <v>0.1</v>
      </c>
      <c r="F25" s="135">
        <f>E25*D25*F$11</f>
        <v>10100</v>
      </c>
      <c r="G25" s="136">
        <f>E25*260</f>
        <v>26</v>
      </c>
      <c r="H25" s="170">
        <v>0</v>
      </c>
      <c r="I25" s="135" t="e">
        <f>H25*$D25*I$11</f>
        <v>#REF!</v>
      </c>
      <c r="J25" s="136">
        <f>H25*260</f>
        <v>0</v>
      </c>
      <c r="K25" s="170">
        <v>0</v>
      </c>
      <c r="L25" s="135" t="e">
        <f>K25*$D25*L$11</f>
        <v>#REF!</v>
      </c>
      <c r="M25" s="136">
        <f>K25*260</f>
        <v>0</v>
      </c>
      <c r="N25" s="170">
        <v>0</v>
      </c>
      <c r="O25" s="135" t="e">
        <f>N25*$D25*O$11</f>
        <v>#REF!</v>
      </c>
      <c r="P25" s="136">
        <f>N25*260</f>
        <v>0</v>
      </c>
      <c r="Q25" s="170">
        <v>0</v>
      </c>
      <c r="R25" s="135" t="e">
        <f>Q25*$D25*R$11</f>
        <v>#REF!</v>
      </c>
      <c r="S25" s="136">
        <f>Q25*260</f>
        <v>0</v>
      </c>
      <c r="T25" s="170">
        <v>0</v>
      </c>
      <c r="U25" s="135" t="e">
        <f>T25*S25*U$11</f>
        <v>#REF!</v>
      </c>
      <c r="V25" s="136">
        <f>T25*260</f>
        <v>0</v>
      </c>
      <c r="W25" s="170">
        <v>0</v>
      </c>
      <c r="X25" s="135" t="e">
        <f>W25*$D25*X$11</f>
        <v>#REF!</v>
      </c>
      <c r="Y25" s="136">
        <f>W25*260</f>
        <v>0</v>
      </c>
      <c r="Z25" s="170">
        <v>0.05</v>
      </c>
      <c r="AA25" s="135" t="e">
        <f>Z25*$D25*AA$11</f>
        <v>#REF!</v>
      </c>
      <c r="AB25" s="136">
        <f>Z25*260</f>
        <v>13</v>
      </c>
      <c r="AC25" s="170">
        <v>0</v>
      </c>
      <c r="AD25" s="135" t="e">
        <f>AC25*$D25*AD$11</f>
        <v>#REF!</v>
      </c>
      <c r="AE25" s="136">
        <f>AC25*260</f>
        <v>0</v>
      </c>
      <c r="AF25" s="170">
        <v>0</v>
      </c>
      <c r="AG25" s="135" t="e">
        <f>AF25*$D25*AG$11</f>
        <v>#REF!</v>
      </c>
      <c r="AH25" s="136">
        <f>AF25*260</f>
        <v>0</v>
      </c>
      <c r="AI25" s="198">
        <f t="shared" si="23"/>
        <v>0.15000000000000002</v>
      </c>
      <c r="AJ25" s="199" t="e">
        <f t="shared" si="23"/>
        <v>#REF!</v>
      </c>
      <c r="AK25" s="136">
        <f t="shared" si="23"/>
        <v>39</v>
      </c>
    </row>
    <row r="26" spans="1:37">
      <c r="A26" s="134" t="s">
        <v>934</v>
      </c>
      <c r="B26" s="88"/>
      <c r="C26" s="172"/>
      <c r="D26" s="172">
        <v>100000</v>
      </c>
      <c r="E26" s="170">
        <v>0.1</v>
      </c>
      <c r="F26" s="135">
        <f>E26*D26*F$11</f>
        <v>10100</v>
      </c>
      <c r="G26" s="136">
        <f>E26*260</f>
        <v>26</v>
      </c>
      <c r="H26" s="170">
        <v>0</v>
      </c>
      <c r="I26" s="135" t="e">
        <f>H26*$D26*I$11</f>
        <v>#REF!</v>
      </c>
      <c r="J26" s="136">
        <f>H26*260</f>
        <v>0</v>
      </c>
      <c r="K26" s="170">
        <v>0</v>
      </c>
      <c r="L26" s="135" t="e">
        <f>K26*$D26*L$11</f>
        <v>#REF!</v>
      </c>
      <c r="M26" s="136">
        <f>K26*260</f>
        <v>0</v>
      </c>
      <c r="N26" s="170">
        <v>0</v>
      </c>
      <c r="O26" s="135" t="e">
        <f>N26*$D26*O$11</f>
        <v>#REF!</v>
      </c>
      <c r="P26" s="136">
        <f>N26*260</f>
        <v>0</v>
      </c>
      <c r="Q26" s="170">
        <v>0</v>
      </c>
      <c r="R26" s="135" t="e">
        <f>Q26*$D26*R$11</f>
        <v>#REF!</v>
      </c>
      <c r="S26" s="136">
        <f>Q26*260</f>
        <v>0</v>
      </c>
      <c r="T26" s="170">
        <v>0</v>
      </c>
      <c r="U26" s="135" t="e">
        <f>T26*S26*U$11</f>
        <v>#REF!</v>
      </c>
      <c r="V26" s="136">
        <f>T26*260</f>
        <v>0</v>
      </c>
      <c r="W26" s="170">
        <v>0</v>
      </c>
      <c r="X26" s="135" t="e">
        <f>W26*$D26*X$11</f>
        <v>#REF!</v>
      </c>
      <c r="Y26" s="136">
        <f>W26*260</f>
        <v>0</v>
      </c>
      <c r="Z26" s="170">
        <v>0</v>
      </c>
      <c r="AA26" s="135" t="e">
        <f>Z26*$D26*AA$11</f>
        <v>#REF!</v>
      </c>
      <c r="AB26" s="136">
        <f>Z26*260</f>
        <v>0</v>
      </c>
      <c r="AC26" s="170">
        <v>0</v>
      </c>
      <c r="AD26" s="135" t="e">
        <f>AC26*$D26*AD$11</f>
        <v>#REF!</v>
      </c>
      <c r="AE26" s="136">
        <f>AC26*260</f>
        <v>0</v>
      </c>
      <c r="AF26" s="170">
        <v>0</v>
      </c>
      <c r="AG26" s="135" t="e">
        <f>AF26*$D26*AG$11</f>
        <v>#REF!</v>
      </c>
      <c r="AH26" s="136">
        <f>AF26*260</f>
        <v>0</v>
      </c>
      <c r="AI26" s="198">
        <f t="shared" si="23"/>
        <v>0.1</v>
      </c>
      <c r="AJ26" s="199" t="e">
        <f t="shared" si="23"/>
        <v>#REF!</v>
      </c>
      <c r="AK26" s="136">
        <f t="shared" si="23"/>
        <v>26</v>
      </c>
    </row>
    <row r="27" spans="1:37">
      <c r="A27" s="134" t="s">
        <v>935</v>
      </c>
      <c r="B27" s="88"/>
      <c r="C27" s="172"/>
      <c r="D27" s="172">
        <v>100000</v>
      </c>
      <c r="E27" s="170">
        <v>0.1</v>
      </c>
      <c r="F27" s="135">
        <f>E27*D27*F$11</f>
        <v>10100</v>
      </c>
      <c r="G27" s="136">
        <f>E27*260</f>
        <v>26</v>
      </c>
      <c r="H27" s="170">
        <v>0</v>
      </c>
      <c r="I27" s="135" t="e">
        <f>H27*$D27*I$11</f>
        <v>#REF!</v>
      </c>
      <c r="J27" s="136">
        <f>H27*260</f>
        <v>0</v>
      </c>
      <c r="K27" s="170">
        <v>0</v>
      </c>
      <c r="L27" s="135" t="e">
        <f>K27*$D27*L$11</f>
        <v>#REF!</v>
      </c>
      <c r="M27" s="136">
        <f>K27*260</f>
        <v>0</v>
      </c>
      <c r="N27" s="170">
        <v>0</v>
      </c>
      <c r="O27" s="135" t="e">
        <f>N27*$D27*O$11</f>
        <v>#REF!</v>
      </c>
      <c r="P27" s="136">
        <f>N27*260</f>
        <v>0</v>
      </c>
      <c r="Q27" s="170">
        <v>0</v>
      </c>
      <c r="R27" s="135" t="e">
        <f>Q27*$D27*R$11</f>
        <v>#REF!</v>
      </c>
      <c r="S27" s="136">
        <f>Q27*260</f>
        <v>0</v>
      </c>
      <c r="T27" s="170">
        <v>0</v>
      </c>
      <c r="U27" s="135" t="e">
        <f>T27*S27*U$11</f>
        <v>#REF!</v>
      </c>
      <c r="V27" s="136">
        <f>T27*260</f>
        <v>0</v>
      </c>
      <c r="W27" s="170">
        <v>0</v>
      </c>
      <c r="X27" s="135" t="e">
        <f>W27*$D27*X$11</f>
        <v>#REF!</v>
      </c>
      <c r="Y27" s="136">
        <f>W27*260</f>
        <v>0</v>
      </c>
      <c r="Z27" s="170">
        <v>0</v>
      </c>
      <c r="AA27" s="135" t="e">
        <f>Z27*$D27*AA$11</f>
        <v>#REF!</v>
      </c>
      <c r="AB27" s="136">
        <f>Z27*260</f>
        <v>0</v>
      </c>
      <c r="AC27" s="170">
        <v>0</v>
      </c>
      <c r="AD27" s="135" t="e">
        <f>AC27*$D27*AD$11</f>
        <v>#REF!</v>
      </c>
      <c r="AE27" s="136">
        <f>AC27*260</f>
        <v>0</v>
      </c>
      <c r="AF27" s="170">
        <v>0</v>
      </c>
      <c r="AG27" s="135" t="e">
        <f>AF27*$D27*AG$11</f>
        <v>#REF!</v>
      </c>
      <c r="AH27" s="136">
        <f>AF27*260</f>
        <v>0</v>
      </c>
      <c r="AI27" s="198">
        <f t="shared" si="23"/>
        <v>0.1</v>
      </c>
      <c r="AJ27" s="199" t="e">
        <f t="shared" si="23"/>
        <v>#REF!</v>
      </c>
      <c r="AK27" s="136">
        <f t="shared" si="23"/>
        <v>26</v>
      </c>
    </row>
    <row r="28" spans="1:37">
      <c r="A28" s="134"/>
      <c r="B28" s="137" t="s">
        <v>936</v>
      </c>
      <c r="C28" s="9"/>
      <c r="D28" s="9"/>
      <c r="E28" s="138"/>
      <c r="F28" s="139">
        <f>SUM(F12:F27)</f>
        <v>111100</v>
      </c>
      <c r="G28" s="136"/>
      <c r="H28" s="138"/>
      <c r="I28" s="139" t="e">
        <f>SUM(I12:I27)</f>
        <v>#REF!</v>
      </c>
      <c r="J28" s="136"/>
      <c r="K28" s="138"/>
      <c r="L28" s="139" t="e">
        <f>SUM(L12:L27)</f>
        <v>#REF!</v>
      </c>
      <c r="M28" s="136"/>
      <c r="N28" s="138"/>
      <c r="O28" s="139" t="e">
        <f>SUM(O12:O27)</f>
        <v>#REF!</v>
      </c>
      <c r="P28" s="136"/>
      <c r="Q28" s="138"/>
      <c r="R28" s="139" t="e">
        <f>SUM(R12:R27)</f>
        <v>#REF!</v>
      </c>
      <c r="S28" s="136"/>
      <c r="T28" s="138"/>
      <c r="U28" s="139" t="e">
        <f>SUM(U12:U27)</f>
        <v>#REF!</v>
      </c>
      <c r="V28" s="136"/>
      <c r="W28" s="138"/>
      <c r="X28" s="139" t="e">
        <f>SUM(X12:X27)</f>
        <v>#REF!</v>
      </c>
      <c r="Y28" s="136"/>
      <c r="Z28" s="138"/>
      <c r="AA28" s="139" t="e">
        <f>SUM(AA12:AA27)</f>
        <v>#REF!</v>
      </c>
      <c r="AB28" s="136"/>
      <c r="AC28" s="138"/>
      <c r="AD28" s="139" t="e">
        <f>SUM(AD12:AD27)</f>
        <v>#REF!</v>
      </c>
      <c r="AE28" s="136"/>
      <c r="AF28" s="138"/>
      <c r="AG28" s="139" t="e">
        <f>SUM(AG12:AG27)</f>
        <v>#REF!</v>
      </c>
      <c r="AH28" s="136"/>
      <c r="AI28" s="138"/>
      <c r="AJ28" s="135"/>
      <c r="AK28" s="136"/>
    </row>
    <row r="29" spans="1:37">
      <c r="A29" s="134"/>
      <c r="B29" s="88"/>
      <c r="C29" s="9"/>
      <c r="D29" s="140"/>
      <c r="E29" s="141"/>
      <c r="F29" s="142"/>
      <c r="G29" s="136"/>
      <c r="H29" s="141"/>
      <c r="I29" s="142"/>
      <c r="J29" s="136"/>
      <c r="K29" s="141"/>
      <c r="L29" s="142"/>
      <c r="M29" s="136"/>
      <c r="N29" s="141"/>
      <c r="O29" s="142"/>
      <c r="P29" s="136"/>
      <c r="Q29" s="141"/>
      <c r="R29" s="142"/>
      <c r="S29" s="136"/>
      <c r="T29" s="141"/>
      <c r="U29" s="142"/>
      <c r="V29" s="136"/>
      <c r="W29" s="141"/>
      <c r="X29" s="142"/>
      <c r="Y29" s="136"/>
      <c r="Z29" s="141"/>
      <c r="AA29" s="142"/>
      <c r="AB29" s="136"/>
      <c r="AC29" s="141"/>
      <c r="AD29" s="142"/>
      <c r="AE29" s="136"/>
      <c r="AF29" s="141"/>
      <c r="AG29" s="142"/>
      <c r="AH29" s="136"/>
      <c r="AI29" s="138"/>
      <c r="AJ29" s="135"/>
      <c r="AK29" s="136"/>
    </row>
    <row r="30" spans="1:37">
      <c r="A30" s="75"/>
      <c r="B30" s="143" t="s">
        <v>937</v>
      </c>
      <c r="C30" s="9"/>
      <c r="D30" s="144">
        <f>F28/E30/F11</f>
        <v>100000.00000000001</v>
      </c>
      <c r="E30" s="145">
        <f>SUM(E16:E28)</f>
        <v>1.0999999999999999</v>
      </c>
      <c r="F30" s="146">
        <f>SUMPRODUCT($D16:$D27,E16:E27)*F$11/E30</f>
        <v>101000.00000000001</v>
      </c>
      <c r="G30" s="147">
        <f>E30*F30</f>
        <v>111100</v>
      </c>
      <c r="H30" s="145">
        <f>SUM(H16:H28)</f>
        <v>0</v>
      </c>
      <c r="I30" s="146" t="e">
        <f>SUMPRODUCT($D16:$D27,H16:H27)*I11/H30</f>
        <v>#REF!</v>
      </c>
      <c r="J30" s="148" t="e">
        <f>H30*I30</f>
        <v>#REF!</v>
      </c>
      <c r="K30" s="145">
        <f>SUM(K16:K28)</f>
        <v>0</v>
      </c>
      <c r="L30" s="146" t="e">
        <f>SUMPRODUCT($D16:$D27,K16:K27)*L11/K30</f>
        <v>#REF!</v>
      </c>
      <c r="M30" s="147" t="e">
        <f>K30*L30</f>
        <v>#REF!</v>
      </c>
      <c r="N30" s="145">
        <f>SUM(N16:N28)</f>
        <v>0</v>
      </c>
      <c r="O30" s="146" t="e">
        <f>SUMPRODUCT($D16:$D27,N16:N27)*O11/N30</f>
        <v>#REF!</v>
      </c>
      <c r="P30" s="147" t="e">
        <f>N30*O30</f>
        <v>#REF!</v>
      </c>
      <c r="Q30" s="145">
        <f>SUM(Q16:Q28)</f>
        <v>0</v>
      </c>
      <c r="R30" s="146" t="e">
        <f>SUMPRODUCT($D16:$D27,Q16:Q27)*R11/Q30</f>
        <v>#REF!</v>
      </c>
      <c r="S30" s="148" t="e">
        <f>Q30*R30</f>
        <v>#REF!</v>
      </c>
      <c r="T30" s="145">
        <f>SUM(T16:T28)</f>
        <v>0</v>
      </c>
      <c r="U30" s="146" t="e">
        <f>SUMPRODUCT($D16:$D27,T16:T27)*U$11/T30</f>
        <v>#REF!</v>
      </c>
      <c r="V30" s="147" t="e">
        <f>T30*U30</f>
        <v>#REF!</v>
      </c>
      <c r="W30" s="145">
        <f>SUM(W16:W28)</f>
        <v>0.05</v>
      </c>
      <c r="X30" s="146" t="e">
        <f>SUMPRODUCT($D16:$D27,W16:W27)*X11/W30</f>
        <v>#REF!</v>
      </c>
      <c r="Y30" s="148" t="e">
        <f>W30*X30</f>
        <v>#REF!</v>
      </c>
      <c r="Z30" s="145">
        <f>SUM(Z16:Z28)</f>
        <v>0.1</v>
      </c>
      <c r="AA30" s="146" t="e">
        <f>SUMPRODUCT($D16:$D27,Z16:Z27)*AA11/Z30</f>
        <v>#REF!</v>
      </c>
      <c r="AB30" s="147" t="e">
        <f>Z30*AA30</f>
        <v>#REF!</v>
      </c>
      <c r="AC30" s="145">
        <f>SUM(AC16:AC28)</f>
        <v>0.05</v>
      </c>
      <c r="AD30" s="146" t="e">
        <f>SUMPRODUCT($D16:$D27,AC16:AC27)*AD11/AC30</f>
        <v>#REF!</v>
      </c>
      <c r="AE30" s="147" t="e">
        <f>AC30*AD30</f>
        <v>#REF!</v>
      </c>
      <c r="AF30" s="145">
        <f>SUM(AF16:AF28)</f>
        <v>0.05</v>
      </c>
      <c r="AG30" s="146" t="e">
        <f>SUMPRODUCT($D16:$D27,AF16:AF27)*AG11/AF30</f>
        <v>#REF!</v>
      </c>
      <c r="AH30" s="148" t="e">
        <f>AF30*AG30</f>
        <v>#REF!</v>
      </c>
      <c r="AI30" s="201"/>
      <c r="AJ30" s="202"/>
      <c r="AK30" s="148"/>
    </row>
    <row r="31" spans="1:37">
      <c r="A31" s="75"/>
      <c r="B31" s="143" t="s">
        <v>938</v>
      </c>
      <c r="C31" s="9"/>
      <c r="D31" s="149">
        <f>DMIN(A14:D27,"Projected Monthly Salary",A12:A13)</f>
        <v>100000</v>
      </c>
      <c r="E31" s="150">
        <f>F28/F31</f>
        <v>1.1000000000000001</v>
      </c>
      <c r="F31" s="151">
        <f>$D31*F$11</f>
        <v>101000</v>
      </c>
      <c r="G31" s="147">
        <f>E31*F31</f>
        <v>111100.00000000001</v>
      </c>
      <c r="H31" s="150" t="e">
        <f>I28/I31</f>
        <v>#REF!</v>
      </c>
      <c r="I31" s="151" t="e">
        <f>$D31*I$11</f>
        <v>#REF!</v>
      </c>
      <c r="J31" s="147" t="e">
        <f>H31*I31</f>
        <v>#REF!</v>
      </c>
      <c r="K31" s="150" t="e">
        <f>L28/L31</f>
        <v>#REF!</v>
      </c>
      <c r="L31" s="151" t="e">
        <f>$D31*L$11</f>
        <v>#REF!</v>
      </c>
      <c r="M31" s="147" t="e">
        <f>K31*L31</f>
        <v>#REF!</v>
      </c>
      <c r="N31" s="150" t="e">
        <f>O28/O31</f>
        <v>#REF!</v>
      </c>
      <c r="O31" s="151" t="e">
        <f>$D31*O$11</f>
        <v>#REF!</v>
      </c>
      <c r="P31" s="147" t="e">
        <f>N31*O31</f>
        <v>#REF!</v>
      </c>
      <c r="Q31" s="150" t="e">
        <f>R28/R31</f>
        <v>#REF!</v>
      </c>
      <c r="R31" s="151" t="e">
        <f>$D31*R$11</f>
        <v>#REF!</v>
      </c>
      <c r="S31" s="148" t="e">
        <f>Q31*R31</f>
        <v>#REF!</v>
      </c>
      <c r="T31" s="150" t="e">
        <f>U28/U31</f>
        <v>#REF!</v>
      </c>
      <c r="U31" s="151" t="e">
        <f>$D31*U$11</f>
        <v>#REF!</v>
      </c>
      <c r="V31" s="147" t="e">
        <f>T31*U31</f>
        <v>#REF!</v>
      </c>
      <c r="W31" s="150" t="e">
        <f>X28/X31</f>
        <v>#REF!</v>
      </c>
      <c r="X31" s="151" t="e">
        <f>$D31*X$11</f>
        <v>#REF!</v>
      </c>
      <c r="Y31" s="147" t="e">
        <f>W31*X31</f>
        <v>#REF!</v>
      </c>
      <c r="Z31" s="150" t="e">
        <f>AA28/AA31</f>
        <v>#REF!</v>
      </c>
      <c r="AA31" s="151" t="e">
        <f>$D31*AA$11</f>
        <v>#REF!</v>
      </c>
      <c r="AB31" s="147" t="e">
        <f>Z31*AA31</f>
        <v>#REF!</v>
      </c>
      <c r="AC31" s="150" t="e">
        <f>AD28/AD31</f>
        <v>#REF!</v>
      </c>
      <c r="AD31" s="151" t="e">
        <f>$D31*AD$11</f>
        <v>#REF!</v>
      </c>
      <c r="AE31" s="147" t="e">
        <f>AC31*AD31</f>
        <v>#REF!</v>
      </c>
      <c r="AF31" s="150" t="e">
        <f>AG28/AG31</f>
        <v>#REF!</v>
      </c>
      <c r="AG31" s="151" t="e">
        <f>$D31*AG$11</f>
        <v>#REF!</v>
      </c>
      <c r="AH31" s="148" t="e">
        <f>AF31*AG31</f>
        <v>#REF!</v>
      </c>
      <c r="AI31" s="203"/>
      <c r="AJ31" s="202"/>
      <c r="AK31" s="148"/>
    </row>
    <row r="32" spans="1:37">
      <c r="A32" s="75"/>
      <c r="B32" s="143" t="s">
        <v>939</v>
      </c>
      <c r="C32" s="9"/>
      <c r="D32" s="149">
        <f>DAVERAGE(A14:D27,"Projected Monthly Salary",A12:A13)</f>
        <v>100000</v>
      </c>
      <c r="E32" s="150">
        <f>F28/F32</f>
        <v>1.1000000000000001</v>
      </c>
      <c r="F32" s="151">
        <f>$D32*F$11</f>
        <v>101000</v>
      </c>
      <c r="G32" s="147">
        <f>E32*F32</f>
        <v>111100.00000000001</v>
      </c>
      <c r="H32" s="150" t="e">
        <f>I28/I32</f>
        <v>#REF!</v>
      </c>
      <c r="I32" s="151" t="e">
        <f>$D32*I$11</f>
        <v>#REF!</v>
      </c>
      <c r="J32" s="147" t="e">
        <f>H32*I32</f>
        <v>#REF!</v>
      </c>
      <c r="K32" s="150" t="e">
        <f>L28/L32</f>
        <v>#REF!</v>
      </c>
      <c r="L32" s="151" t="e">
        <f>$D32*L$11</f>
        <v>#REF!</v>
      </c>
      <c r="M32" s="147" t="e">
        <f>K32*L32</f>
        <v>#REF!</v>
      </c>
      <c r="N32" s="150" t="e">
        <f>O28/O32</f>
        <v>#REF!</v>
      </c>
      <c r="O32" s="151" t="e">
        <f>$D32*O$11</f>
        <v>#REF!</v>
      </c>
      <c r="P32" s="147" t="e">
        <f>N32*O32</f>
        <v>#REF!</v>
      </c>
      <c r="Q32" s="150" t="e">
        <f>R28/R32</f>
        <v>#REF!</v>
      </c>
      <c r="R32" s="151" t="e">
        <f>$D32*R$11</f>
        <v>#REF!</v>
      </c>
      <c r="S32" s="148" t="e">
        <f>Q32*R32</f>
        <v>#REF!</v>
      </c>
      <c r="T32" s="150" t="e">
        <f>U28/U32</f>
        <v>#REF!</v>
      </c>
      <c r="U32" s="151" t="e">
        <f>$D32*U$11</f>
        <v>#REF!</v>
      </c>
      <c r="V32" s="147" t="e">
        <f>T32*U32</f>
        <v>#REF!</v>
      </c>
      <c r="W32" s="150" t="e">
        <f>X28/X32</f>
        <v>#REF!</v>
      </c>
      <c r="X32" s="151" t="e">
        <f>$D32*X$11</f>
        <v>#REF!</v>
      </c>
      <c r="Y32" s="147" t="e">
        <f>W32*X32</f>
        <v>#REF!</v>
      </c>
      <c r="Z32" s="150" t="e">
        <f>AA28/AA32</f>
        <v>#REF!</v>
      </c>
      <c r="AA32" s="151" t="e">
        <f>$D32*AA$11</f>
        <v>#REF!</v>
      </c>
      <c r="AB32" s="147" t="e">
        <f>Z32*AA32</f>
        <v>#REF!</v>
      </c>
      <c r="AC32" s="150" t="e">
        <f>AD28/AD32</f>
        <v>#REF!</v>
      </c>
      <c r="AD32" s="151" t="e">
        <f>$D32*AD$11</f>
        <v>#REF!</v>
      </c>
      <c r="AE32" s="147" t="e">
        <f>AC32*AD32</f>
        <v>#REF!</v>
      </c>
      <c r="AF32" s="150" t="e">
        <f>AG28/AG32</f>
        <v>#REF!</v>
      </c>
      <c r="AG32" s="151" t="e">
        <f>$D32*AG$11</f>
        <v>#REF!</v>
      </c>
      <c r="AH32" s="148" t="e">
        <f>AF32*AG32</f>
        <v>#REF!</v>
      </c>
      <c r="AI32" s="203"/>
      <c r="AJ32" s="202"/>
      <c r="AK32" s="148"/>
    </row>
    <row r="33" spans="1:37" ht="12.6" thickBot="1">
      <c r="A33" s="75"/>
      <c r="B33" s="143" t="s">
        <v>940</v>
      </c>
      <c r="C33" s="9"/>
      <c r="D33" s="152">
        <f>DMAX(A14:D27,"Projected Monthly Salary",A12:A13)</f>
        <v>100000</v>
      </c>
      <c r="E33" s="153">
        <f>F28/F33</f>
        <v>1.1000000000000001</v>
      </c>
      <c r="F33" s="154">
        <f>$D33*F$11</f>
        <v>101000</v>
      </c>
      <c r="G33" s="147">
        <f>E33*F33</f>
        <v>111100.00000000001</v>
      </c>
      <c r="H33" s="153" t="e">
        <f>I28/I33</f>
        <v>#REF!</v>
      </c>
      <c r="I33" s="154" t="e">
        <f>$D33*I$11</f>
        <v>#REF!</v>
      </c>
      <c r="J33" s="147" t="e">
        <f>H33*I33</f>
        <v>#REF!</v>
      </c>
      <c r="K33" s="153" t="e">
        <f>L28/L33</f>
        <v>#REF!</v>
      </c>
      <c r="L33" s="154" t="e">
        <f>$D33*L$11</f>
        <v>#REF!</v>
      </c>
      <c r="M33" s="147" t="e">
        <f>K33*L33</f>
        <v>#REF!</v>
      </c>
      <c r="N33" s="153" t="e">
        <f>O28/O33</f>
        <v>#REF!</v>
      </c>
      <c r="O33" s="154" t="e">
        <f>$D33*O$11</f>
        <v>#REF!</v>
      </c>
      <c r="P33" s="147" t="e">
        <f>N33*O33</f>
        <v>#REF!</v>
      </c>
      <c r="Q33" s="153" t="e">
        <f>R28/R33</f>
        <v>#REF!</v>
      </c>
      <c r="R33" s="154" t="e">
        <f>$D33*R$11</f>
        <v>#REF!</v>
      </c>
      <c r="S33" s="148" t="e">
        <f>Q33*R33</f>
        <v>#REF!</v>
      </c>
      <c r="T33" s="153" t="e">
        <f>U28/U33</f>
        <v>#REF!</v>
      </c>
      <c r="U33" s="154" t="e">
        <f>$D33*U$11</f>
        <v>#REF!</v>
      </c>
      <c r="V33" s="147" t="e">
        <f>T33*U33</f>
        <v>#REF!</v>
      </c>
      <c r="W33" s="153" t="e">
        <f>X28/X33</f>
        <v>#REF!</v>
      </c>
      <c r="X33" s="154" t="e">
        <f>$D33*X$11</f>
        <v>#REF!</v>
      </c>
      <c r="Y33" s="147" t="e">
        <f>W33*X33</f>
        <v>#REF!</v>
      </c>
      <c r="Z33" s="153" t="e">
        <f>AA28/AA33</f>
        <v>#REF!</v>
      </c>
      <c r="AA33" s="154" t="e">
        <f>$D33*AA$11</f>
        <v>#REF!</v>
      </c>
      <c r="AB33" s="147" t="e">
        <f>Z33*AA33</f>
        <v>#REF!</v>
      </c>
      <c r="AC33" s="153" t="e">
        <f>AD28/AD33</f>
        <v>#REF!</v>
      </c>
      <c r="AD33" s="154" t="e">
        <f>$D33*AD$11</f>
        <v>#REF!</v>
      </c>
      <c r="AE33" s="147" t="e">
        <f>AC33*AD33</f>
        <v>#REF!</v>
      </c>
      <c r="AF33" s="153" t="e">
        <f>AG28/AG33</f>
        <v>#REF!</v>
      </c>
      <c r="AG33" s="154" t="e">
        <f>$D33*AG$11</f>
        <v>#REF!</v>
      </c>
      <c r="AH33" s="148" t="e">
        <f>AF33*AG33</f>
        <v>#REF!</v>
      </c>
      <c r="AI33" s="203"/>
      <c r="AJ33" s="202"/>
      <c r="AK33" s="148"/>
    </row>
    <row r="34" spans="1:37" ht="12.6" thickBot="1">
      <c r="A34" s="155"/>
      <c r="B34" s="156"/>
      <c r="C34" s="9"/>
      <c r="D34" s="157"/>
      <c r="E34" s="158"/>
      <c r="F34" s="159"/>
      <c r="G34" s="160"/>
      <c r="H34" s="158"/>
      <c r="I34" s="159"/>
      <c r="J34" s="160"/>
      <c r="K34" s="158"/>
      <c r="L34" s="159"/>
      <c r="M34" s="160"/>
      <c r="N34" s="158"/>
      <c r="O34" s="159"/>
      <c r="P34" s="160"/>
      <c r="Q34" s="158"/>
      <c r="R34" s="159"/>
      <c r="S34" s="160"/>
      <c r="T34" s="158"/>
      <c r="U34" s="159"/>
      <c r="V34" s="160"/>
      <c r="W34" s="158"/>
      <c r="X34" s="159"/>
      <c r="Y34" s="160"/>
      <c r="Z34" s="158"/>
      <c r="AA34" s="159"/>
      <c r="AB34" s="160"/>
      <c r="AC34" s="158"/>
      <c r="AD34" s="159"/>
      <c r="AE34" s="160"/>
      <c r="AF34" s="158"/>
      <c r="AG34" s="159"/>
      <c r="AH34" s="160"/>
      <c r="AI34" s="158"/>
      <c r="AJ34" s="159"/>
      <c r="AK34" s="160"/>
    </row>
    <row r="35" spans="1:37" ht="12.6" thickBot="1">
      <c r="B35" s="143"/>
      <c r="C35" s="161"/>
      <c r="D35" s="161"/>
      <c r="E35" s="162"/>
      <c r="F35" s="38"/>
      <c r="G35" s="163"/>
      <c r="T35" s="162"/>
      <c r="U35" s="38"/>
      <c r="V35" s="163"/>
    </row>
    <row r="36" spans="1:37" ht="12.75" customHeight="1">
      <c r="A36" s="1478" t="s">
        <v>941</v>
      </c>
      <c r="B36" s="1479"/>
      <c r="C36" s="115"/>
      <c r="D36" s="115"/>
      <c r="E36" s="116"/>
      <c r="F36" s="117"/>
      <c r="G36" s="118"/>
      <c r="H36" s="116"/>
      <c r="I36" s="117"/>
      <c r="J36" s="118"/>
      <c r="K36" s="116"/>
      <c r="L36" s="117"/>
      <c r="M36" s="118"/>
      <c r="N36" s="116"/>
      <c r="O36" s="117"/>
      <c r="P36" s="118"/>
      <c r="Q36" s="116"/>
      <c r="R36" s="117"/>
      <c r="S36" s="118"/>
      <c r="T36" s="116"/>
      <c r="U36" s="117"/>
      <c r="V36" s="118"/>
      <c r="W36" s="116"/>
      <c r="X36" s="117"/>
      <c r="Y36" s="118"/>
      <c r="Z36" s="116"/>
      <c r="AA36" s="117"/>
      <c r="AB36" s="118"/>
      <c r="AC36" s="116"/>
      <c r="AD36" s="117"/>
      <c r="AE36" s="118"/>
      <c r="AF36" s="116"/>
      <c r="AG36" s="117"/>
      <c r="AH36" s="118"/>
      <c r="AI36" s="116"/>
      <c r="AJ36" s="117"/>
      <c r="AK36" s="118"/>
    </row>
    <row r="37" spans="1:37" ht="13.5" customHeight="1" thickBot="1">
      <c r="A37" s="1480"/>
      <c r="B37" s="1481"/>
      <c r="C37" s="119"/>
      <c r="D37" s="119"/>
      <c r="E37" s="120"/>
      <c r="F37" s="121"/>
      <c r="G37" s="122"/>
      <c r="H37" s="120"/>
      <c r="I37" s="121"/>
      <c r="J37" s="122"/>
      <c r="K37" s="120"/>
      <c r="L37" s="121"/>
      <c r="M37" s="122"/>
      <c r="N37" s="120"/>
      <c r="O37" s="121"/>
      <c r="P37" s="122"/>
      <c r="Q37" s="120"/>
      <c r="R37" s="121"/>
      <c r="S37" s="122"/>
      <c r="T37" s="120"/>
      <c r="U37" s="121"/>
      <c r="V37" s="122"/>
      <c r="W37" s="120"/>
      <c r="X37" s="121"/>
      <c r="Y37" s="122"/>
      <c r="Z37" s="120"/>
      <c r="AA37" s="121"/>
      <c r="AB37" s="122"/>
      <c r="AC37" s="120"/>
      <c r="AD37" s="121"/>
      <c r="AE37" s="122"/>
      <c r="AF37" s="120"/>
      <c r="AG37" s="121"/>
      <c r="AH37" s="122"/>
      <c r="AI37" s="120"/>
      <c r="AJ37" s="121"/>
      <c r="AK37" s="122"/>
    </row>
    <row r="38" spans="1:37" ht="27" hidden="1" customHeight="1" thickTop="1" thickBot="1">
      <c r="A38" s="123" t="s">
        <v>915</v>
      </c>
      <c r="B38" s="124" t="s">
        <v>916</v>
      </c>
      <c r="C38" s="125" t="s">
        <v>923</v>
      </c>
      <c r="D38" s="125" t="s">
        <v>924</v>
      </c>
      <c r="E38" s="126" t="s">
        <v>925</v>
      </c>
      <c r="F38" s="127" t="s">
        <v>240</v>
      </c>
      <c r="G38" s="128" t="s">
        <v>920</v>
      </c>
      <c r="H38" s="126"/>
      <c r="I38" s="127"/>
      <c r="J38" s="128"/>
      <c r="K38" s="126"/>
      <c r="L38" s="127"/>
      <c r="M38" s="128"/>
      <c r="N38" s="126"/>
      <c r="O38" s="127"/>
      <c r="P38" s="128"/>
      <c r="Q38" s="126"/>
      <c r="R38" s="127"/>
      <c r="S38" s="128"/>
      <c r="T38" s="126" t="s">
        <v>925</v>
      </c>
      <c r="U38" s="127" t="s">
        <v>240</v>
      </c>
      <c r="V38" s="128" t="s">
        <v>920</v>
      </c>
      <c r="W38" s="126"/>
      <c r="X38" s="127"/>
      <c r="Y38" s="128"/>
      <c r="Z38" s="126"/>
      <c r="AA38" s="127"/>
      <c r="AB38" s="128"/>
      <c r="AC38" s="126"/>
      <c r="AD38" s="127"/>
      <c r="AE38" s="128"/>
      <c r="AF38" s="126"/>
      <c r="AG38" s="127"/>
      <c r="AH38" s="128"/>
      <c r="AI38" s="126"/>
      <c r="AJ38" s="127"/>
      <c r="AK38" s="128"/>
    </row>
    <row r="39" spans="1:37" ht="12.6" thickTop="1">
      <c r="A39" s="77"/>
      <c r="B39" s="129"/>
      <c r="C39" s="129"/>
      <c r="D39" s="129"/>
      <c r="E39" s="131"/>
      <c r="F39" s="132"/>
      <c r="G39" s="133"/>
      <c r="H39" s="131"/>
      <c r="I39" s="132"/>
      <c r="J39" s="133"/>
      <c r="K39" s="131"/>
      <c r="L39" s="132"/>
      <c r="M39" s="133"/>
      <c r="N39" s="131"/>
      <c r="O39" s="132"/>
      <c r="P39" s="133"/>
      <c r="Q39" s="131"/>
      <c r="R39" s="132"/>
      <c r="S39" s="133"/>
      <c r="T39" s="131"/>
      <c r="U39" s="132"/>
      <c r="V39" s="133"/>
      <c r="W39" s="131"/>
      <c r="X39" s="132"/>
      <c r="Y39" s="133"/>
      <c r="Z39" s="131"/>
      <c r="AA39" s="132"/>
      <c r="AB39" s="133"/>
      <c r="AC39" s="131"/>
      <c r="AD39" s="132"/>
      <c r="AE39" s="133"/>
      <c r="AF39" s="131"/>
      <c r="AG39" s="132"/>
      <c r="AH39" s="133"/>
      <c r="AI39" s="131"/>
      <c r="AJ39" s="132"/>
      <c r="AK39" s="133"/>
    </row>
    <row r="40" spans="1:37">
      <c r="A40" s="134" t="s">
        <v>942</v>
      </c>
      <c r="B40" s="88"/>
      <c r="C40" s="172"/>
      <c r="D40" s="172">
        <v>100000</v>
      </c>
      <c r="E40" s="170">
        <v>0.1</v>
      </c>
      <c r="F40" s="135">
        <f>E40*D40*F$11</f>
        <v>10100</v>
      </c>
      <c r="G40" s="136">
        <f>E40*260</f>
        <v>26</v>
      </c>
      <c r="H40" s="170">
        <v>0</v>
      </c>
      <c r="I40" s="135" t="e">
        <f>H40*$D40*I$11</f>
        <v>#REF!</v>
      </c>
      <c r="J40" s="136">
        <f>H40*260</f>
        <v>0</v>
      </c>
      <c r="K40" s="170">
        <v>0</v>
      </c>
      <c r="L40" s="135" t="e">
        <f>K40*$D40*L$11</f>
        <v>#REF!</v>
      </c>
      <c r="M40" s="136">
        <f>K40*260</f>
        <v>0</v>
      </c>
      <c r="N40" s="170">
        <v>0</v>
      </c>
      <c r="O40" s="135" t="e">
        <f>N40*$D40*O$11</f>
        <v>#REF!</v>
      </c>
      <c r="P40" s="136">
        <f>N40*260</f>
        <v>0</v>
      </c>
      <c r="Q40" s="170">
        <v>0</v>
      </c>
      <c r="R40" s="135" t="e">
        <f>Q40*$D40*R$11</f>
        <v>#REF!</v>
      </c>
      <c r="S40" s="136">
        <f>Q40*260</f>
        <v>0</v>
      </c>
      <c r="T40" s="170">
        <v>0</v>
      </c>
      <c r="U40" s="135" t="e">
        <f>T40*S40*U$11</f>
        <v>#REF!</v>
      </c>
      <c r="V40" s="136">
        <f>T40*260</f>
        <v>0</v>
      </c>
      <c r="W40" s="170">
        <v>0</v>
      </c>
      <c r="X40" s="135" t="e">
        <f>W40*$D40*X$11</f>
        <v>#REF!</v>
      </c>
      <c r="Y40" s="136">
        <f>W40*260</f>
        <v>0</v>
      </c>
      <c r="Z40" s="170">
        <v>0</v>
      </c>
      <c r="AA40" s="135" t="e">
        <f>Z40*$D40*AA$11</f>
        <v>#REF!</v>
      </c>
      <c r="AB40" s="136">
        <f>Z40*260</f>
        <v>0</v>
      </c>
      <c r="AC40" s="170">
        <v>0</v>
      </c>
      <c r="AD40" s="135" t="e">
        <f>AC40*$D40*AD$11</f>
        <v>#REF!</v>
      </c>
      <c r="AE40" s="136">
        <f>AC40*260</f>
        <v>0</v>
      </c>
      <c r="AF40" s="170">
        <v>0</v>
      </c>
      <c r="AG40" s="135" t="e">
        <f>AF40*$D40*AG$11</f>
        <v>#REF!</v>
      </c>
      <c r="AH40" s="136">
        <f>AF40*260</f>
        <v>0</v>
      </c>
      <c r="AI40" s="198">
        <f t="shared" ref="AI40:AK42" si="24">SUM(E40,H40,K40,N40,Q40,T40,W40,Z40,AC40,AF40)</f>
        <v>0.1</v>
      </c>
      <c r="AJ40" s="199" t="e">
        <f t="shared" si="24"/>
        <v>#REF!</v>
      </c>
      <c r="AK40" s="136">
        <f t="shared" si="24"/>
        <v>26</v>
      </c>
    </row>
    <row r="41" spans="1:37">
      <c r="A41" s="134" t="s">
        <v>943</v>
      </c>
      <c r="C41" s="172"/>
      <c r="D41" s="172">
        <v>100000</v>
      </c>
      <c r="E41" s="170">
        <v>0.1</v>
      </c>
      <c r="F41" s="135">
        <f>E41*D41*F$11</f>
        <v>10100</v>
      </c>
      <c r="G41" s="136">
        <f>E41*260</f>
        <v>26</v>
      </c>
      <c r="H41" s="170">
        <v>0</v>
      </c>
      <c r="I41" s="135" t="e">
        <f>H41*$D41*I$11</f>
        <v>#REF!</v>
      </c>
      <c r="J41" s="136">
        <f>H41*260</f>
        <v>0</v>
      </c>
      <c r="K41" s="170">
        <v>0</v>
      </c>
      <c r="L41" s="135" t="e">
        <f>K41*$D41*L$11</f>
        <v>#REF!</v>
      </c>
      <c r="M41" s="136">
        <f>K41*260</f>
        <v>0</v>
      </c>
      <c r="N41" s="170">
        <v>0</v>
      </c>
      <c r="O41" s="135" t="e">
        <f>N41*$D41*O$11</f>
        <v>#REF!</v>
      </c>
      <c r="P41" s="136">
        <f>N41*260</f>
        <v>0</v>
      </c>
      <c r="Q41" s="170">
        <v>0</v>
      </c>
      <c r="R41" s="135" t="e">
        <f>Q41*$D41*R$11</f>
        <v>#REF!</v>
      </c>
      <c r="S41" s="136">
        <f>Q41*260</f>
        <v>0</v>
      </c>
      <c r="T41" s="170">
        <v>0</v>
      </c>
      <c r="U41" s="135" t="e">
        <f>T41*S41*U$11</f>
        <v>#REF!</v>
      </c>
      <c r="V41" s="136">
        <f>T41*260</f>
        <v>0</v>
      </c>
      <c r="W41" s="170">
        <v>0</v>
      </c>
      <c r="X41" s="135" t="e">
        <f>W41*$D41*X$11</f>
        <v>#REF!</v>
      </c>
      <c r="Y41" s="136">
        <f>W41*260</f>
        <v>0</v>
      </c>
      <c r="Z41" s="170">
        <v>0</v>
      </c>
      <c r="AA41" s="135" t="e">
        <f>Z41*$D41*AA$11</f>
        <v>#REF!</v>
      </c>
      <c r="AB41" s="136">
        <f>Z41*260</f>
        <v>0</v>
      </c>
      <c r="AC41" s="170">
        <v>0</v>
      </c>
      <c r="AD41" s="135" t="e">
        <f>AC41*$D41*AD$11</f>
        <v>#REF!</v>
      </c>
      <c r="AE41" s="136">
        <f>AC41*260</f>
        <v>0</v>
      </c>
      <c r="AF41" s="170">
        <v>0</v>
      </c>
      <c r="AG41" s="135" t="e">
        <f>AF41*$D41*AG$11</f>
        <v>#REF!</v>
      </c>
      <c r="AH41" s="136">
        <f>AF41*260</f>
        <v>0</v>
      </c>
      <c r="AI41" s="198">
        <f t="shared" si="24"/>
        <v>0.1</v>
      </c>
      <c r="AJ41" s="199" t="e">
        <f t="shared" si="24"/>
        <v>#REF!</v>
      </c>
      <c r="AK41" s="136">
        <f t="shared" si="24"/>
        <v>26</v>
      </c>
    </row>
    <row r="42" spans="1:37">
      <c r="A42" s="134" t="s">
        <v>944</v>
      </c>
      <c r="B42" s="88"/>
      <c r="C42" s="172"/>
      <c r="D42" s="172">
        <v>100000</v>
      </c>
      <c r="E42" s="170">
        <v>0</v>
      </c>
      <c r="F42" s="135">
        <f>E42*D42*F$11</f>
        <v>0</v>
      </c>
      <c r="G42" s="136">
        <f>E42*260</f>
        <v>0</v>
      </c>
      <c r="H42" s="170">
        <v>0.1</v>
      </c>
      <c r="I42" s="135" t="e">
        <f>H42*$D42*I$11</f>
        <v>#REF!</v>
      </c>
      <c r="J42" s="136">
        <f>H42*260</f>
        <v>26</v>
      </c>
      <c r="K42" s="170">
        <v>0</v>
      </c>
      <c r="L42" s="135" t="e">
        <f>K42*$D42*L$11</f>
        <v>#REF!</v>
      </c>
      <c r="M42" s="136">
        <f>K42*260</f>
        <v>0</v>
      </c>
      <c r="N42" s="170">
        <v>0</v>
      </c>
      <c r="O42" s="135" t="e">
        <f>N42*$D42*O$11</f>
        <v>#REF!</v>
      </c>
      <c r="P42" s="136">
        <f>N42*260</f>
        <v>0</v>
      </c>
      <c r="Q42" s="170">
        <v>0</v>
      </c>
      <c r="R42" s="135" t="e">
        <f>Q42*$D42*R$11</f>
        <v>#REF!</v>
      </c>
      <c r="S42" s="136">
        <f>Q42*260</f>
        <v>0</v>
      </c>
      <c r="T42" s="170">
        <v>0</v>
      </c>
      <c r="U42" s="135" t="e">
        <f>T42*S42*U$11</f>
        <v>#REF!</v>
      </c>
      <c r="V42" s="136">
        <f>T42*260</f>
        <v>0</v>
      </c>
      <c r="W42" s="170">
        <v>0</v>
      </c>
      <c r="X42" s="135" t="e">
        <f>W42*$D42*X$11</f>
        <v>#REF!</v>
      </c>
      <c r="Y42" s="136">
        <f>W42*260</f>
        <v>0</v>
      </c>
      <c r="Z42" s="170">
        <v>0</v>
      </c>
      <c r="AA42" s="135" t="e">
        <f>Z42*$D42*AA$11</f>
        <v>#REF!</v>
      </c>
      <c r="AB42" s="136">
        <f>Z42*260</f>
        <v>0</v>
      </c>
      <c r="AC42" s="170">
        <v>0</v>
      </c>
      <c r="AD42" s="135" t="e">
        <f>AC42*$D42*AD$11</f>
        <v>#REF!</v>
      </c>
      <c r="AE42" s="136">
        <f>AC42*260</f>
        <v>0</v>
      </c>
      <c r="AF42" s="170">
        <v>0</v>
      </c>
      <c r="AG42" s="135" t="e">
        <f>AF42*$D42*AG$11</f>
        <v>#REF!</v>
      </c>
      <c r="AH42" s="136">
        <f>AF42*260</f>
        <v>0</v>
      </c>
      <c r="AI42" s="198">
        <f t="shared" si="24"/>
        <v>0.1</v>
      </c>
      <c r="AJ42" s="199" t="e">
        <f t="shared" si="24"/>
        <v>#REF!</v>
      </c>
      <c r="AK42" s="136">
        <f t="shared" si="24"/>
        <v>26</v>
      </c>
    </row>
    <row r="43" spans="1:37">
      <c r="A43" s="134"/>
      <c r="B43" s="137" t="s">
        <v>945</v>
      </c>
      <c r="C43" s="9"/>
      <c r="D43" s="9"/>
      <c r="E43" s="138"/>
      <c r="F43" s="139">
        <f>SUM(F36:F42)</f>
        <v>20200</v>
      </c>
      <c r="G43" s="136"/>
      <c r="H43" s="138"/>
      <c r="I43" s="139" t="e">
        <f>SUM(I36:I42)</f>
        <v>#REF!</v>
      </c>
      <c r="J43" s="136"/>
      <c r="K43" s="138"/>
      <c r="L43" s="139" t="e">
        <f>SUM(L36:L42)</f>
        <v>#REF!</v>
      </c>
      <c r="M43" s="136"/>
      <c r="N43" s="138"/>
      <c r="O43" s="139" t="e">
        <f>SUM(O36:O42)</f>
        <v>#REF!</v>
      </c>
      <c r="P43" s="136"/>
      <c r="Q43" s="138"/>
      <c r="R43" s="139" t="e">
        <f>SUM(R36:R42)</f>
        <v>#REF!</v>
      </c>
      <c r="S43" s="136"/>
      <c r="T43" s="138"/>
      <c r="U43" s="139" t="e">
        <f>SUM(U36:U42)</f>
        <v>#REF!</v>
      </c>
      <c r="V43" s="136"/>
      <c r="W43" s="138"/>
      <c r="X43" s="139" t="e">
        <f>SUM(X36:X42)</f>
        <v>#REF!</v>
      </c>
      <c r="Y43" s="136"/>
      <c r="Z43" s="138"/>
      <c r="AA43" s="139" t="e">
        <f>SUM(AA36:AA42)</f>
        <v>#REF!</v>
      </c>
      <c r="AB43" s="136"/>
      <c r="AC43" s="138"/>
      <c r="AD43" s="139" t="e">
        <f>SUM(AD36:AD42)</f>
        <v>#REF!</v>
      </c>
      <c r="AE43" s="136"/>
      <c r="AF43" s="138"/>
      <c r="AG43" s="139" t="e">
        <f>SUM(AG36:AG42)</f>
        <v>#REF!</v>
      </c>
      <c r="AH43" s="136"/>
      <c r="AI43" s="138"/>
      <c r="AJ43" s="135"/>
      <c r="AK43" s="136"/>
    </row>
    <row r="44" spans="1:37">
      <c r="A44" s="134"/>
      <c r="B44" s="88"/>
      <c r="C44" s="88"/>
      <c r="D44" s="88"/>
      <c r="E44" s="141"/>
      <c r="F44" s="142"/>
      <c r="G44" s="136"/>
      <c r="H44" s="141"/>
      <c r="I44" s="142"/>
      <c r="J44" s="136"/>
      <c r="K44" s="141"/>
      <c r="L44" s="142"/>
      <c r="M44" s="136"/>
      <c r="N44" s="141"/>
      <c r="O44" s="142"/>
      <c r="P44" s="136"/>
      <c r="Q44" s="141"/>
      <c r="R44" s="142"/>
      <c r="S44" s="136"/>
      <c r="T44" s="141"/>
      <c r="U44" s="142"/>
      <c r="V44" s="136"/>
      <c r="W44" s="141"/>
      <c r="X44" s="142"/>
      <c r="Y44" s="136"/>
      <c r="Z44" s="141"/>
      <c r="AA44" s="142"/>
      <c r="AB44" s="136"/>
      <c r="AC44" s="141"/>
      <c r="AD44" s="142"/>
      <c r="AE44" s="136"/>
      <c r="AF44" s="141"/>
      <c r="AG44" s="142"/>
      <c r="AH44" s="136"/>
      <c r="AI44" s="138"/>
      <c r="AJ44" s="135"/>
      <c r="AK44" s="136"/>
    </row>
    <row r="45" spans="1:37">
      <c r="A45" s="75"/>
      <c r="B45" s="143" t="s">
        <v>937</v>
      </c>
      <c r="C45" s="88"/>
      <c r="D45" s="144">
        <f>F43/E45/F11</f>
        <v>100000</v>
      </c>
      <c r="E45" s="164">
        <f>SUM(E40:E43)</f>
        <v>0.2</v>
      </c>
      <c r="F45" s="151">
        <f>SUMPRODUCT($D39:$D42,E39:E42)*F$11/E45</f>
        <v>101000</v>
      </c>
      <c r="G45" s="147">
        <f>E45*F45</f>
        <v>20200</v>
      </c>
      <c r="H45" s="164">
        <f>SUM(H40:H43)</f>
        <v>0.1</v>
      </c>
      <c r="I45" s="151" t="e">
        <f>SUMPRODUCT($D39:$D42,H39:H42)*I$11/H45</f>
        <v>#REF!</v>
      </c>
      <c r="J45" s="147" t="e">
        <f>H45*I45</f>
        <v>#REF!</v>
      </c>
      <c r="K45" s="164">
        <f>SUM(K40:K43)</f>
        <v>0</v>
      </c>
      <c r="L45" s="151" t="e">
        <f>SUMPRODUCT($D39:$D42,K39:K42)*L$11/K45</f>
        <v>#REF!</v>
      </c>
      <c r="M45" s="147" t="e">
        <f>K45*L45</f>
        <v>#REF!</v>
      </c>
      <c r="N45" s="164">
        <f>SUM(N40:N43)</f>
        <v>0</v>
      </c>
      <c r="O45" s="151" t="e">
        <f>SUMPRODUCT($D39:$D42,N39:N42)*O$11/N45</f>
        <v>#REF!</v>
      </c>
      <c r="P45" s="147" t="e">
        <f>N45*O45</f>
        <v>#REF!</v>
      </c>
      <c r="Q45" s="164">
        <f>SUM(Q40:Q43)</f>
        <v>0</v>
      </c>
      <c r="R45" s="151" t="e">
        <f>SUMPRODUCT($D39:$D42,Q39:Q42)*R$11/Q45</f>
        <v>#REF!</v>
      </c>
      <c r="S45" s="148" t="e">
        <f>Q45*R45</f>
        <v>#REF!</v>
      </c>
      <c r="T45" s="164">
        <f>SUM(T40:T43)</f>
        <v>0</v>
      </c>
      <c r="U45" s="151" t="e">
        <f>SUMPRODUCT($D39:$D42,T39:T42)*U$11/T45</f>
        <v>#REF!</v>
      </c>
      <c r="V45" s="147" t="e">
        <f>T45*U45</f>
        <v>#REF!</v>
      </c>
      <c r="W45" s="164">
        <f>SUM(W40:W43)</f>
        <v>0</v>
      </c>
      <c r="X45" s="151" t="e">
        <f>SUMPRODUCT($D39:$D42,W39:W42)*X$11/W45</f>
        <v>#REF!</v>
      </c>
      <c r="Y45" s="147" t="e">
        <f>W45*X45</f>
        <v>#REF!</v>
      </c>
      <c r="Z45" s="164">
        <f>SUM(Z40:Z43)</f>
        <v>0</v>
      </c>
      <c r="AA45" s="151" t="e">
        <f>SUMPRODUCT($D39:$D42,Z39:Z42)*AA$11/Z45</f>
        <v>#REF!</v>
      </c>
      <c r="AB45" s="147" t="e">
        <f>Z45*AA45</f>
        <v>#REF!</v>
      </c>
      <c r="AC45" s="164">
        <f>SUM(AC40:AC43)</f>
        <v>0</v>
      </c>
      <c r="AD45" s="151" t="e">
        <f>SUMPRODUCT($D39:$D42,AC39:AC42)*AD$11/AC45</f>
        <v>#REF!</v>
      </c>
      <c r="AE45" s="147" t="e">
        <f>AC45*AD45</f>
        <v>#REF!</v>
      </c>
      <c r="AF45" s="164">
        <f>SUM(AF40:AF43)</f>
        <v>0</v>
      </c>
      <c r="AG45" s="151" t="e">
        <f>SUMPRODUCT($D39:$D42,AF39:AF42)*AG$11/AF45</f>
        <v>#REF!</v>
      </c>
      <c r="AH45" s="148" t="e">
        <f>AF45*AG45</f>
        <v>#REF!</v>
      </c>
      <c r="AI45" s="201"/>
      <c r="AJ45" s="202"/>
      <c r="AK45" s="148"/>
    </row>
    <row r="46" spans="1:37">
      <c r="A46" s="75"/>
      <c r="B46" s="143" t="s">
        <v>938</v>
      </c>
      <c r="C46" s="88"/>
      <c r="D46" s="149">
        <f>DMIN(A38:D42,"Projected Monthly Salary",A36:A37)</f>
        <v>100000</v>
      </c>
      <c r="E46" s="150">
        <f>F43/F46</f>
        <v>0.2</v>
      </c>
      <c r="F46" s="151">
        <f>$D46*F$11</f>
        <v>101000</v>
      </c>
      <c r="G46" s="147">
        <f>E46*F46</f>
        <v>20200</v>
      </c>
      <c r="H46" s="150" t="e">
        <f>I43/I46</f>
        <v>#REF!</v>
      </c>
      <c r="I46" s="151" t="e">
        <f>$D46*I$11</f>
        <v>#REF!</v>
      </c>
      <c r="J46" s="147" t="e">
        <f>H46*I46</f>
        <v>#REF!</v>
      </c>
      <c r="K46" s="150" t="e">
        <f>L43/L46</f>
        <v>#REF!</v>
      </c>
      <c r="L46" s="151" t="e">
        <f>$D46*L$11</f>
        <v>#REF!</v>
      </c>
      <c r="M46" s="147" t="e">
        <f>K46*L46</f>
        <v>#REF!</v>
      </c>
      <c r="N46" s="150" t="e">
        <f>O43/O46</f>
        <v>#REF!</v>
      </c>
      <c r="O46" s="151" t="e">
        <f>$D46*O$11</f>
        <v>#REF!</v>
      </c>
      <c r="P46" s="147" t="e">
        <f>N46*O46</f>
        <v>#REF!</v>
      </c>
      <c r="Q46" s="150" t="e">
        <f>R43/R46</f>
        <v>#REF!</v>
      </c>
      <c r="R46" s="151" t="e">
        <f>$D46*R$11</f>
        <v>#REF!</v>
      </c>
      <c r="S46" s="148" t="e">
        <f>Q46*R46</f>
        <v>#REF!</v>
      </c>
      <c r="T46" s="150" t="e">
        <f>U43/U46</f>
        <v>#REF!</v>
      </c>
      <c r="U46" s="151" t="e">
        <f>$D46*U$11</f>
        <v>#REF!</v>
      </c>
      <c r="V46" s="147" t="e">
        <f>T46*U46</f>
        <v>#REF!</v>
      </c>
      <c r="W46" s="150" t="e">
        <f>X43/X46</f>
        <v>#REF!</v>
      </c>
      <c r="X46" s="151" t="e">
        <f>$D46*X$11</f>
        <v>#REF!</v>
      </c>
      <c r="Y46" s="147" t="e">
        <f>W46*X46</f>
        <v>#REF!</v>
      </c>
      <c r="Z46" s="150" t="e">
        <f>AA43/AA46</f>
        <v>#REF!</v>
      </c>
      <c r="AA46" s="151" t="e">
        <f>$D46*AA$11</f>
        <v>#REF!</v>
      </c>
      <c r="AB46" s="147" t="e">
        <f>Z46*AA46</f>
        <v>#REF!</v>
      </c>
      <c r="AC46" s="150" t="e">
        <f>AD43/AD46</f>
        <v>#REF!</v>
      </c>
      <c r="AD46" s="151" t="e">
        <f>$D46*AD$11</f>
        <v>#REF!</v>
      </c>
      <c r="AE46" s="147" t="e">
        <f>AC46*AD46</f>
        <v>#REF!</v>
      </c>
      <c r="AF46" s="150" t="e">
        <f>AG43/AG46</f>
        <v>#REF!</v>
      </c>
      <c r="AG46" s="151" t="e">
        <f>$D46*AG$11</f>
        <v>#REF!</v>
      </c>
      <c r="AH46" s="148" t="e">
        <f>AF46*AG46</f>
        <v>#REF!</v>
      </c>
      <c r="AI46" s="203"/>
      <c r="AJ46" s="202"/>
      <c r="AK46" s="148"/>
    </row>
    <row r="47" spans="1:37">
      <c r="A47" s="75"/>
      <c r="B47" s="143" t="s">
        <v>939</v>
      </c>
      <c r="C47" s="9"/>
      <c r="D47" s="149">
        <f>DAVERAGE(A38:D42,"Projected Monthly Salary",A36:A37)</f>
        <v>100000</v>
      </c>
      <c r="E47" s="150">
        <f>F43/F47</f>
        <v>0.2</v>
      </c>
      <c r="F47" s="151">
        <f>$D47*F$11</f>
        <v>101000</v>
      </c>
      <c r="G47" s="147">
        <f>E47*F47</f>
        <v>20200</v>
      </c>
      <c r="H47" s="150" t="e">
        <f>I43/I47</f>
        <v>#REF!</v>
      </c>
      <c r="I47" s="151" t="e">
        <f>$D47*I$11</f>
        <v>#REF!</v>
      </c>
      <c r="J47" s="147" t="e">
        <f>H47*I47</f>
        <v>#REF!</v>
      </c>
      <c r="K47" s="150" t="e">
        <f>L43/L47</f>
        <v>#REF!</v>
      </c>
      <c r="L47" s="151" t="e">
        <f>$D47*L$11</f>
        <v>#REF!</v>
      </c>
      <c r="M47" s="147" t="e">
        <f>K47*L47</f>
        <v>#REF!</v>
      </c>
      <c r="N47" s="150" t="e">
        <f>O43/O47</f>
        <v>#REF!</v>
      </c>
      <c r="O47" s="151" t="e">
        <f>$D47*O$11</f>
        <v>#REF!</v>
      </c>
      <c r="P47" s="147" t="e">
        <f>N47*O47</f>
        <v>#REF!</v>
      </c>
      <c r="Q47" s="150" t="e">
        <f>R43/R47</f>
        <v>#REF!</v>
      </c>
      <c r="R47" s="151" t="e">
        <f>$D47*R$11</f>
        <v>#REF!</v>
      </c>
      <c r="S47" s="148" t="e">
        <f>Q47*R47</f>
        <v>#REF!</v>
      </c>
      <c r="T47" s="150" t="e">
        <f>U43/U47</f>
        <v>#REF!</v>
      </c>
      <c r="U47" s="151" t="e">
        <f>$D47*U$11</f>
        <v>#REF!</v>
      </c>
      <c r="V47" s="147" t="e">
        <f>T47*U47</f>
        <v>#REF!</v>
      </c>
      <c r="W47" s="150" t="e">
        <f>X43/X47</f>
        <v>#REF!</v>
      </c>
      <c r="X47" s="151" t="e">
        <f>$D47*X$11</f>
        <v>#REF!</v>
      </c>
      <c r="Y47" s="147" t="e">
        <f>W47*X47</f>
        <v>#REF!</v>
      </c>
      <c r="Z47" s="150" t="e">
        <f>AA43/AA47</f>
        <v>#REF!</v>
      </c>
      <c r="AA47" s="151" t="e">
        <f>$D47*AA$11</f>
        <v>#REF!</v>
      </c>
      <c r="AB47" s="147" t="e">
        <f>Z47*AA47</f>
        <v>#REF!</v>
      </c>
      <c r="AC47" s="150" t="e">
        <f>AD43/AD47</f>
        <v>#REF!</v>
      </c>
      <c r="AD47" s="151" t="e">
        <f>$D47*AD$11</f>
        <v>#REF!</v>
      </c>
      <c r="AE47" s="147" t="e">
        <f>AC47*AD47</f>
        <v>#REF!</v>
      </c>
      <c r="AF47" s="150" t="e">
        <f>AG43/AG47</f>
        <v>#REF!</v>
      </c>
      <c r="AG47" s="151" t="e">
        <f>$D47*AG$11</f>
        <v>#REF!</v>
      </c>
      <c r="AH47" s="148" t="e">
        <f>AF47*AG47</f>
        <v>#REF!</v>
      </c>
      <c r="AI47" s="203"/>
      <c r="AJ47" s="202"/>
      <c r="AK47" s="148"/>
    </row>
    <row r="48" spans="1:37" ht="12.6" thickBot="1">
      <c r="A48" s="75"/>
      <c r="B48" s="143" t="s">
        <v>940</v>
      </c>
      <c r="C48" s="88"/>
      <c r="D48" s="152">
        <f>DMAX(A38:D42,"Projected Monthly Salary",A36:A37)</f>
        <v>100000</v>
      </c>
      <c r="E48" s="153">
        <f>F43/F48</f>
        <v>0.2</v>
      </c>
      <c r="F48" s="154">
        <f>$D48*F$11</f>
        <v>101000</v>
      </c>
      <c r="G48" s="147">
        <f>E48*F48</f>
        <v>20200</v>
      </c>
      <c r="H48" s="153" t="e">
        <f>I43/I48</f>
        <v>#REF!</v>
      </c>
      <c r="I48" s="154" t="e">
        <f>$D48*I$11</f>
        <v>#REF!</v>
      </c>
      <c r="J48" s="147" t="e">
        <f>H48*I48</f>
        <v>#REF!</v>
      </c>
      <c r="K48" s="153" t="e">
        <f>L43/L48</f>
        <v>#REF!</v>
      </c>
      <c r="L48" s="154" t="e">
        <f>$D48*L$11</f>
        <v>#REF!</v>
      </c>
      <c r="M48" s="147" t="e">
        <f>K48*L48</f>
        <v>#REF!</v>
      </c>
      <c r="N48" s="153" t="e">
        <f>O43/O48</f>
        <v>#REF!</v>
      </c>
      <c r="O48" s="154" t="e">
        <f>$D48*O$11</f>
        <v>#REF!</v>
      </c>
      <c r="P48" s="147" t="e">
        <f>N48*O48</f>
        <v>#REF!</v>
      </c>
      <c r="Q48" s="153" t="e">
        <f>R43/R48</f>
        <v>#REF!</v>
      </c>
      <c r="R48" s="154" t="e">
        <f>$D48*R$11</f>
        <v>#REF!</v>
      </c>
      <c r="S48" s="148" t="e">
        <f>Q48*R48</f>
        <v>#REF!</v>
      </c>
      <c r="T48" s="153" t="e">
        <f>U43/U48</f>
        <v>#REF!</v>
      </c>
      <c r="U48" s="154" t="e">
        <f>$D48*U$11</f>
        <v>#REF!</v>
      </c>
      <c r="V48" s="147" t="e">
        <f>T48*U48</f>
        <v>#REF!</v>
      </c>
      <c r="W48" s="153" t="e">
        <f>X43/X48</f>
        <v>#REF!</v>
      </c>
      <c r="X48" s="154" t="e">
        <f>$D48*X$11</f>
        <v>#REF!</v>
      </c>
      <c r="Y48" s="147" t="e">
        <f>W48*X48</f>
        <v>#REF!</v>
      </c>
      <c r="Z48" s="153" t="e">
        <f>AA43/AA48</f>
        <v>#REF!</v>
      </c>
      <c r="AA48" s="154" t="e">
        <f>$D48*AA$11</f>
        <v>#REF!</v>
      </c>
      <c r="AB48" s="147" t="e">
        <f>Z48*AA48</f>
        <v>#REF!</v>
      </c>
      <c r="AC48" s="153" t="e">
        <f>AD43/AD48</f>
        <v>#REF!</v>
      </c>
      <c r="AD48" s="154" t="e">
        <f>$D48*AD$11</f>
        <v>#REF!</v>
      </c>
      <c r="AE48" s="147" t="e">
        <f>AC48*AD48</f>
        <v>#REF!</v>
      </c>
      <c r="AF48" s="153" t="e">
        <f>AG43/AG48</f>
        <v>#REF!</v>
      </c>
      <c r="AG48" s="154" t="e">
        <f>$D48*AG$11</f>
        <v>#REF!</v>
      </c>
      <c r="AH48" s="148" t="e">
        <f>AF48*AG48</f>
        <v>#REF!</v>
      </c>
      <c r="AI48" s="203"/>
      <c r="AJ48" s="202"/>
      <c r="AK48" s="148"/>
    </row>
    <row r="49" spans="1:37" ht="12.6" thickBot="1">
      <c r="A49" s="155"/>
      <c r="B49" s="156"/>
      <c r="C49" s="165"/>
      <c r="D49" s="166"/>
      <c r="E49" s="158"/>
      <c r="F49" s="159"/>
      <c r="G49" s="160"/>
      <c r="H49" s="158"/>
      <c r="I49" s="159"/>
      <c r="J49" s="160"/>
      <c r="K49" s="158"/>
      <c r="L49" s="159"/>
      <c r="M49" s="160"/>
      <c r="N49" s="158"/>
      <c r="O49" s="159"/>
      <c r="P49" s="160"/>
      <c r="Q49" s="158"/>
      <c r="R49" s="159"/>
      <c r="S49" s="160"/>
      <c r="T49" s="158"/>
      <c r="U49" s="159"/>
      <c r="V49" s="160"/>
      <c r="W49" s="158"/>
      <c r="X49" s="159"/>
      <c r="Y49" s="160"/>
      <c r="Z49" s="158"/>
      <c r="AA49" s="159"/>
      <c r="AB49" s="160"/>
      <c r="AC49" s="158"/>
      <c r="AD49" s="159"/>
      <c r="AE49" s="160"/>
      <c r="AF49" s="158"/>
      <c r="AG49" s="159"/>
      <c r="AH49" s="160"/>
      <c r="AI49" s="158"/>
      <c r="AJ49" s="159"/>
      <c r="AK49" s="160"/>
    </row>
    <row r="50" spans="1:37">
      <c r="C50" s="167"/>
    </row>
    <row r="51" spans="1:37">
      <c r="I51" s="168"/>
      <c r="X51" s="168"/>
    </row>
  </sheetData>
  <mergeCells count="17">
    <mergeCell ref="A36:B37"/>
    <mergeCell ref="A9:A10"/>
    <mergeCell ref="B9:B10"/>
    <mergeCell ref="C9:C10"/>
    <mergeCell ref="D9:D10"/>
    <mergeCell ref="AI9:AK9"/>
    <mergeCell ref="K9:M9"/>
    <mergeCell ref="N9:P9"/>
    <mergeCell ref="Q9:S9"/>
    <mergeCell ref="A12:B13"/>
    <mergeCell ref="E9:G9"/>
    <mergeCell ref="H9:J9"/>
    <mergeCell ref="T9:V9"/>
    <mergeCell ref="W9:Y9"/>
    <mergeCell ref="Z9:AB9"/>
    <mergeCell ref="AC9:AE9"/>
    <mergeCell ref="AF9:AH9"/>
  </mergeCells>
  <pageMargins left="0.75" right="0.75" top="1" bottom="1" header="0.5" footer="0.5"/>
  <pageSetup scale="3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pageSetUpPr fitToPage="1"/>
  </sheetPr>
  <dimension ref="A1:K173"/>
  <sheetViews>
    <sheetView topLeftCell="A122" zoomScaleNormal="100" workbookViewId="0">
      <selection activeCell="B136" sqref="B136:G136"/>
    </sheetView>
  </sheetViews>
  <sheetFormatPr defaultColWidth="8.71875" defaultRowHeight="12.3"/>
  <cols>
    <col min="1" max="1" width="12.27734375" customWidth="1"/>
    <col min="2" max="2" width="10.71875" customWidth="1"/>
    <col min="3" max="3" width="15.27734375" customWidth="1"/>
    <col min="8" max="8" width="14.71875" customWidth="1"/>
    <col min="9" max="9" width="19.27734375" customWidth="1"/>
    <col min="11" max="11" width="11.71875" bestFit="1" customWidth="1"/>
  </cols>
  <sheetData>
    <row r="1" spans="1:9">
      <c r="I1" s="50" t="s">
        <v>946</v>
      </c>
    </row>
    <row r="2" spans="1:9" ht="12.6" thickBot="1">
      <c r="I2" s="50" t="s">
        <v>947</v>
      </c>
    </row>
    <row r="3" spans="1:9" s="64" customFormat="1" ht="20.25" customHeight="1" thickBot="1">
      <c r="A3" s="1488" t="s">
        <v>948</v>
      </c>
      <c r="B3" s="1489"/>
      <c r="C3" s="1489"/>
      <c r="D3" s="1489"/>
      <c r="E3" s="1489"/>
      <c r="F3" s="1489"/>
      <c r="G3" s="1489"/>
      <c r="H3" s="1489"/>
      <c r="I3" s="65" t="s">
        <v>949</v>
      </c>
    </row>
    <row r="4" spans="1:9" s="64" customFormat="1" ht="16.5" customHeight="1">
      <c r="A4" s="1494" t="s">
        <v>950</v>
      </c>
      <c r="B4" s="1495"/>
      <c r="C4" s="1498"/>
      <c r="D4" s="1494" t="s">
        <v>951</v>
      </c>
      <c r="E4" s="1495"/>
      <c r="F4" s="1495"/>
      <c r="G4" s="1564" t="s">
        <v>952</v>
      </c>
      <c r="H4" s="1564"/>
      <c r="I4" s="1565"/>
    </row>
    <row r="5" spans="1:9" s="64" customFormat="1" ht="22.5" customHeight="1">
      <c r="A5" s="1496" t="s">
        <v>953</v>
      </c>
      <c r="B5" s="1511"/>
      <c r="C5" s="1512"/>
      <c r="D5" s="1496" t="s">
        <v>954</v>
      </c>
      <c r="E5" s="1497"/>
      <c r="F5" s="1497"/>
      <c r="G5" s="1566"/>
      <c r="H5" s="1566"/>
      <c r="I5" s="1567"/>
    </row>
    <row r="6" spans="1:9" s="64" customFormat="1" ht="22.5" customHeight="1">
      <c r="A6" s="1496" t="s">
        <v>955</v>
      </c>
      <c r="B6" s="1511"/>
      <c r="C6" s="1512"/>
      <c r="D6" s="1496" t="s">
        <v>956</v>
      </c>
      <c r="E6" s="1497"/>
      <c r="F6" s="1497"/>
      <c r="G6" s="1527" t="s">
        <v>957</v>
      </c>
      <c r="H6" s="1527"/>
      <c r="I6" s="54"/>
    </row>
    <row r="7" spans="1:9" s="64" customFormat="1" ht="22.5" customHeight="1">
      <c r="A7" s="1496" t="s">
        <v>958</v>
      </c>
      <c r="B7" s="1511"/>
      <c r="C7" s="1512"/>
      <c r="D7" s="1496" t="s">
        <v>959</v>
      </c>
      <c r="E7" s="1497"/>
      <c r="F7" s="1497"/>
      <c r="G7" s="1513"/>
      <c r="H7" s="1513"/>
      <c r="I7" s="60"/>
    </row>
    <row r="8" spans="1:9" s="64" customFormat="1" ht="12.6" thickBot="1">
      <c r="A8" s="1573"/>
      <c r="B8" s="1574"/>
      <c r="C8" s="1575"/>
      <c r="D8" s="1573"/>
      <c r="E8" s="1574"/>
      <c r="F8" s="1574"/>
      <c r="G8" s="1492"/>
      <c r="H8" s="1492"/>
      <c r="I8" s="1493"/>
    </row>
    <row r="9" spans="1:9" s="64" customFormat="1">
      <c r="A9" s="1491" t="s">
        <v>960</v>
      </c>
      <c r="B9" s="1490"/>
      <c r="C9" s="56"/>
      <c r="D9" s="1490" t="s">
        <v>961</v>
      </c>
      <c r="E9" s="1490"/>
      <c r="F9" s="56"/>
      <c r="G9" s="56"/>
      <c r="H9" s="56"/>
      <c r="I9" s="57"/>
    </row>
    <row r="10" spans="1:9" s="64" customFormat="1" ht="20.65" customHeight="1" thickBot="1">
      <c r="A10" s="1501"/>
      <c r="B10" s="1502"/>
      <c r="C10" s="1502"/>
      <c r="D10" s="1503" t="s">
        <v>962</v>
      </c>
      <c r="E10" s="1503"/>
      <c r="F10" s="1503"/>
      <c r="G10" s="1503"/>
      <c r="H10" s="1503"/>
      <c r="I10" s="1504"/>
    </row>
    <row r="11" spans="1:9" s="64" customFormat="1">
      <c r="A11" s="1494" t="s">
        <v>963</v>
      </c>
      <c r="B11" s="1495"/>
      <c r="C11" s="1495"/>
      <c r="D11" s="1495"/>
      <c r="E11" s="1572"/>
      <c r="F11" s="1568" t="s">
        <v>964</v>
      </c>
      <c r="G11" s="1495"/>
      <c r="H11" s="1495"/>
      <c r="I11" s="1498"/>
    </row>
    <row r="12" spans="1:9" s="64" customFormat="1" ht="20.65" customHeight="1" thickBot="1">
      <c r="A12" s="1494" t="s">
        <v>965</v>
      </c>
      <c r="B12" s="1495"/>
      <c r="C12" s="1495"/>
      <c r="D12" s="1495"/>
      <c r="E12" s="1572"/>
      <c r="F12" s="1569" t="s">
        <v>962</v>
      </c>
      <c r="G12" s="1570"/>
      <c r="H12" s="1570"/>
      <c r="I12" s="1571"/>
    </row>
    <row r="13" spans="1:9" s="64" customFormat="1" ht="20.65" customHeight="1" thickBot="1">
      <c r="A13" s="1523" t="s">
        <v>966</v>
      </c>
      <c r="B13" s="1524"/>
      <c r="C13" s="1524"/>
      <c r="D13" s="1524"/>
      <c r="E13" s="1524"/>
      <c r="F13" s="1524"/>
      <c r="G13" s="1524"/>
      <c r="H13" s="1524"/>
      <c r="I13" s="1525"/>
    </row>
    <row r="14" spans="1:9" s="64" customFormat="1" ht="20.65" customHeight="1" thickBot="1">
      <c r="A14" s="1505" t="s">
        <v>967</v>
      </c>
      <c r="B14" s="1506"/>
      <c r="C14" s="1580" t="s">
        <v>962</v>
      </c>
      <c r="D14" s="1578"/>
      <c r="E14" s="1509" t="s">
        <v>968</v>
      </c>
      <c r="F14" s="1510"/>
      <c r="G14" s="1510"/>
      <c r="H14" s="1577" t="s">
        <v>962</v>
      </c>
      <c r="I14" s="1578"/>
    </row>
    <row r="15" spans="1:9" s="64" customFormat="1" ht="20.65" customHeight="1" thickBot="1">
      <c r="A15" s="1534" t="s">
        <v>969</v>
      </c>
      <c r="B15" s="1535"/>
      <c r="C15" s="1535"/>
      <c r="D15" s="1535"/>
      <c r="E15" s="1535"/>
      <c r="F15" s="1535"/>
      <c r="G15" s="1535"/>
      <c r="H15" s="1535"/>
      <c r="I15" s="1536"/>
    </row>
    <row r="16" spans="1:9" s="64" customFormat="1" ht="20.65" customHeight="1" thickBot="1">
      <c r="A16" s="1509" t="s">
        <v>970</v>
      </c>
      <c r="B16" s="1510"/>
      <c r="C16" s="1500" t="s">
        <v>347</v>
      </c>
      <c r="D16" s="1500"/>
      <c r="E16" s="1500"/>
      <c r="F16" s="1500"/>
      <c r="G16" s="1500"/>
      <c r="H16" s="1500"/>
      <c r="I16" s="1557"/>
    </row>
    <row r="17" spans="1:11" s="64" customFormat="1">
      <c r="A17" s="1562" t="s">
        <v>971</v>
      </c>
      <c r="B17" s="1562"/>
      <c r="C17" s="1562"/>
      <c r="D17" s="1562"/>
      <c r="E17" s="1562"/>
      <c r="F17" s="1562" t="s">
        <v>972</v>
      </c>
      <c r="G17" s="1562"/>
      <c r="H17" s="1562"/>
      <c r="I17" s="1562"/>
    </row>
    <row r="18" spans="1:11" s="64" customFormat="1" ht="20.65" customHeight="1" thickBot="1">
      <c r="A18" s="1576" t="s">
        <v>973</v>
      </c>
      <c r="B18" s="1576"/>
      <c r="C18" s="1576"/>
      <c r="D18" s="1576"/>
      <c r="E18" s="1576"/>
      <c r="F18" s="1576" t="s">
        <v>974</v>
      </c>
      <c r="G18" s="1576"/>
      <c r="H18" s="1576"/>
      <c r="I18" s="1576"/>
    </row>
    <row r="19" spans="1:11" s="64" customFormat="1" ht="20.65" customHeight="1" thickBot="1">
      <c r="A19" s="1534" t="s">
        <v>975</v>
      </c>
      <c r="B19" s="1535"/>
      <c r="C19" s="1535"/>
      <c r="D19" s="1535"/>
      <c r="E19" s="1535"/>
      <c r="F19" s="1535"/>
      <c r="G19" s="1535"/>
      <c r="H19" s="1535"/>
      <c r="I19" s="1536"/>
      <c r="K19" s="87"/>
    </row>
    <row r="20" spans="1:11" s="64" customFormat="1" ht="20.65" customHeight="1">
      <c r="A20" s="1491" t="s">
        <v>976</v>
      </c>
      <c r="B20" s="1490"/>
      <c r="C20" s="1561" t="s">
        <v>977</v>
      </c>
      <c r="D20" s="1561"/>
      <c r="E20" s="1561"/>
      <c r="F20" s="1561"/>
      <c r="G20" s="1561"/>
      <c r="H20" s="1561"/>
      <c r="I20" s="57"/>
    </row>
    <row r="21" spans="1:11" s="64" customFormat="1" ht="20.65" customHeight="1">
      <c r="A21" s="1526" t="s">
        <v>978</v>
      </c>
      <c r="B21" s="1527"/>
      <c r="C21" s="1560"/>
      <c r="D21" s="1560"/>
      <c r="E21" s="1560"/>
      <c r="F21" s="1560"/>
      <c r="G21" s="1560"/>
      <c r="H21" s="1560"/>
      <c r="I21" s="60"/>
    </row>
    <row r="22" spans="1:11" s="64" customFormat="1" ht="20.65" customHeight="1">
      <c r="A22" s="1526" t="s">
        <v>979</v>
      </c>
      <c r="B22" s="1527"/>
      <c r="C22" s="1560" t="s">
        <v>980</v>
      </c>
      <c r="D22" s="1560"/>
      <c r="E22" s="1560"/>
      <c r="F22" s="1560"/>
      <c r="G22" s="1560"/>
      <c r="H22" s="1560"/>
      <c r="I22" s="60"/>
    </row>
    <row r="23" spans="1:11" s="64" customFormat="1" ht="20.65" customHeight="1">
      <c r="A23" s="1526" t="s">
        <v>981</v>
      </c>
      <c r="B23" s="1527"/>
      <c r="C23" s="1560"/>
      <c r="D23" s="1560"/>
      <c r="E23" s="1560"/>
      <c r="F23" s="1560"/>
      <c r="G23" s="1560"/>
      <c r="H23" s="1560"/>
      <c r="I23" s="60"/>
    </row>
    <row r="24" spans="1:11" s="64" customFormat="1" ht="20.65" customHeight="1">
      <c r="A24" s="1526" t="s">
        <v>982</v>
      </c>
      <c r="B24" s="1527"/>
      <c r="C24" s="1560" t="s">
        <v>983</v>
      </c>
      <c r="D24" s="1560"/>
      <c r="E24" s="1560"/>
      <c r="F24" s="1560"/>
      <c r="G24" s="1560"/>
      <c r="H24" s="1560"/>
      <c r="I24" s="60"/>
    </row>
    <row r="25" spans="1:11" s="64" customFormat="1" ht="20.65" customHeight="1">
      <c r="A25" s="1526" t="s">
        <v>984</v>
      </c>
      <c r="B25" s="1527"/>
      <c r="C25" s="1560"/>
      <c r="D25" s="1560"/>
      <c r="E25" s="1560"/>
      <c r="F25" s="1560"/>
      <c r="G25" s="1560"/>
      <c r="H25" s="1560"/>
      <c r="I25" s="60"/>
    </row>
    <row r="26" spans="1:11" s="64" customFormat="1" ht="20.65" customHeight="1">
      <c r="A26" s="1526" t="s">
        <v>985</v>
      </c>
      <c r="B26" s="1527"/>
      <c r="C26" s="1560" t="s">
        <v>986</v>
      </c>
      <c r="D26" s="1560"/>
      <c r="E26" s="1560"/>
      <c r="F26" s="1560"/>
      <c r="G26" s="1560"/>
      <c r="H26" s="1560"/>
      <c r="I26" s="60"/>
    </row>
    <row r="27" spans="1:11" s="64" customFormat="1" ht="20.65" customHeight="1">
      <c r="A27" s="1526" t="s">
        <v>987</v>
      </c>
      <c r="B27" s="1527"/>
      <c r="C27" s="1560" t="s">
        <v>988</v>
      </c>
      <c r="D27" s="1560"/>
      <c r="E27" s="1560"/>
      <c r="F27" s="1560"/>
      <c r="G27" s="1560"/>
      <c r="H27" s="1560"/>
      <c r="I27" s="60"/>
    </row>
    <row r="28" spans="1:11" s="64" customFormat="1" ht="6" customHeight="1" thickBot="1">
      <c r="A28" s="49"/>
      <c r="B28" s="61"/>
      <c r="C28" s="62"/>
      <c r="D28" s="62"/>
      <c r="E28" s="62"/>
      <c r="F28" s="62"/>
      <c r="G28" s="62"/>
      <c r="H28" s="62"/>
      <c r="I28" s="63"/>
    </row>
    <row r="29" spans="1:11" s="64" customFormat="1" ht="20.65" customHeight="1" thickBot="1">
      <c r="A29" s="1534" t="s">
        <v>989</v>
      </c>
      <c r="B29" s="1535"/>
      <c r="C29" s="1535"/>
      <c r="D29" s="1535"/>
      <c r="E29" s="1535"/>
      <c r="F29" s="1535"/>
      <c r="G29" s="1535"/>
      <c r="H29" s="1535"/>
      <c r="I29" s="1536"/>
    </row>
    <row r="30" spans="1:11" s="64" customFormat="1">
      <c r="A30" s="1562" t="s">
        <v>990</v>
      </c>
      <c r="B30" s="1562"/>
      <c r="C30" s="1562"/>
      <c r="D30" s="1562"/>
      <c r="E30" s="1562"/>
      <c r="F30" s="1562" t="s">
        <v>991</v>
      </c>
      <c r="G30" s="1562"/>
      <c r="H30" s="1562"/>
      <c r="I30" s="1562"/>
    </row>
    <row r="31" spans="1:11" s="64" customFormat="1" ht="20.65" customHeight="1" thickBot="1">
      <c r="A31" s="1563" t="s">
        <v>965</v>
      </c>
      <c r="B31" s="1563"/>
      <c r="C31" s="1563"/>
      <c r="D31" s="1563"/>
      <c r="E31" s="1563"/>
      <c r="F31" s="1563" t="s">
        <v>965</v>
      </c>
      <c r="G31" s="1563"/>
      <c r="H31" s="1563"/>
      <c r="I31" s="1563"/>
    </row>
    <row r="32" spans="1:11" s="64" customFormat="1" ht="20.65" customHeight="1" thickBot="1">
      <c r="A32" s="1534" t="s">
        <v>992</v>
      </c>
      <c r="B32" s="1535"/>
      <c r="C32" s="1535"/>
      <c r="D32" s="1535"/>
      <c r="E32" s="1535"/>
      <c r="F32" s="1535"/>
      <c r="G32" s="1535"/>
      <c r="H32" s="1535"/>
      <c r="I32" s="1536"/>
    </row>
    <row r="33" spans="1:9" s="64" customFormat="1" ht="20.65" customHeight="1">
      <c r="A33" s="55" t="s">
        <v>993</v>
      </c>
      <c r="B33" s="100" t="s">
        <v>994</v>
      </c>
      <c r="C33" s="56" t="s">
        <v>995</v>
      </c>
      <c r="D33" s="1561" t="s">
        <v>996</v>
      </c>
      <c r="E33" s="1561"/>
      <c r="F33" s="1561"/>
      <c r="G33" s="1561"/>
      <c r="H33" s="1561"/>
      <c r="I33" s="57"/>
    </row>
    <row r="34" spans="1:9" s="64" customFormat="1" ht="20.65" customHeight="1">
      <c r="A34" s="66" t="s">
        <v>997</v>
      </c>
      <c r="B34" s="1559" t="s">
        <v>998</v>
      </c>
      <c r="C34" s="1559"/>
      <c r="D34" s="1559"/>
      <c r="E34" s="1559"/>
      <c r="F34" s="1559"/>
      <c r="G34" s="1559"/>
      <c r="H34" s="67"/>
      <c r="I34" s="60"/>
    </row>
    <row r="35" spans="1:9" s="64" customFormat="1" ht="20.65" customHeight="1">
      <c r="A35" s="66" t="s">
        <v>999</v>
      </c>
      <c r="B35" s="1559" t="s">
        <v>1000</v>
      </c>
      <c r="C35" s="1559"/>
      <c r="D35" s="1559"/>
      <c r="E35" s="1559"/>
      <c r="F35" s="1559"/>
      <c r="G35" s="1559"/>
      <c r="H35" s="67"/>
      <c r="I35" s="60"/>
    </row>
    <row r="36" spans="1:9" s="64" customFormat="1" ht="20.65" customHeight="1">
      <c r="A36" s="66" t="s">
        <v>1001</v>
      </c>
      <c r="B36" s="1560"/>
      <c r="C36" s="1560"/>
      <c r="D36" s="1560"/>
      <c r="E36" s="1560"/>
      <c r="F36" s="1560"/>
      <c r="G36" s="1560"/>
      <c r="H36" s="67"/>
      <c r="I36" s="60"/>
    </row>
    <row r="37" spans="1:9" s="64" customFormat="1" ht="6" customHeight="1" thickBot="1">
      <c r="A37" s="49"/>
      <c r="B37" s="61"/>
      <c r="C37" s="62"/>
      <c r="D37" s="62"/>
      <c r="E37" s="62"/>
      <c r="F37" s="62"/>
      <c r="G37" s="62"/>
      <c r="H37" s="62"/>
      <c r="I37" s="63"/>
    </row>
    <row r="38" spans="1:9" s="64" customFormat="1" ht="20.65" customHeight="1" thickBot="1">
      <c r="A38" s="58" t="s">
        <v>1002</v>
      </c>
      <c r="B38" s="1546" t="s">
        <v>1003</v>
      </c>
      <c r="C38" s="1546"/>
      <c r="D38" s="1546"/>
      <c r="E38" s="1546"/>
      <c r="F38" s="1546"/>
      <c r="G38" s="1546"/>
      <c r="H38" s="59"/>
      <c r="I38" s="85"/>
    </row>
    <row r="39" spans="1:9" s="64" customFormat="1">
      <c r="A39" s="1514" t="s">
        <v>1004</v>
      </c>
      <c r="B39" s="1515"/>
      <c r="C39" s="1515"/>
      <c r="D39" s="1515"/>
      <c r="E39" s="1515"/>
      <c r="F39" s="1515"/>
      <c r="G39" s="1515"/>
      <c r="H39" s="1515"/>
      <c r="I39" s="1516"/>
    </row>
    <row r="40" spans="1:9" s="64" customFormat="1" ht="20.65" customHeight="1" thickBot="1">
      <c r="A40" s="1494" t="s">
        <v>1005</v>
      </c>
      <c r="B40" s="1495"/>
      <c r="C40" s="1495"/>
      <c r="D40" s="1495"/>
      <c r="E40" s="1495"/>
      <c r="F40" s="1495"/>
      <c r="G40" s="1495"/>
      <c r="H40" s="1495"/>
      <c r="I40" s="1498"/>
    </row>
    <row r="41" spans="1:9" s="64" customFormat="1" ht="20.65" customHeight="1" thickBot="1">
      <c r="A41" s="1509" t="s">
        <v>1006</v>
      </c>
      <c r="B41" s="1510"/>
      <c r="C41" s="1500" t="s">
        <v>1007</v>
      </c>
      <c r="D41" s="1500"/>
      <c r="E41" s="59"/>
      <c r="F41" s="1510" t="s">
        <v>1008</v>
      </c>
      <c r="G41" s="1510"/>
      <c r="H41" s="1500" t="s">
        <v>1009</v>
      </c>
      <c r="I41" s="1557"/>
    </row>
    <row r="42" spans="1:9" s="64" customFormat="1" ht="20.65" customHeight="1" thickBot="1">
      <c r="A42" s="58" t="s">
        <v>1010</v>
      </c>
      <c r="B42" s="1556" t="s">
        <v>1011</v>
      </c>
      <c r="C42" s="1556"/>
      <c r="D42" s="1556"/>
      <c r="E42" s="1556"/>
      <c r="F42" s="1556"/>
      <c r="G42" s="1556"/>
      <c r="H42" s="59"/>
      <c r="I42" s="85"/>
    </row>
    <row r="43" spans="1:9" s="64" customFormat="1">
      <c r="A43" s="1508"/>
      <c r="B43" s="1508"/>
      <c r="C43" s="1508"/>
      <c r="D43" s="1508"/>
      <c r="E43" s="1508"/>
      <c r="F43" s="1508"/>
      <c r="G43" s="1508"/>
      <c r="H43" s="1508"/>
      <c r="I43" s="1508"/>
    </row>
    <row r="44" spans="1:9" s="64" customFormat="1">
      <c r="A44" s="1508" t="s">
        <v>946</v>
      </c>
      <c r="B44" s="1508"/>
      <c r="C44" s="1508"/>
      <c r="D44" s="1508"/>
      <c r="E44" s="1508"/>
      <c r="F44" s="1508"/>
      <c r="G44" s="1508"/>
      <c r="H44" s="1508"/>
      <c r="I44" s="1508"/>
    </row>
    <row r="45" spans="1:9" s="64" customFormat="1" ht="12.6" thickBot="1">
      <c r="A45" s="1508" t="s">
        <v>947</v>
      </c>
      <c r="B45" s="1508"/>
      <c r="C45" s="1508"/>
      <c r="D45" s="1508"/>
      <c r="E45" s="1508"/>
      <c r="F45" s="1508"/>
      <c r="G45" s="1508"/>
      <c r="H45" s="1508"/>
      <c r="I45" s="1508"/>
    </row>
    <row r="46" spans="1:9" s="64" customFormat="1" ht="20.25" customHeight="1" thickBot="1">
      <c r="A46" s="1488" t="s">
        <v>948</v>
      </c>
      <c r="B46" s="1489"/>
      <c r="C46" s="1507"/>
      <c r="D46" s="1489"/>
      <c r="E46" s="1489"/>
      <c r="F46" s="1489"/>
      <c r="G46" s="1489"/>
      <c r="H46" s="1489"/>
      <c r="I46" s="73" t="s">
        <v>949</v>
      </c>
    </row>
    <row r="47" spans="1:9">
      <c r="A47" s="77" t="s">
        <v>1012</v>
      </c>
      <c r="C47" s="76" t="s">
        <v>1013</v>
      </c>
      <c r="D47" s="76"/>
      <c r="F47" s="76"/>
      <c r="I47" s="74"/>
    </row>
    <row r="48" spans="1:9" ht="20.25" hidden="1" customHeight="1">
      <c r="A48" s="75"/>
      <c r="C48" t="s">
        <v>1014</v>
      </c>
      <c r="F48" s="76"/>
      <c r="I48" s="51"/>
    </row>
    <row r="49" spans="1:9" ht="20.25" hidden="1" customHeight="1">
      <c r="A49" s="75"/>
      <c r="C49" t="s">
        <v>1015</v>
      </c>
      <c r="I49" s="51"/>
    </row>
    <row r="50" spans="1:9" ht="20.25" hidden="1" customHeight="1">
      <c r="A50" s="75"/>
      <c r="C50" t="s">
        <v>1016</v>
      </c>
      <c r="I50" s="51"/>
    </row>
    <row r="51" spans="1:9" ht="20.25" hidden="1" customHeight="1">
      <c r="A51" s="75"/>
      <c r="C51" t="s">
        <v>1017</v>
      </c>
      <c r="I51" s="51"/>
    </row>
    <row r="52" spans="1:9" ht="20.25" hidden="1" customHeight="1">
      <c r="A52" s="75"/>
      <c r="C52" t="s">
        <v>1018</v>
      </c>
      <c r="I52" s="51"/>
    </row>
    <row r="53" spans="1:9" ht="20.25" hidden="1" customHeight="1">
      <c r="A53" s="75"/>
      <c r="C53" t="s">
        <v>1019</v>
      </c>
      <c r="I53" s="51"/>
    </row>
    <row r="54" spans="1:9" ht="20.25" hidden="1" customHeight="1">
      <c r="A54" s="75"/>
      <c r="C54" t="s">
        <v>1020</v>
      </c>
      <c r="I54" s="51"/>
    </row>
    <row r="55" spans="1:9" ht="20.25" hidden="1" customHeight="1">
      <c r="A55" s="75"/>
      <c r="C55" t="s">
        <v>1021</v>
      </c>
      <c r="I55" s="51"/>
    </row>
    <row r="56" spans="1:9" ht="20.25" hidden="1" customHeight="1">
      <c r="A56" s="75"/>
      <c r="C56" s="52" t="s">
        <v>1022</v>
      </c>
      <c r="I56" s="51"/>
    </row>
    <row r="57" spans="1:9" ht="20.25" hidden="1" customHeight="1">
      <c r="A57" s="75"/>
      <c r="C57" s="52" t="s">
        <v>1023</v>
      </c>
      <c r="I57" s="51"/>
    </row>
    <row r="58" spans="1:9" ht="20.25" hidden="1" customHeight="1">
      <c r="A58" s="75"/>
      <c r="C58" s="52" t="s">
        <v>1024</v>
      </c>
      <c r="I58" s="51"/>
    </row>
    <row r="59" spans="1:9" ht="20.25" hidden="1" customHeight="1">
      <c r="A59" s="75"/>
      <c r="C59" t="s">
        <v>1025</v>
      </c>
      <c r="I59" s="51"/>
    </row>
    <row r="60" spans="1:9" ht="20.25" customHeight="1">
      <c r="A60" s="75"/>
      <c r="C60" s="101" t="s">
        <v>1026</v>
      </c>
      <c r="D60" s="101"/>
      <c r="E60" s="101"/>
      <c r="F60" s="101"/>
      <c r="G60" s="101"/>
      <c r="I60" s="51"/>
    </row>
    <row r="61" spans="1:9" ht="20.25" hidden="1" customHeight="1">
      <c r="A61" s="75"/>
      <c r="C61" t="s">
        <v>1027</v>
      </c>
      <c r="I61" s="51"/>
    </row>
    <row r="62" spans="1:9" ht="20.25" hidden="1" customHeight="1">
      <c r="A62" s="75"/>
      <c r="C62" s="86" t="s">
        <v>1028</v>
      </c>
      <c r="I62" s="51"/>
    </row>
    <row r="63" spans="1:9" ht="20.25" hidden="1" customHeight="1">
      <c r="A63" s="75"/>
      <c r="C63" t="s">
        <v>1029</v>
      </c>
      <c r="I63" s="51"/>
    </row>
    <row r="64" spans="1:9" ht="20.25" hidden="1" customHeight="1">
      <c r="A64" s="75"/>
      <c r="C64" t="s">
        <v>1030</v>
      </c>
      <c r="I64" s="51"/>
    </row>
    <row r="65" spans="1:9" ht="20.25" hidden="1" customHeight="1">
      <c r="A65" s="75"/>
      <c r="C65" t="s">
        <v>1031</v>
      </c>
      <c r="I65" s="51"/>
    </row>
    <row r="66" spans="1:9" ht="20.25" hidden="1" customHeight="1">
      <c r="A66" s="75"/>
      <c r="C66" t="s">
        <v>1032</v>
      </c>
      <c r="I66" s="51"/>
    </row>
    <row r="67" spans="1:9" ht="20.25" hidden="1" customHeight="1">
      <c r="A67" s="75"/>
      <c r="C67" t="s">
        <v>1033</v>
      </c>
      <c r="I67" s="51"/>
    </row>
    <row r="68" spans="1:9" ht="20.25" hidden="1" customHeight="1">
      <c r="A68" s="75"/>
      <c r="C68" t="s">
        <v>1034</v>
      </c>
      <c r="I68" s="51"/>
    </row>
    <row r="69" spans="1:9" ht="20.25" hidden="1" customHeight="1">
      <c r="A69" s="75"/>
      <c r="C69" t="s">
        <v>1035</v>
      </c>
      <c r="I69" s="51"/>
    </row>
    <row r="70" spans="1:9" ht="20.25" hidden="1" customHeight="1">
      <c r="A70" s="75"/>
      <c r="C70" t="s">
        <v>1036</v>
      </c>
      <c r="I70" s="51"/>
    </row>
    <row r="71" spans="1:9" s="64" customFormat="1" ht="20.25" customHeight="1">
      <c r="A71" s="1534" t="s">
        <v>306</v>
      </c>
      <c r="B71" s="1535"/>
      <c r="C71" s="1535"/>
      <c r="D71" s="1535"/>
      <c r="E71" s="1535"/>
      <c r="F71" s="1535"/>
      <c r="G71" s="1535"/>
      <c r="H71" s="1535"/>
      <c r="I71" s="1536"/>
    </row>
    <row r="72" spans="1:9" s="64" customFormat="1" ht="20.25" customHeight="1">
      <c r="A72" s="1579" t="s">
        <v>1037</v>
      </c>
      <c r="B72" s="1547"/>
      <c r="C72" s="1547" t="s">
        <v>1013</v>
      </c>
      <c r="D72" s="1547"/>
      <c r="E72"/>
      <c r="F72"/>
      <c r="G72"/>
      <c r="H72"/>
      <c r="I72" s="51"/>
    </row>
    <row r="73" spans="1:9" s="64" customFormat="1" ht="20.25" customHeight="1">
      <c r="A73" s="1534" t="s">
        <v>306</v>
      </c>
      <c r="B73" s="1535"/>
      <c r="C73" s="1535"/>
      <c r="D73" s="1535"/>
      <c r="E73" s="1535"/>
      <c r="F73" s="1535"/>
      <c r="G73" s="1535"/>
      <c r="H73" s="1535"/>
      <c r="I73" s="1536"/>
    </row>
    <row r="74" spans="1:9" s="64" customFormat="1" ht="20.25" customHeight="1">
      <c r="A74" s="1579" t="s">
        <v>1038</v>
      </c>
      <c r="B74" s="1547"/>
      <c r="C74" s="1547" t="s">
        <v>1013</v>
      </c>
      <c r="D74" s="1547"/>
      <c r="E74"/>
      <c r="F74"/>
      <c r="G74"/>
      <c r="H74"/>
      <c r="I74" s="51"/>
    </row>
    <row r="75" spans="1:9" s="64" customFormat="1" ht="20.25" customHeight="1">
      <c r="A75" s="1534" t="s">
        <v>306</v>
      </c>
      <c r="B75" s="1535"/>
      <c r="C75" s="1535"/>
      <c r="D75" s="1535"/>
      <c r="E75" s="1535"/>
      <c r="F75" s="1535"/>
      <c r="G75" s="1535"/>
      <c r="H75" s="1535"/>
      <c r="I75" s="1536"/>
    </row>
    <row r="76" spans="1:9" s="64" customFormat="1" ht="20.25" customHeight="1">
      <c r="A76" s="1494" t="s">
        <v>957</v>
      </c>
      <c r="B76" s="1495"/>
      <c r="C76" s="1495"/>
      <c r="D76" s="1495"/>
      <c r="E76" s="1495"/>
      <c r="F76" s="1495"/>
      <c r="G76" s="1495"/>
      <c r="H76" s="1495"/>
      <c r="I76" s="1498"/>
    </row>
    <row r="77" spans="1:9" s="64" customFormat="1" ht="20.25" customHeight="1" thickBot="1">
      <c r="A77" s="1555"/>
      <c r="B77" s="1503"/>
      <c r="C77" s="1503"/>
      <c r="D77" s="1503"/>
      <c r="E77" s="1503"/>
      <c r="F77" s="1503"/>
      <c r="G77" s="1503"/>
      <c r="H77" s="1503"/>
      <c r="I77" s="1504"/>
    </row>
    <row r="78" spans="1:9" s="64" customFormat="1" ht="20.25" customHeight="1">
      <c r="A78" s="1534" t="s">
        <v>1039</v>
      </c>
      <c r="B78" s="1535"/>
      <c r="C78" s="1535"/>
      <c r="D78" s="1535"/>
      <c r="E78" s="1535"/>
      <c r="F78" s="1535"/>
      <c r="G78" s="1535"/>
      <c r="H78" s="1535"/>
      <c r="I78" s="1536"/>
    </row>
    <row r="79" spans="1:9" s="64" customFormat="1" ht="20.25" customHeight="1" thickBot="1">
      <c r="A79" s="1581" t="s">
        <v>965</v>
      </c>
      <c r="B79" s="1582"/>
      <c r="C79" s="1582"/>
      <c r="D79" s="1582"/>
      <c r="E79" s="1582"/>
      <c r="F79" s="1582"/>
      <c r="G79" s="1582"/>
      <c r="H79" s="1582"/>
      <c r="I79" s="1583"/>
    </row>
    <row r="80" spans="1:9" s="64" customFormat="1" ht="20.25" customHeight="1">
      <c r="A80" s="1519" t="s">
        <v>1040</v>
      </c>
      <c r="B80" s="1520"/>
      <c r="C80" s="1520"/>
      <c r="D80" s="1520"/>
      <c r="E80" s="1520"/>
      <c r="F80" s="1520"/>
      <c r="G80" s="1520"/>
      <c r="H80" s="1520"/>
      <c r="I80" s="1521"/>
    </row>
    <row r="81" spans="1:9" s="64" customFormat="1" ht="20.25" customHeight="1">
      <c r="A81" s="78"/>
      <c r="B81" s="1558"/>
      <c r="C81" s="1558"/>
      <c r="D81" s="68"/>
      <c r="E81" s="68"/>
      <c r="F81" s="68"/>
      <c r="G81" s="68"/>
      <c r="H81" s="68"/>
      <c r="I81" s="69"/>
    </row>
    <row r="82" spans="1:9" s="64" customFormat="1" ht="20.25" customHeight="1">
      <c r="A82" s="1494" t="s">
        <v>1041</v>
      </c>
      <c r="B82" s="1495"/>
      <c r="C82" s="1495"/>
      <c r="D82" s="1495"/>
      <c r="E82" s="1495"/>
      <c r="F82" s="1495"/>
      <c r="G82" s="1495"/>
      <c r="H82" s="1495"/>
      <c r="I82" s="1498"/>
    </row>
    <row r="83" spans="1:9" s="64" customFormat="1" ht="20.25" customHeight="1">
      <c r="A83" s="78"/>
      <c r="B83" s="1558"/>
      <c r="C83" s="1558"/>
      <c r="D83" s="68"/>
      <c r="E83" s="68"/>
      <c r="F83" s="68"/>
      <c r="G83" s="68"/>
      <c r="H83" s="68"/>
      <c r="I83" s="69"/>
    </row>
    <row r="84" spans="1:9" s="64" customFormat="1" ht="7.5" customHeight="1" thickBot="1">
      <c r="A84" s="1548"/>
      <c r="B84" s="1549"/>
      <c r="C84" s="1549"/>
      <c r="D84" s="1549"/>
      <c r="E84" s="1549"/>
      <c r="F84" s="1549"/>
      <c r="G84" s="1549"/>
      <c r="H84" s="1549"/>
      <c r="I84" s="1550"/>
    </row>
    <row r="85" spans="1:9" s="64" customFormat="1" ht="20.25" customHeight="1">
      <c r="A85" s="1519" t="s">
        <v>1042</v>
      </c>
      <c r="B85" s="1520"/>
      <c r="C85" s="1520"/>
      <c r="D85" s="1520"/>
      <c r="E85" s="1520"/>
      <c r="F85" s="1520"/>
      <c r="G85" s="1520"/>
      <c r="H85" s="1520"/>
      <c r="I85" s="1521"/>
    </row>
    <row r="86" spans="1:9" s="64" customFormat="1" ht="20.25" customHeight="1">
      <c r="A86" s="78"/>
      <c r="B86" s="1559"/>
      <c r="C86" s="1559"/>
      <c r="D86" s="68"/>
      <c r="E86" s="68"/>
      <c r="F86" s="68"/>
      <c r="G86" s="68"/>
      <c r="H86" s="68"/>
      <c r="I86" s="69"/>
    </row>
    <row r="87" spans="1:9" s="64" customFormat="1">
      <c r="A87" s="1494"/>
      <c r="B87" s="1495"/>
      <c r="C87" s="1495"/>
      <c r="D87" s="1495"/>
      <c r="E87" s="1495"/>
      <c r="F87" s="1495"/>
      <c r="G87" s="1495"/>
      <c r="H87" s="1495"/>
      <c r="I87" s="1498"/>
    </row>
    <row r="88" spans="1:9" s="64" customFormat="1" ht="20.25" customHeight="1">
      <c r="A88" s="1494" t="s">
        <v>1043</v>
      </c>
      <c r="B88" s="1495"/>
      <c r="C88" s="1495"/>
      <c r="D88" s="1495"/>
      <c r="E88" s="1495"/>
      <c r="F88" s="1495"/>
      <c r="G88" s="1495"/>
      <c r="H88" s="1495"/>
      <c r="I88" s="1498"/>
    </row>
    <row r="89" spans="1:9" s="64" customFormat="1" ht="20.25" customHeight="1">
      <c r="A89" s="78"/>
      <c r="B89" s="1559"/>
      <c r="C89" s="1559"/>
      <c r="D89" s="1559"/>
      <c r="E89" s="1559"/>
      <c r="F89" s="1559"/>
      <c r="G89" s="1559"/>
      <c r="H89" s="68"/>
      <c r="I89" s="69"/>
    </row>
    <row r="90" spans="1:9" s="64" customFormat="1" ht="12.6" thickBot="1">
      <c r="A90" s="1548"/>
      <c r="B90" s="1549"/>
      <c r="C90" s="1549"/>
      <c r="D90" s="1549"/>
      <c r="E90" s="1549"/>
      <c r="F90" s="1549"/>
      <c r="G90" s="1549"/>
      <c r="H90" s="1549"/>
      <c r="I90" s="1550"/>
    </row>
    <row r="91" spans="1:9" s="64" customFormat="1" ht="20.25" customHeight="1">
      <c r="A91" s="1534" t="s">
        <v>1044</v>
      </c>
      <c r="B91" s="1535"/>
      <c r="C91" s="1535"/>
      <c r="D91" s="1535"/>
      <c r="E91" s="1535"/>
      <c r="F91" s="1535"/>
      <c r="G91" s="1535"/>
      <c r="H91" s="1535"/>
      <c r="I91" s="1536"/>
    </row>
    <row r="92" spans="1:9" s="64" customFormat="1" ht="20.25" customHeight="1">
      <c r="A92" s="78"/>
      <c r="B92" s="1551"/>
      <c r="C92" s="1551"/>
      <c r="D92" s="68"/>
      <c r="E92" s="68"/>
      <c r="F92" s="68"/>
      <c r="G92" s="68"/>
      <c r="H92" s="68"/>
      <c r="I92" s="69"/>
    </row>
    <row r="93" spans="1:9" s="64" customFormat="1" ht="20.25" customHeight="1">
      <c r="A93" s="1494" t="s">
        <v>1045</v>
      </c>
      <c r="B93" s="1495"/>
      <c r="C93" s="1495"/>
      <c r="D93" s="1495"/>
      <c r="E93" s="1495"/>
      <c r="F93" s="1495"/>
      <c r="G93" s="1495"/>
      <c r="H93" s="1495"/>
      <c r="I93" s="1498"/>
    </row>
    <row r="94" spans="1:9" s="64" customFormat="1" ht="20.25" customHeight="1">
      <c r="A94" s="78"/>
      <c r="B94" s="1551"/>
      <c r="C94" s="1551"/>
      <c r="D94" s="1551"/>
      <c r="E94" s="1551"/>
      <c r="F94" s="1551"/>
      <c r="G94" s="1551"/>
      <c r="H94" s="68"/>
      <c r="I94" s="69"/>
    </row>
    <row r="95" spans="1:9" s="64" customFormat="1" ht="12.6" thickBot="1">
      <c r="A95" s="1494"/>
      <c r="B95" s="1495"/>
      <c r="C95" s="1495"/>
      <c r="D95" s="1495"/>
      <c r="E95" s="1495"/>
      <c r="F95" s="1495"/>
      <c r="G95" s="1495"/>
      <c r="H95" s="1495"/>
      <c r="I95" s="1498"/>
    </row>
    <row r="96" spans="1:9" s="64" customFormat="1" ht="20.25" customHeight="1">
      <c r="A96" s="1519" t="s">
        <v>1046</v>
      </c>
      <c r="B96" s="1520"/>
      <c r="C96" s="1520"/>
      <c r="D96" s="1520"/>
      <c r="E96" s="1520"/>
      <c r="F96" s="1520"/>
      <c r="G96" s="1520"/>
      <c r="H96" s="1520"/>
      <c r="I96" s="1521"/>
    </row>
    <row r="97" spans="1:9" s="64" customFormat="1" ht="20.25" customHeight="1">
      <c r="A97" s="1552"/>
      <c r="B97" s="1553"/>
      <c r="C97" s="1553"/>
      <c r="D97" s="1553"/>
      <c r="E97" s="1553"/>
      <c r="F97" s="1553"/>
      <c r="G97" s="1553"/>
      <c r="H97" s="1553"/>
      <c r="I97" s="1554"/>
    </row>
    <row r="98" spans="1:9" s="64" customFormat="1" ht="20.25" customHeight="1">
      <c r="A98" s="1534"/>
      <c r="B98" s="1535"/>
      <c r="C98" s="1535"/>
      <c r="D98" s="1535"/>
      <c r="E98" s="1535"/>
      <c r="F98" s="1535"/>
      <c r="G98" s="1535"/>
      <c r="H98" s="1535"/>
      <c r="I98" s="1536"/>
    </row>
    <row r="99" spans="1:9" s="64" customFormat="1" ht="20.25" customHeight="1">
      <c r="A99" s="1534"/>
      <c r="B99" s="1535"/>
      <c r="C99" s="1535"/>
      <c r="D99" s="1535"/>
      <c r="E99" s="1535"/>
      <c r="F99" s="1535"/>
      <c r="G99" s="1535"/>
      <c r="H99" s="1535"/>
      <c r="I99" s="1536"/>
    </row>
    <row r="100" spans="1:9" s="64" customFormat="1" ht="20.25" customHeight="1" thickBot="1">
      <c r="A100" s="1587"/>
      <c r="B100" s="1588"/>
      <c r="C100" s="1588"/>
      <c r="D100" s="1588"/>
      <c r="E100" s="1588"/>
      <c r="F100" s="1588"/>
      <c r="G100" s="1588"/>
      <c r="H100" s="1588"/>
      <c r="I100" s="1589"/>
    </row>
    <row r="101" spans="1:9" s="64" customFormat="1" ht="20.25" customHeight="1">
      <c r="A101" s="1534" t="s">
        <v>1047</v>
      </c>
      <c r="B101" s="1535"/>
      <c r="C101" s="1535"/>
      <c r="D101" s="1535"/>
      <c r="E101" s="1535"/>
      <c r="F101" s="1535"/>
      <c r="G101" s="1535"/>
      <c r="H101" s="1535"/>
      <c r="I101" s="1536"/>
    </row>
    <row r="102" spans="1:9" s="64" customFormat="1" ht="20.25" customHeight="1">
      <c r="A102" s="1590"/>
      <c r="B102" s="1591"/>
      <c r="C102" s="1591"/>
      <c r="D102" s="1591"/>
      <c r="E102" s="1591"/>
      <c r="F102" s="1591"/>
      <c r="G102" s="1591"/>
      <c r="H102" s="1591"/>
      <c r="I102" s="1592"/>
    </row>
    <row r="103" spans="1:9" s="64" customFormat="1" ht="20.25" customHeight="1">
      <c r="A103" s="1593"/>
      <c r="B103" s="1570"/>
      <c r="C103" s="1570"/>
      <c r="D103" s="1570"/>
      <c r="E103" s="1570"/>
      <c r="F103" s="1570"/>
      <c r="G103" s="1570"/>
      <c r="H103" s="1570"/>
      <c r="I103" s="1571"/>
    </row>
    <row r="104" spans="1:9" s="64" customFormat="1" ht="20.25" customHeight="1">
      <c r="A104" s="1593"/>
      <c r="B104" s="1570"/>
      <c r="C104" s="1570"/>
      <c r="D104" s="1570"/>
      <c r="E104" s="1570"/>
      <c r="F104" s="1570"/>
      <c r="G104" s="1570"/>
      <c r="H104" s="1570"/>
      <c r="I104" s="1571"/>
    </row>
    <row r="105" spans="1:9" s="64" customFormat="1" ht="20.25" customHeight="1">
      <c r="A105" s="1593"/>
      <c r="B105" s="1570"/>
      <c r="C105" s="1570"/>
      <c r="D105" s="1570"/>
      <c r="E105" s="1570"/>
      <c r="F105" s="1570"/>
      <c r="G105" s="1570"/>
      <c r="H105" s="1570"/>
      <c r="I105" s="1571"/>
    </row>
    <row r="106" spans="1:9" s="64" customFormat="1" ht="20.25" customHeight="1">
      <c r="A106" s="1593"/>
      <c r="B106" s="1570"/>
      <c r="C106" s="1570"/>
      <c r="D106" s="1570"/>
      <c r="E106" s="1570"/>
      <c r="F106" s="1570"/>
      <c r="G106" s="1570"/>
      <c r="H106" s="1570"/>
      <c r="I106" s="1571"/>
    </row>
    <row r="107" spans="1:9" s="64" customFormat="1" ht="20.25" customHeight="1" thickBot="1">
      <c r="A107" s="1555"/>
      <c r="B107" s="1503"/>
      <c r="C107" s="1503"/>
      <c r="D107" s="1503"/>
      <c r="E107" s="1503"/>
      <c r="F107" s="1503"/>
      <c r="G107" s="1503"/>
      <c r="H107" s="1503"/>
      <c r="I107" s="1504"/>
    </row>
    <row r="108" spans="1:9" s="64" customFormat="1">
      <c r="A108" s="1508" t="s">
        <v>946</v>
      </c>
      <c r="B108" s="1508"/>
      <c r="C108" s="1508"/>
      <c r="D108" s="1508"/>
      <c r="E108" s="1508"/>
      <c r="F108" s="1508"/>
      <c r="G108" s="1508"/>
      <c r="H108" s="1508"/>
      <c r="I108" s="1508"/>
    </row>
    <row r="109" spans="1:9" s="64" customFormat="1" ht="12.6" thickBot="1">
      <c r="A109" s="1508" t="s">
        <v>947</v>
      </c>
      <c r="B109" s="1508"/>
      <c r="C109" s="1508"/>
      <c r="D109" s="1508"/>
      <c r="E109" s="1508"/>
      <c r="F109" s="1508"/>
      <c r="G109" s="1508"/>
      <c r="H109" s="1508"/>
      <c r="I109" s="1508"/>
    </row>
    <row r="110" spans="1:9" s="64" customFormat="1" ht="20.25" customHeight="1" thickBot="1">
      <c r="A110" s="1537" t="s">
        <v>1048</v>
      </c>
      <c r="B110" s="1538"/>
      <c r="C110" s="1538"/>
      <c r="D110" s="1538"/>
      <c r="E110" s="1538"/>
      <c r="F110" s="1538"/>
      <c r="G110" s="1538"/>
      <c r="H110" s="1538"/>
      <c r="I110" s="1539"/>
    </row>
    <row r="111" spans="1:9" s="64" customFormat="1" ht="20.25" customHeight="1">
      <c r="A111" s="1519" t="s">
        <v>1049</v>
      </c>
      <c r="B111" s="1520"/>
      <c r="C111" s="1520"/>
      <c r="D111" s="1520"/>
      <c r="E111" s="1520"/>
      <c r="F111" s="1520"/>
      <c r="G111" s="1520"/>
      <c r="H111" s="1520"/>
      <c r="I111" s="1521"/>
    </row>
    <row r="112" spans="1:9" s="64" customFormat="1" ht="20.25" customHeight="1" thickBot="1">
      <c r="A112" s="72" t="s">
        <v>1050</v>
      </c>
      <c r="B112" s="1502" t="s">
        <v>1051</v>
      </c>
      <c r="C112" s="1502"/>
      <c r="D112" s="1502"/>
      <c r="E112" s="1502" t="s">
        <v>1052</v>
      </c>
      <c r="F112" s="1502"/>
      <c r="G112" s="1540" t="s">
        <v>1053</v>
      </c>
      <c r="H112" s="1540"/>
      <c r="I112" s="1541"/>
    </row>
    <row r="113" spans="1:11" s="64" customFormat="1" ht="20.25" customHeight="1">
      <c r="A113" s="1519" t="s">
        <v>1054</v>
      </c>
      <c r="B113" s="1520"/>
      <c r="C113" s="1520"/>
      <c r="D113" s="1520"/>
      <c r="E113" s="1520"/>
      <c r="F113" s="1520"/>
      <c r="G113" s="1520"/>
      <c r="H113" s="1520"/>
      <c r="I113" s="1521"/>
    </row>
    <row r="114" spans="1:11" s="64" customFormat="1" ht="20.25" customHeight="1" thickBot="1">
      <c r="A114" s="72" t="s">
        <v>1055</v>
      </c>
      <c r="B114" s="1542">
        <f>Assumptions!G25</f>
        <v>45292</v>
      </c>
      <c r="C114" s="1542"/>
      <c r="D114" s="1542"/>
      <c r="E114" s="1502" t="s">
        <v>1056</v>
      </c>
      <c r="F114" s="1502"/>
      <c r="G114" s="1542">
        <f>Assumptions!S26</f>
        <v>0</v>
      </c>
      <c r="H114" s="1542"/>
      <c r="I114" s="1543"/>
    </row>
    <row r="115" spans="1:11" s="64" customFormat="1" ht="20.25" customHeight="1" thickBot="1">
      <c r="A115" s="1523" t="s">
        <v>1057</v>
      </c>
      <c r="B115" s="1524"/>
      <c r="C115" s="1524"/>
      <c r="D115" s="1524"/>
      <c r="E115" s="1524"/>
      <c r="F115" s="1524"/>
      <c r="G115" s="1524"/>
      <c r="H115" s="1524"/>
      <c r="I115" s="1525"/>
    </row>
    <row r="116" spans="1:11" s="64" customFormat="1" ht="20.25" customHeight="1">
      <c r="A116" s="1491" t="s">
        <v>1058</v>
      </c>
      <c r="B116" s="1490"/>
      <c r="C116" s="1529" t="e">
        <f>#REF!</f>
        <v>#REF!</v>
      </c>
      <c r="D116" s="1530"/>
      <c r="E116" s="1515"/>
      <c r="F116" s="1515"/>
      <c r="G116" s="1515"/>
      <c r="H116" s="1515"/>
      <c r="I116" s="1516"/>
      <c r="J116" s="390" t="s">
        <v>1059</v>
      </c>
      <c r="K116" s="461" t="e">
        <f>'US &amp; Local Summaries'!#REF!</f>
        <v>#REF!</v>
      </c>
    </row>
    <row r="117" spans="1:11" s="64" customFormat="1" ht="20.25" customHeight="1">
      <c r="A117" s="1526" t="s">
        <v>1060</v>
      </c>
      <c r="B117" s="1527"/>
      <c r="C117" s="1528"/>
      <c r="D117" s="1528"/>
      <c r="E117" s="1495"/>
      <c r="F117" s="1495"/>
      <c r="G117" s="1495"/>
      <c r="H117" s="1495"/>
      <c r="I117" s="1498"/>
    </row>
    <row r="118" spans="1:11" s="64" customFormat="1" ht="20.25" customHeight="1">
      <c r="A118" s="1526" t="s">
        <v>1061</v>
      </c>
      <c r="B118" s="1527"/>
      <c r="C118" s="1528"/>
      <c r="D118" s="1528"/>
      <c r="E118" s="1495"/>
      <c r="F118" s="1495"/>
      <c r="G118" s="1495"/>
      <c r="H118" s="1495"/>
      <c r="I118" s="1498"/>
    </row>
    <row r="119" spans="1:11" s="64" customFormat="1" ht="20.25" customHeight="1">
      <c r="A119" s="1526" t="s">
        <v>1062</v>
      </c>
      <c r="B119" s="1527"/>
      <c r="C119" s="1528"/>
      <c r="D119" s="1528"/>
      <c r="E119" s="1495"/>
      <c r="F119" s="1495"/>
      <c r="G119" s="1495"/>
      <c r="H119" s="1495"/>
      <c r="I119" s="1498"/>
    </row>
    <row r="120" spans="1:11" s="64" customFormat="1" ht="20.25" customHeight="1">
      <c r="A120" s="1526" t="s">
        <v>1063</v>
      </c>
      <c r="B120" s="1527"/>
      <c r="C120" s="1528"/>
      <c r="D120" s="1528"/>
      <c r="E120" s="1495"/>
      <c r="F120" s="1495"/>
      <c r="G120" s="1495"/>
      <c r="H120" s="1495"/>
      <c r="I120" s="1498"/>
    </row>
    <row r="121" spans="1:11" s="64" customFormat="1" ht="20.25" customHeight="1">
      <c r="A121" s="1526" t="s">
        <v>1064</v>
      </c>
      <c r="B121" s="1527"/>
      <c r="C121" s="1528"/>
      <c r="D121" s="1528"/>
      <c r="E121" s="1495"/>
      <c r="F121" s="1495"/>
      <c r="G121" s="1495"/>
      <c r="H121" s="1495"/>
      <c r="I121" s="1498"/>
    </row>
    <row r="122" spans="1:11" s="64" customFormat="1" ht="20.25" customHeight="1">
      <c r="A122" s="1526" t="s">
        <v>1065</v>
      </c>
      <c r="B122" s="1527"/>
      <c r="C122" s="1544" t="e">
        <f>SUM(C116:D121)</f>
        <v>#REF!</v>
      </c>
      <c r="D122" s="1545"/>
      <c r="E122" s="1495"/>
      <c r="F122" s="1495"/>
      <c r="G122" s="1495"/>
      <c r="H122" s="1495"/>
      <c r="I122" s="1498"/>
    </row>
    <row r="123" spans="1:11" s="64" customFormat="1" ht="20.25" customHeight="1" thickBot="1">
      <c r="A123" s="81"/>
      <c r="B123" s="82"/>
      <c r="C123" s="83"/>
      <c r="D123" s="83"/>
      <c r="E123" s="1517"/>
      <c r="F123" s="1517"/>
      <c r="G123" s="1517"/>
      <c r="H123" s="1517"/>
      <c r="I123" s="1518"/>
    </row>
    <row r="124" spans="1:11" s="64" customFormat="1" ht="20.25" customHeight="1">
      <c r="A124" s="1519" t="s">
        <v>1066</v>
      </c>
      <c r="B124" s="1520"/>
      <c r="C124" s="1520"/>
      <c r="D124" s="1520"/>
      <c r="E124" s="1520"/>
      <c r="F124" s="1520"/>
      <c r="G124" s="1520"/>
      <c r="H124" s="1520"/>
      <c r="I124" s="1521"/>
    </row>
    <row r="125" spans="1:11" s="64" customFormat="1" ht="20.25" customHeight="1">
      <c r="A125" s="1496" t="s">
        <v>1067</v>
      </c>
      <c r="B125" s="1497"/>
      <c r="C125" s="1497"/>
      <c r="D125" s="1497"/>
      <c r="E125" s="1497"/>
      <c r="F125" s="1497"/>
      <c r="G125" s="1497"/>
      <c r="H125" s="1497"/>
      <c r="I125" s="1522"/>
    </row>
    <row r="126" spans="1:11" s="64" customFormat="1" ht="20.25" customHeight="1">
      <c r="A126" s="1496" t="s">
        <v>1068</v>
      </c>
      <c r="B126" s="1497"/>
      <c r="C126" s="1497"/>
      <c r="D126" s="1497"/>
      <c r="E126" s="1497"/>
      <c r="F126" s="1497"/>
      <c r="G126" s="1497"/>
      <c r="H126" s="1497"/>
      <c r="I126" s="1522"/>
    </row>
    <row r="127" spans="1:11" s="64" customFormat="1" ht="20.25" customHeight="1" thickBot="1">
      <c r="A127" s="1531" t="s">
        <v>1069</v>
      </c>
      <c r="B127" s="1532"/>
      <c r="C127" s="1532"/>
      <c r="D127" s="1532"/>
      <c r="E127" s="1532"/>
      <c r="F127" s="1532"/>
      <c r="G127" s="1532"/>
      <c r="H127" s="1532"/>
      <c r="I127" s="1533"/>
    </row>
    <row r="128" spans="1:11" s="64" customFormat="1" ht="20.25" customHeight="1">
      <c r="A128" s="1534" t="s">
        <v>1070</v>
      </c>
      <c r="B128" s="1535"/>
      <c r="C128" s="1535"/>
      <c r="D128" s="1535"/>
      <c r="E128" s="1535"/>
      <c r="F128" s="1535"/>
      <c r="G128" s="1535"/>
      <c r="H128" s="1535"/>
      <c r="I128" s="1536"/>
    </row>
    <row r="129" spans="1:9" s="64" customFormat="1" ht="20.25" customHeight="1" thickBot="1">
      <c r="A129" s="84" t="s">
        <v>1071</v>
      </c>
      <c r="B129" s="62"/>
      <c r="C129" s="62"/>
      <c r="D129" s="62" t="s">
        <v>1072</v>
      </c>
      <c r="E129" s="62"/>
      <c r="F129" s="62"/>
      <c r="G129" s="62"/>
      <c r="H129" s="62"/>
      <c r="I129" s="63"/>
    </row>
    <row r="130" spans="1:9" s="64" customFormat="1" ht="63.75" customHeight="1">
      <c r="A130" s="1514" t="s">
        <v>1073</v>
      </c>
      <c r="B130" s="1515"/>
      <c r="C130" s="1515"/>
      <c r="D130" s="1515"/>
      <c r="E130" s="1515"/>
      <c r="F130" s="1515"/>
      <c r="G130" s="1515"/>
      <c r="H130" s="1515"/>
      <c r="I130" s="1516"/>
    </row>
    <row r="131" spans="1:9" s="64" customFormat="1" ht="20.25" customHeight="1">
      <c r="A131" s="1584" t="s">
        <v>1074</v>
      </c>
      <c r="B131" s="1585"/>
      <c r="C131" s="1585"/>
      <c r="D131" s="1585"/>
      <c r="E131" s="1585"/>
      <c r="F131" s="1585"/>
      <c r="G131" s="1585"/>
      <c r="H131" s="1585"/>
      <c r="I131" s="1586"/>
    </row>
    <row r="132" spans="1:9" s="64" customFormat="1" ht="33.75" customHeight="1" thickBot="1">
      <c r="A132" s="1548" t="s">
        <v>1075</v>
      </c>
      <c r="B132" s="1549"/>
      <c r="C132" s="1549"/>
      <c r="D132" s="1549"/>
      <c r="E132" s="1549"/>
      <c r="F132" s="1549"/>
      <c r="G132" s="1549"/>
      <c r="H132" s="1549"/>
      <c r="I132" s="1550"/>
    </row>
    <row r="133" spans="1:9" s="64" customFormat="1" ht="20.25" customHeight="1" thickBot="1">
      <c r="A133" s="1523" t="s">
        <v>1076</v>
      </c>
      <c r="B133" s="1524"/>
      <c r="C133" s="1524"/>
      <c r="D133" s="1524"/>
      <c r="E133" s="1524"/>
      <c r="F133" s="1524"/>
      <c r="G133" s="1524"/>
      <c r="H133" s="1524"/>
      <c r="I133" s="1525"/>
    </row>
    <row r="134" spans="1:9" s="64" customFormat="1" ht="20.65" customHeight="1">
      <c r="A134" s="66" t="s">
        <v>993</v>
      </c>
      <c r="B134" s="102" t="s">
        <v>1077</v>
      </c>
      <c r="C134" s="56" t="s">
        <v>995</v>
      </c>
      <c r="D134" s="102" t="s">
        <v>1078</v>
      </c>
      <c r="E134" s="102"/>
      <c r="F134" s="102"/>
      <c r="G134" s="102"/>
      <c r="H134" s="102"/>
      <c r="I134" s="60"/>
    </row>
    <row r="135" spans="1:9" s="64" customFormat="1" ht="20.65" customHeight="1">
      <c r="A135" s="66" t="s">
        <v>997</v>
      </c>
      <c r="B135" s="1559"/>
      <c r="C135" s="1559"/>
      <c r="D135" s="1559"/>
      <c r="E135" s="1559"/>
      <c r="F135" s="1559"/>
      <c r="G135" s="1559"/>
      <c r="H135" s="67"/>
      <c r="I135" s="60"/>
    </row>
    <row r="136" spans="1:9" s="64" customFormat="1" ht="20.65" customHeight="1">
      <c r="A136" s="66" t="s">
        <v>999</v>
      </c>
      <c r="B136" s="1560" t="s">
        <v>1079</v>
      </c>
      <c r="C136" s="1560"/>
      <c r="D136" s="1560"/>
      <c r="E136" s="1560"/>
      <c r="F136" s="1560"/>
      <c r="G136" s="1560"/>
      <c r="H136" s="67"/>
      <c r="I136" s="60"/>
    </row>
    <row r="137" spans="1:9" s="64" customFormat="1" ht="20.65" customHeight="1">
      <c r="A137" s="66" t="s">
        <v>1001</v>
      </c>
      <c r="B137" s="1560">
        <f>B36</f>
        <v>0</v>
      </c>
      <c r="C137" s="1560"/>
      <c r="D137" s="1560"/>
      <c r="E137" s="1560"/>
      <c r="F137" s="1560"/>
      <c r="G137" s="1560"/>
      <c r="H137" s="67"/>
      <c r="I137" s="60"/>
    </row>
    <row r="138" spans="1:9" s="64" customFormat="1" ht="6" customHeight="1" thickBot="1">
      <c r="A138" s="49"/>
      <c r="B138" s="61"/>
      <c r="C138" s="62"/>
      <c r="D138" s="62"/>
      <c r="E138" s="62"/>
      <c r="F138" s="62"/>
      <c r="G138" s="62"/>
      <c r="H138" s="62"/>
      <c r="I138" s="63"/>
    </row>
    <row r="139" spans="1:9" s="64" customFormat="1" ht="20.65" customHeight="1" thickBot="1">
      <c r="A139" s="58" t="s">
        <v>1002</v>
      </c>
      <c r="B139" s="1546" t="s">
        <v>1080</v>
      </c>
      <c r="C139" s="1546"/>
      <c r="D139" s="1546"/>
      <c r="E139" s="1546"/>
      <c r="F139" s="1546"/>
      <c r="G139" s="1546"/>
      <c r="H139" s="59"/>
      <c r="I139" s="85"/>
    </row>
    <row r="140" spans="1:9" s="64" customFormat="1" ht="20.65" customHeight="1" thickBot="1">
      <c r="A140" s="1509" t="s">
        <v>1006</v>
      </c>
      <c r="B140" s="1510"/>
      <c r="C140" s="1500" t="s">
        <v>1007</v>
      </c>
      <c r="D140" s="1500"/>
      <c r="E140" s="59"/>
      <c r="F140" s="1510" t="s">
        <v>1008</v>
      </c>
      <c r="G140" s="1510"/>
      <c r="H140" s="1500" t="str">
        <f>H41</f>
        <v>410.537.1482</v>
      </c>
      <c r="I140" s="1557"/>
    </row>
    <row r="141" spans="1:9" s="64" customFormat="1" ht="20.65" customHeight="1" thickBot="1">
      <c r="A141" s="58" t="s">
        <v>1010</v>
      </c>
      <c r="B141" s="1499" t="s">
        <v>1011</v>
      </c>
      <c r="C141" s="1500"/>
      <c r="D141" s="1500"/>
      <c r="E141" s="1500"/>
      <c r="F141" s="1500"/>
      <c r="G141" s="1500"/>
      <c r="H141" s="1500"/>
      <c r="I141" s="85"/>
    </row>
    <row r="142" spans="1:9" s="64" customFormat="1" ht="24.75" customHeight="1" thickBot="1">
      <c r="A142" s="1509" t="s">
        <v>1081</v>
      </c>
      <c r="B142" s="1510"/>
      <c r="C142" s="1510"/>
      <c r="D142" s="1577"/>
      <c r="E142" s="1577"/>
      <c r="F142" s="1577"/>
      <c r="G142" s="1578"/>
      <c r="H142" s="58" t="s">
        <v>1082</v>
      </c>
      <c r="I142" s="103"/>
    </row>
    <row r="143" spans="1:9" s="64" customFormat="1" ht="12.6">
      <c r="A143" s="70"/>
      <c r="B143" s="70"/>
      <c r="C143" s="70"/>
      <c r="D143" s="70"/>
      <c r="E143" s="70"/>
      <c r="F143" s="70"/>
      <c r="G143" s="70"/>
      <c r="H143" s="70"/>
      <c r="I143" s="70"/>
    </row>
    <row r="144" spans="1:9" s="64" customFormat="1">
      <c r="A144" s="79" t="s">
        <v>1083</v>
      </c>
      <c r="B144" s="71"/>
      <c r="I144" s="80" t="s">
        <v>1084</v>
      </c>
    </row>
    <row r="145" spans="1:9">
      <c r="A145" s="80"/>
      <c r="B145" s="53"/>
      <c r="I145" s="80" t="s">
        <v>1085</v>
      </c>
    </row>
    <row r="148" spans="1:9" hidden="1">
      <c r="A148" s="76" t="s">
        <v>1013</v>
      </c>
      <c r="F148" s="76"/>
    </row>
    <row r="149" spans="1:9" hidden="1">
      <c r="A149" s="76"/>
      <c r="F149" s="76"/>
    </row>
    <row r="150" spans="1:9" hidden="1">
      <c r="A150" t="s">
        <v>1014</v>
      </c>
    </row>
    <row r="151" spans="1:9" hidden="1">
      <c r="A151" t="s">
        <v>1015</v>
      </c>
    </row>
    <row r="152" spans="1:9" hidden="1">
      <c r="A152" t="s">
        <v>1016</v>
      </c>
    </row>
    <row r="153" spans="1:9" hidden="1">
      <c r="A153" t="s">
        <v>1017</v>
      </c>
    </row>
    <row r="154" spans="1:9" hidden="1">
      <c r="A154" t="s">
        <v>1018</v>
      </c>
    </row>
    <row r="155" spans="1:9" hidden="1">
      <c r="A155" t="s">
        <v>1019</v>
      </c>
    </row>
    <row r="156" spans="1:9" hidden="1">
      <c r="A156" t="s">
        <v>1020</v>
      </c>
    </row>
    <row r="157" spans="1:9" hidden="1">
      <c r="A157" t="s">
        <v>1021</v>
      </c>
    </row>
    <row r="158" spans="1:9" hidden="1">
      <c r="A158" s="52" t="s">
        <v>1022</v>
      </c>
    </row>
    <row r="159" spans="1:9" hidden="1">
      <c r="A159" s="52" t="s">
        <v>1023</v>
      </c>
    </row>
    <row r="160" spans="1:9" hidden="1">
      <c r="A160" s="52" t="s">
        <v>1024</v>
      </c>
    </row>
    <row r="161" spans="1:1" hidden="1">
      <c r="A161" t="s">
        <v>1025</v>
      </c>
    </row>
    <row r="162" spans="1:1" hidden="1">
      <c r="A162" t="s">
        <v>1026</v>
      </c>
    </row>
    <row r="163" spans="1:1" hidden="1">
      <c r="A163" t="s">
        <v>1027</v>
      </c>
    </row>
    <row r="164" spans="1:1" hidden="1">
      <c r="A164" t="s">
        <v>1028</v>
      </c>
    </row>
    <row r="165" spans="1:1" hidden="1">
      <c r="A165" t="s">
        <v>1029</v>
      </c>
    </row>
    <row r="166" spans="1:1" hidden="1">
      <c r="A166" t="s">
        <v>1030</v>
      </c>
    </row>
    <row r="167" spans="1:1" hidden="1">
      <c r="A167" t="s">
        <v>1031</v>
      </c>
    </row>
    <row r="168" spans="1:1" hidden="1">
      <c r="A168" t="s">
        <v>1032</v>
      </c>
    </row>
    <row r="169" spans="1:1" hidden="1">
      <c r="A169" t="s">
        <v>1033</v>
      </c>
    </row>
    <row r="170" spans="1:1" hidden="1">
      <c r="A170" t="s">
        <v>1034</v>
      </c>
    </row>
    <row r="171" spans="1:1" hidden="1">
      <c r="A171" t="s">
        <v>1035</v>
      </c>
    </row>
    <row r="172" spans="1:1" hidden="1">
      <c r="A172" t="s">
        <v>1036</v>
      </c>
    </row>
    <row r="173" spans="1:1" hidden="1"/>
  </sheetData>
  <mergeCells count="161">
    <mergeCell ref="A107:I107"/>
    <mergeCell ref="A108:I108"/>
    <mergeCell ref="A109:I109"/>
    <mergeCell ref="A98:I98"/>
    <mergeCell ref="A99:I99"/>
    <mergeCell ref="A100:I100"/>
    <mergeCell ref="A101:I101"/>
    <mergeCell ref="A102:I102"/>
    <mergeCell ref="A103:I103"/>
    <mergeCell ref="A104:I104"/>
    <mergeCell ref="A105:I105"/>
    <mergeCell ref="A106:I106"/>
    <mergeCell ref="A142:C142"/>
    <mergeCell ref="D142:G142"/>
    <mergeCell ref="A119:B119"/>
    <mergeCell ref="A122:B122"/>
    <mergeCell ref="C140:D140"/>
    <mergeCell ref="A121:B121"/>
    <mergeCell ref="A120:B120"/>
    <mergeCell ref="A131:I131"/>
    <mergeCell ref="A132:I132"/>
    <mergeCell ref="A140:B140"/>
    <mergeCell ref="F140:G140"/>
    <mergeCell ref="B135:G135"/>
    <mergeCell ref="B136:G136"/>
    <mergeCell ref="B137:G137"/>
    <mergeCell ref="H140:I140"/>
    <mergeCell ref="B139:G139"/>
    <mergeCell ref="A133:I133"/>
    <mergeCell ref="A15:I15"/>
    <mergeCell ref="H14:I14"/>
    <mergeCell ref="A118:B118"/>
    <mergeCell ref="A72:B72"/>
    <mergeCell ref="A74:B74"/>
    <mergeCell ref="A45:I45"/>
    <mergeCell ref="C74:D74"/>
    <mergeCell ref="A71:I71"/>
    <mergeCell ref="A76:I76"/>
    <mergeCell ref="A93:I93"/>
    <mergeCell ref="C14:D14"/>
    <mergeCell ref="E14:G14"/>
    <mergeCell ref="C21:H21"/>
    <mergeCell ref="C22:H22"/>
    <mergeCell ref="A27:B27"/>
    <mergeCell ref="C27:H27"/>
    <mergeCell ref="A23:B23"/>
    <mergeCell ref="A24:B24"/>
    <mergeCell ref="A78:I78"/>
    <mergeCell ref="A79:I79"/>
    <mergeCell ref="A80:I80"/>
    <mergeCell ref="B81:C81"/>
    <mergeCell ref="A84:I84"/>
    <mergeCell ref="A85:I85"/>
    <mergeCell ref="G4:I5"/>
    <mergeCell ref="G6:H6"/>
    <mergeCell ref="B34:G34"/>
    <mergeCell ref="F11:I11"/>
    <mergeCell ref="F12:I12"/>
    <mergeCell ref="A16:B16"/>
    <mergeCell ref="C16:I16"/>
    <mergeCell ref="A13:I13"/>
    <mergeCell ref="A11:E11"/>
    <mergeCell ref="A12:E12"/>
    <mergeCell ref="A6:C6"/>
    <mergeCell ref="A7:C7"/>
    <mergeCell ref="A8:C8"/>
    <mergeCell ref="D7:F7"/>
    <mergeCell ref="D8:F8"/>
    <mergeCell ref="A17:E17"/>
    <mergeCell ref="A18:E18"/>
    <mergeCell ref="F17:I17"/>
    <mergeCell ref="F18:I18"/>
    <mergeCell ref="A19:I19"/>
    <mergeCell ref="A20:B20"/>
    <mergeCell ref="A21:B21"/>
    <mergeCell ref="A22:B22"/>
    <mergeCell ref="C20:H20"/>
    <mergeCell ref="A25:B25"/>
    <mergeCell ref="A26:B26"/>
    <mergeCell ref="C23:H23"/>
    <mergeCell ref="C24:H24"/>
    <mergeCell ref="C25:H25"/>
    <mergeCell ref="C26:H26"/>
    <mergeCell ref="B36:G36"/>
    <mergeCell ref="A32:I32"/>
    <mergeCell ref="D33:H33"/>
    <mergeCell ref="A29:I29"/>
    <mergeCell ref="A30:E30"/>
    <mergeCell ref="A31:E31"/>
    <mergeCell ref="F30:I30"/>
    <mergeCell ref="F31:I31"/>
    <mergeCell ref="B35:G35"/>
    <mergeCell ref="A39:I39"/>
    <mergeCell ref="F41:G41"/>
    <mergeCell ref="B38:G38"/>
    <mergeCell ref="C72:D72"/>
    <mergeCell ref="A90:I90"/>
    <mergeCell ref="A91:I91"/>
    <mergeCell ref="B92:C92"/>
    <mergeCell ref="A96:I96"/>
    <mergeCell ref="A97:I97"/>
    <mergeCell ref="A95:I95"/>
    <mergeCell ref="B94:G94"/>
    <mergeCell ref="A77:I77"/>
    <mergeCell ref="A75:I75"/>
    <mergeCell ref="A73:I73"/>
    <mergeCell ref="B42:G42"/>
    <mergeCell ref="C41:D41"/>
    <mergeCell ref="H41:I41"/>
    <mergeCell ref="B83:C83"/>
    <mergeCell ref="A87:I87"/>
    <mergeCell ref="A88:I88"/>
    <mergeCell ref="B86:C86"/>
    <mergeCell ref="A82:I82"/>
    <mergeCell ref="B89:G89"/>
    <mergeCell ref="A113:I113"/>
    <mergeCell ref="A115:I115"/>
    <mergeCell ref="A117:B117"/>
    <mergeCell ref="C117:D117"/>
    <mergeCell ref="C116:D116"/>
    <mergeCell ref="A127:I127"/>
    <mergeCell ref="A128:I128"/>
    <mergeCell ref="A110:I110"/>
    <mergeCell ref="A111:I111"/>
    <mergeCell ref="B112:D112"/>
    <mergeCell ref="E112:F112"/>
    <mergeCell ref="G112:I112"/>
    <mergeCell ref="B114:D114"/>
    <mergeCell ref="E114:F114"/>
    <mergeCell ref="G114:I114"/>
    <mergeCell ref="C120:D120"/>
    <mergeCell ref="E116:I122"/>
    <mergeCell ref="C118:D118"/>
    <mergeCell ref="C119:D119"/>
    <mergeCell ref="A126:I126"/>
    <mergeCell ref="C121:D121"/>
    <mergeCell ref="C122:D122"/>
    <mergeCell ref="A3:H3"/>
    <mergeCell ref="D9:E9"/>
    <mergeCell ref="A9:B9"/>
    <mergeCell ref="G8:I8"/>
    <mergeCell ref="D4:F4"/>
    <mergeCell ref="D5:F5"/>
    <mergeCell ref="D6:F6"/>
    <mergeCell ref="A4:C4"/>
    <mergeCell ref="B141:H141"/>
    <mergeCell ref="A10:C10"/>
    <mergeCell ref="D10:I10"/>
    <mergeCell ref="A14:B14"/>
    <mergeCell ref="A46:H46"/>
    <mergeCell ref="A43:I43"/>
    <mergeCell ref="A44:I44"/>
    <mergeCell ref="A41:B41"/>
    <mergeCell ref="A5:C5"/>
    <mergeCell ref="A40:I40"/>
    <mergeCell ref="G7:H7"/>
    <mergeCell ref="A130:I130"/>
    <mergeCell ref="A116:B116"/>
    <mergeCell ref="E123:I123"/>
    <mergeCell ref="A124:I124"/>
    <mergeCell ref="A125:I125"/>
  </mergeCells>
  <phoneticPr fontId="28" type="noConversion"/>
  <conditionalFormatting sqref="B134:B137 B139 C140 H140">
    <cfRule type="cellIs" dxfId="1" priority="2" operator="equal">
      <formula>0</formula>
    </cfRule>
  </conditionalFormatting>
  <conditionalFormatting sqref="D134:H134">
    <cfRule type="cellIs" dxfId="0" priority="1" operator="equal">
      <formula>0</formula>
    </cfRule>
  </conditionalFormatting>
  <hyperlinks>
    <hyperlink ref="B141" r:id="rId1" display="proposal@jhpiego.net" xr:uid="{00000000-0004-0000-1300-000000000000}"/>
    <hyperlink ref="B42" r:id="rId2" display="proposal@jhpiego.net" xr:uid="{00000000-0004-0000-1300-000001000000}"/>
    <hyperlink ref="B42:G42" r:id="rId3" display="proposal@jhpiego.org" xr:uid="{00000000-0004-0000-1300-000002000000}"/>
  </hyperlinks>
  <printOptions horizontalCentered="1" verticalCentered="1"/>
  <pageMargins left="0.25" right="0.25" top="0.25" bottom="0.25" header="0.5" footer="0.5"/>
  <pageSetup scale="95" fitToHeight="0" orientation="portrait" r:id="rId4"/>
  <headerFooter alignWithMargins="0"/>
  <rowBreaks count="2" manualBreakCount="2">
    <brk id="43" max="16383" man="1"/>
    <brk id="107" max="16383" man="1"/>
  </rowBreaks>
  <drawing r:id="rId5"/>
  <tableParts count="2">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pageSetUpPr fitToPage="1"/>
  </sheetPr>
  <dimension ref="A1:M61"/>
  <sheetViews>
    <sheetView zoomScaleNormal="100" zoomScaleSheetLayoutView="85" workbookViewId="0">
      <selection activeCell="B136" sqref="B136:G136"/>
    </sheetView>
  </sheetViews>
  <sheetFormatPr defaultColWidth="8.71875" defaultRowHeight="12.3"/>
  <cols>
    <col min="1" max="1" width="2.71875" style="38" customWidth="1"/>
    <col min="2" max="2" width="18" style="38" customWidth="1"/>
    <col min="3" max="3" width="20" style="38" customWidth="1"/>
    <col min="4" max="4" width="2.27734375" style="38" customWidth="1"/>
    <col min="5" max="5" width="14.44140625" style="38" customWidth="1"/>
    <col min="6" max="6" width="2.27734375" style="38" customWidth="1"/>
    <col min="7" max="7" width="14.27734375" style="38" customWidth="1"/>
    <col min="8" max="8" width="2" style="38" customWidth="1"/>
    <col min="9" max="9" width="14.44140625" style="38" customWidth="1"/>
    <col min="10" max="10" width="2.27734375" style="38" customWidth="1"/>
    <col min="11" max="11" width="14.44140625" style="38" customWidth="1"/>
    <col min="12" max="12" width="2.27734375" style="38" customWidth="1"/>
    <col min="13" max="13" width="14.44140625" style="38" customWidth="1"/>
    <col min="14" max="14" width="2.71875" customWidth="1"/>
    <col min="15" max="15" width="5.27734375" customWidth="1"/>
  </cols>
  <sheetData>
    <row r="1" spans="1:13" ht="11.25" customHeight="1">
      <c r="A1" s="205"/>
      <c r="B1" s="206"/>
      <c r="C1" s="207"/>
      <c r="D1" s="207"/>
      <c r="E1" s="207"/>
      <c r="F1" s="207"/>
      <c r="G1" s="207"/>
      <c r="H1" s="207"/>
      <c r="I1" s="207"/>
      <c r="J1" s="207"/>
      <c r="K1" s="1599" t="s">
        <v>1086</v>
      </c>
      <c r="L1" s="1599"/>
      <c r="M1" s="1601"/>
    </row>
    <row r="2" spans="1:13" ht="18" customHeight="1">
      <c r="A2" s="1602" t="s">
        <v>1087</v>
      </c>
      <c r="B2" s="1603"/>
      <c r="C2" s="1603"/>
      <c r="D2" s="1603"/>
      <c r="E2" s="1603"/>
      <c r="F2" s="1603"/>
      <c r="G2" s="1603"/>
      <c r="H2" s="1603"/>
      <c r="I2" s="1603"/>
      <c r="J2" s="1603"/>
      <c r="K2" s="1596" t="s">
        <v>1088</v>
      </c>
      <c r="L2" s="1596"/>
      <c r="M2" s="1597"/>
    </row>
    <row r="3" spans="1:13" ht="12" customHeight="1">
      <c r="A3" s="208"/>
      <c r="B3" s="209"/>
      <c r="C3" s="210"/>
      <c r="D3" s="210"/>
      <c r="E3" s="210"/>
      <c r="F3" s="210"/>
      <c r="G3" s="210"/>
      <c r="H3" s="210"/>
      <c r="I3" s="210"/>
      <c r="J3" s="210"/>
      <c r="K3" s="210"/>
      <c r="L3" s="210"/>
      <c r="M3" s="211"/>
    </row>
    <row r="4" spans="1:13" ht="20.25" customHeight="1">
      <c r="A4" s="212" t="s">
        <v>1089</v>
      </c>
      <c r="B4" s="213"/>
      <c r="C4" s="213"/>
      <c r="D4" s="213"/>
      <c r="E4" s="213"/>
      <c r="F4" s="213"/>
      <c r="G4" s="213"/>
      <c r="H4" s="213"/>
      <c r="I4" s="213"/>
      <c r="J4" s="213"/>
      <c r="K4" s="213"/>
      <c r="L4" s="213"/>
      <c r="M4" s="214"/>
    </row>
    <row r="5" spans="1:13" ht="24.75" customHeight="1">
      <c r="A5" s="1610" t="s">
        <v>1090</v>
      </c>
      <c r="B5" s="1611"/>
      <c r="C5" s="1614" t="s">
        <v>1091</v>
      </c>
      <c r="D5" s="1616" t="s">
        <v>1092</v>
      </c>
      <c r="E5" s="1617"/>
      <c r="F5" s="1617"/>
      <c r="G5" s="1618"/>
      <c r="H5" s="1616" t="s">
        <v>1093</v>
      </c>
      <c r="I5" s="1617"/>
      <c r="J5" s="1617"/>
      <c r="K5" s="1617"/>
      <c r="L5" s="1617"/>
      <c r="M5" s="1618"/>
    </row>
    <row r="6" spans="1:13">
      <c r="A6" s="1612"/>
      <c r="B6" s="1613"/>
      <c r="C6" s="1615"/>
      <c r="D6" s="215" t="s">
        <v>1094</v>
      </c>
      <c r="E6" s="216"/>
      <c r="F6" s="215" t="s">
        <v>1095</v>
      </c>
      <c r="G6" s="216"/>
      <c r="H6" s="215" t="s">
        <v>1094</v>
      </c>
      <c r="I6" s="216"/>
      <c r="J6" s="215" t="s">
        <v>1095</v>
      </c>
      <c r="K6" s="216"/>
      <c r="L6" s="215" t="s">
        <v>240</v>
      </c>
      <c r="M6" s="217"/>
    </row>
    <row r="7" spans="1:13" ht="12" customHeight="1">
      <c r="A7" s="218" t="s">
        <v>1096</v>
      </c>
      <c r="B7" s="219"/>
      <c r="C7" s="220" t="s">
        <v>1097</v>
      </c>
      <c r="D7" s="218" t="s">
        <v>1098</v>
      </c>
      <c r="E7" s="219"/>
      <c r="F7" s="218" t="s">
        <v>1099</v>
      </c>
      <c r="G7" s="219"/>
      <c r="H7" s="218" t="s">
        <v>1100</v>
      </c>
      <c r="I7" s="219"/>
      <c r="J7" s="218" t="s">
        <v>1101</v>
      </c>
      <c r="K7" s="219"/>
      <c r="L7" s="218" t="s">
        <v>1102</v>
      </c>
      <c r="M7" s="221"/>
    </row>
    <row r="8" spans="1:13" ht="85.15" customHeight="1">
      <c r="A8" s="222" t="s">
        <v>1103</v>
      </c>
      <c r="B8" s="223"/>
      <c r="C8" s="224" t="s">
        <v>1104</v>
      </c>
      <c r="D8" s="225"/>
      <c r="E8" s="226">
        <v>0</v>
      </c>
      <c r="F8" s="227"/>
      <c r="G8" s="226">
        <v>0</v>
      </c>
      <c r="H8" s="227"/>
      <c r="I8" s="228" t="e">
        <f>#REF!</f>
        <v>#REF!</v>
      </c>
      <c r="J8" s="225"/>
      <c r="K8" s="229">
        <v>0</v>
      </c>
      <c r="L8" s="230"/>
      <c r="M8" s="231" t="e">
        <f>SUM(E8:K8)</f>
        <v>#REF!</v>
      </c>
    </row>
    <row r="9" spans="1:13" ht="85.15" customHeight="1">
      <c r="A9" s="222" t="s">
        <v>1105</v>
      </c>
      <c r="B9" s="232"/>
      <c r="C9" s="224"/>
      <c r="D9" s="230"/>
      <c r="E9" s="233"/>
      <c r="F9" s="230"/>
      <c r="G9" s="233"/>
      <c r="H9" s="230"/>
      <c r="I9" s="233" t="s">
        <v>306</v>
      </c>
      <c r="J9" s="230"/>
      <c r="K9" s="234" t="s">
        <v>306</v>
      </c>
      <c r="L9" s="230"/>
      <c r="M9" s="231">
        <f>SUM(E9:K9)</f>
        <v>0</v>
      </c>
    </row>
    <row r="10" spans="1:13" ht="85.15" customHeight="1">
      <c r="A10" s="222" t="s">
        <v>1106</v>
      </c>
      <c r="B10" s="232"/>
      <c r="C10" s="230"/>
      <c r="D10" s="230"/>
      <c r="E10" s="233"/>
      <c r="F10" s="230"/>
      <c r="G10" s="233"/>
      <c r="H10" s="230"/>
      <c r="I10" s="233" t="s">
        <v>306</v>
      </c>
      <c r="J10" s="230"/>
      <c r="K10" s="234" t="s">
        <v>306</v>
      </c>
      <c r="L10" s="230"/>
      <c r="M10" s="231">
        <f>SUM(E10:K10)</f>
        <v>0</v>
      </c>
    </row>
    <row r="11" spans="1:13" ht="85.15" customHeight="1">
      <c r="A11" s="222" t="s">
        <v>1107</v>
      </c>
      <c r="B11" s="232"/>
      <c r="C11" s="230"/>
      <c r="D11" s="230"/>
      <c r="E11" s="233"/>
      <c r="F11" s="230"/>
      <c r="G11" s="233"/>
      <c r="H11" s="230"/>
      <c r="I11" s="233" t="s">
        <v>306</v>
      </c>
      <c r="J11" s="230"/>
      <c r="K11" s="234" t="s">
        <v>306</v>
      </c>
      <c r="L11" s="230"/>
      <c r="M11" s="231">
        <f>SUM(E11:K11)</f>
        <v>0</v>
      </c>
    </row>
    <row r="12" spans="1:13" ht="20.25" customHeight="1">
      <c r="A12" s="222" t="s">
        <v>1108</v>
      </c>
      <c r="B12" s="222"/>
      <c r="C12" s="230" t="s">
        <v>306</v>
      </c>
      <c r="D12" s="230"/>
      <c r="E12" s="233">
        <f>SUM(E8:E11)</f>
        <v>0</v>
      </c>
      <c r="F12" s="230"/>
      <c r="G12" s="233">
        <f>SUM(G8:G11)</f>
        <v>0</v>
      </c>
      <c r="H12" s="230"/>
      <c r="I12" s="226" t="e">
        <f>SUM(I8:I11)</f>
        <v>#REF!</v>
      </c>
      <c r="J12" s="230"/>
      <c r="K12" s="226">
        <f>SUM(K8:K11)</f>
        <v>0</v>
      </c>
      <c r="L12" s="230"/>
      <c r="M12" s="231" t="e">
        <f>SUM(M8:M11)</f>
        <v>#REF!</v>
      </c>
    </row>
    <row r="13" spans="1:13" s="1" customFormat="1" ht="12" customHeight="1">
      <c r="A13" s="206"/>
      <c r="B13" s="206"/>
      <c r="C13" s="206"/>
      <c r="D13" s="206"/>
      <c r="E13" s="206"/>
      <c r="F13" s="206"/>
      <c r="G13" s="235"/>
      <c r="H13" s="206"/>
      <c r="I13" s="206"/>
      <c r="J13" s="206"/>
      <c r="K13" s="1599" t="s">
        <v>1109</v>
      </c>
      <c r="L13" s="1599"/>
      <c r="M13" s="1599"/>
    </row>
    <row r="14" spans="1:13" s="1" customFormat="1" ht="12" customHeight="1">
      <c r="A14" s="236"/>
      <c r="B14" s="236"/>
      <c r="C14" s="236"/>
      <c r="D14" s="236"/>
      <c r="E14" s="236"/>
      <c r="F14" s="236"/>
      <c r="G14" s="237"/>
      <c r="H14" s="236"/>
      <c r="I14" s="236"/>
      <c r="J14" s="236"/>
      <c r="K14" s="1600" t="s">
        <v>1110</v>
      </c>
      <c r="L14" s="1600"/>
      <c r="M14" s="1600"/>
    </row>
    <row r="15" spans="1:13" ht="20.25" customHeight="1">
      <c r="A15" s="238" t="s">
        <v>1111</v>
      </c>
      <c r="B15" s="239"/>
      <c r="C15" s="239"/>
      <c r="D15" s="239"/>
      <c r="E15" s="239"/>
      <c r="F15" s="239"/>
      <c r="G15" s="239"/>
      <c r="H15" s="239"/>
      <c r="I15" s="239"/>
      <c r="J15" s="239"/>
      <c r="K15" s="239"/>
      <c r="L15" s="239"/>
      <c r="M15" s="240"/>
    </row>
    <row r="16" spans="1:13" ht="12" customHeight="1">
      <c r="A16" s="241"/>
      <c r="B16" s="236"/>
      <c r="C16" s="236"/>
      <c r="D16" s="242" t="s">
        <v>1112</v>
      </c>
      <c r="E16" s="243"/>
      <c r="F16" s="243"/>
      <c r="G16" s="243"/>
      <c r="H16" s="244"/>
      <c r="I16" s="244"/>
      <c r="J16" s="244"/>
      <c r="K16" s="245"/>
      <c r="L16" s="246" t="s">
        <v>240</v>
      </c>
      <c r="M16" s="247"/>
    </row>
    <row r="17" spans="1:13" ht="75" customHeight="1">
      <c r="A17" s="248" t="s">
        <v>1113</v>
      </c>
      <c r="B17" s="249"/>
      <c r="C17" s="250"/>
      <c r="D17" s="251" t="s">
        <v>1114</v>
      </c>
      <c r="E17" s="252">
        <f>$B$8</f>
        <v>0</v>
      </c>
      <c r="F17" s="251" t="s">
        <v>1115</v>
      </c>
      <c r="G17" s="253">
        <f>$B$9</f>
        <v>0</v>
      </c>
      <c r="H17" s="251" t="s">
        <v>1116</v>
      </c>
      <c r="I17" s="253">
        <f>$B$10</f>
        <v>0</v>
      </c>
      <c r="J17" s="251" t="s">
        <v>1117</v>
      </c>
      <c r="K17" s="254">
        <f>$B$11</f>
        <v>0</v>
      </c>
      <c r="L17" s="255" t="s">
        <v>1118</v>
      </c>
      <c r="M17" s="256"/>
    </row>
    <row r="18" spans="1:13" ht="30" customHeight="1">
      <c r="A18" s="257" t="s">
        <v>1119</v>
      </c>
      <c r="B18" s="258" t="s">
        <v>1120</v>
      </c>
      <c r="C18" s="259"/>
      <c r="D18" s="225"/>
      <c r="E18" s="233" t="e">
        <f>#REF!</f>
        <v>#REF!</v>
      </c>
      <c r="F18" s="225"/>
      <c r="G18" s="233"/>
      <c r="H18" s="225"/>
      <c r="I18" s="233"/>
      <c r="J18" s="225"/>
      <c r="K18" s="233"/>
      <c r="L18" s="230"/>
      <c r="M18" s="260" t="e">
        <f>SUM(E18:K18)</f>
        <v>#REF!</v>
      </c>
    </row>
    <row r="19" spans="1:13" ht="30" customHeight="1">
      <c r="A19" s="257"/>
      <c r="B19" s="258" t="s">
        <v>1121</v>
      </c>
      <c r="C19" s="259"/>
      <c r="D19" s="230"/>
      <c r="E19" s="233" t="e">
        <f>#REF!</f>
        <v>#REF!</v>
      </c>
      <c r="F19" s="230" t="s">
        <v>306</v>
      </c>
      <c r="G19" s="233"/>
      <c r="H19" s="230"/>
      <c r="I19" s="233"/>
      <c r="J19" s="230"/>
      <c r="K19" s="233"/>
      <c r="L19" s="230"/>
      <c r="M19" s="260" t="e">
        <f t="shared" ref="M19:M28" si="0">SUM(E19:K19)</f>
        <v>#REF!</v>
      </c>
    </row>
    <row r="20" spans="1:13" ht="30" customHeight="1">
      <c r="A20" s="257"/>
      <c r="B20" s="258" t="s">
        <v>1122</v>
      </c>
      <c r="C20" s="259"/>
      <c r="D20" s="230"/>
      <c r="E20" s="233" t="e">
        <f>#REF!</f>
        <v>#REF!</v>
      </c>
      <c r="F20" s="230" t="s">
        <v>306</v>
      </c>
      <c r="G20" s="233"/>
      <c r="H20" s="230"/>
      <c r="I20" s="233"/>
      <c r="J20" s="230"/>
      <c r="K20" s="233"/>
      <c r="L20" s="230"/>
      <c r="M20" s="260" t="e">
        <f t="shared" si="0"/>
        <v>#REF!</v>
      </c>
    </row>
    <row r="21" spans="1:13" ht="30" customHeight="1">
      <c r="A21" s="257"/>
      <c r="B21" s="258" t="s">
        <v>1123</v>
      </c>
      <c r="C21" s="259"/>
      <c r="D21" s="230"/>
      <c r="E21" s="233" t="e">
        <f>#REF!</f>
        <v>#REF!</v>
      </c>
      <c r="F21" s="230" t="s">
        <v>306</v>
      </c>
      <c r="G21" s="233"/>
      <c r="H21" s="230"/>
      <c r="I21" s="233"/>
      <c r="J21" s="230"/>
      <c r="K21" s="233"/>
      <c r="L21" s="230"/>
      <c r="M21" s="260" t="e">
        <f t="shared" si="0"/>
        <v>#REF!</v>
      </c>
    </row>
    <row r="22" spans="1:13" ht="30" customHeight="1">
      <c r="A22" s="257"/>
      <c r="B22" s="258" t="s">
        <v>1124</v>
      </c>
      <c r="C22" s="259"/>
      <c r="D22" s="230"/>
      <c r="E22" s="233" t="e">
        <f>#REF!</f>
        <v>#REF!</v>
      </c>
      <c r="F22" s="230" t="s">
        <v>306</v>
      </c>
      <c r="G22" s="233"/>
      <c r="H22" s="230"/>
      <c r="I22" s="233"/>
      <c r="J22" s="230"/>
      <c r="K22" s="233"/>
      <c r="L22" s="230"/>
      <c r="M22" s="260" t="e">
        <f t="shared" si="0"/>
        <v>#REF!</v>
      </c>
    </row>
    <row r="23" spans="1:13" ht="30" customHeight="1">
      <c r="A23" s="257"/>
      <c r="B23" s="258" t="s">
        <v>1125</v>
      </c>
      <c r="C23" s="259"/>
      <c r="D23" s="230"/>
      <c r="E23" s="233" t="e">
        <f>#REF!</f>
        <v>#REF!</v>
      </c>
      <c r="F23" s="230" t="s">
        <v>306</v>
      </c>
      <c r="G23" s="233"/>
      <c r="H23" s="230"/>
      <c r="I23" s="233"/>
      <c r="J23" s="230"/>
      <c r="K23" s="233"/>
      <c r="L23" s="230"/>
      <c r="M23" s="260" t="e">
        <f t="shared" si="0"/>
        <v>#REF!</v>
      </c>
    </row>
    <row r="24" spans="1:13" ht="30" customHeight="1">
      <c r="A24" s="257"/>
      <c r="B24" s="258" t="s">
        <v>1126</v>
      </c>
      <c r="C24" s="259"/>
      <c r="D24" s="230"/>
      <c r="E24" s="233"/>
      <c r="F24" s="230" t="s">
        <v>306</v>
      </c>
      <c r="G24" s="233"/>
      <c r="H24" s="230"/>
      <c r="I24" s="233"/>
      <c r="J24" s="230"/>
      <c r="K24" s="233"/>
      <c r="L24" s="230"/>
      <c r="M24" s="260">
        <f t="shared" si="0"/>
        <v>0</v>
      </c>
    </row>
    <row r="25" spans="1:13" ht="30" customHeight="1">
      <c r="A25" s="257"/>
      <c r="B25" s="258" t="s">
        <v>1127</v>
      </c>
      <c r="C25" s="259"/>
      <c r="D25" s="230"/>
      <c r="E25" s="233" t="e">
        <f>#REF!</f>
        <v>#REF!</v>
      </c>
      <c r="F25" s="230" t="s">
        <v>306</v>
      </c>
      <c r="G25" s="233"/>
      <c r="H25" s="230"/>
      <c r="I25" s="233"/>
      <c r="J25" s="230"/>
      <c r="K25" s="233"/>
      <c r="L25" s="230"/>
      <c r="M25" s="260" t="e">
        <f t="shared" si="0"/>
        <v>#REF!</v>
      </c>
    </row>
    <row r="26" spans="1:13" ht="30" customHeight="1">
      <c r="A26" s="257"/>
      <c r="B26" s="258" t="s">
        <v>1128</v>
      </c>
      <c r="C26" s="261"/>
      <c r="D26" s="230"/>
      <c r="E26" s="233" t="e">
        <f>SUM(E18:E25)</f>
        <v>#REF!</v>
      </c>
      <c r="F26" s="230" t="s">
        <v>306</v>
      </c>
      <c r="G26" s="233"/>
      <c r="H26" s="230" t="s">
        <v>306</v>
      </c>
      <c r="I26" s="233"/>
      <c r="J26" s="230" t="s">
        <v>306</v>
      </c>
      <c r="K26" s="233"/>
      <c r="L26" s="230"/>
      <c r="M26" s="260" t="e">
        <f t="shared" si="0"/>
        <v>#REF!</v>
      </c>
    </row>
    <row r="27" spans="1:13" ht="30" customHeight="1">
      <c r="A27" s="257"/>
      <c r="B27" s="258" t="s">
        <v>1129</v>
      </c>
      <c r="C27" s="259"/>
      <c r="D27" s="230"/>
      <c r="E27" s="233" t="e">
        <f>#REF!</f>
        <v>#REF!</v>
      </c>
      <c r="F27" s="230" t="s">
        <v>306</v>
      </c>
      <c r="G27" s="233"/>
      <c r="H27" s="230" t="s">
        <v>306</v>
      </c>
      <c r="I27" s="233"/>
      <c r="J27" s="230" t="s">
        <v>306</v>
      </c>
      <c r="K27" s="233"/>
      <c r="L27" s="230"/>
      <c r="M27" s="260" t="e">
        <f t="shared" si="0"/>
        <v>#REF!</v>
      </c>
    </row>
    <row r="28" spans="1:13" ht="30" customHeight="1">
      <c r="A28" s="257"/>
      <c r="B28" s="258" t="s">
        <v>1130</v>
      </c>
      <c r="C28" s="259"/>
      <c r="D28" s="230"/>
      <c r="E28" s="233" t="e">
        <f>SUM(E26:E27)</f>
        <v>#REF!</v>
      </c>
      <c r="F28" s="230" t="s">
        <v>306</v>
      </c>
      <c r="G28" s="233"/>
      <c r="H28" s="230" t="s">
        <v>306</v>
      </c>
      <c r="I28" s="233"/>
      <c r="J28" s="230" t="s">
        <v>306</v>
      </c>
      <c r="K28" s="233"/>
      <c r="L28" s="230"/>
      <c r="M28" s="260" t="e">
        <f t="shared" si="0"/>
        <v>#REF!</v>
      </c>
    </row>
    <row r="29" spans="1:13" ht="12" customHeight="1">
      <c r="A29" s="262" t="s">
        <v>306</v>
      </c>
      <c r="B29" s="263"/>
      <c r="C29" s="263"/>
      <c r="D29" s="263"/>
      <c r="E29" s="263"/>
      <c r="F29" s="263"/>
      <c r="G29" s="263"/>
      <c r="H29" s="263"/>
      <c r="I29" s="263"/>
      <c r="J29" s="263"/>
      <c r="K29" s="263"/>
      <c r="L29" s="263"/>
      <c r="M29" s="264"/>
    </row>
    <row r="30" spans="1:13" ht="30" customHeight="1">
      <c r="A30" s="257" t="s">
        <v>1131</v>
      </c>
      <c r="B30" s="258"/>
      <c r="C30" s="259"/>
      <c r="D30" s="265"/>
      <c r="E30" s="234">
        <v>0</v>
      </c>
      <c r="F30" s="230"/>
      <c r="G30" s="233">
        <v>0</v>
      </c>
      <c r="H30" s="230"/>
      <c r="I30" s="233">
        <v>0</v>
      </c>
      <c r="J30" s="230"/>
      <c r="K30" s="233">
        <v>0</v>
      </c>
      <c r="L30" s="230"/>
      <c r="M30" s="231">
        <v>0</v>
      </c>
    </row>
    <row r="31" spans="1:13" ht="12" customHeight="1">
      <c r="A31" s="206"/>
      <c r="B31" s="206"/>
      <c r="C31" s="206"/>
      <c r="D31" s="206"/>
      <c r="E31" s="206"/>
      <c r="F31" s="206"/>
      <c r="G31" s="235" t="s">
        <v>1083</v>
      </c>
      <c r="H31" s="206"/>
      <c r="I31" s="206"/>
      <c r="J31" s="206"/>
      <c r="K31" s="1599" t="s">
        <v>1109</v>
      </c>
      <c r="L31" s="1599"/>
      <c r="M31" s="1599"/>
    </row>
    <row r="32" spans="1:13" ht="12" customHeight="1">
      <c r="A32" s="236"/>
      <c r="B32" s="236"/>
      <c r="C32" s="236"/>
      <c r="D32" s="236"/>
      <c r="E32" s="236"/>
      <c r="F32" s="236"/>
      <c r="G32" s="237"/>
      <c r="H32" s="236"/>
      <c r="I32" s="236"/>
      <c r="J32" s="236"/>
      <c r="K32" s="1600" t="s">
        <v>1132</v>
      </c>
      <c r="L32" s="1600"/>
      <c r="M32" s="1600"/>
    </row>
    <row r="33" spans="1:13" ht="12" customHeight="1">
      <c r="A33" s="37"/>
      <c r="B33" s="37"/>
      <c r="C33" s="37"/>
      <c r="D33" s="37"/>
      <c r="E33" s="37"/>
      <c r="F33" s="37"/>
      <c r="G33" s="91"/>
      <c r="H33" s="37"/>
      <c r="I33" s="37"/>
      <c r="J33" s="37"/>
      <c r="K33" s="90"/>
      <c r="L33" s="90"/>
      <c r="M33" s="90"/>
    </row>
    <row r="34" spans="1:13" s="64" customFormat="1" ht="20.25" customHeight="1">
      <c r="A34" s="267" t="s">
        <v>1133</v>
      </c>
      <c r="B34" s="268"/>
      <c r="C34" s="268"/>
      <c r="D34" s="268"/>
      <c r="E34" s="268"/>
      <c r="F34" s="268"/>
      <c r="G34" s="268"/>
      <c r="H34" s="268"/>
      <c r="I34" s="268"/>
      <c r="J34" s="268"/>
      <c r="K34" s="268"/>
      <c r="L34" s="268"/>
      <c r="M34" s="269"/>
    </row>
    <row r="35" spans="1:13" ht="12" customHeight="1">
      <c r="A35" s="270" t="s">
        <v>1134</v>
      </c>
      <c r="B35" s="270"/>
      <c r="C35" s="271"/>
      <c r="D35" s="271"/>
      <c r="E35" s="271"/>
      <c r="F35" s="270" t="s">
        <v>1135</v>
      </c>
      <c r="G35" s="270"/>
      <c r="H35" s="270" t="s">
        <v>1136</v>
      </c>
      <c r="I35" s="270"/>
      <c r="J35" s="270" t="s">
        <v>1137</v>
      </c>
      <c r="K35" s="270"/>
      <c r="L35" s="272" t="s">
        <v>1138</v>
      </c>
      <c r="M35" s="272"/>
    </row>
    <row r="36" spans="1:13" ht="24" customHeight="1">
      <c r="A36" s="273" t="s">
        <v>1139</v>
      </c>
      <c r="B36" s="1594">
        <f>B8</f>
        <v>0</v>
      </c>
      <c r="C36" s="1594"/>
      <c r="D36" s="1594"/>
      <c r="E36" s="1595"/>
      <c r="F36" s="265"/>
      <c r="G36" s="233"/>
      <c r="H36" s="230"/>
      <c r="I36" s="233"/>
      <c r="J36" s="230"/>
      <c r="K36" s="233"/>
      <c r="L36" s="230"/>
      <c r="M36" s="231">
        <f>SUM(D36:K36)</f>
        <v>0</v>
      </c>
    </row>
    <row r="37" spans="1:13" ht="24" customHeight="1">
      <c r="A37" s="273" t="s">
        <v>1140</v>
      </c>
      <c r="B37" s="1594">
        <f>B9</f>
        <v>0</v>
      </c>
      <c r="C37" s="1594"/>
      <c r="D37" s="1594"/>
      <c r="E37" s="1595"/>
      <c r="F37" s="265"/>
      <c r="G37" s="233"/>
      <c r="H37" s="230"/>
      <c r="I37" s="233"/>
      <c r="J37" s="230"/>
      <c r="K37" s="233"/>
      <c r="L37" s="230"/>
      <c r="M37" s="231">
        <f>SUM(D37:K37)</f>
        <v>0</v>
      </c>
    </row>
    <row r="38" spans="1:13" ht="24" customHeight="1">
      <c r="A38" s="273" t="s">
        <v>1141</v>
      </c>
      <c r="B38" s="1594">
        <f>B10</f>
        <v>0</v>
      </c>
      <c r="C38" s="1594"/>
      <c r="D38" s="1594"/>
      <c r="E38" s="1595"/>
      <c r="F38" s="265"/>
      <c r="G38" s="233"/>
      <c r="H38" s="230"/>
      <c r="I38" s="233"/>
      <c r="J38" s="230"/>
      <c r="K38" s="233"/>
      <c r="L38" s="230"/>
      <c r="M38" s="231">
        <f>SUM(D38:K38)</f>
        <v>0</v>
      </c>
    </row>
    <row r="39" spans="1:13" ht="24" customHeight="1">
      <c r="A39" s="273" t="s">
        <v>1142</v>
      </c>
      <c r="B39" s="1594">
        <f>B11</f>
        <v>0</v>
      </c>
      <c r="C39" s="1594"/>
      <c r="D39" s="1594"/>
      <c r="E39" s="1595"/>
      <c r="F39" s="265"/>
      <c r="G39" s="233"/>
      <c r="H39" s="230"/>
      <c r="I39" s="233"/>
      <c r="J39" s="230"/>
      <c r="K39" s="233"/>
      <c r="L39" s="230"/>
      <c r="M39" s="231">
        <f>SUM(D39:K39)</f>
        <v>0</v>
      </c>
    </row>
    <row r="40" spans="1:13" ht="24" customHeight="1">
      <c r="A40" s="1619" t="s">
        <v>1143</v>
      </c>
      <c r="B40" s="1620"/>
      <c r="C40" s="1620"/>
      <c r="D40" s="274"/>
      <c r="E40" s="274"/>
      <c r="F40" s="265"/>
      <c r="G40" s="233">
        <f>SUM(G36:G39)</f>
        <v>0</v>
      </c>
      <c r="H40" s="230"/>
      <c r="I40" s="233">
        <f>SUM(I36:I39)</f>
        <v>0</v>
      </c>
      <c r="J40" s="230"/>
      <c r="K40" s="233">
        <f>SUM(K36:K39)</f>
        <v>0</v>
      </c>
      <c r="L40" s="230"/>
      <c r="M40" s="231">
        <f>SUM(D40:K40)</f>
        <v>0</v>
      </c>
    </row>
    <row r="41" spans="1:13" s="266" customFormat="1" ht="20.25" customHeight="1">
      <c r="A41" s="275" t="s">
        <v>1144</v>
      </c>
      <c r="B41" s="276"/>
      <c r="C41" s="276"/>
      <c r="D41" s="276"/>
      <c r="E41" s="276"/>
      <c r="F41" s="276"/>
      <c r="G41" s="276"/>
      <c r="H41" s="276"/>
      <c r="I41" s="276"/>
      <c r="J41" s="276"/>
      <c r="K41" s="276"/>
      <c r="L41" s="276"/>
      <c r="M41" s="277"/>
    </row>
    <row r="42" spans="1:13" ht="12" customHeight="1">
      <c r="A42" s="241"/>
      <c r="B42" s="236"/>
      <c r="C42" s="236"/>
      <c r="D42" s="242" t="s">
        <v>1145</v>
      </c>
      <c r="E42" s="244"/>
      <c r="F42" s="255" t="s">
        <v>1146</v>
      </c>
      <c r="G42" s="255"/>
      <c r="H42" s="255" t="s">
        <v>1147</v>
      </c>
      <c r="I42" s="278"/>
      <c r="J42" s="255" t="s">
        <v>1148</v>
      </c>
      <c r="K42" s="255"/>
      <c r="L42" s="279" t="s">
        <v>1149</v>
      </c>
      <c r="M42" s="256"/>
    </row>
    <row r="43" spans="1:13" ht="24" customHeight="1">
      <c r="A43" s="1621" t="s">
        <v>1150</v>
      </c>
      <c r="B43" s="1622"/>
      <c r="C43" s="1623"/>
      <c r="D43" s="280"/>
      <c r="E43" s="260" t="e">
        <f>#REF!</f>
        <v>#REF!</v>
      </c>
      <c r="F43" s="233"/>
      <c r="G43" s="233" t="e">
        <f>E43/4</f>
        <v>#REF!</v>
      </c>
      <c r="H43" s="281"/>
      <c r="I43" s="260" t="e">
        <f>E43/4</f>
        <v>#REF!</v>
      </c>
      <c r="J43" s="233"/>
      <c r="K43" s="282" t="e">
        <f>E43/4</f>
        <v>#REF!</v>
      </c>
      <c r="L43" s="233"/>
      <c r="M43" s="260" t="e">
        <f>E43/4</f>
        <v>#REF!</v>
      </c>
    </row>
    <row r="44" spans="1:13" ht="24" customHeight="1">
      <c r="A44" s="1619" t="s">
        <v>1151</v>
      </c>
      <c r="B44" s="1620"/>
      <c r="C44" s="1624"/>
      <c r="D44" s="230"/>
      <c r="E44" s="234">
        <v>0</v>
      </c>
      <c r="F44" s="230"/>
      <c r="G44" s="233">
        <f>E44/4</f>
        <v>0</v>
      </c>
      <c r="H44" s="230"/>
      <c r="I44" s="233">
        <f>E44/4</f>
        <v>0</v>
      </c>
      <c r="J44" s="230"/>
      <c r="K44" s="233">
        <f>E44/4</f>
        <v>0</v>
      </c>
      <c r="L44" s="230"/>
      <c r="M44" s="231">
        <f>E44/4</f>
        <v>0</v>
      </c>
    </row>
    <row r="45" spans="1:13" ht="24" customHeight="1">
      <c r="A45" s="1619" t="s">
        <v>1152</v>
      </c>
      <c r="B45" s="1620"/>
      <c r="C45" s="1624"/>
      <c r="D45" s="280"/>
      <c r="E45" s="233" t="e">
        <f>SUM(E43:E44)</f>
        <v>#REF!</v>
      </c>
      <c r="F45" s="230"/>
      <c r="G45" s="233" t="e">
        <f>SUM(G43:G44)</f>
        <v>#REF!</v>
      </c>
      <c r="H45" s="230"/>
      <c r="I45" s="233" t="e">
        <f>SUM(I43:I44)</f>
        <v>#REF!</v>
      </c>
      <c r="J45" s="230"/>
      <c r="K45" s="233" t="e">
        <f>SUM(K43:K44)</f>
        <v>#REF!</v>
      </c>
      <c r="L45" s="230"/>
      <c r="M45" s="260" t="e">
        <f>SUM(M43:M44)</f>
        <v>#REF!</v>
      </c>
    </row>
    <row r="46" spans="1:13" s="266" customFormat="1" ht="20.25" customHeight="1">
      <c r="A46" s="275" t="s">
        <v>1153</v>
      </c>
      <c r="B46" s="276"/>
      <c r="C46" s="276"/>
      <c r="D46" s="276"/>
      <c r="E46" s="276"/>
      <c r="F46" s="276"/>
      <c r="G46" s="276"/>
      <c r="H46" s="276"/>
      <c r="I46" s="276"/>
      <c r="J46" s="276"/>
      <c r="K46" s="276"/>
      <c r="L46" s="276"/>
      <c r="M46" s="277"/>
    </row>
    <row r="47" spans="1:13" ht="12" customHeight="1">
      <c r="A47" s="1604" t="s">
        <v>1134</v>
      </c>
      <c r="B47" s="1605"/>
      <c r="C47" s="1605"/>
      <c r="D47" s="1605"/>
      <c r="E47" s="1606"/>
      <c r="F47" s="283" t="s">
        <v>1154</v>
      </c>
      <c r="G47" s="284"/>
      <c r="H47" s="285"/>
      <c r="I47" s="285"/>
      <c r="J47" s="285"/>
      <c r="K47" s="285"/>
      <c r="L47" s="285"/>
      <c r="M47" s="286"/>
    </row>
    <row r="48" spans="1:13" ht="12" customHeight="1">
      <c r="A48" s="1607"/>
      <c r="B48" s="1608"/>
      <c r="C48" s="1608"/>
      <c r="D48" s="1608"/>
      <c r="E48" s="1609"/>
      <c r="F48" s="270" t="s">
        <v>1155</v>
      </c>
      <c r="G48" s="270"/>
      <c r="H48" s="270" t="s">
        <v>1156</v>
      </c>
      <c r="I48" s="271"/>
      <c r="J48" s="270" t="s">
        <v>1157</v>
      </c>
      <c r="K48" s="270"/>
      <c r="L48" s="272" t="s">
        <v>1158</v>
      </c>
      <c r="M48" s="287"/>
    </row>
    <row r="49" spans="1:13" ht="24" customHeight="1">
      <c r="A49" s="273" t="s">
        <v>1159</v>
      </c>
      <c r="B49" s="288">
        <f>B8</f>
        <v>0</v>
      </c>
      <c r="C49" s="261"/>
      <c r="D49" s="259"/>
      <c r="E49" s="259"/>
      <c r="F49" s="225"/>
      <c r="G49" s="233"/>
      <c r="H49" s="225"/>
      <c r="I49" s="233"/>
      <c r="J49" s="225"/>
      <c r="K49" s="233"/>
      <c r="L49" s="225"/>
      <c r="M49" s="231"/>
    </row>
    <row r="50" spans="1:13" ht="24" customHeight="1">
      <c r="A50" s="273" t="s">
        <v>1160</v>
      </c>
      <c r="B50" s="289">
        <f>$B$9</f>
        <v>0</v>
      </c>
      <c r="C50" s="261"/>
      <c r="D50" s="259"/>
      <c r="E50" s="259"/>
      <c r="F50" s="230"/>
      <c r="G50" s="233"/>
      <c r="H50" s="230"/>
      <c r="I50" s="233"/>
      <c r="J50" s="230"/>
      <c r="K50" s="233"/>
      <c r="L50" s="230"/>
      <c r="M50" s="231"/>
    </row>
    <row r="51" spans="1:13" ht="24" customHeight="1">
      <c r="A51" s="273" t="s">
        <v>1161</v>
      </c>
      <c r="B51" s="289">
        <f>$B$10</f>
        <v>0</v>
      </c>
      <c r="C51" s="261"/>
      <c r="D51" s="259"/>
      <c r="E51" s="259"/>
      <c r="F51" s="230"/>
      <c r="G51" s="233"/>
      <c r="H51" s="230"/>
      <c r="I51" s="233"/>
      <c r="J51" s="230"/>
      <c r="K51" s="233"/>
      <c r="L51" s="230"/>
      <c r="M51" s="231"/>
    </row>
    <row r="52" spans="1:13" ht="24" customHeight="1">
      <c r="A52" s="273" t="s">
        <v>1162</v>
      </c>
      <c r="B52" s="289">
        <f>$B$11</f>
        <v>0</v>
      </c>
      <c r="C52" s="261"/>
      <c r="D52" s="259"/>
      <c r="E52" s="259"/>
      <c r="F52" s="230"/>
      <c r="G52" s="233"/>
      <c r="H52" s="230"/>
      <c r="I52" s="233"/>
      <c r="J52" s="230"/>
      <c r="K52" s="233"/>
      <c r="L52" s="230"/>
      <c r="M52" s="231"/>
    </row>
    <row r="53" spans="1:13" ht="24" customHeight="1">
      <c r="A53" s="273" t="s">
        <v>1163</v>
      </c>
      <c r="B53" s="290"/>
      <c r="C53" s="291"/>
      <c r="D53" s="274"/>
      <c r="E53" s="274"/>
      <c r="F53" s="230"/>
      <c r="G53" s="260">
        <f>SUM(G49:G52)</f>
        <v>0</v>
      </c>
      <c r="H53" s="233"/>
      <c r="I53" s="233">
        <f>SUM(I49:I52)</f>
        <v>0</v>
      </c>
      <c r="J53" s="281"/>
      <c r="K53" s="260">
        <f>SUM(K49:K52)</f>
        <v>0</v>
      </c>
      <c r="L53" s="233"/>
      <c r="M53" s="260">
        <f>SUM(M49:M52)</f>
        <v>0</v>
      </c>
    </row>
    <row r="54" spans="1:13" s="64" customFormat="1" ht="20.25" customHeight="1">
      <c r="A54" s="292" t="s">
        <v>1164</v>
      </c>
      <c r="B54" s="293"/>
      <c r="C54" s="294"/>
      <c r="D54" s="293"/>
      <c r="E54" s="293"/>
      <c r="F54" s="293"/>
      <c r="G54" s="293"/>
      <c r="H54" s="293"/>
      <c r="I54" s="293"/>
      <c r="J54" s="293"/>
      <c r="K54" s="293"/>
      <c r="L54" s="293"/>
      <c r="M54" s="295"/>
    </row>
    <row r="55" spans="1:13" ht="13.15" customHeight="1">
      <c r="A55" s="296" t="s">
        <v>1165</v>
      </c>
      <c r="B55" s="297"/>
      <c r="C55" s="298" t="e">
        <f>#REF!-#REF!</f>
        <v>#REF!</v>
      </c>
      <c r="D55" s="206"/>
      <c r="E55" s="206"/>
      <c r="F55" s="296" t="s">
        <v>1166</v>
      </c>
      <c r="G55" s="297"/>
      <c r="H55" s="298"/>
      <c r="I55" s="299" t="e">
        <f>#REF!</f>
        <v>#REF!</v>
      </c>
      <c r="J55" s="300"/>
      <c r="K55" s="301"/>
      <c r="L55" s="301"/>
      <c r="M55" s="302"/>
    </row>
    <row r="56" spans="1:13" ht="13.15" customHeight="1">
      <c r="A56" s="248"/>
      <c r="B56" s="249"/>
      <c r="C56" s="233"/>
      <c r="D56" s="250"/>
      <c r="E56" s="250"/>
      <c r="F56" s="248"/>
      <c r="G56" s="250"/>
      <c r="H56" s="233"/>
      <c r="I56" s="303"/>
      <c r="J56" s="304"/>
      <c r="K56" s="305"/>
      <c r="L56" s="305"/>
      <c r="M56" s="306"/>
    </row>
    <row r="57" spans="1:13" ht="27" customHeight="1">
      <c r="A57" s="307" t="s">
        <v>1167</v>
      </c>
      <c r="B57" s="308" t="s">
        <v>1168</v>
      </c>
      <c r="C57" s="309"/>
      <c r="D57" s="309"/>
      <c r="E57" s="309"/>
      <c r="F57" s="309"/>
      <c r="G57" s="309"/>
      <c r="H57" s="309"/>
      <c r="I57" s="309"/>
      <c r="J57" s="309"/>
      <c r="K57" s="309"/>
      <c r="L57" s="309"/>
      <c r="M57" s="310"/>
    </row>
    <row r="58" spans="1:13" ht="12" customHeight="1">
      <c r="A58" s="1598" t="s">
        <v>1083</v>
      </c>
      <c r="B58" s="1598"/>
      <c r="C58" s="1598"/>
      <c r="D58" s="1598"/>
      <c r="E58" s="1598"/>
      <c r="F58" s="1598"/>
      <c r="G58" s="1598"/>
      <c r="H58" s="1598"/>
      <c r="I58" s="1598"/>
      <c r="J58" s="1598"/>
      <c r="K58" s="1598"/>
      <c r="L58" s="1598"/>
      <c r="M58" s="1598"/>
    </row>
    <row r="59" spans="1:13" s="1" customFormat="1" ht="12" customHeight="1">
      <c r="A59" s="311"/>
      <c r="B59" s="311"/>
      <c r="C59" s="236"/>
      <c r="D59" s="236"/>
      <c r="E59" s="236"/>
      <c r="F59" s="236"/>
      <c r="G59" s="236"/>
      <c r="H59" s="236"/>
      <c r="I59" s="236"/>
      <c r="J59" s="236"/>
      <c r="K59" s="312"/>
      <c r="L59" s="313"/>
      <c r="M59" s="313" t="s">
        <v>1109</v>
      </c>
    </row>
    <row r="60" spans="1:13" s="1" customFormat="1">
      <c r="A60" s="312"/>
      <c r="B60" s="312"/>
      <c r="C60" s="312"/>
      <c r="D60" s="312"/>
      <c r="E60" s="312"/>
      <c r="F60" s="312"/>
      <c r="G60" s="312"/>
      <c r="H60" s="312"/>
      <c r="I60" s="312"/>
      <c r="J60" s="312"/>
      <c r="K60" s="312"/>
      <c r="L60" s="312"/>
      <c r="M60" s="313" t="s">
        <v>1169</v>
      </c>
    </row>
    <row r="61" spans="1:13">
      <c r="A61" s="314"/>
      <c r="B61" s="314"/>
      <c r="C61" s="314"/>
      <c r="D61" s="314"/>
      <c r="E61" s="314"/>
      <c r="F61" s="314"/>
      <c r="G61" s="314"/>
      <c r="H61" s="314"/>
      <c r="I61" s="314"/>
      <c r="J61" s="314"/>
      <c r="K61" s="314"/>
      <c r="L61" s="314"/>
      <c r="M61" s="314"/>
    </row>
  </sheetData>
  <mergeCells count="21">
    <mergeCell ref="K1:M1"/>
    <mergeCell ref="A2:J2"/>
    <mergeCell ref="A47:E48"/>
    <mergeCell ref="A5:B6"/>
    <mergeCell ref="C5:C6"/>
    <mergeCell ref="D5:G5"/>
    <mergeCell ref="H5:M5"/>
    <mergeCell ref="A40:C40"/>
    <mergeCell ref="K31:M31"/>
    <mergeCell ref="K32:M32"/>
    <mergeCell ref="A43:C43"/>
    <mergeCell ref="A44:C44"/>
    <mergeCell ref="A45:C45"/>
    <mergeCell ref="B36:E36"/>
    <mergeCell ref="B37:E37"/>
    <mergeCell ref="B38:E38"/>
    <mergeCell ref="B39:E39"/>
    <mergeCell ref="K2:M2"/>
    <mergeCell ref="A58:M58"/>
    <mergeCell ref="K13:M13"/>
    <mergeCell ref="K14:M14"/>
  </mergeCells>
  <phoneticPr fontId="28" type="noConversion"/>
  <printOptions horizontalCentered="1"/>
  <pageMargins left="0.5" right="0.5" top="0.5" bottom="0.5" header="0" footer="0"/>
  <pageSetup fitToHeight="0" orientation="landscape" r:id="rId1"/>
  <headerFooter alignWithMargins="0"/>
  <rowBreaks count="2" manualBreakCount="2">
    <brk id="14" max="16383" man="1"/>
    <brk id="3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AD5D79-B206-451D-A38C-DC6F00910591}"/>
</file>

<file path=customXml/itemProps2.xml><?xml version="1.0" encoding="utf-8"?>
<ds:datastoreItem xmlns:ds="http://schemas.openxmlformats.org/officeDocument/2006/customXml" ds:itemID="{CE5D101D-F38C-4A99-8C8F-5BE1931D56D1}">
  <ds:schemaRefs>
    <ds:schemaRef ds:uri="http://schemas.microsoft.com/sharepoint/v3/contenttype/forms"/>
  </ds:schemaRefs>
</ds:datastoreItem>
</file>

<file path=customXml/itemProps3.xml><?xml version="1.0" encoding="utf-8"?>
<ds:datastoreItem xmlns:ds="http://schemas.openxmlformats.org/officeDocument/2006/customXml" ds:itemID="{07684526-136E-4762-8725-48AE18EB803A}">
  <ds:schemaRefs>
    <ds:schemaRef ds:uri="http://schemas.microsoft.com/office/2006/metadata/properties"/>
    <ds:schemaRef ds:uri="http://schemas.microsoft.com/office/infopath/2007/PartnerControls"/>
    <ds:schemaRef ds:uri="dc808d36-874f-4b27-aec2-2fd649817929"/>
    <ds:schemaRef ds:uri="3a684b84-d35d-4ed0-9b62-b4a83786fd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126</vt:i4>
      </vt:variant>
    </vt:vector>
  </HeadingPairs>
  <TitlesOfParts>
    <vt:vector size="146" baseType="lpstr">
      <vt:lpstr>AgroJusto Budget</vt:lpstr>
      <vt:lpstr> Activities Detail</vt:lpstr>
      <vt:lpstr>US &amp; Local Summaries</vt:lpstr>
      <vt:lpstr>TA Summary</vt:lpstr>
      <vt:lpstr>Funding By Partner</vt:lpstr>
      <vt:lpstr>LOE Table</vt:lpstr>
      <vt:lpstr>Total Budget by Sponsored Class</vt:lpstr>
      <vt:lpstr>US Costs by Sponsored Class</vt:lpstr>
      <vt:lpstr>Incountry Costs by GL USD</vt:lpstr>
      <vt:lpstr>IC by GL in LC</vt:lpstr>
      <vt:lpstr>Office Budget</vt:lpstr>
      <vt:lpstr>Assumptions</vt:lpstr>
      <vt:lpstr>Budget Summary</vt:lpstr>
      <vt:lpstr>INDES Sub Budget Summary </vt:lpstr>
      <vt:lpstr>INDES Sub Budget</vt:lpstr>
      <vt:lpstr>INDES Sub Activities Detail</vt:lpstr>
      <vt:lpstr>Travel</vt:lpstr>
      <vt:lpstr>HO LOE</vt:lpstr>
      <vt:lpstr>SF424</vt:lpstr>
      <vt:lpstr>SF424a</vt:lpstr>
      <vt:lpstr>agentfee</vt:lpstr>
      <vt:lpstr>avrent</vt:lpstr>
      <vt:lpstr>'SF424'!Check25</vt:lpstr>
      <vt:lpstr>'SF424'!Check26</vt:lpstr>
      <vt:lpstr>'SF424'!Check27</vt:lpstr>
      <vt:lpstr>'SF424'!Check28</vt:lpstr>
      <vt:lpstr>'SF424'!Check29</vt:lpstr>
      <vt:lpstr>'SF424'!Check30</vt:lpstr>
      <vt:lpstr>'SF424'!Check32</vt:lpstr>
      <vt:lpstr>'SF424'!Check33</vt:lpstr>
      <vt:lpstr>'SF424'!Check35</vt:lpstr>
      <vt:lpstr>'SF424'!Check36</vt:lpstr>
      <vt:lpstr>coffee</vt:lpstr>
      <vt:lpstr>consairfare</vt:lpstr>
      <vt:lpstr>consground</vt:lpstr>
      <vt:lpstr>conslodg</vt:lpstr>
      <vt:lpstr>consmeals</vt:lpstr>
      <vt:lpstr>consmisc</vt:lpstr>
      <vt:lpstr>'SF424'!Dropdown1</vt:lpstr>
      <vt:lpstr>er</vt:lpstr>
      <vt:lpstr>ground</vt:lpstr>
      <vt:lpstr>guideprint</vt:lpstr>
      <vt:lpstr>inmuniz</vt:lpstr>
      <vt:lpstr>intairfare</vt:lpstr>
      <vt:lpstr>intcons</vt:lpstr>
      <vt:lpstr>intmisc</vt:lpstr>
      <vt:lpstr>localairfare</vt:lpstr>
      <vt:lpstr>localcons</vt:lpstr>
      <vt:lpstr>locallodg</vt:lpstr>
      <vt:lpstr>localmeals</vt:lpstr>
      <vt:lpstr>localmisc</vt:lpstr>
      <vt:lpstr>lunch</vt:lpstr>
      <vt:lpstr>mats</vt:lpstr>
      <vt:lpstr>medex</vt:lpstr>
      <vt:lpstr>partairfare</vt:lpstr>
      <vt:lpstr>partground</vt:lpstr>
      <vt:lpstr>partlodg</vt:lpstr>
      <vt:lpstr>partmats</vt:lpstr>
      <vt:lpstr>partmeals</vt:lpstr>
      <vt:lpstr>partmisc</vt:lpstr>
      <vt:lpstr>partprint</vt:lpstr>
      <vt:lpstr>parttransp</vt:lpstr>
      <vt:lpstr>print</vt:lpstr>
      <vt:lpstr>' Activities Detail'!Print_Area</vt:lpstr>
      <vt:lpstr>Assumptions!Print_Area</vt:lpstr>
      <vt:lpstr>'Funding By Partner'!Print_Area</vt:lpstr>
      <vt:lpstr>'IC by GL in LC'!Print_Area</vt:lpstr>
      <vt:lpstr>'Incountry Costs by GL USD'!Print_Area</vt:lpstr>
      <vt:lpstr>'LOE Table'!Print_Area</vt:lpstr>
      <vt:lpstr>'SF424'!Print_Area</vt:lpstr>
      <vt:lpstr>'TA Summary'!Print_Area</vt:lpstr>
      <vt:lpstr>'Total Budget by Sponsored Class'!Print_Area</vt:lpstr>
      <vt:lpstr>'US &amp; Local Summaries'!Print_Area</vt:lpstr>
      <vt:lpstr>'US Costs by Sponsored Class'!Print_Area</vt:lpstr>
      <vt:lpstr>' Activities Detail'!Print_Titles</vt:lpstr>
      <vt:lpstr>'Funding By Partner'!Print_Titles</vt:lpstr>
      <vt:lpstr>'IC by GL in LC'!Print_Titles</vt:lpstr>
      <vt:lpstr>'Incountry Costs by GL USD'!Print_Titles</vt:lpstr>
      <vt:lpstr>'LOE Table'!Print_Titles</vt:lpstr>
      <vt:lpstr>'TA Summary'!Print_Titles</vt:lpstr>
      <vt:lpstr>'Total Budget by Sponsored Class'!Print_Titles</vt:lpstr>
      <vt:lpstr>'US &amp; Local Summaries'!Print_Titles</vt:lpstr>
      <vt:lpstr>'US Costs by Sponsored Class'!Print_Titles</vt:lpstr>
      <vt:lpstr>regcons</vt:lpstr>
      <vt:lpstr>roomrent</vt:lpstr>
      <vt:lpstr>surveyor</vt:lpstr>
      <vt:lpstr>tdlunch</vt:lpstr>
      <vt:lpstr>'SF424'!Text1</vt:lpstr>
      <vt:lpstr>'SF424'!Text10</vt:lpstr>
      <vt:lpstr>'SF424'!Text11</vt:lpstr>
      <vt:lpstr>'SF424'!Text12</vt:lpstr>
      <vt:lpstr>'SF424'!Text13</vt:lpstr>
      <vt:lpstr>'SF424'!Text14</vt:lpstr>
      <vt:lpstr>'SF424'!Text15</vt:lpstr>
      <vt:lpstr>'SF424'!Text16</vt:lpstr>
      <vt:lpstr>'SF424'!Text17</vt:lpstr>
      <vt:lpstr>'SF424'!Text18</vt:lpstr>
      <vt:lpstr>'SF424'!Text19</vt:lpstr>
      <vt:lpstr>'SF424'!Text20</vt:lpstr>
      <vt:lpstr>'SF424'!Text22</vt:lpstr>
      <vt:lpstr>'SF424'!Text23</vt:lpstr>
      <vt:lpstr>'SF424'!Text24</vt:lpstr>
      <vt:lpstr>'SF424'!Text25</vt:lpstr>
      <vt:lpstr>'SF424'!Text26</vt:lpstr>
      <vt:lpstr>'SF424'!Text27</vt:lpstr>
      <vt:lpstr>'SF424'!Text29</vt:lpstr>
      <vt:lpstr>'SF424'!Text3</vt:lpstr>
      <vt:lpstr>'SF424'!Text30</vt:lpstr>
      <vt:lpstr>'SF424'!Text31</vt:lpstr>
      <vt:lpstr>'SF424'!Text32</vt:lpstr>
      <vt:lpstr>'SF424'!Text33</vt:lpstr>
      <vt:lpstr>'SF424'!Text34</vt:lpstr>
      <vt:lpstr>'SF424'!Text35</vt:lpstr>
      <vt:lpstr>'SF424'!Text36</vt:lpstr>
      <vt:lpstr>'SF424'!Text38</vt:lpstr>
      <vt:lpstr>'SF424'!Text39</vt:lpstr>
      <vt:lpstr>'SF424'!Text4</vt:lpstr>
      <vt:lpstr>'SF424'!Text40</vt:lpstr>
      <vt:lpstr>'SF424'!Text42</vt:lpstr>
      <vt:lpstr>'SF424'!Text44</vt:lpstr>
      <vt:lpstr>'SF424'!Text5</vt:lpstr>
      <vt:lpstr>'SF424'!Text52</vt:lpstr>
      <vt:lpstr>'SF424'!Text55</vt:lpstr>
      <vt:lpstr>'SF424'!Text56</vt:lpstr>
      <vt:lpstr>'SF424'!Text57</vt:lpstr>
      <vt:lpstr>'SF424'!Text58</vt:lpstr>
      <vt:lpstr>'SF424'!Text59</vt:lpstr>
      <vt:lpstr>'SF424'!Text6</vt:lpstr>
      <vt:lpstr>'SF424'!Text60</vt:lpstr>
      <vt:lpstr>'SF424'!Text61</vt:lpstr>
      <vt:lpstr>'SF424'!Text63</vt:lpstr>
      <vt:lpstr>'SF424'!Text65</vt:lpstr>
      <vt:lpstr>'SF424'!Text66</vt:lpstr>
      <vt:lpstr>'SF424'!Text7</vt:lpstr>
      <vt:lpstr>'SF424'!Text75</vt:lpstr>
      <vt:lpstr>'SF424'!Text76</vt:lpstr>
      <vt:lpstr>'SF424'!Text77</vt:lpstr>
      <vt:lpstr>'SF424'!Text78</vt:lpstr>
      <vt:lpstr>'SF424'!Text79</vt:lpstr>
      <vt:lpstr>'SF424'!Text8</vt:lpstr>
      <vt:lpstr>'SF424'!Text80</vt:lpstr>
      <vt:lpstr>'SF424'!Text9</vt:lpstr>
      <vt:lpstr>usaidlodg</vt:lpstr>
      <vt:lpstr>usaidmeal</vt:lpstr>
      <vt:lpstr>visa</vt:lpstr>
      <vt:lpstr>workshop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KQW</dc:creator>
  <cp:keywords/>
  <dc:description/>
  <cp:lastModifiedBy>Danielle Martin</cp:lastModifiedBy>
  <cp:revision/>
  <dcterms:created xsi:type="dcterms:W3CDTF">2000-03-08T19:32:49Z</dcterms:created>
  <dcterms:modified xsi:type="dcterms:W3CDTF">2024-12-12T02:39:06Z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