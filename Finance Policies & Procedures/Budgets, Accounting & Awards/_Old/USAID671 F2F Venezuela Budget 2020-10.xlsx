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Partners of the Americas\F&amp;A - Finance &amp; Operational\Grant Setups &amp; Valid Combinations\"/>
    </mc:Choice>
  </mc:AlternateContent>
  <xr:revisionPtr revIDLastSave="1839" documentId="8_{A30B30E8-7B93-4BDE-88EC-6BD237AE9233}" xr6:coauthVersionLast="47" xr6:coauthVersionMax="47" xr10:uidLastSave="{C19A34A6-A66A-47D0-99DB-FDB9D2E9986E}"/>
  <bookViews>
    <workbookView xWindow="-96" yWindow="-96" windowWidth="23232" windowHeight="12552" tabRatio="895" firstSheet="1" xr2:uid="{00000000-000D-0000-FFFF-FFFF00000000}"/>
  </bookViews>
  <sheets>
    <sheet name="Budget Summary" sheetId="19" r:id="rId1"/>
    <sheet name="Budget" sheetId="1" r:id="rId2"/>
    <sheet name="Supplies" sheetId="15" r:id="rId3"/>
    <sheet name="Leverage" sheetId="18" r:id="rId4"/>
    <sheet name="Volunteer Numbers" sheetId="20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pd1">[1]Rates!$J$24</definedName>
    <definedName name="__pd6">[1]Rates!$J$30</definedName>
    <definedName name="__tix1">[1]Rates!$J$40</definedName>
    <definedName name="__tix2">[1]Rates!$J$41</definedName>
    <definedName name="__tix6">[1]Rates!$J$47</definedName>
    <definedName name="ANP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ANPDH">'[2]Salary &amp; PR Tax'!#REF!</definedName>
    <definedName name="Board">'[3]Schedule E - Other'!$F$102</definedName>
    <definedName name="CEE_Consult">#REF!</definedName>
    <definedName name="CENIDH">#REF!</definedName>
    <definedName name="Consultants">#REF!</definedName>
    <definedName name="CPDH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Equipment">'[4]Schedule D - Equipment'!$E$26</definedName>
    <definedName name="fg">#REF!</definedName>
    <definedName name="FOPEA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Fundamedio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Housing">'[2]Salary &amp; PR Tax'!#REF!</definedName>
    <definedName name="inf">[5]Assumptions!$C$75</definedName>
    <definedName name="Inflation">'[6]Detail-1'!$J$2</definedName>
    <definedName name="Interns">#REF!</definedName>
    <definedName name="ipys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jenn">#REF!</definedName>
    <definedName name="Local_Hire">#REF!</definedName>
    <definedName name="Local_Hires">#REF!</definedName>
    <definedName name="Merit">'[6]Detail-1'!$J$1</definedName>
    <definedName name="padf01">'[7]Level of Effort'!$C$14</definedName>
    <definedName name="padf02">'[7]Level of Effort'!$C$15</definedName>
    <definedName name="padf03">'[7]Level of Effort'!$C$16</definedName>
    <definedName name="padf04">'[7]Level of Effort'!$C$17</definedName>
    <definedName name="padf05">[7]Rates!$J$23</definedName>
    <definedName name="post.difo3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05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postdif01">[7]Rates!$J$34</definedName>
    <definedName name="postdif02">[7]Rates!$J$65</definedName>
    <definedName name="_xlnm.Print_Area" localSheetId="1">Budget!$D$1:$AL$204</definedName>
    <definedName name="_xlnm.Print_Area" localSheetId="0">'Budget Summary'!$A$1:$S$23</definedName>
    <definedName name="_xlnm.Print_Area" localSheetId="2">Supplies!$A$1:$E$58</definedName>
    <definedName name="Print_Titles_MI">#REF!</definedName>
    <definedName name="sdf">#REF!</definedName>
    <definedName name="Travel_Regional">#REF!</definedName>
    <definedName name="Travel_WDC">#REF!</definedName>
    <definedName name="warm.mali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  <definedName name="wrn.mali." hidden="1">{"sum",#N/A,FALSE,"Summary";"admin1",#N/A,FALSE,"Admin";"admin2",#N/A,FALSE,"Admin";"admin3",#N/A,FALSE,"Admin";"nat",#N/A,FALSE,"Natugo";"irri1",#N/A,FALSE,"Irrigation";"irri2",#N/A,FALSE,"Irrigation";"oil1",#N/A,FALSE,"Press and Sesame";"oil2",#N/A,FALSE,"Press and Sesame";"stove1",#N/A,FALSE,"Stove";"stove2",#N/A,FALSE,"Stove"}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K127" i="1" l="1"/>
  <c r="AE127" i="1"/>
  <c r="AG127" i="1"/>
  <c r="AI127" i="1"/>
  <c r="Y127" i="1"/>
  <c r="AA127" i="1"/>
  <c r="AC127" i="1"/>
  <c r="S127" i="1"/>
  <c r="U127" i="1"/>
  <c r="W127" i="1"/>
  <c r="M127" i="1"/>
  <c r="O127" i="1"/>
  <c r="Q127" i="1"/>
  <c r="I127" i="1"/>
  <c r="AK126" i="1"/>
  <c r="AE126" i="1"/>
  <c r="AG126" i="1"/>
  <c r="AI126" i="1"/>
  <c r="Y126" i="1"/>
  <c r="AA126" i="1"/>
  <c r="AC126" i="1"/>
  <c r="S126" i="1"/>
  <c r="U126" i="1"/>
  <c r="W126" i="1"/>
  <c r="M126" i="1"/>
  <c r="O126" i="1"/>
  <c r="Q126" i="1"/>
  <c r="I126" i="1"/>
  <c r="AJ127" i="1"/>
  <c r="AL127" i="1"/>
  <c r="K127" i="1"/>
  <c r="AJ126" i="1"/>
  <c r="AL126" i="1"/>
  <c r="K126" i="1"/>
  <c r="B68" i="15"/>
  <c r="C23" i="18"/>
  <c r="B24" i="18"/>
  <c r="R29" i="1"/>
  <c r="V29" i="1"/>
  <c r="L29" i="1"/>
  <c r="P29" i="1"/>
  <c r="E29" i="1"/>
  <c r="J29" i="1"/>
  <c r="AJ29" i="1"/>
  <c r="AI29" i="1"/>
  <c r="AE29" i="1"/>
  <c r="AC29" i="1"/>
  <c r="Y29" i="1"/>
  <c r="S29" i="1"/>
  <c r="M29" i="1"/>
  <c r="F29" i="1"/>
  <c r="C24" i="18"/>
  <c r="B10" i="20"/>
  <c r="D10" i="20"/>
  <c r="C10" i="20"/>
  <c r="F10" i="20"/>
  <c r="E10" i="20"/>
  <c r="W29" i="1"/>
  <c r="Q29" i="1"/>
  <c r="K29" i="1"/>
  <c r="AK29" i="1"/>
  <c r="G9" i="20"/>
  <c r="G10" i="20"/>
  <c r="AA136" i="1"/>
  <c r="AK136" i="1"/>
  <c r="AE136" i="1"/>
  <c r="AG136" i="1"/>
  <c r="AI136" i="1"/>
  <c r="Y136" i="1"/>
  <c r="S136" i="1"/>
  <c r="U136" i="1"/>
  <c r="W136" i="1"/>
  <c r="M136" i="1"/>
  <c r="O136" i="1"/>
  <c r="Q136" i="1"/>
  <c r="I136" i="1"/>
  <c r="AK137" i="1"/>
  <c r="AE137" i="1"/>
  <c r="AG137" i="1"/>
  <c r="AI137" i="1"/>
  <c r="Y137" i="1"/>
  <c r="AA137" i="1"/>
  <c r="AC137" i="1"/>
  <c r="S137" i="1"/>
  <c r="U137" i="1"/>
  <c r="W137" i="1"/>
  <c r="M137" i="1"/>
  <c r="O137" i="1"/>
  <c r="Q137" i="1"/>
  <c r="I137" i="1"/>
  <c r="K137" i="1"/>
  <c r="AL29" i="1"/>
  <c r="AC136" i="1"/>
  <c r="AJ136" i="1"/>
  <c r="AL136" i="1"/>
  <c r="K136" i="1"/>
  <c r="AJ137" i="1"/>
  <c r="AL137" i="1"/>
  <c r="I24" i="1"/>
  <c r="AK145" i="1"/>
  <c r="AE145" i="1"/>
  <c r="AG145" i="1"/>
  <c r="AI145" i="1"/>
  <c r="Y145" i="1"/>
  <c r="AA145" i="1"/>
  <c r="AC145" i="1"/>
  <c r="S145" i="1"/>
  <c r="U145" i="1"/>
  <c r="W145" i="1"/>
  <c r="M145" i="1"/>
  <c r="O145" i="1"/>
  <c r="I145" i="1"/>
  <c r="K145" i="1"/>
  <c r="Q145" i="1"/>
  <c r="AJ145" i="1"/>
  <c r="AL145" i="1"/>
  <c r="AK155" i="1"/>
  <c r="AE155" i="1"/>
  <c r="AG155" i="1"/>
  <c r="AI155" i="1"/>
  <c r="Y155" i="1"/>
  <c r="AA155" i="1"/>
  <c r="AC155" i="1"/>
  <c r="S155" i="1"/>
  <c r="U155" i="1"/>
  <c r="W155" i="1"/>
  <c r="M155" i="1"/>
  <c r="O155" i="1"/>
  <c r="Q155" i="1"/>
  <c r="I155" i="1"/>
  <c r="I156" i="1"/>
  <c r="R128" i="1"/>
  <c r="E128" i="1"/>
  <c r="I128" i="1"/>
  <c r="L128" i="1"/>
  <c r="AE128" i="1"/>
  <c r="AG128" i="1"/>
  <c r="Y128" i="1"/>
  <c r="AA128" i="1"/>
  <c r="S128" i="1"/>
  <c r="M128" i="1"/>
  <c r="O128" i="1"/>
  <c r="AH147" i="1"/>
  <c r="AB147" i="1"/>
  <c r="V147" i="1"/>
  <c r="P147" i="1"/>
  <c r="J147" i="1"/>
  <c r="O144" i="1"/>
  <c r="AK144" i="1"/>
  <c r="AG144" i="1"/>
  <c r="AI144" i="1"/>
  <c r="AA144" i="1"/>
  <c r="AC144" i="1"/>
  <c r="U144" i="1"/>
  <c r="W144" i="1"/>
  <c r="I144" i="1"/>
  <c r="K144" i="1"/>
  <c r="AE140" i="1"/>
  <c r="Y140" i="1"/>
  <c r="S140" i="1"/>
  <c r="M140" i="1"/>
  <c r="N40" i="1"/>
  <c r="AF84" i="1"/>
  <c r="AJ155" i="1"/>
  <c r="AL155" i="1"/>
  <c r="K155" i="1"/>
  <c r="U128" i="1"/>
  <c r="AJ144" i="1"/>
  <c r="Q144" i="1"/>
  <c r="AK20" i="1"/>
  <c r="M20" i="1"/>
  <c r="O20" i="1"/>
  <c r="Q20" i="1"/>
  <c r="I20" i="1"/>
  <c r="K20" i="1"/>
  <c r="S20" i="1"/>
  <c r="Y20" i="1"/>
  <c r="AA20" i="1"/>
  <c r="AC20" i="1"/>
  <c r="AL144" i="1"/>
  <c r="U20" i="1"/>
  <c r="W20" i="1"/>
  <c r="AE20" i="1"/>
  <c r="AG20" i="1"/>
  <c r="AI20" i="1"/>
  <c r="F54" i="1"/>
  <c r="F11" i="18"/>
  <c r="F17" i="18"/>
  <c r="E11" i="18"/>
  <c r="E17" i="18"/>
  <c r="D11" i="18"/>
  <c r="D17" i="18"/>
  <c r="C11" i="18"/>
  <c r="C17" i="18"/>
  <c r="B11" i="18"/>
  <c r="B17" i="18"/>
  <c r="AJ20" i="1"/>
  <c r="AL20" i="1"/>
  <c r="G17" i="18"/>
  <c r="G11" i="18"/>
  <c r="C5" i="18"/>
  <c r="C6" i="18"/>
  <c r="S125" i="1"/>
  <c r="B5" i="20"/>
  <c r="C5" i="20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82" i="1"/>
  <c r="AD173" i="1"/>
  <c r="X173" i="1"/>
  <c r="R173" i="1"/>
  <c r="L173" i="1"/>
  <c r="E173" i="1"/>
  <c r="I173" i="1"/>
  <c r="AK173" i="1"/>
  <c r="M173" i="1"/>
  <c r="S173" i="1"/>
  <c r="Y173" i="1"/>
  <c r="AE173" i="1"/>
  <c r="AE150" i="1"/>
  <c r="Y150" i="1"/>
  <c r="S150" i="1"/>
  <c r="M150" i="1"/>
  <c r="M92" i="1"/>
  <c r="S92" i="1"/>
  <c r="I40" i="1"/>
  <c r="AG173" i="1"/>
  <c r="AI173" i="1"/>
  <c r="C7" i="18"/>
  <c r="U173" i="1"/>
  <c r="W173" i="1"/>
  <c r="O173" i="1"/>
  <c r="Q173" i="1"/>
  <c r="AA173" i="1"/>
  <c r="AC173" i="1"/>
  <c r="K173" i="1"/>
  <c r="L30" i="1"/>
  <c r="E30" i="1"/>
  <c r="P27" i="1"/>
  <c r="M19" i="1"/>
  <c r="I16" i="1"/>
  <c r="I37" i="1"/>
  <c r="M10" i="1"/>
  <c r="S10" i="1"/>
  <c r="Y10" i="1"/>
  <c r="AE10" i="1"/>
  <c r="I10" i="1"/>
  <c r="G84" i="1"/>
  <c r="I84" i="1"/>
  <c r="AH85" i="1"/>
  <c r="AB85" i="1"/>
  <c r="V85" i="1"/>
  <c r="P85" i="1"/>
  <c r="J85" i="1"/>
  <c r="AD79" i="1"/>
  <c r="AD78" i="1"/>
  <c r="AD77" i="1"/>
  <c r="AD76" i="1"/>
  <c r="X79" i="1"/>
  <c r="X78" i="1"/>
  <c r="X77" i="1"/>
  <c r="X76" i="1"/>
  <c r="R79" i="1"/>
  <c r="R78" i="1"/>
  <c r="R77" i="1"/>
  <c r="R76" i="1"/>
  <c r="L76" i="1"/>
  <c r="L79" i="1"/>
  <c r="L78" i="1"/>
  <c r="L77" i="1"/>
  <c r="E79" i="1"/>
  <c r="E78" i="1"/>
  <c r="I78" i="1"/>
  <c r="K78" i="1"/>
  <c r="E77" i="1"/>
  <c r="I77" i="1"/>
  <c r="E76" i="1"/>
  <c r="I76" i="1"/>
  <c r="AK83" i="1"/>
  <c r="M83" i="1"/>
  <c r="S83" i="1"/>
  <c r="AK79" i="1"/>
  <c r="M79" i="1"/>
  <c r="I79" i="1"/>
  <c r="K79" i="1"/>
  <c r="AK78" i="1"/>
  <c r="M78" i="1"/>
  <c r="S78" i="1"/>
  <c r="AK77" i="1"/>
  <c r="M77" i="1"/>
  <c r="S77" i="1"/>
  <c r="AK76" i="1"/>
  <c r="M76" i="1"/>
  <c r="S76" i="1"/>
  <c r="AK84" i="1"/>
  <c r="M84" i="1"/>
  <c r="O84" i="1"/>
  <c r="Q84" i="1"/>
  <c r="AK82" i="1"/>
  <c r="M82" i="1"/>
  <c r="S82" i="1"/>
  <c r="Y82" i="1"/>
  <c r="AK81" i="1"/>
  <c r="M81" i="1"/>
  <c r="S81" i="1"/>
  <c r="AK80" i="1"/>
  <c r="M80" i="1"/>
  <c r="AJ173" i="1"/>
  <c r="AL173" i="1"/>
  <c r="O79" i="1"/>
  <c r="Q79" i="1"/>
  <c r="I38" i="1"/>
  <c r="I39" i="1"/>
  <c r="AK85" i="1"/>
  <c r="S80" i="1"/>
  <c r="Y80" i="1"/>
  <c r="O77" i="1"/>
  <c r="Q77" i="1"/>
  <c r="Y83" i="1"/>
  <c r="U76" i="1"/>
  <c r="Y76" i="1"/>
  <c r="AE76" i="1"/>
  <c r="AG76" i="1"/>
  <c r="O76" i="1"/>
  <c r="S79" i="1"/>
  <c r="Y79" i="1"/>
  <c r="AE79" i="1"/>
  <c r="AG79" i="1"/>
  <c r="AI79" i="1"/>
  <c r="U78" i="1"/>
  <c r="W78" i="1"/>
  <c r="Y78" i="1"/>
  <c r="U77" i="1"/>
  <c r="W77" i="1"/>
  <c r="Y77" i="1"/>
  <c r="K76" i="1"/>
  <c r="O78" i="1"/>
  <c r="K77" i="1"/>
  <c r="AE82" i="1"/>
  <c r="Y81" i="1"/>
  <c r="K84" i="1"/>
  <c r="S84" i="1"/>
  <c r="I138" i="1"/>
  <c r="AE138" i="1"/>
  <c r="AG138" i="1"/>
  <c r="Y138" i="1"/>
  <c r="AA138" i="1"/>
  <c r="S138" i="1"/>
  <c r="U138" i="1"/>
  <c r="M138" i="1"/>
  <c r="O138" i="1"/>
  <c r="B8" i="15"/>
  <c r="D8" i="15"/>
  <c r="AA76" i="1"/>
  <c r="AJ76" i="1"/>
  <c r="W76" i="1"/>
  <c r="Q76" i="1"/>
  <c r="AC76" i="1"/>
  <c r="AI76" i="1"/>
  <c r="AE83" i="1"/>
  <c r="U79" i="1"/>
  <c r="W79" i="1"/>
  <c r="AA79" i="1"/>
  <c r="AC79" i="1"/>
  <c r="AE77" i="1"/>
  <c r="AG77" i="1"/>
  <c r="AI77" i="1"/>
  <c r="AA77" i="1"/>
  <c r="Q78" i="1"/>
  <c r="AA78" i="1"/>
  <c r="AC78" i="1"/>
  <c r="AE78" i="1"/>
  <c r="AG78" i="1"/>
  <c r="AI78" i="1"/>
  <c r="U84" i="1"/>
  <c r="Y84" i="1"/>
  <c r="AE80" i="1"/>
  <c r="AE81" i="1"/>
  <c r="F112" i="1"/>
  <c r="I112" i="1"/>
  <c r="K112" i="1"/>
  <c r="M24" i="1"/>
  <c r="K24" i="1"/>
  <c r="M102" i="1"/>
  <c r="O102" i="1"/>
  <c r="Q102" i="1"/>
  <c r="I161" i="1"/>
  <c r="M161" i="1"/>
  <c r="O161" i="1"/>
  <c r="S161" i="1"/>
  <c r="U161" i="1"/>
  <c r="W161" i="1"/>
  <c r="Y161" i="1"/>
  <c r="AA161" i="1"/>
  <c r="AE161" i="1"/>
  <c r="AG161" i="1"/>
  <c r="I162" i="1"/>
  <c r="M162" i="1"/>
  <c r="O162" i="1"/>
  <c r="Q162" i="1"/>
  <c r="S162" i="1"/>
  <c r="U162" i="1"/>
  <c r="W162" i="1"/>
  <c r="AA162" i="1"/>
  <c r="AC162" i="1"/>
  <c r="AE162" i="1"/>
  <c r="AG162" i="1"/>
  <c r="AI162" i="1"/>
  <c r="I146" i="1"/>
  <c r="I147" i="1"/>
  <c r="M146" i="1"/>
  <c r="O146" i="1"/>
  <c r="O147" i="1"/>
  <c r="S146" i="1"/>
  <c r="U146" i="1"/>
  <c r="U147" i="1"/>
  <c r="Y146" i="1"/>
  <c r="AA146" i="1"/>
  <c r="AA147" i="1"/>
  <c r="AE146" i="1"/>
  <c r="AG146" i="1"/>
  <c r="AG147" i="1"/>
  <c r="I154" i="1"/>
  <c r="M154" i="1"/>
  <c r="O154" i="1"/>
  <c r="S154" i="1"/>
  <c r="U154" i="1"/>
  <c r="Y154" i="1"/>
  <c r="AA154" i="1"/>
  <c r="AE154" i="1"/>
  <c r="AG154" i="1"/>
  <c r="K156" i="1"/>
  <c r="M156" i="1"/>
  <c r="O156" i="1"/>
  <c r="S156" i="1"/>
  <c r="U156" i="1"/>
  <c r="W156" i="1"/>
  <c r="Y156" i="1"/>
  <c r="AA156" i="1"/>
  <c r="AC156" i="1"/>
  <c r="AE156" i="1"/>
  <c r="AG156" i="1"/>
  <c r="AI156" i="1"/>
  <c r="I157" i="1"/>
  <c r="M157" i="1"/>
  <c r="O157" i="1"/>
  <c r="S157" i="1"/>
  <c r="U157" i="1"/>
  <c r="W157" i="1"/>
  <c r="Y157" i="1"/>
  <c r="AA157" i="1"/>
  <c r="AC157" i="1"/>
  <c r="AE157" i="1"/>
  <c r="AG157" i="1"/>
  <c r="AI157" i="1"/>
  <c r="I149" i="1"/>
  <c r="K149" i="1"/>
  <c r="M149" i="1"/>
  <c r="O149" i="1"/>
  <c r="S149" i="1"/>
  <c r="U149" i="1"/>
  <c r="W149" i="1"/>
  <c r="Y149" i="1"/>
  <c r="AA149" i="1"/>
  <c r="AC149" i="1"/>
  <c r="AE149" i="1"/>
  <c r="AG149" i="1"/>
  <c r="I150" i="1"/>
  <c r="O150" i="1"/>
  <c r="Q150" i="1"/>
  <c r="U150" i="1"/>
  <c r="AA150" i="1"/>
  <c r="AC150" i="1"/>
  <c r="AG150" i="1"/>
  <c r="AI150" i="1"/>
  <c r="AC138" i="1"/>
  <c r="I140" i="1"/>
  <c r="I141" i="1"/>
  <c r="O140" i="1"/>
  <c r="O141" i="1"/>
  <c r="U140" i="1"/>
  <c r="U141" i="1"/>
  <c r="AA140" i="1"/>
  <c r="AC140" i="1"/>
  <c r="AG140" i="1"/>
  <c r="AG141" i="1"/>
  <c r="AK161" i="1"/>
  <c r="AK162" i="1"/>
  <c r="AK146" i="1"/>
  <c r="AK147" i="1"/>
  <c r="AK154" i="1"/>
  <c r="AK156" i="1"/>
  <c r="AK157" i="1"/>
  <c r="AK149" i="1"/>
  <c r="AK150" i="1"/>
  <c r="AK138" i="1"/>
  <c r="AK140" i="1"/>
  <c r="AH163" i="1"/>
  <c r="AH158" i="1"/>
  <c r="AH151" i="1"/>
  <c r="AH141" i="1"/>
  <c r="AI138" i="1"/>
  <c r="AI140" i="1"/>
  <c r="AB163" i="1"/>
  <c r="AB158" i="1"/>
  <c r="AB151" i="1"/>
  <c r="AB141" i="1"/>
  <c r="V163" i="1"/>
  <c r="V158" i="1"/>
  <c r="V151" i="1"/>
  <c r="V141" i="1"/>
  <c r="W150" i="1"/>
  <c r="W138" i="1"/>
  <c r="P163" i="1"/>
  <c r="P158" i="1"/>
  <c r="P151" i="1"/>
  <c r="P141" i="1"/>
  <c r="Q138" i="1"/>
  <c r="J163" i="1"/>
  <c r="J158" i="1"/>
  <c r="J151" i="1"/>
  <c r="J141" i="1"/>
  <c r="K157" i="1"/>
  <c r="I101" i="1"/>
  <c r="K101" i="1"/>
  <c r="I102" i="1"/>
  <c r="K102" i="1"/>
  <c r="K10" i="1"/>
  <c r="I11" i="1"/>
  <c r="I12" i="1"/>
  <c r="K12" i="1"/>
  <c r="I17" i="1"/>
  <c r="I18" i="1"/>
  <c r="K18" i="1"/>
  <c r="I19" i="1"/>
  <c r="K19" i="1"/>
  <c r="I21" i="1"/>
  <c r="K21" i="1"/>
  <c r="I22" i="1"/>
  <c r="K22" i="1"/>
  <c r="I23" i="1"/>
  <c r="I25" i="1"/>
  <c r="K25" i="1"/>
  <c r="I26" i="1"/>
  <c r="K26" i="1"/>
  <c r="B30" i="15"/>
  <c r="F118" i="1"/>
  <c r="AE118" i="1"/>
  <c r="B50" i="15"/>
  <c r="F119" i="1"/>
  <c r="AE119" i="1"/>
  <c r="B38" i="15"/>
  <c r="F120" i="1"/>
  <c r="I120" i="1"/>
  <c r="K120" i="1"/>
  <c r="B58" i="15"/>
  <c r="F121" i="1"/>
  <c r="I121" i="1"/>
  <c r="K121" i="1"/>
  <c r="B44" i="15"/>
  <c r="B17" i="15"/>
  <c r="F122" i="1"/>
  <c r="I122" i="1"/>
  <c r="K122" i="1"/>
  <c r="I123" i="1"/>
  <c r="K123" i="1"/>
  <c r="I124" i="1"/>
  <c r="K124" i="1"/>
  <c r="I125" i="1"/>
  <c r="K125" i="1"/>
  <c r="K128" i="1"/>
  <c r="AE101" i="1"/>
  <c r="AG101" i="1"/>
  <c r="AI101" i="1"/>
  <c r="AE102" i="1"/>
  <c r="AG102" i="1"/>
  <c r="O190" i="1"/>
  <c r="O182" i="1"/>
  <c r="Q182" i="1"/>
  <c r="O183" i="1"/>
  <c r="Q183" i="1"/>
  <c r="O184" i="1"/>
  <c r="Q184" i="1"/>
  <c r="O185" i="1"/>
  <c r="Q185" i="1"/>
  <c r="O186" i="1"/>
  <c r="Q186" i="1"/>
  <c r="O187" i="1"/>
  <c r="Q187" i="1"/>
  <c r="O188" i="1"/>
  <c r="O189" i="1"/>
  <c r="Q189" i="1"/>
  <c r="O191" i="1"/>
  <c r="Q191" i="1"/>
  <c r="O192" i="1"/>
  <c r="Q192" i="1"/>
  <c r="O193" i="1"/>
  <c r="Q193" i="1"/>
  <c r="O194" i="1"/>
  <c r="Q194" i="1"/>
  <c r="O195" i="1"/>
  <c r="Q195" i="1"/>
  <c r="O196" i="1"/>
  <c r="Q196" i="1"/>
  <c r="O197" i="1"/>
  <c r="I190" i="1"/>
  <c r="K190" i="1"/>
  <c r="I182" i="1"/>
  <c r="K182" i="1"/>
  <c r="I183" i="1"/>
  <c r="I184" i="1"/>
  <c r="K184" i="1"/>
  <c r="I185" i="1"/>
  <c r="K185" i="1"/>
  <c r="I186" i="1"/>
  <c r="K186" i="1"/>
  <c r="I187" i="1"/>
  <c r="I188" i="1"/>
  <c r="K188" i="1"/>
  <c r="I189" i="1"/>
  <c r="K189" i="1"/>
  <c r="I191" i="1"/>
  <c r="K191" i="1"/>
  <c r="I192" i="1"/>
  <c r="K192" i="1"/>
  <c r="I193" i="1"/>
  <c r="K193" i="1"/>
  <c r="I194" i="1"/>
  <c r="K194" i="1"/>
  <c r="I195" i="1"/>
  <c r="K195" i="1"/>
  <c r="I196" i="1"/>
  <c r="I197" i="1"/>
  <c r="K197" i="1"/>
  <c r="AK190" i="1"/>
  <c r="M52" i="1"/>
  <c r="O52" i="1"/>
  <c r="Q52" i="1"/>
  <c r="AE113" i="1"/>
  <c r="AG113" i="1"/>
  <c r="AI113" i="1"/>
  <c r="Y113" i="1"/>
  <c r="AA113" i="1"/>
  <c r="S113" i="1"/>
  <c r="U113" i="1"/>
  <c r="W113" i="1"/>
  <c r="M113" i="1"/>
  <c r="O113" i="1"/>
  <c r="Q113" i="1"/>
  <c r="I113" i="1"/>
  <c r="AK112" i="1"/>
  <c r="I54" i="1"/>
  <c r="F5" i="20"/>
  <c r="AD30" i="1"/>
  <c r="E5" i="20"/>
  <c r="X30" i="1"/>
  <c r="D5" i="20"/>
  <c r="R30" i="1"/>
  <c r="V27" i="1"/>
  <c r="V13" i="1"/>
  <c r="V129" i="1"/>
  <c r="V115" i="1"/>
  <c r="V104" i="1"/>
  <c r="I13" i="19"/>
  <c r="V198" i="1"/>
  <c r="V179" i="1"/>
  <c r="V93" i="1"/>
  <c r="V73" i="1"/>
  <c r="V66" i="1"/>
  <c r="V60" i="1"/>
  <c r="V49" i="1"/>
  <c r="V43" i="1"/>
  <c r="I9" i="19"/>
  <c r="AD48" i="1"/>
  <c r="AD49" i="1"/>
  <c r="X48" i="1"/>
  <c r="X49" i="1"/>
  <c r="X114" i="1"/>
  <c r="R48" i="1"/>
  <c r="R49" i="1"/>
  <c r="L48" i="1"/>
  <c r="L49" i="1"/>
  <c r="S102" i="1"/>
  <c r="U102" i="1"/>
  <c r="W102" i="1"/>
  <c r="Y102" i="1"/>
  <c r="AA102" i="1"/>
  <c r="AC102" i="1"/>
  <c r="AK102" i="1"/>
  <c r="M53" i="1"/>
  <c r="S53" i="1"/>
  <c r="M59" i="1"/>
  <c r="S59" i="1"/>
  <c r="Y59" i="1"/>
  <c r="AE59" i="1"/>
  <c r="M58" i="1"/>
  <c r="S58" i="1"/>
  <c r="Y58" i="1"/>
  <c r="AE58" i="1"/>
  <c r="M57" i="1"/>
  <c r="S57" i="1"/>
  <c r="Y57" i="1"/>
  <c r="AE57" i="1"/>
  <c r="M56" i="1"/>
  <c r="S56" i="1"/>
  <c r="Y56" i="1"/>
  <c r="AE56" i="1"/>
  <c r="M55" i="1"/>
  <c r="S55" i="1"/>
  <c r="U55" i="1"/>
  <c r="W55" i="1"/>
  <c r="M48" i="1"/>
  <c r="S48" i="1"/>
  <c r="Y48" i="1"/>
  <c r="AE48" i="1"/>
  <c r="AK56" i="1"/>
  <c r="AK57" i="1"/>
  <c r="AK58" i="1"/>
  <c r="AK59" i="1"/>
  <c r="I52" i="1"/>
  <c r="AK52" i="1"/>
  <c r="I53" i="1"/>
  <c r="K53" i="1"/>
  <c r="AK53" i="1"/>
  <c r="AK54" i="1"/>
  <c r="I55" i="1"/>
  <c r="AK55" i="1"/>
  <c r="AH60" i="1"/>
  <c r="AB60" i="1"/>
  <c r="P60" i="1"/>
  <c r="J60" i="1"/>
  <c r="G4" i="20"/>
  <c r="R10" i="1"/>
  <c r="U10" i="1"/>
  <c r="M11" i="1"/>
  <c r="S11" i="1"/>
  <c r="Y11" i="1"/>
  <c r="AE11" i="1"/>
  <c r="M12" i="1"/>
  <c r="S12" i="1"/>
  <c r="Y12" i="1"/>
  <c r="AE12" i="1"/>
  <c r="L10" i="1"/>
  <c r="L11" i="1"/>
  <c r="L12" i="1"/>
  <c r="AK35" i="1"/>
  <c r="M17" i="1"/>
  <c r="O17" i="1"/>
  <c r="M18" i="1"/>
  <c r="O18" i="1"/>
  <c r="Q18" i="1"/>
  <c r="O19" i="1"/>
  <c r="Q19" i="1"/>
  <c r="M21" i="1"/>
  <c r="O21" i="1"/>
  <c r="Q21" i="1"/>
  <c r="M22" i="1"/>
  <c r="S22" i="1"/>
  <c r="U22" i="1"/>
  <c r="W22" i="1"/>
  <c r="M23" i="1"/>
  <c r="O23" i="1"/>
  <c r="Q23" i="1"/>
  <c r="M25" i="1"/>
  <c r="S25" i="1"/>
  <c r="M26" i="1"/>
  <c r="AK36" i="1"/>
  <c r="K37" i="1"/>
  <c r="M16" i="1"/>
  <c r="O16" i="1"/>
  <c r="AK37" i="1"/>
  <c r="AK38" i="1"/>
  <c r="AK39" i="1"/>
  <c r="M40" i="1"/>
  <c r="O40" i="1"/>
  <c r="Q40" i="1"/>
  <c r="T40" i="1"/>
  <c r="S40" i="1"/>
  <c r="Z40" i="1"/>
  <c r="Y40" i="1"/>
  <c r="AF40" i="1"/>
  <c r="AE40" i="1"/>
  <c r="AK40" i="1"/>
  <c r="I41" i="1"/>
  <c r="K41" i="1"/>
  <c r="M41" i="1"/>
  <c r="O41" i="1"/>
  <c r="Q41" i="1"/>
  <c r="S41" i="1"/>
  <c r="U41" i="1"/>
  <c r="W41" i="1"/>
  <c r="Y41" i="1"/>
  <c r="AA41" i="1"/>
  <c r="AC41" i="1"/>
  <c r="AE41" i="1"/>
  <c r="AG41" i="1"/>
  <c r="AI41" i="1"/>
  <c r="AK41" i="1"/>
  <c r="AK26" i="1"/>
  <c r="AK18" i="1"/>
  <c r="J27" i="1"/>
  <c r="AB27" i="1"/>
  <c r="AH27" i="1"/>
  <c r="AK10" i="1"/>
  <c r="AK11" i="1"/>
  <c r="AK12" i="1"/>
  <c r="E66" i="1"/>
  <c r="E70" i="1"/>
  <c r="I70" i="1"/>
  <c r="K70" i="1"/>
  <c r="E72" i="1"/>
  <c r="I72" i="1"/>
  <c r="K72" i="1"/>
  <c r="I65" i="1"/>
  <c r="I66" i="1"/>
  <c r="X66" i="1"/>
  <c r="X171" i="1"/>
  <c r="AD66" i="1"/>
  <c r="AD72" i="1"/>
  <c r="AI128" i="1"/>
  <c r="AE125" i="1"/>
  <c r="Y125" i="1"/>
  <c r="M125" i="1"/>
  <c r="O125" i="1"/>
  <c r="F111" i="1"/>
  <c r="S111" i="1"/>
  <c r="F110" i="1"/>
  <c r="AE110" i="1"/>
  <c r="M171" i="1"/>
  <c r="S171" i="1"/>
  <c r="Y171" i="1"/>
  <c r="AE171" i="1"/>
  <c r="M172" i="1"/>
  <c r="S172" i="1"/>
  <c r="Y172" i="1"/>
  <c r="AE172" i="1"/>
  <c r="AD69" i="1"/>
  <c r="AD70" i="1"/>
  <c r="AC128" i="1"/>
  <c r="X69" i="1"/>
  <c r="X70" i="1"/>
  <c r="R66" i="1"/>
  <c r="R72" i="1"/>
  <c r="R69" i="1"/>
  <c r="R70" i="1"/>
  <c r="L66" i="1"/>
  <c r="L71" i="1"/>
  <c r="L69" i="1"/>
  <c r="L70" i="1"/>
  <c r="S191" i="1"/>
  <c r="U191" i="1"/>
  <c r="W191" i="1"/>
  <c r="AH49" i="1"/>
  <c r="AH62" i="1"/>
  <c r="AK172" i="1"/>
  <c r="J179" i="1"/>
  <c r="P179" i="1"/>
  <c r="AH179" i="1"/>
  <c r="AB179" i="1"/>
  <c r="AK171" i="1"/>
  <c r="J49" i="1"/>
  <c r="K40" i="1"/>
  <c r="AK125" i="1"/>
  <c r="I177" i="1"/>
  <c r="K177" i="1"/>
  <c r="AH73" i="1"/>
  <c r="AB73" i="1"/>
  <c r="P73" i="1"/>
  <c r="J73" i="1"/>
  <c r="AK70" i="1"/>
  <c r="M70" i="1"/>
  <c r="O70" i="1"/>
  <c r="AK69" i="1"/>
  <c r="M69" i="1"/>
  <c r="S69" i="1"/>
  <c r="Y69" i="1"/>
  <c r="M65" i="1"/>
  <c r="O65" i="1"/>
  <c r="O66" i="1"/>
  <c r="AB49" i="1"/>
  <c r="P49" i="1"/>
  <c r="AK48" i="1"/>
  <c r="AK49" i="1"/>
  <c r="AK23" i="1"/>
  <c r="M71" i="1"/>
  <c r="S71" i="1"/>
  <c r="M72" i="1"/>
  <c r="S72" i="1"/>
  <c r="Y72" i="1"/>
  <c r="AE72" i="1"/>
  <c r="M89" i="1"/>
  <c r="S89" i="1"/>
  <c r="M90" i="1"/>
  <c r="S90" i="1"/>
  <c r="Y90" i="1"/>
  <c r="AE90" i="1"/>
  <c r="AG90" i="1"/>
  <c r="AI90" i="1"/>
  <c r="M91" i="1"/>
  <c r="S91" i="1"/>
  <c r="M88" i="1"/>
  <c r="S88" i="1"/>
  <c r="Y88" i="1"/>
  <c r="AE88" i="1"/>
  <c r="AG88" i="1"/>
  <c r="AI88" i="1"/>
  <c r="AH198" i="1"/>
  <c r="AB198" i="1"/>
  <c r="P198" i="1"/>
  <c r="J198" i="1"/>
  <c r="J200" i="1"/>
  <c r="C19" i="19"/>
  <c r="S185" i="1"/>
  <c r="U185" i="1"/>
  <c r="S186" i="1"/>
  <c r="S188" i="1"/>
  <c r="U188" i="1"/>
  <c r="S189" i="1"/>
  <c r="Y189" i="1"/>
  <c r="AE189" i="1"/>
  <c r="AG189" i="1"/>
  <c r="AI189" i="1"/>
  <c r="S194" i="1"/>
  <c r="Y194" i="1"/>
  <c r="AA194" i="1"/>
  <c r="AC194" i="1"/>
  <c r="S197" i="1"/>
  <c r="U197" i="1"/>
  <c r="AK196" i="1"/>
  <c r="AK187" i="1"/>
  <c r="AK189" i="1"/>
  <c r="AK124" i="1"/>
  <c r="AE124" i="1"/>
  <c r="AG124" i="1"/>
  <c r="AI124" i="1"/>
  <c r="Y124" i="1"/>
  <c r="AA124" i="1"/>
  <c r="AC124" i="1"/>
  <c r="S124" i="1"/>
  <c r="U124" i="1"/>
  <c r="W124" i="1"/>
  <c r="M124" i="1"/>
  <c r="O124" i="1"/>
  <c r="AK123" i="1"/>
  <c r="AE123" i="1"/>
  <c r="K196" i="1"/>
  <c r="K187" i="1"/>
  <c r="M123" i="1"/>
  <c r="O123" i="1"/>
  <c r="S123" i="1"/>
  <c r="Y123" i="1"/>
  <c r="AK195" i="1"/>
  <c r="AK197" i="1"/>
  <c r="Q197" i="1"/>
  <c r="AK186" i="1"/>
  <c r="AK185" i="1"/>
  <c r="AK183" i="1"/>
  <c r="AK184" i="1"/>
  <c r="AK188" i="1"/>
  <c r="Q188" i="1"/>
  <c r="AK182" i="1"/>
  <c r="M177" i="1"/>
  <c r="S177" i="1"/>
  <c r="Y177" i="1"/>
  <c r="AE177" i="1"/>
  <c r="AG177" i="1"/>
  <c r="M178" i="1"/>
  <c r="O178" i="1"/>
  <c r="Q178" i="1"/>
  <c r="M176" i="1"/>
  <c r="S176" i="1"/>
  <c r="Y176" i="1"/>
  <c r="AE176" i="1"/>
  <c r="AG176" i="1"/>
  <c r="AI176" i="1"/>
  <c r="M175" i="1"/>
  <c r="O175" i="1"/>
  <c r="Q175" i="1"/>
  <c r="AH104" i="1"/>
  <c r="O13" i="19"/>
  <c r="AB104" i="1"/>
  <c r="L13" i="19"/>
  <c r="P104" i="1"/>
  <c r="F13" i="19"/>
  <c r="J104" i="1"/>
  <c r="C13" i="19"/>
  <c r="Y101" i="1"/>
  <c r="AA101" i="1"/>
  <c r="S101" i="1"/>
  <c r="U101" i="1"/>
  <c r="M101" i="1"/>
  <c r="O101" i="1"/>
  <c r="AK114" i="1"/>
  <c r="AE114" i="1"/>
  <c r="Y114" i="1"/>
  <c r="S114" i="1"/>
  <c r="M114" i="1"/>
  <c r="AH129" i="1"/>
  <c r="AB129" i="1"/>
  <c r="P129" i="1"/>
  <c r="J129" i="1"/>
  <c r="AH115" i="1"/>
  <c r="AB115" i="1"/>
  <c r="P115" i="1"/>
  <c r="J115" i="1"/>
  <c r="M174" i="1"/>
  <c r="O174" i="1"/>
  <c r="Q174" i="1"/>
  <c r="AK174" i="1"/>
  <c r="I174" i="1"/>
  <c r="AH43" i="1"/>
  <c r="O9" i="19"/>
  <c r="AB43" i="1"/>
  <c r="L9" i="19"/>
  <c r="P43" i="1"/>
  <c r="F9" i="19"/>
  <c r="J43" i="1"/>
  <c r="C9" i="19"/>
  <c r="AK128" i="1"/>
  <c r="Q128" i="1"/>
  <c r="AK113" i="1"/>
  <c r="AK109" i="1"/>
  <c r="AK110" i="1"/>
  <c r="AK111" i="1"/>
  <c r="AK118" i="1"/>
  <c r="AK119" i="1"/>
  <c r="AK120" i="1"/>
  <c r="AK121" i="1"/>
  <c r="AK122" i="1"/>
  <c r="E110" i="1"/>
  <c r="E111" i="1"/>
  <c r="K113" i="1"/>
  <c r="AK25" i="1"/>
  <c r="AK22" i="1"/>
  <c r="K39" i="1"/>
  <c r="K38" i="1"/>
  <c r="I176" i="1"/>
  <c r="K176" i="1"/>
  <c r="I178" i="1"/>
  <c r="K178" i="1"/>
  <c r="AH93" i="1"/>
  <c r="AB93" i="1"/>
  <c r="R93" i="1"/>
  <c r="P93" i="1"/>
  <c r="J93" i="1"/>
  <c r="AK92" i="1"/>
  <c r="X92" i="1"/>
  <c r="X93" i="1"/>
  <c r="I92" i="1"/>
  <c r="K92" i="1"/>
  <c r="AK91" i="1"/>
  <c r="I91" i="1"/>
  <c r="AK90" i="1"/>
  <c r="I90" i="1"/>
  <c r="AK89" i="1"/>
  <c r="AD93" i="1"/>
  <c r="L93" i="1"/>
  <c r="I89" i="1"/>
  <c r="K89" i="1"/>
  <c r="AK88" i="1"/>
  <c r="I88" i="1"/>
  <c r="K88" i="1"/>
  <c r="AA88" i="1"/>
  <c r="AC88" i="1"/>
  <c r="AK177" i="1"/>
  <c r="AK176" i="1"/>
  <c r="AK19" i="1"/>
  <c r="AH13" i="1"/>
  <c r="AB13" i="1"/>
  <c r="P13" i="1"/>
  <c r="J13" i="1"/>
  <c r="AK191" i="1"/>
  <c r="AH66" i="1"/>
  <c r="AB66" i="1"/>
  <c r="P66" i="1"/>
  <c r="J66" i="1"/>
  <c r="I175" i="1"/>
  <c r="K175" i="1"/>
  <c r="B7" i="15"/>
  <c r="B5" i="15"/>
  <c r="B13" i="15"/>
  <c r="D13" i="15"/>
  <c r="F109" i="1"/>
  <c r="B14" i="15"/>
  <c r="D14" i="15"/>
  <c r="AK16" i="1"/>
  <c r="AK72" i="1"/>
  <c r="AK71" i="1"/>
  <c r="AK65" i="1"/>
  <c r="AK63" i="1"/>
  <c r="AL63" i="1"/>
  <c r="K16" i="1"/>
  <c r="Q16" i="1"/>
  <c r="AK203" i="1"/>
  <c r="R22" i="19"/>
  <c r="O22" i="19"/>
  <c r="L22" i="19"/>
  <c r="I22" i="19"/>
  <c r="F22" i="19"/>
  <c r="C22" i="19"/>
  <c r="D5" i="15"/>
  <c r="AK101" i="1"/>
  <c r="AK17" i="1"/>
  <c r="AK21" i="1"/>
  <c r="AK175" i="1"/>
  <c r="AK178" i="1"/>
  <c r="AK192" i="1"/>
  <c r="AK193" i="1"/>
  <c r="AJ30" i="1"/>
  <c r="AK194" i="1"/>
  <c r="B6" i="15"/>
  <c r="D6" i="15"/>
  <c r="B15" i="15"/>
  <c r="D15" i="15"/>
  <c r="D17" i="15"/>
  <c r="D7" i="15"/>
  <c r="Y188" i="1"/>
  <c r="I163" i="1"/>
  <c r="AG40" i="1"/>
  <c r="AI40" i="1"/>
  <c r="K161" i="1"/>
  <c r="S16" i="1"/>
  <c r="Y16" i="1"/>
  <c r="AE16" i="1"/>
  <c r="AG16" i="1"/>
  <c r="P62" i="1"/>
  <c r="S65" i="1"/>
  <c r="U65" i="1"/>
  <c r="W65" i="1"/>
  <c r="W66" i="1"/>
  <c r="B16" i="15"/>
  <c r="D16" i="15"/>
  <c r="U88" i="1"/>
  <c r="W88" i="1"/>
  <c r="I13" i="1"/>
  <c r="AK141" i="1"/>
  <c r="AA176" i="1"/>
  <c r="AC176" i="1"/>
  <c r="AB62" i="1"/>
  <c r="Q17" i="1"/>
  <c r="K17" i="1"/>
  <c r="I36" i="1"/>
  <c r="K36" i="1"/>
  <c r="O176" i="1"/>
  <c r="Q176" i="1"/>
  <c r="L171" i="1"/>
  <c r="S17" i="1"/>
  <c r="V95" i="1"/>
  <c r="O90" i="1"/>
  <c r="Q90" i="1"/>
  <c r="U90" i="1"/>
  <c r="W90" i="1"/>
  <c r="I158" i="1"/>
  <c r="O89" i="1"/>
  <c r="Q89" i="1"/>
  <c r="S24" i="1"/>
  <c r="U24" i="1"/>
  <c r="O24" i="1"/>
  <c r="Q24" i="1"/>
  <c r="K154" i="1"/>
  <c r="K158" i="1"/>
  <c r="X10" i="1"/>
  <c r="AD10" i="1"/>
  <c r="Y30" i="1"/>
  <c r="S30" i="1"/>
  <c r="AE30" i="1"/>
  <c r="M30" i="1"/>
  <c r="F30" i="1"/>
  <c r="AA177" i="1"/>
  <c r="AC177" i="1"/>
  <c r="S178" i="1"/>
  <c r="Y178" i="1"/>
  <c r="AA178" i="1"/>
  <c r="AC178" i="1"/>
  <c r="K150" i="1"/>
  <c r="K151" i="1"/>
  <c r="I151" i="1"/>
  <c r="K183" i="1"/>
  <c r="K198" i="1"/>
  <c r="I198" i="1"/>
  <c r="S174" i="1"/>
  <c r="U174" i="1"/>
  <c r="W174" i="1"/>
  <c r="K174" i="1"/>
  <c r="O171" i="1"/>
  <c r="Q171" i="1"/>
  <c r="V200" i="1"/>
  <c r="I19" i="19"/>
  <c r="O53" i="1"/>
  <c r="Q53" i="1"/>
  <c r="Y109" i="1"/>
  <c r="I109" i="1"/>
  <c r="K109" i="1"/>
  <c r="I118" i="1"/>
  <c r="P131" i="1"/>
  <c r="F15" i="19"/>
  <c r="Y185" i="1"/>
  <c r="AA185" i="1"/>
  <c r="AC185" i="1"/>
  <c r="S184" i="1"/>
  <c r="U184" i="1"/>
  <c r="W184" i="1"/>
  <c r="AH200" i="1"/>
  <c r="O19" i="19"/>
  <c r="AH95" i="1"/>
  <c r="AH97" i="1"/>
  <c r="O11" i="19"/>
  <c r="AK13" i="1"/>
  <c r="O12" i="1"/>
  <c r="Q12" i="1"/>
  <c r="J62" i="1"/>
  <c r="V62" i="1"/>
  <c r="V131" i="1"/>
  <c r="I15" i="19"/>
  <c r="P95" i="1"/>
  <c r="P97" i="1"/>
  <c r="F11" i="19"/>
  <c r="K11" i="1"/>
  <c r="Q65" i="1"/>
  <c r="Q66" i="1"/>
  <c r="AE194" i="1"/>
  <c r="AG194" i="1"/>
  <c r="AI194" i="1"/>
  <c r="AB95" i="1"/>
  <c r="AB97" i="1"/>
  <c r="L11" i="19"/>
  <c r="U194" i="1"/>
  <c r="W194" i="1"/>
  <c r="S192" i="1"/>
  <c r="U192" i="1"/>
  <c r="W192" i="1"/>
  <c r="AK179" i="1"/>
  <c r="R71" i="1"/>
  <c r="U71" i="1"/>
  <c r="W71" i="1"/>
  <c r="O38" i="1"/>
  <c r="Q38" i="1"/>
  <c r="O37" i="1"/>
  <c r="Q37" i="1"/>
  <c r="O39" i="1"/>
  <c r="AG48" i="1"/>
  <c r="AI48" i="1"/>
  <c r="AI49" i="1"/>
  <c r="K65" i="1"/>
  <c r="K66" i="1"/>
  <c r="S175" i="1"/>
  <c r="Y175" i="1"/>
  <c r="AE175" i="1"/>
  <c r="AG175" i="1"/>
  <c r="AI175" i="1"/>
  <c r="I93" i="1"/>
  <c r="J95" i="1"/>
  <c r="S195" i="1"/>
  <c r="E69" i="1"/>
  <c r="I69" i="1"/>
  <c r="K69" i="1"/>
  <c r="E171" i="1"/>
  <c r="I171" i="1"/>
  <c r="S18" i="1"/>
  <c r="I104" i="1"/>
  <c r="B13" i="19"/>
  <c r="AJ101" i="1"/>
  <c r="AL101" i="1"/>
  <c r="O26" i="1"/>
  <c r="Q26" i="1"/>
  <c r="S26" i="1"/>
  <c r="U26" i="1"/>
  <c r="W26" i="1"/>
  <c r="R11" i="1"/>
  <c r="X11" i="1"/>
  <c r="AD11" i="1"/>
  <c r="AG11" i="1"/>
  <c r="AI11" i="1"/>
  <c r="O11" i="1"/>
  <c r="I27" i="1"/>
  <c r="I32" i="1"/>
  <c r="S183" i="1"/>
  <c r="U183" i="1"/>
  <c r="W183" i="1"/>
  <c r="O177" i="1"/>
  <c r="Q177" i="1"/>
  <c r="AJ128" i="1"/>
  <c r="AL128" i="1"/>
  <c r="K104" i="1"/>
  <c r="D13" i="19"/>
  <c r="Q140" i="1"/>
  <c r="Q141" i="1"/>
  <c r="AL76" i="1"/>
  <c r="AJ79" i="1"/>
  <c r="AL79" i="1"/>
  <c r="AA48" i="1"/>
  <c r="AA49" i="1"/>
  <c r="AJ78" i="1"/>
  <c r="AL78" i="1"/>
  <c r="AC77" i="1"/>
  <c r="AJ77" i="1"/>
  <c r="AL77" i="1"/>
  <c r="M121" i="1"/>
  <c r="O121" i="1"/>
  <c r="Q121" i="1"/>
  <c r="R121" i="1"/>
  <c r="R58" i="1"/>
  <c r="U58" i="1"/>
  <c r="W58" i="1"/>
  <c r="X56" i="1"/>
  <c r="AA56" i="1"/>
  <c r="AC56" i="1"/>
  <c r="O104" i="1"/>
  <c r="E13" i="19"/>
  <c r="Q101" i="1"/>
  <c r="AA151" i="1"/>
  <c r="AK66" i="1"/>
  <c r="Y91" i="1"/>
  <c r="U91" i="1"/>
  <c r="W91" i="1"/>
  <c r="AA90" i="1"/>
  <c r="AC90" i="1"/>
  <c r="W128" i="1"/>
  <c r="S196" i="1"/>
  <c r="P200" i="1"/>
  <c r="F19" i="19"/>
  <c r="AA40" i="1"/>
  <c r="AC40" i="1"/>
  <c r="AK43" i="1"/>
  <c r="R9" i="19"/>
  <c r="W151" i="1"/>
  <c r="J166" i="1"/>
  <c r="C17" i="19"/>
  <c r="U48" i="1"/>
  <c r="U49" i="1"/>
  <c r="AK104" i="1"/>
  <c r="R13" i="19"/>
  <c r="U176" i="1"/>
  <c r="AG72" i="1"/>
  <c r="AI72" i="1"/>
  <c r="U177" i="1"/>
  <c r="W177" i="1"/>
  <c r="O91" i="1"/>
  <c r="Q91" i="1"/>
  <c r="AH131" i="1"/>
  <c r="O15" i="19"/>
  <c r="S193" i="1"/>
  <c r="S182" i="1"/>
  <c r="R171" i="1"/>
  <c r="U171" i="1"/>
  <c r="W171" i="1"/>
  <c r="O22" i="1"/>
  <c r="Q22" i="1"/>
  <c r="M54" i="1"/>
  <c r="S54" i="1"/>
  <c r="U54" i="1"/>
  <c r="W54" i="1"/>
  <c r="X58" i="1"/>
  <c r="W140" i="1"/>
  <c r="W141" i="1"/>
  <c r="V166" i="1"/>
  <c r="I17" i="19"/>
  <c r="AI141" i="1"/>
  <c r="AJ140" i="1"/>
  <c r="AL140" i="1"/>
  <c r="O88" i="1"/>
  <c r="Q88" i="1"/>
  <c r="S187" i="1"/>
  <c r="AA189" i="1"/>
  <c r="AC189" i="1"/>
  <c r="AK27" i="1"/>
  <c r="O25" i="1"/>
  <c r="Q25" i="1"/>
  <c r="K162" i="1"/>
  <c r="K163" i="1"/>
  <c r="AH166" i="1"/>
  <c r="O17" i="19"/>
  <c r="S122" i="1"/>
  <c r="O48" i="1"/>
  <c r="S19" i="1"/>
  <c r="U19" i="1"/>
  <c r="AE84" i="1"/>
  <c r="AG84" i="1"/>
  <c r="AA84" i="1"/>
  <c r="AC84" i="1"/>
  <c r="W84" i="1"/>
  <c r="K23" i="1"/>
  <c r="AA114" i="1"/>
  <c r="AC114" i="1"/>
  <c r="Y22" i="1"/>
  <c r="AE22" i="1"/>
  <c r="AG22" i="1"/>
  <c r="AI22" i="1"/>
  <c r="S21" i="1"/>
  <c r="U21" i="1"/>
  <c r="Y112" i="1"/>
  <c r="M112" i="1"/>
  <c r="O112" i="1"/>
  <c r="Q112" i="1"/>
  <c r="R112" i="1"/>
  <c r="S23" i="1"/>
  <c r="O55" i="1"/>
  <c r="Q55" i="1"/>
  <c r="S112" i="1"/>
  <c r="AE112" i="1"/>
  <c r="AK73" i="1"/>
  <c r="AK198" i="1"/>
  <c r="D9" i="15"/>
  <c r="K90" i="1"/>
  <c r="W197" i="1"/>
  <c r="W185" i="1"/>
  <c r="Y89" i="1"/>
  <c r="AA89" i="1"/>
  <c r="U89" i="1"/>
  <c r="W89" i="1"/>
  <c r="W10" i="1"/>
  <c r="AJ113" i="1"/>
  <c r="AL113" i="1"/>
  <c r="AC113" i="1"/>
  <c r="AI146" i="1"/>
  <c r="AI147" i="1"/>
  <c r="Y71" i="1"/>
  <c r="AE71" i="1"/>
  <c r="AK93" i="1"/>
  <c r="AC146" i="1"/>
  <c r="AC147" i="1"/>
  <c r="D18" i="15"/>
  <c r="AK115" i="1"/>
  <c r="J131" i="1"/>
  <c r="C15" i="19"/>
  <c r="AB131" i="1"/>
  <c r="L15" i="19"/>
  <c r="Y197" i="1"/>
  <c r="AB200" i="1"/>
  <c r="L19" i="19"/>
  <c r="S70" i="1"/>
  <c r="U70" i="1"/>
  <c r="W70" i="1"/>
  <c r="Y191" i="1"/>
  <c r="AA191" i="1"/>
  <c r="AC191" i="1"/>
  <c r="O69" i="1"/>
  <c r="Q69" i="1"/>
  <c r="U69" i="1"/>
  <c r="W69" i="1"/>
  <c r="Y111" i="1"/>
  <c r="O10" i="1"/>
  <c r="Q10" i="1"/>
  <c r="AK60" i="1"/>
  <c r="AK62" i="1"/>
  <c r="K13" i="1"/>
  <c r="P166" i="1"/>
  <c r="F17" i="19"/>
  <c r="AB166" i="1"/>
  <c r="L17" i="19"/>
  <c r="AK151" i="1"/>
  <c r="AK163" i="1"/>
  <c r="U104" i="1"/>
  <c r="H13" i="19"/>
  <c r="AJ41" i="1"/>
  <c r="AL41" i="1"/>
  <c r="AK158" i="1"/>
  <c r="AC141" i="1"/>
  <c r="AJ150" i="1"/>
  <c r="AL150" i="1"/>
  <c r="AC151" i="1"/>
  <c r="U151" i="1"/>
  <c r="AJ138" i="1"/>
  <c r="AJ141" i="1"/>
  <c r="K138" i="1"/>
  <c r="AA104" i="1"/>
  <c r="K13" i="19"/>
  <c r="AC101" i="1"/>
  <c r="AC104" i="1"/>
  <c r="M13" i="19"/>
  <c r="W101" i="1"/>
  <c r="W104" i="1"/>
  <c r="J13" i="19"/>
  <c r="Y122" i="1"/>
  <c r="M119" i="1"/>
  <c r="O119" i="1"/>
  <c r="Q119" i="1"/>
  <c r="R119" i="1"/>
  <c r="Y119" i="1"/>
  <c r="M122" i="1"/>
  <c r="O122" i="1"/>
  <c r="Q122" i="1"/>
  <c r="R122" i="1"/>
  <c r="M120" i="1"/>
  <c r="O120" i="1"/>
  <c r="Q120" i="1"/>
  <c r="R120" i="1"/>
  <c r="S109" i="1"/>
  <c r="AE122" i="1"/>
  <c r="S118" i="1"/>
  <c r="S119" i="1"/>
  <c r="Y118" i="1"/>
  <c r="M110" i="1"/>
  <c r="O110" i="1"/>
  <c r="Q110" i="1"/>
  <c r="R110" i="1"/>
  <c r="Y120" i="1"/>
  <c r="AE109" i="1"/>
  <c r="M118" i="1"/>
  <c r="O118" i="1"/>
  <c r="Q118" i="1"/>
  <c r="R118" i="1"/>
  <c r="I110" i="1"/>
  <c r="K110" i="1"/>
  <c r="S110" i="1"/>
  <c r="AE111" i="1"/>
  <c r="M111" i="1"/>
  <c r="O111" i="1"/>
  <c r="Q111" i="1"/>
  <c r="R111" i="1"/>
  <c r="U111" i="1"/>
  <c r="M109" i="1"/>
  <c r="O109" i="1"/>
  <c r="Q109" i="1"/>
  <c r="R109" i="1"/>
  <c r="Y110" i="1"/>
  <c r="S121" i="1"/>
  <c r="I111" i="1"/>
  <c r="K111" i="1"/>
  <c r="Y121" i="1"/>
  <c r="AE120" i="1"/>
  <c r="AE121" i="1"/>
  <c r="U72" i="1"/>
  <c r="AI177" i="1"/>
  <c r="AE178" i="1"/>
  <c r="AG178" i="1"/>
  <c r="AI178" i="1"/>
  <c r="AA188" i="1"/>
  <c r="AC188" i="1"/>
  <c r="AE188" i="1"/>
  <c r="AG188" i="1"/>
  <c r="AI188" i="1"/>
  <c r="W188" i="1"/>
  <c r="Q123" i="1"/>
  <c r="R123" i="1"/>
  <c r="U123" i="1"/>
  <c r="U186" i="1"/>
  <c r="Y186" i="1"/>
  <c r="AE69" i="1"/>
  <c r="AG69" i="1"/>
  <c r="AA69" i="1"/>
  <c r="Q125" i="1"/>
  <c r="R125" i="1"/>
  <c r="U125" i="1"/>
  <c r="U25" i="1"/>
  <c r="Y25" i="1"/>
  <c r="AJ88" i="1"/>
  <c r="AL88" i="1"/>
  <c r="O71" i="1"/>
  <c r="Q71" i="1"/>
  <c r="Q70" i="1"/>
  <c r="O92" i="1"/>
  <c r="K91" i="1"/>
  <c r="AK129" i="1"/>
  <c r="Q124" i="1"/>
  <c r="AJ124" i="1"/>
  <c r="AL124" i="1"/>
  <c r="Y53" i="1"/>
  <c r="U53" i="1"/>
  <c r="W53" i="1"/>
  <c r="L57" i="1"/>
  <c r="C12" i="18"/>
  <c r="L58" i="1"/>
  <c r="L56" i="1"/>
  <c r="L172" i="1"/>
  <c r="O172" i="1"/>
  <c r="Q172" i="1"/>
  <c r="Q156" i="1"/>
  <c r="AJ156" i="1"/>
  <c r="AL156" i="1"/>
  <c r="Q161" i="1"/>
  <c r="Q163" i="1"/>
  <c r="O163" i="1"/>
  <c r="X72" i="1"/>
  <c r="AA72" i="1"/>
  <c r="AC72" i="1"/>
  <c r="E71" i="1"/>
  <c r="I71" i="1"/>
  <c r="I73" i="1"/>
  <c r="U40" i="1"/>
  <c r="W40" i="1"/>
  <c r="U16" i="1"/>
  <c r="G5" i="20"/>
  <c r="B5" i="18"/>
  <c r="K52" i="1"/>
  <c r="R59" i="1"/>
  <c r="U59" i="1"/>
  <c r="W59" i="1"/>
  <c r="R56" i="1"/>
  <c r="R172" i="1"/>
  <c r="U172" i="1"/>
  <c r="R114" i="1"/>
  <c r="U114" i="1"/>
  <c r="W114" i="1"/>
  <c r="R57" i="1"/>
  <c r="D12" i="18"/>
  <c r="AI149" i="1"/>
  <c r="AI151" i="1"/>
  <c r="AG151" i="1"/>
  <c r="AJ161" i="1"/>
  <c r="AA171" i="1"/>
  <c r="L59" i="1"/>
  <c r="O59" i="1"/>
  <c r="Q59" i="1"/>
  <c r="AG104" i="1"/>
  <c r="N13" i="19"/>
  <c r="AI102" i="1"/>
  <c r="AI104" i="1"/>
  <c r="P13" i="19"/>
  <c r="AG158" i="1"/>
  <c r="AI154" i="1"/>
  <c r="AI158" i="1"/>
  <c r="R12" i="1"/>
  <c r="K54" i="1"/>
  <c r="K55" i="1"/>
  <c r="X57" i="1"/>
  <c r="E12" i="18"/>
  <c r="X59" i="1"/>
  <c r="AA59" i="1"/>
  <c r="AC59" i="1"/>
  <c r="AJ157" i="1"/>
  <c r="AL157" i="1"/>
  <c r="Q157" i="1"/>
  <c r="AC154" i="1"/>
  <c r="AC158" i="1"/>
  <c r="AA158" i="1"/>
  <c r="W146" i="1"/>
  <c r="W147" i="1"/>
  <c r="U189" i="1"/>
  <c r="AD59" i="1"/>
  <c r="AG59" i="1"/>
  <c r="AI59" i="1"/>
  <c r="AD56" i="1"/>
  <c r="AD172" i="1"/>
  <c r="AG172" i="1"/>
  <c r="AI172" i="1"/>
  <c r="AD114" i="1"/>
  <c r="AG114" i="1"/>
  <c r="AI114" i="1"/>
  <c r="AD57" i="1"/>
  <c r="F12" i="18"/>
  <c r="O198" i="1"/>
  <c r="U158" i="1"/>
  <c r="W154" i="1"/>
  <c r="W158" i="1"/>
  <c r="Q146" i="1"/>
  <c r="Q147" i="1"/>
  <c r="AI161" i="1"/>
  <c r="AI163" i="1"/>
  <c r="AG163" i="1"/>
  <c r="L72" i="1"/>
  <c r="Y55" i="1"/>
  <c r="AD58" i="1"/>
  <c r="Q154" i="1"/>
  <c r="O158" i="1"/>
  <c r="AJ146" i="1"/>
  <c r="AJ147" i="1"/>
  <c r="AC161" i="1"/>
  <c r="AC163" i="1"/>
  <c r="AA163" i="1"/>
  <c r="AD71" i="1"/>
  <c r="AD171" i="1"/>
  <c r="AG171" i="1"/>
  <c r="Q190" i="1"/>
  <c r="Q198" i="1"/>
  <c r="Q149" i="1"/>
  <c r="Q151" i="1"/>
  <c r="O151" i="1"/>
  <c r="AJ154" i="1"/>
  <c r="W163" i="1"/>
  <c r="X71" i="1"/>
  <c r="L114" i="1"/>
  <c r="O114" i="1"/>
  <c r="AJ149" i="1"/>
  <c r="AJ102" i="1"/>
  <c r="AL102" i="1"/>
  <c r="E48" i="1"/>
  <c r="I119" i="1"/>
  <c r="U163" i="1"/>
  <c r="AA141" i="1"/>
  <c r="AJ162" i="1"/>
  <c r="AL162" i="1"/>
  <c r="S120" i="1"/>
  <c r="S52" i="1"/>
  <c r="S190" i="1"/>
  <c r="K140" i="1"/>
  <c r="K146" i="1"/>
  <c r="K147" i="1"/>
  <c r="Y174" i="1"/>
  <c r="J97" i="1"/>
  <c r="C11" i="19"/>
  <c r="I35" i="1"/>
  <c r="K35" i="1"/>
  <c r="K43" i="1"/>
  <c r="D9" i="19"/>
  <c r="Y24" i="1"/>
  <c r="AA24" i="1"/>
  <c r="I129" i="1"/>
  <c r="I166" i="1"/>
  <c r="B17" i="19"/>
  <c r="R73" i="1"/>
  <c r="U178" i="1"/>
  <c r="W178" i="1"/>
  <c r="U66" i="1"/>
  <c r="Y65" i="1"/>
  <c r="V97" i="1"/>
  <c r="I11" i="19"/>
  <c r="O36" i="1"/>
  <c r="D20" i="15"/>
  <c r="K27" i="1"/>
  <c r="Y184" i="1"/>
  <c r="AA184" i="1"/>
  <c r="Y17" i="1"/>
  <c r="U17" i="1"/>
  <c r="W17" i="1"/>
  <c r="AA166" i="1"/>
  <c r="K17" i="19"/>
  <c r="Y192" i="1"/>
  <c r="AE191" i="1"/>
  <c r="AG191" i="1"/>
  <c r="AJ191" i="1"/>
  <c r="AL191" i="1"/>
  <c r="Y183" i="1"/>
  <c r="AA183" i="1"/>
  <c r="AC183" i="1"/>
  <c r="AK200" i="1"/>
  <c r="R19" i="19"/>
  <c r="O93" i="1"/>
  <c r="U11" i="1"/>
  <c r="W11" i="1"/>
  <c r="U122" i="1"/>
  <c r="W122" i="1"/>
  <c r="X122" i="1"/>
  <c r="AA122" i="1"/>
  <c r="K118" i="1"/>
  <c r="O166" i="1"/>
  <c r="E17" i="19"/>
  <c r="Y21" i="1"/>
  <c r="AA21" i="1"/>
  <c r="AC21" i="1"/>
  <c r="Y54" i="1"/>
  <c r="AA54" i="1"/>
  <c r="AC54" i="1"/>
  <c r="Y19" i="1"/>
  <c r="AA19" i="1"/>
  <c r="E18" i="18"/>
  <c r="E13" i="18"/>
  <c r="AA22" i="1"/>
  <c r="AJ22" i="1"/>
  <c r="AL22" i="1"/>
  <c r="D18" i="18"/>
  <c r="D13" i="18"/>
  <c r="F18" i="18"/>
  <c r="F13" i="18"/>
  <c r="C18" i="18"/>
  <c r="C13" i="18"/>
  <c r="I43" i="1"/>
  <c r="O13" i="1"/>
  <c r="O35" i="1"/>
  <c r="Q35" i="1"/>
  <c r="AG166" i="1"/>
  <c r="N17" i="19"/>
  <c r="U166" i="1"/>
  <c r="H17" i="19"/>
  <c r="AL138" i="1"/>
  <c r="AL141" i="1"/>
  <c r="AG49" i="1"/>
  <c r="X80" i="1"/>
  <c r="AA80" i="1"/>
  <c r="AC80" i="1"/>
  <c r="X172" i="1"/>
  <c r="AA172" i="1"/>
  <c r="AC172" i="1"/>
  <c r="AE185" i="1"/>
  <c r="AG185" i="1"/>
  <c r="O54" i="1"/>
  <c r="Q54" i="1"/>
  <c r="U18" i="1"/>
  <c r="W18" i="1"/>
  <c r="Y18" i="1"/>
  <c r="U195" i="1"/>
  <c r="W195" i="1"/>
  <c r="Y195" i="1"/>
  <c r="AA16" i="1"/>
  <c r="AE89" i="1"/>
  <c r="AG89" i="1"/>
  <c r="AJ89" i="1"/>
  <c r="AL89" i="1"/>
  <c r="AJ194" i="1"/>
  <c r="AL194" i="1"/>
  <c r="AA175" i="1"/>
  <c r="AC175" i="1"/>
  <c r="AC166" i="1"/>
  <c r="M17" i="19"/>
  <c r="U175" i="1"/>
  <c r="AK166" i="1"/>
  <c r="R17" i="19"/>
  <c r="Q27" i="1"/>
  <c r="AC89" i="1"/>
  <c r="O58" i="1"/>
  <c r="Q58" i="1"/>
  <c r="L82" i="1"/>
  <c r="O82" i="1"/>
  <c r="Q82" i="1"/>
  <c r="L83" i="1"/>
  <c r="O83" i="1"/>
  <c r="Q83" i="1"/>
  <c r="AG57" i="1"/>
  <c r="AI57" i="1"/>
  <c r="AD81" i="1"/>
  <c r="AG81" i="1"/>
  <c r="AI81" i="1"/>
  <c r="U56" i="1"/>
  <c r="W56" i="1"/>
  <c r="R80" i="1"/>
  <c r="O57" i="1"/>
  <c r="Q57" i="1"/>
  <c r="L81" i="1"/>
  <c r="O81" i="1"/>
  <c r="Q81" i="1"/>
  <c r="AA11" i="1"/>
  <c r="AG58" i="1"/>
  <c r="AI58" i="1"/>
  <c r="AD82" i="1"/>
  <c r="AG82" i="1"/>
  <c r="AI82" i="1"/>
  <c r="AD83" i="1"/>
  <c r="AG83" i="1"/>
  <c r="AI83" i="1"/>
  <c r="AJ90" i="1"/>
  <c r="AL90" i="1"/>
  <c r="AA58" i="1"/>
  <c r="AC58" i="1"/>
  <c r="X83" i="1"/>
  <c r="AA83" i="1"/>
  <c r="AC83" i="1"/>
  <c r="X82" i="1"/>
  <c r="AA82" i="1"/>
  <c r="AC82" i="1"/>
  <c r="B7" i="19"/>
  <c r="Q36" i="1"/>
  <c r="AG56" i="1"/>
  <c r="AI56" i="1"/>
  <c r="AD80" i="1"/>
  <c r="AA57" i="1"/>
  <c r="AC57" i="1"/>
  <c r="X81" i="1"/>
  <c r="AA81" i="1"/>
  <c r="AC81" i="1"/>
  <c r="U57" i="1"/>
  <c r="W57" i="1"/>
  <c r="R81" i="1"/>
  <c r="U81" i="1"/>
  <c r="W81" i="1"/>
  <c r="O56" i="1"/>
  <c r="Q56" i="1"/>
  <c r="L80" i="1"/>
  <c r="K93" i="1"/>
  <c r="U110" i="1"/>
  <c r="W110" i="1"/>
  <c r="X110" i="1"/>
  <c r="AA110" i="1"/>
  <c r="AK95" i="1"/>
  <c r="AK97" i="1"/>
  <c r="R11" i="19"/>
  <c r="W48" i="1"/>
  <c r="W49" i="1"/>
  <c r="AC48" i="1"/>
  <c r="AC49" i="1"/>
  <c r="R82" i="1"/>
  <c r="U82" i="1"/>
  <c r="W82" i="1"/>
  <c r="R83" i="1"/>
  <c r="U83" i="1"/>
  <c r="W83" i="1"/>
  <c r="O27" i="1"/>
  <c r="Y70" i="1"/>
  <c r="AE70" i="1"/>
  <c r="AG70" i="1"/>
  <c r="AI70" i="1"/>
  <c r="AJ177" i="1"/>
  <c r="AL177" i="1"/>
  <c r="Q179" i="1"/>
  <c r="Q200" i="1"/>
  <c r="G19" i="19"/>
  <c r="O179" i="1"/>
  <c r="O200" i="1"/>
  <c r="E19" i="19"/>
  <c r="AI84" i="1"/>
  <c r="Y26" i="1"/>
  <c r="AE26" i="1"/>
  <c r="AG26" i="1"/>
  <c r="AI26" i="1"/>
  <c r="U187" i="1"/>
  <c r="Y187" i="1"/>
  <c r="U182" i="1"/>
  <c r="Y182" i="1"/>
  <c r="AJ188" i="1"/>
  <c r="AL188" i="1"/>
  <c r="AK131" i="1"/>
  <c r="R15" i="19"/>
  <c r="U193" i="1"/>
  <c r="Y193" i="1"/>
  <c r="U196" i="1"/>
  <c r="Y196" i="1"/>
  <c r="AA192" i="1"/>
  <c r="AE192" i="1"/>
  <c r="AG192" i="1"/>
  <c r="AI192" i="1"/>
  <c r="W176" i="1"/>
  <c r="AJ176" i="1"/>
  <c r="AL176" i="1"/>
  <c r="AE91" i="1"/>
  <c r="AG91" i="1"/>
  <c r="AI91" i="1"/>
  <c r="AA91" i="1"/>
  <c r="Q104" i="1"/>
  <c r="G13" i="19"/>
  <c r="AI166" i="1"/>
  <c r="P17" i="19"/>
  <c r="Q48" i="1"/>
  <c r="Q49" i="1"/>
  <c r="O49" i="1"/>
  <c r="AJ84" i="1"/>
  <c r="U119" i="1"/>
  <c r="W119" i="1"/>
  <c r="X119" i="1"/>
  <c r="AA119" i="1"/>
  <c r="U112" i="1"/>
  <c r="W112" i="1"/>
  <c r="X112" i="1"/>
  <c r="AA112" i="1"/>
  <c r="U121" i="1"/>
  <c r="W121" i="1"/>
  <c r="X121" i="1"/>
  <c r="AA121" i="1"/>
  <c r="AC121" i="1"/>
  <c r="AD121" i="1"/>
  <c r="AG121" i="1"/>
  <c r="U23" i="1"/>
  <c r="W23" i="1"/>
  <c r="Y23" i="1"/>
  <c r="Q158" i="1"/>
  <c r="Q166" i="1"/>
  <c r="G17" i="19"/>
  <c r="U109" i="1"/>
  <c r="W109" i="1"/>
  <c r="AA197" i="1"/>
  <c r="AE197" i="1"/>
  <c r="AG197" i="1"/>
  <c r="AI197" i="1"/>
  <c r="AA174" i="1"/>
  <c r="AE174" i="1"/>
  <c r="AG174" i="1"/>
  <c r="AI174" i="1"/>
  <c r="AA10" i="1"/>
  <c r="AG10" i="1"/>
  <c r="AI10" i="1"/>
  <c r="K141" i="1"/>
  <c r="K166" i="1"/>
  <c r="D17" i="19"/>
  <c r="U118" i="1"/>
  <c r="W118" i="1"/>
  <c r="O129" i="1"/>
  <c r="W111" i="1"/>
  <c r="X111" i="1"/>
  <c r="AA111" i="1"/>
  <c r="W125" i="1"/>
  <c r="X125" i="1"/>
  <c r="AA125" i="1"/>
  <c r="W123" i="1"/>
  <c r="X123" i="1"/>
  <c r="AA123" i="1"/>
  <c r="AC69" i="1"/>
  <c r="W72" i="1"/>
  <c r="W73" i="1"/>
  <c r="U73" i="1"/>
  <c r="U52" i="1"/>
  <c r="Y52" i="1"/>
  <c r="E49" i="1"/>
  <c r="I48" i="1"/>
  <c r="AJ171" i="1"/>
  <c r="K171" i="1"/>
  <c r="AE21" i="1"/>
  <c r="AG21" i="1"/>
  <c r="AI21" i="1"/>
  <c r="W25" i="1"/>
  <c r="AG38" i="1"/>
  <c r="AI38" i="1"/>
  <c r="AG37" i="1"/>
  <c r="AI37" i="1"/>
  <c r="AI16" i="1"/>
  <c r="AG39" i="1"/>
  <c r="AI39" i="1"/>
  <c r="AE25" i="1"/>
  <c r="AG25" i="1"/>
  <c r="AI25" i="1"/>
  <c r="AA25" i="1"/>
  <c r="AC25" i="1"/>
  <c r="W21" i="1"/>
  <c r="AJ151" i="1"/>
  <c r="AL149" i="1"/>
  <c r="AL151" i="1"/>
  <c r="AD73" i="1"/>
  <c r="AG71" i="1"/>
  <c r="AI71" i="1"/>
  <c r="W175" i="1"/>
  <c r="W186" i="1"/>
  <c r="AJ104" i="1"/>
  <c r="AL104" i="1"/>
  <c r="AI171" i="1"/>
  <c r="AE186" i="1"/>
  <c r="AG186" i="1"/>
  <c r="AA186" i="1"/>
  <c r="AA71" i="1"/>
  <c r="AC71" i="1"/>
  <c r="X73" i="1"/>
  <c r="AA55" i="1"/>
  <c r="AE55" i="1"/>
  <c r="AG55" i="1"/>
  <c r="AI55" i="1"/>
  <c r="Q11" i="1"/>
  <c r="Q13" i="1"/>
  <c r="AC171" i="1"/>
  <c r="U39" i="1"/>
  <c r="W39" i="1"/>
  <c r="U37" i="1"/>
  <c r="U38" i="1"/>
  <c r="W38" i="1"/>
  <c r="W16" i="1"/>
  <c r="AJ40" i="1"/>
  <c r="Q39" i="1"/>
  <c r="AC24" i="1"/>
  <c r="AE24" i="1"/>
  <c r="AG24" i="1"/>
  <c r="U12" i="1"/>
  <c r="X12" i="1"/>
  <c r="AL161" i="1"/>
  <c r="AL163" i="1"/>
  <c r="AJ163" i="1"/>
  <c r="AA53" i="1"/>
  <c r="AE53" i="1"/>
  <c r="AG53" i="1"/>
  <c r="AI53" i="1"/>
  <c r="AA70" i="1"/>
  <c r="AI69" i="1"/>
  <c r="AJ69" i="1"/>
  <c r="U120" i="1"/>
  <c r="W24" i="1"/>
  <c r="W172" i="1"/>
  <c r="K71" i="1"/>
  <c r="K73" i="1"/>
  <c r="Y92" i="1"/>
  <c r="U92" i="1"/>
  <c r="U190" i="1"/>
  <c r="Y190" i="1"/>
  <c r="AJ158" i="1"/>
  <c r="AL154" i="1"/>
  <c r="AL158" i="1"/>
  <c r="K119" i="1"/>
  <c r="Q114" i="1"/>
  <c r="Q115" i="1"/>
  <c r="O115" i="1"/>
  <c r="W166" i="1"/>
  <c r="J17" i="19"/>
  <c r="AL146" i="1"/>
  <c r="AL147" i="1"/>
  <c r="O72" i="1"/>
  <c r="O73" i="1"/>
  <c r="L73" i="1"/>
  <c r="W189" i="1"/>
  <c r="AJ189" i="1"/>
  <c r="AL189" i="1"/>
  <c r="W19" i="1"/>
  <c r="Q92" i="1"/>
  <c r="Q93" i="1"/>
  <c r="Q129" i="1"/>
  <c r="AE184" i="1"/>
  <c r="AG184" i="1"/>
  <c r="AI184" i="1"/>
  <c r="U179" i="1"/>
  <c r="AJ178" i="1"/>
  <c r="AL178" i="1"/>
  <c r="O32" i="1"/>
  <c r="AJ11" i="1"/>
  <c r="AL11" i="1"/>
  <c r="U13" i="1"/>
  <c r="U35" i="1"/>
  <c r="AA65" i="1"/>
  <c r="AE65" i="1"/>
  <c r="AG65" i="1"/>
  <c r="AJ166" i="1"/>
  <c r="Q17" i="19"/>
  <c r="AE183" i="1"/>
  <c r="AG183" i="1"/>
  <c r="AI183" i="1"/>
  <c r="AE17" i="1"/>
  <c r="AG17" i="1"/>
  <c r="AI17" i="1"/>
  <c r="AA17" i="1"/>
  <c r="AI191" i="1"/>
  <c r="AG179" i="1"/>
  <c r="U198" i="1"/>
  <c r="U200" i="1"/>
  <c r="H19" i="19"/>
  <c r="AI89" i="1"/>
  <c r="AE54" i="1"/>
  <c r="AG54" i="1"/>
  <c r="AI54" i="1"/>
  <c r="K129" i="1"/>
  <c r="AC22" i="1"/>
  <c r="E7" i="19"/>
  <c r="AE19" i="1"/>
  <c r="AG19" i="1"/>
  <c r="AI19" i="1"/>
  <c r="F19" i="18"/>
  <c r="AH30" i="1"/>
  <c r="AH32" i="1"/>
  <c r="C19" i="18"/>
  <c r="P30" i="1"/>
  <c r="P32" i="1"/>
  <c r="D19" i="18"/>
  <c r="V30" i="1"/>
  <c r="V32" i="1"/>
  <c r="E19" i="18"/>
  <c r="AB30" i="1"/>
  <c r="AB32" i="1"/>
  <c r="O43" i="1"/>
  <c r="E9" i="19"/>
  <c r="AA179" i="1"/>
  <c r="AJ175" i="1"/>
  <c r="AL175" i="1"/>
  <c r="Q60" i="1"/>
  <c r="AI185" i="1"/>
  <c r="AJ185" i="1"/>
  <c r="AL185" i="1"/>
  <c r="AI179" i="1"/>
  <c r="AC85" i="1"/>
  <c r="AE195" i="1"/>
  <c r="AG195" i="1"/>
  <c r="AI195" i="1"/>
  <c r="AA195" i="1"/>
  <c r="AA18" i="1"/>
  <c r="AE18" i="1"/>
  <c r="AG18" i="1"/>
  <c r="AI18" i="1"/>
  <c r="AC16" i="1"/>
  <c r="AA38" i="1"/>
  <c r="AC38" i="1"/>
  <c r="AA39" i="1"/>
  <c r="AC39" i="1"/>
  <c r="AJ16" i="1"/>
  <c r="AL16" i="1"/>
  <c r="AA37" i="1"/>
  <c r="AC37" i="1"/>
  <c r="L85" i="1"/>
  <c r="O80" i="1"/>
  <c r="X85" i="1"/>
  <c r="O60" i="1"/>
  <c r="O62" i="1"/>
  <c r="Q62" i="1"/>
  <c r="AA85" i="1"/>
  <c r="U36" i="1"/>
  <c r="W36" i="1"/>
  <c r="AC11" i="1"/>
  <c r="AD85" i="1"/>
  <c r="AG80" i="1"/>
  <c r="U27" i="1"/>
  <c r="U32" i="1"/>
  <c r="AJ24" i="1"/>
  <c r="AL24" i="1"/>
  <c r="R85" i="1"/>
  <c r="U80" i="1"/>
  <c r="AL40" i="1"/>
  <c r="AA26" i="1"/>
  <c r="AC26" i="1"/>
  <c r="W179" i="1"/>
  <c r="AL84" i="1"/>
  <c r="B9" i="19"/>
  <c r="AI73" i="1"/>
  <c r="O131" i="1"/>
  <c r="E15" i="19"/>
  <c r="W196" i="1"/>
  <c r="AA193" i="1"/>
  <c r="AC193" i="1"/>
  <c r="AE193" i="1"/>
  <c r="AG193" i="1"/>
  <c r="AI193" i="1"/>
  <c r="AE187" i="1"/>
  <c r="AG187" i="1"/>
  <c r="AI187" i="1"/>
  <c r="AA187" i="1"/>
  <c r="AC187" i="1"/>
  <c r="AC192" i="1"/>
  <c r="AJ192" i="1"/>
  <c r="AL192" i="1"/>
  <c r="W182" i="1"/>
  <c r="AJ71" i="1"/>
  <c r="AL71" i="1"/>
  <c r="W193" i="1"/>
  <c r="AC184" i="1"/>
  <c r="AJ184" i="1"/>
  <c r="AL184" i="1"/>
  <c r="W187" i="1"/>
  <c r="AG73" i="1"/>
  <c r="AC91" i="1"/>
  <c r="AJ91" i="1"/>
  <c r="AL91" i="1"/>
  <c r="AA196" i="1"/>
  <c r="AC196" i="1"/>
  <c r="AE196" i="1"/>
  <c r="AG196" i="1"/>
  <c r="AI196" i="1"/>
  <c r="AE182" i="1"/>
  <c r="AG182" i="1"/>
  <c r="AI182" i="1"/>
  <c r="AA182" i="1"/>
  <c r="AC182" i="1"/>
  <c r="U115" i="1"/>
  <c r="AE23" i="1"/>
  <c r="AG23" i="1"/>
  <c r="AI23" i="1"/>
  <c r="AA23" i="1"/>
  <c r="AC23" i="1"/>
  <c r="AL166" i="1"/>
  <c r="S17" i="19"/>
  <c r="AC10" i="1"/>
  <c r="AJ10" i="1"/>
  <c r="AL10" i="1"/>
  <c r="AC174" i="1"/>
  <c r="AC179" i="1"/>
  <c r="AJ174" i="1"/>
  <c r="AC197" i="1"/>
  <c r="AJ197" i="1"/>
  <c r="AL197" i="1"/>
  <c r="AC122" i="1"/>
  <c r="AD122" i="1"/>
  <c r="AG122" i="1"/>
  <c r="AI121" i="1"/>
  <c r="AJ121" i="1"/>
  <c r="AL121" i="1"/>
  <c r="AC123" i="1"/>
  <c r="AD123" i="1"/>
  <c r="AG123" i="1"/>
  <c r="AI123" i="1"/>
  <c r="AC125" i="1"/>
  <c r="AD125" i="1"/>
  <c r="AG125" i="1"/>
  <c r="AC111" i="1"/>
  <c r="AD111" i="1"/>
  <c r="AG111" i="1"/>
  <c r="AI111" i="1"/>
  <c r="AE92" i="1"/>
  <c r="AG92" i="1"/>
  <c r="AA92" i="1"/>
  <c r="W12" i="1"/>
  <c r="W13" i="1"/>
  <c r="S13" i="19"/>
  <c r="Q13" i="19"/>
  <c r="W52" i="1"/>
  <c r="W60" i="1"/>
  <c r="U60" i="1"/>
  <c r="U62" i="1"/>
  <c r="W62" i="1"/>
  <c r="E114" i="1"/>
  <c r="I114" i="1"/>
  <c r="I115" i="1"/>
  <c r="I131" i="1"/>
  <c r="E56" i="1"/>
  <c r="E172" i="1"/>
  <c r="I172" i="1"/>
  <c r="I179" i="1"/>
  <c r="E58" i="1"/>
  <c r="E57" i="1"/>
  <c r="B12" i="18"/>
  <c r="E59" i="1"/>
  <c r="I59" i="1"/>
  <c r="W120" i="1"/>
  <c r="W129" i="1"/>
  <c r="W37" i="1"/>
  <c r="AJ37" i="1"/>
  <c r="AL37" i="1"/>
  <c r="Q72" i="1"/>
  <c r="Q73" i="1"/>
  <c r="AJ72" i="1"/>
  <c r="AL72" i="1"/>
  <c r="AE190" i="1"/>
  <c r="AG190" i="1"/>
  <c r="AI190" i="1"/>
  <c r="AA190" i="1"/>
  <c r="AC190" i="1"/>
  <c r="AL69" i="1"/>
  <c r="AC70" i="1"/>
  <c r="AC73" i="1"/>
  <c r="AJ70" i="1"/>
  <c r="AL70" i="1"/>
  <c r="AC186" i="1"/>
  <c r="AJ186" i="1"/>
  <c r="AJ25" i="1"/>
  <c r="AL25" i="1"/>
  <c r="AL171" i="1"/>
  <c r="Q43" i="1"/>
  <c r="G9" i="19"/>
  <c r="W115" i="1"/>
  <c r="W190" i="1"/>
  <c r="AC110" i="1"/>
  <c r="AD110" i="1"/>
  <c r="AG110" i="1"/>
  <c r="AI110" i="1"/>
  <c r="AI186" i="1"/>
  <c r="AA73" i="1"/>
  <c r="X109" i="1"/>
  <c r="AA109" i="1"/>
  <c r="X118" i="1"/>
  <c r="AA118" i="1"/>
  <c r="AC53" i="1"/>
  <c r="AJ53" i="1"/>
  <c r="AL53" i="1"/>
  <c r="W27" i="1"/>
  <c r="AJ21" i="1"/>
  <c r="AL21" i="1"/>
  <c r="AC112" i="1"/>
  <c r="AD112" i="1"/>
  <c r="AG112" i="1"/>
  <c r="AI112" i="1"/>
  <c r="AC119" i="1"/>
  <c r="AD119" i="1"/>
  <c r="AG119" i="1"/>
  <c r="AI119" i="1"/>
  <c r="W92" i="1"/>
  <c r="W93" i="1"/>
  <c r="U93" i="1"/>
  <c r="AA12" i="1"/>
  <c r="AD12" i="1"/>
  <c r="AG12" i="1"/>
  <c r="AC55" i="1"/>
  <c r="AJ55" i="1"/>
  <c r="AL55" i="1"/>
  <c r="AA52" i="1"/>
  <c r="AE52" i="1"/>
  <c r="AG52" i="1"/>
  <c r="Q131" i="1"/>
  <c r="G15" i="19"/>
  <c r="AC19" i="1"/>
  <c r="U129" i="1"/>
  <c r="K48" i="1"/>
  <c r="K49" i="1"/>
  <c r="I49" i="1"/>
  <c r="AJ48" i="1"/>
  <c r="AJ183" i="1"/>
  <c r="AL183" i="1"/>
  <c r="AC65" i="1"/>
  <c r="AC66" i="1"/>
  <c r="AA66" i="1"/>
  <c r="AJ65" i="1"/>
  <c r="AL65" i="1"/>
  <c r="AI65" i="1"/>
  <c r="AI66" i="1"/>
  <c r="AG66" i="1"/>
  <c r="AJ54" i="1"/>
  <c r="AL54" i="1"/>
  <c r="AJ19" i="1"/>
  <c r="AL19" i="1"/>
  <c r="AJ38" i="1"/>
  <c r="AL38" i="1"/>
  <c r="AC17" i="1"/>
  <c r="AJ17" i="1"/>
  <c r="AL17" i="1"/>
  <c r="AJ187" i="1"/>
  <c r="AL187" i="1"/>
  <c r="Q30" i="1"/>
  <c r="Q32" i="1"/>
  <c r="W30" i="1"/>
  <c r="W32" i="1"/>
  <c r="AI30" i="1"/>
  <c r="B18" i="18"/>
  <c r="B13" i="18"/>
  <c r="G12" i="18"/>
  <c r="AC30" i="1"/>
  <c r="W198" i="1"/>
  <c r="W200" i="1"/>
  <c r="J19" i="19"/>
  <c r="AL174" i="1"/>
  <c r="AI24" i="1"/>
  <c r="AI27" i="1"/>
  <c r="AC18" i="1"/>
  <c r="AJ18" i="1"/>
  <c r="AL18" i="1"/>
  <c r="AJ39" i="1"/>
  <c r="AL39" i="1"/>
  <c r="AJ52" i="1"/>
  <c r="AL52" i="1"/>
  <c r="AC195" i="1"/>
  <c r="AC198" i="1"/>
  <c r="AC200" i="1"/>
  <c r="AJ195" i="1"/>
  <c r="AL195" i="1"/>
  <c r="I57" i="1"/>
  <c r="K57" i="1"/>
  <c r="E81" i="1"/>
  <c r="I81" i="1"/>
  <c r="AA27" i="1"/>
  <c r="AA32" i="1"/>
  <c r="AA36" i="1"/>
  <c r="AC36" i="1"/>
  <c r="Q80" i="1"/>
  <c r="Q85" i="1"/>
  <c r="Q95" i="1"/>
  <c r="Q97" i="1"/>
  <c r="G11" i="19"/>
  <c r="O85" i="1"/>
  <c r="O95" i="1"/>
  <c r="O97" i="1"/>
  <c r="I58" i="1"/>
  <c r="K58" i="1"/>
  <c r="E83" i="1"/>
  <c r="I83" i="1"/>
  <c r="E82" i="1"/>
  <c r="I82" i="1"/>
  <c r="AG36" i="1"/>
  <c r="AI36" i="1"/>
  <c r="I56" i="1"/>
  <c r="AJ56" i="1"/>
  <c r="AL56" i="1"/>
  <c r="E80" i="1"/>
  <c r="I80" i="1"/>
  <c r="W80" i="1"/>
  <c r="W85" i="1"/>
  <c r="W95" i="1"/>
  <c r="W97" i="1"/>
  <c r="J11" i="19"/>
  <c r="U85" i="1"/>
  <c r="U95" i="1"/>
  <c r="U97" i="1"/>
  <c r="H11" i="19"/>
  <c r="AI80" i="1"/>
  <c r="AI85" i="1"/>
  <c r="AG85" i="1"/>
  <c r="AJ73" i="1"/>
  <c r="AJ26" i="1"/>
  <c r="AL26" i="1"/>
  <c r="AG27" i="1"/>
  <c r="AG32" i="1"/>
  <c r="U131" i="1"/>
  <c r="H15" i="19"/>
  <c r="AJ182" i="1"/>
  <c r="AL182" i="1"/>
  <c r="AJ196" i="1"/>
  <c r="AL196" i="1"/>
  <c r="H7" i="19"/>
  <c r="AJ193" i="1"/>
  <c r="AL193" i="1"/>
  <c r="AJ23" i="1"/>
  <c r="AL23" i="1"/>
  <c r="AJ112" i="1"/>
  <c r="AL112" i="1"/>
  <c r="X120" i="1"/>
  <c r="AA120" i="1"/>
  <c r="W131" i="1"/>
  <c r="J15" i="19"/>
  <c r="AJ111" i="1"/>
  <c r="AL111" i="1"/>
  <c r="AI122" i="1"/>
  <c r="AJ122" i="1"/>
  <c r="AL122" i="1"/>
  <c r="AI125" i="1"/>
  <c r="AJ125" i="1"/>
  <c r="AL125" i="1"/>
  <c r="AJ172" i="1"/>
  <c r="AJ179" i="1"/>
  <c r="K172" i="1"/>
  <c r="K179" i="1"/>
  <c r="K200" i="1"/>
  <c r="D19" i="19"/>
  <c r="I200" i="1"/>
  <c r="AC92" i="1"/>
  <c r="AC93" i="1"/>
  <c r="AC95" i="1"/>
  <c r="AA93" i="1"/>
  <c r="AA95" i="1"/>
  <c r="K59" i="1"/>
  <c r="AJ59" i="1"/>
  <c r="AL59" i="1"/>
  <c r="AI92" i="1"/>
  <c r="AI93" i="1"/>
  <c r="AG93" i="1"/>
  <c r="AL186" i="1"/>
  <c r="AI12" i="1"/>
  <c r="AI13" i="1"/>
  <c r="AG13" i="1"/>
  <c r="AG35" i="1"/>
  <c r="AC118" i="1"/>
  <c r="AD118" i="1"/>
  <c r="AG118" i="1"/>
  <c r="AJ118" i="1"/>
  <c r="AG198" i="1"/>
  <c r="AG200" i="1"/>
  <c r="AJ110" i="1"/>
  <c r="AL110" i="1"/>
  <c r="AC12" i="1"/>
  <c r="AC13" i="1"/>
  <c r="AA13" i="1"/>
  <c r="AA35" i="1"/>
  <c r="AI198" i="1"/>
  <c r="AI200" i="1"/>
  <c r="AJ12" i="1"/>
  <c r="AJ13" i="1"/>
  <c r="AJ123" i="1"/>
  <c r="AL123" i="1"/>
  <c r="AJ119" i="1"/>
  <c r="AL119" i="1"/>
  <c r="AA198" i="1"/>
  <c r="AA200" i="1"/>
  <c r="AJ92" i="1"/>
  <c r="AL92" i="1"/>
  <c r="AL73" i="1"/>
  <c r="K114" i="1"/>
  <c r="K115" i="1"/>
  <c r="K131" i="1"/>
  <c r="D15" i="19"/>
  <c r="AJ114" i="1"/>
  <c r="AL114" i="1"/>
  <c r="U43" i="1"/>
  <c r="H9" i="19"/>
  <c r="W35" i="1"/>
  <c r="W43" i="1"/>
  <c r="J9" i="19"/>
  <c r="AL48" i="1"/>
  <c r="AL49" i="1"/>
  <c r="AJ49" i="1"/>
  <c r="AG60" i="1"/>
  <c r="AG62" i="1"/>
  <c r="AI62" i="1"/>
  <c r="AI52" i="1"/>
  <c r="AI60" i="1"/>
  <c r="AA115" i="1"/>
  <c r="AC109" i="1"/>
  <c r="AC115" i="1"/>
  <c r="AJ190" i="1"/>
  <c r="AL190" i="1"/>
  <c r="AA60" i="1"/>
  <c r="AA62" i="1"/>
  <c r="AC62" i="1"/>
  <c r="AC52" i="1"/>
  <c r="AC60" i="1"/>
  <c r="AI32" i="1"/>
  <c r="AJ66" i="1"/>
  <c r="AL66" i="1"/>
  <c r="AC27" i="1"/>
  <c r="AC32" i="1"/>
  <c r="J30" i="1"/>
  <c r="J32" i="1"/>
  <c r="G18" i="18"/>
  <c r="G19" i="18"/>
  <c r="B19" i="18"/>
  <c r="AJ58" i="1"/>
  <c r="AL58" i="1"/>
  <c r="AB202" i="1"/>
  <c r="L7" i="19"/>
  <c r="O7" i="19"/>
  <c r="AH202" i="1"/>
  <c r="F7" i="19"/>
  <c r="G7" i="19"/>
  <c r="P202" i="1"/>
  <c r="I7" i="19"/>
  <c r="J7" i="19"/>
  <c r="V202" i="1"/>
  <c r="D5" i="18"/>
  <c r="D6" i="18"/>
  <c r="G13" i="18"/>
  <c r="AJ57" i="1"/>
  <c r="AL57" i="1"/>
  <c r="AG95" i="1"/>
  <c r="AG97" i="1"/>
  <c r="N11" i="19"/>
  <c r="I60" i="1"/>
  <c r="I62" i="1"/>
  <c r="K62" i="1"/>
  <c r="AJ93" i="1"/>
  <c r="K56" i="1"/>
  <c r="K60" i="1"/>
  <c r="AI95" i="1"/>
  <c r="AI97" i="1"/>
  <c r="P11" i="19"/>
  <c r="AJ27" i="1"/>
  <c r="K82" i="1"/>
  <c r="AJ82" i="1"/>
  <c r="AL82" i="1"/>
  <c r="K83" i="1"/>
  <c r="AJ83" i="1"/>
  <c r="AL83" i="1"/>
  <c r="K81" i="1"/>
  <c r="AJ81" i="1"/>
  <c r="AL81" i="1"/>
  <c r="K80" i="1"/>
  <c r="I85" i="1"/>
  <c r="I95" i="1"/>
  <c r="AJ80" i="1"/>
  <c r="AJ35" i="1"/>
  <c r="E11" i="19"/>
  <c r="O202" i="1"/>
  <c r="AJ36" i="1"/>
  <c r="AL36" i="1"/>
  <c r="AC120" i="1"/>
  <c r="AD120" i="1"/>
  <c r="AG120" i="1"/>
  <c r="U202" i="1"/>
  <c r="H21" i="19"/>
  <c r="AA129" i="1"/>
  <c r="AA131" i="1"/>
  <c r="K15" i="19"/>
  <c r="N7" i="19"/>
  <c r="N19" i="19"/>
  <c r="AI118" i="1"/>
  <c r="AA97" i="1"/>
  <c r="K11" i="19"/>
  <c r="AL198" i="1"/>
  <c r="AL12" i="1"/>
  <c r="AL13" i="1"/>
  <c r="AC97" i="1"/>
  <c r="M11" i="19"/>
  <c r="B19" i="19"/>
  <c r="AA43" i="1"/>
  <c r="K9" i="19"/>
  <c r="AC35" i="1"/>
  <c r="AC43" i="1"/>
  <c r="M9" i="19"/>
  <c r="K7" i="19"/>
  <c r="AI35" i="1"/>
  <c r="AG43" i="1"/>
  <c r="N9" i="19"/>
  <c r="M19" i="19"/>
  <c r="AD109" i="1"/>
  <c r="AG109" i="1"/>
  <c r="AL172" i="1"/>
  <c r="AL179" i="1"/>
  <c r="AL118" i="1"/>
  <c r="B15" i="19"/>
  <c r="K19" i="19"/>
  <c r="P19" i="19"/>
  <c r="AJ198" i="1"/>
  <c r="W202" i="1"/>
  <c r="AL27" i="1"/>
  <c r="AJ32" i="1"/>
  <c r="M7" i="19"/>
  <c r="AL60" i="1"/>
  <c r="AL62" i="1"/>
  <c r="I21" i="19"/>
  <c r="V204" i="1"/>
  <c r="I23" i="19"/>
  <c r="AH204" i="1"/>
  <c r="O21" i="19"/>
  <c r="K85" i="1"/>
  <c r="K95" i="1"/>
  <c r="K97" i="1"/>
  <c r="D11" i="19"/>
  <c r="D7" i="18"/>
  <c r="B7" i="18"/>
  <c r="B6" i="18"/>
  <c r="F21" i="19"/>
  <c r="P204" i="1"/>
  <c r="F23" i="19"/>
  <c r="P7" i="19"/>
  <c r="L21" i="19"/>
  <c r="AB204" i="1"/>
  <c r="L23" i="19"/>
  <c r="K30" i="1"/>
  <c r="K32" i="1"/>
  <c r="AK30" i="1"/>
  <c r="AK32" i="1"/>
  <c r="AJ60" i="1"/>
  <c r="AJ62" i="1"/>
  <c r="Q7" i="19"/>
  <c r="I97" i="1"/>
  <c r="AJ43" i="1"/>
  <c r="Q9" i="19"/>
  <c r="AL35" i="1"/>
  <c r="AL43" i="1"/>
  <c r="S9" i="19"/>
  <c r="AI43" i="1"/>
  <c r="P9" i="19"/>
  <c r="AL80" i="1"/>
  <c r="AL85" i="1"/>
  <c r="AJ85" i="1"/>
  <c r="AJ95" i="1"/>
  <c r="AJ97" i="1"/>
  <c r="U203" i="1"/>
  <c r="U204" i="1"/>
  <c r="H23" i="19"/>
  <c r="O203" i="1"/>
  <c r="E21" i="19"/>
  <c r="Q202" i="1"/>
  <c r="G21" i="19"/>
  <c r="AJ200" i="1"/>
  <c r="Q19" i="19"/>
  <c r="AI120" i="1"/>
  <c r="AI129" i="1"/>
  <c r="AG129" i="1"/>
  <c r="AJ120" i="1"/>
  <c r="AJ129" i="1"/>
  <c r="AC129" i="1"/>
  <c r="AC131" i="1"/>
  <c r="M15" i="19"/>
  <c r="J21" i="19"/>
  <c r="AA202" i="1"/>
  <c r="AL200" i="1"/>
  <c r="S19" i="19"/>
  <c r="AL93" i="1"/>
  <c r="AG115" i="1"/>
  <c r="AI109" i="1"/>
  <c r="AI115" i="1"/>
  <c r="AJ109" i="1"/>
  <c r="AL109" i="1"/>
  <c r="O23" i="19"/>
  <c r="C7" i="19"/>
  <c r="D7" i="19"/>
  <c r="J202" i="1"/>
  <c r="AL30" i="1"/>
  <c r="R7" i="19"/>
  <c r="I202" i="1"/>
  <c r="I203" i="1"/>
  <c r="B22" i="19"/>
  <c r="B11" i="19"/>
  <c r="AL120" i="1"/>
  <c r="AL129" i="1"/>
  <c r="AJ115" i="1"/>
  <c r="AL115" i="1"/>
  <c r="AL95" i="1"/>
  <c r="H22" i="19"/>
  <c r="W203" i="1"/>
  <c r="J22" i="19"/>
  <c r="O204" i="1"/>
  <c r="E23" i="19"/>
  <c r="E22" i="19"/>
  <c r="Q203" i="1"/>
  <c r="G22" i="19"/>
  <c r="AC202" i="1"/>
  <c r="M21" i="19"/>
  <c r="AI131" i="1"/>
  <c r="AI202" i="1"/>
  <c r="AG131" i="1"/>
  <c r="AJ131" i="1"/>
  <c r="Q11" i="19"/>
  <c r="AL97" i="1"/>
  <c r="S11" i="19"/>
  <c r="K21" i="19"/>
  <c r="AA203" i="1"/>
  <c r="AL32" i="1"/>
  <c r="S7" i="19"/>
  <c r="J204" i="1"/>
  <c r="C21" i="19"/>
  <c r="AK202" i="1"/>
  <c r="R21" i="19"/>
  <c r="K203" i="1"/>
  <c r="D22" i="19"/>
  <c r="K202" i="1"/>
  <c r="D21" i="19"/>
  <c r="B21" i="19"/>
  <c r="I204" i="1"/>
  <c r="B23" i="19"/>
  <c r="AL131" i="1"/>
  <c r="S15" i="19"/>
  <c r="W204" i="1"/>
  <c r="J23" i="19"/>
  <c r="P15" i="19"/>
  <c r="Q204" i="1"/>
  <c r="G23" i="19"/>
  <c r="K22" i="19"/>
  <c r="AC203" i="1"/>
  <c r="P21" i="19"/>
  <c r="N15" i="19"/>
  <c r="Q15" i="19"/>
  <c r="AG202" i="1"/>
  <c r="AG203" i="1"/>
  <c r="AA204" i="1"/>
  <c r="K23" i="19"/>
  <c r="C23" i="19"/>
  <c r="AK204" i="1"/>
  <c r="R23" i="19"/>
  <c r="K204" i="1"/>
  <c r="D23" i="19"/>
  <c r="AG204" i="1"/>
  <c r="AJ204" i="1"/>
  <c r="AJ202" i="1"/>
  <c r="N21" i="19"/>
  <c r="M22" i="19"/>
  <c r="AC204" i="1"/>
  <c r="M23" i="19"/>
  <c r="N23" i="19"/>
  <c r="Q21" i="19"/>
  <c r="AL202" i="1"/>
  <c r="S21" i="19"/>
  <c r="AI203" i="1"/>
  <c r="N22" i="19"/>
  <c r="AJ203" i="1"/>
  <c r="Q22" i="19"/>
  <c r="AL203" i="1"/>
  <c r="S22" i="19"/>
  <c r="P22" i="19"/>
  <c r="AI204" i="1"/>
  <c r="P23" i="19"/>
  <c r="Q23" i="19"/>
  <c r="AL204" i="1"/>
  <c r="S23" i="19"/>
</calcChain>
</file>

<file path=xl/sharedStrings.xml><?xml version="1.0" encoding="utf-8"?>
<sst xmlns="http://schemas.openxmlformats.org/spreadsheetml/2006/main" count="712" uniqueCount="327">
  <si>
    <t>Partners of the Americas for Venezuela's Farmer-to-Farmer Program Budget</t>
  </si>
  <si>
    <t>USAID NFO #7200AA19B00002</t>
  </si>
  <si>
    <t>Line Items</t>
  </si>
  <si>
    <t>Year 1</t>
  </si>
  <si>
    <t>Year 2</t>
  </si>
  <si>
    <t>Year 3</t>
  </si>
  <si>
    <t>Year 4</t>
  </si>
  <si>
    <t>Year 5</t>
  </si>
  <si>
    <t>Total</t>
  </si>
  <si>
    <t xml:space="preserve">Total </t>
  </si>
  <si>
    <t xml:space="preserve">Grand </t>
  </si>
  <si>
    <t>USAID</t>
  </si>
  <si>
    <t>Leverage</t>
  </si>
  <si>
    <t>Salaries &amp; Wages</t>
  </si>
  <si>
    <t>Fringe Benefits</t>
  </si>
  <si>
    <t>Travel &amp; Transportation</t>
  </si>
  <si>
    <t>Equipment</t>
  </si>
  <si>
    <t>Supplies</t>
  </si>
  <si>
    <t>Contractual</t>
  </si>
  <si>
    <t>Other Direct Costs</t>
  </si>
  <si>
    <t>Total Direct Costs</t>
  </si>
  <si>
    <t>Indirect Costs</t>
  </si>
  <si>
    <t>Entity:</t>
  </si>
  <si>
    <t>P</t>
  </si>
  <si>
    <t>Partners of the Americas 7200AA19B00002 for Venezuela's Farmer-to-Farmer Program Budget</t>
  </si>
  <si>
    <t>Program/Dept.:</t>
  </si>
  <si>
    <t>FTF</t>
  </si>
  <si>
    <t xml:space="preserve">Funder-Grant: </t>
  </si>
  <si>
    <t>USAID671</t>
  </si>
  <si>
    <t>Actvity</t>
  </si>
  <si>
    <t>Object</t>
  </si>
  <si>
    <t>Country</t>
  </si>
  <si>
    <t>Code</t>
  </si>
  <si>
    <t>Unit</t>
  </si>
  <si>
    <t>Cost</t>
  </si>
  <si>
    <t>Duration</t>
  </si>
  <si>
    <t>Type</t>
  </si>
  <si>
    <t>0 is DC, VZ is Venezuela</t>
  </si>
  <si>
    <t>Salary &amp; Wages</t>
  </si>
  <si>
    <t>Headquarters</t>
  </si>
  <si>
    <t>LOE</t>
  </si>
  <si>
    <t>PERSNL</t>
  </si>
  <si>
    <t>Timesheets</t>
  </si>
  <si>
    <t>Program Director</t>
  </si>
  <si>
    <t>/months</t>
  </si>
  <si>
    <t>Associate Director</t>
  </si>
  <si>
    <t>Senior Program Officer</t>
  </si>
  <si>
    <t>Subtotal HQ Salaries</t>
  </si>
  <si>
    <t>*Key Personnel</t>
  </si>
  <si>
    <t>Field Salaries</t>
  </si>
  <si>
    <t>7410 Personnel/ 7610 Consultant</t>
  </si>
  <si>
    <t>VZ</t>
  </si>
  <si>
    <t>Country Director - Expatriate*</t>
  </si>
  <si>
    <t>Deputy Country Director*</t>
  </si>
  <si>
    <t>Finance Director</t>
  </si>
  <si>
    <t>Safety &amp; Security Director</t>
  </si>
  <si>
    <t>Compliance Specialist</t>
  </si>
  <si>
    <t>Accountant</t>
  </si>
  <si>
    <t>Administrative Assistant</t>
  </si>
  <si>
    <t>M&amp;E Specialist</t>
  </si>
  <si>
    <t>Community Development Coordinators (CDC) (4 CDCs in Year 1 &amp; 2, 2 CDCs in Year 3-4)</t>
  </si>
  <si>
    <t>Nutrition and Food Safety Specialist</t>
  </si>
  <si>
    <t>Agricultural &amp; Private Sector Specialist*</t>
  </si>
  <si>
    <t>Subtotal Field Salaries</t>
  </si>
  <si>
    <t>Local MTC Volunteers</t>
  </si>
  <si>
    <t>/day</t>
  </si>
  <si>
    <t>F2F Volunteers</t>
  </si>
  <si>
    <t>Salaries &amp; Wages Total</t>
  </si>
  <si>
    <t>FRINGE</t>
  </si>
  <si>
    <t>6950</t>
  </si>
  <si>
    <t>Fringe Benefits - Headquarters</t>
  </si>
  <si>
    <t>7420</t>
  </si>
  <si>
    <t>Fringe Benefits - Field (Excluding Country Director)</t>
  </si>
  <si>
    <t>Expatriate Fringe Benefit Package</t>
  </si>
  <si>
    <t>COLA</t>
  </si>
  <si>
    <t>7481</t>
  </si>
  <si>
    <t>Cost of Living Adjustment (COLA) for Expatriate Country Director</t>
  </si>
  <si>
    <t>POST DIFF</t>
  </si>
  <si>
    <t>7021</t>
  </si>
  <si>
    <t>Post (Hardship) Differential for Expatriate Country Director</t>
  </si>
  <si>
    <t>HOUSE. ALL</t>
  </si>
  <si>
    <t>7485</t>
  </si>
  <si>
    <t>Housing Allowance for Expatriate Country Director</t>
  </si>
  <si>
    <t>/month</t>
  </si>
  <si>
    <t>ANNAIRFAR</t>
  </si>
  <si>
    <t>7510</t>
  </si>
  <si>
    <t>Annual Home of Record</t>
  </si>
  <si>
    <t>/yearly</t>
  </si>
  <si>
    <t>Fringe Benefits Total</t>
  </si>
  <si>
    <t>Volunteer Travel - International Airfare</t>
  </si>
  <si>
    <t>VOLTRAVEL</t>
  </si>
  <si>
    <t>7010</t>
  </si>
  <si>
    <t>International Airfare</t>
  </si>
  <si>
    <t>/RT</t>
  </si>
  <si>
    <t>Total Volunteer Airfare</t>
  </si>
  <si>
    <t>Volunteer Travel-Related Costs</t>
  </si>
  <si>
    <t>VOLTRVCTS</t>
  </si>
  <si>
    <t>7015</t>
  </si>
  <si>
    <t>Meals and Incidentals - (Long Term Assignments)</t>
  </si>
  <si>
    <t>7320</t>
  </si>
  <si>
    <t>Lodging - (Long Term Assignments)</t>
  </si>
  <si>
    <t>7530</t>
  </si>
  <si>
    <t>Local Transportation - (Long Term Assignments)</t>
  </si>
  <si>
    <t>7395 Matl./ 7720 Trans.</t>
  </si>
  <si>
    <t>Translations &amp; Materials - (Long Term Assignments)</t>
  </si>
  <si>
    <t>/trip</t>
  </si>
  <si>
    <t>Meals and Incidentals - (Short Term Assignments)</t>
  </si>
  <si>
    <t>Lodging - (Short Term Assignments)</t>
  </si>
  <si>
    <t>Local Transportation - (Short Term Assignments)</t>
  </si>
  <si>
    <t>Translations &amp; Materials - (Short Term Assignments)</t>
  </si>
  <si>
    <t>Total Volunteer Travel-Related</t>
  </si>
  <si>
    <t>Subtotal Volunteer Travel</t>
  </si>
  <si>
    <t>Staff Travel - International Airfare</t>
  </si>
  <si>
    <t>STFTRAVEL</t>
  </si>
  <si>
    <t>Total Staff Intl Airfare</t>
  </si>
  <si>
    <t>Staff International Travel-Related Costs</t>
  </si>
  <si>
    <t>STFTRVCTS</t>
  </si>
  <si>
    <t>7520</t>
  </si>
  <si>
    <t xml:space="preserve">Meals and Incidentals </t>
  </si>
  <si>
    <t xml:space="preserve">Lodging </t>
  </si>
  <si>
    <t>Local Transportation</t>
  </si>
  <si>
    <t>Other Travel Related Expenses</t>
  </si>
  <si>
    <t>Total Staff Intl TRE</t>
  </si>
  <si>
    <t>Staff Domestic Travel - Local Staff Travel</t>
  </si>
  <si>
    <t>LOCAL TRVL</t>
  </si>
  <si>
    <t>Meals and Incidentals (Travel w/ Long Term Volunteers)</t>
  </si>
  <si>
    <t>Lodging (Travel w/ Long Term Volunteers)</t>
  </si>
  <si>
    <t>Transportation (Travel w/ Long Term Volunteers)</t>
  </si>
  <si>
    <t>Other Travel Related Expenses (Travel w/ Long Term Volunteers)</t>
  </si>
  <si>
    <t>Meals and Incidentals (Travel w/ Short Term Volunteers)</t>
  </si>
  <si>
    <t>Lodging (Travel w/ Short Term Volunteers)</t>
  </si>
  <si>
    <t>Transportation (Travel w/ Short Term Volunteers)</t>
  </si>
  <si>
    <t>Other Travel Related Expenses (Travel w/ Short Term Volunteers)</t>
  </si>
  <si>
    <t>7530 Travel/ 7320 Lodging</t>
  </si>
  <si>
    <t>Local Travel Costs for Site Visits, M&amp;E and Oversight</t>
  </si>
  <si>
    <t>Total Staff Domestic Travel</t>
  </si>
  <si>
    <t>Staff Travel - US Travel</t>
  </si>
  <si>
    <t>STFTRAV-US</t>
  </si>
  <si>
    <t>Workshop / US Trips Airfare</t>
  </si>
  <si>
    <t>Meals and incidentals</t>
  </si>
  <si>
    <t>Lodging</t>
  </si>
  <si>
    <t>Transportation</t>
  </si>
  <si>
    <t>Total Staff Travel US</t>
  </si>
  <si>
    <t>Subtotal Staff Travel</t>
  </si>
  <si>
    <t>Travel Total</t>
  </si>
  <si>
    <t xml:space="preserve">Equipment </t>
  </si>
  <si>
    <t>VEHICLE</t>
  </si>
  <si>
    <t>Vehicles for Field Office</t>
  </si>
  <si>
    <t>/vehicle</t>
  </si>
  <si>
    <t>Motorcycles for Field Office</t>
  </si>
  <si>
    <t>/motorcycle</t>
  </si>
  <si>
    <t>Equipment Total</t>
  </si>
  <si>
    <t>HQ Office Supplies</t>
  </si>
  <si>
    <t>SUPPLIES</t>
  </si>
  <si>
    <t>Laptop, Bag, Accessories</t>
  </si>
  <si>
    <t>/unit</t>
  </si>
  <si>
    <t>Camera, Accessories, Memory Card, S&amp;H</t>
  </si>
  <si>
    <t>LCD Projector</t>
  </si>
  <si>
    <t>Office Furniture (Includes Desk, Chairs, Table, Shelves, &amp; Filing Cabinet)</t>
  </si>
  <si>
    <t>General Office Supplies and Stationary for HQ</t>
  </si>
  <si>
    <t xml:space="preserve">Technical Supplies for Volunteer Assignments </t>
  </si>
  <si>
    <t>/volunteer</t>
  </si>
  <si>
    <t>Total HQ Office Supplies</t>
  </si>
  <si>
    <t>Field Office Supplies</t>
  </si>
  <si>
    <t xml:space="preserve">Laptop, Bag, Accessories </t>
  </si>
  <si>
    <t>Printer</t>
  </si>
  <si>
    <t>Camera and Accessories</t>
  </si>
  <si>
    <t>Video Camera</t>
  </si>
  <si>
    <t>LCD projector</t>
  </si>
  <si>
    <t>A/C Unit for Office</t>
  </si>
  <si>
    <t>Security System &amp; Camera for Office</t>
  </si>
  <si>
    <t xml:space="preserve">General Office Supplies and Stationary for Field Office </t>
  </si>
  <si>
    <t>Generator and Spare Parts</t>
  </si>
  <si>
    <t>PPE</t>
  </si>
  <si>
    <t>Personal Protective Equipment (Gloves, Masks, etc.)</t>
  </si>
  <si>
    <t>Total Field Office Supplies</t>
  </si>
  <si>
    <t>Supplies Total</t>
  </si>
  <si>
    <t>Small Grants</t>
  </si>
  <si>
    <t>GRANTSAG</t>
  </si>
  <si>
    <t xml:space="preserve">Local Agribusiness Small Grants (620 Grants over LOP) </t>
  </si>
  <si>
    <t>GRANTSREST</t>
  </si>
  <si>
    <t xml:space="preserve">Local Restaurant Small Grants (100 Grants over LOP) </t>
  </si>
  <si>
    <t>GRANTSMTC</t>
  </si>
  <si>
    <t>Multipurpose Training Center Small Grants (100 Grants over LOP)</t>
  </si>
  <si>
    <t>Local &amp; Regional Subgrants and Subcontracts</t>
  </si>
  <si>
    <t>SUBCONTR</t>
  </si>
  <si>
    <t>Local Implementing Partners including FEDEAGRO</t>
  </si>
  <si>
    <t>Total Subgrants &amp; Subcontracts</t>
  </si>
  <si>
    <t>Procurement &amp; Logistics</t>
  </si>
  <si>
    <t>AGINPUTS</t>
  </si>
  <si>
    <t>Agricultural Inputs &amp; Supplies including Transport and Logistics</t>
  </si>
  <si>
    <t>CONSULT-VZ</t>
  </si>
  <si>
    <t>Procurement Specialist Contractor (Local Hire)</t>
  </si>
  <si>
    <t>Start-Up Specialist (Local Hire)</t>
  </si>
  <si>
    <t>Total Procurement &amp; Logistics</t>
  </si>
  <si>
    <t>Security</t>
  </si>
  <si>
    <t>SECURITY</t>
  </si>
  <si>
    <t>Safety and Security Contractor (US Based)</t>
  </si>
  <si>
    <t>Local Office Security Personnel (Local Hire)</t>
  </si>
  <si>
    <t>Total Security</t>
  </si>
  <si>
    <t>Information and Communication Technologies</t>
  </si>
  <si>
    <t>M&amp;EDATA</t>
  </si>
  <si>
    <t>M&amp;E Database</t>
  </si>
  <si>
    <t>CONSULT</t>
  </si>
  <si>
    <t>Strategic Planning Consultant (US Based)</t>
  </si>
  <si>
    <t>Information and Communication Technologies Consultant (US Based)</t>
  </si>
  <si>
    <t>Yearly Hosting &amp; Maintenance Fees</t>
  </si>
  <si>
    <t>/year</t>
  </si>
  <si>
    <t>Total Information and Communication Technologies</t>
  </si>
  <si>
    <t>Evaluations</t>
  </si>
  <si>
    <t>EVAL</t>
  </si>
  <si>
    <t>Endline Evaluation</t>
  </si>
  <si>
    <t>Study on Current State of Venezuela's Agriculture Sector</t>
  </si>
  <si>
    <t>Total External Evaluations</t>
  </si>
  <si>
    <t>Contractual Total</t>
  </si>
  <si>
    <t>HQ - Other Direct Costs</t>
  </si>
  <si>
    <t>HEALTHINSR</t>
  </si>
  <si>
    <t>Health Insurance &amp; Crisis Management Coverage for Staff (7 Days)</t>
  </si>
  <si>
    <t>Health Insurance &amp; Crisis Management Coverage for Volunteers (Short Term) (15 Days)</t>
  </si>
  <si>
    <t>Health Insurance &amp; Crisis Management Coverage for Volunteers (Long Term) (9 Months)</t>
  </si>
  <si>
    <t>COMM</t>
  </si>
  <si>
    <t>Dues, Licenses &amp; Subscriptions</t>
  </si>
  <si>
    <t>MEETING</t>
  </si>
  <si>
    <t>Meetings/Events - HQ</t>
  </si>
  <si>
    <t>PUBLICAT</t>
  </si>
  <si>
    <t>Publications - HQ</t>
  </si>
  <si>
    <t>WORKSHOP</t>
  </si>
  <si>
    <t>Trainings/Workshops</t>
  </si>
  <si>
    <t>HQ Communications</t>
  </si>
  <si>
    <t>Subtotal HQ Other Direct Costs</t>
  </si>
  <si>
    <t>Field Office (FO) - Other Direct Costs</t>
  </si>
  <si>
    <t>AUDIT</t>
  </si>
  <si>
    <t>Audit Costs - A-133 - FO</t>
  </si>
  <si>
    <t>Courier Fees/ Postage Services - FO</t>
  </si>
  <si>
    <t>BANK FEES</t>
  </si>
  <si>
    <t>Banking &amp; Cash Handling Fees - FO</t>
  </si>
  <si>
    <t>Procurement/Advertising/Recruitment Fees - FO</t>
  </si>
  <si>
    <t>EQ.MNT REP</t>
  </si>
  <si>
    <t>Equipment Maintenance &amp; Repairs - FO</t>
  </si>
  <si>
    <t>VEHCL EXP</t>
  </si>
  <si>
    <t>7445 (Maintenance)/ 8170 (Insurance)</t>
  </si>
  <si>
    <t>Vehicle Insurance &amp; Maintenance - FO</t>
  </si>
  <si>
    <t>Vehicle Fuel Costs - FO</t>
  </si>
  <si>
    <t>Generator Fuel Costs - FO</t>
  </si>
  <si>
    <t>Transportation Fees &amp; Tolls - FO</t>
  </si>
  <si>
    <t>Meetings and Events - FO</t>
  </si>
  <si>
    <t>Office Communications (Ex. Phone, Internet, Email) - FO</t>
  </si>
  <si>
    <t>RENT &amp; UT</t>
  </si>
  <si>
    <t>Office Rent &amp; Office Maintenance - FO</t>
  </si>
  <si>
    <t>Utilities - FO</t>
  </si>
  <si>
    <t>INSURANCE</t>
  </si>
  <si>
    <t>Property &amp; Liability Insurance - FO</t>
  </si>
  <si>
    <t>TAX &amp;REGST</t>
  </si>
  <si>
    <t>8245 (Tax/Acct.)/ 8220 (Prof. Fees)</t>
  </si>
  <si>
    <t>Office Start-up and Close-out Costs (Registrations Fees, etc.) - FO</t>
  </si>
  <si>
    <t>LEGAL</t>
  </si>
  <si>
    <t>Legal Fees - FO</t>
  </si>
  <si>
    <t>Subtotal Field Office Other Direct Costs</t>
  </si>
  <si>
    <t>Other Direct Costs Total</t>
  </si>
  <si>
    <t>IDC</t>
  </si>
  <si>
    <t xml:space="preserve"> </t>
  </si>
  <si>
    <t>Rate</t>
  </si>
  <si>
    <t>Laptop, Bag, Accessories, Shipping and Handling</t>
  </si>
  <si>
    <t>Total HQ</t>
  </si>
  <si>
    <t>Field Office</t>
  </si>
  <si>
    <t>Venezuela</t>
  </si>
  <si>
    <t>Laptop</t>
  </si>
  <si>
    <t>Total Field</t>
  </si>
  <si>
    <t>Total:</t>
  </si>
  <si>
    <t>Detailed Quotes for Supplies</t>
  </si>
  <si>
    <t>Item Detail</t>
  </si>
  <si>
    <t>Price</t>
  </si>
  <si>
    <t xml:space="preserve">Laptop </t>
  </si>
  <si>
    <t xml:space="preserve">Dell XPS 15 </t>
  </si>
  <si>
    <t>Laptop Bag, Accessories</t>
  </si>
  <si>
    <t>Mouse</t>
  </si>
  <si>
    <t>Digital Camera</t>
  </si>
  <si>
    <t>Canon - PowerShot SX730 HS 20.3-Megapixel Digital Camera</t>
  </si>
  <si>
    <t>Camera Bag</t>
  </si>
  <si>
    <t xml:space="preserve">SanDisk 256GB Ultra microSDXC UHS-I Memory Card </t>
  </si>
  <si>
    <t>Dynex All in One Memory Card Reader</t>
  </si>
  <si>
    <t>Shipping and Handling</t>
  </si>
  <si>
    <t xml:space="preserve">LCD Projector </t>
  </si>
  <si>
    <t>BenQ MH535FHD 1080P Projector with Ceiling Mount</t>
  </si>
  <si>
    <t>Extra Bulb, stand and accessories</t>
  </si>
  <si>
    <t xml:space="preserve">Color Laser Printer </t>
  </si>
  <si>
    <t>Dell Color Smart Multifunction Printer S2825cdn Color Laser</t>
  </si>
  <si>
    <t>Toners &amp; Accessories</t>
  </si>
  <si>
    <t xml:space="preserve">Video Camera </t>
  </si>
  <si>
    <t xml:space="preserve">Canon VIXIA HF R800 Camcorder with 3 year warranty </t>
  </si>
  <si>
    <t>Tripod</t>
  </si>
  <si>
    <t>Office Furniture</t>
  </si>
  <si>
    <t>Desk with Hutch for Storage</t>
  </si>
  <si>
    <t>Desk Chair</t>
  </si>
  <si>
    <t>Bookshelf for Storage</t>
  </si>
  <si>
    <t>Round Table for Meetings</t>
  </si>
  <si>
    <t>Chairs for Round Table (Set 2 Chairs)</t>
  </si>
  <si>
    <t>Filing Cabinets with Lock</t>
  </si>
  <si>
    <t>Misc. Office Supplies to Set up Desk</t>
  </si>
  <si>
    <t>Leverage Formula Summaries</t>
  </si>
  <si>
    <t>Per Day</t>
  </si>
  <si>
    <t>Per Volunteer - Long Term</t>
  </si>
  <si>
    <t>Per Volunteer - Short Term</t>
  </si>
  <si>
    <t>Estimated value of F2F volunteer professional time</t>
  </si>
  <si>
    <t>Total Volunteers:</t>
  </si>
  <si>
    <t>Total Days</t>
  </si>
  <si>
    <t>Assuming 9 months average per long term volunteer.</t>
  </si>
  <si>
    <t>Total LOP Program:</t>
  </si>
  <si>
    <t>Leverage Breakdown By Volunteer Type</t>
  </si>
  <si>
    <t>Volunteers</t>
  </si>
  <si>
    <t>FY20</t>
  </si>
  <si>
    <t>FY21</t>
  </si>
  <si>
    <t>FY22</t>
  </si>
  <si>
    <t>FY23</t>
  </si>
  <si>
    <t>FY24</t>
  </si>
  <si>
    <t>Totals</t>
  </si>
  <si>
    <t>Long Term</t>
  </si>
  <si>
    <t>Short Term</t>
  </si>
  <si>
    <t>Value Breakdown By Volunteer Type</t>
  </si>
  <si>
    <t>Per Hour</t>
  </si>
  <si>
    <t>Average # of Hours/Week</t>
  </si>
  <si>
    <t>Local MTC Volunteer</t>
  </si>
  <si>
    <t>Total 300 Local MTC Volunteers (3/per MTC) for 1 Year</t>
  </si>
  <si>
    <t>Leverage Grand Total</t>
  </si>
  <si>
    <t>Recruited and Fielded By Partners Only</t>
  </si>
  <si>
    <t>F2F Venezuela</t>
  </si>
  <si>
    <t>Recruited and Fielded By Partners &amp; Local Implementing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</si>
</sst>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$&quot;#,##0_);[Red]\(&quot;$&quot;#,##0\)"/>
    <numFmt numFmtId="8" formatCode="&quot;$&quot;#,##0.00_);[Red]\(&quot;$&quot;#,##0.0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&quot;$&quot;#,##0.00"/>
    <numFmt numFmtId="167" formatCode="#.000,"/>
    <numFmt numFmtId="168" formatCode="_(&quot;$&quot;* #,##0_);_(&quot;$&quot;* \(#,##0\);_(&quot;$&quot;* &quot;-&quot;??_);_(@_)"/>
    <numFmt numFmtId="169" formatCode="0.0000"/>
  </numFmts>
  <fonts count="2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9"/>
      <color indexed="9"/>
      <name val="Arial"/>
      <family val="2"/>
    </font>
    <font>
      <b/>
      <sz val="10"/>
      <color indexed="9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0"/>
      <color theme="0"/>
      <name val="Arial"/>
      <family val="2"/>
    </font>
    <font>
      <b/>
      <i/>
      <sz val="9"/>
      <color theme="0"/>
      <name val="Arial"/>
      <family val="2"/>
    </font>
    <font>
      <b/>
      <sz val="10"/>
      <color theme="0"/>
      <name val="Arial"/>
      <family val="2"/>
    </font>
    <font>
      <i/>
      <sz val="9"/>
      <name val="Arial"/>
      <family val="2"/>
    </font>
    <font>
      <b/>
      <i/>
      <sz val="8"/>
      <color theme="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2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24"/>
      </patternFill>
    </fill>
    <fill>
      <patternFill patternType="solid">
        <fgColor rgb="FFD7E5F5"/>
        <bgColor indexed="24"/>
      </patternFill>
    </fill>
    <fill>
      <patternFill patternType="solid">
        <fgColor rgb="FFE7F0F9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43" fontId="23" fillId="0" borderId="0" applyFont="0" applyFill="0" applyBorder="0" applyAlignment="0" applyProtection="0"/>
    <xf numFmtId="0" fontId="24" fillId="0" borderId="0"/>
    <xf numFmtId="0" fontId="25" fillId="0" borderId="0"/>
    <xf numFmtId="43" fontId="3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1" fillId="0" borderId="0"/>
    <xf numFmtId="44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71">
    <xf numFmtId="0" fontId="0" fillId="0" borderId="0" xfId="0"/>
    <xf numFmtId="0" fontId="8" fillId="0" borderId="0" xfId="0" applyFont="1"/>
    <xf numFmtId="165" fontId="0" fillId="0" borderId="0" xfId="0" applyNumberFormat="1"/>
    <xf numFmtId="165" fontId="6" fillId="0" borderId="0" xfId="0" applyNumberFormat="1" applyFont="1"/>
    <xf numFmtId="166" fontId="0" fillId="0" borderId="0" xfId="0" applyNumberFormat="1"/>
    <xf numFmtId="0" fontId="3" fillId="0" borderId="0" xfId="0" applyFont="1"/>
    <xf numFmtId="0" fontId="9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/>
    <xf numFmtId="0" fontId="6" fillId="0" borderId="1" xfId="0" applyFont="1" applyBorder="1"/>
    <xf numFmtId="3" fontId="3" fillId="0" borderId="6" xfId="0" applyNumberFormat="1" applyFont="1" applyBorder="1"/>
    <xf numFmtId="3" fontId="3" fillId="0" borderId="0" xfId="0" applyNumberFormat="1" applyFont="1"/>
    <xf numFmtId="3" fontId="3" fillId="0" borderId="5" xfId="0" applyNumberFormat="1" applyFont="1" applyBorder="1"/>
    <xf numFmtId="3" fontId="3" fillId="0" borderId="7" xfId="0" applyNumberFormat="1" applyFont="1" applyBorder="1"/>
    <xf numFmtId="0" fontId="10" fillId="0" borderId="1" xfId="0" applyFont="1" applyBorder="1"/>
    <xf numFmtId="0" fontId="3" fillId="0" borderId="1" xfId="0" applyFont="1" applyBorder="1"/>
    <xf numFmtId="3" fontId="3" fillId="0" borderId="13" xfId="0" applyNumberFormat="1" applyFont="1" applyBorder="1"/>
    <xf numFmtId="3" fontId="3" fillId="0" borderId="20" xfId="0" applyNumberFormat="1" applyFont="1" applyBorder="1"/>
    <xf numFmtId="3" fontId="3" fillId="0" borderId="9" xfId="0" applyNumberFormat="1" applyFont="1" applyBorder="1"/>
    <xf numFmtId="3" fontId="3" fillId="0" borderId="21" xfId="0" applyNumberFormat="1" applyFont="1" applyBorder="1"/>
    <xf numFmtId="41" fontId="9" fillId="0" borderId="0" xfId="0" applyNumberFormat="1" applyFont="1"/>
    <xf numFmtId="43" fontId="9" fillId="0" borderId="14" xfId="0" applyNumberFormat="1" applyFont="1" applyBorder="1"/>
    <xf numFmtId="43" fontId="9" fillId="0" borderId="13" xfId="0" applyNumberFormat="1" applyFont="1" applyBorder="1"/>
    <xf numFmtId="0" fontId="9" fillId="0" borderId="9" xfId="0" applyFont="1" applyBorder="1"/>
    <xf numFmtId="0" fontId="6" fillId="0" borderId="0" xfId="0" applyFont="1"/>
    <xf numFmtId="43" fontId="5" fillId="0" borderId="0" xfId="0" applyNumberFormat="1" applyFont="1"/>
    <xf numFmtId="3" fontId="8" fillId="0" borderId="6" xfId="0" applyNumberFormat="1" applyFont="1" applyBorder="1"/>
    <xf numFmtId="3" fontId="8" fillId="0" borderId="0" xfId="0" applyNumberFormat="1" applyFont="1"/>
    <xf numFmtId="3" fontId="8" fillId="0" borderId="11" xfId="0" applyNumberFormat="1" applyFont="1" applyBorder="1"/>
    <xf numFmtId="43" fontId="5" fillId="0" borderId="22" xfId="0" applyNumberFormat="1" applyFont="1" applyBorder="1"/>
    <xf numFmtId="3" fontId="8" fillId="0" borderId="16" xfId="0" applyNumberFormat="1" applyFont="1" applyBorder="1"/>
    <xf numFmtId="43" fontId="9" fillId="0" borderId="22" xfId="0" applyNumberFormat="1" applyFont="1" applyBorder="1"/>
    <xf numFmtId="41" fontId="9" fillId="0" borderId="22" xfId="0" applyNumberFormat="1" applyFont="1" applyBorder="1"/>
    <xf numFmtId="0" fontId="9" fillId="0" borderId="27" xfId="0" applyFont="1" applyBorder="1"/>
    <xf numFmtId="0" fontId="9" fillId="0" borderId="22" xfId="0" applyFont="1" applyBorder="1"/>
    <xf numFmtId="43" fontId="9" fillId="0" borderId="28" xfId="0" applyNumberFormat="1" applyFont="1" applyBorder="1"/>
    <xf numFmtId="164" fontId="9" fillId="0" borderId="22" xfId="0" applyNumberFormat="1" applyFont="1" applyBorder="1"/>
    <xf numFmtId="43" fontId="9" fillId="0" borderId="17" xfId="0" applyNumberFormat="1" applyFont="1" applyBorder="1"/>
    <xf numFmtId="38" fontId="9" fillId="0" borderId="0" xfId="0" applyNumberFormat="1" applyFont="1"/>
    <xf numFmtId="1" fontId="6" fillId="0" borderId="1" xfId="0" applyNumberFormat="1" applyFont="1" applyBorder="1" applyAlignment="1">
      <alignment horizontal="center"/>
    </xf>
    <xf numFmtId="0" fontId="16" fillId="0" borderId="0" xfId="0" applyFont="1"/>
    <xf numFmtId="0" fontId="13" fillId="4" borderId="9" xfId="0" applyFont="1" applyFill="1" applyBorder="1" applyAlignment="1">
      <alignment horizontal="right"/>
    </xf>
    <xf numFmtId="165" fontId="13" fillId="4" borderId="9" xfId="0" applyNumberFormat="1" applyFont="1" applyFill="1" applyBorder="1" applyAlignment="1">
      <alignment horizontal="right"/>
    </xf>
    <xf numFmtId="0" fontId="18" fillId="5" borderId="2" xfId="0" applyFont="1" applyFill="1" applyBorder="1" applyAlignment="1">
      <alignment horizontal="right"/>
    </xf>
    <xf numFmtId="0" fontId="18" fillId="5" borderId="24" xfId="0" applyFont="1" applyFill="1" applyBorder="1" applyAlignment="1">
      <alignment horizontal="center"/>
    </xf>
    <xf numFmtId="0" fontId="3" fillId="0" borderId="13" xfId="0" applyFont="1" applyBorder="1"/>
    <xf numFmtId="0" fontId="18" fillId="5" borderId="1" xfId="0" applyFont="1" applyFill="1" applyBorder="1" applyAlignment="1">
      <alignment horizontal="right"/>
    </xf>
    <xf numFmtId="0" fontId="18" fillId="5" borderId="4" xfId="0" applyFont="1" applyFill="1" applyBorder="1" applyAlignment="1">
      <alignment horizontal="right"/>
    </xf>
    <xf numFmtId="0" fontId="18" fillId="0" borderId="0" xfId="0" applyFont="1" applyAlignment="1">
      <alignment horizontal="right"/>
    </xf>
    <xf numFmtId="0" fontId="18" fillId="0" borderId="12" xfId="0" applyFont="1" applyBorder="1" applyAlignment="1">
      <alignment horizontal="right"/>
    </xf>
    <xf numFmtId="0" fontId="18" fillId="0" borderId="13" xfId="0" applyFont="1" applyBorder="1" applyAlignment="1">
      <alignment horizontal="right"/>
    </xf>
    <xf numFmtId="0" fontId="18" fillId="0" borderId="29" xfId="0" applyFont="1" applyBorder="1" applyAlignment="1">
      <alignment horizontal="right"/>
    </xf>
    <xf numFmtId="43" fontId="3" fillId="0" borderId="7" xfId="0" applyNumberFormat="1" applyFont="1" applyBorder="1"/>
    <xf numFmtId="0" fontId="3" fillId="0" borderId="30" xfId="0" applyFont="1" applyBorder="1"/>
    <xf numFmtId="0" fontId="14" fillId="4" borderId="8" xfId="0" applyFont="1" applyFill="1" applyBorder="1" applyAlignment="1">
      <alignment horizontal="left"/>
    </xf>
    <xf numFmtId="0" fontId="18" fillId="5" borderId="25" xfId="0" applyFont="1" applyFill="1" applyBorder="1" applyAlignment="1">
      <alignment horizontal="right"/>
    </xf>
    <xf numFmtId="43" fontId="8" fillId="0" borderId="11" xfId="0" applyNumberFormat="1" applyFont="1" applyBorder="1" applyAlignment="1">
      <alignment horizontal="right"/>
    </xf>
    <xf numFmtId="43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0" fillId="0" borderId="11" xfId="0" applyBorder="1"/>
    <xf numFmtId="0" fontId="3" fillId="0" borderId="11" xfId="0" applyFont="1" applyBorder="1"/>
    <xf numFmtId="0" fontId="15" fillId="0" borderId="11" xfId="0" applyFont="1" applyBorder="1" applyAlignment="1">
      <alignment horizontal="right"/>
    </xf>
    <xf numFmtId="43" fontId="3" fillId="0" borderId="11" xfId="0" applyNumberFormat="1" applyFont="1" applyBorder="1"/>
    <xf numFmtId="43" fontId="6" fillId="0" borderId="26" xfId="0" applyNumberFormat="1" applyFont="1" applyBorder="1"/>
    <xf numFmtId="167" fontId="6" fillId="0" borderId="1" xfId="0" applyNumberFormat="1" applyFont="1" applyBorder="1" applyAlignment="1">
      <alignment horizontal="right" wrapText="1"/>
    </xf>
    <xf numFmtId="165" fontId="6" fillId="0" borderId="1" xfId="1" applyNumberFormat="1" applyFont="1" applyBorder="1" applyAlignment="1">
      <alignment horizontal="right" wrapText="1"/>
    </xf>
    <xf numFmtId="0" fontId="0" fillId="0" borderId="1" xfId="0" applyBorder="1"/>
    <xf numFmtId="3" fontId="15" fillId="0" borderId="6" xfId="0" applyNumberFormat="1" applyFont="1" applyBorder="1"/>
    <xf numFmtId="0" fontId="15" fillId="0" borderId="0" xfId="0" applyFont="1"/>
    <xf numFmtId="165" fontId="0" fillId="0" borderId="1" xfId="0" applyNumberFormat="1" applyBorder="1"/>
    <xf numFmtId="165" fontId="6" fillId="0" borderId="1" xfId="0" applyNumberFormat="1" applyFont="1" applyBorder="1"/>
    <xf numFmtId="3" fontId="3" fillId="6" borderId="14" xfId="0" applyNumberFormat="1" applyFont="1" applyFill="1" applyBorder="1"/>
    <xf numFmtId="3" fontId="3" fillId="6" borderId="4" xfId="0" applyNumberFormat="1" applyFont="1" applyFill="1" applyBorder="1"/>
    <xf numFmtId="3" fontId="3" fillId="6" borderId="2" xfId="0" applyNumberFormat="1" applyFont="1" applyFill="1" applyBorder="1"/>
    <xf numFmtId="3" fontId="3" fillId="6" borderId="1" xfId="0" applyNumberFormat="1" applyFont="1" applyFill="1" applyBorder="1"/>
    <xf numFmtId="0" fontId="6" fillId="6" borderId="1" xfId="0" applyFont="1" applyFill="1" applyBorder="1"/>
    <xf numFmtId="43" fontId="6" fillId="6" borderId="25" xfId="0" applyNumberFormat="1" applyFont="1" applyFill="1" applyBorder="1"/>
    <xf numFmtId="0" fontId="6" fillId="6" borderId="25" xfId="0" applyFont="1" applyFill="1" applyBorder="1"/>
    <xf numFmtId="0" fontId="18" fillId="0" borderId="26" xfId="0" applyFont="1" applyBorder="1" applyAlignment="1">
      <alignment horizontal="right"/>
    </xf>
    <xf numFmtId="0" fontId="19" fillId="0" borderId="28" xfId="0" applyFont="1" applyBorder="1" applyAlignment="1">
      <alignment horizontal="right"/>
    </xf>
    <xf numFmtId="0" fontId="19" fillId="0" borderId="13" xfId="0" applyFont="1" applyBorder="1" applyAlignment="1">
      <alignment horizontal="right"/>
    </xf>
    <xf numFmtId="0" fontId="22" fillId="0" borderId="13" xfId="0" applyFont="1" applyBorder="1" applyAlignment="1">
      <alignment horizontal="right"/>
    </xf>
    <xf numFmtId="0" fontId="18" fillId="0" borderId="19" xfId="0" applyFont="1" applyBorder="1" applyAlignment="1">
      <alignment horizontal="right"/>
    </xf>
    <xf numFmtId="0" fontId="18" fillId="0" borderId="15" xfId="0" applyFont="1" applyBorder="1" applyAlignment="1">
      <alignment horizontal="right"/>
    </xf>
    <xf numFmtId="0" fontId="18" fillId="0" borderId="11" xfId="0" applyFont="1" applyBorder="1" applyAlignment="1">
      <alignment horizontal="center"/>
    </xf>
    <xf numFmtId="0" fontId="22" fillId="5" borderId="13" xfId="0" applyFont="1" applyFill="1" applyBorder="1" applyAlignment="1">
      <alignment horizontal="right"/>
    </xf>
    <xf numFmtId="0" fontId="20" fillId="0" borderId="11" xfId="0" applyFont="1" applyBorder="1" applyAlignment="1">
      <alignment horizontal="center"/>
    </xf>
    <xf numFmtId="0" fontId="0" fillId="6" borderId="1" xfId="0" applyFill="1" applyBorder="1"/>
    <xf numFmtId="0" fontId="13" fillId="0" borderId="1" xfId="0" applyFont="1" applyBorder="1" applyAlignment="1">
      <alignment horizontal="right"/>
    </xf>
    <xf numFmtId="165" fontId="13" fillId="0" borderId="1" xfId="0" applyNumberFormat="1" applyFont="1" applyBorder="1" applyAlignment="1">
      <alignment horizontal="right"/>
    </xf>
    <xf numFmtId="0" fontId="4" fillId="8" borderId="1" xfId="0" applyFont="1" applyFill="1" applyBorder="1" applyAlignment="1">
      <alignment horizontal="right"/>
    </xf>
    <xf numFmtId="165" fontId="4" fillId="8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right"/>
    </xf>
    <xf numFmtId="165" fontId="0" fillId="2" borderId="1" xfId="0" applyNumberFormat="1" applyFill="1" applyBorder="1"/>
    <xf numFmtId="0" fontId="0" fillId="2" borderId="1" xfId="0" applyFill="1" applyBorder="1"/>
    <xf numFmtId="165" fontId="6" fillId="2" borderId="1" xfId="0" applyNumberFormat="1" applyFont="1" applyFill="1" applyBorder="1"/>
    <xf numFmtId="0" fontId="8" fillId="6" borderId="1" xfId="0" applyFont="1" applyFill="1" applyBorder="1"/>
    <xf numFmtId="165" fontId="0" fillId="6" borderId="1" xfId="0" applyNumberFormat="1" applyFill="1" applyBorder="1"/>
    <xf numFmtId="0" fontId="4" fillId="9" borderId="2" xfId="0" applyFont="1" applyFill="1" applyBorder="1" applyAlignment="1">
      <alignment horizontal="left"/>
    </xf>
    <xf numFmtId="165" fontId="4" fillId="9" borderId="4" xfId="0" applyNumberFormat="1" applyFont="1" applyFill="1" applyBorder="1" applyAlignment="1">
      <alignment horizontal="right"/>
    </xf>
    <xf numFmtId="10" fontId="9" fillId="0" borderId="13" xfId="0" applyNumberFormat="1" applyFont="1" applyBorder="1"/>
    <xf numFmtId="3" fontId="9" fillId="0" borderId="13" xfId="0" applyNumberFormat="1" applyFont="1" applyBorder="1"/>
    <xf numFmtId="10" fontId="9" fillId="3" borderId="17" xfId="0" applyNumberFormat="1" applyFont="1" applyFill="1" applyBorder="1"/>
    <xf numFmtId="10" fontId="9" fillId="3" borderId="14" xfId="0" applyNumberFormat="1" applyFont="1" applyFill="1" applyBorder="1"/>
    <xf numFmtId="10" fontId="9" fillId="3" borderId="4" xfId="0" applyNumberFormat="1" applyFont="1" applyFill="1" applyBorder="1"/>
    <xf numFmtId="43" fontId="6" fillId="10" borderId="25" xfId="0" applyNumberFormat="1" applyFont="1" applyFill="1" applyBorder="1" applyAlignment="1">
      <alignment horizontal="right"/>
    </xf>
    <xf numFmtId="0" fontId="8" fillId="10" borderId="11" xfId="0" applyFont="1" applyFill="1" applyBorder="1" applyAlignment="1">
      <alignment horizontal="right"/>
    </xf>
    <xf numFmtId="43" fontId="4" fillId="10" borderId="0" xfId="0" applyNumberFormat="1" applyFont="1" applyFill="1"/>
    <xf numFmtId="3" fontId="6" fillId="10" borderId="6" xfId="0" applyNumberFormat="1" applyFont="1" applyFill="1" applyBorder="1"/>
    <xf numFmtId="3" fontId="6" fillId="10" borderId="0" xfId="0" applyNumberFormat="1" applyFont="1" applyFill="1"/>
    <xf numFmtId="3" fontId="6" fillId="10" borderId="11" xfId="0" applyNumberFormat="1" applyFont="1" applyFill="1" applyBorder="1"/>
    <xf numFmtId="0" fontId="6" fillId="10" borderId="25" xfId="0" applyFont="1" applyFill="1" applyBorder="1" applyAlignment="1">
      <alignment horizontal="right"/>
    </xf>
    <xf numFmtId="0" fontId="6" fillId="10" borderId="1" xfId="0" applyFont="1" applyFill="1" applyBorder="1"/>
    <xf numFmtId="10" fontId="9" fillId="0" borderId="28" xfId="0" applyNumberFormat="1" applyFont="1" applyBorder="1"/>
    <xf numFmtId="43" fontId="3" fillId="0" borderId="11" xfId="0" applyNumberFormat="1" applyFont="1" applyBorder="1" applyAlignment="1">
      <alignment horizontal="left" indent="1"/>
    </xf>
    <xf numFmtId="41" fontId="6" fillId="10" borderId="1" xfId="0" applyNumberFormat="1" applyFont="1" applyFill="1" applyBorder="1"/>
    <xf numFmtId="3" fontId="6" fillId="10" borderId="1" xfId="0" applyNumberFormat="1" applyFont="1" applyFill="1" applyBorder="1"/>
    <xf numFmtId="0" fontId="3" fillId="0" borderId="1" xfId="0" applyFont="1" applyBorder="1" applyAlignment="1">
      <alignment horizontal="left" indent="1"/>
    </xf>
    <xf numFmtId="3" fontId="3" fillId="0" borderId="0" xfId="3" applyNumberFormat="1"/>
    <xf numFmtId="0" fontId="3" fillId="0" borderId="0" xfId="3"/>
    <xf numFmtId="0" fontId="7" fillId="0" borderId="0" xfId="0" applyFont="1"/>
    <xf numFmtId="0" fontId="22" fillId="5" borderId="26" xfId="0" applyFont="1" applyFill="1" applyBorder="1" applyAlignment="1">
      <alignment horizontal="right"/>
    </xf>
    <xf numFmtId="0" fontId="22" fillId="5" borderId="28" xfId="0" applyFont="1" applyFill="1" applyBorder="1" applyAlignment="1">
      <alignment horizontal="right"/>
    </xf>
    <xf numFmtId="0" fontId="22" fillId="5" borderId="19" xfId="0" applyFont="1" applyFill="1" applyBorder="1" applyAlignment="1">
      <alignment horizontal="right"/>
    </xf>
    <xf numFmtId="0" fontId="22" fillId="5" borderId="15" xfId="0" applyFont="1" applyFill="1" applyBorder="1" applyAlignment="1">
      <alignment horizontal="right"/>
    </xf>
    <xf numFmtId="0" fontId="22" fillId="5" borderId="11" xfId="0" applyFont="1" applyFill="1" applyBorder="1" applyAlignment="1">
      <alignment horizontal="center"/>
    </xf>
    <xf numFmtId="44" fontId="6" fillId="0" borderId="0" xfId="1" applyFont="1" applyFill="1"/>
    <xf numFmtId="9" fontId="3" fillId="0" borderId="0" xfId="2" applyFont="1" applyBorder="1"/>
    <xf numFmtId="3" fontId="0" fillId="0" borderId="6" xfId="0" applyNumberFormat="1" applyBorder="1"/>
    <xf numFmtId="0" fontId="6" fillId="0" borderId="1" xfId="0" applyFont="1" applyBorder="1" applyAlignment="1">
      <alignment horizontal="right"/>
    </xf>
    <xf numFmtId="43" fontId="4" fillId="10" borderId="22" xfId="0" applyNumberFormat="1" applyFont="1" applyFill="1" applyBorder="1"/>
    <xf numFmtId="3" fontId="9" fillId="0" borderId="0" xfId="0" applyNumberFormat="1" applyFont="1"/>
    <xf numFmtId="0" fontId="3" fillId="0" borderId="11" xfId="0" applyFont="1" applyBorder="1" applyAlignment="1">
      <alignment horizontal="left" indent="1"/>
    </xf>
    <xf numFmtId="43" fontId="9" fillId="0" borderId="0" xfId="0" applyNumberFormat="1" applyFont="1"/>
    <xf numFmtId="164" fontId="9" fillId="0" borderId="0" xfId="0" applyNumberFormat="1" applyFont="1"/>
    <xf numFmtId="1" fontId="9" fillId="0" borderId="22" xfId="0" applyNumberFormat="1" applyFont="1" applyBorder="1"/>
    <xf numFmtId="3" fontId="6" fillId="10" borderId="16" xfId="0" applyNumberFormat="1" applyFont="1" applyFill="1" applyBorder="1"/>
    <xf numFmtId="0" fontId="0" fillId="0" borderId="11" xfId="0" applyBorder="1" applyAlignment="1">
      <alignment horizontal="left" indent="1"/>
    </xf>
    <xf numFmtId="164" fontId="21" fillId="0" borderId="22" xfId="0" applyNumberFormat="1" applyFont="1" applyBorder="1"/>
    <xf numFmtId="43" fontId="21" fillId="0" borderId="0" xfId="0" applyNumberFormat="1" applyFont="1"/>
    <xf numFmtId="164" fontId="21" fillId="0" borderId="0" xfId="0" applyNumberFormat="1" applyFont="1"/>
    <xf numFmtId="3" fontId="15" fillId="0" borderId="0" xfId="0" applyNumberFormat="1" applyFont="1"/>
    <xf numFmtId="3" fontId="15" fillId="0" borderId="16" xfId="0" applyNumberFormat="1" applyFont="1" applyBorder="1"/>
    <xf numFmtId="3" fontId="21" fillId="0" borderId="0" xfId="0" applyNumberFormat="1" applyFont="1"/>
    <xf numFmtId="3" fontId="15" fillId="0" borderId="11" xfId="0" applyNumberFormat="1" applyFont="1" applyBorder="1"/>
    <xf numFmtId="165" fontId="3" fillId="0" borderId="0" xfId="0" applyNumberFormat="1" applyFont="1"/>
    <xf numFmtId="0" fontId="3" fillId="0" borderId="1" xfId="0" applyFont="1" applyBorder="1" applyAlignment="1">
      <alignment horizontal="right"/>
    </xf>
    <xf numFmtId="6" fontId="3" fillId="0" borderId="1" xfId="0" applyNumberFormat="1" applyFont="1" applyBorder="1" applyAlignment="1">
      <alignment horizontal="right"/>
    </xf>
    <xf numFmtId="0" fontId="19" fillId="5" borderId="33" xfId="0" applyFont="1" applyFill="1" applyBorder="1" applyAlignment="1">
      <alignment horizontal="right"/>
    </xf>
    <xf numFmtId="0" fontId="19" fillId="5" borderId="34" xfId="0" applyFont="1" applyFill="1" applyBorder="1" applyAlignment="1">
      <alignment horizontal="right"/>
    </xf>
    <xf numFmtId="0" fontId="18" fillId="5" borderId="34" xfId="0" applyFont="1" applyFill="1" applyBorder="1"/>
    <xf numFmtId="0" fontId="18" fillId="5" borderId="35" xfId="0" applyFont="1" applyFill="1" applyBorder="1"/>
    <xf numFmtId="0" fontId="9" fillId="3" borderId="31" xfId="0" applyFont="1" applyFill="1" applyBorder="1"/>
    <xf numFmtId="0" fontId="9" fillId="3" borderId="36" xfId="0" applyFont="1" applyFill="1" applyBorder="1"/>
    <xf numFmtId="0" fontId="9" fillId="3" borderId="37" xfId="0" applyFont="1" applyFill="1" applyBorder="1"/>
    <xf numFmtId="38" fontId="15" fillId="0" borderId="0" xfId="0" applyNumberFormat="1" applyFont="1" applyAlignment="1">
      <alignment horizontal="left"/>
    </xf>
    <xf numFmtId="0" fontId="18" fillId="0" borderId="6" xfId="0" applyFont="1" applyBorder="1" applyAlignment="1">
      <alignment horizontal="right"/>
    </xf>
    <xf numFmtId="0" fontId="18" fillId="5" borderId="14" xfId="0" applyFont="1" applyFill="1" applyBorder="1" applyAlignment="1">
      <alignment horizontal="right"/>
    </xf>
    <xf numFmtId="0" fontId="18" fillId="5" borderId="1" xfId="0" applyFont="1" applyFill="1" applyBorder="1" applyAlignment="1">
      <alignment horizontal="center"/>
    </xf>
    <xf numFmtId="0" fontId="18" fillId="5" borderId="29" xfId="0" applyFont="1" applyFill="1" applyBorder="1" applyAlignment="1">
      <alignment horizontal="center"/>
    </xf>
    <xf numFmtId="0" fontId="18" fillId="5" borderId="39" xfId="0" applyFont="1" applyFill="1" applyBorder="1" applyAlignment="1">
      <alignment horizontal="center"/>
    </xf>
    <xf numFmtId="0" fontId="18" fillId="5" borderId="40" xfId="0" applyFont="1" applyFill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9" fontId="9" fillId="0" borderId="22" xfId="2" applyFont="1" applyFill="1" applyBorder="1" applyAlignment="1"/>
    <xf numFmtId="43" fontId="6" fillId="0" borderId="11" xfId="0" applyNumberFormat="1" applyFont="1" applyBorder="1"/>
    <xf numFmtId="9" fontId="9" fillId="0" borderId="28" xfId="2" applyFont="1" applyFill="1" applyBorder="1" applyAlignment="1"/>
    <xf numFmtId="44" fontId="6" fillId="6" borderId="25" xfId="0" applyNumberFormat="1" applyFont="1" applyFill="1" applyBorder="1"/>
    <xf numFmtId="10" fontId="9" fillId="0" borderId="22" xfId="0" applyNumberFormat="1" applyFont="1" applyBorder="1"/>
    <xf numFmtId="43" fontId="4" fillId="0" borderId="22" xfId="0" applyNumberFormat="1" applyFont="1" applyBorder="1"/>
    <xf numFmtId="0" fontId="6" fillId="3" borderId="25" xfId="0" applyFont="1" applyFill="1" applyBorder="1"/>
    <xf numFmtId="43" fontId="4" fillId="3" borderId="17" xfId="0" applyNumberFormat="1" applyFont="1" applyFill="1" applyBorder="1"/>
    <xf numFmtId="43" fontId="4" fillId="3" borderId="14" xfId="0" applyNumberFormat="1" applyFont="1" applyFill="1" applyBorder="1"/>
    <xf numFmtId="43" fontId="4" fillId="3" borderId="4" xfId="0" applyNumberFormat="1" applyFont="1" applyFill="1" applyBorder="1"/>
    <xf numFmtId="41" fontId="6" fillId="3" borderId="2" xfId="0" applyNumberFormat="1" applyFont="1" applyFill="1" applyBorder="1" applyAlignment="1">
      <alignment horizontal="right"/>
    </xf>
    <xf numFmtId="41" fontId="6" fillId="3" borderId="14" xfId="0" applyNumberFormat="1" applyFont="1" applyFill="1" applyBorder="1"/>
    <xf numFmtId="41" fontId="6" fillId="3" borderId="18" xfId="0" applyNumberFormat="1" applyFont="1" applyFill="1" applyBorder="1"/>
    <xf numFmtId="41" fontId="6" fillId="3" borderId="2" xfId="0" applyNumberFormat="1" applyFont="1" applyFill="1" applyBorder="1"/>
    <xf numFmtId="3" fontId="6" fillId="3" borderId="2" xfId="0" applyNumberFormat="1" applyFont="1" applyFill="1" applyBorder="1"/>
    <xf numFmtId="3" fontId="6" fillId="3" borderId="14" xfId="0" applyNumberFormat="1" applyFont="1" applyFill="1" applyBorder="1"/>
    <xf numFmtId="3" fontId="6" fillId="3" borderId="18" xfId="0" applyNumberFormat="1" applyFont="1" applyFill="1" applyBorder="1"/>
    <xf numFmtId="3" fontId="6" fillId="3" borderId="25" xfId="0" applyNumberFormat="1" applyFont="1" applyFill="1" applyBorder="1"/>
    <xf numFmtId="0" fontId="8" fillId="0" borderId="11" xfId="0" applyFont="1" applyBorder="1" applyAlignment="1">
      <alignment horizontal="right"/>
    </xf>
    <xf numFmtId="164" fontId="5" fillId="0" borderId="22" xfId="0" applyNumberFormat="1" applyFont="1" applyBorder="1"/>
    <xf numFmtId="164" fontId="5" fillId="0" borderId="0" xfId="0" applyNumberFormat="1" applyFont="1"/>
    <xf numFmtId="3" fontId="5" fillId="0" borderId="0" xfId="0" applyNumberFormat="1" applyFont="1"/>
    <xf numFmtId="164" fontId="8" fillId="0" borderId="0" xfId="0" applyNumberFormat="1" applyFont="1"/>
    <xf numFmtId="43" fontId="8" fillId="10" borderId="11" xfId="0" applyNumberFormat="1" applyFont="1" applyFill="1" applyBorder="1" applyAlignment="1">
      <alignment horizontal="right"/>
    </xf>
    <xf numFmtId="44" fontId="6" fillId="6" borderId="1" xfId="0" applyNumberFormat="1" applyFont="1" applyFill="1" applyBorder="1"/>
    <xf numFmtId="43" fontId="6" fillId="6" borderId="1" xfId="0" applyNumberFormat="1" applyFont="1" applyFill="1" applyBorder="1"/>
    <xf numFmtId="43" fontId="6" fillId="0" borderId="7" xfId="0" applyNumberFormat="1" applyFont="1" applyBorder="1"/>
    <xf numFmtId="43" fontId="8" fillId="0" borderId="7" xfId="0" applyNumberFormat="1" applyFont="1" applyBorder="1" applyAlignment="1">
      <alignment horizontal="right"/>
    </xf>
    <xf numFmtId="38" fontId="3" fillId="0" borderId="0" xfId="0" applyNumberFormat="1" applyFont="1"/>
    <xf numFmtId="164" fontId="3" fillId="0" borderId="0" xfId="0" applyNumberFormat="1" applyFont="1"/>
    <xf numFmtId="168" fontId="3" fillId="0" borderId="0" xfId="1" applyNumberFormat="1" applyFont="1"/>
    <xf numFmtId="44" fontId="4" fillId="6" borderId="17" xfId="0" applyNumberFormat="1" applyFont="1" applyFill="1" applyBorder="1"/>
    <xf numFmtId="44" fontId="4" fillId="6" borderId="14" xfId="0" applyNumberFormat="1" applyFont="1" applyFill="1" applyBorder="1"/>
    <xf numFmtId="0" fontId="3" fillId="6" borderId="2" xfId="0" applyFont="1" applyFill="1" applyBorder="1"/>
    <xf numFmtId="0" fontId="3" fillId="6" borderId="14" xfId="0" applyFont="1" applyFill="1" applyBorder="1"/>
    <xf numFmtId="0" fontId="3" fillId="6" borderId="18" xfId="0" applyFont="1" applyFill="1" applyBorder="1"/>
    <xf numFmtId="0" fontId="3" fillId="6" borderId="25" xfId="0" applyFont="1" applyFill="1" applyBorder="1"/>
    <xf numFmtId="0" fontId="3" fillId="0" borderId="19" xfId="0" applyFont="1" applyBorder="1"/>
    <xf numFmtId="0" fontId="3" fillId="0" borderId="15" xfId="0" applyFont="1" applyBorder="1"/>
    <xf numFmtId="0" fontId="3" fillId="0" borderId="26" xfId="0" applyFont="1" applyBorder="1"/>
    <xf numFmtId="3" fontId="3" fillId="0" borderId="16" xfId="0" applyNumberFormat="1" applyFont="1" applyBorder="1"/>
    <xf numFmtId="3" fontId="3" fillId="0" borderId="11" xfId="0" applyNumberFormat="1" applyFont="1" applyBorder="1"/>
    <xf numFmtId="43" fontId="8" fillId="0" borderId="11" xfId="0" applyNumberFormat="1" applyFont="1" applyBorder="1" applyAlignment="1">
      <alignment horizontal="left"/>
    </xf>
    <xf numFmtId="43" fontId="4" fillId="0" borderId="0" xfId="0" applyNumberFormat="1" applyFont="1"/>
    <xf numFmtId="0" fontId="3" fillId="0" borderId="10" xfId="0" applyFont="1" applyBorder="1"/>
    <xf numFmtId="0" fontId="3" fillId="0" borderId="20" xfId="0" applyFont="1" applyBorder="1"/>
    <xf numFmtId="0" fontId="3" fillId="0" borderId="9" xfId="0" applyFont="1" applyBorder="1"/>
    <xf numFmtId="0" fontId="3" fillId="0" borderId="23" xfId="0" applyFont="1" applyBorder="1"/>
    <xf numFmtId="43" fontId="4" fillId="10" borderId="17" xfId="0" applyNumberFormat="1" applyFont="1" applyFill="1" applyBorder="1"/>
    <xf numFmtId="43" fontId="4" fillId="10" borderId="14" xfId="0" applyNumberFormat="1" applyFont="1" applyFill="1" applyBorder="1"/>
    <xf numFmtId="3" fontId="6" fillId="10" borderId="2" xfId="0" applyNumberFormat="1" applyFont="1" applyFill="1" applyBorder="1"/>
    <xf numFmtId="3" fontId="6" fillId="10" borderId="14" xfId="0" applyNumberFormat="1" applyFont="1" applyFill="1" applyBorder="1"/>
    <xf numFmtId="3" fontId="6" fillId="10" borderId="18" xfId="0" applyNumberFormat="1" applyFont="1" applyFill="1" applyBorder="1"/>
    <xf numFmtId="3" fontId="6" fillId="10" borderId="25" xfId="0" applyNumberFormat="1" applyFont="1" applyFill="1" applyBorder="1"/>
    <xf numFmtId="43" fontId="6" fillId="0" borderId="25" xfId="0" applyNumberFormat="1" applyFont="1" applyBorder="1"/>
    <xf numFmtId="43" fontId="4" fillId="0" borderId="17" xfId="0" applyNumberFormat="1" applyFont="1" applyBorder="1"/>
    <xf numFmtId="43" fontId="4" fillId="0" borderId="14" xfId="0" applyNumberFormat="1" applyFont="1" applyBorder="1"/>
    <xf numFmtId="3" fontId="3" fillId="0" borderId="2" xfId="0" applyNumberFormat="1" applyFont="1" applyBorder="1"/>
    <xf numFmtId="3" fontId="3" fillId="0" borderId="14" xfId="0" applyNumberFormat="1" applyFont="1" applyBorder="1"/>
    <xf numFmtId="3" fontId="3" fillId="0" borderId="18" xfId="0" applyNumberFormat="1" applyFont="1" applyBorder="1"/>
    <xf numFmtId="3" fontId="3" fillId="0" borderId="25" xfId="0" applyNumberFormat="1" applyFont="1" applyBorder="1"/>
    <xf numFmtId="43" fontId="4" fillId="6" borderId="17" xfId="0" applyNumberFormat="1" applyFont="1" applyFill="1" applyBorder="1"/>
    <xf numFmtId="43" fontId="4" fillId="6" borderId="14" xfId="0" applyNumberFormat="1" applyFont="1" applyFill="1" applyBorder="1"/>
    <xf numFmtId="3" fontId="3" fillId="6" borderId="18" xfId="0" applyNumberFormat="1" applyFont="1" applyFill="1" applyBorder="1"/>
    <xf numFmtId="3" fontId="3" fillId="6" borderId="25" xfId="0" applyNumberFormat="1" applyFont="1" applyFill="1" applyBorder="1"/>
    <xf numFmtId="43" fontId="3" fillId="0" borderId="26" xfId="0" applyNumberFormat="1" applyFont="1" applyBorder="1"/>
    <xf numFmtId="3" fontId="3" fillId="0" borderId="19" xfId="0" applyNumberFormat="1" applyFont="1" applyBorder="1"/>
    <xf numFmtId="3" fontId="3" fillId="0" borderId="26" xfId="0" applyNumberFormat="1" applyFont="1" applyBorder="1"/>
    <xf numFmtId="0" fontId="3" fillId="0" borderId="27" xfId="0" applyFont="1" applyBorder="1"/>
    <xf numFmtId="3" fontId="3" fillId="0" borderId="15" xfId="0" applyNumberFormat="1" applyFont="1" applyBorder="1"/>
    <xf numFmtId="43" fontId="3" fillId="0" borderId="25" xfId="0" applyNumberFormat="1" applyFont="1" applyBorder="1"/>
    <xf numFmtId="43" fontId="4" fillId="0" borderId="13" xfId="0" applyNumberFormat="1" applyFont="1" applyBorder="1"/>
    <xf numFmtId="43" fontId="4" fillId="0" borderId="28" xfId="0" applyNumberFormat="1" applyFont="1" applyBorder="1"/>
    <xf numFmtId="43" fontId="3" fillId="0" borderId="10" xfId="0" applyNumberFormat="1" applyFont="1" applyBorder="1"/>
    <xf numFmtId="43" fontId="4" fillId="0" borderId="27" xfId="0" applyNumberFormat="1" applyFont="1" applyBorder="1"/>
    <xf numFmtId="43" fontId="4" fillId="0" borderId="9" xfId="0" applyNumberFormat="1" applyFont="1" applyBorder="1"/>
    <xf numFmtId="3" fontId="3" fillId="0" borderId="23" xfId="0" applyNumberFormat="1" applyFont="1" applyBorder="1"/>
    <xf numFmtId="3" fontId="3" fillId="0" borderId="10" xfId="0" applyNumberFormat="1" applyFont="1" applyBorder="1"/>
    <xf numFmtId="43" fontId="8" fillId="0" borderId="25" xfId="0" applyNumberFormat="1" applyFont="1" applyBorder="1" applyAlignment="1">
      <alignment horizontal="right"/>
    </xf>
    <xf numFmtId="9" fontId="3" fillId="0" borderId="0" xfId="2" applyFont="1" applyFill="1"/>
    <xf numFmtId="9" fontId="3" fillId="0" borderId="0" xfId="0" applyNumberFormat="1" applyFont="1"/>
    <xf numFmtId="0" fontId="4" fillId="10" borderId="17" xfId="0" applyFont="1" applyFill="1" applyBorder="1"/>
    <xf numFmtId="0" fontId="4" fillId="10" borderId="14" xfId="0" applyFont="1" applyFill="1" applyBorder="1"/>
    <xf numFmtId="0" fontId="6" fillId="0" borderId="25" xfId="0" applyFont="1" applyBorder="1" applyAlignment="1">
      <alignment horizontal="right"/>
    </xf>
    <xf numFmtId="0" fontId="4" fillId="0" borderId="17" xfId="0" applyFont="1" applyBorder="1"/>
    <xf numFmtId="0" fontId="4" fillId="0" borderId="14" xfId="0" applyFont="1" applyBorder="1"/>
    <xf numFmtId="3" fontId="6" fillId="0" borderId="2" xfId="0" applyNumberFormat="1" applyFont="1" applyBorder="1"/>
    <xf numFmtId="3" fontId="6" fillId="0" borderId="14" xfId="0" applyNumberFormat="1" applyFont="1" applyBorder="1"/>
    <xf numFmtId="3" fontId="6" fillId="0" borderId="18" xfId="0" applyNumberFormat="1" applyFont="1" applyBorder="1"/>
    <xf numFmtId="3" fontId="6" fillId="0" borderId="25" xfId="0" applyNumberFormat="1" applyFont="1" applyBorder="1"/>
    <xf numFmtId="0" fontId="4" fillId="6" borderId="17" xfId="0" applyFont="1" applyFill="1" applyBorder="1"/>
    <xf numFmtId="0" fontId="4" fillId="6" borderId="14" xfId="0" applyFont="1" applyFill="1" applyBorder="1"/>
    <xf numFmtId="0" fontId="4" fillId="10" borderId="22" xfId="0" applyFont="1" applyFill="1" applyBorder="1"/>
    <xf numFmtId="0" fontId="4" fillId="10" borderId="0" xfId="0" applyFont="1" applyFill="1"/>
    <xf numFmtId="3" fontId="3" fillId="3" borderId="2" xfId="0" applyNumberFormat="1" applyFont="1" applyFill="1" applyBorder="1"/>
    <xf numFmtId="3" fontId="3" fillId="3" borderId="14" xfId="0" applyNumberFormat="1" applyFont="1" applyFill="1" applyBorder="1"/>
    <xf numFmtId="3" fontId="3" fillId="3" borderId="18" xfId="0" applyNumberFormat="1" applyFont="1" applyFill="1" applyBorder="1"/>
    <xf numFmtId="3" fontId="3" fillId="3" borderId="25" xfId="0" applyNumberFormat="1" applyFont="1" applyFill="1" applyBorder="1"/>
    <xf numFmtId="3" fontId="6" fillId="3" borderId="32" xfId="0" applyNumberFormat="1" applyFont="1" applyFill="1" applyBorder="1"/>
    <xf numFmtId="3" fontId="6" fillId="3" borderId="36" xfId="0" applyNumberFormat="1" applyFont="1" applyFill="1" applyBorder="1"/>
    <xf numFmtId="3" fontId="6" fillId="3" borderId="38" xfId="0" applyNumberFormat="1" applyFont="1" applyFill="1" applyBorder="1"/>
    <xf numFmtId="3" fontId="6" fillId="3" borderId="3" xfId="0" applyNumberFormat="1" applyFont="1" applyFill="1" applyBorder="1"/>
    <xf numFmtId="165" fontId="3" fillId="0" borderId="1" xfId="0" applyNumberFormat="1" applyFont="1" applyBorder="1"/>
    <xf numFmtId="44" fontId="6" fillId="0" borderId="0" xfId="1" applyFont="1"/>
    <xf numFmtId="44" fontId="3" fillId="0" borderId="0" xfId="1" applyFont="1"/>
    <xf numFmtId="43" fontId="0" fillId="0" borderId="11" xfId="0" applyNumberFormat="1" applyBorder="1"/>
    <xf numFmtId="3" fontId="0" fillId="0" borderId="0" xfId="0" applyNumberFormat="1"/>
    <xf numFmtId="3" fontId="0" fillId="0" borderId="16" xfId="0" applyNumberFormat="1" applyBorder="1"/>
    <xf numFmtId="3" fontId="0" fillId="0" borderId="11" xfId="0" applyNumberFormat="1" applyBorder="1"/>
    <xf numFmtId="3" fontId="0" fillId="0" borderId="26" xfId="0" applyNumberFormat="1" applyBorder="1"/>
    <xf numFmtId="169" fontId="3" fillId="0" borderId="0" xfId="2" applyNumberFormat="1" applyFont="1"/>
    <xf numFmtId="169" fontId="3" fillId="0" borderId="0" xfId="0" applyNumberFormat="1" applyFont="1"/>
    <xf numFmtId="43" fontId="15" fillId="0" borderId="11" xfId="0" applyNumberFormat="1" applyFont="1" applyBorder="1" applyAlignment="1">
      <alignment horizontal="left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168" fontId="6" fillId="0" borderId="1" xfId="1" applyNumberFormat="1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right"/>
    </xf>
    <xf numFmtId="3" fontId="3" fillId="0" borderId="1" xfId="4" applyNumberFormat="1" applyFont="1" applyBorder="1" applyAlignment="1">
      <alignment horizontal="right"/>
    </xf>
    <xf numFmtId="8" fontId="3" fillId="0" borderId="0" xfId="0" applyNumberFormat="1" applyFont="1"/>
    <xf numFmtId="0" fontId="3" fillId="6" borderId="1" xfId="0" applyFont="1" applyFill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68" fontId="3" fillId="0" borderId="1" xfId="1" applyNumberFormat="1" applyFont="1" applyFill="1" applyBorder="1" applyAlignment="1">
      <alignment horizontal="center"/>
    </xf>
    <xf numFmtId="168" fontId="6" fillId="0" borderId="1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1" applyFont="1" applyFill="1"/>
    <xf numFmtId="44" fontId="3" fillId="0" borderId="0" xfId="0" applyNumberFormat="1" applyFont="1"/>
    <xf numFmtId="164" fontId="3" fillId="0" borderId="1" xfId="4" applyNumberFormat="1" applyFont="1" applyBorder="1" applyAlignment="1">
      <alignment horizontal="right"/>
    </xf>
    <xf numFmtId="164" fontId="6" fillId="0" borderId="1" xfId="4" applyNumberFormat="1" applyFont="1" applyBorder="1" applyAlignment="1">
      <alignment horizontal="right"/>
    </xf>
    <xf numFmtId="0" fontId="6" fillId="7" borderId="41" xfId="0" applyFont="1" applyFill="1" applyBorder="1"/>
    <xf numFmtId="44" fontId="6" fillId="0" borderId="42" xfId="0" applyNumberFormat="1" applyFont="1" applyBorder="1"/>
    <xf numFmtId="0" fontId="17" fillId="0" borderId="0" xfId="0" applyFont="1" applyAlignment="1">
      <alignment horizontal="left"/>
    </xf>
    <xf numFmtId="49" fontId="3" fillId="0" borderId="0" xfId="0" applyNumberFormat="1" applyFont="1"/>
    <xf numFmtId="49" fontId="3" fillId="0" borderId="0" xfId="0" applyNumberFormat="1" applyFont="1" applyAlignment="1">
      <alignment horizontal="left"/>
    </xf>
    <xf numFmtId="49" fontId="16" fillId="0" borderId="0" xfId="0" applyNumberFormat="1" applyFont="1"/>
    <xf numFmtId="49" fontId="16" fillId="0" borderId="0" xfId="0" applyNumberFormat="1" applyFont="1" applyAlignment="1">
      <alignment horizontal="left"/>
    </xf>
    <xf numFmtId="49" fontId="3" fillId="0" borderId="27" xfId="0" applyNumberFormat="1" applyFont="1" applyBorder="1"/>
    <xf numFmtId="0" fontId="16" fillId="0" borderId="0" xfId="0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9" xfId="0" applyNumberFormat="1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3" applyAlignment="1">
      <alignment horizontal="left"/>
    </xf>
    <xf numFmtId="0" fontId="3" fillId="0" borderId="9" xfId="0" applyFont="1" applyBorder="1" applyAlignment="1">
      <alignment horizontal="left"/>
    </xf>
    <xf numFmtId="1" fontId="3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18" fillId="5" borderId="33" xfId="0" applyNumberFormat="1" applyFont="1" applyFill="1" applyBorder="1" applyAlignment="1">
      <alignment horizontal="right"/>
    </xf>
    <xf numFmtId="0" fontId="18" fillId="5" borderId="34" xfId="0" applyFont="1" applyFill="1" applyBorder="1" applyAlignment="1">
      <alignment horizontal="left"/>
    </xf>
    <xf numFmtId="2" fontId="18" fillId="5" borderId="34" xfId="0" applyNumberFormat="1" applyFont="1" applyFill="1" applyBorder="1" applyAlignment="1">
      <alignment horizontal="left"/>
    </xf>
    <xf numFmtId="0" fontId="18" fillId="5" borderId="33" xfId="0" applyFont="1" applyFill="1" applyBorder="1" applyAlignment="1">
      <alignment horizontal="left"/>
    </xf>
    <xf numFmtId="2" fontId="18" fillId="5" borderId="33" xfId="0" applyNumberFormat="1" applyFont="1" applyFill="1" applyBorder="1" applyAlignment="1">
      <alignment horizontal="left"/>
    </xf>
    <xf numFmtId="49" fontId="18" fillId="0" borderId="28" xfId="0" applyNumberFormat="1" applyFont="1" applyBorder="1" applyAlignment="1">
      <alignment horizontal="right"/>
    </xf>
    <xf numFmtId="0" fontId="18" fillId="0" borderId="13" xfId="0" applyFont="1" applyBorder="1" applyAlignment="1">
      <alignment horizontal="left"/>
    </xf>
    <xf numFmtId="2" fontId="8" fillId="0" borderId="13" xfId="0" applyNumberFormat="1" applyFont="1" applyBorder="1" applyAlignment="1">
      <alignment horizontal="left"/>
    </xf>
    <xf numFmtId="49" fontId="6" fillId="6" borderId="17" xfId="0" applyNumberFormat="1" applyFont="1" applyFill="1" applyBorder="1"/>
    <xf numFmtId="0" fontId="6" fillId="6" borderId="14" xfId="0" applyFont="1" applyFill="1" applyBorder="1" applyAlignment="1">
      <alignment horizontal="left"/>
    </xf>
    <xf numFmtId="2" fontId="6" fillId="6" borderId="14" xfId="0" applyNumberFormat="1" applyFont="1" applyFill="1" applyBorder="1" applyAlignment="1">
      <alignment horizontal="left"/>
    </xf>
    <xf numFmtId="49" fontId="6" fillId="0" borderId="22" xfId="0" applyNumberFormat="1" applyFont="1" applyBorder="1"/>
    <xf numFmtId="0" fontId="3" fillId="0" borderId="13" xfId="0" applyFont="1" applyBorder="1" applyAlignment="1">
      <alignment horizontal="left"/>
    </xf>
    <xf numFmtId="2" fontId="3" fillId="0" borderId="13" xfId="0" applyNumberFormat="1" applyFont="1" applyBorder="1" applyAlignment="1">
      <alignment horizontal="left"/>
    </xf>
    <xf numFmtId="49" fontId="3" fillId="0" borderId="22" xfId="2" applyNumberFormat="1" applyFont="1" applyFill="1" applyBorder="1" applyAlignment="1"/>
    <xf numFmtId="49" fontId="8" fillId="0" borderId="22" xfId="0" applyNumberFormat="1" applyFont="1" applyBorder="1"/>
    <xf numFmtId="0" fontId="8" fillId="0" borderId="0" xfId="0" applyFont="1" applyAlignment="1">
      <alignment horizontal="left"/>
    </xf>
    <xf numFmtId="49" fontId="3" fillId="0" borderId="22" xfId="0" applyNumberFormat="1" applyFont="1" applyBorder="1"/>
    <xf numFmtId="2" fontId="6" fillId="0" borderId="0" xfId="0" applyNumberFormat="1" applyFont="1" applyAlignment="1">
      <alignment horizontal="left"/>
    </xf>
    <xf numFmtId="2" fontId="8" fillId="0" borderId="0" xfId="0" applyNumberFormat="1" applyFont="1" applyAlignment="1">
      <alignment horizontal="left"/>
    </xf>
    <xf numFmtId="49" fontId="6" fillId="10" borderId="17" xfId="0" applyNumberFormat="1" applyFont="1" applyFill="1" applyBorder="1"/>
    <xf numFmtId="0" fontId="6" fillId="10" borderId="14" xfId="0" applyFont="1" applyFill="1" applyBorder="1" applyAlignment="1">
      <alignment horizontal="left"/>
    </xf>
    <xf numFmtId="2" fontId="6" fillId="10" borderId="14" xfId="0" applyNumberFormat="1" applyFont="1" applyFill="1" applyBorder="1" applyAlignment="1">
      <alignment horizontal="left"/>
    </xf>
    <xf numFmtId="49" fontId="6" fillId="0" borderId="17" xfId="0" applyNumberFormat="1" applyFont="1" applyBorder="1"/>
    <xf numFmtId="0" fontId="6" fillId="0" borderId="14" xfId="0" applyFont="1" applyBorder="1" applyAlignment="1">
      <alignment horizontal="left"/>
    </xf>
    <xf numFmtId="2" fontId="6" fillId="0" borderId="14" xfId="0" applyNumberFormat="1" applyFont="1" applyBorder="1" applyAlignment="1">
      <alignment horizontal="left"/>
    </xf>
    <xf numFmtId="49" fontId="3" fillId="0" borderId="28" xfId="0" applyNumberFormat="1" applyFont="1" applyBorder="1"/>
    <xf numFmtId="49" fontId="6" fillId="10" borderId="22" xfId="0" applyNumberFormat="1" applyFont="1" applyFill="1" applyBorder="1"/>
    <xf numFmtId="0" fontId="6" fillId="10" borderId="0" xfId="0" applyFont="1" applyFill="1" applyAlignment="1">
      <alignment horizontal="left"/>
    </xf>
    <xf numFmtId="2" fontId="6" fillId="10" borderId="0" xfId="0" applyNumberFormat="1" applyFont="1" applyFill="1" applyAlignment="1">
      <alignment horizontal="left"/>
    </xf>
    <xf numFmtId="49" fontId="15" fillId="0" borderId="22" xfId="0" applyNumberFormat="1" applyFont="1" applyBorder="1"/>
    <xf numFmtId="2" fontId="15" fillId="0" borderId="0" xfId="0" applyNumberFormat="1" applyFont="1" applyAlignment="1">
      <alignment horizontal="left"/>
    </xf>
    <xf numFmtId="49" fontId="3" fillId="0" borderId="17" xfId="0" applyNumberFormat="1" applyFont="1" applyBorder="1"/>
    <xf numFmtId="0" fontId="3" fillId="0" borderId="14" xfId="0" applyFont="1" applyBorder="1" applyAlignment="1">
      <alignment horizontal="left"/>
    </xf>
    <xf numFmtId="2" fontId="3" fillId="0" borderId="14" xfId="0" applyNumberFormat="1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2" fontId="6" fillId="0" borderId="13" xfId="0" applyNumberFormat="1" applyFont="1" applyBorder="1" applyAlignment="1">
      <alignment horizontal="left"/>
    </xf>
    <xf numFmtId="49" fontId="6" fillId="0" borderId="27" xfId="0" applyNumberFormat="1" applyFont="1" applyBorder="1"/>
    <xf numFmtId="2" fontId="6" fillId="0" borderId="9" xfId="0" applyNumberFormat="1" applyFont="1" applyBorder="1" applyAlignment="1">
      <alignment horizontal="left"/>
    </xf>
    <xf numFmtId="49" fontId="6" fillId="0" borderId="28" xfId="0" applyNumberFormat="1" applyFont="1" applyBorder="1"/>
    <xf numFmtId="0" fontId="6" fillId="0" borderId="9" xfId="0" applyFont="1" applyBorder="1" applyAlignment="1">
      <alignment horizontal="left"/>
    </xf>
    <xf numFmtId="49" fontId="6" fillId="3" borderId="17" xfId="0" applyNumberFormat="1" applyFont="1" applyFill="1" applyBorder="1"/>
    <xf numFmtId="0" fontId="6" fillId="3" borderId="14" xfId="0" applyFont="1" applyFill="1" applyBorder="1" applyAlignment="1">
      <alignment horizontal="left"/>
    </xf>
    <xf numFmtId="2" fontId="6" fillId="3" borderId="4" xfId="0" applyNumberFormat="1" applyFont="1" applyFill="1" applyBorder="1" applyAlignment="1">
      <alignment horizontal="left"/>
    </xf>
    <xf numFmtId="49" fontId="3" fillId="3" borderId="17" xfId="0" applyNumberFormat="1" applyFont="1" applyFill="1" applyBorder="1"/>
    <xf numFmtId="0" fontId="3" fillId="3" borderId="14" xfId="0" applyFont="1" applyFill="1" applyBorder="1" applyAlignment="1">
      <alignment horizontal="left"/>
    </xf>
    <xf numFmtId="49" fontId="3" fillId="3" borderId="31" xfId="0" applyNumberFormat="1" applyFont="1" applyFill="1" applyBorder="1"/>
    <xf numFmtId="0" fontId="3" fillId="3" borderId="36" xfId="0" applyFont="1" applyFill="1" applyBorder="1" applyAlignment="1">
      <alignment horizontal="left"/>
    </xf>
    <xf numFmtId="2" fontId="3" fillId="3" borderId="37" xfId="0" applyNumberFormat="1" applyFont="1" applyFill="1" applyBorder="1" applyAlignment="1">
      <alignment horizontal="left"/>
    </xf>
    <xf numFmtId="1" fontId="3" fillId="3" borderId="4" xfId="0" applyNumberFormat="1" applyFont="1" applyFill="1" applyBorder="1" applyAlignment="1">
      <alignment horizontal="left"/>
    </xf>
    <xf numFmtId="9" fontId="3" fillId="0" borderId="2" xfId="2" applyFont="1" applyBorder="1"/>
    <xf numFmtId="0" fontId="17" fillId="0" borderId="0" xfId="0" applyFont="1" applyAlignment="1">
      <alignment horizontal="left"/>
    </xf>
    <xf numFmtId="0" fontId="18" fillId="5" borderId="2" xfId="0" applyFont="1" applyFill="1" applyBorder="1" applyAlignment="1">
      <alignment horizontal="center"/>
    </xf>
    <xf numFmtId="0" fontId="18" fillId="5" borderId="14" xfId="0" applyFont="1" applyFill="1" applyBorder="1" applyAlignment="1">
      <alignment horizontal="center"/>
    </xf>
    <xf numFmtId="0" fontId="18" fillId="5" borderId="4" xfId="0" applyFont="1" applyFill="1" applyBorder="1" applyAlignment="1">
      <alignment horizontal="center"/>
    </xf>
    <xf numFmtId="0" fontId="18" fillId="5" borderId="33" xfId="0" applyFont="1" applyFill="1" applyBorder="1" applyAlignment="1">
      <alignment horizontal="center"/>
    </xf>
    <xf numFmtId="0" fontId="18" fillId="5" borderId="34" xfId="0" applyFont="1" applyFill="1" applyBorder="1" applyAlignment="1">
      <alignment horizontal="center"/>
    </xf>
    <xf numFmtId="0" fontId="18" fillId="5" borderId="35" xfId="0" applyFont="1" applyFill="1" applyBorder="1" applyAlignment="1">
      <alignment horizontal="center"/>
    </xf>
    <xf numFmtId="0" fontId="16" fillId="0" borderId="0" xfId="0" applyFont="1" applyAlignment="1"/>
    <xf numFmtId="0" fontId="6" fillId="7" borderId="2" xfId="0" applyFont="1" applyFill="1" applyBorder="1" applyAlignment="1"/>
    <xf numFmtId="0" fontId="16" fillId="7" borderId="2" xfId="0" applyFont="1" applyFill="1" applyBorder="1" applyAlignment="1"/>
  </cellXfs>
  <cellStyles count="15">
    <cellStyle name="Comma" xfId="4" builtinId="3"/>
    <cellStyle name="Comma 2" xfId="7" xr:uid="{00000000-0005-0000-0000-000001000000}"/>
    <cellStyle name="Comma 3" xfId="14" xr:uid="{E99ADC2E-6FA1-4B13-8417-DAE81CC08645}"/>
    <cellStyle name="Currency" xfId="1" builtinId="4"/>
    <cellStyle name="Currency 2" xfId="9" xr:uid="{00000000-0005-0000-0000-000003000000}"/>
    <cellStyle name="Currency 3" xfId="11" xr:uid="{2B1F91B3-1D40-4C31-BE3E-C69FD655EC44}"/>
    <cellStyle name="Normal" xfId="0" builtinId="0"/>
    <cellStyle name="Normal 2" xfId="3" xr:uid="{00000000-0005-0000-0000-000005000000}"/>
    <cellStyle name="Normal 2 2" xfId="8" xr:uid="{00000000-0005-0000-0000-000006000000}"/>
    <cellStyle name="Normal 3" xfId="5" xr:uid="{00000000-0005-0000-0000-000007000000}"/>
    <cellStyle name="Normal 4" xfId="6" xr:uid="{00000000-0005-0000-0000-000008000000}"/>
    <cellStyle name="Normal 5" xfId="10" xr:uid="{696106F2-B9F1-4F15-81A3-E3443F17835A}"/>
    <cellStyle name="Percent" xfId="2" builtinId="5"/>
    <cellStyle name="Percent 2" xfId="12" xr:uid="{5DA92C78-84E0-4A77-96BF-0469385156F7}"/>
    <cellStyle name="Percent 34" xfId="13" xr:uid="{6B505889-CADA-4AFE-9B4E-B8BE429E708C}"/>
  </cellStyles>
  <dxfs count="0"/>
  <tableStyles count="0" defaultTableStyle="TableStyleMedium2" defaultPivotStyle="PivotStyleLight16"/>
  <colors>
    <mruColors>
      <color rgb="FFE7F0F9"/>
      <color rgb="FFD7E5F5"/>
      <color rgb="FFFFFF61"/>
      <color rgb="FFFFFFAF"/>
      <color rgb="FFFEF1E6"/>
      <color rgb="FFFEF4EC"/>
      <color rgb="FFFDDF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py%20of%20Nicaragua_Budget_10_01_22v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Budget%20Deta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ODCs%2020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uipment%2020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IP%20START%2014%20month%20Budget%20ver%2021Dec06%207%2055%20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08%2008%2012%20%20Pact%20Proposal%20Budget-%20ICN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DF_SF_424_Final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Cost Share"/>
      <sheetName val="Rates"/>
      <sheetName val="Level of Effort"/>
      <sheetName val="Sheet1"/>
      <sheetName val="Sheet1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"/>
      <sheetName val="DRAFT BUDGET"/>
      <sheetName val="Salary &amp; PR Tax"/>
      <sheetName val="Fringe Benefits"/>
      <sheetName val="PR Taxes Prior Year"/>
      <sheetName val="Prior Year Indirect"/>
      <sheetName val="Communication Prior Year"/>
      <sheetName val="Consultants 2005"/>
      <sheetName val="UNUM LTD &amp; STD Costs"/>
      <sheetName val="MAMSI 2003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E - Other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D - Equipment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Details"/>
    </sheetNames>
    <sheetDataSet>
      <sheetData sheetId="0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etail-1"/>
      <sheetName val="IFLT Budget"/>
      <sheetName val="CCC Budget"/>
      <sheetName val="Institute Justification"/>
      <sheetName val="Travel"/>
      <sheetName val="Workshops"/>
      <sheetName val="Links"/>
      <sheetName val="SF424"/>
      <sheetName val="SF424A1"/>
      <sheetName val="SF424A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24 Cover"/>
      <sheetName val="424 A"/>
      <sheetName val="424 A Page 2"/>
      <sheetName val="PADF Master"/>
      <sheetName val="Component I"/>
      <sheetName val="Component II"/>
      <sheetName val="IFES_Component_III"/>
      <sheetName val="Summary"/>
      <sheetName val="DLDP Activity Plan"/>
      <sheetName val="Rates"/>
      <sheetName val="Level of Eff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X257"/>
  <sheetViews>
    <sheetView tabSelected="1" zoomScale="90" workbookViewId="0">
      <pane xSplit="1" ySplit="5" topLeftCell="G21" activePane="bottomRight" state="frozen"/>
      <selection pane="bottomRight" activeCell="A2" sqref="A2:R2"/>
      <selection pane="bottomLeft" activeCell="A5" sqref="A5"/>
      <selection pane="topRight" activeCell="B1" sqref="B1"/>
    </sheetView>
  </sheetViews>
  <sheetFormatPr defaultColWidth="9.140625" defaultRowHeight="15" customHeight="1"/>
  <cols>
    <col min="1" max="1" width="23.42578125" style="5" bestFit="1" customWidth="1"/>
    <col min="2" max="2" width="10.42578125" style="5" bestFit="1" customWidth="1"/>
    <col min="3" max="3" width="9.5703125" style="5" bestFit="1" customWidth="1"/>
    <col min="4" max="8" width="10.42578125" style="5" bestFit="1" customWidth="1"/>
    <col min="9" max="9" width="9.5703125" style="5" bestFit="1" customWidth="1"/>
    <col min="10" max="11" width="10.42578125" style="5" bestFit="1" customWidth="1"/>
    <col min="12" max="12" width="9.5703125" style="5" bestFit="1" customWidth="1"/>
    <col min="13" max="14" width="10.42578125" style="5" bestFit="1" customWidth="1"/>
    <col min="15" max="15" width="9.5703125" style="5" bestFit="1" customWidth="1"/>
    <col min="16" max="16" width="10.42578125" style="5" bestFit="1" customWidth="1"/>
    <col min="17" max="17" width="11.42578125" style="5" bestFit="1" customWidth="1"/>
    <col min="18" max="18" width="10.42578125" style="5" bestFit="1" customWidth="1"/>
    <col min="19" max="19" width="11.42578125" style="5" bestFit="1" customWidth="1"/>
    <col min="20" max="16384" width="9.140625" style="5"/>
  </cols>
  <sheetData>
    <row r="1" spans="1:19" ht="15" customHeight="1">
      <c r="A1" s="368" t="s">
        <v>0</v>
      </c>
      <c r="B1" s="368"/>
      <c r="C1" s="368"/>
      <c r="D1" s="368"/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41"/>
      <c r="P1" s="41"/>
      <c r="Q1" s="41"/>
      <c r="R1" s="41"/>
    </row>
    <row r="2" spans="1:19" ht="15" customHeight="1">
      <c r="A2" s="361" t="s">
        <v>1</v>
      </c>
      <c r="B2" s="361"/>
      <c r="C2" s="361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</row>
    <row r="4" spans="1:19" ht="15" customHeight="1">
      <c r="A4" s="47" t="s">
        <v>2</v>
      </c>
      <c r="B4" s="362" t="s">
        <v>3</v>
      </c>
      <c r="C4" s="363"/>
      <c r="D4" s="364"/>
      <c r="E4" s="362" t="s">
        <v>4</v>
      </c>
      <c r="F4" s="363"/>
      <c r="G4" s="364"/>
      <c r="H4" s="362" t="s">
        <v>5</v>
      </c>
      <c r="I4" s="363"/>
      <c r="J4" s="364"/>
      <c r="K4" s="362" t="s">
        <v>6</v>
      </c>
      <c r="L4" s="363"/>
      <c r="M4" s="364"/>
      <c r="N4" s="362" t="s">
        <v>7</v>
      </c>
      <c r="O4" s="363"/>
      <c r="P4" s="364"/>
      <c r="Q4" s="159" t="s">
        <v>8</v>
      </c>
      <c r="R4" s="160" t="s">
        <v>9</v>
      </c>
      <c r="S4" s="160" t="s">
        <v>10</v>
      </c>
    </row>
    <row r="5" spans="1:19" ht="15" customHeight="1" thickBot="1">
      <c r="A5" s="47"/>
      <c r="B5" s="44" t="s">
        <v>11</v>
      </c>
      <c r="C5" s="158" t="s">
        <v>12</v>
      </c>
      <c r="D5" s="48" t="s">
        <v>9</v>
      </c>
      <c r="E5" s="47" t="s">
        <v>11</v>
      </c>
      <c r="F5" s="47" t="s">
        <v>12</v>
      </c>
      <c r="G5" s="47" t="s">
        <v>9</v>
      </c>
      <c r="H5" s="48" t="s">
        <v>11</v>
      </c>
      <c r="I5" s="47" t="s">
        <v>12</v>
      </c>
      <c r="J5" s="47" t="s">
        <v>9</v>
      </c>
      <c r="K5" s="47" t="s">
        <v>11</v>
      </c>
      <c r="L5" s="47" t="s">
        <v>12</v>
      </c>
      <c r="M5" s="47" t="s">
        <v>9</v>
      </c>
      <c r="N5" s="47" t="s">
        <v>11</v>
      </c>
      <c r="O5" s="47" t="s">
        <v>12</v>
      </c>
      <c r="P5" s="47" t="s">
        <v>9</v>
      </c>
      <c r="Q5" s="161" t="s">
        <v>11</v>
      </c>
      <c r="R5" s="47" t="s">
        <v>12</v>
      </c>
      <c r="S5" s="162" t="s">
        <v>8</v>
      </c>
    </row>
    <row r="6" spans="1:19" ht="15" customHeight="1">
      <c r="A6" s="52"/>
      <c r="B6" s="157"/>
      <c r="C6" s="49"/>
      <c r="D6" s="50"/>
      <c r="E6" s="83"/>
      <c r="F6" s="51"/>
      <c r="G6" s="50"/>
      <c r="H6" s="51"/>
      <c r="I6" s="51"/>
      <c r="J6" s="50"/>
      <c r="K6" s="83"/>
      <c r="L6" s="51"/>
      <c r="M6" s="50"/>
      <c r="N6" s="83"/>
      <c r="O6" s="51"/>
      <c r="P6" s="50"/>
      <c r="Q6" s="163"/>
      <c r="R6" s="164"/>
      <c r="S6" s="163"/>
    </row>
    <row r="7" spans="1:19" ht="15" customHeight="1">
      <c r="A7" s="189" t="s">
        <v>13</v>
      </c>
      <c r="B7" s="74">
        <f>Budget!I32</f>
        <v>622538</v>
      </c>
      <c r="C7" s="72">
        <f>Budget!J32</f>
        <v>343260</v>
      </c>
      <c r="D7" s="73">
        <f>SUM(B7:C7)</f>
        <v>965798</v>
      </c>
      <c r="E7" s="74">
        <f>Budget!O32</f>
        <v>884068.02</v>
      </c>
      <c r="F7" s="72">
        <f>Budget!P32</f>
        <v>1162192.5</v>
      </c>
      <c r="G7" s="73">
        <f>SUM(E7:F7)</f>
        <v>2046260.52</v>
      </c>
      <c r="H7" s="74">
        <f>Budget!U32</f>
        <v>703799.10989999992</v>
      </c>
      <c r="I7" s="72">
        <f>Budget!V32</f>
        <v>834592.5</v>
      </c>
      <c r="J7" s="73">
        <f>SUM(H7:I7)</f>
        <v>1538391.6099</v>
      </c>
      <c r="K7" s="74">
        <f>Budget!AA32</f>
        <v>667412.68177799985</v>
      </c>
      <c r="L7" s="72">
        <f>Budget!AB32</f>
        <v>506992.5</v>
      </c>
      <c r="M7" s="73">
        <f>SUM(K7:L7)</f>
        <v>1174405.1817779997</v>
      </c>
      <c r="N7" s="74">
        <f>Budget!AG32</f>
        <v>547922.72490742663</v>
      </c>
      <c r="O7" s="72">
        <f>Budget!AH32</f>
        <v>166387.5</v>
      </c>
      <c r="P7" s="73">
        <f>SUM(N7:O7)</f>
        <v>714310.22490742663</v>
      </c>
      <c r="Q7" s="75">
        <f>Budget!AJ32</f>
        <v>3425740.5365854264</v>
      </c>
      <c r="R7" s="75">
        <f>Budget!AK32</f>
        <v>3013425</v>
      </c>
      <c r="S7" s="75">
        <f>Budget!AL32</f>
        <v>6439165.536585426</v>
      </c>
    </row>
    <row r="8" spans="1:19" ht="15" customHeight="1">
      <c r="A8" s="191"/>
      <c r="B8" s="11"/>
      <c r="C8" s="12"/>
      <c r="D8" s="13"/>
      <c r="E8" s="11"/>
      <c r="F8" s="12"/>
      <c r="G8" s="13"/>
      <c r="H8" s="11"/>
      <c r="I8" s="12"/>
      <c r="J8" s="13"/>
      <c r="K8" s="11"/>
      <c r="L8" s="12"/>
      <c r="M8" s="13"/>
      <c r="N8" s="11"/>
      <c r="O8" s="12"/>
      <c r="P8" s="13"/>
      <c r="Q8" s="14"/>
      <c r="R8" s="14"/>
      <c r="S8" s="14"/>
    </row>
    <row r="9" spans="1:19" ht="15" customHeight="1">
      <c r="A9" s="190" t="s">
        <v>14</v>
      </c>
      <c r="B9" s="74">
        <f>Budget!I43</f>
        <v>252030.92359999998</v>
      </c>
      <c r="C9" s="72">
        <f>Budget!J43</f>
        <v>0</v>
      </c>
      <c r="D9" s="73">
        <f>Budget!K43</f>
        <v>252030.92359999998</v>
      </c>
      <c r="E9" s="74">
        <f>Budget!O43</f>
        <v>360022.85812999995</v>
      </c>
      <c r="F9" s="72">
        <f>Budget!P43</f>
        <v>0</v>
      </c>
      <c r="G9" s="73">
        <f>Budget!Q43</f>
        <v>360022.85812999995</v>
      </c>
      <c r="H9" s="74">
        <f>Budget!U43</f>
        <v>214720.85824384997</v>
      </c>
      <c r="I9" s="72">
        <f>Budget!V43</f>
        <v>0</v>
      </c>
      <c r="J9" s="73">
        <f>Budget!W43</f>
        <v>214720.85824384997</v>
      </c>
      <c r="K9" s="74">
        <f>Budget!AA43</f>
        <v>182513.75676692982</v>
      </c>
      <c r="L9" s="72">
        <f>Budget!AB43</f>
        <v>0</v>
      </c>
      <c r="M9" s="73">
        <f>Budget!AC43</f>
        <v>182513.75676692982</v>
      </c>
      <c r="N9" s="74">
        <f>Budget!AG43</f>
        <v>146046.9180339314</v>
      </c>
      <c r="O9" s="72">
        <f>Budget!AH43</f>
        <v>0</v>
      </c>
      <c r="P9" s="73">
        <f>Budget!AI43</f>
        <v>146046.9180339314</v>
      </c>
      <c r="Q9" s="75">
        <f>Budget!AJ43</f>
        <v>1155335.3147747112</v>
      </c>
      <c r="R9" s="75">
        <f>Budget!AK43</f>
        <v>0</v>
      </c>
      <c r="S9" s="75">
        <f>Budget!AL43</f>
        <v>1155335.3147747112</v>
      </c>
    </row>
    <row r="10" spans="1:19" ht="15" customHeight="1">
      <c r="A10" s="191"/>
      <c r="B10" s="11"/>
      <c r="C10" s="12"/>
      <c r="D10" s="13"/>
      <c r="E10" s="11"/>
      <c r="F10" s="12"/>
      <c r="G10" s="13"/>
      <c r="H10" s="11"/>
      <c r="I10" s="12"/>
      <c r="J10" s="13"/>
      <c r="K10" s="11"/>
      <c r="L10" s="12"/>
      <c r="M10" s="13"/>
      <c r="N10" s="11"/>
      <c r="O10" s="12"/>
      <c r="P10" s="13"/>
      <c r="Q10" s="14"/>
      <c r="R10" s="14"/>
      <c r="S10" s="14"/>
    </row>
    <row r="11" spans="1:19" ht="15" customHeight="1">
      <c r="A11" s="190" t="s">
        <v>15</v>
      </c>
      <c r="B11" s="74">
        <f>Budget!I97</f>
        <v>63646</v>
      </c>
      <c r="C11" s="72">
        <f>Budget!J97</f>
        <v>0</v>
      </c>
      <c r="D11" s="73">
        <f>Budget!K97</f>
        <v>63646</v>
      </c>
      <c r="E11" s="74">
        <f>Budget!O97</f>
        <v>275195.71999999997</v>
      </c>
      <c r="F11" s="72">
        <f>Budget!P97</f>
        <v>0</v>
      </c>
      <c r="G11" s="73">
        <f>Budget!Q97</f>
        <v>275195.71999999997</v>
      </c>
      <c r="H11" s="74">
        <f>Budget!U97</f>
        <v>232008.91440000001</v>
      </c>
      <c r="I11" s="72">
        <f>Budget!V97</f>
        <v>0</v>
      </c>
      <c r="J11" s="73">
        <f>Budget!W97</f>
        <v>232008.91440000001</v>
      </c>
      <c r="K11" s="74">
        <f>Budget!AA97</f>
        <v>236649.092688</v>
      </c>
      <c r="L11" s="72">
        <f>Budget!AB97</f>
        <v>0</v>
      </c>
      <c r="M11" s="73">
        <f>Budget!AC97</f>
        <v>236649.092688</v>
      </c>
      <c r="N11" s="74">
        <f>Budget!AG97</f>
        <v>93020.951309759999</v>
      </c>
      <c r="O11" s="72">
        <f>Budget!AH97</f>
        <v>0</v>
      </c>
      <c r="P11" s="73">
        <f>Budget!AI97</f>
        <v>93020.951309759999</v>
      </c>
      <c r="Q11" s="75">
        <f>Budget!AJ97</f>
        <v>900520.67839776014</v>
      </c>
      <c r="R11" s="75">
        <f>Budget!AK97</f>
        <v>0</v>
      </c>
      <c r="S11" s="75">
        <f>Budget!AL97</f>
        <v>900520.67839776014</v>
      </c>
    </row>
    <row r="12" spans="1:19" ht="15" customHeight="1">
      <c r="A12" s="53"/>
      <c r="B12" s="11"/>
      <c r="C12" s="12"/>
      <c r="D12" s="13"/>
      <c r="E12" s="11"/>
      <c r="F12" s="12"/>
      <c r="G12" s="13"/>
      <c r="H12" s="11"/>
      <c r="I12" s="12"/>
      <c r="J12" s="13"/>
      <c r="K12" s="11"/>
      <c r="L12" s="12"/>
      <c r="M12" s="13"/>
      <c r="N12" s="11"/>
      <c r="O12" s="12"/>
      <c r="P12" s="13"/>
      <c r="Q12" s="14"/>
      <c r="R12" s="14"/>
      <c r="S12" s="14"/>
    </row>
    <row r="13" spans="1:19" ht="15" customHeight="1">
      <c r="A13" s="190" t="s">
        <v>16</v>
      </c>
      <c r="B13" s="74">
        <f>Budget!I104</f>
        <v>165700</v>
      </c>
      <c r="C13" s="72">
        <f>Budget!J104</f>
        <v>0</v>
      </c>
      <c r="D13" s="73">
        <f>Budget!K104</f>
        <v>165700</v>
      </c>
      <c r="E13" s="74">
        <f>Budget!O104</f>
        <v>0</v>
      </c>
      <c r="F13" s="72">
        <f>Budget!P104</f>
        <v>0</v>
      </c>
      <c r="G13" s="73">
        <f>Budget!Q104</f>
        <v>0</v>
      </c>
      <c r="H13" s="74">
        <f>Budget!U104</f>
        <v>0</v>
      </c>
      <c r="I13" s="72">
        <f>Budget!V104</f>
        <v>0</v>
      </c>
      <c r="J13" s="73">
        <f>Budget!W104</f>
        <v>0</v>
      </c>
      <c r="K13" s="74">
        <f>Budget!AA104</f>
        <v>0</v>
      </c>
      <c r="L13" s="72">
        <f>Budget!AB104</f>
        <v>0</v>
      </c>
      <c r="M13" s="73">
        <f>Budget!AC104</f>
        <v>0</v>
      </c>
      <c r="N13" s="74">
        <f>Budget!AG104</f>
        <v>0</v>
      </c>
      <c r="O13" s="72">
        <f>Budget!AH104</f>
        <v>0</v>
      </c>
      <c r="P13" s="73">
        <f>Budget!AI104</f>
        <v>0</v>
      </c>
      <c r="Q13" s="75">
        <f>Budget!AJ104</f>
        <v>165700</v>
      </c>
      <c r="R13" s="75">
        <f>Budget!AK104</f>
        <v>0</v>
      </c>
      <c r="S13" s="75">
        <f>Budget!AL104</f>
        <v>165700</v>
      </c>
    </row>
    <row r="14" spans="1:19" ht="15" customHeight="1">
      <c r="A14" s="192"/>
      <c r="B14" s="11"/>
      <c r="C14" s="12"/>
      <c r="D14" s="13"/>
      <c r="E14" s="11"/>
      <c r="F14" s="12"/>
      <c r="G14" s="13"/>
      <c r="H14" s="11"/>
      <c r="I14" s="12"/>
      <c r="J14" s="13"/>
      <c r="K14" s="11"/>
      <c r="L14" s="12"/>
      <c r="M14" s="13"/>
      <c r="N14" s="11"/>
      <c r="O14" s="12"/>
      <c r="P14" s="13"/>
      <c r="Q14" s="14"/>
      <c r="R14" s="14"/>
      <c r="S14" s="14"/>
    </row>
    <row r="15" spans="1:19" ht="15" customHeight="1">
      <c r="A15" s="190" t="s">
        <v>17</v>
      </c>
      <c r="B15" s="74">
        <f>Budget!I131</f>
        <v>108796.19</v>
      </c>
      <c r="C15" s="72">
        <f>Budget!J131</f>
        <v>0</v>
      </c>
      <c r="D15" s="73">
        <f>Budget!K131</f>
        <v>108796.19</v>
      </c>
      <c r="E15" s="74">
        <f>Budget!O131</f>
        <v>131200</v>
      </c>
      <c r="F15" s="72">
        <f>Budget!P131</f>
        <v>0</v>
      </c>
      <c r="G15" s="73">
        <f>Budget!Q131</f>
        <v>131200</v>
      </c>
      <c r="H15" s="74">
        <f>Budget!U131</f>
        <v>71200</v>
      </c>
      <c r="I15" s="72">
        <f>Budget!V131</f>
        <v>0</v>
      </c>
      <c r="J15" s="73">
        <f>Budget!W131</f>
        <v>71200</v>
      </c>
      <c r="K15" s="74">
        <f>Budget!AA131</f>
        <v>11200</v>
      </c>
      <c r="L15" s="72">
        <f>Budget!AB131</f>
        <v>0</v>
      </c>
      <c r="M15" s="73">
        <f>Budget!AC131</f>
        <v>11200</v>
      </c>
      <c r="N15" s="74">
        <f>Budget!AG131</f>
        <v>8025</v>
      </c>
      <c r="O15" s="72">
        <f>Budget!AH131</f>
        <v>0</v>
      </c>
      <c r="P15" s="73">
        <f>Budget!AI131</f>
        <v>8025</v>
      </c>
      <c r="Q15" s="75">
        <f>Budget!AJ131</f>
        <v>330421.19</v>
      </c>
      <c r="R15" s="75">
        <f>Budget!AK131</f>
        <v>0</v>
      </c>
      <c r="S15" s="75">
        <f>Budget!AL131</f>
        <v>330421.19</v>
      </c>
    </row>
    <row r="16" spans="1:19" ht="15" customHeight="1">
      <c r="A16" s="192"/>
      <c r="B16" s="11"/>
      <c r="C16" s="12"/>
      <c r="D16" s="13"/>
      <c r="E16" s="11"/>
      <c r="F16" s="12"/>
      <c r="G16" s="13"/>
      <c r="H16" s="11"/>
      <c r="I16" s="12"/>
      <c r="J16" s="13"/>
      <c r="K16" s="11"/>
      <c r="L16" s="12"/>
      <c r="M16" s="13"/>
      <c r="N16" s="11"/>
      <c r="O16" s="12"/>
      <c r="P16" s="13"/>
      <c r="Q16" s="14"/>
      <c r="R16" s="14"/>
      <c r="S16" s="14"/>
    </row>
    <row r="17" spans="1:128" ht="15" customHeight="1">
      <c r="A17" s="190" t="s">
        <v>18</v>
      </c>
      <c r="B17" s="74">
        <f>Budget!I166</f>
        <v>2100186</v>
      </c>
      <c r="C17" s="72">
        <f>Budget!J166</f>
        <v>0</v>
      </c>
      <c r="D17" s="73">
        <f>Budget!K166</f>
        <v>2100186</v>
      </c>
      <c r="E17" s="74">
        <f>Budget!O166</f>
        <v>1963800</v>
      </c>
      <c r="F17" s="72">
        <f>Budget!P166</f>
        <v>0</v>
      </c>
      <c r="G17" s="73">
        <f>Budget!Q166</f>
        <v>1963800</v>
      </c>
      <c r="H17" s="74">
        <f>Budget!U166</f>
        <v>1519200</v>
      </c>
      <c r="I17" s="72">
        <f>Budget!V166</f>
        <v>0</v>
      </c>
      <c r="J17" s="73">
        <f>Budget!W166</f>
        <v>1519200</v>
      </c>
      <c r="K17" s="74">
        <f>Budget!AA166</f>
        <v>944200</v>
      </c>
      <c r="L17" s="72">
        <f>Budget!AB166</f>
        <v>0</v>
      </c>
      <c r="M17" s="73">
        <f>Budget!AC166</f>
        <v>944200</v>
      </c>
      <c r="N17" s="74">
        <f>Budget!AG166</f>
        <v>848000</v>
      </c>
      <c r="O17" s="72">
        <f>Budget!AH166</f>
        <v>0</v>
      </c>
      <c r="P17" s="73">
        <f>Budget!AI166</f>
        <v>848000</v>
      </c>
      <c r="Q17" s="75">
        <f>Budget!AJ166</f>
        <v>7375386</v>
      </c>
      <c r="R17" s="75">
        <f>Budget!AK166</f>
        <v>0</v>
      </c>
      <c r="S17" s="75">
        <f>Budget!AL166</f>
        <v>7375386</v>
      </c>
    </row>
    <row r="18" spans="1:128" ht="15" customHeight="1">
      <c r="A18" s="191"/>
      <c r="B18" s="11"/>
      <c r="C18" s="12"/>
      <c r="D18" s="13"/>
      <c r="E18" s="11"/>
      <c r="F18" s="12"/>
      <c r="G18" s="13"/>
      <c r="H18" s="11"/>
      <c r="I18" s="12"/>
      <c r="J18" s="13"/>
      <c r="K18" s="11"/>
      <c r="L18" s="12"/>
      <c r="M18" s="13"/>
      <c r="N18" s="11"/>
      <c r="O18" s="12"/>
      <c r="P18" s="13"/>
      <c r="Q18" s="14"/>
      <c r="R18" s="14"/>
      <c r="S18" s="14"/>
    </row>
    <row r="19" spans="1:128" ht="15" customHeight="1">
      <c r="A19" s="76" t="s">
        <v>19</v>
      </c>
      <c r="B19" s="74">
        <f>Budget!I200</f>
        <v>78710</v>
      </c>
      <c r="C19" s="72">
        <f>Budget!J200</f>
        <v>0</v>
      </c>
      <c r="D19" s="73">
        <f>Budget!K200</f>
        <v>78710</v>
      </c>
      <c r="E19" s="74">
        <f>Budget!O200</f>
        <v>146308.79999999999</v>
      </c>
      <c r="F19" s="72">
        <f>Budget!P200</f>
        <v>0</v>
      </c>
      <c r="G19" s="73">
        <f>Budget!Q200</f>
        <v>146308.79999999999</v>
      </c>
      <c r="H19" s="74">
        <f>Budget!U200</f>
        <v>149234.97600000002</v>
      </c>
      <c r="I19" s="72">
        <f>Budget!V200</f>
        <v>0</v>
      </c>
      <c r="J19" s="73">
        <f>Budget!W200</f>
        <v>149234.97600000002</v>
      </c>
      <c r="K19" s="74">
        <f>Budget!AA200</f>
        <v>152219.67552000002</v>
      </c>
      <c r="L19" s="72">
        <f>Budget!AB200</f>
        <v>0</v>
      </c>
      <c r="M19" s="73">
        <f>Budget!AC200</f>
        <v>152219.67552000002</v>
      </c>
      <c r="N19" s="74">
        <f>Budget!AG200</f>
        <v>107523.39861359999</v>
      </c>
      <c r="O19" s="72">
        <f>Budget!AH200</f>
        <v>0</v>
      </c>
      <c r="P19" s="73">
        <f>Budget!AI200</f>
        <v>107523.39861359999</v>
      </c>
      <c r="Q19" s="75">
        <f>Budget!AJ200</f>
        <v>633996.85013359995</v>
      </c>
      <c r="R19" s="75">
        <f>Budget!AK200</f>
        <v>0</v>
      </c>
      <c r="S19" s="75">
        <f>Budget!AL200</f>
        <v>633996.85013359995</v>
      </c>
    </row>
    <row r="20" spans="1:128" ht="15" customHeight="1">
      <c r="A20" s="54"/>
      <c r="B20" s="18"/>
      <c r="C20" s="19"/>
      <c r="D20" s="20"/>
      <c r="E20" s="18"/>
      <c r="F20" s="19"/>
      <c r="G20" s="20"/>
      <c r="H20" s="18"/>
      <c r="I20" s="19"/>
      <c r="J20" s="20"/>
      <c r="K20" s="18"/>
      <c r="L20" s="19"/>
      <c r="M20" s="20"/>
      <c r="N20" s="11"/>
      <c r="O20" s="12"/>
      <c r="P20" s="13"/>
      <c r="Q20" s="14"/>
      <c r="R20" s="14"/>
      <c r="S20" s="14"/>
    </row>
    <row r="21" spans="1:128" s="15" customFormat="1" ht="15" customHeight="1">
      <c r="A21" s="113" t="s">
        <v>20</v>
      </c>
      <c r="B21" s="116">
        <f>Budget!I202</f>
        <v>3391607.1135999998</v>
      </c>
      <c r="C21" s="116">
        <f>Budget!J202</f>
        <v>343260</v>
      </c>
      <c r="D21" s="116">
        <f>Budget!K202</f>
        <v>3734867.1135999998</v>
      </c>
      <c r="E21" s="116">
        <f>Budget!O202</f>
        <v>3760595.3981299996</v>
      </c>
      <c r="F21" s="116">
        <f>Budget!P202</f>
        <v>1162192.5</v>
      </c>
      <c r="G21" s="116">
        <f>Budget!Q202</f>
        <v>4922787.8981299996</v>
      </c>
      <c r="H21" s="116">
        <f>Budget!U202</f>
        <v>2890163.85854385</v>
      </c>
      <c r="I21" s="116">
        <f>Budget!V202</f>
        <v>834592.5</v>
      </c>
      <c r="J21" s="116">
        <f>Budget!W202</f>
        <v>3724756.35854385</v>
      </c>
      <c r="K21" s="116">
        <f>Budget!AA202</f>
        <v>2194195.2067529298</v>
      </c>
      <c r="L21" s="116">
        <f>Budget!AB202</f>
        <v>506992.5</v>
      </c>
      <c r="M21" s="116">
        <f>Budget!AC202</f>
        <v>2701187.7067529298</v>
      </c>
      <c r="N21" s="116">
        <f>Budget!AG202</f>
        <v>1750538.992864718</v>
      </c>
      <c r="O21" s="116">
        <f>Budget!AH202</f>
        <v>166387.5</v>
      </c>
      <c r="P21" s="116">
        <f>Budget!AI202</f>
        <v>1916926.492864718</v>
      </c>
      <c r="Q21" s="116">
        <f>Budget!AJ202</f>
        <v>13987100.569891497</v>
      </c>
      <c r="R21" s="116">
        <f>Budget!AK202</f>
        <v>3013425</v>
      </c>
      <c r="S21" s="116">
        <f>Budget!AL202</f>
        <v>17000525.569891497</v>
      </c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</row>
    <row r="22" spans="1:128" s="15" customFormat="1" ht="15" customHeight="1">
      <c r="A22" s="113" t="s">
        <v>21</v>
      </c>
      <c r="B22" s="117">
        <f>Budget!I203</f>
        <v>973052.08089183993</v>
      </c>
      <c r="C22" s="117">
        <f>Budget!J203</f>
        <v>0</v>
      </c>
      <c r="D22" s="117">
        <f>Budget!K203</f>
        <v>973052.08089183993</v>
      </c>
      <c r="E22" s="117">
        <f>Budget!O203</f>
        <v>1078914.8197234969</v>
      </c>
      <c r="F22" s="117">
        <f>Budget!P203</f>
        <v>0</v>
      </c>
      <c r="G22" s="117">
        <f>Budget!Q203</f>
        <v>1078914.8197234969</v>
      </c>
      <c r="H22" s="117">
        <f>Budget!U203</f>
        <v>829188.01101623056</v>
      </c>
      <c r="I22" s="117">
        <f>Budget!V203</f>
        <v>0</v>
      </c>
      <c r="J22" s="117">
        <f>Budget!W203</f>
        <v>829188.01101623056</v>
      </c>
      <c r="K22" s="117">
        <f>Budget!AA203</f>
        <v>629514.60481741559</v>
      </c>
      <c r="L22" s="117">
        <f>Budget!AB203</f>
        <v>0</v>
      </c>
      <c r="M22" s="117">
        <f>Budget!AC203</f>
        <v>629514.60481741559</v>
      </c>
      <c r="N22" s="117">
        <f>Budget!AG203</f>
        <v>502229.63705288759</v>
      </c>
      <c r="O22" s="117">
        <f>Budget!AH203</f>
        <v>0</v>
      </c>
      <c r="P22" s="117">
        <f>Budget!AI203</f>
        <v>502229.63705288759</v>
      </c>
      <c r="Q22" s="117">
        <f>Budget!AJ203</f>
        <v>4012899.153501871</v>
      </c>
      <c r="R22" s="117">
        <f>Budget!AK203</f>
        <v>0</v>
      </c>
      <c r="S22" s="117">
        <f>Budget!AL203</f>
        <v>4012899.153501871</v>
      </c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/>
      <c r="DB22" s="25"/>
      <c r="DC22" s="25"/>
      <c r="DD22" s="25"/>
      <c r="DE22" s="25"/>
      <c r="DF22" s="25"/>
      <c r="DG22" s="25"/>
      <c r="DH22" s="25"/>
      <c r="DI22" s="25"/>
      <c r="DJ22" s="25"/>
      <c r="DK22" s="25"/>
      <c r="DL22" s="25"/>
      <c r="DM22" s="25"/>
      <c r="DN22" s="25"/>
      <c r="DO22" s="25"/>
      <c r="DP22" s="25"/>
      <c r="DQ22" s="25"/>
      <c r="DR22" s="25"/>
      <c r="DS22" s="25"/>
      <c r="DT22" s="25"/>
      <c r="DU22" s="25"/>
      <c r="DV22" s="25"/>
      <c r="DW22" s="25"/>
      <c r="DX22" s="25"/>
    </row>
    <row r="23" spans="1:128" s="16" customFormat="1" ht="15" customHeight="1">
      <c r="A23" s="113" t="s">
        <v>8</v>
      </c>
      <c r="B23" s="117">
        <f>Budget!I204</f>
        <v>4364659.19449184</v>
      </c>
      <c r="C23" s="117">
        <f>Budget!J204</f>
        <v>343260</v>
      </c>
      <c r="D23" s="117">
        <f>Budget!K204</f>
        <v>4707919.19449184</v>
      </c>
      <c r="E23" s="117">
        <f>Budget!O204</f>
        <v>4839510.2178534968</v>
      </c>
      <c r="F23" s="117">
        <f>Budget!P204</f>
        <v>1162192.5</v>
      </c>
      <c r="G23" s="117">
        <f>Budget!Q204</f>
        <v>6001702.7178534968</v>
      </c>
      <c r="H23" s="117">
        <f>Budget!U204</f>
        <v>3719351.8695600806</v>
      </c>
      <c r="I23" s="117">
        <f>Budget!V204</f>
        <v>834592.5</v>
      </c>
      <c r="J23" s="117">
        <f>Budget!W204</f>
        <v>4553944.3695600806</v>
      </c>
      <c r="K23" s="117">
        <f>Budget!AA204</f>
        <v>2823709.8115703454</v>
      </c>
      <c r="L23" s="117">
        <f>Budget!AB204</f>
        <v>506992.5</v>
      </c>
      <c r="M23" s="117">
        <f>Budget!AC204</f>
        <v>3330702.3115703454</v>
      </c>
      <c r="N23" s="117">
        <f>Budget!AG204</f>
        <v>2252768.6299176058</v>
      </c>
      <c r="O23" s="117">
        <f>Budget!AH204</f>
        <v>166387.5</v>
      </c>
      <c r="P23" s="117">
        <f>Budget!AI204</f>
        <v>2419156.1299176058</v>
      </c>
      <c r="Q23" s="117">
        <f>Budget!AJ204</f>
        <v>17999999.723393369</v>
      </c>
      <c r="R23" s="117">
        <f>Budget!AK204</f>
        <v>3013425</v>
      </c>
      <c r="S23" s="117">
        <f>Budget!AL204</f>
        <v>21013424.723393369</v>
      </c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</row>
    <row r="24" spans="1:128" s="46" customFormat="1" ht="15" customHeight="1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</row>
    <row r="25" spans="1:128" ht="15" customHeight="1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</row>
    <row r="26" spans="1:128" ht="15" customHeight="1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93"/>
      <c r="R26" s="12"/>
    </row>
    <row r="27" spans="1:128" ht="15" customHeight="1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8"/>
      <c r="P27" s="12"/>
      <c r="Q27" s="12"/>
      <c r="R27" s="12"/>
      <c r="S27" s="12"/>
    </row>
    <row r="28" spans="1:128" ht="15" customHeight="1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8"/>
      <c r="O28" s="12"/>
      <c r="P28" s="12"/>
      <c r="Q28" s="12"/>
      <c r="R28" s="12"/>
      <c r="S28" s="12"/>
    </row>
    <row r="29" spans="1:128" ht="15" customHeight="1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28" ht="15" customHeight="1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</row>
    <row r="31" spans="1:128" ht="15" customHeight="1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28" ht="15" customHeight="1"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</row>
    <row r="33" spans="2:19" ht="15" customHeight="1"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2:19" ht="15" customHeight="1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</row>
    <row r="35" spans="2:19" ht="15" customHeight="1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6" spans="2:19" ht="15" customHeight="1"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</row>
    <row r="37" spans="2:19" ht="15" customHeight="1"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</row>
    <row r="38" spans="2:19" ht="15" customHeight="1"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</row>
    <row r="39" spans="2:19" ht="15" customHeight="1"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</row>
    <row r="40" spans="2:19" ht="15" customHeight="1"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</row>
    <row r="41" spans="2:19" ht="15" customHeight="1"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</row>
    <row r="49" s="5" customFormat="1" ht="15" customHeight="1"/>
    <row r="50" s="5" customFormat="1" ht="15" customHeight="1"/>
    <row r="51" s="5" customFormat="1" ht="15" customHeight="1"/>
    <row r="52" s="5" customFormat="1" ht="15" customHeight="1"/>
    <row r="53" s="5" customFormat="1" ht="15" customHeight="1"/>
    <row r="54" s="5" customFormat="1" ht="15" customHeight="1"/>
    <row r="55" s="5" customFormat="1" ht="15" customHeight="1"/>
    <row r="56" s="5" customFormat="1" ht="15" customHeight="1"/>
    <row r="57" s="5" customFormat="1" ht="15" customHeight="1"/>
    <row r="58" s="5" customFormat="1" ht="15" customHeight="1"/>
    <row r="59" s="5" customFormat="1" ht="15" customHeight="1"/>
    <row r="60" s="5" customFormat="1" ht="15" customHeight="1"/>
    <row r="61" s="5" customFormat="1" ht="15" customHeight="1"/>
    <row r="62" s="5" customFormat="1" ht="15" customHeight="1"/>
    <row r="63" s="5" customFormat="1" ht="15" customHeight="1"/>
    <row r="64" s="5" customFormat="1" ht="15" customHeight="1"/>
    <row r="65" s="5" customFormat="1" ht="15" customHeight="1"/>
    <row r="66" s="5" customFormat="1" ht="15" customHeight="1"/>
    <row r="67" s="5" customFormat="1" ht="15" customHeight="1"/>
    <row r="68" s="5" customFormat="1" ht="15" customHeight="1"/>
    <row r="69" s="5" customFormat="1" ht="15" customHeight="1"/>
    <row r="70" s="5" customFormat="1" ht="15" customHeight="1"/>
    <row r="71" s="5" customFormat="1" ht="15" customHeight="1"/>
    <row r="72" s="5" customFormat="1" ht="15" customHeight="1"/>
    <row r="73" s="5" customFormat="1" ht="15" customHeight="1"/>
    <row r="74" s="5" customFormat="1" ht="15" customHeight="1"/>
    <row r="75" s="5" customFormat="1" ht="15" customHeight="1"/>
    <row r="76" s="5" customFormat="1" ht="15" customHeight="1"/>
    <row r="77" s="5" customFormat="1" ht="15" customHeight="1"/>
    <row r="78" s="5" customFormat="1" ht="15" customHeight="1"/>
    <row r="79" s="5" customFormat="1" ht="15" customHeight="1"/>
    <row r="80" s="5" customFormat="1" ht="15" customHeight="1"/>
    <row r="81" s="5" customFormat="1" ht="15" customHeight="1"/>
    <row r="82" s="5" customFormat="1" ht="15" customHeight="1"/>
    <row r="83" s="5" customFormat="1" ht="15" customHeight="1"/>
    <row r="84" s="5" customFormat="1" ht="15" customHeight="1"/>
    <row r="85" s="5" customFormat="1" ht="15" customHeight="1"/>
    <row r="86" s="5" customFormat="1" ht="15" customHeight="1"/>
    <row r="87" s="5" customFormat="1" ht="15" customHeight="1"/>
    <row r="88" s="5" customFormat="1" ht="15" customHeight="1"/>
    <row r="89" s="5" customFormat="1" ht="15" customHeight="1"/>
    <row r="90" s="5" customFormat="1" ht="15" customHeight="1"/>
    <row r="91" s="5" customFormat="1" ht="15" customHeight="1"/>
    <row r="92" s="5" customFormat="1" ht="15" customHeight="1"/>
    <row r="93" s="5" customFormat="1" ht="15" customHeight="1"/>
    <row r="94" s="5" customFormat="1" ht="15" customHeight="1"/>
    <row r="95" s="5" customFormat="1" ht="15" customHeight="1"/>
    <row r="96" s="5" customFormat="1" ht="15" customHeight="1"/>
    <row r="97" s="5" customFormat="1" ht="15" customHeight="1"/>
    <row r="98" s="5" customFormat="1" ht="15" customHeight="1"/>
    <row r="99" s="5" customFormat="1" ht="15" customHeight="1"/>
    <row r="100" s="5" customFormat="1" ht="15" customHeight="1"/>
    <row r="101" s="5" customFormat="1" ht="15" customHeight="1"/>
    <row r="102" s="5" customFormat="1" ht="15" customHeight="1"/>
    <row r="103" s="5" customFormat="1" ht="15" customHeight="1"/>
    <row r="104" s="5" customFormat="1" ht="15" customHeight="1"/>
    <row r="105" s="5" customFormat="1" ht="15" customHeight="1"/>
    <row r="106" s="5" customFormat="1" ht="15" customHeight="1"/>
    <row r="107" s="5" customFormat="1" ht="15" customHeight="1"/>
    <row r="108" s="5" customFormat="1" ht="15" customHeight="1"/>
    <row r="109" s="5" customFormat="1" ht="15" customHeight="1"/>
    <row r="110" s="5" customFormat="1" ht="15" customHeight="1"/>
    <row r="111" s="5" customFormat="1" ht="15" customHeight="1"/>
    <row r="112" s="5" customFormat="1" ht="15" customHeight="1"/>
    <row r="113" s="5" customFormat="1" ht="15" customHeight="1"/>
    <row r="114" s="5" customFormat="1" ht="15" customHeight="1"/>
    <row r="115" s="5" customFormat="1" ht="15" customHeight="1"/>
    <row r="116" s="5" customFormat="1" ht="15" customHeight="1"/>
    <row r="117" s="5" customFormat="1" ht="15" customHeight="1"/>
    <row r="118" s="5" customFormat="1" ht="15" customHeight="1"/>
    <row r="119" s="5" customFormat="1" ht="15" customHeight="1"/>
    <row r="120" s="5" customFormat="1" ht="15" customHeight="1"/>
    <row r="121" s="5" customFormat="1" ht="15" customHeight="1"/>
    <row r="122" s="5" customFormat="1" ht="15" customHeight="1"/>
    <row r="123" s="5" customFormat="1" ht="15" customHeight="1"/>
    <row r="124" s="5" customFormat="1" ht="15" customHeight="1"/>
    <row r="125" s="5" customFormat="1" ht="15" customHeight="1"/>
    <row r="126" s="5" customFormat="1" ht="15" customHeight="1"/>
    <row r="127" s="5" customFormat="1" ht="15" customHeight="1"/>
    <row r="128" s="5" customFormat="1" ht="15" customHeight="1"/>
    <row r="129" s="5" customFormat="1" ht="15" customHeight="1"/>
    <row r="130" s="5" customFormat="1" ht="15" customHeight="1"/>
    <row r="131" s="5" customFormat="1" ht="15" customHeight="1"/>
    <row r="132" s="5" customFormat="1" ht="15" customHeight="1"/>
    <row r="133" s="5" customFormat="1" ht="15" customHeight="1"/>
    <row r="134" s="5" customFormat="1" ht="15" customHeight="1"/>
    <row r="135" s="5" customFormat="1" ht="15" customHeight="1"/>
    <row r="136" s="5" customFormat="1" ht="15" customHeight="1"/>
    <row r="137" s="5" customFormat="1" ht="15" customHeight="1"/>
    <row r="138" s="5" customFormat="1" ht="15" customHeight="1"/>
    <row r="139" s="5" customFormat="1" ht="15" customHeight="1"/>
    <row r="140" s="5" customFormat="1" ht="15" customHeight="1"/>
    <row r="141" s="5" customFormat="1" ht="15" customHeight="1"/>
    <row r="142" s="5" customFormat="1" ht="15" customHeight="1"/>
    <row r="143" s="5" customFormat="1" ht="15" customHeight="1"/>
    <row r="144" s="5" customFormat="1" ht="15" customHeight="1"/>
    <row r="145" s="5" customFormat="1" ht="15" customHeight="1"/>
    <row r="146" s="5" customFormat="1" ht="15" customHeight="1"/>
    <row r="147" s="5" customFormat="1" ht="15" customHeight="1"/>
    <row r="148" s="5" customFormat="1" ht="15" customHeight="1"/>
    <row r="149" s="5" customFormat="1" ht="15" customHeight="1"/>
    <row r="150" s="5" customFormat="1" ht="15" customHeight="1"/>
    <row r="151" s="5" customFormat="1" ht="15" customHeight="1"/>
    <row r="152" s="5" customFormat="1" ht="15" customHeight="1"/>
    <row r="153" s="5" customFormat="1" ht="15" customHeight="1"/>
    <row r="154" s="5" customFormat="1" ht="15" customHeight="1"/>
    <row r="155" s="5" customFormat="1" ht="15" customHeight="1"/>
    <row r="156" s="5" customFormat="1" ht="15" customHeight="1"/>
    <row r="157" s="5" customFormat="1" ht="15" customHeight="1"/>
    <row r="158" s="5" customFormat="1" ht="15" customHeight="1"/>
    <row r="159" s="5" customFormat="1" ht="15" customHeight="1"/>
    <row r="160" s="5" customFormat="1" ht="15" customHeight="1"/>
    <row r="161" s="5" customFormat="1" ht="15" customHeight="1"/>
    <row r="162" s="5" customFormat="1" ht="15" customHeight="1"/>
    <row r="163" s="5" customFormat="1" ht="15" customHeight="1"/>
    <row r="164" s="5" customFormat="1" ht="15" customHeight="1"/>
    <row r="165" s="5" customFormat="1" ht="15" customHeight="1"/>
    <row r="166" s="5" customFormat="1" ht="15" customHeight="1"/>
    <row r="167" s="5" customFormat="1" ht="15" customHeight="1"/>
    <row r="168" s="5" customFormat="1" ht="15" customHeight="1"/>
    <row r="169" s="5" customFormat="1" ht="15" customHeight="1"/>
    <row r="170" s="5" customFormat="1" ht="15" customHeight="1"/>
    <row r="171" s="5" customFormat="1" ht="15" customHeight="1"/>
    <row r="172" s="5" customFormat="1" ht="15" customHeight="1"/>
    <row r="173" s="5" customFormat="1" ht="15" customHeight="1"/>
    <row r="174" s="5" customFormat="1" ht="15" customHeight="1"/>
    <row r="175" s="5" customFormat="1" ht="15" customHeight="1"/>
    <row r="176" s="5" customFormat="1" ht="15" customHeight="1"/>
    <row r="177" s="5" customFormat="1" ht="15" customHeight="1"/>
    <row r="178" s="5" customFormat="1" ht="15" customHeight="1"/>
    <row r="179" s="5" customFormat="1" ht="15" customHeight="1"/>
    <row r="180" s="5" customFormat="1" ht="15" customHeight="1"/>
    <row r="181" s="5" customFormat="1" ht="15" customHeight="1"/>
    <row r="182" s="5" customFormat="1" ht="15" customHeight="1"/>
    <row r="183" s="5" customFormat="1" ht="15" customHeight="1"/>
    <row r="184" s="5" customFormat="1" ht="15" customHeight="1"/>
    <row r="185" s="5" customFormat="1" ht="15" customHeight="1"/>
    <row r="186" s="5" customFormat="1" ht="15" customHeight="1"/>
    <row r="187" s="5" customFormat="1" ht="15" customHeight="1"/>
    <row r="188" s="5" customFormat="1" ht="15" customHeight="1"/>
    <row r="189" s="5" customFormat="1" ht="15" customHeight="1"/>
    <row r="190" s="5" customFormat="1" ht="15" customHeight="1"/>
    <row r="191" s="5" customFormat="1" ht="15" customHeight="1"/>
    <row r="192" s="5" customFormat="1" ht="15" customHeight="1"/>
    <row r="193" s="5" customFormat="1" ht="15" customHeight="1"/>
    <row r="194" s="5" customFormat="1" ht="15" customHeight="1"/>
    <row r="195" s="5" customFormat="1" ht="15" customHeight="1"/>
    <row r="196" s="5" customFormat="1" ht="15" customHeight="1"/>
    <row r="197" s="5" customFormat="1" ht="15" customHeight="1"/>
    <row r="198" s="5" customFormat="1" ht="15" customHeight="1"/>
    <row r="199" s="5" customFormat="1" ht="15" customHeight="1"/>
    <row r="200" s="5" customFormat="1" ht="15" customHeight="1"/>
    <row r="201" s="5" customFormat="1" ht="15" customHeight="1"/>
    <row r="202" s="5" customFormat="1" ht="15" customHeight="1"/>
    <row r="203" s="5" customFormat="1" ht="15" customHeight="1"/>
    <row r="204" s="5" customFormat="1" ht="15" customHeight="1"/>
    <row r="205" s="5" customFormat="1" ht="15" customHeight="1"/>
    <row r="206" s="5" customFormat="1" ht="15" customHeight="1"/>
    <row r="207" s="5" customFormat="1" ht="15" customHeight="1"/>
    <row r="208" s="5" customFormat="1" ht="15" customHeight="1"/>
    <row r="209" s="5" customFormat="1" ht="15" customHeight="1"/>
    <row r="210" s="5" customFormat="1" ht="15" customHeight="1"/>
    <row r="211" s="5" customFormat="1" ht="15" customHeight="1"/>
    <row r="212" s="5" customFormat="1" ht="15" customHeight="1"/>
    <row r="213" s="5" customFormat="1" ht="15" customHeight="1"/>
    <row r="214" s="5" customFormat="1" ht="15" customHeight="1"/>
    <row r="215" s="5" customFormat="1" ht="15" customHeight="1"/>
    <row r="216" s="5" customFormat="1" ht="15" customHeight="1"/>
    <row r="217" s="5" customFormat="1" ht="15" customHeight="1"/>
    <row r="218" s="5" customFormat="1" ht="15" customHeight="1"/>
    <row r="219" s="5" customFormat="1" ht="15" customHeight="1"/>
    <row r="220" s="5" customFormat="1" ht="15" customHeight="1"/>
    <row r="221" s="5" customFormat="1" ht="15" customHeight="1"/>
    <row r="222" s="5" customFormat="1" ht="15" customHeight="1"/>
    <row r="223" s="5" customFormat="1" ht="15" customHeight="1"/>
    <row r="224" s="5" customFormat="1" ht="15" customHeight="1"/>
    <row r="225" s="5" customFormat="1" ht="15" customHeight="1"/>
    <row r="226" s="5" customFormat="1" ht="15" customHeight="1"/>
    <row r="227" s="5" customFormat="1" ht="15" customHeight="1"/>
    <row r="228" s="5" customFormat="1" ht="15" customHeight="1"/>
    <row r="229" s="5" customFormat="1" ht="15" customHeight="1"/>
    <row r="230" s="5" customFormat="1" ht="15" customHeight="1"/>
    <row r="231" s="5" customFormat="1" ht="15" customHeight="1"/>
    <row r="232" s="5" customFormat="1" ht="15" customHeight="1"/>
    <row r="233" s="5" customFormat="1" ht="15" customHeight="1"/>
    <row r="234" s="5" customFormat="1" ht="15" customHeight="1"/>
    <row r="235" s="5" customFormat="1" ht="15" customHeight="1"/>
    <row r="236" s="5" customFormat="1" ht="15" customHeight="1"/>
    <row r="237" s="5" customFormat="1" ht="15" customHeight="1"/>
    <row r="238" s="5" customFormat="1" ht="15" customHeight="1"/>
    <row r="239" s="5" customFormat="1" ht="15" customHeight="1"/>
    <row r="240" s="5" customFormat="1" ht="15" customHeight="1"/>
    <row r="241" s="5" customFormat="1" ht="15" customHeight="1"/>
    <row r="242" s="5" customFormat="1" ht="15" customHeight="1"/>
    <row r="243" s="5" customFormat="1" ht="15" customHeight="1"/>
    <row r="244" s="5" customFormat="1" ht="15" customHeight="1"/>
    <row r="245" s="5" customFormat="1" ht="15" customHeight="1"/>
    <row r="246" s="5" customFormat="1" ht="15" customHeight="1"/>
    <row r="247" s="5" customFormat="1" ht="15" customHeight="1"/>
    <row r="248" s="5" customFormat="1" ht="15" customHeight="1"/>
    <row r="249" s="5" customFormat="1" ht="15" customHeight="1"/>
    <row r="250" s="5" customFormat="1" ht="15" customHeight="1"/>
    <row r="251" s="5" customFormat="1" ht="15" customHeight="1"/>
    <row r="252" s="5" customFormat="1" ht="15" customHeight="1"/>
    <row r="253" s="5" customFormat="1" ht="15" customHeight="1"/>
    <row r="254" s="5" customFormat="1" ht="15" customHeight="1"/>
    <row r="255" s="5" customFormat="1" ht="15" customHeight="1"/>
    <row r="256" s="5" customFormat="1" ht="15" customHeight="1"/>
    <row r="257" s="5" customFormat="1" ht="15" customHeight="1"/>
  </sheetData>
  <mergeCells count="7">
    <mergeCell ref="A1:N1"/>
    <mergeCell ref="A2:R2"/>
    <mergeCell ref="K4:M4"/>
    <mergeCell ref="N4:P4"/>
    <mergeCell ref="B4:D4"/>
    <mergeCell ref="E4:G4"/>
    <mergeCell ref="H4:J4"/>
  </mergeCells>
  <phoneticPr fontId="7" type="noConversion"/>
  <pageMargins left="0.25" right="0.25" top="0.75" bottom="0.75" header="0.3" footer="0.3"/>
  <pageSetup paperSize="5" scale="86" fitToHeight="2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P212"/>
  <sheetViews>
    <sheetView zoomScale="86" zoomScaleNormal="90" workbookViewId="0">
      <pane xSplit="4" ySplit="6" topLeftCell="E170" activePane="bottomRight" state="frozen"/>
      <selection pane="bottomRight" activeCell="D173" sqref="D173"/>
      <selection pane="bottomLeft" activeCell="A5" sqref="A5"/>
      <selection pane="topRight" activeCell="B1" sqref="B1"/>
    </sheetView>
  </sheetViews>
  <sheetFormatPr defaultColWidth="9.140625" defaultRowHeight="12.4" outlineLevelCol="1"/>
  <cols>
    <col min="1" max="1" width="15.85546875" style="297" bestFit="1" customWidth="1" outlineLevel="1"/>
    <col min="2" max="2" width="32.42578125" style="305" bestFit="1" customWidth="1" outlineLevel="1"/>
    <col min="3" max="3" width="7.5703125" style="303" bestFit="1" customWidth="1" outlineLevel="1"/>
    <col min="4" max="4" width="79.7109375" style="7" bestFit="1" customWidth="1"/>
    <col min="5" max="5" width="6.7109375" style="6" bestFit="1" customWidth="1" outlineLevel="1"/>
    <col min="6" max="6" width="8.5703125" style="6" bestFit="1" customWidth="1" outlineLevel="1"/>
    <col min="7" max="7" width="7.42578125" style="6" bestFit="1" customWidth="1" outlineLevel="1"/>
    <col min="8" max="8" width="11" style="6" bestFit="1" customWidth="1" outlineLevel="1"/>
    <col min="9" max="9" width="10.42578125" style="7" bestFit="1" customWidth="1" outlineLevel="1"/>
    <col min="10" max="10" width="8.85546875" style="7" bestFit="1" customWidth="1" outlineLevel="1"/>
    <col min="11" max="11" width="10.42578125" style="7" bestFit="1" customWidth="1" outlineLevel="1"/>
    <col min="12" max="12" width="5.28515625" style="6" bestFit="1" customWidth="1"/>
    <col min="13" max="13" width="8.5703125" style="6" bestFit="1" customWidth="1"/>
    <col min="14" max="14" width="7.42578125" style="6" bestFit="1" customWidth="1"/>
    <col min="15" max="16" width="10.42578125" style="7" bestFit="1" customWidth="1"/>
    <col min="17" max="17" width="12.85546875" style="7" customWidth="1"/>
    <col min="18" max="18" width="5.28515625" style="6" bestFit="1" customWidth="1"/>
    <col min="19" max="19" width="8.5703125" style="6" bestFit="1" customWidth="1"/>
    <col min="20" max="20" width="7.42578125" style="6" bestFit="1" customWidth="1"/>
    <col min="21" max="21" width="9.140625" style="7" bestFit="1" customWidth="1"/>
    <col min="22" max="22" width="8" style="7" bestFit="1" customWidth="1"/>
    <col min="23" max="23" width="12.140625" style="7" customWidth="1"/>
    <col min="24" max="24" width="5.28515625" style="6" bestFit="1" customWidth="1"/>
    <col min="25" max="25" width="8.5703125" style="6" bestFit="1" customWidth="1"/>
    <col min="26" max="26" width="7.42578125" style="6" bestFit="1" customWidth="1"/>
    <col min="27" max="27" width="11.5703125" style="7" customWidth="1"/>
    <col min="28" max="28" width="8" style="7" bestFit="1" customWidth="1"/>
    <col min="29" max="29" width="13.7109375" style="7" customWidth="1"/>
    <col min="30" max="30" width="5.28515625" style="6" bestFit="1" customWidth="1"/>
    <col min="31" max="31" width="8.5703125" style="6" bestFit="1" customWidth="1"/>
    <col min="32" max="32" width="7.42578125" style="6" bestFit="1" customWidth="1"/>
    <col min="33" max="33" width="11.85546875" style="7" customWidth="1"/>
    <col min="34" max="34" width="8" style="7" bestFit="1" customWidth="1"/>
    <col min="35" max="35" width="13.28515625" style="7" customWidth="1"/>
    <col min="36" max="36" width="14.5703125" style="7" customWidth="1"/>
    <col min="37" max="37" width="9.140625" style="7" bestFit="1" customWidth="1"/>
    <col min="38" max="38" width="12.28515625" style="7" customWidth="1"/>
    <col min="39" max="39" width="14.140625" style="7" bestFit="1" customWidth="1"/>
    <col min="40" max="40" width="12.140625" style="7" bestFit="1" customWidth="1"/>
    <col min="41" max="16384" width="9.140625" style="7"/>
  </cols>
  <sheetData>
    <row r="1" spans="1:42" ht="14.1">
      <c r="A1" s="299" t="s">
        <v>22</v>
      </c>
      <c r="B1" s="302" t="s">
        <v>23</v>
      </c>
      <c r="D1" s="368" t="s">
        <v>24</v>
      </c>
      <c r="E1" s="368"/>
      <c r="F1" s="368"/>
      <c r="G1" s="368"/>
      <c r="H1" s="368"/>
      <c r="I1" s="368"/>
      <c r="J1" s="368"/>
      <c r="K1" s="368"/>
      <c r="L1" s="368"/>
      <c r="M1" s="368"/>
      <c r="N1" s="368"/>
      <c r="O1" s="368"/>
      <c r="P1" s="368"/>
      <c r="Q1" s="368"/>
      <c r="R1" s="41"/>
      <c r="S1" s="41"/>
      <c r="T1" s="41"/>
      <c r="U1" s="41"/>
      <c r="V1" s="5"/>
      <c r="W1" s="5"/>
      <c r="X1" s="25"/>
      <c r="Y1" s="25"/>
      <c r="Z1" s="25"/>
      <c r="AA1" s="5"/>
      <c r="AB1" s="5"/>
      <c r="AC1" s="5"/>
      <c r="AD1" s="25"/>
      <c r="AE1" s="25"/>
      <c r="AF1" s="2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 spans="1:42" ht="14.1">
      <c r="A2" s="299" t="s">
        <v>25</v>
      </c>
      <c r="B2" s="302" t="s">
        <v>26</v>
      </c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5"/>
      <c r="W2" s="5"/>
      <c r="X2" s="25"/>
      <c r="Y2" s="25"/>
      <c r="Z2" s="25"/>
      <c r="AA2" s="5"/>
      <c r="AB2" s="5"/>
      <c r="AC2" s="5"/>
      <c r="AD2" s="25"/>
      <c r="AE2" s="25"/>
      <c r="AF2" s="25"/>
      <c r="AG2" s="5"/>
      <c r="AH2" s="5"/>
      <c r="AI2" s="5"/>
      <c r="AJ2" s="5"/>
      <c r="AK2" s="5"/>
      <c r="AL2" s="5"/>
      <c r="AM2" s="5"/>
      <c r="AN2" s="5"/>
      <c r="AO2" s="5"/>
      <c r="AP2" s="5"/>
    </row>
    <row r="3" spans="1:42" ht="14.1">
      <c r="A3" s="300" t="s">
        <v>27</v>
      </c>
      <c r="B3" s="302" t="s">
        <v>28</v>
      </c>
      <c r="D3" s="156"/>
      <c r="E3" s="296"/>
      <c r="F3" s="296"/>
      <c r="G3" s="296"/>
      <c r="H3" s="296"/>
      <c r="I3" s="296"/>
      <c r="J3" s="296"/>
      <c r="K3" s="296"/>
      <c r="L3" s="296"/>
      <c r="M3" s="296"/>
      <c r="N3" s="296"/>
      <c r="O3" s="296"/>
      <c r="P3" s="296"/>
      <c r="Q3" s="296"/>
      <c r="R3" s="296"/>
      <c r="S3" s="296"/>
      <c r="T3" s="296"/>
      <c r="U3" s="296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ht="12.6" thickBot="1">
      <c r="D4" s="12"/>
      <c r="E4" s="132"/>
      <c r="F4" s="5"/>
      <c r="G4" s="193"/>
      <c r="H4" s="194"/>
      <c r="I4" s="5"/>
      <c r="J4" s="19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2" s="8" customFormat="1" ht="12.6" thickBot="1">
      <c r="A5" s="310" t="s">
        <v>29</v>
      </c>
      <c r="B5" s="311" t="s">
        <v>30</v>
      </c>
      <c r="C5" s="312" t="s">
        <v>31</v>
      </c>
      <c r="D5" s="56" t="s">
        <v>2</v>
      </c>
      <c r="E5" s="149"/>
      <c r="F5" s="150"/>
      <c r="G5" s="150"/>
      <c r="H5" s="150"/>
      <c r="I5" s="151" t="s">
        <v>3</v>
      </c>
      <c r="J5" s="151"/>
      <c r="K5" s="152"/>
      <c r="L5" s="149"/>
      <c r="M5" s="150"/>
      <c r="N5" s="150"/>
      <c r="O5" s="151" t="s">
        <v>4</v>
      </c>
      <c r="P5" s="151"/>
      <c r="Q5" s="152"/>
      <c r="R5" s="365" t="s">
        <v>5</v>
      </c>
      <c r="S5" s="366"/>
      <c r="T5" s="366"/>
      <c r="U5" s="366"/>
      <c r="V5" s="366"/>
      <c r="W5" s="367"/>
      <c r="X5" s="149"/>
      <c r="Y5" s="150"/>
      <c r="Z5" s="150"/>
      <c r="AA5" s="151" t="s">
        <v>6</v>
      </c>
      <c r="AB5" s="151"/>
      <c r="AC5" s="152"/>
      <c r="AD5" s="149"/>
      <c r="AE5" s="150"/>
      <c r="AF5" s="150"/>
      <c r="AG5" s="151" t="s">
        <v>7</v>
      </c>
      <c r="AH5" s="151"/>
      <c r="AI5" s="152"/>
      <c r="AJ5" s="45" t="s">
        <v>8</v>
      </c>
      <c r="AK5" s="45" t="s">
        <v>9</v>
      </c>
      <c r="AL5" s="45" t="s">
        <v>10</v>
      </c>
      <c r="AM5" s="5"/>
      <c r="AN5" s="5"/>
      <c r="AO5" s="5"/>
      <c r="AP5" s="5"/>
    </row>
    <row r="6" spans="1:42" s="121" customFormat="1">
      <c r="A6" s="310" t="s">
        <v>32</v>
      </c>
      <c r="B6" s="313" t="s">
        <v>32</v>
      </c>
      <c r="C6" s="314" t="s">
        <v>32</v>
      </c>
      <c r="D6" s="122"/>
      <c r="E6" s="123" t="s">
        <v>33</v>
      </c>
      <c r="F6" s="86" t="s">
        <v>34</v>
      </c>
      <c r="G6" s="86" t="s">
        <v>35</v>
      </c>
      <c r="H6" s="86" t="s">
        <v>36</v>
      </c>
      <c r="I6" s="124" t="s">
        <v>11</v>
      </c>
      <c r="J6" s="86" t="s">
        <v>12</v>
      </c>
      <c r="K6" s="125" t="s">
        <v>9</v>
      </c>
      <c r="L6" s="123" t="s">
        <v>33</v>
      </c>
      <c r="M6" s="86" t="s">
        <v>34</v>
      </c>
      <c r="N6" s="86" t="s">
        <v>35</v>
      </c>
      <c r="O6" s="124" t="s">
        <v>11</v>
      </c>
      <c r="P6" s="86" t="s">
        <v>12</v>
      </c>
      <c r="Q6" s="125" t="s">
        <v>9</v>
      </c>
      <c r="R6" s="123" t="s">
        <v>33</v>
      </c>
      <c r="S6" s="86" t="s">
        <v>34</v>
      </c>
      <c r="T6" s="86" t="s">
        <v>35</v>
      </c>
      <c r="U6" s="124" t="s">
        <v>11</v>
      </c>
      <c r="V6" s="86" t="s">
        <v>12</v>
      </c>
      <c r="W6" s="125" t="s">
        <v>9</v>
      </c>
      <c r="X6" s="123" t="s">
        <v>33</v>
      </c>
      <c r="Y6" s="86" t="s">
        <v>34</v>
      </c>
      <c r="Z6" s="86" t="s">
        <v>35</v>
      </c>
      <c r="AA6" s="124" t="s">
        <v>11</v>
      </c>
      <c r="AB6" s="86" t="s">
        <v>12</v>
      </c>
      <c r="AC6" s="125" t="s">
        <v>9</v>
      </c>
      <c r="AD6" s="123" t="s">
        <v>33</v>
      </c>
      <c r="AE6" s="86" t="s">
        <v>34</v>
      </c>
      <c r="AF6" s="86" t="s">
        <v>35</v>
      </c>
      <c r="AG6" s="124" t="s">
        <v>11</v>
      </c>
      <c r="AH6" s="86" t="s">
        <v>12</v>
      </c>
      <c r="AI6" s="125" t="s">
        <v>9</v>
      </c>
      <c r="AJ6" s="126" t="s">
        <v>11</v>
      </c>
      <c r="AK6" s="122" t="s">
        <v>12</v>
      </c>
      <c r="AL6" s="126" t="s">
        <v>8</v>
      </c>
    </row>
    <row r="7" spans="1:42" s="8" customFormat="1">
      <c r="A7" s="315"/>
      <c r="B7" s="316"/>
      <c r="C7" s="317" t="s">
        <v>37</v>
      </c>
      <c r="D7" s="79"/>
      <c r="E7" s="80"/>
      <c r="F7" s="81"/>
      <c r="G7" s="82"/>
      <c r="H7" s="81"/>
      <c r="I7" s="83"/>
      <c r="J7" s="51"/>
      <c r="K7" s="84"/>
      <c r="L7" s="80"/>
      <c r="M7" s="81"/>
      <c r="N7" s="82"/>
      <c r="O7" s="83"/>
      <c r="P7" s="51"/>
      <c r="Q7" s="84"/>
      <c r="R7" s="80"/>
      <c r="S7" s="81"/>
      <c r="T7" s="82"/>
      <c r="U7" s="83"/>
      <c r="V7" s="51"/>
      <c r="W7" s="84"/>
      <c r="X7" s="80"/>
      <c r="Y7" s="81"/>
      <c r="Z7" s="82"/>
      <c r="AA7" s="83"/>
      <c r="AB7" s="51"/>
      <c r="AC7" s="84"/>
      <c r="AD7" s="80"/>
      <c r="AE7" s="81"/>
      <c r="AF7" s="82"/>
      <c r="AG7" s="83"/>
      <c r="AH7" s="51"/>
      <c r="AI7" s="84"/>
      <c r="AJ7" s="85"/>
      <c r="AK7" s="87"/>
      <c r="AL7" s="85"/>
      <c r="AM7" s="5"/>
      <c r="AN7" s="5"/>
      <c r="AO7" s="5"/>
      <c r="AP7" s="5"/>
    </row>
    <row r="8" spans="1:42">
      <c r="A8" s="318"/>
      <c r="B8" s="319"/>
      <c r="C8" s="320"/>
      <c r="D8" s="168" t="s">
        <v>38</v>
      </c>
      <c r="E8" s="196"/>
      <c r="F8" s="197"/>
      <c r="G8" s="197"/>
      <c r="H8" s="197"/>
      <c r="I8" s="198"/>
      <c r="J8" s="199"/>
      <c r="K8" s="200"/>
      <c r="L8" s="196"/>
      <c r="M8" s="197"/>
      <c r="N8" s="197"/>
      <c r="O8" s="198"/>
      <c r="P8" s="199"/>
      <c r="Q8" s="200"/>
      <c r="R8" s="196"/>
      <c r="S8" s="197"/>
      <c r="T8" s="197"/>
      <c r="U8" s="198"/>
      <c r="V8" s="199"/>
      <c r="W8" s="200"/>
      <c r="X8" s="196"/>
      <c r="Y8" s="197"/>
      <c r="Z8" s="197"/>
      <c r="AA8" s="198"/>
      <c r="AB8" s="199"/>
      <c r="AC8" s="200"/>
      <c r="AD8" s="196"/>
      <c r="AE8" s="197"/>
      <c r="AF8" s="197"/>
      <c r="AG8" s="198"/>
      <c r="AH8" s="199"/>
      <c r="AI8" s="200"/>
      <c r="AJ8" s="201"/>
      <c r="AK8" s="201"/>
      <c r="AL8" s="201"/>
      <c r="AM8" s="5"/>
      <c r="AN8" s="5"/>
      <c r="AO8" s="5"/>
      <c r="AP8" s="5"/>
    </row>
    <row r="9" spans="1:42">
      <c r="A9" s="321"/>
      <c r="B9" s="322"/>
      <c r="C9" s="323"/>
      <c r="D9" s="64" t="s">
        <v>39</v>
      </c>
      <c r="E9" s="170" t="s">
        <v>40</v>
      </c>
      <c r="F9" s="101"/>
      <c r="G9" s="101"/>
      <c r="H9" s="101"/>
      <c r="I9" s="202"/>
      <c r="J9" s="46"/>
      <c r="K9" s="203"/>
      <c r="L9" s="114"/>
      <c r="M9" s="101"/>
      <c r="N9" s="101"/>
      <c r="O9" s="202"/>
      <c r="P9" s="46"/>
      <c r="Q9" s="203"/>
      <c r="R9" s="167"/>
      <c r="S9" s="101"/>
      <c r="T9" s="101"/>
      <c r="U9" s="202"/>
      <c r="V9" s="46"/>
      <c r="W9" s="203"/>
      <c r="X9" s="114"/>
      <c r="Y9" s="101"/>
      <c r="Z9" s="101"/>
      <c r="AA9" s="202"/>
      <c r="AB9" s="46"/>
      <c r="AC9" s="203"/>
      <c r="AD9" s="114"/>
      <c r="AE9" s="101"/>
      <c r="AF9" s="101"/>
      <c r="AG9" s="202"/>
      <c r="AH9" s="46"/>
      <c r="AI9" s="203"/>
      <c r="AJ9" s="204"/>
      <c r="AK9" s="204"/>
      <c r="AL9" s="204"/>
      <c r="AM9" s="5"/>
      <c r="AN9" s="5"/>
      <c r="AO9" s="5"/>
      <c r="AP9" s="5"/>
    </row>
    <row r="10" spans="1:42">
      <c r="A10" s="324" t="s">
        <v>41</v>
      </c>
      <c r="B10" s="306" t="s">
        <v>42</v>
      </c>
      <c r="C10" s="308">
        <v>0</v>
      </c>
      <c r="D10" s="115" t="s">
        <v>43</v>
      </c>
      <c r="E10" s="165">
        <v>0.3</v>
      </c>
      <c r="F10" s="119">
        <v>9730</v>
      </c>
      <c r="G10" s="120">
        <v>12</v>
      </c>
      <c r="H10" t="s">
        <v>44</v>
      </c>
      <c r="I10" s="129">
        <f>G10*F10*E10</f>
        <v>35028</v>
      </c>
      <c r="J10" s="12">
        <v>0</v>
      </c>
      <c r="K10" s="205">
        <f>SUM(I10:J10)</f>
        <v>35028</v>
      </c>
      <c r="L10" s="165">
        <f>E10</f>
        <v>0.3</v>
      </c>
      <c r="M10" s="12">
        <f>F10*1.035</f>
        <v>10070.549999999999</v>
      </c>
      <c r="N10" s="5">
        <v>12</v>
      </c>
      <c r="O10" s="11">
        <f>L10*M10*N10</f>
        <v>36253.979999999996</v>
      </c>
      <c r="P10" s="12">
        <v>0</v>
      </c>
      <c r="Q10" s="205">
        <f>SUM(O10:P10)</f>
        <v>36253.979999999996</v>
      </c>
      <c r="R10" s="165">
        <f>E10</f>
        <v>0.3</v>
      </c>
      <c r="S10" s="12">
        <f>M10*1.035</f>
        <v>10423.019249999998</v>
      </c>
      <c r="T10" s="5">
        <v>12</v>
      </c>
      <c r="U10" s="11">
        <f>R10*S10*T10</f>
        <v>37522.869299999991</v>
      </c>
      <c r="V10" s="12">
        <v>0</v>
      </c>
      <c r="W10" s="205">
        <f>SUM(U10:V10)</f>
        <v>37522.869299999991</v>
      </c>
      <c r="X10" s="165">
        <f>R10</f>
        <v>0.3</v>
      </c>
      <c r="Y10" s="12">
        <f>S10*1.035</f>
        <v>10787.824923749997</v>
      </c>
      <c r="Z10" s="5">
        <v>12</v>
      </c>
      <c r="AA10" s="11">
        <f>X10*Y10*Z10</f>
        <v>38836.169725499989</v>
      </c>
      <c r="AB10" s="12">
        <v>0</v>
      </c>
      <c r="AC10" s="205">
        <f>SUM(AA10:AB10)</f>
        <v>38836.169725499989</v>
      </c>
      <c r="AD10" s="165">
        <f>X10</f>
        <v>0.3</v>
      </c>
      <c r="AE10" s="12">
        <f>Y10*1.035</f>
        <v>11165.398796081246</v>
      </c>
      <c r="AF10" s="5">
        <v>12</v>
      </c>
      <c r="AG10" s="11">
        <f>AD10*AE10*AF10</f>
        <v>40195.435665892488</v>
      </c>
      <c r="AH10" s="12">
        <v>0</v>
      </c>
      <c r="AI10" s="205">
        <f>SUM(AG10:AH10)</f>
        <v>40195.435665892488</v>
      </c>
      <c r="AJ10" s="206">
        <f>I10+O10+U10+AA10+AG10</f>
        <v>187836.45469139249</v>
      </c>
      <c r="AK10" s="206">
        <f t="shared" ref="AK10" si="0">J10+P10+V10+AB10+AH10</f>
        <v>0</v>
      </c>
      <c r="AL10" s="206">
        <f>SUM(AJ10:AK10)</f>
        <v>187836.45469139249</v>
      </c>
      <c r="AM10" s="5"/>
      <c r="AN10" s="5"/>
      <c r="AO10" s="5"/>
      <c r="AP10" s="5"/>
    </row>
    <row r="11" spans="1:42">
      <c r="A11" s="324" t="s">
        <v>41</v>
      </c>
      <c r="B11" s="306" t="s">
        <v>42</v>
      </c>
      <c r="C11" s="308">
        <v>0</v>
      </c>
      <c r="D11" s="115" t="s">
        <v>45</v>
      </c>
      <c r="E11" s="165">
        <v>1</v>
      </c>
      <c r="F11" s="12">
        <v>7500</v>
      </c>
      <c r="G11" s="5">
        <v>12</v>
      </c>
      <c r="H11" t="s">
        <v>44</v>
      </c>
      <c r="I11" s="129">
        <f>G11*F11*E11</f>
        <v>90000</v>
      </c>
      <c r="J11" s="12">
        <v>0</v>
      </c>
      <c r="K11" s="205">
        <f>SUM(I11:J11)</f>
        <v>90000</v>
      </c>
      <c r="L11" s="165">
        <f t="shared" ref="L11:L12" si="1">E11</f>
        <v>1</v>
      </c>
      <c r="M11" s="12">
        <f t="shared" ref="M11:M12" si="2">F11*1.035</f>
        <v>7762.4999999999991</v>
      </c>
      <c r="N11" s="5">
        <v>12</v>
      </c>
      <c r="O11" s="11">
        <f>L11*M11*N11</f>
        <v>93149.999999999985</v>
      </c>
      <c r="P11" s="12">
        <v>0</v>
      </c>
      <c r="Q11" s="205">
        <f>SUM(O11:P11)</f>
        <v>93149.999999999985</v>
      </c>
      <c r="R11" s="165">
        <f t="shared" ref="R11:R12" si="3">L11</f>
        <v>1</v>
      </c>
      <c r="S11" s="12">
        <f t="shared" ref="S11:S12" si="4">M11*1.035</f>
        <v>8034.1874999999982</v>
      </c>
      <c r="T11" s="5">
        <v>12</v>
      </c>
      <c r="U11" s="11">
        <f>R11*S11*T11</f>
        <v>96410.249999999971</v>
      </c>
      <c r="V11" s="12">
        <v>0</v>
      </c>
      <c r="W11" s="205">
        <f>SUM(U11:V11)</f>
        <v>96410.249999999971</v>
      </c>
      <c r="X11" s="165">
        <f t="shared" ref="X11:X12" si="5">R11</f>
        <v>1</v>
      </c>
      <c r="Y11" s="12">
        <f t="shared" ref="Y11:Y12" si="6">S11*1.035</f>
        <v>8315.3840624999975</v>
      </c>
      <c r="Z11" s="5">
        <v>12</v>
      </c>
      <c r="AA11" s="11">
        <f>X11*Y11*Z11</f>
        <v>99784.60874999997</v>
      </c>
      <c r="AB11" s="12">
        <v>0</v>
      </c>
      <c r="AC11" s="205">
        <f>SUM(AA11:AB11)</f>
        <v>99784.60874999997</v>
      </c>
      <c r="AD11" s="165">
        <f t="shared" ref="AD11:AD12" si="7">X11</f>
        <v>1</v>
      </c>
      <c r="AE11" s="12">
        <f>Y11*1.035</f>
        <v>8606.4225046874963</v>
      </c>
      <c r="AF11" s="5">
        <v>12</v>
      </c>
      <c r="AG11" s="11">
        <f>AD11*AE11*AF11</f>
        <v>103277.07005624996</v>
      </c>
      <c r="AH11" s="12">
        <v>0</v>
      </c>
      <c r="AI11" s="205">
        <f>SUM(AG11:AH11)</f>
        <v>103277.07005624996</v>
      </c>
      <c r="AJ11" s="206">
        <f t="shared" ref="AJ11:AK11" si="8">I11+O11+U11+AA11+AG11</f>
        <v>482621.92880624993</v>
      </c>
      <c r="AK11" s="206">
        <f t="shared" si="8"/>
        <v>0</v>
      </c>
      <c r="AL11" s="206">
        <f>SUM(AJ11:AK11)</f>
        <v>482621.92880624993</v>
      </c>
      <c r="AM11" s="5"/>
      <c r="AN11" s="5"/>
      <c r="AO11" s="5"/>
      <c r="AP11" s="5"/>
    </row>
    <row r="12" spans="1:42">
      <c r="A12" s="324" t="s">
        <v>41</v>
      </c>
      <c r="B12" s="306" t="s">
        <v>42</v>
      </c>
      <c r="C12" s="308">
        <v>0</v>
      </c>
      <c r="D12" s="115" t="s">
        <v>46</v>
      </c>
      <c r="E12" s="165">
        <v>1</v>
      </c>
      <c r="F12" s="12">
        <v>5834</v>
      </c>
      <c r="G12" s="5">
        <v>12</v>
      </c>
      <c r="H12" t="s">
        <v>44</v>
      </c>
      <c r="I12" s="129">
        <f t="shared" ref="I12" si="9">G12*F12*E12</f>
        <v>70008</v>
      </c>
      <c r="J12" s="12">
        <v>0</v>
      </c>
      <c r="K12" s="205">
        <f>SUM(I12:J12)</f>
        <v>70008</v>
      </c>
      <c r="L12" s="165">
        <f t="shared" si="1"/>
        <v>1</v>
      </c>
      <c r="M12" s="12">
        <f t="shared" si="2"/>
        <v>6038.19</v>
      </c>
      <c r="N12" s="5">
        <v>12</v>
      </c>
      <c r="O12" s="11">
        <f t="shared" ref="O12" si="10">L12*M12*N12</f>
        <v>72458.28</v>
      </c>
      <c r="P12" s="12">
        <v>0</v>
      </c>
      <c r="Q12" s="205">
        <f>SUM(O12:P12)</f>
        <v>72458.28</v>
      </c>
      <c r="R12" s="165">
        <f t="shared" si="3"/>
        <v>1</v>
      </c>
      <c r="S12" s="12">
        <f t="shared" si="4"/>
        <v>6249.5266499999989</v>
      </c>
      <c r="T12" s="5">
        <v>12</v>
      </c>
      <c r="U12" s="11">
        <f t="shared" ref="U12" si="11">R12*S12*T12</f>
        <v>74994.319799999983</v>
      </c>
      <c r="V12" s="12">
        <v>0</v>
      </c>
      <c r="W12" s="205">
        <f>SUM(U12:V12)</f>
        <v>74994.319799999983</v>
      </c>
      <c r="X12" s="165">
        <f t="shared" si="5"/>
        <v>1</v>
      </c>
      <c r="Y12" s="12">
        <f t="shared" si="6"/>
        <v>6468.2600827499982</v>
      </c>
      <c r="Z12" s="5">
        <v>12</v>
      </c>
      <c r="AA12" s="11">
        <f t="shared" ref="AA12" si="12">X12*Y12*Z12</f>
        <v>77619.120992999975</v>
      </c>
      <c r="AB12" s="12">
        <v>0</v>
      </c>
      <c r="AC12" s="205">
        <f>SUM(AA12:AB12)</f>
        <v>77619.120992999975</v>
      </c>
      <c r="AD12" s="165">
        <f t="shared" si="7"/>
        <v>1</v>
      </c>
      <c r="AE12" s="12">
        <f t="shared" ref="AE12" si="13">Y12*1.035</f>
        <v>6694.649185646248</v>
      </c>
      <c r="AF12" s="5">
        <v>12</v>
      </c>
      <c r="AG12" s="11">
        <f t="shared" ref="AG12" si="14">AD12*AE12*AF12</f>
        <v>80335.790227754973</v>
      </c>
      <c r="AH12" s="12">
        <v>0</v>
      </c>
      <c r="AI12" s="205">
        <f>SUM(AG12:AH12)</f>
        <v>80335.790227754973</v>
      </c>
      <c r="AJ12" s="206">
        <f t="shared" ref="AJ12" si="15">I12+O12+U12+AA12+AG12</f>
        <v>375415.51102075493</v>
      </c>
      <c r="AK12" s="206">
        <f t="shared" ref="AK12" si="16">J12+P12+V12+AB12+AH12</f>
        <v>0</v>
      </c>
      <c r="AL12" s="206">
        <f>SUM(AJ12:AK12)</f>
        <v>375415.51102075493</v>
      </c>
      <c r="AM12" s="5"/>
      <c r="AN12" s="5"/>
      <c r="AO12" s="5"/>
      <c r="AP12" s="5"/>
    </row>
    <row r="13" spans="1:42" s="1" customFormat="1">
      <c r="A13" s="325"/>
      <c r="B13" s="326"/>
      <c r="C13" s="308"/>
      <c r="D13" s="57" t="s">
        <v>47</v>
      </c>
      <c r="E13" s="30"/>
      <c r="F13" s="26"/>
      <c r="G13" s="26"/>
      <c r="H13" s="26"/>
      <c r="I13" s="27">
        <f>SUM(I10:I12)</f>
        <v>195036</v>
      </c>
      <c r="J13" s="28">
        <f>SUM(J10:J12)</f>
        <v>0</v>
      </c>
      <c r="K13" s="31">
        <f>SUM(K10:K12)</f>
        <v>195036</v>
      </c>
      <c r="L13" s="30"/>
      <c r="M13" s="26"/>
      <c r="N13" s="26"/>
      <c r="O13" s="27">
        <f>SUM(O10:O12)</f>
        <v>201862.25999999998</v>
      </c>
      <c r="P13" s="28">
        <f>SUM(P10:P12)</f>
        <v>0</v>
      </c>
      <c r="Q13" s="31">
        <f>SUM(Q10:Q12)</f>
        <v>201862.25999999998</v>
      </c>
      <c r="R13" s="30"/>
      <c r="S13" s="26"/>
      <c r="T13" s="26"/>
      <c r="U13" s="27">
        <f>SUM(U10:U12)</f>
        <v>208927.43909999996</v>
      </c>
      <c r="V13" s="28">
        <f>SUM(V10:V12)</f>
        <v>0</v>
      </c>
      <c r="W13" s="31">
        <f>SUM(W10:W12)</f>
        <v>208927.43909999996</v>
      </c>
      <c r="X13" s="30"/>
      <c r="Y13" s="26"/>
      <c r="Z13" s="26"/>
      <c r="AA13" s="27">
        <f>SUM(AA10:AA12)</f>
        <v>216239.89946849993</v>
      </c>
      <c r="AB13" s="28">
        <f>SUM(AB10:AB12)</f>
        <v>0</v>
      </c>
      <c r="AC13" s="31">
        <f>SUM(AC10:AC12)</f>
        <v>216239.89946849993</v>
      </c>
      <c r="AD13" s="30"/>
      <c r="AE13" s="26"/>
      <c r="AF13" s="26"/>
      <c r="AG13" s="27">
        <f t="shared" ref="AG13:AL13" si="17">SUM(AG10:AG12)</f>
        <v>223808.29594989741</v>
      </c>
      <c r="AH13" s="28">
        <f t="shared" si="17"/>
        <v>0</v>
      </c>
      <c r="AI13" s="31">
        <f t="shared" si="17"/>
        <v>223808.29594989741</v>
      </c>
      <c r="AJ13" s="29">
        <f>SUM(AJ10:AJ12)</f>
        <v>1045873.8945183973</v>
      </c>
      <c r="AK13" s="29">
        <f t="shared" si="17"/>
        <v>0</v>
      </c>
      <c r="AL13" s="29">
        <f t="shared" si="17"/>
        <v>1045873.8945183973</v>
      </c>
    </row>
    <row r="14" spans="1:42" s="8" customFormat="1" ht="12.6">
      <c r="A14" s="327"/>
      <c r="B14" s="305"/>
      <c r="C14" s="303"/>
      <c r="D14" s="277" t="s">
        <v>48</v>
      </c>
      <c r="E14" s="32"/>
      <c r="F14" s="134"/>
      <c r="G14" s="134"/>
      <c r="H14" s="134"/>
      <c r="I14" s="11"/>
      <c r="J14" s="12"/>
      <c r="K14" s="205"/>
      <c r="L14" s="32"/>
      <c r="M14" s="134"/>
      <c r="N14" s="134"/>
      <c r="O14" s="11"/>
      <c r="P14" s="12"/>
      <c r="Q14" s="205"/>
      <c r="R14" s="32"/>
      <c r="S14" s="134"/>
      <c r="T14" s="134"/>
      <c r="U14" s="11"/>
      <c r="V14" s="12"/>
      <c r="W14" s="205"/>
      <c r="X14" s="32"/>
      <c r="Y14" s="134"/>
      <c r="Z14" s="134"/>
      <c r="AA14" s="11"/>
      <c r="AB14" s="12"/>
      <c r="AC14" s="205"/>
      <c r="AD14" s="32"/>
      <c r="AE14" s="134"/>
      <c r="AF14" s="134"/>
      <c r="AG14" s="11"/>
      <c r="AH14" s="12"/>
      <c r="AI14" s="205"/>
      <c r="AJ14" s="206"/>
      <c r="AK14" s="206"/>
      <c r="AL14" s="206"/>
      <c r="AM14" s="5"/>
      <c r="AN14" s="5"/>
      <c r="AO14" s="5"/>
      <c r="AP14" s="5"/>
    </row>
    <row r="15" spans="1:42">
      <c r="A15" s="321"/>
      <c r="B15" s="309"/>
      <c r="C15" s="328"/>
      <c r="D15" s="166" t="s">
        <v>49</v>
      </c>
      <c r="E15" s="170" t="s">
        <v>40</v>
      </c>
      <c r="F15" s="208"/>
      <c r="G15" s="208"/>
      <c r="H15" s="208"/>
      <c r="I15" s="11"/>
      <c r="J15" s="12"/>
      <c r="K15" s="205"/>
      <c r="L15" s="170"/>
      <c r="M15" s="208"/>
      <c r="N15" s="208"/>
      <c r="O15" s="11"/>
      <c r="P15" s="12"/>
      <c r="Q15" s="205"/>
      <c r="R15" s="170"/>
      <c r="S15" s="208"/>
      <c r="T15" s="208"/>
      <c r="U15" s="11"/>
      <c r="V15" s="12"/>
      <c r="W15" s="205"/>
      <c r="X15" s="170"/>
      <c r="Y15" s="208"/>
      <c r="Z15" s="208"/>
      <c r="AA15" s="11"/>
      <c r="AB15" s="12"/>
      <c r="AC15" s="205"/>
      <c r="AD15" s="170"/>
      <c r="AE15" s="208"/>
      <c r="AF15" s="208"/>
      <c r="AG15" s="11"/>
      <c r="AH15" s="12"/>
      <c r="AI15" s="205"/>
      <c r="AJ15" s="206"/>
      <c r="AK15" s="206"/>
      <c r="AL15" s="206"/>
      <c r="AM15" s="5"/>
      <c r="AN15" s="5"/>
      <c r="AO15" s="5"/>
      <c r="AP15" s="5"/>
    </row>
    <row r="16" spans="1:42">
      <c r="A16" s="324" t="s">
        <v>41</v>
      </c>
      <c r="B16" s="305" t="s">
        <v>50</v>
      </c>
      <c r="C16" s="303" t="s">
        <v>51</v>
      </c>
      <c r="D16" s="115" t="s">
        <v>52</v>
      </c>
      <c r="E16" s="165">
        <v>1</v>
      </c>
      <c r="F16" s="12">
        <v>14516</v>
      </c>
      <c r="G16" s="5">
        <v>10</v>
      </c>
      <c r="H16" t="s">
        <v>44</v>
      </c>
      <c r="I16" s="11">
        <f>E16*F16*G16</f>
        <v>145160</v>
      </c>
      <c r="J16" s="12">
        <v>0</v>
      </c>
      <c r="K16" s="205">
        <f t="shared" ref="K16" si="18">SUM(I16:J16)</f>
        <v>145160</v>
      </c>
      <c r="L16" s="165">
        <v>1</v>
      </c>
      <c r="M16" s="12">
        <f>F16*1.035</f>
        <v>15024.06</v>
      </c>
      <c r="N16" s="5">
        <v>12</v>
      </c>
      <c r="O16" s="11">
        <f>M16*N16*L16</f>
        <v>180288.72</v>
      </c>
      <c r="P16" s="12">
        <v>0</v>
      </c>
      <c r="Q16" s="205">
        <f t="shared" ref="Q16" si="19">SUM(O16:P16)</f>
        <v>180288.72</v>
      </c>
      <c r="R16" s="165">
        <v>1</v>
      </c>
      <c r="S16" s="12">
        <f>M16*1.035</f>
        <v>15549.902099999998</v>
      </c>
      <c r="T16" s="5">
        <v>2</v>
      </c>
      <c r="U16" s="11">
        <f>T16*S16*R16</f>
        <v>31099.804199999995</v>
      </c>
      <c r="V16" s="12">
        <v>0</v>
      </c>
      <c r="W16" s="205">
        <f t="shared" ref="W16" si="20">SUM(U16:V16)</f>
        <v>31099.804199999995</v>
      </c>
      <c r="X16" s="165">
        <v>1</v>
      </c>
      <c r="Y16" s="12">
        <f>S16*1.035</f>
        <v>16094.148673499996</v>
      </c>
      <c r="Z16" s="5">
        <v>0</v>
      </c>
      <c r="AA16" s="11">
        <f>Z16*Y16*X16</f>
        <v>0</v>
      </c>
      <c r="AB16" s="12">
        <v>0</v>
      </c>
      <c r="AC16" s="205">
        <f t="shared" ref="AC16" si="21">SUM(AA16:AB16)</f>
        <v>0</v>
      </c>
      <c r="AD16" s="165">
        <v>1</v>
      </c>
      <c r="AE16" s="12">
        <f>Y16*1.035</f>
        <v>16657.443877072496</v>
      </c>
      <c r="AF16" s="5">
        <v>0</v>
      </c>
      <c r="AG16" s="11">
        <f>AF16*AE16*AD16</f>
        <v>0</v>
      </c>
      <c r="AH16" s="12">
        <v>0</v>
      </c>
      <c r="AI16" s="205">
        <f t="shared" ref="AI16" si="22">SUM(AG16:AH16)</f>
        <v>0</v>
      </c>
      <c r="AJ16" s="206">
        <f>I16+O16+U16+AA16+AG16</f>
        <v>356548.52419999999</v>
      </c>
      <c r="AK16" s="206">
        <f t="shared" ref="AK16" si="23">J16+P16+V16+AB16+AH16</f>
        <v>0</v>
      </c>
      <c r="AL16" s="206">
        <f t="shared" ref="AL16" si="24">SUM(AJ16:AK16)</f>
        <v>356548.52419999999</v>
      </c>
      <c r="AM16" s="5"/>
      <c r="AN16" s="5"/>
      <c r="AO16" s="5"/>
      <c r="AP16" s="5"/>
    </row>
    <row r="17" spans="1:42">
      <c r="A17" s="324" t="s">
        <v>41</v>
      </c>
      <c r="B17" s="305" t="s">
        <v>50</v>
      </c>
      <c r="C17" s="303" t="s">
        <v>51</v>
      </c>
      <c r="D17" s="115" t="s">
        <v>53</v>
      </c>
      <c r="E17" s="165">
        <v>1</v>
      </c>
      <c r="F17" s="12">
        <v>6717</v>
      </c>
      <c r="G17" s="5">
        <v>10</v>
      </c>
      <c r="H17" t="s">
        <v>44</v>
      </c>
      <c r="I17" s="11">
        <f t="shared" ref="I17:I26" si="25">E17*F17*G17</f>
        <v>67170</v>
      </c>
      <c r="J17" s="12">
        <v>0</v>
      </c>
      <c r="K17" s="205">
        <f t="shared" ref="K17" si="26">SUM(I17:J17)</f>
        <v>67170</v>
      </c>
      <c r="L17" s="165">
        <v>1</v>
      </c>
      <c r="M17" s="12">
        <f>F17*1.035</f>
        <v>6952.0949999999993</v>
      </c>
      <c r="N17" s="5">
        <v>12</v>
      </c>
      <c r="O17" s="11">
        <f t="shared" ref="O17:O26" si="27">M17*N17*L17</f>
        <v>83425.139999999985</v>
      </c>
      <c r="P17" s="12">
        <v>0</v>
      </c>
      <c r="Q17" s="205">
        <f t="shared" ref="Q17:Q18" si="28">SUM(O17:P17)</f>
        <v>83425.139999999985</v>
      </c>
      <c r="R17" s="165">
        <v>1</v>
      </c>
      <c r="S17" s="12">
        <f>M17*1.035</f>
        <v>7195.4183249999987</v>
      </c>
      <c r="T17" s="5">
        <v>12</v>
      </c>
      <c r="U17" s="11">
        <f t="shared" ref="U17:U26" si="29">T17*S17*R17</f>
        <v>86345.019899999985</v>
      </c>
      <c r="V17" s="12">
        <v>0</v>
      </c>
      <c r="W17" s="205">
        <f t="shared" ref="W17:W18" si="30">SUM(U17:V17)</f>
        <v>86345.019899999985</v>
      </c>
      <c r="X17" s="165">
        <v>1</v>
      </c>
      <c r="Y17" s="12">
        <f>S17*1.035</f>
        <v>7447.2579663749984</v>
      </c>
      <c r="Z17" s="5">
        <v>12</v>
      </c>
      <c r="AA17" s="11">
        <f t="shared" ref="AA17:AA26" si="31">Z17*Y17*X17</f>
        <v>89367.095596499974</v>
      </c>
      <c r="AB17" s="12">
        <v>0</v>
      </c>
      <c r="AC17" s="205">
        <f t="shared" ref="AC17:AC18" si="32">SUM(AA17:AB17)</f>
        <v>89367.095596499974</v>
      </c>
      <c r="AD17" s="165">
        <v>1</v>
      </c>
      <c r="AE17" s="12">
        <f t="shared" ref="AE17:AE26" si="33">Y17*1.035</f>
        <v>7707.9119951981229</v>
      </c>
      <c r="AF17" s="5">
        <v>12</v>
      </c>
      <c r="AG17" s="11">
        <f>AF17*AE17*AD17</f>
        <v>92494.943942377475</v>
      </c>
      <c r="AH17" s="12">
        <v>0</v>
      </c>
      <c r="AI17" s="205">
        <f t="shared" ref="AI17:AI18" si="34">SUM(AG17:AH17)</f>
        <v>92494.943942377475</v>
      </c>
      <c r="AJ17" s="206">
        <f t="shared" ref="AJ17:AK18" si="35">I17+O17+U17+AA17+AG17</f>
        <v>418802.1994388774</v>
      </c>
      <c r="AK17" s="206">
        <f t="shared" si="35"/>
        <v>0</v>
      </c>
      <c r="AL17" s="206">
        <f t="shared" ref="AL17:AL18" si="36">SUM(AJ17:AK17)</f>
        <v>418802.1994388774</v>
      </c>
      <c r="AM17" s="5"/>
      <c r="AN17" s="5"/>
      <c r="AO17" s="5"/>
      <c r="AP17" s="5"/>
    </row>
    <row r="18" spans="1:42">
      <c r="A18" s="324" t="s">
        <v>41</v>
      </c>
      <c r="B18" s="305" t="s">
        <v>50</v>
      </c>
      <c r="C18" s="303" t="s">
        <v>51</v>
      </c>
      <c r="D18" s="115" t="s">
        <v>54</v>
      </c>
      <c r="E18" s="165">
        <v>1</v>
      </c>
      <c r="F18" s="12">
        <v>4334</v>
      </c>
      <c r="G18" s="5">
        <v>9</v>
      </c>
      <c r="H18" t="s">
        <v>44</v>
      </c>
      <c r="I18" s="11">
        <f t="shared" ref="I18" si="37">E18*F18*G18</f>
        <v>39006</v>
      </c>
      <c r="J18" s="12">
        <v>0</v>
      </c>
      <c r="K18" s="205">
        <f t="shared" ref="K18" si="38">SUM(I18:J18)</f>
        <v>39006</v>
      </c>
      <c r="L18" s="165">
        <v>1</v>
      </c>
      <c r="M18" s="12">
        <f t="shared" ref="M18" si="39">F18*1.035</f>
        <v>4485.6899999999996</v>
      </c>
      <c r="N18" s="5">
        <v>12</v>
      </c>
      <c r="O18" s="11">
        <f t="shared" ref="O18" si="40">M18*N18*L18</f>
        <v>53828.28</v>
      </c>
      <c r="P18" s="12">
        <v>0</v>
      </c>
      <c r="Q18" s="205">
        <f t="shared" si="28"/>
        <v>53828.28</v>
      </c>
      <c r="R18" s="165">
        <v>1</v>
      </c>
      <c r="S18" s="12">
        <f t="shared" ref="S18" si="41">M18*1.035</f>
        <v>4642.6891499999992</v>
      </c>
      <c r="T18" s="5">
        <v>12</v>
      </c>
      <c r="U18" s="11">
        <f t="shared" ref="U18" si="42">T18*S18*R18</f>
        <v>55712.269799999995</v>
      </c>
      <c r="V18" s="12">
        <v>0</v>
      </c>
      <c r="W18" s="205">
        <f t="shared" si="30"/>
        <v>55712.269799999995</v>
      </c>
      <c r="X18" s="165">
        <v>1</v>
      </c>
      <c r="Y18" s="12">
        <f t="shared" ref="Y18" si="43">S18*1.035</f>
        <v>4805.1832702499987</v>
      </c>
      <c r="Z18" s="5">
        <v>12</v>
      </c>
      <c r="AA18" s="11">
        <f t="shared" ref="AA18" si="44">Z18*Y18*X18</f>
        <v>57662.199242999981</v>
      </c>
      <c r="AB18" s="12">
        <v>0</v>
      </c>
      <c r="AC18" s="205">
        <f t="shared" si="32"/>
        <v>57662.199242999981</v>
      </c>
      <c r="AD18" s="165">
        <v>1</v>
      </c>
      <c r="AE18" s="12">
        <f t="shared" ref="AE18" si="45">Y18*1.035</f>
        <v>4973.3646847087484</v>
      </c>
      <c r="AF18" s="5">
        <v>12</v>
      </c>
      <c r="AG18" s="11">
        <f t="shared" ref="AG18" si="46">AF18*AE18*AD18</f>
        <v>59680.376216504985</v>
      </c>
      <c r="AH18" s="12">
        <v>0</v>
      </c>
      <c r="AI18" s="205">
        <f t="shared" si="34"/>
        <v>59680.376216504985</v>
      </c>
      <c r="AJ18" s="206">
        <f t="shared" si="35"/>
        <v>265889.12525950494</v>
      </c>
      <c r="AK18" s="206">
        <f t="shared" si="35"/>
        <v>0</v>
      </c>
      <c r="AL18" s="206">
        <f t="shared" si="36"/>
        <v>265889.12525950494</v>
      </c>
      <c r="AM18" s="5"/>
      <c r="AN18" s="5"/>
      <c r="AO18" s="5"/>
      <c r="AP18" s="5"/>
    </row>
    <row r="19" spans="1:42">
      <c r="A19" s="324" t="s">
        <v>41</v>
      </c>
      <c r="B19" s="305" t="s">
        <v>50</v>
      </c>
      <c r="C19" s="303" t="s">
        <v>51</v>
      </c>
      <c r="D19" s="115" t="s">
        <v>55</v>
      </c>
      <c r="E19" s="165">
        <v>1</v>
      </c>
      <c r="F19" s="12">
        <v>4334</v>
      </c>
      <c r="G19" s="5">
        <v>6</v>
      </c>
      <c r="H19" t="s">
        <v>44</v>
      </c>
      <c r="I19" s="11">
        <f t="shared" si="25"/>
        <v>26004</v>
      </c>
      <c r="J19" s="12">
        <v>0</v>
      </c>
      <c r="K19" s="205">
        <f t="shared" ref="K19:K20" si="47">SUM(I19:J19)</f>
        <v>26004</v>
      </c>
      <c r="L19" s="165">
        <v>1</v>
      </c>
      <c r="M19" s="12">
        <f>F19*1.035</f>
        <v>4485.6899999999996</v>
      </c>
      <c r="N19" s="5">
        <v>12</v>
      </c>
      <c r="O19" s="11">
        <f t="shared" si="27"/>
        <v>53828.28</v>
      </c>
      <c r="P19" s="12">
        <v>0</v>
      </c>
      <c r="Q19" s="205">
        <f t="shared" ref="Q19:Q20" si="48">SUM(O19:P19)</f>
        <v>53828.28</v>
      </c>
      <c r="R19" s="165">
        <v>1</v>
      </c>
      <c r="S19" s="12">
        <f t="shared" ref="S19:S25" si="49">M19*1.035</f>
        <v>4642.6891499999992</v>
      </c>
      <c r="T19" s="5">
        <v>12</v>
      </c>
      <c r="U19" s="11">
        <f t="shared" si="29"/>
        <v>55712.269799999995</v>
      </c>
      <c r="V19" s="12">
        <v>0</v>
      </c>
      <c r="W19" s="205">
        <f t="shared" ref="W19" si="50">SUM(U19:V19)</f>
        <v>55712.269799999995</v>
      </c>
      <c r="X19" s="165">
        <v>1</v>
      </c>
      <c r="Y19" s="12">
        <f t="shared" ref="Y19:Y26" si="51">S19*1.035</f>
        <v>4805.1832702499987</v>
      </c>
      <c r="Z19" s="5">
        <v>12</v>
      </c>
      <c r="AA19" s="11">
        <f t="shared" si="31"/>
        <v>57662.199242999981</v>
      </c>
      <c r="AB19" s="12">
        <v>0</v>
      </c>
      <c r="AC19" s="205">
        <f t="shared" ref="AC19" si="52">SUM(AA19:AB19)</f>
        <v>57662.199242999981</v>
      </c>
      <c r="AD19" s="165">
        <v>1</v>
      </c>
      <c r="AE19" s="12">
        <f t="shared" si="33"/>
        <v>4973.3646847087484</v>
      </c>
      <c r="AF19" s="5">
        <v>7</v>
      </c>
      <c r="AG19" s="11">
        <f t="shared" ref="AG19:AG26" si="53">AF19*AE19*AD19</f>
        <v>34813.552792961236</v>
      </c>
      <c r="AH19" s="12">
        <v>0</v>
      </c>
      <c r="AI19" s="205">
        <f t="shared" ref="AI19:AI20" si="54">SUM(AG19:AH19)</f>
        <v>34813.552792961236</v>
      </c>
      <c r="AJ19" s="206">
        <f t="shared" ref="AJ19:AJ20" si="55">I19+O19+U19+AA19+AG19</f>
        <v>228020.3018359612</v>
      </c>
      <c r="AK19" s="206">
        <f t="shared" ref="AK19:AK20" si="56">J19+P19+V19+AB19+AH19</f>
        <v>0</v>
      </c>
      <c r="AL19" s="206">
        <f t="shared" ref="AL19:AL20" si="57">SUM(AJ19:AK19)</f>
        <v>228020.3018359612</v>
      </c>
      <c r="AM19" s="5"/>
      <c r="AN19" s="5"/>
      <c r="AO19" s="5"/>
      <c r="AP19" s="5"/>
    </row>
    <row r="20" spans="1:42">
      <c r="A20" s="324" t="s">
        <v>41</v>
      </c>
      <c r="B20" s="305" t="s">
        <v>50</v>
      </c>
      <c r="C20" s="303" t="s">
        <v>51</v>
      </c>
      <c r="D20" s="115" t="s">
        <v>56</v>
      </c>
      <c r="E20" s="165">
        <v>1</v>
      </c>
      <c r="F20" s="12">
        <v>2492</v>
      </c>
      <c r="G20" s="5">
        <v>6</v>
      </c>
      <c r="H20" t="s">
        <v>44</v>
      </c>
      <c r="I20" s="11">
        <f t="shared" ref="I20" si="58">E20*F20*G20</f>
        <v>14952</v>
      </c>
      <c r="J20" s="12">
        <v>0</v>
      </c>
      <c r="K20" s="205">
        <f t="shared" si="47"/>
        <v>14952</v>
      </c>
      <c r="L20" s="165">
        <v>1</v>
      </c>
      <c r="M20" s="12">
        <f t="shared" ref="M20" si="59">F20*1.035</f>
        <v>2579.2199999999998</v>
      </c>
      <c r="N20" s="5">
        <v>12</v>
      </c>
      <c r="O20" s="11">
        <f t="shared" ref="O20" si="60">M20*N20*L20</f>
        <v>30950.639999999999</v>
      </c>
      <c r="P20" s="12">
        <v>0</v>
      </c>
      <c r="Q20" s="205">
        <f t="shared" si="48"/>
        <v>30950.639999999999</v>
      </c>
      <c r="R20" s="165">
        <v>1</v>
      </c>
      <c r="S20" s="12">
        <f t="shared" ref="S20" si="61">M20*1.035</f>
        <v>2669.4926999999998</v>
      </c>
      <c r="T20" s="5">
        <v>12</v>
      </c>
      <c r="U20" s="11">
        <f t="shared" ref="U20" si="62">T20*S20*R20</f>
        <v>32033.912399999997</v>
      </c>
      <c r="V20" s="12">
        <v>0</v>
      </c>
      <c r="W20" s="205">
        <f t="shared" ref="W20" si="63">SUM(U20:V20)</f>
        <v>32033.912399999997</v>
      </c>
      <c r="X20" s="165">
        <v>1</v>
      </c>
      <c r="Y20" s="12">
        <f t="shared" ref="Y20" si="64">S20*1.035</f>
        <v>2762.9249444999996</v>
      </c>
      <c r="Z20" s="5">
        <v>12</v>
      </c>
      <c r="AA20" s="11">
        <f t="shared" ref="AA20" si="65">Z20*Y20*X20</f>
        <v>33155.099333999999</v>
      </c>
      <c r="AB20" s="12">
        <v>0</v>
      </c>
      <c r="AC20" s="205">
        <f t="shared" ref="AC20" si="66">SUM(AA20:AB20)</f>
        <v>33155.099333999999</v>
      </c>
      <c r="AD20" s="165">
        <v>1</v>
      </c>
      <c r="AE20" s="12">
        <f t="shared" ref="AE20" si="67">Y20*1.035</f>
        <v>2859.6273175574993</v>
      </c>
      <c r="AF20" s="5">
        <v>7</v>
      </c>
      <c r="AG20" s="11">
        <f t="shared" ref="AG20" si="68">AF20*AE20*AD20</f>
        <v>20017.391222902494</v>
      </c>
      <c r="AH20" s="12">
        <v>0</v>
      </c>
      <c r="AI20" s="205">
        <f t="shared" si="54"/>
        <v>20017.391222902494</v>
      </c>
      <c r="AJ20" s="206">
        <f t="shared" si="55"/>
        <v>131109.0429569025</v>
      </c>
      <c r="AK20" s="206">
        <f t="shared" si="56"/>
        <v>0</v>
      </c>
      <c r="AL20" s="206">
        <f t="shared" si="57"/>
        <v>131109.0429569025</v>
      </c>
      <c r="AM20" s="5"/>
      <c r="AN20" s="5"/>
      <c r="AO20" s="5"/>
      <c r="AP20" s="5"/>
    </row>
    <row r="21" spans="1:42">
      <c r="A21" s="324" t="s">
        <v>41</v>
      </c>
      <c r="B21" s="305" t="s">
        <v>50</v>
      </c>
      <c r="C21" s="303" t="s">
        <v>51</v>
      </c>
      <c r="D21" s="115" t="s">
        <v>57</v>
      </c>
      <c r="E21" s="165">
        <v>1</v>
      </c>
      <c r="F21" s="12">
        <v>2492</v>
      </c>
      <c r="G21" s="5">
        <v>6</v>
      </c>
      <c r="H21" t="s">
        <v>44</v>
      </c>
      <c r="I21" s="11">
        <f t="shared" si="25"/>
        <v>14952</v>
      </c>
      <c r="J21" s="12">
        <v>0</v>
      </c>
      <c r="K21" s="205">
        <f t="shared" ref="K21:K25" si="69">SUM(I21:J21)</f>
        <v>14952</v>
      </c>
      <c r="L21" s="165">
        <v>1</v>
      </c>
      <c r="M21" s="12">
        <f t="shared" ref="M21:M26" si="70">F21*1.035</f>
        <v>2579.2199999999998</v>
      </c>
      <c r="N21" s="5">
        <v>12</v>
      </c>
      <c r="O21" s="11">
        <f t="shared" si="27"/>
        <v>30950.639999999999</v>
      </c>
      <c r="P21" s="12">
        <v>0</v>
      </c>
      <c r="Q21" s="205">
        <f t="shared" ref="Q21:Q25" si="71">SUM(O21:P21)</f>
        <v>30950.639999999999</v>
      </c>
      <c r="R21" s="165">
        <v>1</v>
      </c>
      <c r="S21" s="12">
        <f t="shared" si="49"/>
        <v>2669.4926999999998</v>
      </c>
      <c r="T21" s="5">
        <v>12</v>
      </c>
      <c r="U21" s="11">
        <f t="shared" si="29"/>
        <v>32033.912399999997</v>
      </c>
      <c r="V21" s="12">
        <v>0</v>
      </c>
      <c r="W21" s="205">
        <f t="shared" ref="W21:W25" si="72">SUM(U21:V21)</f>
        <v>32033.912399999997</v>
      </c>
      <c r="X21" s="165">
        <v>1</v>
      </c>
      <c r="Y21" s="12">
        <f t="shared" si="51"/>
        <v>2762.9249444999996</v>
      </c>
      <c r="Z21" s="5">
        <v>12</v>
      </c>
      <c r="AA21" s="11">
        <f t="shared" si="31"/>
        <v>33155.099333999999</v>
      </c>
      <c r="AB21" s="12">
        <v>0</v>
      </c>
      <c r="AC21" s="205">
        <f t="shared" ref="AC21:AC25" si="73">SUM(AA21:AB21)</f>
        <v>33155.099333999999</v>
      </c>
      <c r="AD21" s="165">
        <v>1</v>
      </c>
      <c r="AE21" s="12">
        <f t="shared" si="33"/>
        <v>2859.6273175574993</v>
      </c>
      <c r="AF21" s="5">
        <v>7</v>
      </c>
      <c r="AG21" s="11">
        <f t="shared" si="53"/>
        <v>20017.391222902494</v>
      </c>
      <c r="AH21" s="12">
        <v>0</v>
      </c>
      <c r="AI21" s="205">
        <f t="shared" ref="AI21:AI25" si="74">SUM(AG21:AH21)</f>
        <v>20017.391222902494</v>
      </c>
      <c r="AJ21" s="206">
        <f t="shared" ref="AJ21:AK25" si="75">I21+O21+U21+AA21+AG21</f>
        <v>131109.0429569025</v>
      </c>
      <c r="AK21" s="206">
        <f t="shared" si="75"/>
        <v>0</v>
      </c>
      <c r="AL21" s="206">
        <f t="shared" ref="AL21:AL25" si="76">SUM(AJ21:AK21)</f>
        <v>131109.0429569025</v>
      </c>
      <c r="AM21" s="5"/>
      <c r="AN21" s="5"/>
      <c r="AO21" s="5"/>
      <c r="AP21" s="5"/>
    </row>
    <row r="22" spans="1:42">
      <c r="A22" s="324" t="s">
        <v>41</v>
      </c>
      <c r="B22" s="305" t="s">
        <v>50</v>
      </c>
      <c r="C22" s="303" t="s">
        <v>51</v>
      </c>
      <c r="D22" s="115" t="s">
        <v>58</v>
      </c>
      <c r="E22" s="165">
        <v>1</v>
      </c>
      <c r="F22" s="12">
        <v>2167</v>
      </c>
      <c r="G22" s="5">
        <v>6</v>
      </c>
      <c r="H22" t="s">
        <v>44</v>
      </c>
      <c r="I22" s="11">
        <f t="shared" si="25"/>
        <v>13002</v>
      </c>
      <c r="J22" s="12">
        <v>0</v>
      </c>
      <c r="K22" s="205">
        <f t="shared" si="69"/>
        <v>13002</v>
      </c>
      <c r="L22" s="165">
        <v>1</v>
      </c>
      <c r="M22" s="12">
        <f t="shared" si="70"/>
        <v>2242.8449999999998</v>
      </c>
      <c r="N22" s="5">
        <v>12</v>
      </c>
      <c r="O22" s="11">
        <f t="shared" si="27"/>
        <v>26914.14</v>
      </c>
      <c r="P22" s="12">
        <v>0</v>
      </c>
      <c r="Q22" s="205">
        <f t="shared" si="71"/>
        <v>26914.14</v>
      </c>
      <c r="R22" s="165">
        <v>1</v>
      </c>
      <c r="S22" s="12">
        <f t="shared" si="49"/>
        <v>2321.3445749999996</v>
      </c>
      <c r="T22" s="5">
        <v>12</v>
      </c>
      <c r="U22" s="11">
        <f t="shared" si="29"/>
        <v>27856.134899999997</v>
      </c>
      <c r="V22" s="12">
        <v>0</v>
      </c>
      <c r="W22" s="205">
        <f t="shared" si="72"/>
        <v>27856.134899999997</v>
      </c>
      <c r="X22" s="165">
        <v>1</v>
      </c>
      <c r="Y22" s="12">
        <f t="shared" si="51"/>
        <v>2402.5916351249994</v>
      </c>
      <c r="Z22" s="5">
        <v>12</v>
      </c>
      <c r="AA22" s="11">
        <f t="shared" si="31"/>
        <v>28831.09962149999</v>
      </c>
      <c r="AB22" s="12">
        <v>0</v>
      </c>
      <c r="AC22" s="205">
        <f t="shared" si="73"/>
        <v>28831.09962149999</v>
      </c>
      <c r="AD22" s="165">
        <v>1</v>
      </c>
      <c r="AE22" s="12">
        <f t="shared" si="33"/>
        <v>2486.6823423543742</v>
      </c>
      <c r="AF22" s="5">
        <v>7</v>
      </c>
      <c r="AG22" s="11">
        <f t="shared" si="53"/>
        <v>17406.776396480618</v>
      </c>
      <c r="AH22" s="12">
        <v>0</v>
      </c>
      <c r="AI22" s="205">
        <f t="shared" si="74"/>
        <v>17406.776396480618</v>
      </c>
      <c r="AJ22" s="206">
        <f t="shared" si="75"/>
        <v>114010.1509179806</v>
      </c>
      <c r="AK22" s="206">
        <f t="shared" si="75"/>
        <v>0</v>
      </c>
      <c r="AL22" s="206">
        <f t="shared" si="76"/>
        <v>114010.1509179806</v>
      </c>
      <c r="AM22" s="5"/>
      <c r="AN22" s="5"/>
      <c r="AO22" s="5"/>
      <c r="AP22" s="5"/>
    </row>
    <row r="23" spans="1:42">
      <c r="A23" s="324" t="s">
        <v>41</v>
      </c>
      <c r="B23" s="305" t="s">
        <v>50</v>
      </c>
      <c r="C23" s="303" t="s">
        <v>51</v>
      </c>
      <c r="D23" s="115" t="s">
        <v>59</v>
      </c>
      <c r="E23" s="165">
        <v>1</v>
      </c>
      <c r="F23" s="12">
        <v>2492</v>
      </c>
      <c r="G23" s="5">
        <v>6</v>
      </c>
      <c r="H23" t="s">
        <v>44</v>
      </c>
      <c r="I23" s="11">
        <f t="shared" si="25"/>
        <v>14952</v>
      </c>
      <c r="J23" s="12">
        <v>0</v>
      </c>
      <c r="K23" s="205">
        <f t="shared" si="69"/>
        <v>14952</v>
      </c>
      <c r="L23" s="165">
        <v>1</v>
      </c>
      <c r="M23" s="12">
        <f t="shared" si="70"/>
        <v>2579.2199999999998</v>
      </c>
      <c r="N23" s="5">
        <v>12</v>
      </c>
      <c r="O23" s="11">
        <f t="shared" si="27"/>
        <v>30950.639999999999</v>
      </c>
      <c r="P23" s="12">
        <v>0</v>
      </c>
      <c r="Q23" s="205">
        <f t="shared" si="71"/>
        <v>30950.639999999999</v>
      </c>
      <c r="R23" s="165">
        <v>1</v>
      </c>
      <c r="S23" s="12">
        <f t="shared" si="49"/>
        <v>2669.4926999999998</v>
      </c>
      <c r="T23" s="5">
        <v>12</v>
      </c>
      <c r="U23" s="11">
        <f t="shared" si="29"/>
        <v>32033.912399999997</v>
      </c>
      <c r="V23" s="12">
        <v>0</v>
      </c>
      <c r="W23" s="205">
        <f t="shared" si="72"/>
        <v>32033.912399999997</v>
      </c>
      <c r="X23" s="165">
        <v>1</v>
      </c>
      <c r="Y23" s="12">
        <f t="shared" si="51"/>
        <v>2762.9249444999996</v>
      </c>
      <c r="Z23" s="5">
        <v>12</v>
      </c>
      <c r="AA23" s="11">
        <f t="shared" si="31"/>
        <v>33155.099333999999</v>
      </c>
      <c r="AB23" s="12">
        <v>0</v>
      </c>
      <c r="AC23" s="205">
        <f t="shared" si="73"/>
        <v>33155.099333999999</v>
      </c>
      <c r="AD23" s="165">
        <v>1</v>
      </c>
      <c r="AE23" s="12">
        <f t="shared" si="33"/>
        <v>2859.6273175574993</v>
      </c>
      <c r="AF23" s="5">
        <v>9</v>
      </c>
      <c r="AG23" s="11">
        <f t="shared" si="53"/>
        <v>25736.645858017495</v>
      </c>
      <c r="AH23" s="12">
        <v>0</v>
      </c>
      <c r="AI23" s="205">
        <f t="shared" si="74"/>
        <v>25736.645858017495</v>
      </c>
      <c r="AJ23" s="206">
        <f t="shared" si="75"/>
        <v>136828.29759201751</v>
      </c>
      <c r="AK23" s="206">
        <f>J23+P23+V23+AB23+AH23</f>
        <v>0</v>
      </c>
      <c r="AL23" s="206">
        <f t="shared" si="76"/>
        <v>136828.29759201751</v>
      </c>
      <c r="AM23" s="5"/>
      <c r="AN23" s="5"/>
      <c r="AO23" s="5"/>
      <c r="AP23" s="5"/>
    </row>
    <row r="24" spans="1:42">
      <c r="A24" s="324" t="s">
        <v>41</v>
      </c>
      <c r="B24" s="305" t="s">
        <v>50</v>
      </c>
      <c r="C24" s="303" t="s">
        <v>51</v>
      </c>
      <c r="D24" s="115" t="s">
        <v>60</v>
      </c>
      <c r="E24" s="165">
        <v>1</v>
      </c>
      <c r="F24" s="12">
        <v>2167</v>
      </c>
      <c r="G24" s="5">
        <v>6</v>
      </c>
      <c r="H24" t="s">
        <v>44</v>
      </c>
      <c r="I24" s="11">
        <f>E24*F24*G24*4</f>
        <v>52008</v>
      </c>
      <c r="J24" s="12">
        <v>0</v>
      </c>
      <c r="K24" s="205">
        <f>SUM(I24:J24)</f>
        <v>52008</v>
      </c>
      <c r="L24" s="165">
        <v>1</v>
      </c>
      <c r="M24" s="12">
        <f t="shared" si="70"/>
        <v>2242.8449999999998</v>
      </c>
      <c r="N24" s="5">
        <v>12</v>
      </c>
      <c r="O24" s="11">
        <f>M24*N24*L24*4</f>
        <v>107656.56</v>
      </c>
      <c r="P24" s="12">
        <v>0</v>
      </c>
      <c r="Q24" s="205">
        <f>SUM(O24:P24)</f>
        <v>107656.56</v>
      </c>
      <c r="R24" s="165">
        <v>1</v>
      </c>
      <c r="S24" s="12">
        <f>M24*1.035</f>
        <v>2321.3445749999996</v>
      </c>
      <c r="T24" s="5">
        <v>12</v>
      </c>
      <c r="U24" s="11">
        <f>T24*S24*R24*2</f>
        <v>55712.269799999995</v>
      </c>
      <c r="V24" s="12">
        <v>0</v>
      </c>
      <c r="W24" s="205">
        <f>SUM(U24:V24)</f>
        <v>55712.269799999995</v>
      </c>
      <c r="X24" s="165">
        <v>1</v>
      </c>
      <c r="Y24" s="12">
        <f>S24*1.035</f>
        <v>2402.5916351249994</v>
      </c>
      <c r="Z24" s="5">
        <v>6</v>
      </c>
      <c r="AA24" s="11">
        <f>Z24*Y24*X24*2</f>
        <v>28831.09962149999</v>
      </c>
      <c r="AB24" s="12">
        <v>0</v>
      </c>
      <c r="AC24" s="205">
        <f>SUM(AA24:AB24)</f>
        <v>28831.09962149999</v>
      </c>
      <c r="AD24" s="165">
        <v>1</v>
      </c>
      <c r="AE24" s="12">
        <f>Y24*1.035</f>
        <v>2486.6823423543742</v>
      </c>
      <c r="AF24" s="5">
        <v>0</v>
      </c>
      <c r="AG24" s="11">
        <f>AF24*AE24*AD24</f>
        <v>0</v>
      </c>
      <c r="AH24" s="12">
        <v>0</v>
      </c>
      <c r="AI24" s="205">
        <f>SUM(AG24:AH24)</f>
        <v>0</v>
      </c>
      <c r="AJ24" s="206">
        <f>I24+O24+U24+AA24+AG24</f>
        <v>244207.92942150001</v>
      </c>
      <c r="AK24" s="206">
        <v>0</v>
      </c>
      <c r="AL24" s="206">
        <f>SUM(AJ24:AK24)</f>
        <v>244207.92942150001</v>
      </c>
      <c r="AM24" s="5"/>
      <c r="AN24" s="5"/>
      <c r="AO24" s="5"/>
      <c r="AP24" s="5"/>
    </row>
    <row r="25" spans="1:42">
      <c r="A25" s="324" t="s">
        <v>41</v>
      </c>
      <c r="B25" s="305" t="s">
        <v>50</v>
      </c>
      <c r="C25" s="303" t="s">
        <v>51</v>
      </c>
      <c r="D25" s="115" t="s">
        <v>61</v>
      </c>
      <c r="E25" s="165">
        <v>1</v>
      </c>
      <c r="F25" s="12">
        <v>3358</v>
      </c>
      <c r="G25" s="5">
        <v>6</v>
      </c>
      <c r="H25" t="s">
        <v>44</v>
      </c>
      <c r="I25" s="11">
        <f t="shared" si="25"/>
        <v>20148</v>
      </c>
      <c r="J25" s="12">
        <v>0</v>
      </c>
      <c r="K25" s="205">
        <f t="shared" si="69"/>
        <v>20148</v>
      </c>
      <c r="L25" s="165">
        <v>1</v>
      </c>
      <c r="M25" s="12">
        <f t="shared" si="70"/>
        <v>3475.5299999999997</v>
      </c>
      <c r="N25" s="5">
        <v>12</v>
      </c>
      <c r="O25" s="11">
        <f t="shared" si="27"/>
        <v>41706.36</v>
      </c>
      <c r="P25" s="12">
        <v>0</v>
      </c>
      <c r="Q25" s="205">
        <f t="shared" si="71"/>
        <v>41706.36</v>
      </c>
      <c r="R25" s="165">
        <v>1</v>
      </c>
      <c r="S25" s="12">
        <f t="shared" si="49"/>
        <v>3597.1735499999995</v>
      </c>
      <c r="T25" s="5">
        <v>12</v>
      </c>
      <c r="U25" s="11">
        <f t="shared" si="29"/>
        <v>43166.082599999994</v>
      </c>
      <c r="V25" s="12">
        <v>0</v>
      </c>
      <c r="W25" s="205">
        <f t="shared" si="72"/>
        <v>43166.082599999994</v>
      </c>
      <c r="X25" s="165">
        <v>1</v>
      </c>
      <c r="Y25" s="12">
        <f t="shared" si="51"/>
        <v>3723.074624249999</v>
      </c>
      <c r="Z25" s="5">
        <v>12</v>
      </c>
      <c r="AA25" s="11">
        <f t="shared" si="31"/>
        <v>44676.895490999988</v>
      </c>
      <c r="AB25" s="12">
        <v>0</v>
      </c>
      <c r="AC25" s="205">
        <f t="shared" si="73"/>
        <v>44676.895490999988</v>
      </c>
      <c r="AD25" s="165">
        <v>1</v>
      </c>
      <c r="AE25" s="12">
        <f t="shared" si="33"/>
        <v>3853.3822360987488</v>
      </c>
      <c r="AF25" s="5">
        <v>7</v>
      </c>
      <c r="AG25" s="11">
        <f t="shared" si="53"/>
        <v>26973.675652691243</v>
      </c>
      <c r="AH25" s="12">
        <v>0</v>
      </c>
      <c r="AI25" s="205">
        <f t="shared" si="74"/>
        <v>26973.675652691243</v>
      </c>
      <c r="AJ25" s="206">
        <f t="shared" si="75"/>
        <v>176671.01374369123</v>
      </c>
      <c r="AK25" s="206">
        <f t="shared" si="75"/>
        <v>0</v>
      </c>
      <c r="AL25" s="206">
        <f t="shared" si="76"/>
        <v>176671.01374369123</v>
      </c>
      <c r="AM25" s="5"/>
      <c r="AN25" s="5"/>
      <c r="AO25" s="5"/>
      <c r="AP25" s="5"/>
    </row>
    <row r="26" spans="1:42">
      <c r="A26" s="324" t="s">
        <v>41</v>
      </c>
      <c r="B26" s="305" t="s">
        <v>50</v>
      </c>
      <c r="C26" s="303" t="s">
        <v>51</v>
      </c>
      <c r="D26" s="115" t="s">
        <v>62</v>
      </c>
      <c r="E26" s="165">
        <v>1</v>
      </c>
      <c r="F26" s="12">
        <v>3358</v>
      </c>
      <c r="G26" s="5">
        <v>6</v>
      </c>
      <c r="H26" t="s">
        <v>44</v>
      </c>
      <c r="I26" s="11">
        <f t="shared" si="25"/>
        <v>20148</v>
      </c>
      <c r="J26" s="12">
        <v>0</v>
      </c>
      <c r="K26" s="205">
        <f t="shared" ref="K26" si="77">SUM(I26:J26)</f>
        <v>20148</v>
      </c>
      <c r="L26" s="165">
        <v>1</v>
      </c>
      <c r="M26" s="12">
        <f t="shared" si="70"/>
        <v>3475.5299999999997</v>
      </c>
      <c r="N26" s="5">
        <v>12</v>
      </c>
      <c r="O26" s="11">
        <f t="shared" si="27"/>
        <v>41706.36</v>
      </c>
      <c r="P26" s="12">
        <v>0</v>
      </c>
      <c r="Q26" s="205">
        <f t="shared" ref="Q26" si="78">SUM(O26:P26)</f>
        <v>41706.36</v>
      </c>
      <c r="R26" s="165">
        <v>1</v>
      </c>
      <c r="S26" s="12">
        <f>M26*1.035</f>
        <v>3597.1735499999995</v>
      </c>
      <c r="T26" s="5">
        <v>12</v>
      </c>
      <c r="U26" s="11">
        <f t="shared" si="29"/>
        <v>43166.082599999994</v>
      </c>
      <c r="V26" s="12">
        <v>0</v>
      </c>
      <c r="W26" s="205">
        <f t="shared" ref="W26" si="79">SUM(U26:V26)</f>
        <v>43166.082599999994</v>
      </c>
      <c r="X26" s="165">
        <v>1</v>
      </c>
      <c r="Y26" s="12">
        <f t="shared" si="51"/>
        <v>3723.074624249999</v>
      </c>
      <c r="Z26" s="5">
        <v>12</v>
      </c>
      <c r="AA26" s="11">
        <f t="shared" si="31"/>
        <v>44676.895490999988</v>
      </c>
      <c r="AB26" s="12">
        <v>0</v>
      </c>
      <c r="AC26" s="205">
        <f t="shared" ref="AC26" si="80">SUM(AA26:AB26)</f>
        <v>44676.895490999988</v>
      </c>
      <c r="AD26" s="165">
        <v>1</v>
      </c>
      <c r="AE26" s="12">
        <f t="shared" si="33"/>
        <v>3853.3822360987488</v>
      </c>
      <c r="AF26" s="5">
        <v>7</v>
      </c>
      <c r="AG26" s="11">
        <f t="shared" si="53"/>
        <v>26973.675652691243</v>
      </c>
      <c r="AH26" s="12">
        <v>0</v>
      </c>
      <c r="AI26" s="205">
        <f t="shared" ref="AI26" si="81">SUM(AG26:AH26)</f>
        <v>26973.675652691243</v>
      </c>
      <c r="AJ26" s="206">
        <f t="shared" ref="AJ26" si="82">I26+O26+U26+AA26+AG26</f>
        <v>176671.01374369123</v>
      </c>
      <c r="AK26" s="206">
        <f t="shared" ref="AK26" si="83">J26+P26+V26+AB26+AH26</f>
        <v>0</v>
      </c>
      <c r="AL26" s="206">
        <f t="shared" ref="AL26" si="84">SUM(AJ26:AK26)</f>
        <v>176671.01374369123</v>
      </c>
      <c r="AM26" s="5"/>
      <c r="AN26" s="5"/>
      <c r="AO26" s="5"/>
      <c r="AP26" s="5"/>
    </row>
    <row r="27" spans="1:42" s="1" customFormat="1">
      <c r="A27" s="325"/>
      <c r="B27" s="326"/>
      <c r="C27" s="329"/>
      <c r="D27" s="57" t="s">
        <v>63</v>
      </c>
      <c r="E27" s="30"/>
      <c r="F27" s="26"/>
      <c r="G27" s="5"/>
      <c r="H27" s="26"/>
      <c r="I27" s="27">
        <f>SUM(I16:I26)</f>
        <v>427502</v>
      </c>
      <c r="J27" s="28">
        <f>SUM(J16:J26)</f>
        <v>0</v>
      </c>
      <c r="K27" s="31">
        <f>SUM(K16:K26)</f>
        <v>427502</v>
      </c>
      <c r="L27" s="30"/>
      <c r="M27" s="26"/>
      <c r="N27" s="26"/>
      <c r="O27" s="27">
        <f>SUM(O16:O26)</f>
        <v>682205.76</v>
      </c>
      <c r="P27" s="27">
        <f t="shared" ref="P27:Q27" si="85">SUM(P16:P26)</f>
        <v>0</v>
      </c>
      <c r="Q27" s="27">
        <f t="shared" si="85"/>
        <v>682205.76</v>
      </c>
      <c r="R27" s="30"/>
      <c r="S27" s="26"/>
      <c r="T27" s="26"/>
      <c r="U27" s="27">
        <f>SUM(U16:U26)</f>
        <v>494871.67079999996</v>
      </c>
      <c r="V27" s="28">
        <f>SUM(V16:V26)</f>
        <v>0</v>
      </c>
      <c r="W27" s="31">
        <f>SUM(W16:W26)</f>
        <v>494871.67079999996</v>
      </c>
      <c r="X27" s="30"/>
      <c r="Y27" s="26"/>
      <c r="Z27" s="26"/>
      <c r="AA27" s="27">
        <f>SUM(AA16:AA26)</f>
        <v>451172.78230949992</v>
      </c>
      <c r="AB27" s="28">
        <f>SUM(AB16:AB26)</f>
        <v>0</v>
      </c>
      <c r="AC27" s="31">
        <f>SUM(AC16:AC26)</f>
        <v>451172.78230949992</v>
      </c>
      <c r="AD27" s="30"/>
      <c r="AE27" s="26"/>
      <c r="AF27" s="26"/>
      <c r="AG27" s="27">
        <f>SUM(AG16:AG26)</f>
        <v>324114.42895752925</v>
      </c>
      <c r="AH27" s="28">
        <f>SUM(AH16:AH26)</f>
        <v>0</v>
      </c>
      <c r="AI27" s="31">
        <f>SUM(AI16:AI26)</f>
        <v>324114.42895752925</v>
      </c>
      <c r="AJ27" s="29">
        <f>I27+O27+U27+AA27+AG27</f>
        <v>2379866.6420670291</v>
      </c>
      <c r="AK27" s="29">
        <f>J27+P27+V27+AB27+AH27</f>
        <v>0</v>
      </c>
      <c r="AL27" s="29">
        <f>SUM(AJ27:AK27)</f>
        <v>2379866.6420670291</v>
      </c>
    </row>
    <row r="28" spans="1:42">
      <c r="A28" s="321"/>
      <c r="B28" s="309"/>
      <c r="C28" s="328"/>
      <c r="D28" s="207"/>
      <c r="E28" s="170"/>
      <c r="F28" s="208"/>
      <c r="G28" s="208"/>
      <c r="H28" s="208"/>
      <c r="I28" s="11"/>
      <c r="J28" s="12"/>
      <c r="K28" s="205"/>
      <c r="L28" s="170"/>
      <c r="M28" s="208"/>
      <c r="N28" s="208"/>
      <c r="O28" s="11"/>
      <c r="P28" s="12"/>
      <c r="Q28" s="205"/>
      <c r="R28" s="170"/>
      <c r="S28" s="208"/>
      <c r="T28" s="208"/>
      <c r="U28" s="11"/>
      <c r="V28" s="12"/>
      <c r="W28" s="205"/>
      <c r="X28" s="170"/>
      <c r="Y28" s="208"/>
      <c r="Z28" s="208"/>
      <c r="AA28" s="11"/>
      <c r="AB28" s="12"/>
      <c r="AC28" s="205"/>
      <c r="AD28" s="170"/>
      <c r="AE28" s="208"/>
      <c r="AF28" s="208"/>
      <c r="AG28" s="11"/>
      <c r="AH28" s="12"/>
      <c r="AI28" s="205"/>
      <c r="AJ28" s="206"/>
      <c r="AK28" s="206"/>
      <c r="AL28" s="206"/>
      <c r="AM28" s="5"/>
      <c r="AN28" s="5"/>
      <c r="AO28" s="5"/>
      <c r="AP28" s="5"/>
    </row>
    <row r="29" spans="1:42">
      <c r="A29" s="327"/>
      <c r="D29" s="58" t="s">
        <v>64</v>
      </c>
      <c r="E29" s="33">
        <f>'Volunteer Numbers'!B9</f>
        <v>75</v>
      </c>
      <c r="F29" s="39">
        <f>Leverage!C3</f>
        <v>0</v>
      </c>
      <c r="G29" s="21"/>
      <c r="H29" s="5" t="s">
        <v>65</v>
      </c>
      <c r="I29" s="11">
        <v>0</v>
      </c>
      <c r="J29" s="12">
        <f>Leverage!B23*Leverage!C23*52*Budget!E29</f>
        <v>327600</v>
      </c>
      <c r="K29" s="205">
        <f>SUM(I29:J29)</f>
        <v>327600</v>
      </c>
      <c r="L29" s="33">
        <f>'Volunteer Numbers'!C9</f>
        <v>150</v>
      </c>
      <c r="M29" s="39">
        <f>Leverage!C3</f>
        <v>0</v>
      </c>
      <c r="N29" s="21"/>
      <c r="O29" s="11">
        <v>0</v>
      </c>
      <c r="P29" s="12">
        <f>Leverage!B23*Leverage!C23*52*Budget!L29</f>
        <v>655200</v>
      </c>
      <c r="Q29" s="205">
        <f>SUM(O29:P29)</f>
        <v>655200</v>
      </c>
      <c r="R29" s="33">
        <f>'Volunteer Numbers'!D9</f>
        <v>75</v>
      </c>
      <c r="S29" s="39">
        <f>Leverage!C3</f>
        <v>0</v>
      </c>
      <c r="T29" s="21"/>
      <c r="U29" s="11">
        <v>0</v>
      </c>
      <c r="V29" s="12">
        <f>Leverage!B23*Leverage!C23*52*Budget!R29</f>
        <v>327600</v>
      </c>
      <c r="W29" s="205">
        <f>SUM(U29:V29)</f>
        <v>327600</v>
      </c>
      <c r="X29" s="33">
        <v>0</v>
      </c>
      <c r="Y29" s="39">
        <f>Leverage!C3</f>
        <v>0</v>
      </c>
      <c r="Z29" s="21"/>
      <c r="AA29" s="11">
        <v>0</v>
      </c>
      <c r="AB29" s="12">
        <v>0</v>
      </c>
      <c r="AC29" s="205">
        <f>SUM(AA29:AB29)</f>
        <v>0</v>
      </c>
      <c r="AD29" s="33">
        <v>0</v>
      </c>
      <c r="AE29" s="39">
        <f>Leverage!C3</f>
        <v>0</v>
      </c>
      <c r="AF29" s="21"/>
      <c r="AG29" s="11">
        <v>0</v>
      </c>
      <c r="AH29" s="12">
        <v>0</v>
      </c>
      <c r="AI29" s="205">
        <f>SUM(AG29:AH29)</f>
        <v>0</v>
      </c>
      <c r="AJ29" s="206">
        <f>I29+O29+U29+AA29+AG29</f>
        <v>0</v>
      </c>
      <c r="AK29" s="206">
        <f>J29+P29+V29+AB29+AH29</f>
        <v>1310400</v>
      </c>
      <c r="AL29" s="206">
        <f>SUM(AJ29:AK29)</f>
        <v>1310400</v>
      </c>
      <c r="AM29" s="5"/>
      <c r="AN29" s="5"/>
      <c r="AO29" s="5"/>
      <c r="AP29" s="5"/>
    </row>
    <row r="30" spans="1:42">
      <c r="A30" s="327"/>
      <c r="D30" s="58" t="s">
        <v>66</v>
      </c>
      <c r="E30" s="33">
        <f>'Volunteer Numbers'!B5</f>
        <v>2</v>
      </c>
      <c r="F30" s="39">
        <f>Leverage!C4</f>
        <v>522</v>
      </c>
      <c r="G30" s="21"/>
      <c r="H30" s="5" t="s">
        <v>65</v>
      </c>
      <c r="I30" s="11">
        <v>0</v>
      </c>
      <c r="J30" s="12">
        <f>Leverage!B17+Leverage!B18</f>
        <v>15660</v>
      </c>
      <c r="K30" s="205">
        <f>SUM(I30:J30)</f>
        <v>15660</v>
      </c>
      <c r="L30" s="33">
        <f>'Volunteer Numbers'!C5</f>
        <v>13</v>
      </c>
      <c r="M30" s="39">
        <f>Leverage!C4</f>
        <v>522</v>
      </c>
      <c r="N30" s="21"/>
      <c r="O30" s="11">
        <v>0</v>
      </c>
      <c r="P30" s="12">
        <f>Leverage!C17+Leverage!C18</f>
        <v>506992.5</v>
      </c>
      <c r="Q30" s="205">
        <f>SUM(O30:P30)</f>
        <v>506992.5</v>
      </c>
      <c r="R30" s="33">
        <f>'Volunteer Numbers'!D5</f>
        <v>13</v>
      </c>
      <c r="S30" s="39">
        <f>Leverage!C4</f>
        <v>522</v>
      </c>
      <c r="T30" s="21"/>
      <c r="U30" s="11">
        <v>0</v>
      </c>
      <c r="V30" s="12">
        <f>Leverage!D17+Leverage!D18</f>
        <v>506992.5</v>
      </c>
      <c r="W30" s="205">
        <f>SUM(U30:V30)</f>
        <v>506992.5</v>
      </c>
      <c r="X30" s="33">
        <f>'Volunteer Numbers'!E5</f>
        <v>13</v>
      </c>
      <c r="Y30" s="39">
        <f>Leverage!C4</f>
        <v>522</v>
      </c>
      <c r="Z30" s="21"/>
      <c r="AA30" s="11">
        <v>0</v>
      </c>
      <c r="AB30" s="12">
        <f>Leverage!E17+Leverage!E18</f>
        <v>506992.5</v>
      </c>
      <c r="AC30" s="205">
        <f>SUM(AA30:AB30)</f>
        <v>506992.5</v>
      </c>
      <c r="AD30" s="33">
        <f>'Volunteer Numbers'!F5</f>
        <v>4</v>
      </c>
      <c r="AE30" s="39">
        <f>Leverage!C4</f>
        <v>522</v>
      </c>
      <c r="AF30" s="21"/>
      <c r="AG30" s="11">
        <v>0</v>
      </c>
      <c r="AH30" s="12">
        <f>Leverage!F17+Leverage!F18</f>
        <v>166387.5</v>
      </c>
      <c r="AI30" s="205">
        <f>SUM(AG30:AH30)</f>
        <v>166387.5</v>
      </c>
      <c r="AJ30" s="206">
        <f>I30+O30+U30+AA30+AG30</f>
        <v>0</v>
      </c>
      <c r="AK30" s="206">
        <f>J30+P30+V30+AB30+AH30</f>
        <v>1703025</v>
      </c>
      <c r="AL30" s="206">
        <f>SUM(AJ30:AK30)</f>
        <v>1703025</v>
      </c>
      <c r="AM30" s="5"/>
      <c r="AN30" s="5"/>
      <c r="AO30" s="5"/>
      <c r="AP30" s="5"/>
    </row>
    <row r="31" spans="1:42">
      <c r="A31" s="301"/>
      <c r="B31" s="307"/>
      <c r="C31" s="304"/>
      <c r="D31" s="209"/>
      <c r="E31" s="34"/>
      <c r="F31" s="24"/>
      <c r="G31" s="24"/>
      <c r="H31" s="24"/>
      <c r="I31" s="210"/>
      <c r="J31" s="211"/>
      <c r="K31" s="212"/>
      <c r="L31" s="34"/>
      <c r="M31" s="24"/>
      <c r="N31" s="24"/>
      <c r="O31" s="210"/>
      <c r="P31" s="211"/>
      <c r="Q31" s="212"/>
      <c r="R31" s="34"/>
      <c r="S31" s="24"/>
      <c r="T31" s="24"/>
      <c r="U31" s="210"/>
      <c r="V31" s="211"/>
      <c r="W31" s="212"/>
      <c r="X31" s="34"/>
      <c r="Y31" s="24"/>
      <c r="Z31" s="24"/>
      <c r="AA31" s="210"/>
      <c r="AB31" s="211"/>
      <c r="AC31" s="212"/>
      <c r="AD31" s="34"/>
      <c r="AE31" s="24"/>
      <c r="AF31" s="24"/>
      <c r="AG31" s="210"/>
      <c r="AH31" s="211"/>
      <c r="AI31" s="212"/>
      <c r="AJ31" s="209"/>
      <c r="AK31" s="209"/>
      <c r="AL31" s="209"/>
      <c r="AM31" s="5"/>
      <c r="AN31" s="5"/>
      <c r="AO31" s="5"/>
      <c r="AP31" s="5"/>
    </row>
    <row r="32" spans="1:42">
      <c r="A32" s="330"/>
      <c r="B32" s="331"/>
      <c r="C32" s="332"/>
      <c r="D32" s="106" t="s">
        <v>67</v>
      </c>
      <c r="E32" s="213"/>
      <c r="F32" s="214"/>
      <c r="G32" s="214"/>
      <c r="H32" s="214"/>
      <c r="I32" s="215">
        <f>I29+I27+I13+I30</f>
        <v>622538</v>
      </c>
      <c r="J32" s="216">
        <f>SUM(J29:J30)</f>
        <v>343260</v>
      </c>
      <c r="K32" s="217">
        <f>K27+K13+K30+K29</f>
        <v>965798</v>
      </c>
      <c r="L32" s="213"/>
      <c r="M32" s="214"/>
      <c r="N32" s="214"/>
      <c r="O32" s="215">
        <f>O29+O27+O13+O30</f>
        <v>884068.02</v>
      </c>
      <c r="P32" s="216">
        <f>SUM(P29:P30)</f>
        <v>1162192.5</v>
      </c>
      <c r="Q32" s="217">
        <f>Q27+Q13+Q30+Q29</f>
        <v>2046260.52</v>
      </c>
      <c r="R32" s="213"/>
      <c r="S32" s="214"/>
      <c r="T32" s="214"/>
      <c r="U32" s="215">
        <f>U29+U27+U13+U30</f>
        <v>703799.10989999992</v>
      </c>
      <c r="V32" s="216">
        <f>SUM(V29:V30)</f>
        <v>834592.5</v>
      </c>
      <c r="W32" s="217">
        <f>W27+W13+W30+W29</f>
        <v>1538391.6099</v>
      </c>
      <c r="X32" s="213"/>
      <c r="Y32" s="214"/>
      <c r="Z32" s="214"/>
      <c r="AA32" s="215">
        <f>AA29+AA27+AA13+AA30</f>
        <v>667412.68177799985</v>
      </c>
      <c r="AB32" s="216">
        <f>SUM(AB29:AB30)</f>
        <v>506992.5</v>
      </c>
      <c r="AC32" s="217">
        <f>AC27+AC13+AC30+AC29</f>
        <v>1174405.1817779997</v>
      </c>
      <c r="AD32" s="213"/>
      <c r="AE32" s="214"/>
      <c r="AF32" s="214"/>
      <c r="AG32" s="215">
        <f>AG29+AG27+AG13+AG30</f>
        <v>547922.72490742663</v>
      </c>
      <c r="AH32" s="216">
        <f>SUM(AH29:AH30)</f>
        <v>166387.5</v>
      </c>
      <c r="AI32" s="217">
        <f>AI27+AI13+AI30+AI29</f>
        <v>714310.22490742663</v>
      </c>
      <c r="AJ32" s="215">
        <f>AJ29+AJ27+AJ13+AJ30</f>
        <v>3425740.5365854264</v>
      </c>
      <c r="AK32" s="216">
        <f>SUM(AK29:AK30)</f>
        <v>3013425</v>
      </c>
      <c r="AL32" s="218">
        <f>AL29+AL27+AL13+AL30</f>
        <v>6439165.536585426</v>
      </c>
      <c r="AM32" s="5"/>
      <c r="AN32" s="5"/>
      <c r="AO32" s="5"/>
      <c r="AP32" s="5"/>
    </row>
    <row r="33" spans="1:42">
      <c r="A33" s="333"/>
      <c r="B33" s="334"/>
      <c r="C33" s="335"/>
      <c r="D33" s="219"/>
      <c r="E33" s="220"/>
      <c r="F33" s="221"/>
      <c r="G33" s="221"/>
      <c r="H33" s="221"/>
      <c r="I33" s="360"/>
      <c r="J33" s="223"/>
      <c r="K33" s="224"/>
      <c r="L33" s="220"/>
      <c r="M33" s="221"/>
      <c r="N33" s="221"/>
      <c r="O33" s="222"/>
      <c r="P33" s="223"/>
      <c r="Q33" s="224"/>
      <c r="R33" s="220"/>
      <c r="S33" s="221"/>
      <c r="T33" s="221"/>
      <c r="U33" s="222"/>
      <c r="V33" s="223"/>
      <c r="W33" s="224"/>
      <c r="X33" s="220"/>
      <c r="Y33" s="221"/>
      <c r="Z33" s="221"/>
      <c r="AA33" s="222"/>
      <c r="AB33" s="223"/>
      <c r="AC33" s="224"/>
      <c r="AD33" s="220"/>
      <c r="AE33" s="221"/>
      <c r="AF33" s="221"/>
      <c r="AG33" s="222"/>
      <c r="AH33" s="223"/>
      <c r="AI33" s="224"/>
      <c r="AJ33" s="225"/>
      <c r="AK33" s="225"/>
      <c r="AL33" s="225"/>
      <c r="AM33" s="5"/>
      <c r="AN33" s="5"/>
      <c r="AO33" s="5"/>
      <c r="AP33" s="5"/>
    </row>
    <row r="34" spans="1:42">
      <c r="A34" s="318"/>
      <c r="B34" s="319"/>
      <c r="C34" s="320"/>
      <c r="D34" s="77" t="s">
        <v>14</v>
      </c>
      <c r="E34" s="226"/>
      <c r="F34" s="227"/>
      <c r="G34" s="227"/>
      <c r="H34" s="227"/>
      <c r="I34" s="74"/>
      <c r="J34" s="72"/>
      <c r="K34" s="228"/>
      <c r="L34" s="226"/>
      <c r="M34" s="227"/>
      <c r="N34" s="227"/>
      <c r="O34" s="74"/>
      <c r="P34" s="72"/>
      <c r="Q34" s="228"/>
      <c r="R34" s="226"/>
      <c r="S34" s="227"/>
      <c r="T34" s="227"/>
      <c r="U34" s="74"/>
      <c r="V34" s="72"/>
      <c r="W34" s="228"/>
      <c r="X34" s="226"/>
      <c r="Y34" s="227"/>
      <c r="Z34" s="227"/>
      <c r="AA34" s="74"/>
      <c r="AB34" s="72"/>
      <c r="AC34" s="228"/>
      <c r="AD34" s="226"/>
      <c r="AE34" s="227"/>
      <c r="AF34" s="227"/>
      <c r="AG34" s="74"/>
      <c r="AH34" s="72"/>
      <c r="AI34" s="228"/>
      <c r="AJ34" s="229"/>
      <c r="AK34" s="229"/>
      <c r="AL34" s="229"/>
      <c r="AM34" s="5"/>
      <c r="AN34" s="5"/>
      <c r="AO34" s="5"/>
      <c r="AP34" s="5"/>
    </row>
    <row r="35" spans="1:42">
      <c r="A35" s="327" t="s">
        <v>68</v>
      </c>
      <c r="B35" s="305" t="s">
        <v>69</v>
      </c>
      <c r="C35" s="298">
        <v>0</v>
      </c>
      <c r="D35" s="230" t="s">
        <v>70</v>
      </c>
      <c r="E35" s="169">
        <v>0.21809999999999999</v>
      </c>
      <c r="F35" s="102"/>
      <c r="I35" s="231">
        <f>I13*E35</f>
        <v>42537.351599999995</v>
      </c>
      <c r="J35" s="17">
        <v>0</v>
      </c>
      <c r="K35" s="205">
        <f t="shared" ref="K35" si="86">SUM(I35:J35)</f>
        <v>42537.351599999995</v>
      </c>
      <c r="L35" s="114"/>
      <c r="M35" s="102"/>
      <c r="O35" s="231">
        <f>O13*$E$35</f>
        <v>44026.158905999997</v>
      </c>
      <c r="P35" s="17">
        <v>0</v>
      </c>
      <c r="Q35" s="205">
        <f t="shared" ref="Q35:Q39" si="87">SUM(O35:P35)</f>
        <v>44026.158905999997</v>
      </c>
      <c r="R35" s="114"/>
      <c r="S35" s="102"/>
      <c r="U35" s="231">
        <f>U13*$E$35</f>
        <v>45567.074467709986</v>
      </c>
      <c r="V35" s="17">
        <v>0</v>
      </c>
      <c r="W35" s="205">
        <f t="shared" ref="W35:W39" si="88">SUM(U35:V35)</f>
        <v>45567.074467709986</v>
      </c>
      <c r="X35" s="114"/>
      <c r="Y35" s="102"/>
      <c r="AA35" s="231">
        <f>AA13*$E$35</f>
        <v>47161.922074079834</v>
      </c>
      <c r="AB35" s="17">
        <v>0</v>
      </c>
      <c r="AC35" s="205">
        <f t="shared" ref="AC35:AC40" si="89">SUM(AA35:AB35)</f>
        <v>47161.922074079834</v>
      </c>
      <c r="AD35" s="114"/>
      <c r="AE35" s="102"/>
      <c r="AG35" s="231">
        <f>AG13*$E$35</f>
        <v>48812.589346672619</v>
      </c>
      <c r="AH35" s="17">
        <v>0</v>
      </c>
      <c r="AI35" s="205">
        <f t="shared" ref="AI35:AI39" si="90">SUM(AG35:AH35)</f>
        <v>48812.589346672619</v>
      </c>
      <c r="AJ35" s="232">
        <f>I35+O35+U35+AA35+AG35</f>
        <v>228105.09639446242</v>
      </c>
      <c r="AK35" s="232">
        <f t="shared" ref="AJ35:AK37" si="91">J35+P35+V35+AB35+AH35</f>
        <v>0</v>
      </c>
      <c r="AL35" s="232">
        <f>SUM(AJ35:AK35)</f>
        <v>228105.09639446242</v>
      </c>
      <c r="AM35" s="5"/>
      <c r="AN35" s="5"/>
      <c r="AO35" s="5"/>
      <c r="AP35" s="5"/>
    </row>
    <row r="36" spans="1:42">
      <c r="A36" s="327" t="s">
        <v>68</v>
      </c>
      <c r="B36" s="305" t="s">
        <v>71</v>
      </c>
      <c r="C36" s="303" t="s">
        <v>51</v>
      </c>
      <c r="D36" s="63" t="s">
        <v>72</v>
      </c>
      <c r="E36" s="169">
        <v>0.3</v>
      </c>
      <c r="F36" s="132"/>
      <c r="G36" s="5"/>
      <c r="H36" s="5"/>
      <c r="I36" s="11">
        <f>(SUM(I17:I26)*$E$36)</f>
        <v>84702.599999999991</v>
      </c>
      <c r="J36" s="12">
        <v>0</v>
      </c>
      <c r="K36" s="205">
        <f>SUM(I36:J36)</f>
        <v>84702.599999999991</v>
      </c>
      <c r="L36" s="35"/>
      <c r="M36" s="132"/>
      <c r="N36" s="5"/>
      <c r="O36" s="11">
        <f>(SUM(O17:O26)*$E$36)</f>
        <v>150575.11199999999</v>
      </c>
      <c r="P36" s="12">
        <v>0</v>
      </c>
      <c r="Q36" s="205">
        <f t="shared" si="87"/>
        <v>150575.11199999999</v>
      </c>
      <c r="R36" s="35"/>
      <c r="S36" s="132"/>
      <c r="T36" s="5"/>
      <c r="U36" s="11">
        <f>(SUM(U17:U26)*$E$36)</f>
        <v>139131.55997999999</v>
      </c>
      <c r="V36" s="12">
        <v>0</v>
      </c>
      <c r="W36" s="205">
        <f t="shared" si="88"/>
        <v>139131.55997999999</v>
      </c>
      <c r="X36" s="35"/>
      <c r="Y36" s="132"/>
      <c r="Z36" s="5"/>
      <c r="AA36" s="11">
        <f>(SUM(AA17:AA26)*$E$36)</f>
        <v>135351.83469284998</v>
      </c>
      <c r="AB36" s="12">
        <v>0</v>
      </c>
      <c r="AC36" s="205">
        <f t="shared" si="89"/>
        <v>135351.83469284998</v>
      </c>
      <c r="AD36" s="35"/>
      <c r="AE36" s="132"/>
      <c r="AF36" s="5"/>
      <c r="AG36" s="11">
        <f>(SUM(AG17:AG26)*$E$36)</f>
        <v>97234.328687258778</v>
      </c>
      <c r="AH36" s="12">
        <v>0</v>
      </c>
      <c r="AI36" s="205">
        <f t="shared" si="90"/>
        <v>97234.328687258778</v>
      </c>
      <c r="AJ36" s="206">
        <f t="shared" si="91"/>
        <v>606995.43536010874</v>
      </c>
      <c r="AK36" s="206">
        <f t="shared" si="91"/>
        <v>0</v>
      </c>
      <c r="AL36" s="232">
        <f t="shared" ref="AL36:AL39" si="92">SUM(AJ36:AK36)</f>
        <v>606995.43536010874</v>
      </c>
      <c r="AM36" s="5"/>
      <c r="AN36" s="5"/>
      <c r="AO36" s="5"/>
      <c r="AP36" s="5"/>
    </row>
    <row r="37" spans="1:42">
      <c r="A37" s="327" t="s">
        <v>68</v>
      </c>
      <c r="B37" s="305" t="s">
        <v>69</v>
      </c>
      <c r="C37" s="303" t="s">
        <v>51</v>
      </c>
      <c r="D37" s="270" t="s">
        <v>73</v>
      </c>
      <c r="E37" s="169">
        <v>0.19670000000000001</v>
      </c>
      <c r="F37" s="132"/>
      <c r="G37" s="135"/>
      <c r="H37" s="134"/>
      <c r="I37" s="129">
        <f>$E$37*I16</f>
        <v>28552.972000000002</v>
      </c>
      <c r="J37" s="271">
        <v>0</v>
      </c>
      <c r="K37" s="272">
        <f>SUM(I37:J37)</f>
        <v>28552.972000000002</v>
      </c>
      <c r="L37" s="35"/>
      <c r="M37" s="132"/>
      <c r="N37"/>
      <c r="O37" s="129">
        <f>$E$37*O16</f>
        <v>35462.791224000001</v>
      </c>
      <c r="P37" s="271">
        <v>0</v>
      </c>
      <c r="Q37" s="272">
        <f>SUM(O37:P37)</f>
        <v>35462.791224000001</v>
      </c>
      <c r="R37" s="35"/>
      <c r="S37" s="132"/>
      <c r="T37" s="271"/>
      <c r="U37" s="129">
        <f>$E$37*U16</f>
        <v>6117.3314861399995</v>
      </c>
      <c r="V37" s="271">
        <v>0</v>
      </c>
      <c r="W37" s="272">
        <f>SUM(U37:V37)</f>
        <v>6117.3314861399995</v>
      </c>
      <c r="X37" s="35"/>
      <c r="Y37" s="132"/>
      <c r="Z37"/>
      <c r="AA37" s="129">
        <f>$E$37*AA16</f>
        <v>0</v>
      </c>
      <c r="AB37" s="271">
        <v>0</v>
      </c>
      <c r="AC37" s="272">
        <f>SUM(AA37:AB37)</f>
        <v>0</v>
      </c>
      <c r="AD37" s="35"/>
      <c r="AE37" s="132"/>
      <c r="AF37"/>
      <c r="AG37" s="129">
        <f>$E$37*AG16</f>
        <v>0</v>
      </c>
      <c r="AH37" s="271">
        <v>0</v>
      </c>
      <c r="AI37" s="272">
        <f>SUM(AG37:AH37)</f>
        <v>0</v>
      </c>
      <c r="AJ37" s="273">
        <f t="shared" si="91"/>
        <v>70133.094710139994</v>
      </c>
      <c r="AK37" s="273">
        <f t="shared" si="91"/>
        <v>0</v>
      </c>
      <c r="AL37" s="274">
        <f>SUM(AJ37:AK37)</f>
        <v>70133.094710139994</v>
      </c>
      <c r="AM37"/>
      <c r="AN37"/>
      <c r="AO37"/>
      <c r="AP37"/>
    </row>
    <row r="38" spans="1:42">
      <c r="A38" s="327" t="s">
        <v>74</v>
      </c>
      <c r="B38" s="305" t="s">
        <v>75</v>
      </c>
      <c r="C38" s="303" t="s">
        <v>51</v>
      </c>
      <c r="D38" s="63" t="s">
        <v>76</v>
      </c>
      <c r="E38" s="169">
        <v>0.3</v>
      </c>
      <c r="F38" s="132"/>
      <c r="G38" s="5"/>
      <c r="H38" s="5"/>
      <c r="I38" s="11">
        <f>$E$38*I16</f>
        <v>43548</v>
      </c>
      <c r="J38" s="12">
        <v>0</v>
      </c>
      <c r="K38" s="205">
        <f t="shared" ref="K38:K39" si="93">SUM(I38:J38)</f>
        <v>43548</v>
      </c>
      <c r="L38" s="35"/>
      <c r="M38" s="132"/>
      <c r="N38" s="5"/>
      <c r="O38" s="11">
        <f>$E$38*O16</f>
        <v>54086.616000000002</v>
      </c>
      <c r="P38" s="12">
        <v>0</v>
      </c>
      <c r="Q38" s="205">
        <f t="shared" si="87"/>
        <v>54086.616000000002</v>
      </c>
      <c r="R38" s="35"/>
      <c r="S38" s="132"/>
      <c r="T38" s="5"/>
      <c r="U38" s="11">
        <f>$E$38*U16</f>
        <v>9329.9412599999978</v>
      </c>
      <c r="V38" s="12">
        <v>0</v>
      </c>
      <c r="W38" s="205">
        <f t="shared" si="88"/>
        <v>9329.9412599999978</v>
      </c>
      <c r="X38" s="35"/>
      <c r="Y38" s="132"/>
      <c r="Z38" s="5"/>
      <c r="AA38" s="11">
        <f>$E$38*AA16</f>
        <v>0</v>
      </c>
      <c r="AB38" s="12">
        <v>0</v>
      </c>
      <c r="AC38" s="205">
        <f t="shared" si="89"/>
        <v>0</v>
      </c>
      <c r="AD38" s="35"/>
      <c r="AE38" s="132"/>
      <c r="AF38" s="5"/>
      <c r="AG38" s="11">
        <f>$E$38*AG16</f>
        <v>0</v>
      </c>
      <c r="AH38" s="12">
        <v>0</v>
      </c>
      <c r="AI38" s="205">
        <f t="shared" si="90"/>
        <v>0</v>
      </c>
      <c r="AJ38" s="206">
        <f t="shared" ref="AJ38:AJ39" si="94">I38+O38+U38+AA38+AG38</f>
        <v>106964.55726</v>
      </c>
      <c r="AK38" s="206">
        <f t="shared" ref="AK38:AK39" si="95">J38+P38+V38+AB38+AH38</f>
        <v>0</v>
      </c>
      <c r="AL38" s="232">
        <f t="shared" si="92"/>
        <v>106964.55726</v>
      </c>
      <c r="AM38" s="5"/>
      <c r="AN38" s="5"/>
      <c r="AO38" s="5"/>
      <c r="AP38" s="5"/>
    </row>
    <row r="39" spans="1:42">
      <c r="A39" s="327" t="s">
        <v>77</v>
      </c>
      <c r="B39" s="305" t="s">
        <v>78</v>
      </c>
      <c r="C39" s="303" t="s">
        <v>51</v>
      </c>
      <c r="D39" s="63" t="s">
        <v>79</v>
      </c>
      <c r="E39" s="169">
        <v>0.25</v>
      </c>
      <c r="F39" s="132"/>
      <c r="G39" s="5"/>
      <c r="H39" s="5"/>
      <c r="I39" s="11">
        <f>$E$39*I16</f>
        <v>36290</v>
      </c>
      <c r="J39" s="12">
        <v>0</v>
      </c>
      <c r="K39" s="205">
        <f t="shared" si="93"/>
        <v>36290</v>
      </c>
      <c r="L39" s="35"/>
      <c r="M39" s="132"/>
      <c r="N39" s="5"/>
      <c r="O39" s="11">
        <f>$E$39*O16</f>
        <v>45072.18</v>
      </c>
      <c r="P39" s="12">
        <v>0</v>
      </c>
      <c r="Q39" s="205">
        <f t="shared" si="87"/>
        <v>45072.18</v>
      </c>
      <c r="R39" s="35"/>
      <c r="S39" s="132"/>
      <c r="T39" s="5"/>
      <c r="U39" s="11">
        <f>$E$39*U16</f>
        <v>7774.9510499999988</v>
      </c>
      <c r="V39" s="12">
        <v>0</v>
      </c>
      <c r="W39" s="205">
        <f t="shared" si="88"/>
        <v>7774.9510499999988</v>
      </c>
      <c r="X39" s="35"/>
      <c r="Y39" s="132"/>
      <c r="Z39" s="5"/>
      <c r="AA39" s="11">
        <f>$E$39*AA16</f>
        <v>0</v>
      </c>
      <c r="AB39" s="12">
        <v>0</v>
      </c>
      <c r="AC39" s="205">
        <f t="shared" si="89"/>
        <v>0</v>
      </c>
      <c r="AD39" s="35"/>
      <c r="AE39" s="132"/>
      <c r="AF39" s="5"/>
      <c r="AG39" s="11">
        <f>$E$39*AG16</f>
        <v>0</v>
      </c>
      <c r="AH39" s="12">
        <v>0</v>
      </c>
      <c r="AI39" s="205">
        <f t="shared" si="90"/>
        <v>0</v>
      </c>
      <c r="AJ39" s="206">
        <f t="shared" si="94"/>
        <v>89137.131049999996</v>
      </c>
      <c r="AK39" s="206">
        <f t="shared" si="95"/>
        <v>0</v>
      </c>
      <c r="AL39" s="232">
        <f t="shared" si="92"/>
        <v>89137.131049999996</v>
      </c>
      <c r="AM39" s="5"/>
      <c r="AN39" s="5"/>
      <c r="AO39" s="5"/>
      <c r="AP39" s="5"/>
    </row>
    <row r="40" spans="1:42">
      <c r="A40" s="327" t="s">
        <v>80</v>
      </c>
      <c r="B40" s="305" t="s">
        <v>81</v>
      </c>
      <c r="C40" s="303" t="s">
        <v>51</v>
      </c>
      <c r="D40" s="63" t="s">
        <v>82</v>
      </c>
      <c r="E40" s="136">
        <v>1</v>
      </c>
      <c r="F40" s="132">
        <v>2400</v>
      </c>
      <c r="G40" s="135">
        <v>6</v>
      </c>
      <c r="H40" s="134" t="s">
        <v>83</v>
      </c>
      <c r="I40" s="11">
        <f>G40*F40*E40</f>
        <v>14400</v>
      </c>
      <c r="J40" s="12">
        <v>0</v>
      </c>
      <c r="K40" s="205">
        <f t="shared" ref="K40" si="96">SUM(I40:J40)</f>
        <v>14400</v>
      </c>
      <c r="L40" s="35">
        <v>1</v>
      </c>
      <c r="M40" s="132">
        <f>F40</f>
        <v>2400</v>
      </c>
      <c r="N40" s="5">
        <f>N16</f>
        <v>12</v>
      </c>
      <c r="O40" s="11">
        <f>N40*M40*L40</f>
        <v>28800</v>
      </c>
      <c r="P40" s="12">
        <v>0</v>
      </c>
      <c r="Q40" s="205">
        <f t="shared" ref="Q40" si="97">SUM(O40:P40)</f>
        <v>28800</v>
      </c>
      <c r="R40" s="35">
        <v>1</v>
      </c>
      <c r="S40" s="132">
        <f>F40</f>
        <v>2400</v>
      </c>
      <c r="T40" s="5">
        <f>T16</f>
        <v>2</v>
      </c>
      <c r="U40" s="11">
        <f>T40*S40*R40</f>
        <v>4800</v>
      </c>
      <c r="V40" s="12">
        <v>0</v>
      </c>
      <c r="W40" s="205">
        <f t="shared" ref="W40" si="98">SUM(U40:V40)</f>
        <v>4800</v>
      </c>
      <c r="X40" s="35">
        <v>0</v>
      </c>
      <c r="Y40" s="132">
        <f>F40</f>
        <v>2400</v>
      </c>
      <c r="Z40" s="5">
        <f>Z16</f>
        <v>0</v>
      </c>
      <c r="AA40" s="11">
        <f>Z40*Y40*X40</f>
        <v>0</v>
      </c>
      <c r="AB40" s="12">
        <v>0</v>
      </c>
      <c r="AC40" s="205">
        <f t="shared" si="89"/>
        <v>0</v>
      </c>
      <c r="AD40" s="35">
        <v>0</v>
      </c>
      <c r="AE40" s="132">
        <f>F40</f>
        <v>2400</v>
      </c>
      <c r="AF40" s="5">
        <f>AF16</f>
        <v>0</v>
      </c>
      <c r="AG40" s="11">
        <f>AF40*AE40*AD40</f>
        <v>0</v>
      </c>
      <c r="AH40" s="12">
        <v>0</v>
      </c>
      <c r="AI40" s="205">
        <f t="shared" ref="AI40" si="99">SUM(AG40:AH40)</f>
        <v>0</v>
      </c>
      <c r="AJ40" s="206">
        <f t="shared" ref="AJ40" si="100">I40+O40+U40+AA40+AG40</f>
        <v>48000</v>
      </c>
      <c r="AK40" s="206">
        <f t="shared" ref="AK40" si="101">J40+P40+V40+AB40+AH40</f>
        <v>0</v>
      </c>
      <c r="AL40" s="232">
        <f t="shared" ref="AL40" si="102">SUM(AJ40:AK40)</f>
        <v>48000</v>
      </c>
      <c r="AM40" s="5"/>
      <c r="AN40" s="5"/>
      <c r="AO40" s="5"/>
      <c r="AP40" s="5"/>
    </row>
    <row r="41" spans="1:42">
      <c r="A41" s="327" t="s">
        <v>84</v>
      </c>
      <c r="B41" s="305" t="s">
        <v>85</v>
      </c>
      <c r="C41" s="303" t="s">
        <v>51</v>
      </c>
      <c r="D41" s="63" t="s">
        <v>86</v>
      </c>
      <c r="E41" s="136">
        <v>1</v>
      </c>
      <c r="F41" s="132">
        <v>2000</v>
      </c>
      <c r="G41" s="135">
        <v>1</v>
      </c>
      <c r="H41" s="134" t="s">
        <v>87</v>
      </c>
      <c r="I41" s="11">
        <f>G41*F41*E41</f>
        <v>2000</v>
      </c>
      <c r="J41" s="12">
        <v>0</v>
      </c>
      <c r="K41" s="205">
        <f t="shared" ref="K41" si="103">SUM(I41:J41)</f>
        <v>2000</v>
      </c>
      <c r="L41" s="35">
        <v>1</v>
      </c>
      <c r="M41" s="132">
        <f>F41</f>
        <v>2000</v>
      </c>
      <c r="N41" s="5">
        <v>1</v>
      </c>
      <c r="O41" s="11">
        <f>N41*M41*L41</f>
        <v>2000</v>
      </c>
      <c r="P41" s="12">
        <v>0</v>
      </c>
      <c r="Q41" s="205">
        <f t="shared" ref="Q41" si="104">SUM(O41:P41)</f>
        <v>2000</v>
      </c>
      <c r="R41" s="35">
        <v>1</v>
      </c>
      <c r="S41" s="132">
        <f>F41</f>
        <v>2000</v>
      </c>
      <c r="T41" s="5">
        <v>1</v>
      </c>
      <c r="U41" s="11">
        <f>T41*S41*R41</f>
        <v>2000</v>
      </c>
      <c r="V41" s="12">
        <v>0</v>
      </c>
      <c r="W41" s="205">
        <f t="shared" ref="W41" si="105">SUM(U41:V41)</f>
        <v>2000</v>
      </c>
      <c r="X41" s="35">
        <v>0</v>
      </c>
      <c r="Y41" s="132">
        <f>F41</f>
        <v>2000</v>
      </c>
      <c r="Z41" s="5">
        <v>0</v>
      </c>
      <c r="AA41" s="11">
        <f>Z41*Y41*X41</f>
        <v>0</v>
      </c>
      <c r="AB41" s="12">
        <v>0</v>
      </c>
      <c r="AC41" s="205">
        <f t="shared" ref="AC41" si="106">SUM(AA41:AB41)</f>
        <v>0</v>
      </c>
      <c r="AD41" s="35">
        <v>0</v>
      </c>
      <c r="AE41" s="132">
        <f>F41</f>
        <v>2000</v>
      </c>
      <c r="AF41" s="5">
        <v>0</v>
      </c>
      <c r="AG41" s="11">
        <f>AF41*AE41*AD41</f>
        <v>0</v>
      </c>
      <c r="AH41" s="12">
        <v>0</v>
      </c>
      <c r="AI41" s="205">
        <f t="shared" ref="AI41" si="107">SUM(AG41:AH41)</f>
        <v>0</v>
      </c>
      <c r="AJ41" s="206">
        <f t="shared" ref="AJ41" si="108">I41+O41+U41+AA41+AG41</f>
        <v>6000</v>
      </c>
      <c r="AK41" s="206">
        <f t="shared" ref="AK41" si="109">J41+P41+V41+AB41+AH41</f>
        <v>0</v>
      </c>
      <c r="AL41" s="232">
        <f t="shared" ref="AL41" si="110">SUM(AJ41:AK41)</f>
        <v>6000</v>
      </c>
      <c r="AM41" s="5"/>
      <c r="AN41" s="5"/>
      <c r="AO41" s="5"/>
      <c r="AP41" s="5"/>
    </row>
    <row r="42" spans="1:42">
      <c r="A42" s="301"/>
      <c r="B42" s="307"/>
      <c r="C42" s="304"/>
      <c r="D42" s="209"/>
      <c r="E42" s="233"/>
      <c r="F42" s="211"/>
      <c r="G42" s="211"/>
      <c r="H42" s="211"/>
      <c r="I42" s="210"/>
      <c r="J42" s="211"/>
      <c r="K42" s="212"/>
      <c r="L42" s="233"/>
      <c r="M42" s="211"/>
      <c r="N42" s="211"/>
      <c r="O42" s="210"/>
      <c r="P42" s="211"/>
      <c r="Q42" s="212"/>
      <c r="R42" s="233"/>
      <c r="S42" s="211"/>
      <c r="T42" s="211"/>
      <c r="U42" s="210"/>
      <c r="V42" s="211"/>
      <c r="W42" s="212"/>
      <c r="X42" s="233"/>
      <c r="Y42" s="211"/>
      <c r="Z42" s="211"/>
      <c r="AA42" s="210"/>
      <c r="AB42" s="211"/>
      <c r="AC42" s="212"/>
      <c r="AD42" s="233"/>
      <c r="AE42" s="211"/>
      <c r="AF42" s="211"/>
      <c r="AG42" s="210"/>
      <c r="AH42" s="211"/>
      <c r="AI42" s="212"/>
      <c r="AJ42" s="209"/>
      <c r="AK42" s="209"/>
      <c r="AL42" s="209"/>
      <c r="AM42" s="12"/>
      <c r="AN42" s="5"/>
      <c r="AO42" s="5"/>
      <c r="AP42" s="5"/>
    </row>
    <row r="43" spans="1:42">
      <c r="A43" s="330"/>
      <c r="B43" s="331"/>
      <c r="C43" s="332"/>
      <c r="D43" s="106" t="s">
        <v>88</v>
      </c>
      <c r="E43" s="213"/>
      <c r="F43" s="214"/>
      <c r="G43" s="214"/>
      <c r="H43" s="214"/>
      <c r="I43" s="215">
        <f>SUM(I35:I42)</f>
        <v>252030.92359999998</v>
      </c>
      <c r="J43" s="215">
        <f t="shared" ref="J43:K43" si="111">SUM(J35:J42)</f>
        <v>0</v>
      </c>
      <c r="K43" s="215">
        <f t="shared" si="111"/>
        <v>252030.92359999998</v>
      </c>
      <c r="L43" s="213"/>
      <c r="M43" s="214"/>
      <c r="N43" s="214"/>
      <c r="O43" s="215">
        <f>SUM(O35:O42)</f>
        <v>360022.85812999995</v>
      </c>
      <c r="P43" s="215">
        <f t="shared" ref="P43:Q43" si="112">SUM(P35:P42)</f>
        <v>0</v>
      </c>
      <c r="Q43" s="215">
        <f t="shared" si="112"/>
        <v>360022.85812999995</v>
      </c>
      <c r="R43" s="213"/>
      <c r="S43" s="214"/>
      <c r="T43" s="214"/>
      <c r="U43" s="215">
        <f>SUM(U35:U42)</f>
        <v>214720.85824384997</v>
      </c>
      <c r="V43" s="215">
        <f t="shared" ref="V43:W43" si="113">SUM(V35:V42)</f>
        <v>0</v>
      </c>
      <c r="W43" s="215">
        <f t="shared" si="113"/>
        <v>214720.85824384997</v>
      </c>
      <c r="X43" s="213"/>
      <c r="Y43" s="214"/>
      <c r="Z43" s="214"/>
      <c r="AA43" s="215">
        <f>SUM(AA35:AA42)</f>
        <v>182513.75676692982</v>
      </c>
      <c r="AB43" s="215">
        <f t="shared" ref="AB43:AC43" si="114">SUM(AB35:AB42)</f>
        <v>0</v>
      </c>
      <c r="AC43" s="215">
        <f t="shared" si="114"/>
        <v>182513.75676692982</v>
      </c>
      <c r="AD43" s="213"/>
      <c r="AE43" s="214"/>
      <c r="AF43" s="214"/>
      <c r="AG43" s="215">
        <f>SUM(AG35:AG42)</f>
        <v>146046.9180339314</v>
      </c>
      <c r="AH43" s="215">
        <f t="shared" ref="AH43" si="115">SUM(AH35:AH42)</f>
        <v>0</v>
      </c>
      <c r="AI43" s="215">
        <f>SUM(AI35:AI42)</f>
        <v>146046.9180339314</v>
      </c>
      <c r="AJ43" s="218">
        <f>SUM(AJ35:AJ42)</f>
        <v>1155335.3147747112</v>
      </c>
      <c r="AK43" s="218">
        <f t="shared" ref="AK43" si="116">SUM(AK35:AK42)</f>
        <v>0</v>
      </c>
      <c r="AL43" s="218">
        <f>SUM(AL35:AL42)</f>
        <v>1155335.3147747112</v>
      </c>
      <c r="AM43" s="5"/>
      <c r="AN43" s="5"/>
      <c r="AO43" s="5"/>
      <c r="AP43" s="5"/>
    </row>
    <row r="44" spans="1:42">
      <c r="A44" s="333"/>
      <c r="B44" s="334"/>
      <c r="C44" s="335"/>
      <c r="D44" s="219"/>
      <c r="E44" s="220"/>
      <c r="F44" s="221"/>
      <c r="G44" s="221"/>
      <c r="H44" s="221"/>
      <c r="I44" s="222"/>
      <c r="J44" s="223"/>
      <c r="K44" s="224"/>
      <c r="L44" s="220"/>
      <c r="M44" s="221"/>
      <c r="N44" s="221"/>
      <c r="O44" s="222"/>
      <c r="P44" s="223"/>
      <c r="Q44" s="224"/>
      <c r="R44" s="220"/>
      <c r="S44" s="221"/>
      <c r="T44" s="221"/>
      <c r="U44" s="222"/>
      <c r="V44" s="223"/>
      <c r="W44" s="224"/>
      <c r="X44" s="220"/>
      <c r="Y44" s="221"/>
      <c r="Z44" s="221"/>
      <c r="AA44" s="222"/>
      <c r="AB44" s="223"/>
      <c r="AC44" s="224"/>
      <c r="AD44" s="220"/>
      <c r="AE44" s="221"/>
      <c r="AF44" s="221"/>
      <c r="AG44" s="222"/>
      <c r="AH44" s="223"/>
      <c r="AI44" s="224"/>
      <c r="AJ44" s="225"/>
      <c r="AK44" s="225"/>
      <c r="AL44" s="225"/>
      <c r="AM44" s="5"/>
      <c r="AN44" s="5"/>
      <c r="AO44" s="5"/>
      <c r="AP44" s="5"/>
    </row>
    <row r="45" spans="1:42">
      <c r="A45" s="318"/>
      <c r="B45" s="319"/>
      <c r="C45" s="320"/>
      <c r="D45" s="77" t="s">
        <v>15</v>
      </c>
      <c r="E45" s="226"/>
      <c r="F45" s="227"/>
      <c r="G45" s="227"/>
      <c r="H45" s="227"/>
      <c r="I45" s="74"/>
      <c r="J45" s="72"/>
      <c r="K45" s="228"/>
      <c r="L45" s="226"/>
      <c r="M45" s="227"/>
      <c r="N45" s="227"/>
      <c r="O45" s="74"/>
      <c r="P45" s="72"/>
      <c r="Q45" s="228"/>
      <c r="R45" s="226"/>
      <c r="S45" s="227"/>
      <c r="T45" s="227"/>
      <c r="U45" s="74"/>
      <c r="V45" s="72"/>
      <c r="W45" s="228"/>
      <c r="X45" s="226"/>
      <c r="Y45" s="227"/>
      <c r="Z45" s="227"/>
      <c r="AA45" s="74"/>
      <c r="AB45" s="72"/>
      <c r="AC45" s="228"/>
      <c r="AD45" s="226"/>
      <c r="AE45" s="227"/>
      <c r="AF45" s="227"/>
      <c r="AG45" s="74"/>
      <c r="AH45" s="72"/>
      <c r="AI45" s="228"/>
      <c r="AJ45" s="229"/>
      <c r="AK45" s="229"/>
      <c r="AL45" s="229"/>
      <c r="AM45" s="5"/>
      <c r="AN45" s="5"/>
      <c r="AO45" s="5"/>
      <c r="AP45" s="5"/>
    </row>
    <row r="46" spans="1:42" ht="12" customHeight="1">
      <c r="A46" s="336"/>
      <c r="B46" s="322"/>
      <c r="C46" s="323"/>
      <c r="D46" s="230"/>
      <c r="E46" s="36"/>
      <c r="F46" s="23"/>
      <c r="G46" s="23"/>
      <c r="H46" s="23"/>
      <c r="I46" s="231"/>
      <c r="J46" s="17"/>
      <c r="K46" s="234"/>
      <c r="L46" s="36"/>
      <c r="M46" s="23"/>
      <c r="N46" s="23"/>
      <c r="O46" s="231"/>
      <c r="P46" s="17"/>
      <c r="Q46" s="234"/>
      <c r="R46" s="36"/>
      <c r="S46" s="23"/>
      <c r="T46" s="23"/>
      <c r="U46" s="231"/>
      <c r="V46" s="17"/>
      <c r="W46" s="234"/>
      <c r="X46" s="36"/>
      <c r="Y46" s="23"/>
      <c r="Z46" s="23"/>
      <c r="AA46" s="231"/>
      <c r="AB46" s="17"/>
      <c r="AC46" s="234"/>
      <c r="AD46" s="36"/>
      <c r="AE46" s="23"/>
      <c r="AF46" s="23"/>
      <c r="AG46" s="231"/>
      <c r="AH46" s="17"/>
      <c r="AI46" s="234"/>
      <c r="AJ46" s="232"/>
      <c r="AK46" s="232"/>
      <c r="AL46" s="232"/>
      <c r="AM46" s="5"/>
      <c r="AN46" s="5"/>
      <c r="AO46" s="5"/>
      <c r="AP46" s="5"/>
    </row>
    <row r="47" spans="1:42">
      <c r="A47" s="327"/>
      <c r="D47" s="59" t="s">
        <v>89</v>
      </c>
      <c r="E47" s="32"/>
      <c r="F47" s="134"/>
      <c r="G47" s="134"/>
      <c r="H47" s="134"/>
      <c r="I47" s="11"/>
      <c r="J47" s="12"/>
      <c r="K47" s="205"/>
      <c r="L47" s="32"/>
      <c r="M47" s="134"/>
      <c r="N47" s="134"/>
      <c r="O47" s="11"/>
      <c r="P47" s="12"/>
      <c r="Q47" s="205"/>
      <c r="R47" s="32"/>
      <c r="S47" s="134"/>
      <c r="T47" s="134"/>
      <c r="U47" s="11"/>
      <c r="V47" s="12"/>
      <c r="W47" s="205"/>
      <c r="X47" s="32"/>
      <c r="Y47" s="134"/>
      <c r="Z47" s="134"/>
      <c r="AA47" s="11"/>
      <c r="AB47" s="12"/>
      <c r="AC47" s="205"/>
      <c r="AD47" s="32"/>
      <c r="AE47" s="134"/>
      <c r="AF47" s="134"/>
      <c r="AG47" s="11"/>
      <c r="AH47" s="12"/>
      <c r="AI47" s="205"/>
      <c r="AJ47" s="206"/>
      <c r="AK47" s="206"/>
      <c r="AL47" s="206"/>
      <c r="AM47" s="5"/>
      <c r="AN47" s="5"/>
      <c r="AO47" s="5"/>
      <c r="AP47" s="5"/>
    </row>
    <row r="48" spans="1:42">
      <c r="A48" s="327" t="s">
        <v>90</v>
      </c>
      <c r="B48" s="305" t="s">
        <v>91</v>
      </c>
      <c r="C48" s="298" t="s">
        <v>51</v>
      </c>
      <c r="D48" s="133" t="s">
        <v>92</v>
      </c>
      <c r="E48" s="136">
        <f>'Volunteer Numbers'!B5</f>
        <v>2</v>
      </c>
      <c r="F48" s="132">
        <v>2000</v>
      </c>
      <c r="G48" s="135">
        <v>1</v>
      </c>
      <c r="H48" s="134" t="s">
        <v>93</v>
      </c>
      <c r="I48" s="129">
        <f>G48*F48*E48</f>
        <v>4000</v>
      </c>
      <c r="J48" s="12">
        <v>0</v>
      </c>
      <c r="K48" s="205">
        <f>SUM(I48:J48)</f>
        <v>4000</v>
      </c>
      <c r="L48" s="136">
        <f>'Volunteer Numbers'!C4</f>
        <v>13</v>
      </c>
      <c r="M48" s="132">
        <f>F48</f>
        <v>2000</v>
      </c>
      <c r="N48" s="135">
        <v>1</v>
      </c>
      <c r="O48" s="11">
        <f t="shared" ref="O48" si="117">L48*M48*N48</f>
        <v>26000</v>
      </c>
      <c r="P48" s="12">
        <v>0</v>
      </c>
      <c r="Q48" s="205">
        <f>SUM(O48:P48)</f>
        <v>26000</v>
      </c>
      <c r="R48" s="136">
        <f>'Volunteer Numbers'!D4</f>
        <v>13</v>
      </c>
      <c r="S48" s="132">
        <f>M48*1.02</f>
        <v>2040</v>
      </c>
      <c r="T48" s="135">
        <v>1</v>
      </c>
      <c r="U48" s="11">
        <f t="shared" ref="U48" si="118">R48*S48*T48</f>
        <v>26520</v>
      </c>
      <c r="V48" s="12">
        <v>0</v>
      </c>
      <c r="W48" s="205">
        <f>SUM(U48:V48)</f>
        <v>26520</v>
      </c>
      <c r="X48" s="136">
        <f>'Volunteer Numbers'!E4</f>
        <v>13</v>
      </c>
      <c r="Y48" s="132">
        <f>S48*1.02</f>
        <v>2080.8000000000002</v>
      </c>
      <c r="Z48" s="135">
        <v>1</v>
      </c>
      <c r="AA48" s="11">
        <f t="shared" ref="AA48" si="119">X48*Y48*Z48</f>
        <v>27050.400000000001</v>
      </c>
      <c r="AB48" s="12">
        <v>0</v>
      </c>
      <c r="AC48" s="205">
        <f>SUM(AA48:AB48)</f>
        <v>27050.400000000001</v>
      </c>
      <c r="AD48" s="136">
        <f>'Volunteer Numbers'!F4</f>
        <v>4</v>
      </c>
      <c r="AE48" s="132">
        <f t="shared" ref="AE48" si="120">Y48*1.02</f>
        <v>2122.4160000000002</v>
      </c>
      <c r="AF48" s="135">
        <v>1</v>
      </c>
      <c r="AG48" s="11">
        <f>AD48*AE48*AF48</f>
        <v>8489.6640000000007</v>
      </c>
      <c r="AH48" s="12">
        <v>0</v>
      </c>
      <c r="AI48" s="205">
        <f>SUM(AG48:AH48)</f>
        <v>8489.6640000000007</v>
      </c>
      <c r="AJ48" s="206">
        <f>I48+O48+U48+AA48+AG48</f>
        <v>92060.063999999998</v>
      </c>
      <c r="AK48" s="206">
        <f t="shared" ref="AK48" si="121">J48+P48+V48+AB48+AH48</f>
        <v>0</v>
      </c>
      <c r="AL48" s="206">
        <f>SUM(AJ48:AK48)</f>
        <v>92060.063999999998</v>
      </c>
      <c r="AM48" s="5"/>
      <c r="AN48" s="5"/>
      <c r="AO48" s="5"/>
      <c r="AP48" s="5"/>
    </row>
    <row r="49" spans="1:42" s="1" customFormat="1">
      <c r="A49" s="325"/>
      <c r="B49" s="305"/>
      <c r="C49" s="329"/>
      <c r="D49" s="183" t="s">
        <v>94</v>
      </c>
      <c r="E49" s="184">
        <f>E48</f>
        <v>2</v>
      </c>
      <c r="F49" s="26"/>
      <c r="G49" s="185"/>
      <c r="H49" s="26"/>
      <c r="I49" s="27">
        <f>SUM(I48:I48)</f>
        <v>4000</v>
      </c>
      <c r="J49" s="27">
        <f>SUM(J48:J48)</f>
        <v>0</v>
      </c>
      <c r="K49" s="27">
        <f>SUM(K48:K48)</f>
        <v>4000</v>
      </c>
      <c r="L49" s="184">
        <f>SUM(L48:L48)</f>
        <v>13</v>
      </c>
      <c r="M49" s="186"/>
      <c r="N49" s="26"/>
      <c r="O49" s="27">
        <f>SUM(O48:O48)</f>
        <v>26000</v>
      </c>
      <c r="P49" s="27">
        <f>SUM(P48:P48)</f>
        <v>0</v>
      </c>
      <c r="Q49" s="27">
        <f>SUM(Q48:Q48)</f>
        <v>26000</v>
      </c>
      <c r="R49" s="184">
        <f>SUM(R48:R48)</f>
        <v>13</v>
      </c>
      <c r="S49" s="26"/>
      <c r="T49" s="26"/>
      <c r="U49" s="27">
        <f>SUM(U48:U48)</f>
        <v>26520</v>
      </c>
      <c r="V49" s="27">
        <f>SUM(V48:V48)</f>
        <v>0</v>
      </c>
      <c r="W49" s="27">
        <f>SUM(W48:W48)</f>
        <v>26520</v>
      </c>
      <c r="X49" s="184">
        <f>SUM(X48:X48)</f>
        <v>13</v>
      </c>
      <c r="Y49" s="26"/>
      <c r="Z49" s="26"/>
      <c r="AA49" s="27">
        <f>SUM(AA48:AA48)</f>
        <v>27050.400000000001</v>
      </c>
      <c r="AB49" s="27">
        <f>SUM(AB48:AB48)</f>
        <v>0</v>
      </c>
      <c r="AC49" s="27">
        <f>SUM(AC48:AC48)</f>
        <v>27050.400000000001</v>
      </c>
      <c r="AD49" s="184">
        <f>SUM(AD48:AD48)</f>
        <v>4</v>
      </c>
      <c r="AE49" s="26"/>
      <c r="AF49" s="26"/>
      <c r="AG49" s="27">
        <f t="shared" ref="AG49:AL49" si="122">SUM(AG48:AG48)</f>
        <v>8489.6640000000007</v>
      </c>
      <c r="AH49" s="27">
        <f t="shared" si="122"/>
        <v>0</v>
      </c>
      <c r="AI49" s="27">
        <f t="shared" si="122"/>
        <v>8489.6640000000007</v>
      </c>
      <c r="AJ49" s="29">
        <f t="shared" si="122"/>
        <v>92060.063999999998</v>
      </c>
      <c r="AK49" s="29">
        <f t="shared" si="122"/>
        <v>0</v>
      </c>
      <c r="AL49" s="29">
        <f t="shared" si="122"/>
        <v>92060.063999999998</v>
      </c>
    </row>
    <row r="50" spans="1:42">
      <c r="A50" s="327"/>
      <c r="D50" s="63"/>
      <c r="E50" s="136"/>
      <c r="F50" s="134"/>
      <c r="G50" s="135"/>
      <c r="H50" s="134"/>
      <c r="I50" s="11"/>
      <c r="J50" s="12"/>
      <c r="K50" s="205"/>
      <c r="L50" s="37"/>
      <c r="M50" s="134"/>
      <c r="N50" s="134"/>
      <c r="O50" s="11"/>
      <c r="P50" s="12"/>
      <c r="Q50" s="205"/>
      <c r="R50" s="37"/>
      <c r="S50" s="134"/>
      <c r="T50" s="134"/>
      <c r="U50" s="11"/>
      <c r="V50" s="12"/>
      <c r="W50" s="205"/>
      <c r="X50" s="37"/>
      <c r="Y50" s="134"/>
      <c r="Z50" s="134"/>
      <c r="AA50" s="11"/>
      <c r="AB50" s="12"/>
      <c r="AC50" s="205"/>
      <c r="AD50" s="37"/>
      <c r="AE50" s="134"/>
      <c r="AF50" s="134"/>
      <c r="AG50" s="11"/>
      <c r="AH50" s="12"/>
      <c r="AI50" s="205"/>
      <c r="AJ50" s="206"/>
      <c r="AK50" s="206"/>
      <c r="AL50" s="206"/>
      <c r="AM50" s="5"/>
      <c r="AN50" s="5"/>
      <c r="AO50" s="5"/>
      <c r="AP50" s="5"/>
    </row>
    <row r="51" spans="1:42">
      <c r="A51" s="327"/>
      <c r="D51" s="59" t="s">
        <v>95</v>
      </c>
      <c r="E51" s="32"/>
      <c r="F51" s="134"/>
      <c r="G51" s="134"/>
      <c r="H51" s="134"/>
      <c r="I51" s="11"/>
      <c r="J51" s="12"/>
      <c r="K51" s="205"/>
      <c r="L51" s="32"/>
      <c r="M51" s="134"/>
      <c r="N51" s="134"/>
      <c r="O51" s="11"/>
      <c r="P51" s="12"/>
      <c r="Q51" s="205"/>
      <c r="R51" s="32"/>
      <c r="S51" s="134"/>
      <c r="T51" s="134"/>
      <c r="U51" s="11"/>
      <c r="V51" s="12"/>
      <c r="W51" s="205"/>
      <c r="X51" s="32"/>
      <c r="Y51" s="134"/>
      <c r="Z51" s="134"/>
      <c r="AA51" s="11"/>
      <c r="AB51" s="12"/>
      <c r="AC51" s="205"/>
      <c r="AD51" s="32"/>
      <c r="AE51" s="134"/>
      <c r="AF51" s="134"/>
      <c r="AG51" s="11"/>
      <c r="AH51" s="12"/>
      <c r="AI51" s="205"/>
      <c r="AJ51" s="206"/>
      <c r="AK51" s="206"/>
      <c r="AL51" s="206"/>
      <c r="AM51" s="5"/>
      <c r="AN51" s="5"/>
      <c r="AO51" s="5"/>
      <c r="AP51" s="5"/>
    </row>
    <row r="52" spans="1:42">
      <c r="A52" s="327" t="s">
        <v>96</v>
      </c>
      <c r="B52" s="305" t="s">
        <v>97</v>
      </c>
      <c r="C52" s="298" t="s">
        <v>51</v>
      </c>
      <c r="D52" s="133" t="s">
        <v>98</v>
      </c>
      <c r="E52" s="136">
        <v>0</v>
      </c>
      <c r="F52" s="135">
        <v>1000</v>
      </c>
      <c r="G52" s="135">
        <v>0</v>
      </c>
      <c r="H52" s="134" t="s">
        <v>83</v>
      </c>
      <c r="I52" s="129">
        <f t="shared" ref="I52:I53" si="123">G52*F52*E52</f>
        <v>0</v>
      </c>
      <c r="J52" s="12">
        <v>0</v>
      </c>
      <c r="K52" s="205">
        <f t="shared" ref="K52:K53" si="124">SUM(I52:J52)</f>
        <v>0</v>
      </c>
      <c r="L52" s="136">
        <v>3</v>
      </c>
      <c r="M52" s="132">
        <f>F52</f>
        <v>1000</v>
      </c>
      <c r="N52" s="135">
        <v>9</v>
      </c>
      <c r="O52" s="11">
        <f>L52*M52*N52</f>
        <v>27000</v>
      </c>
      <c r="P52" s="12">
        <v>0</v>
      </c>
      <c r="Q52" s="205">
        <f>SUM(O52:P52)</f>
        <v>27000</v>
      </c>
      <c r="R52" s="136">
        <v>3</v>
      </c>
      <c r="S52" s="132">
        <f t="shared" ref="S52:S55" si="125">M52*1.02</f>
        <v>1020</v>
      </c>
      <c r="T52" s="135">
        <v>9</v>
      </c>
      <c r="U52" s="11">
        <f t="shared" ref="U52:U55" si="126">R52*S52*T52</f>
        <v>27540</v>
      </c>
      <c r="V52" s="12">
        <v>0</v>
      </c>
      <c r="W52" s="205">
        <f>SUM(U52:V52)</f>
        <v>27540</v>
      </c>
      <c r="X52" s="136">
        <v>3</v>
      </c>
      <c r="Y52" s="132">
        <f t="shared" ref="Y52:Y55" si="127">S52*1.02</f>
        <v>1040.4000000000001</v>
      </c>
      <c r="Z52" s="135">
        <v>9</v>
      </c>
      <c r="AA52" s="11">
        <f t="shared" ref="AA52:AA55" si="128">X52*Y52*Z52</f>
        <v>28090.800000000003</v>
      </c>
      <c r="AB52" s="12">
        <v>0</v>
      </c>
      <c r="AC52" s="205">
        <f>SUM(AA52:AB52)</f>
        <v>28090.800000000003</v>
      </c>
      <c r="AD52" s="136">
        <v>1</v>
      </c>
      <c r="AE52" s="132">
        <f t="shared" ref="AE52:AE55" si="129">Y52*1.02</f>
        <v>1061.2080000000001</v>
      </c>
      <c r="AF52" s="135">
        <v>9</v>
      </c>
      <c r="AG52" s="11">
        <f t="shared" ref="AG52:AG55" si="130">AD52*AE52*AF52</f>
        <v>9550.8720000000012</v>
      </c>
      <c r="AH52" s="12">
        <v>0</v>
      </c>
      <c r="AI52" s="205">
        <f>SUM(AG52:AH52)</f>
        <v>9550.8720000000012</v>
      </c>
      <c r="AJ52" s="206">
        <f>I52+O52+U52+AA52+AG52</f>
        <v>92181.672000000006</v>
      </c>
      <c r="AK52" s="206">
        <f>J52+P52+V52+AB52+AH52</f>
        <v>0</v>
      </c>
      <c r="AL52" s="206">
        <f>SUM(AJ52:AK52)</f>
        <v>92181.672000000006</v>
      </c>
      <c r="AM52" s="5"/>
      <c r="AN52" s="5"/>
      <c r="AO52" s="5"/>
      <c r="AP52" s="5"/>
    </row>
    <row r="53" spans="1:42">
      <c r="A53" s="327" t="s">
        <v>96</v>
      </c>
      <c r="B53" s="305" t="s">
        <v>99</v>
      </c>
      <c r="C53" s="298" t="s">
        <v>51</v>
      </c>
      <c r="D53" s="133" t="s">
        <v>100</v>
      </c>
      <c r="E53" s="136">
        <v>0</v>
      </c>
      <c r="F53" s="135">
        <v>1500</v>
      </c>
      <c r="G53" s="135">
        <v>0</v>
      </c>
      <c r="H53" s="134" t="s">
        <v>83</v>
      </c>
      <c r="I53" s="129">
        <f t="shared" si="123"/>
        <v>0</v>
      </c>
      <c r="J53" s="12">
        <v>0</v>
      </c>
      <c r="K53" s="205">
        <f t="shared" si="124"/>
        <v>0</v>
      </c>
      <c r="L53" s="136">
        <v>3</v>
      </c>
      <c r="M53" s="132">
        <f t="shared" ref="M53:M55" si="131">F53</f>
        <v>1500</v>
      </c>
      <c r="N53" s="135">
        <v>9</v>
      </c>
      <c r="O53" s="11">
        <f t="shared" ref="O53:O55" si="132">L53*M53*N53</f>
        <v>40500</v>
      </c>
      <c r="P53" s="12">
        <v>0</v>
      </c>
      <c r="Q53" s="205">
        <f>SUM(O53:P53)</f>
        <v>40500</v>
      </c>
      <c r="R53" s="136">
        <v>3</v>
      </c>
      <c r="S53" s="132">
        <f t="shared" si="125"/>
        <v>1530</v>
      </c>
      <c r="T53" s="135">
        <v>9</v>
      </c>
      <c r="U53" s="11">
        <f t="shared" si="126"/>
        <v>41310</v>
      </c>
      <c r="V53" s="12">
        <v>0</v>
      </c>
      <c r="W53" s="205">
        <f>SUM(U53:V53)</f>
        <v>41310</v>
      </c>
      <c r="X53" s="136">
        <v>3</v>
      </c>
      <c r="Y53" s="132">
        <f t="shared" si="127"/>
        <v>1560.6000000000001</v>
      </c>
      <c r="Z53" s="135">
        <v>9</v>
      </c>
      <c r="AA53" s="11">
        <f t="shared" si="128"/>
        <v>42136.200000000004</v>
      </c>
      <c r="AB53" s="12">
        <v>0</v>
      </c>
      <c r="AC53" s="205">
        <f>SUM(AA53:AB53)</f>
        <v>42136.200000000004</v>
      </c>
      <c r="AD53" s="136">
        <v>1</v>
      </c>
      <c r="AE53" s="132">
        <f t="shared" si="129"/>
        <v>1591.8120000000001</v>
      </c>
      <c r="AF53" s="135">
        <v>9</v>
      </c>
      <c r="AG53" s="11">
        <f t="shared" si="130"/>
        <v>14326.308000000001</v>
      </c>
      <c r="AH53" s="12">
        <v>0</v>
      </c>
      <c r="AI53" s="205">
        <f>SUM(AG53:AH53)</f>
        <v>14326.308000000001</v>
      </c>
      <c r="AJ53" s="206">
        <f t="shared" ref="AJ53" si="133">I53+O53+U53+AA53+AG53</f>
        <v>138272.508</v>
      </c>
      <c r="AK53" s="206">
        <f t="shared" ref="AK53:AK55" si="134">J53+P53+V53+AB53+AH53</f>
        <v>0</v>
      </c>
      <c r="AL53" s="206">
        <f t="shared" ref="AL53:AL54" si="135">SUM(AJ53:AK53)</f>
        <v>138272.508</v>
      </c>
      <c r="AM53" s="5"/>
      <c r="AN53" s="5"/>
      <c r="AO53" s="5"/>
      <c r="AP53" s="5"/>
    </row>
    <row r="54" spans="1:42">
      <c r="A54" s="327" t="s">
        <v>96</v>
      </c>
      <c r="B54" s="305" t="s">
        <v>101</v>
      </c>
      <c r="C54" s="298" t="s">
        <v>51</v>
      </c>
      <c r="D54" s="133" t="s">
        <v>102</v>
      </c>
      <c r="E54" s="136">
        <v>0</v>
      </c>
      <c r="F54" s="135">
        <f>230*2</f>
        <v>460</v>
      </c>
      <c r="G54" s="135">
        <v>0</v>
      </c>
      <c r="H54" s="134" t="s">
        <v>83</v>
      </c>
      <c r="I54" s="129">
        <f>G54*F54*E54</f>
        <v>0</v>
      </c>
      <c r="J54" s="12">
        <v>0</v>
      </c>
      <c r="K54" s="205">
        <f t="shared" ref="K54:K55" si="136">SUM(I54:J54)</f>
        <v>0</v>
      </c>
      <c r="L54" s="136">
        <v>3</v>
      </c>
      <c r="M54" s="132">
        <f t="shared" si="131"/>
        <v>460</v>
      </c>
      <c r="N54" s="135">
        <v>9</v>
      </c>
      <c r="O54" s="11">
        <f t="shared" si="132"/>
        <v>12420</v>
      </c>
      <c r="P54" s="12">
        <v>0</v>
      </c>
      <c r="Q54" s="205">
        <f t="shared" ref="Q54:Q55" si="137">SUM(O54:P54)</f>
        <v>12420</v>
      </c>
      <c r="R54" s="136">
        <v>3</v>
      </c>
      <c r="S54" s="132">
        <f t="shared" si="125"/>
        <v>469.2</v>
      </c>
      <c r="T54" s="135">
        <v>9</v>
      </c>
      <c r="U54" s="11">
        <f t="shared" si="126"/>
        <v>12668.4</v>
      </c>
      <c r="V54" s="12">
        <v>0</v>
      </c>
      <c r="W54" s="205">
        <f t="shared" ref="W54:W55" si="138">SUM(U54:V54)</f>
        <v>12668.4</v>
      </c>
      <c r="X54" s="136">
        <v>3</v>
      </c>
      <c r="Y54" s="132">
        <f t="shared" si="127"/>
        <v>478.584</v>
      </c>
      <c r="Z54" s="135">
        <v>9</v>
      </c>
      <c r="AA54" s="11">
        <f t="shared" si="128"/>
        <v>12921.768</v>
      </c>
      <c r="AB54" s="12">
        <v>0</v>
      </c>
      <c r="AC54" s="205">
        <f t="shared" ref="AC54:AC55" si="139">SUM(AA54:AB54)</f>
        <v>12921.768</v>
      </c>
      <c r="AD54" s="136">
        <v>1</v>
      </c>
      <c r="AE54" s="132">
        <f t="shared" si="129"/>
        <v>488.15568000000002</v>
      </c>
      <c r="AF54" s="135">
        <v>9</v>
      </c>
      <c r="AG54" s="11">
        <f t="shared" si="130"/>
        <v>4393.4011200000004</v>
      </c>
      <c r="AH54" s="12">
        <v>0</v>
      </c>
      <c r="AI54" s="205">
        <f t="shared" ref="AI54:AI55" si="140">SUM(AG54:AH54)</f>
        <v>4393.4011200000004</v>
      </c>
      <c r="AJ54" s="206">
        <f>I54+O54+U54+AA54+AG54</f>
        <v>42403.569120000007</v>
      </c>
      <c r="AK54" s="206">
        <f t="shared" si="134"/>
        <v>0</v>
      </c>
      <c r="AL54" s="206">
        <f t="shared" si="135"/>
        <v>42403.569120000007</v>
      </c>
      <c r="AM54" s="5"/>
      <c r="AN54" s="5"/>
      <c r="AO54" s="5"/>
      <c r="AP54" s="5"/>
    </row>
    <row r="55" spans="1:42">
      <c r="A55" s="327" t="s">
        <v>96</v>
      </c>
      <c r="B55" s="305" t="s">
        <v>103</v>
      </c>
      <c r="C55" s="298" t="s">
        <v>51</v>
      </c>
      <c r="D55" s="133" t="s">
        <v>104</v>
      </c>
      <c r="E55" s="136">
        <v>0</v>
      </c>
      <c r="F55" s="135">
        <v>500</v>
      </c>
      <c r="G55" s="135">
        <v>0</v>
      </c>
      <c r="H55" s="134" t="s">
        <v>105</v>
      </c>
      <c r="I55" s="129">
        <f t="shared" ref="I55" si="141">G55*F55*E55</f>
        <v>0</v>
      </c>
      <c r="J55" s="12">
        <v>0</v>
      </c>
      <c r="K55" s="205">
        <f t="shared" si="136"/>
        <v>0</v>
      </c>
      <c r="L55" s="136">
        <v>3</v>
      </c>
      <c r="M55" s="132">
        <f t="shared" si="131"/>
        <v>500</v>
      </c>
      <c r="N55" s="135">
        <v>1</v>
      </c>
      <c r="O55" s="11">
        <f t="shared" si="132"/>
        <v>1500</v>
      </c>
      <c r="P55" s="12">
        <v>0</v>
      </c>
      <c r="Q55" s="205">
        <f t="shared" si="137"/>
        <v>1500</v>
      </c>
      <c r="R55" s="136">
        <v>3</v>
      </c>
      <c r="S55" s="132">
        <f t="shared" si="125"/>
        <v>510</v>
      </c>
      <c r="T55" s="135">
        <v>1</v>
      </c>
      <c r="U55" s="11">
        <f t="shared" si="126"/>
        <v>1530</v>
      </c>
      <c r="V55" s="12">
        <v>0</v>
      </c>
      <c r="W55" s="205">
        <f t="shared" si="138"/>
        <v>1530</v>
      </c>
      <c r="X55" s="136">
        <v>3</v>
      </c>
      <c r="Y55" s="132">
        <f t="shared" si="127"/>
        <v>520.20000000000005</v>
      </c>
      <c r="Z55" s="135">
        <v>1</v>
      </c>
      <c r="AA55" s="11">
        <f t="shared" si="128"/>
        <v>1560.6000000000001</v>
      </c>
      <c r="AB55" s="12">
        <v>0</v>
      </c>
      <c r="AC55" s="205">
        <f t="shared" si="139"/>
        <v>1560.6000000000001</v>
      </c>
      <c r="AD55" s="136">
        <v>1</v>
      </c>
      <c r="AE55" s="132">
        <f t="shared" si="129"/>
        <v>530.60400000000004</v>
      </c>
      <c r="AF55" s="135">
        <v>1</v>
      </c>
      <c r="AG55" s="11">
        <f t="shared" si="130"/>
        <v>530.60400000000004</v>
      </c>
      <c r="AH55" s="12">
        <v>0</v>
      </c>
      <c r="AI55" s="205">
        <f t="shared" si="140"/>
        <v>530.60400000000004</v>
      </c>
      <c r="AJ55" s="206">
        <f t="shared" ref="AJ55" si="142">I55+O55+U55+AA55+AG55</f>
        <v>5121.2040000000006</v>
      </c>
      <c r="AK55" s="206">
        <f t="shared" si="134"/>
        <v>0</v>
      </c>
      <c r="AL55" s="206">
        <f>SUM(AJ55:AK55)</f>
        <v>5121.2040000000006</v>
      </c>
      <c r="AM55" s="5"/>
      <c r="AN55" s="5"/>
      <c r="AO55" s="5"/>
      <c r="AP55" s="5"/>
    </row>
    <row r="56" spans="1:42">
      <c r="A56" s="327" t="s">
        <v>96</v>
      </c>
      <c r="B56" s="305" t="s">
        <v>97</v>
      </c>
      <c r="C56" s="298" t="s">
        <v>51</v>
      </c>
      <c r="D56" s="133" t="s">
        <v>106</v>
      </c>
      <c r="E56" s="136">
        <f>$E$49-E52</f>
        <v>2</v>
      </c>
      <c r="F56" s="135">
        <v>100</v>
      </c>
      <c r="G56" s="135">
        <v>15</v>
      </c>
      <c r="H56" s="134" t="s">
        <v>65</v>
      </c>
      <c r="I56" s="129">
        <f t="shared" ref="I56:I57" si="143">G56*F56*E56</f>
        <v>3000</v>
      </c>
      <c r="J56" s="12">
        <v>0</v>
      </c>
      <c r="K56" s="205">
        <f t="shared" ref="K56:K57" si="144">SUM(I56:J56)</f>
        <v>3000</v>
      </c>
      <c r="L56" s="136">
        <f>$L$49-L52</f>
        <v>10</v>
      </c>
      <c r="M56" s="132">
        <f>F56*1.02</f>
        <v>102</v>
      </c>
      <c r="N56" s="135">
        <v>15</v>
      </c>
      <c r="O56" s="11">
        <f t="shared" ref="O56:O57" si="145">L56*M56*N56</f>
        <v>15300</v>
      </c>
      <c r="P56" s="12">
        <v>0</v>
      </c>
      <c r="Q56" s="205">
        <f>SUM(O56:P56)</f>
        <v>15300</v>
      </c>
      <c r="R56" s="136">
        <f>$R$49-R52</f>
        <v>10</v>
      </c>
      <c r="S56" s="132">
        <f t="shared" ref="S56" si="146">M56*1.02</f>
        <v>104.04</v>
      </c>
      <c r="T56" s="135">
        <v>15</v>
      </c>
      <c r="U56" s="11">
        <f t="shared" ref="U56:U57" si="147">R56*S56*T56</f>
        <v>15606.000000000002</v>
      </c>
      <c r="V56" s="12">
        <v>0</v>
      </c>
      <c r="W56" s="205">
        <f>SUM(U56:V56)</f>
        <v>15606.000000000002</v>
      </c>
      <c r="X56" s="136">
        <f>$X$49-X52</f>
        <v>10</v>
      </c>
      <c r="Y56" s="132">
        <f t="shared" ref="Y56:Y57" si="148">S56*1.02</f>
        <v>106.1208</v>
      </c>
      <c r="Z56" s="135">
        <v>15</v>
      </c>
      <c r="AA56" s="11">
        <f t="shared" ref="AA56:AA57" si="149">X56*Y56*Z56</f>
        <v>15918.12</v>
      </c>
      <c r="AB56" s="12">
        <v>0</v>
      </c>
      <c r="AC56" s="205">
        <f>SUM(AA56:AB56)</f>
        <v>15918.12</v>
      </c>
      <c r="AD56" s="136">
        <f>$AD$49-AD52</f>
        <v>3</v>
      </c>
      <c r="AE56" s="132">
        <f t="shared" ref="AE56:AE57" si="150">Y56*1.02</f>
        <v>108.243216</v>
      </c>
      <c r="AF56" s="135">
        <v>15</v>
      </c>
      <c r="AG56" s="11">
        <f t="shared" ref="AG56:AG57" si="151">AD56*AE56*AF56</f>
        <v>4870.9447199999995</v>
      </c>
      <c r="AH56" s="12">
        <v>0</v>
      </c>
      <c r="AI56" s="205">
        <f>SUM(AG56:AH56)</f>
        <v>4870.9447199999995</v>
      </c>
      <c r="AJ56" s="206">
        <f>I56+O56+U56+AA56+AG56</f>
        <v>54695.064720000002</v>
      </c>
      <c r="AK56" s="206">
        <f>J56+P56+V56+AB56+AH56</f>
        <v>0</v>
      </c>
      <c r="AL56" s="206">
        <f>SUM(AJ56:AK56)</f>
        <v>54695.064720000002</v>
      </c>
      <c r="AM56" s="5"/>
      <c r="AN56" s="5"/>
      <c r="AO56" s="5"/>
      <c r="AP56" s="5"/>
    </row>
    <row r="57" spans="1:42">
      <c r="A57" s="327" t="s">
        <v>96</v>
      </c>
      <c r="B57" s="305" t="s">
        <v>99</v>
      </c>
      <c r="C57" s="298" t="s">
        <v>51</v>
      </c>
      <c r="D57" s="133" t="s">
        <v>107</v>
      </c>
      <c r="E57" s="136">
        <f t="shared" ref="E57:E59" si="152">$E$49-E53</f>
        <v>2</v>
      </c>
      <c r="F57" s="135">
        <v>120</v>
      </c>
      <c r="G57" s="135">
        <v>15</v>
      </c>
      <c r="H57" s="134" t="s">
        <v>65</v>
      </c>
      <c r="I57" s="129">
        <f t="shared" si="143"/>
        <v>3600</v>
      </c>
      <c r="J57" s="12">
        <v>0</v>
      </c>
      <c r="K57" s="205">
        <f t="shared" si="144"/>
        <v>3600</v>
      </c>
      <c r="L57" s="136">
        <f t="shared" ref="L57:L59" si="153">$L$49-L53</f>
        <v>10</v>
      </c>
      <c r="M57" s="132">
        <f>F57*1.02</f>
        <v>122.4</v>
      </c>
      <c r="N57" s="135">
        <v>15</v>
      </c>
      <c r="O57" s="11">
        <f t="shared" si="145"/>
        <v>18360</v>
      </c>
      <c r="P57" s="12">
        <v>0</v>
      </c>
      <c r="Q57" s="205">
        <f>SUM(O57:P57)</f>
        <v>18360</v>
      </c>
      <c r="R57" s="136">
        <f t="shared" ref="R57:R59" si="154">$R$49-R53</f>
        <v>10</v>
      </c>
      <c r="S57" s="132">
        <f>M57*1.02</f>
        <v>124.84800000000001</v>
      </c>
      <c r="T57" s="135">
        <v>15</v>
      </c>
      <c r="U57" s="11">
        <f t="shared" si="147"/>
        <v>18727.2</v>
      </c>
      <c r="V57" s="12">
        <v>0</v>
      </c>
      <c r="W57" s="205">
        <f>SUM(U57:V57)</f>
        <v>18727.2</v>
      </c>
      <c r="X57" s="136">
        <f t="shared" ref="X57:X59" si="155">$X$49-X53</f>
        <v>10</v>
      </c>
      <c r="Y57" s="132">
        <f t="shared" si="148"/>
        <v>127.34496000000001</v>
      </c>
      <c r="Z57" s="135">
        <v>15</v>
      </c>
      <c r="AA57" s="11">
        <f t="shared" si="149"/>
        <v>19101.744000000002</v>
      </c>
      <c r="AB57" s="12">
        <v>0</v>
      </c>
      <c r="AC57" s="205">
        <f>SUM(AA57:AB57)</f>
        <v>19101.744000000002</v>
      </c>
      <c r="AD57" s="136">
        <f t="shared" ref="AD57:AD59" si="156">$AD$49-AD53</f>
        <v>3</v>
      </c>
      <c r="AE57" s="132">
        <f t="shared" si="150"/>
        <v>129.89185920000003</v>
      </c>
      <c r="AF57" s="135">
        <v>15</v>
      </c>
      <c r="AG57" s="11">
        <f t="shared" si="151"/>
        <v>5845.1336640000018</v>
      </c>
      <c r="AH57" s="12">
        <v>0</v>
      </c>
      <c r="AI57" s="205">
        <f>SUM(AG57:AH57)</f>
        <v>5845.1336640000018</v>
      </c>
      <c r="AJ57" s="206">
        <f t="shared" ref="AJ57" si="157">I57+O57+U57+AA57+AG57</f>
        <v>65634.077664000011</v>
      </c>
      <c r="AK57" s="206">
        <f t="shared" ref="AK57" si="158">J57+P57+V57+AB57+AH57</f>
        <v>0</v>
      </c>
      <c r="AL57" s="206">
        <f t="shared" ref="AL57" si="159">SUM(AJ57:AK57)</f>
        <v>65634.077664000011</v>
      </c>
      <c r="AM57" s="5"/>
      <c r="AN57" s="5"/>
      <c r="AO57" s="5"/>
      <c r="AP57" s="5"/>
    </row>
    <row r="58" spans="1:42">
      <c r="A58" s="327" t="s">
        <v>96</v>
      </c>
      <c r="B58" s="305" t="s">
        <v>101</v>
      </c>
      <c r="C58" s="298" t="s">
        <v>51</v>
      </c>
      <c r="D58" s="133" t="s">
        <v>108</v>
      </c>
      <c r="E58" s="136">
        <f t="shared" si="152"/>
        <v>2</v>
      </c>
      <c r="F58" s="135">
        <v>230</v>
      </c>
      <c r="G58" s="135">
        <v>1</v>
      </c>
      <c r="H58" s="134" t="s">
        <v>105</v>
      </c>
      <c r="I58" s="129">
        <f>G58*F58*E58</f>
        <v>460</v>
      </c>
      <c r="J58" s="12">
        <v>0</v>
      </c>
      <c r="K58" s="205">
        <f t="shared" ref="K58:K59" si="160">SUM(I58:J58)</f>
        <v>460</v>
      </c>
      <c r="L58" s="136">
        <f t="shared" si="153"/>
        <v>10</v>
      </c>
      <c r="M58" s="132">
        <f>F58*1.02</f>
        <v>234.6</v>
      </c>
      <c r="N58" s="135">
        <v>1</v>
      </c>
      <c r="O58" s="11">
        <f t="shared" ref="O58" si="161">L58*M58*N58</f>
        <v>2346</v>
      </c>
      <c r="P58" s="12">
        <v>0</v>
      </c>
      <c r="Q58" s="205">
        <f t="shared" ref="Q58:Q59" si="162">SUM(O58:P58)</f>
        <v>2346</v>
      </c>
      <c r="R58" s="136">
        <f t="shared" si="154"/>
        <v>10</v>
      </c>
      <c r="S58" s="132">
        <f t="shared" ref="S58:S59" si="163">M58*1.02</f>
        <v>239.292</v>
      </c>
      <c r="T58" s="135">
        <v>1</v>
      </c>
      <c r="U58" s="11">
        <f t="shared" ref="U58:U59" si="164">R58*S58*T58</f>
        <v>2392.92</v>
      </c>
      <c r="V58" s="12">
        <v>0</v>
      </c>
      <c r="W58" s="205">
        <f t="shared" ref="W58:W59" si="165">SUM(U58:V58)</f>
        <v>2392.92</v>
      </c>
      <c r="X58" s="136">
        <f t="shared" si="155"/>
        <v>10</v>
      </c>
      <c r="Y58" s="132">
        <f t="shared" ref="Y58:Y59" si="166">S58*1.02</f>
        <v>244.07784000000001</v>
      </c>
      <c r="Z58" s="135">
        <v>1</v>
      </c>
      <c r="AA58" s="11">
        <f t="shared" ref="AA58:AA59" si="167">X58*Y58*Z58</f>
        <v>2440.7784000000001</v>
      </c>
      <c r="AB58" s="12">
        <v>0</v>
      </c>
      <c r="AC58" s="205">
        <f t="shared" ref="AC58:AC59" si="168">SUM(AA58:AB58)</f>
        <v>2440.7784000000001</v>
      </c>
      <c r="AD58" s="136">
        <f t="shared" si="156"/>
        <v>3</v>
      </c>
      <c r="AE58" s="132">
        <f t="shared" ref="AE58:AE59" si="169">Y58*1.02</f>
        <v>248.95939680000001</v>
      </c>
      <c r="AF58" s="135">
        <v>1</v>
      </c>
      <c r="AG58" s="11">
        <f t="shared" ref="AG58:AG59" si="170">AD58*AE58*AF58</f>
        <v>746.87819039999999</v>
      </c>
      <c r="AH58" s="12">
        <v>0</v>
      </c>
      <c r="AI58" s="205">
        <f t="shared" ref="AI58:AI59" si="171">SUM(AG58:AH58)</f>
        <v>746.87819039999999</v>
      </c>
      <c r="AJ58" s="206">
        <f>I58+O58+U58+AA58+AG58</f>
        <v>8386.5765904</v>
      </c>
      <c r="AK58" s="206">
        <f t="shared" ref="AK58:AK59" si="172">J58+P58+V58+AB58+AH58</f>
        <v>0</v>
      </c>
      <c r="AL58" s="206">
        <f>SUM(AJ58:AK58)</f>
        <v>8386.5765904</v>
      </c>
      <c r="AM58" s="5"/>
      <c r="AN58" s="5"/>
      <c r="AO58" s="5"/>
      <c r="AP58" s="5"/>
    </row>
    <row r="59" spans="1:42">
      <c r="A59" s="327" t="s">
        <v>96</v>
      </c>
      <c r="B59" s="305" t="s">
        <v>103</v>
      </c>
      <c r="C59" s="298" t="s">
        <v>51</v>
      </c>
      <c r="D59" s="133" t="s">
        <v>109</v>
      </c>
      <c r="E59" s="136">
        <f t="shared" si="152"/>
        <v>2</v>
      </c>
      <c r="F59" s="135">
        <v>150</v>
      </c>
      <c r="G59" s="135">
        <v>1</v>
      </c>
      <c r="H59" s="134" t="s">
        <v>105</v>
      </c>
      <c r="I59" s="129">
        <f t="shared" ref="I59" si="173">G59*F59*E59</f>
        <v>300</v>
      </c>
      <c r="J59" s="12">
        <v>0</v>
      </c>
      <c r="K59" s="205">
        <f t="shared" si="160"/>
        <v>300</v>
      </c>
      <c r="L59" s="136">
        <f t="shared" si="153"/>
        <v>10</v>
      </c>
      <c r="M59" s="132">
        <f>F59*1.02</f>
        <v>153</v>
      </c>
      <c r="N59" s="135">
        <v>1</v>
      </c>
      <c r="O59" s="11">
        <f t="shared" ref="O59" si="174">L59*M59*N59</f>
        <v>1530</v>
      </c>
      <c r="P59" s="12">
        <v>0</v>
      </c>
      <c r="Q59" s="205">
        <f t="shared" si="162"/>
        <v>1530</v>
      </c>
      <c r="R59" s="136">
        <f t="shared" si="154"/>
        <v>10</v>
      </c>
      <c r="S59" s="132">
        <f t="shared" si="163"/>
        <v>156.06</v>
      </c>
      <c r="T59" s="135">
        <v>1</v>
      </c>
      <c r="U59" s="11">
        <f t="shared" si="164"/>
        <v>1560.6</v>
      </c>
      <c r="V59" s="12">
        <v>0</v>
      </c>
      <c r="W59" s="205">
        <f t="shared" si="165"/>
        <v>1560.6</v>
      </c>
      <c r="X59" s="136">
        <f t="shared" si="155"/>
        <v>10</v>
      </c>
      <c r="Y59" s="132">
        <f t="shared" si="166"/>
        <v>159.18120000000002</v>
      </c>
      <c r="Z59" s="135">
        <v>1</v>
      </c>
      <c r="AA59" s="11">
        <f t="shared" si="167"/>
        <v>1591.8120000000001</v>
      </c>
      <c r="AB59" s="12">
        <v>0</v>
      </c>
      <c r="AC59" s="205">
        <f t="shared" si="168"/>
        <v>1591.8120000000001</v>
      </c>
      <c r="AD59" s="136">
        <f t="shared" si="156"/>
        <v>3</v>
      </c>
      <c r="AE59" s="132">
        <f t="shared" si="169"/>
        <v>162.36482400000003</v>
      </c>
      <c r="AF59" s="135">
        <v>1</v>
      </c>
      <c r="AG59" s="11">
        <f t="shared" si="170"/>
        <v>487.09447200000011</v>
      </c>
      <c r="AH59" s="12">
        <v>0</v>
      </c>
      <c r="AI59" s="205">
        <f t="shared" si="171"/>
        <v>487.09447200000011</v>
      </c>
      <c r="AJ59" s="206">
        <f t="shared" ref="AJ59" si="175">I59+O59+U59+AA59+AG59</f>
        <v>5469.506472</v>
      </c>
      <c r="AK59" s="206">
        <f t="shared" si="172"/>
        <v>0</v>
      </c>
      <c r="AL59" s="206">
        <f>SUM(AJ59:AK59)</f>
        <v>5469.506472</v>
      </c>
      <c r="AM59" s="5"/>
      <c r="AN59" s="5"/>
      <c r="AO59" s="5"/>
      <c r="AP59" s="5"/>
    </row>
    <row r="60" spans="1:42" s="1" customFormat="1">
      <c r="A60" s="325"/>
      <c r="B60" s="326"/>
      <c r="C60" s="329"/>
      <c r="D60" s="183" t="s">
        <v>110</v>
      </c>
      <c r="E60" s="184"/>
      <c r="F60" s="26"/>
      <c r="G60" s="185"/>
      <c r="H60" s="26"/>
      <c r="I60" s="27">
        <f>SUM(I52:I59)</f>
        <v>7360</v>
      </c>
      <c r="J60" s="27">
        <f t="shared" ref="J60:K60" si="176">SUM(J52:J59)</f>
        <v>0</v>
      </c>
      <c r="K60" s="27">
        <f t="shared" si="176"/>
        <v>7360</v>
      </c>
      <c r="L60" s="184"/>
      <c r="M60" s="186"/>
      <c r="N60" s="26"/>
      <c r="O60" s="27">
        <f>SUM(O52:O59)</f>
        <v>118956</v>
      </c>
      <c r="P60" s="27">
        <f t="shared" ref="P60:Q60" si="177">SUM(P52:P59)</f>
        <v>0</v>
      </c>
      <c r="Q60" s="27">
        <f t="shared" si="177"/>
        <v>118956</v>
      </c>
      <c r="R60" s="184"/>
      <c r="S60" s="26"/>
      <c r="T60" s="26"/>
      <c r="U60" s="27">
        <f>SUM(U52:U59)</f>
        <v>121335.12</v>
      </c>
      <c r="V60" s="27">
        <f t="shared" ref="V60:W60" si="178">SUM(V52:V59)</f>
        <v>0</v>
      </c>
      <c r="W60" s="27">
        <f t="shared" si="178"/>
        <v>121335.12</v>
      </c>
      <c r="X60" s="184"/>
      <c r="Y60" s="26"/>
      <c r="Z60" s="26"/>
      <c r="AA60" s="27">
        <f>SUM(AA52:AA59)</f>
        <v>123761.8224</v>
      </c>
      <c r="AB60" s="27">
        <f t="shared" ref="AB60:AC60" si="179">SUM(AB52:AB59)</f>
        <v>0</v>
      </c>
      <c r="AC60" s="27">
        <f t="shared" si="179"/>
        <v>123761.8224</v>
      </c>
      <c r="AD60" s="184"/>
      <c r="AE60" s="26"/>
      <c r="AF60" s="26"/>
      <c r="AG60" s="27">
        <f>SUM(AG52:AG59)</f>
        <v>40751.236166399998</v>
      </c>
      <c r="AH60" s="27">
        <f t="shared" ref="AH60:AI60" si="180">SUM(AH52:AH59)</f>
        <v>0</v>
      </c>
      <c r="AI60" s="27">
        <f t="shared" si="180"/>
        <v>40751.236166399998</v>
      </c>
      <c r="AJ60" s="29">
        <f>SUM(AJ52:AJ59)</f>
        <v>412164.17856640008</v>
      </c>
      <c r="AK60" s="29">
        <f>SUM(AK52:AK59)</f>
        <v>0</v>
      </c>
      <c r="AL60" s="29">
        <f>SUM(AL52:AL59)</f>
        <v>412164.17856640008</v>
      </c>
    </row>
    <row r="61" spans="1:42">
      <c r="A61" s="327"/>
      <c r="D61" s="60"/>
      <c r="E61" s="32"/>
      <c r="F61" s="134"/>
      <c r="G61" s="134"/>
      <c r="H61" s="134"/>
      <c r="I61" s="11"/>
      <c r="J61" s="12"/>
      <c r="K61" s="205"/>
      <c r="L61" s="32"/>
      <c r="M61" s="134"/>
      <c r="N61" s="134"/>
      <c r="O61" s="11"/>
      <c r="P61" s="12"/>
      <c r="Q61" s="205"/>
      <c r="R61" s="32"/>
      <c r="S61" s="134"/>
      <c r="T61" s="134"/>
      <c r="U61" s="11"/>
      <c r="V61" s="12"/>
      <c r="W61" s="205"/>
      <c r="X61" s="32"/>
      <c r="Y61" s="134"/>
      <c r="Z61" s="134"/>
      <c r="AA61" s="11"/>
      <c r="AB61" s="12"/>
      <c r="AC61" s="205"/>
      <c r="AD61" s="32"/>
      <c r="AE61" s="134"/>
      <c r="AF61" s="134"/>
      <c r="AG61" s="11"/>
      <c r="AH61" s="12"/>
      <c r="AI61" s="205"/>
      <c r="AJ61" s="206"/>
      <c r="AK61" s="206"/>
      <c r="AL61" s="206"/>
      <c r="AM61" s="5"/>
      <c r="AN61" s="5"/>
      <c r="AO61" s="5"/>
      <c r="AP61" s="5"/>
    </row>
    <row r="62" spans="1:42" s="25" customFormat="1">
      <c r="A62" s="337"/>
      <c r="B62" s="338"/>
      <c r="C62" s="339"/>
      <c r="D62" s="107" t="s">
        <v>111</v>
      </c>
      <c r="E62" s="131"/>
      <c r="F62" s="108"/>
      <c r="G62" s="108"/>
      <c r="H62" s="108"/>
      <c r="I62" s="109">
        <f>I60+I49</f>
        <v>11360</v>
      </c>
      <c r="J62" s="110">
        <f>J60+J49</f>
        <v>0</v>
      </c>
      <c r="K62" s="137">
        <f>SUM(I62:J62)</f>
        <v>11360</v>
      </c>
      <c r="L62" s="131"/>
      <c r="M62" s="108"/>
      <c r="N62" s="108"/>
      <c r="O62" s="109">
        <f>O60+O49</f>
        <v>144956</v>
      </c>
      <c r="P62" s="110">
        <f>P60+P49</f>
        <v>0</v>
      </c>
      <c r="Q62" s="137">
        <f>SUM(O62:P62)</f>
        <v>144956</v>
      </c>
      <c r="R62" s="131"/>
      <c r="S62" s="108"/>
      <c r="T62" s="108"/>
      <c r="U62" s="109">
        <f>U60+U49</f>
        <v>147855.12</v>
      </c>
      <c r="V62" s="110">
        <f>V60+V49</f>
        <v>0</v>
      </c>
      <c r="W62" s="137">
        <f>SUM(U62:V62)</f>
        <v>147855.12</v>
      </c>
      <c r="X62" s="131"/>
      <c r="Y62" s="108"/>
      <c r="Z62" s="108"/>
      <c r="AA62" s="109">
        <f>AA60+AA49</f>
        <v>150812.2224</v>
      </c>
      <c r="AB62" s="110">
        <f>AB60+AB49</f>
        <v>0</v>
      </c>
      <c r="AC62" s="137">
        <f>SUM(AA62:AB62)</f>
        <v>150812.2224</v>
      </c>
      <c r="AD62" s="131"/>
      <c r="AE62" s="108"/>
      <c r="AF62" s="108"/>
      <c r="AG62" s="109">
        <f>AG60+AG49</f>
        <v>49240.900166399995</v>
      </c>
      <c r="AH62" s="110">
        <f>AH60+AH49</f>
        <v>0</v>
      </c>
      <c r="AI62" s="137">
        <f>SUM(AG62:AH62)</f>
        <v>49240.900166399995</v>
      </c>
      <c r="AJ62" s="111">
        <f>AJ60+AJ49</f>
        <v>504224.24256640009</v>
      </c>
      <c r="AK62" s="111">
        <f>AK60+AK49</f>
        <v>0</v>
      </c>
      <c r="AL62" s="111">
        <f>AL60+AL49</f>
        <v>504224.24256640009</v>
      </c>
      <c r="AM62" s="127"/>
    </row>
    <row r="63" spans="1:42">
      <c r="A63" s="327"/>
      <c r="D63" s="60"/>
      <c r="E63" s="32"/>
      <c r="F63" s="134"/>
      <c r="G63" s="134"/>
      <c r="H63" s="134"/>
      <c r="I63" s="11"/>
      <c r="J63" s="12"/>
      <c r="K63" s="205"/>
      <c r="L63" s="32"/>
      <c r="M63" s="134"/>
      <c r="N63" s="134"/>
      <c r="O63" s="11"/>
      <c r="P63" s="12"/>
      <c r="Q63" s="205"/>
      <c r="R63" s="32"/>
      <c r="S63" s="134"/>
      <c r="T63" s="134"/>
      <c r="U63" s="11"/>
      <c r="V63" s="12"/>
      <c r="W63" s="205"/>
      <c r="X63" s="32"/>
      <c r="Y63" s="134"/>
      <c r="Z63" s="134"/>
      <c r="AA63" s="11"/>
      <c r="AB63" s="12"/>
      <c r="AC63" s="205"/>
      <c r="AD63" s="32"/>
      <c r="AE63" s="134"/>
      <c r="AF63" s="134"/>
      <c r="AG63" s="11"/>
      <c r="AH63" s="12"/>
      <c r="AI63" s="205"/>
      <c r="AJ63" s="206"/>
      <c r="AK63" s="206">
        <f t="shared" ref="AK63" si="181">J63+P63+V63+AB63+AH63</f>
        <v>0</v>
      </c>
      <c r="AL63" s="206">
        <f t="shared" ref="AL63" si="182">SUM(AJ63:AK63)</f>
        <v>0</v>
      </c>
      <c r="AM63" s="5"/>
      <c r="AN63" s="5"/>
      <c r="AO63" s="5"/>
      <c r="AP63" s="5"/>
    </row>
    <row r="64" spans="1:42">
      <c r="A64" s="327"/>
      <c r="D64" s="59" t="s">
        <v>112</v>
      </c>
      <c r="E64" s="32"/>
      <c r="F64" s="134"/>
      <c r="G64" s="134"/>
      <c r="H64" s="134"/>
      <c r="I64" s="11"/>
      <c r="J64" s="12"/>
      <c r="K64" s="205"/>
      <c r="L64" s="32"/>
      <c r="M64" s="134"/>
      <c r="N64" s="134"/>
      <c r="O64" s="11"/>
      <c r="P64" s="12"/>
      <c r="Q64" s="205"/>
      <c r="R64" s="32"/>
      <c r="S64" s="134"/>
      <c r="T64" s="134"/>
      <c r="U64" s="11"/>
      <c r="V64" s="12"/>
      <c r="W64" s="205"/>
      <c r="X64" s="32"/>
      <c r="Y64" s="134"/>
      <c r="Z64" s="134"/>
      <c r="AA64" s="11"/>
      <c r="AB64" s="12"/>
      <c r="AC64" s="205"/>
      <c r="AD64" s="32"/>
      <c r="AE64" s="134"/>
      <c r="AF64" s="134"/>
      <c r="AG64" s="11"/>
      <c r="AH64" s="12"/>
      <c r="AI64" s="205"/>
      <c r="AJ64" s="206"/>
      <c r="AK64" s="206"/>
      <c r="AL64" s="206"/>
      <c r="AM64" s="5"/>
      <c r="AN64" s="5"/>
      <c r="AO64" s="5"/>
      <c r="AP64" s="5"/>
    </row>
    <row r="65" spans="1:42">
      <c r="A65" s="327" t="s">
        <v>113</v>
      </c>
      <c r="B65" s="305">
        <v>7510</v>
      </c>
      <c r="C65" s="298">
        <v>0</v>
      </c>
      <c r="D65" s="133" t="s">
        <v>92</v>
      </c>
      <c r="E65" s="136">
        <v>3</v>
      </c>
      <c r="F65" s="132">
        <v>2000</v>
      </c>
      <c r="G65" s="135">
        <v>1</v>
      </c>
      <c r="H65" s="134" t="s">
        <v>93</v>
      </c>
      <c r="I65" s="129">
        <f>G65*F65*E65</f>
        <v>6000</v>
      </c>
      <c r="J65" s="12">
        <v>0</v>
      </c>
      <c r="K65" s="205">
        <f>SUM(I65:J65)</f>
        <v>6000</v>
      </c>
      <c r="L65" s="136">
        <v>8</v>
      </c>
      <c r="M65" s="132">
        <f>F65*1.02</f>
        <v>2040</v>
      </c>
      <c r="N65" s="135">
        <v>1</v>
      </c>
      <c r="O65" s="11">
        <f>L65*M65*N65</f>
        <v>16320</v>
      </c>
      <c r="P65" s="12">
        <v>0</v>
      </c>
      <c r="Q65" s="205">
        <f>SUM(O65:P65)</f>
        <v>16320</v>
      </c>
      <c r="R65" s="136">
        <v>8</v>
      </c>
      <c r="S65" s="132">
        <f>M65*1.02</f>
        <v>2080.8000000000002</v>
      </c>
      <c r="T65" s="135">
        <v>1</v>
      </c>
      <c r="U65" s="11">
        <f>R65*S65*T65</f>
        <v>16646.400000000001</v>
      </c>
      <c r="V65" s="12">
        <v>0</v>
      </c>
      <c r="W65" s="205">
        <f>SUM(U65:V65)</f>
        <v>16646.400000000001</v>
      </c>
      <c r="X65" s="136">
        <v>8</v>
      </c>
      <c r="Y65" s="132">
        <f>S65*1.02</f>
        <v>2122.4160000000002</v>
      </c>
      <c r="Z65" s="135">
        <v>1</v>
      </c>
      <c r="AA65" s="11">
        <f>X65*Y65*Z65</f>
        <v>16979.328000000001</v>
      </c>
      <c r="AB65" s="12">
        <v>0</v>
      </c>
      <c r="AC65" s="205">
        <f>SUM(AA65:AB65)</f>
        <v>16979.328000000001</v>
      </c>
      <c r="AD65" s="136">
        <v>6</v>
      </c>
      <c r="AE65" s="132">
        <f>Y65*1.02</f>
        <v>2164.8643200000001</v>
      </c>
      <c r="AF65" s="135">
        <v>1</v>
      </c>
      <c r="AG65" s="11">
        <f>AD65*AE65*AF65</f>
        <v>12989.18592</v>
      </c>
      <c r="AH65" s="12">
        <v>0</v>
      </c>
      <c r="AI65" s="205">
        <f>SUM(AG65:AH65)</f>
        <v>12989.18592</v>
      </c>
      <c r="AJ65" s="206">
        <f>I65+O65+U65+AA65+AG65</f>
        <v>68934.913920000006</v>
      </c>
      <c r="AK65" s="206">
        <f>J65+P65+V65+AB65+AH65</f>
        <v>0</v>
      </c>
      <c r="AL65" s="206">
        <f>SUM(AJ65:AK65)</f>
        <v>68934.913920000006</v>
      </c>
      <c r="AM65" s="5"/>
      <c r="AN65" s="5"/>
      <c r="AO65" s="5"/>
      <c r="AP65" s="5"/>
    </row>
    <row r="66" spans="1:42" s="1" customFormat="1">
      <c r="A66" s="325"/>
      <c r="B66" s="305"/>
      <c r="C66" s="329"/>
      <c r="D66" s="183" t="s">
        <v>114</v>
      </c>
      <c r="E66" s="184">
        <f>SUM(E65:E65)</f>
        <v>3</v>
      </c>
      <c r="F66" s="26"/>
      <c r="G66" s="185"/>
      <c r="H66" s="26"/>
      <c r="I66" s="27">
        <f>SUM(I65:I65)</f>
        <v>6000</v>
      </c>
      <c r="J66" s="28">
        <f>SUM(J65:J65)</f>
        <v>0</v>
      </c>
      <c r="K66" s="31">
        <f>SUM(K65:K65)</f>
        <v>6000</v>
      </c>
      <c r="L66" s="184">
        <f>SUM(L65:L65)</f>
        <v>8</v>
      </c>
      <c r="M66" s="186"/>
      <c r="N66" s="26"/>
      <c r="O66" s="27">
        <f>SUM(O65:O65)</f>
        <v>16320</v>
      </c>
      <c r="P66" s="28">
        <f>SUM(P65:P65)</f>
        <v>0</v>
      </c>
      <c r="Q66" s="31">
        <f>SUM(Q65:Q65)</f>
        <v>16320</v>
      </c>
      <c r="R66" s="184">
        <f>SUM(R65:R65)</f>
        <v>8</v>
      </c>
      <c r="S66" s="26"/>
      <c r="T66" s="26"/>
      <c r="U66" s="27">
        <f>SUM(U65:U65)</f>
        <v>16646.400000000001</v>
      </c>
      <c r="V66" s="28">
        <f>SUM(V65:V65)</f>
        <v>0</v>
      </c>
      <c r="W66" s="31">
        <f>SUM(W65:W65)</f>
        <v>16646.400000000001</v>
      </c>
      <c r="X66" s="184">
        <f>SUM(X65:X65)</f>
        <v>8</v>
      </c>
      <c r="Y66" s="26"/>
      <c r="Z66" s="26"/>
      <c r="AA66" s="27">
        <f>SUM(AA65:AA65)</f>
        <v>16979.328000000001</v>
      </c>
      <c r="AB66" s="28">
        <f>SUM(AB65:AB65)</f>
        <v>0</v>
      </c>
      <c r="AC66" s="31">
        <f>SUM(AC65:AC65)</f>
        <v>16979.328000000001</v>
      </c>
      <c r="AD66" s="184">
        <f>SUM(AD65:AD65)</f>
        <v>6</v>
      </c>
      <c r="AE66" s="26"/>
      <c r="AF66" s="26"/>
      <c r="AG66" s="27">
        <f>SUM(AG65:AG65)</f>
        <v>12989.18592</v>
      </c>
      <c r="AH66" s="28">
        <f>SUM(AH65:AH65)</f>
        <v>0</v>
      </c>
      <c r="AI66" s="31">
        <f>SUM(AI65:AI65)</f>
        <v>12989.18592</v>
      </c>
      <c r="AJ66" s="29">
        <f>I66+O66+U66+AA66+AG66</f>
        <v>68934.913920000006</v>
      </c>
      <c r="AK66" s="29">
        <f t="shared" ref="AK66" si="183">J66+P66+V66+AB66+AH66</f>
        <v>0</v>
      </c>
      <c r="AL66" s="29">
        <f t="shared" ref="AL66" si="184">SUM(AJ66:AK66)</f>
        <v>68934.913920000006</v>
      </c>
      <c r="AM66" s="187"/>
    </row>
    <row r="67" spans="1:42">
      <c r="A67" s="327"/>
      <c r="D67" s="61"/>
      <c r="E67" s="37"/>
      <c r="F67" s="134"/>
      <c r="G67" s="135"/>
      <c r="H67" s="134"/>
      <c r="I67" s="11"/>
      <c r="J67" s="12"/>
      <c r="K67" s="205"/>
      <c r="L67" s="37"/>
      <c r="M67" s="132"/>
      <c r="N67" s="134"/>
      <c r="O67" s="11"/>
      <c r="P67" s="12"/>
      <c r="Q67" s="205"/>
      <c r="R67" s="37"/>
      <c r="S67" s="134"/>
      <c r="T67" s="134"/>
      <c r="U67" s="11"/>
      <c r="V67" s="12"/>
      <c r="W67" s="205"/>
      <c r="X67" s="37"/>
      <c r="Y67" s="134"/>
      <c r="Z67" s="134"/>
      <c r="AA67" s="11"/>
      <c r="AB67" s="12"/>
      <c r="AC67" s="205"/>
      <c r="AD67" s="37"/>
      <c r="AE67" s="134"/>
      <c r="AF67" s="134"/>
      <c r="AG67" s="11"/>
      <c r="AH67" s="12"/>
      <c r="AI67" s="205"/>
      <c r="AJ67" s="206"/>
      <c r="AK67" s="206"/>
      <c r="AL67" s="206"/>
      <c r="AM67" s="5"/>
      <c r="AN67" s="5"/>
      <c r="AO67" s="5"/>
      <c r="AP67" s="5"/>
    </row>
    <row r="68" spans="1:42">
      <c r="A68" s="327"/>
      <c r="D68" s="59" t="s">
        <v>115</v>
      </c>
      <c r="E68" s="32"/>
      <c r="F68" s="134"/>
      <c r="G68" s="134"/>
      <c r="H68" s="134"/>
      <c r="I68" s="11"/>
      <c r="J68" s="12"/>
      <c r="K68" s="205"/>
      <c r="L68" s="32"/>
      <c r="M68" s="134"/>
      <c r="N68" s="134"/>
      <c r="O68" s="11"/>
      <c r="P68" s="12"/>
      <c r="Q68" s="205"/>
      <c r="R68" s="32"/>
      <c r="S68" s="134"/>
      <c r="T68" s="134"/>
      <c r="U68" s="11"/>
      <c r="V68" s="12"/>
      <c r="W68" s="205"/>
      <c r="X68" s="32"/>
      <c r="Y68" s="134"/>
      <c r="Z68" s="134"/>
      <c r="AA68" s="11"/>
      <c r="AB68" s="12"/>
      <c r="AC68" s="205"/>
      <c r="AD68" s="32"/>
      <c r="AE68" s="134"/>
      <c r="AF68" s="134"/>
      <c r="AG68" s="11"/>
      <c r="AH68" s="12"/>
      <c r="AI68" s="205"/>
      <c r="AJ68" s="206"/>
      <c r="AK68" s="206"/>
      <c r="AL68" s="206"/>
      <c r="AM68" s="5"/>
      <c r="AN68" s="5"/>
      <c r="AO68" s="5"/>
      <c r="AP68" s="5"/>
    </row>
    <row r="69" spans="1:42">
      <c r="A69" s="327" t="s">
        <v>116</v>
      </c>
      <c r="B69" s="305" t="s">
        <v>117</v>
      </c>
      <c r="C69" s="298">
        <v>0</v>
      </c>
      <c r="D69" s="133" t="s">
        <v>118</v>
      </c>
      <c r="E69" s="136">
        <f>E66</f>
        <v>3</v>
      </c>
      <c r="F69" s="135">
        <v>100</v>
      </c>
      <c r="G69" s="135">
        <v>7</v>
      </c>
      <c r="H69" s="134" t="s">
        <v>65</v>
      </c>
      <c r="I69" s="129">
        <f>G69*F69*E69</f>
        <v>2100</v>
      </c>
      <c r="J69" s="12">
        <v>0</v>
      </c>
      <c r="K69" s="205">
        <f t="shared" ref="K69:K70" si="185">SUM(I69:J69)</f>
        <v>2100</v>
      </c>
      <c r="L69" s="136">
        <f>L65</f>
        <v>8</v>
      </c>
      <c r="M69" s="132">
        <f>F69*1.02</f>
        <v>102</v>
      </c>
      <c r="N69" s="135">
        <v>7</v>
      </c>
      <c r="O69" s="11">
        <f>L69*M69*N69</f>
        <v>5712</v>
      </c>
      <c r="P69" s="12">
        <v>0</v>
      </c>
      <c r="Q69" s="205">
        <f t="shared" ref="Q69:Q70" si="186">SUM(O69:P69)</f>
        <v>5712</v>
      </c>
      <c r="R69" s="136">
        <f>R65</f>
        <v>8</v>
      </c>
      <c r="S69" s="132">
        <f>M69*1.02</f>
        <v>104.04</v>
      </c>
      <c r="T69" s="135">
        <v>7</v>
      </c>
      <c r="U69" s="11">
        <f t="shared" ref="U69:U70" si="187">R69*S69*T69</f>
        <v>5826.2400000000007</v>
      </c>
      <c r="V69" s="12">
        <v>0</v>
      </c>
      <c r="W69" s="205">
        <f t="shared" ref="W69:W70" si="188">SUM(U69:V69)</f>
        <v>5826.2400000000007</v>
      </c>
      <c r="X69" s="136">
        <f>X65</f>
        <v>8</v>
      </c>
      <c r="Y69" s="132">
        <f>S69*1.02</f>
        <v>106.1208</v>
      </c>
      <c r="Z69" s="135">
        <v>7</v>
      </c>
      <c r="AA69" s="11">
        <f t="shared" ref="AA69:AA70" si="189">X69*Y69*Z69</f>
        <v>5942.7647999999999</v>
      </c>
      <c r="AB69" s="12">
        <v>0</v>
      </c>
      <c r="AC69" s="205">
        <f t="shared" ref="AC69:AC70" si="190">SUM(AA69:AB69)</f>
        <v>5942.7647999999999</v>
      </c>
      <c r="AD69" s="136">
        <f>AD65</f>
        <v>6</v>
      </c>
      <c r="AE69" s="132">
        <f>Y69*1.02</f>
        <v>108.243216</v>
      </c>
      <c r="AF69" s="135">
        <v>7</v>
      </c>
      <c r="AG69" s="11">
        <f t="shared" ref="AG69:AG70" si="191">AD69*AE69*AF69</f>
        <v>4546.215072</v>
      </c>
      <c r="AH69" s="12">
        <v>0</v>
      </c>
      <c r="AI69" s="205">
        <f t="shared" ref="AI69:AI70" si="192">SUM(AG69:AH69)</f>
        <v>4546.215072</v>
      </c>
      <c r="AJ69" s="206">
        <f>I69+O69+U69+AA69+AG69</f>
        <v>24127.219872000001</v>
      </c>
      <c r="AK69" s="206">
        <f t="shared" ref="AK69:AK70" si="193">J69+P69+V69+AB69+AH69</f>
        <v>0</v>
      </c>
      <c r="AL69" s="206">
        <f t="shared" ref="AL69:AL70" si="194">SUM(AJ69:AK69)</f>
        <v>24127.219872000001</v>
      </c>
      <c r="AM69" s="5"/>
      <c r="AN69" s="5"/>
      <c r="AO69" s="5"/>
      <c r="AP69" s="5"/>
    </row>
    <row r="70" spans="1:42">
      <c r="A70" s="327" t="s">
        <v>116</v>
      </c>
      <c r="B70" s="305" t="s">
        <v>99</v>
      </c>
      <c r="C70" s="298">
        <v>0</v>
      </c>
      <c r="D70" s="133" t="s">
        <v>119</v>
      </c>
      <c r="E70" s="136">
        <f>E65</f>
        <v>3</v>
      </c>
      <c r="F70" s="135">
        <v>120</v>
      </c>
      <c r="G70" s="135">
        <v>7</v>
      </c>
      <c r="H70" s="134" t="s">
        <v>65</v>
      </c>
      <c r="I70" s="129">
        <f t="shared" ref="I70" si="195">G70*F70*E70</f>
        <v>2520</v>
      </c>
      <c r="J70" s="12">
        <v>0</v>
      </c>
      <c r="K70" s="205">
        <f t="shared" si="185"/>
        <v>2520</v>
      </c>
      <c r="L70" s="136">
        <f>L65</f>
        <v>8</v>
      </c>
      <c r="M70" s="132">
        <f t="shared" ref="M70" si="196">F70*1.02</f>
        <v>122.4</v>
      </c>
      <c r="N70" s="135">
        <v>7</v>
      </c>
      <c r="O70" s="11">
        <f t="shared" ref="O70" si="197">L70*M70*N70</f>
        <v>6854.4000000000005</v>
      </c>
      <c r="P70" s="12">
        <v>0</v>
      </c>
      <c r="Q70" s="205">
        <f t="shared" si="186"/>
        <v>6854.4000000000005</v>
      </c>
      <c r="R70" s="136">
        <f>R65</f>
        <v>8</v>
      </c>
      <c r="S70" s="132">
        <f t="shared" ref="S70" si="198">M70*1.02</f>
        <v>124.84800000000001</v>
      </c>
      <c r="T70" s="135">
        <v>7</v>
      </c>
      <c r="U70" s="11">
        <f t="shared" si="187"/>
        <v>6991.4880000000012</v>
      </c>
      <c r="V70" s="12">
        <v>0</v>
      </c>
      <c r="W70" s="205">
        <f t="shared" si="188"/>
        <v>6991.4880000000012</v>
      </c>
      <c r="X70" s="136">
        <f>X65</f>
        <v>8</v>
      </c>
      <c r="Y70" s="132">
        <f t="shared" ref="Y70" si="199">S70*1.02</f>
        <v>127.34496000000001</v>
      </c>
      <c r="Z70" s="135">
        <v>7</v>
      </c>
      <c r="AA70" s="11">
        <f t="shared" si="189"/>
        <v>7131.3177600000008</v>
      </c>
      <c r="AB70" s="12">
        <v>0</v>
      </c>
      <c r="AC70" s="205">
        <f t="shared" si="190"/>
        <v>7131.3177600000008</v>
      </c>
      <c r="AD70" s="136">
        <f>AD65</f>
        <v>6</v>
      </c>
      <c r="AE70" s="132">
        <f t="shared" ref="AE70" si="200">Y70*1.02</f>
        <v>129.89185920000003</v>
      </c>
      <c r="AF70" s="135">
        <v>7</v>
      </c>
      <c r="AG70" s="11">
        <f t="shared" si="191"/>
        <v>5455.4580864000018</v>
      </c>
      <c r="AH70" s="12">
        <v>0</v>
      </c>
      <c r="AI70" s="205">
        <f t="shared" si="192"/>
        <v>5455.4580864000018</v>
      </c>
      <c r="AJ70" s="206">
        <f t="shared" ref="AJ70" si="201">I70+O70+U70+AA70+AG70</f>
        <v>28952.663846400006</v>
      </c>
      <c r="AK70" s="206">
        <f t="shared" si="193"/>
        <v>0</v>
      </c>
      <c r="AL70" s="206">
        <f t="shared" si="194"/>
        <v>28952.663846400006</v>
      </c>
      <c r="AM70" s="5"/>
      <c r="AN70" s="5"/>
      <c r="AO70" s="5"/>
      <c r="AP70" s="5"/>
    </row>
    <row r="71" spans="1:42">
      <c r="A71" s="327" t="s">
        <v>116</v>
      </c>
      <c r="B71" s="305" t="s">
        <v>101</v>
      </c>
      <c r="C71" s="298">
        <v>0</v>
      </c>
      <c r="D71" s="133" t="s">
        <v>120</v>
      </c>
      <c r="E71" s="136">
        <f>E66</f>
        <v>3</v>
      </c>
      <c r="F71" s="135">
        <v>230</v>
      </c>
      <c r="G71" s="135">
        <v>1</v>
      </c>
      <c r="H71" s="134" t="s">
        <v>105</v>
      </c>
      <c r="I71" s="129">
        <f t="shared" ref="I71:I72" si="202">G71*F71*E71</f>
        <v>690</v>
      </c>
      <c r="J71" s="12">
        <v>0</v>
      </c>
      <c r="K71" s="205">
        <f t="shared" ref="K71:K72" si="203">SUM(I71:J71)</f>
        <v>690</v>
      </c>
      <c r="L71" s="136">
        <f>L66</f>
        <v>8</v>
      </c>
      <c r="M71" s="132">
        <f t="shared" ref="M71:M72" si="204">F71*1.02</f>
        <v>234.6</v>
      </c>
      <c r="N71" s="135">
        <v>1</v>
      </c>
      <c r="O71" s="11">
        <f t="shared" ref="O71:O72" si="205">L71*M71*N71</f>
        <v>1876.8</v>
      </c>
      <c r="P71" s="12">
        <v>0</v>
      </c>
      <c r="Q71" s="205">
        <f t="shared" ref="Q71:Q72" si="206">SUM(O71:P71)</f>
        <v>1876.8</v>
      </c>
      <c r="R71" s="136">
        <f>R66</f>
        <v>8</v>
      </c>
      <c r="S71" s="132">
        <f t="shared" ref="S71:S72" si="207">M71*1.02</f>
        <v>239.292</v>
      </c>
      <c r="T71" s="135">
        <v>1</v>
      </c>
      <c r="U71" s="11">
        <f t="shared" ref="U71:U72" si="208">R71*S71*T71</f>
        <v>1914.336</v>
      </c>
      <c r="V71" s="12">
        <v>0</v>
      </c>
      <c r="W71" s="205">
        <f t="shared" ref="W71:W72" si="209">SUM(U71:V71)</f>
        <v>1914.336</v>
      </c>
      <c r="X71" s="136">
        <f>X66</f>
        <v>8</v>
      </c>
      <c r="Y71" s="132">
        <f t="shared" ref="Y71:Y72" si="210">S71*1.02</f>
        <v>244.07784000000001</v>
      </c>
      <c r="Z71" s="135">
        <v>1</v>
      </c>
      <c r="AA71" s="11">
        <f t="shared" ref="AA71:AA72" si="211">X71*Y71*Z71</f>
        <v>1952.6227200000001</v>
      </c>
      <c r="AB71" s="12">
        <v>0</v>
      </c>
      <c r="AC71" s="205">
        <f t="shared" ref="AC71:AC72" si="212">SUM(AA71:AB71)</f>
        <v>1952.6227200000001</v>
      </c>
      <c r="AD71" s="136">
        <f>AD66</f>
        <v>6</v>
      </c>
      <c r="AE71" s="132">
        <f t="shared" ref="AE71:AE72" si="213">Y71*1.02</f>
        <v>248.95939680000001</v>
      </c>
      <c r="AF71" s="135">
        <v>1</v>
      </c>
      <c r="AG71" s="11">
        <f t="shared" ref="AG71:AG72" si="214">AD71*AE71*AF71</f>
        <v>1493.7563808</v>
      </c>
      <c r="AH71" s="12">
        <v>0</v>
      </c>
      <c r="AI71" s="205">
        <f t="shared" ref="AI71" si="215">SUM(AG71:AH71)</f>
        <v>1493.7563808</v>
      </c>
      <c r="AJ71" s="206">
        <f t="shared" ref="AJ71:AJ72" si="216">I71+O71+U71+AA71+AG71</f>
        <v>7927.5151008000012</v>
      </c>
      <c r="AK71" s="206">
        <f t="shared" ref="AK71:AK72" si="217">J71+P71+V71+AB71+AH71</f>
        <v>0</v>
      </c>
      <c r="AL71" s="206">
        <f t="shared" ref="AL71" si="218">SUM(AJ71:AK71)</f>
        <v>7927.5151008000012</v>
      </c>
      <c r="AM71" s="5"/>
      <c r="AN71" s="5"/>
      <c r="AO71" s="5"/>
      <c r="AP71" s="5"/>
    </row>
    <row r="72" spans="1:42">
      <c r="A72" s="327" t="s">
        <v>116</v>
      </c>
      <c r="B72" s="305" t="s">
        <v>117</v>
      </c>
      <c r="C72" s="298">
        <v>0</v>
      </c>
      <c r="D72" s="138" t="s">
        <v>121</v>
      </c>
      <c r="E72" s="136">
        <f>E66</f>
        <v>3</v>
      </c>
      <c r="F72" s="135">
        <v>150</v>
      </c>
      <c r="G72" s="135">
        <v>1</v>
      </c>
      <c r="H72" s="134" t="s">
        <v>105</v>
      </c>
      <c r="I72" s="129">
        <f t="shared" si="202"/>
        <v>450</v>
      </c>
      <c r="J72" s="12">
        <v>0</v>
      </c>
      <c r="K72" s="205">
        <f t="shared" si="203"/>
        <v>450</v>
      </c>
      <c r="L72" s="136">
        <f>L66</f>
        <v>8</v>
      </c>
      <c r="M72" s="132">
        <f t="shared" si="204"/>
        <v>153</v>
      </c>
      <c r="N72" s="135">
        <v>1</v>
      </c>
      <c r="O72" s="11">
        <f t="shared" si="205"/>
        <v>1224</v>
      </c>
      <c r="P72" s="12">
        <v>0</v>
      </c>
      <c r="Q72" s="205">
        <f t="shared" si="206"/>
        <v>1224</v>
      </c>
      <c r="R72" s="136">
        <f>R66</f>
        <v>8</v>
      </c>
      <c r="S72" s="132">
        <f t="shared" si="207"/>
        <v>156.06</v>
      </c>
      <c r="T72" s="135">
        <v>1</v>
      </c>
      <c r="U72" s="11">
        <f t="shared" si="208"/>
        <v>1248.48</v>
      </c>
      <c r="V72" s="12">
        <v>0</v>
      </c>
      <c r="W72" s="205">
        <f t="shared" si="209"/>
        <v>1248.48</v>
      </c>
      <c r="X72" s="136">
        <f>X66</f>
        <v>8</v>
      </c>
      <c r="Y72" s="132">
        <f t="shared" si="210"/>
        <v>159.18120000000002</v>
      </c>
      <c r="Z72" s="135">
        <v>1</v>
      </c>
      <c r="AA72" s="11">
        <f t="shared" si="211"/>
        <v>1273.4496000000001</v>
      </c>
      <c r="AB72" s="12">
        <v>0</v>
      </c>
      <c r="AC72" s="205">
        <f t="shared" si="212"/>
        <v>1273.4496000000001</v>
      </c>
      <c r="AD72" s="136">
        <f>AD66</f>
        <v>6</v>
      </c>
      <c r="AE72" s="132">
        <f t="shared" si="213"/>
        <v>162.36482400000003</v>
      </c>
      <c r="AF72" s="135">
        <v>1</v>
      </c>
      <c r="AG72" s="11">
        <f t="shared" si="214"/>
        <v>974.18894400000022</v>
      </c>
      <c r="AH72" s="12">
        <v>0</v>
      </c>
      <c r="AI72" s="205">
        <f>SUM(AG72:AH72)</f>
        <v>974.18894400000022</v>
      </c>
      <c r="AJ72" s="206">
        <f t="shared" si="216"/>
        <v>5170.1185440000008</v>
      </c>
      <c r="AK72" s="206">
        <f t="shared" si="217"/>
        <v>0</v>
      </c>
      <c r="AL72" s="206">
        <f>SUM(AJ72:AK72)</f>
        <v>5170.1185440000008</v>
      </c>
      <c r="AM72" s="5"/>
      <c r="AN72" s="5"/>
      <c r="AO72" s="5"/>
      <c r="AP72" s="5"/>
    </row>
    <row r="73" spans="1:42" s="1" customFormat="1">
      <c r="A73" s="325"/>
      <c r="B73" s="305"/>
      <c r="C73" s="329"/>
      <c r="D73" s="183" t="s">
        <v>122</v>
      </c>
      <c r="E73" s="184"/>
      <c r="F73" s="26"/>
      <c r="G73" s="185"/>
      <c r="H73" s="26"/>
      <c r="I73" s="27">
        <f>SUM(I69:I72)</f>
        <v>5760</v>
      </c>
      <c r="J73" s="27">
        <f>SUM(J69:J72)</f>
        <v>0</v>
      </c>
      <c r="K73" s="27">
        <f>SUM(K69:K72)</f>
        <v>5760</v>
      </c>
      <c r="L73" s="184">
        <f>SUM(L69:L72)</f>
        <v>32</v>
      </c>
      <c r="M73" s="186"/>
      <c r="N73" s="26"/>
      <c r="O73" s="27">
        <f>SUM(O69:O72)</f>
        <v>15667.2</v>
      </c>
      <c r="P73" s="27">
        <f>SUM(P69:P72)</f>
        <v>0</v>
      </c>
      <c r="Q73" s="27">
        <f>SUM(Q69:Q72)</f>
        <v>15667.2</v>
      </c>
      <c r="R73" s="184">
        <f>SUM(R69:R72)</f>
        <v>32</v>
      </c>
      <c r="S73" s="26"/>
      <c r="T73" s="26"/>
      <c r="U73" s="27">
        <f>SUM(U69:U72)</f>
        <v>15980.544000000002</v>
      </c>
      <c r="V73" s="27">
        <f>SUM(V69:V72)</f>
        <v>0</v>
      </c>
      <c r="W73" s="27">
        <f>SUM(W69:W72)</f>
        <v>15980.544000000002</v>
      </c>
      <c r="X73" s="184">
        <f>SUM(X69:X72)</f>
        <v>32</v>
      </c>
      <c r="Y73" s="26"/>
      <c r="Z73" s="26"/>
      <c r="AA73" s="27">
        <f>SUM(AA69:AA72)</f>
        <v>16300.15488</v>
      </c>
      <c r="AB73" s="27">
        <f>SUM(AB69:AB72)</f>
        <v>0</v>
      </c>
      <c r="AC73" s="27">
        <f>SUM(AC69:AC72)</f>
        <v>16300.15488</v>
      </c>
      <c r="AD73" s="184">
        <f>SUM(AD69:AD72)</f>
        <v>24</v>
      </c>
      <c r="AE73" s="26"/>
      <c r="AF73" s="26"/>
      <c r="AG73" s="27">
        <f t="shared" ref="AG73:AL73" si="219">SUM(AG69:AG72)</f>
        <v>12469.6184832</v>
      </c>
      <c r="AH73" s="27">
        <f t="shared" si="219"/>
        <v>0</v>
      </c>
      <c r="AI73" s="27">
        <f t="shared" si="219"/>
        <v>12469.6184832</v>
      </c>
      <c r="AJ73" s="29">
        <f>SUM(AJ69:AJ72)</f>
        <v>66177.517363200008</v>
      </c>
      <c r="AK73" s="29">
        <f t="shared" si="219"/>
        <v>0</v>
      </c>
      <c r="AL73" s="29">
        <f t="shared" si="219"/>
        <v>66177.517363200008</v>
      </c>
    </row>
    <row r="74" spans="1:42" s="69" customFormat="1" ht="12.6">
      <c r="A74" s="340"/>
      <c r="B74" s="305"/>
      <c r="C74" s="341"/>
      <c r="D74" s="62"/>
      <c r="E74" s="139"/>
      <c r="F74" s="140"/>
      <c r="G74" s="141"/>
      <c r="H74" s="140"/>
      <c r="I74" s="68"/>
      <c r="J74" s="142"/>
      <c r="K74" s="143"/>
      <c r="L74" s="139"/>
      <c r="M74" s="144"/>
      <c r="N74" s="140"/>
      <c r="O74" s="68"/>
      <c r="P74" s="142"/>
      <c r="Q74" s="143"/>
      <c r="R74" s="139"/>
      <c r="S74" s="140"/>
      <c r="T74" s="140"/>
      <c r="U74" s="68"/>
      <c r="V74" s="142"/>
      <c r="W74" s="143"/>
      <c r="X74" s="139"/>
      <c r="Y74" s="140"/>
      <c r="Z74" s="140"/>
      <c r="AA74" s="68"/>
      <c r="AB74" s="142"/>
      <c r="AC74" s="143"/>
      <c r="AD74" s="139"/>
      <c r="AE74" s="140"/>
      <c r="AF74" s="140"/>
      <c r="AG74" s="68"/>
      <c r="AH74" s="142"/>
      <c r="AI74" s="143"/>
      <c r="AJ74" s="145"/>
      <c r="AK74" s="145"/>
      <c r="AL74" s="145"/>
    </row>
    <row r="75" spans="1:42">
      <c r="A75" s="327"/>
      <c r="C75" s="298"/>
      <c r="D75" s="59" t="s">
        <v>123</v>
      </c>
      <c r="E75" s="32"/>
      <c r="F75" s="134"/>
      <c r="G75" s="134"/>
      <c r="H75" s="134"/>
      <c r="I75" s="11"/>
      <c r="J75" s="12"/>
      <c r="K75" s="205"/>
      <c r="L75" s="32"/>
      <c r="M75" s="134"/>
      <c r="N75" s="134"/>
      <c r="O75" s="11"/>
      <c r="P75" s="12"/>
      <c r="Q75" s="205"/>
      <c r="R75" s="32"/>
      <c r="S75" s="134"/>
      <c r="T75" s="134"/>
      <c r="U75" s="11"/>
      <c r="V75" s="12"/>
      <c r="W75" s="205"/>
      <c r="X75" s="32"/>
      <c r="Y75" s="134"/>
      <c r="Z75" s="134"/>
      <c r="AA75" s="11"/>
      <c r="AB75" s="12"/>
      <c r="AC75" s="205"/>
      <c r="AD75" s="32"/>
      <c r="AE75" s="134"/>
      <c r="AF75" s="134"/>
      <c r="AG75" s="11"/>
      <c r="AH75" s="12"/>
      <c r="AI75" s="205"/>
      <c r="AJ75" s="206"/>
      <c r="AK75" s="206"/>
      <c r="AL75" s="206"/>
      <c r="AM75" s="5"/>
      <c r="AN75" s="5"/>
      <c r="AO75" s="5"/>
      <c r="AP75" s="5"/>
    </row>
    <row r="76" spans="1:42">
      <c r="A76" s="327" t="s">
        <v>124</v>
      </c>
      <c r="B76" s="305" t="s">
        <v>117</v>
      </c>
      <c r="C76" s="303" t="s">
        <v>51</v>
      </c>
      <c r="D76" s="133" t="s">
        <v>125</v>
      </c>
      <c r="E76" s="136">
        <f>E52</f>
        <v>0</v>
      </c>
      <c r="F76" s="135">
        <v>50</v>
      </c>
      <c r="G76" s="135">
        <v>5</v>
      </c>
      <c r="H76" s="134" t="s">
        <v>65</v>
      </c>
      <c r="I76" s="129">
        <f>G76*F76*E76</f>
        <v>0</v>
      </c>
      <c r="J76" s="12">
        <v>0</v>
      </c>
      <c r="K76" s="205">
        <f t="shared" ref="K76:K79" si="220">SUM(I76:J76)</f>
        <v>0</v>
      </c>
      <c r="L76" s="136">
        <f>L52</f>
        <v>3</v>
      </c>
      <c r="M76" s="132">
        <f t="shared" ref="M76:M79" si="221">F76*1.02</f>
        <v>51</v>
      </c>
      <c r="N76" s="135">
        <v>5</v>
      </c>
      <c r="O76" s="11">
        <f t="shared" ref="O76:O79" si="222">L76*M76*N76</f>
        <v>765</v>
      </c>
      <c r="P76" s="12">
        <v>0</v>
      </c>
      <c r="Q76" s="205">
        <f t="shared" ref="Q76:Q79" si="223">SUM(O76:P76)</f>
        <v>765</v>
      </c>
      <c r="R76" s="136">
        <f>R52</f>
        <v>3</v>
      </c>
      <c r="S76" s="132">
        <f t="shared" ref="S76:S79" si="224">M76*1.02</f>
        <v>52.02</v>
      </c>
      <c r="T76" s="135">
        <v>5</v>
      </c>
      <c r="U76" s="11">
        <f t="shared" ref="U76:U79" si="225">R76*S76*T76</f>
        <v>780.3</v>
      </c>
      <c r="V76" s="12">
        <v>0</v>
      </c>
      <c r="W76" s="205">
        <f t="shared" ref="W76:W79" si="226">SUM(U76:V76)</f>
        <v>780.3</v>
      </c>
      <c r="X76" s="136">
        <f>X52</f>
        <v>3</v>
      </c>
      <c r="Y76" s="132">
        <f t="shared" ref="Y76:Y79" si="227">S76*1.02</f>
        <v>53.060400000000001</v>
      </c>
      <c r="Z76" s="135">
        <v>5</v>
      </c>
      <c r="AA76" s="11">
        <f t="shared" ref="AA76:AA79" si="228">X76*Y76*Z76</f>
        <v>795.90599999999995</v>
      </c>
      <c r="AB76" s="12">
        <v>0</v>
      </c>
      <c r="AC76" s="205">
        <f t="shared" ref="AC76:AC79" si="229">SUM(AA76:AB76)</f>
        <v>795.90599999999995</v>
      </c>
      <c r="AD76" s="136">
        <f>AD52</f>
        <v>1</v>
      </c>
      <c r="AE76" s="132">
        <f t="shared" ref="AE76:AE79" si="230">Y76*1.02</f>
        <v>54.121608000000002</v>
      </c>
      <c r="AF76" s="135">
        <v>5</v>
      </c>
      <c r="AG76" s="11">
        <f t="shared" ref="AG76:AG79" si="231">AD76*AE76*AF76</f>
        <v>270.60804000000002</v>
      </c>
      <c r="AH76" s="12">
        <v>0</v>
      </c>
      <c r="AI76" s="205">
        <f t="shared" ref="AI76:AI79" si="232">SUM(AG76:AH76)</f>
        <v>270.60804000000002</v>
      </c>
      <c r="AJ76" s="206">
        <f>I76+O76+U76+AA76+AG76</f>
        <v>2611.8140400000002</v>
      </c>
      <c r="AK76" s="206">
        <f t="shared" ref="AK76:AK79" si="233">J76+P76+V76+AB76+AH76</f>
        <v>0</v>
      </c>
      <c r="AL76" s="206">
        <f t="shared" ref="AL76:AL79" si="234">SUM(AJ76:AK76)</f>
        <v>2611.8140400000002</v>
      </c>
      <c r="AM76" s="5"/>
      <c r="AN76" s="5"/>
      <c r="AO76" s="5"/>
      <c r="AP76" s="5"/>
    </row>
    <row r="77" spans="1:42">
      <c r="A77" s="327" t="s">
        <v>124</v>
      </c>
      <c r="B77" s="305" t="s">
        <v>99</v>
      </c>
      <c r="C77" s="303" t="s">
        <v>51</v>
      </c>
      <c r="D77" s="133" t="s">
        <v>126</v>
      </c>
      <c r="E77" s="136">
        <f>E53</f>
        <v>0</v>
      </c>
      <c r="F77" s="135">
        <v>120</v>
      </c>
      <c r="G77" s="135">
        <v>5</v>
      </c>
      <c r="H77" s="134" t="s">
        <v>65</v>
      </c>
      <c r="I77" s="129">
        <f t="shared" ref="I77:I79" si="235">G77*F77*E77</f>
        <v>0</v>
      </c>
      <c r="J77" s="12">
        <v>0</v>
      </c>
      <c r="K77" s="205">
        <f t="shared" si="220"/>
        <v>0</v>
      </c>
      <c r="L77" s="136">
        <f>L53</f>
        <v>3</v>
      </c>
      <c r="M77" s="132">
        <f t="shared" si="221"/>
        <v>122.4</v>
      </c>
      <c r="N77" s="135">
        <v>5</v>
      </c>
      <c r="O77" s="11">
        <f t="shared" si="222"/>
        <v>1836.0000000000002</v>
      </c>
      <c r="P77" s="12">
        <v>0</v>
      </c>
      <c r="Q77" s="205">
        <f t="shared" si="223"/>
        <v>1836.0000000000002</v>
      </c>
      <c r="R77" s="136">
        <f>R53</f>
        <v>3</v>
      </c>
      <c r="S77" s="132">
        <f t="shared" si="224"/>
        <v>124.84800000000001</v>
      </c>
      <c r="T77" s="135">
        <v>5</v>
      </c>
      <c r="U77" s="11">
        <f t="shared" si="225"/>
        <v>1872.7200000000003</v>
      </c>
      <c r="V77" s="12">
        <v>0</v>
      </c>
      <c r="W77" s="205">
        <f t="shared" si="226"/>
        <v>1872.7200000000003</v>
      </c>
      <c r="X77" s="136">
        <f>X53</f>
        <v>3</v>
      </c>
      <c r="Y77" s="132">
        <f t="shared" si="227"/>
        <v>127.34496000000001</v>
      </c>
      <c r="Z77" s="135">
        <v>5</v>
      </c>
      <c r="AA77" s="11">
        <f t="shared" si="228"/>
        <v>1910.1744000000003</v>
      </c>
      <c r="AB77" s="12">
        <v>0</v>
      </c>
      <c r="AC77" s="205">
        <f t="shared" si="229"/>
        <v>1910.1744000000003</v>
      </c>
      <c r="AD77" s="136">
        <f>AD53</f>
        <v>1</v>
      </c>
      <c r="AE77" s="132">
        <f t="shared" si="230"/>
        <v>129.89185920000003</v>
      </c>
      <c r="AF77" s="135">
        <v>5</v>
      </c>
      <c r="AG77" s="11">
        <f t="shared" si="231"/>
        <v>649.45929600000011</v>
      </c>
      <c r="AH77" s="12">
        <v>0</v>
      </c>
      <c r="AI77" s="205">
        <f t="shared" si="232"/>
        <v>649.45929600000011</v>
      </c>
      <c r="AJ77" s="206">
        <f t="shared" ref="AJ77:AJ79" si="236">I77+O77+U77+AA77+AG77</f>
        <v>6268.353696000001</v>
      </c>
      <c r="AK77" s="206">
        <f t="shared" si="233"/>
        <v>0</v>
      </c>
      <c r="AL77" s="206">
        <f t="shared" si="234"/>
        <v>6268.353696000001</v>
      </c>
      <c r="AM77" s="5"/>
      <c r="AN77" s="5"/>
      <c r="AO77" s="5"/>
      <c r="AP77" s="5"/>
    </row>
    <row r="78" spans="1:42">
      <c r="A78" s="327" t="s">
        <v>124</v>
      </c>
      <c r="B78" s="305" t="s">
        <v>101</v>
      </c>
      <c r="C78" s="303" t="s">
        <v>51</v>
      </c>
      <c r="D78" s="133" t="s">
        <v>127</v>
      </c>
      <c r="E78" s="136">
        <f>E54</f>
        <v>0</v>
      </c>
      <c r="F78" s="135">
        <v>100</v>
      </c>
      <c r="G78" s="135">
        <v>1</v>
      </c>
      <c r="H78" s="134" t="s">
        <v>105</v>
      </c>
      <c r="I78" s="129">
        <f t="shared" si="235"/>
        <v>0</v>
      </c>
      <c r="J78" s="12">
        <v>0</v>
      </c>
      <c r="K78" s="205">
        <f t="shared" si="220"/>
        <v>0</v>
      </c>
      <c r="L78" s="136">
        <f>L54</f>
        <v>3</v>
      </c>
      <c r="M78" s="132">
        <f t="shared" si="221"/>
        <v>102</v>
      </c>
      <c r="N78" s="135">
        <v>1</v>
      </c>
      <c r="O78" s="11">
        <f t="shared" si="222"/>
        <v>306</v>
      </c>
      <c r="P78" s="12">
        <v>0</v>
      </c>
      <c r="Q78" s="205">
        <f t="shared" si="223"/>
        <v>306</v>
      </c>
      <c r="R78" s="136">
        <f>R54</f>
        <v>3</v>
      </c>
      <c r="S78" s="132">
        <f t="shared" si="224"/>
        <v>104.04</v>
      </c>
      <c r="T78" s="135">
        <v>1</v>
      </c>
      <c r="U78" s="11">
        <f t="shared" si="225"/>
        <v>312.12</v>
      </c>
      <c r="V78" s="12">
        <v>0</v>
      </c>
      <c r="W78" s="205">
        <f t="shared" si="226"/>
        <v>312.12</v>
      </c>
      <c r="X78" s="136">
        <f>X54</f>
        <v>3</v>
      </c>
      <c r="Y78" s="132">
        <f t="shared" si="227"/>
        <v>106.1208</v>
      </c>
      <c r="Z78" s="135">
        <v>1</v>
      </c>
      <c r="AA78" s="11">
        <f t="shared" si="228"/>
        <v>318.36239999999998</v>
      </c>
      <c r="AB78" s="12">
        <v>0</v>
      </c>
      <c r="AC78" s="205">
        <f t="shared" si="229"/>
        <v>318.36239999999998</v>
      </c>
      <c r="AD78" s="136">
        <f>AD54</f>
        <v>1</v>
      </c>
      <c r="AE78" s="132">
        <f t="shared" si="230"/>
        <v>108.243216</v>
      </c>
      <c r="AF78" s="135">
        <v>1</v>
      </c>
      <c r="AG78" s="11">
        <f t="shared" si="231"/>
        <v>108.243216</v>
      </c>
      <c r="AH78" s="12">
        <v>0</v>
      </c>
      <c r="AI78" s="205">
        <f t="shared" si="232"/>
        <v>108.243216</v>
      </c>
      <c r="AJ78" s="206">
        <f t="shared" si="236"/>
        <v>1044.7256159999999</v>
      </c>
      <c r="AK78" s="206">
        <f t="shared" si="233"/>
        <v>0</v>
      </c>
      <c r="AL78" s="206">
        <f t="shared" si="234"/>
        <v>1044.7256159999999</v>
      </c>
      <c r="AM78" s="5"/>
      <c r="AN78" s="5"/>
      <c r="AO78" s="5"/>
      <c r="AP78" s="5"/>
    </row>
    <row r="79" spans="1:42">
      <c r="A79" s="327" t="s">
        <v>124</v>
      </c>
      <c r="B79" s="305" t="s">
        <v>117</v>
      </c>
      <c r="C79" s="303" t="s">
        <v>51</v>
      </c>
      <c r="D79" s="133" t="s">
        <v>128</v>
      </c>
      <c r="E79" s="136">
        <f>E54</f>
        <v>0</v>
      </c>
      <c r="F79" s="135">
        <v>50</v>
      </c>
      <c r="G79" s="135">
        <v>1</v>
      </c>
      <c r="H79" s="134" t="s">
        <v>105</v>
      </c>
      <c r="I79" s="129">
        <f t="shared" si="235"/>
        <v>0</v>
      </c>
      <c r="J79" s="12">
        <v>0</v>
      </c>
      <c r="K79" s="205">
        <f t="shared" si="220"/>
        <v>0</v>
      </c>
      <c r="L79" s="136">
        <f>L54</f>
        <v>3</v>
      </c>
      <c r="M79" s="132">
        <f t="shared" si="221"/>
        <v>51</v>
      </c>
      <c r="N79" s="135">
        <v>1</v>
      </c>
      <c r="O79" s="11">
        <f t="shared" si="222"/>
        <v>153</v>
      </c>
      <c r="P79" s="12">
        <v>0</v>
      </c>
      <c r="Q79" s="205">
        <f t="shared" si="223"/>
        <v>153</v>
      </c>
      <c r="R79" s="136">
        <f>R54</f>
        <v>3</v>
      </c>
      <c r="S79" s="132">
        <f t="shared" si="224"/>
        <v>52.02</v>
      </c>
      <c r="T79" s="135">
        <v>1</v>
      </c>
      <c r="U79" s="11">
        <f t="shared" si="225"/>
        <v>156.06</v>
      </c>
      <c r="V79" s="12">
        <v>0</v>
      </c>
      <c r="W79" s="205">
        <f t="shared" si="226"/>
        <v>156.06</v>
      </c>
      <c r="X79" s="136">
        <f>X54</f>
        <v>3</v>
      </c>
      <c r="Y79" s="132">
        <f t="shared" si="227"/>
        <v>53.060400000000001</v>
      </c>
      <c r="Z79" s="135">
        <v>1</v>
      </c>
      <c r="AA79" s="11">
        <f t="shared" si="228"/>
        <v>159.18119999999999</v>
      </c>
      <c r="AB79" s="12">
        <v>0</v>
      </c>
      <c r="AC79" s="205">
        <f t="shared" si="229"/>
        <v>159.18119999999999</v>
      </c>
      <c r="AD79" s="136">
        <f>AD54</f>
        <v>1</v>
      </c>
      <c r="AE79" s="132">
        <f t="shared" si="230"/>
        <v>54.121608000000002</v>
      </c>
      <c r="AF79" s="135">
        <v>1</v>
      </c>
      <c r="AG79" s="11">
        <f t="shared" si="231"/>
        <v>54.121608000000002</v>
      </c>
      <c r="AH79" s="12">
        <v>0</v>
      </c>
      <c r="AI79" s="205">
        <f t="shared" si="232"/>
        <v>54.121608000000002</v>
      </c>
      <c r="AJ79" s="206">
        <f t="shared" si="236"/>
        <v>522.36280799999997</v>
      </c>
      <c r="AK79" s="206">
        <f t="shared" si="233"/>
        <v>0</v>
      </c>
      <c r="AL79" s="206">
        <f t="shared" si="234"/>
        <v>522.36280799999997</v>
      </c>
      <c r="AM79" s="5"/>
      <c r="AN79" s="5"/>
      <c r="AO79" s="5"/>
      <c r="AP79" s="5"/>
    </row>
    <row r="80" spans="1:42">
      <c r="A80" s="327" t="s">
        <v>124</v>
      </c>
      <c r="B80" s="305" t="s">
        <v>117</v>
      </c>
      <c r="C80" s="303" t="s">
        <v>51</v>
      </c>
      <c r="D80" s="133" t="s">
        <v>129</v>
      </c>
      <c r="E80" s="136">
        <f>E56</f>
        <v>2</v>
      </c>
      <c r="F80" s="135">
        <v>50</v>
      </c>
      <c r="G80" s="135">
        <v>15</v>
      </c>
      <c r="H80" s="134" t="s">
        <v>65</v>
      </c>
      <c r="I80" s="129">
        <f>G80*F80*E80</f>
        <v>1500</v>
      </c>
      <c r="J80" s="12">
        <v>0</v>
      </c>
      <c r="K80" s="205">
        <f t="shared" ref="K80:K84" si="237">SUM(I80:J80)</f>
        <v>1500</v>
      </c>
      <c r="L80" s="136">
        <f>L56</f>
        <v>10</v>
      </c>
      <c r="M80" s="132">
        <f t="shared" ref="M80:M84" si="238">F80*1.02</f>
        <v>51</v>
      </c>
      <c r="N80" s="135">
        <v>15</v>
      </c>
      <c r="O80" s="11">
        <f t="shared" ref="O80:O84" si="239">L80*M80*N80</f>
        <v>7650</v>
      </c>
      <c r="P80" s="12">
        <v>0</v>
      </c>
      <c r="Q80" s="205">
        <f t="shared" ref="Q80:Q84" si="240">SUM(O80:P80)</f>
        <v>7650</v>
      </c>
      <c r="R80" s="136">
        <f>R56</f>
        <v>10</v>
      </c>
      <c r="S80" s="132">
        <f t="shared" ref="S80:S84" si="241">M80*1.02</f>
        <v>52.02</v>
      </c>
      <c r="T80" s="135">
        <v>15</v>
      </c>
      <c r="U80" s="11">
        <f t="shared" ref="U80:U84" si="242">R80*S80*T80</f>
        <v>7803.0000000000009</v>
      </c>
      <c r="V80" s="12">
        <v>0</v>
      </c>
      <c r="W80" s="205">
        <f t="shared" ref="W80:W84" si="243">SUM(U80:V80)</f>
        <v>7803.0000000000009</v>
      </c>
      <c r="X80" s="136">
        <f>X56</f>
        <v>10</v>
      </c>
      <c r="Y80" s="132">
        <f t="shared" ref="Y80:Y84" si="244">S80*1.02</f>
        <v>53.060400000000001</v>
      </c>
      <c r="Z80" s="135">
        <v>15</v>
      </c>
      <c r="AA80" s="11">
        <f t="shared" ref="AA80:AA84" si="245">X80*Y80*Z80</f>
        <v>7959.06</v>
      </c>
      <c r="AB80" s="12">
        <v>0</v>
      </c>
      <c r="AC80" s="205">
        <f t="shared" ref="AC80:AC84" si="246">SUM(AA80:AB80)</f>
        <v>7959.06</v>
      </c>
      <c r="AD80" s="136">
        <f>AD56</f>
        <v>3</v>
      </c>
      <c r="AE80" s="132">
        <f t="shared" ref="AE80:AE84" si="247">Y80*1.02</f>
        <v>54.121608000000002</v>
      </c>
      <c r="AF80" s="135">
        <v>15</v>
      </c>
      <c r="AG80" s="11">
        <f t="shared" ref="AG80:AG84" si="248">AD80*AE80*AF80</f>
        <v>2435.4723599999998</v>
      </c>
      <c r="AH80" s="12">
        <v>0</v>
      </c>
      <c r="AI80" s="205">
        <f t="shared" ref="AI80:AI84" si="249">SUM(AG80:AH80)</f>
        <v>2435.4723599999998</v>
      </c>
      <c r="AJ80" s="206">
        <f>I80+O80+U80+AA80+AG80</f>
        <v>27347.532360000001</v>
      </c>
      <c r="AK80" s="206">
        <f t="shared" ref="AK80:AK84" si="250">J80+P80+V80+AB80+AH80</f>
        <v>0</v>
      </c>
      <c r="AL80" s="206">
        <f t="shared" ref="AL80:AL84" si="251">SUM(AJ80:AK80)</f>
        <v>27347.532360000001</v>
      </c>
      <c r="AM80" s="5"/>
      <c r="AN80" s="5"/>
      <c r="AO80" s="5"/>
      <c r="AP80" s="5"/>
    </row>
    <row r="81" spans="1:42">
      <c r="A81" s="327" t="s">
        <v>124</v>
      </c>
      <c r="B81" s="305" t="s">
        <v>99</v>
      </c>
      <c r="C81" s="303" t="s">
        <v>51</v>
      </c>
      <c r="D81" s="133" t="s">
        <v>130</v>
      </c>
      <c r="E81" s="136">
        <f t="shared" ref="E81:E82" si="252">E57</f>
        <v>2</v>
      </c>
      <c r="F81" s="135">
        <v>120</v>
      </c>
      <c r="G81" s="135">
        <v>15</v>
      </c>
      <c r="H81" s="134" t="s">
        <v>65</v>
      </c>
      <c r="I81" s="129">
        <f t="shared" ref="I81:I84" si="253">G81*F81*E81</f>
        <v>3600</v>
      </c>
      <c r="J81" s="12">
        <v>0</v>
      </c>
      <c r="K81" s="205">
        <f t="shared" si="237"/>
        <v>3600</v>
      </c>
      <c r="L81" s="136">
        <f t="shared" ref="L81:L82" si="254">L57</f>
        <v>10</v>
      </c>
      <c r="M81" s="132">
        <f t="shared" si="238"/>
        <v>122.4</v>
      </c>
      <c r="N81" s="135">
        <v>15</v>
      </c>
      <c r="O81" s="11">
        <f t="shared" si="239"/>
        <v>18360</v>
      </c>
      <c r="P81" s="12">
        <v>0</v>
      </c>
      <c r="Q81" s="205">
        <f t="shared" si="240"/>
        <v>18360</v>
      </c>
      <c r="R81" s="136">
        <f t="shared" ref="R81:R82" si="255">R57</f>
        <v>10</v>
      </c>
      <c r="S81" s="132">
        <f t="shared" si="241"/>
        <v>124.84800000000001</v>
      </c>
      <c r="T81" s="135">
        <v>15</v>
      </c>
      <c r="U81" s="11">
        <f t="shared" si="242"/>
        <v>18727.2</v>
      </c>
      <c r="V81" s="12">
        <v>0</v>
      </c>
      <c r="W81" s="205">
        <f t="shared" si="243"/>
        <v>18727.2</v>
      </c>
      <c r="X81" s="136">
        <f t="shared" ref="X81:X82" si="256">X57</f>
        <v>10</v>
      </c>
      <c r="Y81" s="132">
        <f t="shared" si="244"/>
        <v>127.34496000000001</v>
      </c>
      <c r="Z81" s="135">
        <v>15</v>
      </c>
      <c r="AA81" s="11">
        <f t="shared" si="245"/>
        <v>19101.744000000002</v>
      </c>
      <c r="AB81" s="12">
        <v>0</v>
      </c>
      <c r="AC81" s="205">
        <f t="shared" si="246"/>
        <v>19101.744000000002</v>
      </c>
      <c r="AD81" s="136">
        <f t="shared" ref="AD81:AD82" si="257">AD57</f>
        <v>3</v>
      </c>
      <c r="AE81" s="132">
        <f t="shared" si="247"/>
        <v>129.89185920000003</v>
      </c>
      <c r="AF81" s="135">
        <v>15</v>
      </c>
      <c r="AG81" s="11">
        <f t="shared" si="248"/>
        <v>5845.1336640000018</v>
      </c>
      <c r="AH81" s="12">
        <v>0</v>
      </c>
      <c r="AI81" s="205">
        <f t="shared" si="249"/>
        <v>5845.1336640000018</v>
      </c>
      <c r="AJ81" s="206">
        <f t="shared" ref="AJ81:AJ84" si="258">I81+O81+U81+AA81+AG81</f>
        <v>65634.077664000011</v>
      </c>
      <c r="AK81" s="206">
        <f t="shared" si="250"/>
        <v>0</v>
      </c>
      <c r="AL81" s="206">
        <f t="shared" si="251"/>
        <v>65634.077664000011</v>
      </c>
      <c r="AM81" s="5"/>
      <c r="AN81" s="5"/>
      <c r="AO81" s="5"/>
      <c r="AP81" s="5"/>
    </row>
    <row r="82" spans="1:42">
      <c r="A82" s="327" t="s">
        <v>124</v>
      </c>
      <c r="B82" s="305" t="s">
        <v>101</v>
      </c>
      <c r="C82" s="303" t="s">
        <v>51</v>
      </c>
      <c r="D82" s="133" t="s">
        <v>131</v>
      </c>
      <c r="E82" s="136">
        <f t="shared" si="252"/>
        <v>2</v>
      </c>
      <c r="F82" s="135">
        <v>100</v>
      </c>
      <c r="G82" s="135">
        <v>1</v>
      </c>
      <c r="H82" s="134" t="s">
        <v>105</v>
      </c>
      <c r="I82" s="129">
        <f t="shared" si="253"/>
        <v>200</v>
      </c>
      <c r="J82" s="12">
        <v>0</v>
      </c>
      <c r="K82" s="205">
        <f t="shared" si="237"/>
        <v>200</v>
      </c>
      <c r="L82" s="136">
        <f t="shared" si="254"/>
        <v>10</v>
      </c>
      <c r="M82" s="132">
        <f t="shared" si="238"/>
        <v>102</v>
      </c>
      <c r="N82" s="135">
        <v>1</v>
      </c>
      <c r="O82" s="11">
        <f t="shared" si="239"/>
        <v>1020</v>
      </c>
      <c r="P82" s="12">
        <v>0</v>
      </c>
      <c r="Q82" s="205">
        <f t="shared" si="240"/>
        <v>1020</v>
      </c>
      <c r="R82" s="136">
        <f t="shared" si="255"/>
        <v>10</v>
      </c>
      <c r="S82" s="132">
        <f t="shared" si="241"/>
        <v>104.04</v>
      </c>
      <c r="T82" s="135">
        <v>1</v>
      </c>
      <c r="U82" s="11">
        <f t="shared" si="242"/>
        <v>1040.4000000000001</v>
      </c>
      <c r="V82" s="12">
        <v>0</v>
      </c>
      <c r="W82" s="205">
        <f t="shared" si="243"/>
        <v>1040.4000000000001</v>
      </c>
      <c r="X82" s="136">
        <f t="shared" si="256"/>
        <v>10</v>
      </c>
      <c r="Y82" s="132">
        <f t="shared" si="244"/>
        <v>106.1208</v>
      </c>
      <c r="Z82" s="135">
        <v>1</v>
      </c>
      <c r="AA82" s="11">
        <f t="shared" si="245"/>
        <v>1061.2080000000001</v>
      </c>
      <c r="AB82" s="12">
        <v>0</v>
      </c>
      <c r="AC82" s="205">
        <f t="shared" si="246"/>
        <v>1061.2080000000001</v>
      </c>
      <c r="AD82" s="136">
        <f t="shared" si="257"/>
        <v>3</v>
      </c>
      <c r="AE82" s="132">
        <f t="shared" si="247"/>
        <v>108.243216</v>
      </c>
      <c r="AF82" s="135">
        <v>1</v>
      </c>
      <c r="AG82" s="11">
        <f t="shared" si="248"/>
        <v>324.729648</v>
      </c>
      <c r="AH82" s="12">
        <v>0</v>
      </c>
      <c r="AI82" s="205">
        <f t="shared" si="249"/>
        <v>324.729648</v>
      </c>
      <c r="AJ82" s="206">
        <f t="shared" si="258"/>
        <v>3646.3376480000002</v>
      </c>
      <c r="AK82" s="206">
        <f t="shared" si="250"/>
        <v>0</v>
      </c>
      <c r="AL82" s="206">
        <f t="shared" si="251"/>
        <v>3646.3376480000002</v>
      </c>
      <c r="AM82" s="5"/>
      <c r="AN82" s="5"/>
      <c r="AO82" s="5"/>
      <c r="AP82" s="5"/>
    </row>
    <row r="83" spans="1:42">
      <c r="A83" s="327" t="s">
        <v>124</v>
      </c>
      <c r="B83" s="305" t="s">
        <v>117</v>
      </c>
      <c r="C83" s="303" t="s">
        <v>51</v>
      </c>
      <c r="D83" s="133" t="s">
        <v>132</v>
      </c>
      <c r="E83" s="136">
        <f>E58</f>
        <v>2</v>
      </c>
      <c r="F83" s="135">
        <v>50</v>
      </c>
      <c r="G83" s="135">
        <v>1</v>
      </c>
      <c r="H83" s="134" t="s">
        <v>105</v>
      </c>
      <c r="I83" s="129">
        <f t="shared" ref="I83" si="259">G83*F83*E83</f>
        <v>100</v>
      </c>
      <c r="J83" s="12">
        <v>0</v>
      </c>
      <c r="K83" s="205">
        <f t="shared" ref="K83" si="260">SUM(I83:J83)</f>
        <v>100</v>
      </c>
      <c r="L83" s="136">
        <f>L58</f>
        <v>10</v>
      </c>
      <c r="M83" s="132">
        <f t="shared" ref="M83" si="261">F83*1.02</f>
        <v>51</v>
      </c>
      <c r="N83" s="135">
        <v>1</v>
      </c>
      <c r="O83" s="11">
        <f t="shared" ref="O83" si="262">L83*M83*N83</f>
        <v>510</v>
      </c>
      <c r="P83" s="12">
        <v>0</v>
      </c>
      <c r="Q83" s="205">
        <f t="shared" ref="Q83" si="263">SUM(O83:P83)</f>
        <v>510</v>
      </c>
      <c r="R83" s="136">
        <f>R58</f>
        <v>10</v>
      </c>
      <c r="S83" s="132">
        <f t="shared" ref="S83" si="264">M83*1.02</f>
        <v>52.02</v>
      </c>
      <c r="T83" s="135">
        <v>1</v>
      </c>
      <c r="U83" s="11">
        <f t="shared" ref="U83" si="265">R83*S83*T83</f>
        <v>520.20000000000005</v>
      </c>
      <c r="V83" s="12">
        <v>0</v>
      </c>
      <c r="W83" s="205">
        <f t="shared" ref="W83" si="266">SUM(U83:V83)</f>
        <v>520.20000000000005</v>
      </c>
      <c r="X83" s="136">
        <f>X58</f>
        <v>10</v>
      </c>
      <c r="Y83" s="132">
        <f t="shared" ref="Y83" si="267">S83*1.02</f>
        <v>53.060400000000001</v>
      </c>
      <c r="Z83" s="135">
        <v>1</v>
      </c>
      <c r="AA83" s="11">
        <f t="shared" ref="AA83" si="268">X83*Y83*Z83</f>
        <v>530.60400000000004</v>
      </c>
      <c r="AB83" s="12">
        <v>0</v>
      </c>
      <c r="AC83" s="205">
        <f t="shared" ref="AC83" si="269">SUM(AA83:AB83)</f>
        <v>530.60400000000004</v>
      </c>
      <c r="AD83" s="136">
        <f>AD58</f>
        <v>3</v>
      </c>
      <c r="AE83" s="132">
        <f t="shared" ref="AE83" si="270">Y83*1.02</f>
        <v>54.121608000000002</v>
      </c>
      <c r="AF83" s="135">
        <v>1</v>
      </c>
      <c r="AG83" s="11">
        <f t="shared" ref="AG83" si="271">AD83*AE83*AF83</f>
        <v>162.364824</v>
      </c>
      <c r="AH83" s="12">
        <v>0</v>
      </c>
      <c r="AI83" s="205">
        <f t="shared" ref="AI83" si="272">SUM(AG83:AH83)</f>
        <v>162.364824</v>
      </c>
      <c r="AJ83" s="206">
        <f t="shared" ref="AJ83" si="273">I83+O83+U83+AA83+AG83</f>
        <v>1823.1688240000001</v>
      </c>
      <c r="AK83" s="206">
        <f t="shared" ref="AK83" si="274">J83+P83+V83+AB83+AH83</f>
        <v>0</v>
      </c>
      <c r="AL83" s="206">
        <f t="shared" ref="AL83" si="275">SUM(AJ83:AK83)</f>
        <v>1823.1688240000001</v>
      </c>
      <c r="AM83" s="5"/>
      <c r="AN83" s="5"/>
      <c r="AO83" s="5"/>
      <c r="AP83" s="5"/>
    </row>
    <row r="84" spans="1:42">
      <c r="A84" s="327" t="s">
        <v>124</v>
      </c>
      <c r="B84" s="305" t="s">
        <v>133</v>
      </c>
      <c r="C84" s="303" t="s">
        <v>51</v>
      </c>
      <c r="D84" s="133" t="s">
        <v>134</v>
      </c>
      <c r="E84" s="136">
        <v>4</v>
      </c>
      <c r="F84" s="135">
        <v>60</v>
      </c>
      <c r="G84" s="135">
        <f>260/2</f>
        <v>130</v>
      </c>
      <c r="H84" s="134" t="s">
        <v>65</v>
      </c>
      <c r="I84" s="129">
        <f t="shared" si="253"/>
        <v>31200</v>
      </c>
      <c r="J84" s="12">
        <v>0</v>
      </c>
      <c r="K84" s="205">
        <f t="shared" si="237"/>
        <v>31200</v>
      </c>
      <c r="L84" s="136">
        <v>4</v>
      </c>
      <c r="M84" s="132">
        <f t="shared" si="238"/>
        <v>61.2</v>
      </c>
      <c r="N84" s="135">
        <v>260</v>
      </c>
      <c r="O84" s="11">
        <f t="shared" si="239"/>
        <v>63648</v>
      </c>
      <c r="P84" s="12">
        <v>0</v>
      </c>
      <c r="Q84" s="205">
        <f t="shared" si="240"/>
        <v>63648</v>
      </c>
      <c r="R84" s="136">
        <v>2</v>
      </c>
      <c r="S84" s="132">
        <f t="shared" si="241"/>
        <v>62.424000000000007</v>
      </c>
      <c r="T84" s="135">
        <v>130</v>
      </c>
      <c r="U84" s="11">
        <f t="shared" si="242"/>
        <v>16230.240000000002</v>
      </c>
      <c r="V84" s="12">
        <v>0</v>
      </c>
      <c r="W84" s="205">
        <f t="shared" si="243"/>
        <v>16230.240000000002</v>
      </c>
      <c r="X84" s="136">
        <v>2</v>
      </c>
      <c r="Y84" s="132">
        <f t="shared" si="244"/>
        <v>63.672480000000007</v>
      </c>
      <c r="Z84" s="135">
        <v>130</v>
      </c>
      <c r="AA84" s="11">
        <f t="shared" si="245"/>
        <v>16554.844800000003</v>
      </c>
      <c r="AB84" s="12">
        <v>0</v>
      </c>
      <c r="AC84" s="205">
        <f t="shared" si="246"/>
        <v>16554.844800000003</v>
      </c>
      <c r="AD84" s="136">
        <v>1</v>
      </c>
      <c r="AE84" s="132">
        <f t="shared" si="247"/>
        <v>64.945929600000014</v>
      </c>
      <c r="AF84" s="135">
        <f>260/4</f>
        <v>65</v>
      </c>
      <c r="AG84" s="11">
        <f t="shared" si="248"/>
        <v>4221.4854240000013</v>
      </c>
      <c r="AH84" s="12">
        <v>0</v>
      </c>
      <c r="AI84" s="205">
        <f t="shared" si="249"/>
        <v>4221.4854240000013</v>
      </c>
      <c r="AJ84" s="206">
        <f t="shared" si="258"/>
        <v>131854.57022400002</v>
      </c>
      <c r="AK84" s="206">
        <f t="shared" si="250"/>
        <v>0</v>
      </c>
      <c r="AL84" s="206">
        <f t="shared" si="251"/>
        <v>131854.57022400002</v>
      </c>
      <c r="AM84" s="5"/>
      <c r="AN84" s="5"/>
      <c r="AO84" s="5"/>
      <c r="AP84" s="5"/>
    </row>
    <row r="85" spans="1:42" s="1" customFormat="1">
      <c r="A85" s="325"/>
      <c r="B85" s="326"/>
      <c r="C85" s="329"/>
      <c r="D85" s="183" t="s">
        <v>135</v>
      </c>
      <c r="E85" s="184"/>
      <c r="F85" s="26"/>
      <c r="G85" s="185"/>
      <c r="H85" s="26"/>
      <c r="I85" s="27">
        <f>SUM(I76:I84)</f>
        <v>36600</v>
      </c>
      <c r="J85" s="27">
        <f t="shared" ref="J85:K85" si="276">SUM(J76:J84)</f>
        <v>0</v>
      </c>
      <c r="K85" s="27">
        <f t="shared" si="276"/>
        <v>36600</v>
      </c>
      <c r="L85" s="184">
        <f>SUM(L76:L84)</f>
        <v>56</v>
      </c>
      <c r="M85" s="186"/>
      <c r="N85" s="26"/>
      <c r="O85" s="27">
        <f>SUM(O76:O84)</f>
        <v>94248</v>
      </c>
      <c r="P85" s="27">
        <f t="shared" ref="P85:Q85" si="277">SUM(P76:P84)</f>
        <v>0</v>
      </c>
      <c r="Q85" s="27">
        <f t="shared" si="277"/>
        <v>94248</v>
      </c>
      <c r="R85" s="184">
        <f>SUM(R76:R84)</f>
        <v>54</v>
      </c>
      <c r="S85" s="26"/>
      <c r="T85" s="26"/>
      <c r="U85" s="27">
        <f>SUM(U76:U84)</f>
        <v>47442.240000000005</v>
      </c>
      <c r="V85" s="27">
        <f t="shared" ref="V85:W85" si="278">SUM(V76:V84)</f>
        <v>0</v>
      </c>
      <c r="W85" s="27">
        <f t="shared" si="278"/>
        <v>47442.240000000005</v>
      </c>
      <c r="X85" s="184">
        <f>SUM(X76:X84)</f>
        <v>54</v>
      </c>
      <c r="Y85" s="26"/>
      <c r="Z85" s="26"/>
      <c r="AA85" s="27">
        <f>SUM(AA76:AA84)</f>
        <v>48391.084800000004</v>
      </c>
      <c r="AB85" s="27">
        <f t="shared" ref="AB85:AC85" si="279">SUM(AB76:AB84)</f>
        <v>0</v>
      </c>
      <c r="AC85" s="27">
        <f t="shared" si="279"/>
        <v>48391.084800000004</v>
      </c>
      <c r="AD85" s="184">
        <f>SUM(AD76:AD84)</f>
        <v>17</v>
      </c>
      <c r="AE85" s="26"/>
      <c r="AF85" s="26"/>
      <c r="AG85" s="27">
        <f>SUM(AG76:AG84)</f>
        <v>14071.618080000004</v>
      </c>
      <c r="AH85" s="27">
        <f t="shared" ref="AH85:AI85" si="280">SUM(AH76:AH84)</f>
        <v>0</v>
      </c>
      <c r="AI85" s="27">
        <f t="shared" si="280"/>
        <v>14071.618080000004</v>
      </c>
      <c r="AJ85" s="29">
        <f>SUM(AJ76:AJ84)</f>
        <v>240752.94288000005</v>
      </c>
      <c r="AK85" s="29">
        <f>SUM(AK76:AK84)</f>
        <v>0</v>
      </c>
      <c r="AL85" s="29">
        <f>SUM(AL76:AL84)</f>
        <v>240752.94288000005</v>
      </c>
    </row>
    <row r="86" spans="1:42" s="1" customFormat="1">
      <c r="A86" s="325"/>
      <c r="B86" s="326"/>
      <c r="C86" s="329"/>
      <c r="D86" s="183"/>
      <c r="E86" s="184"/>
      <c r="F86" s="26"/>
      <c r="G86" s="185"/>
      <c r="H86" s="26"/>
      <c r="I86" s="27"/>
      <c r="J86" s="28"/>
      <c r="K86" s="31"/>
      <c r="L86" s="184"/>
      <c r="M86" s="186"/>
      <c r="N86" s="26"/>
      <c r="O86" s="27"/>
      <c r="P86" s="28"/>
      <c r="Q86" s="31"/>
      <c r="R86" s="184"/>
      <c r="S86" s="26"/>
      <c r="T86" s="26"/>
      <c r="U86" s="27"/>
      <c r="V86" s="28"/>
      <c r="W86" s="31"/>
      <c r="X86" s="184"/>
      <c r="Y86" s="26"/>
      <c r="Z86" s="26"/>
      <c r="AA86" s="27"/>
      <c r="AB86" s="28"/>
      <c r="AC86" s="31"/>
      <c r="AD86" s="184"/>
      <c r="AE86" s="26"/>
      <c r="AF86" s="26"/>
      <c r="AG86" s="27"/>
      <c r="AH86" s="28"/>
      <c r="AI86" s="31"/>
      <c r="AJ86" s="29"/>
      <c r="AK86" s="29"/>
      <c r="AL86" s="29"/>
    </row>
    <row r="87" spans="1:42">
      <c r="A87" s="327"/>
      <c r="D87" s="59" t="s">
        <v>136</v>
      </c>
      <c r="E87" s="32"/>
      <c r="F87" s="134"/>
      <c r="G87" s="134"/>
      <c r="H87" s="134"/>
      <c r="I87" s="11"/>
      <c r="J87" s="12"/>
      <c r="K87" s="205"/>
      <c r="L87" s="32"/>
      <c r="M87" s="134"/>
      <c r="N87" s="134"/>
      <c r="O87" s="11"/>
      <c r="P87" s="12"/>
      <c r="Q87" s="205"/>
      <c r="R87" s="32"/>
      <c r="S87" s="134"/>
      <c r="T87" s="134"/>
      <c r="U87" s="11"/>
      <c r="V87" s="12"/>
      <c r="W87" s="205"/>
      <c r="X87" s="32"/>
      <c r="Y87" s="134"/>
      <c r="Z87" s="134"/>
      <c r="AA87" s="11"/>
      <c r="AB87" s="12"/>
      <c r="AC87" s="205"/>
      <c r="AD87" s="32"/>
      <c r="AE87" s="134"/>
      <c r="AF87" s="134"/>
      <c r="AG87" s="11"/>
      <c r="AH87" s="12"/>
      <c r="AI87" s="205"/>
      <c r="AJ87" s="206"/>
      <c r="AK87" s="206"/>
      <c r="AL87" s="206"/>
      <c r="AM87" s="5"/>
      <c r="AN87" s="5"/>
      <c r="AO87" s="5"/>
      <c r="AP87" s="5"/>
    </row>
    <row r="88" spans="1:42">
      <c r="A88" s="327" t="s">
        <v>137</v>
      </c>
      <c r="B88" s="305" t="s">
        <v>85</v>
      </c>
      <c r="C88" s="298">
        <v>0</v>
      </c>
      <c r="D88" s="133" t="s">
        <v>138</v>
      </c>
      <c r="E88" s="136">
        <v>2</v>
      </c>
      <c r="F88" s="135">
        <v>585</v>
      </c>
      <c r="G88" s="135">
        <v>1</v>
      </c>
      <c r="H88" s="134" t="s">
        <v>93</v>
      </c>
      <c r="I88" s="129">
        <f>G88*F88*E88</f>
        <v>1170</v>
      </c>
      <c r="J88" s="12">
        <v>0</v>
      </c>
      <c r="K88" s="205">
        <f>SUM(I88:J88)</f>
        <v>1170</v>
      </c>
      <c r="L88" s="136">
        <v>2</v>
      </c>
      <c r="M88" s="132">
        <f>F88*1.02</f>
        <v>596.70000000000005</v>
      </c>
      <c r="N88" s="135">
        <v>1</v>
      </c>
      <c r="O88" s="11">
        <f>L88*M88*N88</f>
        <v>1193.4000000000001</v>
      </c>
      <c r="P88" s="12">
        <v>0</v>
      </c>
      <c r="Q88" s="205">
        <f>SUM(O88:P88)</f>
        <v>1193.4000000000001</v>
      </c>
      <c r="R88" s="136">
        <v>2</v>
      </c>
      <c r="S88" s="132">
        <f>M88*1.02</f>
        <v>608.63400000000001</v>
      </c>
      <c r="T88" s="135">
        <v>1</v>
      </c>
      <c r="U88" s="11">
        <f>R88*S88*T88</f>
        <v>1217.268</v>
      </c>
      <c r="V88" s="12">
        <v>0</v>
      </c>
      <c r="W88" s="205">
        <f>SUM(U88:V88)</f>
        <v>1217.268</v>
      </c>
      <c r="X88" s="136">
        <v>2</v>
      </c>
      <c r="Y88" s="132">
        <f>S88*1.02</f>
        <v>620.80668000000003</v>
      </c>
      <c r="Z88" s="135">
        <v>1</v>
      </c>
      <c r="AA88" s="11">
        <f>X88*Y88*Z88</f>
        <v>1241.6133600000001</v>
      </c>
      <c r="AB88" s="12">
        <v>0</v>
      </c>
      <c r="AC88" s="205">
        <f>SUM(AA88:AB88)</f>
        <v>1241.6133600000001</v>
      </c>
      <c r="AD88" s="136">
        <v>2</v>
      </c>
      <c r="AE88" s="132">
        <f>Y88*1.02</f>
        <v>633.22281359999999</v>
      </c>
      <c r="AF88" s="135">
        <v>1</v>
      </c>
      <c r="AG88" s="11">
        <f>AD88*AE88*AF88</f>
        <v>1266.4456272</v>
      </c>
      <c r="AH88" s="12">
        <v>0</v>
      </c>
      <c r="AI88" s="205">
        <f>SUM(AG88:AH88)</f>
        <v>1266.4456272</v>
      </c>
      <c r="AJ88" s="206">
        <f>I88+O88+U88+AA88+AG88</f>
        <v>6088.7269871999997</v>
      </c>
      <c r="AK88" s="206">
        <f>J88+P88+V88+AB88+AH88</f>
        <v>0</v>
      </c>
      <c r="AL88" s="206">
        <f>SUM(AJ88:AK88)</f>
        <v>6088.7269871999997</v>
      </c>
      <c r="AM88" s="5"/>
      <c r="AN88" s="5"/>
      <c r="AO88" s="5"/>
      <c r="AP88" s="5"/>
    </row>
    <row r="89" spans="1:42">
      <c r="A89" s="327" t="s">
        <v>137</v>
      </c>
      <c r="B89" s="305" t="s">
        <v>117</v>
      </c>
      <c r="C89" s="298">
        <v>0</v>
      </c>
      <c r="D89" s="138" t="s">
        <v>139</v>
      </c>
      <c r="E89" s="136">
        <v>2</v>
      </c>
      <c r="F89" s="135">
        <v>53</v>
      </c>
      <c r="G89" s="135">
        <v>6</v>
      </c>
      <c r="H89" s="134" t="s">
        <v>65</v>
      </c>
      <c r="I89" s="129">
        <f>G89*F89*E89</f>
        <v>636</v>
      </c>
      <c r="J89" s="12">
        <v>0</v>
      </c>
      <c r="K89" s="205">
        <f t="shared" ref="K89:K92" si="281">SUM(I89:J89)</f>
        <v>636</v>
      </c>
      <c r="L89" s="136">
        <v>2</v>
      </c>
      <c r="M89" s="132">
        <f t="shared" ref="M89:M91" si="282">F89*1.02</f>
        <v>54.06</v>
      </c>
      <c r="N89" s="135">
        <v>6</v>
      </c>
      <c r="O89" s="11">
        <f t="shared" ref="O89:O92" si="283">L89*M89*N89</f>
        <v>648.72</v>
      </c>
      <c r="P89" s="12">
        <v>0</v>
      </c>
      <c r="Q89" s="205">
        <f t="shared" ref="Q89:Q92" si="284">SUM(O89:P89)</f>
        <v>648.72</v>
      </c>
      <c r="R89" s="136">
        <v>2</v>
      </c>
      <c r="S89" s="132">
        <f t="shared" ref="S89:S91" si="285">M89*1.02</f>
        <v>55.141200000000005</v>
      </c>
      <c r="T89" s="135">
        <v>6</v>
      </c>
      <c r="U89" s="11">
        <f t="shared" ref="U89:U92" si="286">R89*S89*T89</f>
        <v>661.69440000000009</v>
      </c>
      <c r="V89" s="12">
        <v>0</v>
      </c>
      <c r="W89" s="205">
        <f t="shared" ref="W89:W92" si="287">SUM(U89:V89)</f>
        <v>661.69440000000009</v>
      </c>
      <c r="X89" s="136">
        <v>2</v>
      </c>
      <c r="Y89" s="132">
        <f t="shared" ref="Y89:Y92" si="288">S89*1.02</f>
        <v>56.244024000000003</v>
      </c>
      <c r="Z89" s="135">
        <v>6</v>
      </c>
      <c r="AA89" s="11">
        <f t="shared" ref="AA89:AA92" si="289">X89*Y89*Z89</f>
        <v>674.92828800000007</v>
      </c>
      <c r="AB89" s="12">
        <v>0</v>
      </c>
      <c r="AC89" s="205">
        <f t="shared" ref="AC89:AC92" si="290">SUM(AA89:AB89)</f>
        <v>674.92828800000007</v>
      </c>
      <c r="AD89" s="136">
        <v>2</v>
      </c>
      <c r="AE89" s="132">
        <f t="shared" ref="AE89:AE92" si="291">Y89*1.02</f>
        <v>57.368904480000005</v>
      </c>
      <c r="AF89" s="135">
        <v>6</v>
      </c>
      <c r="AG89" s="11">
        <f t="shared" ref="AG89:AG92" si="292">AD89*AE89*AF89</f>
        <v>688.42685376000009</v>
      </c>
      <c r="AH89" s="12">
        <v>0</v>
      </c>
      <c r="AI89" s="205">
        <f t="shared" ref="AI89:AI92" si="293">SUM(AG89:AH89)</f>
        <v>688.42685376000009</v>
      </c>
      <c r="AJ89" s="206">
        <f>I89+O89+U89+AA89+AG89</f>
        <v>3309.7695417600003</v>
      </c>
      <c r="AK89" s="206">
        <f t="shared" ref="AK89:AK93" si="294">J89+P89+V89+AB89+AH89</f>
        <v>0</v>
      </c>
      <c r="AL89" s="206">
        <f t="shared" ref="AL89:AL93" si="295">SUM(AJ89:AK89)</f>
        <v>3309.7695417600003</v>
      </c>
      <c r="AM89" s="5"/>
      <c r="AN89" s="5"/>
      <c r="AO89" s="5"/>
      <c r="AP89" s="5"/>
    </row>
    <row r="90" spans="1:42">
      <c r="A90" s="327" t="s">
        <v>137</v>
      </c>
      <c r="B90" s="305" t="s">
        <v>99</v>
      </c>
      <c r="C90" s="298">
        <v>0</v>
      </c>
      <c r="D90" s="138" t="s">
        <v>140</v>
      </c>
      <c r="E90" s="136">
        <v>2</v>
      </c>
      <c r="F90" s="135">
        <v>110</v>
      </c>
      <c r="G90" s="135">
        <v>6</v>
      </c>
      <c r="H90" s="134" t="s">
        <v>65</v>
      </c>
      <c r="I90" s="129">
        <f t="shared" ref="I90:I92" si="296">G90*F90*E90</f>
        <v>1320</v>
      </c>
      <c r="J90" s="12">
        <v>0</v>
      </c>
      <c r="K90" s="205">
        <f t="shared" si="281"/>
        <v>1320</v>
      </c>
      <c r="L90" s="136">
        <v>2</v>
      </c>
      <c r="M90" s="132">
        <f t="shared" si="282"/>
        <v>112.2</v>
      </c>
      <c r="N90" s="135">
        <v>6</v>
      </c>
      <c r="O90" s="11">
        <f t="shared" si="283"/>
        <v>1346.4</v>
      </c>
      <c r="P90" s="12">
        <v>0</v>
      </c>
      <c r="Q90" s="205">
        <f t="shared" si="284"/>
        <v>1346.4</v>
      </c>
      <c r="R90" s="136">
        <v>2</v>
      </c>
      <c r="S90" s="132">
        <f t="shared" si="285"/>
        <v>114.444</v>
      </c>
      <c r="T90" s="135">
        <v>6</v>
      </c>
      <c r="U90" s="11">
        <f t="shared" si="286"/>
        <v>1373.328</v>
      </c>
      <c r="V90" s="12">
        <v>0</v>
      </c>
      <c r="W90" s="205">
        <f t="shared" si="287"/>
        <v>1373.328</v>
      </c>
      <c r="X90" s="136">
        <v>2</v>
      </c>
      <c r="Y90" s="132">
        <f t="shared" si="288"/>
        <v>116.73288000000001</v>
      </c>
      <c r="Z90" s="135">
        <v>6</v>
      </c>
      <c r="AA90" s="11">
        <f t="shared" si="289"/>
        <v>1400.79456</v>
      </c>
      <c r="AB90" s="12">
        <v>0</v>
      </c>
      <c r="AC90" s="205">
        <f t="shared" si="290"/>
        <v>1400.79456</v>
      </c>
      <c r="AD90" s="136">
        <v>2</v>
      </c>
      <c r="AE90" s="132">
        <f t="shared" si="291"/>
        <v>119.06753760000001</v>
      </c>
      <c r="AF90" s="135">
        <v>6</v>
      </c>
      <c r="AG90" s="11">
        <f t="shared" si="292"/>
        <v>1428.8104512</v>
      </c>
      <c r="AH90" s="12">
        <v>0</v>
      </c>
      <c r="AI90" s="205">
        <f t="shared" si="293"/>
        <v>1428.8104512</v>
      </c>
      <c r="AJ90" s="206">
        <f t="shared" ref="AJ90:AJ92" si="297">I90+O90+U90+AA90+AG90</f>
        <v>6869.3330112000003</v>
      </c>
      <c r="AK90" s="206">
        <f t="shared" si="294"/>
        <v>0</v>
      </c>
      <c r="AL90" s="206">
        <f t="shared" si="295"/>
        <v>6869.3330112000003</v>
      </c>
      <c r="AM90" s="5"/>
      <c r="AN90" s="5"/>
      <c r="AO90" s="5"/>
      <c r="AP90" s="5"/>
    </row>
    <row r="91" spans="1:42">
      <c r="A91" s="327" t="s">
        <v>137</v>
      </c>
      <c r="B91" s="305" t="s">
        <v>101</v>
      </c>
      <c r="C91" s="298">
        <v>0</v>
      </c>
      <c r="D91" s="133" t="s">
        <v>141</v>
      </c>
      <c r="E91" s="136">
        <v>2</v>
      </c>
      <c r="F91" s="135">
        <v>250</v>
      </c>
      <c r="G91" s="135">
        <v>1</v>
      </c>
      <c r="H91" s="134" t="s">
        <v>105</v>
      </c>
      <c r="I91" s="129">
        <f t="shared" si="296"/>
        <v>500</v>
      </c>
      <c r="J91" s="12">
        <v>0</v>
      </c>
      <c r="K91" s="205">
        <f t="shared" si="281"/>
        <v>500</v>
      </c>
      <c r="L91" s="136">
        <v>2</v>
      </c>
      <c r="M91" s="132">
        <f t="shared" si="282"/>
        <v>255</v>
      </c>
      <c r="N91" s="135">
        <v>1</v>
      </c>
      <c r="O91" s="11">
        <f t="shared" si="283"/>
        <v>510</v>
      </c>
      <c r="P91" s="12">
        <v>0</v>
      </c>
      <c r="Q91" s="205">
        <f t="shared" si="284"/>
        <v>510</v>
      </c>
      <c r="R91" s="136">
        <v>2</v>
      </c>
      <c r="S91" s="132">
        <f t="shared" si="285"/>
        <v>260.10000000000002</v>
      </c>
      <c r="T91" s="135">
        <v>1</v>
      </c>
      <c r="U91" s="11">
        <f t="shared" si="286"/>
        <v>520.20000000000005</v>
      </c>
      <c r="V91" s="12">
        <v>0</v>
      </c>
      <c r="W91" s="205">
        <f t="shared" si="287"/>
        <v>520.20000000000005</v>
      </c>
      <c r="X91" s="136">
        <v>2</v>
      </c>
      <c r="Y91" s="132">
        <f t="shared" si="288"/>
        <v>265.30200000000002</v>
      </c>
      <c r="Z91" s="135">
        <v>1</v>
      </c>
      <c r="AA91" s="11">
        <f t="shared" si="289"/>
        <v>530.60400000000004</v>
      </c>
      <c r="AB91" s="12">
        <v>0</v>
      </c>
      <c r="AC91" s="205">
        <f t="shared" si="290"/>
        <v>530.60400000000004</v>
      </c>
      <c r="AD91" s="136">
        <v>2</v>
      </c>
      <c r="AE91" s="132">
        <f t="shared" si="291"/>
        <v>270.60804000000002</v>
      </c>
      <c r="AF91" s="135">
        <v>1</v>
      </c>
      <c r="AG91" s="11">
        <f t="shared" si="292"/>
        <v>541.21608000000003</v>
      </c>
      <c r="AH91" s="12">
        <v>0</v>
      </c>
      <c r="AI91" s="205">
        <f t="shared" si="293"/>
        <v>541.21608000000003</v>
      </c>
      <c r="AJ91" s="206">
        <f t="shared" si="297"/>
        <v>2602.0200800000002</v>
      </c>
      <c r="AK91" s="206">
        <f t="shared" si="294"/>
        <v>0</v>
      </c>
      <c r="AL91" s="206">
        <f t="shared" si="295"/>
        <v>2602.0200800000002</v>
      </c>
      <c r="AM91" s="5"/>
      <c r="AN91" s="5"/>
      <c r="AO91" s="5"/>
      <c r="AP91" s="5"/>
    </row>
    <row r="92" spans="1:42">
      <c r="A92" s="327" t="s">
        <v>137</v>
      </c>
      <c r="B92" s="305" t="s">
        <v>117</v>
      </c>
      <c r="C92" s="298">
        <v>0</v>
      </c>
      <c r="D92" s="138" t="s">
        <v>121</v>
      </c>
      <c r="E92" s="136">
        <v>2</v>
      </c>
      <c r="F92" s="135">
        <v>150</v>
      </c>
      <c r="G92" s="135">
        <v>1</v>
      </c>
      <c r="H92" s="134" t="s">
        <v>105</v>
      </c>
      <c r="I92" s="129">
        <f t="shared" si="296"/>
        <v>300</v>
      </c>
      <c r="J92" s="12">
        <v>0</v>
      </c>
      <c r="K92" s="205">
        <f t="shared" si="281"/>
        <v>300</v>
      </c>
      <c r="L92" s="136">
        <v>2</v>
      </c>
      <c r="M92" s="132">
        <f>F92*1.02</f>
        <v>153</v>
      </c>
      <c r="N92" s="135">
        <v>1</v>
      </c>
      <c r="O92" s="11">
        <f t="shared" si="283"/>
        <v>306</v>
      </c>
      <c r="P92" s="12">
        <v>0</v>
      </c>
      <c r="Q92" s="205">
        <f t="shared" si="284"/>
        <v>306</v>
      </c>
      <c r="R92" s="136">
        <v>2</v>
      </c>
      <c r="S92" s="132">
        <f>M92*1.02</f>
        <v>156.06</v>
      </c>
      <c r="T92" s="135">
        <v>1</v>
      </c>
      <c r="U92" s="11">
        <f t="shared" si="286"/>
        <v>312.12</v>
      </c>
      <c r="V92" s="12">
        <v>0</v>
      </c>
      <c r="W92" s="205">
        <f t="shared" si="287"/>
        <v>312.12</v>
      </c>
      <c r="X92" s="136">
        <f>X88</f>
        <v>2</v>
      </c>
      <c r="Y92" s="132">
        <f t="shared" si="288"/>
        <v>159.18120000000002</v>
      </c>
      <c r="Z92" s="135">
        <v>1</v>
      </c>
      <c r="AA92" s="11">
        <f t="shared" si="289"/>
        <v>318.36240000000004</v>
      </c>
      <c r="AB92" s="12">
        <v>0</v>
      </c>
      <c r="AC92" s="205">
        <f t="shared" si="290"/>
        <v>318.36240000000004</v>
      </c>
      <c r="AD92" s="136">
        <v>2</v>
      </c>
      <c r="AE92" s="132">
        <f t="shared" si="291"/>
        <v>162.36482400000003</v>
      </c>
      <c r="AF92" s="135">
        <v>1</v>
      </c>
      <c r="AG92" s="11">
        <f t="shared" si="292"/>
        <v>324.72964800000005</v>
      </c>
      <c r="AH92" s="12">
        <v>0</v>
      </c>
      <c r="AI92" s="205">
        <f t="shared" si="293"/>
        <v>324.72964800000005</v>
      </c>
      <c r="AJ92" s="206">
        <f t="shared" si="297"/>
        <v>1561.2120480000001</v>
      </c>
      <c r="AK92" s="206">
        <f t="shared" si="294"/>
        <v>0</v>
      </c>
      <c r="AL92" s="206">
        <f t="shared" si="295"/>
        <v>1561.2120480000001</v>
      </c>
      <c r="AM92" s="5"/>
      <c r="AN92" s="5"/>
      <c r="AO92" s="5"/>
      <c r="AP92" s="5"/>
    </row>
    <row r="93" spans="1:42" s="1" customFormat="1">
      <c r="A93" s="325"/>
      <c r="B93" s="326"/>
      <c r="C93" s="329"/>
      <c r="D93" s="183" t="s">
        <v>142</v>
      </c>
      <c r="E93" s="184"/>
      <c r="F93" s="26"/>
      <c r="G93" s="185"/>
      <c r="H93" s="26"/>
      <c r="I93" s="27">
        <f>SUM(I88:I92)</f>
        <v>3926</v>
      </c>
      <c r="J93" s="28">
        <f>SUM(J88:J92)</f>
        <v>0</v>
      </c>
      <c r="K93" s="31">
        <f>SUM(K88:K92)</f>
        <v>3926</v>
      </c>
      <c r="L93" s="184">
        <f>SUM(L88:L92)</f>
        <v>10</v>
      </c>
      <c r="M93" s="186"/>
      <c r="N93" s="26"/>
      <c r="O93" s="27">
        <f>SUM(O88:O92)</f>
        <v>4004.5200000000004</v>
      </c>
      <c r="P93" s="28">
        <f>SUM(P88:P92)</f>
        <v>0</v>
      </c>
      <c r="Q93" s="31">
        <f>SUM(Q88:Q92)</f>
        <v>4004.5200000000004</v>
      </c>
      <c r="R93" s="184">
        <f>SUM(R88:R92)</f>
        <v>10</v>
      </c>
      <c r="S93" s="26"/>
      <c r="T93" s="26"/>
      <c r="U93" s="27">
        <f>SUM(U88:U92)</f>
        <v>4084.6103999999996</v>
      </c>
      <c r="V93" s="28">
        <f>SUM(V88:V92)</f>
        <v>0</v>
      </c>
      <c r="W93" s="31">
        <f>SUM(W88:W92)</f>
        <v>4084.6103999999996</v>
      </c>
      <c r="X93" s="184">
        <f>SUM(X88:X92)</f>
        <v>10</v>
      </c>
      <c r="Y93" s="26"/>
      <c r="Z93" s="26"/>
      <c r="AA93" s="27">
        <f>SUM(AA88:AA92)</f>
        <v>4166.302608</v>
      </c>
      <c r="AB93" s="28">
        <f>SUM(AB88:AB92)</f>
        <v>0</v>
      </c>
      <c r="AC93" s="31">
        <f>SUM(AC88:AC92)</f>
        <v>4166.302608</v>
      </c>
      <c r="AD93" s="184">
        <f>SUM(AD88:AD92)</f>
        <v>10</v>
      </c>
      <c r="AE93" s="26"/>
      <c r="AF93" s="26"/>
      <c r="AG93" s="27">
        <f>SUM(AG88:AG92)</f>
        <v>4249.6286601600004</v>
      </c>
      <c r="AH93" s="28">
        <f>SUM(AH88:AH92)</f>
        <v>0</v>
      </c>
      <c r="AI93" s="31">
        <f>SUM(AI88:AI92)</f>
        <v>4249.6286601600004</v>
      </c>
      <c r="AJ93" s="29">
        <f>SUM(AJ88:AJ92)</f>
        <v>20431.06166816</v>
      </c>
      <c r="AK93" s="29">
        <f t="shared" si="294"/>
        <v>0</v>
      </c>
      <c r="AL93" s="29">
        <f t="shared" si="295"/>
        <v>20431.06166816</v>
      </c>
    </row>
    <row r="94" spans="1:42">
      <c r="A94" s="327"/>
      <c r="D94" s="60"/>
      <c r="E94" s="32"/>
      <c r="F94" s="134"/>
      <c r="G94" s="134"/>
      <c r="H94" s="134"/>
      <c r="I94" s="11"/>
      <c r="J94" s="12"/>
      <c r="K94" s="205"/>
      <c r="L94" s="37"/>
      <c r="M94" s="134"/>
      <c r="N94" s="134"/>
      <c r="O94" s="11"/>
      <c r="P94" s="12"/>
      <c r="Q94" s="205"/>
      <c r="R94" s="32"/>
      <c r="S94" s="134"/>
      <c r="T94" s="134"/>
      <c r="U94" s="11"/>
      <c r="V94" s="12"/>
      <c r="W94" s="205"/>
      <c r="X94" s="32"/>
      <c r="Y94" s="134"/>
      <c r="Z94" s="134"/>
      <c r="AA94" s="11"/>
      <c r="AB94" s="12"/>
      <c r="AC94" s="205"/>
      <c r="AD94" s="32"/>
      <c r="AE94" s="134"/>
      <c r="AF94" s="134"/>
      <c r="AG94" s="11"/>
      <c r="AH94" s="12"/>
      <c r="AI94" s="205"/>
      <c r="AJ94" s="206"/>
      <c r="AK94" s="206"/>
      <c r="AL94" s="206"/>
      <c r="AM94" s="5"/>
      <c r="AN94" s="5"/>
      <c r="AO94" s="5"/>
      <c r="AP94" s="5"/>
    </row>
    <row r="95" spans="1:42">
      <c r="A95" s="337"/>
      <c r="B95" s="338"/>
      <c r="C95" s="339"/>
      <c r="D95" s="107" t="s">
        <v>143</v>
      </c>
      <c r="E95" s="131"/>
      <c r="F95" s="108"/>
      <c r="G95" s="108"/>
      <c r="H95" s="108"/>
      <c r="I95" s="109">
        <f>I93+I73+I66+I85</f>
        <v>52286</v>
      </c>
      <c r="J95" s="109">
        <f t="shared" ref="J95:K95" si="298">J93+J73+J66+J85</f>
        <v>0</v>
      </c>
      <c r="K95" s="109">
        <f t="shared" si="298"/>
        <v>52286</v>
      </c>
      <c r="L95" s="131"/>
      <c r="M95" s="108"/>
      <c r="N95" s="108"/>
      <c r="O95" s="109">
        <f>O93+O73+O66+O85</f>
        <v>130239.72</v>
      </c>
      <c r="P95" s="109">
        <f>P93+P73+P66+P85</f>
        <v>0</v>
      </c>
      <c r="Q95" s="109">
        <f>Q93+Q73+Q66+Q85</f>
        <v>130239.72</v>
      </c>
      <c r="R95" s="131"/>
      <c r="S95" s="108"/>
      <c r="T95" s="108"/>
      <c r="U95" s="109">
        <f>U93+U73+U66+U85</f>
        <v>84153.794400000013</v>
      </c>
      <c r="V95" s="109">
        <f>V93+V73+V66+V85</f>
        <v>0</v>
      </c>
      <c r="W95" s="109">
        <f>W93+W73+W66+W85</f>
        <v>84153.794400000013</v>
      </c>
      <c r="X95" s="131"/>
      <c r="Y95" s="108"/>
      <c r="Z95" s="108"/>
      <c r="AA95" s="109">
        <f>AA93+AA73+AA66+AA85</f>
        <v>85836.870288000006</v>
      </c>
      <c r="AB95" s="109">
        <f>AB93+AB73+AB66+AB85</f>
        <v>0</v>
      </c>
      <c r="AC95" s="109">
        <f>AC93+AC73+AC66+AC85</f>
        <v>85836.870288000006</v>
      </c>
      <c r="AD95" s="131"/>
      <c r="AE95" s="108"/>
      <c r="AF95" s="108"/>
      <c r="AG95" s="109">
        <f t="shared" ref="AG95:AL95" si="299">AG93+AG73+AG66+AG85</f>
        <v>43780.051143360004</v>
      </c>
      <c r="AH95" s="109">
        <f t="shared" si="299"/>
        <v>0</v>
      </c>
      <c r="AI95" s="109">
        <f t="shared" si="299"/>
        <v>43780.051143360004</v>
      </c>
      <c r="AJ95" s="111">
        <f t="shared" si="299"/>
        <v>396296.43583136005</v>
      </c>
      <c r="AK95" s="111">
        <f t="shared" si="299"/>
        <v>0</v>
      </c>
      <c r="AL95" s="111">
        <f t="shared" si="299"/>
        <v>396296.43583136005</v>
      </c>
      <c r="AM95" s="5"/>
      <c r="AN95" s="5"/>
      <c r="AO95" s="5"/>
      <c r="AP95" s="5"/>
    </row>
    <row r="96" spans="1:42">
      <c r="A96" s="301"/>
      <c r="B96" s="307"/>
      <c r="C96" s="304"/>
      <c r="D96" s="209"/>
      <c r="E96" s="233"/>
      <c r="F96" s="211"/>
      <c r="G96" s="211"/>
      <c r="H96" s="211"/>
      <c r="I96" s="210"/>
      <c r="J96" s="211"/>
      <c r="K96" s="212"/>
      <c r="L96" s="233"/>
      <c r="M96" s="211"/>
      <c r="N96" s="211"/>
      <c r="O96" s="210"/>
      <c r="P96" s="211"/>
      <c r="Q96" s="212"/>
      <c r="R96" s="233"/>
      <c r="S96" s="211"/>
      <c r="T96" s="211"/>
      <c r="U96" s="210"/>
      <c r="V96" s="211"/>
      <c r="W96" s="212"/>
      <c r="X96" s="233"/>
      <c r="Y96" s="211"/>
      <c r="Z96" s="211"/>
      <c r="AA96" s="210"/>
      <c r="AB96" s="211"/>
      <c r="AC96" s="212"/>
      <c r="AD96" s="233"/>
      <c r="AE96" s="211"/>
      <c r="AF96" s="211"/>
      <c r="AG96" s="210"/>
      <c r="AH96" s="211"/>
      <c r="AI96" s="212"/>
      <c r="AJ96" s="209"/>
      <c r="AK96" s="209"/>
      <c r="AL96" s="209"/>
      <c r="AM96" s="5"/>
      <c r="AN96" s="5"/>
      <c r="AO96" s="5"/>
      <c r="AP96" s="5"/>
    </row>
    <row r="97" spans="1:42">
      <c r="A97" s="330"/>
      <c r="B97" s="331"/>
      <c r="C97" s="332"/>
      <c r="D97" s="106" t="s">
        <v>144</v>
      </c>
      <c r="E97" s="213"/>
      <c r="F97" s="214"/>
      <c r="G97" s="214"/>
      <c r="H97" s="214"/>
      <c r="I97" s="215">
        <f>I95+I62</f>
        <v>63646</v>
      </c>
      <c r="J97" s="216">
        <f>J95+J62</f>
        <v>0</v>
      </c>
      <c r="K97" s="217">
        <f>K95+K62</f>
        <v>63646</v>
      </c>
      <c r="L97" s="213"/>
      <c r="M97" s="214"/>
      <c r="N97" s="214"/>
      <c r="O97" s="215">
        <f>O95+O62</f>
        <v>275195.71999999997</v>
      </c>
      <c r="P97" s="216">
        <f>P95+P62</f>
        <v>0</v>
      </c>
      <c r="Q97" s="217">
        <f>Q95+Q62</f>
        <v>275195.71999999997</v>
      </c>
      <c r="R97" s="213"/>
      <c r="S97" s="214"/>
      <c r="T97" s="214"/>
      <c r="U97" s="215">
        <f>U95+U62</f>
        <v>232008.91440000001</v>
      </c>
      <c r="V97" s="216">
        <f>V95+V62</f>
        <v>0</v>
      </c>
      <c r="W97" s="217">
        <f>W95+W62</f>
        <v>232008.91440000001</v>
      </c>
      <c r="X97" s="213"/>
      <c r="Y97" s="214"/>
      <c r="Z97" s="214"/>
      <c r="AA97" s="215">
        <f>AA95+AA62</f>
        <v>236649.092688</v>
      </c>
      <c r="AB97" s="216">
        <f>AB95+AB62</f>
        <v>0</v>
      </c>
      <c r="AC97" s="217">
        <f>AC95+AC62</f>
        <v>236649.092688</v>
      </c>
      <c r="AD97" s="213"/>
      <c r="AE97" s="214"/>
      <c r="AF97" s="214"/>
      <c r="AG97" s="215">
        <f>AG95+AG62</f>
        <v>93020.951309759999</v>
      </c>
      <c r="AH97" s="216">
        <f>AH95+AH62</f>
        <v>0</v>
      </c>
      <c r="AI97" s="217">
        <f>AI95+AI62</f>
        <v>93020.951309759999</v>
      </c>
      <c r="AJ97" s="218">
        <f>AJ95+AJ62</f>
        <v>900520.67839776014</v>
      </c>
      <c r="AK97" s="218">
        <f>AK95+AK62</f>
        <v>0</v>
      </c>
      <c r="AL97" s="218">
        <f>SUM(AJ97:AK97)</f>
        <v>900520.67839776014</v>
      </c>
      <c r="AM97" s="5"/>
      <c r="AN97" s="5"/>
      <c r="AO97" s="5"/>
      <c r="AP97" s="5"/>
    </row>
    <row r="98" spans="1:42">
      <c r="A98" s="342"/>
      <c r="B98" s="343"/>
      <c r="C98" s="344"/>
      <c r="D98" s="235"/>
      <c r="E98" s="38"/>
      <c r="F98" s="22"/>
      <c r="G98" s="22"/>
      <c r="H98" s="22"/>
      <c r="I98" s="222"/>
      <c r="J98" s="223"/>
      <c r="K98" s="224"/>
      <c r="L98" s="38"/>
      <c r="M98" s="22"/>
      <c r="N98" s="22"/>
      <c r="O98" s="222"/>
      <c r="P98" s="223"/>
      <c r="Q98" s="224"/>
      <c r="R98" s="38"/>
      <c r="S98" s="22"/>
      <c r="T98" s="22"/>
      <c r="U98" s="222"/>
      <c r="V98" s="223"/>
      <c r="W98" s="224"/>
      <c r="X98" s="38"/>
      <c r="Y98" s="22"/>
      <c r="Z98" s="22"/>
      <c r="AA98" s="222"/>
      <c r="AB98" s="223"/>
      <c r="AC98" s="224"/>
      <c r="AD98" s="38"/>
      <c r="AE98" s="22"/>
      <c r="AF98" s="22"/>
      <c r="AG98" s="222"/>
      <c r="AH98" s="223"/>
      <c r="AI98" s="224"/>
      <c r="AJ98" s="225"/>
      <c r="AK98" s="225"/>
      <c r="AL98" s="225"/>
      <c r="AM98" s="5"/>
      <c r="AN98" s="5"/>
      <c r="AO98" s="5"/>
      <c r="AP98" s="5"/>
    </row>
    <row r="99" spans="1:42">
      <c r="A99" s="318"/>
      <c r="B99" s="319"/>
      <c r="C99" s="320"/>
      <c r="D99" s="77" t="s">
        <v>145</v>
      </c>
      <c r="E99" s="226"/>
      <c r="F99" s="227"/>
      <c r="G99" s="227"/>
      <c r="H99" s="227"/>
      <c r="I99" s="74"/>
      <c r="J99" s="72"/>
      <c r="K99" s="228"/>
      <c r="L99" s="226"/>
      <c r="M99" s="227"/>
      <c r="N99" s="227"/>
      <c r="O99" s="74"/>
      <c r="P99" s="72"/>
      <c r="Q99" s="228"/>
      <c r="R99" s="226"/>
      <c r="S99" s="227"/>
      <c r="T99" s="227"/>
      <c r="U99" s="74"/>
      <c r="V99" s="72"/>
      <c r="W99" s="228"/>
      <c r="X99" s="226"/>
      <c r="Y99" s="227"/>
      <c r="Z99" s="227"/>
      <c r="AA99" s="74"/>
      <c r="AB99" s="72"/>
      <c r="AC99" s="228"/>
      <c r="AD99" s="226"/>
      <c r="AE99" s="227"/>
      <c r="AF99" s="227"/>
      <c r="AG99" s="74"/>
      <c r="AH99" s="72"/>
      <c r="AI99" s="228"/>
      <c r="AJ99" s="229"/>
      <c r="AK99" s="229"/>
      <c r="AL99" s="229"/>
      <c r="AM99" s="5"/>
      <c r="AN99" s="5"/>
      <c r="AO99" s="5"/>
      <c r="AP99" s="5"/>
    </row>
    <row r="100" spans="1:42">
      <c r="A100" s="327"/>
      <c r="B100" s="345"/>
      <c r="C100" s="346"/>
      <c r="D100" s="230"/>
      <c r="E100" s="136"/>
      <c r="F100" s="236"/>
      <c r="G100" s="236"/>
      <c r="H100" s="236"/>
      <c r="I100" s="202"/>
      <c r="J100" s="17"/>
      <c r="K100" s="234"/>
      <c r="L100" s="237"/>
      <c r="M100" s="236"/>
      <c r="N100" s="236"/>
      <c r="O100" s="231"/>
      <c r="P100" s="17"/>
      <c r="Q100" s="234"/>
      <c r="R100" s="237"/>
      <c r="S100" s="236"/>
      <c r="T100" s="236"/>
      <c r="U100" s="231"/>
      <c r="V100" s="17"/>
      <c r="W100" s="234"/>
      <c r="X100" s="237"/>
      <c r="Y100" s="236"/>
      <c r="Z100" s="236"/>
      <c r="AA100" s="231"/>
      <c r="AB100" s="17"/>
      <c r="AC100" s="234"/>
      <c r="AD100" s="237"/>
      <c r="AE100" s="236"/>
      <c r="AF100" s="236"/>
      <c r="AG100" s="231"/>
      <c r="AH100" s="17"/>
      <c r="AI100" s="234"/>
      <c r="AJ100" s="206"/>
      <c r="AK100" s="232"/>
      <c r="AL100" s="232"/>
      <c r="AM100" s="5"/>
      <c r="AN100" s="5"/>
      <c r="AO100" s="5"/>
      <c r="AP100" s="5"/>
    </row>
    <row r="101" spans="1:42">
      <c r="A101" s="327" t="s">
        <v>146</v>
      </c>
      <c r="B101" s="305">
        <v>7440</v>
      </c>
      <c r="C101" s="298" t="s">
        <v>51</v>
      </c>
      <c r="D101" s="63" t="s">
        <v>147</v>
      </c>
      <c r="E101" s="136">
        <v>3</v>
      </c>
      <c r="F101" s="12">
        <v>53500</v>
      </c>
      <c r="G101" s="208"/>
      <c r="H101" s="134" t="s">
        <v>148</v>
      </c>
      <c r="I101" s="11">
        <f>F101*E101</f>
        <v>160500</v>
      </c>
      <c r="J101" s="12">
        <v>0</v>
      </c>
      <c r="K101" s="205">
        <f>SUM(I101:J101)</f>
        <v>160500</v>
      </c>
      <c r="L101" s="136">
        <v>0</v>
      </c>
      <c r="M101" s="12">
        <f>F101</f>
        <v>53500</v>
      </c>
      <c r="N101" s="208"/>
      <c r="O101" s="11">
        <f>L101*M101</f>
        <v>0</v>
      </c>
      <c r="P101" s="12">
        <v>0</v>
      </c>
      <c r="Q101" s="205">
        <f>SUM(O101:P101)</f>
        <v>0</v>
      </c>
      <c r="R101" s="136">
        <v>0</v>
      </c>
      <c r="S101" s="12">
        <f>F101</f>
        <v>53500</v>
      </c>
      <c r="T101" s="208"/>
      <c r="U101" s="11">
        <f>S101*R101</f>
        <v>0</v>
      </c>
      <c r="V101" s="12">
        <v>0</v>
      </c>
      <c r="W101" s="205">
        <f>SUM(U101:V101)</f>
        <v>0</v>
      </c>
      <c r="X101" s="136">
        <v>0</v>
      </c>
      <c r="Y101" s="12">
        <f>F101</f>
        <v>53500</v>
      </c>
      <c r="Z101" s="208"/>
      <c r="AA101" s="11">
        <f>X101*Y101</f>
        <v>0</v>
      </c>
      <c r="AB101" s="12">
        <v>0</v>
      </c>
      <c r="AC101" s="205">
        <f>SUM(AA101:AB101)</f>
        <v>0</v>
      </c>
      <c r="AD101" s="136">
        <v>0</v>
      </c>
      <c r="AE101" s="12">
        <f>F101</f>
        <v>53500</v>
      </c>
      <c r="AF101" s="208"/>
      <c r="AG101" s="11">
        <f>AE101*AD101</f>
        <v>0</v>
      </c>
      <c r="AH101" s="12">
        <v>0</v>
      </c>
      <c r="AI101" s="205">
        <f>SUM(AG101:AH101)</f>
        <v>0</v>
      </c>
      <c r="AJ101" s="206">
        <f>I101+O101+U101+AA101+AG101</f>
        <v>160500</v>
      </c>
      <c r="AK101" s="206">
        <f t="shared" ref="AJ101:AK102" si="300">J101+P101+V101+AB101+AH101</f>
        <v>0</v>
      </c>
      <c r="AL101" s="206">
        <f>SUM(AJ101:AK101)</f>
        <v>160500</v>
      </c>
      <c r="AM101" s="5"/>
      <c r="AN101" s="5"/>
      <c r="AO101" s="5"/>
      <c r="AP101" s="5"/>
    </row>
    <row r="102" spans="1:42">
      <c r="A102" s="327" t="s">
        <v>146</v>
      </c>
      <c r="B102" s="305">
        <v>7440</v>
      </c>
      <c r="C102" s="298" t="s">
        <v>51</v>
      </c>
      <c r="D102" s="63" t="s">
        <v>149</v>
      </c>
      <c r="E102" s="136">
        <v>4</v>
      </c>
      <c r="F102" s="12">
        <v>1300</v>
      </c>
      <c r="G102" s="208"/>
      <c r="H102" s="134" t="s">
        <v>150</v>
      </c>
      <c r="I102" s="11">
        <f>F102*E102</f>
        <v>5200</v>
      </c>
      <c r="J102" s="12">
        <v>0</v>
      </c>
      <c r="K102" s="205">
        <f>SUM(I102:J102)</f>
        <v>5200</v>
      </c>
      <c r="L102" s="136">
        <v>0</v>
      </c>
      <c r="M102" s="12">
        <f>F102</f>
        <v>1300</v>
      </c>
      <c r="N102" s="208"/>
      <c r="O102" s="11">
        <f>L102*M102</f>
        <v>0</v>
      </c>
      <c r="P102" s="12">
        <v>0</v>
      </c>
      <c r="Q102" s="205">
        <f>SUM(O102:P102)</f>
        <v>0</v>
      </c>
      <c r="R102" s="136">
        <v>0</v>
      </c>
      <c r="S102" s="12">
        <f>F102</f>
        <v>1300</v>
      </c>
      <c r="T102" s="208"/>
      <c r="U102" s="11">
        <f>S102*R102</f>
        <v>0</v>
      </c>
      <c r="V102" s="12">
        <v>0</v>
      </c>
      <c r="W102" s="205">
        <f>SUM(U102:V102)</f>
        <v>0</v>
      </c>
      <c r="X102" s="136">
        <v>0</v>
      </c>
      <c r="Y102" s="12">
        <f>F102</f>
        <v>1300</v>
      </c>
      <c r="Z102" s="208"/>
      <c r="AA102" s="11">
        <f>X102*Y102</f>
        <v>0</v>
      </c>
      <c r="AB102" s="12">
        <v>0</v>
      </c>
      <c r="AC102" s="205">
        <f>SUM(AA102:AB102)</f>
        <v>0</v>
      </c>
      <c r="AD102" s="136">
        <v>0</v>
      </c>
      <c r="AE102" s="12">
        <f>F102</f>
        <v>1300</v>
      </c>
      <c r="AF102" s="208"/>
      <c r="AG102" s="11">
        <f>AE102*AD102</f>
        <v>0</v>
      </c>
      <c r="AH102" s="12">
        <v>0</v>
      </c>
      <c r="AI102" s="205">
        <f>SUM(AG102:AH102)</f>
        <v>0</v>
      </c>
      <c r="AJ102" s="206">
        <f t="shared" si="300"/>
        <v>5200</v>
      </c>
      <c r="AK102" s="206">
        <f t="shared" si="300"/>
        <v>0</v>
      </c>
      <c r="AL102" s="206">
        <f>SUM(AJ102:AK102)</f>
        <v>5200</v>
      </c>
      <c r="AM102" s="5"/>
      <c r="AN102" s="5"/>
      <c r="AO102" s="5"/>
      <c r="AP102" s="5"/>
    </row>
    <row r="103" spans="1:42">
      <c r="A103" s="347"/>
      <c r="C103" s="348"/>
      <c r="D103" s="230"/>
      <c r="E103" s="239"/>
      <c r="F103" s="12"/>
      <c r="G103" s="240"/>
      <c r="H103" s="240"/>
      <c r="I103" s="18"/>
      <c r="J103" s="19"/>
      <c r="K103" s="241"/>
      <c r="L103" s="239"/>
      <c r="M103" s="240"/>
      <c r="N103" s="240"/>
      <c r="O103" s="18"/>
      <c r="P103" s="19"/>
      <c r="Q103" s="241"/>
      <c r="R103" s="239"/>
      <c r="S103" s="240"/>
      <c r="T103" s="240"/>
      <c r="U103" s="18"/>
      <c r="V103" s="19"/>
      <c r="W103" s="241"/>
      <c r="X103" s="239"/>
      <c r="Y103" s="240"/>
      <c r="Z103" s="240"/>
      <c r="AA103" s="18"/>
      <c r="AB103" s="19"/>
      <c r="AC103" s="241"/>
      <c r="AD103" s="239"/>
      <c r="AE103" s="240"/>
      <c r="AF103" s="240"/>
      <c r="AG103" s="18"/>
      <c r="AH103" s="19"/>
      <c r="AI103" s="241"/>
      <c r="AJ103" s="242"/>
      <c r="AK103" s="242"/>
      <c r="AL103" s="242"/>
      <c r="AM103" s="5"/>
      <c r="AN103" s="5"/>
      <c r="AO103" s="5"/>
      <c r="AP103" s="5"/>
    </row>
    <row r="104" spans="1:42" s="9" customFormat="1">
      <c r="A104" s="330"/>
      <c r="B104" s="331"/>
      <c r="C104" s="332"/>
      <c r="D104" s="106" t="s">
        <v>151</v>
      </c>
      <c r="E104" s="213"/>
      <c r="F104" s="214"/>
      <c r="G104" s="214"/>
      <c r="H104" s="214"/>
      <c r="I104" s="215">
        <f>SUM(I101:I103)</f>
        <v>165700</v>
      </c>
      <c r="J104" s="215">
        <f>SUM(J101:J103)</f>
        <v>0</v>
      </c>
      <c r="K104" s="215">
        <f>SUM(K101:K103)</f>
        <v>165700</v>
      </c>
      <c r="L104" s="213"/>
      <c r="M104" s="214"/>
      <c r="N104" s="214"/>
      <c r="O104" s="215">
        <f>SUM(O101:O103)</f>
        <v>0</v>
      </c>
      <c r="P104" s="215">
        <f>SUM(P101:P103)</f>
        <v>0</v>
      </c>
      <c r="Q104" s="215">
        <f>SUM(Q101:Q103)</f>
        <v>0</v>
      </c>
      <c r="R104" s="213"/>
      <c r="S104" s="214"/>
      <c r="T104" s="214"/>
      <c r="U104" s="215">
        <f>SUM(U101:U103)</f>
        <v>0</v>
      </c>
      <c r="V104" s="215">
        <f>SUM(V101:V103)</f>
        <v>0</v>
      </c>
      <c r="W104" s="215">
        <f>SUM(W101:W103)</f>
        <v>0</v>
      </c>
      <c r="X104" s="213"/>
      <c r="Y104" s="214"/>
      <c r="Z104" s="214"/>
      <c r="AA104" s="215">
        <f>SUM(AA101:AA103)</f>
        <v>0</v>
      </c>
      <c r="AB104" s="215">
        <f>SUM(AB101:AB103)</f>
        <v>0</v>
      </c>
      <c r="AC104" s="215">
        <f>SUM(AC101:AC103)</f>
        <v>0</v>
      </c>
      <c r="AD104" s="213"/>
      <c r="AE104" s="214"/>
      <c r="AF104" s="214"/>
      <c r="AG104" s="215">
        <f>SUM(AG101:AG103)</f>
        <v>0</v>
      </c>
      <c r="AH104" s="215">
        <f>SUM(AH101:AH103)</f>
        <v>0</v>
      </c>
      <c r="AI104" s="215">
        <f>SUM(AI101:AI103)</f>
        <v>0</v>
      </c>
      <c r="AJ104" s="218">
        <f>SUM(AJ101:AJ103)</f>
        <v>165700</v>
      </c>
      <c r="AK104" s="218">
        <f>SUM(AK101:AK103)</f>
        <v>0</v>
      </c>
      <c r="AL104" s="218">
        <f>SUM(AJ104:AK104)</f>
        <v>165700</v>
      </c>
      <c r="AM104" s="25"/>
      <c r="AN104" s="25"/>
      <c r="AO104" s="25"/>
      <c r="AP104" s="25"/>
    </row>
    <row r="105" spans="1:42">
      <c r="A105" s="333"/>
      <c r="B105" s="334"/>
      <c r="C105" s="335"/>
      <c r="D105" s="243"/>
      <c r="E105" s="220"/>
      <c r="F105" s="221"/>
      <c r="G105" s="221"/>
      <c r="H105" s="221"/>
      <c r="I105" s="222"/>
      <c r="J105" s="223"/>
      <c r="K105" s="224"/>
      <c r="L105" s="220"/>
      <c r="M105" s="221"/>
      <c r="N105" s="221"/>
      <c r="O105" s="222"/>
      <c r="P105" s="223"/>
      <c r="Q105" s="224"/>
      <c r="R105" s="220"/>
      <c r="S105" s="221"/>
      <c r="T105" s="221"/>
      <c r="U105" s="222"/>
      <c r="V105" s="223"/>
      <c r="W105" s="224"/>
      <c r="X105" s="220"/>
      <c r="Y105" s="221"/>
      <c r="Z105" s="221"/>
      <c r="AA105" s="222"/>
      <c r="AB105" s="223"/>
      <c r="AC105" s="224"/>
      <c r="AD105" s="220"/>
      <c r="AE105" s="221"/>
      <c r="AF105" s="221"/>
      <c r="AG105" s="222"/>
      <c r="AH105" s="223"/>
      <c r="AI105" s="224"/>
      <c r="AJ105" s="225"/>
      <c r="AK105" s="225"/>
      <c r="AL105" s="225"/>
      <c r="AM105" s="5"/>
      <c r="AN105" s="5"/>
      <c r="AO105" s="5"/>
      <c r="AP105" s="5"/>
    </row>
    <row r="106" spans="1:42">
      <c r="A106" s="318"/>
      <c r="B106" s="319"/>
      <c r="C106" s="320"/>
      <c r="D106" s="77" t="s">
        <v>17</v>
      </c>
      <c r="E106" s="226"/>
      <c r="F106" s="227"/>
      <c r="G106" s="227"/>
      <c r="H106" s="227"/>
      <c r="I106" s="74"/>
      <c r="J106" s="72"/>
      <c r="K106" s="228"/>
      <c r="L106" s="226"/>
      <c r="M106" s="227"/>
      <c r="N106" s="227"/>
      <c r="O106" s="74"/>
      <c r="P106" s="72"/>
      <c r="Q106" s="228"/>
      <c r="R106" s="226"/>
      <c r="S106" s="227"/>
      <c r="T106" s="227"/>
      <c r="U106" s="74"/>
      <c r="V106" s="72"/>
      <c r="W106" s="228"/>
      <c r="X106" s="226"/>
      <c r="Y106" s="227"/>
      <c r="Z106" s="227"/>
      <c r="AA106" s="74"/>
      <c r="AB106" s="72"/>
      <c r="AC106" s="228"/>
      <c r="AD106" s="226"/>
      <c r="AE106" s="227"/>
      <c r="AF106" s="227"/>
      <c r="AG106" s="74"/>
      <c r="AH106" s="72"/>
      <c r="AI106" s="228"/>
      <c r="AJ106" s="229"/>
      <c r="AK106" s="229"/>
      <c r="AL106" s="229"/>
      <c r="AM106" s="5"/>
      <c r="AN106" s="5"/>
      <c r="AO106" s="5"/>
      <c r="AP106" s="5"/>
    </row>
    <row r="107" spans="1:42">
      <c r="A107" s="349"/>
      <c r="B107" s="345"/>
      <c r="C107" s="346"/>
      <c r="D107" s="64"/>
      <c r="E107" s="237"/>
      <c r="F107" s="236"/>
      <c r="G107" s="236"/>
      <c r="H107" s="236"/>
      <c r="I107" s="231"/>
      <c r="J107" s="17"/>
      <c r="K107" s="234"/>
      <c r="L107" s="237"/>
      <c r="M107" s="236"/>
      <c r="N107" s="236"/>
      <c r="O107" s="231"/>
      <c r="P107" s="17"/>
      <c r="Q107" s="234"/>
      <c r="R107" s="237"/>
      <c r="S107" s="236"/>
      <c r="T107" s="236"/>
      <c r="U107" s="231"/>
      <c r="V107" s="17"/>
      <c r="W107" s="234"/>
      <c r="X107" s="237"/>
      <c r="Y107" s="236"/>
      <c r="Z107" s="236"/>
      <c r="AA107" s="231"/>
      <c r="AB107" s="17"/>
      <c r="AC107" s="234"/>
      <c r="AD107" s="237"/>
      <c r="AE107" s="236"/>
      <c r="AF107" s="236"/>
      <c r="AG107" s="231"/>
      <c r="AH107" s="17"/>
      <c r="AI107" s="234"/>
      <c r="AJ107" s="206"/>
      <c r="AK107" s="232"/>
      <c r="AL107" s="232"/>
      <c r="AM107" s="5"/>
      <c r="AN107" s="5"/>
      <c r="AO107" s="5"/>
      <c r="AP107" s="5"/>
    </row>
    <row r="108" spans="1:42">
      <c r="A108" s="321"/>
      <c r="B108" s="309"/>
      <c r="C108" s="328"/>
      <c r="D108" s="59" t="s">
        <v>152</v>
      </c>
      <c r="E108" s="170"/>
      <c r="F108" s="208"/>
      <c r="G108" s="208"/>
      <c r="H108" s="208"/>
      <c r="I108" s="11"/>
      <c r="J108" s="12"/>
      <c r="K108" s="205"/>
      <c r="L108" s="136"/>
      <c r="M108" s="132"/>
      <c r="N108" s="135"/>
      <c r="O108" s="11"/>
      <c r="P108" s="12"/>
      <c r="Q108" s="205"/>
      <c r="R108" s="136"/>
      <c r="S108" s="132"/>
      <c r="T108" s="135"/>
      <c r="U108" s="11"/>
      <c r="V108" s="12"/>
      <c r="W108" s="205"/>
      <c r="X108" s="136"/>
      <c r="Y108" s="132"/>
      <c r="Z108" s="135"/>
      <c r="AA108" s="11"/>
      <c r="AB108" s="12"/>
      <c r="AC108" s="205"/>
      <c r="AD108" s="136"/>
      <c r="AE108" s="132"/>
      <c r="AF108" s="135"/>
      <c r="AG108" s="11"/>
      <c r="AH108" s="12"/>
      <c r="AI108" s="205"/>
      <c r="AJ108" s="206"/>
      <c r="AK108" s="206"/>
      <c r="AL108" s="206"/>
      <c r="AM108" s="5"/>
      <c r="AN108" s="5"/>
      <c r="AO108" s="5"/>
      <c r="AP108" s="5"/>
    </row>
    <row r="109" spans="1:42">
      <c r="A109" s="327" t="s">
        <v>153</v>
      </c>
      <c r="B109" s="305">
        <v>8010</v>
      </c>
      <c r="C109" s="308">
        <v>0</v>
      </c>
      <c r="D109" s="63" t="s">
        <v>154</v>
      </c>
      <c r="E109" s="136">
        <v>3</v>
      </c>
      <c r="F109" s="12">
        <f>Supplies!B30</f>
        <v>1114.97</v>
      </c>
      <c r="G109" s="208"/>
      <c r="H109" s="134" t="s">
        <v>155</v>
      </c>
      <c r="I109" s="11">
        <f>F109*E109</f>
        <v>3344.91</v>
      </c>
      <c r="J109" s="12">
        <v>0</v>
      </c>
      <c r="K109" s="205">
        <f t="shared" ref="K109:K128" si="301">SUM(I109:J109)</f>
        <v>3344.91</v>
      </c>
      <c r="L109" s="136">
        <v>0</v>
      </c>
      <c r="M109" s="132">
        <f>F109</f>
        <v>1114.97</v>
      </c>
      <c r="N109" s="135"/>
      <c r="O109" s="11">
        <f>L109*M109</f>
        <v>0</v>
      </c>
      <c r="P109" s="12">
        <v>0</v>
      </c>
      <c r="Q109" s="205">
        <f t="shared" ref="Q109:Q121" si="302">SUM(O109:P109)</f>
        <v>0</v>
      </c>
      <c r="R109" s="11">
        <f t="shared" ref="R109:R122" si="303">O109*P109*Q109</f>
        <v>0</v>
      </c>
      <c r="S109" s="132">
        <f>F109</f>
        <v>1114.97</v>
      </c>
      <c r="T109" s="135"/>
      <c r="U109" s="11">
        <f>S109*R109</f>
        <v>0</v>
      </c>
      <c r="V109" s="12">
        <v>0</v>
      </c>
      <c r="W109" s="205">
        <f t="shared" ref="W109:W128" si="304">SUM(U109:V109)</f>
        <v>0</v>
      </c>
      <c r="X109" s="11">
        <f t="shared" ref="X109:X122" si="305">U109*V109*W109</f>
        <v>0</v>
      </c>
      <c r="Y109" s="132">
        <f>F109</f>
        <v>1114.97</v>
      </c>
      <c r="Z109" s="135"/>
      <c r="AA109" s="11">
        <f>Y109*X109</f>
        <v>0</v>
      </c>
      <c r="AB109" s="12">
        <v>0</v>
      </c>
      <c r="AC109" s="205">
        <f t="shared" ref="AC109:AC128" si="306">SUM(AA109:AB109)</f>
        <v>0</v>
      </c>
      <c r="AD109" s="11">
        <f t="shared" ref="AD109:AD122" si="307">AA109*AB109*AC109</f>
        <v>0</v>
      </c>
      <c r="AE109" s="132">
        <f>F109</f>
        <v>1114.97</v>
      </c>
      <c r="AF109" s="135">
        <v>0</v>
      </c>
      <c r="AG109" s="11">
        <f>AE109*AD109</f>
        <v>0</v>
      </c>
      <c r="AH109" s="12">
        <v>0</v>
      </c>
      <c r="AI109" s="205">
        <f t="shared" ref="AI109:AI128" si="308">SUM(AG109:AH109)</f>
        <v>0</v>
      </c>
      <c r="AJ109" s="206">
        <f t="shared" ref="AJ109:AJ128" si="309">I109+O109+U109+AA109+AG109</f>
        <v>3344.91</v>
      </c>
      <c r="AK109" s="206">
        <f t="shared" ref="AK109:AK128" si="310">J109+P109+V109+AB109+AH109</f>
        <v>0</v>
      </c>
      <c r="AL109" s="206">
        <f t="shared" ref="AL109:AL128" si="311">SUM(AJ109:AK109)</f>
        <v>3344.91</v>
      </c>
      <c r="AM109" s="5"/>
      <c r="AN109" s="5"/>
      <c r="AO109" s="5"/>
      <c r="AP109" s="5"/>
    </row>
    <row r="110" spans="1:42">
      <c r="A110" s="327" t="s">
        <v>153</v>
      </c>
      <c r="B110" s="305">
        <v>8010</v>
      </c>
      <c r="C110" s="308">
        <v>0</v>
      </c>
      <c r="D110" s="63" t="s">
        <v>156</v>
      </c>
      <c r="E110" s="136">
        <f>Supplies!C6</f>
        <v>1</v>
      </c>
      <c r="F110" s="12">
        <f>Supplies!B38</f>
        <v>488.95</v>
      </c>
      <c r="G110" s="208"/>
      <c r="H110" s="134" t="s">
        <v>155</v>
      </c>
      <c r="I110" s="11">
        <f t="shared" ref="I110:I122" si="312">F110*E110</f>
        <v>488.95</v>
      </c>
      <c r="J110" s="12">
        <v>0</v>
      </c>
      <c r="K110" s="205">
        <f t="shared" si="301"/>
        <v>488.95</v>
      </c>
      <c r="L110" s="136">
        <v>0</v>
      </c>
      <c r="M110" s="132">
        <f t="shared" ref="M110:M122" si="313">F110</f>
        <v>488.95</v>
      </c>
      <c r="N110" s="135"/>
      <c r="O110" s="11">
        <f t="shared" ref="O110:O122" si="314">L110*M110</f>
        <v>0</v>
      </c>
      <c r="P110" s="12">
        <v>0</v>
      </c>
      <c r="Q110" s="205">
        <f t="shared" si="302"/>
        <v>0</v>
      </c>
      <c r="R110" s="11">
        <f t="shared" si="303"/>
        <v>0</v>
      </c>
      <c r="S110" s="132">
        <f t="shared" ref="S110:S122" si="315">F110</f>
        <v>488.95</v>
      </c>
      <c r="T110" s="135"/>
      <c r="U110" s="11">
        <f t="shared" ref="U110:U122" si="316">S110*R110</f>
        <v>0</v>
      </c>
      <c r="V110" s="12">
        <v>0</v>
      </c>
      <c r="W110" s="205">
        <f t="shared" si="304"/>
        <v>0</v>
      </c>
      <c r="X110" s="11">
        <f t="shared" si="305"/>
        <v>0</v>
      </c>
      <c r="Y110" s="132">
        <f t="shared" ref="Y110:Y122" si="317">F110</f>
        <v>488.95</v>
      </c>
      <c r="Z110" s="135"/>
      <c r="AA110" s="11">
        <f t="shared" ref="AA110:AA122" si="318">Y110*X110</f>
        <v>0</v>
      </c>
      <c r="AB110" s="12">
        <v>0</v>
      </c>
      <c r="AC110" s="205">
        <f t="shared" si="306"/>
        <v>0</v>
      </c>
      <c r="AD110" s="11">
        <f t="shared" si="307"/>
        <v>0</v>
      </c>
      <c r="AE110" s="132">
        <f t="shared" ref="AE110:AE122" si="319">F110</f>
        <v>488.95</v>
      </c>
      <c r="AF110" s="135"/>
      <c r="AG110" s="11">
        <f t="shared" ref="AG110:AG122" si="320">AE110*AD110</f>
        <v>0</v>
      </c>
      <c r="AH110" s="12">
        <v>0</v>
      </c>
      <c r="AI110" s="205">
        <f t="shared" si="308"/>
        <v>0</v>
      </c>
      <c r="AJ110" s="206">
        <f t="shared" si="309"/>
        <v>488.95</v>
      </c>
      <c r="AK110" s="206">
        <f t="shared" si="310"/>
        <v>0</v>
      </c>
      <c r="AL110" s="206">
        <f t="shared" si="311"/>
        <v>488.95</v>
      </c>
      <c r="AM110" s="5"/>
      <c r="AN110" s="5"/>
      <c r="AO110" s="5"/>
      <c r="AP110" s="5"/>
    </row>
    <row r="111" spans="1:42">
      <c r="A111" s="327" t="s">
        <v>153</v>
      </c>
      <c r="B111" s="305">
        <v>8010</v>
      </c>
      <c r="C111" s="308">
        <v>0</v>
      </c>
      <c r="D111" s="63" t="s">
        <v>157</v>
      </c>
      <c r="E111" s="136">
        <f>Supplies!C7</f>
        <v>1</v>
      </c>
      <c r="F111" s="12">
        <f>Supplies!B44</f>
        <v>738</v>
      </c>
      <c r="G111" s="208"/>
      <c r="H111" s="134" t="s">
        <v>155</v>
      </c>
      <c r="I111" s="11">
        <f t="shared" si="312"/>
        <v>738</v>
      </c>
      <c r="J111" s="12">
        <v>0</v>
      </c>
      <c r="K111" s="205">
        <f t="shared" si="301"/>
        <v>738</v>
      </c>
      <c r="L111" s="136">
        <v>0</v>
      </c>
      <c r="M111" s="132">
        <f t="shared" si="313"/>
        <v>738</v>
      </c>
      <c r="N111" s="135"/>
      <c r="O111" s="11">
        <f t="shared" si="314"/>
        <v>0</v>
      </c>
      <c r="P111" s="12">
        <v>0</v>
      </c>
      <c r="Q111" s="205">
        <f t="shared" si="302"/>
        <v>0</v>
      </c>
      <c r="R111" s="11">
        <f t="shared" si="303"/>
        <v>0</v>
      </c>
      <c r="S111" s="132">
        <f t="shared" si="315"/>
        <v>738</v>
      </c>
      <c r="T111" s="135"/>
      <c r="U111" s="11">
        <f t="shared" si="316"/>
        <v>0</v>
      </c>
      <c r="V111" s="12">
        <v>0</v>
      </c>
      <c r="W111" s="205">
        <f t="shared" si="304"/>
        <v>0</v>
      </c>
      <c r="X111" s="11">
        <f t="shared" si="305"/>
        <v>0</v>
      </c>
      <c r="Y111" s="132">
        <f t="shared" si="317"/>
        <v>738</v>
      </c>
      <c r="Z111" s="135"/>
      <c r="AA111" s="11">
        <f t="shared" si="318"/>
        <v>0</v>
      </c>
      <c r="AB111" s="12">
        <v>0</v>
      </c>
      <c r="AC111" s="205">
        <f t="shared" si="306"/>
        <v>0</v>
      </c>
      <c r="AD111" s="11">
        <f t="shared" si="307"/>
        <v>0</v>
      </c>
      <c r="AE111" s="132">
        <f t="shared" si="319"/>
        <v>738</v>
      </c>
      <c r="AF111" s="135"/>
      <c r="AG111" s="11">
        <f t="shared" si="320"/>
        <v>0</v>
      </c>
      <c r="AH111" s="12">
        <v>0</v>
      </c>
      <c r="AI111" s="205">
        <f t="shared" si="308"/>
        <v>0</v>
      </c>
      <c r="AJ111" s="206">
        <f t="shared" si="309"/>
        <v>738</v>
      </c>
      <c r="AK111" s="206">
        <f t="shared" si="310"/>
        <v>0</v>
      </c>
      <c r="AL111" s="206">
        <f t="shared" si="311"/>
        <v>738</v>
      </c>
      <c r="AM111" s="5"/>
      <c r="AN111" s="5"/>
      <c r="AO111" s="5"/>
      <c r="AP111" s="5"/>
    </row>
    <row r="112" spans="1:42">
      <c r="A112" s="327" t="s">
        <v>153</v>
      </c>
      <c r="B112" s="305">
        <v>8010</v>
      </c>
      <c r="C112" s="308">
        <v>0</v>
      </c>
      <c r="D112" s="63" t="s">
        <v>158</v>
      </c>
      <c r="E112" s="136">
        <v>3</v>
      </c>
      <c r="F112" s="12">
        <f>Supplies!B68</f>
        <v>2791</v>
      </c>
      <c r="G112" s="208"/>
      <c r="H112" s="134" t="s">
        <v>155</v>
      </c>
      <c r="I112" s="11">
        <f t="shared" ref="I112" si="321">F112*E112</f>
        <v>8373</v>
      </c>
      <c r="J112" s="12">
        <v>0</v>
      </c>
      <c r="K112" s="205">
        <f t="shared" ref="K112" si="322">SUM(I112:J112)</f>
        <v>8373</v>
      </c>
      <c r="L112" s="136">
        <v>0</v>
      </c>
      <c r="M112" s="132">
        <f>F112</f>
        <v>2791</v>
      </c>
      <c r="N112" s="135"/>
      <c r="O112" s="11">
        <f t="shared" ref="O112" si="323">L112*M112</f>
        <v>0</v>
      </c>
      <c r="P112" s="12">
        <v>0</v>
      </c>
      <c r="Q112" s="205">
        <f t="shared" ref="Q112" si="324">SUM(O112:P112)</f>
        <v>0</v>
      </c>
      <c r="R112" s="11">
        <f t="shared" ref="R112" si="325">O112*P112*Q112</f>
        <v>0</v>
      </c>
      <c r="S112" s="132">
        <f t="shared" ref="S112" si="326">F112</f>
        <v>2791</v>
      </c>
      <c r="T112" s="135"/>
      <c r="U112" s="11">
        <f t="shared" ref="U112" si="327">S112*R112</f>
        <v>0</v>
      </c>
      <c r="V112" s="12">
        <v>0</v>
      </c>
      <c r="W112" s="205">
        <f t="shared" ref="W112" si="328">SUM(U112:V112)</f>
        <v>0</v>
      </c>
      <c r="X112" s="11">
        <f t="shared" ref="X112" si="329">U112*V112*W112</f>
        <v>0</v>
      </c>
      <c r="Y112" s="132">
        <f t="shared" ref="Y112" si="330">F112</f>
        <v>2791</v>
      </c>
      <c r="Z112" s="135"/>
      <c r="AA112" s="11">
        <f t="shared" ref="AA112" si="331">Y112*X112</f>
        <v>0</v>
      </c>
      <c r="AB112" s="12">
        <v>0</v>
      </c>
      <c r="AC112" s="205">
        <f t="shared" ref="AC112" si="332">SUM(AA112:AB112)</f>
        <v>0</v>
      </c>
      <c r="AD112" s="11">
        <f t="shared" ref="AD112" si="333">AA112*AB112*AC112</f>
        <v>0</v>
      </c>
      <c r="AE112" s="132">
        <f t="shared" ref="AE112" si="334">F112</f>
        <v>2791</v>
      </c>
      <c r="AF112" s="135"/>
      <c r="AG112" s="11">
        <f t="shared" ref="AG112" si="335">AE112*AD112</f>
        <v>0</v>
      </c>
      <c r="AH112" s="12">
        <v>0</v>
      </c>
      <c r="AI112" s="205">
        <f t="shared" ref="AI112" si="336">SUM(AG112:AH112)</f>
        <v>0</v>
      </c>
      <c r="AJ112" s="206">
        <f t="shared" ref="AJ112" si="337">I112+O112+U112+AA112+AG112</f>
        <v>8373</v>
      </c>
      <c r="AK112" s="206">
        <f t="shared" ref="AK112" si="338">J112+P112+V112+AB112+AH112</f>
        <v>0</v>
      </c>
      <c r="AL112" s="206">
        <f t="shared" ref="AL112" si="339">SUM(AJ112:AK112)</f>
        <v>8373</v>
      </c>
      <c r="AM112" s="5"/>
      <c r="AN112" s="5"/>
      <c r="AO112" s="5"/>
      <c r="AP112" s="5"/>
    </row>
    <row r="113" spans="1:42">
      <c r="A113" s="327" t="s">
        <v>153</v>
      </c>
      <c r="B113" s="305">
        <v>8010</v>
      </c>
      <c r="C113" s="308">
        <v>0</v>
      </c>
      <c r="D113" s="63" t="s">
        <v>159</v>
      </c>
      <c r="E113" s="136">
        <v>1</v>
      </c>
      <c r="F113" s="12">
        <v>250</v>
      </c>
      <c r="G113" s="12">
        <v>12</v>
      </c>
      <c r="H113" s="134" t="s">
        <v>83</v>
      </c>
      <c r="I113" s="11">
        <f>F113*E113*G113</f>
        <v>3000</v>
      </c>
      <c r="J113" s="12">
        <v>0</v>
      </c>
      <c r="K113" s="205">
        <f t="shared" ref="K113:K114" si="340">SUM(I113:J113)</f>
        <v>3000</v>
      </c>
      <c r="L113" s="136">
        <v>1</v>
      </c>
      <c r="M113" s="132">
        <f t="shared" ref="M113" si="341">F113</f>
        <v>250</v>
      </c>
      <c r="N113" s="135">
        <v>12</v>
      </c>
      <c r="O113" s="11">
        <f>L113*M113*N113</f>
        <v>3000</v>
      </c>
      <c r="P113" s="12">
        <v>0</v>
      </c>
      <c r="Q113" s="205">
        <f t="shared" ref="Q113:Q114" si="342">SUM(O113:P113)</f>
        <v>3000</v>
      </c>
      <c r="R113" s="11">
        <v>1</v>
      </c>
      <c r="S113" s="132">
        <f t="shared" ref="S113" si="343">F113</f>
        <v>250</v>
      </c>
      <c r="T113" s="135">
        <v>12</v>
      </c>
      <c r="U113" s="11">
        <f>S113*R113*T113</f>
        <v>3000</v>
      </c>
      <c r="V113" s="12">
        <v>0</v>
      </c>
      <c r="W113" s="205">
        <f t="shared" ref="W113:W114" si="344">SUM(U113:V113)</f>
        <v>3000</v>
      </c>
      <c r="X113" s="11">
        <v>1</v>
      </c>
      <c r="Y113" s="132">
        <f t="shared" ref="Y113" si="345">F113</f>
        <v>250</v>
      </c>
      <c r="Z113" s="135">
        <v>12</v>
      </c>
      <c r="AA113" s="11">
        <f>Y113*X113*Z113</f>
        <v>3000</v>
      </c>
      <c r="AB113" s="12">
        <v>0</v>
      </c>
      <c r="AC113" s="205">
        <f t="shared" ref="AC113:AC114" si="346">SUM(AA113:AB113)</f>
        <v>3000</v>
      </c>
      <c r="AD113" s="11">
        <v>1</v>
      </c>
      <c r="AE113" s="132">
        <f t="shared" ref="AE113" si="347">F113</f>
        <v>250</v>
      </c>
      <c r="AF113" s="135">
        <v>12</v>
      </c>
      <c r="AG113" s="11">
        <f>AE113*AD113*AF113</f>
        <v>3000</v>
      </c>
      <c r="AH113" s="12">
        <v>0</v>
      </c>
      <c r="AI113" s="205">
        <f t="shared" ref="AI113:AI114" si="348">SUM(AG113:AH113)</f>
        <v>3000</v>
      </c>
      <c r="AJ113" s="206">
        <f t="shared" ref="AJ113:AJ114" si="349">I113+O113+U113+AA113+AG113</f>
        <v>15000</v>
      </c>
      <c r="AK113" s="206">
        <f t="shared" ref="AK113:AK114" si="350">J113+P113+V113+AB113+AH113</f>
        <v>0</v>
      </c>
      <c r="AL113" s="206">
        <f t="shared" ref="AL113:AL114" si="351">SUM(AJ113:AK113)</f>
        <v>15000</v>
      </c>
      <c r="AM113" s="5"/>
      <c r="AN113" s="5"/>
      <c r="AO113" s="5"/>
      <c r="AP113" s="5"/>
    </row>
    <row r="114" spans="1:42">
      <c r="A114" s="327" t="s">
        <v>153</v>
      </c>
      <c r="B114" s="305">
        <v>8010</v>
      </c>
      <c r="C114" s="308">
        <v>0</v>
      </c>
      <c r="D114" s="63" t="s">
        <v>160</v>
      </c>
      <c r="E114" s="136">
        <f>E49</f>
        <v>2</v>
      </c>
      <c r="F114" s="12">
        <v>200</v>
      </c>
      <c r="G114" s="12">
        <v>1</v>
      </c>
      <c r="H114" s="134" t="s">
        <v>161</v>
      </c>
      <c r="I114" s="11">
        <f>G114*F114*E114</f>
        <v>400</v>
      </c>
      <c r="J114" s="12">
        <v>0</v>
      </c>
      <c r="K114" s="205">
        <f t="shared" si="340"/>
        <v>400</v>
      </c>
      <c r="L114" s="136">
        <f>L49</f>
        <v>13</v>
      </c>
      <c r="M114" s="132">
        <f>F114</f>
        <v>200</v>
      </c>
      <c r="N114" s="135">
        <v>1</v>
      </c>
      <c r="O114" s="11">
        <f>N114*M114*L114</f>
        <v>2600</v>
      </c>
      <c r="P114" s="12">
        <v>0</v>
      </c>
      <c r="Q114" s="205">
        <f t="shared" si="342"/>
        <v>2600</v>
      </c>
      <c r="R114" s="11">
        <f>R49</f>
        <v>13</v>
      </c>
      <c r="S114" s="132">
        <f>F114</f>
        <v>200</v>
      </c>
      <c r="T114" s="135">
        <v>1</v>
      </c>
      <c r="U114" s="11">
        <f>T114*S114*R114</f>
        <v>2600</v>
      </c>
      <c r="V114" s="12">
        <v>0</v>
      </c>
      <c r="W114" s="205">
        <f t="shared" si="344"/>
        <v>2600</v>
      </c>
      <c r="X114" s="11">
        <f>X49</f>
        <v>13</v>
      </c>
      <c r="Y114" s="132">
        <f>F114</f>
        <v>200</v>
      </c>
      <c r="Z114" s="135">
        <v>1</v>
      </c>
      <c r="AA114" s="11">
        <f>Z114*Y114*X114</f>
        <v>2600</v>
      </c>
      <c r="AB114" s="12">
        <v>0</v>
      </c>
      <c r="AC114" s="205">
        <f t="shared" si="346"/>
        <v>2600</v>
      </c>
      <c r="AD114" s="11">
        <f>AD49</f>
        <v>4</v>
      </c>
      <c r="AE114" s="132">
        <f>F114</f>
        <v>200</v>
      </c>
      <c r="AF114" s="135">
        <v>1</v>
      </c>
      <c r="AG114" s="11">
        <f>AF114*AE114*AD114</f>
        <v>800</v>
      </c>
      <c r="AH114" s="12">
        <v>0</v>
      </c>
      <c r="AI114" s="205">
        <f t="shared" si="348"/>
        <v>800</v>
      </c>
      <c r="AJ114" s="206">
        <f t="shared" si="349"/>
        <v>9000</v>
      </c>
      <c r="AK114" s="206">
        <f t="shared" si="350"/>
        <v>0</v>
      </c>
      <c r="AL114" s="206">
        <f t="shared" si="351"/>
        <v>9000</v>
      </c>
      <c r="AM114" s="5"/>
      <c r="AN114" s="5"/>
      <c r="AO114" s="5"/>
      <c r="AP114" s="5"/>
    </row>
    <row r="115" spans="1:42" s="1" customFormat="1">
      <c r="A115" s="325"/>
      <c r="B115" s="326"/>
      <c r="C115" s="329"/>
      <c r="D115" s="183" t="s">
        <v>162</v>
      </c>
      <c r="E115" s="184"/>
      <c r="F115" s="26"/>
      <c r="G115" s="185"/>
      <c r="H115" s="26"/>
      <c r="I115" s="27">
        <f>SUM(I109:I114)</f>
        <v>16344.86</v>
      </c>
      <c r="J115" s="28">
        <f>SUM(J109:J114)</f>
        <v>0</v>
      </c>
      <c r="K115" s="31">
        <f>SUM(K109:K114)</f>
        <v>16344.86</v>
      </c>
      <c r="L115" s="184"/>
      <c r="M115" s="186"/>
      <c r="N115" s="26"/>
      <c r="O115" s="27">
        <f>SUM(O109:O114)</f>
        <v>5600</v>
      </c>
      <c r="P115" s="28">
        <f>SUM(P109:P114)</f>
        <v>0</v>
      </c>
      <c r="Q115" s="31">
        <f>SUM(Q109:Q114)</f>
        <v>5600</v>
      </c>
      <c r="R115" s="184"/>
      <c r="S115" s="26"/>
      <c r="T115" s="26"/>
      <c r="U115" s="27">
        <f>SUM(U109:U114)</f>
        <v>5600</v>
      </c>
      <c r="V115" s="28">
        <f>SUM(V109:V114)</f>
        <v>0</v>
      </c>
      <c r="W115" s="31">
        <f>SUM(W109:W114)</f>
        <v>5600</v>
      </c>
      <c r="X115" s="184"/>
      <c r="Y115" s="26"/>
      <c r="Z115" s="26"/>
      <c r="AA115" s="27">
        <f>SUM(AA109:AA114)</f>
        <v>5600</v>
      </c>
      <c r="AB115" s="28">
        <f>SUM(AB109:AB114)</f>
        <v>0</v>
      </c>
      <c r="AC115" s="31">
        <f>SUM(AC109:AC114)</f>
        <v>5600</v>
      </c>
      <c r="AD115" s="184"/>
      <c r="AE115" s="26"/>
      <c r="AF115" s="26"/>
      <c r="AG115" s="27">
        <f>SUM(AG109:AG114)</f>
        <v>3800</v>
      </c>
      <c r="AH115" s="28">
        <f>SUM(AH109:AH114)</f>
        <v>0</v>
      </c>
      <c r="AI115" s="31">
        <f>SUM(AI109:AI114)</f>
        <v>3800</v>
      </c>
      <c r="AJ115" s="29">
        <f>I115+O115+U115+AA115+AG115</f>
        <v>36944.86</v>
      </c>
      <c r="AK115" s="29">
        <f>J115+P115+V115+AB115+AH115</f>
        <v>0</v>
      </c>
      <c r="AL115" s="29">
        <f>SUM(AJ115:AK115)</f>
        <v>36944.86</v>
      </c>
    </row>
    <row r="116" spans="1:42">
      <c r="A116" s="327"/>
      <c r="D116" s="63"/>
      <c r="E116" s="136"/>
      <c r="F116" s="12"/>
      <c r="G116" s="208"/>
      <c r="H116" s="134"/>
      <c r="I116" s="11"/>
      <c r="J116" s="12"/>
      <c r="K116" s="205"/>
      <c r="L116" s="136"/>
      <c r="M116" s="132"/>
      <c r="N116" s="135"/>
      <c r="O116" s="11"/>
      <c r="P116" s="12"/>
      <c r="Q116" s="205"/>
      <c r="R116" s="11"/>
      <c r="S116" s="132"/>
      <c r="T116" s="135"/>
      <c r="U116" s="11"/>
      <c r="V116" s="12"/>
      <c r="W116" s="205"/>
      <c r="X116" s="11"/>
      <c r="Y116" s="132"/>
      <c r="Z116" s="135"/>
      <c r="AA116" s="11"/>
      <c r="AB116" s="12"/>
      <c r="AC116" s="205"/>
      <c r="AD116" s="11"/>
      <c r="AE116" s="132"/>
      <c r="AF116" s="135"/>
      <c r="AG116" s="11"/>
      <c r="AH116" s="12"/>
      <c r="AI116" s="205"/>
      <c r="AJ116" s="206"/>
      <c r="AK116" s="206"/>
      <c r="AL116" s="206"/>
      <c r="AM116" s="5"/>
      <c r="AN116" s="5"/>
      <c r="AO116" s="5"/>
      <c r="AP116" s="5"/>
    </row>
    <row r="117" spans="1:42">
      <c r="A117" s="321"/>
      <c r="B117" s="309"/>
      <c r="C117" s="328"/>
      <c r="D117" s="59" t="s">
        <v>163</v>
      </c>
      <c r="E117" s="170"/>
      <c r="F117" s="208"/>
      <c r="G117" s="208"/>
      <c r="H117" s="208"/>
      <c r="I117" s="11"/>
      <c r="J117" s="12"/>
      <c r="K117" s="205"/>
      <c r="L117" s="170"/>
      <c r="M117" s="132"/>
      <c r="N117" s="135"/>
      <c r="O117" s="11"/>
      <c r="P117" s="12"/>
      <c r="Q117" s="205"/>
      <c r="R117" s="11"/>
      <c r="S117" s="132"/>
      <c r="T117" s="208"/>
      <c r="U117" s="11"/>
      <c r="V117" s="12"/>
      <c r="W117" s="205"/>
      <c r="X117" s="11"/>
      <c r="Y117" s="132"/>
      <c r="Z117" s="208"/>
      <c r="AA117" s="11"/>
      <c r="AB117" s="12"/>
      <c r="AC117" s="205"/>
      <c r="AD117" s="11"/>
      <c r="AE117" s="132"/>
      <c r="AF117" s="208"/>
      <c r="AG117" s="11"/>
      <c r="AH117" s="12"/>
      <c r="AI117" s="205"/>
      <c r="AJ117" s="206"/>
      <c r="AK117" s="206"/>
      <c r="AL117" s="206"/>
      <c r="AM117" s="5"/>
      <c r="AN117" s="5"/>
      <c r="AO117" s="5"/>
      <c r="AP117" s="5"/>
    </row>
    <row r="118" spans="1:42">
      <c r="A118" s="327" t="s">
        <v>153</v>
      </c>
      <c r="B118" s="305">
        <v>7455</v>
      </c>
      <c r="C118" s="308" t="s">
        <v>51</v>
      </c>
      <c r="D118" s="63" t="s">
        <v>164</v>
      </c>
      <c r="E118" s="136">
        <v>14</v>
      </c>
      <c r="F118" s="12">
        <f>Supplies!B30</f>
        <v>1114.97</v>
      </c>
      <c r="G118" s="208"/>
      <c r="H118" s="134" t="s">
        <v>155</v>
      </c>
      <c r="I118" s="11">
        <f>F118*E118</f>
        <v>15609.58</v>
      </c>
      <c r="J118" s="12">
        <v>0</v>
      </c>
      <c r="K118" s="205">
        <f t="shared" si="301"/>
        <v>15609.58</v>
      </c>
      <c r="L118" s="136">
        <v>0</v>
      </c>
      <c r="M118" s="132">
        <f t="shared" si="313"/>
        <v>1114.97</v>
      </c>
      <c r="N118" s="135"/>
      <c r="O118" s="11">
        <f t="shared" si="314"/>
        <v>0</v>
      </c>
      <c r="P118" s="12">
        <v>0</v>
      </c>
      <c r="Q118" s="205">
        <f t="shared" si="302"/>
        <v>0</v>
      </c>
      <c r="R118" s="11">
        <f t="shared" si="303"/>
        <v>0</v>
      </c>
      <c r="S118" s="132">
        <f t="shared" si="315"/>
        <v>1114.97</v>
      </c>
      <c r="T118" s="208"/>
      <c r="U118" s="11">
        <f t="shared" si="316"/>
        <v>0</v>
      </c>
      <c r="V118" s="12">
        <v>0</v>
      </c>
      <c r="W118" s="205">
        <f t="shared" si="304"/>
        <v>0</v>
      </c>
      <c r="X118" s="11">
        <f t="shared" si="305"/>
        <v>0</v>
      </c>
      <c r="Y118" s="132">
        <f t="shared" si="317"/>
        <v>1114.97</v>
      </c>
      <c r="Z118" s="208"/>
      <c r="AA118" s="11">
        <f t="shared" si="318"/>
        <v>0</v>
      </c>
      <c r="AB118" s="12">
        <v>0</v>
      </c>
      <c r="AC118" s="205">
        <f t="shared" si="306"/>
        <v>0</v>
      </c>
      <c r="AD118" s="11">
        <f t="shared" si="307"/>
        <v>0</v>
      </c>
      <c r="AE118" s="132">
        <f t="shared" si="319"/>
        <v>1114.97</v>
      </c>
      <c r="AF118" s="208"/>
      <c r="AG118" s="11">
        <f t="shared" si="320"/>
        <v>0</v>
      </c>
      <c r="AH118" s="12">
        <v>0</v>
      </c>
      <c r="AI118" s="205">
        <f t="shared" si="308"/>
        <v>0</v>
      </c>
      <c r="AJ118" s="206">
        <f>I118+O118+U118+AA118+AG118</f>
        <v>15609.58</v>
      </c>
      <c r="AK118" s="206">
        <f t="shared" si="310"/>
        <v>0</v>
      </c>
      <c r="AL118" s="206">
        <f t="shared" si="311"/>
        <v>15609.58</v>
      </c>
      <c r="AM118" s="5"/>
      <c r="AN118" s="5"/>
      <c r="AO118" s="5"/>
      <c r="AP118" s="5"/>
    </row>
    <row r="119" spans="1:42">
      <c r="A119" s="327" t="s">
        <v>153</v>
      </c>
      <c r="B119" s="305">
        <v>7455</v>
      </c>
      <c r="C119" s="308" t="s">
        <v>51</v>
      </c>
      <c r="D119" s="63" t="s">
        <v>165</v>
      </c>
      <c r="E119" s="136">
        <v>2</v>
      </c>
      <c r="F119" s="12">
        <f>Supplies!B50</f>
        <v>860</v>
      </c>
      <c r="G119" s="208"/>
      <c r="H119" s="134" t="s">
        <v>155</v>
      </c>
      <c r="I119" s="11">
        <f t="shared" si="312"/>
        <v>1720</v>
      </c>
      <c r="J119" s="12">
        <v>0</v>
      </c>
      <c r="K119" s="205">
        <f t="shared" si="301"/>
        <v>1720</v>
      </c>
      <c r="L119" s="136">
        <v>0</v>
      </c>
      <c r="M119" s="132">
        <f t="shared" si="313"/>
        <v>860</v>
      </c>
      <c r="N119" s="135"/>
      <c r="O119" s="11">
        <f t="shared" si="314"/>
        <v>0</v>
      </c>
      <c r="P119" s="12">
        <v>0</v>
      </c>
      <c r="Q119" s="205">
        <f t="shared" si="302"/>
        <v>0</v>
      </c>
      <c r="R119" s="11">
        <f t="shared" si="303"/>
        <v>0</v>
      </c>
      <c r="S119" s="132">
        <f t="shared" si="315"/>
        <v>860</v>
      </c>
      <c r="T119" s="208"/>
      <c r="U119" s="11">
        <f t="shared" si="316"/>
        <v>0</v>
      </c>
      <c r="V119" s="12">
        <v>0</v>
      </c>
      <c r="W119" s="205">
        <f t="shared" si="304"/>
        <v>0</v>
      </c>
      <c r="X119" s="11">
        <f t="shared" si="305"/>
        <v>0</v>
      </c>
      <c r="Y119" s="132">
        <f t="shared" si="317"/>
        <v>860</v>
      </c>
      <c r="Z119" s="208"/>
      <c r="AA119" s="11">
        <f t="shared" si="318"/>
        <v>0</v>
      </c>
      <c r="AB119" s="12">
        <v>0</v>
      </c>
      <c r="AC119" s="205">
        <f t="shared" si="306"/>
        <v>0</v>
      </c>
      <c r="AD119" s="11">
        <f t="shared" si="307"/>
        <v>0</v>
      </c>
      <c r="AE119" s="132">
        <f t="shared" si="319"/>
        <v>860</v>
      </c>
      <c r="AF119" s="208"/>
      <c r="AG119" s="11">
        <f t="shared" si="320"/>
        <v>0</v>
      </c>
      <c r="AH119" s="12">
        <v>0</v>
      </c>
      <c r="AI119" s="205">
        <f t="shared" si="308"/>
        <v>0</v>
      </c>
      <c r="AJ119" s="206">
        <f t="shared" si="309"/>
        <v>1720</v>
      </c>
      <c r="AK119" s="206">
        <f t="shared" si="310"/>
        <v>0</v>
      </c>
      <c r="AL119" s="206">
        <f t="shared" si="311"/>
        <v>1720</v>
      </c>
      <c r="AM119" s="5"/>
      <c r="AN119" s="5"/>
      <c r="AO119" s="5"/>
      <c r="AP119" s="5"/>
    </row>
    <row r="120" spans="1:42">
      <c r="A120" s="327" t="s">
        <v>153</v>
      </c>
      <c r="B120" s="305">
        <v>7455</v>
      </c>
      <c r="C120" s="308" t="s">
        <v>51</v>
      </c>
      <c r="D120" s="63" t="s">
        <v>166</v>
      </c>
      <c r="E120" s="136">
        <v>3</v>
      </c>
      <c r="F120" s="12">
        <f>Supplies!B38</f>
        <v>488.95</v>
      </c>
      <c r="G120" s="208"/>
      <c r="H120" s="134" t="s">
        <v>155</v>
      </c>
      <c r="I120" s="11">
        <f t="shared" si="312"/>
        <v>1466.85</v>
      </c>
      <c r="J120" s="12">
        <v>0</v>
      </c>
      <c r="K120" s="205">
        <f t="shared" si="301"/>
        <v>1466.85</v>
      </c>
      <c r="L120" s="136">
        <v>0</v>
      </c>
      <c r="M120" s="132">
        <f t="shared" si="313"/>
        <v>488.95</v>
      </c>
      <c r="N120" s="135"/>
      <c r="O120" s="11">
        <f t="shared" si="314"/>
        <v>0</v>
      </c>
      <c r="P120" s="12">
        <v>0</v>
      </c>
      <c r="Q120" s="205">
        <f t="shared" si="302"/>
        <v>0</v>
      </c>
      <c r="R120" s="11">
        <f t="shared" si="303"/>
        <v>0</v>
      </c>
      <c r="S120" s="132">
        <f t="shared" si="315"/>
        <v>488.95</v>
      </c>
      <c r="T120" s="208"/>
      <c r="U120" s="11">
        <f t="shared" si="316"/>
        <v>0</v>
      </c>
      <c r="V120" s="12">
        <v>0</v>
      </c>
      <c r="W120" s="205">
        <f t="shared" si="304"/>
        <v>0</v>
      </c>
      <c r="X120" s="11">
        <f t="shared" si="305"/>
        <v>0</v>
      </c>
      <c r="Y120" s="132">
        <f t="shared" si="317"/>
        <v>488.95</v>
      </c>
      <c r="Z120" s="208"/>
      <c r="AA120" s="11">
        <f t="shared" si="318"/>
        <v>0</v>
      </c>
      <c r="AB120" s="12">
        <v>0</v>
      </c>
      <c r="AC120" s="205">
        <f t="shared" si="306"/>
        <v>0</v>
      </c>
      <c r="AD120" s="11">
        <f t="shared" si="307"/>
        <v>0</v>
      </c>
      <c r="AE120" s="132">
        <f t="shared" si="319"/>
        <v>488.95</v>
      </c>
      <c r="AF120" s="208"/>
      <c r="AG120" s="11">
        <f t="shared" si="320"/>
        <v>0</v>
      </c>
      <c r="AH120" s="12">
        <v>0</v>
      </c>
      <c r="AI120" s="205">
        <f t="shared" si="308"/>
        <v>0</v>
      </c>
      <c r="AJ120" s="206">
        <f t="shared" si="309"/>
        <v>1466.85</v>
      </c>
      <c r="AK120" s="206">
        <f t="shared" si="310"/>
        <v>0</v>
      </c>
      <c r="AL120" s="206">
        <f t="shared" si="311"/>
        <v>1466.85</v>
      </c>
      <c r="AM120" s="5"/>
      <c r="AN120" s="5"/>
      <c r="AO120" s="5"/>
      <c r="AP120" s="5"/>
    </row>
    <row r="121" spans="1:42">
      <c r="A121" s="327" t="s">
        <v>153</v>
      </c>
      <c r="B121" s="305">
        <v>7455</v>
      </c>
      <c r="C121" s="308" t="s">
        <v>51</v>
      </c>
      <c r="D121" s="63" t="s">
        <v>167</v>
      </c>
      <c r="E121" s="136">
        <v>2</v>
      </c>
      <c r="F121" s="12">
        <f>Supplies!B58</f>
        <v>337.95</v>
      </c>
      <c r="G121" s="208"/>
      <c r="H121" s="134" t="s">
        <v>155</v>
      </c>
      <c r="I121" s="11">
        <f t="shared" si="312"/>
        <v>675.9</v>
      </c>
      <c r="J121" s="12">
        <v>0</v>
      </c>
      <c r="K121" s="205">
        <f t="shared" si="301"/>
        <v>675.9</v>
      </c>
      <c r="L121" s="136">
        <v>0</v>
      </c>
      <c r="M121" s="132">
        <f t="shared" si="313"/>
        <v>337.95</v>
      </c>
      <c r="N121" s="135"/>
      <c r="O121" s="11">
        <f t="shared" si="314"/>
        <v>0</v>
      </c>
      <c r="P121" s="12">
        <v>0</v>
      </c>
      <c r="Q121" s="205">
        <f t="shared" si="302"/>
        <v>0</v>
      </c>
      <c r="R121" s="11">
        <f t="shared" si="303"/>
        <v>0</v>
      </c>
      <c r="S121" s="132">
        <f t="shared" si="315"/>
        <v>337.95</v>
      </c>
      <c r="T121" s="208"/>
      <c r="U121" s="11">
        <f t="shared" si="316"/>
        <v>0</v>
      </c>
      <c r="V121" s="12">
        <v>0</v>
      </c>
      <c r="W121" s="205">
        <f t="shared" si="304"/>
        <v>0</v>
      </c>
      <c r="X121" s="11">
        <f t="shared" si="305"/>
        <v>0</v>
      </c>
      <c r="Y121" s="132">
        <f t="shared" si="317"/>
        <v>337.95</v>
      </c>
      <c r="Z121" s="208"/>
      <c r="AA121" s="11">
        <f t="shared" si="318"/>
        <v>0</v>
      </c>
      <c r="AB121" s="12">
        <v>0</v>
      </c>
      <c r="AC121" s="205">
        <f t="shared" si="306"/>
        <v>0</v>
      </c>
      <c r="AD121" s="11">
        <f t="shared" si="307"/>
        <v>0</v>
      </c>
      <c r="AE121" s="132">
        <f t="shared" si="319"/>
        <v>337.95</v>
      </c>
      <c r="AF121" s="208"/>
      <c r="AG121" s="11">
        <f t="shared" si="320"/>
        <v>0</v>
      </c>
      <c r="AH121" s="12">
        <v>0</v>
      </c>
      <c r="AI121" s="205">
        <f t="shared" si="308"/>
        <v>0</v>
      </c>
      <c r="AJ121" s="206">
        <f t="shared" si="309"/>
        <v>675.9</v>
      </c>
      <c r="AK121" s="206">
        <f t="shared" si="310"/>
        <v>0</v>
      </c>
      <c r="AL121" s="206">
        <f t="shared" si="311"/>
        <v>675.9</v>
      </c>
      <c r="AM121" s="5"/>
      <c r="AN121" s="5"/>
      <c r="AO121" s="5"/>
      <c r="AP121" s="5"/>
    </row>
    <row r="122" spans="1:42">
      <c r="A122" s="327" t="s">
        <v>153</v>
      </c>
      <c r="B122" s="305">
        <v>7455</v>
      </c>
      <c r="C122" s="308" t="s">
        <v>51</v>
      </c>
      <c r="D122" s="63" t="s">
        <v>168</v>
      </c>
      <c r="E122" s="136">
        <v>2</v>
      </c>
      <c r="F122" s="12">
        <f>Supplies!B17</f>
        <v>738</v>
      </c>
      <c r="G122" s="208"/>
      <c r="H122" s="134" t="s">
        <v>155</v>
      </c>
      <c r="I122" s="11">
        <f t="shared" si="312"/>
        <v>1476</v>
      </c>
      <c r="J122" s="12">
        <v>0</v>
      </c>
      <c r="K122" s="205">
        <f t="shared" si="301"/>
        <v>1476</v>
      </c>
      <c r="L122" s="136">
        <v>0</v>
      </c>
      <c r="M122" s="132">
        <f t="shared" si="313"/>
        <v>738</v>
      </c>
      <c r="N122" s="135"/>
      <c r="O122" s="11">
        <f t="shared" si="314"/>
        <v>0</v>
      </c>
      <c r="P122" s="12">
        <v>0</v>
      </c>
      <c r="Q122" s="205">
        <f>SUM(O122:P122)</f>
        <v>0</v>
      </c>
      <c r="R122" s="11">
        <f t="shared" si="303"/>
        <v>0</v>
      </c>
      <c r="S122" s="132">
        <f t="shared" si="315"/>
        <v>738</v>
      </c>
      <c r="T122" s="208"/>
      <c r="U122" s="11">
        <f t="shared" si="316"/>
        <v>0</v>
      </c>
      <c r="V122" s="12">
        <v>0</v>
      </c>
      <c r="W122" s="205">
        <f t="shared" si="304"/>
        <v>0</v>
      </c>
      <c r="X122" s="11">
        <f t="shared" si="305"/>
        <v>0</v>
      </c>
      <c r="Y122" s="132">
        <f t="shared" si="317"/>
        <v>738</v>
      </c>
      <c r="Z122" s="208"/>
      <c r="AA122" s="11">
        <f t="shared" si="318"/>
        <v>0</v>
      </c>
      <c r="AB122" s="12">
        <v>0</v>
      </c>
      <c r="AC122" s="205">
        <f t="shared" si="306"/>
        <v>0</v>
      </c>
      <c r="AD122" s="11">
        <f t="shared" si="307"/>
        <v>0</v>
      </c>
      <c r="AE122" s="132">
        <f t="shared" si="319"/>
        <v>738</v>
      </c>
      <c r="AF122" s="208"/>
      <c r="AG122" s="11">
        <f t="shared" si="320"/>
        <v>0</v>
      </c>
      <c r="AH122" s="12">
        <v>0</v>
      </c>
      <c r="AI122" s="205">
        <f t="shared" si="308"/>
        <v>0</v>
      </c>
      <c r="AJ122" s="206">
        <f t="shared" si="309"/>
        <v>1476</v>
      </c>
      <c r="AK122" s="206">
        <f t="shared" si="310"/>
        <v>0</v>
      </c>
      <c r="AL122" s="206">
        <f t="shared" si="311"/>
        <v>1476</v>
      </c>
      <c r="AM122" s="5"/>
      <c r="AN122" s="5"/>
      <c r="AO122" s="5"/>
      <c r="AP122" s="5"/>
    </row>
    <row r="123" spans="1:42">
      <c r="A123" s="327" t="s">
        <v>153</v>
      </c>
      <c r="B123" s="305">
        <v>7455</v>
      </c>
      <c r="C123" s="308" t="s">
        <v>51</v>
      </c>
      <c r="D123" s="63" t="s">
        <v>158</v>
      </c>
      <c r="E123" s="136">
        <v>1</v>
      </c>
      <c r="F123" s="12">
        <v>6000</v>
      </c>
      <c r="G123" s="208"/>
      <c r="H123" s="134" t="s">
        <v>155</v>
      </c>
      <c r="I123" s="11">
        <f t="shared" ref="I123:I125" si="352">F123*E123</f>
        <v>6000</v>
      </c>
      <c r="J123" s="12">
        <v>0</v>
      </c>
      <c r="K123" s="205">
        <f t="shared" ref="K123:K125" si="353">SUM(I123:J123)</f>
        <v>6000</v>
      </c>
      <c r="L123" s="136">
        <v>0</v>
      </c>
      <c r="M123" s="132">
        <f t="shared" ref="M123:M124" si="354">F123</f>
        <v>6000</v>
      </c>
      <c r="N123" s="135"/>
      <c r="O123" s="11">
        <f t="shared" ref="O123:O124" si="355">L123*M123</f>
        <v>0</v>
      </c>
      <c r="P123" s="12">
        <v>0</v>
      </c>
      <c r="Q123" s="205">
        <f>SUM(O123:P123)</f>
        <v>0</v>
      </c>
      <c r="R123" s="11">
        <f t="shared" ref="R123" si="356">O123*P123*Q123</f>
        <v>0</v>
      </c>
      <c r="S123" s="132">
        <f t="shared" ref="S123:S125" si="357">F123</f>
        <v>6000</v>
      </c>
      <c r="T123" s="208"/>
      <c r="U123" s="11">
        <f t="shared" ref="U123:U125" si="358">S123*R123</f>
        <v>0</v>
      </c>
      <c r="V123" s="12">
        <v>0</v>
      </c>
      <c r="W123" s="205">
        <f t="shared" ref="W123:W125" si="359">SUM(U123:V123)</f>
        <v>0</v>
      </c>
      <c r="X123" s="11">
        <f t="shared" ref="X123" si="360">U123*V123*W123</f>
        <v>0</v>
      </c>
      <c r="Y123" s="132">
        <f t="shared" ref="Y123:Y125" si="361">F123</f>
        <v>6000</v>
      </c>
      <c r="Z123" s="208"/>
      <c r="AA123" s="11">
        <f t="shared" ref="AA123:AA125" si="362">Y123*X123</f>
        <v>0</v>
      </c>
      <c r="AB123" s="12">
        <v>0</v>
      </c>
      <c r="AC123" s="205">
        <f t="shared" ref="AC123:AC125" si="363">SUM(AA123:AB123)</f>
        <v>0</v>
      </c>
      <c r="AD123" s="11">
        <f t="shared" ref="AD123" si="364">AA123*AB123*AC123</f>
        <v>0</v>
      </c>
      <c r="AE123" s="132">
        <f t="shared" ref="AE123:AE125" si="365">F123</f>
        <v>6000</v>
      </c>
      <c r="AF123" s="208"/>
      <c r="AG123" s="11">
        <f t="shared" ref="AG123:AG125" si="366">AE123*AD123</f>
        <v>0</v>
      </c>
      <c r="AH123" s="12">
        <v>0</v>
      </c>
      <c r="AI123" s="205">
        <f t="shared" ref="AI123:AI125" si="367">SUM(AG123:AH123)</f>
        <v>0</v>
      </c>
      <c r="AJ123" s="206">
        <f t="shared" ref="AJ123:AJ125" si="368">I123+O123+U123+AA123+AG123</f>
        <v>6000</v>
      </c>
      <c r="AK123" s="206">
        <f t="shared" ref="AK123:AK125" si="369">J123+P123+V123+AB123+AH123</f>
        <v>0</v>
      </c>
      <c r="AL123" s="206">
        <f t="shared" ref="AL123:AL125" si="370">SUM(AJ123:AK123)</f>
        <v>6000</v>
      </c>
      <c r="AM123" s="5"/>
      <c r="AN123" s="5"/>
      <c r="AO123" s="5"/>
      <c r="AP123" s="5"/>
    </row>
    <row r="124" spans="1:42">
      <c r="A124" s="327" t="s">
        <v>153</v>
      </c>
      <c r="B124" s="305">
        <v>7455</v>
      </c>
      <c r="C124" s="308" t="s">
        <v>51</v>
      </c>
      <c r="D124" s="63" t="s">
        <v>169</v>
      </c>
      <c r="E124" s="136">
        <v>1</v>
      </c>
      <c r="F124" s="12">
        <v>1000</v>
      </c>
      <c r="G124" s="208"/>
      <c r="H124" s="134" t="s">
        <v>155</v>
      </c>
      <c r="I124" s="11">
        <f t="shared" si="352"/>
        <v>1000</v>
      </c>
      <c r="J124" s="12">
        <v>0</v>
      </c>
      <c r="K124" s="205">
        <f t="shared" si="353"/>
        <v>1000</v>
      </c>
      <c r="L124" s="136">
        <v>0</v>
      </c>
      <c r="M124" s="132">
        <f t="shared" si="354"/>
        <v>1000</v>
      </c>
      <c r="N124" s="135"/>
      <c r="O124" s="11">
        <f t="shared" si="355"/>
        <v>0</v>
      </c>
      <c r="P124" s="12">
        <v>0</v>
      </c>
      <c r="Q124" s="205">
        <f t="shared" ref="Q124:Q125" si="371">SUM(O124:P124)</f>
        <v>0</v>
      </c>
      <c r="R124" s="11">
        <v>0</v>
      </c>
      <c r="S124" s="132">
        <f t="shared" si="357"/>
        <v>1000</v>
      </c>
      <c r="T124" s="135"/>
      <c r="U124" s="11">
        <f t="shared" si="358"/>
        <v>0</v>
      </c>
      <c r="V124" s="12">
        <v>0</v>
      </c>
      <c r="W124" s="205">
        <f t="shared" si="359"/>
        <v>0</v>
      </c>
      <c r="X124" s="11">
        <v>0</v>
      </c>
      <c r="Y124" s="132">
        <f t="shared" si="361"/>
        <v>1000</v>
      </c>
      <c r="Z124" s="135"/>
      <c r="AA124" s="11">
        <f t="shared" si="362"/>
        <v>0</v>
      </c>
      <c r="AB124" s="12">
        <v>0</v>
      </c>
      <c r="AC124" s="205">
        <f t="shared" si="363"/>
        <v>0</v>
      </c>
      <c r="AD124" s="11">
        <v>0</v>
      </c>
      <c r="AE124" s="132">
        <f t="shared" si="365"/>
        <v>1000</v>
      </c>
      <c r="AF124" s="135"/>
      <c r="AG124" s="11">
        <f t="shared" si="366"/>
        <v>0</v>
      </c>
      <c r="AH124" s="12">
        <v>0</v>
      </c>
      <c r="AI124" s="205">
        <f t="shared" si="367"/>
        <v>0</v>
      </c>
      <c r="AJ124" s="206">
        <f t="shared" si="368"/>
        <v>1000</v>
      </c>
      <c r="AK124" s="206">
        <f t="shared" si="369"/>
        <v>0</v>
      </c>
      <c r="AL124" s="206">
        <f t="shared" si="370"/>
        <v>1000</v>
      </c>
      <c r="AM124" s="5"/>
      <c r="AN124" s="5"/>
      <c r="AO124" s="5"/>
      <c r="AP124" s="5"/>
    </row>
    <row r="125" spans="1:42">
      <c r="A125" s="327" t="s">
        <v>153</v>
      </c>
      <c r="B125" s="305">
        <v>7455</v>
      </c>
      <c r="C125" s="308" t="s">
        <v>51</v>
      </c>
      <c r="D125" s="63" t="s">
        <v>170</v>
      </c>
      <c r="E125" s="136">
        <v>1</v>
      </c>
      <c r="F125" s="12">
        <v>553</v>
      </c>
      <c r="G125" s="208"/>
      <c r="H125" s="134" t="s">
        <v>155</v>
      </c>
      <c r="I125" s="11">
        <f t="shared" si="352"/>
        <v>553</v>
      </c>
      <c r="J125" s="12">
        <v>0</v>
      </c>
      <c r="K125" s="205">
        <f t="shared" si="353"/>
        <v>553</v>
      </c>
      <c r="L125" s="136">
        <v>0</v>
      </c>
      <c r="M125" s="132">
        <f>F125</f>
        <v>553</v>
      </c>
      <c r="N125" s="135"/>
      <c r="O125" s="11">
        <f>M125*L125</f>
        <v>0</v>
      </c>
      <c r="P125" s="12">
        <v>0</v>
      </c>
      <c r="Q125" s="205">
        <f t="shared" si="371"/>
        <v>0</v>
      </c>
      <c r="R125" s="11">
        <f t="shared" ref="R125" si="372">O125*P125*Q125</f>
        <v>0</v>
      </c>
      <c r="S125" s="132">
        <f t="shared" si="357"/>
        <v>553</v>
      </c>
      <c r="T125" s="208"/>
      <c r="U125" s="11">
        <f t="shared" si="358"/>
        <v>0</v>
      </c>
      <c r="V125" s="12">
        <v>0</v>
      </c>
      <c r="W125" s="205">
        <f t="shared" si="359"/>
        <v>0</v>
      </c>
      <c r="X125" s="11">
        <f t="shared" ref="X125" si="373">U125*V125*W125</f>
        <v>0</v>
      </c>
      <c r="Y125" s="132">
        <f t="shared" si="361"/>
        <v>553</v>
      </c>
      <c r="Z125" s="208"/>
      <c r="AA125" s="11">
        <f t="shared" si="362"/>
        <v>0</v>
      </c>
      <c r="AB125" s="12">
        <v>0</v>
      </c>
      <c r="AC125" s="205">
        <f t="shared" si="363"/>
        <v>0</v>
      </c>
      <c r="AD125" s="11">
        <f t="shared" ref="AD125" si="374">AA125*AB125*AC125</f>
        <v>0</v>
      </c>
      <c r="AE125" s="132">
        <f t="shared" si="365"/>
        <v>553</v>
      </c>
      <c r="AF125" s="208"/>
      <c r="AG125" s="11">
        <f t="shared" si="366"/>
        <v>0</v>
      </c>
      <c r="AH125" s="12">
        <v>0</v>
      </c>
      <c r="AI125" s="205">
        <f t="shared" si="367"/>
        <v>0</v>
      </c>
      <c r="AJ125" s="206">
        <f t="shared" si="368"/>
        <v>553</v>
      </c>
      <c r="AK125" s="206">
        <f t="shared" si="369"/>
        <v>0</v>
      </c>
      <c r="AL125" s="206">
        <f t="shared" si="370"/>
        <v>553</v>
      </c>
      <c r="AM125" s="5"/>
      <c r="AN125" s="5"/>
      <c r="AO125" s="5"/>
      <c r="AP125" s="5"/>
    </row>
    <row r="126" spans="1:42">
      <c r="A126" s="327" t="s">
        <v>153</v>
      </c>
      <c r="B126" s="305">
        <v>7455</v>
      </c>
      <c r="C126" s="308" t="s">
        <v>51</v>
      </c>
      <c r="D126" s="63" t="s">
        <v>171</v>
      </c>
      <c r="E126" s="136">
        <v>1</v>
      </c>
      <c r="F126" s="12">
        <v>275</v>
      </c>
      <c r="G126" s="6">
        <v>6</v>
      </c>
      <c r="H126" s="134" t="s">
        <v>83</v>
      </c>
      <c r="I126" s="11">
        <f>G126*F126*E126</f>
        <v>1650</v>
      </c>
      <c r="J126" s="12">
        <v>0</v>
      </c>
      <c r="K126" s="205">
        <f t="shared" ref="K126:K127" si="375">SUM(I126:J126)</f>
        <v>1650</v>
      </c>
      <c r="L126" s="136">
        <v>1</v>
      </c>
      <c r="M126" s="132">
        <f t="shared" ref="M126:M127" si="376">F126</f>
        <v>275</v>
      </c>
      <c r="N126" s="135">
        <v>12</v>
      </c>
      <c r="O126" s="11">
        <f>N126*L126*M126</f>
        <v>3300</v>
      </c>
      <c r="P126" s="12">
        <v>0</v>
      </c>
      <c r="Q126" s="205">
        <f t="shared" ref="Q126:Q127" si="377">SUM(O126:P126)</f>
        <v>3300</v>
      </c>
      <c r="R126" s="11">
        <v>1</v>
      </c>
      <c r="S126" s="132">
        <f t="shared" ref="S126:S127" si="378">F126</f>
        <v>275</v>
      </c>
      <c r="T126" s="135">
        <v>12</v>
      </c>
      <c r="U126" s="11">
        <f>S126*T126*R126</f>
        <v>3300</v>
      </c>
      <c r="V126" s="12">
        <v>0</v>
      </c>
      <c r="W126" s="205">
        <f t="shared" ref="W126:W127" si="379">SUM(U126:V126)</f>
        <v>3300</v>
      </c>
      <c r="X126" s="11">
        <v>1</v>
      </c>
      <c r="Y126" s="132">
        <f t="shared" ref="Y126:Y127" si="380">F126</f>
        <v>275</v>
      </c>
      <c r="Z126" s="135">
        <v>12</v>
      </c>
      <c r="AA126" s="11">
        <f>Y126*X126*Z126</f>
        <v>3300</v>
      </c>
      <c r="AB126" s="12">
        <v>0</v>
      </c>
      <c r="AC126" s="205">
        <f t="shared" ref="AC126:AC127" si="381">SUM(AA126:AB126)</f>
        <v>3300</v>
      </c>
      <c r="AD126" s="11">
        <v>1</v>
      </c>
      <c r="AE126" s="132">
        <f t="shared" ref="AE126:AE127" si="382">F126</f>
        <v>275</v>
      </c>
      <c r="AF126" s="135">
        <v>7</v>
      </c>
      <c r="AG126" s="11">
        <f>AE126*AD126*AF126</f>
        <v>1925</v>
      </c>
      <c r="AH126" s="12">
        <v>0</v>
      </c>
      <c r="AI126" s="205">
        <f t="shared" ref="AI126:AI127" si="383">SUM(AG126:AH126)</f>
        <v>1925</v>
      </c>
      <c r="AJ126" s="206">
        <f t="shared" ref="AJ126:AJ127" si="384">I126+O126+U126+AA126+AG126</f>
        <v>13475</v>
      </c>
      <c r="AK126" s="206">
        <f t="shared" ref="AK126:AK127" si="385">J126+P126+V126+AB126+AH126</f>
        <v>0</v>
      </c>
      <c r="AL126" s="206">
        <f t="shared" ref="AL126:AL127" si="386">SUM(AJ126:AK126)</f>
        <v>13475</v>
      </c>
      <c r="AM126" s="5"/>
      <c r="AN126" s="5"/>
      <c r="AO126" s="5"/>
      <c r="AP126" s="5"/>
    </row>
    <row r="127" spans="1:42">
      <c r="A127" s="327" t="s">
        <v>153</v>
      </c>
      <c r="B127" s="305">
        <v>7445</v>
      </c>
      <c r="C127" s="308" t="s">
        <v>51</v>
      </c>
      <c r="D127" s="63" t="s">
        <v>172</v>
      </c>
      <c r="E127" s="136">
        <v>1</v>
      </c>
      <c r="F127" s="12">
        <v>2300</v>
      </c>
      <c r="G127" s="208"/>
      <c r="H127" s="134" t="s">
        <v>155</v>
      </c>
      <c r="I127" s="11">
        <f t="shared" ref="I127" si="387">F127*E127</f>
        <v>2300</v>
      </c>
      <c r="J127" s="12">
        <v>0</v>
      </c>
      <c r="K127" s="205">
        <f t="shared" si="375"/>
        <v>2300</v>
      </c>
      <c r="L127" s="136">
        <v>1</v>
      </c>
      <c r="M127" s="132">
        <f t="shared" si="376"/>
        <v>2300</v>
      </c>
      <c r="N127" s="135"/>
      <c r="O127" s="11">
        <f t="shared" ref="O127" si="388">L127*M127</f>
        <v>2300</v>
      </c>
      <c r="P127" s="12">
        <v>0</v>
      </c>
      <c r="Q127" s="205">
        <f t="shared" si="377"/>
        <v>2300</v>
      </c>
      <c r="R127" s="11">
        <v>1</v>
      </c>
      <c r="S127" s="132">
        <f t="shared" si="378"/>
        <v>2300</v>
      </c>
      <c r="T127" s="135"/>
      <c r="U127" s="11">
        <f t="shared" ref="U127" si="389">S127*R127</f>
        <v>2300</v>
      </c>
      <c r="V127" s="12">
        <v>0</v>
      </c>
      <c r="W127" s="205">
        <f t="shared" si="379"/>
        <v>2300</v>
      </c>
      <c r="X127" s="11">
        <v>1</v>
      </c>
      <c r="Y127" s="132">
        <f t="shared" si="380"/>
        <v>2300</v>
      </c>
      <c r="Z127" s="135"/>
      <c r="AA127" s="11">
        <f t="shared" ref="AA127" si="390">Y127*X127</f>
        <v>2300</v>
      </c>
      <c r="AB127" s="12">
        <v>0</v>
      </c>
      <c r="AC127" s="205">
        <f t="shared" si="381"/>
        <v>2300</v>
      </c>
      <c r="AD127" s="11">
        <v>1</v>
      </c>
      <c r="AE127" s="132">
        <f t="shared" si="382"/>
        <v>2300</v>
      </c>
      <c r="AF127" s="135"/>
      <c r="AG127" s="11">
        <f t="shared" ref="AG127" si="391">AE127*AD127</f>
        <v>2300</v>
      </c>
      <c r="AH127" s="12">
        <v>0</v>
      </c>
      <c r="AI127" s="205">
        <f t="shared" si="383"/>
        <v>2300</v>
      </c>
      <c r="AJ127" s="206">
        <f t="shared" si="384"/>
        <v>11500</v>
      </c>
      <c r="AK127" s="206">
        <f t="shared" si="385"/>
        <v>0</v>
      </c>
      <c r="AL127" s="206">
        <f t="shared" si="386"/>
        <v>11500</v>
      </c>
      <c r="AM127" s="5"/>
      <c r="AN127" s="5"/>
      <c r="AO127" s="5"/>
      <c r="AP127" s="5"/>
    </row>
    <row r="128" spans="1:42">
      <c r="A128" s="327" t="s">
        <v>173</v>
      </c>
      <c r="B128" s="305">
        <v>7455</v>
      </c>
      <c r="C128" s="308" t="s">
        <v>51</v>
      </c>
      <c r="D128" s="63" t="s">
        <v>174</v>
      </c>
      <c r="E128" s="136">
        <f>E138</f>
        <v>50</v>
      </c>
      <c r="F128" s="12">
        <v>200</v>
      </c>
      <c r="G128" s="6">
        <v>6</v>
      </c>
      <c r="H128" s="134" t="s">
        <v>83</v>
      </c>
      <c r="I128" s="11">
        <f>F128*E128*G128</f>
        <v>60000</v>
      </c>
      <c r="J128" s="12">
        <v>0</v>
      </c>
      <c r="K128" s="205">
        <f t="shared" si="301"/>
        <v>60000</v>
      </c>
      <c r="L128" s="136">
        <f>L138</f>
        <v>50</v>
      </c>
      <c r="M128" s="132">
        <f>F128</f>
        <v>200</v>
      </c>
      <c r="N128" s="135">
        <v>12</v>
      </c>
      <c r="O128" s="11">
        <f>L128*M128*N128</f>
        <v>120000</v>
      </c>
      <c r="P128" s="12">
        <v>0</v>
      </c>
      <c r="Q128" s="205">
        <f t="shared" ref="Q128" si="392">SUM(O128:P128)</f>
        <v>120000</v>
      </c>
      <c r="R128" s="11">
        <f>R138</f>
        <v>50</v>
      </c>
      <c r="S128" s="132">
        <f>F128</f>
        <v>200</v>
      </c>
      <c r="T128" s="135">
        <v>6</v>
      </c>
      <c r="U128" s="11">
        <f>S128*R128*T128</f>
        <v>60000</v>
      </c>
      <c r="V128" s="12">
        <v>0</v>
      </c>
      <c r="W128" s="205">
        <f t="shared" si="304"/>
        <v>60000</v>
      </c>
      <c r="X128" s="11">
        <v>0</v>
      </c>
      <c r="Y128" s="132">
        <f>F128</f>
        <v>200</v>
      </c>
      <c r="Z128" s="135">
        <v>0</v>
      </c>
      <c r="AA128" s="11">
        <f>Y128*X128*Z128</f>
        <v>0</v>
      </c>
      <c r="AB128" s="12">
        <v>0</v>
      </c>
      <c r="AC128" s="205">
        <f t="shared" si="306"/>
        <v>0</v>
      </c>
      <c r="AD128" s="11">
        <v>0</v>
      </c>
      <c r="AE128" s="132">
        <f>F128</f>
        <v>200</v>
      </c>
      <c r="AF128" s="135">
        <v>0</v>
      </c>
      <c r="AG128" s="11">
        <f>AE128*AD128*AF128</f>
        <v>0</v>
      </c>
      <c r="AH128" s="12">
        <v>0</v>
      </c>
      <c r="AI128" s="205">
        <f t="shared" si="308"/>
        <v>0</v>
      </c>
      <c r="AJ128" s="206">
        <f t="shared" si="309"/>
        <v>240000</v>
      </c>
      <c r="AK128" s="206">
        <f t="shared" si="310"/>
        <v>0</v>
      </c>
      <c r="AL128" s="206">
        <f t="shared" si="311"/>
        <v>240000</v>
      </c>
      <c r="AM128" s="5"/>
      <c r="AN128" s="5"/>
      <c r="AO128" s="5"/>
      <c r="AP128" s="5"/>
    </row>
    <row r="129" spans="1:42" s="1" customFormat="1">
      <c r="A129" s="325"/>
      <c r="B129" s="326"/>
      <c r="C129" s="329"/>
      <c r="D129" s="183" t="s">
        <v>175</v>
      </c>
      <c r="E129" s="184"/>
      <c r="F129" s="26"/>
      <c r="G129" s="185"/>
      <c r="H129" s="26"/>
      <c r="I129" s="27">
        <f>SUM(I118:I128)</f>
        <v>92451.33</v>
      </c>
      <c r="J129" s="27">
        <f>SUM(J118:J128)</f>
        <v>0</v>
      </c>
      <c r="K129" s="27">
        <f>SUM(K118:K128)</f>
        <v>92451.33</v>
      </c>
      <c r="L129" s="184"/>
      <c r="M129" s="186"/>
      <c r="N129" s="26"/>
      <c r="O129" s="27">
        <f>SUM(O118:O128)</f>
        <v>125600</v>
      </c>
      <c r="P129" s="27">
        <f>SUM(P118:P128)</f>
        <v>0</v>
      </c>
      <c r="Q129" s="27">
        <f>SUM(Q118:Q128)</f>
        <v>125600</v>
      </c>
      <c r="R129" s="184"/>
      <c r="S129" s="26"/>
      <c r="T129" s="26"/>
      <c r="U129" s="27">
        <f>SUM(U118:U128)</f>
        <v>65600</v>
      </c>
      <c r="V129" s="27">
        <f>SUM(V118:V128)</f>
        <v>0</v>
      </c>
      <c r="W129" s="27">
        <f>SUM(W118:W128)</f>
        <v>65600</v>
      </c>
      <c r="X129" s="184"/>
      <c r="Y129" s="26"/>
      <c r="Z129" s="26"/>
      <c r="AA129" s="27">
        <f>SUM(AA118:AA128)</f>
        <v>5600</v>
      </c>
      <c r="AB129" s="27">
        <f>SUM(AB118:AB128)</f>
        <v>0</v>
      </c>
      <c r="AC129" s="27">
        <f>SUM(AC118:AC128)</f>
        <v>5600</v>
      </c>
      <c r="AD129" s="184"/>
      <c r="AE129" s="26"/>
      <c r="AF129" s="26"/>
      <c r="AG129" s="27">
        <f t="shared" ref="AG129:AL129" si="393">SUM(AG118:AG128)</f>
        <v>4225</v>
      </c>
      <c r="AH129" s="27">
        <f t="shared" si="393"/>
        <v>0</v>
      </c>
      <c r="AI129" s="27">
        <f t="shared" si="393"/>
        <v>4225</v>
      </c>
      <c r="AJ129" s="29">
        <f t="shared" si="393"/>
        <v>293476.33</v>
      </c>
      <c r="AK129" s="29">
        <f t="shared" si="393"/>
        <v>0</v>
      </c>
      <c r="AL129" s="29">
        <f t="shared" si="393"/>
        <v>293476.33</v>
      </c>
    </row>
    <row r="130" spans="1:42">
      <c r="A130" s="347"/>
      <c r="B130" s="350"/>
      <c r="C130" s="348"/>
      <c r="D130" s="238"/>
      <c r="E130" s="239"/>
      <c r="F130" s="240"/>
      <c r="G130" s="240"/>
      <c r="H130" s="240"/>
      <c r="I130" s="18"/>
      <c r="J130" s="19"/>
      <c r="K130" s="241"/>
      <c r="L130" s="239"/>
      <c r="M130" s="240"/>
      <c r="N130" s="240"/>
      <c r="O130" s="18"/>
      <c r="P130" s="19"/>
      <c r="Q130" s="241"/>
      <c r="R130" s="239"/>
      <c r="S130" s="240"/>
      <c r="T130" s="240"/>
      <c r="U130" s="18"/>
      <c r="V130" s="19"/>
      <c r="W130" s="241"/>
      <c r="X130" s="239"/>
      <c r="Y130" s="240"/>
      <c r="Z130" s="240"/>
      <c r="AA130" s="18"/>
      <c r="AB130" s="19"/>
      <c r="AC130" s="241"/>
      <c r="AD130" s="239"/>
      <c r="AE130" s="240"/>
      <c r="AF130" s="240"/>
      <c r="AG130" s="18"/>
      <c r="AH130" s="19"/>
      <c r="AI130" s="241"/>
      <c r="AJ130" s="242"/>
      <c r="AK130" s="242"/>
      <c r="AL130" s="242"/>
      <c r="AM130" s="5"/>
      <c r="AN130" s="5"/>
      <c r="AO130" s="5"/>
      <c r="AP130" s="5"/>
    </row>
    <row r="131" spans="1:42" s="9" customFormat="1">
      <c r="A131" s="330"/>
      <c r="B131" s="331"/>
      <c r="C131" s="332"/>
      <c r="D131" s="106" t="s">
        <v>176</v>
      </c>
      <c r="E131" s="213"/>
      <c r="F131" s="214"/>
      <c r="G131" s="214"/>
      <c r="H131" s="214"/>
      <c r="I131" s="215">
        <f>I129+I115</f>
        <v>108796.19</v>
      </c>
      <c r="J131" s="215">
        <f>J129+J115</f>
        <v>0</v>
      </c>
      <c r="K131" s="215">
        <f>K129+K115</f>
        <v>108796.19</v>
      </c>
      <c r="L131" s="213"/>
      <c r="M131" s="214"/>
      <c r="N131" s="214"/>
      <c r="O131" s="215">
        <f>O129+O115</f>
        <v>131200</v>
      </c>
      <c r="P131" s="215">
        <f>P129+P115</f>
        <v>0</v>
      </c>
      <c r="Q131" s="215">
        <f>Q129+Q115</f>
        <v>131200</v>
      </c>
      <c r="R131" s="213"/>
      <c r="S131" s="214"/>
      <c r="T131" s="214"/>
      <c r="U131" s="215">
        <f>U129+U115</f>
        <v>71200</v>
      </c>
      <c r="V131" s="215">
        <f>V129+V115</f>
        <v>0</v>
      </c>
      <c r="W131" s="215">
        <f>W129+W115</f>
        <v>71200</v>
      </c>
      <c r="X131" s="213"/>
      <c r="Y131" s="214"/>
      <c r="Z131" s="214"/>
      <c r="AA131" s="215">
        <f>AA129+AA115</f>
        <v>11200</v>
      </c>
      <c r="AB131" s="215">
        <f>AB129+AB115</f>
        <v>0</v>
      </c>
      <c r="AC131" s="215">
        <f>AC129+AC115</f>
        <v>11200</v>
      </c>
      <c r="AD131" s="213"/>
      <c r="AE131" s="214"/>
      <c r="AF131" s="214"/>
      <c r="AG131" s="215">
        <f>AG129+AG115</f>
        <v>8025</v>
      </c>
      <c r="AH131" s="215">
        <f>AH129+AH115</f>
        <v>0</v>
      </c>
      <c r="AI131" s="215">
        <f>AI129+AI115</f>
        <v>8025</v>
      </c>
      <c r="AJ131" s="218">
        <f>AG131+AA131+U131+O131+I131</f>
        <v>330421.19</v>
      </c>
      <c r="AK131" s="218">
        <f t="shared" ref="AK131" si="394">AH131+AB131+V131+P131+J131</f>
        <v>0</v>
      </c>
      <c r="AL131" s="218">
        <f>AI131+AC131+W131+Q131+K131</f>
        <v>330421.19</v>
      </c>
      <c r="AM131" s="25"/>
      <c r="AN131" s="25"/>
      <c r="AO131" s="25"/>
      <c r="AP131" s="25"/>
    </row>
    <row r="132" spans="1:42">
      <c r="A132" s="333"/>
      <c r="B132" s="334"/>
      <c r="C132" s="335"/>
      <c r="D132" s="243"/>
      <c r="E132" s="220"/>
      <c r="F132" s="221"/>
      <c r="G132" s="221"/>
      <c r="H132" s="221"/>
      <c r="I132" s="222"/>
      <c r="J132" s="223"/>
      <c r="K132" s="224"/>
      <c r="L132" s="220"/>
      <c r="M132" s="221"/>
      <c r="N132" s="221"/>
      <c r="O132" s="222"/>
      <c r="P132" s="223"/>
      <c r="Q132" s="224"/>
      <c r="R132" s="220"/>
      <c r="S132" s="221"/>
      <c r="T132" s="221"/>
      <c r="U132" s="222"/>
      <c r="V132" s="223"/>
      <c r="W132" s="224"/>
      <c r="X132" s="220"/>
      <c r="Y132" s="221"/>
      <c r="Z132" s="221"/>
      <c r="AA132" s="222"/>
      <c r="AB132" s="223"/>
      <c r="AC132" s="224"/>
      <c r="AD132" s="220"/>
      <c r="AE132" s="221"/>
      <c r="AF132" s="221"/>
      <c r="AG132" s="222"/>
      <c r="AH132" s="223"/>
      <c r="AI132" s="224"/>
      <c r="AJ132" s="225"/>
      <c r="AK132" s="225"/>
      <c r="AL132" s="225"/>
      <c r="AM132" s="5"/>
      <c r="AN132" s="5"/>
      <c r="AO132" s="5"/>
      <c r="AP132" s="5"/>
    </row>
    <row r="133" spans="1:42">
      <c r="A133" s="318"/>
      <c r="B133" s="319"/>
      <c r="C133" s="320"/>
      <c r="D133" s="77" t="s">
        <v>18</v>
      </c>
      <c r="E133" s="226"/>
      <c r="F133" s="227"/>
      <c r="G133" s="227"/>
      <c r="H133" s="227"/>
      <c r="I133" s="74"/>
      <c r="J133" s="72"/>
      <c r="K133" s="228"/>
      <c r="L133" s="226"/>
      <c r="M133" s="227"/>
      <c r="N133" s="227"/>
      <c r="O133" s="74"/>
      <c r="P133" s="72"/>
      <c r="Q133" s="228"/>
      <c r="R133" s="226"/>
      <c r="S133" s="227"/>
      <c r="T133" s="227"/>
      <c r="U133" s="74"/>
      <c r="V133" s="72"/>
      <c r="W133" s="228"/>
      <c r="X133" s="226"/>
      <c r="Y133" s="227"/>
      <c r="Z133" s="227"/>
      <c r="AA133" s="74"/>
      <c r="AB133" s="72"/>
      <c r="AC133" s="228"/>
      <c r="AD133" s="226"/>
      <c r="AE133" s="227"/>
      <c r="AF133" s="227"/>
      <c r="AG133" s="74"/>
      <c r="AH133" s="72"/>
      <c r="AI133" s="228"/>
      <c r="AJ133" s="229"/>
      <c r="AK133" s="229"/>
      <c r="AL133" s="229"/>
      <c r="AM133" s="5"/>
      <c r="AN133" s="5"/>
      <c r="AO133" s="5"/>
      <c r="AP133" s="5"/>
    </row>
    <row r="134" spans="1:42">
      <c r="A134" s="321"/>
      <c r="B134" s="309"/>
      <c r="C134" s="328"/>
      <c r="D134" s="166"/>
      <c r="E134" s="170"/>
      <c r="F134" s="208"/>
      <c r="G134" s="208"/>
      <c r="H134" s="208"/>
      <c r="I134" s="11"/>
      <c r="J134" s="12"/>
      <c r="K134" s="205"/>
      <c r="L134" s="170"/>
      <c r="M134" s="208"/>
      <c r="N134" s="208"/>
      <c r="O134" s="11"/>
      <c r="P134" s="12"/>
      <c r="Q134" s="205"/>
      <c r="R134" s="170"/>
      <c r="S134" s="208"/>
      <c r="T134" s="208"/>
      <c r="U134" s="11"/>
      <c r="V134" s="12"/>
      <c r="W134" s="205"/>
      <c r="X134" s="170"/>
      <c r="Y134" s="208"/>
      <c r="Z134" s="208"/>
      <c r="AA134" s="11"/>
      <c r="AB134" s="12"/>
      <c r="AC134" s="205"/>
      <c r="AD134" s="170"/>
      <c r="AE134" s="208"/>
      <c r="AF134" s="208"/>
      <c r="AG134" s="11"/>
      <c r="AH134" s="12"/>
      <c r="AI134" s="205"/>
      <c r="AJ134" s="206"/>
      <c r="AK134" s="206"/>
      <c r="AL134" s="206"/>
      <c r="AM134" s="5"/>
      <c r="AN134" s="5"/>
      <c r="AO134" s="5"/>
      <c r="AP134" s="5"/>
    </row>
    <row r="135" spans="1:42">
      <c r="A135" s="321"/>
      <c r="B135" s="309"/>
      <c r="C135" s="328"/>
      <c r="D135" s="166" t="s">
        <v>177</v>
      </c>
      <c r="E135" s="170"/>
      <c r="F135" s="208"/>
      <c r="G135" s="208"/>
      <c r="H135" s="208"/>
      <c r="I135" s="11"/>
      <c r="J135" s="12"/>
      <c r="K135" s="205"/>
      <c r="L135" s="170"/>
      <c r="M135" s="208"/>
      <c r="N135" s="208"/>
      <c r="O135" s="11"/>
      <c r="P135" s="12"/>
      <c r="Q135" s="205"/>
      <c r="R135" s="170"/>
      <c r="S135" s="208"/>
      <c r="T135" s="208"/>
      <c r="U135" s="11"/>
      <c r="V135" s="12"/>
      <c r="W135" s="205"/>
      <c r="X135" s="170"/>
      <c r="Y135" s="208"/>
      <c r="Z135" s="208"/>
      <c r="AA135" s="11"/>
      <c r="AB135" s="12"/>
      <c r="AC135" s="205"/>
      <c r="AD135" s="170"/>
      <c r="AE135" s="208"/>
      <c r="AF135" s="208"/>
      <c r="AG135" s="11"/>
      <c r="AH135" s="12"/>
      <c r="AI135" s="205"/>
      <c r="AJ135" s="206"/>
      <c r="AK135" s="206"/>
      <c r="AL135" s="206"/>
      <c r="AM135" s="5"/>
      <c r="AN135" s="5"/>
      <c r="AO135" s="5"/>
      <c r="AP135" s="5"/>
    </row>
    <row r="136" spans="1:42">
      <c r="A136" s="327" t="s">
        <v>178</v>
      </c>
      <c r="B136" s="305">
        <v>7360</v>
      </c>
      <c r="C136" s="308" t="s">
        <v>51</v>
      </c>
      <c r="D136" s="63" t="s">
        <v>179</v>
      </c>
      <c r="E136" s="136">
        <v>150</v>
      </c>
      <c r="F136" s="12">
        <v>500</v>
      </c>
      <c r="G136" s="6">
        <v>1</v>
      </c>
      <c r="H136" s="6" t="s">
        <v>155</v>
      </c>
      <c r="I136" s="11">
        <f>F136*E136*G136</f>
        <v>75000</v>
      </c>
      <c r="J136" s="12">
        <v>0</v>
      </c>
      <c r="K136" s="205">
        <f>SUM(I136:J136)</f>
        <v>75000</v>
      </c>
      <c r="L136" s="136">
        <v>220</v>
      </c>
      <c r="M136" s="12">
        <f>F136</f>
        <v>500</v>
      </c>
      <c r="N136" s="6">
        <v>1</v>
      </c>
      <c r="O136" s="11">
        <f>M136*L136*N136</f>
        <v>110000</v>
      </c>
      <c r="P136" s="12">
        <v>0</v>
      </c>
      <c r="Q136" s="205">
        <f>SUM(O136:P136)</f>
        <v>110000</v>
      </c>
      <c r="R136" s="136">
        <v>250</v>
      </c>
      <c r="S136" s="12">
        <f>F136</f>
        <v>500</v>
      </c>
      <c r="T136" s="6">
        <v>1</v>
      </c>
      <c r="U136" s="11">
        <f>R136*S136*T136</f>
        <v>125000</v>
      </c>
      <c r="V136" s="12">
        <v>0</v>
      </c>
      <c r="W136" s="205">
        <f>SUM(U136:V136)</f>
        <v>125000</v>
      </c>
      <c r="X136" s="136">
        <v>0</v>
      </c>
      <c r="Y136" s="12">
        <f>F136</f>
        <v>500</v>
      </c>
      <c r="Z136" s="6">
        <v>0</v>
      </c>
      <c r="AA136" s="11">
        <f>Y136*X136*Z136</f>
        <v>0</v>
      </c>
      <c r="AB136" s="12">
        <v>0</v>
      </c>
      <c r="AC136" s="205">
        <f>SUM(AA136:AB136)</f>
        <v>0</v>
      </c>
      <c r="AD136" s="136">
        <v>0</v>
      </c>
      <c r="AE136" s="12">
        <f>F136</f>
        <v>500</v>
      </c>
      <c r="AF136" s="6">
        <v>0</v>
      </c>
      <c r="AG136" s="11">
        <f>AE136*AD136*AF136</f>
        <v>0</v>
      </c>
      <c r="AH136" s="12">
        <v>0</v>
      </c>
      <c r="AI136" s="205">
        <f>SUM(AG136:AH136)</f>
        <v>0</v>
      </c>
      <c r="AJ136" s="206">
        <f t="shared" ref="AJ136" si="395">I136+O136+U136+AA136+AG136</f>
        <v>310000</v>
      </c>
      <c r="AK136" s="206">
        <f t="shared" ref="AK136" si="396">J136+P136+V136+AB136+AH136</f>
        <v>0</v>
      </c>
      <c r="AL136" s="206">
        <f t="shared" ref="AL136" si="397">SUM(AJ136:AK136)</f>
        <v>310000</v>
      </c>
      <c r="AM136" s="290"/>
      <c r="AN136" s="244"/>
      <c r="AO136" s="244"/>
      <c r="AP136" s="244"/>
    </row>
    <row r="137" spans="1:42">
      <c r="A137" s="327" t="s">
        <v>180</v>
      </c>
      <c r="B137" s="305">
        <v>7360</v>
      </c>
      <c r="C137" s="308" t="s">
        <v>51</v>
      </c>
      <c r="D137" s="63" t="s">
        <v>181</v>
      </c>
      <c r="E137" s="136">
        <v>50</v>
      </c>
      <c r="F137" s="12">
        <v>2000</v>
      </c>
      <c r="G137" s="6">
        <v>0.5</v>
      </c>
      <c r="H137" s="6" t="s">
        <v>155</v>
      </c>
      <c r="I137" s="11">
        <f>F137*E137*G137</f>
        <v>50000</v>
      </c>
      <c r="J137" s="12">
        <v>0</v>
      </c>
      <c r="K137" s="205">
        <f>SUM(I137:J137)</f>
        <v>50000</v>
      </c>
      <c r="L137" s="136">
        <v>50</v>
      </c>
      <c r="M137" s="12">
        <f>F137</f>
        <v>2000</v>
      </c>
      <c r="N137" s="6">
        <v>1</v>
      </c>
      <c r="O137" s="11">
        <f>M137*L137*N137</f>
        <v>100000</v>
      </c>
      <c r="P137" s="12">
        <v>0</v>
      </c>
      <c r="Q137" s="205">
        <f>SUM(O137:P137)</f>
        <v>100000</v>
      </c>
      <c r="R137" s="136">
        <v>50</v>
      </c>
      <c r="S137" s="12">
        <f>F137</f>
        <v>2000</v>
      </c>
      <c r="T137" s="6">
        <v>0.5</v>
      </c>
      <c r="U137" s="11">
        <f>R137*S137*T137</f>
        <v>50000</v>
      </c>
      <c r="V137" s="12">
        <v>0</v>
      </c>
      <c r="W137" s="205">
        <f>SUM(U137:V137)</f>
        <v>50000</v>
      </c>
      <c r="X137" s="136">
        <v>0</v>
      </c>
      <c r="Y137" s="12">
        <f>F137</f>
        <v>2000</v>
      </c>
      <c r="Z137" s="6">
        <v>0</v>
      </c>
      <c r="AA137" s="11">
        <f>Y137*X137*Z137</f>
        <v>0</v>
      </c>
      <c r="AB137" s="12">
        <v>0</v>
      </c>
      <c r="AC137" s="205">
        <f>SUM(AA137:AB137)</f>
        <v>0</v>
      </c>
      <c r="AD137" s="136">
        <v>0</v>
      </c>
      <c r="AE137" s="12">
        <f>F137</f>
        <v>2000</v>
      </c>
      <c r="AF137" s="6">
        <v>0</v>
      </c>
      <c r="AG137" s="11">
        <f>AE137*AD137*AF137</f>
        <v>0</v>
      </c>
      <c r="AH137" s="12">
        <v>0</v>
      </c>
      <c r="AI137" s="205">
        <f>SUM(AG137:AH137)</f>
        <v>0</v>
      </c>
      <c r="AJ137" s="206">
        <f t="shared" ref="AJ137" si="398">I137+O137+U137+AA137+AG137</f>
        <v>200000</v>
      </c>
      <c r="AK137" s="206">
        <f t="shared" ref="AK137" si="399">J137+P137+V137+AB137+AH137</f>
        <v>0</v>
      </c>
      <c r="AL137" s="206">
        <f t="shared" ref="AL137" si="400">SUM(AJ137:AK137)</f>
        <v>200000</v>
      </c>
      <c r="AM137" s="290"/>
      <c r="AN137" s="290"/>
      <c r="AO137" s="244"/>
      <c r="AP137" s="244"/>
    </row>
    <row r="138" spans="1:42">
      <c r="A138" s="327" t="s">
        <v>182</v>
      </c>
      <c r="B138" s="305">
        <v>7370</v>
      </c>
      <c r="C138" s="308" t="s">
        <v>51</v>
      </c>
      <c r="D138" s="63" t="s">
        <v>183</v>
      </c>
      <c r="E138" s="136">
        <v>50</v>
      </c>
      <c r="F138" s="12">
        <v>16000</v>
      </c>
      <c r="G138" s="6">
        <v>0.5</v>
      </c>
      <c r="H138" s="6" t="s">
        <v>155</v>
      </c>
      <c r="I138" s="11">
        <f>F138*E138*G138</f>
        <v>400000</v>
      </c>
      <c r="J138" s="12">
        <v>0</v>
      </c>
      <c r="K138" s="205">
        <f>SUM(I138:J138)</f>
        <v>400000</v>
      </c>
      <c r="L138" s="136">
        <v>50</v>
      </c>
      <c r="M138" s="12">
        <f>F138</f>
        <v>16000</v>
      </c>
      <c r="N138" s="6">
        <v>1</v>
      </c>
      <c r="O138" s="11">
        <f>M138*L138*N138</f>
        <v>800000</v>
      </c>
      <c r="P138" s="12">
        <v>0</v>
      </c>
      <c r="Q138" s="205">
        <f>SUM(O138:P138)</f>
        <v>800000</v>
      </c>
      <c r="R138" s="136">
        <v>50</v>
      </c>
      <c r="S138" s="12">
        <f>F138</f>
        <v>16000</v>
      </c>
      <c r="T138" s="6">
        <v>0.5</v>
      </c>
      <c r="U138" s="11">
        <f>R138*S138*T138</f>
        <v>400000</v>
      </c>
      <c r="V138" s="12">
        <v>0</v>
      </c>
      <c r="W138" s="205">
        <f>SUM(U138:V138)</f>
        <v>400000</v>
      </c>
      <c r="X138" s="136">
        <v>0</v>
      </c>
      <c r="Y138" s="12">
        <f>F138</f>
        <v>16000</v>
      </c>
      <c r="Z138" s="6">
        <v>0</v>
      </c>
      <c r="AA138" s="11">
        <f>Y138*X138*Z138</f>
        <v>0</v>
      </c>
      <c r="AB138" s="12">
        <v>0</v>
      </c>
      <c r="AC138" s="205">
        <f>SUM(AA138:AB138)</f>
        <v>0</v>
      </c>
      <c r="AD138" s="136">
        <v>0</v>
      </c>
      <c r="AE138" s="12">
        <f>F138</f>
        <v>16000</v>
      </c>
      <c r="AF138" s="6">
        <v>0</v>
      </c>
      <c r="AG138" s="11">
        <f>AE138*AD138*AF138</f>
        <v>0</v>
      </c>
      <c r="AH138" s="12">
        <v>0</v>
      </c>
      <c r="AI138" s="205">
        <f>SUM(AG138:AH138)</f>
        <v>0</v>
      </c>
      <c r="AJ138" s="206">
        <f t="shared" ref="AJ138" si="401">I138+O138+U138+AA138+AG138</f>
        <v>1600000</v>
      </c>
      <c r="AK138" s="206">
        <f t="shared" ref="AK138" si="402">J138+P138+V138+AB138+AH138</f>
        <v>0</v>
      </c>
      <c r="AL138" s="206">
        <f t="shared" ref="AL138" si="403">SUM(AJ138:AK138)</f>
        <v>1600000</v>
      </c>
      <c r="AM138" s="290"/>
      <c r="AN138" s="244"/>
      <c r="AO138" s="244"/>
      <c r="AP138" s="244"/>
    </row>
    <row r="139" spans="1:42">
      <c r="A139" s="321"/>
      <c r="B139" s="309"/>
      <c r="C139" s="328"/>
      <c r="D139" s="166" t="s">
        <v>184</v>
      </c>
      <c r="E139" s="170"/>
      <c r="F139" s="208"/>
      <c r="G139" s="208"/>
      <c r="H139" s="208"/>
      <c r="I139" s="11"/>
      <c r="J139" s="12"/>
      <c r="K139" s="205"/>
      <c r="L139" s="170"/>
      <c r="M139" s="208"/>
      <c r="N139" s="208"/>
      <c r="O139" s="11"/>
      <c r="P139" s="12"/>
      <c r="Q139" s="205"/>
      <c r="R139" s="170"/>
      <c r="S139" s="208"/>
      <c r="T139" s="208"/>
      <c r="U139" s="11"/>
      <c r="V139" s="12"/>
      <c r="W139" s="205"/>
      <c r="X139" s="170"/>
      <c r="Y139" s="208"/>
      <c r="Z139" s="208"/>
      <c r="AA139" s="11"/>
      <c r="AB139" s="12"/>
      <c r="AC139" s="205"/>
      <c r="AD139" s="170"/>
      <c r="AE139" s="208"/>
      <c r="AF139" s="208"/>
      <c r="AG139" s="11"/>
      <c r="AH139" s="12"/>
      <c r="AI139" s="205"/>
      <c r="AJ139" s="206"/>
      <c r="AK139" s="206"/>
      <c r="AL139" s="206"/>
      <c r="AM139" s="291"/>
      <c r="AN139" s="5"/>
      <c r="AO139" s="5"/>
      <c r="AP139" s="5"/>
    </row>
    <row r="140" spans="1:42">
      <c r="A140" s="327" t="s">
        <v>185</v>
      </c>
      <c r="B140" s="305">
        <v>7370</v>
      </c>
      <c r="C140" s="308" t="s">
        <v>51</v>
      </c>
      <c r="D140" s="63" t="s">
        <v>186</v>
      </c>
      <c r="E140" s="35">
        <v>1</v>
      </c>
      <c r="F140" s="12">
        <v>380000</v>
      </c>
      <c r="H140" s="6" t="s">
        <v>155</v>
      </c>
      <c r="I140" s="11">
        <f>F140*E140</f>
        <v>380000</v>
      </c>
      <c r="J140" s="12">
        <v>0</v>
      </c>
      <c r="K140" s="205">
        <f>SUM(I140:J140)</f>
        <v>380000</v>
      </c>
      <c r="L140" s="35">
        <v>1</v>
      </c>
      <c r="M140" s="12">
        <f>F140</f>
        <v>380000</v>
      </c>
      <c r="O140" s="11">
        <f>M140*L140</f>
        <v>380000</v>
      </c>
      <c r="P140" s="12">
        <v>0</v>
      </c>
      <c r="Q140" s="205">
        <f>SUM(O140:P140)</f>
        <v>380000</v>
      </c>
      <c r="R140" s="35">
        <v>1</v>
      </c>
      <c r="S140" s="12">
        <f>F140</f>
        <v>380000</v>
      </c>
      <c r="U140" s="11">
        <f>R140*S140</f>
        <v>380000</v>
      </c>
      <c r="V140" s="12">
        <v>0</v>
      </c>
      <c r="W140" s="205">
        <f>SUM(U140:V140)</f>
        <v>380000</v>
      </c>
      <c r="X140" s="35">
        <v>1</v>
      </c>
      <c r="Y140" s="12">
        <f>F140</f>
        <v>380000</v>
      </c>
      <c r="AA140" s="11">
        <f>Y140*X140</f>
        <v>380000</v>
      </c>
      <c r="AB140" s="12">
        <v>0</v>
      </c>
      <c r="AC140" s="205">
        <f>SUM(AA140:AB140)</f>
        <v>380000</v>
      </c>
      <c r="AD140" s="35">
        <v>1</v>
      </c>
      <c r="AE140" s="12">
        <f>F140</f>
        <v>380000</v>
      </c>
      <c r="AG140" s="11">
        <f>AE140*AD140</f>
        <v>380000</v>
      </c>
      <c r="AH140" s="12">
        <v>0</v>
      </c>
      <c r="AI140" s="205">
        <f>SUM(AG140:AH140)</f>
        <v>380000</v>
      </c>
      <c r="AJ140" s="206">
        <f t="shared" ref="AJ140" si="404">I140+O140+U140+AA140+AG140</f>
        <v>1900000</v>
      </c>
      <c r="AK140" s="206">
        <f t="shared" ref="AK140" si="405">J140+P140+V140+AB140+AH140</f>
        <v>0</v>
      </c>
      <c r="AL140" s="206">
        <f t="shared" ref="AL140" si="406">SUM(AJ140:AK140)</f>
        <v>1900000</v>
      </c>
      <c r="AM140" s="291"/>
      <c r="AN140" s="5"/>
      <c r="AO140" s="244"/>
      <c r="AP140" s="244"/>
    </row>
    <row r="141" spans="1:42" s="1" customFormat="1">
      <c r="A141" s="325"/>
      <c r="B141" s="326"/>
      <c r="C141" s="329"/>
      <c r="D141" s="183" t="s">
        <v>187</v>
      </c>
      <c r="E141" s="184"/>
      <c r="F141" s="26"/>
      <c r="G141" s="185"/>
      <c r="H141" s="26"/>
      <c r="I141" s="27">
        <f>SUM(I135:I140)</f>
        <v>905000</v>
      </c>
      <c r="J141" s="27">
        <f t="shared" ref="J141" si="407">SUM(J135:J140)</f>
        <v>0</v>
      </c>
      <c r="K141" s="27">
        <f t="shared" ref="K141" si="408">SUM(K135:K140)</f>
        <v>905000</v>
      </c>
      <c r="L141" s="184"/>
      <c r="M141" s="186"/>
      <c r="N141" s="26"/>
      <c r="O141" s="27">
        <f>SUM(O135:O140)</f>
        <v>1390000</v>
      </c>
      <c r="P141" s="27">
        <f t="shared" ref="P141" si="409">SUM(P135:P140)</f>
        <v>0</v>
      </c>
      <c r="Q141" s="27">
        <f t="shared" ref="Q141" si="410">SUM(Q135:Q140)</f>
        <v>1390000</v>
      </c>
      <c r="R141" s="184"/>
      <c r="S141" s="26"/>
      <c r="T141" s="26"/>
      <c r="U141" s="27">
        <f>SUM(U135:U140)</f>
        <v>955000</v>
      </c>
      <c r="V141" s="27">
        <f t="shared" ref="V141" si="411">SUM(V135:V140)</f>
        <v>0</v>
      </c>
      <c r="W141" s="27">
        <f t="shared" ref="W141" si="412">SUM(W135:W140)</f>
        <v>955000</v>
      </c>
      <c r="X141" s="184"/>
      <c r="Y141" s="26"/>
      <c r="Z141" s="26"/>
      <c r="AA141" s="27">
        <f>SUM(AA135:AA140)</f>
        <v>380000</v>
      </c>
      <c r="AB141" s="27">
        <f t="shared" ref="AB141" si="413">SUM(AB135:AB140)</f>
        <v>0</v>
      </c>
      <c r="AC141" s="27">
        <f t="shared" ref="AC141" si="414">SUM(AC135:AC140)</f>
        <v>380000</v>
      </c>
      <c r="AD141" s="184"/>
      <c r="AE141" s="26"/>
      <c r="AF141" s="26"/>
      <c r="AG141" s="27">
        <f>SUM(AG138:AG140)</f>
        <v>380000</v>
      </c>
      <c r="AH141" s="27">
        <f t="shared" ref="AH141:AI141" si="415">SUM(AH138:AH140)</f>
        <v>0</v>
      </c>
      <c r="AI141" s="27">
        <f t="shared" si="415"/>
        <v>380000</v>
      </c>
      <c r="AJ141" s="29">
        <f>SUM(AJ135:AJ140)</f>
        <v>4010000</v>
      </c>
      <c r="AK141" s="29">
        <f t="shared" ref="AK141" si="416">SUM(AK135:AK140)</f>
        <v>0</v>
      </c>
      <c r="AL141" s="29">
        <f>SUM(AL135:AL140)</f>
        <v>4010000</v>
      </c>
    </row>
    <row r="142" spans="1:42">
      <c r="A142" s="327"/>
      <c r="D142" s="61"/>
      <c r="E142" s="35"/>
      <c r="I142" s="11"/>
      <c r="J142" s="12"/>
      <c r="K142" s="205"/>
      <c r="L142" s="35"/>
      <c r="O142" s="11"/>
      <c r="P142" s="12"/>
      <c r="Q142" s="205"/>
      <c r="R142" s="35"/>
      <c r="U142" s="11"/>
      <c r="V142" s="12"/>
      <c r="W142" s="205"/>
      <c r="X142" s="35"/>
      <c r="AA142" s="11"/>
      <c r="AB142" s="12"/>
      <c r="AC142" s="205"/>
      <c r="AD142" s="35"/>
      <c r="AG142" s="11"/>
      <c r="AH142" s="12"/>
      <c r="AI142" s="205"/>
      <c r="AJ142" s="206"/>
      <c r="AK142" s="206"/>
      <c r="AL142" s="206"/>
      <c r="AM142" s="5"/>
      <c r="AN142" s="244"/>
      <c r="AO142" s="244"/>
      <c r="AP142" s="244"/>
    </row>
    <row r="143" spans="1:42">
      <c r="A143" s="321"/>
      <c r="B143" s="309"/>
      <c r="C143" s="328"/>
      <c r="D143" s="166" t="s">
        <v>188</v>
      </c>
      <c r="E143" s="170"/>
      <c r="F143" s="208"/>
      <c r="G143" s="208"/>
      <c r="H143" s="208"/>
      <c r="I143" s="11"/>
      <c r="J143" s="12"/>
      <c r="K143" s="205"/>
      <c r="L143" s="170"/>
      <c r="M143" s="208"/>
      <c r="N143" s="208"/>
      <c r="O143" s="11"/>
      <c r="P143" s="12"/>
      <c r="Q143" s="205"/>
      <c r="R143" s="170"/>
      <c r="S143" s="208"/>
      <c r="T143" s="208"/>
      <c r="U143" s="11"/>
      <c r="V143" s="12"/>
      <c r="W143" s="205"/>
      <c r="X143" s="170"/>
      <c r="Y143" s="208"/>
      <c r="Z143" s="208"/>
      <c r="AA143" s="11"/>
      <c r="AB143" s="12"/>
      <c r="AC143" s="205"/>
      <c r="AD143" s="170"/>
      <c r="AE143" s="208"/>
      <c r="AF143" s="208"/>
      <c r="AG143" s="11"/>
      <c r="AH143" s="12"/>
      <c r="AI143" s="205"/>
      <c r="AJ143" s="206"/>
      <c r="AK143" s="206"/>
      <c r="AL143" s="206"/>
      <c r="AM143" s="5"/>
      <c r="AN143" s="5"/>
      <c r="AO143" s="5"/>
      <c r="AP143" s="5"/>
    </row>
    <row r="144" spans="1:42">
      <c r="A144" s="327" t="s">
        <v>189</v>
      </c>
      <c r="B144" s="305">
        <v>7395</v>
      </c>
      <c r="C144" s="303" t="s">
        <v>51</v>
      </c>
      <c r="D144" s="63" t="s">
        <v>190</v>
      </c>
      <c r="E144" s="136">
        <v>1</v>
      </c>
      <c r="F144" s="12">
        <v>300000</v>
      </c>
      <c r="G144" s="208"/>
      <c r="H144" s="134" t="s">
        <v>155</v>
      </c>
      <c r="I144" s="11">
        <f t="shared" ref="I144" si="417">F144*E144</f>
        <v>300000</v>
      </c>
      <c r="J144" s="12">
        <v>0</v>
      </c>
      <c r="K144" s="205">
        <f t="shared" ref="K144" si="418">SUM(I144:J144)</f>
        <v>300000</v>
      </c>
      <c r="L144" s="136">
        <v>1</v>
      </c>
      <c r="M144" s="132">
        <v>500000</v>
      </c>
      <c r="N144" s="135"/>
      <c r="O144" s="11">
        <f>L144*M144</f>
        <v>500000</v>
      </c>
      <c r="P144" s="12">
        <v>0</v>
      </c>
      <c r="Q144" s="205">
        <f t="shared" ref="Q144" si="419">SUM(O144:P144)</f>
        <v>500000</v>
      </c>
      <c r="R144" s="11">
        <v>1</v>
      </c>
      <c r="S144" s="132">
        <v>500000</v>
      </c>
      <c r="T144" s="135"/>
      <c r="U144" s="11">
        <f t="shared" ref="U144" si="420">S144*R144</f>
        <v>500000</v>
      </c>
      <c r="V144" s="12">
        <v>0</v>
      </c>
      <c r="W144" s="205">
        <f t="shared" ref="W144" si="421">SUM(U144:V144)</f>
        <v>500000</v>
      </c>
      <c r="X144" s="11">
        <v>1</v>
      </c>
      <c r="Y144" s="132">
        <v>500000</v>
      </c>
      <c r="Z144" s="135"/>
      <c r="AA144" s="11">
        <f t="shared" ref="AA144" si="422">Y144*X144</f>
        <v>500000</v>
      </c>
      <c r="AB144" s="12">
        <v>0</v>
      </c>
      <c r="AC144" s="205">
        <f t="shared" ref="AC144" si="423">SUM(AA144:AB144)</f>
        <v>500000</v>
      </c>
      <c r="AD144" s="11">
        <v>1</v>
      </c>
      <c r="AE144" s="12">
        <v>300000</v>
      </c>
      <c r="AF144" s="135"/>
      <c r="AG144" s="11">
        <f t="shared" ref="AG144" si="424">AE144*AD144</f>
        <v>300000</v>
      </c>
      <c r="AH144" s="12">
        <v>0</v>
      </c>
      <c r="AI144" s="205">
        <f t="shared" ref="AI144" si="425">SUM(AG144:AH144)</f>
        <v>300000</v>
      </c>
      <c r="AJ144" s="206">
        <f t="shared" ref="AJ144:AJ145" si="426">I144+O144+U144+AA144+AG144</f>
        <v>2100000</v>
      </c>
      <c r="AK144" s="206">
        <f t="shared" ref="AK144:AK145" si="427">J144+P144+V144+AB144+AH144</f>
        <v>0</v>
      </c>
      <c r="AL144" s="206">
        <f t="shared" ref="AL144:AL145" si="428">SUM(AJ144:AK144)</f>
        <v>2100000</v>
      </c>
      <c r="AM144" s="5"/>
      <c r="AN144" s="5"/>
      <c r="AO144" s="5"/>
      <c r="AP144" s="5"/>
    </row>
    <row r="145" spans="1:42">
      <c r="A145" s="327" t="s">
        <v>191</v>
      </c>
      <c r="B145" s="305">
        <v>7610</v>
      </c>
      <c r="C145" s="303" t="s">
        <v>51</v>
      </c>
      <c r="D145" s="63" t="s">
        <v>192</v>
      </c>
      <c r="E145" s="35">
        <v>1</v>
      </c>
      <c r="F145" s="12">
        <v>3200</v>
      </c>
      <c r="G145" s="6">
        <v>5</v>
      </c>
      <c r="H145" s="6" t="s">
        <v>83</v>
      </c>
      <c r="I145" s="11">
        <f>G145*F145*E145</f>
        <v>16000</v>
      </c>
      <c r="J145" s="12">
        <v>0</v>
      </c>
      <c r="K145" s="205">
        <f>SUM(I145:J145)</f>
        <v>16000</v>
      </c>
      <c r="L145" s="35">
        <v>1</v>
      </c>
      <c r="M145" s="12">
        <f>F145</f>
        <v>3200</v>
      </c>
      <c r="N145" s="6">
        <v>5</v>
      </c>
      <c r="O145" s="11">
        <f>N145*M145*L145</f>
        <v>16000</v>
      </c>
      <c r="P145" s="12">
        <v>0</v>
      </c>
      <c r="Q145" s="205">
        <f>SUM(O145:P145)</f>
        <v>16000</v>
      </c>
      <c r="R145" s="35">
        <v>1</v>
      </c>
      <c r="S145" s="12">
        <f>F145</f>
        <v>3200</v>
      </c>
      <c r="T145" s="6">
        <v>2</v>
      </c>
      <c r="U145" s="11">
        <f>T145*S145*R145</f>
        <v>6400</v>
      </c>
      <c r="V145" s="12">
        <v>0</v>
      </c>
      <c r="W145" s="205">
        <f>SUM(U145:V145)</f>
        <v>6400</v>
      </c>
      <c r="X145" s="35">
        <v>1</v>
      </c>
      <c r="Y145" s="12">
        <f>F145</f>
        <v>3200</v>
      </c>
      <c r="Z145" s="6">
        <v>2</v>
      </c>
      <c r="AA145" s="11">
        <f>Z145*Y145*X145</f>
        <v>6400</v>
      </c>
      <c r="AB145" s="12">
        <v>0</v>
      </c>
      <c r="AC145" s="205">
        <f>SUM(AA145:AB145)</f>
        <v>6400</v>
      </c>
      <c r="AD145" s="35">
        <v>1</v>
      </c>
      <c r="AE145" s="12">
        <f>F145</f>
        <v>3200</v>
      </c>
      <c r="AF145" s="6">
        <v>1</v>
      </c>
      <c r="AG145" s="11">
        <f>AF145*AD145*AE145</f>
        <v>3200</v>
      </c>
      <c r="AH145" s="12">
        <v>0</v>
      </c>
      <c r="AI145" s="205">
        <f>SUM(AG145:AH145)</f>
        <v>3200</v>
      </c>
      <c r="AJ145" s="206">
        <f t="shared" si="426"/>
        <v>48000</v>
      </c>
      <c r="AK145" s="206">
        <f t="shared" si="427"/>
        <v>0</v>
      </c>
      <c r="AL145" s="206">
        <f t="shared" si="428"/>
        <v>48000</v>
      </c>
      <c r="AM145" s="5"/>
      <c r="AN145" s="244"/>
      <c r="AO145" s="244"/>
      <c r="AP145" s="244"/>
    </row>
    <row r="146" spans="1:42">
      <c r="A146" s="327" t="s">
        <v>191</v>
      </c>
      <c r="B146" s="305">
        <v>7610</v>
      </c>
      <c r="C146" s="303" t="s">
        <v>51</v>
      </c>
      <c r="D146" s="63" t="s">
        <v>193</v>
      </c>
      <c r="E146" s="35">
        <v>1</v>
      </c>
      <c r="F146" s="12">
        <v>3200</v>
      </c>
      <c r="G146" s="6">
        <v>9</v>
      </c>
      <c r="H146" s="6" t="s">
        <v>83</v>
      </c>
      <c r="I146" s="11">
        <f>G146*F146*E146</f>
        <v>28800</v>
      </c>
      <c r="J146" s="12">
        <v>0</v>
      </c>
      <c r="K146" s="205">
        <f>SUM(I146:J146)</f>
        <v>28800</v>
      </c>
      <c r="L146" s="35">
        <v>0</v>
      </c>
      <c r="M146" s="12">
        <f>F146</f>
        <v>3200</v>
      </c>
      <c r="N146" s="6">
        <v>0</v>
      </c>
      <c r="O146" s="11">
        <f>N146*M146*L146</f>
        <v>0</v>
      </c>
      <c r="P146" s="12">
        <v>0</v>
      </c>
      <c r="Q146" s="205">
        <f>SUM(O146:P146)</f>
        <v>0</v>
      </c>
      <c r="R146" s="35">
        <v>0</v>
      </c>
      <c r="S146" s="12">
        <f>F146</f>
        <v>3200</v>
      </c>
      <c r="T146" s="6">
        <v>0</v>
      </c>
      <c r="U146" s="11">
        <f>T146*S146*R146</f>
        <v>0</v>
      </c>
      <c r="V146" s="12">
        <v>0</v>
      </c>
      <c r="W146" s="205">
        <f>SUM(U146:V146)</f>
        <v>0</v>
      </c>
      <c r="X146" s="35">
        <v>0</v>
      </c>
      <c r="Y146" s="12">
        <f>F146</f>
        <v>3200</v>
      </c>
      <c r="Z146" s="6">
        <v>0</v>
      </c>
      <c r="AA146" s="11">
        <f>Z146*Y146*X146</f>
        <v>0</v>
      </c>
      <c r="AB146" s="12">
        <v>0</v>
      </c>
      <c r="AC146" s="205">
        <f>SUM(AA146:AB146)</f>
        <v>0</v>
      </c>
      <c r="AD146" s="35">
        <v>0</v>
      </c>
      <c r="AE146" s="12">
        <f>F146</f>
        <v>3200</v>
      </c>
      <c r="AF146" s="6">
        <v>0</v>
      </c>
      <c r="AG146" s="11">
        <f>AF146*AD146*AE146</f>
        <v>0</v>
      </c>
      <c r="AH146" s="12">
        <v>0</v>
      </c>
      <c r="AI146" s="205">
        <f>SUM(AG146:AH146)</f>
        <v>0</v>
      </c>
      <c r="AJ146" s="206">
        <f t="shared" ref="AJ146" si="429">I146+O146+U146+AA146+AG146</f>
        <v>28800</v>
      </c>
      <c r="AK146" s="206">
        <f t="shared" ref="AK146" si="430">J146+P146+V146+AB146+AH146</f>
        <v>0</v>
      </c>
      <c r="AL146" s="206">
        <f t="shared" ref="AL146" si="431">SUM(AJ146:AK146)</f>
        <v>28800</v>
      </c>
      <c r="AM146" s="5"/>
      <c r="AN146" s="244"/>
      <c r="AO146" s="244"/>
      <c r="AP146" s="244"/>
    </row>
    <row r="147" spans="1:42" s="1" customFormat="1">
      <c r="A147" s="325"/>
      <c r="B147" s="326"/>
      <c r="C147" s="329"/>
      <c r="D147" s="183" t="s">
        <v>194</v>
      </c>
      <c r="E147" s="184"/>
      <c r="F147" s="26"/>
      <c r="G147" s="185"/>
      <c r="H147" s="26"/>
      <c r="I147" s="27">
        <f>SUM(I144:I146)</f>
        <v>344800</v>
      </c>
      <c r="J147" s="27">
        <f t="shared" ref="J147:K147" si="432">SUM(J144:J146)</f>
        <v>0</v>
      </c>
      <c r="K147" s="27">
        <f t="shared" si="432"/>
        <v>344800</v>
      </c>
      <c r="L147" s="184"/>
      <c r="M147" s="186"/>
      <c r="N147" s="26"/>
      <c r="O147" s="27">
        <f>SUM(O144:O146)</f>
        <v>516000</v>
      </c>
      <c r="P147" s="27">
        <f t="shared" ref="P147:Q147" si="433">SUM(P144:P146)</f>
        <v>0</v>
      </c>
      <c r="Q147" s="27">
        <f t="shared" si="433"/>
        <v>516000</v>
      </c>
      <c r="R147" s="184"/>
      <c r="S147" s="26"/>
      <c r="T147" s="26"/>
      <c r="U147" s="27">
        <f>SUM(U144:U146)</f>
        <v>506400</v>
      </c>
      <c r="V147" s="27">
        <f t="shared" ref="V147:W147" si="434">SUM(V144:V146)</f>
        <v>0</v>
      </c>
      <c r="W147" s="27">
        <f t="shared" si="434"/>
        <v>506400</v>
      </c>
      <c r="X147" s="184"/>
      <c r="Y147" s="26"/>
      <c r="Z147" s="26"/>
      <c r="AA147" s="27">
        <f>SUM(AA144:AA146)</f>
        <v>506400</v>
      </c>
      <c r="AB147" s="27">
        <f t="shared" ref="AB147:AC147" si="435">SUM(AB144:AB146)</f>
        <v>0</v>
      </c>
      <c r="AC147" s="27">
        <f t="shared" si="435"/>
        <v>506400</v>
      </c>
      <c r="AD147" s="184"/>
      <c r="AE147" s="26"/>
      <c r="AF147" s="26"/>
      <c r="AG147" s="27">
        <f>SUM(AG144:AG146)</f>
        <v>303200</v>
      </c>
      <c r="AH147" s="27">
        <f t="shared" ref="AH147:AI147" si="436">SUM(AH144:AH146)</f>
        <v>0</v>
      </c>
      <c r="AI147" s="27">
        <f t="shared" si="436"/>
        <v>303200</v>
      </c>
      <c r="AJ147" s="29">
        <f>SUM(AJ144:AJ146)</f>
        <v>2176800</v>
      </c>
      <c r="AK147" s="29">
        <f>SUM(AK144:AK146)</f>
        <v>0</v>
      </c>
      <c r="AL147" s="29">
        <f>SUM(AL144:AL146)</f>
        <v>2176800</v>
      </c>
    </row>
    <row r="148" spans="1:42">
      <c r="A148" s="321"/>
      <c r="B148" s="309"/>
      <c r="C148" s="328"/>
      <c r="D148" s="166" t="s">
        <v>195</v>
      </c>
      <c r="E148" s="170"/>
      <c r="F148" s="208"/>
      <c r="G148" s="208"/>
      <c r="H148" s="208"/>
      <c r="I148" s="11"/>
      <c r="J148" s="12"/>
      <c r="K148" s="205"/>
      <c r="L148" s="170"/>
      <c r="M148" s="208"/>
      <c r="N148" s="208"/>
      <c r="O148" s="11"/>
      <c r="P148" s="12"/>
      <c r="Q148" s="205"/>
      <c r="R148" s="170"/>
      <c r="S148" s="208"/>
      <c r="T148" s="208"/>
      <c r="U148" s="11"/>
      <c r="V148" s="12"/>
      <c r="W148" s="205"/>
      <c r="X148" s="170"/>
      <c r="Y148" s="208"/>
      <c r="Z148" s="208"/>
      <c r="AA148" s="11"/>
      <c r="AB148" s="12"/>
      <c r="AC148" s="205"/>
      <c r="AD148" s="170"/>
      <c r="AE148" s="208"/>
      <c r="AF148" s="208"/>
      <c r="AG148" s="11"/>
      <c r="AH148" s="12"/>
      <c r="AI148" s="205"/>
      <c r="AJ148" s="206"/>
      <c r="AK148" s="206"/>
      <c r="AL148" s="206"/>
      <c r="AM148" s="5"/>
      <c r="AN148" s="5"/>
      <c r="AO148" s="5"/>
      <c r="AP148" s="5"/>
    </row>
    <row r="149" spans="1:42">
      <c r="A149" s="327" t="s">
        <v>196</v>
      </c>
      <c r="B149" s="305">
        <v>7610</v>
      </c>
      <c r="C149" s="308">
        <v>0</v>
      </c>
      <c r="D149" s="63" t="s">
        <v>197</v>
      </c>
      <c r="E149" s="35">
        <v>1</v>
      </c>
      <c r="F149" s="12">
        <v>35000</v>
      </c>
      <c r="G149" s="6">
        <v>1</v>
      </c>
      <c r="H149" s="6" t="s">
        <v>155</v>
      </c>
      <c r="I149" s="11">
        <f>F149*E149</f>
        <v>35000</v>
      </c>
      <c r="J149" s="12">
        <v>0</v>
      </c>
      <c r="K149" s="205">
        <f>SUM(I149:J149)</f>
        <v>35000</v>
      </c>
      <c r="L149" s="35">
        <v>1</v>
      </c>
      <c r="M149" s="12">
        <f>F149</f>
        <v>35000</v>
      </c>
      <c r="O149" s="11">
        <f>M149*L149</f>
        <v>35000</v>
      </c>
      <c r="P149" s="12">
        <v>0</v>
      </c>
      <c r="Q149" s="205">
        <f>SUM(O149:P149)</f>
        <v>35000</v>
      </c>
      <c r="R149" s="35">
        <v>1</v>
      </c>
      <c r="S149" s="12">
        <f>F149</f>
        <v>35000</v>
      </c>
      <c r="U149" s="11">
        <f>R149*S149</f>
        <v>35000</v>
      </c>
      <c r="V149" s="12">
        <v>0</v>
      </c>
      <c r="W149" s="205">
        <f>SUM(U149:V149)</f>
        <v>35000</v>
      </c>
      <c r="X149" s="35">
        <v>1</v>
      </c>
      <c r="Y149" s="12">
        <f>F149</f>
        <v>35000</v>
      </c>
      <c r="AA149" s="11">
        <f>Y149*X149</f>
        <v>35000</v>
      </c>
      <c r="AB149" s="12">
        <v>0</v>
      </c>
      <c r="AC149" s="205">
        <f>SUM(AA149:AB149)</f>
        <v>35000</v>
      </c>
      <c r="AD149" s="35">
        <v>1</v>
      </c>
      <c r="AE149" s="12">
        <f>F149</f>
        <v>35000</v>
      </c>
      <c r="AG149" s="11">
        <f>AE149*AD149</f>
        <v>35000</v>
      </c>
      <c r="AH149" s="12">
        <v>0</v>
      </c>
      <c r="AI149" s="205">
        <f>SUM(AG149:AH149)</f>
        <v>35000</v>
      </c>
      <c r="AJ149" s="206">
        <f t="shared" ref="AJ149" si="437">I149+O149+U149+AA149+AG149</f>
        <v>175000</v>
      </c>
      <c r="AK149" s="206">
        <f t="shared" ref="AK149:AK162" si="438">J149+P149+V149+AB149+AH149</f>
        <v>0</v>
      </c>
      <c r="AL149" s="206">
        <f t="shared" ref="AL149" si="439">SUM(AJ149:AK149)</f>
        <v>175000</v>
      </c>
      <c r="AM149" s="5"/>
      <c r="AN149" s="244"/>
      <c r="AO149" s="244"/>
      <c r="AP149" s="244"/>
    </row>
    <row r="150" spans="1:42">
      <c r="A150" s="327" t="s">
        <v>196</v>
      </c>
      <c r="B150" s="305">
        <v>7610</v>
      </c>
      <c r="C150" s="303" t="s">
        <v>51</v>
      </c>
      <c r="D150" s="63" t="s">
        <v>198</v>
      </c>
      <c r="E150" s="35">
        <v>2</v>
      </c>
      <c r="F150" s="12">
        <v>800</v>
      </c>
      <c r="G150" s="6">
        <v>6</v>
      </c>
      <c r="H150" s="6" t="s">
        <v>83</v>
      </c>
      <c r="I150" s="11">
        <f>G150*F150*E150</f>
        <v>9600</v>
      </c>
      <c r="J150" s="12">
        <v>0</v>
      </c>
      <c r="K150" s="205">
        <f>SUM(I150:J150)</f>
        <v>9600</v>
      </c>
      <c r="L150" s="35">
        <v>2</v>
      </c>
      <c r="M150" s="12">
        <f>F150</f>
        <v>800</v>
      </c>
      <c r="N150" s="6">
        <v>12</v>
      </c>
      <c r="O150" s="11">
        <f>N150*M150*L150</f>
        <v>19200</v>
      </c>
      <c r="P150" s="12">
        <v>0</v>
      </c>
      <c r="Q150" s="205">
        <f>SUM(O150:P150)</f>
        <v>19200</v>
      </c>
      <c r="R150" s="35">
        <v>2</v>
      </c>
      <c r="S150" s="12">
        <f>F150</f>
        <v>800</v>
      </c>
      <c r="T150" s="6">
        <v>12</v>
      </c>
      <c r="U150" s="11">
        <f>T150*S150*R150</f>
        <v>19200</v>
      </c>
      <c r="V150" s="12">
        <v>0</v>
      </c>
      <c r="W150" s="205">
        <f>SUM(U150:V150)</f>
        <v>19200</v>
      </c>
      <c r="X150" s="35">
        <v>2</v>
      </c>
      <c r="Y150" s="12">
        <f>F150</f>
        <v>800</v>
      </c>
      <c r="Z150" s="6">
        <v>12</v>
      </c>
      <c r="AA150" s="11">
        <f>Z150*Y150*X150</f>
        <v>19200</v>
      </c>
      <c r="AB150" s="12">
        <v>0</v>
      </c>
      <c r="AC150" s="205">
        <f>SUM(AA150:AB150)</f>
        <v>19200</v>
      </c>
      <c r="AD150" s="35">
        <v>2</v>
      </c>
      <c r="AE150" s="12">
        <f>F150</f>
        <v>800</v>
      </c>
      <c r="AF150" s="6">
        <v>7</v>
      </c>
      <c r="AG150" s="11">
        <f>AF150*AD150*AE150</f>
        <v>11200</v>
      </c>
      <c r="AH150" s="12">
        <v>0</v>
      </c>
      <c r="AI150" s="205">
        <f>SUM(AG150:AH150)</f>
        <v>11200</v>
      </c>
      <c r="AJ150" s="206">
        <f t="shared" ref="AJ150" si="440">I150+O150+U150+AA150+AG150</f>
        <v>78400</v>
      </c>
      <c r="AK150" s="206">
        <f t="shared" si="438"/>
        <v>0</v>
      </c>
      <c r="AL150" s="206">
        <f t="shared" ref="AL150" si="441">SUM(AJ150:AK150)</f>
        <v>78400</v>
      </c>
      <c r="AM150" s="5"/>
      <c r="AN150" s="244"/>
      <c r="AO150" s="244"/>
      <c r="AP150" s="244"/>
    </row>
    <row r="151" spans="1:42" s="1" customFormat="1">
      <c r="A151" s="325"/>
      <c r="B151" s="326"/>
      <c r="C151" s="329"/>
      <c r="D151" s="183" t="s">
        <v>199</v>
      </c>
      <c r="E151" s="184"/>
      <c r="F151" s="26"/>
      <c r="G151" s="185"/>
      <c r="H151" s="26"/>
      <c r="I151" s="27">
        <f>SUM(I149:I150)</f>
        <v>44600</v>
      </c>
      <c r="J151" s="27">
        <f t="shared" ref="J151" si="442">SUM(J149:J150)</f>
        <v>0</v>
      </c>
      <c r="K151" s="27">
        <f t="shared" ref="K151" si="443">SUM(K149:K150)</f>
        <v>44600</v>
      </c>
      <c r="L151" s="184"/>
      <c r="M151" s="186"/>
      <c r="N151" s="26"/>
      <c r="O151" s="27">
        <f>SUM(O149:O150)</f>
        <v>54200</v>
      </c>
      <c r="P151" s="27">
        <f t="shared" ref="P151" si="444">SUM(P149:P150)</f>
        <v>0</v>
      </c>
      <c r="Q151" s="27">
        <f t="shared" ref="Q151" si="445">SUM(Q149:Q150)</f>
        <v>54200</v>
      </c>
      <c r="R151" s="184"/>
      <c r="S151" s="26"/>
      <c r="T151" s="26"/>
      <c r="U151" s="27">
        <f>SUM(U149:U150)</f>
        <v>54200</v>
      </c>
      <c r="V151" s="27">
        <f t="shared" ref="V151" si="446">SUM(V149:V150)</f>
        <v>0</v>
      </c>
      <c r="W151" s="27">
        <f t="shared" ref="W151" si="447">SUM(W149:W150)</f>
        <v>54200</v>
      </c>
      <c r="X151" s="184"/>
      <c r="Y151" s="26"/>
      <c r="Z151" s="26"/>
      <c r="AA151" s="27">
        <f>SUM(AA149:AA150)</f>
        <v>54200</v>
      </c>
      <c r="AB151" s="27">
        <f t="shared" ref="AB151" si="448">SUM(AB149:AB150)</f>
        <v>0</v>
      </c>
      <c r="AC151" s="27">
        <f t="shared" ref="AC151" si="449">SUM(AC149:AC150)</f>
        <v>54200</v>
      </c>
      <c r="AD151" s="184"/>
      <c r="AE151" s="26"/>
      <c r="AF151" s="26"/>
      <c r="AG151" s="27">
        <f>SUM(AG149:AG150)</f>
        <v>46200</v>
      </c>
      <c r="AH151" s="27">
        <f t="shared" ref="AH151" si="450">SUM(AH149:AH150)</f>
        <v>0</v>
      </c>
      <c r="AI151" s="27">
        <f t="shared" ref="AI151" si="451">SUM(AI149:AI150)</f>
        <v>46200</v>
      </c>
      <c r="AJ151" s="29">
        <f>SUM(AJ149:AJ150)</f>
        <v>253400</v>
      </c>
      <c r="AK151" s="29">
        <f t="shared" ref="AK151:AL151" si="452">SUM(AK149:AK150)</f>
        <v>0</v>
      </c>
      <c r="AL151" s="29">
        <f t="shared" si="452"/>
        <v>253400</v>
      </c>
    </row>
    <row r="152" spans="1:42">
      <c r="A152" s="327"/>
      <c r="D152" s="63"/>
      <c r="E152" s="35"/>
      <c r="I152" s="11"/>
      <c r="J152" s="12"/>
      <c r="K152" s="205"/>
      <c r="L152" s="35"/>
      <c r="O152" s="11"/>
      <c r="P152" s="12"/>
      <c r="Q152" s="205"/>
      <c r="R152" s="35"/>
      <c r="U152" s="11"/>
      <c r="V152" s="12"/>
      <c r="W152" s="205"/>
      <c r="X152" s="35"/>
      <c r="AA152" s="11"/>
      <c r="AB152" s="12"/>
      <c r="AC152" s="205"/>
      <c r="AD152" s="35"/>
      <c r="AG152" s="11"/>
      <c r="AH152" s="12"/>
      <c r="AI152" s="205"/>
      <c r="AJ152" s="206"/>
      <c r="AK152" s="206"/>
      <c r="AL152" s="206"/>
      <c r="AM152" s="5"/>
      <c r="AN152" s="244"/>
      <c r="AO152" s="244"/>
      <c r="AP152" s="244"/>
    </row>
    <row r="153" spans="1:42">
      <c r="A153" s="327"/>
      <c r="D153" s="166" t="s">
        <v>200</v>
      </c>
      <c r="E153" s="35"/>
      <c r="I153" s="11"/>
      <c r="J153" s="12"/>
      <c r="K153" s="205"/>
      <c r="L153" s="35"/>
      <c r="O153" s="11"/>
      <c r="P153" s="12"/>
      <c r="Q153" s="205"/>
      <c r="R153" s="35"/>
      <c r="U153" s="11"/>
      <c r="V153" s="12"/>
      <c r="W153" s="205"/>
      <c r="X153" s="35"/>
      <c r="AA153" s="11"/>
      <c r="AB153" s="12"/>
      <c r="AC153" s="205"/>
      <c r="AD153" s="35"/>
      <c r="AG153" s="11"/>
      <c r="AH153" s="12"/>
      <c r="AI153" s="205"/>
      <c r="AJ153" s="206"/>
      <c r="AK153" s="206"/>
      <c r="AL153" s="206"/>
      <c r="AM153" s="5"/>
      <c r="AN153" s="244"/>
      <c r="AO153" s="244"/>
      <c r="AP153" s="244"/>
    </row>
    <row r="154" spans="1:42">
      <c r="A154" s="327" t="s">
        <v>201</v>
      </c>
      <c r="B154" s="305">
        <v>8220</v>
      </c>
      <c r="C154" s="308">
        <v>0</v>
      </c>
      <c r="D154" s="63" t="s">
        <v>202</v>
      </c>
      <c r="E154" s="35">
        <v>1</v>
      </c>
      <c r="F154" s="135">
        <v>25000</v>
      </c>
      <c r="G154" s="6">
        <v>1</v>
      </c>
      <c r="H154" s="6" t="s">
        <v>155</v>
      </c>
      <c r="I154" s="11">
        <f>G154*F154*E154</f>
        <v>25000</v>
      </c>
      <c r="J154" s="12">
        <v>0</v>
      </c>
      <c r="K154" s="205">
        <f>SUM(I154:J154)</f>
        <v>25000</v>
      </c>
      <c r="L154" s="35">
        <v>0</v>
      </c>
      <c r="M154" s="135">
        <f>F154</f>
        <v>25000</v>
      </c>
      <c r="N154" s="6">
        <v>0</v>
      </c>
      <c r="O154" s="11">
        <f>N154*M154*L154</f>
        <v>0</v>
      </c>
      <c r="P154" s="12">
        <v>0</v>
      </c>
      <c r="Q154" s="205">
        <f>SUM(O154:P154)</f>
        <v>0</v>
      </c>
      <c r="R154" s="35">
        <v>0</v>
      </c>
      <c r="S154" s="135">
        <f>F154</f>
        <v>25000</v>
      </c>
      <c r="T154" s="6">
        <v>0</v>
      </c>
      <c r="U154" s="11">
        <f>T154*S154*R154</f>
        <v>0</v>
      </c>
      <c r="V154" s="12">
        <v>0</v>
      </c>
      <c r="W154" s="205">
        <f>SUM(U154:U154)</f>
        <v>0</v>
      </c>
      <c r="X154" s="35">
        <v>0</v>
      </c>
      <c r="Y154" s="135">
        <f>F154</f>
        <v>25000</v>
      </c>
      <c r="Z154" s="6">
        <v>0</v>
      </c>
      <c r="AA154" s="11">
        <f>Z154*Y154*X154</f>
        <v>0</v>
      </c>
      <c r="AB154" s="12">
        <v>0</v>
      </c>
      <c r="AC154" s="205">
        <f>SUM(AA154:AB154)</f>
        <v>0</v>
      </c>
      <c r="AD154" s="35">
        <v>0</v>
      </c>
      <c r="AE154" s="135">
        <f>F154</f>
        <v>25000</v>
      </c>
      <c r="AF154" s="6">
        <v>0</v>
      </c>
      <c r="AG154" s="11">
        <f>AF154*AE154*AD154</f>
        <v>0</v>
      </c>
      <c r="AH154" s="12">
        <v>0</v>
      </c>
      <c r="AI154" s="205">
        <f>SUM(AG154:AH154)</f>
        <v>0</v>
      </c>
      <c r="AJ154" s="206">
        <f t="shared" ref="AJ154:AJ157" si="453">I154+O154+U154+AA154+AG154</f>
        <v>25000</v>
      </c>
      <c r="AK154" s="206">
        <f t="shared" si="438"/>
        <v>0</v>
      </c>
      <c r="AL154" s="206">
        <f t="shared" ref="AL154:AL157" si="454">SUM(AJ154:AK154)</f>
        <v>25000</v>
      </c>
      <c r="AM154" s="5"/>
      <c r="AN154" s="244"/>
      <c r="AO154" s="244"/>
      <c r="AP154" s="244"/>
    </row>
    <row r="155" spans="1:42">
      <c r="A155" s="327" t="s">
        <v>203</v>
      </c>
      <c r="B155" s="305">
        <v>7610</v>
      </c>
      <c r="C155" s="308">
        <v>0</v>
      </c>
      <c r="D155" s="63" t="s">
        <v>204</v>
      </c>
      <c r="E155" s="35">
        <v>1</v>
      </c>
      <c r="F155" s="135">
        <v>11267</v>
      </c>
      <c r="G155" s="6">
        <v>9</v>
      </c>
      <c r="H155" s="6" t="s">
        <v>83</v>
      </c>
      <c r="I155" s="11">
        <f>G155*F155*E155</f>
        <v>101403</v>
      </c>
      <c r="J155" s="12">
        <v>0</v>
      </c>
      <c r="K155" s="205">
        <f>SUM(I155:J155)</f>
        <v>101403</v>
      </c>
      <c r="L155" s="35">
        <v>1</v>
      </c>
      <c r="M155" s="12">
        <f>F155</f>
        <v>11267</v>
      </c>
      <c r="N155" s="6">
        <v>0</v>
      </c>
      <c r="O155" s="11">
        <f>N155*M155*L155</f>
        <v>0</v>
      </c>
      <c r="P155" s="12">
        <v>0</v>
      </c>
      <c r="Q155" s="205">
        <f>SUM(O155:P155)</f>
        <v>0</v>
      </c>
      <c r="R155" s="35">
        <v>1</v>
      </c>
      <c r="S155" s="12">
        <f>F155</f>
        <v>11267</v>
      </c>
      <c r="T155" s="6">
        <v>0</v>
      </c>
      <c r="U155" s="11">
        <f>T155*S155*R155</f>
        <v>0</v>
      </c>
      <c r="V155" s="12">
        <v>0</v>
      </c>
      <c r="W155" s="205">
        <f>SUM(U155:V155)</f>
        <v>0</v>
      </c>
      <c r="X155" s="35">
        <v>1</v>
      </c>
      <c r="Y155" s="12">
        <f>F155</f>
        <v>11267</v>
      </c>
      <c r="Z155" s="6">
        <v>0</v>
      </c>
      <c r="AA155" s="11">
        <f>Z155*Y155*X155</f>
        <v>0</v>
      </c>
      <c r="AB155" s="12">
        <v>0</v>
      </c>
      <c r="AC155" s="205">
        <f>SUM(AA155:AB155)</f>
        <v>0</v>
      </c>
      <c r="AD155" s="35">
        <v>1</v>
      </c>
      <c r="AE155" s="12">
        <f>F155</f>
        <v>11267</v>
      </c>
      <c r="AF155" s="6">
        <v>0</v>
      </c>
      <c r="AG155" s="11">
        <f>AF155*AD155*AE155</f>
        <v>0</v>
      </c>
      <c r="AH155" s="12">
        <v>0</v>
      </c>
      <c r="AI155" s="205">
        <f>SUM(AG155:AH155)</f>
        <v>0</v>
      </c>
      <c r="AJ155" s="206">
        <f t="shared" ref="AJ155" si="455">I155+O155+U155+AA155+AG155</f>
        <v>101403</v>
      </c>
      <c r="AK155" s="206">
        <f t="shared" si="438"/>
        <v>0</v>
      </c>
      <c r="AL155" s="206">
        <f t="shared" ref="AL155" si="456">SUM(AJ155:AK155)</f>
        <v>101403</v>
      </c>
      <c r="AM155" s="5"/>
      <c r="AN155" s="244"/>
      <c r="AO155" s="244"/>
      <c r="AP155" s="244"/>
    </row>
    <row r="156" spans="1:42">
      <c r="A156" s="327" t="s">
        <v>203</v>
      </c>
      <c r="B156" s="305">
        <v>7610</v>
      </c>
      <c r="C156" s="308">
        <v>0</v>
      </c>
      <c r="D156" s="63" t="s">
        <v>205</v>
      </c>
      <c r="E156" s="35">
        <v>1</v>
      </c>
      <c r="F156" s="135">
        <v>6587</v>
      </c>
      <c r="G156" s="6">
        <v>9</v>
      </c>
      <c r="H156" s="6" t="s">
        <v>83</v>
      </c>
      <c r="I156" s="11">
        <f>G156*F156*E156</f>
        <v>59283</v>
      </c>
      <c r="J156" s="12">
        <v>0</v>
      </c>
      <c r="K156" s="205">
        <f>SUM(I156:J156)</f>
        <v>59283</v>
      </c>
      <c r="L156" s="35">
        <v>1</v>
      </c>
      <c r="M156" s="12">
        <f>F156</f>
        <v>6587</v>
      </c>
      <c r="N156" s="6">
        <v>0</v>
      </c>
      <c r="O156" s="11">
        <f>N156*M156*L156</f>
        <v>0</v>
      </c>
      <c r="P156" s="12">
        <v>0</v>
      </c>
      <c r="Q156" s="205">
        <f>SUM(O156:P156)</f>
        <v>0</v>
      </c>
      <c r="R156" s="35">
        <v>1</v>
      </c>
      <c r="S156" s="12">
        <f>F156</f>
        <v>6587</v>
      </c>
      <c r="T156" s="6">
        <v>0</v>
      </c>
      <c r="U156" s="11">
        <f>T156*S156*R156</f>
        <v>0</v>
      </c>
      <c r="V156" s="12">
        <v>0</v>
      </c>
      <c r="W156" s="205">
        <f>SUM(U156:V156)</f>
        <v>0</v>
      </c>
      <c r="X156" s="35">
        <v>1</v>
      </c>
      <c r="Y156" s="12">
        <f>F156</f>
        <v>6587</v>
      </c>
      <c r="Z156" s="6">
        <v>0</v>
      </c>
      <c r="AA156" s="11">
        <f>Z156*Y156*X156</f>
        <v>0</v>
      </c>
      <c r="AB156" s="12">
        <v>0</v>
      </c>
      <c r="AC156" s="205">
        <f>SUM(AA156:AB156)</f>
        <v>0</v>
      </c>
      <c r="AD156" s="35">
        <v>1</v>
      </c>
      <c r="AE156" s="12">
        <f>F156</f>
        <v>6587</v>
      </c>
      <c r="AF156" s="6">
        <v>0</v>
      </c>
      <c r="AG156" s="11">
        <f>AF156*AD156*AE156</f>
        <v>0</v>
      </c>
      <c r="AH156" s="12">
        <v>0</v>
      </c>
      <c r="AI156" s="205">
        <f>SUM(AG156:AH156)</f>
        <v>0</v>
      </c>
      <c r="AJ156" s="206">
        <f t="shared" si="453"/>
        <v>59283</v>
      </c>
      <c r="AK156" s="206">
        <f t="shared" ref="AK156:AK157" si="457">J156+P156+V156+AB156+AH156</f>
        <v>0</v>
      </c>
      <c r="AL156" s="206">
        <f t="shared" si="454"/>
        <v>59283</v>
      </c>
      <c r="AM156" s="5"/>
      <c r="AN156" s="244"/>
      <c r="AO156" s="244"/>
      <c r="AP156" s="244"/>
    </row>
    <row r="157" spans="1:42">
      <c r="A157" s="327" t="s">
        <v>201</v>
      </c>
      <c r="B157" s="305">
        <v>8110</v>
      </c>
      <c r="C157" s="308">
        <v>0</v>
      </c>
      <c r="D157" s="63" t="s">
        <v>206</v>
      </c>
      <c r="E157" s="35">
        <v>1</v>
      </c>
      <c r="F157" s="135">
        <v>3600</v>
      </c>
      <c r="G157" s="6">
        <v>1</v>
      </c>
      <c r="H157" s="6" t="s">
        <v>207</v>
      </c>
      <c r="I157" s="11">
        <f>G157*F157*E157</f>
        <v>3600</v>
      </c>
      <c r="J157" s="12">
        <v>0</v>
      </c>
      <c r="K157" s="205">
        <f>SUM(I157:J157)</f>
        <v>3600</v>
      </c>
      <c r="L157" s="35">
        <v>1</v>
      </c>
      <c r="M157" s="135">
        <f>F157</f>
        <v>3600</v>
      </c>
      <c r="N157" s="6">
        <v>1</v>
      </c>
      <c r="O157" s="11">
        <f>N157*M157*L157</f>
        <v>3600</v>
      </c>
      <c r="P157" s="12">
        <v>0</v>
      </c>
      <c r="Q157" s="205">
        <f>SUM(O157:P157)</f>
        <v>3600</v>
      </c>
      <c r="R157" s="35">
        <v>1</v>
      </c>
      <c r="S157" s="135">
        <f>F157</f>
        <v>3600</v>
      </c>
      <c r="T157" s="6">
        <v>1</v>
      </c>
      <c r="U157" s="11">
        <f>T157*S157*R157</f>
        <v>3600</v>
      </c>
      <c r="V157" s="12">
        <v>0</v>
      </c>
      <c r="W157" s="205">
        <f>SUM(U157:U157)</f>
        <v>3600</v>
      </c>
      <c r="X157" s="35">
        <v>1</v>
      </c>
      <c r="Y157" s="135">
        <f>F157</f>
        <v>3600</v>
      </c>
      <c r="Z157" s="6">
        <v>1</v>
      </c>
      <c r="AA157" s="11">
        <f>Z157*Y157*X157</f>
        <v>3600</v>
      </c>
      <c r="AB157" s="12">
        <v>0</v>
      </c>
      <c r="AC157" s="205">
        <f>SUM(AA157:AB157)</f>
        <v>3600</v>
      </c>
      <c r="AD157" s="35">
        <v>1</v>
      </c>
      <c r="AE157" s="135">
        <f>F157</f>
        <v>3600</v>
      </c>
      <c r="AF157" s="6">
        <v>1</v>
      </c>
      <c r="AG157" s="11">
        <f>AF157*AE157*AD157</f>
        <v>3600</v>
      </c>
      <c r="AH157" s="12">
        <v>0</v>
      </c>
      <c r="AI157" s="205">
        <f>SUM(AG157:AH157)</f>
        <v>3600</v>
      </c>
      <c r="AJ157" s="206">
        <f t="shared" si="453"/>
        <v>18000</v>
      </c>
      <c r="AK157" s="206">
        <f t="shared" si="457"/>
        <v>0</v>
      </c>
      <c r="AL157" s="206">
        <f t="shared" si="454"/>
        <v>18000</v>
      </c>
      <c r="AM157" s="5"/>
      <c r="AN157" s="244"/>
      <c r="AO157" s="244"/>
      <c r="AP157" s="244"/>
    </row>
    <row r="158" spans="1:42" s="1" customFormat="1">
      <c r="A158" s="325"/>
      <c r="B158" s="326"/>
      <c r="C158" s="329"/>
      <c r="D158" s="183" t="s">
        <v>208</v>
      </c>
      <c r="E158" s="184"/>
      <c r="F158" s="26"/>
      <c r="G158" s="185"/>
      <c r="H158" s="26"/>
      <c r="I158" s="27">
        <f>SUM(I154:I157)</f>
        <v>189286</v>
      </c>
      <c r="J158" s="27">
        <f>SUM(J154:J157)</f>
        <v>0</v>
      </c>
      <c r="K158" s="27">
        <f>SUM(K154:K157)</f>
        <v>189286</v>
      </c>
      <c r="L158" s="184"/>
      <c r="M158" s="186"/>
      <c r="N158" s="26"/>
      <c r="O158" s="27">
        <f>SUM(O154:O157)</f>
        <v>3600</v>
      </c>
      <c r="P158" s="27">
        <f>SUM(P154:P157)</f>
        <v>0</v>
      </c>
      <c r="Q158" s="27">
        <f>SUM(Q154:Q157)</f>
        <v>3600</v>
      </c>
      <c r="R158" s="184"/>
      <c r="S158" s="26"/>
      <c r="T158" s="26"/>
      <c r="U158" s="27">
        <f>SUM(U154:U157)</f>
        <v>3600</v>
      </c>
      <c r="V158" s="27">
        <f>SUM(V154:V157)</f>
        <v>0</v>
      </c>
      <c r="W158" s="27">
        <f>SUM(W154:W157)</f>
        <v>3600</v>
      </c>
      <c r="X158" s="184"/>
      <c r="Y158" s="26"/>
      <c r="Z158" s="26"/>
      <c r="AA158" s="27">
        <f>SUM(AA154:AA157)</f>
        <v>3600</v>
      </c>
      <c r="AB158" s="27">
        <f>SUM(AB154:AB157)</f>
        <v>0</v>
      </c>
      <c r="AC158" s="27">
        <f>SUM(AC154:AC157)</f>
        <v>3600</v>
      </c>
      <c r="AD158" s="184"/>
      <c r="AE158" s="26"/>
      <c r="AF158" s="26"/>
      <c r="AG158" s="27">
        <f>SUM(AG154:AG157)</f>
        <v>3600</v>
      </c>
      <c r="AH158" s="27">
        <f>SUM(AH154:AH157)</f>
        <v>0</v>
      </c>
      <c r="AI158" s="27">
        <f>SUM(AI154:AI157)</f>
        <v>3600</v>
      </c>
      <c r="AJ158" s="29">
        <f>SUM(AJ152:AJ157)</f>
        <v>203686</v>
      </c>
      <c r="AK158" s="29">
        <f>SUM(AK152:AK157)</f>
        <v>0</v>
      </c>
      <c r="AL158" s="29">
        <f>SUM(AL152:AL157)</f>
        <v>203686</v>
      </c>
    </row>
    <row r="159" spans="1:42">
      <c r="A159" s="327"/>
      <c r="D159" s="61"/>
      <c r="E159" s="35"/>
      <c r="F159" s="135"/>
      <c r="I159" s="11"/>
      <c r="J159" s="12"/>
      <c r="K159" s="205"/>
      <c r="L159" s="35"/>
      <c r="O159" s="11"/>
      <c r="P159" s="12"/>
      <c r="Q159" s="205"/>
      <c r="R159" s="35"/>
      <c r="U159" s="11"/>
      <c r="V159" s="12"/>
      <c r="W159" s="205"/>
      <c r="X159" s="35"/>
      <c r="AA159" s="11"/>
      <c r="AB159" s="12"/>
      <c r="AC159" s="205"/>
      <c r="AD159" s="35"/>
      <c r="AG159" s="11"/>
      <c r="AH159" s="12"/>
      <c r="AI159" s="205"/>
      <c r="AJ159" s="206"/>
      <c r="AK159" s="206"/>
      <c r="AL159" s="206"/>
      <c r="AM159" s="5"/>
      <c r="AN159" s="244"/>
      <c r="AO159" s="244"/>
      <c r="AP159" s="244"/>
    </row>
    <row r="160" spans="1:42">
      <c r="A160" s="327"/>
      <c r="D160" s="166" t="s">
        <v>209</v>
      </c>
      <c r="E160" s="35"/>
      <c r="F160" s="135"/>
      <c r="I160" s="11"/>
      <c r="J160" s="12"/>
      <c r="K160" s="205"/>
      <c r="L160" s="35"/>
      <c r="O160" s="11"/>
      <c r="P160" s="12"/>
      <c r="Q160" s="205"/>
      <c r="R160" s="35"/>
      <c r="U160" s="11"/>
      <c r="V160" s="12"/>
      <c r="W160" s="205"/>
      <c r="X160" s="35"/>
      <c r="AA160" s="11"/>
      <c r="AB160" s="12"/>
      <c r="AC160" s="205"/>
      <c r="AD160" s="35"/>
      <c r="AG160" s="11"/>
      <c r="AH160" s="12"/>
      <c r="AI160" s="205"/>
      <c r="AJ160" s="206"/>
      <c r="AK160" s="206"/>
      <c r="AL160" s="206"/>
      <c r="AM160" s="5"/>
      <c r="AN160" s="244"/>
      <c r="AO160" s="244"/>
      <c r="AP160" s="244"/>
    </row>
    <row r="161" spans="1:42">
      <c r="A161" s="327" t="s">
        <v>210</v>
      </c>
      <c r="B161" s="305">
        <v>8221</v>
      </c>
      <c r="C161" s="303" t="s">
        <v>51</v>
      </c>
      <c r="D161" s="63" t="s">
        <v>211</v>
      </c>
      <c r="E161" s="35">
        <v>0</v>
      </c>
      <c r="F161" s="135">
        <v>115000</v>
      </c>
      <c r="H161" s="6" t="s">
        <v>155</v>
      </c>
      <c r="I161" s="11">
        <f t="shared" ref="I161:I162" si="458">F161*E161</f>
        <v>0</v>
      </c>
      <c r="J161" s="12">
        <v>0</v>
      </c>
      <c r="K161" s="205">
        <f>SUM(I161:J161)</f>
        <v>0</v>
      </c>
      <c r="L161" s="35">
        <v>0</v>
      </c>
      <c r="M161" s="135">
        <f t="shared" ref="M161" si="459">F161</f>
        <v>115000</v>
      </c>
      <c r="O161" s="11">
        <f t="shared" ref="O161:O162" si="460">L161*M161</f>
        <v>0</v>
      </c>
      <c r="P161" s="12">
        <v>0</v>
      </c>
      <c r="Q161" s="205">
        <f>SUM(O161:P161)</f>
        <v>0</v>
      </c>
      <c r="R161" s="35">
        <v>0</v>
      </c>
      <c r="S161" s="135">
        <f t="shared" ref="S161:S162" si="461">F161</f>
        <v>115000</v>
      </c>
      <c r="U161" s="11">
        <f t="shared" ref="U161:U162" si="462">S161*R161</f>
        <v>0</v>
      </c>
      <c r="V161" s="12">
        <v>0</v>
      </c>
      <c r="W161" s="205">
        <f>SUM(U161:U161)</f>
        <v>0</v>
      </c>
      <c r="X161" s="35">
        <v>0</v>
      </c>
      <c r="Y161" s="135">
        <f t="shared" ref="Y161" si="463">F161</f>
        <v>115000</v>
      </c>
      <c r="AA161" s="11">
        <f t="shared" ref="AA161:AA162" si="464">Y161*X161</f>
        <v>0</v>
      </c>
      <c r="AB161" s="12">
        <v>0</v>
      </c>
      <c r="AC161" s="205">
        <f>SUM(AA161:AB161)</f>
        <v>0</v>
      </c>
      <c r="AD161" s="35">
        <v>1</v>
      </c>
      <c r="AE161" s="135">
        <f t="shared" ref="AE161:AE162" si="465">F161</f>
        <v>115000</v>
      </c>
      <c r="AG161" s="11">
        <f t="shared" ref="AG161" si="466">AE161*AD161</f>
        <v>115000</v>
      </c>
      <c r="AH161" s="12">
        <v>0</v>
      </c>
      <c r="AI161" s="205">
        <f>SUM(AG161:AH161)</f>
        <v>115000</v>
      </c>
      <c r="AJ161" s="206">
        <f t="shared" ref="AJ161:AJ162" si="467">I161+O161+U161+AA161+AG161</f>
        <v>115000</v>
      </c>
      <c r="AK161" s="206">
        <f t="shared" si="438"/>
        <v>0</v>
      </c>
      <c r="AL161" s="206">
        <f t="shared" ref="AL161:AL162" si="468">SUM(AJ161:AK161)</f>
        <v>115000</v>
      </c>
      <c r="AM161" s="5"/>
      <c r="AN161" s="244"/>
      <c r="AO161" s="244"/>
      <c r="AP161" s="244"/>
    </row>
    <row r="162" spans="1:42">
      <c r="A162" s="327" t="s">
        <v>210</v>
      </c>
      <c r="B162" s="305">
        <v>8221</v>
      </c>
      <c r="C162" s="303" t="s">
        <v>51</v>
      </c>
      <c r="D162" s="63" t="s">
        <v>212</v>
      </c>
      <c r="E162" s="35">
        <v>1</v>
      </c>
      <c r="F162" s="135">
        <v>616500</v>
      </c>
      <c r="H162" s="6" t="s">
        <v>155</v>
      </c>
      <c r="I162" s="11">
        <f t="shared" si="458"/>
        <v>616500</v>
      </c>
      <c r="J162" s="12">
        <v>0</v>
      </c>
      <c r="K162" s="205">
        <f>SUM(I162:J162)</f>
        <v>616500</v>
      </c>
      <c r="L162" s="35">
        <v>0</v>
      </c>
      <c r="M162" s="135">
        <f>F162</f>
        <v>616500</v>
      </c>
      <c r="O162" s="11">
        <f t="shared" si="460"/>
        <v>0</v>
      </c>
      <c r="P162" s="12">
        <v>0</v>
      </c>
      <c r="Q162" s="205">
        <f>SUM(O162:P162)</f>
        <v>0</v>
      </c>
      <c r="R162" s="35">
        <v>0</v>
      </c>
      <c r="S162" s="135">
        <f t="shared" si="461"/>
        <v>616500</v>
      </c>
      <c r="U162" s="11">
        <f t="shared" si="462"/>
        <v>0</v>
      </c>
      <c r="V162" s="12">
        <v>0</v>
      </c>
      <c r="W162" s="205">
        <f>SUM(U162:U162)</f>
        <v>0</v>
      </c>
      <c r="X162" s="35">
        <v>0</v>
      </c>
      <c r="Y162" s="135">
        <v>375000</v>
      </c>
      <c r="AA162" s="11">
        <f t="shared" si="464"/>
        <v>0</v>
      </c>
      <c r="AB162" s="12">
        <v>0</v>
      </c>
      <c r="AC162" s="205">
        <f>SUM(AA162:AB162)</f>
        <v>0</v>
      </c>
      <c r="AD162" s="35">
        <v>0</v>
      </c>
      <c r="AE162" s="135">
        <f t="shared" si="465"/>
        <v>616500</v>
      </c>
      <c r="AG162" s="11">
        <f>AE162*AD162</f>
        <v>0</v>
      </c>
      <c r="AH162" s="12">
        <v>0</v>
      </c>
      <c r="AI162" s="205">
        <f>SUM(AG162:AH162)</f>
        <v>0</v>
      </c>
      <c r="AJ162" s="206">
        <f t="shared" si="467"/>
        <v>616500</v>
      </c>
      <c r="AK162" s="206">
        <f t="shared" si="438"/>
        <v>0</v>
      </c>
      <c r="AL162" s="206">
        <f t="shared" si="468"/>
        <v>616500</v>
      </c>
      <c r="AM162" s="5"/>
      <c r="AN162" s="244"/>
      <c r="AO162" s="244"/>
      <c r="AP162" s="244"/>
    </row>
    <row r="163" spans="1:42" s="1" customFormat="1">
      <c r="A163" s="325"/>
      <c r="B163" s="326"/>
      <c r="C163" s="329"/>
      <c r="D163" s="183" t="s">
        <v>213</v>
      </c>
      <c r="E163" s="184"/>
      <c r="F163" s="26"/>
      <c r="G163" s="185"/>
      <c r="H163" s="26"/>
      <c r="I163" s="27">
        <f>SUM(I161:I162)</f>
        <v>616500</v>
      </c>
      <c r="J163" s="27">
        <f>SUM(J161:J162)</f>
        <v>0</v>
      </c>
      <c r="K163" s="27">
        <f>SUM(K161:K162)</f>
        <v>616500</v>
      </c>
      <c r="L163" s="184"/>
      <c r="M163" s="186"/>
      <c r="N163" s="26"/>
      <c r="O163" s="27">
        <f>SUM(O161:O162)</f>
        <v>0</v>
      </c>
      <c r="P163" s="27">
        <f>SUM(P161:P162)</f>
        <v>0</v>
      </c>
      <c r="Q163" s="27">
        <f>SUM(Q161:Q162)</f>
        <v>0</v>
      </c>
      <c r="R163" s="184"/>
      <c r="S163" s="26"/>
      <c r="T163" s="26"/>
      <c r="U163" s="27">
        <f>SUM(U161:U162)</f>
        <v>0</v>
      </c>
      <c r="V163" s="27">
        <f>SUM(V161:V162)</f>
        <v>0</v>
      </c>
      <c r="W163" s="27">
        <f>SUM(W161:W162)</f>
        <v>0</v>
      </c>
      <c r="X163" s="184"/>
      <c r="Y163" s="26"/>
      <c r="Z163" s="26"/>
      <c r="AA163" s="27">
        <f>SUM(AA161:AA162)</f>
        <v>0</v>
      </c>
      <c r="AB163" s="27">
        <f>SUM(AB161:AB162)</f>
        <v>0</v>
      </c>
      <c r="AC163" s="27">
        <f>SUM(AC161:AC162)</f>
        <v>0</v>
      </c>
      <c r="AD163" s="184"/>
      <c r="AE163" s="26"/>
      <c r="AF163" s="26"/>
      <c r="AG163" s="27">
        <f t="shared" ref="AG163:AL163" si="469">SUM(AG161:AG162)</f>
        <v>115000</v>
      </c>
      <c r="AH163" s="27">
        <f t="shared" si="469"/>
        <v>0</v>
      </c>
      <c r="AI163" s="27">
        <f t="shared" si="469"/>
        <v>115000</v>
      </c>
      <c r="AJ163" s="29">
        <f t="shared" si="469"/>
        <v>731500</v>
      </c>
      <c r="AK163" s="29">
        <f t="shared" si="469"/>
        <v>0</v>
      </c>
      <c r="AL163" s="29">
        <f t="shared" si="469"/>
        <v>731500</v>
      </c>
    </row>
    <row r="164" spans="1:42">
      <c r="A164" s="327"/>
      <c r="D164" s="61"/>
      <c r="E164" s="35"/>
      <c r="F164" s="135"/>
      <c r="I164" s="11"/>
      <c r="J164" s="12"/>
      <c r="K164" s="205"/>
      <c r="L164" s="35"/>
      <c r="O164" s="11"/>
      <c r="P164" s="12"/>
      <c r="Q164" s="205"/>
      <c r="R164" s="35"/>
      <c r="U164" s="11"/>
      <c r="V164" s="12"/>
      <c r="W164" s="205"/>
      <c r="X164" s="35"/>
      <c r="AA164" s="11"/>
      <c r="AB164" s="12"/>
      <c r="AC164" s="205"/>
      <c r="AD164" s="35"/>
      <c r="AG164" s="11"/>
      <c r="AH164" s="12"/>
      <c r="AI164" s="205"/>
      <c r="AJ164" s="206"/>
      <c r="AK164" s="206"/>
      <c r="AL164" s="206"/>
      <c r="AM164" s="5"/>
      <c r="AN164" s="244"/>
      <c r="AO164" s="244"/>
      <c r="AP164" s="244"/>
    </row>
    <row r="165" spans="1:42">
      <c r="A165" s="301"/>
      <c r="B165" s="307"/>
      <c r="C165" s="304"/>
      <c r="D165" s="209"/>
      <c r="E165" s="34"/>
      <c r="F165" s="24"/>
      <c r="G165" s="24"/>
      <c r="H165" s="24"/>
      <c r="I165" s="18"/>
      <c r="J165" s="19"/>
      <c r="K165" s="241"/>
      <c r="L165" s="34"/>
      <c r="M165" s="24"/>
      <c r="N165" s="24"/>
      <c r="O165" s="18"/>
      <c r="P165" s="19"/>
      <c r="Q165" s="241"/>
      <c r="R165" s="34"/>
      <c r="S165" s="24"/>
      <c r="T165" s="24"/>
      <c r="U165" s="18"/>
      <c r="V165" s="19"/>
      <c r="W165" s="241"/>
      <c r="X165" s="34"/>
      <c r="Y165" s="24"/>
      <c r="Z165" s="24"/>
      <c r="AA165" s="18"/>
      <c r="AB165" s="19"/>
      <c r="AC165" s="241"/>
      <c r="AD165" s="34"/>
      <c r="AE165" s="24"/>
      <c r="AF165" s="24"/>
      <c r="AG165" s="18"/>
      <c r="AH165" s="19"/>
      <c r="AI165" s="241"/>
      <c r="AJ165" s="242"/>
      <c r="AK165" s="242"/>
      <c r="AL165" s="242"/>
      <c r="AM165" s="5"/>
      <c r="AN165" s="245"/>
      <c r="AO165" s="5"/>
      <c r="AP165" s="5"/>
    </row>
    <row r="166" spans="1:42" s="9" customFormat="1">
      <c r="A166" s="330"/>
      <c r="B166" s="331"/>
      <c r="C166" s="332"/>
      <c r="D166" s="112" t="s">
        <v>214</v>
      </c>
      <c r="E166" s="246"/>
      <c r="F166" s="247"/>
      <c r="G166" s="247"/>
      <c r="H166" s="247"/>
      <c r="I166" s="215">
        <f>I163+I147+I158+I151+I141</f>
        <v>2100186</v>
      </c>
      <c r="J166" s="215">
        <f>J163+J147+J158+J151+J141</f>
        <v>0</v>
      </c>
      <c r="K166" s="215">
        <f>K163+K147+K158+K151+K141</f>
        <v>2100186</v>
      </c>
      <c r="L166" s="246"/>
      <c r="M166" s="247"/>
      <c r="N166" s="247"/>
      <c r="O166" s="215">
        <f>O163+O147+O158+O151+O141</f>
        <v>1963800</v>
      </c>
      <c r="P166" s="215">
        <f>P163+P147+P158+P151+P141</f>
        <v>0</v>
      </c>
      <c r="Q166" s="215">
        <f>Q163+Q147+Q158+Q151+Q141</f>
        <v>1963800</v>
      </c>
      <c r="R166" s="246"/>
      <c r="S166" s="247"/>
      <c r="T166" s="247"/>
      <c r="U166" s="215">
        <f>U163+U147+U158+U151+U141</f>
        <v>1519200</v>
      </c>
      <c r="V166" s="215">
        <f>V163+V147+V158+V151+V141</f>
        <v>0</v>
      </c>
      <c r="W166" s="215">
        <f>W163+W147+W158+W151+W141</f>
        <v>1519200</v>
      </c>
      <c r="X166" s="246"/>
      <c r="Y166" s="247"/>
      <c r="Z166" s="247"/>
      <c r="AA166" s="215">
        <f>AA163+AA147+AA158+AA151+AA141</f>
        <v>944200</v>
      </c>
      <c r="AB166" s="215">
        <f>AB163+AB147+AB158+AB151+AB141</f>
        <v>0</v>
      </c>
      <c r="AC166" s="215">
        <f>AC163+AC147+AC158+AC151+AC141</f>
        <v>944200</v>
      </c>
      <c r="AD166" s="246"/>
      <c r="AE166" s="247"/>
      <c r="AF166" s="247"/>
      <c r="AG166" s="215">
        <f t="shared" ref="AG166:AL166" si="470">AG163+AG147+AG158+AG151+AG141</f>
        <v>848000</v>
      </c>
      <c r="AH166" s="215">
        <f t="shared" si="470"/>
        <v>0</v>
      </c>
      <c r="AI166" s="215">
        <f t="shared" si="470"/>
        <v>848000</v>
      </c>
      <c r="AJ166" s="215">
        <f t="shared" si="470"/>
        <v>7375386</v>
      </c>
      <c r="AK166" s="215">
        <f t="shared" si="470"/>
        <v>0</v>
      </c>
      <c r="AL166" s="215">
        <f t="shared" si="470"/>
        <v>7375386</v>
      </c>
      <c r="AM166" s="25"/>
      <c r="AN166" s="25"/>
      <c r="AO166" s="25"/>
      <c r="AP166" s="25"/>
    </row>
    <row r="167" spans="1:42" s="9" customFormat="1">
      <c r="A167" s="333"/>
      <c r="B167" s="334"/>
      <c r="C167" s="335"/>
      <c r="D167" s="248"/>
      <c r="E167" s="249"/>
      <c r="F167" s="250"/>
      <c r="G167" s="250"/>
      <c r="H167" s="250"/>
      <c r="I167" s="251"/>
      <c r="J167" s="252"/>
      <c r="K167" s="253"/>
      <c r="L167" s="249"/>
      <c r="M167" s="250"/>
      <c r="N167" s="250"/>
      <c r="O167" s="251"/>
      <c r="P167" s="252"/>
      <c r="Q167" s="253"/>
      <c r="R167" s="249"/>
      <c r="S167" s="250"/>
      <c r="T167" s="250"/>
      <c r="U167" s="251"/>
      <c r="V167" s="252"/>
      <c r="W167" s="253"/>
      <c r="X167" s="249"/>
      <c r="Y167" s="250"/>
      <c r="Z167" s="250"/>
      <c r="AA167" s="251"/>
      <c r="AB167" s="252"/>
      <c r="AC167" s="253"/>
      <c r="AD167" s="249"/>
      <c r="AE167" s="250"/>
      <c r="AF167" s="250"/>
      <c r="AG167" s="251"/>
      <c r="AH167" s="252"/>
      <c r="AI167" s="253"/>
      <c r="AJ167" s="254"/>
      <c r="AK167" s="254"/>
      <c r="AL167" s="254"/>
      <c r="AM167" s="25"/>
      <c r="AN167" s="25"/>
      <c r="AO167" s="25"/>
      <c r="AP167" s="25"/>
    </row>
    <row r="168" spans="1:42">
      <c r="A168" s="318"/>
      <c r="B168" s="319"/>
      <c r="C168" s="320"/>
      <c r="D168" s="78" t="s">
        <v>19</v>
      </c>
      <c r="E168" s="255"/>
      <c r="F168" s="256"/>
      <c r="G168" s="256"/>
      <c r="H168" s="256"/>
      <c r="I168" s="74"/>
      <c r="J168" s="72"/>
      <c r="K168" s="228"/>
      <c r="L168" s="255"/>
      <c r="M168" s="256"/>
      <c r="N168" s="256"/>
      <c r="O168" s="74"/>
      <c r="P168" s="72"/>
      <c r="Q168" s="228"/>
      <c r="R168" s="255"/>
      <c r="S168" s="256"/>
      <c r="T168" s="256"/>
      <c r="U168" s="74"/>
      <c r="V168" s="72"/>
      <c r="W168" s="228"/>
      <c r="X168" s="255"/>
      <c r="Y168" s="256"/>
      <c r="Z168" s="256"/>
      <c r="AA168" s="74"/>
      <c r="AB168" s="72"/>
      <c r="AC168" s="228"/>
      <c r="AD168" s="255"/>
      <c r="AE168" s="256"/>
      <c r="AF168" s="256"/>
      <c r="AG168" s="74"/>
      <c r="AH168" s="72"/>
      <c r="AI168" s="228"/>
      <c r="AJ168" s="229"/>
      <c r="AK168" s="229"/>
      <c r="AL168" s="229"/>
      <c r="AM168" s="5"/>
      <c r="AN168" s="5"/>
      <c r="AO168" s="5"/>
      <c r="AP168" s="5"/>
    </row>
    <row r="169" spans="1:42">
      <c r="A169" s="349"/>
      <c r="B169" s="345"/>
      <c r="C169" s="346"/>
      <c r="D169" s="64"/>
      <c r="E169" s="237"/>
      <c r="F169" s="236"/>
      <c r="G169" s="236"/>
      <c r="H169" s="236"/>
      <c r="I169" s="231"/>
      <c r="J169" s="17"/>
      <c r="K169" s="234"/>
      <c r="L169" s="237"/>
      <c r="M169" s="236"/>
      <c r="N169" s="236"/>
      <c r="O169" s="231"/>
      <c r="P169" s="17"/>
      <c r="Q169" s="234"/>
      <c r="R169" s="237"/>
      <c r="S169" s="236"/>
      <c r="T169" s="236"/>
      <c r="U169" s="231"/>
      <c r="V169" s="17"/>
      <c r="W169" s="234"/>
      <c r="X169" s="237"/>
      <c r="Y169" s="236"/>
      <c r="Z169" s="236"/>
      <c r="AA169" s="231"/>
      <c r="AB169" s="17"/>
      <c r="AC169" s="234"/>
      <c r="AD169" s="237"/>
      <c r="AE169" s="236"/>
      <c r="AF169" s="236"/>
      <c r="AG169" s="231"/>
      <c r="AH169" s="17"/>
      <c r="AI169" s="234"/>
      <c r="AJ169" s="232"/>
      <c r="AK169" s="232"/>
      <c r="AL169" s="232"/>
      <c r="AM169" s="5"/>
      <c r="AN169" s="5"/>
      <c r="AO169" s="5"/>
      <c r="AP169" s="5"/>
    </row>
    <row r="170" spans="1:42">
      <c r="A170" s="327"/>
      <c r="D170" s="166" t="s">
        <v>215</v>
      </c>
      <c r="E170" s="35"/>
      <c r="F170" s="135"/>
      <c r="I170" s="11"/>
      <c r="J170" s="12"/>
      <c r="K170" s="205"/>
      <c r="L170" s="35"/>
      <c r="O170" s="11"/>
      <c r="P170" s="12"/>
      <c r="Q170" s="205"/>
      <c r="R170" s="35"/>
      <c r="U170" s="11"/>
      <c r="V170" s="12"/>
      <c r="W170" s="205"/>
      <c r="X170" s="35"/>
      <c r="AA170" s="11"/>
      <c r="AB170" s="12"/>
      <c r="AC170" s="205"/>
      <c r="AD170" s="35"/>
      <c r="AG170" s="11"/>
      <c r="AH170" s="12"/>
      <c r="AI170" s="205"/>
      <c r="AJ170" s="206"/>
      <c r="AK170" s="206"/>
      <c r="AL170" s="206"/>
      <c r="AM170" s="5"/>
      <c r="AN170" s="244"/>
      <c r="AO170" s="244"/>
      <c r="AP170" s="244"/>
    </row>
    <row r="171" spans="1:42">
      <c r="A171" s="327" t="s">
        <v>216</v>
      </c>
      <c r="B171" s="305">
        <v>7020</v>
      </c>
      <c r="C171" s="298">
        <v>0</v>
      </c>
      <c r="D171" s="63" t="s">
        <v>217</v>
      </c>
      <c r="E171" s="136">
        <f>E66</f>
        <v>3</v>
      </c>
      <c r="F171" s="135">
        <v>40</v>
      </c>
      <c r="G171" s="135">
        <v>1</v>
      </c>
      <c r="H171" s="134" t="s">
        <v>105</v>
      </c>
      <c r="I171" s="129">
        <f>G171*F171*E171</f>
        <v>120</v>
      </c>
      <c r="J171" s="12">
        <v>0</v>
      </c>
      <c r="K171" s="205">
        <f t="shared" ref="K171" si="471">SUM(I171:J171)</f>
        <v>120</v>
      </c>
      <c r="L171" s="136">
        <f>L66</f>
        <v>8</v>
      </c>
      <c r="M171" s="132">
        <f t="shared" ref="M171:M172" si="472">F171*1.02</f>
        <v>40.799999999999997</v>
      </c>
      <c r="N171" s="135">
        <v>1</v>
      </c>
      <c r="O171" s="11">
        <f t="shared" ref="O171:O172" si="473">L171*M171*N171</f>
        <v>326.39999999999998</v>
      </c>
      <c r="P171" s="12">
        <v>0</v>
      </c>
      <c r="Q171" s="205">
        <f t="shared" ref="Q171" si="474">SUM(O171:P171)</f>
        <v>326.39999999999998</v>
      </c>
      <c r="R171" s="136">
        <f>R66</f>
        <v>8</v>
      </c>
      <c r="S171" s="132">
        <f t="shared" ref="S171:S172" si="475">M171*1.02</f>
        <v>41.616</v>
      </c>
      <c r="T171" s="135">
        <v>1</v>
      </c>
      <c r="U171" s="11">
        <f t="shared" ref="U171:U172" si="476">R171*S171*T171</f>
        <v>332.928</v>
      </c>
      <c r="V171" s="12">
        <v>0</v>
      </c>
      <c r="W171" s="205">
        <f t="shared" ref="W171:W172" si="477">SUM(U171:V171)</f>
        <v>332.928</v>
      </c>
      <c r="X171" s="136">
        <f>X66</f>
        <v>8</v>
      </c>
      <c r="Y171" s="132">
        <f t="shared" ref="Y171:Y172" si="478">S171*1.02</f>
        <v>42.448320000000002</v>
      </c>
      <c r="Z171" s="135">
        <v>1</v>
      </c>
      <c r="AA171" s="11">
        <f t="shared" ref="AA171:AA172" si="479">X171*Y171*Z171</f>
        <v>339.58656000000002</v>
      </c>
      <c r="AB171" s="12">
        <v>0</v>
      </c>
      <c r="AC171" s="205">
        <f t="shared" ref="AC171:AC172" si="480">SUM(AA171:AB171)</f>
        <v>339.58656000000002</v>
      </c>
      <c r="AD171" s="136">
        <f>AD66</f>
        <v>6</v>
      </c>
      <c r="AE171" s="132">
        <f t="shared" ref="AE171:AE172" si="481">Y171*1.02</f>
        <v>43.297286400000004</v>
      </c>
      <c r="AF171" s="135">
        <v>1</v>
      </c>
      <c r="AG171" s="11">
        <f t="shared" ref="AG171:AG172" si="482">AD171*AE171*AF171</f>
        <v>259.7837184</v>
      </c>
      <c r="AH171" s="12">
        <v>0</v>
      </c>
      <c r="AI171" s="205">
        <f t="shared" ref="AI171:AI172" si="483">SUM(AG171:AH171)</f>
        <v>259.7837184</v>
      </c>
      <c r="AJ171" s="206">
        <f t="shared" ref="AJ171:AJ172" si="484">I171+O171+U171+AA171+AG171</f>
        <v>1378.6982783999999</v>
      </c>
      <c r="AK171" s="206">
        <f t="shared" ref="AK171:AK172" si="485">J171+P171+V171+AB171+AH171</f>
        <v>0</v>
      </c>
      <c r="AL171" s="206">
        <f t="shared" ref="AL171:AL172" si="486">SUM(AJ171:AK171)</f>
        <v>1378.6982783999999</v>
      </c>
      <c r="AM171" s="5"/>
      <c r="AN171" s="5"/>
      <c r="AO171" s="5"/>
      <c r="AP171" s="5"/>
    </row>
    <row r="172" spans="1:42">
      <c r="A172" s="327" t="s">
        <v>216</v>
      </c>
      <c r="B172" s="305">
        <v>7020</v>
      </c>
      <c r="C172" s="303" t="s">
        <v>51</v>
      </c>
      <c r="D172" s="63" t="s">
        <v>218</v>
      </c>
      <c r="E172" s="136">
        <f>E56</f>
        <v>2</v>
      </c>
      <c r="F172" s="135">
        <v>80</v>
      </c>
      <c r="G172" s="135">
        <v>1</v>
      </c>
      <c r="H172" s="134" t="s">
        <v>105</v>
      </c>
      <c r="I172" s="129">
        <f t="shared" ref="I172" si="487">G172*F172*E172</f>
        <v>160</v>
      </c>
      <c r="J172" s="12">
        <v>0</v>
      </c>
      <c r="K172" s="205">
        <f t="shared" ref="K172" si="488">SUM(I172:J172)</f>
        <v>160</v>
      </c>
      <c r="L172" s="136">
        <f>L56</f>
        <v>10</v>
      </c>
      <c r="M172" s="132">
        <f t="shared" si="472"/>
        <v>81.599999999999994</v>
      </c>
      <c r="N172" s="135">
        <v>1</v>
      </c>
      <c r="O172" s="11">
        <f t="shared" si="473"/>
        <v>816</v>
      </c>
      <c r="P172" s="12">
        <v>0</v>
      </c>
      <c r="Q172" s="205">
        <f t="shared" ref="Q172" si="489">SUM(O172:P172)</f>
        <v>816</v>
      </c>
      <c r="R172" s="136">
        <f>R56</f>
        <v>10</v>
      </c>
      <c r="S172" s="132">
        <f t="shared" si="475"/>
        <v>83.231999999999999</v>
      </c>
      <c r="T172" s="135">
        <v>1</v>
      </c>
      <c r="U172" s="11">
        <f t="shared" si="476"/>
        <v>832.31999999999994</v>
      </c>
      <c r="V172" s="12">
        <v>0</v>
      </c>
      <c r="W172" s="205">
        <f t="shared" si="477"/>
        <v>832.31999999999994</v>
      </c>
      <c r="X172" s="136">
        <f>X56</f>
        <v>10</v>
      </c>
      <c r="Y172" s="132">
        <f t="shared" si="478"/>
        <v>84.896640000000005</v>
      </c>
      <c r="Z172" s="135">
        <v>1</v>
      </c>
      <c r="AA172" s="11">
        <f t="shared" si="479"/>
        <v>848.96640000000002</v>
      </c>
      <c r="AB172" s="12">
        <v>0</v>
      </c>
      <c r="AC172" s="205">
        <f t="shared" si="480"/>
        <v>848.96640000000002</v>
      </c>
      <c r="AD172" s="136">
        <f>AD56</f>
        <v>3</v>
      </c>
      <c r="AE172" s="132">
        <f t="shared" si="481"/>
        <v>86.594572800000009</v>
      </c>
      <c r="AF172" s="135">
        <v>1</v>
      </c>
      <c r="AG172" s="11">
        <f t="shared" si="482"/>
        <v>259.7837184</v>
      </c>
      <c r="AH172" s="12">
        <v>0</v>
      </c>
      <c r="AI172" s="205">
        <f t="shared" si="483"/>
        <v>259.7837184</v>
      </c>
      <c r="AJ172" s="206">
        <f t="shared" si="484"/>
        <v>2917.0701184</v>
      </c>
      <c r="AK172" s="206">
        <f t="shared" si="485"/>
        <v>0</v>
      </c>
      <c r="AL172" s="206">
        <f t="shared" si="486"/>
        <v>2917.0701184</v>
      </c>
      <c r="AM172" s="5"/>
      <c r="AN172" s="5"/>
      <c r="AO172" s="5"/>
      <c r="AP172" s="5"/>
    </row>
    <row r="173" spans="1:42">
      <c r="A173" s="327" t="s">
        <v>216</v>
      </c>
      <c r="B173" s="305">
        <v>7020</v>
      </c>
      <c r="C173" s="303" t="s">
        <v>51</v>
      </c>
      <c r="D173" s="63" t="s">
        <v>219</v>
      </c>
      <c r="E173" s="136">
        <f>E52</f>
        <v>0</v>
      </c>
      <c r="F173" s="135">
        <v>720</v>
      </c>
      <c r="G173" s="135">
        <v>1</v>
      </c>
      <c r="H173" s="134" t="s">
        <v>105</v>
      </c>
      <c r="I173" s="129">
        <f t="shared" ref="I173" si="490">G173*F173*E173</f>
        <v>0</v>
      </c>
      <c r="J173" s="12">
        <v>0</v>
      </c>
      <c r="K173" s="205">
        <f t="shared" ref="K173" si="491">SUM(I173:J173)</f>
        <v>0</v>
      </c>
      <c r="L173" s="136">
        <f>L52</f>
        <v>3</v>
      </c>
      <c r="M173" s="132">
        <f t="shared" ref="M173" si="492">F173*1.02</f>
        <v>734.4</v>
      </c>
      <c r="N173" s="135">
        <v>1</v>
      </c>
      <c r="O173" s="11">
        <f t="shared" ref="O173" si="493">L173*M173*N173</f>
        <v>2203.1999999999998</v>
      </c>
      <c r="P173" s="12">
        <v>0</v>
      </c>
      <c r="Q173" s="205">
        <f t="shared" ref="Q173" si="494">SUM(O173:P173)</f>
        <v>2203.1999999999998</v>
      </c>
      <c r="R173" s="136">
        <f>R52</f>
        <v>3</v>
      </c>
      <c r="S173" s="132">
        <f t="shared" ref="S173" si="495">M173*1.02</f>
        <v>749.08799999999997</v>
      </c>
      <c r="T173" s="135">
        <v>1</v>
      </c>
      <c r="U173" s="11">
        <f t="shared" ref="U173" si="496">R173*S173*T173</f>
        <v>2247.2640000000001</v>
      </c>
      <c r="V173" s="12">
        <v>0</v>
      </c>
      <c r="W173" s="205">
        <f t="shared" ref="W173" si="497">SUM(U173:V173)</f>
        <v>2247.2640000000001</v>
      </c>
      <c r="X173" s="136">
        <f>X52</f>
        <v>3</v>
      </c>
      <c r="Y173" s="132">
        <f t="shared" ref="Y173" si="498">S173*1.02</f>
        <v>764.06975999999997</v>
      </c>
      <c r="Z173" s="135">
        <v>1</v>
      </c>
      <c r="AA173" s="11">
        <f t="shared" ref="AA173" si="499">X173*Y173*Z173</f>
        <v>2292.20928</v>
      </c>
      <c r="AB173" s="12">
        <v>0</v>
      </c>
      <c r="AC173" s="205">
        <f t="shared" ref="AC173" si="500">SUM(AA173:AB173)</f>
        <v>2292.20928</v>
      </c>
      <c r="AD173" s="136">
        <f>AD52</f>
        <v>1</v>
      </c>
      <c r="AE173" s="132">
        <f t="shared" ref="AE173" si="501">Y173*1.02</f>
        <v>779.35115519999999</v>
      </c>
      <c r="AF173" s="135">
        <v>1</v>
      </c>
      <c r="AG173" s="11">
        <f t="shared" ref="AG173" si="502">AD173*AE173*AF173</f>
        <v>779.35115519999999</v>
      </c>
      <c r="AH173" s="12">
        <v>0</v>
      </c>
      <c r="AI173" s="205">
        <f t="shared" ref="AI173" si="503">SUM(AG173:AH173)</f>
        <v>779.35115519999999</v>
      </c>
      <c r="AJ173" s="206">
        <f t="shared" ref="AJ173" si="504">I173+O173+U173+AA173+AG173</f>
        <v>7522.0244352</v>
      </c>
      <c r="AK173" s="206">
        <f t="shared" ref="AK173" si="505">J173+P173+V173+AB173+AH173</f>
        <v>0</v>
      </c>
      <c r="AL173" s="206">
        <f t="shared" ref="AL173" si="506">SUM(AJ173:AK173)</f>
        <v>7522.0244352</v>
      </c>
      <c r="AM173" s="5"/>
      <c r="AN173" s="5"/>
      <c r="AO173" s="5"/>
      <c r="AP173" s="5"/>
    </row>
    <row r="174" spans="1:42">
      <c r="A174" s="327" t="s">
        <v>220</v>
      </c>
      <c r="B174" s="305">
        <v>8110</v>
      </c>
      <c r="C174" s="298">
        <v>0</v>
      </c>
      <c r="D174" s="63" t="s">
        <v>221</v>
      </c>
      <c r="E174" s="136">
        <v>1</v>
      </c>
      <c r="F174" s="135">
        <v>400</v>
      </c>
      <c r="G174" s="135">
        <v>12</v>
      </c>
      <c r="H174" s="134" t="s">
        <v>83</v>
      </c>
      <c r="I174" s="129">
        <f>G174*F174*E174</f>
        <v>4800</v>
      </c>
      <c r="J174" s="12">
        <v>0</v>
      </c>
      <c r="K174" s="205">
        <f>SUM(I174:J174)</f>
        <v>4800</v>
      </c>
      <c r="L174" s="136">
        <v>1</v>
      </c>
      <c r="M174" s="132">
        <f>F174*1.02</f>
        <v>408</v>
      </c>
      <c r="N174" s="135">
        <v>12</v>
      </c>
      <c r="O174" s="11">
        <f>L174*M174*N174</f>
        <v>4896</v>
      </c>
      <c r="P174" s="12">
        <v>0</v>
      </c>
      <c r="Q174" s="205">
        <f>SUM(O174:P174)</f>
        <v>4896</v>
      </c>
      <c r="R174" s="136">
        <v>1</v>
      </c>
      <c r="S174" s="132">
        <f>M174*1.02</f>
        <v>416.16</v>
      </c>
      <c r="T174" s="135">
        <v>12</v>
      </c>
      <c r="U174" s="11">
        <f t="shared" ref="U174" si="507">R174*S174*T174</f>
        <v>4993.92</v>
      </c>
      <c r="V174" s="12">
        <v>0</v>
      </c>
      <c r="W174" s="205">
        <f>SUM(U174:V174)</f>
        <v>4993.92</v>
      </c>
      <c r="X174" s="136">
        <v>1</v>
      </c>
      <c r="Y174" s="132">
        <f>S174*1.02</f>
        <v>424.48320000000001</v>
      </c>
      <c r="Z174" s="135">
        <v>12</v>
      </c>
      <c r="AA174" s="11">
        <f t="shared" ref="AA174" si="508">X174*Y174*Z174</f>
        <v>5093.7983999999997</v>
      </c>
      <c r="AB174" s="12">
        <v>0</v>
      </c>
      <c r="AC174" s="205">
        <f t="shared" ref="AC174" si="509">SUM(AA174:AB174)</f>
        <v>5093.7983999999997</v>
      </c>
      <c r="AD174" s="136">
        <v>1</v>
      </c>
      <c r="AE174" s="132">
        <f>Y174*1.02</f>
        <v>432.97286400000002</v>
      </c>
      <c r="AF174" s="135">
        <v>12</v>
      </c>
      <c r="AG174" s="11">
        <f t="shared" ref="AG174" si="510">AD174*AE174*AF174</f>
        <v>5195.674368</v>
      </c>
      <c r="AH174" s="12">
        <v>0</v>
      </c>
      <c r="AI174" s="205">
        <f>SUM(AG174:AH174)</f>
        <v>5195.674368</v>
      </c>
      <c r="AJ174" s="206">
        <f>I174+O174+U174+AA174+AG174</f>
        <v>24979.392767999998</v>
      </c>
      <c r="AK174" s="206">
        <f t="shared" ref="AK174" si="511">J174+P174+V174+AB174+AH174</f>
        <v>0</v>
      </c>
      <c r="AL174" s="206">
        <f>SUM(AJ174:AK174)</f>
        <v>24979.392767999998</v>
      </c>
      <c r="AM174" s="5"/>
      <c r="AN174" s="5"/>
      <c r="AO174" s="5"/>
      <c r="AP174" s="5"/>
    </row>
    <row r="175" spans="1:42">
      <c r="A175" s="327" t="s">
        <v>222</v>
      </c>
      <c r="B175" s="305">
        <v>7340</v>
      </c>
      <c r="C175" s="298">
        <v>0</v>
      </c>
      <c r="D175" s="63" t="s">
        <v>223</v>
      </c>
      <c r="E175" s="136">
        <v>1</v>
      </c>
      <c r="F175" s="135">
        <v>2500</v>
      </c>
      <c r="G175" s="135">
        <v>1</v>
      </c>
      <c r="H175" s="134" t="s">
        <v>207</v>
      </c>
      <c r="I175" s="129">
        <f>G175*F175*E175</f>
        <v>2500</v>
      </c>
      <c r="J175" s="12">
        <v>0</v>
      </c>
      <c r="K175" s="205">
        <f>SUM(I175:J175)</f>
        <v>2500</v>
      </c>
      <c r="L175" s="136">
        <v>1</v>
      </c>
      <c r="M175" s="132">
        <f>F175*1.02</f>
        <v>2550</v>
      </c>
      <c r="N175" s="135">
        <v>1</v>
      </c>
      <c r="O175" s="11">
        <f>L175*M175*N175</f>
        <v>2550</v>
      </c>
      <c r="P175" s="12">
        <v>0</v>
      </c>
      <c r="Q175" s="205">
        <f>SUM(O175:P175)</f>
        <v>2550</v>
      </c>
      <c r="R175" s="136">
        <v>1</v>
      </c>
      <c r="S175" s="132">
        <f>M175*1.02</f>
        <v>2601</v>
      </c>
      <c r="T175" s="135">
        <v>1</v>
      </c>
      <c r="U175" s="11">
        <f t="shared" ref="U175" si="512">R175*S175*T175</f>
        <v>2601</v>
      </c>
      <c r="V175" s="12">
        <v>0</v>
      </c>
      <c r="W175" s="205">
        <f>SUM(U175:V175)</f>
        <v>2601</v>
      </c>
      <c r="X175" s="136">
        <v>1</v>
      </c>
      <c r="Y175" s="132">
        <f>S175*1.02</f>
        <v>2653.02</v>
      </c>
      <c r="Z175" s="135">
        <v>1</v>
      </c>
      <c r="AA175" s="11">
        <f t="shared" ref="AA175" si="513">X175*Y175*Z175</f>
        <v>2653.02</v>
      </c>
      <c r="AB175" s="12">
        <v>0</v>
      </c>
      <c r="AC175" s="205">
        <f t="shared" ref="AC175:AC191" si="514">SUM(AA175:AB175)</f>
        <v>2653.02</v>
      </c>
      <c r="AD175" s="136">
        <v>1</v>
      </c>
      <c r="AE175" s="132">
        <f>Y175*1.02</f>
        <v>2706.0803999999998</v>
      </c>
      <c r="AF175" s="135">
        <v>1</v>
      </c>
      <c r="AG175" s="11">
        <f t="shared" ref="AG175" si="515">AD175*AE175*AF175</f>
        <v>2706.0803999999998</v>
      </c>
      <c r="AH175" s="12">
        <v>0</v>
      </c>
      <c r="AI175" s="205">
        <f>SUM(AG175:AH175)</f>
        <v>2706.0803999999998</v>
      </c>
      <c r="AJ175" s="206">
        <f t="shared" ref="AJ175:AK177" si="516">I175+O175+U175+AA175+AG175</f>
        <v>13010.100399999999</v>
      </c>
      <c r="AK175" s="206">
        <f t="shared" si="516"/>
        <v>0</v>
      </c>
      <c r="AL175" s="206">
        <f>SUM(AJ175:AK175)</f>
        <v>13010.100399999999</v>
      </c>
      <c r="AM175" s="5"/>
      <c r="AN175" s="5"/>
      <c r="AO175" s="5"/>
      <c r="AP175" s="5"/>
    </row>
    <row r="176" spans="1:42">
      <c r="A176" s="327" t="s">
        <v>224</v>
      </c>
      <c r="B176" s="305">
        <v>7710</v>
      </c>
      <c r="C176" s="298">
        <v>0</v>
      </c>
      <c r="D176" s="63" t="s">
        <v>225</v>
      </c>
      <c r="E176" s="136">
        <v>1</v>
      </c>
      <c r="F176" s="135">
        <v>500</v>
      </c>
      <c r="G176" s="135">
        <v>1</v>
      </c>
      <c r="H176" s="134" t="s">
        <v>207</v>
      </c>
      <c r="I176" s="129">
        <f t="shared" ref="I176:I178" si="517">G176*F176*E176</f>
        <v>500</v>
      </c>
      <c r="J176" s="12">
        <v>0</v>
      </c>
      <c r="K176" s="205">
        <f>SUM(I176:J176)</f>
        <v>500</v>
      </c>
      <c r="L176" s="136">
        <v>1</v>
      </c>
      <c r="M176" s="132">
        <f>F176*1.02</f>
        <v>510</v>
      </c>
      <c r="N176" s="135">
        <v>1</v>
      </c>
      <c r="O176" s="11">
        <f t="shared" ref="O176:O177" si="518">L176*M176*N176</f>
        <v>510</v>
      </c>
      <c r="P176" s="12">
        <v>0</v>
      </c>
      <c r="Q176" s="205">
        <f t="shared" ref="Q176:Q177" si="519">SUM(O176:P176)</f>
        <v>510</v>
      </c>
      <c r="R176" s="136">
        <v>1</v>
      </c>
      <c r="S176" s="132">
        <f>M176*1.02</f>
        <v>520.20000000000005</v>
      </c>
      <c r="T176" s="135">
        <v>1</v>
      </c>
      <c r="U176" s="11">
        <f t="shared" ref="U176" si="520">R176*S176*T176</f>
        <v>520.20000000000005</v>
      </c>
      <c r="V176" s="12">
        <v>0</v>
      </c>
      <c r="W176" s="205">
        <f>SUM(U176:V176)</f>
        <v>520.20000000000005</v>
      </c>
      <c r="X176" s="136">
        <v>1</v>
      </c>
      <c r="Y176" s="132">
        <f>S176*1.02</f>
        <v>530.60400000000004</v>
      </c>
      <c r="Z176" s="135">
        <v>1</v>
      </c>
      <c r="AA176" s="11">
        <f t="shared" ref="AA176:AA177" si="521">X176*Y176*Z176</f>
        <v>530.60400000000004</v>
      </c>
      <c r="AB176" s="12">
        <v>0</v>
      </c>
      <c r="AC176" s="205">
        <f t="shared" si="514"/>
        <v>530.60400000000004</v>
      </c>
      <c r="AD176" s="136">
        <v>1</v>
      </c>
      <c r="AE176" s="132">
        <f>Y176*1.02</f>
        <v>541.21608000000003</v>
      </c>
      <c r="AF176" s="135">
        <v>1</v>
      </c>
      <c r="AG176" s="11">
        <f t="shared" ref="AG176" si="522">AD176*AE176*AF176</f>
        <v>541.21608000000003</v>
      </c>
      <c r="AH176" s="12">
        <v>0</v>
      </c>
      <c r="AI176" s="205">
        <f>SUM(AG176:AH176)</f>
        <v>541.21608000000003</v>
      </c>
      <c r="AJ176" s="206">
        <f t="shared" ref="AJ176" si="523">I176+O176+U176+AA176+AG176</f>
        <v>2602.0200800000002</v>
      </c>
      <c r="AK176" s="206">
        <f t="shared" si="516"/>
        <v>0</v>
      </c>
      <c r="AL176" s="206">
        <f>SUM(AJ176:AK176)</f>
        <v>2602.0200800000002</v>
      </c>
      <c r="AM176" s="5"/>
      <c r="AN176" s="5"/>
      <c r="AO176" s="5"/>
      <c r="AP176" s="5"/>
    </row>
    <row r="177" spans="1:42">
      <c r="A177" s="327" t="s">
        <v>226</v>
      </c>
      <c r="B177" s="305">
        <v>7120</v>
      </c>
      <c r="C177" s="298">
        <v>0</v>
      </c>
      <c r="D177" s="63" t="s">
        <v>227</v>
      </c>
      <c r="E177" s="136">
        <v>1</v>
      </c>
      <c r="F177" s="135">
        <v>10000</v>
      </c>
      <c r="G177" s="135">
        <v>1</v>
      </c>
      <c r="H177" s="134" t="s">
        <v>207</v>
      </c>
      <c r="I177" s="129">
        <f t="shared" si="517"/>
        <v>10000</v>
      </c>
      <c r="J177" s="12">
        <v>0</v>
      </c>
      <c r="K177" s="205">
        <f>SUM(I177:J177)</f>
        <v>10000</v>
      </c>
      <c r="L177" s="136">
        <v>1</v>
      </c>
      <c r="M177" s="132">
        <f>F177*1.02</f>
        <v>10200</v>
      </c>
      <c r="N177" s="135">
        <v>1</v>
      </c>
      <c r="O177" s="11">
        <f t="shared" si="518"/>
        <v>10200</v>
      </c>
      <c r="P177" s="12">
        <v>0</v>
      </c>
      <c r="Q177" s="205">
        <f t="shared" si="519"/>
        <v>10200</v>
      </c>
      <c r="R177" s="136">
        <v>1</v>
      </c>
      <c r="S177" s="132">
        <f>M177*1.02</f>
        <v>10404</v>
      </c>
      <c r="T177" s="135">
        <v>1</v>
      </c>
      <c r="U177" s="11">
        <f t="shared" ref="U177" si="524">R177*S177*T177</f>
        <v>10404</v>
      </c>
      <c r="V177" s="12">
        <v>0</v>
      </c>
      <c r="W177" s="205">
        <f t="shared" ref="W177" si="525">SUM(U177:V177)</f>
        <v>10404</v>
      </c>
      <c r="X177" s="136">
        <v>1</v>
      </c>
      <c r="Y177" s="132">
        <f>S177*1.02</f>
        <v>10612.08</v>
      </c>
      <c r="Z177" s="135">
        <v>1</v>
      </c>
      <c r="AA177" s="11">
        <f t="shared" si="521"/>
        <v>10612.08</v>
      </c>
      <c r="AB177" s="12">
        <v>0</v>
      </c>
      <c r="AC177" s="205">
        <f t="shared" si="514"/>
        <v>10612.08</v>
      </c>
      <c r="AD177" s="136">
        <v>1</v>
      </c>
      <c r="AE177" s="132">
        <f>Y177*1.02</f>
        <v>10824.321599999999</v>
      </c>
      <c r="AF177" s="135">
        <v>1</v>
      </c>
      <c r="AG177" s="11">
        <f t="shared" ref="AG177" si="526">AD177*AE177*AF177</f>
        <v>10824.321599999999</v>
      </c>
      <c r="AH177" s="12">
        <v>0</v>
      </c>
      <c r="AI177" s="205">
        <f t="shared" ref="AI177" si="527">SUM(AG177:AH177)</f>
        <v>10824.321599999999</v>
      </c>
      <c r="AJ177" s="206">
        <f t="shared" ref="AJ177" si="528">I177+O177+U177+AA177+AG177</f>
        <v>52040.401599999997</v>
      </c>
      <c r="AK177" s="206">
        <f t="shared" si="516"/>
        <v>0</v>
      </c>
      <c r="AL177" s="206">
        <f>SUM(AJ177:AK177)</f>
        <v>52040.401599999997</v>
      </c>
      <c r="AM177" s="5"/>
      <c r="AN177" s="5"/>
      <c r="AO177" s="5"/>
      <c r="AP177" s="5"/>
    </row>
    <row r="178" spans="1:42">
      <c r="A178" s="327" t="s">
        <v>220</v>
      </c>
      <c r="B178" s="305">
        <v>8130</v>
      </c>
      <c r="C178" s="298">
        <v>0</v>
      </c>
      <c r="D178" s="63" t="s">
        <v>228</v>
      </c>
      <c r="E178" s="136">
        <v>1</v>
      </c>
      <c r="F178" s="135">
        <v>150</v>
      </c>
      <c r="G178" s="135">
        <v>12</v>
      </c>
      <c r="H178" s="134" t="s">
        <v>83</v>
      </c>
      <c r="I178" s="129">
        <f t="shared" si="517"/>
        <v>1800</v>
      </c>
      <c r="J178" s="12">
        <v>0</v>
      </c>
      <c r="K178" s="205">
        <f t="shared" ref="K178:K195" si="529">SUM(I178:J178)</f>
        <v>1800</v>
      </c>
      <c r="L178" s="136">
        <v>1</v>
      </c>
      <c r="M178" s="132">
        <f>F178*1.02</f>
        <v>153</v>
      </c>
      <c r="N178" s="135">
        <v>12</v>
      </c>
      <c r="O178" s="11">
        <f>L178*M178*N178</f>
        <v>1836</v>
      </c>
      <c r="P178" s="12">
        <v>0</v>
      </c>
      <c r="Q178" s="205">
        <f>SUM(O178:P178)</f>
        <v>1836</v>
      </c>
      <c r="R178" s="136">
        <v>1</v>
      </c>
      <c r="S178" s="132">
        <f>M178*1.02</f>
        <v>156.06</v>
      </c>
      <c r="T178" s="135">
        <v>12</v>
      </c>
      <c r="U178" s="11">
        <f t="shared" ref="U178" si="530">R178*S178*T178</f>
        <v>1872.72</v>
      </c>
      <c r="V178" s="12">
        <v>0</v>
      </c>
      <c r="W178" s="205">
        <f t="shared" ref="W178:W195" si="531">SUM(U178:V178)</f>
        <v>1872.72</v>
      </c>
      <c r="X178" s="136">
        <v>1</v>
      </c>
      <c r="Y178" s="132">
        <f>S178*1.02</f>
        <v>159.18120000000002</v>
      </c>
      <c r="Z178" s="135">
        <v>12</v>
      </c>
      <c r="AA178" s="11">
        <f t="shared" ref="AA178" si="532">X178*Y178*Z178</f>
        <v>1910.1744000000003</v>
      </c>
      <c r="AB178" s="12">
        <v>0</v>
      </c>
      <c r="AC178" s="205">
        <f t="shared" si="514"/>
        <v>1910.1744000000003</v>
      </c>
      <c r="AD178" s="136">
        <v>1</v>
      </c>
      <c r="AE178" s="132">
        <f t="shared" ref="AE178:AE195" si="533">Y178*1.02</f>
        <v>162.36482400000003</v>
      </c>
      <c r="AF178" s="135">
        <v>12</v>
      </c>
      <c r="AG178" s="11">
        <f t="shared" ref="AG178" si="534">AD178*AE178*AF178</f>
        <v>1948.3778880000004</v>
      </c>
      <c r="AH178" s="12">
        <v>0</v>
      </c>
      <c r="AI178" s="205">
        <f t="shared" ref="AI178:AI195" si="535">SUM(AG178:AH178)</f>
        <v>1948.3778880000004</v>
      </c>
      <c r="AJ178" s="206">
        <f t="shared" ref="AJ178:AK194" si="536">I178+O178+U178+AA178+AG178</f>
        <v>9367.2722880000019</v>
      </c>
      <c r="AK178" s="206">
        <f t="shared" si="536"/>
        <v>0</v>
      </c>
      <c r="AL178" s="206">
        <f t="shared" ref="AL178:AL195" si="537">SUM(AJ178:AK178)</f>
        <v>9367.2722880000019</v>
      </c>
      <c r="AM178" s="5"/>
      <c r="AN178" s="5"/>
      <c r="AO178" s="5"/>
      <c r="AP178" s="5"/>
    </row>
    <row r="179" spans="1:42">
      <c r="A179" s="337"/>
      <c r="B179" s="338"/>
      <c r="C179" s="339"/>
      <c r="D179" s="188" t="s">
        <v>229</v>
      </c>
      <c r="E179" s="257"/>
      <c r="F179" s="258"/>
      <c r="G179" s="258"/>
      <c r="H179" s="258"/>
      <c r="I179" s="109">
        <f>SUM(I171:I178)</f>
        <v>19880</v>
      </c>
      <c r="J179" s="109">
        <f t="shared" ref="J179:K179" si="538">SUM(J171:J178)</f>
        <v>0</v>
      </c>
      <c r="K179" s="109">
        <f t="shared" si="538"/>
        <v>19880</v>
      </c>
      <c r="L179" s="257"/>
      <c r="M179" s="258"/>
      <c r="N179" s="258"/>
      <c r="O179" s="109">
        <f>SUM(O171:O178)</f>
        <v>23337.599999999999</v>
      </c>
      <c r="P179" s="109">
        <f t="shared" ref="P179:Q179" si="539">SUM(P171:P178)</f>
        <v>0</v>
      </c>
      <c r="Q179" s="109">
        <f t="shared" si="539"/>
        <v>23337.599999999999</v>
      </c>
      <c r="R179" s="257"/>
      <c r="S179" s="258"/>
      <c r="T179" s="258"/>
      <c r="U179" s="109">
        <f>SUM(U171:U178)</f>
        <v>23804.352000000003</v>
      </c>
      <c r="V179" s="109">
        <f t="shared" ref="V179" si="540">SUM(V171:V178)</f>
        <v>0</v>
      </c>
      <c r="W179" s="109">
        <f>SUM(W171:W178)</f>
        <v>23804.352000000003</v>
      </c>
      <c r="X179" s="257"/>
      <c r="Y179" s="258"/>
      <c r="Z179" s="258"/>
      <c r="AA179" s="109">
        <f>SUM(AA171:AA178)</f>
        <v>24280.439040000001</v>
      </c>
      <c r="AB179" s="109">
        <f t="shared" ref="AB179:AC179" si="541">SUM(AB171:AB178)</f>
        <v>0</v>
      </c>
      <c r="AC179" s="109">
        <f t="shared" si="541"/>
        <v>24280.439040000001</v>
      </c>
      <c r="AD179" s="257"/>
      <c r="AE179" s="258"/>
      <c r="AF179" s="258"/>
      <c r="AG179" s="109">
        <f>SUM(AG171:AG178)</f>
        <v>22514.588928000001</v>
      </c>
      <c r="AH179" s="109">
        <f t="shared" ref="AH179:AI179" si="542">SUM(AH171:AH178)</f>
        <v>0</v>
      </c>
      <c r="AI179" s="109">
        <f t="shared" si="542"/>
        <v>22514.588928000001</v>
      </c>
      <c r="AJ179" s="111">
        <f>SUM(AJ171:AJ178)</f>
        <v>113816.979968</v>
      </c>
      <c r="AK179" s="111">
        <f t="shared" ref="AK179:AL179" si="543">SUM(AK171:AK178)</f>
        <v>0</v>
      </c>
      <c r="AL179" s="111">
        <f t="shared" si="543"/>
        <v>113816.979968</v>
      </c>
      <c r="AM179" s="5"/>
      <c r="AN179" s="5"/>
      <c r="AO179" s="5"/>
      <c r="AP179" s="5"/>
    </row>
    <row r="180" spans="1:42">
      <c r="A180" s="349"/>
      <c r="B180" s="345"/>
      <c r="C180" s="346"/>
      <c r="D180" s="64"/>
      <c r="E180" s="237"/>
      <c r="F180" s="236"/>
      <c r="G180" s="236"/>
      <c r="H180" s="236"/>
      <c r="I180" s="231"/>
      <c r="J180" s="17"/>
      <c r="K180" s="234"/>
      <c r="L180" s="237"/>
      <c r="M180" s="236"/>
      <c r="N180" s="236"/>
      <c r="O180" s="231"/>
      <c r="P180" s="17"/>
      <c r="Q180" s="234"/>
      <c r="R180" s="237"/>
      <c r="S180" s="236"/>
      <c r="T180" s="236"/>
      <c r="U180" s="231"/>
      <c r="V180" s="17"/>
      <c r="W180" s="234"/>
      <c r="X180" s="237"/>
      <c r="Y180" s="236"/>
      <c r="Z180" s="236"/>
      <c r="AA180" s="231"/>
      <c r="AB180" s="17"/>
      <c r="AC180" s="234"/>
      <c r="AD180" s="237"/>
      <c r="AE180" s="236"/>
      <c r="AF180" s="236"/>
      <c r="AG180" s="231"/>
      <c r="AH180" s="17"/>
      <c r="AI180" s="234"/>
      <c r="AJ180" s="232"/>
      <c r="AK180" s="232"/>
      <c r="AL180" s="232"/>
      <c r="AM180" s="5"/>
      <c r="AN180" s="5"/>
      <c r="AO180" s="5"/>
      <c r="AP180" s="5"/>
    </row>
    <row r="181" spans="1:42">
      <c r="A181" s="327"/>
      <c r="D181" s="166" t="s">
        <v>230</v>
      </c>
      <c r="E181" s="35"/>
      <c r="F181" s="135"/>
      <c r="I181" s="11"/>
      <c r="J181" s="12"/>
      <c r="K181" s="205"/>
      <c r="L181" s="35"/>
      <c r="O181" s="11"/>
      <c r="P181" s="12"/>
      <c r="Q181" s="205"/>
      <c r="R181" s="35"/>
      <c r="U181" s="11"/>
      <c r="V181" s="12"/>
      <c r="W181" s="205"/>
      <c r="X181" s="35"/>
      <c r="AA181" s="11"/>
      <c r="AB181" s="12"/>
      <c r="AC181" s="205"/>
      <c r="AD181" s="35"/>
      <c r="AG181" s="11"/>
      <c r="AH181" s="12"/>
      <c r="AI181" s="205"/>
      <c r="AJ181" s="206"/>
      <c r="AK181" s="206"/>
      <c r="AL181" s="206"/>
      <c r="AM181" s="5"/>
      <c r="AN181" s="244"/>
      <c r="AO181" s="244"/>
      <c r="AP181" s="244"/>
    </row>
    <row r="182" spans="1:42">
      <c r="A182" s="327" t="s">
        <v>231</v>
      </c>
      <c r="B182" s="305">
        <v>7465</v>
      </c>
      <c r="C182" s="303" t="s">
        <v>51</v>
      </c>
      <c r="D182" s="63" t="s">
        <v>232</v>
      </c>
      <c r="E182" s="136">
        <v>1</v>
      </c>
      <c r="F182" s="135">
        <v>9000</v>
      </c>
      <c r="G182" s="135">
        <v>1</v>
      </c>
      <c r="H182" s="134" t="s">
        <v>207</v>
      </c>
      <c r="I182" s="11">
        <f>G182*F182*E182</f>
        <v>9000</v>
      </c>
      <c r="J182" s="12">
        <v>0</v>
      </c>
      <c r="K182" s="205">
        <f t="shared" ref="K182" si="544">SUM(I182:J182)</f>
        <v>9000</v>
      </c>
      <c r="L182" s="136">
        <v>1</v>
      </c>
      <c r="M182" s="132">
        <f>F182*1.02</f>
        <v>9180</v>
      </c>
      <c r="N182" s="135">
        <v>1</v>
      </c>
      <c r="O182" s="11">
        <f>L182*M182*N182</f>
        <v>9180</v>
      </c>
      <c r="P182" s="12">
        <v>0</v>
      </c>
      <c r="Q182" s="205">
        <f t="shared" ref="Q182" si="545">SUM(O182:P182)</f>
        <v>9180</v>
      </c>
      <c r="R182" s="136">
        <v>1</v>
      </c>
      <c r="S182" s="132">
        <f>M182*1.02</f>
        <v>9363.6</v>
      </c>
      <c r="T182" s="135">
        <v>1</v>
      </c>
      <c r="U182" s="11">
        <f>T182*S182*R182</f>
        <v>9363.6</v>
      </c>
      <c r="V182" s="12">
        <v>0</v>
      </c>
      <c r="W182" s="205">
        <f t="shared" ref="W182" si="546">SUM(U182:V182)</f>
        <v>9363.6</v>
      </c>
      <c r="X182" s="136">
        <v>1</v>
      </c>
      <c r="Y182" s="132">
        <f>S182*1.02</f>
        <v>9550.8720000000012</v>
      </c>
      <c r="Z182" s="135">
        <v>1</v>
      </c>
      <c r="AA182" s="11">
        <f>Z182*Y182*X182</f>
        <v>9550.8720000000012</v>
      </c>
      <c r="AB182" s="12">
        <v>0</v>
      </c>
      <c r="AC182" s="205">
        <f t="shared" ref="AC182" si="547">SUM(AA182:AB182)</f>
        <v>9550.8720000000012</v>
      </c>
      <c r="AD182" s="136">
        <v>1</v>
      </c>
      <c r="AE182" s="132">
        <f>Y182*1.02</f>
        <v>9741.8894400000008</v>
      </c>
      <c r="AF182" s="135">
        <v>1</v>
      </c>
      <c r="AG182" s="11">
        <f>AF182*AE182*AD182</f>
        <v>9741.8894400000008</v>
      </c>
      <c r="AH182" s="12">
        <v>0</v>
      </c>
      <c r="AI182" s="205">
        <f t="shared" ref="AI182" si="548">SUM(AG182:AH182)</f>
        <v>9741.8894400000008</v>
      </c>
      <c r="AJ182" s="206">
        <f>I182+O182+U182+AA182+AG182</f>
        <v>46836.361440000001</v>
      </c>
      <c r="AK182" s="206">
        <f t="shared" ref="AK182" si="549">J182+P182+V182+AB182+AH182</f>
        <v>0</v>
      </c>
      <c r="AL182" s="206">
        <f t="shared" ref="AL182" si="550">SUM(AJ182:AK182)</f>
        <v>46836.361440000001</v>
      </c>
      <c r="AM182" s="5"/>
      <c r="AN182" s="5"/>
      <c r="AO182" s="5"/>
      <c r="AP182" s="5"/>
    </row>
    <row r="183" spans="1:42">
      <c r="A183" s="327" t="s">
        <v>220</v>
      </c>
      <c r="B183" s="305">
        <v>7750</v>
      </c>
      <c r="C183" s="303" t="s">
        <v>51</v>
      </c>
      <c r="D183" s="63" t="s">
        <v>233</v>
      </c>
      <c r="E183" s="136">
        <v>1</v>
      </c>
      <c r="F183" s="135">
        <v>75</v>
      </c>
      <c r="G183" s="135">
        <v>6</v>
      </c>
      <c r="H183" s="134" t="s">
        <v>83</v>
      </c>
      <c r="I183" s="11">
        <f t="shared" ref="I183:I197" si="551">G183*F183*E183</f>
        <v>450</v>
      </c>
      <c r="J183" s="12">
        <v>0</v>
      </c>
      <c r="K183" s="205">
        <f t="shared" ref="K183" si="552">SUM(I183:J183)</f>
        <v>450</v>
      </c>
      <c r="L183" s="136">
        <v>1</v>
      </c>
      <c r="M183" s="132">
        <f t="shared" ref="M183:M197" si="553">F183*1.02</f>
        <v>76.5</v>
      </c>
      <c r="N183" s="135">
        <v>12</v>
      </c>
      <c r="O183" s="11">
        <f t="shared" ref="O183:O197" si="554">L183*M183*N183</f>
        <v>918</v>
      </c>
      <c r="P183" s="12">
        <v>0</v>
      </c>
      <c r="Q183" s="205">
        <f t="shared" ref="Q183" si="555">SUM(O183:P183)</f>
        <v>918</v>
      </c>
      <c r="R183" s="136">
        <v>1</v>
      </c>
      <c r="S183" s="132">
        <f t="shared" ref="S183:S197" si="556">M183*1.02</f>
        <v>78.03</v>
      </c>
      <c r="T183" s="135">
        <v>12</v>
      </c>
      <c r="U183" s="11">
        <f t="shared" ref="U183:U197" si="557">T183*S183*R183</f>
        <v>936.36</v>
      </c>
      <c r="V183" s="12">
        <v>0</v>
      </c>
      <c r="W183" s="205">
        <f t="shared" ref="W183" si="558">SUM(U183:V183)</f>
        <v>936.36</v>
      </c>
      <c r="X183" s="136">
        <v>1</v>
      </c>
      <c r="Y183" s="132">
        <f t="shared" ref="Y183:Y197" si="559">S183*1.02</f>
        <v>79.590600000000009</v>
      </c>
      <c r="Z183" s="135">
        <v>12</v>
      </c>
      <c r="AA183" s="11">
        <f t="shared" ref="AA183:AA196" si="560">Z183*Y183*X183</f>
        <v>955.08720000000017</v>
      </c>
      <c r="AB183" s="12">
        <v>0</v>
      </c>
      <c r="AC183" s="205">
        <f t="shared" ref="AC183" si="561">SUM(AA183:AB183)</f>
        <v>955.08720000000017</v>
      </c>
      <c r="AD183" s="136">
        <v>1</v>
      </c>
      <c r="AE183" s="132">
        <f t="shared" ref="AE183" si="562">Y183*1.02</f>
        <v>81.182412000000014</v>
      </c>
      <c r="AF183" s="135">
        <v>7</v>
      </c>
      <c r="AG183" s="11">
        <f t="shared" ref="AG183:AG197" si="563">AF183*AE183*AD183</f>
        <v>568.27688400000011</v>
      </c>
      <c r="AH183" s="12">
        <v>0</v>
      </c>
      <c r="AI183" s="205">
        <f t="shared" ref="AI183" si="564">SUM(AG183:AH183)</f>
        <v>568.27688400000011</v>
      </c>
      <c r="AJ183" s="206">
        <f t="shared" ref="AJ183" si="565">I183+O183+U183+AA183+AG183</f>
        <v>3827.7240840000004</v>
      </c>
      <c r="AK183" s="206">
        <f t="shared" ref="AK183" si="566">J183+P183+V183+AB183+AH183</f>
        <v>0</v>
      </c>
      <c r="AL183" s="206">
        <f t="shared" ref="AL183" si="567">SUM(AJ183:AK183)</f>
        <v>3827.7240840000004</v>
      </c>
      <c r="AM183" s="5"/>
      <c r="AN183" s="5"/>
      <c r="AO183" s="5"/>
      <c r="AP183" s="5"/>
    </row>
    <row r="184" spans="1:42">
      <c r="A184" s="327" t="s">
        <v>234</v>
      </c>
      <c r="B184" s="305">
        <v>7460</v>
      </c>
      <c r="C184" s="303" t="s">
        <v>51</v>
      </c>
      <c r="D184" s="63" t="s">
        <v>235</v>
      </c>
      <c r="E184" s="136">
        <v>1</v>
      </c>
      <c r="F184" s="135">
        <v>800</v>
      </c>
      <c r="G184" s="135">
        <v>6</v>
      </c>
      <c r="H184" s="134" t="s">
        <v>83</v>
      </c>
      <c r="I184" s="11">
        <f t="shared" si="551"/>
        <v>4800</v>
      </c>
      <c r="J184" s="12">
        <v>0</v>
      </c>
      <c r="K184" s="205">
        <f t="shared" ref="K184" si="568">SUM(I184:J184)</f>
        <v>4800</v>
      </c>
      <c r="L184" s="136">
        <v>1</v>
      </c>
      <c r="M184" s="132">
        <f t="shared" si="553"/>
        <v>816</v>
      </c>
      <c r="N184" s="135">
        <v>12</v>
      </c>
      <c r="O184" s="11">
        <f t="shared" si="554"/>
        <v>9792</v>
      </c>
      <c r="P184" s="12">
        <v>0</v>
      </c>
      <c r="Q184" s="205">
        <f t="shared" ref="Q184" si="569">SUM(O184:P184)</f>
        <v>9792</v>
      </c>
      <c r="R184" s="136">
        <v>1</v>
      </c>
      <c r="S184" s="132">
        <f t="shared" si="556"/>
        <v>832.32</v>
      </c>
      <c r="T184" s="135">
        <v>12</v>
      </c>
      <c r="U184" s="11">
        <f t="shared" si="557"/>
        <v>9987.84</v>
      </c>
      <c r="V184" s="12">
        <v>0</v>
      </c>
      <c r="W184" s="205">
        <f t="shared" ref="W184" si="570">SUM(U184:V184)</f>
        <v>9987.84</v>
      </c>
      <c r="X184" s="136">
        <v>1</v>
      </c>
      <c r="Y184" s="132">
        <f t="shared" si="559"/>
        <v>848.96640000000002</v>
      </c>
      <c r="Z184" s="135">
        <v>12</v>
      </c>
      <c r="AA184" s="11">
        <f t="shared" si="560"/>
        <v>10187.596799999999</v>
      </c>
      <c r="AB184" s="12">
        <v>0</v>
      </c>
      <c r="AC184" s="205">
        <f t="shared" ref="AC184" si="571">SUM(AA184:AB184)</f>
        <v>10187.596799999999</v>
      </c>
      <c r="AD184" s="136">
        <v>1</v>
      </c>
      <c r="AE184" s="132">
        <f t="shared" ref="AE184" si="572">Y184*1.02</f>
        <v>865.94572800000003</v>
      </c>
      <c r="AF184" s="135">
        <v>7</v>
      </c>
      <c r="AG184" s="11">
        <f t="shared" si="563"/>
        <v>6061.6200960000006</v>
      </c>
      <c r="AH184" s="12">
        <v>0</v>
      </c>
      <c r="AI184" s="205">
        <f t="shared" ref="AI184" si="573">SUM(AG184:AH184)</f>
        <v>6061.6200960000006</v>
      </c>
      <c r="AJ184" s="206">
        <f t="shared" ref="AJ184" si="574">I184+O184+U184+AA184+AG184</f>
        <v>40829.056895999995</v>
      </c>
      <c r="AK184" s="206">
        <f t="shared" ref="AK184" si="575">J184+P184+V184+AB184+AH184</f>
        <v>0</v>
      </c>
      <c r="AL184" s="206">
        <f t="shared" ref="AL184" si="576">SUM(AJ184:AK184)</f>
        <v>40829.056895999995</v>
      </c>
      <c r="AM184" s="5"/>
      <c r="AN184" s="5"/>
      <c r="AO184" s="5"/>
      <c r="AP184" s="5"/>
    </row>
    <row r="185" spans="1:42">
      <c r="A185" s="327" t="s">
        <v>220</v>
      </c>
      <c r="B185" s="305">
        <v>7720</v>
      </c>
      <c r="C185" s="303" t="s">
        <v>51</v>
      </c>
      <c r="D185" s="63" t="s">
        <v>236</v>
      </c>
      <c r="E185" s="136">
        <v>1</v>
      </c>
      <c r="F185" s="135">
        <v>700</v>
      </c>
      <c r="G185" s="135">
        <v>1</v>
      </c>
      <c r="H185" s="134" t="s">
        <v>207</v>
      </c>
      <c r="I185" s="11">
        <f t="shared" si="551"/>
        <v>700</v>
      </c>
      <c r="J185" s="12">
        <v>0</v>
      </c>
      <c r="K185" s="205">
        <f t="shared" ref="K185" si="577">SUM(I185:J185)</f>
        <v>700</v>
      </c>
      <c r="L185" s="136">
        <v>1</v>
      </c>
      <c r="M185" s="132">
        <f t="shared" si="553"/>
        <v>714</v>
      </c>
      <c r="N185" s="135">
        <v>1</v>
      </c>
      <c r="O185" s="11">
        <f t="shared" si="554"/>
        <v>714</v>
      </c>
      <c r="P185" s="12">
        <v>0</v>
      </c>
      <c r="Q185" s="205">
        <f t="shared" ref="Q185" si="578">SUM(O185:P185)</f>
        <v>714</v>
      </c>
      <c r="R185" s="136">
        <v>1</v>
      </c>
      <c r="S185" s="132">
        <f t="shared" si="556"/>
        <v>728.28</v>
      </c>
      <c r="T185" s="135">
        <v>1</v>
      </c>
      <c r="U185" s="11">
        <f t="shared" si="557"/>
        <v>728.28</v>
      </c>
      <c r="V185" s="12">
        <v>0</v>
      </c>
      <c r="W185" s="205">
        <f t="shared" ref="W185" si="579">SUM(U185:V185)</f>
        <v>728.28</v>
      </c>
      <c r="X185" s="136">
        <v>1</v>
      </c>
      <c r="Y185" s="132">
        <f t="shared" si="559"/>
        <v>742.84559999999999</v>
      </c>
      <c r="Z185" s="135">
        <v>1</v>
      </c>
      <c r="AA185" s="11">
        <f t="shared" si="560"/>
        <v>742.84559999999999</v>
      </c>
      <c r="AB185" s="12">
        <v>0</v>
      </c>
      <c r="AC185" s="205">
        <f t="shared" ref="AC185" si="580">SUM(AA185:AB185)</f>
        <v>742.84559999999999</v>
      </c>
      <c r="AD185" s="136">
        <v>1</v>
      </c>
      <c r="AE185" s="132">
        <f t="shared" ref="AE185" si="581">Y185*1.02</f>
        <v>757.70251199999996</v>
      </c>
      <c r="AF185" s="135">
        <v>1</v>
      </c>
      <c r="AG185" s="11">
        <f t="shared" si="563"/>
        <v>757.70251199999996</v>
      </c>
      <c r="AH185" s="12">
        <v>0</v>
      </c>
      <c r="AI185" s="205">
        <f t="shared" ref="AI185" si="582">SUM(AG185:AH185)</f>
        <v>757.70251199999996</v>
      </c>
      <c r="AJ185" s="206">
        <f t="shared" ref="AJ185" si="583">I185+O185+U185+AA185+AG185</f>
        <v>3642.8281119999997</v>
      </c>
      <c r="AK185" s="206">
        <f t="shared" ref="AK185" si="584">J185+P185+V185+AB185+AH185</f>
        <v>0</v>
      </c>
      <c r="AL185" s="206">
        <f t="shared" ref="AL185" si="585">SUM(AJ185:AK185)</f>
        <v>3642.8281119999997</v>
      </c>
      <c r="AM185" s="5"/>
      <c r="AN185" s="5"/>
      <c r="AO185" s="5"/>
      <c r="AP185" s="5"/>
    </row>
    <row r="186" spans="1:42">
      <c r="A186" s="327" t="s">
        <v>237</v>
      </c>
      <c r="B186" s="305">
        <v>7445</v>
      </c>
      <c r="C186" s="303" t="s">
        <v>51</v>
      </c>
      <c r="D186" s="63" t="s">
        <v>238</v>
      </c>
      <c r="E186" s="136">
        <v>1</v>
      </c>
      <c r="F186" s="135">
        <v>450</v>
      </c>
      <c r="G186" s="135">
        <v>6</v>
      </c>
      <c r="H186" s="134" t="s">
        <v>83</v>
      </c>
      <c r="I186" s="11">
        <f t="shared" si="551"/>
        <v>2700</v>
      </c>
      <c r="J186" s="12">
        <v>0</v>
      </c>
      <c r="K186" s="205">
        <f t="shared" ref="K186" si="586">SUM(I186:J186)</f>
        <v>2700</v>
      </c>
      <c r="L186" s="136">
        <v>1</v>
      </c>
      <c r="M186" s="132">
        <f t="shared" si="553"/>
        <v>459</v>
      </c>
      <c r="N186" s="135">
        <v>12</v>
      </c>
      <c r="O186" s="11">
        <f t="shared" si="554"/>
        <v>5508</v>
      </c>
      <c r="P186" s="12">
        <v>0</v>
      </c>
      <c r="Q186" s="205">
        <f t="shared" ref="Q186" si="587">SUM(O186:P186)</f>
        <v>5508</v>
      </c>
      <c r="R186" s="136">
        <v>1</v>
      </c>
      <c r="S186" s="132">
        <f t="shared" si="556"/>
        <v>468.18</v>
      </c>
      <c r="T186" s="135">
        <v>12</v>
      </c>
      <c r="U186" s="11">
        <f t="shared" si="557"/>
        <v>5618.16</v>
      </c>
      <c r="V186" s="12">
        <v>0</v>
      </c>
      <c r="W186" s="205">
        <f t="shared" ref="W186" si="588">SUM(U186:V186)</f>
        <v>5618.16</v>
      </c>
      <c r="X186" s="136">
        <v>1</v>
      </c>
      <c r="Y186" s="132">
        <f t="shared" si="559"/>
        <v>477.54360000000003</v>
      </c>
      <c r="Z186" s="135">
        <v>12</v>
      </c>
      <c r="AA186" s="11">
        <f t="shared" si="560"/>
        <v>5730.5232000000005</v>
      </c>
      <c r="AB186" s="12">
        <v>0</v>
      </c>
      <c r="AC186" s="205">
        <f t="shared" ref="AC186" si="589">SUM(AA186:AB186)</f>
        <v>5730.5232000000005</v>
      </c>
      <c r="AD186" s="136">
        <v>1</v>
      </c>
      <c r="AE186" s="132">
        <f t="shared" ref="AE186" si="590">Y186*1.02</f>
        <v>487.09447200000005</v>
      </c>
      <c r="AF186" s="135">
        <v>7</v>
      </c>
      <c r="AG186" s="11">
        <f t="shared" si="563"/>
        <v>3409.6613040000002</v>
      </c>
      <c r="AH186" s="12">
        <v>0</v>
      </c>
      <c r="AI186" s="205">
        <f t="shared" ref="AI186" si="591">SUM(AG186:AH186)</f>
        <v>3409.6613040000002</v>
      </c>
      <c r="AJ186" s="206">
        <f t="shared" ref="AJ186" si="592">I186+O186+U186+AA186+AG186</f>
        <v>22966.344504000001</v>
      </c>
      <c r="AK186" s="206">
        <f t="shared" ref="AK186" si="593">J186+P186+V186+AB186+AH186</f>
        <v>0</v>
      </c>
      <c r="AL186" s="206">
        <f t="shared" ref="AL186" si="594">SUM(AJ186:AK186)</f>
        <v>22966.344504000001</v>
      </c>
      <c r="AM186" s="5"/>
      <c r="AN186" s="5"/>
      <c r="AO186" s="5"/>
      <c r="AP186" s="5"/>
    </row>
    <row r="187" spans="1:42">
      <c r="A187" s="327" t="s">
        <v>239</v>
      </c>
      <c r="B187" s="305" t="s">
        <v>240</v>
      </c>
      <c r="C187" s="303" t="s">
        <v>51</v>
      </c>
      <c r="D187" s="63" t="s">
        <v>241</v>
      </c>
      <c r="E187" s="136">
        <v>1</v>
      </c>
      <c r="F187" s="135">
        <v>450</v>
      </c>
      <c r="G187" s="135">
        <v>6</v>
      </c>
      <c r="H187" s="134" t="s">
        <v>83</v>
      </c>
      <c r="I187" s="11">
        <f t="shared" si="551"/>
        <v>2700</v>
      </c>
      <c r="J187" s="12">
        <v>0</v>
      </c>
      <c r="K187" s="205">
        <f t="shared" ref="K187" si="595">SUM(I187:J187)</f>
        <v>2700</v>
      </c>
      <c r="L187" s="136">
        <v>4</v>
      </c>
      <c r="M187" s="132">
        <f t="shared" si="553"/>
        <v>459</v>
      </c>
      <c r="N187" s="135">
        <v>12</v>
      </c>
      <c r="O187" s="11">
        <f t="shared" si="554"/>
        <v>22032</v>
      </c>
      <c r="P187" s="12">
        <v>0</v>
      </c>
      <c r="Q187" s="205">
        <f t="shared" ref="Q187" si="596">SUM(O187:P187)</f>
        <v>22032</v>
      </c>
      <c r="R187" s="136">
        <v>4</v>
      </c>
      <c r="S187" s="132">
        <f t="shared" si="556"/>
        <v>468.18</v>
      </c>
      <c r="T187" s="135">
        <v>12</v>
      </c>
      <c r="U187" s="11">
        <f t="shared" si="557"/>
        <v>22472.639999999999</v>
      </c>
      <c r="V187" s="12">
        <v>0</v>
      </c>
      <c r="W187" s="205">
        <f t="shared" ref="W187" si="597">SUM(U187:V187)</f>
        <v>22472.639999999999</v>
      </c>
      <c r="X187" s="136">
        <v>4</v>
      </c>
      <c r="Y187" s="132">
        <f t="shared" si="559"/>
        <v>477.54360000000003</v>
      </c>
      <c r="Z187" s="135">
        <v>12</v>
      </c>
      <c r="AA187" s="11">
        <f t="shared" si="560"/>
        <v>22922.092800000002</v>
      </c>
      <c r="AB187" s="12">
        <v>0</v>
      </c>
      <c r="AC187" s="205">
        <f t="shared" ref="AC187" si="598">SUM(AA187:AB187)</f>
        <v>22922.092800000002</v>
      </c>
      <c r="AD187" s="136">
        <v>4</v>
      </c>
      <c r="AE187" s="132">
        <f t="shared" ref="AE187" si="599">Y187*1.02</f>
        <v>487.09447200000005</v>
      </c>
      <c r="AF187" s="135">
        <v>7</v>
      </c>
      <c r="AG187" s="11">
        <f t="shared" si="563"/>
        <v>13638.645216000001</v>
      </c>
      <c r="AH187" s="12">
        <v>0</v>
      </c>
      <c r="AI187" s="205">
        <f t="shared" ref="AI187" si="600">SUM(AG187:AH187)</f>
        <v>13638.645216000001</v>
      </c>
      <c r="AJ187" s="206">
        <f t="shared" ref="AJ187" si="601">I187+O187+U187+AA187+AG187</f>
        <v>83765.378016000002</v>
      </c>
      <c r="AK187" s="206">
        <f t="shared" ref="AK187" si="602">J187+P187+V187+AB187+AH187</f>
        <v>0</v>
      </c>
      <c r="AL187" s="206">
        <f t="shared" ref="AL187" si="603">SUM(AJ187:AK187)</f>
        <v>83765.378016000002</v>
      </c>
      <c r="AM187" s="5"/>
      <c r="AN187" s="5"/>
      <c r="AO187" s="5"/>
      <c r="AP187" s="5"/>
    </row>
    <row r="188" spans="1:42">
      <c r="A188" s="327" t="s">
        <v>239</v>
      </c>
      <c r="B188" s="305">
        <v>7530</v>
      </c>
      <c r="C188" s="303" t="s">
        <v>51</v>
      </c>
      <c r="D188" s="63" t="s">
        <v>242</v>
      </c>
      <c r="E188" s="136">
        <v>1</v>
      </c>
      <c r="F188" s="135">
        <v>150</v>
      </c>
      <c r="G188" s="135">
        <v>6</v>
      </c>
      <c r="H188" s="134" t="s">
        <v>83</v>
      </c>
      <c r="I188" s="11">
        <f t="shared" si="551"/>
        <v>900</v>
      </c>
      <c r="J188" s="12">
        <v>0</v>
      </c>
      <c r="K188" s="205">
        <f>SUM(I188:J188)</f>
        <v>900</v>
      </c>
      <c r="L188" s="136">
        <v>4</v>
      </c>
      <c r="M188" s="132">
        <f t="shared" si="553"/>
        <v>153</v>
      </c>
      <c r="N188" s="135">
        <v>12</v>
      </c>
      <c r="O188" s="11">
        <f t="shared" si="554"/>
        <v>7344</v>
      </c>
      <c r="P188" s="12">
        <v>0</v>
      </c>
      <c r="Q188" s="205">
        <f>SUM(O188:P188)</f>
        <v>7344</v>
      </c>
      <c r="R188" s="136">
        <v>4</v>
      </c>
      <c r="S188" s="132">
        <f t="shared" si="556"/>
        <v>156.06</v>
      </c>
      <c r="T188" s="135">
        <v>12</v>
      </c>
      <c r="U188" s="11">
        <f t="shared" si="557"/>
        <v>7490.88</v>
      </c>
      <c r="V188" s="12">
        <v>0</v>
      </c>
      <c r="W188" s="205">
        <f>SUM(U188:V188)</f>
        <v>7490.88</v>
      </c>
      <c r="X188" s="136">
        <v>4</v>
      </c>
      <c r="Y188" s="132">
        <f t="shared" si="559"/>
        <v>159.18120000000002</v>
      </c>
      <c r="Z188" s="135">
        <v>12</v>
      </c>
      <c r="AA188" s="11">
        <f>Z188*Y188*X188</f>
        <v>7640.6976000000013</v>
      </c>
      <c r="AB188" s="12">
        <v>0</v>
      </c>
      <c r="AC188" s="205">
        <f t="shared" ref="AC188" si="604">SUM(AA188:AB188)</f>
        <v>7640.6976000000013</v>
      </c>
      <c r="AD188" s="136">
        <v>4</v>
      </c>
      <c r="AE188" s="132">
        <f t="shared" ref="AE188" si="605">Y188*1.02</f>
        <v>162.36482400000003</v>
      </c>
      <c r="AF188" s="135">
        <v>7</v>
      </c>
      <c r="AG188" s="11">
        <f t="shared" si="563"/>
        <v>4546.2150720000009</v>
      </c>
      <c r="AH188" s="12">
        <v>0</v>
      </c>
      <c r="AI188" s="205">
        <f>SUM(AG188:AH188)</f>
        <v>4546.2150720000009</v>
      </c>
      <c r="AJ188" s="206">
        <f>I188+O188+U188+AA188+AG188</f>
        <v>27921.792672000003</v>
      </c>
      <c r="AK188" s="206">
        <f>J188+P188+V188+AB188+AH188</f>
        <v>0</v>
      </c>
      <c r="AL188" s="206">
        <f>SUM(AJ188:AK188)</f>
        <v>27921.792672000003</v>
      </c>
      <c r="AM188" s="5"/>
      <c r="AN188" s="5"/>
      <c r="AO188" s="5"/>
      <c r="AP188" s="5"/>
    </row>
    <row r="189" spans="1:42">
      <c r="A189" s="327" t="s">
        <v>237</v>
      </c>
      <c r="B189" s="305">
        <v>7445</v>
      </c>
      <c r="C189" s="303" t="s">
        <v>51</v>
      </c>
      <c r="D189" s="63" t="s">
        <v>243</v>
      </c>
      <c r="E189" s="136">
        <v>1</v>
      </c>
      <c r="F189" s="135">
        <v>200</v>
      </c>
      <c r="G189" s="135">
        <v>6</v>
      </c>
      <c r="H189" s="134" t="s">
        <v>83</v>
      </c>
      <c r="I189" s="11">
        <f t="shared" si="551"/>
        <v>1200</v>
      </c>
      <c r="J189" s="12">
        <v>0</v>
      </c>
      <c r="K189" s="205">
        <f>SUM(I189:J189)</f>
        <v>1200</v>
      </c>
      <c r="L189" s="136">
        <v>1</v>
      </c>
      <c r="M189" s="132">
        <f t="shared" si="553"/>
        <v>204</v>
      </c>
      <c r="N189" s="135">
        <v>12</v>
      </c>
      <c r="O189" s="11">
        <f t="shared" si="554"/>
        <v>2448</v>
      </c>
      <c r="P189" s="12">
        <v>0</v>
      </c>
      <c r="Q189" s="205">
        <f>SUM(O189:P189)</f>
        <v>2448</v>
      </c>
      <c r="R189" s="136">
        <v>1</v>
      </c>
      <c r="S189" s="132">
        <f t="shared" si="556"/>
        <v>208.08</v>
      </c>
      <c r="T189" s="135">
        <v>12</v>
      </c>
      <c r="U189" s="11">
        <f t="shared" si="557"/>
        <v>2496.96</v>
      </c>
      <c r="V189" s="12">
        <v>0</v>
      </c>
      <c r="W189" s="205">
        <f>SUM(U189:V189)</f>
        <v>2496.96</v>
      </c>
      <c r="X189" s="136">
        <v>1</v>
      </c>
      <c r="Y189" s="132">
        <f t="shared" si="559"/>
        <v>212.24160000000001</v>
      </c>
      <c r="Z189" s="135">
        <v>12</v>
      </c>
      <c r="AA189" s="11">
        <f t="shared" si="560"/>
        <v>2546.8991999999998</v>
      </c>
      <c r="AB189" s="12">
        <v>0</v>
      </c>
      <c r="AC189" s="205">
        <f t="shared" ref="AC189:AC190" si="606">SUM(AA189:AB189)</f>
        <v>2546.8991999999998</v>
      </c>
      <c r="AD189" s="136">
        <v>1</v>
      </c>
      <c r="AE189" s="132">
        <f t="shared" ref="AE189:AE190" si="607">Y189*1.02</f>
        <v>216.48643200000001</v>
      </c>
      <c r="AF189" s="135">
        <v>7</v>
      </c>
      <c r="AG189" s="11">
        <f t="shared" si="563"/>
        <v>1515.4050240000001</v>
      </c>
      <c r="AH189" s="12">
        <v>0</v>
      </c>
      <c r="AI189" s="205">
        <f>SUM(AG189:AH189)</f>
        <v>1515.4050240000001</v>
      </c>
      <c r="AJ189" s="206">
        <f>I189+O189+U189+AA189+AG189</f>
        <v>10207.264223999999</v>
      </c>
      <c r="AK189" s="206">
        <f>J189+P189+V189+AB189+AH189</f>
        <v>0</v>
      </c>
      <c r="AL189" s="206">
        <f>SUM(AJ189:AK189)</f>
        <v>10207.264223999999</v>
      </c>
      <c r="AM189" s="5"/>
      <c r="AN189" s="5"/>
      <c r="AO189" s="5"/>
      <c r="AP189" s="5"/>
    </row>
    <row r="190" spans="1:42">
      <c r="A190" s="327" t="s">
        <v>239</v>
      </c>
      <c r="B190" s="305">
        <v>7530</v>
      </c>
      <c r="C190" s="303" t="s">
        <v>51</v>
      </c>
      <c r="D190" s="63" t="s">
        <v>244</v>
      </c>
      <c r="E190" s="136">
        <v>1</v>
      </c>
      <c r="F190" s="135">
        <v>450</v>
      </c>
      <c r="G190" s="135">
        <v>6</v>
      </c>
      <c r="H190" s="134" t="s">
        <v>83</v>
      </c>
      <c r="I190" s="11">
        <f t="shared" ref="I190" si="608">G190*F190*E190</f>
        <v>2700</v>
      </c>
      <c r="J190" s="12">
        <v>0</v>
      </c>
      <c r="K190" s="205">
        <f t="shared" ref="K190" si="609">SUM(I190:J190)</f>
        <v>2700</v>
      </c>
      <c r="L190" s="136">
        <v>1</v>
      </c>
      <c r="M190" s="132">
        <f t="shared" si="553"/>
        <v>459</v>
      </c>
      <c r="N190" s="135">
        <v>12</v>
      </c>
      <c r="O190" s="11">
        <f t="shared" ref="O190" si="610">L190*M190*N190</f>
        <v>5508</v>
      </c>
      <c r="P190" s="12">
        <v>0</v>
      </c>
      <c r="Q190" s="205">
        <f t="shared" ref="Q190" si="611">SUM(O190:P190)</f>
        <v>5508</v>
      </c>
      <c r="R190" s="136">
        <v>1</v>
      </c>
      <c r="S190" s="132">
        <f t="shared" ref="S190" si="612">M190*1.02</f>
        <v>468.18</v>
      </c>
      <c r="T190" s="135">
        <v>12</v>
      </c>
      <c r="U190" s="11">
        <f t="shared" ref="U190" si="613">T190*S190*R190</f>
        <v>5618.16</v>
      </c>
      <c r="V190" s="12">
        <v>0</v>
      </c>
      <c r="W190" s="205">
        <f t="shared" ref="W190" si="614">SUM(U190:V190)</f>
        <v>5618.16</v>
      </c>
      <c r="X190" s="136">
        <v>1</v>
      </c>
      <c r="Y190" s="132">
        <f t="shared" ref="Y190" si="615">S190*1.02</f>
        <v>477.54360000000003</v>
      </c>
      <c r="Z190" s="135">
        <v>12</v>
      </c>
      <c r="AA190" s="11">
        <f t="shared" ref="AA190" si="616">Z190*Y190*X190</f>
        <v>5730.5232000000005</v>
      </c>
      <c r="AB190" s="12">
        <v>0</v>
      </c>
      <c r="AC190" s="205">
        <f t="shared" si="606"/>
        <v>5730.5232000000005</v>
      </c>
      <c r="AD190" s="136">
        <v>1</v>
      </c>
      <c r="AE190" s="132">
        <f t="shared" si="607"/>
        <v>487.09447200000005</v>
      </c>
      <c r="AF190" s="135">
        <v>7</v>
      </c>
      <c r="AG190" s="11">
        <f t="shared" ref="AG190" si="617">AF190*AE190*AD190</f>
        <v>3409.6613040000002</v>
      </c>
      <c r="AH190" s="12">
        <v>0</v>
      </c>
      <c r="AI190" s="205">
        <f t="shared" ref="AI190" si="618">SUM(AG190:AH190)</f>
        <v>3409.6613040000002</v>
      </c>
      <c r="AJ190" s="206">
        <f t="shared" ref="AJ190" si="619">I190+O190+U190+AA190+AG190</f>
        <v>22966.344504000001</v>
      </c>
      <c r="AK190" s="206">
        <f t="shared" ref="AK190" si="620">J190+P190+V190+AB190+AH190</f>
        <v>0</v>
      </c>
      <c r="AL190" s="206">
        <f t="shared" ref="AL190" si="621">SUM(AJ190:AK190)</f>
        <v>22966.344504000001</v>
      </c>
      <c r="AM190" s="5"/>
      <c r="AN190" s="5"/>
      <c r="AO190" s="5"/>
      <c r="AP190" s="5"/>
    </row>
    <row r="191" spans="1:42">
      <c r="A191" s="327" t="s">
        <v>222</v>
      </c>
      <c r="B191" s="305">
        <v>7340</v>
      </c>
      <c r="C191" s="303" t="s">
        <v>51</v>
      </c>
      <c r="D191" s="63" t="s">
        <v>245</v>
      </c>
      <c r="E191" s="136">
        <v>1</v>
      </c>
      <c r="F191" s="135">
        <v>530</v>
      </c>
      <c r="G191" s="135">
        <v>6</v>
      </c>
      <c r="H191" s="134" t="s">
        <v>83</v>
      </c>
      <c r="I191" s="11">
        <f t="shared" si="551"/>
        <v>3180</v>
      </c>
      <c r="J191" s="12">
        <v>0</v>
      </c>
      <c r="K191" s="205">
        <f t="shared" si="529"/>
        <v>3180</v>
      </c>
      <c r="L191" s="136">
        <v>1</v>
      </c>
      <c r="M191" s="132">
        <f t="shared" si="553"/>
        <v>540.6</v>
      </c>
      <c r="N191" s="135">
        <v>12</v>
      </c>
      <c r="O191" s="11">
        <f t="shared" si="554"/>
        <v>6487.2000000000007</v>
      </c>
      <c r="P191" s="12">
        <v>0</v>
      </c>
      <c r="Q191" s="205">
        <f t="shared" ref="Q191" si="622">SUM(O191:P191)</f>
        <v>6487.2000000000007</v>
      </c>
      <c r="R191" s="136">
        <v>1</v>
      </c>
      <c r="S191" s="132">
        <f t="shared" si="556"/>
        <v>551.41200000000003</v>
      </c>
      <c r="T191" s="135">
        <v>12</v>
      </c>
      <c r="U191" s="11">
        <f t="shared" si="557"/>
        <v>6616.9440000000004</v>
      </c>
      <c r="V191" s="12">
        <v>0</v>
      </c>
      <c r="W191" s="205">
        <f t="shared" si="531"/>
        <v>6616.9440000000004</v>
      </c>
      <c r="X191" s="136">
        <v>1</v>
      </c>
      <c r="Y191" s="132">
        <f t="shared" si="559"/>
        <v>562.44024000000002</v>
      </c>
      <c r="Z191" s="135">
        <v>12</v>
      </c>
      <c r="AA191" s="11">
        <f t="shared" si="560"/>
        <v>6749.2828800000007</v>
      </c>
      <c r="AB191" s="12">
        <v>0</v>
      </c>
      <c r="AC191" s="205">
        <f t="shared" si="514"/>
        <v>6749.2828800000007</v>
      </c>
      <c r="AD191" s="136">
        <v>1</v>
      </c>
      <c r="AE191" s="132">
        <f t="shared" si="533"/>
        <v>573.68904480000003</v>
      </c>
      <c r="AF191" s="135">
        <v>7</v>
      </c>
      <c r="AG191" s="11">
        <f t="shared" si="563"/>
        <v>4015.8233136000003</v>
      </c>
      <c r="AH191" s="12">
        <v>0</v>
      </c>
      <c r="AI191" s="205">
        <f t="shared" si="535"/>
        <v>4015.8233136000003</v>
      </c>
      <c r="AJ191" s="206">
        <f t="shared" si="536"/>
        <v>27049.250193600001</v>
      </c>
      <c r="AK191" s="206">
        <f t="shared" si="536"/>
        <v>0</v>
      </c>
      <c r="AL191" s="206">
        <f t="shared" si="537"/>
        <v>27049.250193600001</v>
      </c>
      <c r="AM191" s="5"/>
      <c r="AN191" s="5"/>
      <c r="AO191" s="5"/>
      <c r="AP191" s="5"/>
    </row>
    <row r="192" spans="1:42">
      <c r="A192" s="327" t="s">
        <v>220</v>
      </c>
      <c r="B192" s="305">
        <v>7450</v>
      </c>
      <c r="C192" s="303" t="s">
        <v>51</v>
      </c>
      <c r="D192" s="63" t="s">
        <v>246</v>
      </c>
      <c r="E192" s="136">
        <v>1</v>
      </c>
      <c r="F192" s="135">
        <v>1000</v>
      </c>
      <c r="G192" s="135">
        <v>6</v>
      </c>
      <c r="H192" s="134" t="s">
        <v>83</v>
      </c>
      <c r="I192" s="11">
        <f t="shared" si="551"/>
        <v>6000</v>
      </c>
      <c r="J192" s="12">
        <v>0</v>
      </c>
      <c r="K192" s="205">
        <f t="shared" si="529"/>
        <v>6000</v>
      </c>
      <c r="L192" s="136">
        <v>1</v>
      </c>
      <c r="M192" s="132">
        <f t="shared" si="553"/>
        <v>1020</v>
      </c>
      <c r="N192" s="135">
        <v>12</v>
      </c>
      <c r="O192" s="11">
        <f t="shared" si="554"/>
        <v>12240</v>
      </c>
      <c r="P192" s="12">
        <v>0</v>
      </c>
      <c r="Q192" s="205">
        <f t="shared" ref="Q192:Q195" si="623">SUM(O192:P192)</f>
        <v>12240</v>
      </c>
      <c r="R192" s="136">
        <v>1</v>
      </c>
      <c r="S192" s="132">
        <f t="shared" si="556"/>
        <v>1040.4000000000001</v>
      </c>
      <c r="T192" s="135">
        <v>12</v>
      </c>
      <c r="U192" s="11">
        <f t="shared" si="557"/>
        <v>12484.800000000001</v>
      </c>
      <c r="V192" s="12">
        <v>0</v>
      </c>
      <c r="W192" s="205">
        <f t="shared" si="531"/>
        <v>12484.800000000001</v>
      </c>
      <c r="X192" s="136">
        <v>1</v>
      </c>
      <c r="Y192" s="132">
        <f t="shared" si="559"/>
        <v>1061.2080000000001</v>
      </c>
      <c r="Z192" s="135">
        <v>12</v>
      </c>
      <c r="AA192" s="11">
        <f t="shared" si="560"/>
        <v>12734.496000000001</v>
      </c>
      <c r="AB192" s="12">
        <v>0</v>
      </c>
      <c r="AC192" s="205">
        <f t="shared" ref="AC192:AC195" si="624">SUM(AA192:AB192)</f>
        <v>12734.496000000001</v>
      </c>
      <c r="AD192" s="136">
        <v>1</v>
      </c>
      <c r="AE192" s="132">
        <f t="shared" si="533"/>
        <v>1082.4321600000001</v>
      </c>
      <c r="AF192" s="135">
        <v>7</v>
      </c>
      <c r="AG192" s="11">
        <f t="shared" si="563"/>
        <v>7577.0251200000002</v>
      </c>
      <c r="AH192" s="12">
        <v>0</v>
      </c>
      <c r="AI192" s="205">
        <f t="shared" si="535"/>
        <v>7577.0251200000002</v>
      </c>
      <c r="AJ192" s="206">
        <f t="shared" si="536"/>
        <v>51036.321120000001</v>
      </c>
      <c r="AK192" s="206">
        <f t="shared" si="536"/>
        <v>0</v>
      </c>
      <c r="AL192" s="206">
        <f t="shared" si="537"/>
        <v>51036.321120000001</v>
      </c>
      <c r="AM192" s="5"/>
      <c r="AN192" s="5"/>
      <c r="AO192" s="5"/>
      <c r="AP192" s="5"/>
    </row>
    <row r="193" spans="1:42">
      <c r="A193" s="327" t="s">
        <v>247</v>
      </c>
      <c r="B193" s="305">
        <v>7435</v>
      </c>
      <c r="C193" s="303" t="s">
        <v>51</v>
      </c>
      <c r="D193" s="63" t="s">
        <v>248</v>
      </c>
      <c r="E193" s="136">
        <v>1</v>
      </c>
      <c r="F193" s="135">
        <v>2500</v>
      </c>
      <c r="G193" s="135">
        <v>6</v>
      </c>
      <c r="H193" s="134" t="s">
        <v>83</v>
      </c>
      <c r="I193" s="11">
        <f t="shared" si="551"/>
        <v>15000</v>
      </c>
      <c r="J193" s="12">
        <v>0</v>
      </c>
      <c r="K193" s="205">
        <f t="shared" si="529"/>
        <v>15000</v>
      </c>
      <c r="L193" s="136">
        <v>1</v>
      </c>
      <c r="M193" s="132">
        <f t="shared" si="553"/>
        <v>2550</v>
      </c>
      <c r="N193" s="135">
        <v>12</v>
      </c>
      <c r="O193" s="11">
        <f t="shared" si="554"/>
        <v>30600</v>
      </c>
      <c r="P193" s="12">
        <v>0</v>
      </c>
      <c r="Q193" s="205">
        <f t="shared" si="623"/>
        <v>30600</v>
      </c>
      <c r="R193" s="136">
        <v>1</v>
      </c>
      <c r="S193" s="132">
        <f t="shared" si="556"/>
        <v>2601</v>
      </c>
      <c r="T193" s="135">
        <v>12</v>
      </c>
      <c r="U193" s="11">
        <f t="shared" si="557"/>
        <v>31212</v>
      </c>
      <c r="V193" s="12">
        <v>0</v>
      </c>
      <c r="W193" s="205">
        <f t="shared" si="531"/>
        <v>31212</v>
      </c>
      <c r="X193" s="136">
        <v>1</v>
      </c>
      <c r="Y193" s="132">
        <f t="shared" si="559"/>
        <v>2653.02</v>
      </c>
      <c r="Z193" s="135">
        <v>12</v>
      </c>
      <c r="AA193" s="11">
        <f t="shared" si="560"/>
        <v>31836.239999999998</v>
      </c>
      <c r="AB193" s="12">
        <v>0</v>
      </c>
      <c r="AC193" s="205">
        <f t="shared" si="624"/>
        <v>31836.239999999998</v>
      </c>
      <c r="AD193" s="136">
        <v>1</v>
      </c>
      <c r="AE193" s="132">
        <f t="shared" si="533"/>
        <v>2706.0803999999998</v>
      </c>
      <c r="AF193" s="135">
        <v>7</v>
      </c>
      <c r="AG193" s="11">
        <f t="shared" si="563"/>
        <v>18942.5628</v>
      </c>
      <c r="AH193" s="12">
        <v>0</v>
      </c>
      <c r="AI193" s="205">
        <f t="shared" si="535"/>
        <v>18942.5628</v>
      </c>
      <c r="AJ193" s="206">
        <f t="shared" si="536"/>
        <v>127590.80279999999</v>
      </c>
      <c r="AK193" s="206">
        <f t="shared" si="536"/>
        <v>0</v>
      </c>
      <c r="AL193" s="206">
        <f t="shared" si="537"/>
        <v>127590.80279999999</v>
      </c>
      <c r="AM193" s="5"/>
      <c r="AN193" s="5"/>
      <c r="AO193" s="5"/>
      <c r="AP193" s="5"/>
    </row>
    <row r="194" spans="1:42">
      <c r="A194" s="327" t="s">
        <v>247</v>
      </c>
      <c r="B194" s="305">
        <v>7435</v>
      </c>
      <c r="C194" s="303" t="s">
        <v>51</v>
      </c>
      <c r="D194" s="63" t="s">
        <v>249</v>
      </c>
      <c r="E194" s="136">
        <v>1</v>
      </c>
      <c r="F194" s="135">
        <v>500</v>
      </c>
      <c r="G194" s="135">
        <v>6</v>
      </c>
      <c r="H194" s="134" t="s">
        <v>83</v>
      </c>
      <c r="I194" s="11">
        <f t="shared" si="551"/>
        <v>3000</v>
      </c>
      <c r="J194" s="12">
        <v>0</v>
      </c>
      <c r="K194" s="205">
        <f t="shared" si="529"/>
        <v>3000</v>
      </c>
      <c r="L194" s="136">
        <v>1</v>
      </c>
      <c r="M194" s="132">
        <f t="shared" si="553"/>
        <v>510</v>
      </c>
      <c r="N194" s="135">
        <v>12</v>
      </c>
      <c r="O194" s="11">
        <f t="shared" si="554"/>
        <v>6120</v>
      </c>
      <c r="P194" s="12">
        <v>0</v>
      </c>
      <c r="Q194" s="205">
        <f t="shared" si="623"/>
        <v>6120</v>
      </c>
      <c r="R194" s="136">
        <v>1</v>
      </c>
      <c r="S194" s="132">
        <f t="shared" si="556"/>
        <v>520.20000000000005</v>
      </c>
      <c r="T194" s="135">
        <v>12</v>
      </c>
      <c r="U194" s="11">
        <f t="shared" si="557"/>
        <v>6242.4000000000005</v>
      </c>
      <c r="V194" s="12">
        <v>0</v>
      </c>
      <c r="W194" s="205">
        <f t="shared" si="531"/>
        <v>6242.4000000000005</v>
      </c>
      <c r="X194" s="136">
        <v>1</v>
      </c>
      <c r="Y194" s="132">
        <f t="shared" si="559"/>
        <v>530.60400000000004</v>
      </c>
      <c r="Z194" s="135">
        <v>12</v>
      </c>
      <c r="AA194" s="11">
        <f t="shared" si="560"/>
        <v>6367.2480000000005</v>
      </c>
      <c r="AB194" s="12">
        <v>0</v>
      </c>
      <c r="AC194" s="205">
        <f t="shared" si="624"/>
        <v>6367.2480000000005</v>
      </c>
      <c r="AD194" s="136">
        <v>1</v>
      </c>
      <c r="AE194" s="132">
        <f t="shared" si="533"/>
        <v>541.21608000000003</v>
      </c>
      <c r="AF194" s="135">
        <v>7</v>
      </c>
      <c r="AG194" s="11">
        <f t="shared" si="563"/>
        <v>3788.5125600000001</v>
      </c>
      <c r="AH194" s="12">
        <v>0</v>
      </c>
      <c r="AI194" s="205">
        <f t="shared" si="535"/>
        <v>3788.5125600000001</v>
      </c>
      <c r="AJ194" s="206">
        <f t="shared" si="536"/>
        <v>25518.16056</v>
      </c>
      <c r="AK194" s="206">
        <f t="shared" si="536"/>
        <v>0</v>
      </c>
      <c r="AL194" s="206">
        <f t="shared" si="537"/>
        <v>25518.16056</v>
      </c>
      <c r="AM194" s="5"/>
      <c r="AN194" s="5"/>
      <c r="AO194" s="5"/>
      <c r="AP194" s="5"/>
    </row>
    <row r="195" spans="1:42">
      <c r="A195" s="327" t="s">
        <v>250</v>
      </c>
      <c r="B195" s="305">
        <v>8170</v>
      </c>
      <c r="C195" s="303" t="s">
        <v>51</v>
      </c>
      <c r="D195" s="63" t="s">
        <v>251</v>
      </c>
      <c r="E195" s="136">
        <v>1</v>
      </c>
      <c r="F195" s="135">
        <v>2000</v>
      </c>
      <c r="G195" s="135">
        <v>1</v>
      </c>
      <c r="H195" s="134" t="s">
        <v>207</v>
      </c>
      <c r="I195" s="11">
        <f t="shared" si="551"/>
        <v>2000</v>
      </c>
      <c r="J195" s="12">
        <v>0</v>
      </c>
      <c r="K195" s="205">
        <f t="shared" si="529"/>
        <v>2000</v>
      </c>
      <c r="L195" s="136">
        <v>1</v>
      </c>
      <c r="M195" s="132">
        <f t="shared" si="553"/>
        <v>2040</v>
      </c>
      <c r="N195" s="135">
        <v>1</v>
      </c>
      <c r="O195" s="11">
        <f t="shared" si="554"/>
        <v>2040</v>
      </c>
      <c r="P195" s="12">
        <v>0</v>
      </c>
      <c r="Q195" s="205">
        <f t="shared" si="623"/>
        <v>2040</v>
      </c>
      <c r="R195" s="136">
        <v>1</v>
      </c>
      <c r="S195" s="132">
        <f t="shared" si="556"/>
        <v>2080.8000000000002</v>
      </c>
      <c r="T195" s="135">
        <v>1</v>
      </c>
      <c r="U195" s="11">
        <f t="shared" si="557"/>
        <v>2080.8000000000002</v>
      </c>
      <c r="V195" s="12">
        <v>0</v>
      </c>
      <c r="W195" s="205">
        <f t="shared" si="531"/>
        <v>2080.8000000000002</v>
      </c>
      <c r="X195" s="136">
        <v>1</v>
      </c>
      <c r="Y195" s="132">
        <f t="shared" si="559"/>
        <v>2122.4160000000002</v>
      </c>
      <c r="Z195" s="135">
        <v>1</v>
      </c>
      <c r="AA195" s="11">
        <f t="shared" si="560"/>
        <v>2122.4160000000002</v>
      </c>
      <c r="AB195" s="12">
        <v>0</v>
      </c>
      <c r="AC195" s="205">
        <f t="shared" si="624"/>
        <v>2122.4160000000002</v>
      </c>
      <c r="AD195" s="136">
        <v>1</v>
      </c>
      <c r="AE195" s="132">
        <f t="shared" si="533"/>
        <v>2164.8643200000001</v>
      </c>
      <c r="AF195" s="135">
        <v>1</v>
      </c>
      <c r="AG195" s="11">
        <f t="shared" si="563"/>
        <v>2164.8643200000001</v>
      </c>
      <c r="AH195" s="12">
        <v>0</v>
      </c>
      <c r="AI195" s="205">
        <f t="shared" si="535"/>
        <v>2164.8643200000001</v>
      </c>
      <c r="AJ195" s="206">
        <f t="shared" ref="AJ195" si="625">I195+O195+U195+AA195+AG195</f>
        <v>10408.080320000001</v>
      </c>
      <c r="AK195" s="206">
        <f t="shared" ref="AK195" si="626">J195+P195+V195+AB195+AH195</f>
        <v>0</v>
      </c>
      <c r="AL195" s="206">
        <f t="shared" si="537"/>
        <v>10408.080320000001</v>
      </c>
      <c r="AM195" s="5"/>
      <c r="AN195" s="5"/>
      <c r="AO195" s="5"/>
      <c r="AP195" s="5"/>
    </row>
    <row r="196" spans="1:42">
      <c r="A196" s="327" t="s">
        <v>252</v>
      </c>
      <c r="B196" s="305" t="s">
        <v>253</v>
      </c>
      <c r="C196" s="303" t="s">
        <v>51</v>
      </c>
      <c r="D196" s="63" t="s">
        <v>254</v>
      </c>
      <c r="E196" s="136">
        <v>1</v>
      </c>
      <c r="F196" s="135">
        <v>2500</v>
      </c>
      <c r="G196" s="135">
        <v>1</v>
      </c>
      <c r="H196" s="134" t="s">
        <v>207</v>
      </c>
      <c r="I196" s="11">
        <f t="shared" si="551"/>
        <v>2500</v>
      </c>
      <c r="J196" s="12">
        <v>0</v>
      </c>
      <c r="K196" s="205">
        <f t="shared" ref="K196" si="627">SUM(I196:J196)</f>
        <v>2500</v>
      </c>
      <c r="L196" s="136">
        <v>0</v>
      </c>
      <c r="M196" s="132">
        <f t="shared" si="553"/>
        <v>2550</v>
      </c>
      <c r="N196" s="135">
        <v>1</v>
      </c>
      <c r="O196" s="11">
        <f t="shared" si="554"/>
        <v>0</v>
      </c>
      <c r="P196" s="12">
        <v>0</v>
      </c>
      <c r="Q196" s="205">
        <f t="shared" ref="Q196" si="628">SUM(O196:P196)</f>
        <v>0</v>
      </c>
      <c r="R196" s="136">
        <v>0</v>
      </c>
      <c r="S196" s="132">
        <f t="shared" si="556"/>
        <v>2601</v>
      </c>
      <c r="T196" s="135">
        <v>1</v>
      </c>
      <c r="U196" s="11">
        <f t="shared" si="557"/>
        <v>0</v>
      </c>
      <c r="V196" s="12">
        <v>0</v>
      </c>
      <c r="W196" s="205">
        <f t="shared" ref="W196" si="629">SUM(U196:V196)</f>
        <v>0</v>
      </c>
      <c r="X196" s="136">
        <v>0</v>
      </c>
      <c r="Y196" s="132">
        <f t="shared" si="559"/>
        <v>2653.02</v>
      </c>
      <c r="Z196" s="135">
        <v>1</v>
      </c>
      <c r="AA196" s="11">
        <f t="shared" si="560"/>
        <v>0</v>
      </c>
      <c r="AB196" s="12">
        <v>0</v>
      </c>
      <c r="AC196" s="205">
        <f t="shared" ref="AC196" si="630">SUM(AA196:AB196)</f>
        <v>0</v>
      </c>
      <c r="AD196" s="136">
        <v>1</v>
      </c>
      <c r="AE196" s="132">
        <f t="shared" ref="AE196" si="631">Y196*1.02</f>
        <v>2706.0803999999998</v>
      </c>
      <c r="AF196" s="135">
        <v>1</v>
      </c>
      <c r="AG196" s="11">
        <f t="shared" si="563"/>
        <v>2706.0803999999998</v>
      </c>
      <c r="AH196" s="12">
        <v>0</v>
      </c>
      <c r="AI196" s="205">
        <f t="shared" ref="AI196" si="632">SUM(AG196:AH196)</f>
        <v>2706.0803999999998</v>
      </c>
      <c r="AJ196" s="206">
        <f t="shared" ref="AJ196" si="633">I196+O196+U196+AA196+AG196</f>
        <v>5206.0803999999998</v>
      </c>
      <c r="AK196" s="206">
        <f t="shared" ref="AK196" si="634">J196+P196+V196+AB196+AH196</f>
        <v>0</v>
      </c>
      <c r="AL196" s="206">
        <f t="shared" ref="AL196" si="635">SUM(AJ196:AK196)</f>
        <v>5206.0803999999998</v>
      </c>
      <c r="AM196" s="5"/>
      <c r="AN196" s="5"/>
      <c r="AO196" s="5"/>
      <c r="AP196" s="5"/>
    </row>
    <row r="197" spans="1:42">
      <c r="A197" s="327" t="s">
        <v>255</v>
      </c>
      <c r="B197" s="305">
        <v>7470</v>
      </c>
      <c r="C197" s="303" t="s">
        <v>51</v>
      </c>
      <c r="D197" s="63" t="s">
        <v>256</v>
      </c>
      <c r="E197" s="136">
        <v>1</v>
      </c>
      <c r="F197" s="135">
        <v>2000</v>
      </c>
      <c r="G197" s="135">
        <v>1</v>
      </c>
      <c r="H197" s="134" t="s">
        <v>207</v>
      </c>
      <c r="I197" s="11">
        <f t="shared" si="551"/>
        <v>2000</v>
      </c>
      <c r="J197" s="12">
        <v>0</v>
      </c>
      <c r="K197" s="205">
        <f t="shared" ref="K197" si="636">SUM(I197:J197)</f>
        <v>2000</v>
      </c>
      <c r="L197" s="136">
        <v>1</v>
      </c>
      <c r="M197" s="132">
        <f t="shared" si="553"/>
        <v>2040</v>
      </c>
      <c r="N197" s="135">
        <v>1</v>
      </c>
      <c r="O197" s="11">
        <f t="shared" si="554"/>
        <v>2040</v>
      </c>
      <c r="P197" s="12">
        <v>0</v>
      </c>
      <c r="Q197" s="205">
        <f t="shared" ref="Q197" si="637">SUM(O197:P197)</f>
        <v>2040</v>
      </c>
      <c r="R197" s="136">
        <v>1</v>
      </c>
      <c r="S197" s="132">
        <f t="shared" si="556"/>
        <v>2080.8000000000002</v>
      </c>
      <c r="T197" s="135">
        <v>1</v>
      </c>
      <c r="U197" s="11">
        <f t="shared" si="557"/>
        <v>2080.8000000000002</v>
      </c>
      <c r="V197" s="12">
        <v>0</v>
      </c>
      <c r="W197" s="205">
        <f t="shared" ref="W197" si="638">SUM(U197:V197)</f>
        <v>2080.8000000000002</v>
      </c>
      <c r="X197" s="136">
        <v>1</v>
      </c>
      <c r="Y197" s="132">
        <f t="shared" si="559"/>
        <v>2122.4160000000002</v>
      </c>
      <c r="Z197" s="135">
        <v>1</v>
      </c>
      <c r="AA197" s="11">
        <f>Z197*Y197*X197</f>
        <v>2122.4160000000002</v>
      </c>
      <c r="AB197" s="12">
        <v>0</v>
      </c>
      <c r="AC197" s="205">
        <f t="shared" ref="AC197" si="639">SUM(AA197:AB197)</f>
        <v>2122.4160000000002</v>
      </c>
      <c r="AD197" s="136">
        <v>1</v>
      </c>
      <c r="AE197" s="132">
        <f t="shared" ref="AE197" si="640">Y197*1.02</f>
        <v>2164.8643200000001</v>
      </c>
      <c r="AF197" s="135">
        <v>1</v>
      </c>
      <c r="AG197" s="11">
        <f t="shared" si="563"/>
        <v>2164.8643200000001</v>
      </c>
      <c r="AH197" s="12">
        <v>0</v>
      </c>
      <c r="AI197" s="205">
        <f t="shared" ref="AI197" si="641">SUM(AG197:AH197)</f>
        <v>2164.8643200000001</v>
      </c>
      <c r="AJ197" s="206">
        <f t="shared" ref="AJ197" si="642">I197+O197+U197+AA197+AG197</f>
        <v>10408.080320000001</v>
      </c>
      <c r="AK197" s="206">
        <f t="shared" ref="AK197" si="643">J197+P197+V197+AB197+AH197</f>
        <v>0</v>
      </c>
      <c r="AL197" s="206">
        <f t="shared" ref="AL197" si="644">SUM(AJ197:AK197)</f>
        <v>10408.080320000001</v>
      </c>
      <c r="AM197" s="5"/>
      <c r="AN197" s="5"/>
      <c r="AO197" s="5"/>
      <c r="AP197" s="5"/>
    </row>
    <row r="198" spans="1:42">
      <c r="A198" s="337"/>
      <c r="B198" s="338"/>
      <c r="C198" s="339"/>
      <c r="D198" s="188" t="s">
        <v>257</v>
      </c>
      <c r="E198" s="257"/>
      <c r="F198" s="258"/>
      <c r="G198" s="258"/>
      <c r="H198" s="258"/>
      <c r="I198" s="109">
        <f>SUM(I182:I197)</f>
        <v>58830</v>
      </c>
      <c r="J198" s="109">
        <f t="shared" ref="J198:K198" si="645">SUM(J182:J197)</f>
        <v>0</v>
      </c>
      <c r="K198" s="109">
        <f t="shared" si="645"/>
        <v>58830</v>
      </c>
      <c r="L198" s="257"/>
      <c r="M198" s="258"/>
      <c r="N198" s="258"/>
      <c r="O198" s="109">
        <f>SUM(O182:O197)</f>
        <v>122971.2</v>
      </c>
      <c r="P198" s="109">
        <f t="shared" ref="P198:Q198" si="646">SUM(P182:P197)</f>
        <v>0</v>
      </c>
      <c r="Q198" s="109">
        <f t="shared" si="646"/>
        <v>122971.2</v>
      </c>
      <c r="R198" s="257"/>
      <c r="S198" s="258"/>
      <c r="T198" s="258"/>
      <c r="U198" s="109">
        <f>SUM(U182:U197)</f>
        <v>125430.62400000001</v>
      </c>
      <c r="V198" s="109">
        <f t="shared" ref="V198:W198" si="647">SUM(V182:V197)</f>
        <v>0</v>
      </c>
      <c r="W198" s="109">
        <f t="shared" si="647"/>
        <v>125430.62400000001</v>
      </c>
      <c r="X198" s="257"/>
      <c r="Y198" s="258"/>
      <c r="Z198" s="258"/>
      <c r="AA198" s="109">
        <f>SUM(AA182:AA197)</f>
        <v>127939.23648000001</v>
      </c>
      <c r="AB198" s="109">
        <f t="shared" ref="AB198:AC198" si="648">SUM(AB182:AB197)</f>
        <v>0</v>
      </c>
      <c r="AC198" s="109">
        <f t="shared" si="648"/>
        <v>127939.23648000001</v>
      </c>
      <c r="AD198" s="257"/>
      <c r="AE198" s="258"/>
      <c r="AF198" s="258"/>
      <c r="AG198" s="109">
        <f>SUM(AG182:AG197)</f>
        <v>85008.80968559999</v>
      </c>
      <c r="AH198" s="109">
        <f t="shared" ref="AH198:AI198" si="649">SUM(AH182:AH197)</f>
        <v>0</v>
      </c>
      <c r="AI198" s="109">
        <f t="shared" si="649"/>
        <v>85008.80968559999</v>
      </c>
      <c r="AJ198" s="111">
        <f>SUM(AJ182:AJ197)</f>
        <v>520179.87016559998</v>
      </c>
      <c r="AK198" s="111">
        <f t="shared" ref="AK198:AL198" si="650">SUM(AK182:AK197)</f>
        <v>0</v>
      </c>
      <c r="AL198" s="111">
        <f t="shared" si="650"/>
        <v>520179.87016559998</v>
      </c>
      <c r="AM198" s="5"/>
      <c r="AN198" s="5"/>
      <c r="AO198" s="5"/>
      <c r="AP198" s="5"/>
    </row>
    <row r="199" spans="1:42">
      <c r="A199" s="327"/>
      <c r="D199" s="61"/>
      <c r="E199" s="35"/>
      <c r="I199" s="11"/>
      <c r="J199" s="12"/>
      <c r="K199" s="205"/>
      <c r="L199" s="35"/>
      <c r="O199" s="11"/>
      <c r="P199" s="12"/>
      <c r="Q199" s="205"/>
      <c r="R199" s="35"/>
      <c r="U199" s="11"/>
      <c r="V199" s="12"/>
      <c r="W199" s="205"/>
      <c r="X199" s="35"/>
      <c r="AA199" s="11"/>
      <c r="AB199" s="12"/>
      <c r="AC199" s="205"/>
      <c r="AD199" s="35"/>
      <c r="AG199" s="11"/>
      <c r="AH199" s="12"/>
      <c r="AI199" s="205"/>
      <c r="AJ199" s="206"/>
      <c r="AK199" s="206"/>
      <c r="AL199" s="206"/>
      <c r="AM199" s="5"/>
      <c r="AN199" s="5"/>
      <c r="AO199" s="5"/>
      <c r="AP199" s="5"/>
    </row>
    <row r="200" spans="1:42" s="9" customFormat="1">
      <c r="A200" s="330"/>
      <c r="B200" s="331"/>
      <c r="C200" s="332"/>
      <c r="D200" s="112" t="s">
        <v>258</v>
      </c>
      <c r="E200" s="246"/>
      <c r="F200" s="247"/>
      <c r="G200" s="247"/>
      <c r="H200" s="247"/>
      <c r="I200" s="215">
        <f>I198+I179</f>
        <v>78710</v>
      </c>
      <c r="J200" s="215">
        <f t="shared" ref="J200:K200" si="651">J198+J179</f>
        <v>0</v>
      </c>
      <c r="K200" s="215">
        <f t="shared" si="651"/>
        <v>78710</v>
      </c>
      <c r="L200" s="246"/>
      <c r="M200" s="247"/>
      <c r="N200" s="247"/>
      <c r="O200" s="215">
        <f>O198+O179</f>
        <v>146308.79999999999</v>
      </c>
      <c r="P200" s="215">
        <f t="shared" ref="P200:Q200" si="652">P198+P179</f>
        <v>0</v>
      </c>
      <c r="Q200" s="215">
        <f t="shared" si="652"/>
        <v>146308.79999999999</v>
      </c>
      <c r="R200" s="246"/>
      <c r="S200" s="247"/>
      <c r="T200" s="247"/>
      <c r="U200" s="215">
        <f>U198+U179</f>
        <v>149234.97600000002</v>
      </c>
      <c r="V200" s="215">
        <f t="shared" ref="V200:W200" si="653">V198+V179</f>
        <v>0</v>
      </c>
      <c r="W200" s="215">
        <f t="shared" si="653"/>
        <v>149234.97600000002</v>
      </c>
      <c r="X200" s="246"/>
      <c r="Y200" s="247"/>
      <c r="Z200" s="247"/>
      <c r="AA200" s="215">
        <f>AA198+AA179</f>
        <v>152219.67552000002</v>
      </c>
      <c r="AB200" s="215">
        <f t="shared" ref="AB200:AC200" si="654">AB198+AB179</f>
        <v>0</v>
      </c>
      <c r="AC200" s="215">
        <f t="shared" si="654"/>
        <v>152219.67552000002</v>
      </c>
      <c r="AD200" s="246"/>
      <c r="AE200" s="247"/>
      <c r="AF200" s="247"/>
      <c r="AG200" s="215">
        <f>AG198+AG179</f>
        <v>107523.39861359999</v>
      </c>
      <c r="AH200" s="215">
        <f t="shared" ref="AH200:AI200" si="655">AH198+AH179</f>
        <v>0</v>
      </c>
      <c r="AI200" s="215">
        <f t="shared" si="655"/>
        <v>107523.39861359999</v>
      </c>
      <c r="AJ200" s="218">
        <f>AJ198+AJ179</f>
        <v>633996.85013359995</v>
      </c>
      <c r="AK200" s="218">
        <f t="shared" ref="AK200:AL200" si="656">AK198+AK179</f>
        <v>0</v>
      </c>
      <c r="AL200" s="218">
        <f t="shared" si="656"/>
        <v>633996.85013359995</v>
      </c>
      <c r="AM200" s="25"/>
      <c r="AN200" s="25"/>
      <c r="AO200" s="25"/>
      <c r="AP200" s="25"/>
    </row>
    <row r="201" spans="1:42">
      <c r="A201" s="327"/>
      <c r="D201" s="61"/>
      <c r="E201" s="35"/>
      <c r="I201" s="11"/>
      <c r="J201" s="12"/>
      <c r="K201" s="205"/>
      <c r="L201" s="35"/>
      <c r="O201" s="11"/>
      <c r="P201" s="12"/>
      <c r="Q201" s="205"/>
      <c r="R201" s="35"/>
      <c r="U201" s="11"/>
      <c r="V201" s="12"/>
      <c r="W201" s="205"/>
      <c r="X201" s="35"/>
      <c r="AA201" s="11"/>
      <c r="AB201" s="12"/>
      <c r="AC201" s="205"/>
      <c r="AD201" s="35"/>
      <c r="AG201" s="11"/>
      <c r="AH201" s="12"/>
      <c r="AI201" s="205"/>
      <c r="AJ201" s="206"/>
      <c r="AK201" s="206"/>
      <c r="AL201" s="206"/>
      <c r="AM201" s="5"/>
      <c r="AN201" s="5"/>
      <c r="AO201" s="5"/>
      <c r="AP201" s="5"/>
    </row>
    <row r="202" spans="1:42" s="25" customFormat="1">
      <c r="A202" s="351"/>
      <c r="B202" s="352"/>
      <c r="C202" s="353"/>
      <c r="D202" s="171" t="s">
        <v>20</v>
      </c>
      <c r="E202" s="172"/>
      <c r="F202" s="173"/>
      <c r="G202" s="173"/>
      <c r="H202" s="174"/>
      <c r="I202" s="175">
        <f>I200+I166+I131+I104+I97+I43+I32</f>
        <v>3391607.1135999998</v>
      </c>
      <c r="J202" s="176">
        <f>J200+J166+J131+J104+J97+J43+J32</f>
        <v>343260</v>
      </c>
      <c r="K202" s="177">
        <f>SUM(I202:J202)</f>
        <v>3734867.1135999998</v>
      </c>
      <c r="L202" s="172"/>
      <c r="M202" s="173"/>
      <c r="N202" s="173"/>
      <c r="O202" s="178">
        <f>O200+O166+O131+O104+O97+O43+O32</f>
        <v>3760595.3981299996</v>
      </c>
      <c r="P202" s="176">
        <f>P200+P166+P131+P104+P97+P43+P32</f>
        <v>1162192.5</v>
      </c>
      <c r="Q202" s="177">
        <f>SUM(O202:P202)</f>
        <v>4922787.8981299996</v>
      </c>
      <c r="R202" s="172"/>
      <c r="S202" s="173"/>
      <c r="T202" s="173"/>
      <c r="U202" s="179">
        <f>U200+U166+U131+U104+U97+U43+U32</f>
        <v>2890163.85854385</v>
      </c>
      <c r="V202" s="180">
        <f>V200+V166+V131+V104+V97+V43+V32</f>
        <v>834592.5</v>
      </c>
      <c r="W202" s="181">
        <f>W200+W166+W131+W104+W97+W43+W32</f>
        <v>3724756.35854385</v>
      </c>
      <c r="X202" s="172"/>
      <c r="Y202" s="173"/>
      <c r="Z202" s="173"/>
      <c r="AA202" s="179">
        <f>AA200+AA166+AA131+AA104+AA97+AA43+AA32</f>
        <v>2194195.2067529298</v>
      </c>
      <c r="AB202" s="180">
        <f>AB200+AB166+AB131+AB104+AB97+AB43+AB32</f>
        <v>506992.5</v>
      </c>
      <c r="AC202" s="181">
        <f>AC200+AC166+AC131+AC104+AC97+AC43+AC32</f>
        <v>2701187.7067529298</v>
      </c>
      <c r="AD202" s="172"/>
      <c r="AE202" s="173"/>
      <c r="AF202" s="173"/>
      <c r="AG202" s="179">
        <f>AG200+AG166+AG131+AG104+AG97+AG43+AG32</f>
        <v>1750538.992864718</v>
      </c>
      <c r="AH202" s="180">
        <f>AH200+AH166+AH131+AH104+AH97+AH43+AH32</f>
        <v>166387.5</v>
      </c>
      <c r="AI202" s="181">
        <f>AI200+AI166+AI131+AI104+AI97+AI43+AI32</f>
        <v>1916926.492864718</v>
      </c>
      <c r="AJ202" s="182">
        <f>AG202+AA202+U202+O202+I202</f>
        <v>13987100.569891497</v>
      </c>
      <c r="AK202" s="182">
        <f>AH202+AB202+V202+P202+J202</f>
        <v>3013425</v>
      </c>
      <c r="AL202" s="182">
        <f>SUM(AJ202:AK202)</f>
        <v>17000525.569891497</v>
      </c>
      <c r="AN202" s="268"/>
    </row>
    <row r="203" spans="1:42" s="9" customFormat="1">
      <c r="A203" s="354" t="s">
        <v>259</v>
      </c>
      <c r="B203" s="355">
        <v>8400</v>
      </c>
      <c r="C203" s="359">
        <v>0</v>
      </c>
      <c r="D203" s="171" t="s">
        <v>21</v>
      </c>
      <c r="E203" s="103">
        <v>0.28689999999999999</v>
      </c>
      <c r="F203" s="104"/>
      <c r="G203" s="104"/>
      <c r="H203" s="105"/>
      <c r="I203" s="259">
        <f>I202*$E203</f>
        <v>973052.08089183993</v>
      </c>
      <c r="J203" s="260">
        <v>0</v>
      </c>
      <c r="K203" s="261">
        <f>SUM(I203:J203)</f>
        <v>973052.08089183993</v>
      </c>
      <c r="L203" s="103"/>
      <c r="M203" s="104"/>
      <c r="N203" s="104"/>
      <c r="O203" s="259">
        <f>O202*$E203</f>
        <v>1078914.8197234969</v>
      </c>
      <c r="P203" s="260">
        <v>0</v>
      </c>
      <c r="Q203" s="261">
        <f>SUM(O203:P203)</f>
        <v>1078914.8197234969</v>
      </c>
      <c r="R203" s="103"/>
      <c r="S203" s="104"/>
      <c r="T203" s="104"/>
      <c r="U203" s="259">
        <f>U202*$E203</f>
        <v>829188.01101623056</v>
      </c>
      <c r="V203" s="260">
        <v>0</v>
      </c>
      <c r="W203" s="261">
        <f>SUM(U203:V203)</f>
        <v>829188.01101623056</v>
      </c>
      <c r="X203" s="103"/>
      <c r="Y203" s="104"/>
      <c r="Z203" s="104"/>
      <c r="AA203" s="259">
        <f>AA202*$E203</f>
        <v>629514.60481741559</v>
      </c>
      <c r="AB203" s="260">
        <v>0</v>
      </c>
      <c r="AC203" s="261">
        <f>SUM(AA203:AB203)</f>
        <v>629514.60481741559</v>
      </c>
      <c r="AD203" s="103"/>
      <c r="AE203" s="104"/>
      <c r="AF203" s="104"/>
      <c r="AG203" s="259">
        <f>AG202*$E203</f>
        <v>502229.63705288759</v>
      </c>
      <c r="AH203" s="260">
        <v>0</v>
      </c>
      <c r="AI203" s="261">
        <f>SUM(AG203:AH203)</f>
        <v>502229.63705288759</v>
      </c>
      <c r="AJ203" s="262">
        <f>AG203+AA203+U203+O203+I203</f>
        <v>4012899.153501871</v>
      </c>
      <c r="AK203" s="262">
        <f t="shared" ref="AK203:AK204" si="657">AH203+AB203+V203+P203+J203</f>
        <v>0</v>
      </c>
      <c r="AL203" s="262">
        <f>SUM(AJ203:AK203)</f>
        <v>4012899.153501871</v>
      </c>
      <c r="AM203" s="25"/>
      <c r="AN203" s="268"/>
      <c r="AO203" s="25"/>
      <c r="AP203" s="25"/>
    </row>
    <row r="204" spans="1:42" ht="12.6" thickBot="1">
      <c r="A204" s="356"/>
      <c r="B204" s="357"/>
      <c r="C204" s="358"/>
      <c r="D204" s="171" t="s">
        <v>8</v>
      </c>
      <c r="E204" s="153"/>
      <c r="F204" s="154"/>
      <c r="G204" s="154"/>
      <c r="H204" s="155"/>
      <c r="I204" s="263">
        <f>SUM(I202:I203)</f>
        <v>4364659.19449184</v>
      </c>
      <c r="J204" s="264">
        <f t="shared" ref="J204:AI204" si="658">SUM(J202:J203)</f>
        <v>343260</v>
      </c>
      <c r="K204" s="265">
        <f t="shared" si="658"/>
        <v>4707919.19449184</v>
      </c>
      <c r="L204" s="153"/>
      <c r="M204" s="154"/>
      <c r="N204" s="154"/>
      <c r="O204" s="263">
        <f t="shared" si="658"/>
        <v>4839510.2178534968</v>
      </c>
      <c r="P204" s="264">
        <f t="shared" si="658"/>
        <v>1162192.5</v>
      </c>
      <c r="Q204" s="265">
        <f t="shared" si="658"/>
        <v>6001702.7178534968</v>
      </c>
      <c r="R204" s="153"/>
      <c r="S204" s="154"/>
      <c r="T204" s="154"/>
      <c r="U204" s="263">
        <f>SUM(U202:U203)</f>
        <v>3719351.8695600806</v>
      </c>
      <c r="V204" s="264">
        <f t="shared" si="658"/>
        <v>834592.5</v>
      </c>
      <c r="W204" s="265">
        <f t="shared" si="658"/>
        <v>4553944.3695600806</v>
      </c>
      <c r="X204" s="153"/>
      <c r="Y204" s="154"/>
      <c r="Z204" s="154"/>
      <c r="AA204" s="263">
        <f t="shared" si="658"/>
        <v>2823709.8115703454</v>
      </c>
      <c r="AB204" s="264">
        <f t="shared" si="658"/>
        <v>506992.5</v>
      </c>
      <c r="AC204" s="265">
        <f t="shared" si="658"/>
        <v>3330702.3115703454</v>
      </c>
      <c r="AD204" s="153"/>
      <c r="AE204" s="154"/>
      <c r="AF204" s="154"/>
      <c r="AG204" s="263">
        <f>SUM(AG202:AG203)</f>
        <v>2252768.6299176058</v>
      </c>
      <c r="AH204" s="264">
        <f t="shared" si="658"/>
        <v>166387.5</v>
      </c>
      <c r="AI204" s="265">
        <f t="shared" si="658"/>
        <v>2419156.1299176058</v>
      </c>
      <c r="AJ204" s="266">
        <f>AG204+AA204+U204+O204+I204</f>
        <v>17999999.723393369</v>
      </c>
      <c r="AK204" s="266">
        <f t="shared" si="657"/>
        <v>3013425</v>
      </c>
      <c r="AL204" s="266">
        <f>SUM(AJ204:AK204)</f>
        <v>21013424.723393369</v>
      </c>
      <c r="AM204" s="12"/>
      <c r="AN204" s="269"/>
      <c r="AO204" s="12"/>
      <c r="AP204" s="5"/>
    </row>
    <row r="205" spans="1:42">
      <c r="D205" s="46"/>
      <c r="I205" s="12"/>
      <c r="J205" s="12"/>
      <c r="K205" s="12"/>
      <c r="O205" s="12"/>
      <c r="P205" s="12"/>
      <c r="Q205" s="12"/>
      <c r="U205" s="12"/>
      <c r="V205" s="12"/>
      <c r="W205" s="12"/>
      <c r="AA205" s="12"/>
      <c r="AB205" s="12"/>
      <c r="AC205" s="12"/>
      <c r="AG205" s="12"/>
      <c r="AH205" s="12"/>
      <c r="AI205" s="12"/>
      <c r="AJ205" s="5"/>
      <c r="AK205" s="12"/>
      <c r="AL205" s="12"/>
      <c r="AM205" s="5"/>
      <c r="AN205" s="5"/>
      <c r="AO205" s="5"/>
      <c r="AP205" s="5"/>
    </row>
    <row r="206" spans="1:42">
      <c r="D206" s="5"/>
      <c r="I206" s="12"/>
      <c r="J206" s="12"/>
      <c r="K206" s="12"/>
      <c r="O206" s="12"/>
      <c r="P206" s="12"/>
      <c r="Q206" s="12"/>
      <c r="U206" s="12"/>
      <c r="V206" s="12"/>
      <c r="W206" s="12"/>
      <c r="AA206" s="12"/>
      <c r="AB206" s="12"/>
      <c r="AC206" s="12"/>
      <c r="AG206" s="12"/>
      <c r="AH206" s="12"/>
      <c r="AI206" s="12"/>
      <c r="AJ206" s="12"/>
      <c r="AK206" s="12"/>
      <c r="AL206" s="5"/>
      <c r="AM206" s="5"/>
      <c r="AN206" s="5"/>
      <c r="AO206" s="5"/>
      <c r="AP206" s="5"/>
    </row>
    <row r="207" spans="1:42">
      <c r="D207" s="5"/>
      <c r="I207" s="5"/>
      <c r="J207" s="5"/>
      <c r="K207" s="5"/>
      <c r="O207" s="5"/>
      <c r="P207" s="5"/>
      <c r="Q207" s="5"/>
      <c r="U207" s="5"/>
      <c r="V207" s="5"/>
      <c r="W207" s="5"/>
      <c r="AA207" s="5"/>
      <c r="AB207" s="5"/>
      <c r="AC207" s="5"/>
      <c r="AG207" s="12"/>
      <c r="AH207" s="12"/>
      <c r="AI207" s="12"/>
      <c r="AJ207" s="193"/>
      <c r="AK207" s="12"/>
      <c r="AL207" s="5"/>
      <c r="AM207" s="5"/>
      <c r="AN207" s="5"/>
      <c r="AO207" s="5"/>
      <c r="AP207" s="5"/>
    </row>
    <row r="208" spans="1:42">
      <c r="D208" s="5"/>
      <c r="I208" s="5"/>
      <c r="J208" s="5"/>
      <c r="K208" s="5"/>
      <c r="O208" s="5"/>
      <c r="P208" s="5"/>
      <c r="Q208" s="5"/>
      <c r="U208" s="5"/>
      <c r="V208" s="5"/>
      <c r="W208" s="5"/>
      <c r="AA208" s="5"/>
      <c r="AB208" s="5"/>
      <c r="AC208" s="5"/>
      <c r="AG208" s="12"/>
      <c r="AH208" s="12"/>
      <c r="AI208" s="12"/>
      <c r="AJ208" s="193"/>
      <c r="AK208" s="12"/>
      <c r="AL208" s="5"/>
      <c r="AM208" s="5"/>
      <c r="AN208" s="5"/>
      <c r="AO208" s="5"/>
      <c r="AP208" s="5"/>
    </row>
    <row r="209" spans="4:42">
      <c r="D209" s="5"/>
      <c r="I209" s="5"/>
      <c r="J209" s="5"/>
      <c r="K209" s="5"/>
      <c r="O209" s="5"/>
      <c r="P209" s="5"/>
      <c r="Q209" s="5"/>
      <c r="U209" s="5"/>
      <c r="V209" s="5"/>
      <c r="W209" s="5"/>
      <c r="AA209" s="5"/>
      <c r="AB209" s="5"/>
      <c r="AC209" s="5"/>
      <c r="AG209" s="12"/>
      <c r="AH209" s="12"/>
      <c r="AI209" s="12"/>
      <c r="AJ209" s="12"/>
      <c r="AK209" s="12"/>
      <c r="AL209" s="12"/>
      <c r="AM209" s="5"/>
      <c r="AN209" s="5"/>
      <c r="AO209" s="5"/>
      <c r="AP209" s="5"/>
    </row>
    <row r="210" spans="4:42">
      <c r="D210" s="5"/>
      <c r="I210" s="5"/>
      <c r="J210" s="5"/>
      <c r="K210" s="5"/>
      <c r="O210" s="5"/>
      <c r="P210" s="5"/>
      <c r="Q210" s="5"/>
      <c r="U210" s="5"/>
      <c r="V210" s="5"/>
      <c r="W210" s="5"/>
      <c r="AA210" s="5"/>
      <c r="AB210" s="5"/>
      <c r="AC210" s="5"/>
      <c r="AG210" s="5"/>
      <c r="AH210" s="5"/>
      <c r="AI210" s="5"/>
      <c r="AJ210" s="275"/>
      <c r="AK210" s="5"/>
      <c r="AL210" s="5"/>
      <c r="AM210" s="5"/>
      <c r="AN210" s="5"/>
      <c r="AO210" s="5"/>
      <c r="AP210" s="5"/>
    </row>
    <row r="212" spans="4:42">
      <c r="D212" s="5"/>
      <c r="I212" s="5"/>
      <c r="J212" s="5"/>
      <c r="K212" s="5"/>
      <c r="O212" s="5"/>
      <c r="P212" s="5"/>
      <c r="Q212" s="5"/>
      <c r="U212" s="5"/>
      <c r="V212" s="5"/>
      <c r="W212" s="5"/>
      <c r="AA212" s="5"/>
      <c r="AB212" s="5"/>
      <c r="AC212" s="5"/>
      <c r="AG212" s="5" t="s">
        <v>260</v>
      </c>
      <c r="AH212" s="5"/>
      <c r="AI212" s="5"/>
      <c r="AJ212" s="276"/>
      <c r="AK212" s="5"/>
      <c r="AL212" s="5"/>
      <c r="AM212" s="5"/>
      <c r="AN212" s="5"/>
      <c r="AO212" s="5"/>
      <c r="AP212" s="5"/>
    </row>
  </sheetData>
  <mergeCells count="2">
    <mergeCell ref="D1:Q1"/>
    <mergeCell ref="R5:W5"/>
  </mergeCells>
  <phoneticPr fontId="7" type="noConversion"/>
  <pageMargins left="0.5" right="0.34" top="0.63" bottom="0.41" header="0.5" footer="0.5"/>
  <pageSetup paperSize="17" scale="64" fitToHeight="2" orientation="landscape" r:id="rId1"/>
  <headerFooter alignWithMargins="0"/>
  <ignoredErrors>
    <ignoredError sqref="K202 Q202" formula="1"/>
    <ignoredError sqref="B52:B54 B35:B41 B48 B56:B58 B88:B92 B69:B72 B76:B8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68"/>
  <sheetViews>
    <sheetView topLeftCell="A14" zoomScaleNormal="100" workbookViewId="0">
      <selection activeCell="A36" sqref="A36"/>
    </sheetView>
  </sheetViews>
  <sheetFormatPr defaultRowHeight="12.4"/>
  <cols>
    <col min="1" max="1" width="61.7109375" bestFit="1" customWidth="1"/>
    <col min="2" max="2" width="7.5703125" style="2" customWidth="1"/>
    <col min="3" max="3" width="6.5703125" bestFit="1" customWidth="1"/>
    <col min="4" max="4" width="9.140625" style="2"/>
    <col min="5" max="5" width="6.140625" customWidth="1"/>
    <col min="6" max="6" width="54.5703125" bestFit="1" customWidth="1"/>
    <col min="7" max="7" width="6.5703125" style="2" bestFit="1" customWidth="1"/>
    <col min="8" max="8" width="9.7109375" bestFit="1" customWidth="1"/>
  </cols>
  <sheetData>
    <row r="1" spans="1:4" s="25" customFormat="1" ht="15" customHeight="1">
      <c r="A1" s="55" t="s">
        <v>17</v>
      </c>
      <c r="B1" s="43"/>
      <c r="C1" s="42"/>
      <c r="D1" s="43"/>
    </row>
    <row r="2" spans="1:4" s="25" customFormat="1" ht="15" customHeight="1">
      <c r="A2" s="42"/>
      <c r="B2" s="43" t="s">
        <v>261</v>
      </c>
      <c r="C2" s="42" t="s">
        <v>33</v>
      </c>
      <c r="D2" s="43" t="s">
        <v>8</v>
      </c>
    </row>
    <row r="3" spans="1:4" s="25" customFormat="1" ht="15" customHeight="1">
      <c r="A3" s="67"/>
      <c r="B3" s="70"/>
      <c r="C3" s="67"/>
      <c r="D3" s="70"/>
    </row>
    <row r="4" spans="1:4" ht="15" customHeight="1">
      <c r="A4" s="97" t="s">
        <v>39</v>
      </c>
      <c r="B4" s="98"/>
      <c r="C4" s="88"/>
      <c r="D4" s="98"/>
    </row>
    <row r="5" spans="1:4" ht="15" customHeight="1">
      <c r="A5" s="16" t="s">
        <v>262</v>
      </c>
      <c r="B5" s="70">
        <f>B30</f>
        <v>1114.97</v>
      </c>
      <c r="C5" s="67">
        <v>3</v>
      </c>
      <c r="D5" s="70">
        <f>B5*C5</f>
        <v>3344.91</v>
      </c>
    </row>
    <row r="6" spans="1:4" ht="15" customHeight="1">
      <c r="A6" s="16" t="s">
        <v>156</v>
      </c>
      <c r="B6" s="70">
        <f>B38</f>
        <v>488.95</v>
      </c>
      <c r="C6" s="67">
        <v>1</v>
      </c>
      <c r="D6" s="70">
        <f>B6*C6</f>
        <v>488.95</v>
      </c>
    </row>
    <row r="7" spans="1:4" ht="15" customHeight="1">
      <c r="A7" s="16" t="s">
        <v>157</v>
      </c>
      <c r="B7" s="267">
        <f>B44</f>
        <v>738</v>
      </c>
      <c r="C7" s="67">
        <v>1</v>
      </c>
      <c r="D7" s="70">
        <f>B7*C7</f>
        <v>738</v>
      </c>
    </row>
    <row r="8" spans="1:4" ht="15" customHeight="1">
      <c r="A8" s="16" t="s">
        <v>158</v>
      </c>
      <c r="B8" s="267">
        <f>B68</f>
        <v>2791</v>
      </c>
      <c r="C8" s="67">
        <v>3</v>
      </c>
      <c r="D8" s="70">
        <f>B8*C8</f>
        <v>8373</v>
      </c>
    </row>
    <row r="9" spans="1:4" ht="15" customHeight="1">
      <c r="A9" s="130" t="s">
        <v>263</v>
      </c>
      <c r="B9" s="70"/>
      <c r="C9" s="67"/>
      <c r="D9" s="71">
        <f>SUM(D5:D8)</f>
        <v>12944.86</v>
      </c>
    </row>
    <row r="10" spans="1:4" ht="15" customHeight="1">
      <c r="A10" s="67"/>
      <c r="B10" s="70"/>
      <c r="C10" s="67"/>
      <c r="D10" s="70"/>
    </row>
    <row r="11" spans="1:4" ht="15" customHeight="1">
      <c r="A11" s="97" t="s">
        <v>264</v>
      </c>
      <c r="B11" s="98"/>
      <c r="C11" s="88"/>
      <c r="D11" s="98"/>
    </row>
    <row r="12" spans="1:4" ht="15" customHeight="1">
      <c r="A12" s="10" t="s">
        <v>265</v>
      </c>
      <c r="B12" s="70"/>
      <c r="C12" s="67"/>
      <c r="D12" s="70"/>
    </row>
    <row r="13" spans="1:4" ht="15" customHeight="1">
      <c r="A13" s="16" t="s">
        <v>266</v>
      </c>
      <c r="B13" s="70">
        <f>B30</f>
        <v>1114.97</v>
      </c>
      <c r="C13" s="67">
        <v>11</v>
      </c>
      <c r="D13" s="70">
        <f>B13*C13</f>
        <v>12264.67</v>
      </c>
    </row>
    <row r="14" spans="1:4" ht="15" customHeight="1">
      <c r="A14" s="16" t="s">
        <v>165</v>
      </c>
      <c r="B14" s="70">
        <f>B50</f>
        <v>860</v>
      </c>
      <c r="C14" s="67">
        <v>2</v>
      </c>
      <c r="D14" s="70">
        <f>B14*C14</f>
        <v>1720</v>
      </c>
    </row>
    <row r="15" spans="1:4" ht="15" customHeight="1">
      <c r="A15" s="67" t="s">
        <v>166</v>
      </c>
      <c r="B15" s="70">
        <f>B38</f>
        <v>488.95</v>
      </c>
      <c r="C15" s="67">
        <v>3</v>
      </c>
      <c r="D15" s="70">
        <f>B15*C15</f>
        <v>1466.85</v>
      </c>
    </row>
    <row r="16" spans="1:4" ht="15" customHeight="1">
      <c r="A16" s="67" t="s">
        <v>167</v>
      </c>
      <c r="B16" s="70">
        <f>B58</f>
        <v>337.95</v>
      </c>
      <c r="C16" s="67">
        <v>2</v>
      </c>
      <c r="D16" s="70">
        <f>B16*C16</f>
        <v>675.9</v>
      </c>
    </row>
    <row r="17" spans="1:7" ht="15" customHeight="1">
      <c r="A17" s="67" t="s">
        <v>168</v>
      </c>
      <c r="B17" s="70">
        <f>B44</f>
        <v>738</v>
      </c>
      <c r="C17" s="67">
        <v>2</v>
      </c>
      <c r="D17" s="70">
        <f>B17*C17</f>
        <v>1476</v>
      </c>
    </row>
    <row r="18" spans="1:7" ht="15" customHeight="1">
      <c r="A18" s="130" t="s">
        <v>267</v>
      </c>
      <c r="B18" s="70"/>
      <c r="C18" s="67"/>
      <c r="D18" s="71">
        <f>SUM(D13:D17)</f>
        <v>17603.419999999998</v>
      </c>
    </row>
    <row r="19" spans="1:7" ht="15" customHeight="1">
      <c r="A19" s="130"/>
      <c r="B19" s="70"/>
      <c r="C19" s="67"/>
      <c r="D19" s="71"/>
    </row>
    <row r="20" spans="1:7" ht="15" customHeight="1">
      <c r="A20" s="93" t="s">
        <v>268</v>
      </c>
      <c r="B20" s="94"/>
      <c r="C20" s="95"/>
      <c r="D20" s="96">
        <f>D18+D9</f>
        <v>30548.28</v>
      </c>
    </row>
    <row r="21" spans="1:7" ht="15" customHeight="1"/>
    <row r="22" spans="1:7" ht="15" customHeight="1">
      <c r="E22" s="4"/>
    </row>
    <row r="23" spans="1:7" ht="15" customHeight="1">
      <c r="A23" s="99" t="s">
        <v>269</v>
      </c>
      <c r="B23" s="100"/>
      <c r="C23" s="2"/>
      <c r="D23" s="4"/>
      <c r="F23" s="2"/>
      <c r="G23"/>
    </row>
    <row r="24" spans="1:7" ht="15" customHeight="1">
      <c r="A24" s="91" t="s">
        <v>270</v>
      </c>
      <c r="B24" s="92" t="s">
        <v>271</v>
      </c>
      <c r="C24" s="2"/>
      <c r="D24"/>
      <c r="F24" s="2"/>
      <c r="G24"/>
    </row>
    <row r="25" spans="1:7" ht="15" customHeight="1">
      <c r="A25" s="89"/>
      <c r="B25" s="90"/>
      <c r="C25" s="2"/>
      <c r="D25"/>
      <c r="F25" s="2"/>
      <c r="G25"/>
    </row>
    <row r="26" spans="1:7" ht="15" customHeight="1">
      <c r="A26" s="10" t="s">
        <v>272</v>
      </c>
      <c r="B26" s="71"/>
      <c r="C26" s="2"/>
      <c r="D26"/>
      <c r="F26" s="2"/>
      <c r="G26"/>
    </row>
    <row r="27" spans="1:7">
      <c r="A27" s="16" t="s">
        <v>273</v>
      </c>
      <c r="B27" s="70">
        <v>1049.99</v>
      </c>
      <c r="C27" s="2"/>
      <c r="D27"/>
      <c r="F27" s="2"/>
      <c r="G27"/>
    </row>
    <row r="28" spans="1:7">
      <c r="A28" s="16" t="s">
        <v>274</v>
      </c>
      <c r="B28" s="70">
        <v>44.99</v>
      </c>
      <c r="C28" s="2"/>
      <c r="D28"/>
      <c r="F28" s="2"/>
      <c r="G28"/>
    </row>
    <row r="29" spans="1:7">
      <c r="A29" s="16" t="s">
        <v>275</v>
      </c>
      <c r="B29" s="70">
        <v>19.989999999999998</v>
      </c>
      <c r="C29" s="2"/>
      <c r="D29"/>
      <c r="F29" s="2"/>
      <c r="G29"/>
    </row>
    <row r="30" spans="1:7">
      <c r="A30" s="67"/>
      <c r="B30" s="71">
        <f>SUM(B27:B29)</f>
        <v>1114.97</v>
      </c>
      <c r="C30" s="2"/>
      <c r="D30"/>
      <c r="F30" s="2"/>
      <c r="G30"/>
    </row>
    <row r="31" spans="1:7">
      <c r="A31" s="89"/>
      <c r="B31" s="90"/>
      <c r="C31" s="2"/>
      <c r="D31"/>
      <c r="F31" s="2"/>
      <c r="G31"/>
    </row>
    <row r="32" spans="1:7">
      <c r="A32" s="10" t="s">
        <v>276</v>
      </c>
      <c r="B32" s="71"/>
      <c r="C32" s="2"/>
      <c r="D32"/>
      <c r="F32" s="2"/>
      <c r="G32"/>
    </row>
    <row r="33" spans="1:7">
      <c r="A33" s="16" t="s">
        <v>277</v>
      </c>
      <c r="B33" s="70">
        <v>380</v>
      </c>
      <c r="C33" s="2"/>
      <c r="D33"/>
      <c r="F33" s="2"/>
      <c r="G33"/>
    </row>
    <row r="34" spans="1:7">
      <c r="A34" s="16" t="s">
        <v>278</v>
      </c>
      <c r="B34" s="70">
        <v>21.95</v>
      </c>
      <c r="C34" s="2"/>
      <c r="D34"/>
      <c r="F34" s="2"/>
      <c r="G34"/>
    </row>
    <row r="35" spans="1:7">
      <c r="A35" s="16" t="s">
        <v>279</v>
      </c>
      <c r="B35" s="70">
        <v>35</v>
      </c>
      <c r="C35" s="2"/>
      <c r="D35"/>
      <c r="F35" s="2"/>
      <c r="G35"/>
    </row>
    <row r="36" spans="1:7">
      <c r="A36" s="16" t="s">
        <v>280</v>
      </c>
      <c r="B36" s="70">
        <v>32</v>
      </c>
      <c r="C36" s="2"/>
      <c r="D36"/>
      <c r="F36" s="2"/>
      <c r="G36"/>
    </row>
    <row r="37" spans="1:7">
      <c r="A37" s="16" t="s">
        <v>281</v>
      </c>
      <c r="B37" s="70">
        <v>20</v>
      </c>
      <c r="C37" s="2"/>
      <c r="D37"/>
      <c r="F37" s="2"/>
      <c r="G37"/>
    </row>
    <row r="38" spans="1:7">
      <c r="A38" s="67"/>
      <c r="B38" s="71">
        <f>SUM(B33:B37)</f>
        <v>488.95</v>
      </c>
      <c r="C38" s="2"/>
      <c r="D38"/>
      <c r="F38" s="2"/>
      <c r="G38"/>
    </row>
    <row r="39" spans="1:7">
      <c r="A39" s="67"/>
      <c r="B39" s="71"/>
      <c r="C39" s="2"/>
      <c r="D39"/>
      <c r="F39" s="2"/>
      <c r="G39"/>
    </row>
    <row r="40" spans="1:7">
      <c r="A40" s="10" t="s">
        <v>282</v>
      </c>
      <c r="B40" s="70"/>
      <c r="C40" s="2"/>
      <c r="D40"/>
      <c r="E40" s="25"/>
      <c r="F40" s="2"/>
      <c r="G40"/>
    </row>
    <row r="41" spans="1:7">
      <c r="A41" s="16" t="s">
        <v>283</v>
      </c>
      <c r="B41" s="267">
        <v>583</v>
      </c>
      <c r="C41" s="2"/>
      <c r="D41"/>
      <c r="E41" s="5"/>
      <c r="F41" s="2"/>
      <c r="G41"/>
    </row>
    <row r="42" spans="1:7">
      <c r="A42" s="16" t="s">
        <v>284</v>
      </c>
      <c r="B42" s="70">
        <v>135</v>
      </c>
      <c r="C42" s="2"/>
      <c r="D42"/>
      <c r="F42" s="2"/>
      <c r="G42"/>
    </row>
    <row r="43" spans="1:7">
      <c r="A43" s="16" t="s">
        <v>281</v>
      </c>
      <c r="B43" s="70">
        <v>20</v>
      </c>
      <c r="C43" s="2"/>
      <c r="D43"/>
      <c r="F43" s="2"/>
      <c r="G43"/>
    </row>
    <row r="44" spans="1:7">
      <c r="A44" s="67"/>
      <c r="B44" s="71">
        <f>SUM(B41:B43)</f>
        <v>738</v>
      </c>
      <c r="C44" s="2"/>
      <c r="D44"/>
      <c r="E44" s="5"/>
      <c r="F44" s="2"/>
      <c r="G44"/>
    </row>
    <row r="45" spans="1:7">
      <c r="A45" s="89"/>
      <c r="B45" s="90"/>
      <c r="C45" s="2"/>
      <c r="D45"/>
      <c r="E45" s="5"/>
      <c r="F45" s="3"/>
      <c r="G45"/>
    </row>
    <row r="46" spans="1:7">
      <c r="A46" s="10" t="s">
        <v>285</v>
      </c>
      <c r="B46" s="70"/>
      <c r="C46" s="2"/>
      <c r="D46"/>
      <c r="F46" s="2"/>
      <c r="G46"/>
    </row>
    <row r="47" spans="1:7">
      <c r="A47" s="16" t="s">
        <v>286</v>
      </c>
      <c r="B47" s="70">
        <v>390</v>
      </c>
      <c r="C47" s="2"/>
      <c r="D47"/>
      <c r="F47" s="146"/>
      <c r="G47"/>
    </row>
    <row r="48" spans="1:7">
      <c r="A48" s="16" t="s">
        <v>287</v>
      </c>
      <c r="B48" s="70">
        <v>450</v>
      </c>
      <c r="C48" s="2"/>
      <c r="D48"/>
      <c r="F48" s="146"/>
      <c r="G48"/>
    </row>
    <row r="49" spans="1:7">
      <c r="A49" s="16" t="s">
        <v>281</v>
      </c>
      <c r="B49" s="70">
        <v>20</v>
      </c>
      <c r="C49" s="2"/>
      <c r="D49"/>
      <c r="F49" s="2"/>
      <c r="G49"/>
    </row>
    <row r="50" spans="1:7">
      <c r="A50" s="16"/>
      <c r="B50" s="71">
        <f>SUM(B46:B49)</f>
        <v>860</v>
      </c>
      <c r="C50" s="2"/>
      <c r="D50"/>
      <c r="F50" s="2"/>
      <c r="G50"/>
    </row>
    <row r="51" spans="1:7">
      <c r="A51" s="67"/>
      <c r="B51" s="71"/>
      <c r="C51" s="2"/>
      <c r="D51"/>
      <c r="F51" s="2"/>
      <c r="G51"/>
    </row>
    <row r="52" spans="1:7">
      <c r="A52" s="10" t="s">
        <v>288</v>
      </c>
      <c r="B52" s="70"/>
      <c r="C52" s="2"/>
      <c r="D52"/>
      <c r="F52" s="2"/>
      <c r="G52"/>
    </row>
    <row r="53" spans="1:7">
      <c r="A53" s="16" t="s">
        <v>289</v>
      </c>
      <c r="B53" s="70">
        <v>220</v>
      </c>
      <c r="C53" s="2"/>
      <c r="D53"/>
      <c r="F53" s="2"/>
      <c r="G53"/>
    </row>
    <row r="54" spans="1:7">
      <c r="A54" s="16" t="s">
        <v>278</v>
      </c>
      <c r="B54" s="70">
        <v>14.95</v>
      </c>
      <c r="C54" s="2"/>
      <c r="D54"/>
      <c r="F54" s="2"/>
      <c r="G54"/>
    </row>
    <row r="55" spans="1:7">
      <c r="A55" s="16" t="s">
        <v>290</v>
      </c>
      <c r="B55" s="70">
        <v>43</v>
      </c>
      <c r="C55" s="2"/>
      <c r="D55"/>
      <c r="F55" s="2"/>
      <c r="G55"/>
    </row>
    <row r="56" spans="1:7">
      <c r="A56" s="16" t="s">
        <v>279</v>
      </c>
      <c r="B56" s="70">
        <v>40</v>
      </c>
      <c r="C56" s="2"/>
      <c r="D56"/>
      <c r="F56" s="2"/>
      <c r="G56"/>
    </row>
    <row r="57" spans="1:7">
      <c r="A57" s="16" t="s">
        <v>281</v>
      </c>
      <c r="B57" s="70">
        <v>20</v>
      </c>
      <c r="C57" s="2"/>
      <c r="D57"/>
      <c r="F57" s="2"/>
      <c r="G57"/>
    </row>
    <row r="58" spans="1:7">
      <c r="A58" s="67"/>
      <c r="B58" s="71">
        <f>SUM(B53:B57)</f>
        <v>337.95</v>
      </c>
      <c r="C58" s="2"/>
      <c r="D58"/>
      <c r="F58" s="2"/>
      <c r="G58"/>
    </row>
    <row r="60" spans="1:7">
      <c r="A60" s="10" t="s">
        <v>291</v>
      </c>
      <c r="B60" s="70"/>
    </row>
    <row r="61" spans="1:7">
      <c r="A61" s="16" t="s">
        <v>292</v>
      </c>
      <c r="B61" s="70">
        <v>1349</v>
      </c>
      <c r="C61" s="2"/>
    </row>
    <row r="62" spans="1:7">
      <c r="A62" s="16" t="s">
        <v>293</v>
      </c>
      <c r="B62" s="70">
        <v>269</v>
      </c>
      <c r="C62" s="2"/>
    </row>
    <row r="63" spans="1:7">
      <c r="A63" s="16" t="s">
        <v>294</v>
      </c>
      <c r="B63" s="70">
        <v>149</v>
      </c>
      <c r="C63" s="2"/>
    </row>
    <row r="64" spans="1:7">
      <c r="A64" s="16" t="s">
        <v>295</v>
      </c>
      <c r="B64" s="70">
        <v>300</v>
      </c>
      <c r="C64" s="2"/>
    </row>
    <row r="65" spans="1:3">
      <c r="A65" s="16" t="s">
        <v>296</v>
      </c>
      <c r="B65" s="70">
        <v>175</v>
      </c>
      <c r="C65" s="2"/>
    </row>
    <row r="66" spans="1:3">
      <c r="A66" s="16" t="s">
        <v>297</v>
      </c>
      <c r="B66" s="70">
        <v>299</v>
      </c>
      <c r="C66" s="2"/>
    </row>
    <row r="67" spans="1:3">
      <c r="A67" s="16" t="s">
        <v>298</v>
      </c>
      <c r="B67" s="70">
        <v>250</v>
      </c>
      <c r="C67" s="2"/>
    </row>
    <row r="68" spans="1:3">
      <c r="A68" s="67"/>
      <c r="B68" s="71">
        <f>SUM(B61:B67)</f>
        <v>2791</v>
      </c>
      <c r="C68" s="2"/>
    </row>
  </sheetData>
  <phoneticPr fontId="7" type="noConversion"/>
  <pageMargins left="0.44" right="0.42" top="1.01" bottom="0.76" header="0.5" footer="0.5"/>
  <pageSetup scale="56" orientation="portrait" r:id="rId1"/>
  <headerFooter alignWithMargins="0">
    <oddHeader>&amp;LPartners of the Americas F2F Caribbean Basin Program Budget: Equipment Costs
USAID RFA No. SOL-OAA-13-00006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7"/>
  <sheetViews>
    <sheetView topLeftCell="A7" zoomScaleNormal="100" workbookViewId="0">
      <selection activeCell="B30" sqref="B30"/>
    </sheetView>
  </sheetViews>
  <sheetFormatPr defaultColWidth="8.85546875" defaultRowHeight="12.4"/>
  <cols>
    <col min="1" max="1" width="49.28515625" style="5" bestFit="1" customWidth="1"/>
    <col min="2" max="2" width="12.42578125" style="5" bestFit="1" customWidth="1"/>
    <col min="3" max="3" width="14.42578125" style="5" bestFit="1" customWidth="1"/>
    <col min="4" max="4" width="13.28515625" style="5" bestFit="1" customWidth="1"/>
    <col min="5" max="5" width="10.7109375" style="5" customWidth="1"/>
    <col min="6" max="6" width="9.85546875" style="5" bestFit="1" customWidth="1"/>
    <col min="7" max="7" width="11.5703125" style="5" bestFit="1" customWidth="1"/>
    <col min="8" max="8" width="10" style="5" customWidth="1"/>
    <col min="9" max="16384" width="8.85546875" style="5"/>
  </cols>
  <sheetData>
    <row r="1" spans="1:8" ht="15" customHeight="1"/>
    <row r="2" spans="1:8" ht="24.6">
      <c r="A2" s="278" t="s">
        <v>299</v>
      </c>
      <c r="B2" s="278" t="s">
        <v>300</v>
      </c>
      <c r="C2" s="279" t="s">
        <v>301</v>
      </c>
      <c r="D2" s="279" t="s">
        <v>302</v>
      </c>
    </row>
    <row r="3" spans="1:8" ht="15" customHeight="1">
      <c r="A3" s="16"/>
      <c r="B3" s="147"/>
      <c r="C3" s="130"/>
      <c r="D3" s="130"/>
    </row>
    <row r="4" spans="1:8" ht="15" customHeight="1">
      <c r="A4" s="147" t="s">
        <v>303</v>
      </c>
      <c r="B4" s="148">
        <v>522</v>
      </c>
      <c r="C4" s="148">
        <v>522</v>
      </c>
      <c r="D4" s="148">
        <v>522</v>
      </c>
    </row>
    <row r="5" spans="1:8" ht="15" customHeight="1">
      <c r="A5" s="147" t="s">
        <v>304</v>
      </c>
      <c r="B5" s="281">
        <f>'Volunteer Numbers'!G5</f>
        <v>45</v>
      </c>
      <c r="C5" s="281">
        <f>G11</f>
        <v>10</v>
      </c>
      <c r="D5" s="281">
        <f>G12</f>
        <v>35</v>
      </c>
    </row>
    <row r="6" spans="1:8" ht="15" customHeight="1">
      <c r="A6" s="147" t="s">
        <v>305</v>
      </c>
      <c r="B6" s="282">
        <f>SUM(C6:D6)</f>
        <v>3262.5</v>
      </c>
      <c r="C6" s="282">
        <f>C5*((365/12)*9)</f>
        <v>2737.5</v>
      </c>
      <c r="D6" s="282">
        <f>D5*15</f>
        <v>525</v>
      </c>
      <c r="E6" s="5" t="s">
        <v>306</v>
      </c>
    </row>
    <row r="7" spans="1:8" ht="15" customHeight="1">
      <c r="A7" s="65" t="s">
        <v>307</v>
      </c>
      <c r="B7" s="66">
        <f>SUM(C7:D7)</f>
        <v>1703025</v>
      </c>
      <c r="C7" s="66">
        <f>C6*C4</f>
        <v>1428975</v>
      </c>
      <c r="D7" s="66">
        <f>D6*D4</f>
        <v>274050</v>
      </c>
    </row>
    <row r="8" spans="1:8" ht="15" customHeight="1">
      <c r="G8" s="283"/>
      <c r="H8" s="283"/>
    </row>
    <row r="9" spans="1:8" ht="14.1" customHeight="1">
      <c r="A9" s="369" t="s">
        <v>308</v>
      </c>
      <c r="B9" s="369"/>
      <c r="C9" s="369"/>
      <c r="D9" s="369"/>
      <c r="E9" s="369"/>
      <c r="F9" s="369"/>
      <c r="G9" s="369"/>
    </row>
    <row r="10" spans="1:8" ht="14.1" customHeight="1">
      <c r="A10" s="76" t="s">
        <v>309</v>
      </c>
      <c r="B10" s="284" t="s">
        <v>310</v>
      </c>
      <c r="C10" s="284" t="s">
        <v>311</v>
      </c>
      <c r="D10" s="284" t="s">
        <v>312</v>
      </c>
      <c r="E10" s="284" t="s">
        <v>313</v>
      </c>
      <c r="F10" s="284" t="s">
        <v>314</v>
      </c>
      <c r="G10" s="284" t="s">
        <v>315</v>
      </c>
    </row>
    <row r="11" spans="1:8" ht="14.1" customHeight="1">
      <c r="A11" s="118" t="s">
        <v>316</v>
      </c>
      <c r="B11" s="285">
        <f>Budget!E53</f>
        <v>0</v>
      </c>
      <c r="C11" s="285">
        <f>Budget!L53</f>
        <v>3</v>
      </c>
      <c r="D11" s="285">
        <f>Budget!R53</f>
        <v>3</v>
      </c>
      <c r="E11" s="285">
        <f>Budget!X53</f>
        <v>3</v>
      </c>
      <c r="F11" s="285">
        <f>Budget!AD53</f>
        <v>1</v>
      </c>
      <c r="G11" s="40">
        <f>SUM(B11:F11)</f>
        <v>10</v>
      </c>
    </row>
    <row r="12" spans="1:8" ht="14.1" customHeight="1">
      <c r="A12" s="118" t="s">
        <v>317</v>
      </c>
      <c r="B12" s="285">
        <f>Budget!E57</f>
        <v>2</v>
      </c>
      <c r="C12" s="285">
        <f>Budget!L57</f>
        <v>10</v>
      </c>
      <c r="D12" s="285">
        <f>Budget!R57</f>
        <v>10</v>
      </c>
      <c r="E12" s="285">
        <f>Budget!X57</f>
        <v>10</v>
      </c>
      <c r="F12" s="285">
        <f>Budget!AD57</f>
        <v>3</v>
      </c>
      <c r="G12" s="40">
        <f>SUM(B12:F12)</f>
        <v>35</v>
      </c>
    </row>
    <row r="13" spans="1:8" ht="14.1" customHeight="1">
      <c r="A13" s="10" t="s">
        <v>9</v>
      </c>
      <c r="B13" s="40">
        <f t="shared" ref="B13:G13" si="0">SUM(B11:B12)</f>
        <v>2</v>
      </c>
      <c r="C13" s="40">
        <f t="shared" si="0"/>
        <v>13</v>
      </c>
      <c r="D13" s="40">
        <f t="shared" si="0"/>
        <v>13</v>
      </c>
      <c r="E13" s="40">
        <f t="shared" si="0"/>
        <v>13</v>
      </c>
      <c r="F13" s="40">
        <f t="shared" si="0"/>
        <v>4</v>
      </c>
      <c r="G13" s="40">
        <f t="shared" si="0"/>
        <v>45</v>
      </c>
    </row>
    <row r="14" spans="1:8" ht="14.1" customHeight="1">
      <c r="A14" s="46"/>
      <c r="B14" s="286"/>
      <c r="C14" s="286"/>
      <c r="D14" s="286"/>
      <c r="E14" s="286"/>
      <c r="F14" s="286"/>
      <c r="G14" s="286"/>
    </row>
    <row r="15" spans="1:8" ht="14.1" customHeight="1">
      <c r="A15" s="369" t="s">
        <v>318</v>
      </c>
      <c r="B15" s="369"/>
      <c r="C15" s="369"/>
      <c r="D15" s="369"/>
      <c r="E15" s="369"/>
      <c r="F15" s="369"/>
      <c r="G15" s="369"/>
    </row>
    <row r="16" spans="1:8" ht="14.1" customHeight="1">
      <c r="A16" s="76" t="s">
        <v>309</v>
      </c>
      <c r="B16" s="284" t="s">
        <v>310</v>
      </c>
      <c r="C16" s="284" t="s">
        <v>311</v>
      </c>
      <c r="D16" s="284" t="s">
        <v>312</v>
      </c>
      <c r="E16" s="284" t="s">
        <v>313</v>
      </c>
      <c r="F16" s="284" t="s">
        <v>314</v>
      </c>
      <c r="G16" s="284" t="s">
        <v>315</v>
      </c>
    </row>
    <row r="17" spans="1:7" ht="14.1" customHeight="1">
      <c r="A17" s="118" t="s">
        <v>316</v>
      </c>
      <c r="B17" s="287">
        <f>B11*$C$4*((365/12)*9)</f>
        <v>0</v>
      </c>
      <c r="C17" s="287">
        <f t="shared" ref="C17:F17" si="1">C11*$C$4*((365/12)*9)</f>
        <v>428692.5</v>
      </c>
      <c r="D17" s="287">
        <f t="shared" si="1"/>
        <v>428692.5</v>
      </c>
      <c r="E17" s="287">
        <f t="shared" si="1"/>
        <v>428692.5</v>
      </c>
      <c r="F17" s="287">
        <f t="shared" si="1"/>
        <v>142897.5</v>
      </c>
      <c r="G17" s="280">
        <f>SUM(B17:F17)</f>
        <v>1428975</v>
      </c>
    </row>
    <row r="18" spans="1:7" ht="14.1" customHeight="1">
      <c r="A18" s="118" t="s">
        <v>317</v>
      </c>
      <c r="B18" s="287">
        <f>B12*$D$4*15</f>
        <v>15660</v>
      </c>
      <c r="C18" s="287">
        <f t="shared" ref="C18:F18" si="2">C12*$D$4*15</f>
        <v>78300</v>
      </c>
      <c r="D18" s="287">
        <f t="shared" si="2"/>
        <v>78300</v>
      </c>
      <c r="E18" s="287">
        <f t="shared" si="2"/>
        <v>78300</v>
      </c>
      <c r="F18" s="287">
        <f t="shared" si="2"/>
        <v>23490</v>
      </c>
      <c r="G18" s="280">
        <f>SUM(B18:F18)</f>
        <v>274050</v>
      </c>
    </row>
    <row r="19" spans="1:7" ht="14.1" customHeight="1">
      <c r="A19" s="10" t="s">
        <v>9</v>
      </c>
      <c r="B19" s="288">
        <f t="shared" ref="B19:G19" si="3">SUM(B17:B18)</f>
        <v>15660</v>
      </c>
      <c r="C19" s="288">
        <f t="shared" si="3"/>
        <v>506992.5</v>
      </c>
      <c r="D19" s="288">
        <f t="shared" si="3"/>
        <v>506992.5</v>
      </c>
      <c r="E19" s="288">
        <f t="shared" si="3"/>
        <v>506992.5</v>
      </c>
      <c r="F19" s="288">
        <f t="shared" si="3"/>
        <v>166387.5</v>
      </c>
      <c r="G19" s="280">
        <f t="shared" si="3"/>
        <v>1703025</v>
      </c>
    </row>
    <row r="21" spans="1:7" ht="24.6">
      <c r="A21" s="278" t="s">
        <v>299</v>
      </c>
      <c r="B21" s="278" t="s">
        <v>319</v>
      </c>
      <c r="C21" s="279" t="s">
        <v>320</v>
      </c>
    </row>
    <row r="22" spans="1:7" ht="15" customHeight="1">
      <c r="A22" s="16"/>
      <c r="B22" s="147"/>
      <c r="C22" s="130"/>
    </row>
    <row r="23" spans="1:7" ht="15" customHeight="1">
      <c r="A23" s="147" t="s">
        <v>321</v>
      </c>
      <c r="B23" s="148">
        <v>7</v>
      </c>
      <c r="C23" s="292">
        <f>3*4</f>
        <v>12</v>
      </c>
    </row>
    <row r="24" spans="1:7" ht="15" customHeight="1">
      <c r="A24" s="65" t="s">
        <v>322</v>
      </c>
      <c r="B24" s="66">
        <f>300*B23*C23*52</f>
        <v>1310400</v>
      </c>
      <c r="C24" s="293">
        <f>300*C23</f>
        <v>3600</v>
      </c>
    </row>
    <row r="25" spans="1:7" ht="12.6" thickBot="1"/>
    <row r="26" spans="1:7">
      <c r="A26" s="294" t="s">
        <v>323</v>
      </c>
    </row>
    <row r="27" spans="1:7" ht="12.6" thickBot="1">
      <c r="A27" s="295">
        <v>3013425</v>
      </c>
    </row>
  </sheetData>
  <mergeCells count="2">
    <mergeCell ref="A9:G9"/>
    <mergeCell ref="A15:G15"/>
  </mergeCells>
  <phoneticPr fontId="7" type="noConversion"/>
  <pageMargins left="0.75" right="0.75" top="1.1000000000000001" bottom="1" header="0.5" footer="0.5"/>
  <pageSetup orientation="portrait" r:id="rId1"/>
  <headerFooter alignWithMargins="0">
    <oddHeader>&amp;LPartners of the Americas F2F Caribbean Basin Program Budget: Match Calculation
USAID RFA No. SOL-OAA-13-00006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G10"/>
  <sheetViews>
    <sheetView zoomScale="90" zoomScaleNormal="90" workbookViewId="0">
      <selection activeCell="D10" sqref="D10"/>
    </sheetView>
  </sheetViews>
  <sheetFormatPr defaultColWidth="8.85546875" defaultRowHeight="14.1" customHeight="1"/>
  <cols>
    <col min="1" max="1" width="26.7109375" style="5" bestFit="1" customWidth="1"/>
    <col min="2" max="7" width="9.140625" style="289"/>
    <col min="8" max="16384" width="8.85546875" style="5"/>
  </cols>
  <sheetData>
    <row r="2" spans="1:7" ht="14.1" customHeight="1">
      <c r="A2" s="370" t="s">
        <v>324</v>
      </c>
      <c r="B2" s="370"/>
      <c r="C2" s="370"/>
      <c r="D2" s="370"/>
      <c r="E2" s="370"/>
      <c r="F2" s="370"/>
      <c r="G2" s="370"/>
    </row>
    <row r="3" spans="1:7" ht="14.1" customHeight="1">
      <c r="A3" s="76" t="s">
        <v>309</v>
      </c>
      <c r="B3" s="284" t="s">
        <v>310</v>
      </c>
      <c r="C3" s="284" t="s">
        <v>311</v>
      </c>
      <c r="D3" s="284" t="s">
        <v>312</v>
      </c>
      <c r="E3" s="284" t="s">
        <v>313</v>
      </c>
      <c r="F3" s="284" t="s">
        <v>314</v>
      </c>
      <c r="G3" s="284" t="s">
        <v>315</v>
      </c>
    </row>
    <row r="4" spans="1:7" ht="14.1" customHeight="1">
      <c r="A4" s="118" t="s">
        <v>325</v>
      </c>
      <c r="B4" s="285">
        <v>2</v>
      </c>
      <c r="C4" s="285">
        <v>13</v>
      </c>
      <c r="D4" s="285">
        <v>13</v>
      </c>
      <c r="E4" s="285">
        <v>13</v>
      </c>
      <c r="F4" s="285">
        <v>4</v>
      </c>
      <c r="G4" s="40">
        <f>SUM(B4:F4)</f>
        <v>45</v>
      </c>
    </row>
    <row r="5" spans="1:7" ht="14.1" customHeight="1">
      <c r="A5" s="10" t="s">
        <v>9</v>
      </c>
      <c r="B5" s="40">
        <f t="shared" ref="B5:G5" si="0">SUM(B4:B4)</f>
        <v>2</v>
      </c>
      <c r="C5" s="40">
        <f t="shared" si="0"/>
        <v>13</v>
      </c>
      <c r="D5" s="40">
        <f t="shared" si="0"/>
        <v>13</v>
      </c>
      <c r="E5" s="40">
        <f t="shared" si="0"/>
        <v>13</v>
      </c>
      <c r="F5" s="40">
        <f t="shared" si="0"/>
        <v>4</v>
      </c>
      <c r="G5" s="40">
        <f t="shared" si="0"/>
        <v>45</v>
      </c>
    </row>
    <row r="6" spans="1:7" ht="14.1" customHeight="1">
      <c r="A6" s="46"/>
      <c r="B6" s="286"/>
      <c r="C6" s="286"/>
      <c r="D6" s="286"/>
      <c r="E6" s="286"/>
      <c r="F6" s="286"/>
      <c r="G6" s="286"/>
    </row>
    <row r="7" spans="1:7" ht="14.1" customHeight="1">
      <c r="A7" s="370" t="s">
        <v>326</v>
      </c>
      <c r="B7" s="370"/>
      <c r="C7" s="370"/>
      <c r="D7" s="370"/>
      <c r="E7" s="370"/>
      <c r="F7" s="370"/>
      <c r="G7" s="370"/>
    </row>
    <row r="8" spans="1:7" ht="14.1" customHeight="1">
      <c r="A8" s="76" t="s">
        <v>309</v>
      </c>
      <c r="B8" s="284" t="s">
        <v>310</v>
      </c>
      <c r="C8" s="284" t="s">
        <v>311</v>
      </c>
      <c r="D8" s="284" t="s">
        <v>312</v>
      </c>
      <c r="E8" s="284" t="s">
        <v>313</v>
      </c>
      <c r="F8" s="284" t="s">
        <v>314</v>
      </c>
      <c r="G8" s="284" t="s">
        <v>315</v>
      </c>
    </row>
    <row r="9" spans="1:7" ht="14.1" customHeight="1">
      <c r="A9" s="118" t="s">
        <v>64</v>
      </c>
      <c r="B9" s="285">
        <v>75</v>
      </c>
      <c r="C9" s="285">
        <v>150</v>
      </c>
      <c r="D9" s="285">
        <v>75</v>
      </c>
      <c r="E9" s="285">
        <v>0</v>
      </c>
      <c r="F9" s="285">
        <v>0</v>
      </c>
      <c r="G9" s="40">
        <f>SUM(B9:F9)</f>
        <v>300</v>
      </c>
    </row>
    <row r="10" spans="1:7" ht="14.1" customHeight="1">
      <c r="A10" s="10" t="s">
        <v>9</v>
      </c>
      <c r="B10" s="40">
        <f t="shared" ref="B10" si="1">SUM(B9:B9)</f>
        <v>75</v>
      </c>
      <c r="C10" s="40">
        <f t="shared" ref="C10" si="2">SUM(C9:C9)</f>
        <v>150</v>
      </c>
      <c r="D10" s="40">
        <f t="shared" ref="D10" si="3">SUM(D9:D9)</f>
        <v>75</v>
      </c>
      <c r="E10" s="40">
        <f t="shared" ref="E10" si="4">SUM(E9:E9)</f>
        <v>0</v>
      </c>
      <c r="F10" s="40">
        <f t="shared" ref="F10" si="5">SUM(F9:F9)</f>
        <v>0</v>
      </c>
      <c r="G10" s="40">
        <f t="shared" ref="G10" si="6">SUM(G9:G9)</f>
        <v>300</v>
      </c>
    </row>
  </sheetData>
  <mergeCells count="2">
    <mergeCell ref="A2:G2"/>
    <mergeCell ref="A7:G7"/>
  </mergeCells>
  <pageMargins left="0.7" right="0.7" top="0.75" bottom="0.75" header="0.3" footer="0.3"/>
  <pageSetup orientation="portrait" r:id="rId1"/>
  <headerFooter>
    <oddHeader xml:space="preserve">&amp;LPartners of the Americas F2F Caribbean Basin Program Budget: Volunteer Numbers
USAID RFA No. SOL-OAA-13-00006
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AA062DA-8B62-4BA9-8C72-E2D6C7D3E80D}"/>
</file>

<file path=customXml/itemProps2.xml><?xml version="1.0" encoding="utf-8"?>
<ds:datastoreItem xmlns:ds="http://schemas.openxmlformats.org/officeDocument/2006/customXml" ds:itemID="{B69EC06F-D666-4BD8-958B-374EE4D434CE}"/>
</file>

<file path=customXml/itemProps3.xml><?xml version="1.0" encoding="utf-8"?>
<ds:datastoreItem xmlns:ds="http://schemas.openxmlformats.org/officeDocument/2006/customXml" ds:itemID="{03B42E6F-F63A-456C-9927-1D3DB8767D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POA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POA USER</dc:creator>
  <cp:keywords/>
  <dc:description/>
  <cp:lastModifiedBy>Sarah Smith</cp:lastModifiedBy>
  <cp:revision/>
  <dcterms:created xsi:type="dcterms:W3CDTF">2008-05-05T21:17:49Z</dcterms:created>
  <dcterms:modified xsi:type="dcterms:W3CDTF">2022-04-07T20:52:28Z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7450200</vt:r8>
  </property>
  <property fmtid="{D5CDD505-2E9C-101B-9397-08002B2CF9AE}" pid="3" name="ContentTypeId">
    <vt:lpwstr>0x0101003206C8355D678A459F2EF8957171B231</vt:lpwstr>
  </property>
  <property fmtid="{D5CDD505-2E9C-101B-9397-08002B2CF9AE}" pid="4" name="MediaServiceImageTags">
    <vt:lpwstr/>
  </property>
</Properties>
</file>